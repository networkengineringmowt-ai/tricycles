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82-KANONI-MADDU\MCC\"/>
    </mc:Choice>
  </mc:AlternateContent>
  <bookViews>
    <workbookView xWindow="-120" yWindow="-120" windowWidth="20730" windowHeight="11160" tabRatio="909" firstSheet="13" activeTab="15"/>
  </bookViews>
  <sheets>
    <sheet name="17.10 KANONI-MADDU" sheetId="93" r:id="rId1"/>
    <sheet name="17.10 MADDU-KANONI" sheetId="94" r:id="rId2"/>
    <sheet name="18.10 KANONI-MADDU-24h" sheetId="109" r:id="rId3"/>
    <sheet name="18.10 MADDU-KANONI-24h" sheetId="101" r:id="rId4"/>
    <sheet name="19.10 KANONI-MADDU-24h" sheetId="110" r:id="rId5"/>
    <sheet name="19.10 MADDU-KANONI-24h" sheetId="105" r:id="rId6"/>
    <sheet name="20.10 KANONI-MADDU" sheetId="95" r:id="rId7"/>
    <sheet name="20.10 MADDU-KANONI" sheetId="96" r:id="rId8"/>
    <sheet name="21.10 KANONI-MADDU" sheetId="97" r:id="rId9"/>
    <sheet name="21.10 MADDU-KANONI" sheetId="98" r:id="rId10"/>
    <sheet name="22.10.KANONI-MADDU" sheetId="99" r:id="rId11"/>
    <sheet name="22.10 MADDU-KANONI" sheetId="100" r:id="rId12"/>
    <sheet name="23.10 KANONI-MADDU" sheetId="103" r:id="rId13"/>
    <sheet name="23.10 MADDU-KANONI" sheetId="104" r:id="rId14"/>
    <sheet name="Avg Week Kanoni-Maddu" sheetId="107" r:id="rId15"/>
    <sheet name="Avg Week Maddu-Kanoni" sheetId="108" r:id="rId16"/>
    <sheet name="Avg Week Kanoni-Maddu-2Dir" sheetId="111" r:id="rId17"/>
  </sheets>
  <definedNames>
    <definedName name="_xlnm.Print_Area" localSheetId="0">'17.10 KANONI-MADDU'!$A$1:$AF$60</definedName>
    <definedName name="_xlnm.Print_Area" localSheetId="1">'17.10 MADDU-KANONI'!$A$1:$AF$60</definedName>
    <definedName name="_xlnm.Print_Area" localSheetId="2">'18.10 KANONI-MADDU-24h'!$A$1:$AF$108</definedName>
    <definedName name="_xlnm.Print_Area" localSheetId="3">'18.10 MADDU-KANONI-24h'!$A$1:$AF$108</definedName>
    <definedName name="_xlnm.Print_Area" localSheetId="4">'19.10 KANONI-MADDU-24h'!$A$1:$AF$108</definedName>
    <definedName name="_xlnm.Print_Area" localSheetId="5">'19.10 MADDU-KANONI-24h'!$A$1:$AF$108</definedName>
    <definedName name="_xlnm.Print_Area" localSheetId="6">'20.10 KANONI-MADDU'!$A$1:$AF$60</definedName>
    <definedName name="_xlnm.Print_Area" localSheetId="7">'20.10 MADDU-KANONI'!$A$1:$AF$60</definedName>
    <definedName name="_xlnm.Print_Area" localSheetId="8">'21.10 KANONI-MADDU'!$A$1:$AF$60</definedName>
    <definedName name="_xlnm.Print_Area" localSheetId="9">'21.10 MADDU-KANONI'!$A$1:$AF$60</definedName>
    <definedName name="_xlnm.Print_Area" localSheetId="11">'22.10 MADDU-KANONI'!$A$1:$AF$60</definedName>
    <definedName name="_xlnm.Print_Area" localSheetId="10">'22.10.KANONI-MADDU'!$A$1:$AF$60</definedName>
    <definedName name="_xlnm.Print_Area" localSheetId="12">'23.10 KANONI-MADDU'!$A$1:$AF$60</definedName>
    <definedName name="_xlnm.Print_Area" localSheetId="13">'23.10 MADDU-KANONI'!$A$1:$AF$60</definedName>
    <definedName name="_xlnm.Print_Area" localSheetId="14">'Avg Week Kanoni-Maddu'!$A$1:$AF$108</definedName>
    <definedName name="_xlnm.Print_Area" localSheetId="16">'Avg Week Kanoni-Maddu-2Dir'!$A$1:$AF$108</definedName>
    <definedName name="_xlnm.Print_Area" localSheetId="15">'Avg Week Maddu-Kanoni'!$A$1:$AF$108</definedName>
    <definedName name="_xlnm.Print_Titles" localSheetId="0">'17.10 KANONI-MADDU'!$1:$8</definedName>
    <definedName name="_xlnm.Print_Titles" localSheetId="1">'17.10 MADDU-KANONI'!$1:$8</definedName>
    <definedName name="_xlnm.Print_Titles" localSheetId="2">'18.10 KANONI-MADDU-24h'!$1:$8</definedName>
    <definedName name="_xlnm.Print_Titles" localSheetId="3">'18.10 MADDU-KANONI-24h'!$1:$8</definedName>
    <definedName name="_xlnm.Print_Titles" localSheetId="4">'19.10 KANONI-MADDU-24h'!$1:$8</definedName>
    <definedName name="_xlnm.Print_Titles" localSheetId="5">'19.10 MADDU-KANONI-24h'!$1:$8</definedName>
    <definedName name="_xlnm.Print_Titles" localSheetId="6">'20.10 KANONI-MADDU'!$1:$8</definedName>
    <definedName name="_xlnm.Print_Titles" localSheetId="7">'20.10 MADDU-KANONI'!$1:$8</definedName>
    <definedName name="_xlnm.Print_Titles" localSheetId="8">'21.10 KANONI-MADDU'!$1:$8</definedName>
    <definedName name="_xlnm.Print_Titles" localSheetId="9">'21.10 MADDU-KANONI'!$1:$8</definedName>
    <definedName name="_xlnm.Print_Titles" localSheetId="11">'22.10 MADDU-KANONI'!$1:$8</definedName>
    <definedName name="_xlnm.Print_Titles" localSheetId="10">'22.10.KANONI-MADDU'!$1:$8</definedName>
    <definedName name="_xlnm.Print_Titles" localSheetId="12">'23.10 KANONI-MADDU'!$1:$8</definedName>
    <definedName name="_xlnm.Print_Titles" localSheetId="13">'23.10 MADDU-KANONI'!$1:$8</definedName>
    <definedName name="_xlnm.Print_Titles" localSheetId="14">'Avg Week Kanoni-Maddu'!$1:$8</definedName>
    <definedName name="_xlnm.Print_Titles" localSheetId="16">'Avg Week Kanoni-Maddu-2Dir'!$1:$8</definedName>
    <definedName name="_xlnm.Print_Titles" localSheetId="15">'Avg Week Maddu-Kanoni'!$1:$8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6" i="107" l="1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11"/>
  <c r="E106" i="111"/>
  <c r="F106" i="111"/>
  <c r="G106" i="111"/>
  <c r="H106" i="111"/>
  <c r="I106" i="111"/>
  <c r="J106" i="111"/>
  <c r="K106" i="111"/>
  <c r="L106" i="111"/>
  <c r="M106" i="111"/>
  <c r="N106" i="111"/>
  <c r="O106" i="111"/>
  <c r="P106" i="111"/>
  <c r="C106" i="111"/>
  <c r="P58" i="111" l="1"/>
  <c r="P59" i="111"/>
  <c r="P60" i="111"/>
  <c r="P61" i="111"/>
  <c r="AF22" i="111" s="1"/>
  <c r="P62" i="111"/>
  <c r="P63" i="111"/>
  <c r="P64" i="111"/>
  <c r="P65" i="111"/>
  <c r="AF23" i="111" s="1"/>
  <c r="P66" i="111"/>
  <c r="P67" i="111"/>
  <c r="P68" i="111"/>
  <c r="AF24" i="111" s="1"/>
  <c r="P69" i="111"/>
  <c r="P70" i="111"/>
  <c r="P71" i="111"/>
  <c r="P72" i="111"/>
  <c r="AF25" i="111" s="1"/>
  <c r="P73" i="111"/>
  <c r="P74" i="111"/>
  <c r="P75" i="111"/>
  <c r="P76" i="111"/>
  <c r="AF26" i="111" s="1"/>
  <c r="P77" i="111"/>
  <c r="P78" i="111"/>
  <c r="P79" i="111"/>
  <c r="P80" i="111"/>
  <c r="AF27" i="111" s="1"/>
  <c r="P81" i="111"/>
  <c r="P82" i="111"/>
  <c r="P83" i="111"/>
  <c r="P84" i="111"/>
  <c r="P85" i="111"/>
  <c r="AF28" i="111" s="1"/>
  <c r="P86" i="111"/>
  <c r="P87" i="111"/>
  <c r="P88" i="111"/>
  <c r="P89" i="111"/>
  <c r="AF29" i="111" s="1"/>
  <c r="P90" i="111"/>
  <c r="P91" i="111"/>
  <c r="P92" i="111"/>
  <c r="AF30" i="111" s="1"/>
  <c r="P93" i="111"/>
  <c r="P94" i="111"/>
  <c r="P95" i="111"/>
  <c r="P96" i="111"/>
  <c r="AF31" i="111" s="1"/>
  <c r="P97" i="111"/>
  <c r="P98" i="111"/>
  <c r="P99" i="111"/>
  <c r="P100" i="111"/>
  <c r="AF32" i="111" s="1"/>
  <c r="P101" i="111"/>
  <c r="P102" i="111"/>
  <c r="P103" i="111"/>
  <c r="P104" i="111"/>
  <c r="AF33" i="111" s="1"/>
  <c r="P105" i="111"/>
  <c r="O58" i="111"/>
  <c r="O59" i="111"/>
  <c r="O60" i="111"/>
  <c r="O61" i="111"/>
  <c r="O62" i="111"/>
  <c r="O63" i="111"/>
  <c r="O64" i="111"/>
  <c r="O65" i="111"/>
  <c r="AE23" i="111" s="1"/>
  <c r="O66" i="111"/>
  <c r="O67" i="111"/>
  <c r="O68" i="111"/>
  <c r="AE24" i="111" s="1"/>
  <c r="O69" i="111"/>
  <c r="O70" i="111"/>
  <c r="O71" i="111"/>
  <c r="O72" i="111"/>
  <c r="O73" i="111"/>
  <c r="O74" i="111"/>
  <c r="O75" i="111"/>
  <c r="O76" i="111"/>
  <c r="O77" i="111"/>
  <c r="AE26" i="111" s="1"/>
  <c r="O78" i="111"/>
  <c r="O79" i="111"/>
  <c r="O80" i="111"/>
  <c r="AE27" i="111" s="1"/>
  <c r="O81" i="111"/>
  <c r="O82" i="111"/>
  <c r="O83" i="111"/>
  <c r="O84" i="111"/>
  <c r="O85" i="111"/>
  <c r="O86" i="111"/>
  <c r="O87" i="111"/>
  <c r="O88" i="111"/>
  <c r="O89" i="111"/>
  <c r="O90" i="111"/>
  <c r="O91" i="111"/>
  <c r="O92" i="111"/>
  <c r="AE30" i="111" s="1"/>
  <c r="O93" i="111"/>
  <c r="O94" i="111"/>
  <c r="O95" i="111"/>
  <c r="O96" i="111"/>
  <c r="AE31" i="111" s="1"/>
  <c r="O97" i="111"/>
  <c r="O98" i="111"/>
  <c r="O99" i="111"/>
  <c r="O100" i="111"/>
  <c r="O101" i="111"/>
  <c r="AE32" i="111" s="1"/>
  <c r="O102" i="111"/>
  <c r="O103" i="111"/>
  <c r="O104" i="111"/>
  <c r="AE33" i="111" s="1"/>
  <c r="O105" i="111"/>
  <c r="D58" i="111"/>
  <c r="E58" i="111"/>
  <c r="F58" i="111"/>
  <c r="G58" i="111"/>
  <c r="W22" i="111" s="1"/>
  <c r="H58" i="111"/>
  <c r="I58" i="111"/>
  <c r="J58" i="111"/>
  <c r="K58" i="111"/>
  <c r="AA22" i="111" s="1"/>
  <c r="L58" i="111"/>
  <c r="M58" i="111"/>
  <c r="N58" i="111"/>
  <c r="D59" i="111"/>
  <c r="T22" i="111" s="1"/>
  <c r="E59" i="111"/>
  <c r="F59" i="111"/>
  <c r="G59" i="111"/>
  <c r="H59" i="111"/>
  <c r="X22" i="111" s="1"/>
  <c r="I59" i="111"/>
  <c r="J59" i="111"/>
  <c r="K59" i="111"/>
  <c r="L59" i="111"/>
  <c r="AB22" i="111" s="1"/>
  <c r="M59" i="111"/>
  <c r="N59" i="111"/>
  <c r="D60" i="11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V22" i="111" s="1"/>
  <c r="G61" i="111"/>
  <c r="H61" i="111"/>
  <c r="I61" i="111"/>
  <c r="J61" i="111"/>
  <c r="Z22" i="111" s="1"/>
  <c r="K61" i="111"/>
  <c r="L61" i="111"/>
  <c r="M61" i="111"/>
  <c r="N61" i="111"/>
  <c r="AD22" i="111" s="1"/>
  <c r="D62" i="111"/>
  <c r="E62" i="111"/>
  <c r="F62" i="111"/>
  <c r="V23" i="111" s="1"/>
  <c r="G62" i="111"/>
  <c r="W23" i="111" s="1"/>
  <c r="H62" i="111"/>
  <c r="I62" i="111"/>
  <c r="J62" i="111"/>
  <c r="Z23" i="111" s="1"/>
  <c r="K62" i="111"/>
  <c r="AA23" i="111" s="1"/>
  <c r="L62" i="111"/>
  <c r="M62" i="111"/>
  <c r="N62" i="111"/>
  <c r="AD23" i="111" s="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E64" i="111"/>
  <c r="U23" i="111" s="1"/>
  <c r="F64" i="111"/>
  <c r="G64" i="111"/>
  <c r="H64" i="111"/>
  <c r="I64" i="111"/>
  <c r="Y23" i="111" s="1"/>
  <c r="J64" i="111"/>
  <c r="K64" i="111"/>
  <c r="L64" i="111"/>
  <c r="M64" i="111"/>
  <c r="AC23" i="111" s="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W24" i="111" s="1"/>
  <c r="H66" i="111"/>
  <c r="I66" i="111"/>
  <c r="J66" i="111"/>
  <c r="K66" i="111"/>
  <c r="AA24" i="111" s="1"/>
  <c r="L66" i="111"/>
  <c r="M66" i="111"/>
  <c r="N66" i="111"/>
  <c r="D67" i="111"/>
  <c r="T24" i="111" s="1"/>
  <c r="E67" i="111"/>
  <c r="F67" i="111"/>
  <c r="G67" i="111"/>
  <c r="H67" i="111"/>
  <c r="X24" i="111" s="1"/>
  <c r="I67" i="111"/>
  <c r="J67" i="111"/>
  <c r="K67" i="111"/>
  <c r="L67" i="111"/>
  <c r="AB24" i="111" s="1"/>
  <c r="M67" i="111"/>
  <c r="N67" i="111"/>
  <c r="D68" i="111"/>
  <c r="E68" i="111"/>
  <c r="U24" i="111" s="1"/>
  <c r="F68" i="111"/>
  <c r="G68" i="111"/>
  <c r="H68" i="111"/>
  <c r="I68" i="111"/>
  <c r="Y24" i="111" s="1"/>
  <c r="J68" i="111"/>
  <c r="K68" i="111"/>
  <c r="L68" i="111"/>
  <c r="M68" i="111"/>
  <c r="AC24" i="111" s="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W25" i="111" s="1"/>
  <c r="H70" i="111"/>
  <c r="I70" i="111"/>
  <c r="J70" i="111"/>
  <c r="K70" i="111"/>
  <c r="AA25" i="111" s="1"/>
  <c r="L70" i="111"/>
  <c r="M70" i="111"/>
  <c r="N70" i="111"/>
  <c r="D71" i="111"/>
  <c r="T25" i="111" s="1"/>
  <c r="E71" i="111"/>
  <c r="F71" i="111"/>
  <c r="G71" i="111"/>
  <c r="H71" i="111"/>
  <c r="X25" i="111" s="1"/>
  <c r="I71" i="111"/>
  <c r="J71" i="111"/>
  <c r="K71" i="111"/>
  <c r="L71" i="111"/>
  <c r="AB25" i="111" s="1"/>
  <c r="M71" i="111"/>
  <c r="N71" i="111"/>
  <c r="D72" i="11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V25" i="111" s="1"/>
  <c r="G73" i="111"/>
  <c r="H73" i="111"/>
  <c r="I73" i="111"/>
  <c r="J73" i="111"/>
  <c r="Z25" i="111" s="1"/>
  <c r="K73" i="111"/>
  <c r="L73" i="111"/>
  <c r="M73" i="111"/>
  <c r="N73" i="111"/>
  <c r="AD25" i="111" s="1"/>
  <c r="D74" i="111"/>
  <c r="E74" i="111"/>
  <c r="F74" i="111"/>
  <c r="V26" i="111" s="1"/>
  <c r="G74" i="111"/>
  <c r="H74" i="111"/>
  <c r="I74" i="111"/>
  <c r="J74" i="111"/>
  <c r="Z26" i="111" s="1"/>
  <c r="K74" i="111"/>
  <c r="L74" i="111"/>
  <c r="M74" i="111"/>
  <c r="N74" i="111"/>
  <c r="AD26" i="111" s="1"/>
  <c r="D75" i="111"/>
  <c r="T26" i="111" s="1"/>
  <c r="E75" i="111"/>
  <c r="F75" i="111"/>
  <c r="G75" i="111"/>
  <c r="H75" i="111"/>
  <c r="X26" i="111" s="1"/>
  <c r="I75" i="111"/>
  <c r="J75" i="111"/>
  <c r="K75" i="111"/>
  <c r="L75" i="111"/>
  <c r="AB26" i="111" s="1"/>
  <c r="M75" i="111"/>
  <c r="N75" i="111"/>
  <c r="D76" i="111"/>
  <c r="E76" i="111"/>
  <c r="U26" i="111" s="1"/>
  <c r="F76" i="111"/>
  <c r="G76" i="111"/>
  <c r="H76" i="111"/>
  <c r="I76" i="111"/>
  <c r="Y26" i="111" s="1"/>
  <c r="J76" i="111"/>
  <c r="K76" i="111"/>
  <c r="L76" i="111"/>
  <c r="M76" i="111"/>
  <c r="AC26" i="111" s="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W27" i="111" s="1"/>
  <c r="H78" i="111"/>
  <c r="I78" i="111"/>
  <c r="J78" i="111"/>
  <c r="K78" i="111"/>
  <c r="AA27" i="111" s="1"/>
  <c r="L78" i="111"/>
  <c r="M78" i="111"/>
  <c r="N78" i="111"/>
  <c r="D79" i="111"/>
  <c r="T27" i="111" s="1"/>
  <c r="E79" i="111"/>
  <c r="F79" i="111"/>
  <c r="G79" i="111"/>
  <c r="H79" i="111"/>
  <c r="X27" i="111" s="1"/>
  <c r="I79" i="111"/>
  <c r="J79" i="111"/>
  <c r="K79" i="111"/>
  <c r="L79" i="111"/>
  <c r="AB27" i="111" s="1"/>
  <c r="M79" i="111"/>
  <c r="N79" i="111"/>
  <c r="D80" i="111"/>
  <c r="E80" i="111"/>
  <c r="U27" i="111" s="1"/>
  <c r="F80" i="111"/>
  <c r="G80" i="111"/>
  <c r="H80" i="111"/>
  <c r="I80" i="111"/>
  <c r="Y27" i="111" s="1"/>
  <c r="J80" i="111"/>
  <c r="K80" i="111"/>
  <c r="L80" i="111"/>
  <c r="M80" i="111"/>
  <c r="AC27" i="111" s="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V28" i="111" s="1"/>
  <c r="G82" i="111"/>
  <c r="W28" i="111" s="1"/>
  <c r="H82" i="111"/>
  <c r="I82" i="111"/>
  <c r="J82" i="111"/>
  <c r="Z28" i="111" s="1"/>
  <c r="K82" i="111"/>
  <c r="AA28" i="111" s="1"/>
  <c r="L82" i="111"/>
  <c r="M82" i="111"/>
  <c r="N82" i="111"/>
  <c r="AD28" i="111" s="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U28" i="111" s="1"/>
  <c r="F84" i="111"/>
  <c r="G84" i="111"/>
  <c r="H84" i="111"/>
  <c r="I84" i="111"/>
  <c r="Y28" i="111" s="1"/>
  <c r="J84" i="111"/>
  <c r="K84" i="111"/>
  <c r="L84" i="111"/>
  <c r="M84" i="111"/>
  <c r="AC28" i="111" s="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V29" i="111" s="1"/>
  <c r="G86" i="111"/>
  <c r="H86" i="111"/>
  <c r="I86" i="111"/>
  <c r="J86" i="111"/>
  <c r="Z29" i="111" s="1"/>
  <c r="K86" i="111"/>
  <c r="L86" i="111"/>
  <c r="M86" i="111"/>
  <c r="N86" i="111"/>
  <c r="AD29" i="111" s="1"/>
  <c r="D87" i="111"/>
  <c r="T29" i="111" s="1"/>
  <c r="E87" i="111"/>
  <c r="F87" i="111"/>
  <c r="G87" i="111"/>
  <c r="H87" i="111"/>
  <c r="X29" i="111" s="1"/>
  <c r="I87" i="111"/>
  <c r="J87" i="111"/>
  <c r="K87" i="111"/>
  <c r="L87" i="111"/>
  <c r="AB29" i="111" s="1"/>
  <c r="M87" i="111"/>
  <c r="N87" i="111"/>
  <c r="D88" i="111"/>
  <c r="E88" i="111"/>
  <c r="U29" i="111" s="1"/>
  <c r="F88" i="111"/>
  <c r="G88" i="111"/>
  <c r="H88" i="111"/>
  <c r="I88" i="111"/>
  <c r="Y29" i="111" s="1"/>
  <c r="J88" i="111"/>
  <c r="K88" i="111"/>
  <c r="L88" i="111"/>
  <c r="M88" i="111"/>
  <c r="AC29" i="111" s="1"/>
  <c r="N88" i="111"/>
  <c r="D89" i="111"/>
  <c r="E89" i="111"/>
  <c r="F89" i="111"/>
  <c r="G89" i="111"/>
  <c r="H89" i="111"/>
  <c r="I89" i="111"/>
  <c r="J89" i="111"/>
  <c r="K89" i="111"/>
  <c r="L89" i="111"/>
  <c r="M89" i="111"/>
  <c r="N89" i="111"/>
  <c r="D90" i="111"/>
  <c r="E90" i="111"/>
  <c r="F90" i="111"/>
  <c r="G90" i="111"/>
  <c r="W30" i="111" s="1"/>
  <c r="H90" i="111"/>
  <c r="I90" i="111"/>
  <c r="J90" i="111"/>
  <c r="K90" i="111"/>
  <c r="AA30" i="111" s="1"/>
  <c r="L90" i="111"/>
  <c r="M90" i="111"/>
  <c r="N90" i="111"/>
  <c r="D91" i="111"/>
  <c r="T30" i="111" s="1"/>
  <c r="E91" i="111"/>
  <c r="F91" i="111"/>
  <c r="G91" i="111"/>
  <c r="H91" i="111"/>
  <c r="X30" i="111" s="1"/>
  <c r="I91" i="111"/>
  <c r="J91" i="111"/>
  <c r="K91" i="111"/>
  <c r="L91" i="111"/>
  <c r="AB30" i="111" s="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V30" i="111" s="1"/>
  <c r="G93" i="111"/>
  <c r="H93" i="111"/>
  <c r="I93" i="111"/>
  <c r="J93" i="111"/>
  <c r="Z30" i="111" s="1"/>
  <c r="K93" i="111"/>
  <c r="L93" i="111"/>
  <c r="M93" i="111"/>
  <c r="N93" i="111"/>
  <c r="AD30" i="111" s="1"/>
  <c r="D94" i="111"/>
  <c r="E94" i="111"/>
  <c r="F94" i="111"/>
  <c r="V31" i="111" s="1"/>
  <c r="G94" i="111"/>
  <c r="W31" i="111" s="1"/>
  <c r="H94" i="111"/>
  <c r="I94" i="111"/>
  <c r="J94" i="111"/>
  <c r="Z31" i="111" s="1"/>
  <c r="K94" i="111"/>
  <c r="AA31" i="111" s="1"/>
  <c r="L94" i="111"/>
  <c r="M94" i="111"/>
  <c r="N94" i="111"/>
  <c r="AD31" i="111" s="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U31" i="111" s="1"/>
  <c r="F96" i="111"/>
  <c r="G96" i="111"/>
  <c r="H96" i="111"/>
  <c r="I96" i="111"/>
  <c r="Y31" i="111" s="1"/>
  <c r="J96" i="111"/>
  <c r="K96" i="111"/>
  <c r="L96" i="111"/>
  <c r="M96" i="111"/>
  <c r="AC31" i="111" s="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T32" i="111" s="1"/>
  <c r="E98" i="111"/>
  <c r="F98" i="111"/>
  <c r="G98" i="111"/>
  <c r="W32" i="111" s="1"/>
  <c r="H98" i="111"/>
  <c r="X32" i="111" s="1"/>
  <c r="I98" i="111"/>
  <c r="J98" i="111"/>
  <c r="K98" i="111"/>
  <c r="AA32" i="111" s="1"/>
  <c r="L98" i="111"/>
  <c r="AB32" i="111" s="1"/>
  <c r="M98" i="111"/>
  <c r="N98" i="111"/>
  <c r="D99" i="111"/>
  <c r="E99" i="111"/>
  <c r="F99" i="111"/>
  <c r="G99" i="111"/>
  <c r="H99" i="111"/>
  <c r="I99" i="111"/>
  <c r="J99" i="111"/>
  <c r="K99" i="111"/>
  <c r="L99" i="111"/>
  <c r="M99" i="111"/>
  <c r="N99" i="111"/>
  <c r="D100" i="111"/>
  <c r="E100" i="111"/>
  <c r="U32" i="111" s="1"/>
  <c r="F100" i="111"/>
  <c r="G100" i="111"/>
  <c r="H100" i="111"/>
  <c r="I100" i="111"/>
  <c r="Y32" i="111" s="1"/>
  <c r="J100" i="111"/>
  <c r="K100" i="111"/>
  <c r="L100" i="111"/>
  <c r="M100" i="111"/>
  <c r="AC32" i="111" s="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F102" i="111"/>
  <c r="G102" i="111"/>
  <c r="W33" i="111" s="1"/>
  <c r="H102" i="111"/>
  <c r="I102" i="111"/>
  <c r="J102" i="111"/>
  <c r="K102" i="111"/>
  <c r="AA33" i="111" s="1"/>
  <c r="L102" i="111"/>
  <c r="M102" i="111"/>
  <c r="N102" i="111"/>
  <c r="D103" i="111"/>
  <c r="T33" i="111" s="1"/>
  <c r="E103" i="111"/>
  <c r="F103" i="111"/>
  <c r="G103" i="111"/>
  <c r="H103" i="111"/>
  <c r="X33" i="111" s="1"/>
  <c r="I103" i="111"/>
  <c r="J103" i="111"/>
  <c r="K103" i="111"/>
  <c r="L103" i="111"/>
  <c r="AB33" i="111" s="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V33" i="111" s="1"/>
  <c r="G105" i="111"/>
  <c r="H105" i="111"/>
  <c r="I105" i="111"/>
  <c r="J105" i="111"/>
  <c r="Z33" i="111" s="1"/>
  <c r="K105" i="111"/>
  <c r="L105" i="111"/>
  <c r="M105" i="111"/>
  <c r="N105" i="111"/>
  <c r="AD33" i="111" s="1"/>
  <c r="C59" i="111"/>
  <c r="C60" i="111"/>
  <c r="C61" i="111"/>
  <c r="C62" i="111"/>
  <c r="S23" i="111" s="1"/>
  <c r="C63" i="111"/>
  <c r="C64" i="111"/>
  <c r="C65" i="111"/>
  <c r="C66" i="111"/>
  <c r="C67" i="111"/>
  <c r="C68" i="111"/>
  <c r="C69" i="111"/>
  <c r="C70" i="111"/>
  <c r="S25" i="111" s="1"/>
  <c r="C71" i="111"/>
  <c r="C72" i="111"/>
  <c r="C73" i="111"/>
  <c r="C74" i="111"/>
  <c r="C75" i="111"/>
  <c r="C76" i="111"/>
  <c r="C77" i="111"/>
  <c r="C78" i="111"/>
  <c r="S27" i="111" s="1"/>
  <c r="C79" i="111"/>
  <c r="C80" i="111"/>
  <c r="C81" i="111"/>
  <c r="C82" i="111"/>
  <c r="C83" i="111"/>
  <c r="C84" i="111"/>
  <c r="C85" i="111"/>
  <c r="C86" i="111"/>
  <c r="S29" i="111" s="1"/>
  <c r="C87" i="111"/>
  <c r="C88" i="111"/>
  <c r="C89" i="111"/>
  <c r="C90" i="111"/>
  <c r="C91" i="111"/>
  <c r="C92" i="111"/>
  <c r="C93" i="111"/>
  <c r="C94" i="111"/>
  <c r="S31" i="111" s="1"/>
  <c r="C95" i="111"/>
  <c r="C96" i="111"/>
  <c r="C97" i="111"/>
  <c r="C98" i="111"/>
  <c r="C99" i="111"/>
  <c r="C100" i="111"/>
  <c r="C101" i="111"/>
  <c r="C102" i="111"/>
  <c r="S33" i="111" s="1"/>
  <c r="C103" i="111"/>
  <c r="C104" i="111"/>
  <c r="C105" i="111"/>
  <c r="C58" i="111"/>
  <c r="P58" i="108"/>
  <c r="P59" i="108"/>
  <c r="P60" i="108"/>
  <c r="P61" i="108"/>
  <c r="P62" i="108"/>
  <c r="P63" i="108"/>
  <c r="P64" i="108"/>
  <c r="AF23" i="108" s="1"/>
  <c r="P65" i="108"/>
  <c r="P66" i="108"/>
  <c r="P67" i="108"/>
  <c r="P68" i="108"/>
  <c r="AF24" i="108" s="1"/>
  <c r="P69" i="108"/>
  <c r="P70" i="108"/>
  <c r="P71" i="108"/>
  <c r="P72" i="108"/>
  <c r="AF25" i="108" s="1"/>
  <c r="P73" i="108"/>
  <c r="P74" i="108"/>
  <c r="P75" i="108"/>
  <c r="P76" i="108"/>
  <c r="P77" i="108"/>
  <c r="AF26" i="108" s="1"/>
  <c r="P78" i="108"/>
  <c r="P79" i="108"/>
  <c r="P80" i="108"/>
  <c r="AF27" i="108" s="1"/>
  <c r="P81" i="108"/>
  <c r="P82" i="108"/>
  <c r="P83" i="108"/>
  <c r="P84" i="108"/>
  <c r="AF28" i="108" s="1"/>
  <c r="P85" i="108"/>
  <c r="P86" i="108"/>
  <c r="P87" i="108"/>
  <c r="P88" i="108"/>
  <c r="AF29" i="108" s="1"/>
  <c r="P89" i="108"/>
  <c r="P90" i="108"/>
  <c r="P91" i="108"/>
  <c r="P92" i="108"/>
  <c r="AF30" i="108" s="1"/>
  <c r="P93" i="108"/>
  <c r="P94" i="108"/>
  <c r="P95" i="108"/>
  <c r="P96" i="108"/>
  <c r="AF31" i="108" s="1"/>
  <c r="P97" i="108"/>
  <c r="P98" i="108"/>
  <c r="P99" i="108"/>
  <c r="P100" i="108"/>
  <c r="AF32" i="108" s="1"/>
  <c r="P101" i="108"/>
  <c r="P102" i="108"/>
  <c r="P103" i="108"/>
  <c r="P104" i="108"/>
  <c r="AF33" i="108" s="1"/>
  <c r="P105" i="108"/>
  <c r="O58" i="108"/>
  <c r="O59" i="108"/>
  <c r="O60" i="108"/>
  <c r="O61" i="108"/>
  <c r="AE22" i="108" s="1"/>
  <c r="O62" i="108"/>
  <c r="O63" i="108"/>
  <c r="O64" i="108"/>
  <c r="O65" i="108"/>
  <c r="O66" i="108"/>
  <c r="O67" i="108"/>
  <c r="O68" i="108"/>
  <c r="O69" i="108"/>
  <c r="O70" i="108"/>
  <c r="O71" i="108"/>
  <c r="O72" i="108"/>
  <c r="O73" i="108"/>
  <c r="O74" i="108"/>
  <c r="O75" i="108"/>
  <c r="O76" i="108"/>
  <c r="AE26" i="108" s="1"/>
  <c r="O77" i="108"/>
  <c r="O78" i="108"/>
  <c r="O79" i="108"/>
  <c r="O80" i="108"/>
  <c r="O81" i="108"/>
  <c r="AE27" i="108" s="1"/>
  <c r="O82" i="108"/>
  <c r="O83" i="108"/>
  <c r="O84" i="108"/>
  <c r="AE28" i="108" s="1"/>
  <c r="O85" i="108"/>
  <c r="O86" i="108"/>
  <c r="O87" i="108"/>
  <c r="O88" i="108"/>
  <c r="AE29" i="108" s="1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AE32" i="108" s="1"/>
  <c r="O102" i="108"/>
  <c r="O103" i="108"/>
  <c r="O104" i="108"/>
  <c r="AE33" i="108" s="1"/>
  <c r="O105" i="108"/>
  <c r="D58" i="108"/>
  <c r="E58" i="108"/>
  <c r="F58" i="108"/>
  <c r="V22" i="108" s="1"/>
  <c r="G58" i="108"/>
  <c r="H58" i="108"/>
  <c r="I58" i="108"/>
  <c r="J58" i="108"/>
  <c r="Z22" i="108" s="1"/>
  <c r="K58" i="108"/>
  <c r="L58" i="108"/>
  <c r="M58" i="108"/>
  <c r="N58" i="108"/>
  <c r="AD22" i="108" s="1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U22" i="108" s="1"/>
  <c r="F60" i="108"/>
  <c r="G60" i="108"/>
  <c r="H60" i="108"/>
  <c r="I60" i="108"/>
  <c r="Y22" i="108" s="1"/>
  <c r="J60" i="108"/>
  <c r="K60" i="108"/>
  <c r="L60" i="108"/>
  <c r="M60" i="108"/>
  <c r="AC22" i="108" s="1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T23" i="108" s="1"/>
  <c r="E63" i="108"/>
  <c r="F63" i="108"/>
  <c r="G63" i="108"/>
  <c r="H63" i="108"/>
  <c r="X23" i="108" s="1"/>
  <c r="I63" i="108"/>
  <c r="J63" i="108"/>
  <c r="K63" i="108"/>
  <c r="L63" i="108"/>
  <c r="AB23" i="108" s="1"/>
  <c r="M63" i="108"/>
  <c r="N63" i="108"/>
  <c r="D64" i="108"/>
  <c r="E64" i="108"/>
  <c r="U23" i="108" s="1"/>
  <c r="F64" i="108"/>
  <c r="G64" i="108"/>
  <c r="H64" i="108"/>
  <c r="I64" i="108"/>
  <c r="Y23" i="108" s="1"/>
  <c r="J64" i="108"/>
  <c r="K64" i="108"/>
  <c r="L64" i="108"/>
  <c r="M64" i="108"/>
  <c r="AC23" i="108" s="1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W24" i="108" s="1"/>
  <c r="H66" i="108"/>
  <c r="I66" i="108"/>
  <c r="J66" i="108"/>
  <c r="K66" i="108"/>
  <c r="AA24" i="108" s="1"/>
  <c r="L66" i="108"/>
  <c r="M66" i="108"/>
  <c r="N66" i="108"/>
  <c r="D67" i="108"/>
  <c r="T24" i="108" s="1"/>
  <c r="E67" i="108"/>
  <c r="F67" i="108"/>
  <c r="G67" i="108"/>
  <c r="H67" i="108"/>
  <c r="X24" i="108" s="1"/>
  <c r="I67" i="108"/>
  <c r="J67" i="108"/>
  <c r="K67" i="108"/>
  <c r="L67" i="108"/>
  <c r="AB24" i="108" s="1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W25" i="108" s="1"/>
  <c r="H70" i="108"/>
  <c r="I70" i="108"/>
  <c r="J70" i="108"/>
  <c r="K70" i="108"/>
  <c r="AA25" i="108" s="1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V25" i="108" s="1"/>
  <c r="G73" i="108"/>
  <c r="H73" i="108"/>
  <c r="I73" i="108"/>
  <c r="J73" i="108"/>
  <c r="Z25" i="108" s="1"/>
  <c r="K73" i="108"/>
  <c r="L73" i="108"/>
  <c r="M73" i="108"/>
  <c r="N73" i="108"/>
  <c r="AD25" i="108" s="1"/>
  <c r="D74" i="108"/>
  <c r="E74" i="108"/>
  <c r="F74" i="108"/>
  <c r="V26" i="108" s="1"/>
  <c r="G74" i="108"/>
  <c r="H74" i="108"/>
  <c r="I74" i="108"/>
  <c r="J74" i="108"/>
  <c r="Z26" i="108" s="1"/>
  <c r="K74" i="108"/>
  <c r="L74" i="108"/>
  <c r="M74" i="108"/>
  <c r="N74" i="108"/>
  <c r="AD26" i="108" s="1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U26" i="108" s="1"/>
  <c r="F76" i="108"/>
  <c r="G76" i="108"/>
  <c r="H76" i="108"/>
  <c r="I76" i="108"/>
  <c r="Y26" i="108" s="1"/>
  <c r="J76" i="108"/>
  <c r="K76" i="108"/>
  <c r="L76" i="108"/>
  <c r="M76" i="108"/>
  <c r="AC26" i="108" s="1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T27" i="108" s="1"/>
  <c r="E79" i="108"/>
  <c r="U27" i="108" s="1"/>
  <c r="F79" i="108"/>
  <c r="G79" i="108"/>
  <c r="H79" i="108"/>
  <c r="X27" i="108" s="1"/>
  <c r="I79" i="108"/>
  <c r="Y27" i="108" s="1"/>
  <c r="J79" i="108"/>
  <c r="K79" i="108"/>
  <c r="L79" i="108"/>
  <c r="AB27" i="108" s="1"/>
  <c r="M79" i="108"/>
  <c r="AC27" i="108" s="1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AD27" i="108" s="1"/>
  <c r="D82" i="108"/>
  <c r="T28" i="108" s="1"/>
  <c r="E82" i="108"/>
  <c r="F82" i="108"/>
  <c r="G82" i="108"/>
  <c r="W28" i="108" s="1"/>
  <c r="H82" i="108"/>
  <c r="X28" i="108" s="1"/>
  <c r="I82" i="108"/>
  <c r="J82" i="108"/>
  <c r="K82" i="108"/>
  <c r="AA28" i="108" s="1"/>
  <c r="L82" i="108"/>
  <c r="AB28" i="108" s="1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U28" i="108" s="1"/>
  <c r="F84" i="108"/>
  <c r="G84" i="108"/>
  <c r="H84" i="108"/>
  <c r="I84" i="108"/>
  <c r="Y28" i="108" s="1"/>
  <c r="J84" i="108"/>
  <c r="K84" i="108"/>
  <c r="L84" i="108"/>
  <c r="M84" i="108"/>
  <c r="AC28" i="108" s="1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W29" i="108" s="1"/>
  <c r="H86" i="108"/>
  <c r="I86" i="108"/>
  <c r="J86" i="108"/>
  <c r="K86" i="108"/>
  <c r="AA29" i="108" s="1"/>
  <c r="L86" i="108"/>
  <c r="M86" i="108"/>
  <c r="N86" i="108"/>
  <c r="D87" i="108"/>
  <c r="T29" i="108" s="1"/>
  <c r="E87" i="108"/>
  <c r="F87" i="108"/>
  <c r="G87" i="108"/>
  <c r="H87" i="108"/>
  <c r="X29" i="108" s="1"/>
  <c r="I87" i="108"/>
  <c r="J87" i="108"/>
  <c r="K87" i="108"/>
  <c r="L87" i="108"/>
  <c r="AB29" i="108" s="1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V29" i="108" s="1"/>
  <c r="G89" i="108"/>
  <c r="H89" i="108"/>
  <c r="I89" i="108"/>
  <c r="J89" i="108"/>
  <c r="Z29" i="108" s="1"/>
  <c r="K89" i="108"/>
  <c r="L89" i="108"/>
  <c r="M89" i="108"/>
  <c r="N89" i="108"/>
  <c r="AD29" i="108" s="1"/>
  <c r="D90" i="108"/>
  <c r="E90" i="108"/>
  <c r="F90" i="108"/>
  <c r="V30" i="108" s="1"/>
  <c r="G90" i="108"/>
  <c r="W30" i="108" s="1"/>
  <c r="H90" i="108"/>
  <c r="I90" i="108"/>
  <c r="J90" i="108"/>
  <c r="Z30" i="108" s="1"/>
  <c r="K90" i="108"/>
  <c r="AA30" i="108" s="1"/>
  <c r="L90" i="108"/>
  <c r="M90" i="108"/>
  <c r="N90" i="108"/>
  <c r="AD30" i="108" s="1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U30" i="108" s="1"/>
  <c r="F92" i="108"/>
  <c r="G92" i="108"/>
  <c r="H92" i="108"/>
  <c r="I92" i="108"/>
  <c r="Y30" i="108" s="1"/>
  <c r="J92" i="108"/>
  <c r="K92" i="108"/>
  <c r="L92" i="108"/>
  <c r="M92" i="108"/>
  <c r="AC30" i="108" s="1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T31" i="108" s="1"/>
  <c r="E95" i="108"/>
  <c r="U31" i="108" s="1"/>
  <c r="F95" i="108"/>
  <c r="G95" i="108"/>
  <c r="H95" i="108"/>
  <c r="X31" i="108" s="1"/>
  <c r="I95" i="108"/>
  <c r="Y31" i="108" s="1"/>
  <c r="J95" i="108"/>
  <c r="K95" i="108"/>
  <c r="L95" i="108"/>
  <c r="AB31" i="108" s="1"/>
  <c r="M95" i="108"/>
  <c r="AC31" i="108" s="1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V31" i="108" s="1"/>
  <c r="G97" i="108"/>
  <c r="H97" i="108"/>
  <c r="I97" i="108"/>
  <c r="J97" i="108"/>
  <c r="Z31" i="108" s="1"/>
  <c r="K97" i="108"/>
  <c r="L97" i="108"/>
  <c r="M97" i="108"/>
  <c r="N97" i="108"/>
  <c r="AD31" i="108" s="1"/>
  <c r="D98" i="108"/>
  <c r="T32" i="108" s="1"/>
  <c r="E98" i="108"/>
  <c r="F98" i="108"/>
  <c r="G98" i="108"/>
  <c r="W32" i="108" s="1"/>
  <c r="H98" i="108"/>
  <c r="X32" i="108" s="1"/>
  <c r="I98" i="108"/>
  <c r="J98" i="108"/>
  <c r="K98" i="108"/>
  <c r="AA32" i="108" s="1"/>
  <c r="L98" i="108"/>
  <c r="AB32" i="108" s="1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U32" i="108" s="1"/>
  <c r="F100" i="108"/>
  <c r="G100" i="108"/>
  <c r="H100" i="108"/>
  <c r="I100" i="108"/>
  <c r="Y32" i="108" s="1"/>
  <c r="J100" i="108"/>
  <c r="K100" i="108"/>
  <c r="L100" i="108"/>
  <c r="M100" i="108"/>
  <c r="AC32" i="108" s="1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AA33" i="108" s="1"/>
  <c r="L102" i="108"/>
  <c r="M102" i="108"/>
  <c r="N102" i="108"/>
  <c r="D103" i="108"/>
  <c r="T33" i="108" s="1"/>
  <c r="E103" i="108"/>
  <c r="F103" i="108"/>
  <c r="G103" i="108"/>
  <c r="H103" i="108"/>
  <c r="X33" i="108" s="1"/>
  <c r="I103" i="108"/>
  <c r="J103" i="108"/>
  <c r="K103" i="108"/>
  <c r="L103" i="108"/>
  <c r="AB33" i="108" s="1"/>
  <c r="M103" i="108"/>
  <c r="N103" i="108"/>
  <c r="D104" i="108"/>
  <c r="E104" i="108"/>
  <c r="F104" i="108"/>
  <c r="V33" i="108" s="1"/>
  <c r="G104" i="108"/>
  <c r="H104" i="108"/>
  <c r="I104" i="108"/>
  <c r="J104" i="108"/>
  <c r="Z33" i="108" s="1"/>
  <c r="K104" i="108"/>
  <c r="L104" i="108"/>
  <c r="M104" i="108"/>
  <c r="N104" i="108"/>
  <c r="AD33" i="108" s="1"/>
  <c r="D105" i="108"/>
  <c r="E105" i="108"/>
  <c r="F105" i="108"/>
  <c r="G105" i="108"/>
  <c r="H105" i="108"/>
  <c r="I105" i="108"/>
  <c r="J105" i="108"/>
  <c r="K105" i="108"/>
  <c r="L105" i="108"/>
  <c r="M105" i="108"/>
  <c r="N105" i="108"/>
  <c r="C105" i="108"/>
  <c r="C59" i="108"/>
  <c r="C60" i="108"/>
  <c r="C61" i="108"/>
  <c r="C62" i="108"/>
  <c r="S23" i="108" s="1"/>
  <c r="C63" i="108"/>
  <c r="C64" i="108"/>
  <c r="C65" i="108"/>
  <c r="C66" i="108"/>
  <c r="S24" i="108" s="1"/>
  <c r="C67" i="108"/>
  <c r="C68" i="108"/>
  <c r="C69" i="108"/>
  <c r="C70" i="108"/>
  <c r="S25" i="108" s="1"/>
  <c r="C71" i="108"/>
  <c r="C72" i="108"/>
  <c r="C73" i="108"/>
  <c r="C74" i="108"/>
  <c r="S26" i="108" s="1"/>
  <c r="C75" i="108"/>
  <c r="C76" i="108"/>
  <c r="C77" i="108"/>
  <c r="C78" i="108"/>
  <c r="S27" i="108" s="1"/>
  <c r="C79" i="108"/>
  <c r="C80" i="108"/>
  <c r="C81" i="108"/>
  <c r="C82" i="108"/>
  <c r="S28" i="108" s="1"/>
  <c r="C83" i="108"/>
  <c r="C84" i="108"/>
  <c r="C85" i="108"/>
  <c r="C86" i="108"/>
  <c r="S29" i="108" s="1"/>
  <c r="C87" i="108"/>
  <c r="C88" i="108"/>
  <c r="C89" i="108"/>
  <c r="C90" i="108"/>
  <c r="S30" i="108" s="1"/>
  <c r="C91" i="108"/>
  <c r="C92" i="108"/>
  <c r="C93" i="108"/>
  <c r="C94" i="108"/>
  <c r="S31" i="108" s="1"/>
  <c r="C95" i="108"/>
  <c r="C96" i="108"/>
  <c r="C97" i="108"/>
  <c r="C98" i="108"/>
  <c r="S32" i="108" s="1"/>
  <c r="C99" i="108"/>
  <c r="C100" i="108"/>
  <c r="C101" i="108"/>
  <c r="C102" i="108"/>
  <c r="S33" i="108" s="1"/>
  <c r="C103" i="108"/>
  <c r="C104" i="108"/>
  <c r="C58" i="108"/>
  <c r="P58" i="107"/>
  <c r="P59" i="107"/>
  <c r="P60" i="107"/>
  <c r="P61" i="107"/>
  <c r="P62" i="107"/>
  <c r="P63" i="107"/>
  <c r="P64" i="107"/>
  <c r="AF23" i="107" s="1"/>
  <c r="P65" i="107"/>
  <c r="P66" i="107"/>
  <c r="P67" i="107"/>
  <c r="P68" i="107"/>
  <c r="P69" i="107"/>
  <c r="AF24" i="107" s="1"/>
  <c r="P70" i="107"/>
  <c r="P71" i="107"/>
  <c r="P72" i="107"/>
  <c r="AF25" i="107" s="1"/>
  <c r="P73" i="107"/>
  <c r="P74" i="107"/>
  <c r="P75" i="107"/>
  <c r="P76" i="107"/>
  <c r="AF26" i="107" s="1"/>
  <c r="P77" i="107"/>
  <c r="P78" i="107"/>
  <c r="P79" i="107"/>
  <c r="P80" i="107"/>
  <c r="P81" i="107"/>
  <c r="AF27" i="107" s="1"/>
  <c r="P82" i="107"/>
  <c r="P83" i="107"/>
  <c r="P84" i="107"/>
  <c r="P85" i="107"/>
  <c r="P86" i="107"/>
  <c r="P87" i="107"/>
  <c r="P88" i="107"/>
  <c r="AF29" i="107" s="1"/>
  <c r="P89" i="107"/>
  <c r="P90" i="107"/>
  <c r="P91" i="107"/>
  <c r="P92" i="107"/>
  <c r="AF30" i="107" s="1"/>
  <c r="P93" i="107"/>
  <c r="P94" i="107"/>
  <c r="P95" i="107"/>
  <c r="P96" i="107"/>
  <c r="P97" i="107"/>
  <c r="AF31" i="107" s="1"/>
  <c r="P98" i="107"/>
  <c r="P99" i="107"/>
  <c r="P100" i="107"/>
  <c r="P101" i="107"/>
  <c r="P102" i="107"/>
  <c r="P103" i="107"/>
  <c r="P104" i="107"/>
  <c r="AF33" i="107" s="1"/>
  <c r="P105" i="107"/>
  <c r="O58" i="107"/>
  <c r="O59" i="107"/>
  <c r="O60" i="107"/>
  <c r="O61" i="107"/>
  <c r="O62" i="107"/>
  <c r="O63" i="107"/>
  <c r="O64" i="107"/>
  <c r="O65" i="107"/>
  <c r="AE23" i="107" s="1"/>
  <c r="O66" i="107"/>
  <c r="O67" i="107"/>
  <c r="O68" i="107"/>
  <c r="O69" i="107"/>
  <c r="AE24" i="107" s="1"/>
  <c r="O70" i="107"/>
  <c r="O71" i="107"/>
  <c r="O72" i="107"/>
  <c r="O73" i="107"/>
  <c r="AE25" i="107" s="1"/>
  <c r="O74" i="107"/>
  <c r="O75" i="107"/>
  <c r="O76" i="107"/>
  <c r="O77" i="107"/>
  <c r="AE26" i="107" s="1"/>
  <c r="O78" i="107"/>
  <c r="O79" i="107"/>
  <c r="O80" i="107"/>
  <c r="O81" i="107"/>
  <c r="AE27" i="107" s="1"/>
  <c r="O82" i="107"/>
  <c r="O83" i="107"/>
  <c r="O84" i="107"/>
  <c r="O85" i="107"/>
  <c r="AE28" i="107" s="1"/>
  <c r="O86" i="107"/>
  <c r="O87" i="107"/>
  <c r="O88" i="107"/>
  <c r="O89" i="107"/>
  <c r="AE29" i="107" s="1"/>
  <c r="O90" i="107"/>
  <c r="O91" i="107"/>
  <c r="O92" i="107"/>
  <c r="O93" i="107"/>
  <c r="AE30" i="107" s="1"/>
  <c r="O94" i="107"/>
  <c r="O95" i="107"/>
  <c r="O96" i="107"/>
  <c r="O97" i="107"/>
  <c r="AE31" i="107" s="1"/>
  <c r="O98" i="107"/>
  <c r="O99" i="107"/>
  <c r="O100" i="107"/>
  <c r="O101" i="107"/>
  <c r="AE32" i="107" s="1"/>
  <c r="O102" i="107"/>
  <c r="O103" i="107"/>
  <c r="O104" i="107"/>
  <c r="O105" i="107"/>
  <c r="AE33" i="107" s="1"/>
  <c r="C59" i="107"/>
  <c r="D59" i="107"/>
  <c r="E59" i="107"/>
  <c r="U22" i="107" s="1"/>
  <c r="F59" i="107"/>
  <c r="V22" i="107" s="1"/>
  <c r="G59" i="107"/>
  <c r="H59" i="107"/>
  <c r="I59" i="107"/>
  <c r="Y22" i="107" s="1"/>
  <c r="J59" i="107"/>
  <c r="Z22" i="107" s="1"/>
  <c r="K59" i="107"/>
  <c r="L59" i="107"/>
  <c r="M59" i="107"/>
  <c r="AC22" i="107" s="1"/>
  <c r="N59" i="107"/>
  <c r="AD22" i="107" s="1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V23" i="107" s="1"/>
  <c r="G62" i="107"/>
  <c r="H62" i="107"/>
  <c r="I62" i="107"/>
  <c r="J62" i="107"/>
  <c r="Z23" i="107" s="1"/>
  <c r="K62" i="107"/>
  <c r="L62" i="107"/>
  <c r="M62" i="107"/>
  <c r="N62" i="107"/>
  <c r="AD23" i="107" s="1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U24" i="107" s="1"/>
  <c r="F66" i="107"/>
  <c r="V24" i="107" s="1"/>
  <c r="G66" i="107"/>
  <c r="H66" i="107"/>
  <c r="I66" i="107"/>
  <c r="Y24" i="107" s="1"/>
  <c r="J66" i="107"/>
  <c r="Z24" i="107" s="1"/>
  <c r="K66" i="107"/>
  <c r="L66" i="107"/>
  <c r="M66" i="107"/>
  <c r="AC24" i="107" s="1"/>
  <c r="N66" i="107"/>
  <c r="AD24" i="107" s="1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V25" i="107" s="1"/>
  <c r="G70" i="107"/>
  <c r="H70" i="107"/>
  <c r="I70" i="107"/>
  <c r="J70" i="107"/>
  <c r="Z25" i="107" s="1"/>
  <c r="K70" i="107"/>
  <c r="L70" i="107"/>
  <c r="M70" i="107"/>
  <c r="N70" i="107"/>
  <c r="AD25" i="107" s="1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U26" i="107" s="1"/>
  <c r="F74" i="107"/>
  <c r="V26" i="107" s="1"/>
  <c r="G74" i="107"/>
  <c r="H74" i="107"/>
  <c r="I74" i="107"/>
  <c r="Y26" i="107" s="1"/>
  <c r="J74" i="107"/>
  <c r="Z26" i="107" s="1"/>
  <c r="K74" i="107"/>
  <c r="L74" i="107"/>
  <c r="M74" i="107"/>
  <c r="AC26" i="107" s="1"/>
  <c r="N74" i="107"/>
  <c r="AD26" i="107" s="1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V27" i="107" s="1"/>
  <c r="G78" i="107"/>
  <c r="H78" i="107"/>
  <c r="X27" i="107" s="1"/>
  <c r="I78" i="107"/>
  <c r="J78" i="107"/>
  <c r="Z27" i="107" s="1"/>
  <c r="K78" i="107"/>
  <c r="L78" i="107"/>
  <c r="AB27" i="107" s="1"/>
  <c r="M78" i="107"/>
  <c r="N78" i="107"/>
  <c r="AD27" i="107" s="1"/>
  <c r="C79" i="107"/>
  <c r="D79" i="107"/>
  <c r="T27" i="107" s="1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U28" i="107" s="1"/>
  <c r="F82" i="107"/>
  <c r="V28" i="107" s="1"/>
  <c r="G82" i="107"/>
  <c r="H82" i="107"/>
  <c r="I82" i="107"/>
  <c r="Y28" i="107" s="1"/>
  <c r="J82" i="107"/>
  <c r="Z28" i="107" s="1"/>
  <c r="K82" i="107"/>
  <c r="L82" i="107"/>
  <c r="M82" i="107"/>
  <c r="AC28" i="107" s="1"/>
  <c r="N82" i="107"/>
  <c r="AD28" i="107" s="1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T29" i="107" s="1"/>
  <c r="E86" i="107"/>
  <c r="F86" i="107"/>
  <c r="V29" i="107" s="1"/>
  <c r="G86" i="107"/>
  <c r="H86" i="107"/>
  <c r="X29" i="107" s="1"/>
  <c r="I86" i="107"/>
  <c r="J86" i="107"/>
  <c r="Z29" i="107" s="1"/>
  <c r="K86" i="107"/>
  <c r="L86" i="107"/>
  <c r="AB29" i="107" s="1"/>
  <c r="M86" i="107"/>
  <c r="N86" i="107"/>
  <c r="AD29" i="107" s="1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U30" i="107" s="1"/>
  <c r="F90" i="107"/>
  <c r="V30" i="107" s="1"/>
  <c r="G90" i="107"/>
  <c r="H90" i="107"/>
  <c r="I90" i="107"/>
  <c r="Y30" i="107" s="1"/>
  <c r="J90" i="107"/>
  <c r="Z30" i="107" s="1"/>
  <c r="K90" i="107"/>
  <c r="L90" i="107"/>
  <c r="M90" i="107"/>
  <c r="AC30" i="107" s="1"/>
  <c r="N90" i="107"/>
  <c r="AD30" i="107" s="1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T31" i="107" s="1"/>
  <c r="E94" i="107"/>
  <c r="F94" i="107"/>
  <c r="V31" i="107" s="1"/>
  <c r="G94" i="107"/>
  <c r="H94" i="107"/>
  <c r="X31" i="107" s="1"/>
  <c r="I94" i="107"/>
  <c r="J94" i="107"/>
  <c r="Z31" i="107" s="1"/>
  <c r="K94" i="107"/>
  <c r="L94" i="107"/>
  <c r="AB31" i="107" s="1"/>
  <c r="M94" i="107"/>
  <c r="N94" i="107"/>
  <c r="AD31" i="107" s="1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U32" i="107" s="1"/>
  <c r="F98" i="107"/>
  <c r="V32" i="107" s="1"/>
  <c r="G98" i="107"/>
  <c r="H98" i="107"/>
  <c r="I98" i="107"/>
  <c r="Y32" i="107" s="1"/>
  <c r="J98" i="107"/>
  <c r="Z32" i="107" s="1"/>
  <c r="K98" i="107"/>
  <c r="L98" i="107"/>
  <c r="M98" i="107"/>
  <c r="AC32" i="107" s="1"/>
  <c r="N98" i="107"/>
  <c r="AD32" i="107" s="1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T33" i="107" s="1"/>
  <c r="E102" i="107"/>
  <c r="F102" i="107"/>
  <c r="V33" i="107" s="1"/>
  <c r="G102" i="107"/>
  <c r="H102" i="107"/>
  <c r="X33" i="107" s="1"/>
  <c r="I102" i="107"/>
  <c r="J102" i="107"/>
  <c r="Z33" i="107" s="1"/>
  <c r="K102" i="107"/>
  <c r="L102" i="107"/>
  <c r="AB33" i="107" s="1"/>
  <c r="M102" i="107"/>
  <c r="N102" i="107"/>
  <c r="AD33" i="107" s="1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AC33" i="111"/>
  <c r="Y33" i="111"/>
  <c r="U33" i="111"/>
  <c r="AD32" i="111"/>
  <c r="Z32" i="111"/>
  <c r="V32" i="111"/>
  <c r="S32" i="111"/>
  <c r="AB31" i="111"/>
  <c r="X31" i="111"/>
  <c r="T31" i="111"/>
  <c r="AC30" i="111"/>
  <c r="Y30" i="111"/>
  <c r="U30" i="111"/>
  <c r="S30" i="111"/>
  <c r="AE29" i="111"/>
  <c r="AA29" i="111"/>
  <c r="W29" i="111"/>
  <c r="AE28" i="111"/>
  <c r="AB28" i="111"/>
  <c r="X28" i="111"/>
  <c r="T28" i="111"/>
  <c r="S28" i="111"/>
  <c r="AD27" i="111"/>
  <c r="Z27" i="111"/>
  <c r="V27" i="111"/>
  <c r="AA26" i="111"/>
  <c r="W26" i="111"/>
  <c r="S26" i="111"/>
  <c r="AE25" i="111"/>
  <c r="AC25" i="111"/>
  <c r="Y25" i="111"/>
  <c r="U25" i="111"/>
  <c r="AD24" i="111"/>
  <c r="Z24" i="111"/>
  <c r="V24" i="111"/>
  <c r="S24" i="111"/>
  <c r="AB23" i="111"/>
  <c r="X23" i="111"/>
  <c r="T23" i="111"/>
  <c r="AE22" i="111"/>
  <c r="AC22" i="111"/>
  <c r="Y22" i="111"/>
  <c r="U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D20" i="111"/>
  <c r="AC20" i="111"/>
  <c r="AC36" i="111" s="1"/>
  <c r="AB20" i="111"/>
  <c r="AA20" i="111"/>
  <c r="Z20" i="111"/>
  <c r="Y20" i="111"/>
  <c r="Y36" i="111" s="1"/>
  <c r="X20" i="111"/>
  <c r="W20" i="111"/>
  <c r="V20" i="111"/>
  <c r="U20" i="111"/>
  <c r="U36" i="111" s="1"/>
  <c r="T20" i="111"/>
  <c r="S20" i="111"/>
  <c r="AF19" i="111"/>
  <c r="AF36" i="111" s="1"/>
  <c r="AE19" i="111"/>
  <c r="AE39" i="111" s="1"/>
  <c r="AD19" i="111"/>
  <c r="AD39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6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Z15" i="111"/>
  <c r="Y15" i="111"/>
  <c r="X15" i="111"/>
  <c r="W15" i="111"/>
  <c r="V15" i="111"/>
  <c r="U15" i="111"/>
  <c r="T15" i="111"/>
  <c r="S15" i="111"/>
  <c r="AF14" i="111"/>
  <c r="AE14" i="111"/>
  <c r="AD14" i="111"/>
  <c r="AC14" i="111"/>
  <c r="AC38" i="111" s="1"/>
  <c r="AB14" i="111"/>
  <c r="AA14" i="111"/>
  <c r="Z14" i="111"/>
  <c r="Y14" i="111"/>
  <c r="Y38" i="111" s="1"/>
  <c r="X14" i="111"/>
  <c r="W14" i="111"/>
  <c r="V14" i="111"/>
  <c r="U14" i="111"/>
  <c r="U38" i="111" s="1"/>
  <c r="T14" i="111"/>
  <c r="S14" i="111"/>
  <c r="AF13" i="111"/>
  <c r="AF38" i="111" s="1"/>
  <c r="AE13" i="111"/>
  <c r="AE35" i="111" s="1"/>
  <c r="AD13" i="111"/>
  <c r="AD35" i="111" s="1"/>
  <c r="AC13" i="111"/>
  <c r="AC35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38" i="111" s="1"/>
  <c r="V13" i="111"/>
  <c r="V35" i="111" s="1"/>
  <c r="U13" i="111"/>
  <c r="U35" i="111" s="1"/>
  <c r="T13" i="111"/>
  <c r="T38" i="111" s="1"/>
  <c r="S13" i="111"/>
  <c r="S35" i="111" s="1"/>
  <c r="AF12" i="111"/>
  <c r="AE12" i="111"/>
  <c r="AD12" i="111"/>
  <c r="AC12" i="111"/>
  <c r="AB12" i="111"/>
  <c r="AA12" i="111"/>
  <c r="Z12" i="111"/>
  <c r="Y12" i="111"/>
  <c r="X12" i="111"/>
  <c r="W12" i="111"/>
  <c r="V12" i="111"/>
  <c r="U12" i="111"/>
  <c r="T12" i="111"/>
  <c r="S12" i="111"/>
  <c r="AF11" i="111"/>
  <c r="AE11" i="111"/>
  <c r="AD11" i="111"/>
  <c r="AC11" i="111"/>
  <c r="AB11" i="111"/>
  <c r="AA11" i="111"/>
  <c r="Z11" i="111"/>
  <c r="Y11" i="111"/>
  <c r="X11" i="111"/>
  <c r="W11" i="111"/>
  <c r="W37" i="111" s="1"/>
  <c r="V11" i="111"/>
  <c r="U11" i="111"/>
  <c r="T11" i="111"/>
  <c r="S11" i="111"/>
  <c r="AF10" i="111"/>
  <c r="AF40" i="111" s="1"/>
  <c r="AE10" i="111"/>
  <c r="AE40" i="111" s="1"/>
  <c r="AD10" i="111"/>
  <c r="AC10" i="111"/>
  <c r="AC40" i="111" s="1"/>
  <c r="AB10" i="111"/>
  <c r="AB40" i="111" s="1"/>
  <c r="AA10" i="111"/>
  <c r="AA40" i="111" s="1"/>
  <c r="Z10" i="111"/>
  <c r="Y10" i="111"/>
  <c r="X10" i="111"/>
  <c r="X40" i="111" s="1"/>
  <c r="W10" i="111"/>
  <c r="W40" i="111" s="1"/>
  <c r="V10" i="111"/>
  <c r="U10" i="111"/>
  <c r="T10" i="111"/>
  <c r="T40" i="111" s="1"/>
  <c r="S10" i="111"/>
  <c r="S40" i="111" s="1"/>
  <c r="AC33" i="108"/>
  <c r="Y33" i="108"/>
  <c r="U33" i="108"/>
  <c r="AD32" i="108"/>
  <c r="Z32" i="108"/>
  <c r="V32" i="108"/>
  <c r="AE31" i="108"/>
  <c r="AA31" i="108"/>
  <c r="W31" i="108"/>
  <c r="AE30" i="108"/>
  <c r="AB30" i="108"/>
  <c r="X30" i="108"/>
  <c r="T30" i="108"/>
  <c r="AC29" i="108"/>
  <c r="Y29" i="108"/>
  <c r="U29" i="108"/>
  <c r="AD28" i="108"/>
  <c r="Z28" i="108"/>
  <c r="V28" i="108"/>
  <c r="AA27" i="108"/>
  <c r="Z27" i="108"/>
  <c r="W27" i="108"/>
  <c r="V27" i="108"/>
  <c r="AB26" i="108"/>
  <c r="AA26" i="108"/>
  <c r="X26" i="108"/>
  <c r="W26" i="108"/>
  <c r="T26" i="108"/>
  <c r="AE25" i="108"/>
  <c r="AC25" i="108"/>
  <c r="AB25" i="108"/>
  <c r="Y25" i="108"/>
  <c r="X25" i="108"/>
  <c r="U25" i="108"/>
  <c r="T25" i="108"/>
  <c r="AE24" i="108"/>
  <c r="AD24" i="108"/>
  <c r="AC24" i="108"/>
  <c r="Z24" i="108"/>
  <c r="Y24" i="108"/>
  <c r="V24" i="108"/>
  <c r="U24" i="108"/>
  <c r="AE23" i="108"/>
  <c r="AD23" i="108"/>
  <c r="AA23" i="108"/>
  <c r="Z23" i="108"/>
  <c r="W23" i="108"/>
  <c r="V23" i="108"/>
  <c r="AF22" i="108"/>
  <c r="AB22" i="108"/>
  <c r="AA22" i="108"/>
  <c r="X22" i="108"/>
  <c r="W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Y36" i="108" s="1"/>
  <c r="X20" i="108"/>
  <c r="W20" i="108"/>
  <c r="V20" i="108"/>
  <c r="U20" i="108"/>
  <c r="U36" i="108" s="1"/>
  <c r="T20" i="108"/>
  <c r="S20" i="108"/>
  <c r="AF19" i="108"/>
  <c r="AF36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6" i="108" s="1"/>
  <c r="W19" i="108"/>
  <c r="W36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C14" i="108"/>
  <c r="AC38" i="108" s="1"/>
  <c r="AB14" i="108"/>
  <c r="AA14" i="108"/>
  <c r="Z14" i="108"/>
  <c r="Y14" i="108"/>
  <c r="Y38" i="108" s="1"/>
  <c r="X14" i="108"/>
  <c r="W14" i="108"/>
  <c r="V14" i="108"/>
  <c r="U14" i="108"/>
  <c r="U38" i="108" s="1"/>
  <c r="T14" i="108"/>
  <c r="S14" i="108"/>
  <c r="AF13" i="108"/>
  <c r="AF38" i="108" s="1"/>
  <c r="AE13" i="108"/>
  <c r="AE38" i="108" s="1"/>
  <c r="AD13" i="108"/>
  <c r="AD35" i="108" s="1"/>
  <c r="AC13" i="108"/>
  <c r="AC35" i="108" s="1"/>
  <c r="AB13" i="108"/>
  <c r="AB38" i="108" s="1"/>
  <c r="AA13" i="108"/>
  <c r="AA35" i="108" s="1"/>
  <c r="Z13" i="108"/>
  <c r="Z35" i="108" s="1"/>
  <c r="Y13" i="108"/>
  <c r="Y35" i="108" s="1"/>
  <c r="X13" i="108"/>
  <c r="X38" i="108" s="1"/>
  <c r="W13" i="108"/>
  <c r="W38" i="108" s="1"/>
  <c r="V13" i="108"/>
  <c r="V35" i="108" s="1"/>
  <c r="U13" i="108"/>
  <c r="U35" i="108" s="1"/>
  <c r="T13" i="108"/>
  <c r="T38" i="108" s="1"/>
  <c r="S13" i="108"/>
  <c r="S35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E37" i="108" s="1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40" i="108" s="1"/>
  <c r="AE10" i="108"/>
  <c r="AE40" i="108" s="1"/>
  <c r="AD10" i="108"/>
  <c r="AC10" i="108"/>
  <c r="AC40" i="108" s="1"/>
  <c r="AB10" i="108"/>
  <c r="AB40" i="108" s="1"/>
  <c r="AA10" i="108"/>
  <c r="AA40" i="108" s="1"/>
  <c r="Z10" i="108"/>
  <c r="Y10" i="108"/>
  <c r="X10" i="108"/>
  <c r="X40" i="108" s="1"/>
  <c r="W10" i="108"/>
  <c r="W40" i="108" s="1"/>
  <c r="V10" i="108"/>
  <c r="U10" i="108"/>
  <c r="U34" i="108" s="1"/>
  <c r="T10" i="108"/>
  <c r="T40" i="108" s="1"/>
  <c r="S10" i="108"/>
  <c r="S40" i="108" s="1"/>
  <c r="AC33" i="107"/>
  <c r="AA33" i="107"/>
  <c r="Y33" i="107"/>
  <c r="W33" i="107"/>
  <c r="U33" i="107"/>
  <c r="S33" i="107"/>
  <c r="AF32" i="107"/>
  <c r="AB32" i="107"/>
  <c r="AA32" i="107"/>
  <c r="X32" i="107"/>
  <c r="W32" i="107"/>
  <c r="T32" i="107"/>
  <c r="S32" i="107"/>
  <c r="AC31" i="107"/>
  <c r="AA31" i="107"/>
  <c r="Y31" i="107"/>
  <c r="W31" i="107"/>
  <c r="U31" i="107"/>
  <c r="S31" i="107"/>
  <c r="AB30" i="107"/>
  <c r="AA30" i="107"/>
  <c r="X30" i="107"/>
  <c r="W30" i="107"/>
  <c r="T30" i="107"/>
  <c r="S30" i="107"/>
  <c r="AC29" i="107"/>
  <c r="AA29" i="107"/>
  <c r="Y29" i="107"/>
  <c r="W29" i="107"/>
  <c r="U29" i="107"/>
  <c r="S29" i="107"/>
  <c r="AF28" i="107"/>
  <c r="AB28" i="107"/>
  <c r="AA28" i="107"/>
  <c r="X28" i="107"/>
  <c r="W28" i="107"/>
  <c r="T28" i="107"/>
  <c r="S28" i="107"/>
  <c r="AC27" i="107"/>
  <c r="AA27" i="107"/>
  <c r="Y27" i="107"/>
  <c r="W27" i="107"/>
  <c r="U27" i="107"/>
  <c r="S27" i="107"/>
  <c r="AB26" i="107"/>
  <c r="AA26" i="107"/>
  <c r="X26" i="107"/>
  <c r="W26" i="107"/>
  <c r="T26" i="107"/>
  <c r="S26" i="107"/>
  <c r="AC25" i="107"/>
  <c r="AB25" i="107"/>
  <c r="AA25" i="107"/>
  <c r="Y25" i="107"/>
  <c r="X25" i="107"/>
  <c r="W25" i="107"/>
  <c r="U25" i="107"/>
  <c r="T25" i="107"/>
  <c r="S25" i="107"/>
  <c r="AB24" i="107"/>
  <c r="AA24" i="107"/>
  <c r="X24" i="107"/>
  <c r="W24" i="107"/>
  <c r="T24" i="107"/>
  <c r="S24" i="107"/>
  <c r="AC23" i="107"/>
  <c r="AB23" i="107"/>
  <c r="AA23" i="107"/>
  <c r="Y23" i="107"/>
  <c r="X23" i="107"/>
  <c r="W23" i="107"/>
  <c r="U23" i="107"/>
  <c r="T23" i="107"/>
  <c r="S23" i="107"/>
  <c r="AF22" i="107"/>
  <c r="AE22" i="107"/>
  <c r="AB22" i="107"/>
  <c r="AA22" i="107"/>
  <c r="X22" i="107"/>
  <c r="W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Y36" i="107" s="1"/>
  <c r="X20" i="107"/>
  <c r="W20" i="107"/>
  <c r="V20" i="107"/>
  <c r="U20" i="107"/>
  <c r="U36" i="107" s="1"/>
  <c r="T20" i="107"/>
  <c r="S20" i="107"/>
  <c r="AF19" i="107"/>
  <c r="AF36" i="107" s="1"/>
  <c r="AE19" i="107"/>
  <c r="AE36" i="107" s="1"/>
  <c r="AD19" i="107"/>
  <c r="AD39" i="107" s="1"/>
  <c r="AC19" i="107"/>
  <c r="AC39" i="107" s="1"/>
  <c r="AB19" i="107"/>
  <c r="AB36" i="107" s="1"/>
  <c r="AA19" i="107"/>
  <c r="AA39" i="107" s="1"/>
  <c r="Z19" i="107"/>
  <c r="Z39" i="107" s="1"/>
  <c r="Y19" i="107"/>
  <c r="Y39" i="107" s="1"/>
  <c r="X19" i="107"/>
  <c r="X36" i="107" s="1"/>
  <c r="W19" i="107"/>
  <c r="W36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Y15" i="107"/>
  <c r="X15" i="107"/>
  <c r="W15" i="107"/>
  <c r="V15" i="107"/>
  <c r="U15" i="107"/>
  <c r="T15" i="107"/>
  <c r="S15" i="107"/>
  <c r="AF14" i="107"/>
  <c r="AE14" i="107"/>
  <c r="AD14" i="107"/>
  <c r="AC14" i="107"/>
  <c r="AC38" i="107" s="1"/>
  <c r="AB14" i="107"/>
  <c r="AA14" i="107"/>
  <c r="Z14" i="107"/>
  <c r="Y14" i="107"/>
  <c r="Y38" i="107" s="1"/>
  <c r="X14" i="107"/>
  <c r="W14" i="107"/>
  <c r="V14" i="107"/>
  <c r="U14" i="107"/>
  <c r="U38" i="107" s="1"/>
  <c r="T14" i="107"/>
  <c r="S14" i="107"/>
  <c r="AF13" i="107"/>
  <c r="AF38" i="107" s="1"/>
  <c r="AE13" i="107"/>
  <c r="AE38" i="107" s="1"/>
  <c r="AD13" i="107"/>
  <c r="AD35" i="107" s="1"/>
  <c r="AC13" i="107"/>
  <c r="AC35" i="107" s="1"/>
  <c r="AB13" i="107"/>
  <c r="AB38" i="107" s="1"/>
  <c r="AA13" i="107"/>
  <c r="AA35" i="107" s="1"/>
  <c r="Z13" i="107"/>
  <c r="Z35" i="107" s="1"/>
  <c r="Y13" i="107"/>
  <c r="Y35" i="107" s="1"/>
  <c r="X13" i="107"/>
  <c r="X38" i="107" s="1"/>
  <c r="W13" i="107"/>
  <c r="W38" i="107" s="1"/>
  <c r="V13" i="107"/>
  <c r="V35" i="107" s="1"/>
  <c r="U13" i="107"/>
  <c r="U35" i="107" s="1"/>
  <c r="T13" i="107"/>
  <c r="T38" i="107" s="1"/>
  <c r="S13" i="107"/>
  <c r="S35" i="107" s="1"/>
  <c r="AF12" i="107"/>
  <c r="AE12" i="107"/>
  <c r="AD12" i="107"/>
  <c r="AC12" i="107"/>
  <c r="AB12" i="107"/>
  <c r="AA12" i="107"/>
  <c r="Z12" i="107"/>
  <c r="Y12" i="107"/>
  <c r="X12" i="107"/>
  <c r="W12" i="107"/>
  <c r="V12" i="107"/>
  <c r="U12" i="107"/>
  <c r="T12" i="107"/>
  <c r="S12" i="107"/>
  <c r="AF11" i="107"/>
  <c r="AE11" i="107"/>
  <c r="AE37" i="107" s="1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S37" i="107" s="1"/>
  <c r="AF10" i="107"/>
  <c r="AF40" i="107" s="1"/>
  <c r="AE10" i="107"/>
  <c r="AE40" i="107" s="1"/>
  <c r="AD10" i="107"/>
  <c r="AC10" i="107"/>
  <c r="AB10" i="107"/>
  <c r="AB40" i="107" s="1"/>
  <c r="AA10" i="107"/>
  <c r="AA40" i="107" s="1"/>
  <c r="Z10" i="107"/>
  <c r="Y10" i="107"/>
  <c r="Y40" i="107" s="1"/>
  <c r="X10" i="107"/>
  <c r="X40" i="107" s="1"/>
  <c r="W10" i="107"/>
  <c r="W40" i="107" s="1"/>
  <c r="V10" i="107"/>
  <c r="U10" i="107"/>
  <c r="U34" i="107" s="1"/>
  <c r="T10" i="107"/>
  <c r="T40" i="107" s="1"/>
  <c r="S10" i="107"/>
  <c r="S40" i="107" s="1"/>
  <c r="AE41" i="111" l="1"/>
  <c r="U41" i="111"/>
  <c r="Y41" i="111"/>
  <c r="Z41" i="111"/>
  <c r="AA41" i="111"/>
  <c r="AA42" i="111" s="1"/>
  <c r="V41" i="111"/>
  <c r="AD41" i="111"/>
  <c r="S41" i="111"/>
  <c r="Y41" i="108"/>
  <c r="W41" i="108"/>
  <c r="AA41" i="108"/>
  <c r="V41" i="108"/>
  <c r="Z41" i="108"/>
  <c r="AD41" i="108"/>
  <c r="S41" i="108"/>
  <c r="AC41" i="107"/>
  <c r="V41" i="107"/>
  <c r="Z41" i="107"/>
  <c r="AD41" i="107"/>
  <c r="W41" i="107"/>
  <c r="AA41" i="107"/>
  <c r="S42" i="111"/>
  <c r="AE42" i="111"/>
  <c r="AD42" i="111"/>
  <c r="Y34" i="111"/>
  <c r="W35" i="111"/>
  <c r="S37" i="111"/>
  <c r="AE37" i="111"/>
  <c r="AA39" i="111"/>
  <c r="Y40" i="111"/>
  <c r="Y42" i="111" s="1"/>
  <c r="W41" i="111"/>
  <c r="W42" i="111" s="1"/>
  <c r="V34" i="111"/>
  <c r="Z34" i="111"/>
  <c r="AD34" i="111"/>
  <c r="T35" i="111"/>
  <c r="X35" i="111"/>
  <c r="AB35" i="111"/>
  <c r="AF35" i="111"/>
  <c r="V36" i="111"/>
  <c r="Z36" i="111"/>
  <c r="AD36" i="111"/>
  <c r="T37" i="111"/>
  <c r="X37" i="111"/>
  <c r="AB37" i="111"/>
  <c r="AF37" i="111"/>
  <c r="V38" i="111"/>
  <c r="Z38" i="111"/>
  <c r="AD38" i="111"/>
  <c r="T39" i="111"/>
  <c r="X39" i="111"/>
  <c r="AB39" i="111"/>
  <c r="AF39" i="111"/>
  <c r="V40" i="111"/>
  <c r="V42" i="111" s="1"/>
  <c r="Z40" i="111"/>
  <c r="Z42" i="111" s="1"/>
  <c r="AD40" i="111"/>
  <c r="T41" i="111"/>
  <c r="T42" i="111" s="1"/>
  <c r="X41" i="111"/>
  <c r="X42" i="111" s="1"/>
  <c r="AB41" i="111"/>
  <c r="AB42" i="111" s="1"/>
  <c r="AF41" i="111"/>
  <c r="AF42" i="111" s="1"/>
  <c r="U34" i="111"/>
  <c r="AC34" i="111"/>
  <c r="AA35" i="111"/>
  <c r="AA37" i="111"/>
  <c r="S39" i="111"/>
  <c r="U40" i="111"/>
  <c r="U42" i="111" s="1"/>
  <c r="S34" i="111"/>
  <c r="W34" i="111"/>
  <c r="AA34" i="111"/>
  <c r="AE34" i="111"/>
  <c r="W36" i="111"/>
  <c r="AE36" i="111"/>
  <c r="U37" i="111"/>
  <c r="Y37" i="111"/>
  <c r="AC37" i="111"/>
  <c r="S38" i="111"/>
  <c r="AE38" i="111"/>
  <c r="AC41" i="111"/>
  <c r="AC42" i="111" s="1"/>
  <c r="T34" i="111"/>
  <c r="X34" i="111"/>
  <c r="AB34" i="111"/>
  <c r="AF34" i="111"/>
  <c r="V37" i="111"/>
  <c r="Z37" i="111"/>
  <c r="AD37" i="111"/>
  <c r="S42" i="108"/>
  <c r="AA42" i="108"/>
  <c r="W42" i="108"/>
  <c r="AC34" i="108"/>
  <c r="AE35" i="108"/>
  <c r="AA37" i="108"/>
  <c r="S39" i="108"/>
  <c r="AA39" i="108"/>
  <c r="Y40" i="108"/>
  <c r="Y42" i="108" s="1"/>
  <c r="V34" i="108"/>
  <c r="Z34" i="108"/>
  <c r="AD34" i="108"/>
  <c r="T35" i="108"/>
  <c r="X35" i="108"/>
  <c r="AB35" i="108"/>
  <c r="AF35" i="108"/>
  <c r="V36" i="108"/>
  <c r="Z36" i="108"/>
  <c r="AD36" i="108"/>
  <c r="T37" i="108"/>
  <c r="X37" i="108"/>
  <c r="AB37" i="108"/>
  <c r="AF37" i="108"/>
  <c r="V38" i="108"/>
  <c r="Z38" i="108"/>
  <c r="AD38" i="108"/>
  <c r="T39" i="108"/>
  <c r="X39" i="108"/>
  <c r="AB39" i="108"/>
  <c r="AF39" i="108"/>
  <c r="V40" i="108"/>
  <c r="V42" i="108" s="1"/>
  <c r="Z40" i="108"/>
  <c r="Z42" i="108" s="1"/>
  <c r="AD40" i="108"/>
  <c r="AD42" i="108" s="1"/>
  <c r="T41" i="108"/>
  <c r="T42" i="108" s="1"/>
  <c r="X41" i="108"/>
  <c r="X42" i="108" s="1"/>
  <c r="AB41" i="108"/>
  <c r="AB42" i="108" s="1"/>
  <c r="AF41" i="108"/>
  <c r="AF42" i="108" s="1"/>
  <c r="Y34" i="108"/>
  <c r="W35" i="108"/>
  <c r="S37" i="108"/>
  <c r="W39" i="108"/>
  <c r="U40" i="108"/>
  <c r="AE41" i="108"/>
  <c r="AE42" i="108" s="1"/>
  <c r="S34" i="108"/>
  <c r="W34" i="108"/>
  <c r="AA34" i="108"/>
  <c r="AE34" i="108"/>
  <c r="AE36" i="108"/>
  <c r="U37" i="108"/>
  <c r="Y37" i="108"/>
  <c r="AC37" i="108"/>
  <c r="S38" i="108"/>
  <c r="AA38" i="108"/>
  <c r="U41" i="108"/>
  <c r="U42" i="108" s="1"/>
  <c r="AC41" i="108"/>
  <c r="AC42" i="108" s="1"/>
  <c r="W37" i="108"/>
  <c r="T34" i="108"/>
  <c r="X34" i="108"/>
  <c r="AB34" i="108"/>
  <c r="AF34" i="108"/>
  <c r="V37" i="108"/>
  <c r="Z37" i="108"/>
  <c r="AD37" i="108"/>
  <c r="AA42" i="107"/>
  <c r="W42" i="107"/>
  <c r="V42" i="107"/>
  <c r="AC34" i="107"/>
  <c r="AE35" i="107"/>
  <c r="AA37" i="107"/>
  <c r="W39" i="107"/>
  <c r="U40" i="107"/>
  <c r="S41" i="107"/>
  <c r="S42" i="107" s="1"/>
  <c r="AE41" i="107"/>
  <c r="AE42" i="107" s="1"/>
  <c r="V34" i="107"/>
  <c r="Z34" i="107"/>
  <c r="AD34" i="107"/>
  <c r="T35" i="107"/>
  <c r="X35" i="107"/>
  <c r="AB35" i="107"/>
  <c r="AF35" i="107"/>
  <c r="V36" i="107"/>
  <c r="Z36" i="107"/>
  <c r="AD36" i="107"/>
  <c r="T37" i="107"/>
  <c r="X37" i="107"/>
  <c r="AB37" i="107"/>
  <c r="AF37" i="107"/>
  <c r="V38" i="107"/>
  <c r="Z38" i="107"/>
  <c r="AD38" i="107"/>
  <c r="T39" i="107"/>
  <c r="X39" i="107"/>
  <c r="AB39" i="107"/>
  <c r="AF39" i="107"/>
  <c r="V40" i="107"/>
  <c r="Z40" i="107"/>
  <c r="AD40" i="107"/>
  <c r="T41" i="107"/>
  <c r="T42" i="107" s="1"/>
  <c r="X41" i="107"/>
  <c r="X42" i="107" s="1"/>
  <c r="AB41" i="107"/>
  <c r="AB42" i="107" s="1"/>
  <c r="AF41" i="107"/>
  <c r="AF42" i="107" s="1"/>
  <c r="Y34" i="107"/>
  <c r="W35" i="107"/>
  <c r="W37" i="107"/>
  <c r="S39" i="107"/>
  <c r="AE39" i="107"/>
  <c r="AC40" i="107"/>
  <c r="AC42" i="107" s="1"/>
  <c r="S34" i="107"/>
  <c r="W34" i="107"/>
  <c r="AA34" i="107"/>
  <c r="AE34" i="107"/>
  <c r="AA36" i="107"/>
  <c r="U37" i="107"/>
  <c r="Y37" i="107"/>
  <c r="AC37" i="107"/>
  <c r="S38" i="107"/>
  <c r="AA38" i="107"/>
  <c r="U41" i="107"/>
  <c r="Y41" i="107"/>
  <c r="Y42" i="107" s="1"/>
  <c r="T34" i="107"/>
  <c r="X34" i="107"/>
  <c r="AB34" i="107"/>
  <c r="AF34" i="107"/>
  <c r="V37" i="107"/>
  <c r="Z37" i="107"/>
  <c r="AD37" i="107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C26" i="111" s="1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D10" i="111" s="1"/>
  <c r="E10" i="107"/>
  <c r="E10" i="111" s="1"/>
  <c r="F10" i="107"/>
  <c r="F10" i="111" s="1"/>
  <c r="G10" i="107"/>
  <c r="G10" i="111" s="1"/>
  <c r="H10" i="107"/>
  <c r="H10" i="111" s="1"/>
  <c r="I10" i="107"/>
  <c r="I10" i="111" s="1"/>
  <c r="J10" i="107"/>
  <c r="J10" i="111" s="1"/>
  <c r="K10" i="107"/>
  <c r="K10" i="111" s="1"/>
  <c r="L10" i="107"/>
  <c r="L10" i="111" s="1"/>
  <c r="M10" i="107"/>
  <c r="M10" i="111" s="1"/>
  <c r="N10" i="107"/>
  <c r="N10" i="111" s="1"/>
  <c r="C10" i="107"/>
  <c r="C10" i="111" s="1"/>
  <c r="AD42" i="107" l="1"/>
  <c r="Z42" i="107"/>
  <c r="U42" i="107"/>
  <c r="H21" i="111"/>
  <c r="C3" i="94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5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K5" i="95"/>
  <c r="G5" i="95"/>
  <c r="K6" i="94"/>
  <c r="G5" i="94"/>
  <c r="G6" i="104"/>
  <c r="G6" i="108" s="1"/>
  <c r="G6" i="100"/>
  <c r="G6" i="98"/>
  <c r="G6" i="96"/>
  <c r="G6" i="103"/>
  <c r="G6" i="107" s="1"/>
  <c r="G6" i="99"/>
  <c r="G6" i="97"/>
  <c r="G6" i="95"/>
  <c r="D6" i="104"/>
  <c r="D6" i="108" s="1"/>
  <c r="D6" i="100"/>
  <c r="D6" i="98"/>
  <c r="D6" i="96"/>
  <c r="D6" i="103"/>
  <c r="D6" i="107" s="1"/>
  <c r="D6" i="99"/>
  <c r="D6" i="97"/>
  <c r="D6" i="95"/>
  <c r="D5" i="104"/>
  <c r="D5" i="110"/>
  <c r="D5" i="109"/>
  <c r="D5" i="100"/>
  <c r="D5" i="96"/>
  <c r="D5" i="94"/>
  <c r="K5" i="104" l="1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X26" i="98" l="1"/>
  <c r="AA27" i="99"/>
  <c r="X39" i="10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V39" i="109" l="1"/>
  <c r="AF28" i="101"/>
  <c r="X36" i="101"/>
  <c r="Y38" i="105"/>
  <c r="U38" i="109"/>
  <c r="AB26" i="98"/>
  <c r="AF25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X42" i="109" l="1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<sst xmlns="http://schemas.openxmlformats.org/spreadsheetml/2006/main" count="2342" uniqueCount="181">
  <si>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</si>
  <si>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</si>
  <si>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</si>
  <si>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</si>
  <si>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</si>
  <si>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</si>
  <si>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</si>
  <si>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</si>
  <si>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</si>
  <si>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</si>
  <si>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</si>
  <si>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</si>
  <si>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</si>
  <si>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</si>
  <si>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</si>
  <si>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</si>
  <si>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</si>
  <si>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</si>
  <si>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</si>
  <si>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</si>
  <si>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</si>
  <si>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</si>
  <si>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</si>
  <si>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</si>
  <si>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</si>
  <si>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</si>
  <si>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</si>
  <si>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</si>
  <si>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</si>
  <si>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</si>
  <si>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</si>
  <si>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</si>
  <si>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</si>
  <si>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</si>
  <si>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</si>
  <si>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</si>
  <si>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</si>
  <si>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</si>
  <si>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</si>
  <si>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</si>
  <si>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</si>
  <si>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</si>
  <si>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</si>
  <si>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</si>
  <si>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</si>
  <si>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</si>
  <si>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</si>
  <si>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</si>
  <si>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</si>
  <si>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</si>
  <si>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</si>
  <si>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</si>
  <si>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</si>
  <si>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</si>
  <si>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</si>
  <si>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</si>
  <si>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</si>
  <si>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</si>
  <si>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</si>
  <si>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</si>
  <si>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</si>
  <si>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</si>
  <si>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</si>
  <si>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</si>
  <si>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</si>
  <si>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</si>
  <si>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</si>
  <si>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</si>
  <si>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</si>
  <si>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</si>
  <si>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</si>
  <si>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</si>
  <si>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</si>
  <si>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</si>
  <si>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</si>
  <si>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</si>
  <si>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</si>
  <si>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</si>
  <si>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</si>
  <si>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</si>
  <si>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</si>
  <si>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</si>
  <si>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</si>
  <si>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</si>
  <si>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</si>
  <si>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</si>
  <si>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</si>
  <si>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</si>
  <si>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</si>
  <si>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</si>
  <si>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</si>
  <si>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</si>
  <si>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</si>
  <si>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</si>
  <si>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</si>
  <si>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</si>
  <si>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</si>
  <si>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</si>
  <si>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</si>
  <si>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</si>
  <si>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</si>
  <si>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</si>
  <si>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</si>
  <si>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</si>
  <si>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</si>
  <si>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</si>
  <si>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</si>
  <si>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</si>
  <si>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</si>
  <si>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</si>
  <si>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</si>
  <si>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</si>
  <si>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</si>
  <si>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</si>
  <si>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</si>
  <si>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</si>
  <si>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</si>
  <si>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</si>
  <si>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</si>
  <si>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</si>
  <si>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</si>
  <si>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</si>
  <si>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</si>
  <si>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</si>
  <si>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</si>
  <si>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</si>
  <si>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</si>
  <si>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</si>
  <si>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</si>
  <si>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</si>
  <si>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</si>
  <si>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</si>
  <si>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</si>
  <si>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</si>
  <si>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</si>
  <si>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</si>
  <si>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</si>
  <si>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</si>
  <si>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</si>
  <si>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</si>
  <si>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</si>
  <si>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</si>
  <si>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</si>
  <si>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</si>
  <si>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</si>
  <si>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</si>
  <si>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</si>
  <si>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</si>
  <si>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</si>
  <si>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</si>
  <si>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</si>
  <si>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</si>
  <si>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</si>
  <si>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</si>
  <si>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</si>
  <si>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</si>
  <si>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</si>
  <si>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</si>
  <si>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</si>
  <si>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</si>
  <si>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</si>
  <si>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</si>
  <si>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</si>
  <si>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KANONI-MADDU ROAD</t>
  </si>
  <si>
    <t>17.10.2019</t>
  </si>
  <si>
    <t>KANONI</t>
  </si>
  <si>
    <t>MADDU</t>
  </si>
  <si>
    <t>FELIX OLOYA</t>
  </si>
  <si>
    <t>BABIRYE PHIONA</t>
  </si>
  <si>
    <t>SSEMPIJJA FRED</t>
  </si>
  <si>
    <t>18.10.2019</t>
  </si>
  <si>
    <t>ZALWANGO S</t>
  </si>
  <si>
    <t>s</t>
  </si>
  <si>
    <t>19.10.2019</t>
  </si>
  <si>
    <t>20.10.2019</t>
  </si>
  <si>
    <t>21.10.2019</t>
  </si>
  <si>
    <t>22.10.2019</t>
  </si>
  <si>
    <t>BABIRYE</t>
  </si>
  <si>
    <t>23.10.2019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</si>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</sst>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4" xfId="0" applyFill="1" applyBorder="1"/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KANONI-MADDU'!$AE$9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KANONI-MADDU'!$AE$10:$AE$21</c:f>
              <c:numCache>
                <c:formatCode>0</c:formatCode>
                <c:ptCount val="12"/>
                <c:pt idx="0">
                  <c:v>21</c:v>
                </c:pt>
                <c:pt idx="1">
                  <c:v>34</c:v>
                </c:pt>
                <c:pt idx="2">
                  <c:v>25</c:v>
                </c:pt>
                <c:pt idx="3">
                  <c:v>41</c:v>
                </c:pt>
                <c:pt idx="4">
                  <c:v>32</c:v>
                </c:pt>
                <c:pt idx="5">
                  <c:v>29</c:v>
                </c:pt>
                <c:pt idx="6">
                  <c:v>24</c:v>
                </c:pt>
                <c:pt idx="7">
                  <c:v>31</c:v>
                </c:pt>
                <c:pt idx="8">
                  <c:v>23</c:v>
                </c:pt>
                <c:pt idx="9">
                  <c:v>24</c:v>
                </c:pt>
                <c:pt idx="10">
                  <c:v>15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'17.10 KANONI-MADDU'!$AF$9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KANONI-MADDU'!$AF$10:$AF$21</c:f>
              <c:numCache>
                <c:formatCode>0</c:formatCode>
                <c:ptCount val="12"/>
                <c:pt idx="0">
                  <c:v>41</c:v>
                </c:pt>
                <c:pt idx="1">
                  <c:v>79</c:v>
                </c:pt>
                <c:pt idx="2">
                  <c:v>79</c:v>
                </c:pt>
                <c:pt idx="3">
                  <c:v>76</c:v>
                </c:pt>
                <c:pt idx="4">
                  <c:v>64</c:v>
                </c:pt>
                <c:pt idx="5">
                  <c:v>65</c:v>
                </c:pt>
                <c:pt idx="6">
                  <c:v>58</c:v>
                </c:pt>
                <c:pt idx="7">
                  <c:v>86</c:v>
                </c:pt>
                <c:pt idx="8">
                  <c:v>62</c:v>
                </c:pt>
                <c:pt idx="9">
                  <c:v>69</c:v>
                </c:pt>
                <c:pt idx="10">
                  <c:v>58</c:v>
                </c:pt>
                <c:pt idx="11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KANONI-MADDU'!$C$59:$N$59</c:f>
              <c:numCache>
                <c:formatCode>0.0%</c:formatCode>
                <c:ptCount val="12"/>
                <c:pt idx="0">
                  <c:v>0.13016270337922403</c:v>
                </c:pt>
                <c:pt idx="1">
                  <c:v>4.2553191489361701E-2</c:v>
                </c:pt>
                <c:pt idx="2">
                  <c:v>5.1314142678347933E-2</c:v>
                </c:pt>
                <c:pt idx="3">
                  <c:v>8.7609511889862324E-2</c:v>
                </c:pt>
                <c:pt idx="4">
                  <c:v>0</c:v>
                </c:pt>
                <c:pt idx="5">
                  <c:v>0</c:v>
                </c:pt>
                <c:pt idx="6">
                  <c:v>5.0062578222778473E-2</c:v>
                </c:pt>
                <c:pt idx="7">
                  <c:v>2.8785982478097622E-2</c:v>
                </c:pt>
                <c:pt idx="8">
                  <c:v>1.1264080100125156E-2</c:v>
                </c:pt>
                <c:pt idx="9">
                  <c:v>0</c:v>
                </c:pt>
                <c:pt idx="10">
                  <c:v>0.59824780976220271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KANONI-MADDU'!$C$60:$N$60</c:f>
              <c:numCache>
                <c:formatCode>0.00%</c:formatCode>
                <c:ptCount val="12"/>
                <c:pt idx="0">
                  <c:v>0.32398753894080995</c:v>
                </c:pt>
                <c:pt idx="1">
                  <c:v>0.1059190031152648</c:v>
                </c:pt>
                <c:pt idx="2">
                  <c:v>0.1277258566978193</c:v>
                </c:pt>
                <c:pt idx="3">
                  <c:v>0.21806853582554517</c:v>
                </c:pt>
                <c:pt idx="4">
                  <c:v>0</c:v>
                </c:pt>
                <c:pt idx="5">
                  <c:v>0</c:v>
                </c:pt>
                <c:pt idx="6">
                  <c:v>0.12461059190031153</c:v>
                </c:pt>
                <c:pt idx="7">
                  <c:v>7.1651090342679122E-2</c:v>
                </c:pt>
                <c:pt idx="8">
                  <c:v>2.8037383177570093E-2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MADDU-KANONI'!$AE$9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MADDU-KANONI'!$AE$10:$AE$21</c:f>
              <c:numCache>
                <c:formatCode>0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22</c:v>
                </c:pt>
                <c:pt idx="3">
                  <c:v>18</c:v>
                </c:pt>
                <c:pt idx="4">
                  <c:v>25</c:v>
                </c:pt>
                <c:pt idx="5">
                  <c:v>14</c:v>
                </c:pt>
                <c:pt idx="6">
                  <c:v>24</c:v>
                </c:pt>
                <c:pt idx="7">
                  <c:v>27</c:v>
                </c:pt>
                <c:pt idx="8">
                  <c:v>22</c:v>
                </c:pt>
                <c:pt idx="9">
                  <c:v>37</c:v>
                </c:pt>
                <c:pt idx="10">
                  <c:v>16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'17.10 MADDU-KANONI'!$AF$9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MADDU-KANONI'!$AF$10:$AF$21</c:f>
              <c:numCache>
                <c:formatCode>0</c:formatCode>
                <c:ptCount val="12"/>
                <c:pt idx="0">
                  <c:v>28</c:v>
                </c:pt>
                <c:pt idx="1">
                  <c:v>65</c:v>
                </c:pt>
                <c:pt idx="2">
                  <c:v>70</c:v>
                </c:pt>
                <c:pt idx="3">
                  <c:v>54</c:v>
                </c:pt>
                <c:pt idx="4">
                  <c:v>79</c:v>
                </c:pt>
                <c:pt idx="5">
                  <c:v>52</c:v>
                </c:pt>
                <c:pt idx="6">
                  <c:v>72</c:v>
                </c:pt>
                <c:pt idx="7">
                  <c:v>77</c:v>
                </c:pt>
                <c:pt idx="8">
                  <c:v>65</c:v>
                </c:pt>
                <c:pt idx="9">
                  <c:v>84</c:v>
                </c:pt>
                <c:pt idx="10">
                  <c:v>63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MADDU-KANONI'!$C$59:$N$59</c:f>
              <c:numCache>
                <c:formatCode>0.0%</c:formatCode>
                <c:ptCount val="12"/>
                <c:pt idx="0">
                  <c:v>0.11435832274459974</c:v>
                </c:pt>
                <c:pt idx="1">
                  <c:v>3.8119440914866583E-2</c:v>
                </c:pt>
                <c:pt idx="2">
                  <c:v>5.2096569250317665E-2</c:v>
                </c:pt>
                <c:pt idx="3">
                  <c:v>0.10673443456162643</c:v>
                </c:pt>
                <c:pt idx="4">
                  <c:v>0</c:v>
                </c:pt>
                <c:pt idx="5">
                  <c:v>0</c:v>
                </c:pt>
                <c:pt idx="6">
                  <c:v>1.7789072426937738E-2</c:v>
                </c:pt>
                <c:pt idx="7">
                  <c:v>1.1435832274459974E-2</c:v>
                </c:pt>
                <c:pt idx="8">
                  <c:v>6.3532401524777635E-3</c:v>
                </c:pt>
                <c:pt idx="9">
                  <c:v>0</c:v>
                </c:pt>
                <c:pt idx="10">
                  <c:v>0.6531130876747141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MADDU-KANONI'!$S$9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MADDU-KANONI'!$S$10:$S$21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6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'17.10 MADDU-KANONI'!$T$9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MADDU-KANONI'!$T$10:$T$21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7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'17.10 MADDU-KANONI'!$U$9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MADDU-KANONI'!$U$10:$U$21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'17.10 MADDU-KANONI'!$V$9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MADDU-KANONI'!$V$10:$V$21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'17.10 MADDU-KANONI'!$W$9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'17.10 MADDU-KANONI'!$X$9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'17.10 MADDU-KANONI'!$Y$9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'17.10 MADDU-KANONI'!$Z$9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'17.10 MADDU-KANONI'!$AA$9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'17.10 MADDU-KANONI'!$AB$9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'17.10 MADDU-KANONI'!$AC$9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MADDU-KANONI'!$AC$10:$AC$21</c:f>
              <c:numCache>
                <c:formatCode>0</c:formatCode>
                <c:ptCount val="12"/>
                <c:pt idx="0">
                  <c:v>18</c:v>
                </c:pt>
                <c:pt idx="1">
                  <c:v>45</c:v>
                </c:pt>
                <c:pt idx="2">
                  <c:v>48</c:v>
                </c:pt>
                <c:pt idx="3">
                  <c:v>36</c:v>
                </c:pt>
                <c:pt idx="4">
                  <c:v>54</c:v>
                </c:pt>
                <c:pt idx="5">
                  <c:v>38</c:v>
                </c:pt>
                <c:pt idx="6">
                  <c:v>48</c:v>
                </c:pt>
                <c:pt idx="7">
                  <c:v>50</c:v>
                </c:pt>
                <c:pt idx="8">
                  <c:v>43</c:v>
                </c:pt>
                <c:pt idx="9">
                  <c:v>47</c:v>
                </c:pt>
                <c:pt idx="10">
                  <c:v>47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'17.10 MADDU-KANONI'!$AD$9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MADDU-KANONI'!$AD$10:$AD$21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MADDU-KANONI'!$C$60:$N$60</c:f>
              <c:numCache>
                <c:formatCode>0.00%</c:formatCode>
                <c:ptCount val="12"/>
                <c:pt idx="0">
                  <c:v>0.32967032967032966</c:v>
                </c:pt>
                <c:pt idx="1">
                  <c:v>0.10989010989010989</c:v>
                </c:pt>
                <c:pt idx="2">
                  <c:v>0.15018315018315018</c:v>
                </c:pt>
                <c:pt idx="3">
                  <c:v>0.30769230769230771</c:v>
                </c:pt>
                <c:pt idx="4">
                  <c:v>0</c:v>
                </c:pt>
                <c:pt idx="5">
                  <c:v>0</c:v>
                </c:pt>
                <c:pt idx="6">
                  <c:v>5.128205128205128E-2</c:v>
                </c:pt>
                <c:pt idx="7">
                  <c:v>3.2967032967032968E-2</c:v>
                </c:pt>
                <c:pt idx="8">
                  <c:v>1.8315018315018316E-2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KANONI-MADDU-24h'!$AE$9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KANONI-MADDU-24h'!$R$10:$R$33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KANONI-MADDU-24h'!$AE$10:$AE$33</c:f>
              <c:numCache>
                <c:formatCode>0</c:formatCode>
                <c:ptCount val="24"/>
                <c:pt idx="0">
                  <c:v>14</c:v>
                </c:pt>
                <c:pt idx="1">
                  <c:v>24</c:v>
                </c:pt>
                <c:pt idx="2">
                  <c:v>29</c:v>
                </c:pt>
                <c:pt idx="3">
                  <c:v>24</c:v>
                </c:pt>
                <c:pt idx="4">
                  <c:v>16</c:v>
                </c:pt>
                <c:pt idx="5">
                  <c:v>22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29</c:v>
                </c:pt>
                <c:pt idx="12">
                  <c:v>24</c:v>
                </c:pt>
                <c:pt idx="13">
                  <c:v>15</c:v>
                </c:pt>
                <c:pt idx="14">
                  <c:v>10</c:v>
                </c:pt>
                <c:pt idx="15">
                  <c:v>12</c:v>
                </c:pt>
                <c:pt idx="16">
                  <c:v>8</c:v>
                </c:pt>
                <c:pt idx="17">
                  <c:v>8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4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'18.10 KANONI-MADDU-24h'!$AF$9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KANONI-MADDU-24h'!$R$10:$R$33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KANONI-MADDU-24h'!$AF$10:$AF$33</c:f>
              <c:numCache>
                <c:formatCode>0</c:formatCode>
                <c:ptCount val="24"/>
                <c:pt idx="0">
                  <c:v>43</c:v>
                </c:pt>
                <c:pt idx="1">
                  <c:v>59</c:v>
                </c:pt>
                <c:pt idx="2">
                  <c:v>63</c:v>
                </c:pt>
                <c:pt idx="3">
                  <c:v>48</c:v>
                </c:pt>
                <c:pt idx="4">
                  <c:v>63</c:v>
                </c:pt>
                <c:pt idx="5">
                  <c:v>65</c:v>
                </c:pt>
                <c:pt idx="6">
                  <c:v>64</c:v>
                </c:pt>
                <c:pt idx="7">
                  <c:v>58</c:v>
                </c:pt>
                <c:pt idx="8">
                  <c:v>72</c:v>
                </c:pt>
                <c:pt idx="9">
                  <c:v>62</c:v>
                </c:pt>
                <c:pt idx="10">
                  <c:v>81</c:v>
                </c:pt>
                <c:pt idx="11">
                  <c:v>70</c:v>
                </c:pt>
                <c:pt idx="12">
                  <c:v>68</c:v>
                </c:pt>
                <c:pt idx="13">
                  <c:v>42</c:v>
                </c:pt>
                <c:pt idx="14">
                  <c:v>20</c:v>
                </c:pt>
                <c:pt idx="15">
                  <c:v>17</c:v>
                </c:pt>
                <c:pt idx="16">
                  <c:v>13</c:v>
                </c:pt>
                <c:pt idx="17">
                  <c:v>10</c:v>
                </c:pt>
                <c:pt idx="18">
                  <c:v>2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KANONI-MADDU-24h'!$C$9:$N$9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KANONI-MADDU-24h'!$C$107:$N$107</c:f>
              <c:numCache>
                <c:formatCode>0.0%</c:formatCode>
                <c:ptCount val="12"/>
                <c:pt idx="0">
                  <c:v>0.11558854718981973</c:v>
                </c:pt>
                <c:pt idx="1">
                  <c:v>5.9384941675503712E-2</c:v>
                </c:pt>
                <c:pt idx="2">
                  <c:v>3.7115588547189819E-2</c:v>
                </c:pt>
                <c:pt idx="3">
                  <c:v>0.10286320254506894</c:v>
                </c:pt>
                <c:pt idx="4">
                  <c:v>1.0604453870625664E-3</c:v>
                </c:pt>
                <c:pt idx="5">
                  <c:v>0</c:v>
                </c:pt>
                <c:pt idx="6">
                  <c:v>4.7720042417815481E-2</c:v>
                </c:pt>
                <c:pt idx="7">
                  <c:v>3.0752916224814422E-2</c:v>
                </c:pt>
                <c:pt idx="8">
                  <c:v>1.166489925768823E-2</c:v>
                </c:pt>
                <c:pt idx="9">
                  <c:v>0</c:v>
                </c:pt>
                <c:pt idx="10">
                  <c:v>0.59384941675503711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KANONI-MADDU-24h'!$C$9:$N$9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KANONI-MADDU-24h'!$C$108:$N$108</c:f>
              <c:numCache>
                <c:formatCode>0.00%</c:formatCode>
                <c:ptCount val="12"/>
                <c:pt idx="0">
                  <c:v>0.28459530026109658</c:v>
                </c:pt>
                <c:pt idx="1">
                  <c:v>0.14621409921671019</c:v>
                </c:pt>
                <c:pt idx="2">
                  <c:v>9.1383812010443863E-2</c:v>
                </c:pt>
                <c:pt idx="3">
                  <c:v>0.25326370757180156</c:v>
                </c:pt>
                <c:pt idx="4">
                  <c:v>2.6109660574412533E-3</c:v>
                </c:pt>
                <c:pt idx="5">
                  <c:v>0</c:v>
                </c:pt>
                <c:pt idx="6">
                  <c:v>0.1174934725848564</c:v>
                </c:pt>
                <c:pt idx="7">
                  <c:v>7.5718015665796348E-2</c:v>
                </c:pt>
                <c:pt idx="8">
                  <c:v>2.8720626631853787E-2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MADDU-KANONI-24h'!$AE$9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MADDU-KANONI-24h'!$R$10:$R$33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MADDU-KANONI-24h'!$AE$10:$AE$33</c:f>
              <c:numCache>
                <c:formatCode>0</c:formatCode>
                <c:ptCount val="24"/>
                <c:pt idx="0">
                  <c:v>21</c:v>
                </c:pt>
                <c:pt idx="1">
                  <c:v>21</c:v>
                </c:pt>
                <c:pt idx="2">
                  <c:v>23</c:v>
                </c:pt>
                <c:pt idx="3">
                  <c:v>21</c:v>
                </c:pt>
                <c:pt idx="4">
                  <c:v>22</c:v>
                </c:pt>
                <c:pt idx="5">
                  <c:v>16</c:v>
                </c:pt>
                <c:pt idx="6">
                  <c:v>16</c:v>
                </c:pt>
                <c:pt idx="7">
                  <c:v>28</c:v>
                </c:pt>
                <c:pt idx="8">
                  <c:v>21</c:v>
                </c:pt>
                <c:pt idx="9">
                  <c:v>27</c:v>
                </c:pt>
                <c:pt idx="10">
                  <c:v>29</c:v>
                </c:pt>
                <c:pt idx="11">
                  <c:v>41</c:v>
                </c:pt>
                <c:pt idx="12">
                  <c:v>42</c:v>
                </c:pt>
                <c:pt idx="13">
                  <c:v>19</c:v>
                </c:pt>
                <c:pt idx="14">
                  <c:v>17</c:v>
                </c:pt>
                <c:pt idx="15">
                  <c:v>10</c:v>
                </c:pt>
                <c:pt idx="16">
                  <c:v>12</c:v>
                </c:pt>
                <c:pt idx="17">
                  <c:v>8</c:v>
                </c:pt>
                <c:pt idx="18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'18.10 MADDU-KANONI-24h'!$AF$9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MADDU-KANONI-24h'!$R$10:$R$33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MADDU-KANONI-24h'!$AF$10:$AF$33</c:f>
              <c:numCache>
                <c:formatCode>0</c:formatCode>
                <c:ptCount val="24"/>
                <c:pt idx="0">
                  <c:v>40</c:v>
                </c:pt>
                <c:pt idx="1">
                  <c:v>61</c:v>
                </c:pt>
                <c:pt idx="2">
                  <c:v>49</c:v>
                </c:pt>
                <c:pt idx="3">
                  <c:v>56</c:v>
                </c:pt>
                <c:pt idx="4">
                  <c:v>59</c:v>
                </c:pt>
                <c:pt idx="5">
                  <c:v>56</c:v>
                </c:pt>
                <c:pt idx="6">
                  <c:v>65</c:v>
                </c:pt>
                <c:pt idx="7">
                  <c:v>64</c:v>
                </c:pt>
                <c:pt idx="8">
                  <c:v>54</c:v>
                </c:pt>
                <c:pt idx="9">
                  <c:v>51</c:v>
                </c:pt>
                <c:pt idx="10">
                  <c:v>74</c:v>
                </c:pt>
                <c:pt idx="11">
                  <c:v>82</c:v>
                </c:pt>
                <c:pt idx="12">
                  <c:v>86</c:v>
                </c:pt>
                <c:pt idx="13">
                  <c:v>36</c:v>
                </c:pt>
                <c:pt idx="14">
                  <c:v>23</c:v>
                </c:pt>
                <c:pt idx="15">
                  <c:v>11</c:v>
                </c:pt>
                <c:pt idx="16">
                  <c:v>13</c:v>
                </c:pt>
                <c:pt idx="17">
                  <c:v>9</c:v>
                </c:pt>
                <c:pt idx="18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0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MADDU-KANONI-24h'!$C$9:$N$9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MADDU-KANONI-24h'!$C$107:$N$107</c:f>
              <c:numCache>
                <c:formatCode>0.0%</c:formatCode>
                <c:ptCount val="12"/>
                <c:pt idx="0">
                  <c:v>0.13596491228070176</c:v>
                </c:pt>
                <c:pt idx="1">
                  <c:v>5.5921052631578948E-2</c:v>
                </c:pt>
                <c:pt idx="2">
                  <c:v>4.7149122807017545E-2</c:v>
                </c:pt>
                <c:pt idx="3">
                  <c:v>0.10307017543859649</c:v>
                </c:pt>
                <c:pt idx="4">
                  <c:v>0</c:v>
                </c:pt>
                <c:pt idx="5">
                  <c:v>0</c:v>
                </c:pt>
                <c:pt idx="6">
                  <c:v>5.2631578947368418E-2</c:v>
                </c:pt>
                <c:pt idx="7">
                  <c:v>4.3859649122807015E-2</c:v>
                </c:pt>
                <c:pt idx="8">
                  <c:v>1.3157894736842105E-2</c:v>
                </c:pt>
                <c:pt idx="9">
                  <c:v>2.1929824561403508E-3</c:v>
                </c:pt>
                <c:pt idx="10">
                  <c:v>0.54605263157894735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MADDU-KANONI-24h'!$C$9:$N$9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MADDU-KANONI-24h'!$C$108:$N$108</c:f>
              <c:numCache>
                <c:formatCode>0.00%</c:formatCode>
                <c:ptCount val="12"/>
                <c:pt idx="0">
                  <c:v>0.29951690821256038</c:v>
                </c:pt>
                <c:pt idx="1">
                  <c:v>0.12318840579710146</c:v>
                </c:pt>
                <c:pt idx="2">
                  <c:v>0.10386473429951691</c:v>
                </c:pt>
                <c:pt idx="3">
                  <c:v>0.22705314009661837</c:v>
                </c:pt>
                <c:pt idx="4">
                  <c:v>0</c:v>
                </c:pt>
                <c:pt idx="5">
                  <c:v>0</c:v>
                </c:pt>
                <c:pt idx="6">
                  <c:v>0.11594202898550725</c:v>
                </c:pt>
                <c:pt idx="7">
                  <c:v>9.6618357487922704E-2</c:v>
                </c:pt>
                <c:pt idx="8">
                  <c:v>2.8985507246376812E-2</c:v>
                </c:pt>
                <c:pt idx="9">
                  <c:v>4.830917874396135E-3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KANONI-MADDU-24h'!$AE$9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KANONI-MADDU-24h'!$R$10:$R$33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KANONI-MADDU-24h'!$AE$10:$AE$33</c:f>
              <c:numCache>
                <c:formatCode>0</c:formatCode>
                <c:ptCount val="24"/>
                <c:pt idx="0">
                  <c:v>15</c:v>
                </c:pt>
                <c:pt idx="1">
                  <c:v>17</c:v>
                </c:pt>
                <c:pt idx="2">
                  <c:v>26</c:v>
                </c:pt>
                <c:pt idx="3">
                  <c:v>19</c:v>
                </c:pt>
                <c:pt idx="4">
                  <c:v>29</c:v>
                </c:pt>
                <c:pt idx="5">
                  <c:v>24</c:v>
                </c:pt>
                <c:pt idx="6">
                  <c:v>24</c:v>
                </c:pt>
                <c:pt idx="7">
                  <c:v>30</c:v>
                </c:pt>
                <c:pt idx="8">
                  <c:v>34</c:v>
                </c:pt>
                <c:pt idx="9">
                  <c:v>17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28</c:v>
                </c:pt>
                <c:pt idx="14">
                  <c:v>22</c:v>
                </c:pt>
                <c:pt idx="15">
                  <c:v>17</c:v>
                </c:pt>
                <c:pt idx="16">
                  <c:v>7</c:v>
                </c:pt>
                <c:pt idx="17">
                  <c:v>14</c:v>
                </c:pt>
                <c:pt idx="18">
                  <c:v>4</c:v>
                </c:pt>
                <c:pt idx="19">
                  <c:v>2</c:v>
                </c:pt>
                <c:pt idx="20">
                  <c:v>4</c:v>
                </c:pt>
                <c:pt idx="21">
                  <c:v>1</c:v>
                </c:pt>
                <c:pt idx="22">
                  <c:v>3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'19.10 KANONI-MADDU-24h'!$AF$9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KANONI-MADDU-24h'!$R$10:$R$33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KANONI-MADDU-24h'!$AF$10:$AF$33</c:f>
              <c:numCache>
                <c:formatCode>0</c:formatCode>
                <c:ptCount val="24"/>
                <c:pt idx="0">
                  <c:v>24</c:v>
                </c:pt>
                <c:pt idx="1">
                  <c:v>29</c:v>
                </c:pt>
                <c:pt idx="2">
                  <c:v>43</c:v>
                </c:pt>
                <c:pt idx="3">
                  <c:v>44</c:v>
                </c:pt>
                <c:pt idx="4">
                  <c:v>75</c:v>
                </c:pt>
                <c:pt idx="5">
                  <c:v>46</c:v>
                </c:pt>
                <c:pt idx="6">
                  <c:v>63</c:v>
                </c:pt>
                <c:pt idx="7">
                  <c:v>70</c:v>
                </c:pt>
                <c:pt idx="8">
                  <c:v>70</c:v>
                </c:pt>
                <c:pt idx="9">
                  <c:v>71</c:v>
                </c:pt>
                <c:pt idx="10">
                  <c:v>55</c:v>
                </c:pt>
                <c:pt idx="11">
                  <c:v>60</c:v>
                </c:pt>
                <c:pt idx="12">
                  <c:v>75</c:v>
                </c:pt>
                <c:pt idx="13">
                  <c:v>60</c:v>
                </c:pt>
                <c:pt idx="14">
                  <c:v>51</c:v>
                </c:pt>
                <c:pt idx="15">
                  <c:v>30</c:v>
                </c:pt>
                <c:pt idx="16">
                  <c:v>9</c:v>
                </c:pt>
                <c:pt idx="17">
                  <c:v>15</c:v>
                </c:pt>
                <c:pt idx="18">
                  <c:v>5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2">
                  <c:v>5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KANONI-MADDU-24h'!$C$9:$N$9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KANONI-MADDU-24h'!$C$107:$N$107</c:f>
              <c:numCache>
                <c:formatCode>0.0%</c:formatCode>
                <c:ptCount val="12"/>
                <c:pt idx="0">
                  <c:v>0.11935483870967742</c:v>
                </c:pt>
                <c:pt idx="1">
                  <c:v>6.5591397849462371E-2</c:v>
                </c:pt>
                <c:pt idx="2">
                  <c:v>4.1935483870967745E-2</c:v>
                </c:pt>
                <c:pt idx="3">
                  <c:v>0.10215053763440861</c:v>
                </c:pt>
                <c:pt idx="4">
                  <c:v>2.1505376344086021E-3</c:v>
                </c:pt>
                <c:pt idx="5">
                  <c:v>2.1505376344086021E-3</c:v>
                </c:pt>
                <c:pt idx="6">
                  <c:v>4.9462365591397849E-2</c:v>
                </c:pt>
                <c:pt idx="7">
                  <c:v>4.6236559139784944E-2</c:v>
                </c:pt>
                <c:pt idx="8">
                  <c:v>1.3978494623655914E-2</c:v>
                </c:pt>
                <c:pt idx="9">
                  <c:v>3.2258064516129032E-3</c:v>
                </c:pt>
                <c:pt idx="10">
                  <c:v>0.55376344086021501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KANONI-MADDU-24h'!$C$9:$N$9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KANONI-MADDU-24h'!$C$108:$N$108</c:f>
              <c:numCache>
                <c:formatCode>0.00%</c:formatCode>
                <c:ptCount val="12"/>
                <c:pt idx="0">
                  <c:v>0.26746987951807227</c:v>
                </c:pt>
                <c:pt idx="1">
                  <c:v>0.14698795180722893</c:v>
                </c:pt>
                <c:pt idx="2">
                  <c:v>9.3975903614457831E-2</c:v>
                </c:pt>
                <c:pt idx="3">
                  <c:v>0.2289156626506024</c:v>
                </c:pt>
                <c:pt idx="4">
                  <c:v>4.8192771084337354E-3</c:v>
                </c:pt>
                <c:pt idx="5">
                  <c:v>4.8192771084337354E-3</c:v>
                </c:pt>
                <c:pt idx="6">
                  <c:v>0.1108433734939759</c:v>
                </c:pt>
                <c:pt idx="7">
                  <c:v>0.10361445783132531</c:v>
                </c:pt>
                <c:pt idx="8">
                  <c:v>3.1325301204819279E-2</c:v>
                </c:pt>
                <c:pt idx="9">
                  <c:v>7.2289156626506026E-3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MADDU-KANONI-24h'!$AE$9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MADDU-KANONI-24h'!$R$10:$R$33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MADDU-KANONI-24h'!$AE$10:$AE$33</c:f>
              <c:numCache>
                <c:formatCode>0</c:formatCode>
                <c:ptCount val="24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18</c:v>
                </c:pt>
                <c:pt idx="4">
                  <c:v>17</c:v>
                </c:pt>
                <c:pt idx="5">
                  <c:v>19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27</c:v>
                </c:pt>
                <c:pt idx="10">
                  <c:v>25</c:v>
                </c:pt>
                <c:pt idx="11">
                  <c:v>22</c:v>
                </c:pt>
                <c:pt idx="12">
                  <c:v>28</c:v>
                </c:pt>
                <c:pt idx="13">
                  <c:v>28</c:v>
                </c:pt>
                <c:pt idx="14">
                  <c:v>11</c:v>
                </c:pt>
                <c:pt idx="15">
                  <c:v>14</c:v>
                </c:pt>
                <c:pt idx="16">
                  <c:v>9</c:v>
                </c:pt>
                <c:pt idx="17">
                  <c:v>17</c:v>
                </c:pt>
                <c:pt idx="18">
                  <c:v>4</c:v>
                </c:pt>
                <c:pt idx="19">
                  <c:v>1</c:v>
                </c:pt>
                <c:pt idx="20">
                  <c:v>7</c:v>
                </c:pt>
                <c:pt idx="21">
                  <c:v>14</c:v>
                </c:pt>
                <c:pt idx="22">
                  <c:v>6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'19.10 MADDU-KANONI-24h'!$AF$9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MADDU-KANONI-24h'!$R$10:$R$33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MADDU-KANONI-24h'!$AF$10:$AF$33</c:f>
              <c:numCache>
                <c:formatCode>0</c:formatCode>
                <c:ptCount val="24"/>
                <c:pt idx="0">
                  <c:v>17</c:v>
                </c:pt>
                <c:pt idx="1">
                  <c:v>35</c:v>
                </c:pt>
                <c:pt idx="2">
                  <c:v>22</c:v>
                </c:pt>
                <c:pt idx="3">
                  <c:v>44</c:v>
                </c:pt>
                <c:pt idx="4">
                  <c:v>47</c:v>
                </c:pt>
                <c:pt idx="5">
                  <c:v>55</c:v>
                </c:pt>
                <c:pt idx="6">
                  <c:v>60</c:v>
                </c:pt>
                <c:pt idx="7">
                  <c:v>59</c:v>
                </c:pt>
                <c:pt idx="8">
                  <c:v>60</c:v>
                </c:pt>
                <c:pt idx="9">
                  <c:v>80</c:v>
                </c:pt>
                <c:pt idx="10">
                  <c:v>79</c:v>
                </c:pt>
                <c:pt idx="11">
                  <c:v>65</c:v>
                </c:pt>
                <c:pt idx="12">
                  <c:v>73</c:v>
                </c:pt>
                <c:pt idx="13">
                  <c:v>58</c:v>
                </c:pt>
                <c:pt idx="14">
                  <c:v>21</c:v>
                </c:pt>
                <c:pt idx="15">
                  <c:v>21</c:v>
                </c:pt>
                <c:pt idx="16">
                  <c:v>13</c:v>
                </c:pt>
                <c:pt idx="17">
                  <c:v>17</c:v>
                </c:pt>
                <c:pt idx="18">
                  <c:v>4</c:v>
                </c:pt>
                <c:pt idx="19">
                  <c:v>1</c:v>
                </c:pt>
                <c:pt idx="20">
                  <c:v>7</c:v>
                </c:pt>
                <c:pt idx="21">
                  <c:v>14</c:v>
                </c:pt>
                <c:pt idx="22">
                  <c:v>6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MADDU-KANONI-24h'!$C$9:$N$9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MADDU-KANONI-24h'!$C$107:$N$107</c:f>
              <c:numCache>
                <c:formatCode>0.0%</c:formatCode>
                <c:ptCount val="12"/>
                <c:pt idx="0">
                  <c:v>0.11073059360730593</c:v>
                </c:pt>
                <c:pt idx="1">
                  <c:v>5.9360730593607303E-2</c:v>
                </c:pt>
                <c:pt idx="2">
                  <c:v>3.1963470319634701E-2</c:v>
                </c:pt>
                <c:pt idx="3">
                  <c:v>0.11643835616438356</c:v>
                </c:pt>
                <c:pt idx="4">
                  <c:v>0</c:v>
                </c:pt>
                <c:pt idx="5">
                  <c:v>0</c:v>
                </c:pt>
                <c:pt idx="6">
                  <c:v>4.6803652968036527E-2</c:v>
                </c:pt>
                <c:pt idx="7">
                  <c:v>4.3378995433789952E-2</c:v>
                </c:pt>
                <c:pt idx="8">
                  <c:v>9.1324200913242004E-3</c:v>
                </c:pt>
                <c:pt idx="9">
                  <c:v>0</c:v>
                </c:pt>
                <c:pt idx="10">
                  <c:v>0.58105022831050224</c:v>
                </c:pt>
                <c:pt idx="11">
                  <c:v>1.1415525114155251E-3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MADDU-KANONI-24h'!$C$9:$N$9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MADDU-KANONI-24h'!$C$108:$N$108</c:f>
              <c:numCache>
                <c:formatCode>0.00%</c:formatCode>
                <c:ptCount val="12"/>
                <c:pt idx="0">
                  <c:v>0.26430517711171664</c:v>
                </c:pt>
                <c:pt idx="1">
                  <c:v>0.14168937329700274</c:v>
                </c:pt>
                <c:pt idx="2">
                  <c:v>7.6294277929155316E-2</c:v>
                </c:pt>
                <c:pt idx="3">
                  <c:v>0.27792915531335149</c:v>
                </c:pt>
                <c:pt idx="4">
                  <c:v>0</c:v>
                </c:pt>
                <c:pt idx="5">
                  <c:v>0</c:v>
                </c:pt>
                <c:pt idx="6">
                  <c:v>0.11171662125340599</c:v>
                </c:pt>
                <c:pt idx="7">
                  <c:v>0.10354223433242507</c:v>
                </c:pt>
                <c:pt idx="8">
                  <c:v>2.1798365122615803E-2</c:v>
                </c:pt>
                <c:pt idx="9">
                  <c:v>0</c:v>
                </c:pt>
                <c:pt idx="11">
                  <c:v>2.7247956403269754E-3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KANONI-MADDU'!$AE$9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KANONI-MADDU'!$AE$10:$AE$21</c:f>
              <c:numCache>
                <c:formatCode>0</c:formatCode>
                <c:ptCount val="12"/>
                <c:pt idx="0">
                  <c:v>18</c:v>
                </c:pt>
                <c:pt idx="1">
                  <c:v>12</c:v>
                </c:pt>
                <c:pt idx="2">
                  <c:v>18</c:v>
                </c:pt>
                <c:pt idx="3">
                  <c:v>22</c:v>
                </c:pt>
                <c:pt idx="4">
                  <c:v>27</c:v>
                </c:pt>
                <c:pt idx="5">
                  <c:v>28</c:v>
                </c:pt>
                <c:pt idx="6">
                  <c:v>38</c:v>
                </c:pt>
                <c:pt idx="7">
                  <c:v>25</c:v>
                </c:pt>
                <c:pt idx="8">
                  <c:v>22</c:v>
                </c:pt>
                <c:pt idx="9">
                  <c:v>28</c:v>
                </c:pt>
                <c:pt idx="10">
                  <c:v>24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'20.10 KANONI-MADDU'!$AF$9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KANONI-MADDU'!$AF$10:$AF$21</c:f>
              <c:numCache>
                <c:formatCode>0</c:formatCode>
                <c:ptCount val="12"/>
                <c:pt idx="0">
                  <c:v>50</c:v>
                </c:pt>
                <c:pt idx="1">
                  <c:v>70</c:v>
                </c:pt>
                <c:pt idx="2">
                  <c:v>62</c:v>
                </c:pt>
                <c:pt idx="3">
                  <c:v>68</c:v>
                </c:pt>
                <c:pt idx="4">
                  <c:v>70</c:v>
                </c:pt>
                <c:pt idx="5">
                  <c:v>79</c:v>
                </c:pt>
                <c:pt idx="6">
                  <c:v>82</c:v>
                </c:pt>
                <c:pt idx="7">
                  <c:v>79</c:v>
                </c:pt>
                <c:pt idx="8">
                  <c:v>79</c:v>
                </c:pt>
                <c:pt idx="9">
                  <c:v>103</c:v>
                </c:pt>
                <c:pt idx="10">
                  <c:v>57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KANONI-MADDU'!$C$59:$N$59</c:f>
              <c:numCache>
                <c:formatCode>0.0%</c:formatCode>
                <c:ptCount val="12"/>
                <c:pt idx="0">
                  <c:v>0.12790697674418605</c:v>
                </c:pt>
                <c:pt idx="1">
                  <c:v>2.7906976744186046E-2</c:v>
                </c:pt>
                <c:pt idx="2">
                  <c:v>2.2093023255813953E-2</c:v>
                </c:pt>
                <c:pt idx="3">
                  <c:v>8.1395348837209308E-2</c:v>
                </c:pt>
                <c:pt idx="4">
                  <c:v>6.9767441860465115E-3</c:v>
                </c:pt>
                <c:pt idx="5">
                  <c:v>0</c:v>
                </c:pt>
                <c:pt idx="6">
                  <c:v>2.7906976744186046E-2</c:v>
                </c:pt>
                <c:pt idx="7">
                  <c:v>1.9767441860465116E-2</c:v>
                </c:pt>
                <c:pt idx="8">
                  <c:v>4.6511627906976744E-3</c:v>
                </c:pt>
                <c:pt idx="9">
                  <c:v>1.1627906976744186E-3</c:v>
                </c:pt>
                <c:pt idx="10">
                  <c:v>0.68023255813953487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KANONI-MADDU'!$S$9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KANONI-MADDU'!$S$10:$S$21</c:f>
              <c:numCache>
                <c:formatCode>0</c:formatCode>
                <c:ptCount val="12"/>
                <c:pt idx="0">
                  <c:v>10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5</c:v>
                </c:pt>
                <c:pt idx="6">
                  <c:v>15</c:v>
                </c:pt>
                <c:pt idx="7">
                  <c:v>11</c:v>
                </c:pt>
                <c:pt idx="8">
                  <c:v>11</c:v>
                </c:pt>
                <c:pt idx="9">
                  <c:v>13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'20.10 KANONI-MADDU'!$T$9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KANONI-MADDU'!$T$10:$T$21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'20.10 KANONI-MADDU'!$U$9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KANONI-MADDU'!$U$10:$U$21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'20.10 KANONI-MADDU'!$V$9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KANONI-MADDU'!$V$10:$V$21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'20.10 KANONI-MADDU'!$W$9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'20.10 KANONI-MADDU'!$X$9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'20.10 KANONI-MADDU'!$Y$9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'20.10 KANONI-MADDU'!$Z$9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'20.10 KANONI-MADDU'!$AA$9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'20.10 KANONI-MADDU'!$AB$9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'20.10 KANONI-MADDU'!$AC$9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KANONI-MADDU'!$AC$10:$AC$21</c:f>
              <c:numCache>
                <c:formatCode>0</c:formatCode>
                <c:ptCount val="12"/>
                <c:pt idx="0">
                  <c:v>32</c:v>
                </c:pt>
                <c:pt idx="1">
                  <c:v>58</c:v>
                </c:pt>
                <c:pt idx="2">
                  <c:v>44</c:v>
                </c:pt>
                <c:pt idx="3">
                  <c:v>46</c:v>
                </c:pt>
                <c:pt idx="4">
                  <c:v>43</c:v>
                </c:pt>
                <c:pt idx="5">
                  <c:v>51</c:v>
                </c:pt>
                <c:pt idx="6">
                  <c:v>44</c:v>
                </c:pt>
                <c:pt idx="7">
                  <c:v>54</c:v>
                </c:pt>
                <c:pt idx="8">
                  <c:v>57</c:v>
                </c:pt>
                <c:pt idx="9">
                  <c:v>75</c:v>
                </c:pt>
                <c:pt idx="10">
                  <c:v>33</c:v>
                </c:pt>
                <c:pt idx="1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'20.10 KANONI-MADDU'!$AD$9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KANONI-MADDU'!$AD$10:$AD$21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KANONI-MADDU'!$C$60:$N$60</c:f>
              <c:numCache>
                <c:formatCode>0.00%</c:formatCode>
                <c:ptCount val="12"/>
                <c:pt idx="0">
                  <c:v>0.4</c:v>
                </c:pt>
                <c:pt idx="1">
                  <c:v>8.727272727272728E-2</c:v>
                </c:pt>
                <c:pt idx="2">
                  <c:v>6.9090909090909092E-2</c:v>
                </c:pt>
                <c:pt idx="3">
                  <c:v>0.25454545454545452</c:v>
                </c:pt>
                <c:pt idx="4">
                  <c:v>2.181818181818182E-2</c:v>
                </c:pt>
                <c:pt idx="5">
                  <c:v>0</c:v>
                </c:pt>
                <c:pt idx="6">
                  <c:v>8.727272727272728E-2</c:v>
                </c:pt>
                <c:pt idx="7">
                  <c:v>6.1818181818181821E-2</c:v>
                </c:pt>
                <c:pt idx="8">
                  <c:v>1.4545454545454545E-2</c:v>
                </c:pt>
                <c:pt idx="9">
                  <c:v>3.6363636363636364E-3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MADDU-KANONI'!$AE$9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MADDU-KANONI'!$AE$10:$AE$21</c:f>
              <c:numCache>
                <c:formatCode>0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12</c:v>
                </c:pt>
                <c:pt idx="3">
                  <c:v>18</c:v>
                </c:pt>
                <c:pt idx="4">
                  <c:v>18</c:v>
                </c:pt>
                <c:pt idx="5">
                  <c:v>29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43</c:v>
                </c:pt>
                <c:pt idx="10">
                  <c:v>32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'20.10 MADDU-KANONI'!$AF$9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MADDU-KANONI'!$AF$10:$AF$21</c:f>
              <c:numCache>
                <c:formatCode>0</c:formatCode>
                <c:ptCount val="12"/>
                <c:pt idx="0">
                  <c:v>40</c:v>
                </c:pt>
                <c:pt idx="1">
                  <c:v>72</c:v>
                </c:pt>
                <c:pt idx="2">
                  <c:v>68</c:v>
                </c:pt>
                <c:pt idx="3">
                  <c:v>56</c:v>
                </c:pt>
                <c:pt idx="4">
                  <c:v>55</c:v>
                </c:pt>
                <c:pt idx="5">
                  <c:v>84</c:v>
                </c:pt>
                <c:pt idx="6">
                  <c:v>79</c:v>
                </c:pt>
                <c:pt idx="7">
                  <c:v>103</c:v>
                </c:pt>
                <c:pt idx="8">
                  <c:v>90</c:v>
                </c:pt>
                <c:pt idx="9">
                  <c:v>103</c:v>
                </c:pt>
                <c:pt idx="10">
                  <c:v>99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MADDU-KANONI'!$C$59:$N$59</c:f>
              <c:numCache>
                <c:formatCode>0.0%</c:formatCode>
                <c:ptCount val="12"/>
                <c:pt idx="0">
                  <c:v>0.1111111111111111</c:v>
                </c:pt>
                <c:pt idx="1">
                  <c:v>5.9829059829059832E-2</c:v>
                </c:pt>
                <c:pt idx="2">
                  <c:v>2.3504273504273504E-2</c:v>
                </c:pt>
                <c:pt idx="3">
                  <c:v>9.2948717948717952E-2</c:v>
                </c:pt>
                <c:pt idx="4">
                  <c:v>4.2735042735042739E-3</c:v>
                </c:pt>
                <c:pt idx="5">
                  <c:v>2.136752136752137E-3</c:v>
                </c:pt>
                <c:pt idx="6">
                  <c:v>1.282051282051282E-2</c:v>
                </c:pt>
                <c:pt idx="7">
                  <c:v>1.7094017094017096E-2</c:v>
                </c:pt>
                <c:pt idx="8">
                  <c:v>1.1752136752136752E-2</c:v>
                </c:pt>
                <c:pt idx="9">
                  <c:v>0</c:v>
                </c:pt>
                <c:pt idx="10">
                  <c:v>0.6645299145299145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MADDU-KANONI'!$S$9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MADDU-KANONI'!$S$10:$S$21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'20.10 MADDU-KANONI'!$T$9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MADDU-KANONI'!$T$10:$T$21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9</c:v>
                </c:pt>
                <c:pt idx="6">
                  <c:v>5</c:v>
                </c:pt>
                <c:pt idx="7">
                  <c:v>2</c:v>
                </c:pt>
                <c:pt idx="8">
                  <c:v>13</c:v>
                </c:pt>
                <c:pt idx="9">
                  <c:v>9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'20.10 MADDU-KANONI'!$U$9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'20.10 MADDU-KANONI'!$V$9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MADDU-KANONI'!$V$10:$V$21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9</c:v>
                </c:pt>
                <c:pt idx="7">
                  <c:v>6</c:v>
                </c:pt>
                <c:pt idx="8">
                  <c:v>7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'20.10 MADDU-KANONI'!$W$9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'20.10 MADDU-KANONI'!$X$9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'20.10 MADDU-KANONI'!$Y$9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'20.10 MADDU-KANONI'!$Z$9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'20.10 MADDU-KANONI'!$AA$9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'20.10 MADDU-KANONI'!$AB$9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'20.10 MADDU-KANONI'!$AC$9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MADDU-KANONI'!$AC$10:$AC$21</c:f>
              <c:numCache>
                <c:formatCode>0</c:formatCode>
                <c:ptCount val="12"/>
                <c:pt idx="0">
                  <c:v>28</c:v>
                </c:pt>
                <c:pt idx="1">
                  <c:v>58</c:v>
                </c:pt>
                <c:pt idx="2">
                  <c:v>56</c:v>
                </c:pt>
                <c:pt idx="3">
                  <c:v>38</c:v>
                </c:pt>
                <c:pt idx="4">
                  <c:v>37</c:v>
                </c:pt>
                <c:pt idx="5">
                  <c:v>55</c:v>
                </c:pt>
                <c:pt idx="6">
                  <c:v>46</c:v>
                </c:pt>
                <c:pt idx="7">
                  <c:v>70</c:v>
                </c:pt>
                <c:pt idx="8">
                  <c:v>51</c:v>
                </c:pt>
                <c:pt idx="9">
                  <c:v>60</c:v>
                </c:pt>
                <c:pt idx="10">
                  <c:v>67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'20.10 MADDU-KANONI'!$AD$9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MADDU-KANONI'!$AD$10:$AD$21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MADDU-KANONI'!$C$60:$N$60</c:f>
              <c:numCache>
                <c:formatCode>0.00%</c:formatCode>
                <c:ptCount val="12"/>
                <c:pt idx="0">
                  <c:v>0.33121019108280253</c:v>
                </c:pt>
                <c:pt idx="1">
                  <c:v>0.17834394904458598</c:v>
                </c:pt>
                <c:pt idx="2">
                  <c:v>7.0063694267515922E-2</c:v>
                </c:pt>
                <c:pt idx="3">
                  <c:v>0.27707006369426751</c:v>
                </c:pt>
                <c:pt idx="4">
                  <c:v>1.2738853503184714E-2</c:v>
                </c:pt>
                <c:pt idx="5">
                  <c:v>6.369426751592357E-3</c:v>
                </c:pt>
                <c:pt idx="6">
                  <c:v>3.8216560509554139E-2</c:v>
                </c:pt>
                <c:pt idx="7">
                  <c:v>5.0955414012738856E-2</c:v>
                </c:pt>
                <c:pt idx="8">
                  <c:v>3.5031847133757961E-2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KANONI-MADDU'!$AE$9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KANONI-MADDU'!$AE$10:$AE$21</c:f>
              <c:numCache>
                <c:formatCode>0</c:formatCode>
                <c:ptCount val="12"/>
                <c:pt idx="0">
                  <c:v>11</c:v>
                </c:pt>
                <c:pt idx="1">
                  <c:v>15</c:v>
                </c:pt>
                <c:pt idx="2">
                  <c:v>18</c:v>
                </c:pt>
                <c:pt idx="3">
                  <c:v>19</c:v>
                </c:pt>
                <c:pt idx="4">
                  <c:v>24</c:v>
                </c:pt>
                <c:pt idx="5">
                  <c:v>25</c:v>
                </c:pt>
                <c:pt idx="6">
                  <c:v>17</c:v>
                </c:pt>
                <c:pt idx="7">
                  <c:v>17</c:v>
                </c:pt>
                <c:pt idx="8">
                  <c:v>21</c:v>
                </c:pt>
                <c:pt idx="9">
                  <c:v>24</c:v>
                </c:pt>
                <c:pt idx="10">
                  <c:v>20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'21.10 KANONI-MADDU'!$AF$9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KANONI-MADDU'!$AF$10:$AF$21</c:f>
              <c:numCache>
                <c:formatCode>0</c:formatCode>
                <c:ptCount val="12"/>
                <c:pt idx="0">
                  <c:v>46</c:v>
                </c:pt>
                <c:pt idx="1">
                  <c:v>46</c:v>
                </c:pt>
                <c:pt idx="2">
                  <c:v>47</c:v>
                </c:pt>
                <c:pt idx="3">
                  <c:v>47</c:v>
                </c:pt>
                <c:pt idx="4">
                  <c:v>55</c:v>
                </c:pt>
                <c:pt idx="5">
                  <c:v>72</c:v>
                </c:pt>
                <c:pt idx="6">
                  <c:v>55</c:v>
                </c:pt>
                <c:pt idx="7">
                  <c:v>61</c:v>
                </c:pt>
                <c:pt idx="8">
                  <c:v>65</c:v>
                </c:pt>
                <c:pt idx="9">
                  <c:v>81</c:v>
                </c:pt>
                <c:pt idx="10">
                  <c:v>68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KANONI-MADDU'!$C$59:$N$59</c:f>
              <c:numCache>
                <c:formatCode>0.0%</c:formatCode>
                <c:ptCount val="12"/>
                <c:pt idx="0">
                  <c:v>8.8607594936708861E-2</c:v>
                </c:pt>
                <c:pt idx="1">
                  <c:v>1.969057665260197E-2</c:v>
                </c:pt>
                <c:pt idx="2">
                  <c:v>4.2194092827004218E-2</c:v>
                </c:pt>
                <c:pt idx="3">
                  <c:v>0.10689170182841069</c:v>
                </c:pt>
                <c:pt idx="4">
                  <c:v>0</c:v>
                </c:pt>
                <c:pt idx="5">
                  <c:v>0</c:v>
                </c:pt>
                <c:pt idx="6">
                  <c:v>3.6568213783403657E-2</c:v>
                </c:pt>
                <c:pt idx="7">
                  <c:v>3.2348804500703238E-2</c:v>
                </c:pt>
                <c:pt idx="8">
                  <c:v>5.6258790436005627E-3</c:v>
                </c:pt>
                <c:pt idx="9">
                  <c:v>0</c:v>
                </c:pt>
                <c:pt idx="10">
                  <c:v>0.66807313642756683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KANONI-MADDU'!$S$9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KANONI-MADDU'!$S$10:$S$21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10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'21.10 KANONI-MADDU'!$T$9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KANONI-MADDU'!$T$10:$T$21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'21.10 KANONI-MADDU'!$U$9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'21.10 KANONI-MADDU'!$V$9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KANONI-MADDU'!$V$10:$V$21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'21.10 KANONI-MADDU'!$W$9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'21.10 KANONI-MADDU'!$X$9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'21.10 KANONI-MADDU'!$Y$9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KANONI-MADDU'!$Y$10:$Y$21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'21.10 KANONI-MADDU'!$Z$9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'21.10 KANONI-MADDU'!$AA$9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'21.10 KANONI-MADDU'!$AB$9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'21.10 KANONI-MADDU'!$AC$9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KANONI-MADDU'!$AC$10:$AC$21</c:f>
              <c:numCache>
                <c:formatCode>0</c:formatCode>
                <c:ptCount val="12"/>
                <c:pt idx="0">
                  <c:v>35</c:v>
                </c:pt>
                <c:pt idx="1">
                  <c:v>31</c:v>
                </c:pt>
                <c:pt idx="2">
                  <c:v>29</c:v>
                </c:pt>
                <c:pt idx="3">
                  <c:v>28</c:v>
                </c:pt>
                <c:pt idx="4">
                  <c:v>31</c:v>
                </c:pt>
                <c:pt idx="5">
                  <c:v>47</c:v>
                </c:pt>
                <c:pt idx="6">
                  <c:v>38</c:v>
                </c:pt>
                <c:pt idx="7">
                  <c:v>44</c:v>
                </c:pt>
                <c:pt idx="8">
                  <c:v>44</c:v>
                </c:pt>
                <c:pt idx="9">
                  <c:v>57</c:v>
                </c:pt>
                <c:pt idx="10">
                  <c:v>48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'21.10 KANONI-MADDU'!$AD$9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KANONI-MADDU'!$AD$10:$AD$21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KANONI-MADDU'!$C$60:$N$60</c:f>
              <c:numCache>
                <c:formatCode>0.00%</c:formatCode>
                <c:ptCount val="12"/>
                <c:pt idx="0">
                  <c:v>0.26694915254237289</c:v>
                </c:pt>
                <c:pt idx="1">
                  <c:v>5.9322033898305086E-2</c:v>
                </c:pt>
                <c:pt idx="2">
                  <c:v>0.1271186440677966</c:v>
                </c:pt>
                <c:pt idx="3">
                  <c:v>0.32203389830508472</c:v>
                </c:pt>
                <c:pt idx="4">
                  <c:v>0</c:v>
                </c:pt>
                <c:pt idx="5">
                  <c:v>0</c:v>
                </c:pt>
                <c:pt idx="6">
                  <c:v>0.11016949152542373</c:v>
                </c:pt>
                <c:pt idx="7">
                  <c:v>9.7457627118644072E-2</c:v>
                </c:pt>
                <c:pt idx="8">
                  <c:v>1.6949152542372881E-2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MADDU-KANONI'!$AE$9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MADDU-KANONI'!$AE$10:$AE$21</c:f>
              <c:numCache>
                <c:formatCode>0</c:formatCode>
                <c:ptCount val="12"/>
                <c:pt idx="0">
                  <c:v>16</c:v>
                </c:pt>
                <c:pt idx="1">
                  <c:v>22</c:v>
                </c:pt>
                <c:pt idx="2">
                  <c:v>19</c:v>
                </c:pt>
                <c:pt idx="3">
                  <c:v>20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21</c:v>
                </c:pt>
                <c:pt idx="8">
                  <c:v>28</c:v>
                </c:pt>
                <c:pt idx="9">
                  <c:v>18</c:v>
                </c:pt>
                <c:pt idx="10">
                  <c:v>25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'21.10 MADDU-KANONI'!$AF$9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MADDU-KANONI'!$AF$10:$AF$21</c:f>
              <c:numCache>
                <c:formatCode>0</c:formatCode>
                <c:ptCount val="12"/>
                <c:pt idx="0">
                  <c:v>90</c:v>
                </c:pt>
                <c:pt idx="1">
                  <c:v>59</c:v>
                </c:pt>
                <c:pt idx="2">
                  <c:v>65</c:v>
                </c:pt>
                <c:pt idx="3">
                  <c:v>56</c:v>
                </c:pt>
                <c:pt idx="4">
                  <c:v>46</c:v>
                </c:pt>
                <c:pt idx="5">
                  <c:v>51</c:v>
                </c:pt>
                <c:pt idx="6">
                  <c:v>56</c:v>
                </c:pt>
                <c:pt idx="7">
                  <c:v>61</c:v>
                </c:pt>
                <c:pt idx="8">
                  <c:v>82</c:v>
                </c:pt>
                <c:pt idx="9">
                  <c:v>81</c:v>
                </c:pt>
                <c:pt idx="10">
                  <c:v>72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MADDU-KANONI'!$C$59:$N$59</c:f>
              <c:numCache>
                <c:formatCode>0.0%</c:formatCode>
                <c:ptCount val="12"/>
                <c:pt idx="0">
                  <c:v>6.8035943517329917E-2</c:v>
                </c:pt>
                <c:pt idx="1">
                  <c:v>2.8241335044929396E-2</c:v>
                </c:pt>
                <c:pt idx="2">
                  <c:v>3.7227214377406934E-2</c:v>
                </c:pt>
                <c:pt idx="3">
                  <c:v>0.11810012836970475</c:v>
                </c:pt>
                <c:pt idx="4">
                  <c:v>0</c:v>
                </c:pt>
                <c:pt idx="5">
                  <c:v>0</c:v>
                </c:pt>
                <c:pt idx="6">
                  <c:v>1.7971758664955071E-2</c:v>
                </c:pt>
                <c:pt idx="7">
                  <c:v>2.1822849807445442E-2</c:v>
                </c:pt>
                <c:pt idx="8">
                  <c:v>8.9858793324775355E-3</c:v>
                </c:pt>
                <c:pt idx="9">
                  <c:v>0</c:v>
                </c:pt>
                <c:pt idx="10">
                  <c:v>0.69961489088575102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MADDU-KANONI'!$C$60:$N$60</c:f>
              <c:numCache>
                <c:formatCode>0.00%</c:formatCode>
                <c:ptCount val="12"/>
                <c:pt idx="0">
                  <c:v>0.2264957264957265</c:v>
                </c:pt>
                <c:pt idx="1">
                  <c:v>9.4017094017094016E-2</c:v>
                </c:pt>
                <c:pt idx="2">
                  <c:v>0.12393162393162394</c:v>
                </c:pt>
                <c:pt idx="3">
                  <c:v>0.39316239316239315</c:v>
                </c:pt>
                <c:pt idx="4">
                  <c:v>0</c:v>
                </c:pt>
                <c:pt idx="5">
                  <c:v>0</c:v>
                </c:pt>
                <c:pt idx="6">
                  <c:v>5.9829059829059832E-2</c:v>
                </c:pt>
                <c:pt idx="7">
                  <c:v>7.2649572649572655E-2</c:v>
                </c:pt>
                <c:pt idx="8">
                  <c:v>2.9914529914529916E-2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'22.10.KANONI-MADDU'!$AE$9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'22.10.KANONI-MADDU'!$R$10:$R$21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'22.10.KANONI-MADDU'!$AE$10:$AE$21</c:f>
              <c:numCache>
                <c:formatCode>0</c:formatCode>
                <c:ptCount val="12"/>
                <c:pt idx="0">
                  <c:v>14</c:v>
                </c:pt>
                <c:pt idx="1">
                  <c:v>23</c:v>
                </c:pt>
                <c:pt idx="2">
                  <c:v>26</c:v>
                </c:pt>
                <c:pt idx="3">
                  <c:v>32</c:v>
                </c:pt>
                <c:pt idx="4">
                  <c:v>29</c:v>
                </c:pt>
                <c:pt idx="5">
                  <c:v>41</c:v>
                </c:pt>
                <c:pt idx="6">
                  <c:v>43</c:v>
                </c:pt>
                <c:pt idx="7">
                  <c:v>48</c:v>
                </c:pt>
                <c:pt idx="8">
                  <c:v>22</c:v>
                </c:pt>
                <c:pt idx="9">
                  <c:v>30</c:v>
                </c:pt>
                <c:pt idx="10">
                  <c:v>27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'22.10.KANONI-MADDU'!$AF$9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'22.10.KANONI-MADDU'!$R$10:$R$21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'22.10.KANONI-MADDU'!$AF$10:$AF$21</c:f>
              <c:numCache>
                <c:formatCode>0</c:formatCode>
                <c:ptCount val="12"/>
                <c:pt idx="0">
                  <c:v>41</c:v>
                </c:pt>
                <c:pt idx="1">
                  <c:v>53</c:v>
                </c:pt>
                <c:pt idx="2">
                  <c:v>58</c:v>
                </c:pt>
                <c:pt idx="3">
                  <c:v>74</c:v>
                </c:pt>
                <c:pt idx="4">
                  <c:v>102</c:v>
                </c:pt>
                <c:pt idx="5">
                  <c:v>82</c:v>
                </c:pt>
                <c:pt idx="6">
                  <c:v>84</c:v>
                </c:pt>
                <c:pt idx="7">
                  <c:v>94</c:v>
                </c:pt>
                <c:pt idx="8">
                  <c:v>68</c:v>
                </c:pt>
                <c:pt idx="9">
                  <c:v>73</c:v>
                </c:pt>
                <c:pt idx="10">
                  <c:v>80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'22.10.KANONI-MADDU'!$C$9:$N$9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'22.10.KANONI-MADDU'!$C$59:$N$59</c:f>
              <c:numCache>
                <c:formatCode>0.0%</c:formatCode>
                <c:ptCount val="12"/>
                <c:pt idx="0">
                  <c:v>0.14702450408401399</c:v>
                </c:pt>
                <c:pt idx="1">
                  <c:v>2.6837806301050177E-2</c:v>
                </c:pt>
                <c:pt idx="2">
                  <c:v>3.7339556592765458E-2</c:v>
                </c:pt>
                <c:pt idx="3">
                  <c:v>0.11668611435239207</c:v>
                </c:pt>
                <c:pt idx="4">
                  <c:v>3.5005834305717621E-3</c:v>
                </c:pt>
                <c:pt idx="5">
                  <c:v>0</c:v>
                </c:pt>
                <c:pt idx="6">
                  <c:v>3.8506417736289385E-2</c:v>
                </c:pt>
                <c:pt idx="7">
                  <c:v>3.3838973162193697E-2</c:v>
                </c:pt>
                <c:pt idx="8">
                  <c:v>4.6674445740956822E-3</c:v>
                </c:pt>
                <c:pt idx="9">
                  <c:v>1.1668611435239206E-3</c:v>
                </c:pt>
                <c:pt idx="10">
                  <c:v>0.59043173862310383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'22.10.KANONI-MADDU'!$S$9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'22.10.KANONI-MADDU'!$R$10:$R$21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'22.10.KANONI-MADDU'!$S$10:$S$21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3</c:v>
                </c:pt>
                <c:pt idx="3">
                  <c:v>15</c:v>
                </c:pt>
                <c:pt idx="4">
                  <c:v>15</c:v>
                </c:pt>
                <c:pt idx="5">
                  <c:v>13</c:v>
                </c:pt>
                <c:pt idx="6">
                  <c:v>15</c:v>
                </c:pt>
                <c:pt idx="7">
                  <c:v>18</c:v>
                </c:pt>
                <c:pt idx="8">
                  <c:v>7</c:v>
                </c:pt>
                <c:pt idx="9">
                  <c:v>10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'22.10.KANONI-MADDU'!$T$9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'22.10.KANONI-MADDU'!$R$10:$R$21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'22.10.KANONI-MADDU'!$T$10:$T$21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'22.10.KANONI-MADDU'!$U$9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'22.10.KANONI-MADDU'!$V$9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'22.10.KANONI-MADDU'!$V$10:$V$21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13</c:v>
                </c:pt>
                <c:pt idx="6">
                  <c:v>17</c:v>
                </c:pt>
                <c:pt idx="7">
                  <c:v>17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'22.10.KANONI-MADDU'!$W$9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'22.10.KANONI-MADDU'!$X$9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'22.10.KANONI-MADDU'!$Y$9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'22.10.KANONI-MADDU'!$Y$10:$Y$21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'22.10.KANONI-MADDU'!$Z$9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'22.10.KANONI-MADDU'!$Z$10:$Z$21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'22.10.KANONI-MADDU'!$AA$9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'22.10.KANONI-MADDU'!$AB$9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'22.10.KANONI-MADDU'!$AC$9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'22.10.KANONI-MADDU'!$AC$10:$AC$21</c:f>
              <c:numCache>
                <c:formatCode>0</c:formatCode>
                <c:ptCount val="12"/>
                <c:pt idx="0">
                  <c:v>27</c:v>
                </c:pt>
                <c:pt idx="1">
                  <c:v>30</c:v>
                </c:pt>
                <c:pt idx="2">
                  <c:v>32</c:v>
                </c:pt>
                <c:pt idx="3">
                  <c:v>42</c:v>
                </c:pt>
                <c:pt idx="4">
                  <c:v>73</c:v>
                </c:pt>
                <c:pt idx="5">
                  <c:v>41</c:v>
                </c:pt>
                <c:pt idx="6">
                  <c:v>41</c:v>
                </c:pt>
                <c:pt idx="7">
                  <c:v>46</c:v>
                </c:pt>
                <c:pt idx="8">
                  <c:v>46</c:v>
                </c:pt>
                <c:pt idx="9">
                  <c:v>43</c:v>
                </c:pt>
                <c:pt idx="10">
                  <c:v>53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'22.10.KANONI-MADDU'!$AD$9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'22.10.KANONI-MADDU'!$AD$10:$AD$21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'22.10.KANONI-MADDU'!$C$9:$N$9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'22.10.KANONI-MADDU'!$C$60:$N$60</c:f>
              <c:numCache>
                <c:formatCode>0.00%</c:formatCode>
                <c:ptCount val="12"/>
                <c:pt idx="0">
                  <c:v>0.35897435897435898</c:v>
                </c:pt>
                <c:pt idx="1">
                  <c:v>6.5527065527065526E-2</c:v>
                </c:pt>
                <c:pt idx="2">
                  <c:v>9.1168091168091173E-2</c:v>
                </c:pt>
                <c:pt idx="3">
                  <c:v>0.28490028490028491</c:v>
                </c:pt>
                <c:pt idx="4">
                  <c:v>8.5470085470085479E-3</c:v>
                </c:pt>
                <c:pt idx="5">
                  <c:v>0</c:v>
                </c:pt>
                <c:pt idx="6">
                  <c:v>9.4017094017094016E-2</c:v>
                </c:pt>
                <c:pt idx="7">
                  <c:v>8.2621082621082614E-2</c:v>
                </c:pt>
                <c:pt idx="8">
                  <c:v>1.1396011396011397E-2</c:v>
                </c:pt>
                <c:pt idx="9">
                  <c:v>2.8490028490028491E-3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MADDU-KANONI'!$AE$9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MADDU-KANONI'!$AE$10:$AE$21</c:f>
              <c:numCache>
                <c:formatCode>0</c:formatCode>
                <c:ptCount val="12"/>
                <c:pt idx="0">
                  <c:v>13</c:v>
                </c:pt>
                <c:pt idx="1">
                  <c:v>20</c:v>
                </c:pt>
                <c:pt idx="2">
                  <c:v>20</c:v>
                </c:pt>
                <c:pt idx="3">
                  <c:v>14</c:v>
                </c:pt>
                <c:pt idx="4">
                  <c:v>22</c:v>
                </c:pt>
                <c:pt idx="5">
                  <c:v>9</c:v>
                </c:pt>
                <c:pt idx="6">
                  <c:v>24</c:v>
                </c:pt>
                <c:pt idx="7">
                  <c:v>16</c:v>
                </c:pt>
                <c:pt idx="8">
                  <c:v>27</c:v>
                </c:pt>
                <c:pt idx="9">
                  <c:v>33</c:v>
                </c:pt>
                <c:pt idx="10">
                  <c:v>62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'22.10 MADDU-KANONI'!$AF$9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MADDU-KANONI'!$AF$10:$AF$21</c:f>
              <c:numCache>
                <c:formatCode>0</c:formatCode>
                <c:ptCount val="12"/>
                <c:pt idx="0">
                  <c:v>48</c:v>
                </c:pt>
                <c:pt idx="1">
                  <c:v>55</c:v>
                </c:pt>
                <c:pt idx="2">
                  <c:v>37</c:v>
                </c:pt>
                <c:pt idx="3">
                  <c:v>74</c:v>
                </c:pt>
                <c:pt idx="4">
                  <c:v>76</c:v>
                </c:pt>
                <c:pt idx="5">
                  <c:v>48</c:v>
                </c:pt>
                <c:pt idx="6">
                  <c:v>67</c:v>
                </c:pt>
                <c:pt idx="7">
                  <c:v>67</c:v>
                </c:pt>
                <c:pt idx="8">
                  <c:v>80</c:v>
                </c:pt>
                <c:pt idx="9">
                  <c:v>88</c:v>
                </c:pt>
                <c:pt idx="10">
                  <c:v>136</c:v>
                </c:pt>
                <c:pt idx="11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MADDU-KANONI'!$C$59:$N$59</c:f>
              <c:numCache>
                <c:formatCode>0.0%</c:formatCode>
                <c:ptCount val="12"/>
                <c:pt idx="0">
                  <c:v>0.11175115207373272</c:v>
                </c:pt>
                <c:pt idx="1">
                  <c:v>3.4562211981566823E-2</c:v>
                </c:pt>
                <c:pt idx="2">
                  <c:v>3.2258064516129031E-2</c:v>
                </c:pt>
                <c:pt idx="3">
                  <c:v>0.11751152073732719</c:v>
                </c:pt>
                <c:pt idx="4">
                  <c:v>4.608294930875576E-3</c:v>
                </c:pt>
                <c:pt idx="5">
                  <c:v>0</c:v>
                </c:pt>
                <c:pt idx="6">
                  <c:v>1.8433179723502304E-2</c:v>
                </c:pt>
                <c:pt idx="7">
                  <c:v>1.7281105990783412E-2</c:v>
                </c:pt>
                <c:pt idx="8">
                  <c:v>1.0368663594470046E-2</c:v>
                </c:pt>
                <c:pt idx="9">
                  <c:v>0</c:v>
                </c:pt>
                <c:pt idx="10">
                  <c:v>0.65322580645161288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MADDU-KANONI'!$S$9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MADDU-KANONI'!$S$10:$S$21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  <c:pt idx="6">
                  <c:v>9</c:v>
                </c:pt>
                <c:pt idx="7">
                  <c:v>6</c:v>
                </c:pt>
                <c:pt idx="8">
                  <c:v>8</c:v>
                </c:pt>
                <c:pt idx="9">
                  <c:v>12</c:v>
                </c:pt>
                <c:pt idx="10">
                  <c:v>17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'22.10 MADDU-KANONI'!$T$9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MADDU-KANONI'!$T$10:$T$21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'22.10 MADDU-KANONI'!$U$9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'22.10 MADDU-KANONI'!$V$9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MADDU-KANONI'!$V$10:$V$21</c:f>
              <c:numCache>
                <c:formatCode>0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7</c:v>
                </c:pt>
                <c:pt idx="10">
                  <c:v>25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'22.10 MADDU-KANONI'!$W$9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'22.10 MADDU-KANONI'!$X$9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'22.10 MADDU-KANONI'!$Y$9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'22.10 MADDU-KANONI'!$Z$9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'22.10 MADDU-KANONI'!$AA$9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'22.10 MADDU-KANONI'!$AB$9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'22.10 MADDU-KANONI'!$AC$9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MADDU-KANONI'!$AC$10:$AC$21</c:f>
              <c:numCache>
                <c:formatCode>0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17</c:v>
                </c:pt>
                <c:pt idx="3">
                  <c:v>60</c:v>
                </c:pt>
                <c:pt idx="4">
                  <c:v>54</c:v>
                </c:pt>
                <c:pt idx="5">
                  <c:v>39</c:v>
                </c:pt>
                <c:pt idx="6">
                  <c:v>43</c:v>
                </c:pt>
                <c:pt idx="7">
                  <c:v>51</c:v>
                </c:pt>
                <c:pt idx="8">
                  <c:v>53</c:v>
                </c:pt>
                <c:pt idx="9">
                  <c:v>55</c:v>
                </c:pt>
                <c:pt idx="10">
                  <c:v>74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'22.10 MADDU-KANONI'!$AD$9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MADDU-KANONI'!$AD$10:$AD$21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MADDU-KANONI'!$C$60:$N$60</c:f>
              <c:numCache>
                <c:formatCode>0.00%</c:formatCode>
                <c:ptCount val="12"/>
                <c:pt idx="0">
                  <c:v>0.32225913621262459</c:v>
                </c:pt>
                <c:pt idx="1">
                  <c:v>9.9667774086378738E-2</c:v>
                </c:pt>
                <c:pt idx="2">
                  <c:v>9.3023255813953487E-2</c:v>
                </c:pt>
                <c:pt idx="3">
                  <c:v>0.33887043189368771</c:v>
                </c:pt>
                <c:pt idx="4">
                  <c:v>1.3289036544850499E-2</c:v>
                </c:pt>
                <c:pt idx="5">
                  <c:v>0</c:v>
                </c:pt>
                <c:pt idx="6">
                  <c:v>5.3156146179401995E-2</c:v>
                </c:pt>
                <c:pt idx="7">
                  <c:v>4.9833887043189369E-2</c:v>
                </c:pt>
                <c:pt idx="8">
                  <c:v>2.9900332225913623E-2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KANONI-MADDU'!$AE$9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KANONI-MADDU'!$AE$10:$AE$21</c:f>
              <c:numCache>
                <c:formatCode>0</c:formatCode>
                <c:ptCount val="12"/>
                <c:pt idx="0">
                  <c:v>13</c:v>
                </c:pt>
                <c:pt idx="1">
                  <c:v>17</c:v>
                </c:pt>
                <c:pt idx="2">
                  <c:v>30</c:v>
                </c:pt>
                <c:pt idx="3">
                  <c:v>17</c:v>
                </c:pt>
                <c:pt idx="4">
                  <c:v>31</c:v>
                </c:pt>
                <c:pt idx="5">
                  <c:v>23</c:v>
                </c:pt>
                <c:pt idx="6">
                  <c:v>22</c:v>
                </c:pt>
                <c:pt idx="7">
                  <c:v>27</c:v>
                </c:pt>
                <c:pt idx="8">
                  <c:v>24</c:v>
                </c:pt>
                <c:pt idx="9">
                  <c:v>23</c:v>
                </c:pt>
                <c:pt idx="10">
                  <c:v>25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'23.10 KANONI-MADDU'!$AF$9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KANONI-MADDU'!$AF$10:$AF$21</c:f>
              <c:numCache>
                <c:formatCode>0</c:formatCode>
                <c:ptCount val="12"/>
                <c:pt idx="0">
                  <c:v>54</c:v>
                </c:pt>
                <c:pt idx="1">
                  <c:v>58</c:v>
                </c:pt>
                <c:pt idx="2">
                  <c:v>86</c:v>
                </c:pt>
                <c:pt idx="3">
                  <c:v>63</c:v>
                </c:pt>
                <c:pt idx="4">
                  <c:v>66</c:v>
                </c:pt>
                <c:pt idx="5">
                  <c:v>72</c:v>
                </c:pt>
                <c:pt idx="6">
                  <c:v>69</c:v>
                </c:pt>
                <c:pt idx="7">
                  <c:v>62</c:v>
                </c:pt>
                <c:pt idx="8">
                  <c:v>59</c:v>
                </c:pt>
                <c:pt idx="9">
                  <c:v>80</c:v>
                </c:pt>
                <c:pt idx="10">
                  <c:v>87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KANONI-MADDU'!$C$59:$N$59</c:f>
              <c:numCache>
                <c:formatCode>0.0%</c:formatCode>
                <c:ptCount val="12"/>
                <c:pt idx="0">
                  <c:v>0.13054499366286437</c:v>
                </c:pt>
                <c:pt idx="1">
                  <c:v>2.1546261089987327E-2</c:v>
                </c:pt>
                <c:pt idx="2">
                  <c:v>4.3092522179974654E-2</c:v>
                </c:pt>
                <c:pt idx="3">
                  <c:v>7.8580481622306714E-2</c:v>
                </c:pt>
                <c:pt idx="4">
                  <c:v>1.2674271229404308E-3</c:v>
                </c:pt>
                <c:pt idx="5">
                  <c:v>0</c:v>
                </c:pt>
                <c:pt idx="6">
                  <c:v>2.5348542458808618E-2</c:v>
                </c:pt>
                <c:pt idx="7">
                  <c:v>2.5348542458808618E-2</c:v>
                </c:pt>
                <c:pt idx="8">
                  <c:v>5.0697084917617234E-3</c:v>
                </c:pt>
                <c:pt idx="9">
                  <c:v>0</c:v>
                </c:pt>
                <c:pt idx="10">
                  <c:v>0.66666666666666663</c:v>
                </c:pt>
                <c:pt idx="11">
                  <c:v>2.5348542458808617E-3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KANONI-MADDU'!$S$9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KANONI-MADDU'!$S$10:$S$21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10</c:v>
                </c:pt>
                <c:pt idx="3">
                  <c:v>5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13</c:v>
                </c:pt>
                <c:pt idx="8">
                  <c:v>8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'23.10 KANONI-MADDU'!$T$9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KANONI-MADDU'!$R$10:$R$21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KANONI-MADDU'!$T$10:$T$21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'23.10 KANONI-MADDU'!$U$9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KANONI-MADDU'!$U$10:$U$21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'23.10 KANONI-MADDU'!$V$9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KANONI-MADDU'!$V$10:$V$21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7</c:v>
                </c:pt>
                <c:pt idx="9">
                  <c:v>6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'23.10 KANONI-MADDU'!$W$9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'23.10 KANONI-MADDU'!$X$9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'23.10 KANONI-MADDU'!$Y$9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KANONI-MADDU'!$Y$10:$Y$21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'23.10 KANONI-MADDU'!$Z$9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'23.10 KANONI-MADDU'!$AA$9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'23.10 KANONI-MADDU'!$AB$9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'23.10 KANONI-MADDU'!$AC$9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KANONI-MADDU'!$AC$10:$AC$21</c:f>
              <c:numCache>
                <c:formatCode>0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56</c:v>
                </c:pt>
                <c:pt idx="3">
                  <c:v>46</c:v>
                </c:pt>
                <c:pt idx="4">
                  <c:v>35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35</c:v>
                </c:pt>
                <c:pt idx="9">
                  <c:v>57</c:v>
                </c:pt>
                <c:pt idx="10">
                  <c:v>62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'23.10 KANONI-MADDU'!$AD$9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KANONI-MADDU'!$AD$10:$AD$21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KANONI-MADDU'!$C$60:$N$60</c:f>
              <c:numCache>
                <c:formatCode>0.00%</c:formatCode>
                <c:ptCount val="12"/>
                <c:pt idx="0">
                  <c:v>0.39163498098859317</c:v>
                </c:pt>
                <c:pt idx="1">
                  <c:v>6.4638783269961975E-2</c:v>
                </c:pt>
                <c:pt idx="2">
                  <c:v>0.12927756653992395</c:v>
                </c:pt>
                <c:pt idx="3">
                  <c:v>0.23574144486692014</c:v>
                </c:pt>
                <c:pt idx="4">
                  <c:v>3.8022813688212928E-3</c:v>
                </c:pt>
                <c:pt idx="5">
                  <c:v>0</c:v>
                </c:pt>
                <c:pt idx="6">
                  <c:v>7.6045627376425853E-2</c:v>
                </c:pt>
                <c:pt idx="7">
                  <c:v>7.6045627376425853E-2</c:v>
                </c:pt>
                <c:pt idx="8">
                  <c:v>1.5209125475285171E-2</c:v>
                </c:pt>
                <c:pt idx="9">
                  <c:v>0</c:v>
                </c:pt>
                <c:pt idx="11">
                  <c:v>7.6045627376425855E-3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MADDU-KANONI'!$AE$9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MADDU-KANONI'!$AE$10:$AE$21</c:f>
              <c:numCache>
                <c:formatCode>0</c:formatCode>
                <c:ptCount val="12"/>
                <c:pt idx="0">
                  <c:v>14</c:v>
                </c:pt>
                <c:pt idx="1">
                  <c:v>18</c:v>
                </c:pt>
                <c:pt idx="2">
                  <c:v>28</c:v>
                </c:pt>
                <c:pt idx="3">
                  <c:v>23</c:v>
                </c:pt>
                <c:pt idx="4">
                  <c:v>16</c:v>
                </c:pt>
                <c:pt idx="5">
                  <c:v>28</c:v>
                </c:pt>
                <c:pt idx="6">
                  <c:v>19</c:v>
                </c:pt>
                <c:pt idx="7">
                  <c:v>14</c:v>
                </c:pt>
                <c:pt idx="8">
                  <c:v>16</c:v>
                </c:pt>
                <c:pt idx="9">
                  <c:v>19</c:v>
                </c:pt>
                <c:pt idx="10">
                  <c:v>29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'23.10 MADDU-KANONI'!$AF$9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MADDU-KANONI'!$AF$10:$AF$21</c:f>
              <c:numCache>
                <c:formatCode>0</c:formatCode>
                <c:ptCount val="12"/>
                <c:pt idx="0">
                  <c:v>43</c:v>
                </c:pt>
                <c:pt idx="1">
                  <c:v>57</c:v>
                </c:pt>
                <c:pt idx="2">
                  <c:v>79</c:v>
                </c:pt>
                <c:pt idx="3">
                  <c:v>64</c:v>
                </c:pt>
                <c:pt idx="4">
                  <c:v>71</c:v>
                </c:pt>
                <c:pt idx="5">
                  <c:v>69</c:v>
                </c:pt>
                <c:pt idx="6">
                  <c:v>80</c:v>
                </c:pt>
                <c:pt idx="7">
                  <c:v>50</c:v>
                </c:pt>
                <c:pt idx="8">
                  <c:v>50</c:v>
                </c:pt>
                <c:pt idx="9">
                  <c:v>82</c:v>
                </c:pt>
                <c:pt idx="10">
                  <c:v>76</c:v>
                </c:pt>
                <c:pt idx="11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MADDU-KANONI'!$C$59:$N$59</c:f>
              <c:numCache>
                <c:formatCode>0.0%</c:formatCode>
                <c:ptCount val="12"/>
                <c:pt idx="0">
                  <c:v>0.11012658227848102</c:v>
                </c:pt>
                <c:pt idx="1">
                  <c:v>3.7974683544303799E-2</c:v>
                </c:pt>
                <c:pt idx="2">
                  <c:v>3.7974683544303799E-2</c:v>
                </c:pt>
                <c:pt idx="3">
                  <c:v>9.8734177215189872E-2</c:v>
                </c:pt>
                <c:pt idx="4">
                  <c:v>0</c:v>
                </c:pt>
                <c:pt idx="5">
                  <c:v>0</c:v>
                </c:pt>
                <c:pt idx="6">
                  <c:v>2.1518987341772152E-2</c:v>
                </c:pt>
                <c:pt idx="7">
                  <c:v>1.2658227848101266E-2</c:v>
                </c:pt>
                <c:pt idx="8">
                  <c:v>2.5316455696202532E-3</c:v>
                </c:pt>
                <c:pt idx="9">
                  <c:v>0</c:v>
                </c:pt>
                <c:pt idx="10">
                  <c:v>0.6784810126582278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MADDU-KANONI'!$S$9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MADDU-KANONI'!$S$10:$S$21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4</c:v>
                </c:pt>
                <c:pt idx="5">
                  <c:v>10</c:v>
                </c:pt>
                <c:pt idx="6">
                  <c:v>11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7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'23.10 MADDU-KANONI'!$T$9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MADDU-KANONI'!$R$10:$R$21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MADDU-KANONI'!$T$10:$T$21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'23.10 MADDU-KANONI'!$U$9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MADDU-KANONI'!$U$10:$U$21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'23.10 MADDU-KANONI'!$V$9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MADDU-KANONI'!$V$10:$V$21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'23.10 MADDU-KANONI'!$W$9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'23.10 MADDU-KANONI'!$X$9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'23.10 MADDU-KANONI'!$Y$9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'23.10 MADDU-KANONI'!$Z$9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'23.10 MADDU-KANONI'!$AA$9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'23.10 MADDU-KANONI'!$AB$9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'23.10 MADDU-KANONI'!$AC$9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MADDU-KANONI'!$AC$10:$AC$21</c:f>
              <c:numCache>
                <c:formatCode>0</c:formatCode>
                <c:ptCount val="12"/>
                <c:pt idx="0">
                  <c:v>29</c:v>
                </c:pt>
                <c:pt idx="1">
                  <c:v>39</c:v>
                </c:pt>
                <c:pt idx="2">
                  <c:v>51</c:v>
                </c:pt>
                <c:pt idx="3">
                  <c:v>41</c:v>
                </c:pt>
                <c:pt idx="4">
                  <c:v>55</c:v>
                </c:pt>
                <c:pt idx="5">
                  <c:v>41</c:v>
                </c:pt>
                <c:pt idx="6">
                  <c:v>61</c:v>
                </c:pt>
                <c:pt idx="7">
                  <c:v>36</c:v>
                </c:pt>
                <c:pt idx="8">
                  <c:v>34</c:v>
                </c:pt>
                <c:pt idx="9">
                  <c:v>63</c:v>
                </c:pt>
                <c:pt idx="10">
                  <c:v>47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'23.10 MADDU-KANONI'!$AD$9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MADDU-KANONI'!$AD$10:$AD$21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MADDU-KANONI'!$C$60:$N$60</c:f>
              <c:numCache>
                <c:formatCode>0.00%</c:formatCode>
                <c:ptCount val="12"/>
                <c:pt idx="0">
                  <c:v>0.34251968503937008</c:v>
                </c:pt>
                <c:pt idx="1">
                  <c:v>0.11811023622047244</c:v>
                </c:pt>
                <c:pt idx="2">
                  <c:v>0.11811023622047244</c:v>
                </c:pt>
                <c:pt idx="3">
                  <c:v>0.30708661417322836</c:v>
                </c:pt>
                <c:pt idx="4">
                  <c:v>0</c:v>
                </c:pt>
                <c:pt idx="5">
                  <c:v>0</c:v>
                </c:pt>
                <c:pt idx="6">
                  <c:v>6.6929133858267723E-2</c:v>
                </c:pt>
                <c:pt idx="7">
                  <c:v>3.937007874015748E-2</c:v>
                </c:pt>
                <c:pt idx="8">
                  <c:v>7.874015748031496E-3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Kanoni-Maddu'!$AE$9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Kanoni-Maddu'!$R$10:$R$33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Kanoni-Maddu'!$AE$10:$AE$33</c:f>
              <c:numCache>
                <c:formatCode>0</c:formatCode>
                <c:ptCount val="24"/>
                <c:pt idx="0">
                  <c:v>15.142857142857142</c:v>
                </c:pt>
                <c:pt idx="1">
                  <c:v>20.285714285714285</c:v>
                </c:pt>
                <c:pt idx="2">
                  <c:v>24.571428571428573</c:v>
                </c:pt>
                <c:pt idx="3">
                  <c:v>24.857142857142854</c:v>
                </c:pt>
                <c:pt idx="4">
                  <c:v>26.857142857142858</c:v>
                </c:pt>
                <c:pt idx="5">
                  <c:v>27.428571428571431</c:v>
                </c:pt>
                <c:pt idx="6">
                  <c:v>26.857142857142858</c:v>
                </c:pt>
                <c:pt idx="7">
                  <c:v>28.857142857142854</c:v>
                </c:pt>
                <c:pt idx="8">
                  <c:v>24.857142857142858</c:v>
                </c:pt>
                <c:pt idx="9">
                  <c:v>24.857142857142854</c:v>
                </c:pt>
                <c:pt idx="10">
                  <c:v>23.285714285714285</c:v>
                </c:pt>
                <c:pt idx="11">
                  <c:v>20</c:v>
                </c:pt>
                <c:pt idx="12">
                  <c:v>23.5</c:v>
                </c:pt>
                <c:pt idx="13">
                  <c:v>21.5</c:v>
                </c:pt>
                <c:pt idx="14">
                  <c:v>16</c:v>
                </c:pt>
                <c:pt idx="15">
                  <c:v>14.5</c:v>
                </c:pt>
                <c:pt idx="16">
                  <c:v>7.5</c:v>
                </c:pt>
                <c:pt idx="17">
                  <c:v>11</c:v>
                </c:pt>
                <c:pt idx="18">
                  <c:v>2.5</c:v>
                </c:pt>
                <c:pt idx="19">
                  <c:v>3.5</c:v>
                </c:pt>
                <c:pt idx="20">
                  <c:v>5</c:v>
                </c:pt>
                <c:pt idx="21">
                  <c:v>2.5</c:v>
                </c:pt>
                <c:pt idx="22">
                  <c:v>2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Kanoni-Maddu'!$AF$9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Kanoni-Maddu'!$R$10:$R$33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Kanoni-Maddu'!$AF$10:$AF$33</c:f>
              <c:numCache>
                <c:formatCode>0</c:formatCode>
                <c:ptCount val="24"/>
                <c:pt idx="0">
                  <c:v>42.714285714285708</c:v>
                </c:pt>
                <c:pt idx="1">
                  <c:v>56.285714285714292</c:v>
                </c:pt>
                <c:pt idx="2">
                  <c:v>62.571428571428569</c:v>
                </c:pt>
                <c:pt idx="3">
                  <c:v>60</c:v>
                </c:pt>
                <c:pt idx="4">
                  <c:v>70.714285714285708</c:v>
                </c:pt>
                <c:pt idx="5">
                  <c:v>68.714285714285722</c:v>
                </c:pt>
                <c:pt idx="6">
                  <c:v>67.857142857142861</c:v>
                </c:pt>
                <c:pt idx="7">
                  <c:v>72.857142857142861</c:v>
                </c:pt>
                <c:pt idx="8">
                  <c:v>67.857142857142861</c:v>
                </c:pt>
                <c:pt idx="9">
                  <c:v>77</c:v>
                </c:pt>
                <c:pt idx="10">
                  <c:v>69.428571428571445</c:v>
                </c:pt>
                <c:pt idx="11">
                  <c:v>57.428571428571431</c:v>
                </c:pt>
                <c:pt idx="12">
                  <c:v>71.5</c:v>
                </c:pt>
                <c:pt idx="13">
                  <c:v>51</c:v>
                </c:pt>
                <c:pt idx="14">
                  <c:v>35.5</c:v>
                </c:pt>
                <c:pt idx="15">
                  <c:v>23.5</c:v>
                </c:pt>
                <c:pt idx="16">
                  <c:v>11</c:v>
                </c:pt>
                <c:pt idx="17">
                  <c:v>12.5</c:v>
                </c:pt>
                <c:pt idx="18">
                  <c:v>3.5</c:v>
                </c:pt>
                <c:pt idx="19">
                  <c:v>3.5</c:v>
                </c:pt>
                <c:pt idx="20">
                  <c:v>5.5</c:v>
                </c:pt>
                <c:pt idx="21">
                  <c:v>3</c:v>
                </c:pt>
                <c:pt idx="22">
                  <c:v>3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Kanoni-Maddu'!$C$107:$N$107</c:f>
              <c:numCache>
                <c:formatCode>0.0%</c:formatCode>
                <c:ptCount val="12"/>
                <c:pt idx="0">
                  <c:v>0.12449657316470002</c:v>
                </c:pt>
                <c:pt idx="1">
                  <c:v>3.5893450151911241E-2</c:v>
                </c:pt>
                <c:pt idx="2">
                  <c:v>3.8507736875574079E-2</c:v>
                </c:pt>
                <c:pt idx="3">
                  <c:v>9.9978803080618947E-2</c:v>
                </c:pt>
                <c:pt idx="4">
                  <c:v>2.5436303257259938E-3</c:v>
                </c:pt>
                <c:pt idx="5">
                  <c:v>9.8918957111566444E-4</c:v>
                </c:pt>
                <c:pt idx="6">
                  <c:v>4.4725499894015405E-2</c:v>
                </c:pt>
                <c:pt idx="7">
                  <c:v>4.0132834028121241E-2</c:v>
                </c:pt>
                <c:pt idx="8">
                  <c:v>8.6907369462304821E-3</c:v>
                </c:pt>
                <c:pt idx="9">
                  <c:v>1.7664099484208291E-3</c:v>
                </c:pt>
                <c:pt idx="10">
                  <c:v>0.60199251042181845</c:v>
                </c:pt>
                <c:pt idx="11">
                  <c:v>2.8262559174733267E-4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Kanoni-Maddu'!$C$9:$N$9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Kanoni-Maddu'!$C$108:$N$108</c:f>
              <c:numCache>
                <c:formatCode>0.00%</c:formatCode>
                <c:ptCount val="12"/>
                <c:pt idx="0">
                  <c:v>0.31279957393928626</c:v>
                </c:pt>
                <c:pt idx="1">
                  <c:v>9.0182851056275493E-2</c:v>
                </c:pt>
                <c:pt idx="2">
                  <c:v>9.6751287058405813E-2</c:v>
                </c:pt>
                <c:pt idx="3">
                  <c:v>0.25119829575714542</c:v>
                </c:pt>
                <c:pt idx="4">
                  <c:v>6.3909107047754295E-3</c:v>
                </c:pt>
                <c:pt idx="5">
                  <c:v>2.4853541629682226E-3</c:v>
                </c:pt>
                <c:pt idx="6">
                  <c:v>0.11237351322563466</c:v>
                </c:pt>
                <c:pt idx="7">
                  <c:v>0.10083436889756789</c:v>
                </c:pt>
                <c:pt idx="8">
                  <c:v>2.1835611574649392E-2</c:v>
                </c:pt>
                <c:pt idx="9">
                  <c:v>4.4381324338718256E-3</c:v>
                </c:pt>
                <c:pt idx="11">
                  <c:v>7.1010118941949223E-4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Maddu-Kanoni'!$AE$9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Maddu-Kanoni'!$R$10:$R$33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Maddu-Kanoni'!$AE$10:$AE$33</c:f>
              <c:numCache>
                <c:formatCode>0</c:formatCode>
                <c:ptCount val="24"/>
                <c:pt idx="0">
                  <c:v>13.571428571428573</c:v>
                </c:pt>
                <c:pt idx="1">
                  <c:v>18.571428571428573</c:v>
                </c:pt>
                <c:pt idx="2">
                  <c:v>18.857142857142858</c:v>
                </c:pt>
                <c:pt idx="3">
                  <c:v>18.857142857142858</c:v>
                </c:pt>
                <c:pt idx="4">
                  <c:v>19.142857142857146</c:v>
                </c:pt>
                <c:pt idx="5">
                  <c:v>18.428571428571431</c:v>
                </c:pt>
                <c:pt idx="6">
                  <c:v>20.857142857142858</c:v>
                </c:pt>
                <c:pt idx="7">
                  <c:v>22.571428571428569</c:v>
                </c:pt>
                <c:pt idx="8">
                  <c:v>24.857142857142854</c:v>
                </c:pt>
                <c:pt idx="9">
                  <c:v>29.142857142857146</c:v>
                </c:pt>
                <c:pt idx="10">
                  <c:v>31.142857142857139</c:v>
                </c:pt>
                <c:pt idx="11">
                  <c:v>32.428571428571431</c:v>
                </c:pt>
                <c:pt idx="12">
                  <c:v>35</c:v>
                </c:pt>
                <c:pt idx="13">
                  <c:v>23.5</c:v>
                </c:pt>
                <c:pt idx="14">
                  <c:v>14</c:v>
                </c:pt>
                <c:pt idx="15">
                  <c:v>12</c:v>
                </c:pt>
                <c:pt idx="16">
                  <c:v>10.5</c:v>
                </c:pt>
                <c:pt idx="17">
                  <c:v>12.5</c:v>
                </c:pt>
                <c:pt idx="18">
                  <c:v>3.5</c:v>
                </c:pt>
                <c:pt idx="19">
                  <c:v>3.5</c:v>
                </c:pt>
                <c:pt idx="20">
                  <c:v>6.5</c:v>
                </c:pt>
                <c:pt idx="21">
                  <c:v>7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Maddu-Kanoni'!$AF$9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Maddu-Kanoni'!$R$10:$R$33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Maddu-Kanoni'!$AF$10:$AF$33</c:f>
              <c:numCache>
                <c:formatCode>0</c:formatCode>
                <c:ptCount val="24"/>
                <c:pt idx="0">
                  <c:v>43.714285714285715</c:v>
                </c:pt>
                <c:pt idx="1">
                  <c:v>57.714285714285715</c:v>
                </c:pt>
                <c:pt idx="2">
                  <c:v>55.714285714285715</c:v>
                </c:pt>
                <c:pt idx="3">
                  <c:v>57.714285714285715</c:v>
                </c:pt>
                <c:pt idx="4">
                  <c:v>61.857142857142854</c:v>
                </c:pt>
                <c:pt idx="5">
                  <c:v>59.285714285714285</c:v>
                </c:pt>
                <c:pt idx="6">
                  <c:v>68.428571428571431</c:v>
                </c:pt>
                <c:pt idx="7">
                  <c:v>68.714285714285708</c:v>
                </c:pt>
                <c:pt idx="8">
                  <c:v>68.714285714285708</c:v>
                </c:pt>
                <c:pt idx="9">
                  <c:v>81.285714285714292</c:v>
                </c:pt>
                <c:pt idx="10">
                  <c:v>85.571428571428569</c:v>
                </c:pt>
                <c:pt idx="11">
                  <c:v>76.142857142857139</c:v>
                </c:pt>
                <c:pt idx="12">
                  <c:v>79.5</c:v>
                </c:pt>
                <c:pt idx="13">
                  <c:v>47</c:v>
                </c:pt>
                <c:pt idx="14">
                  <c:v>22</c:v>
                </c:pt>
                <c:pt idx="15">
                  <c:v>16</c:v>
                </c:pt>
                <c:pt idx="16">
                  <c:v>13</c:v>
                </c:pt>
                <c:pt idx="17">
                  <c:v>13</c:v>
                </c:pt>
                <c:pt idx="18">
                  <c:v>3.5</c:v>
                </c:pt>
                <c:pt idx="19">
                  <c:v>3.5</c:v>
                </c:pt>
                <c:pt idx="20">
                  <c:v>6.5</c:v>
                </c:pt>
                <c:pt idx="21">
                  <c:v>7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493858169916063E-2"/>
          <c:y val="0.1817841650912517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Maddu-Kanoni'!$C$107:$N$107</c:f>
              <c:numCache>
                <c:formatCode>0.0%</c:formatCode>
                <c:ptCount val="12"/>
                <c:pt idx="0">
                  <c:v>0.11852322462233515</c:v>
                </c:pt>
                <c:pt idx="1">
                  <c:v>4.8496399830580253E-2</c:v>
                </c:pt>
                <c:pt idx="2">
                  <c:v>3.7201750670619788E-2</c:v>
                </c:pt>
                <c:pt idx="3">
                  <c:v>0.10186361711139348</c:v>
                </c:pt>
                <c:pt idx="4">
                  <c:v>1.1294649159960468E-3</c:v>
                </c:pt>
                <c:pt idx="5">
                  <c:v>2.8236622899901169E-4</c:v>
                </c:pt>
                <c:pt idx="6">
                  <c:v>3.8754764930114351E-2</c:v>
                </c:pt>
                <c:pt idx="7">
                  <c:v>4.48256388535931E-2</c:v>
                </c:pt>
                <c:pt idx="8">
                  <c:v>1.0800508259212195E-2</c:v>
                </c:pt>
                <c:pt idx="9">
                  <c:v>2.8236622899901169E-4</c:v>
                </c:pt>
                <c:pt idx="10">
                  <c:v>0.59734575744740925</c:v>
                </c:pt>
                <c:pt idx="11">
                  <c:v>4.9414090074827047E-4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Maddu-Kanoni'!$C$9:$N$9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Maddu-Kanoni'!$C$108:$N$108</c:f>
              <c:numCache>
                <c:formatCode>0.00%</c:formatCode>
                <c:ptCount val="12"/>
                <c:pt idx="0">
                  <c:v>0.29435483870967744</c:v>
                </c:pt>
                <c:pt idx="1">
                  <c:v>0.12044179523141654</c:v>
                </c:pt>
                <c:pt idx="2">
                  <c:v>9.2391304347826067E-2</c:v>
                </c:pt>
                <c:pt idx="3">
                  <c:v>0.25298036465638152</c:v>
                </c:pt>
                <c:pt idx="4">
                  <c:v>2.8050490883590462E-3</c:v>
                </c:pt>
                <c:pt idx="5">
                  <c:v>7.0126227208976155E-4</c:v>
                </c:pt>
                <c:pt idx="6">
                  <c:v>9.6248246844319776E-2</c:v>
                </c:pt>
                <c:pt idx="7">
                  <c:v>0.11132538569424964</c:v>
                </c:pt>
                <c:pt idx="8">
                  <c:v>2.6823281907433376E-2</c:v>
                </c:pt>
                <c:pt idx="9">
                  <c:v>7.0126227208976155E-4</c:v>
                </c:pt>
                <c:pt idx="11">
                  <c:v>1.2272089761570827E-3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Kanoni-Maddu-2Dir'!$C$9:$N$9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Kanoni-Maddu-2Dir'!$C$107:$N$107</c:f>
              <c:numCache>
                <c:formatCode>0.0%</c:formatCode>
                <c:ptCount val="12"/>
                <c:pt idx="0">
                  <c:v>0.12150852784349733</c:v>
                </c:pt>
                <c:pt idx="1">
                  <c:v>4.219781771955225E-2</c:v>
                </c:pt>
                <c:pt idx="2">
                  <c:v>3.7854444012853559E-2</c:v>
                </c:pt>
                <c:pt idx="3">
                  <c:v>0.10092164271337269</c:v>
                </c:pt>
                <c:pt idx="4">
                  <c:v>1.83622303047424E-3</c:v>
                </c:pt>
                <c:pt idx="5">
                  <c:v>6.3561566439492923E-4</c:v>
                </c:pt>
                <c:pt idx="6">
                  <c:v>4.1738761961933685E-2</c:v>
                </c:pt>
                <c:pt idx="7">
                  <c:v>4.2480313570394439E-2</c:v>
                </c:pt>
                <c:pt idx="8">
                  <c:v>9.7461068540555806E-3</c:v>
                </c:pt>
                <c:pt idx="9">
                  <c:v>1.0240474593029415E-3</c:v>
                </c:pt>
                <c:pt idx="10">
                  <c:v>0.59966806737526057</c:v>
                </c:pt>
                <c:pt idx="11">
                  <c:v>3.8843179490801236E-4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Kanoni-Maddu-2Dir'!$C$9:$N$9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Kanoni-Maddu-2Dir'!$C$108:$N$108</c:f>
              <c:numCache>
                <c:formatCode>0.00%</c:formatCode>
                <c:ptCount val="12"/>
                <c:pt idx="0">
                  <c:v>0.30351944958983856</c:v>
                </c:pt>
                <c:pt idx="1">
                  <c:v>0.10540707418188233</c:v>
                </c:pt>
                <c:pt idx="2">
                  <c:v>9.4557643115462622E-2</c:v>
                </c:pt>
                <c:pt idx="3">
                  <c:v>0.25209491047014204</c:v>
                </c:pt>
                <c:pt idx="4">
                  <c:v>4.5867513451530381E-3</c:v>
                </c:pt>
                <c:pt idx="5">
                  <c:v>1.5877216194760517E-3</c:v>
                </c:pt>
                <c:pt idx="6">
                  <c:v>0.10426038634559405</c:v>
                </c:pt>
                <c:pt idx="7">
                  <c:v>0.1061127282349828</c:v>
                </c:pt>
                <c:pt idx="8">
                  <c:v>2.4345064831966124E-2</c:v>
                </c:pt>
                <c:pt idx="9">
                  <c:v>2.5579959424891943E-3</c:v>
                </c:pt>
                <c:pt idx="11">
                  <c:v>9.7027432301314274E-4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Kanoni-Maddu-2Dir'!$AE$9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Kanoni-Maddu-2Dir'!$R$10:$R$33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Kanoni-Maddu-2Dir'!$AE$10:$AE$33</c:f>
              <c:numCache>
                <c:formatCode>0</c:formatCode>
                <c:ptCount val="24"/>
                <c:pt idx="0">
                  <c:v>28.714285714285715</c:v>
                </c:pt>
                <c:pt idx="1">
                  <c:v>38.857142857142861</c:v>
                </c:pt>
                <c:pt idx="2">
                  <c:v>43.428571428571431</c:v>
                </c:pt>
                <c:pt idx="3">
                  <c:v>43.714285714285715</c:v>
                </c:pt>
                <c:pt idx="4">
                  <c:v>46</c:v>
                </c:pt>
                <c:pt idx="5">
                  <c:v>45.857142857142847</c:v>
                </c:pt>
                <c:pt idx="6">
                  <c:v>47.714285714285715</c:v>
                </c:pt>
                <c:pt idx="7">
                  <c:v>51.428571428571431</c:v>
                </c:pt>
                <c:pt idx="8">
                  <c:v>49.714285714285715</c:v>
                </c:pt>
                <c:pt idx="9">
                  <c:v>54</c:v>
                </c:pt>
                <c:pt idx="10">
                  <c:v>54.428571428571431</c:v>
                </c:pt>
                <c:pt idx="11">
                  <c:v>52.428571428571431</c:v>
                </c:pt>
                <c:pt idx="12">
                  <c:v>58.5</c:v>
                </c:pt>
                <c:pt idx="13">
                  <c:v>45</c:v>
                </c:pt>
                <c:pt idx="14">
                  <c:v>30</c:v>
                </c:pt>
                <c:pt idx="15">
                  <c:v>26.5</c:v>
                </c:pt>
                <c:pt idx="16">
                  <c:v>18</c:v>
                </c:pt>
                <c:pt idx="17">
                  <c:v>23.5</c:v>
                </c:pt>
                <c:pt idx="18">
                  <c:v>6</c:v>
                </c:pt>
                <c:pt idx="19">
                  <c:v>7</c:v>
                </c:pt>
                <c:pt idx="20">
                  <c:v>11.5</c:v>
                </c:pt>
                <c:pt idx="21">
                  <c:v>9.5</c:v>
                </c:pt>
                <c:pt idx="22">
                  <c:v>6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09-462E-A1D2-94EDA8714A85}"/>
            </c:ext>
          </c:extLst>
        </c:ser>
        <c:ser>
          <c:idx val="1"/>
          <c:order val="1"/>
          <c:tx>
            <c:strRef>
              <c:f>'Avg Week Kanoni-Maddu-2Dir'!$AF$9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Kanoni-Maddu-2Dir'!$R$10:$R$33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Kanoni-Maddu-2Dir'!$AF$10:$AF$33</c:f>
              <c:numCache>
                <c:formatCode>0</c:formatCode>
                <c:ptCount val="24"/>
                <c:pt idx="0">
                  <c:v>86.428571428571431</c:v>
                </c:pt>
                <c:pt idx="1">
                  <c:v>113.99999999999999</c:v>
                </c:pt>
                <c:pt idx="2">
                  <c:v>118.28571428571428</c:v>
                </c:pt>
                <c:pt idx="3">
                  <c:v>117.71428571428571</c:v>
                </c:pt>
                <c:pt idx="4">
                  <c:v>132.57142857142856</c:v>
                </c:pt>
                <c:pt idx="5">
                  <c:v>127.99999999999999</c:v>
                </c:pt>
                <c:pt idx="6">
                  <c:v>136.28571428571428</c:v>
                </c:pt>
                <c:pt idx="7">
                  <c:v>141.57142857142856</c:v>
                </c:pt>
                <c:pt idx="8">
                  <c:v>136.57142857142856</c:v>
                </c:pt>
                <c:pt idx="9">
                  <c:v>158.28571428571428</c:v>
                </c:pt>
                <c:pt idx="10">
                  <c:v>155</c:v>
                </c:pt>
                <c:pt idx="11">
                  <c:v>133.57142857142856</c:v>
                </c:pt>
                <c:pt idx="12">
                  <c:v>151</c:v>
                </c:pt>
                <c:pt idx="13">
                  <c:v>98</c:v>
                </c:pt>
                <c:pt idx="14">
                  <c:v>57.5</c:v>
                </c:pt>
                <c:pt idx="15">
                  <c:v>39.5</c:v>
                </c:pt>
                <c:pt idx="16">
                  <c:v>24</c:v>
                </c:pt>
                <c:pt idx="17">
                  <c:v>25.5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10</c:v>
                </c:pt>
                <c:pt idx="22">
                  <c:v>7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09-462E-A1D2-94EDA8714A85}"/>
            </c:ext>
          </c:extLst>
        </c:ser>
        <c:ser>
          <c:idx val="5"/>
          <c:order val="2"/>
          <c:tx>
            <c:strRef>
              <c:f>'Avg Week Kanoni-Maddu-2Dir'!$AC$9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Kanoni-Maddu-2Dir'!$R$10:$R$33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Kanoni-Maddu-2Dir'!$AC$10:$AC$34</c:f>
              <c:numCache>
                <c:formatCode>0</c:formatCode>
                <c:ptCount val="25"/>
                <c:pt idx="0">
                  <c:v>57.714285714285715</c:v>
                </c:pt>
                <c:pt idx="1">
                  <c:v>75.142857142857139</c:v>
                </c:pt>
                <c:pt idx="2">
                  <c:v>74.857142857142861</c:v>
                </c:pt>
                <c:pt idx="3">
                  <c:v>74</c:v>
                </c:pt>
                <c:pt idx="4">
                  <c:v>86.571428571428584</c:v>
                </c:pt>
                <c:pt idx="5">
                  <c:v>82.142857142857139</c:v>
                </c:pt>
                <c:pt idx="6">
                  <c:v>88.571428571428584</c:v>
                </c:pt>
                <c:pt idx="7">
                  <c:v>90.142857142857153</c:v>
                </c:pt>
                <c:pt idx="8">
                  <c:v>86.857142857142861</c:v>
                </c:pt>
                <c:pt idx="9">
                  <c:v>104.28571428571428</c:v>
                </c:pt>
                <c:pt idx="10">
                  <c:v>100.57142857142857</c:v>
                </c:pt>
                <c:pt idx="11">
                  <c:v>81.142857142857139</c:v>
                </c:pt>
                <c:pt idx="12">
                  <c:v>92.5</c:v>
                </c:pt>
                <c:pt idx="13">
                  <c:v>53</c:v>
                </c:pt>
                <c:pt idx="14">
                  <c:v>27.5</c:v>
                </c:pt>
                <c:pt idx="15">
                  <c:v>13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0.5</c:v>
                </c:pt>
                <c:pt idx="21">
                  <c:v>0.5</c:v>
                </c:pt>
                <c:pt idx="22">
                  <c:v>1</c:v>
                </c:pt>
                <c:pt idx="23">
                  <c:v>14</c:v>
                </c:pt>
                <c:pt idx="24">
                  <c:v>75.142857142857139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9-462E-A1D2-94EDA8714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Kanoni-Maddu-2Dir'!$S$9:$AF$9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Kanoni-Maddu-2Dir'!$S$41:$AF$41</c:f>
              <c:numCache>
                <c:formatCode>_(* #,##0_);_(* \(#,##0\);_(* "-"_);_(@_)</c:formatCode>
                <c:ptCount val="14"/>
                <c:pt idx="0">
                  <c:v>245.78571428571428</c:v>
                </c:pt>
                <c:pt idx="1">
                  <c:v>85.357142857142861</c:v>
                </c:pt>
                <c:pt idx="2">
                  <c:v>76.571428571428555</c:v>
                </c:pt>
                <c:pt idx="3">
                  <c:v>204.14285714285711</c:v>
                </c:pt>
                <c:pt idx="4">
                  <c:v>3.714285714285714</c:v>
                </c:pt>
                <c:pt idx="5">
                  <c:v>1.2857142857142856</c:v>
                </c:pt>
                <c:pt idx="6">
                  <c:v>84.428571428571416</c:v>
                </c:pt>
                <c:pt idx="7">
                  <c:v>85.928571428571431</c:v>
                </c:pt>
                <c:pt idx="8">
                  <c:v>19.714285714285715</c:v>
                </c:pt>
                <c:pt idx="9">
                  <c:v>2.0714285714285712</c:v>
                </c:pt>
                <c:pt idx="10">
                  <c:v>1213</c:v>
                </c:pt>
                <c:pt idx="11">
                  <c:v>0.7857142857142857</c:v>
                </c:pt>
                <c:pt idx="12">
                  <c:v>809.78571428571433</c:v>
                </c:pt>
                <c:pt idx="13">
                  <c:v>2022.7857142857142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D-4E17-8579-270E97ECB8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Kanoni-Maddu-2Dir'!$S$9:$AF$9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Kanoni-Maddu-2Dir'!$S$42:$AF$42</c:f>
              <c:numCache>
                <c:formatCode>0.000</c:formatCode>
                <c:ptCount val="14"/>
                <c:pt idx="0">
                  <c:v>1.3863819500402901</c:v>
                </c:pt>
                <c:pt idx="1">
                  <c:v>1.2960954446854664</c:v>
                </c:pt>
                <c:pt idx="2">
                  <c:v>1.2853717026378897</c:v>
                </c:pt>
                <c:pt idx="3">
                  <c:v>1.2747546833184658</c:v>
                </c:pt>
                <c:pt idx="4">
                  <c:v>1.368421052631579</c:v>
                </c:pt>
                <c:pt idx="5">
                  <c:v>4.5</c:v>
                </c:pt>
                <c:pt idx="6">
                  <c:v>1.8584905660377358</c:v>
                </c:pt>
                <c:pt idx="7">
                  <c:v>2.7340909090909089</c:v>
                </c:pt>
                <c:pt idx="8">
                  <c:v>1.550561797752809</c:v>
                </c:pt>
                <c:pt idx="9">
                  <c:v>3.6249999999999996</c:v>
                </c:pt>
                <c:pt idx="10">
                  <c:v>1.2105788423153694</c:v>
                </c:pt>
                <c:pt idx="11">
                  <c:v>2.75</c:v>
                </c:pt>
                <c:pt idx="12">
                  <c:v>1.4557010785824345</c:v>
                </c:pt>
                <c:pt idx="13">
                  <c:v>1.2980839750641731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D-4C3D-9203-E88ADC8C78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3.xml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7.xml"/><Relationship Id="rId1" Type="http://schemas.openxmlformats.org/officeDocument/2006/relationships/chart" Target="../charts/chart2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7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15876</xdr:rowOff>
    </xdr:from>
    <xdr:to>
      <xdr:col>28</xdr:col>
      <xdr:colOff>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60</xdr:row>
      <xdr:rowOff>9526</xdr:rowOff>
    </xdr:from>
    <xdr:to>
      <xdr:col>23</xdr:col>
      <xdr:colOff>31750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682626</xdr:colOff>
      <xdr:row>59</xdr:row>
      <xdr:rowOff>269875</xdr:rowOff>
    </xdr:from>
    <xdr:to>
      <xdr:col>31</xdr:col>
      <xdr:colOff>15876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27</xdr:col>
      <xdr:colOff>698500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59</xdr:row>
      <xdr:rowOff>263525</xdr:rowOff>
    </xdr:from>
    <xdr:to>
      <xdr:col>23</xdr:col>
      <xdr:colOff>1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15875</xdr:colOff>
      <xdr:row>60</xdr:row>
      <xdr:rowOff>15876</xdr:rowOff>
    </xdr:from>
    <xdr:to>
      <xdr:col>31</xdr:col>
      <xdr:colOff>15875</xdr:colOff>
      <xdr:row>74</xdr:row>
      <xdr:rowOff>15876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200025</xdr:rowOff>
    </xdr:from>
    <xdr:to>
      <xdr:col>23</xdr:col>
      <xdr:colOff>635000</xdr:colOff>
      <xdr:row>74</xdr:row>
      <xdr:rowOff>222250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222250</xdr:rowOff>
    </xdr:from>
    <xdr:to>
      <xdr:col>23</xdr:col>
      <xdr:colOff>650874</xdr:colOff>
      <xdr:row>91</xdr:row>
      <xdr:rowOff>111125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142876</xdr:colOff>
      <xdr:row>43</xdr:row>
      <xdr:rowOff>15875</xdr:rowOff>
    </xdr:from>
    <xdr:to>
      <xdr:col>28</xdr:col>
      <xdr:colOff>1</xdr:colOff>
      <xdr:row>58</xdr:row>
      <xdr:rowOff>231778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4715ACC-AC0C-4F11-AE74-B064D9009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650875</xdr:colOff>
      <xdr:row>58</xdr:row>
      <xdr:rowOff>254000</xdr:rowOff>
    </xdr:from>
    <xdr:to>
      <xdr:col>30</xdr:col>
      <xdr:colOff>635000</xdr:colOff>
      <xdr:row>75</xdr:row>
      <xdr:rowOff>31750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D68F5BA-1677-4506-AB44-5E66584A2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75</xdr:row>
      <xdr:rowOff>31750</xdr:rowOff>
    </xdr:from>
    <xdr:to>
      <xdr:col>30</xdr:col>
      <xdr:colOff>650875</xdr:colOff>
      <xdr:row>91</xdr:row>
      <xdr:rowOff>125413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849A8B9-C7F3-4E29-826A-27F2B90B2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C21" sqref="C2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1" t="s">
        <v>96</v>
      </c>
      <c r="C3" s="63" t="s">
        <v>163</v>
      </c>
      <c r="D3" s="63"/>
      <c r="E3" s="63"/>
      <c r="F3" s="63"/>
      <c r="G3" s="63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58" t="s">
        <v>165</v>
      </c>
      <c r="H5" s="59"/>
      <c r="I5" s="14"/>
      <c r="J5" s="2" t="s">
        <v>5</v>
      </c>
      <c r="K5" s="58" t="s">
        <v>167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165</v>
      </c>
      <c r="E6" s="59"/>
      <c r="F6" s="2" t="s">
        <v>2</v>
      </c>
      <c r="G6" s="58" t="s">
        <v>166</v>
      </c>
      <c r="H6" s="59"/>
      <c r="J6" s="2" t="s">
        <v>21</v>
      </c>
      <c r="K6" s="58" t="s">
        <v>167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4</v>
      </c>
      <c r="T10" s="17">
        <f t="shared" si="2"/>
        <v>1</v>
      </c>
      <c r="U10" s="17">
        <f t="shared" si="2"/>
        <v>4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20</v>
      </c>
      <c r="AD10" s="17">
        <f t="shared" si="2"/>
        <v>0</v>
      </c>
      <c r="AE10" s="31">
        <f t="shared" si="2"/>
        <v>21</v>
      </c>
      <c r="AF10" s="31">
        <f t="shared" si="2"/>
        <v>41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2</v>
      </c>
      <c r="P11" s="15">
        <f t="shared" si="1"/>
        <v>3</v>
      </c>
      <c r="R11" s="1" t="s">
        <v>7</v>
      </c>
      <c r="S11" s="17">
        <f t="shared" ref="S11:AF11" si="3">SUM(C14:C17)</f>
        <v>13</v>
      </c>
      <c r="T11" s="17">
        <f t="shared" si="3"/>
        <v>10</v>
      </c>
      <c r="U11" s="17">
        <f t="shared" si="3"/>
        <v>3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45</v>
      </c>
      <c r="AD11" s="17">
        <f t="shared" si="3"/>
        <v>0</v>
      </c>
      <c r="AE11" s="31">
        <f t="shared" si="3"/>
        <v>34</v>
      </c>
      <c r="AF11" s="31">
        <f t="shared" si="3"/>
        <v>79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7</v>
      </c>
      <c r="P12" s="15">
        <f t="shared" si="1"/>
        <v>15</v>
      </c>
      <c r="R12" s="1" t="s">
        <v>8</v>
      </c>
      <c r="S12" s="17">
        <f t="shared" ref="S12:AF12" si="4">SUM(C18:C21)</f>
        <v>6</v>
      </c>
      <c r="T12" s="17">
        <f t="shared" si="4"/>
        <v>4</v>
      </c>
      <c r="U12" s="17">
        <f t="shared" si="4"/>
        <v>6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3</v>
      </c>
      <c r="AB12" s="17">
        <f t="shared" si="4"/>
        <v>0</v>
      </c>
      <c r="AC12" s="17">
        <f t="shared" si="4"/>
        <v>54</v>
      </c>
      <c r="AD12" s="17">
        <f t="shared" si="4"/>
        <v>0</v>
      </c>
      <c r="AE12" s="31">
        <f t="shared" si="4"/>
        <v>25</v>
      </c>
      <c r="AF12" s="31">
        <f t="shared" si="4"/>
        <v>79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4</v>
      </c>
      <c r="F13" s="50">
        <v>0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10</v>
      </c>
      <c r="P13" s="15">
        <f t="shared" si="1"/>
        <v>17</v>
      </c>
      <c r="R13" s="1" t="s">
        <v>9</v>
      </c>
      <c r="S13" s="17">
        <f t="shared" ref="S13:AF13" si="5">SUM(C22:C25)</f>
        <v>18</v>
      </c>
      <c r="T13" s="17">
        <f t="shared" si="5"/>
        <v>8</v>
      </c>
      <c r="U13" s="17">
        <f t="shared" si="5"/>
        <v>6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35</v>
      </c>
      <c r="AD13" s="17">
        <f t="shared" si="5"/>
        <v>0</v>
      </c>
      <c r="AE13" s="31">
        <f t="shared" si="5"/>
        <v>41</v>
      </c>
      <c r="AF13" s="31">
        <f t="shared" si="5"/>
        <v>76</v>
      </c>
    </row>
    <row r="14" spans="2:32" ht="23.1" customHeight="1" x14ac:dyDescent="0.25">
      <c r="B14" s="23" t="s">
        <v>41</v>
      </c>
      <c r="C14" s="50">
        <v>2</v>
      </c>
      <c r="D14" s="50">
        <v>2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0</v>
      </c>
      <c r="M14" s="50">
        <v>11</v>
      </c>
      <c r="N14" s="50">
        <v>0</v>
      </c>
      <c r="O14" s="15">
        <f t="shared" si="0"/>
        <v>7</v>
      </c>
      <c r="P14" s="15">
        <f t="shared" si="1"/>
        <v>18</v>
      </c>
      <c r="R14" s="1" t="s">
        <v>10</v>
      </c>
      <c r="S14" s="17">
        <f t="shared" ref="S14:AF14" si="6">SUM(C26:C29)</f>
        <v>11</v>
      </c>
      <c r="T14" s="17">
        <f t="shared" si="6"/>
        <v>1</v>
      </c>
      <c r="U14" s="17">
        <f t="shared" si="6"/>
        <v>7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32</v>
      </c>
      <c r="AF14" s="31">
        <f t="shared" si="6"/>
        <v>64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3</v>
      </c>
      <c r="P15" s="15">
        <f t="shared" si="1"/>
        <v>15</v>
      </c>
      <c r="R15" s="1" t="s">
        <v>11</v>
      </c>
      <c r="S15" s="17">
        <f t="shared" ref="S15:AF15" si="7">SUM(C30:C33)</f>
        <v>9</v>
      </c>
      <c r="T15" s="17">
        <f t="shared" si="7"/>
        <v>2</v>
      </c>
      <c r="U15" s="17">
        <f t="shared" si="7"/>
        <v>2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36</v>
      </c>
      <c r="AD15" s="17">
        <f t="shared" si="7"/>
        <v>0</v>
      </c>
      <c r="AE15" s="31">
        <f t="shared" si="7"/>
        <v>29</v>
      </c>
      <c r="AF15" s="31">
        <f t="shared" si="7"/>
        <v>65</v>
      </c>
    </row>
    <row r="16" spans="2:32" ht="23.1" customHeight="1" x14ac:dyDescent="0.25">
      <c r="B16" s="23" t="s">
        <v>43</v>
      </c>
      <c r="C16" s="50">
        <v>6</v>
      </c>
      <c r="D16" s="50">
        <v>5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15</v>
      </c>
      <c r="N16" s="50">
        <v>0</v>
      </c>
      <c r="O16" s="15">
        <f t="shared" si="0"/>
        <v>14</v>
      </c>
      <c r="P16" s="15">
        <f t="shared" si="1"/>
        <v>29</v>
      </c>
      <c r="R16" s="1" t="s">
        <v>12</v>
      </c>
      <c r="S16" s="17">
        <f t="shared" ref="S16:AF16" si="8">SUM(C34:C37)</f>
        <v>8</v>
      </c>
      <c r="T16" s="17">
        <f t="shared" si="8"/>
        <v>3</v>
      </c>
      <c r="U16" s="17">
        <f t="shared" si="8"/>
        <v>3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34</v>
      </c>
      <c r="AD16" s="17">
        <f t="shared" si="8"/>
        <v>0</v>
      </c>
      <c r="AE16" s="31">
        <f t="shared" si="8"/>
        <v>24</v>
      </c>
      <c r="AF16" s="31">
        <f t="shared" si="8"/>
        <v>58</v>
      </c>
    </row>
    <row r="17" spans="2:32" ht="23.1" customHeight="1" x14ac:dyDescent="0.25">
      <c r="B17" s="23" t="s">
        <v>44</v>
      </c>
      <c r="C17" s="50">
        <v>3</v>
      </c>
      <c r="D17" s="50">
        <v>2</v>
      </c>
      <c r="E17" s="50">
        <v>1</v>
      </c>
      <c r="F17" s="50">
        <v>2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10</v>
      </c>
      <c r="P17" s="15">
        <f t="shared" si="1"/>
        <v>17</v>
      </c>
      <c r="R17" s="1" t="s">
        <v>13</v>
      </c>
      <c r="S17" s="17">
        <f t="shared" ref="S17:AF17" si="9">SUM(C38:C41)</f>
        <v>14</v>
      </c>
      <c r="T17" s="17">
        <f t="shared" si="9"/>
        <v>3</v>
      </c>
      <c r="U17" s="17">
        <f t="shared" si="9"/>
        <v>2</v>
      </c>
      <c r="V17" s="17">
        <f t="shared" si="9"/>
        <v>7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55</v>
      </c>
      <c r="AD17" s="17">
        <f t="shared" si="9"/>
        <v>0</v>
      </c>
      <c r="AE17" s="31">
        <f t="shared" si="9"/>
        <v>31</v>
      </c>
      <c r="AF17" s="31">
        <f t="shared" si="9"/>
        <v>86</v>
      </c>
    </row>
    <row r="18" spans="2:32" ht="23.1" customHeight="1" x14ac:dyDescent="0.25">
      <c r="B18" s="23" t="s">
        <v>45</v>
      </c>
      <c r="C18" s="50">
        <v>2</v>
      </c>
      <c r="D18" s="50">
        <v>2</v>
      </c>
      <c r="E18" s="50">
        <v>0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6</v>
      </c>
      <c r="P18" s="15">
        <f t="shared" si="1"/>
        <v>18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6</v>
      </c>
      <c r="V18" s="17">
        <f t="shared" si="10"/>
        <v>6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5</v>
      </c>
      <c r="AA18" s="17">
        <f t="shared" si="10"/>
        <v>0</v>
      </c>
      <c r="AB18" s="17">
        <f t="shared" si="10"/>
        <v>0</v>
      </c>
      <c r="AC18" s="17">
        <f t="shared" si="10"/>
        <v>39</v>
      </c>
      <c r="AD18" s="17">
        <f t="shared" si="10"/>
        <v>0</v>
      </c>
      <c r="AE18" s="31">
        <f t="shared" si="10"/>
        <v>23</v>
      </c>
      <c r="AF18" s="31">
        <f t="shared" si="10"/>
        <v>62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2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14</v>
      </c>
      <c r="N19" s="50">
        <v>0</v>
      </c>
      <c r="O19" s="15">
        <f t="shared" si="0"/>
        <v>6</v>
      </c>
      <c r="P19" s="15">
        <f t="shared" si="1"/>
        <v>20</v>
      </c>
      <c r="R19" s="1" t="s">
        <v>15</v>
      </c>
      <c r="S19" s="17">
        <f t="shared" ref="S19:AF19" si="11">SUM(C46:C49)</f>
        <v>5</v>
      </c>
      <c r="T19" s="17">
        <f t="shared" si="11"/>
        <v>1</v>
      </c>
      <c r="U19" s="17">
        <f t="shared" si="11"/>
        <v>2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45</v>
      </c>
      <c r="AD19" s="17">
        <f t="shared" si="11"/>
        <v>0</v>
      </c>
      <c r="AE19" s="31">
        <f t="shared" si="11"/>
        <v>24</v>
      </c>
      <c r="AF19" s="31">
        <f t="shared" si="11"/>
        <v>69</v>
      </c>
    </row>
    <row r="20" spans="2:32" ht="23.1" customHeight="1" x14ac:dyDescent="0.25">
      <c r="B20" s="23" t="s">
        <v>47</v>
      </c>
      <c r="C20" s="50">
        <v>2</v>
      </c>
      <c r="D20" s="50">
        <v>2</v>
      </c>
      <c r="E20" s="50">
        <v>4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0</v>
      </c>
      <c r="M20" s="50">
        <v>22</v>
      </c>
      <c r="N20" s="50">
        <v>0</v>
      </c>
      <c r="O20" s="15">
        <f t="shared" si="0"/>
        <v>11</v>
      </c>
      <c r="P20" s="15">
        <f t="shared" si="1"/>
        <v>33</v>
      </c>
      <c r="R20" s="1" t="s">
        <v>16</v>
      </c>
      <c r="S20" s="17">
        <f t="shared" ref="S20:AF20" si="12">SUM(C50:C53)</f>
        <v>7</v>
      </c>
      <c r="T20" s="17">
        <f t="shared" si="12"/>
        <v>0</v>
      </c>
      <c r="U20" s="17">
        <f t="shared" si="12"/>
        <v>0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43</v>
      </c>
      <c r="AD20" s="17">
        <f t="shared" si="12"/>
        <v>0</v>
      </c>
      <c r="AE20" s="31">
        <f t="shared" si="12"/>
        <v>15</v>
      </c>
      <c r="AF20" s="31">
        <f t="shared" si="12"/>
        <v>58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6</v>
      </c>
      <c r="N21" s="50">
        <v>0</v>
      </c>
      <c r="O21" s="15">
        <f t="shared" si="0"/>
        <v>2</v>
      </c>
      <c r="P21" s="15">
        <f t="shared" si="1"/>
        <v>8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0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40</v>
      </c>
      <c r="AD21" s="17">
        <f t="shared" si="13"/>
        <v>0</v>
      </c>
      <c r="AE21" s="31">
        <f t="shared" si="13"/>
        <v>22</v>
      </c>
      <c r="AF21" s="31">
        <f t="shared" si="13"/>
        <v>62</v>
      </c>
    </row>
    <row r="22" spans="2:32" ht="23.1" customHeight="1" x14ac:dyDescent="0.25">
      <c r="B22" s="23" t="s">
        <v>49</v>
      </c>
      <c r="C22" s="50">
        <v>9</v>
      </c>
      <c r="D22" s="50">
        <v>2</v>
      </c>
      <c r="E22" s="50">
        <v>2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15</v>
      </c>
      <c r="P22" s="15">
        <f t="shared" si="1"/>
        <v>25</v>
      </c>
      <c r="R22" s="38" t="s">
        <v>90</v>
      </c>
      <c r="S22" s="39">
        <f>MAX(S10:S12)</f>
        <v>13</v>
      </c>
      <c r="T22" s="39">
        <f t="shared" ref="T22:AF22" si="14">MAX(T10:T12)</f>
        <v>10</v>
      </c>
      <c r="U22" s="39">
        <f t="shared" si="14"/>
        <v>6</v>
      </c>
      <c r="V22" s="39">
        <f t="shared" si="14"/>
        <v>4</v>
      </c>
      <c r="W22" s="39">
        <f t="shared" si="14"/>
        <v>0</v>
      </c>
      <c r="X22" s="39">
        <f t="shared" si="14"/>
        <v>0</v>
      </c>
      <c r="Y22" s="39">
        <f t="shared" si="14"/>
        <v>8</v>
      </c>
      <c r="Z22" s="39">
        <f t="shared" si="14"/>
        <v>3</v>
      </c>
      <c r="AA22" s="39">
        <f t="shared" si="14"/>
        <v>3</v>
      </c>
      <c r="AB22" s="39">
        <f t="shared" si="14"/>
        <v>0</v>
      </c>
      <c r="AC22" s="39">
        <f t="shared" si="14"/>
        <v>54</v>
      </c>
      <c r="AD22" s="39">
        <f t="shared" si="14"/>
        <v>0</v>
      </c>
      <c r="AE22" s="40">
        <f t="shared" si="14"/>
        <v>34</v>
      </c>
      <c r="AF22" s="40">
        <f t="shared" si="14"/>
        <v>79</v>
      </c>
    </row>
    <row r="23" spans="2:32" ht="23.1" customHeight="1" x14ac:dyDescent="0.25">
      <c r="B23" s="23" t="s">
        <v>50</v>
      </c>
      <c r="C23" s="50">
        <v>6</v>
      </c>
      <c r="D23" s="50">
        <v>5</v>
      </c>
      <c r="E23" s="50">
        <v>1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14</v>
      </c>
      <c r="P23" s="15">
        <f t="shared" si="1"/>
        <v>22</v>
      </c>
      <c r="R23" s="38" t="s">
        <v>91</v>
      </c>
      <c r="S23" s="39">
        <f>MAX(S13:S18)</f>
        <v>18</v>
      </c>
      <c r="T23" s="39">
        <f t="shared" ref="T23:AF23" si="15">MAX(T13:T18)</f>
        <v>8</v>
      </c>
      <c r="U23" s="39">
        <f t="shared" si="15"/>
        <v>7</v>
      </c>
      <c r="V23" s="39">
        <f t="shared" si="15"/>
        <v>9</v>
      </c>
      <c r="W23" s="39">
        <f t="shared" si="15"/>
        <v>0</v>
      </c>
      <c r="X23" s="39">
        <f t="shared" si="15"/>
        <v>0</v>
      </c>
      <c r="Y23" s="39">
        <f t="shared" si="15"/>
        <v>8</v>
      </c>
      <c r="Z23" s="39">
        <f t="shared" si="15"/>
        <v>5</v>
      </c>
      <c r="AA23" s="39">
        <f t="shared" si="15"/>
        <v>2</v>
      </c>
      <c r="AB23" s="39">
        <f t="shared" si="15"/>
        <v>0</v>
      </c>
      <c r="AC23" s="39">
        <f t="shared" si="15"/>
        <v>55</v>
      </c>
      <c r="AD23" s="39">
        <f t="shared" si="15"/>
        <v>0</v>
      </c>
      <c r="AE23" s="40">
        <f t="shared" si="15"/>
        <v>41</v>
      </c>
      <c r="AF23" s="40">
        <f t="shared" si="15"/>
        <v>86</v>
      </c>
    </row>
    <row r="24" spans="2:32" ht="23.1" customHeight="1" x14ac:dyDescent="0.25">
      <c r="B24" s="23" t="s">
        <v>51</v>
      </c>
      <c r="C24" s="50">
        <v>2</v>
      </c>
      <c r="D24" s="50">
        <v>1</v>
      </c>
      <c r="E24" s="50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6</v>
      </c>
      <c r="P24" s="15">
        <f t="shared" si="1"/>
        <v>20</v>
      </c>
      <c r="R24" s="38" t="s">
        <v>92</v>
      </c>
      <c r="S24" s="39">
        <f>MAX(S19:S21)</f>
        <v>7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8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4</v>
      </c>
      <c r="AA24" s="39">
        <f t="shared" si="16"/>
        <v>0</v>
      </c>
      <c r="AB24" s="39">
        <f t="shared" si="16"/>
        <v>0</v>
      </c>
      <c r="AC24" s="39">
        <f t="shared" si="16"/>
        <v>45</v>
      </c>
      <c r="AD24" s="39">
        <f t="shared" si="16"/>
        <v>0</v>
      </c>
      <c r="AE24" s="40">
        <f t="shared" si="16"/>
        <v>24</v>
      </c>
      <c r="AF24" s="40">
        <f t="shared" si="16"/>
        <v>69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2</v>
      </c>
      <c r="F25" s="50">
        <v>2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6</v>
      </c>
      <c r="P25" s="15">
        <f t="shared" si="1"/>
        <v>9</v>
      </c>
      <c r="R25" s="37" t="s">
        <v>85</v>
      </c>
      <c r="S25" s="35">
        <f t="shared" ref="S25:AF25" si="17">SUM(S10:S12)</f>
        <v>23</v>
      </c>
      <c r="T25" s="16">
        <f t="shared" si="17"/>
        <v>15</v>
      </c>
      <c r="U25" s="16">
        <f t="shared" si="17"/>
        <v>13</v>
      </c>
      <c r="V25" s="16">
        <f t="shared" si="17"/>
        <v>8</v>
      </c>
      <c r="W25" s="16">
        <f t="shared" si="17"/>
        <v>0</v>
      </c>
      <c r="X25" s="16">
        <f t="shared" si="17"/>
        <v>0</v>
      </c>
      <c r="Y25" s="16">
        <f t="shared" si="17"/>
        <v>11</v>
      </c>
      <c r="Z25" s="16">
        <f t="shared" si="17"/>
        <v>5</v>
      </c>
      <c r="AA25" s="16">
        <f t="shared" si="17"/>
        <v>5</v>
      </c>
      <c r="AB25" s="16">
        <f t="shared" si="17"/>
        <v>0</v>
      </c>
      <c r="AC25" s="16">
        <f t="shared" si="17"/>
        <v>119</v>
      </c>
      <c r="AD25" s="16">
        <f t="shared" si="17"/>
        <v>0</v>
      </c>
      <c r="AE25" s="32">
        <f t="shared" si="17"/>
        <v>80</v>
      </c>
      <c r="AF25" s="32">
        <f t="shared" si="17"/>
        <v>199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2</v>
      </c>
      <c r="F26" s="50">
        <v>5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12</v>
      </c>
      <c r="P26" s="15">
        <f t="shared" si="1"/>
        <v>26</v>
      </c>
      <c r="R26" s="28" t="s">
        <v>86</v>
      </c>
      <c r="S26" s="16">
        <f t="shared" ref="S26:AF26" si="18">SUM(S13:S18)</f>
        <v>64</v>
      </c>
      <c r="T26" s="16">
        <f t="shared" si="18"/>
        <v>18</v>
      </c>
      <c r="U26" s="16">
        <f t="shared" si="18"/>
        <v>26</v>
      </c>
      <c r="V26" s="16">
        <f t="shared" si="18"/>
        <v>40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12</v>
      </c>
      <c r="AA26" s="16">
        <f t="shared" si="18"/>
        <v>4</v>
      </c>
      <c r="AB26" s="16">
        <f t="shared" si="18"/>
        <v>0</v>
      </c>
      <c r="AC26" s="16">
        <f t="shared" si="18"/>
        <v>231</v>
      </c>
      <c r="AD26" s="16">
        <f t="shared" si="18"/>
        <v>0</v>
      </c>
      <c r="AE26" s="32">
        <f t="shared" si="18"/>
        <v>180</v>
      </c>
      <c r="AF26" s="32">
        <f t="shared" si="18"/>
        <v>411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2</v>
      </c>
      <c r="P27" s="15">
        <f t="shared" si="1"/>
        <v>9</v>
      </c>
      <c r="R27" s="29" t="s">
        <v>87</v>
      </c>
      <c r="S27" s="16">
        <f t="shared" ref="S27:AF27" si="19">SUM(S19:S21)</f>
        <v>17</v>
      </c>
      <c r="T27" s="16">
        <f t="shared" si="19"/>
        <v>1</v>
      </c>
      <c r="U27" s="16">
        <f t="shared" si="19"/>
        <v>2</v>
      </c>
      <c r="V27" s="16">
        <f t="shared" si="19"/>
        <v>22</v>
      </c>
      <c r="W27" s="16">
        <f t="shared" si="19"/>
        <v>0</v>
      </c>
      <c r="X27" s="16">
        <f t="shared" si="19"/>
        <v>0</v>
      </c>
      <c r="Y27" s="16">
        <f t="shared" si="19"/>
        <v>13</v>
      </c>
      <c r="Z27" s="16">
        <f t="shared" si="19"/>
        <v>6</v>
      </c>
      <c r="AA27" s="16">
        <f t="shared" si="19"/>
        <v>0</v>
      </c>
      <c r="AB27" s="16">
        <f t="shared" si="19"/>
        <v>0</v>
      </c>
      <c r="AC27" s="16">
        <f t="shared" si="19"/>
        <v>128</v>
      </c>
      <c r="AD27" s="16">
        <f t="shared" si="19"/>
        <v>0</v>
      </c>
      <c r="AE27" s="32">
        <f t="shared" si="19"/>
        <v>61</v>
      </c>
      <c r="AF27" s="32">
        <f t="shared" si="19"/>
        <v>189</v>
      </c>
    </row>
    <row r="28" spans="2:32" ht="23.1" customHeight="1" x14ac:dyDescent="0.25">
      <c r="B28" s="23" t="s">
        <v>55</v>
      </c>
      <c r="C28" s="50">
        <v>3</v>
      </c>
      <c r="D28" s="50">
        <v>1</v>
      </c>
      <c r="E28" s="50">
        <v>4</v>
      </c>
      <c r="F28" s="50">
        <v>2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11</v>
      </c>
      <c r="P28" s="15">
        <f t="shared" si="1"/>
        <v>18</v>
      </c>
      <c r="R28" s="5" t="s">
        <v>17</v>
      </c>
      <c r="S28" s="16">
        <f t="shared" ref="S28:AF28" si="20">SUM(S10:S21)</f>
        <v>104</v>
      </c>
      <c r="T28" s="16">
        <f t="shared" si="20"/>
        <v>34</v>
      </c>
      <c r="U28" s="16">
        <f t="shared" si="20"/>
        <v>41</v>
      </c>
      <c r="V28" s="16">
        <f t="shared" si="20"/>
        <v>70</v>
      </c>
      <c r="W28" s="16">
        <f t="shared" si="20"/>
        <v>0</v>
      </c>
      <c r="X28" s="16">
        <f t="shared" si="20"/>
        <v>0</v>
      </c>
      <c r="Y28" s="16">
        <f t="shared" si="20"/>
        <v>40</v>
      </c>
      <c r="Z28" s="16">
        <f t="shared" si="20"/>
        <v>23</v>
      </c>
      <c r="AA28" s="16">
        <f t="shared" si="20"/>
        <v>9</v>
      </c>
      <c r="AB28" s="16">
        <f t="shared" si="20"/>
        <v>0</v>
      </c>
      <c r="AC28" s="16">
        <f t="shared" si="20"/>
        <v>478</v>
      </c>
      <c r="AD28" s="16">
        <f t="shared" si="20"/>
        <v>0</v>
      </c>
      <c r="AE28" s="32">
        <f t="shared" si="20"/>
        <v>321</v>
      </c>
      <c r="AF28" s="32">
        <f t="shared" si="20"/>
        <v>799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1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4</v>
      </c>
      <c r="N29" s="50">
        <v>0</v>
      </c>
      <c r="O29" s="15">
        <f t="shared" si="0"/>
        <v>7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1</v>
      </c>
      <c r="F30" s="50">
        <v>1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11</v>
      </c>
      <c r="P30" s="15">
        <f t="shared" si="1"/>
        <v>19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1</v>
      </c>
      <c r="F31" s="50">
        <v>2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11</v>
      </c>
      <c r="P31" s="15">
        <f t="shared" si="1"/>
        <v>22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2</v>
      </c>
      <c r="P32" s="15">
        <f t="shared" si="1"/>
        <v>14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3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5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1</v>
      </c>
      <c r="F34" s="50">
        <v>1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10</v>
      </c>
      <c r="P34" s="15">
        <f t="shared" si="1"/>
        <v>21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2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6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3</v>
      </c>
      <c r="P36" s="15">
        <f t="shared" si="1"/>
        <v>8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v>0</v>
      </c>
      <c r="M37" s="50">
        <v>13</v>
      </c>
      <c r="N37" s="50">
        <v>0</v>
      </c>
      <c r="O37" s="15">
        <f t="shared" si="0"/>
        <v>5</v>
      </c>
      <c r="P37" s="15">
        <f t="shared" si="1"/>
        <v>18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1</v>
      </c>
      <c r="F38" s="50">
        <v>3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8</v>
      </c>
      <c r="P38" s="15">
        <f t="shared" si="1"/>
        <v>23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2</v>
      </c>
      <c r="L39" s="50">
        <v>0</v>
      </c>
      <c r="M39" s="50">
        <v>8</v>
      </c>
      <c r="N39" s="50">
        <v>0</v>
      </c>
      <c r="O39" s="15">
        <f t="shared" si="0"/>
        <v>5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4</v>
      </c>
      <c r="D40" s="50">
        <v>2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7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6</v>
      </c>
      <c r="D41" s="50">
        <v>1</v>
      </c>
      <c r="E41" s="50">
        <v>1</v>
      </c>
      <c r="F41" s="50">
        <v>3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11</v>
      </c>
      <c r="P41" s="15">
        <f t="shared" si="1"/>
        <v>32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3</v>
      </c>
      <c r="F42" s="50">
        <v>3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10</v>
      </c>
      <c r="P42" s="15">
        <f t="shared" si="1"/>
        <v>19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3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5</v>
      </c>
      <c r="P43" s="15">
        <f t="shared" si="1"/>
        <v>20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1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6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2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6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3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1</v>
      </c>
      <c r="F48" s="50">
        <v>3</v>
      </c>
      <c r="G48" s="50">
        <v>0</v>
      </c>
      <c r="H48" s="50">
        <v>0</v>
      </c>
      <c r="I48" s="50">
        <v>2</v>
      </c>
      <c r="J48" s="50">
        <v>2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10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5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4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4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5</v>
      </c>
      <c r="P52" s="15">
        <f t="shared" si="1"/>
        <v>16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2</v>
      </c>
      <c r="P53" s="15">
        <f t="shared" si="1"/>
        <v>11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5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5</v>
      </c>
      <c r="N54" s="50">
        <v>0</v>
      </c>
      <c r="O54" s="15">
        <f t="shared" si="0"/>
        <v>8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19</v>
      </c>
      <c r="N55" s="50">
        <v>0</v>
      </c>
      <c r="O55" s="15">
        <f t="shared" si="0"/>
        <v>7</v>
      </c>
      <c r="P55" s="15">
        <f t="shared" si="1"/>
        <v>26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2</v>
      </c>
      <c r="P56" s="15">
        <f t="shared" si="1"/>
        <v>9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5</v>
      </c>
      <c r="P57" s="15">
        <f t="shared" si="1"/>
        <v>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104</v>
      </c>
      <c r="D58" s="16">
        <f t="shared" si="21"/>
        <v>34</v>
      </c>
      <c r="E58" s="16">
        <f t="shared" si="21"/>
        <v>41</v>
      </c>
      <c r="F58" s="16">
        <f t="shared" si="21"/>
        <v>70</v>
      </c>
      <c r="G58" s="16">
        <f t="shared" si="21"/>
        <v>0</v>
      </c>
      <c r="H58" s="16">
        <f t="shared" si="21"/>
        <v>0</v>
      </c>
      <c r="I58" s="16">
        <f t="shared" si="21"/>
        <v>40</v>
      </c>
      <c r="J58" s="16">
        <f t="shared" si="21"/>
        <v>23</v>
      </c>
      <c r="K58" s="16">
        <f t="shared" si="21"/>
        <v>9</v>
      </c>
      <c r="L58" s="16">
        <f t="shared" si="21"/>
        <v>0</v>
      </c>
      <c r="M58" s="16">
        <f t="shared" si="21"/>
        <v>478</v>
      </c>
      <c r="N58" s="16">
        <f t="shared" si="21"/>
        <v>0</v>
      </c>
      <c r="O58" s="16">
        <f t="shared" si="21"/>
        <v>321</v>
      </c>
      <c r="P58" s="16">
        <f t="shared" si="21"/>
        <v>799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0.13016270337922403</v>
      </c>
      <c r="D59" s="43">
        <f t="shared" si="22"/>
        <v>4.2553191489361701E-2</v>
      </c>
      <c r="E59" s="43">
        <f t="shared" si="22"/>
        <v>5.1314142678347933E-2</v>
      </c>
      <c r="F59" s="43">
        <f t="shared" si="22"/>
        <v>8.7609511889862324E-2</v>
      </c>
      <c r="G59" s="43">
        <f t="shared" si="22"/>
        <v>0</v>
      </c>
      <c r="H59" s="43">
        <f t="shared" si="22"/>
        <v>0</v>
      </c>
      <c r="I59" s="43">
        <f t="shared" si="22"/>
        <v>5.0062578222778473E-2</v>
      </c>
      <c r="J59" s="43">
        <f t="shared" si="22"/>
        <v>2.8785982478097622E-2</v>
      </c>
      <c r="K59" s="43">
        <f t="shared" si="22"/>
        <v>1.1264080100125156E-2</v>
      </c>
      <c r="L59" s="43">
        <f t="shared" si="22"/>
        <v>0</v>
      </c>
      <c r="M59" s="43">
        <f t="shared" si="22"/>
        <v>0.59824780976220271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0.32398753894080995</v>
      </c>
      <c r="D60" s="44">
        <f t="shared" ref="D60:N60" si="23">D58/$O$58</f>
        <v>0.1059190031152648</v>
      </c>
      <c r="E60" s="44">
        <f t="shared" si="23"/>
        <v>0.1277258566978193</v>
      </c>
      <c r="F60" s="44">
        <f t="shared" si="23"/>
        <v>0.21806853582554517</v>
      </c>
      <c r="G60" s="44">
        <f t="shared" si="23"/>
        <v>0</v>
      </c>
      <c r="H60" s="44">
        <f t="shared" si="23"/>
        <v>0</v>
      </c>
      <c r="I60" s="44">
        <f t="shared" si="23"/>
        <v>0.12461059190031153</v>
      </c>
      <c r="J60" s="44">
        <f t="shared" si="23"/>
        <v>7.1651090342679122E-2</v>
      </c>
      <c r="K60" s="44">
        <f t="shared" si="23"/>
        <v>2.8037383177570093E-2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90" zoomScaleSheetLayoutView="90" workbookViewId="0">
      <selection activeCell="E15" sqref="E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'17.10 KANONI-MADDU'!D5</f>
        <v>17.10.2019</v>
      </c>
      <c r="E5" s="3"/>
      <c r="F5" s="41" t="s">
        <v>1</v>
      </c>
      <c r="G5" s="58" t="str">
        <f>'17.10 KANONI-MADDU'!G5:H5</f>
        <v>KANONI</v>
      </c>
      <c r="H5" s="59"/>
      <c r="I5" s="14"/>
      <c r="J5" s="2" t="s">
        <v>5</v>
      </c>
      <c r="K5" s="58" t="s">
        <v>168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166</v>
      </c>
      <c r="E6" s="59"/>
      <c r="F6" s="2" t="s">
        <v>2</v>
      </c>
      <c r="G6" s="58" t="s">
        <v>165</v>
      </c>
      <c r="H6" s="59"/>
      <c r="J6" s="2" t="s">
        <v>21</v>
      </c>
      <c r="K6" s="58" t="str">
        <f>'17.10 KANONI-MADDU'!K6:L6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2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18</v>
      </c>
      <c r="AD10" s="17">
        <f t="shared" si="2"/>
        <v>0</v>
      </c>
      <c r="AE10" s="31">
        <f t="shared" si="2"/>
        <v>10</v>
      </c>
      <c r="AF10" s="31">
        <f t="shared" si="2"/>
        <v>28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2</v>
      </c>
      <c r="P11" s="15">
        <f t="shared" si="1"/>
        <v>3</v>
      </c>
      <c r="R11" s="1" t="s">
        <v>7</v>
      </c>
      <c r="S11" s="17">
        <f t="shared" ref="S11:AF11" si="3">SUM(C14:C17)</f>
        <v>6</v>
      </c>
      <c r="T11" s="17">
        <f t="shared" si="3"/>
        <v>2</v>
      </c>
      <c r="U11" s="17">
        <f t="shared" si="3"/>
        <v>1</v>
      </c>
      <c r="V11" s="17">
        <f t="shared" si="3"/>
        <v>10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45</v>
      </c>
      <c r="AD11" s="17">
        <f t="shared" si="3"/>
        <v>0</v>
      </c>
      <c r="AE11" s="31">
        <f t="shared" si="3"/>
        <v>20</v>
      </c>
      <c r="AF11" s="31">
        <f t="shared" si="3"/>
        <v>65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1</v>
      </c>
      <c r="P12" s="15">
        <f t="shared" si="1"/>
        <v>5</v>
      </c>
      <c r="R12" s="1" t="s">
        <v>8</v>
      </c>
      <c r="S12" s="17">
        <f t="shared" ref="S12:AF12" si="4">SUM(C18:C21)</f>
        <v>4</v>
      </c>
      <c r="T12" s="17">
        <f t="shared" si="4"/>
        <v>2</v>
      </c>
      <c r="U12" s="17">
        <f t="shared" si="4"/>
        <v>5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48</v>
      </c>
      <c r="AD12" s="17">
        <f t="shared" si="4"/>
        <v>0</v>
      </c>
      <c r="AE12" s="31">
        <f t="shared" si="4"/>
        <v>22</v>
      </c>
      <c r="AF12" s="31">
        <f t="shared" si="4"/>
        <v>70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3</v>
      </c>
      <c r="P13" s="15">
        <f t="shared" si="1"/>
        <v>12</v>
      </c>
      <c r="R13" s="1" t="s">
        <v>9</v>
      </c>
      <c r="S13" s="17">
        <f t="shared" ref="S13:AF13" si="5">SUM(C22:C25)</f>
        <v>5</v>
      </c>
      <c r="T13" s="17">
        <f t="shared" si="5"/>
        <v>1</v>
      </c>
      <c r="U13" s="17">
        <f t="shared" si="5"/>
        <v>2</v>
      </c>
      <c r="V13" s="17">
        <f t="shared" si="5"/>
        <v>10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36</v>
      </c>
      <c r="AD13" s="17">
        <f t="shared" si="5"/>
        <v>0</v>
      </c>
      <c r="AE13" s="31">
        <f t="shared" si="5"/>
        <v>18</v>
      </c>
      <c r="AF13" s="31">
        <f t="shared" si="5"/>
        <v>54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5</v>
      </c>
      <c r="P14" s="15">
        <f t="shared" si="1"/>
        <v>14</v>
      </c>
      <c r="R14" s="1" t="s">
        <v>10</v>
      </c>
      <c r="S14" s="17">
        <f t="shared" ref="S14:AF14" si="6">SUM(C26:C29)</f>
        <v>10</v>
      </c>
      <c r="T14" s="17">
        <f t="shared" si="6"/>
        <v>3</v>
      </c>
      <c r="U14" s="17">
        <f t="shared" si="6"/>
        <v>6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54</v>
      </c>
      <c r="AD14" s="17">
        <f t="shared" si="6"/>
        <v>0</v>
      </c>
      <c r="AE14" s="31">
        <f t="shared" si="6"/>
        <v>25</v>
      </c>
      <c r="AF14" s="31">
        <f t="shared" si="6"/>
        <v>79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7</v>
      </c>
      <c r="N15" s="50">
        <v>0</v>
      </c>
      <c r="O15" s="15">
        <f t="shared" si="0"/>
        <v>5</v>
      </c>
      <c r="P15" s="15">
        <f t="shared" si="1"/>
        <v>12</v>
      </c>
      <c r="R15" s="1" t="s">
        <v>11</v>
      </c>
      <c r="S15" s="17">
        <f t="shared" ref="S15:AF15" si="7">SUM(C30:C33)</f>
        <v>6</v>
      </c>
      <c r="T15" s="17">
        <f t="shared" si="7"/>
        <v>1</v>
      </c>
      <c r="U15" s="17">
        <f t="shared" si="7"/>
        <v>0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38</v>
      </c>
      <c r="AD15" s="17">
        <f t="shared" si="7"/>
        <v>0</v>
      </c>
      <c r="AE15" s="31">
        <f t="shared" si="7"/>
        <v>14</v>
      </c>
      <c r="AF15" s="31">
        <f t="shared" si="7"/>
        <v>52</v>
      </c>
    </row>
    <row r="16" spans="2:32" ht="23.1" customHeight="1" x14ac:dyDescent="0.25">
      <c r="B16" s="23" t="s">
        <v>43</v>
      </c>
      <c r="C16" s="50">
        <v>3</v>
      </c>
      <c r="D16" s="50">
        <v>1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7</v>
      </c>
      <c r="P16" s="15">
        <f t="shared" si="1"/>
        <v>20</v>
      </c>
      <c r="R16" s="1" t="s">
        <v>12</v>
      </c>
      <c r="S16" s="17">
        <f t="shared" ref="S16:AF16" si="8">SUM(C34:C37)</f>
        <v>11</v>
      </c>
      <c r="T16" s="17">
        <f t="shared" si="8"/>
        <v>2</v>
      </c>
      <c r="U16" s="17">
        <f t="shared" si="8"/>
        <v>3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2</v>
      </c>
      <c r="AB16" s="17">
        <f t="shared" si="8"/>
        <v>0</v>
      </c>
      <c r="AC16" s="17">
        <f t="shared" si="8"/>
        <v>48</v>
      </c>
      <c r="AD16" s="17">
        <f t="shared" si="8"/>
        <v>0</v>
      </c>
      <c r="AE16" s="31">
        <f t="shared" si="8"/>
        <v>24</v>
      </c>
      <c r="AF16" s="31">
        <f t="shared" si="8"/>
        <v>72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16</v>
      </c>
      <c r="N17" s="50">
        <v>0</v>
      </c>
      <c r="O17" s="15">
        <f t="shared" si="0"/>
        <v>3</v>
      </c>
      <c r="P17" s="15">
        <f t="shared" si="1"/>
        <v>19</v>
      </c>
      <c r="R17" s="1" t="s">
        <v>13</v>
      </c>
      <c r="S17" s="17">
        <f t="shared" ref="S17:AF17" si="9">SUM(C38:C41)</f>
        <v>10</v>
      </c>
      <c r="T17" s="17">
        <f t="shared" si="9"/>
        <v>4</v>
      </c>
      <c r="U17" s="17">
        <f t="shared" si="9"/>
        <v>2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3</v>
      </c>
      <c r="AA17" s="17">
        <f t="shared" si="9"/>
        <v>2</v>
      </c>
      <c r="AB17" s="17">
        <f t="shared" si="9"/>
        <v>0</v>
      </c>
      <c r="AC17" s="17">
        <f t="shared" si="9"/>
        <v>50</v>
      </c>
      <c r="AD17" s="17">
        <f t="shared" si="9"/>
        <v>0</v>
      </c>
      <c r="AE17" s="31">
        <f t="shared" si="9"/>
        <v>27</v>
      </c>
      <c r="AF17" s="31">
        <f t="shared" si="9"/>
        <v>77</v>
      </c>
    </row>
    <row r="18" spans="2:32" ht="23.1" customHeight="1" x14ac:dyDescent="0.25">
      <c r="B18" s="23" t="s">
        <v>45</v>
      </c>
      <c r="C18" s="50">
        <v>2</v>
      </c>
      <c r="D18" s="50">
        <v>2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7</v>
      </c>
      <c r="P18" s="15">
        <f t="shared" si="1"/>
        <v>22</v>
      </c>
      <c r="R18" s="1" t="s">
        <v>14</v>
      </c>
      <c r="S18" s="17">
        <f t="shared" ref="S18:AF18" si="10">SUM(C42:C45)</f>
        <v>9</v>
      </c>
      <c r="T18" s="17">
        <f t="shared" si="10"/>
        <v>0</v>
      </c>
      <c r="U18" s="17">
        <f t="shared" si="10"/>
        <v>1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43</v>
      </c>
      <c r="AD18" s="17">
        <f t="shared" si="10"/>
        <v>0</v>
      </c>
      <c r="AE18" s="31">
        <f t="shared" si="10"/>
        <v>22</v>
      </c>
      <c r="AF18" s="31">
        <f t="shared" si="10"/>
        <v>65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7</v>
      </c>
      <c r="P19" s="15">
        <f t="shared" si="1"/>
        <v>27</v>
      </c>
      <c r="R19" s="1" t="s">
        <v>15</v>
      </c>
      <c r="S19" s="17">
        <f t="shared" ref="S19:AF19" si="11">SUM(C46:C49)</f>
        <v>7</v>
      </c>
      <c r="T19" s="17">
        <f t="shared" si="11"/>
        <v>7</v>
      </c>
      <c r="U19" s="17">
        <f t="shared" si="11"/>
        <v>13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47</v>
      </c>
      <c r="AD19" s="17">
        <f t="shared" si="11"/>
        <v>0</v>
      </c>
      <c r="AE19" s="31">
        <f t="shared" si="11"/>
        <v>37</v>
      </c>
      <c r="AF19" s="31">
        <f t="shared" si="11"/>
        <v>84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3</v>
      </c>
      <c r="F20" s="50">
        <v>3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6</v>
      </c>
      <c r="P20" s="15">
        <f t="shared" si="1"/>
        <v>14</v>
      </c>
      <c r="R20" s="1" t="s">
        <v>16</v>
      </c>
      <c r="S20" s="17">
        <f t="shared" ref="S20:AF20" si="12">SUM(C50:C53)</f>
        <v>7</v>
      </c>
      <c r="T20" s="17">
        <f t="shared" si="12"/>
        <v>2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47</v>
      </c>
      <c r="AD20" s="17">
        <f t="shared" si="12"/>
        <v>0</v>
      </c>
      <c r="AE20" s="31">
        <f t="shared" si="12"/>
        <v>16</v>
      </c>
      <c r="AF20" s="31">
        <f t="shared" si="12"/>
        <v>63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2</v>
      </c>
      <c r="P21" s="15">
        <f t="shared" si="1"/>
        <v>7</v>
      </c>
      <c r="R21" s="36" t="s">
        <v>20</v>
      </c>
      <c r="S21" s="34">
        <f t="shared" ref="S21:AF21" si="13">SUM(C54:C57)</f>
        <v>12</v>
      </c>
      <c r="T21" s="17">
        <f t="shared" si="13"/>
        <v>6</v>
      </c>
      <c r="U21" s="17">
        <f t="shared" si="13"/>
        <v>5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40</v>
      </c>
      <c r="AD21" s="17">
        <f t="shared" si="13"/>
        <v>0</v>
      </c>
      <c r="AE21" s="31">
        <f t="shared" si="13"/>
        <v>38</v>
      </c>
      <c r="AF21" s="31">
        <f t="shared" si="13"/>
        <v>78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4</v>
      </c>
      <c r="P22" s="15">
        <f t="shared" si="1"/>
        <v>14</v>
      </c>
      <c r="R22" s="38" t="s">
        <v>90</v>
      </c>
      <c r="S22" s="39">
        <f>MAX(S10:S12)</f>
        <v>6</v>
      </c>
      <c r="T22" s="39">
        <f t="shared" ref="T22:AF22" si="14">MAX(T10:T12)</f>
        <v>2</v>
      </c>
      <c r="U22" s="39">
        <f t="shared" si="14"/>
        <v>5</v>
      </c>
      <c r="V22" s="39">
        <f t="shared" si="14"/>
        <v>10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1</v>
      </c>
      <c r="AA22" s="39">
        <f t="shared" si="14"/>
        <v>1</v>
      </c>
      <c r="AB22" s="39">
        <f t="shared" si="14"/>
        <v>0</v>
      </c>
      <c r="AC22" s="39">
        <f t="shared" si="14"/>
        <v>48</v>
      </c>
      <c r="AD22" s="39">
        <f t="shared" si="14"/>
        <v>0</v>
      </c>
      <c r="AE22" s="40">
        <f t="shared" si="14"/>
        <v>22</v>
      </c>
      <c r="AF22" s="40">
        <f t="shared" si="14"/>
        <v>70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5</v>
      </c>
      <c r="P23" s="15">
        <f t="shared" si="1"/>
        <v>13</v>
      </c>
      <c r="R23" s="38" t="s">
        <v>91</v>
      </c>
      <c r="S23" s="39">
        <f>MAX(S13:S18)</f>
        <v>11</v>
      </c>
      <c r="T23" s="39">
        <f t="shared" ref="T23:AF23" si="15">MAX(T13:T18)</f>
        <v>4</v>
      </c>
      <c r="U23" s="39">
        <f t="shared" si="15"/>
        <v>6</v>
      </c>
      <c r="V23" s="39">
        <f t="shared" si="15"/>
        <v>10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3</v>
      </c>
      <c r="AA23" s="39">
        <f t="shared" si="15"/>
        <v>2</v>
      </c>
      <c r="AB23" s="39">
        <f t="shared" si="15"/>
        <v>0</v>
      </c>
      <c r="AC23" s="39">
        <f t="shared" si="15"/>
        <v>54</v>
      </c>
      <c r="AD23" s="39">
        <f t="shared" si="15"/>
        <v>0</v>
      </c>
      <c r="AE23" s="40">
        <f t="shared" si="15"/>
        <v>27</v>
      </c>
      <c r="AF23" s="40">
        <f t="shared" si="15"/>
        <v>79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3</v>
      </c>
      <c r="P24" s="15">
        <f t="shared" si="1"/>
        <v>12</v>
      </c>
      <c r="R24" s="38" t="s">
        <v>92</v>
      </c>
      <c r="S24" s="39">
        <f>MAX(S19:S21)</f>
        <v>12</v>
      </c>
      <c r="T24" s="39">
        <f t="shared" ref="T24:AF24" si="16">MAX(T19:T21)</f>
        <v>7</v>
      </c>
      <c r="U24" s="39">
        <f t="shared" si="16"/>
        <v>13</v>
      </c>
      <c r="V24" s="39">
        <f t="shared" si="16"/>
        <v>10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47</v>
      </c>
      <c r="AD24" s="39">
        <f t="shared" si="16"/>
        <v>0</v>
      </c>
      <c r="AE24" s="40">
        <f t="shared" si="16"/>
        <v>38</v>
      </c>
      <c r="AF24" s="40">
        <f t="shared" si="16"/>
        <v>84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4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6</v>
      </c>
      <c r="P25" s="15">
        <f t="shared" si="1"/>
        <v>15</v>
      </c>
      <c r="R25" s="37" t="s">
        <v>85</v>
      </c>
      <c r="S25" s="35">
        <f t="shared" ref="S25:AF25" si="17">SUM(S10:S12)</f>
        <v>13</v>
      </c>
      <c r="T25" s="16">
        <f t="shared" si="17"/>
        <v>4</v>
      </c>
      <c r="U25" s="16">
        <f t="shared" si="17"/>
        <v>8</v>
      </c>
      <c r="V25" s="16">
        <f t="shared" si="17"/>
        <v>24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1</v>
      </c>
      <c r="AA25" s="16">
        <f t="shared" si="17"/>
        <v>1</v>
      </c>
      <c r="AB25" s="16">
        <f t="shared" si="17"/>
        <v>0</v>
      </c>
      <c r="AC25" s="16">
        <f t="shared" si="17"/>
        <v>111</v>
      </c>
      <c r="AD25" s="16">
        <f t="shared" si="17"/>
        <v>0</v>
      </c>
      <c r="AE25" s="32">
        <f t="shared" si="17"/>
        <v>52</v>
      </c>
      <c r="AF25" s="32">
        <f t="shared" si="17"/>
        <v>163</v>
      </c>
    </row>
    <row r="26" spans="2:32" ht="23.1" customHeight="1" x14ac:dyDescent="0.25">
      <c r="B26" s="23" t="s">
        <v>53</v>
      </c>
      <c r="C26" s="50">
        <v>2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2</v>
      </c>
      <c r="K26" s="50">
        <v>0</v>
      </c>
      <c r="L26" s="50">
        <v>0</v>
      </c>
      <c r="M26" s="50">
        <v>21</v>
      </c>
      <c r="N26" s="50">
        <v>0</v>
      </c>
      <c r="O26" s="15">
        <f t="shared" si="0"/>
        <v>7</v>
      </c>
      <c r="P26" s="15">
        <f t="shared" si="1"/>
        <v>28</v>
      </c>
      <c r="R26" s="28" t="s">
        <v>86</v>
      </c>
      <c r="S26" s="16">
        <f t="shared" ref="S26:AF26" si="18">SUM(S13:S18)</f>
        <v>51</v>
      </c>
      <c r="T26" s="16">
        <f t="shared" si="18"/>
        <v>11</v>
      </c>
      <c r="U26" s="16">
        <f t="shared" si="18"/>
        <v>14</v>
      </c>
      <c r="V26" s="16">
        <f t="shared" si="18"/>
        <v>38</v>
      </c>
      <c r="W26" s="16">
        <f t="shared" si="18"/>
        <v>0</v>
      </c>
      <c r="X26" s="16">
        <f t="shared" si="18"/>
        <v>0</v>
      </c>
      <c r="Y26" s="16">
        <f t="shared" si="18"/>
        <v>5</v>
      </c>
      <c r="Z26" s="16">
        <f t="shared" si="18"/>
        <v>7</v>
      </c>
      <c r="AA26" s="16">
        <f t="shared" si="18"/>
        <v>4</v>
      </c>
      <c r="AB26" s="16">
        <f t="shared" si="18"/>
        <v>0</v>
      </c>
      <c r="AC26" s="16">
        <f t="shared" si="18"/>
        <v>269</v>
      </c>
      <c r="AD26" s="16">
        <f t="shared" si="18"/>
        <v>0</v>
      </c>
      <c r="AE26" s="32">
        <f t="shared" si="18"/>
        <v>130</v>
      </c>
      <c r="AF26" s="32">
        <f t="shared" si="18"/>
        <v>399</v>
      </c>
    </row>
    <row r="27" spans="2:32" ht="23.1" customHeight="1" x14ac:dyDescent="0.25">
      <c r="B27" s="23" t="s">
        <v>54</v>
      </c>
      <c r="C27" s="50">
        <v>4</v>
      </c>
      <c r="D27" s="50">
        <v>1</v>
      </c>
      <c r="E27" s="50">
        <v>1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9</v>
      </c>
      <c r="P27" s="15">
        <f t="shared" si="1"/>
        <v>21</v>
      </c>
      <c r="R27" s="29" t="s">
        <v>87</v>
      </c>
      <c r="S27" s="16">
        <f t="shared" ref="S27:AF27" si="19">SUM(S19:S21)</f>
        <v>26</v>
      </c>
      <c r="T27" s="16">
        <f t="shared" si="19"/>
        <v>15</v>
      </c>
      <c r="U27" s="16">
        <f t="shared" si="19"/>
        <v>19</v>
      </c>
      <c r="V27" s="16">
        <f t="shared" si="19"/>
        <v>22</v>
      </c>
      <c r="W27" s="16">
        <f t="shared" si="19"/>
        <v>0</v>
      </c>
      <c r="X27" s="16">
        <f t="shared" si="19"/>
        <v>0</v>
      </c>
      <c r="Y27" s="16">
        <f t="shared" si="19"/>
        <v>8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134</v>
      </c>
      <c r="AD27" s="16">
        <f t="shared" si="19"/>
        <v>0</v>
      </c>
      <c r="AE27" s="32">
        <f t="shared" si="19"/>
        <v>91</v>
      </c>
      <c r="AF27" s="32">
        <f t="shared" si="19"/>
        <v>225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3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15</v>
      </c>
      <c r="N28" s="50">
        <v>0</v>
      </c>
      <c r="O28" s="15">
        <f t="shared" si="0"/>
        <v>5</v>
      </c>
      <c r="P28" s="15">
        <f t="shared" si="1"/>
        <v>20</v>
      </c>
      <c r="R28" s="5" t="s">
        <v>17</v>
      </c>
      <c r="S28" s="16">
        <f t="shared" ref="S28:AF28" si="20">SUM(S10:S21)</f>
        <v>90</v>
      </c>
      <c r="T28" s="16">
        <f t="shared" si="20"/>
        <v>30</v>
      </c>
      <c r="U28" s="16">
        <f t="shared" si="20"/>
        <v>41</v>
      </c>
      <c r="V28" s="16">
        <f t="shared" si="20"/>
        <v>84</v>
      </c>
      <c r="W28" s="16">
        <f t="shared" si="20"/>
        <v>0</v>
      </c>
      <c r="X28" s="16">
        <f t="shared" si="20"/>
        <v>0</v>
      </c>
      <c r="Y28" s="16">
        <f t="shared" si="20"/>
        <v>14</v>
      </c>
      <c r="Z28" s="16">
        <f t="shared" si="20"/>
        <v>9</v>
      </c>
      <c r="AA28" s="16">
        <f t="shared" si="20"/>
        <v>5</v>
      </c>
      <c r="AB28" s="16">
        <f t="shared" si="20"/>
        <v>0</v>
      </c>
      <c r="AC28" s="16">
        <f t="shared" si="20"/>
        <v>514</v>
      </c>
      <c r="AD28" s="16">
        <f t="shared" si="20"/>
        <v>0</v>
      </c>
      <c r="AE28" s="32">
        <f t="shared" si="20"/>
        <v>273</v>
      </c>
      <c r="AF28" s="32">
        <f t="shared" si="20"/>
        <v>787</v>
      </c>
    </row>
    <row r="29" spans="2:32" ht="23.1" customHeight="1" x14ac:dyDescent="0.25">
      <c r="B29" s="23" t="s">
        <v>56</v>
      </c>
      <c r="C29" s="50">
        <v>2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6</v>
      </c>
      <c r="N29" s="50">
        <v>0</v>
      </c>
      <c r="O29" s="15">
        <f t="shared" si="0"/>
        <v>4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5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3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4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2</v>
      </c>
      <c r="P33" s="15">
        <f t="shared" si="1"/>
        <v>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9</v>
      </c>
      <c r="N34" s="50">
        <v>0</v>
      </c>
      <c r="O34" s="15">
        <f t="shared" si="0"/>
        <v>4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6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13</v>
      </c>
      <c r="N36" s="50">
        <v>0</v>
      </c>
      <c r="O36" s="15">
        <f t="shared" si="0"/>
        <v>6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8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3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7</v>
      </c>
      <c r="P38" s="15">
        <f t="shared" si="1"/>
        <v>16</v>
      </c>
    </row>
    <row r="39" spans="2:20" ht="23.1" customHeight="1" x14ac:dyDescent="0.25">
      <c r="B39" s="24" t="s">
        <v>66</v>
      </c>
      <c r="C39" s="50">
        <v>1</v>
      </c>
      <c r="D39" s="50">
        <v>3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1</v>
      </c>
      <c r="L39" s="50">
        <v>0</v>
      </c>
      <c r="M39" s="50">
        <v>15</v>
      </c>
      <c r="N39" s="50">
        <v>0</v>
      </c>
      <c r="O39" s="15">
        <f t="shared" si="0"/>
        <v>6</v>
      </c>
      <c r="P39" s="15">
        <f t="shared" si="1"/>
        <v>21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6</v>
      </c>
      <c r="P40" s="15">
        <f t="shared" si="1"/>
        <v>21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1</v>
      </c>
      <c r="L41" s="50">
        <v>0</v>
      </c>
      <c r="M41" s="50">
        <v>11</v>
      </c>
      <c r="N41" s="50">
        <v>0</v>
      </c>
      <c r="O41" s="15">
        <f t="shared" si="0"/>
        <v>8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1</v>
      </c>
      <c r="F42" s="50">
        <v>4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8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0</v>
      </c>
      <c r="F43" s="50">
        <v>3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8</v>
      </c>
      <c r="P43" s="15">
        <f t="shared" si="1"/>
        <v>24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1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5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4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2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6</v>
      </c>
      <c r="P47" s="15">
        <f t="shared" si="1"/>
        <v>23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7</v>
      </c>
      <c r="E48" s="50">
        <v>11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14</v>
      </c>
      <c r="N48" s="50">
        <v>0</v>
      </c>
      <c r="O48" s="15">
        <f t="shared" si="0"/>
        <v>24</v>
      </c>
      <c r="P48" s="15">
        <f t="shared" si="1"/>
        <v>38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3</v>
      </c>
      <c r="P49" s="15">
        <f t="shared" si="1"/>
        <v>8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3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5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6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1</v>
      </c>
      <c r="P52" s="15">
        <f t="shared" si="1"/>
        <v>11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4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1</v>
      </c>
      <c r="F54" s="50">
        <v>2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8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1</v>
      </c>
      <c r="F55" s="50">
        <v>3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6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2</v>
      </c>
      <c r="E56" s="50">
        <v>2</v>
      </c>
      <c r="F56" s="50">
        <v>4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10</v>
      </c>
      <c r="N56" s="50">
        <v>0</v>
      </c>
      <c r="O56" s="15">
        <f t="shared" si="0"/>
        <v>12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3</v>
      </c>
      <c r="E57" s="50">
        <v>1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12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90</v>
      </c>
      <c r="D58" s="16">
        <f t="shared" si="21"/>
        <v>30</v>
      </c>
      <c r="E58" s="16">
        <f t="shared" si="21"/>
        <v>41</v>
      </c>
      <c r="F58" s="16">
        <f t="shared" si="21"/>
        <v>84</v>
      </c>
      <c r="G58" s="16">
        <f t="shared" si="21"/>
        <v>0</v>
      </c>
      <c r="H58" s="16">
        <f t="shared" si="21"/>
        <v>0</v>
      </c>
      <c r="I58" s="16">
        <f t="shared" si="21"/>
        <v>14</v>
      </c>
      <c r="J58" s="16">
        <f t="shared" si="21"/>
        <v>9</v>
      </c>
      <c r="K58" s="16">
        <f t="shared" si="21"/>
        <v>5</v>
      </c>
      <c r="L58" s="16">
        <f t="shared" si="21"/>
        <v>0</v>
      </c>
      <c r="M58" s="16">
        <f t="shared" si="21"/>
        <v>514</v>
      </c>
      <c r="N58" s="16">
        <f t="shared" si="21"/>
        <v>0</v>
      </c>
      <c r="O58" s="16">
        <f t="shared" si="21"/>
        <v>273</v>
      </c>
      <c r="P58" s="16">
        <f t="shared" si="21"/>
        <v>787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0.11435832274459974</v>
      </c>
      <c r="D59" s="43">
        <f t="shared" si="22"/>
        <v>3.8119440914866583E-2</v>
      </c>
      <c r="E59" s="43">
        <f t="shared" si="22"/>
        <v>5.2096569250317665E-2</v>
      </c>
      <c r="F59" s="43">
        <f t="shared" si="22"/>
        <v>0.10673443456162643</v>
      </c>
      <c r="G59" s="43">
        <f t="shared" si="22"/>
        <v>0</v>
      </c>
      <c r="H59" s="43">
        <f t="shared" si="22"/>
        <v>0</v>
      </c>
      <c r="I59" s="43">
        <f t="shared" si="22"/>
        <v>1.7789072426937738E-2</v>
      </c>
      <c r="J59" s="43">
        <f t="shared" si="22"/>
        <v>1.1435832274459974E-2</v>
      </c>
      <c r="K59" s="43">
        <f t="shared" si="22"/>
        <v>6.3532401524777635E-3</v>
      </c>
      <c r="L59" s="43">
        <f t="shared" si="22"/>
        <v>0</v>
      </c>
      <c r="M59" s="43">
        <f t="shared" si="22"/>
        <v>0.6531130876747141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0.32967032967032966</v>
      </c>
      <c r="D60" s="44">
        <f t="shared" ref="D60:N60" si="23">D58/$O$58</f>
        <v>0.10989010989010989</v>
      </c>
      <c r="E60" s="44">
        <f t="shared" si="23"/>
        <v>0.15018315018315018</v>
      </c>
      <c r="F60" s="44">
        <f t="shared" si="23"/>
        <v>0.30769230769230771</v>
      </c>
      <c r="G60" s="44">
        <f t="shared" si="23"/>
        <v>0</v>
      </c>
      <c r="H60" s="44">
        <f t="shared" si="23"/>
        <v>0</v>
      </c>
      <c r="I60" s="44">
        <f t="shared" si="23"/>
        <v>5.128205128205128E-2</v>
      </c>
      <c r="J60" s="44">
        <f t="shared" si="23"/>
        <v>3.2967032967032968E-2</v>
      </c>
      <c r="K60" s="44">
        <f t="shared" si="23"/>
        <v>1.8315018315018316E-2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SheetLayoutView="100" workbookViewId="0">
      <selection activeCell="G22" sqref="G22:G2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'18.10 MADDU-KANONI-24h'!D5</f>
        <v>18.10.2019</v>
      </c>
      <c r="E5" s="3"/>
      <c r="F5" s="41" t="s">
        <v>1</v>
      </c>
      <c r="G5" s="58" t="str">
        <f>'18.10 MADDU-KANONI-24h'!G5:H5</f>
        <v>KANONI</v>
      </c>
      <c r="H5" s="59"/>
      <c r="I5" s="14"/>
      <c r="J5" s="2" t="s">
        <v>5</v>
      </c>
      <c r="K5" s="58" t="s">
        <v>171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165</v>
      </c>
      <c r="E6" s="59"/>
      <c r="F6" s="2" t="s">
        <v>2</v>
      </c>
      <c r="G6" s="58" t="s">
        <v>166</v>
      </c>
      <c r="H6" s="59"/>
      <c r="J6" s="2" t="s">
        <v>21</v>
      </c>
      <c r="K6" s="58" t="str">
        <f>'18.10 MADDU-KANONI-24h'!K6:L6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2</v>
      </c>
      <c r="T10" s="17">
        <f t="shared" si="2"/>
        <v>4</v>
      </c>
      <c r="U10" s="17">
        <f t="shared" si="2"/>
        <v>0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29</v>
      </c>
      <c r="AD10" s="17">
        <f t="shared" si="2"/>
        <v>0</v>
      </c>
      <c r="AE10" s="31">
        <f t="shared" si="2"/>
        <v>14</v>
      </c>
      <c r="AF10" s="31">
        <f t="shared" si="2"/>
        <v>43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1</v>
      </c>
      <c r="P11" s="15">
        <f t="shared" si="1"/>
        <v>11</v>
      </c>
      <c r="R11" s="1" t="s">
        <v>7</v>
      </c>
      <c r="S11" s="17">
        <f t="shared" ref="S11:AF11" si="3">SUM(C14:C17)</f>
        <v>11</v>
      </c>
      <c r="T11" s="17">
        <f t="shared" si="3"/>
        <v>0</v>
      </c>
      <c r="U11" s="17">
        <f t="shared" si="3"/>
        <v>2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35</v>
      </c>
      <c r="AD11" s="17">
        <f t="shared" si="3"/>
        <v>0</v>
      </c>
      <c r="AE11" s="31">
        <f t="shared" si="3"/>
        <v>24</v>
      </c>
      <c r="AF11" s="31">
        <f t="shared" si="3"/>
        <v>59</v>
      </c>
    </row>
    <row r="12" spans="2:32" ht="23.1" customHeight="1" x14ac:dyDescent="0.25">
      <c r="B12" s="45" t="s">
        <v>39</v>
      </c>
      <c r="C12" s="50">
        <v>1</v>
      </c>
      <c r="D12" s="50">
        <v>2</v>
      </c>
      <c r="E12" s="50">
        <v>0</v>
      </c>
      <c r="F12" s="50">
        <v>1</v>
      </c>
      <c r="G12" s="50">
        <v>1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6</v>
      </c>
      <c r="P12" s="15">
        <f t="shared" si="1"/>
        <v>16</v>
      </c>
      <c r="R12" s="1" t="s">
        <v>8</v>
      </c>
      <c r="S12" s="17">
        <f t="shared" ref="S12:AF12" si="4">SUM(C18:C21)</f>
        <v>11</v>
      </c>
      <c r="T12" s="17">
        <f t="shared" si="4"/>
        <v>2</v>
      </c>
      <c r="U12" s="17">
        <f t="shared" si="4"/>
        <v>2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34</v>
      </c>
      <c r="AD12" s="17">
        <f t="shared" si="4"/>
        <v>0</v>
      </c>
      <c r="AE12" s="31">
        <f t="shared" si="4"/>
        <v>29</v>
      </c>
      <c r="AF12" s="31">
        <f t="shared" si="4"/>
        <v>63</v>
      </c>
    </row>
    <row r="13" spans="2:32" ht="23.1" customHeight="1" x14ac:dyDescent="0.25">
      <c r="B13" s="45" t="s">
        <v>40</v>
      </c>
      <c r="C13" s="50">
        <v>1</v>
      </c>
      <c r="D13" s="50">
        <v>2</v>
      </c>
      <c r="E13" s="50">
        <v>0</v>
      </c>
      <c r="F13" s="50">
        <v>0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6</v>
      </c>
      <c r="P13" s="15">
        <f t="shared" si="1"/>
        <v>12</v>
      </c>
      <c r="R13" s="1" t="s">
        <v>9</v>
      </c>
      <c r="S13" s="17">
        <f t="shared" ref="S13:AF13" si="5">SUM(C22:C25)</f>
        <v>8</v>
      </c>
      <c r="T13" s="17">
        <f t="shared" si="5"/>
        <v>3</v>
      </c>
      <c r="U13" s="17">
        <f t="shared" si="5"/>
        <v>5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24</v>
      </c>
      <c r="AD13" s="17">
        <f t="shared" si="5"/>
        <v>0</v>
      </c>
      <c r="AE13" s="31">
        <f t="shared" si="5"/>
        <v>24</v>
      </c>
      <c r="AF13" s="31">
        <f t="shared" si="5"/>
        <v>48</v>
      </c>
    </row>
    <row r="14" spans="2:32" ht="23.1" customHeight="1" x14ac:dyDescent="0.25">
      <c r="B14" s="45" t="s">
        <v>41</v>
      </c>
      <c r="C14" s="50">
        <v>3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6</v>
      </c>
      <c r="P14" s="15">
        <f t="shared" si="1"/>
        <v>11</v>
      </c>
      <c r="R14" s="1" t="s">
        <v>10</v>
      </c>
      <c r="S14" s="17">
        <f t="shared" ref="S14:AF14" si="6">SUM(C26:C29)</f>
        <v>4</v>
      </c>
      <c r="T14" s="17">
        <f t="shared" si="6"/>
        <v>4</v>
      </c>
      <c r="U14" s="17">
        <f t="shared" si="6"/>
        <v>0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47</v>
      </c>
      <c r="AD14" s="17">
        <f t="shared" si="6"/>
        <v>0</v>
      </c>
      <c r="AE14" s="31">
        <f t="shared" si="6"/>
        <v>16</v>
      </c>
      <c r="AF14" s="31">
        <f t="shared" si="6"/>
        <v>63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4</v>
      </c>
      <c r="P15" s="15">
        <f t="shared" si="1"/>
        <v>14</v>
      </c>
      <c r="R15" s="1" t="s">
        <v>11</v>
      </c>
      <c r="S15" s="17">
        <f t="shared" ref="S15:AF15" si="7">SUM(C30:C33)</f>
        <v>8</v>
      </c>
      <c r="T15" s="17">
        <f t="shared" si="7"/>
        <v>1</v>
      </c>
      <c r="U15" s="17">
        <f t="shared" si="7"/>
        <v>2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43</v>
      </c>
      <c r="AD15" s="17">
        <f t="shared" si="7"/>
        <v>0</v>
      </c>
      <c r="AE15" s="31">
        <f t="shared" si="7"/>
        <v>22</v>
      </c>
      <c r="AF15" s="31">
        <f t="shared" si="7"/>
        <v>65</v>
      </c>
    </row>
    <row r="16" spans="2:32" ht="23.1" customHeight="1" x14ac:dyDescent="0.25">
      <c r="B16" s="45" t="s">
        <v>43</v>
      </c>
      <c r="C16" s="50">
        <v>5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8</v>
      </c>
      <c r="P16" s="15">
        <f t="shared" si="1"/>
        <v>17</v>
      </c>
      <c r="R16" s="1" t="s">
        <v>12</v>
      </c>
      <c r="S16" s="17">
        <f t="shared" ref="S16:AF16" si="8">SUM(C34:C37)</f>
        <v>5</v>
      </c>
      <c r="T16" s="17">
        <f t="shared" si="8"/>
        <v>7</v>
      </c>
      <c r="U16" s="17">
        <f t="shared" si="8"/>
        <v>1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44</v>
      </c>
      <c r="AD16" s="17">
        <f t="shared" si="8"/>
        <v>0</v>
      </c>
      <c r="AE16" s="31">
        <f t="shared" si="8"/>
        <v>20</v>
      </c>
      <c r="AF16" s="31">
        <f t="shared" si="8"/>
        <v>64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6</v>
      </c>
      <c r="P17" s="15">
        <f t="shared" si="1"/>
        <v>17</v>
      </c>
      <c r="R17" s="1" t="s">
        <v>13</v>
      </c>
      <c r="S17" s="17">
        <f t="shared" ref="S17:AF17" si="9">SUM(C38:C41)</f>
        <v>10</v>
      </c>
      <c r="T17" s="17">
        <f t="shared" si="9"/>
        <v>2</v>
      </c>
      <c r="U17" s="17">
        <f t="shared" si="9"/>
        <v>3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34</v>
      </c>
      <c r="AD17" s="17">
        <f t="shared" si="9"/>
        <v>0</v>
      </c>
      <c r="AE17" s="31">
        <f t="shared" si="9"/>
        <v>24</v>
      </c>
      <c r="AF17" s="31">
        <f t="shared" si="9"/>
        <v>58</v>
      </c>
    </row>
    <row r="18" spans="2:32" ht="23.1" customHeight="1" x14ac:dyDescent="0.25">
      <c r="B18" s="45" t="s">
        <v>45</v>
      </c>
      <c r="C18" s="50">
        <v>5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8</v>
      </c>
      <c r="P18" s="15">
        <f t="shared" si="1"/>
        <v>13</v>
      </c>
      <c r="R18" s="1" t="s">
        <v>14</v>
      </c>
      <c r="S18" s="17">
        <f t="shared" ref="S18:AF18" si="10">SUM(C42:C45)</f>
        <v>7</v>
      </c>
      <c r="T18" s="17">
        <f t="shared" si="10"/>
        <v>11</v>
      </c>
      <c r="U18" s="17">
        <f t="shared" si="10"/>
        <v>3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44</v>
      </c>
      <c r="AD18" s="17">
        <f t="shared" si="10"/>
        <v>0</v>
      </c>
      <c r="AE18" s="31">
        <f t="shared" si="10"/>
        <v>28</v>
      </c>
      <c r="AF18" s="31">
        <f t="shared" si="10"/>
        <v>72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7</v>
      </c>
      <c r="P19" s="15">
        <f t="shared" si="1"/>
        <v>17</v>
      </c>
      <c r="R19" s="1" t="s">
        <v>15</v>
      </c>
      <c r="S19" s="17">
        <f t="shared" ref="S19:AF19" si="11">SUM(C46:C49)</f>
        <v>3</v>
      </c>
      <c r="T19" s="17">
        <f t="shared" si="11"/>
        <v>5</v>
      </c>
      <c r="U19" s="17">
        <f t="shared" si="11"/>
        <v>1</v>
      </c>
      <c r="V19" s="17">
        <f t="shared" si="11"/>
        <v>12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3</v>
      </c>
      <c r="AB19" s="17">
        <f t="shared" si="11"/>
        <v>0</v>
      </c>
      <c r="AC19" s="17">
        <f t="shared" si="11"/>
        <v>34</v>
      </c>
      <c r="AD19" s="17">
        <f t="shared" si="11"/>
        <v>0</v>
      </c>
      <c r="AE19" s="31">
        <f t="shared" si="11"/>
        <v>28</v>
      </c>
      <c r="AF19" s="31">
        <f t="shared" si="11"/>
        <v>62</v>
      </c>
    </row>
    <row r="20" spans="2:32" ht="23.1" customHeight="1" x14ac:dyDescent="0.25">
      <c r="B20" s="45" t="s">
        <v>47</v>
      </c>
      <c r="C20" s="50">
        <v>2</v>
      </c>
      <c r="D20" s="50">
        <v>0</v>
      </c>
      <c r="E20" s="50">
        <v>1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5</v>
      </c>
      <c r="P20" s="15">
        <f t="shared" si="1"/>
        <v>10</v>
      </c>
      <c r="R20" s="1" t="s">
        <v>16</v>
      </c>
      <c r="S20" s="17">
        <f t="shared" ref="S20:AF20" si="12">SUM(C50:C53)</f>
        <v>9</v>
      </c>
      <c r="T20" s="17">
        <f t="shared" si="12"/>
        <v>4</v>
      </c>
      <c r="U20" s="17">
        <f t="shared" si="12"/>
        <v>4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2</v>
      </c>
      <c r="AB20" s="17">
        <f t="shared" si="12"/>
        <v>0</v>
      </c>
      <c r="AC20" s="17">
        <f t="shared" si="12"/>
        <v>53</v>
      </c>
      <c r="AD20" s="17">
        <f t="shared" si="12"/>
        <v>0</v>
      </c>
      <c r="AE20" s="31">
        <f t="shared" si="12"/>
        <v>28</v>
      </c>
      <c r="AF20" s="31">
        <f t="shared" si="12"/>
        <v>81</v>
      </c>
    </row>
    <row r="21" spans="2:32" ht="23.1" customHeight="1" x14ac:dyDescent="0.25">
      <c r="B21" s="45" t="s">
        <v>48</v>
      </c>
      <c r="C21" s="50">
        <v>2</v>
      </c>
      <c r="D21" s="50">
        <v>2</v>
      </c>
      <c r="E21" s="50">
        <v>0</v>
      </c>
      <c r="F21" s="50">
        <v>2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9</v>
      </c>
      <c r="P21" s="15">
        <f t="shared" si="1"/>
        <v>23</v>
      </c>
      <c r="R21" s="36" t="s">
        <v>20</v>
      </c>
      <c r="S21" s="34">
        <f t="shared" ref="S21:AF21" si="13">SUM(C54:C57)</f>
        <v>8</v>
      </c>
      <c r="T21" s="17">
        <f t="shared" si="13"/>
        <v>9</v>
      </c>
      <c r="U21" s="17">
        <f t="shared" si="13"/>
        <v>3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41</v>
      </c>
      <c r="AD21" s="17">
        <f t="shared" si="13"/>
        <v>0</v>
      </c>
      <c r="AE21" s="31">
        <f t="shared" si="13"/>
        <v>29</v>
      </c>
      <c r="AF21" s="31">
        <f t="shared" si="13"/>
        <v>70</v>
      </c>
    </row>
    <row r="22" spans="2:32" ht="23.1" customHeight="1" x14ac:dyDescent="0.25">
      <c r="B22" s="45" t="s">
        <v>49</v>
      </c>
      <c r="C22" s="50">
        <v>1</v>
      </c>
      <c r="D22" s="50">
        <v>1</v>
      </c>
      <c r="E22" s="50">
        <v>3</v>
      </c>
      <c r="F22" s="50">
        <v>1</v>
      </c>
      <c r="G22" s="50" t="s">
        <v>172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6</v>
      </c>
      <c r="P22" s="15">
        <f t="shared" si="1"/>
        <v>11</v>
      </c>
      <c r="R22" s="36" t="s">
        <v>146</v>
      </c>
      <c r="S22" s="34">
        <f>SUM(C58:C61)</f>
        <v>6</v>
      </c>
      <c r="T22" s="34">
        <f t="shared" ref="T22:AF22" si="14">SUM(D58:D61)</f>
        <v>2</v>
      </c>
      <c r="U22" s="34">
        <f t="shared" si="14"/>
        <v>1</v>
      </c>
      <c r="V22" s="34">
        <f t="shared" si="14"/>
        <v>10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3</v>
      </c>
      <c r="AA22" s="34">
        <f t="shared" si="14"/>
        <v>1</v>
      </c>
      <c r="AB22" s="34">
        <f t="shared" si="14"/>
        <v>0</v>
      </c>
      <c r="AC22" s="34">
        <f t="shared" si="14"/>
        <v>44</v>
      </c>
      <c r="AD22" s="34">
        <f t="shared" si="14"/>
        <v>0</v>
      </c>
      <c r="AE22" s="31">
        <f t="shared" si="14"/>
        <v>24</v>
      </c>
      <c r="AF22" s="31">
        <f t="shared" si="14"/>
        <v>68</v>
      </c>
    </row>
    <row r="23" spans="2:32" ht="23.1" customHeight="1" x14ac:dyDescent="0.25">
      <c r="B23" s="45" t="s">
        <v>50</v>
      </c>
      <c r="C23" s="50">
        <v>4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8</v>
      </c>
      <c r="P23" s="15">
        <f t="shared" si="1"/>
        <v>17</v>
      </c>
      <c r="R23" s="36" t="s">
        <v>147</v>
      </c>
      <c r="S23" s="34">
        <f>SUM(C62:C65)</f>
        <v>3</v>
      </c>
      <c r="T23" s="34">
        <f t="shared" ref="T23:AF23" si="15">SUM(D62:D65)</f>
        <v>0</v>
      </c>
      <c r="U23" s="34">
        <f t="shared" si="15"/>
        <v>4</v>
      </c>
      <c r="V23" s="34">
        <f t="shared" si="15"/>
        <v>6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27</v>
      </c>
      <c r="AD23" s="34">
        <f t="shared" si="15"/>
        <v>0</v>
      </c>
      <c r="AE23" s="31">
        <f t="shared" si="15"/>
        <v>15</v>
      </c>
      <c r="AF23" s="31">
        <f t="shared" si="15"/>
        <v>42</v>
      </c>
    </row>
    <row r="24" spans="2:32" ht="23.1" customHeight="1" x14ac:dyDescent="0.25">
      <c r="B24" s="45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3</v>
      </c>
      <c r="P24" s="15">
        <f t="shared" si="1"/>
        <v>5</v>
      </c>
      <c r="R24" s="36" t="s">
        <v>148</v>
      </c>
      <c r="S24" s="34">
        <f>SUM(C66:C69)</f>
        <v>3</v>
      </c>
      <c r="T24" s="34">
        <f t="shared" ref="T24:AF24" si="16">SUM(D66:D69)</f>
        <v>1</v>
      </c>
      <c r="U24" s="34">
        <f t="shared" si="16"/>
        <v>2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10</v>
      </c>
      <c r="AD24" s="34">
        <f t="shared" si="16"/>
        <v>0</v>
      </c>
      <c r="AE24" s="31">
        <f t="shared" si="16"/>
        <v>10</v>
      </c>
      <c r="AF24" s="31">
        <f t="shared" si="16"/>
        <v>20</v>
      </c>
    </row>
    <row r="25" spans="2:32" ht="23.1" customHeight="1" x14ac:dyDescent="0.25">
      <c r="B25" s="45" t="s">
        <v>52</v>
      </c>
      <c r="C25" s="50">
        <v>2</v>
      </c>
      <c r="D25" s="50">
        <v>1</v>
      </c>
      <c r="E25" s="50">
        <v>2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7</v>
      </c>
      <c r="P25" s="15">
        <f t="shared" si="1"/>
        <v>15</v>
      </c>
      <c r="R25" s="36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4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5</v>
      </c>
      <c r="AD25" s="34">
        <f t="shared" si="17"/>
        <v>0</v>
      </c>
      <c r="AE25" s="31">
        <f t="shared" si="17"/>
        <v>12</v>
      </c>
      <c r="AF25" s="31">
        <f t="shared" si="17"/>
        <v>17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4</v>
      </c>
      <c r="P26" s="15">
        <f t="shared" si="1"/>
        <v>12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5</v>
      </c>
      <c r="AA26" s="34">
        <f t="shared" si="18"/>
        <v>0</v>
      </c>
      <c r="AB26" s="34">
        <f t="shared" si="18"/>
        <v>0</v>
      </c>
      <c r="AC26" s="34">
        <f t="shared" si="18"/>
        <v>5</v>
      </c>
      <c r="AD26" s="34">
        <f t="shared" si="18"/>
        <v>0</v>
      </c>
      <c r="AE26" s="31">
        <f t="shared" si="18"/>
        <v>8</v>
      </c>
      <c r="AF26" s="31">
        <f t="shared" si="18"/>
        <v>13</v>
      </c>
    </row>
    <row r="27" spans="2:32" ht="23.1" customHeight="1" x14ac:dyDescent="0.25">
      <c r="B27" s="45" t="s">
        <v>54</v>
      </c>
      <c r="C27" s="50">
        <v>2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3</v>
      </c>
      <c r="P27" s="15">
        <f t="shared" si="1"/>
        <v>21</v>
      </c>
      <c r="R27" s="36" t="s">
        <v>151</v>
      </c>
      <c r="S27" s="34">
        <f>SUM(C78:C81)</f>
        <v>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8</v>
      </c>
      <c r="AF27" s="31">
        <f t="shared" si="19"/>
        <v>10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4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5</v>
      </c>
      <c r="P28" s="15">
        <f t="shared" si="1"/>
        <v>12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1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0</v>
      </c>
      <c r="D29" s="50">
        <v>3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4</v>
      </c>
      <c r="P29" s="15">
        <f t="shared" si="1"/>
        <v>18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4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5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4</v>
      </c>
      <c r="D30" s="50">
        <v>0</v>
      </c>
      <c r="E30" s="50">
        <v>0</v>
      </c>
      <c r="F30" s="50">
        <v>4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17</v>
      </c>
      <c r="N30" s="50">
        <v>0</v>
      </c>
      <c r="O30" s="15">
        <f t="shared" si="0"/>
        <v>8</v>
      </c>
      <c r="P30" s="15">
        <f t="shared" si="1"/>
        <v>25</v>
      </c>
      <c r="R30" s="36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6</v>
      </c>
      <c r="AF30" s="31">
        <f t="shared" si="22"/>
        <v>6</v>
      </c>
    </row>
    <row r="31" spans="2:32" ht="23.1" customHeight="1" x14ac:dyDescent="0.25">
      <c r="B31" s="46" t="s">
        <v>58</v>
      </c>
      <c r="C31" s="50">
        <v>0</v>
      </c>
      <c r="D31" s="50">
        <v>1</v>
      </c>
      <c r="E31" s="50">
        <v>2</v>
      </c>
      <c r="F31" s="50">
        <v>1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7</v>
      </c>
      <c r="P31" s="15">
        <f t="shared" si="1"/>
        <v>15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4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2</v>
      </c>
      <c r="P32" s="15">
        <f t="shared" si="1"/>
        <v>14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1</v>
      </c>
      <c r="AF32" s="31">
        <f t="shared" si="24"/>
        <v>1</v>
      </c>
    </row>
    <row r="33" spans="2:32" ht="23.1" customHeight="1" x14ac:dyDescent="0.25">
      <c r="B33" s="45" t="s">
        <v>60</v>
      </c>
      <c r="C33" s="50">
        <v>4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5</v>
      </c>
      <c r="P33" s="15">
        <f t="shared" si="1"/>
        <v>11</v>
      </c>
      <c r="R33" s="33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3</v>
      </c>
      <c r="AD33" s="34">
        <f t="shared" si="25"/>
        <v>0</v>
      </c>
      <c r="AE33" s="31">
        <f t="shared" si="25"/>
        <v>3</v>
      </c>
      <c r="AF33" s="31">
        <f t="shared" si="25"/>
        <v>6</v>
      </c>
    </row>
    <row r="34" spans="2:32" ht="23.1" customHeight="1" x14ac:dyDescent="0.25">
      <c r="B34" s="46" t="s">
        <v>61</v>
      </c>
      <c r="C34" s="50">
        <v>0</v>
      </c>
      <c r="D34" s="50">
        <v>3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4</v>
      </c>
      <c r="P34" s="15">
        <f t="shared" si="1"/>
        <v>23</v>
      </c>
      <c r="R34" s="38" t="s">
        <v>90</v>
      </c>
      <c r="S34" s="39">
        <f t="shared" ref="S34:AF34" si="26">MAX(S10:S12)</f>
        <v>11</v>
      </c>
      <c r="T34" s="39">
        <f t="shared" si="26"/>
        <v>4</v>
      </c>
      <c r="U34" s="39">
        <f t="shared" si="26"/>
        <v>2</v>
      </c>
      <c r="V34" s="39">
        <f t="shared" si="26"/>
        <v>7</v>
      </c>
      <c r="W34" s="39">
        <f t="shared" si="26"/>
        <v>1</v>
      </c>
      <c r="X34" s="39">
        <f t="shared" si="26"/>
        <v>0</v>
      </c>
      <c r="Y34" s="39">
        <f t="shared" si="26"/>
        <v>6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35</v>
      </c>
      <c r="AD34" s="39">
        <f t="shared" si="26"/>
        <v>0</v>
      </c>
      <c r="AE34" s="40">
        <f t="shared" si="26"/>
        <v>29</v>
      </c>
      <c r="AF34" s="40">
        <f t="shared" si="26"/>
        <v>63</v>
      </c>
    </row>
    <row r="35" spans="2:32" ht="23.1" customHeight="1" x14ac:dyDescent="0.25">
      <c r="B35" s="46" t="s">
        <v>62</v>
      </c>
      <c r="C35" s="50">
        <v>0</v>
      </c>
      <c r="D35" s="50">
        <v>1</v>
      </c>
      <c r="E35" s="50">
        <v>1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4</v>
      </c>
      <c r="P35" s="15">
        <f t="shared" si="1"/>
        <v>10</v>
      </c>
      <c r="R35" s="38" t="s">
        <v>91</v>
      </c>
      <c r="S35" s="39">
        <f t="shared" ref="S35:AF35" si="27">MAX(S13:S18)</f>
        <v>10</v>
      </c>
      <c r="T35" s="39">
        <f t="shared" si="27"/>
        <v>11</v>
      </c>
      <c r="U35" s="39">
        <f t="shared" si="27"/>
        <v>5</v>
      </c>
      <c r="V35" s="39">
        <f t="shared" si="27"/>
        <v>7</v>
      </c>
      <c r="W35" s="39">
        <f t="shared" si="27"/>
        <v>0</v>
      </c>
      <c r="X35" s="39">
        <f t="shared" si="27"/>
        <v>0</v>
      </c>
      <c r="Y35" s="39">
        <f t="shared" si="27"/>
        <v>4</v>
      </c>
      <c r="Z35" s="39">
        <f t="shared" si="27"/>
        <v>2</v>
      </c>
      <c r="AA35" s="39">
        <f t="shared" si="27"/>
        <v>2</v>
      </c>
      <c r="AB35" s="39">
        <f t="shared" si="27"/>
        <v>0</v>
      </c>
      <c r="AC35" s="39">
        <f t="shared" si="27"/>
        <v>47</v>
      </c>
      <c r="AD35" s="39">
        <f t="shared" si="27"/>
        <v>0</v>
      </c>
      <c r="AE35" s="40">
        <f t="shared" si="27"/>
        <v>28</v>
      </c>
      <c r="AF35" s="40">
        <f t="shared" si="27"/>
        <v>72</v>
      </c>
    </row>
    <row r="36" spans="2:32" ht="23.1" customHeight="1" x14ac:dyDescent="0.25">
      <c r="B36" s="46" t="s">
        <v>63</v>
      </c>
      <c r="C36" s="50">
        <v>4</v>
      </c>
      <c r="D36" s="50">
        <v>1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7</v>
      </c>
      <c r="P36" s="15">
        <f t="shared" si="1"/>
        <v>19</v>
      </c>
      <c r="R36" s="38" t="s">
        <v>92</v>
      </c>
      <c r="S36" s="39">
        <f t="shared" ref="S36:AF36" si="28">MAX(S19:S21)</f>
        <v>9</v>
      </c>
      <c r="T36" s="39">
        <f t="shared" si="28"/>
        <v>9</v>
      </c>
      <c r="U36" s="39">
        <f t="shared" si="28"/>
        <v>4</v>
      </c>
      <c r="V36" s="39">
        <f t="shared" si="28"/>
        <v>12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1</v>
      </c>
      <c r="AA36" s="39">
        <f t="shared" si="28"/>
        <v>3</v>
      </c>
      <c r="AB36" s="39">
        <f t="shared" si="28"/>
        <v>0</v>
      </c>
      <c r="AC36" s="39">
        <f t="shared" si="28"/>
        <v>53</v>
      </c>
      <c r="AD36" s="39">
        <f t="shared" si="28"/>
        <v>0</v>
      </c>
      <c r="AE36" s="40">
        <f t="shared" si="28"/>
        <v>29</v>
      </c>
      <c r="AF36" s="40">
        <f t="shared" si="28"/>
        <v>81</v>
      </c>
    </row>
    <row r="37" spans="2:32" ht="23.1" customHeight="1" x14ac:dyDescent="0.25">
      <c r="B37" s="45" t="s">
        <v>64</v>
      </c>
      <c r="C37" s="50">
        <v>1</v>
      </c>
      <c r="D37" s="50">
        <v>2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7</v>
      </c>
      <c r="N37" s="50">
        <v>0</v>
      </c>
      <c r="O37" s="15">
        <f t="shared" si="0"/>
        <v>5</v>
      </c>
      <c r="P37" s="15">
        <f t="shared" si="1"/>
        <v>12</v>
      </c>
      <c r="R37" s="37" t="s">
        <v>85</v>
      </c>
      <c r="S37" s="35">
        <f t="shared" ref="S37:AF37" si="29">SUM(S10:S12)</f>
        <v>24</v>
      </c>
      <c r="T37" s="16">
        <f t="shared" si="29"/>
        <v>6</v>
      </c>
      <c r="U37" s="16">
        <f t="shared" si="29"/>
        <v>4</v>
      </c>
      <c r="V37" s="16">
        <f t="shared" si="29"/>
        <v>14</v>
      </c>
      <c r="W37" s="16">
        <f t="shared" si="29"/>
        <v>1</v>
      </c>
      <c r="X37" s="16">
        <f t="shared" si="29"/>
        <v>0</v>
      </c>
      <c r="Y37" s="16">
        <f t="shared" si="29"/>
        <v>15</v>
      </c>
      <c r="Z37" s="16">
        <f t="shared" si="29"/>
        <v>3</v>
      </c>
      <c r="AA37" s="16">
        <f t="shared" si="29"/>
        <v>0</v>
      </c>
      <c r="AB37" s="16">
        <f t="shared" si="29"/>
        <v>0</v>
      </c>
      <c r="AC37" s="16">
        <f t="shared" si="29"/>
        <v>98</v>
      </c>
      <c r="AD37" s="16">
        <f t="shared" si="29"/>
        <v>0</v>
      </c>
      <c r="AE37" s="32">
        <f t="shared" si="29"/>
        <v>67</v>
      </c>
      <c r="AF37" s="32">
        <f t="shared" si="29"/>
        <v>165</v>
      </c>
    </row>
    <row r="38" spans="2:32" ht="23.1" customHeight="1" x14ac:dyDescent="0.25">
      <c r="B38" s="46" t="s">
        <v>65</v>
      </c>
      <c r="C38" s="50">
        <v>3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5</v>
      </c>
      <c r="N38" s="50">
        <v>0</v>
      </c>
      <c r="O38" s="15">
        <f t="shared" si="0"/>
        <v>6</v>
      </c>
      <c r="P38" s="15">
        <f t="shared" si="1"/>
        <v>11</v>
      </c>
      <c r="R38" s="28" t="s">
        <v>86</v>
      </c>
      <c r="S38" s="16">
        <f t="shared" ref="S38:AF38" si="30">SUM(S13:S18)</f>
        <v>42</v>
      </c>
      <c r="T38" s="16">
        <f t="shared" si="30"/>
        <v>28</v>
      </c>
      <c r="U38" s="16">
        <f t="shared" si="30"/>
        <v>14</v>
      </c>
      <c r="V38" s="16">
        <f t="shared" si="30"/>
        <v>31</v>
      </c>
      <c r="W38" s="16">
        <f t="shared" si="30"/>
        <v>0</v>
      </c>
      <c r="X38" s="16">
        <f t="shared" si="30"/>
        <v>0</v>
      </c>
      <c r="Y38" s="16">
        <f t="shared" si="30"/>
        <v>11</v>
      </c>
      <c r="Z38" s="16">
        <f t="shared" si="30"/>
        <v>4</v>
      </c>
      <c r="AA38" s="16">
        <f t="shared" si="30"/>
        <v>4</v>
      </c>
      <c r="AB38" s="16">
        <f t="shared" si="30"/>
        <v>0</v>
      </c>
      <c r="AC38" s="16">
        <f t="shared" si="30"/>
        <v>236</v>
      </c>
      <c r="AD38" s="16">
        <f t="shared" si="30"/>
        <v>0</v>
      </c>
      <c r="AE38" s="32">
        <f t="shared" si="30"/>
        <v>134</v>
      </c>
      <c r="AF38" s="32">
        <f t="shared" si="30"/>
        <v>370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5</v>
      </c>
      <c r="P39" s="15">
        <f t="shared" si="1"/>
        <v>16</v>
      </c>
      <c r="R39" s="29" t="s">
        <v>87</v>
      </c>
      <c r="S39" s="16">
        <f t="shared" ref="S39:AF39" si="31">SUM(S19:S21)</f>
        <v>20</v>
      </c>
      <c r="T39" s="16">
        <f t="shared" si="31"/>
        <v>18</v>
      </c>
      <c r="U39" s="16">
        <f t="shared" si="31"/>
        <v>8</v>
      </c>
      <c r="V39" s="16">
        <f t="shared" si="31"/>
        <v>26</v>
      </c>
      <c r="W39" s="16">
        <f t="shared" si="31"/>
        <v>0</v>
      </c>
      <c r="X39" s="16">
        <f t="shared" si="31"/>
        <v>0</v>
      </c>
      <c r="Y39" s="16">
        <f t="shared" si="31"/>
        <v>7</v>
      </c>
      <c r="Z39" s="16">
        <f t="shared" si="31"/>
        <v>1</v>
      </c>
      <c r="AA39" s="16">
        <f t="shared" si="31"/>
        <v>5</v>
      </c>
      <c r="AB39" s="16">
        <f t="shared" si="31"/>
        <v>0</v>
      </c>
      <c r="AC39" s="16">
        <f t="shared" si="31"/>
        <v>128</v>
      </c>
      <c r="AD39" s="16">
        <f t="shared" si="31"/>
        <v>0</v>
      </c>
      <c r="AE39" s="32">
        <f t="shared" si="31"/>
        <v>85</v>
      </c>
      <c r="AF39" s="32">
        <f t="shared" si="31"/>
        <v>213</v>
      </c>
    </row>
    <row r="40" spans="2:32" ht="23.1" customHeight="1" x14ac:dyDescent="0.25">
      <c r="B40" s="46" t="s">
        <v>67</v>
      </c>
      <c r="C40" s="50">
        <v>2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5</v>
      </c>
      <c r="N40" s="50">
        <v>0</v>
      </c>
      <c r="O40" s="15">
        <f t="shared" si="0"/>
        <v>5</v>
      </c>
      <c r="P40" s="15">
        <f t="shared" si="1"/>
        <v>10</v>
      </c>
      <c r="R40" s="5" t="s">
        <v>17</v>
      </c>
      <c r="S40" s="16">
        <f t="shared" ref="S40:AF40" si="32">SUM(S10:S21)</f>
        <v>86</v>
      </c>
      <c r="T40" s="16">
        <f t="shared" si="32"/>
        <v>52</v>
      </c>
      <c r="U40" s="16">
        <f t="shared" si="32"/>
        <v>26</v>
      </c>
      <c r="V40" s="16">
        <f t="shared" si="32"/>
        <v>71</v>
      </c>
      <c r="W40" s="16">
        <f t="shared" si="32"/>
        <v>1</v>
      </c>
      <c r="X40" s="16">
        <f t="shared" si="32"/>
        <v>0</v>
      </c>
      <c r="Y40" s="16">
        <f t="shared" si="32"/>
        <v>33</v>
      </c>
      <c r="Z40" s="16">
        <f t="shared" si="32"/>
        <v>8</v>
      </c>
      <c r="AA40" s="16">
        <f t="shared" si="32"/>
        <v>9</v>
      </c>
      <c r="AB40" s="16">
        <f t="shared" si="32"/>
        <v>0</v>
      </c>
      <c r="AC40" s="16">
        <f t="shared" si="32"/>
        <v>462</v>
      </c>
      <c r="AD40" s="16">
        <f t="shared" si="32"/>
        <v>0</v>
      </c>
      <c r="AE40" s="32">
        <f t="shared" si="32"/>
        <v>286</v>
      </c>
      <c r="AF40" s="32">
        <f t="shared" si="32"/>
        <v>748</v>
      </c>
    </row>
    <row r="41" spans="2:32" ht="23.1" customHeight="1" x14ac:dyDescent="0.25">
      <c r="B41" s="45" t="s">
        <v>68</v>
      </c>
      <c r="C41" s="50">
        <v>3</v>
      </c>
      <c r="D41" s="50">
        <v>1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13</v>
      </c>
      <c r="N41" s="50">
        <v>0</v>
      </c>
      <c r="O41" s="15">
        <f t="shared" si="0"/>
        <v>8</v>
      </c>
      <c r="P41" s="15">
        <f t="shared" si="1"/>
        <v>21</v>
      </c>
      <c r="R41" s="5" t="s">
        <v>159</v>
      </c>
      <c r="S41" s="16">
        <f>SUM(S10:S33)</f>
        <v>109</v>
      </c>
      <c r="T41" s="16">
        <f t="shared" ref="T41:AF41" si="33">SUM(T10:T33)</f>
        <v>56</v>
      </c>
      <c r="U41" s="16">
        <f t="shared" si="33"/>
        <v>35</v>
      </c>
      <c r="V41" s="16">
        <f t="shared" si="33"/>
        <v>97</v>
      </c>
      <c r="W41" s="16">
        <f t="shared" si="33"/>
        <v>1</v>
      </c>
      <c r="X41" s="16">
        <f t="shared" si="33"/>
        <v>0</v>
      </c>
      <c r="Y41" s="16">
        <f t="shared" si="33"/>
        <v>45</v>
      </c>
      <c r="Z41" s="16">
        <f t="shared" si="33"/>
        <v>29</v>
      </c>
      <c r="AA41" s="16">
        <f t="shared" si="33"/>
        <v>11</v>
      </c>
      <c r="AB41" s="16">
        <f t="shared" si="33"/>
        <v>0</v>
      </c>
      <c r="AC41" s="16">
        <f t="shared" si="33"/>
        <v>560</v>
      </c>
      <c r="AD41" s="16">
        <f t="shared" si="33"/>
        <v>0</v>
      </c>
      <c r="AE41" s="32">
        <f t="shared" si="33"/>
        <v>383</v>
      </c>
      <c r="AF41" s="32">
        <f t="shared" si="33"/>
        <v>943</v>
      </c>
    </row>
    <row r="42" spans="2:32" ht="23.1" customHeight="1" x14ac:dyDescent="0.25">
      <c r="B42" s="46" t="s">
        <v>69</v>
      </c>
      <c r="C42" s="50">
        <v>2</v>
      </c>
      <c r="D42" s="50">
        <v>5</v>
      </c>
      <c r="E42" s="50">
        <v>2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10</v>
      </c>
      <c r="N42" s="50">
        <v>0</v>
      </c>
      <c r="O42" s="15">
        <f t="shared" si="0"/>
        <v>12</v>
      </c>
      <c r="P42" s="15">
        <f t="shared" si="1"/>
        <v>22</v>
      </c>
      <c r="R42" s="5" t="s">
        <v>160</v>
      </c>
      <c r="S42" s="48">
        <f>S41/S40</f>
        <v>1.2674418604651163</v>
      </c>
      <c r="T42" s="48">
        <f t="shared" ref="T42:AF42" si="34">T41/T40</f>
        <v>1.0769230769230769</v>
      </c>
      <c r="U42" s="48">
        <f t="shared" si="34"/>
        <v>1.3461538461538463</v>
      </c>
      <c r="V42" s="48">
        <f t="shared" si="34"/>
        <v>1.3661971830985915</v>
      </c>
      <c r="W42" s="48">
        <f t="shared" si="34"/>
        <v>1</v>
      </c>
      <c r="X42" s="48" t="e">
        <f t="shared" si="34"/>
        <v>#DIV/0!</v>
      </c>
      <c r="Y42" s="48">
        <f t="shared" si="34"/>
        <v>1.3636363636363635</v>
      </c>
      <c r="Z42" s="48">
        <f t="shared" si="34"/>
        <v>3.625</v>
      </c>
      <c r="AA42" s="48">
        <f t="shared" si="34"/>
        <v>1.2222222222222223</v>
      </c>
      <c r="AB42" s="48" t="e">
        <f t="shared" si="34"/>
        <v>#DIV/0!</v>
      </c>
      <c r="AC42" s="48">
        <f t="shared" si="34"/>
        <v>1.2121212121212122</v>
      </c>
      <c r="AD42" s="48" t="e">
        <f t="shared" si="34"/>
        <v>#DIV/0!</v>
      </c>
      <c r="AE42" s="48">
        <f t="shared" si="34"/>
        <v>1.3391608391608392</v>
      </c>
      <c r="AF42" s="48">
        <f t="shared" si="34"/>
        <v>1.2606951871657754</v>
      </c>
    </row>
    <row r="43" spans="2:32" ht="23.1" customHeight="1" x14ac:dyDescent="0.25">
      <c r="B43" s="45" t="s">
        <v>70</v>
      </c>
      <c r="C43" s="50">
        <v>2</v>
      </c>
      <c r="D43" s="50">
        <v>1</v>
      </c>
      <c r="E43" s="50">
        <v>0</v>
      </c>
      <c r="F43" s="50">
        <v>2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6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5</v>
      </c>
      <c r="P44" s="15">
        <f t="shared" si="1"/>
        <v>12</v>
      </c>
    </row>
    <row r="45" spans="2:32" ht="23.1" customHeight="1" x14ac:dyDescent="0.25">
      <c r="B45" s="45" t="s">
        <v>72</v>
      </c>
      <c r="C45" s="50">
        <v>0</v>
      </c>
      <c r="D45" s="50">
        <v>5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5</v>
      </c>
      <c r="P45" s="15">
        <f t="shared" si="1"/>
        <v>21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4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0</v>
      </c>
      <c r="M46" s="50">
        <v>10</v>
      </c>
      <c r="N46" s="50">
        <v>0</v>
      </c>
      <c r="O46" s="15">
        <f t="shared" si="0"/>
        <v>6</v>
      </c>
      <c r="P46" s="15">
        <f t="shared" si="1"/>
        <v>16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2</v>
      </c>
      <c r="E47" s="50">
        <v>0</v>
      </c>
      <c r="F47" s="50">
        <v>2</v>
      </c>
      <c r="G47" s="50">
        <v>0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18</v>
      </c>
      <c r="N47" s="50">
        <v>0</v>
      </c>
      <c r="O47" s="15">
        <f t="shared" si="0"/>
        <v>6</v>
      </c>
      <c r="P47" s="15">
        <f t="shared" si="1"/>
        <v>24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1</v>
      </c>
      <c r="E48" s="50">
        <v>0</v>
      </c>
      <c r="F48" s="50">
        <v>4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0</v>
      </c>
      <c r="N48" s="50">
        <v>0</v>
      </c>
      <c r="O48" s="15">
        <f t="shared" si="0"/>
        <v>9</v>
      </c>
      <c r="P48" s="15">
        <f t="shared" si="1"/>
        <v>9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2</v>
      </c>
      <c r="E49" s="50">
        <v>1</v>
      </c>
      <c r="F49" s="50">
        <v>2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7</v>
      </c>
      <c r="P49" s="15">
        <f t="shared" si="1"/>
        <v>13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2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6</v>
      </c>
      <c r="P50" s="15">
        <f t="shared" si="1"/>
        <v>16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1</v>
      </c>
      <c r="E51" s="50">
        <v>2</v>
      </c>
      <c r="F51" s="50">
        <v>4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15</v>
      </c>
      <c r="N51" s="50">
        <v>0</v>
      </c>
      <c r="O51" s="15">
        <f t="shared" si="0"/>
        <v>13</v>
      </c>
      <c r="P51" s="15">
        <f t="shared" si="1"/>
        <v>28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1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5</v>
      </c>
      <c r="P52" s="15">
        <f t="shared" si="1"/>
        <v>14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19</v>
      </c>
      <c r="N53" s="50">
        <v>0</v>
      </c>
      <c r="O53" s="15">
        <f t="shared" si="0"/>
        <v>4</v>
      </c>
      <c r="P53" s="15">
        <f t="shared" si="1"/>
        <v>23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2</v>
      </c>
      <c r="E54" s="50">
        <v>1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5</v>
      </c>
      <c r="N54" s="50">
        <v>0</v>
      </c>
      <c r="O54" s="15">
        <f t="shared" si="0"/>
        <v>6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1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18</v>
      </c>
      <c r="N55" s="50">
        <v>0</v>
      </c>
      <c r="O55" s="15">
        <f t="shared" si="0"/>
        <v>4</v>
      </c>
      <c r="P55" s="15">
        <f t="shared" si="1"/>
        <v>22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5</v>
      </c>
      <c r="E56" s="50">
        <v>2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12</v>
      </c>
      <c r="P56" s="15">
        <f t="shared" si="1"/>
        <v>18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0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7</v>
      </c>
      <c r="P57" s="15">
        <f t="shared" si="1"/>
        <v>19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1</v>
      </c>
      <c r="E58" s="50">
        <v>0</v>
      </c>
      <c r="F58" s="50">
        <v>4</v>
      </c>
      <c r="G58" s="50">
        <v>0</v>
      </c>
      <c r="H58" s="50">
        <v>0</v>
      </c>
      <c r="I58" s="50">
        <v>0</v>
      </c>
      <c r="J58" s="50">
        <v>0</v>
      </c>
      <c r="K58" s="50">
        <v>1</v>
      </c>
      <c r="L58" s="50">
        <v>0</v>
      </c>
      <c r="M58" s="50">
        <v>18</v>
      </c>
      <c r="N58" s="50">
        <v>0</v>
      </c>
      <c r="O58" s="15">
        <f t="shared" si="0"/>
        <v>9</v>
      </c>
      <c r="P58" s="15">
        <f t="shared" si="1"/>
        <v>27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5</v>
      </c>
      <c r="G59" s="50">
        <v>0</v>
      </c>
      <c r="H59" s="50">
        <v>0</v>
      </c>
      <c r="I59" s="50">
        <v>1</v>
      </c>
      <c r="J59" s="50">
        <v>2</v>
      </c>
      <c r="K59" s="50">
        <v>0</v>
      </c>
      <c r="L59" s="50">
        <v>0</v>
      </c>
      <c r="M59" s="50">
        <v>12</v>
      </c>
      <c r="N59" s="50">
        <v>0</v>
      </c>
      <c r="O59" s="15">
        <f t="shared" si="0"/>
        <v>9</v>
      </c>
      <c r="P59" s="15">
        <f t="shared" si="1"/>
        <v>21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7</v>
      </c>
      <c r="N60" s="50">
        <v>0</v>
      </c>
      <c r="O60" s="15">
        <f t="shared" si="0"/>
        <v>3</v>
      </c>
      <c r="P60" s="15">
        <f t="shared" si="1"/>
        <v>10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1</v>
      </c>
      <c r="E61" s="50">
        <v>0</v>
      </c>
      <c r="F61" s="50">
        <v>1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7</v>
      </c>
      <c r="N61" s="50">
        <v>0</v>
      </c>
      <c r="O61" s="15">
        <f t="shared" si="0"/>
        <v>3</v>
      </c>
      <c r="P61" s="15">
        <f t="shared" si="1"/>
        <v>10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2</v>
      </c>
      <c r="F62" s="50">
        <v>2</v>
      </c>
      <c r="G62" s="50">
        <v>0</v>
      </c>
      <c r="H62" s="50">
        <v>0</v>
      </c>
      <c r="I62" s="50">
        <v>1</v>
      </c>
      <c r="J62" s="50">
        <v>1</v>
      </c>
      <c r="K62" s="50">
        <v>0</v>
      </c>
      <c r="L62" s="50">
        <v>0</v>
      </c>
      <c r="M62" s="50">
        <v>11</v>
      </c>
      <c r="N62" s="50">
        <v>0</v>
      </c>
      <c r="O62" s="15">
        <f t="shared" si="0"/>
        <v>8</v>
      </c>
      <c r="P62" s="15">
        <f t="shared" si="1"/>
        <v>19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2</v>
      </c>
      <c r="F63" s="50">
        <v>3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5</v>
      </c>
      <c r="N63" s="50">
        <v>0</v>
      </c>
      <c r="O63" s="15">
        <f t="shared" si="0"/>
        <v>5</v>
      </c>
      <c r="P63" s="15">
        <f t="shared" si="1"/>
        <v>10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6</v>
      </c>
      <c r="N64" s="50">
        <v>0</v>
      </c>
      <c r="O64" s="15">
        <f t="shared" si="0"/>
        <v>0</v>
      </c>
      <c r="P64" s="15">
        <f t="shared" si="1"/>
        <v>6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1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5</v>
      </c>
      <c r="N65" s="50">
        <v>0</v>
      </c>
      <c r="O65" s="15">
        <f t="shared" si="0"/>
        <v>2</v>
      </c>
      <c r="P65" s="15">
        <f t="shared" si="1"/>
        <v>7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1</v>
      </c>
      <c r="F66" s="50">
        <v>1</v>
      </c>
      <c r="G66" s="50">
        <v>0</v>
      </c>
      <c r="H66" s="50">
        <v>0</v>
      </c>
      <c r="I66" s="50">
        <v>0</v>
      </c>
      <c r="J66" s="50">
        <v>0</v>
      </c>
      <c r="K66" s="50">
        <v>1</v>
      </c>
      <c r="L66" s="50">
        <v>0</v>
      </c>
      <c r="M66" s="50">
        <v>5</v>
      </c>
      <c r="N66" s="50">
        <v>0</v>
      </c>
      <c r="O66" s="15">
        <f t="shared" si="0"/>
        <v>4</v>
      </c>
      <c r="P66" s="15">
        <f t="shared" si="1"/>
        <v>9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1</v>
      </c>
      <c r="E67" s="50">
        <v>1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0"/>
        <v>5</v>
      </c>
      <c r="P67" s="15">
        <f t="shared" si="1"/>
        <v>6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0</v>
      </c>
      <c r="P68" s="15">
        <f t="shared" si="1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1</v>
      </c>
      <c r="P69" s="15">
        <f t="shared" si="1"/>
        <v>4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4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5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4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0"/>
        <v>4</v>
      </c>
      <c r="P71" s="15">
        <f t="shared" si="1"/>
        <v>5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1</v>
      </c>
      <c r="P72" s="15">
        <f t="shared" si="1"/>
        <v>1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2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2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3</v>
      </c>
      <c r="P75" s="15">
        <f t="shared" si="36"/>
        <v>7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1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2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2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4</v>
      </c>
      <c r="P79" s="15">
        <f t="shared" si="36"/>
        <v>5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2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2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1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1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109</v>
      </c>
      <c r="D106" s="16">
        <f t="shared" ref="D106:P106" si="37">SUM(D10:D105)</f>
        <v>56</v>
      </c>
      <c r="E106" s="16">
        <f t="shared" si="37"/>
        <v>35</v>
      </c>
      <c r="F106" s="16">
        <f t="shared" si="37"/>
        <v>97</v>
      </c>
      <c r="G106" s="16">
        <f t="shared" si="37"/>
        <v>1</v>
      </c>
      <c r="H106" s="16">
        <f t="shared" si="37"/>
        <v>0</v>
      </c>
      <c r="I106" s="16">
        <f t="shared" si="37"/>
        <v>45</v>
      </c>
      <c r="J106" s="16">
        <f t="shared" si="37"/>
        <v>29</v>
      </c>
      <c r="K106" s="16">
        <f t="shared" si="37"/>
        <v>11</v>
      </c>
      <c r="L106" s="16">
        <f t="shared" si="37"/>
        <v>0</v>
      </c>
      <c r="M106" s="16">
        <f t="shared" si="37"/>
        <v>560</v>
      </c>
      <c r="N106" s="16">
        <f t="shared" si="37"/>
        <v>0</v>
      </c>
      <c r="O106" s="16">
        <f t="shared" si="37"/>
        <v>383</v>
      </c>
      <c r="P106" s="16">
        <f t="shared" si="37"/>
        <v>943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0.11558854718981973</v>
      </c>
      <c r="D107" s="43">
        <f t="shared" si="38"/>
        <v>5.9384941675503712E-2</v>
      </c>
      <c r="E107" s="43">
        <f t="shared" si="38"/>
        <v>3.7115588547189819E-2</v>
      </c>
      <c r="F107" s="43">
        <f t="shared" si="38"/>
        <v>0.10286320254506894</v>
      </c>
      <c r="G107" s="43">
        <f t="shared" si="38"/>
        <v>1.0604453870625664E-3</v>
      </c>
      <c r="H107" s="43">
        <f t="shared" si="38"/>
        <v>0</v>
      </c>
      <c r="I107" s="43">
        <f t="shared" si="38"/>
        <v>4.7720042417815481E-2</v>
      </c>
      <c r="J107" s="43">
        <f t="shared" si="38"/>
        <v>3.0752916224814422E-2</v>
      </c>
      <c r="K107" s="43">
        <f t="shared" si="38"/>
        <v>1.166489925768823E-2</v>
      </c>
      <c r="L107" s="43">
        <f t="shared" si="38"/>
        <v>0</v>
      </c>
      <c r="M107" s="43">
        <f t="shared" si="38"/>
        <v>0.59384941675503711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0.28459530026109658</v>
      </c>
      <c r="D108" s="44">
        <f t="shared" ref="D108:N108" si="39">D106/$O$106</f>
        <v>0.14621409921671019</v>
      </c>
      <c r="E108" s="44">
        <f t="shared" si="39"/>
        <v>9.1383812010443863E-2</v>
      </c>
      <c r="F108" s="44">
        <f t="shared" si="39"/>
        <v>0.25326370757180156</v>
      </c>
      <c r="G108" s="44">
        <f t="shared" si="39"/>
        <v>2.6109660574412533E-3</v>
      </c>
      <c r="H108" s="44">
        <f t="shared" si="39"/>
        <v>0</v>
      </c>
      <c r="I108" s="44">
        <f t="shared" si="39"/>
        <v>0.1174934725848564</v>
      </c>
      <c r="J108" s="44">
        <f t="shared" si="39"/>
        <v>7.5718015665796348E-2</v>
      </c>
      <c r="K108" s="44">
        <f t="shared" si="39"/>
        <v>2.8720626631853787E-2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SheetLayoutView="100" workbookViewId="0">
      <selection activeCell="H18" sqref="H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170</v>
      </c>
      <c r="E5" s="3"/>
      <c r="F5" s="41" t="s">
        <v>1</v>
      </c>
      <c r="G5" s="58" t="str">
        <f>'22.10 MADDU-KANONI'!G5:H5</f>
        <v>KANONI</v>
      </c>
      <c r="H5" s="59"/>
      <c r="I5" s="14"/>
      <c r="J5" s="2" t="s">
        <v>5</v>
      </c>
      <c r="K5" s="58" t="s">
        <v>169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166</v>
      </c>
      <c r="E6" s="59"/>
      <c r="F6" s="2" t="s">
        <v>2</v>
      </c>
      <c r="G6" s="58" t="s">
        <v>165</v>
      </c>
      <c r="H6" s="59"/>
      <c r="J6" s="2" t="s">
        <v>21</v>
      </c>
      <c r="K6" s="58" t="str">
        <f>'22.10 MADDU-KANONI'!K6:L6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2</v>
      </c>
      <c r="E10" s="50">
        <v>1</v>
      </c>
      <c r="F10" s="50">
        <v>4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7</v>
      </c>
      <c r="T10" s="17">
        <f t="shared" si="2"/>
        <v>3</v>
      </c>
      <c r="U10" s="17">
        <f t="shared" si="2"/>
        <v>1</v>
      </c>
      <c r="V10" s="17">
        <f t="shared" si="2"/>
        <v>10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19</v>
      </c>
      <c r="AD10" s="17">
        <f t="shared" si="2"/>
        <v>0</v>
      </c>
      <c r="AE10" s="31">
        <f t="shared" si="2"/>
        <v>21</v>
      </c>
      <c r="AF10" s="31">
        <f t="shared" si="2"/>
        <v>40</v>
      </c>
    </row>
    <row r="11" spans="2:32" s="6" customFormat="1" ht="23.1" customHeight="1" x14ac:dyDescent="0.25">
      <c r="B11" s="45" t="s">
        <v>38</v>
      </c>
      <c r="C11" s="50">
        <v>2</v>
      </c>
      <c r="D11" s="50">
        <v>1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4</v>
      </c>
      <c r="P11" s="15">
        <f t="shared" si="1"/>
        <v>11</v>
      </c>
      <c r="R11" s="1" t="s">
        <v>7</v>
      </c>
      <c r="S11" s="17">
        <f t="shared" ref="S11:AF11" si="3">SUM(C14:C17)</f>
        <v>8</v>
      </c>
      <c r="T11" s="17">
        <f t="shared" si="3"/>
        <v>1</v>
      </c>
      <c r="U11" s="17">
        <f t="shared" si="3"/>
        <v>1</v>
      </c>
      <c r="V11" s="17">
        <f t="shared" si="3"/>
        <v>9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40</v>
      </c>
      <c r="AD11" s="17">
        <f t="shared" si="3"/>
        <v>0</v>
      </c>
      <c r="AE11" s="31">
        <f t="shared" si="3"/>
        <v>21</v>
      </c>
      <c r="AF11" s="31">
        <f t="shared" si="3"/>
        <v>61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5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6</v>
      </c>
      <c r="P12" s="15">
        <f t="shared" si="1"/>
        <v>10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3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26</v>
      </c>
      <c r="AD12" s="17">
        <f t="shared" si="4"/>
        <v>0</v>
      </c>
      <c r="AE12" s="31">
        <f t="shared" si="4"/>
        <v>23</v>
      </c>
      <c r="AF12" s="31">
        <f t="shared" si="4"/>
        <v>49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1</v>
      </c>
      <c r="P13" s="15">
        <f t="shared" si="1"/>
        <v>4</v>
      </c>
      <c r="R13" s="1" t="s">
        <v>9</v>
      </c>
      <c r="S13" s="17">
        <f t="shared" ref="S13:AF13" si="5">SUM(C22:C25)</f>
        <v>4</v>
      </c>
      <c r="T13" s="17">
        <f t="shared" si="5"/>
        <v>2</v>
      </c>
      <c r="U13" s="17">
        <f t="shared" si="5"/>
        <v>5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35</v>
      </c>
      <c r="AD13" s="17">
        <f t="shared" si="5"/>
        <v>0</v>
      </c>
      <c r="AE13" s="31">
        <f t="shared" si="5"/>
        <v>21</v>
      </c>
      <c r="AF13" s="31">
        <f t="shared" si="5"/>
        <v>56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3</v>
      </c>
      <c r="P14" s="15">
        <f t="shared" si="1"/>
        <v>11</v>
      </c>
      <c r="R14" s="1" t="s">
        <v>10</v>
      </c>
      <c r="S14" s="17">
        <f t="shared" ref="S14:AF14" si="6">SUM(C26:C29)</f>
        <v>7</v>
      </c>
      <c r="T14" s="17">
        <f t="shared" si="6"/>
        <v>4</v>
      </c>
      <c r="U14" s="17">
        <f t="shared" si="6"/>
        <v>1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37</v>
      </c>
      <c r="AD14" s="17">
        <f t="shared" si="6"/>
        <v>0</v>
      </c>
      <c r="AE14" s="31">
        <f t="shared" si="6"/>
        <v>22</v>
      </c>
      <c r="AF14" s="31">
        <f t="shared" si="6"/>
        <v>59</v>
      </c>
    </row>
    <row r="15" spans="2:32" ht="23.1" customHeight="1" x14ac:dyDescent="0.25">
      <c r="B15" s="45" t="s">
        <v>42</v>
      </c>
      <c r="C15" s="50">
        <v>2</v>
      </c>
      <c r="D15" s="50">
        <v>1</v>
      </c>
      <c r="E15" s="50">
        <v>0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7</v>
      </c>
      <c r="P15" s="15">
        <f t="shared" si="1"/>
        <v>17</v>
      </c>
      <c r="R15" s="1" t="s">
        <v>11</v>
      </c>
      <c r="S15" s="17">
        <f t="shared" ref="S15:AF15" si="7">SUM(C30:C33)</f>
        <v>6</v>
      </c>
      <c r="T15" s="17">
        <f t="shared" si="7"/>
        <v>1</v>
      </c>
      <c r="U15" s="17">
        <f t="shared" si="7"/>
        <v>4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40</v>
      </c>
      <c r="AD15" s="17">
        <f t="shared" si="7"/>
        <v>0</v>
      </c>
      <c r="AE15" s="31">
        <f t="shared" si="7"/>
        <v>16</v>
      </c>
      <c r="AF15" s="31">
        <f t="shared" si="7"/>
        <v>56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6</v>
      </c>
      <c r="P16" s="15">
        <f t="shared" si="1"/>
        <v>14</v>
      </c>
      <c r="R16" s="1" t="s">
        <v>12</v>
      </c>
      <c r="S16" s="17">
        <f t="shared" ref="S16:AF16" si="8">SUM(C34:C37)</f>
        <v>5</v>
      </c>
      <c r="T16" s="17">
        <f t="shared" si="8"/>
        <v>4</v>
      </c>
      <c r="U16" s="17">
        <f t="shared" si="8"/>
        <v>1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49</v>
      </c>
      <c r="AD16" s="17">
        <f t="shared" si="8"/>
        <v>0</v>
      </c>
      <c r="AE16" s="31">
        <f t="shared" si="8"/>
        <v>16</v>
      </c>
      <c r="AF16" s="31">
        <f t="shared" si="8"/>
        <v>65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5</v>
      </c>
      <c r="P17" s="15">
        <f t="shared" si="1"/>
        <v>19</v>
      </c>
      <c r="R17" s="1" t="s">
        <v>13</v>
      </c>
      <c r="S17" s="17">
        <f t="shared" ref="S17:AF17" si="9">SUM(C38:C41)</f>
        <v>13</v>
      </c>
      <c r="T17" s="17">
        <f t="shared" si="9"/>
        <v>1</v>
      </c>
      <c r="U17" s="17">
        <f t="shared" si="9"/>
        <v>4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36</v>
      </c>
      <c r="AD17" s="17">
        <f t="shared" si="9"/>
        <v>0</v>
      </c>
      <c r="AE17" s="31">
        <f t="shared" si="9"/>
        <v>28</v>
      </c>
      <c r="AF17" s="31">
        <f t="shared" si="9"/>
        <v>64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3</v>
      </c>
      <c r="P18" s="15">
        <f t="shared" si="1"/>
        <v>10</v>
      </c>
      <c r="R18" s="1" t="s">
        <v>14</v>
      </c>
      <c r="S18" s="17">
        <f t="shared" ref="S18:AF18" si="10">SUM(C42:C45)</f>
        <v>9</v>
      </c>
      <c r="T18" s="17">
        <f t="shared" si="10"/>
        <v>3</v>
      </c>
      <c r="U18" s="17">
        <f t="shared" si="10"/>
        <v>2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33</v>
      </c>
      <c r="AD18" s="17">
        <f t="shared" si="10"/>
        <v>0</v>
      </c>
      <c r="AE18" s="31">
        <f t="shared" si="10"/>
        <v>21</v>
      </c>
      <c r="AF18" s="31">
        <f t="shared" si="10"/>
        <v>54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2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6</v>
      </c>
      <c r="P19" s="15">
        <f t="shared" si="1"/>
        <v>9</v>
      </c>
      <c r="R19" s="1" t="s">
        <v>15</v>
      </c>
      <c r="S19" s="17">
        <f t="shared" ref="S19:AF19" si="11">SUM(C46:C49)</f>
        <v>12</v>
      </c>
      <c r="T19" s="17">
        <f t="shared" si="11"/>
        <v>2</v>
      </c>
      <c r="U19" s="17">
        <f t="shared" si="11"/>
        <v>1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2</v>
      </c>
      <c r="AB19" s="17">
        <f t="shared" si="11"/>
        <v>0</v>
      </c>
      <c r="AC19" s="17">
        <f t="shared" si="11"/>
        <v>24</v>
      </c>
      <c r="AD19" s="17">
        <f t="shared" si="11"/>
        <v>0</v>
      </c>
      <c r="AE19" s="31">
        <f t="shared" si="11"/>
        <v>27</v>
      </c>
      <c r="AF19" s="31">
        <f t="shared" si="11"/>
        <v>51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5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7</v>
      </c>
      <c r="P20" s="15">
        <f t="shared" si="1"/>
        <v>14</v>
      </c>
      <c r="R20" s="1" t="s">
        <v>16</v>
      </c>
      <c r="S20" s="17">
        <f t="shared" ref="S20:AF20" si="12">SUM(C50:C53)</f>
        <v>7</v>
      </c>
      <c r="T20" s="17">
        <f t="shared" si="12"/>
        <v>6</v>
      </c>
      <c r="U20" s="17">
        <f t="shared" si="12"/>
        <v>1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3</v>
      </c>
      <c r="AB20" s="17">
        <f t="shared" si="12"/>
        <v>1</v>
      </c>
      <c r="AC20" s="17">
        <f t="shared" si="12"/>
        <v>45</v>
      </c>
      <c r="AD20" s="17">
        <f t="shared" si="12"/>
        <v>0</v>
      </c>
      <c r="AE20" s="31">
        <f t="shared" si="12"/>
        <v>29</v>
      </c>
      <c r="AF20" s="31">
        <f t="shared" si="12"/>
        <v>74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1</v>
      </c>
      <c r="F21" s="50">
        <v>4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7</v>
      </c>
      <c r="P21" s="15">
        <f t="shared" si="1"/>
        <v>16</v>
      </c>
      <c r="R21" s="36" t="s">
        <v>20</v>
      </c>
      <c r="S21" s="34">
        <f t="shared" ref="S21:AF21" si="13">SUM(C54:C57)</f>
        <v>11</v>
      </c>
      <c r="T21" s="17">
        <f t="shared" si="13"/>
        <v>4</v>
      </c>
      <c r="U21" s="17">
        <f t="shared" si="13"/>
        <v>11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2</v>
      </c>
      <c r="AB21" s="17">
        <f t="shared" si="13"/>
        <v>1</v>
      </c>
      <c r="AC21" s="17">
        <f t="shared" si="13"/>
        <v>41</v>
      </c>
      <c r="AD21" s="17">
        <f t="shared" si="13"/>
        <v>0</v>
      </c>
      <c r="AE21" s="31">
        <f t="shared" si="13"/>
        <v>41</v>
      </c>
      <c r="AF21" s="31">
        <f t="shared" si="13"/>
        <v>82</v>
      </c>
    </row>
    <row r="22" spans="2:32" ht="23.1" customHeight="1" x14ac:dyDescent="0.25">
      <c r="B22" s="45" t="s">
        <v>49</v>
      </c>
      <c r="C22" s="50">
        <v>1</v>
      </c>
      <c r="D22" s="50">
        <v>1</v>
      </c>
      <c r="E22" s="50">
        <v>0</v>
      </c>
      <c r="F22" s="50">
        <v>3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7</v>
      </c>
      <c r="P22" s="15">
        <f t="shared" si="1"/>
        <v>12</v>
      </c>
      <c r="R22" s="36" t="s">
        <v>146</v>
      </c>
      <c r="S22" s="34">
        <f>SUM(C58:C61)</f>
        <v>13</v>
      </c>
      <c r="T22" s="34">
        <f t="shared" ref="T22:AF22" si="14">SUM(D58:D61)</f>
        <v>12</v>
      </c>
      <c r="U22" s="34">
        <f t="shared" si="14"/>
        <v>4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5</v>
      </c>
      <c r="Z22" s="34">
        <f t="shared" si="14"/>
        <v>5</v>
      </c>
      <c r="AA22" s="34">
        <f t="shared" si="14"/>
        <v>0</v>
      </c>
      <c r="AB22" s="34">
        <f t="shared" si="14"/>
        <v>0</v>
      </c>
      <c r="AC22" s="34">
        <f t="shared" si="14"/>
        <v>44</v>
      </c>
      <c r="AD22" s="34">
        <f t="shared" si="14"/>
        <v>0</v>
      </c>
      <c r="AE22" s="31">
        <f t="shared" si="14"/>
        <v>42</v>
      </c>
      <c r="AF22" s="31">
        <f t="shared" si="14"/>
        <v>86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1</v>
      </c>
      <c r="F23" s="50">
        <v>3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7</v>
      </c>
      <c r="P23" s="15">
        <f t="shared" si="1"/>
        <v>20</v>
      </c>
      <c r="R23" s="36" t="s">
        <v>147</v>
      </c>
      <c r="S23" s="34">
        <f>SUM(C62:C65)</f>
        <v>6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6</v>
      </c>
      <c r="AA23" s="34">
        <f t="shared" si="15"/>
        <v>1</v>
      </c>
      <c r="AB23" s="34">
        <f t="shared" si="15"/>
        <v>0</v>
      </c>
      <c r="AC23" s="34">
        <f t="shared" si="15"/>
        <v>17</v>
      </c>
      <c r="AD23" s="34">
        <f t="shared" si="15"/>
        <v>0</v>
      </c>
      <c r="AE23" s="31">
        <f t="shared" si="15"/>
        <v>19</v>
      </c>
      <c r="AF23" s="31">
        <f t="shared" si="15"/>
        <v>36</v>
      </c>
    </row>
    <row r="24" spans="2:32" ht="23.1" customHeight="1" x14ac:dyDescent="0.25">
      <c r="B24" s="45" t="s">
        <v>51</v>
      </c>
      <c r="C24" s="50">
        <v>1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3</v>
      </c>
      <c r="P24" s="15">
        <f t="shared" si="1"/>
        <v>9</v>
      </c>
      <c r="R24" s="36" t="s">
        <v>148</v>
      </c>
      <c r="S24" s="34">
        <f>SUM(C66:C69)</f>
        <v>4</v>
      </c>
      <c r="T24" s="34">
        <f t="shared" ref="T24:AF24" si="16">SUM(D66:D69)</f>
        <v>2</v>
      </c>
      <c r="U24" s="34">
        <f t="shared" si="16"/>
        <v>3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6</v>
      </c>
      <c r="AD24" s="34">
        <f t="shared" si="16"/>
        <v>0</v>
      </c>
      <c r="AE24" s="31">
        <f t="shared" si="16"/>
        <v>17</v>
      </c>
      <c r="AF24" s="31">
        <f t="shared" si="16"/>
        <v>23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3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4</v>
      </c>
      <c r="P25" s="15">
        <f t="shared" si="1"/>
        <v>15</v>
      </c>
      <c r="R25" s="36" t="s">
        <v>149</v>
      </c>
      <c r="S25" s="34">
        <f>SUM(C70:C73)</f>
        <v>3</v>
      </c>
      <c r="T25" s="34">
        <f t="shared" ref="T25:AF25" si="17">SUM(D70:D73)</f>
        <v>2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3</v>
      </c>
      <c r="AA25" s="34">
        <f t="shared" si="17"/>
        <v>0</v>
      </c>
      <c r="AB25" s="34">
        <f t="shared" si="17"/>
        <v>0</v>
      </c>
      <c r="AC25" s="34">
        <f t="shared" si="17"/>
        <v>1</v>
      </c>
      <c r="AD25" s="34">
        <f t="shared" si="17"/>
        <v>0</v>
      </c>
      <c r="AE25" s="31">
        <f t="shared" si="17"/>
        <v>10</v>
      </c>
      <c r="AF25" s="31">
        <f t="shared" si="17"/>
        <v>11</v>
      </c>
    </row>
    <row r="26" spans="2:32" ht="23.1" customHeight="1" x14ac:dyDescent="0.25">
      <c r="B26" s="45" t="s">
        <v>53</v>
      </c>
      <c r="C26" s="50">
        <v>1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4</v>
      </c>
      <c r="P26" s="15">
        <f t="shared" si="1"/>
        <v>17</v>
      </c>
      <c r="R26" s="36" t="s">
        <v>150</v>
      </c>
      <c r="S26" s="34">
        <f>SUM(C74:C77)</f>
        <v>1</v>
      </c>
      <c r="T26" s="34">
        <f t="shared" ref="T26:AF26" si="18">SUM(D74:D77)</f>
        <v>2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5</v>
      </c>
      <c r="AA26" s="34">
        <f t="shared" si="18"/>
        <v>1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12</v>
      </c>
      <c r="AF26" s="31">
        <f t="shared" si="18"/>
        <v>13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5</v>
      </c>
      <c r="P27" s="15">
        <f t="shared" si="1"/>
        <v>19</v>
      </c>
      <c r="R27" s="36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3</v>
      </c>
      <c r="AA27" s="34">
        <f t="shared" si="19"/>
        <v>3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8</v>
      </c>
      <c r="AF27" s="31">
        <f t="shared" si="19"/>
        <v>9</v>
      </c>
    </row>
    <row r="28" spans="2:32" ht="23.1" customHeight="1" x14ac:dyDescent="0.25">
      <c r="B28" s="45" t="s">
        <v>55</v>
      </c>
      <c r="C28" s="50">
        <v>4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5</v>
      </c>
      <c r="N28" s="50">
        <v>0</v>
      </c>
      <c r="O28" s="15">
        <f t="shared" si="0"/>
        <v>6</v>
      </c>
      <c r="P28" s="15">
        <f t="shared" si="1"/>
        <v>11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3</v>
      </c>
      <c r="AF28" s="31">
        <f t="shared" si="20"/>
        <v>3</v>
      </c>
    </row>
    <row r="29" spans="2:32" ht="23.1" customHeight="1" x14ac:dyDescent="0.25">
      <c r="B29" s="45" t="s">
        <v>56</v>
      </c>
      <c r="C29" s="50">
        <v>0</v>
      </c>
      <c r="D29" s="50">
        <v>2</v>
      </c>
      <c r="E29" s="50">
        <v>1</v>
      </c>
      <c r="F29" s="50">
        <v>2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7</v>
      </c>
      <c r="P29" s="15">
        <f t="shared" si="1"/>
        <v>12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3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1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14</v>
      </c>
      <c r="N30" s="50">
        <v>0</v>
      </c>
      <c r="O30" s="15">
        <f t="shared" si="0"/>
        <v>2</v>
      </c>
      <c r="P30" s="15">
        <f t="shared" si="1"/>
        <v>16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6</v>
      </c>
      <c r="AF30" s="31">
        <f t="shared" si="22"/>
        <v>6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2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5</v>
      </c>
      <c r="P31" s="15">
        <f t="shared" si="1"/>
        <v>11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4</v>
      </c>
      <c r="P32" s="15">
        <f t="shared" si="1"/>
        <v>8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2</v>
      </c>
      <c r="AF32" s="31">
        <f t="shared" si="24"/>
        <v>2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5</v>
      </c>
      <c r="P33" s="15">
        <f t="shared" si="1"/>
        <v>21</v>
      </c>
      <c r="R33" s="33" t="s">
        <v>157</v>
      </c>
      <c r="S33" s="34">
        <f>SUM(C102:C105)</f>
        <v>1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</v>
      </c>
      <c r="AD33" s="34">
        <f t="shared" si="25"/>
        <v>0</v>
      </c>
      <c r="AE33" s="31">
        <f t="shared" si="25"/>
        <v>3</v>
      </c>
      <c r="AF33" s="31">
        <f t="shared" si="25"/>
        <v>6</v>
      </c>
    </row>
    <row r="34" spans="2:32" ht="23.1" customHeight="1" x14ac:dyDescent="0.25">
      <c r="B34" s="46" t="s">
        <v>61</v>
      </c>
      <c r="C34" s="50">
        <v>3</v>
      </c>
      <c r="D34" s="50">
        <v>2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7</v>
      </c>
      <c r="P34" s="15">
        <f t="shared" si="1"/>
        <v>22</v>
      </c>
      <c r="R34" s="38" t="s">
        <v>90</v>
      </c>
      <c r="S34" s="39">
        <f t="shared" ref="S34:AF34" si="26">MAX(S10:S12)</f>
        <v>8</v>
      </c>
      <c r="T34" s="39">
        <f t="shared" si="26"/>
        <v>3</v>
      </c>
      <c r="U34" s="39">
        <f t="shared" si="26"/>
        <v>3</v>
      </c>
      <c r="V34" s="39">
        <f t="shared" si="26"/>
        <v>13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40</v>
      </c>
      <c r="AD34" s="39">
        <f t="shared" si="26"/>
        <v>0</v>
      </c>
      <c r="AE34" s="40">
        <f t="shared" si="26"/>
        <v>23</v>
      </c>
      <c r="AF34" s="40">
        <f t="shared" si="26"/>
        <v>61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2</v>
      </c>
      <c r="P35" s="15">
        <f t="shared" si="1"/>
        <v>14</v>
      </c>
      <c r="R35" s="38" t="s">
        <v>91</v>
      </c>
      <c r="S35" s="39">
        <f t="shared" ref="S35:AF35" si="27">MAX(S13:S18)</f>
        <v>13</v>
      </c>
      <c r="T35" s="39">
        <f t="shared" si="27"/>
        <v>4</v>
      </c>
      <c r="U35" s="39">
        <f t="shared" si="27"/>
        <v>5</v>
      </c>
      <c r="V35" s="39">
        <f t="shared" si="27"/>
        <v>7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2</v>
      </c>
      <c r="AA35" s="39">
        <f t="shared" si="27"/>
        <v>0</v>
      </c>
      <c r="AB35" s="39">
        <f t="shared" si="27"/>
        <v>0</v>
      </c>
      <c r="AC35" s="39">
        <f t="shared" si="27"/>
        <v>49</v>
      </c>
      <c r="AD35" s="39">
        <f t="shared" si="27"/>
        <v>0</v>
      </c>
      <c r="AE35" s="40">
        <f t="shared" si="27"/>
        <v>28</v>
      </c>
      <c r="AF35" s="40">
        <f t="shared" si="27"/>
        <v>65</v>
      </c>
    </row>
    <row r="36" spans="2:32" ht="23.1" customHeight="1" x14ac:dyDescent="0.25">
      <c r="B36" s="46" t="s">
        <v>63</v>
      </c>
      <c r="C36" s="50">
        <v>1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4</v>
      </c>
      <c r="P36" s="15">
        <f t="shared" si="1"/>
        <v>15</v>
      </c>
      <c r="R36" s="38" t="s">
        <v>92</v>
      </c>
      <c r="S36" s="39">
        <f t="shared" ref="S36:AF36" si="28">MAX(S19:S21)</f>
        <v>12</v>
      </c>
      <c r="T36" s="39">
        <f t="shared" si="28"/>
        <v>6</v>
      </c>
      <c r="U36" s="39">
        <f t="shared" si="28"/>
        <v>11</v>
      </c>
      <c r="V36" s="39">
        <f t="shared" si="28"/>
        <v>10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1</v>
      </c>
      <c r="AA36" s="39">
        <f t="shared" si="28"/>
        <v>3</v>
      </c>
      <c r="AB36" s="39">
        <f t="shared" si="28"/>
        <v>1</v>
      </c>
      <c r="AC36" s="39">
        <f t="shared" si="28"/>
        <v>45</v>
      </c>
      <c r="AD36" s="39">
        <f t="shared" si="28"/>
        <v>0</v>
      </c>
      <c r="AE36" s="40">
        <f t="shared" si="28"/>
        <v>41</v>
      </c>
      <c r="AF36" s="40">
        <f t="shared" si="28"/>
        <v>82</v>
      </c>
    </row>
    <row r="37" spans="2:32" ht="23.1" customHeight="1" x14ac:dyDescent="0.25">
      <c r="B37" s="45" t="s">
        <v>64</v>
      </c>
      <c r="C37" s="50">
        <v>1</v>
      </c>
      <c r="D37" s="50">
        <v>1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3</v>
      </c>
      <c r="P37" s="15">
        <f t="shared" si="1"/>
        <v>14</v>
      </c>
      <c r="R37" s="37" t="s">
        <v>85</v>
      </c>
      <c r="S37" s="35">
        <f t="shared" ref="S37:AF37" si="29">SUM(S10:S12)</f>
        <v>21</v>
      </c>
      <c r="T37" s="16">
        <f t="shared" si="29"/>
        <v>4</v>
      </c>
      <c r="U37" s="16">
        <f t="shared" si="29"/>
        <v>5</v>
      </c>
      <c r="V37" s="16">
        <f t="shared" si="29"/>
        <v>32</v>
      </c>
      <c r="W37" s="16">
        <f t="shared" si="29"/>
        <v>0</v>
      </c>
      <c r="X37" s="16">
        <f t="shared" si="29"/>
        <v>0</v>
      </c>
      <c r="Y37" s="16">
        <f t="shared" si="29"/>
        <v>2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85</v>
      </c>
      <c r="AD37" s="16">
        <f t="shared" si="29"/>
        <v>0</v>
      </c>
      <c r="AE37" s="32">
        <f t="shared" si="29"/>
        <v>65</v>
      </c>
      <c r="AF37" s="32">
        <f t="shared" si="29"/>
        <v>150</v>
      </c>
    </row>
    <row r="38" spans="2:32" ht="23.1" customHeight="1" x14ac:dyDescent="0.25">
      <c r="B38" s="46" t="s">
        <v>65</v>
      </c>
      <c r="C38" s="50">
        <v>2</v>
      </c>
      <c r="D38" s="50">
        <v>1</v>
      </c>
      <c r="E38" s="50">
        <v>2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6</v>
      </c>
      <c r="P38" s="15">
        <f t="shared" si="1"/>
        <v>12</v>
      </c>
      <c r="R38" s="28" t="s">
        <v>86</v>
      </c>
      <c r="S38" s="16">
        <f t="shared" ref="S38:AF38" si="30">SUM(S13:S18)</f>
        <v>44</v>
      </c>
      <c r="T38" s="16">
        <f t="shared" si="30"/>
        <v>15</v>
      </c>
      <c r="U38" s="16">
        <f t="shared" si="30"/>
        <v>17</v>
      </c>
      <c r="V38" s="16">
        <f t="shared" si="30"/>
        <v>28</v>
      </c>
      <c r="W38" s="16">
        <f t="shared" si="30"/>
        <v>0</v>
      </c>
      <c r="X38" s="16">
        <f t="shared" si="30"/>
        <v>0</v>
      </c>
      <c r="Y38" s="16">
        <f t="shared" si="30"/>
        <v>17</v>
      </c>
      <c r="Z38" s="16">
        <f t="shared" si="30"/>
        <v>3</v>
      </c>
      <c r="AA38" s="16">
        <f t="shared" si="30"/>
        <v>0</v>
      </c>
      <c r="AB38" s="16">
        <f t="shared" si="30"/>
        <v>0</v>
      </c>
      <c r="AC38" s="16">
        <f t="shared" si="30"/>
        <v>230</v>
      </c>
      <c r="AD38" s="16">
        <f t="shared" si="30"/>
        <v>0</v>
      </c>
      <c r="AE38" s="32">
        <f t="shared" si="30"/>
        <v>124</v>
      </c>
      <c r="AF38" s="32">
        <f t="shared" si="30"/>
        <v>354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10</v>
      </c>
      <c r="P39" s="15">
        <f t="shared" si="1"/>
        <v>25</v>
      </c>
      <c r="R39" s="29" t="s">
        <v>87</v>
      </c>
      <c r="S39" s="16">
        <f t="shared" ref="S39:AF39" si="31">SUM(S19:S21)</f>
        <v>30</v>
      </c>
      <c r="T39" s="16">
        <f t="shared" si="31"/>
        <v>12</v>
      </c>
      <c r="U39" s="16">
        <f t="shared" si="31"/>
        <v>13</v>
      </c>
      <c r="V39" s="16">
        <f t="shared" si="31"/>
        <v>24</v>
      </c>
      <c r="W39" s="16">
        <f t="shared" si="31"/>
        <v>0</v>
      </c>
      <c r="X39" s="16">
        <f t="shared" si="31"/>
        <v>0</v>
      </c>
      <c r="Y39" s="16">
        <f t="shared" si="31"/>
        <v>7</v>
      </c>
      <c r="Z39" s="16">
        <f t="shared" si="31"/>
        <v>2</v>
      </c>
      <c r="AA39" s="16">
        <f t="shared" si="31"/>
        <v>7</v>
      </c>
      <c r="AB39" s="16">
        <f t="shared" si="31"/>
        <v>2</v>
      </c>
      <c r="AC39" s="16">
        <f t="shared" si="31"/>
        <v>110</v>
      </c>
      <c r="AD39" s="16">
        <f t="shared" si="31"/>
        <v>0</v>
      </c>
      <c r="AE39" s="32">
        <f t="shared" si="31"/>
        <v>97</v>
      </c>
      <c r="AF39" s="32">
        <f t="shared" si="31"/>
        <v>207</v>
      </c>
    </row>
    <row r="40" spans="2:32" ht="23.1" customHeight="1" x14ac:dyDescent="0.25">
      <c r="B40" s="46" t="s">
        <v>67</v>
      </c>
      <c r="C40" s="50">
        <v>6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8</v>
      </c>
      <c r="P40" s="15">
        <f t="shared" si="1"/>
        <v>15</v>
      </c>
      <c r="R40" s="5" t="s">
        <v>17</v>
      </c>
      <c r="S40" s="16">
        <f t="shared" ref="S40:AF40" si="32">SUM(S10:S21)</f>
        <v>95</v>
      </c>
      <c r="T40" s="16">
        <f t="shared" si="32"/>
        <v>31</v>
      </c>
      <c r="U40" s="16">
        <f t="shared" si="32"/>
        <v>35</v>
      </c>
      <c r="V40" s="16">
        <f t="shared" si="32"/>
        <v>84</v>
      </c>
      <c r="W40" s="16">
        <f t="shared" si="32"/>
        <v>0</v>
      </c>
      <c r="X40" s="16">
        <f t="shared" si="32"/>
        <v>0</v>
      </c>
      <c r="Y40" s="16">
        <f t="shared" si="32"/>
        <v>26</v>
      </c>
      <c r="Z40" s="16">
        <f t="shared" si="32"/>
        <v>6</v>
      </c>
      <c r="AA40" s="16">
        <f t="shared" si="32"/>
        <v>7</v>
      </c>
      <c r="AB40" s="16">
        <f t="shared" si="32"/>
        <v>2</v>
      </c>
      <c r="AC40" s="16">
        <f t="shared" si="32"/>
        <v>425</v>
      </c>
      <c r="AD40" s="16">
        <f t="shared" si="32"/>
        <v>0</v>
      </c>
      <c r="AE40" s="32">
        <f t="shared" si="32"/>
        <v>286</v>
      </c>
      <c r="AF40" s="32">
        <f t="shared" si="32"/>
        <v>711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4</v>
      </c>
      <c r="P41" s="15">
        <f t="shared" si="1"/>
        <v>12</v>
      </c>
      <c r="R41" s="5" t="s">
        <v>159</v>
      </c>
      <c r="S41" s="16">
        <f>SUM(S10:S33)</f>
        <v>124</v>
      </c>
      <c r="T41" s="16">
        <f t="shared" ref="T41:AF41" si="33">SUM(T10:T33)</f>
        <v>51</v>
      </c>
      <c r="U41" s="16">
        <f t="shared" si="33"/>
        <v>43</v>
      </c>
      <c r="V41" s="16">
        <f t="shared" si="33"/>
        <v>94</v>
      </c>
      <c r="W41" s="16">
        <f t="shared" si="33"/>
        <v>0</v>
      </c>
      <c r="X41" s="16">
        <f t="shared" si="33"/>
        <v>0</v>
      </c>
      <c r="Y41" s="16">
        <f t="shared" si="33"/>
        <v>48</v>
      </c>
      <c r="Z41" s="16">
        <f t="shared" si="33"/>
        <v>40</v>
      </c>
      <c r="AA41" s="16">
        <f t="shared" si="33"/>
        <v>12</v>
      </c>
      <c r="AB41" s="16">
        <f t="shared" si="33"/>
        <v>2</v>
      </c>
      <c r="AC41" s="16">
        <f t="shared" si="33"/>
        <v>498</v>
      </c>
      <c r="AD41" s="16">
        <f t="shared" si="33"/>
        <v>0</v>
      </c>
      <c r="AE41" s="32">
        <f t="shared" si="33"/>
        <v>414</v>
      </c>
      <c r="AF41" s="32">
        <f t="shared" si="33"/>
        <v>912</v>
      </c>
    </row>
    <row r="42" spans="2:32" ht="23.1" customHeight="1" x14ac:dyDescent="0.25">
      <c r="B42" s="46" t="s">
        <v>69</v>
      </c>
      <c r="C42" s="50">
        <v>1</v>
      </c>
      <c r="D42" s="50">
        <v>2</v>
      </c>
      <c r="E42" s="50">
        <v>2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8</v>
      </c>
      <c r="P42" s="15">
        <f t="shared" si="1"/>
        <v>21</v>
      </c>
      <c r="R42" s="5" t="s">
        <v>160</v>
      </c>
      <c r="S42" s="48">
        <f>S41/S40</f>
        <v>1.3052631578947369</v>
      </c>
      <c r="T42" s="48">
        <f t="shared" ref="T42:AF42" si="34">T41/T40</f>
        <v>1.6451612903225807</v>
      </c>
      <c r="U42" s="48">
        <f t="shared" si="34"/>
        <v>1.2285714285714286</v>
      </c>
      <c r="V42" s="48">
        <f t="shared" si="34"/>
        <v>1.1190476190476191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1.8461538461538463</v>
      </c>
      <c r="Z42" s="48">
        <f t="shared" si="34"/>
        <v>6.666666666666667</v>
      </c>
      <c r="AA42" s="48">
        <f t="shared" si="34"/>
        <v>1.7142857142857142</v>
      </c>
      <c r="AB42" s="48">
        <f t="shared" si="34"/>
        <v>1</v>
      </c>
      <c r="AC42" s="48">
        <f t="shared" si="34"/>
        <v>1.171764705882353</v>
      </c>
      <c r="AD42" s="48" t="e">
        <f t="shared" si="34"/>
        <v>#DIV/0!</v>
      </c>
      <c r="AE42" s="48">
        <f t="shared" si="34"/>
        <v>1.4475524475524475</v>
      </c>
      <c r="AF42" s="48">
        <f t="shared" si="34"/>
        <v>1.2827004219409284</v>
      </c>
    </row>
    <row r="43" spans="2:32" ht="23.1" customHeight="1" x14ac:dyDescent="0.25">
      <c r="B43" s="45" t="s">
        <v>70</v>
      </c>
      <c r="C43" s="50">
        <v>4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6</v>
      </c>
      <c r="P43" s="15">
        <f t="shared" si="1"/>
        <v>11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4</v>
      </c>
      <c r="P44" s="15">
        <f t="shared" si="1"/>
        <v>9</v>
      </c>
    </row>
    <row r="45" spans="2:32" ht="23.1" customHeight="1" x14ac:dyDescent="0.25">
      <c r="B45" s="45" t="s">
        <v>72</v>
      </c>
      <c r="C45" s="50">
        <v>1</v>
      </c>
      <c r="D45" s="50">
        <v>1</v>
      </c>
      <c r="E45" s="50">
        <v>0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3</v>
      </c>
      <c r="P45" s="15">
        <f t="shared" si="1"/>
        <v>13</v>
      </c>
    </row>
    <row r="46" spans="2:32" ht="23.1" customHeight="1" x14ac:dyDescent="0.25">
      <c r="B46" s="46" t="s">
        <v>73</v>
      </c>
      <c r="C46" s="50">
        <v>3</v>
      </c>
      <c r="D46" s="50">
        <v>1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5</v>
      </c>
      <c r="P46" s="15">
        <f t="shared" si="1"/>
        <v>8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0</v>
      </c>
      <c r="F47" s="50">
        <v>2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5</v>
      </c>
      <c r="P47" s="15">
        <f t="shared" si="1"/>
        <v>16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2</v>
      </c>
      <c r="L48" s="50">
        <v>0</v>
      </c>
      <c r="M48" s="50">
        <v>3</v>
      </c>
      <c r="N48" s="50">
        <v>0</v>
      </c>
      <c r="O48" s="15">
        <f t="shared" si="0"/>
        <v>7</v>
      </c>
      <c r="P48" s="15">
        <f t="shared" si="1"/>
        <v>10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1</v>
      </c>
      <c r="E49" s="50">
        <v>1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10</v>
      </c>
      <c r="P49" s="15">
        <f t="shared" si="1"/>
        <v>17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0</v>
      </c>
      <c r="F50" s="50">
        <v>4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7</v>
      </c>
      <c r="P50" s="15">
        <f t="shared" si="1"/>
        <v>22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7</v>
      </c>
      <c r="N51" s="50">
        <v>0</v>
      </c>
      <c r="O51" s="15">
        <f t="shared" si="0"/>
        <v>5</v>
      </c>
      <c r="P51" s="15">
        <f t="shared" si="1"/>
        <v>12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3</v>
      </c>
      <c r="E52" s="50">
        <v>0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50">
        <v>8</v>
      </c>
      <c r="N52" s="50">
        <v>0</v>
      </c>
      <c r="O52" s="15">
        <f t="shared" si="0"/>
        <v>10</v>
      </c>
      <c r="P52" s="15">
        <f t="shared" si="1"/>
        <v>18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3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2</v>
      </c>
      <c r="L53" s="50">
        <v>0</v>
      </c>
      <c r="M53" s="50">
        <v>15</v>
      </c>
      <c r="N53" s="50">
        <v>0</v>
      </c>
      <c r="O53" s="15">
        <f t="shared" si="0"/>
        <v>7</v>
      </c>
      <c r="P53" s="15">
        <f t="shared" si="1"/>
        <v>22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0</v>
      </c>
      <c r="F54" s="50">
        <v>4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7</v>
      </c>
      <c r="P54" s="15">
        <f t="shared" si="1"/>
        <v>16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2</v>
      </c>
      <c r="E55" s="50">
        <v>4</v>
      </c>
      <c r="F55" s="5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1</v>
      </c>
      <c r="L55" s="50">
        <v>0</v>
      </c>
      <c r="M55" s="50">
        <v>17</v>
      </c>
      <c r="N55" s="50">
        <v>0</v>
      </c>
      <c r="O55" s="15">
        <f t="shared" si="0"/>
        <v>13</v>
      </c>
      <c r="P55" s="15">
        <f t="shared" si="1"/>
        <v>30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1</v>
      </c>
      <c r="M56" s="50">
        <v>5</v>
      </c>
      <c r="N56" s="50">
        <v>0</v>
      </c>
      <c r="O56" s="15">
        <f t="shared" si="0"/>
        <v>6</v>
      </c>
      <c r="P56" s="15">
        <f t="shared" si="1"/>
        <v>11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2</v>
      </c>
      <c r="E57" s="50">
        <v>7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15</v>
      </c>
      <c r="P57" s="15">
        <f t="shared" si="1"/>
        <v>25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1</v>
      </c>
      <c r="E58" s="50">
        <v>2</v>
      </c>
      <c r="F58" s="50">
        <v>0</v>
      </c>
      <c r="G58" s="50">
        <v>0</v>
      </c>
      <c r="H58" s="50">
        <v>0</v>
      </c>
      <c r="I58" s="50">
        <v>2</v>
      </c>
      <c r="J58" s="50">
        <v>1</v>
      </c>
      <c r="K58" s="50">
        <v>0</v>
      </c>
      <c r="L58" s="50">
        <v>0</v>
      </c>
      <c r="M58" s="50">
        <v>13</v>
      </c>
      <c r="N58" s="50">
        <v>0</v>
      </c>
      <c r="O58" s="15">
        <f t="shared" ref="O58:O105" si="35">SUM(C58:L58,N58)</f>
        <v>9</v>
      </c>
      <c r="P58" s="15">
        <f t="shared" ref="P58:P105" si="36">SUM(C58:N58)</f>
        <v>22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3</v>
      </c>
      <c r="E59" s="50">
        <v>0</v>
      </c>
      <c r="F59" s="50">
        <v>1</v>
      </c>
      <c r="G59" s="50">
        <v>0</v>
      </c>
      <c r="H59" s="50">
        <v>0</v>
      </c>
      <c r="I59" s="50">
        <v>0</v>
      </c>
      <c r="J59" s="50">
        <v>2</v>
      </c>
      <c r="K59" s="50">
        <v>0</v>
      </c>
      <c r="L59" s="50">
        <v>0</v>
      </c>
      <c r="M59" s="50">
        <v>8</v>
      </c>
      <c r="N59" s="50">
        <v>0</v>
      </c>
      <c r="O59" s="15">
        <f t="shared" si="35"/>
        <v>7</v>
      </c>
      <c r="P59" s="15">
        <f t="shared" si="36"/>
        <v>15</v>
      </c>
      <c r="R59" s="8"/>
      <c r="T59"/>
    </row>
    <row r="60" spans="2:20" ht="23.1" customHeight="1" x14ac:dyDescent="0.25">
      <c r="B60" s="45" t="s">
        <v>101</v>
      </c>
      <c r="C60" s="50">
        <v>7</v>
      </c>
      <c r="D60" s="50">
        <v>8</v>
      </c>
      <c r="E60" s="50">
        <v>2</v>
      </c>
      <c r="F60" s="50">
        <v>2</v>
      </c>
      <c r="G60" s="50">
        <v>0</v>
      </c>
      <c r="H60" s="50">
        <v>0</v>
      </c>
      <c r="I60" s="50">
        <v>2</v>
      </c>
      <c r="J60" s="50">
        <v>1</v>
      </c>
      <c r="K60" s="50">
        <v>0</v>
      </c>
      <c r="L60" s="50">
        <v>0</v>
      </c>
      <c r="M60" s="50">
        <v>10</v>
      </c>
      <c r="N60" s="50">
        <v>0</v>
      </c>
      <c r="O60" s="15">
        <f t="shared" si="35"/>
        <v>22</v>
      </c>
      <c r="P60" s="15">
        <f t="shared" si="36"/>
        <v>32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1</v>
      </c>
      <c r="J61" s="50">
        <v>1</v>
      </c>
      <c r="K61" s="50">
        <v>0</v>
      </c>
      <c r="L61" s="50">
        <v>0</v>
      </c>
      <c r="M61" s="50">
        <v>13</v>
      </c>
      <c r="N61" s="50">
        <v>0</v>
      </c>
      <c r="O61" s="15">
        <f t="shared" si="35"/>
        <v>4</v>
      </c>
      <c r="P61" s="15">
        <f t="shared" si="36"/>
        <v>17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0</v>
      </c>
      <c r="N62" s="50">
        <v>0</v>
      </c>
      <c r="O62" s="15">
        <f t="shared" si="35"/>
        <v>3</v>
      </c>
      <c r="P62" s="15">
        <f t="shared" si="36"/>
        <v>3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1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5</v>
      </c>
      <c r="N63" s="50">
        <v>0</v>
      </c>
      <c r="O63" s="15">
        <f t="shared" si="35"/>
        <v>5</v>
      </c>
      <c r="P63" s="15">
        <f t="shared" si="36"/>
        <v>10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1</v>
      </c>
      <c r="F64" s="50">
        <v>1</v>
      </c>
      <c r="G64" s="50">
        <v>0</v>
      </c>
      <c r="H64" s="50">
        <v>0</v>
      </c>
      <c r="I64" s="50">
        <v>0</v>
      </c>
      <c r="J64" s="50">
        <v>2</v>
      </c>
      <c r="K64" s="50">
        <v>0</v>
      </c>
      <c r="L64" s="50">
        <v>0</v>
      </c>
      <c r="M64" s="50">
        <v>6</v>
      </c>
      <c r="N64" s="50">
        <v>0</v>
      </c>
      <c r="O64" s="15">
        <f t="shared" si="35"/>
        <v>6</v>
      </c>
      <c r="P64" s="15">
        <f t="shared" si="36"/>
        <v>12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2</v>
      </c>
      <c r="J65" s="50">
        <v>2</v>
      </c>
      <c r="K65" s="50">
        <v>1</v>
      </c>
      <c r="L65" s="50">
        <v>0</v>
      </c>
      <c r="M65" s="50">
        <v>6</v>
      </c>
      <c r="N65" s="50">
        <v>0</v>
      </c>
      <c r="O65" s="15">
        <f t="shared" si="35"/>
        <v>5</v>
      </c>
      <c r="P65" s="15">
        <f t="shared" si="36"/>
        <v>11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1</v>
      </c>
      <c r="F66" s="50">
        <v>0</v>
      </c>
      <c r="G66" s="50">
        <v>0</v>
      </c>
      <c r="H66" s="50">
        <v>0</v>
      </c>
      <c r="I66" s="50">
        <v>1</v>
      </c>
      <c r="J66" s="50">
        <v>1</v>
      </c>
      <c r="K66" s="50">
        <v>0</v>
      </c>
      <c r="L66" s="50">
        <v>0</v>
      </c>
      <c r="M66" s="50">
        <v>2</v>
      </c>
      <c r="N66" s="50">
        <v>0</v>
      </c>
      <c r="O66" s="15">
        <f t="shared" si="35"/>
        <v>4</v>
      </c>
      <c r="P66" s="15">
        <f t="shared" si="36"/>
        <v>6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1</v>
      </c>
      <c r="F67" s="50">
        <v>2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2</v>
      </c>
      <c r="N67" s="50">
        <v>0</v>
      </c>
      <c r="O67" s="15">
        <f t="shared" si="35"/>
        <v>5</v>
      </c>
      <c r="P67" s="15">
        <f t="shared" si="36"/>
        <v>7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1</v>
      </c>
      <c r="E68" s="50">
        <v>1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35"/>
        <v>3</v>
      </c>
      <c r="P68" s="15">
        <f t="shared" si="36"/>
        <v>4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1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1</v>
      </c>
      <c r="N69" s="50">
        <v>0</v>
      </c>
      <c r="O69" s="15">
        <f t="shared" si="35"/>
        <v>5</v>
      </c>
      <c r="P69" s="15">
        <f t="shared" si="36"/>
        <v>6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1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1</v>
      </c>
      <c r="N70" s="50">
        <v>0</v>
      </c>
      <c r="O70" s="15">
        <f t="shared" si="35"/>
        <v>3</v>
      </c>
      <c r="P70" s="15">
        <f t="shared" si="36"/>
        <v>4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1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35"/>
        <v>3</v>
      </c>
      <c r="P71" s="15">
        <f t="shared" si="36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2</v>
      </c>
      <c r="K72" s="50">
        <v>0</v>
      </c>
      <c r="L72" s="50">
        <v>0</v>
      </c>
      <c r="M72" s="50">
        <v>0</v>
      </c>
      <c r="N72" s="50">
        <v>0</v>
      </c>
      <c r="O72" s="15">
        <f t="shared" si="35"/>
        <v>3</v>
      </c>
      <c r="P72" s="15">
        <f t="shared" si="36"/>
        <v>3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35"/>
        <v>1</v>
      </c>
      <c r="P73" s="15">
        <f t="shared" si="36"/>
        <v>1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0</v>
      </c>
      <c r="N74" s="50">
        <v>0</v>
      </c>
      <c r="O74" s="15">
        <f t="shared" si="35"/>
        <v>2</v>
      </c>
      <c r="P74" s="15">
        <f t="shared" si="36"/>
        <v>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2</v>
      </c>
      <c r="E75" s="50">
        <v>0</v>
      </c>
      <c r="F75" s="50">
        <v>0</v>
      </c>
      <c r="G75" s="50">
        <v>0</v>
      </c>
      <c r="H75" s="50">
        <v>0</v>
      </c>
      <c r="I75" s="50">
        <v>3</v>
      </c>
      <c r="J75" s="50">
        <v>1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6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2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2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2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1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1</v>
      </c>
      <c r="L79" s="50">
        <v>0</v>
      </c>
      <c r="M79" s="50">
        <v>0</v>
      </c>
      <c r="N79" s="50">
        <v>0</v>
      </c>
      <c r="O79" s="15">
        <f t="shared" si="35"/>
        <v>1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2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3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2</v>
      </c>
      <c r="L81" s="50">
        <v>0</v>
      </c>
      <c r="M81" s="50">
        <v>0</v>
      </c>
      <c r="N81" s="50">
        <v>0</v>
      </c>
      <c r="O81" s="15">
        <f t="shared" si="35"/>
        <v>3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2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2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2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2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1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1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2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</v>
      </c>
      <c r="N105" s="50">
        <v>0</v>
      </c>
      <c r="O105" s="15">
        <f t="shared" si="35"/>
        <v>0</v>
      </c>
      <c r="P105" s="15">
        <f t="shared" si="36"/>
        <v>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124</v>
      </c>
      <c r="D106" s="16">
        <f t="shared" ref="D106:P106" si="37">SUM(D10:D105)</f>
        <v>51</v>
      </c>
      <c r="E106" s="16">
        <f t="shared" si="37"/>
        <v>43</v>
      </c>
      <c r="F106" s="16">
        <f t="shared" si="37"/>
        <v>94</v>
      </c>
      <c r="G106" s="16">
        <f t="shared" si="37"/>
        <v>0</v>
      </c>
      <c r="H106" s="16">
        <f t="shared" si="37"/>
        <v>0</v>
      </c>
      <c r="I106" s="16">
        <f t="shared" si="37"/>
        <v>48</v>
      </c>
      <c r="J106" s="16">
        <f t="shared" si="37"/>
        <v>40</v>
      </c>
      <c r="K106" s="16">
        <f t="shared" si="37"/>
        <v>12</v>
      </c>
      <c r="L106" s="16">
        <f t="shared" si="37"/>
        <v>2</v>
      </c>
      <c r="M106" s="16">
        <f t="shared" si="37"/>
        <v>498</v>
      </c>
      <c r="N106" s="16">
        <f t="shared" si="37"/>
        <v>0</v>
      </c>
      <c r="O106" s="16">
        <f t="shared" si="37"/>
        <v>414</v>
      </c>
      <c r="P106" s="16">
        <f t="shared" si="37"/>
        <v>912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0.13596491228070176</v>
      </c>
      <c r="D107" s="43">
        <f t="shared" si="38"/>
        <v>5.5921052631578948E-2</v>
      </c>
      <c r="E107" s="43">
        <f t="shared" si="38"/>
        <v>4.7149122807017545E-2</v>
      </c>
      <c r="F107" s="43">
        <f t="shared" si="38"/>
        <v>0.10307017543859649</v>
      </c>
      <c r="G107" s="43">
        <f t="shared" si="38"/>
        <v>0</v>
      </c>
      <c r="H107" s="43">
        <f t="shared" si="38"/>
        <v>0</v>
      </c>
      <c r="I107" s="43">
        <f t="shared" si="38"/>
        <v>5.2631578947368418E-2</v>
      </c>
      <c r="J107" s="43">
        <f t="shared" si="38"/>
        <v>4.3859649122807015E-2</v>
      </c>
      <c r="K107" s="43">
        <f t="shared" si="38"/>
        <v>1.3157894736842105E-2</v>
      </c>
      <c r="L107" s="43">
        <f t="shared" si="38"/>
        <v>2.1929824561403508E-3</v>
      </c>
      <c r="M107" s="43">
        <f t="shared" si="38"/>
        <v>0.54605263157894735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0.29951690821256038</v>
      </c>
      <c r="D108" s="44">
        <f t="shared" ref="D108:N108" si="39">D106/$O$106</f>
        <v>0.12318840579710146</v>
      </c>
      <c r="E108" s="44">
        <f t="shared" si="39"/>
        <v>0.10386473429951691</v>
      </c>
      <c r="F108" s="44">
        <f t="shared" si="39"/>
        <v>0.22705314009661837</v>
      </c>
      <c r="G108" s="44">
        <f t="shared" si="39"/>
        <v>0</v>
      </c>
      <c r="H108" s="44">
        <f t="shared" si="39"/>
        <v>0</v>
      </c>
      <c r="I108" s="44">
        <f t="shared" si="39"/>
        <v>0.11594202898550725</v>
      </c>
      <c r="J108" s="44">
        <f t="shared" si="39"/>
        <v>9.6618357487922704E-2</v>
      </c>
      <c r="K108" s="44">
        <f t="shared" si="39"/>
        <v>2.8985507246376812E-2</v>
      </c>
      <c r="L108" s="44">
        <f t="shared" si="39"/>
        <v>4.830917874396135E-3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5" zoomScale="90" zoomScaleSheetLayoutView="90" workbookViewId="0">
      <selection activeCell="L23" sqref="L2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'19.10 MADDU-KANONI-24h'!D5</f>
        <v>19.10.2019</v>
      </c>
      <c r="E5" s="3"/>
      <c r="F5" s="41" t="s">
        <v>1</v>
      </c>
      <c r="G5" s="58" t="str">
        <f>'19.10 MADDU-KANONI-24h'!G5:H5</f>
        <v>KANONI</v>
      </c>
      <c r="H5" s="59"/>
      <c r="I5" s="14"/>
      <c r="J5" s="2" t="s">
        <v>5</v>
      </c>
      <c r="K5" s="58" t="s">
        <v>168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165</v>
      </c>
      <c r="E6" s="59"/>
      <c r="F6" s="2" t="s">
        <v>2</v>
      </c>
      <c r="G6" s="58" t="s">
        <v>166</v>
      </c>
      <c r="H6" s="59"/>
      <c r="J6" s="2" t="s">
        <v>21</v>
      </c>
      <c r="K6" s="58" t="str">
        <f>'19.10 MADDU-KANONI-24h'!K6:L6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3</v>
      </c>
      <c r="R10" s="1" t="s">
        <v>6</v>
      </c>
      <c r="S10" s="17">
        <f t="shared" ref="S10:AF10" si="2">SUM(C10:C13)</f>
        <v>1</v>
      </c>
      <c r="T10" s="17">
        <f t="shared" si="2"/>
        <v>2</v>
      </c>
      <c r="U10" s="17">
        <f t="shared" si="2"/>
        <v>3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15</v>
      </c>
      <c r="AF10" s="31">
        <f t="shared" si="2"/>
        <v>24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5</v>
      </c>
      <c r="T11" s="17">
        <f t="shared" si="3"/>
        <v>1</v>
      </c>
      <c r="U11" s="17">
        <f t="shared" si="3"/>
        <v>1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3</v>
      </c>
      <c r="AA11" s="17">
        <f t="shared" si="3"/>
        <v>1</v>
      </c>
      <c r="AB11" s="17">
        <f t="shared" si="3"/>
        <v>0</v>
      </c>
      <c r="AC11" s="17">
        <f t="shared" si="3"/>
        <v>12</v>
      </c>
      <c r="AD11" s="17">
        <f t="shared" si="3"/>
        <v>0</v>
      </c>
      <c r="AE11" s="31">
        <f t="shared" si="3"/>
        <v>17</v>
      </c>
      <c r="AF11" s="31">
        <f t="shared" si="3"/>
        <v>29</v>
      </c>
    </row>
    <row r="12" spans="2:32" ht="23.1" customHeight="1" x14ac:dyDescent="0.25">
      <c r="B12" s="45" t="s">
        <v>39</v>
      </c>
      <c r="C12" s="50">
        <v>0</v>
      </c>
      <c r="D12" s="50">
        <v>2</v>
      </c>
      <c r="E12" s="50">
        <v>1</v>
      </c>
      <c r="F12" s="50">
        <v>3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8</v>
      </c>
      <c r="P12" s="15">
        <f t="shared" si="1"/>
        <v>12</v>
      </c>
      <c r="R12" s="1" t="s">
        <v>8</v>
      </c>
      <c r="S12" s="17">
        <f t="shared" ref="S12:AF12" si="4">SUM(C18:C21)</f>
        <v>4</v>
      </c>
      <c r="T12" s="17">
        <f t="shared" si="4"/>
        <v>7</v>
      </c>
      <c r="U12" s="17">
        <f t="shared" si="4"/>
        <v>4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6</v>
      </c>
      <c r="AA12" s="17">
        <f t="shared" si="4"/>
        <v>0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26</v>
      </c>
      <c r="AF12" s="31">
        <f t="shared" si="4"/>
        <v>43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2</v>
      </c>
      <c r="K13" s="50">
        <v>1</v>
      </c>
      <c r="L13" s="50">
        <v>0</v>
      </c>
      <c r="M13" s="50">
        <v>3</v>
      </c>
      <c r="N13" s="50">
        <v>0</v>
      </c>
      <c r="O13" s="15">
        <f t="shared" si="0"/>
        <v>6</v>
      </c>
      <c r="P13" s="15">
        <f t="shared" si="1"/>
        <v>9</v>
      </c>
      <c r="R13" s="1" t="s">
        <v>9</v>
      </c>
      <c r="S13" s="17">
        <f t="shared" ref="S13:AF13" si="5">SUM(C22:C25)</f>
        <v>3</v>
      </c>
      <c r="T13" s="17">
        <f t="shared" si="5"/>
        <v>10</v>
      </c>
      <c r="U13" s="17">
        <f t="shared" si="5"/>
        <v>5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25</v>
      </c>
      <c r="AD13" s="17">
        <f t="shared" si="5"/>
        <v>0</v>
      </c>
      <c r="AE13" s="31">
        <f t="shared" si="5"/>
        <v>19</v>
      </c>
      <c r="AF13" s="31">
        <f t="shared" si="5"/>
        <v>44</v>
      </c>
    </row>
    <row r="14" spans="2:32" ht="23.1" customHeight="1" x14ac:dyDescent="0.25">
      <c r="B14" s="45" t="s">
        <v>41</v>
      </c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2</v>
      </c>
      <c r="P14" s="15">
        <f t="shared" si="1"/>
        <v>4</v>
      </c>
      <c r="R14" s="1" t="s">
        <v>10</v>
      </c>
      <c r="S14" s="17">
        <f t="shared" ref="S14:AF14" si="6">SUM(C26:C29)</f>
        <v>10</v>
      </c>
      <c r="T14" s="17">
        <f t="shared" si="6"/>
        <v>4</v>
      </c>
      <c r="U14" s="17">
        <f t="shared" si="6"/>
        <v>4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46</v>
      </c>
      <c r="AD14" s="17">
        <f t="shared" si="6"/>
        <v>0</v>
      </c>
      <c r="AE14" s="31">
        <f t="shared" si="6"/>
        <v>29</v>
      </c>
      <c r="AF14" s="31">
        <f t="shared" si="6"/>
        <v>75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2</v>
      </c>
      <c r="P15" s="15">
        <f t="shared" si="1"/>
        <v>7</v>
      </c>
      <c r="R15" s="1" t="s">
        <v>11</v>
      </c>
      <c r="S15" s="17">
        <f t="shared" ref="S15:AF15" si="7">SUM(C30:C33)</f>
        <v>8</v>
      </c>
      <c r="T15" s="17">
        <f t="shared" si="7"/>
        <v>6</v>
      </c>
      <c r="U15" s="17">
        <f t="shared" si="7"/>
        <v>1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22</v>
      </c>
      <c r="AD15" s="17">
        <f t="shared" si="7"/>
        <v>0</v>
      </c>
      <c r="AE15" s="31">
        <f t="shared" si="7"/>
        <v>24</v>
      </c>
      <c r="AF15" s="31">
        <f t="shared" si="7"/>
        <v>46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3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5</v>
      </c>
      <c r="P16" s="15">
        <f t="shared" si="1"/>
        <v>7</v>
      </c>
      <c r="R16" s="1" t="s">
        <v>12</v>
      </c>
      <c r="S16" s="17">
        <f t="shared" ref="S16:AF16" si="8">SUM(C34:C37)</f>
        <v>6</v>
      </c>
      <c r="T16" s="17">
        <f t="shared" si="8"/>
        <v>4</v>
      </c>
      <c r="U16" s="17">
        <f t="shared" si="8"/>
        <v>2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39</v>
      </c>
      <c r="AD16" s="17">
        <f t="shared" si="8"/>
        <v>0</v>
      </c>
      <c r="AE16" s="31">
        <f t="shared" si="8"/>
        <v>24</v>
      </c>
      <c r="AF16" s="31">
        <f t="shared" si="8"/>
        <v>63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1</v>
      </c>
      <c r="J17" s="50">
        <v>1</v>
      </c>
      <c r="K17" s="50">
        <v>1</v>
      </c>
      <c r="L17" s="50">
        <v>0</v>
      </c>
      <c r="M17" s="50">
        <v>3</v>
      </c>
      <c r="N17" s="50">
        <v>0</v>
      </c>
      <c r="O17" s="15">
        <f t="shared" si="0"/>
        <v>8</v>
      </c>
      <c r="P17" s="15">
        <f t="shared" si="1"/>
        <v>11</v>
      </c>
      <c r="R17" s="1" t="s">
        <v>13</v>
      </c>
      <c r="S17" s="17">
        <f t="shared" ref="S17:AF17" si="9">SUM(C38:C41)</f>
        <v>9</v>
      </c>
      <c r="T17" s="17">
        <f t="shared" si="9"/>
        <v>8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30</v>
      </c>
      <c r="AF17" s="31">
        <f t="shared" si="9"/>
        <v>70</v>
      </c>
    </row>
    <row r="18" spans="2:32" ht="23.1" customHeight="1" x14ac:dyDescent="0.25">
      <c r="B18" s="45" t="s">
        <v>45</v>
      </c>
      <c r="C18" s="50">
        <v>1</v>
      </c>
      <c r="D18" s="50">
        <v>4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8</v>
      </c>
      <c r="P18" s="15">
        <f t="shared" si="1"/>
        <v>12</v>
      </c>
      <c r="R18" s="1" t="s">
        <v>14</v>
      </c>
      <c r="S18" s="17">
        <f t="shared" ref="S18:AF18" si="10">SUM(C42:C45)</f>
        <v>9</v>
      </c>
      <c r="T18" s="17">
        <f t="shared" si="10"/>
        <v>6</v>
      </c>
      <c r="U18" s="17">
        <f t="shared" si="10"/>
        <v>3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36</v>
      </c>
      <c r="AD18" s="17">
        <f t="shared" si="10"/>
        <v>0</v>
      </c>
      <c r="AE18" s="31">
        <f t="shared" si="10"/>
        <v>34</v>
      </c>
      <c r="AF18" s="31">
        <f t="shared" si="10"/>
        <v>70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5</v>
      </c>
      <c r="P19" s="15">
        <f t="shared" si="1"/>
        <v>8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1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54</v>
      </c>
      <c r="AD19" s="17">
        <f t="shared" si="11"/>
        <v>0</v>
      </c>
      <c r="AE19" s="31">
        <f t="shared" si="11"/>
        <v>17</v>
      </c>
      <c r="AF19" s="31">
        <f t="shared" si="11"/>
        <v>71</v>
      </c>
    </row>
    <row r="20" spans="2:32" ht="23.1" customHeight="1" x14ac:dyDescent="0.25">
      <c r="B20" s="45" t="s">
        <v>47</v>
      </c>
      <c r="C20" s="50">
        <v>1</v>
      </c>
      <c r="D20" s="50">
        <v>1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6</v>
      </c>
      <c r="P20" s="15">
        <f t="shared" si="1"/>
        <v>11</v>
      </c>
      <c r="R20" s="1" t="s">
        <v>16</v>
      </c>
      <c r="S20" s="17">
        <f t="shared" ref="S20:AF20" si="12">SUM(C50:C53)</f>
        <v>8</v>
      </c>
      <c r="T20" s="17">
        <f t="shared" si="12"/>
        <v>2</v>
      </c>
      <c r="U20" s="17">
        <f t="shared" si="12"/>
        <v>3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31</v>
      </c>
      <c r="AD20" s="17">
        <f t="shared" si="12"/>
        <v>0</v>
      </c>
      <c r="AE20" s="31">
        <f t="shared" si="12"/>
        <v>24</v>
      </c>
      <c r="AF20" s="31">
        <f t="shared" si="12"/>
        <v>55</v>
      </c>
    </row>
    <row r="21" spans="2:32" ht="23.1" customHeight="1" x14ac:dyDescent="0.25">
      <c r="B21" s="45" t="s">
        <v>48</v>
      </c>
      <c r="C21" s="50">
        <v>1</v>
      </c>
      <c r="D21" s="50">
        <v>1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7</v>
      </c>
      <c r="P21" s="15">
        <f t="shared" si="1"/>
        <v>12</v>
      </c>
      <c r="R21" s="36" t="s">
        <v>20</v>
      </c>
      <c r="S21" s="34">
        <f t="shared" ref="S21:AF21" si="13">SUM(C54:C57)</f>
        <v>4</v>
      </c>
      <c r="T21" s="17">
        <f t="shared" si="13"/>
        <v>5</v>
      </c>
      <c r="U21" s="17">
        <f t="shared" si="13"/>
        <v>1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36</v>
      </c>
      <c r="AD21" s="17">
        <f t="shared" si="13"/>
        <v>0</v>
      </c>
      <c r="AE21" s="31">
        <f t="shared" si="13"/>
        <v>24</v>
      </c>
      <c r="AF21" s="31">
        <f t="shared" si="13"/>
        <v>60</v>
      </c>
    </row>
    <row r="22" spans="2:32" ht="23.1" customHeight="1" x14ac:dyDescent="0.25">
      <c r="B22" s="45" t="s">
        <v>49</v>
      </c>
      <c r="C22" s="50">
        <v>1</v>
      </c>
      <c r="D22" s="50">
        <v>2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4</v>
      </c>
      <c r="P22" s="15">
        <f t="shared" si="1"/>
        <v>10</v>
      </c>
      <c r="R22" s="36" t="s">
        <v>146</v>
      </c>
      <c r="S22" s="34">
        <f>SUM(C58:C61)</f>
        <v>7</v>
      </c>
      <c r="T22" s="34">
        <f t="shared" ref="T22:AF22" si="14">SUM(D58:D61)</f>
        <v>1</v>
      </c>
      <c r="U22" s="34">
        <f t="shared" si="14"/>
        <v>0</v>
      </c>
      <c r="V22" s="34">
        <f t="shared" si="14"/>
        <v>8</v>
      </c>
      <c r="W22" s="34">
        <f t="shared" si="14"/>
        <v>0</v>
      </c>
      <c r="X22" s="34">
        <f t="shared" si="14"/>
        <v>0</v>
      </c>
      <c r="Y22" s="34">
        <f t="shared" si="14"/>
        <v>3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52</v>
      </c>
      <c r="AD22" s="34">
        <f t="shared" si="14"/>
        <v>0</v>
      </c>
      <c r="AE22" s="31">
        <f t="shared" si="14"/>
        <v>23</v>
      </c>
      <c r="AF22" s="31">
        <f t="shared" si="14"/>
        <v>75</v>
      </c>
    </row>
    <row r="23" spans="2:32" ht="23.1" customHeight="1" x14ac:dyDescent="0.25">
      <c r="B23" s="45" t="s">
        <v>50</v>
      </c>
      <c r="C23" s="50">
        <v>0</v>
      </c>
      <c r="D23" s="50">
        <v>6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9</v>
      </c>
      <c r="P23" s="15">
        <f t="shared" si="1"/>
        <v>21</v>
      </c>
      <c r="R23" s="36" t="s">
        <v>147</v>
      </c>
      <c r="S23" s="34">
        <f>SUM(C62:C65)</f>
        <v>12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7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32</v>
      </c>
      <c r="AD23" s="34">
        <f t="shared" si="15"/>
        <v>0</v>
      </c>
      <c r="AE23" s="31">
        <f t="shared" si="15"/>
        <v>28</v>
      </c>
      <c r="AF23" s="31">
        <f t="shared" si="15"/>
        <v>60</v>
      </c>
    </row>
    <row r="24" spans="2:32" ht="23.1" customHeight="1" x14ac:dyDescent="0.25">
      <c r="B24" s="45" t="s">
        <v>51</v>
      </c>
      <c r="C24" s="50">
        <v>1</v>
      </c>
      <c r="D24" s="50">
        <v>1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4</v>
      </c>
      <c r="P24" s="15">
        <f t="shared" si="1"/>
        <v>5</v>
      </c>
      <c r="R24" s="36" t="s">
        <v>148</v>
      </c>
      <c r="S24" s="34">
        <f>SUM(C66:C69)</f>
        <v>8</v>
      </c>
      <c r="T24" s="34">
        <f t="shared" ref="T24:AF24" si="16">SUM(D66:D69)</f>
        <v>1</v>
      </c>
      <c r="U24" s="34">
        <f t="shared" si="16"/>
        <v>2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29</v>
      </c>
      <c r="AD24" s="34">
        <f t="shared" si="16"/>
        <v>0</v>
      </c>
      <c r="AE24" s="31">
        <f t="shared" si="16"/>
        <v>22</v>
      </c>
      <c r="AF24" s="31">
        <f t="shared" si="16"/>
        <v>51</v>
      </c>
    </row>
    <row r="25" spans="2:32" ht="23.1" customHeight="1" x14ac:dyDescent="0.25">
      <c r="B25" s="45" t="s">
        <v>52</v>
      </c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2</v>
      </c>
      <c r="P25" s="15">
        <f t="shared" si="1"/>
        <v>8</v>
      </c>
      <c r="R25" s="36" t="s">
        <v>149</v>
      </c>
      <c r="S25" s="34">
        <f>SUM(C70:C73)</f>
        <v>5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13</v>
      </c>
      <c r="AD25" s="34">
        <f t="shared" si="17"/>
        <v>0</v>
      </c>
      <c r="AE25" s="31">
        <f t="shared" si="17"/>
        <v>17</v>
      </c>
      <c r="AF25" s="31">
        <f t="shared" si="17"/>
        <v>30</v>
      </c>
    </row>
    <row r="26" spans="2:32" ht="23.1" customHeight="1" x14ac:dyDescent="0.25">
      <c r="B26" s="45" t="s">
        <v>53</v>
      </c>
      <c r="C26" s="50">
        <v>6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11</v>
      </c>
      <c r="P26" s="15">
        <f t="shared" si="1"/>
        <v>24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7</v>
      </c>
      <c r="AF26" s="31">
        <f t="shared" si="18"/>
        <v>9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2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5</v>
      </c>
      <c r="P27" s="15">
        <f t="shared" si="1"/>
        <v>19</v>
      </c>
      <c r="R27" s="36" t="s">
        <v>151</v>
      </c>
      <c r="S27" s="34">
        <f>SUM(C78:C81)</f>
        <v>3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2</v>
      </c>
      <c r="Y27" s="34">
        <f t="shared" si="19"/>
        <v>3</v>
      </c>
      <c r="Z27" s="34">
        <f t="shared" si="19"/>
        <v>4</v>
      </c>
      <c r="AA27" s="34">
        <f t="shared" si="19"/>
        <v>0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14</v>
      </c>
      <c r="AF27" s="31">
        <f t="shared" si="19"/>
        <v>15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4</v>
      </c>
      <c r="P28" s="15">
        <f t="shared" si="1"/>
        <v>14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1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1</v>
      </c>
      <c r="AD28" s="34">
        <f t="shared" si="20"/>
        <v>0</v>
      </c>
      <c r="AE28" s="31">
        <f t="shared" si="20"/>
        <v>4</v>
      </c>
      <c r="AF28" s="31">
        <f t="shared" si="20"/>
        <v>5</v>
      </c>
    </row>
    <row r="29" spans="2:32" ht="23.1" customHeight="1" x14ac:dyDescent="0.25">
      <c r="B29" s="45" t="s">
        <v>56</v>
      </c>
      <c r="C29" s="50">
        <v>2</v>
      </c>
      <c r="D29" s="50">
        <v>3</v>
      </c>
      <c r="E29" s="50">
        <v>0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9</v>
      </c>
      <c r="P29" s="15">
        <f t="shared" si="1"/>
        <v>18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2</v>
      </c>
      <c r="AF29" s="31">
        <f t="shared" si="21"/>
        <v>2</v>
      </c>
    </row>
    <row r="30" spans="2:32" ht="23.1" customHeight="1" x14ac:dyDescent="0.25">
      <c r="B30" s="45" t="s">
        <v>57</v>
      </c>
      <c r="C30" s="50">
        <v>1</v>
      </c>
      <c r="D30" s="50">
        <v>2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5</v>
      </c>
      <c r="P30" s="15">
        <f t="shared" si="1"/>
        <v>12</v>
      </c>
      <c r="R30" s="36" t="s">
        <v>154</v>
      </c>
      <c r="S30" s="34">
        <f>SUM(C90:C93)</f>
        <v>0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4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6</v>
      </c>
      <c r="D31" s="50">
        <v>2</v>
      </c>
      <c r="E31" s="50">
        <v>0</v>
      </c>
      <c r="F31" s="50">
        <v>2</v>
      </c>
      <c r="G31" s="50">
        <v>0</v>
      </c>
      <c r="H31" s="50">
        <v>0</v>
      </c>
      <c r="I31" s="50">
        <v>1</v>
      </c>
      <c r="J31" s="50">
        <v>1</v>
      </c>
      <c r="K31" s="50">
        <v>1</v>
      </c>
      <c r="L31" s="50">
        <v>0</v>
      </c>
      <c r="M31" s="50">
        <v>12</v>
      </c>
      <c r="N31" s="50">
        <v>0</v>
      </c>
      <c r="O31" s="15">
        <f t="shared" si="0"/>
        <v>13</v>
      </c>
      <c r="P31" s="15">
        <f t="shared" si="1"/>
        <v>25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1</v>
      </c>
      <c r="AF31" s="31">
        <f t="shared" si="23"/>
        <v>1</v>
      </c>
    </row>
    <row r="32" spans="2:32" ht="23.1" customHeight="1" x14ac:dyDescent="0.25">
      <c r="B32" s="46" t="s">
        <v>59</v>
      </c>
      <c r="C32" s="50">
        <v>1</v>
      </c>
      <c r="D32" s="50">
        <v>2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</v>
      </c>
      <c r="N32" s="50">
        <v>0</v>
      </c>
      <c r="O32" s="15">
        <f t="shared" si="0"/>
        <v>3</v>
      </c>
      <c r="P32" s="15">
        <f t="shared" si="1"/>
        <v>5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3</v>
      </c>
      <c r="AF32" s="31">
        <f t="shared" si="24"/>
        <v>5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</v>
      </c>
      <c r="N33" s="50">
        <v>0</v>
      </c>
      <c r="O33" s="15">
        <f t="shared" si="0"/>
        <v>3</v>
      </c>
      <c r="P33" s="15">
        <f t="shared" si="1"/>
        <v>4</v>
      </c>
      <c r="R33" s="33" t="s">
        <v>157</v>
      </c>
      <c r="S33" s="34">
        <f>SUM(C102:C105)</f>
        <v>2</v>
      </c>
      <c r="T33" s="34">
        <f t="shared" ref="T33:AF33" si="25">SUM(D102:D105)</f>
        <v>2</v>
      </c>
      <c r="U33" s="34">
        <f t="shared" si="25"/>
        <v>0</v>
      </c>
      <c r="V33" s="34">
        <f t="shared" si="25"/>
        <v>0</v>
      </c>
      <c r="W33" s="34">
        <f t="shared" si="25"/>
        <v>1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15</v>
      </c>
      <c r="AD33" s="34">
        <f t="shared" si="25"/>
        <v>0</v>
      </c>
      <c r="AE33" s="31">
        <f t="shared" si="25"/>
        <v>7</v>
      </c>
      <c r="AF33" s="31">
        <f t="shared" si="25"/>
        <v>22</v>
      </c>
    </row>
    <row r="34" spans="2:32" ht="23.1" customHeight="1" x14ac:dyDescent="0.25">
      <c r="B34" s="46" t="s">
        <v>61</v>
      </c>
      <c r="C34" s="50">
        <v>3</v>
      </c>
      <c r="D34" s="50">
        <v>1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5</v>
      </c>
      <c r="P34" s="15">
        <f t="shared" si="1"/>
        <v>16</v>
      </c>
      <c r="R34" s="38" t="s">
        <v>90</v>
      </c>
      <c r="S34" s="39">
        <f t="shared" ref="S34:AF34" si="26">MAX(S10:S12)</f>
        <v>5</v>
      </c>
      <c r="T34" s="39">
        <f t="shared" si="26"/>
        <v>7</v>
      </c>
      <c r="U34" s="39">
        <f t="shared" si="26"/>
        <v>4</v>
      </c>
      <c r="V34" s="39">
        <f t="shared" si="26"/>
        <v>4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6</v>
      </c>
      <c r="AA34" s="39">
        <f t="shared" si="26"/>
        <v>1</v>
      </c>
      <c r="AB34" s="39">
        <f t="shared" si="26"/>
        <v>0</v>
      </c>
      <c r="AC34" s="39">
        <f t="shared" si="26"/>
        <v>17</v>
      </c>
      <c r="AD34" s="39">
        <f t="shared" si="26"/>
        <v>0</v>
      </c>
      <c r="AE34" s="40">
        <f t="shared" si="26"/>
        <v>26</v>
      </c>
      <c r="AF34" s="40">
        <f t="shared" si="26"/>
        <v>43</v>
      </c>
    </row>
    <row r="35" spans="2:32" ht="23.1" customHeight="1" x14ac:dyDescent="0.25">
      <c r="B35" s="46" t="s">
        <v>62</v>
      </c>
      <c r="C35" s="50">
        <v>1</v>
      </c>
      <c r="D35" s="50">
        <v>1</v>
      </c>
      <c r="E35" s="50">
        <v>0</v>
      </c>
      <c r="F35" s="50">
        <v>2</v>
      </c>
      <c r="G35" s="50">
        <v>0</v>
      </c>
      <c r="H35" s="50">
        <v>0</v>
      </c>
      <c r="I35" s="50">
        <v>1</v>
      </c>
      <c r="J35" s="50">
        <v>1</v>
      </c>
      <c r="K35" s="50">
        <v>1</v>
      </c>
      <c r="L35" s="50">
        <v>0</v>
      </c>
      <c r="M35" s="50">
        <v>9</v>
      </c>
      <c r="N35" s="50">
        <v>0</v>
      </c>
      <c r="O35" s="15">
        <f t="shared" si="0"/>
        <v>7</v>
      </c>
      <c r="P35" s="15">
        <f t="shared" si="1"/>
        <v>16</v>
      </c>
      <c r="R35" s="38" t="s">
        <v>91</v>
      </c>
      <c r="S35" s="39">
        <f t="shared" ref="S35:AF35" si="27">MAX(S13:S18)</f>
        <v>10</v>
      </c>
      <c r="T35" s="39">
        <f t="shared" si="27"/>
        <v>10</v>
      </c>
      <c r="U35" s="39">
        <f t="shared" si="27"/>
        <v>5</v>
      </c>
      <c r="V35" s="39">
        <f t="shared" si="27"/>
        <v>11</v>
      </c>
      <c r="W35" s="39">
        <f t="shared" si="27"/>
        <v>0</v>
      </c>
      <c r="X35" s="39">
        <f t="shared" si="27"/>
        <v>0</v>
      </c>
      <c r="Y35" s="39">
        <f t="shared" si="27"/>
        <v>4</v>
      </c>
      <c r="Z35" s="39">
        <f t="shared" si="27"/>
        <v>4</v>
      </c>
      <c r="AA35" s="39">
        <f t="shared" si="27"/>
        <v>2</v>
      </c>
      <c r="AB35" s="39">
        <f t="shared" si="27"/>
        <v>0</v>
      </c>
      <c r="AC35" s="39">
        <f t="shared" si="27"/>
        <v>46</v>
      </c>
      <c r="AD35" s="39">
        <f t="shared" si="27"/>
        <v>0</v>
      </c>
      <c r="AE35" s="40">
        <f t="shared" si="27"/>
        <v>34</v>
      </c>
      <c r="AF35" s="40">
        <f t="shared" si="27"/>
        <v>75</v>
      </c>
    </row>
    <row r="36" spans="2:32" ht="23.1" customHeight="1" x14ac:dyDescent="0.25">
      <c r="B36" s="46" t="s">
        <v>63</v>
      </c>
      <c r="C36" s="50">
        <v>1</v>
      </c>
      <c r="D36" s="50">
        <v>2</v>
      </c>
      <c r="E36" s="50">
        <v>1</v>
      </c>
      <c r="F36" s="50">
        <v>1</v>
      </c>
      <c r="G36" s="50">
        <v>0</v>
      </c>
      <c r="H36" s="50">
        <v>0</v>
      </c>
      <c r="I36" s="50">
        <v>1</v>
      </c>
      <c r="J36" s="50">
        <v>3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9</v>
      </c>
      <c r="P36" s="15">
        <f t="shared" si="1"/>
        <v>16</v>
      </c>
      <c r="R36" s="38" t="s">
        <v>92</v>
      </c>
      <c r="S36" s="39">
        <f t="shared" ref="S36:AF36" si="28">MAX(S19:S21)</f>
        <v>8</v>
      </c>
      <c r="T36" s="39">
        <f t="shared" si="28"/>
        <v>5</v>
      </c>
      <c r="U36" s="39">
        <f t="shared" si="28"/>
        <v>3</v>
      </c>
      <c r="V36" s="39">
        <f t="shared" si="28"/>
        <v>8</v>
      </c>
      <c r="W36" s="39">
        <f t="shared" si="28"/>
        <v>0</v>
      </c>
      <c r="X36" s="39">
        <f t="shared" si="28"/>
        <v>0</v>
      </c>
      <c r="Y36" s="39">
        <f t="shared" si="28"/>
        <v>5</v>
      </c>
      <c r="Z36" s="39">
        <f t="shared" si="28"/>
        <v>1</v>
      </c>
      <c r="AA36" s="39">
        <f t="shared" si="28"/>
        <v>1</v>
      </c>
      <c r="AB36" s="39">
        <f t="shared" si="28"/>
        <v>0</v>
      </c>
      <c r="AC36" s="39">
        <f t="shared" si="28"/>
        <v>54</v>
      </c>
      <c r="AD36" s="39">
        <f t="shared" si="28"/>
        <v>0</v>
      </c>
      <c r="AE36" s="40">
        <f t="shared" si="28"/>
        <v>24</v>
      </c>
      <c r="AF36" s="40">
        <f t="shared" si="28"/>
        <v>71</v>
      </c>
    </row>
    <row r="37" spans="2:32" ht="23.1" customHeight="1" x14ac:dyDescent="0.25">
      <c r="B37" s="45" t="s">
        <v>64</v>
      </c>
      <c r="C37" s="50">
        <v>1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3</v>
      </c>
      <c r="P37" s="15">
        <f t="shared" si="1"/>
        <v>15</v>
      </c>
      <c r="R37" s="37" t="s">
        <v>85</v>
      </c>
      <c r="S37" s="35">
        <f t="shared" ref="S37:AF37" si="29">SUM(S10:S12)</f>
        <v>10</v>
      </c>
      <c r="T37" s="16">
        <f t="shared" si="29"/>
        <v>10</v>
      </c>
      <c r="U37" s="16">
        <f t="shared" si="29"/>
        <v>8</v>
      </c>
      <c r="V37" s="16">
        <f t="shared" si="29"/>
        <v>11</v>
      </c>
      <c r="W37" s="16">
        <f t="shared" si="29"/>
        <v>0</v>
      </c>
      <c r="X37" s="16">
        <f t="shared" si="29"/>
        <v>0</v>
      </c>
      <c r="Y37" s="16">
        <f t="shared" si="29"/>
        <v>4</v>
      </c>
      <c r="Z37" s="16">
        <f t="shared" si="29"/>
        <v>13</v>
      </c>
      <c r="AA37" s="16">
        <f t="shared" si="29"/>
        <v>2</v>
      </c>
      <c r="AB37" s="16">
        <f t="shared" si="29"/>
        <v>0</v>
      </c>
      <c r="AC37" s="16">
        <f t="shared" si="29"/>
        <v>38</v>
      </c>
      <c r="AD37" s="16">
        <f t="shared" si="29"/>
        <v>0</v>
      </c>
      <c r="AE37" s="32">
        <f t="shared" si="29"/>
        <v>58</v>
      </c>
      <c r="AF37" s="32">
        <f t="shared" si="29"/>
        <v>96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2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5</v>
      </c>
      <c r="P38" s="15">
        <f t="shared" si="1"/>
        <v>13</v>
      </c>
      <c r="R38" s="28" t="s">
        <v>86</v>
      </c>
      <c r="S38" s="16">
        <f t="shared" ref="S38:AF38" si="30">SUM(S13:S18)</f>
        <v>45</v>
      </c>
      <c r="T38" s="16">
        <f t="shared" si="30"/>
        <v>38</v>
      </c>
      <c r="U38" s="16">
        <f t="shared" si="30"/>
        <v>18</v>
      </c>
      <c r="V38" s="16">
        <f t="shared" si="30"/>
        <v>32</v>
      </c>
      <c r="W38" s="16">
        <f t="shared" si="30"/>
        <v>0</v>
      </c>
      <c r="X38" s="16">
        <f t="shared" si="30"/>
        <v>0</v>
      </c>
      <c r="Y38" s="16">
        <f t="shared" si="30"/>
        <v>12</v>
      </c>
      <c r="Z38" s="16">
        <f t="shared" si="30"/>
        <v>10</v>
      </c>
      <c r="AA38" s="16">
        <f t="shared" si="30"/>
        <v>5</v>
      </c>
      <c r="AB38" s="16">
        <f t="shared" si="30"/>
        <v>0</v>
      </c>
      <c r="AC38" s="16">
        <f t="shared" si="30"/>
        <v>208</v>
      </c>
      <c r="AD38" s="16">
        <f t="shared" si="30"/>
        <v>0</v>
      </c>
      <c r="AE38" s="32">
        <f t="shared" si="30"/>
        <v>160</v>
      </c>
      <c r="AF38" s="32">
        <f t="shared" si="30"/>
        <v>368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5</v>
      </c>
      <c r="P39" s="15">
        <f t="shared" si="1"/>
        <v>15</v>
      </c>
      <c r="R39" s="29" t="s">
        <v>87</v>
      </c>
      <c r="S39" s="16">
        <f t="shared" ref="S39:AF39" si="31">SUM(S19:S21)</f>
        <v>17</v>
      </c>
      <c r="T39" s="16">
        <f t="shared" si="31"/>
        <v>7</v>
      </c>
      <c r="U39" s="16">
        <f t="shared" si="31"/>
        <v>5</v>
      </c>
      <c r="V39" s="16">
        <f t="shared" si="31"/>
        <v>23</v>
      </c>
      <c r="W39" s="16">
        <f t="shared" si="31"/>
        <v>0</v>
      </c>
      <c r="X39" s="16">
        <f t="shared" si="31"/>
        <v>0</v>
      </c>
      <c r="Y39" s="16">
        <f t="shared" si="31"/>
        <v>9</v>
      </c>
      <c r="Z39" s="16">
        <f t="shared" si="31"/>
        <v>1</v>
      </c>
      <c r="AA39" s="16">
        <f t="shared" si="31"/>
        <v>3</v>
      </c>
      <c r="AB39" s="16">
        <f t="shared" si="31"/>
        <v>0</v>
      </c>
      <c r="AC39" s="16">
        <f t="shared" si="31"/>
        <v>121</v>
      </c>
      <c r="AD39" s="16">
        <f t="shared" si="31"/>
        <v>0</v>
      </c>
      <c r="AE39" s="32">
        <f t="shared" si="31"/>
        <v>65</v>
      </c>
      <c r="AF39" s="32">
        <f t="shared" si="31"/>
        <v>186</v>
      </c>
    </row>
    <row r="40" spans="2:32" ht="23.1" customHeight="1" x14ac:dyDescent="0.25">
      <c r="B40" s="46" t="s">
        <v>67</v>
      </c>
      <c r="C40" s="50">
        <v>4</v>
      </c>
      <c r="D40" s="50">
        <v>5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11</v>
      </c>
      <c r="P40" s="15">
        <f t="shared" si="1"/>
        <v>22</v>
      </c>
      <c r="R40" s="5" t="s">
        <v>17</v>
      </c>
      <c r="S40" s="16">
        <f t="shared" ref="S40:AF40" si="32">SUM(S10:S21)</f>
        <v>72</v>
      </c>
      <c r="T40" s="16">
        <f t="shared" si="32"/>
        <v>55</v>
      </c>
      <c r="U40" s="16">
        <f t="shared" si="32"/>
        <v>31</v>
      </c>
      <c r="V40" s="16">
        <f t="shared" si="32"/>
        <v>66</v>
      </c>
      <c r="W40" s="16">
        <f t="shared" si="32"/>
        <v>0</v>
      </c>
      <c r="X40" s="16">
        <f t="shared" si="32"/>
        <v>0</v>
      </c>
      <c r="Y40" s="16">
        <f t="shared" si="32"/>
        <v>25</v>
      </c>
      <c r="Z40" s="16">
        <f t="shared" si="32"/>
        <v>24</v>
      </c>
      <c r="AA40" s="16">
        <f t="shared" si="32"/>
        <v>10</v>
      </c>
      <c r="AB40" s="16">
        <f t="shared" si="32"/>
        <v>0</v>
      </c>
      <c r="AC40" s="16">
        <f t="shared" si="32"/>
        <v>367</v>
      </c>
      <c r="AD40" s="16">
        <f t="shared" si="32"/>
        <v>0</v>
      </c>
      <c r="AE40" s="32">
        <f t="shared" si="32"/>
        <v>283</v>
      </c>
      <c r="AF40" s="32">
        <f t="shared" si="32"/>
        <v>650</v>
      </c>
    </row>
    <row r="41" spans="2:32" ht="23.1" customHeight="1" x14ac:dyDescent="0.25">
      <c r="B41" s="45" t="s">
        <v>68</v>
      </c>
      <c r="C41" s="50">
        <v>2</v>
      </c>
      <c r="D41" s="50">
        <v>3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2</v>
      </c>
      <c r="L41" s="50">
        <v>0</v>
      </c>
      <c r="M41" s="50">
        <v>11</v>
      </c>
      <c r="N41" s="50">
        <v>0</v>
      </c>
      <c r="O41" s="15">
        <f t="shared" si="0"/>
        <v>9</v>
      </c>
      <c r="P41" s="15">
        <f t="shared" si="1"/>
        <v>20</v>
      </c>
      <c r="R41" s="5" t="s">
        <v>159</v>
      </c>
      <c r="S41" s="16">
        <f>SUM(S10:S33)</f>
        <v>111</v>
      </c>
      <c r="T41" s="16">
        <f t="shared" ref="T41:AF41" si="33">SUM(T10:T33)</f>
        <v>61</v>
      </c>
      <c r="U41" s="16">
        <f t="shared" si="33"/>
        <v>39</v>
      </c>
      <c r="V41" s="16">
        <f t="shared" si="33"/>
        <v>95</v>
      </c>
      <c r="W41" s="16">
        <f t="shared" si="33"/>
        <v>2</v>
      </c>
      <c r="X41" s="16">
        <f t="shared" si="33"/>
        <v>2</v>
      </c>
      <c r="Y41" s="16">
        <f t="shared" si="33"/>
        <v>46</v>
      </c>
      <c r="Z41" s="16">
        <f t="shared" si="33"/>
        <v>43</v>
      </c>
      <c r="AA41" s="16">
        <f t="shared" si="33"/>
        <v>13</v>
      </c>
      <c r="AB41" s="16">
        <f t="shared" si="33"/>
        <v>3</v>
      </c>
      <c r="AC41" s="16">
        <f t="shared" si="33"/>
        <v>515</v>
      </c>
      <c r="AD41" s="16">
        <f t="shared" si="33"/>
        <v>0</v>
      </c>
      <c r="AE41" s="32">
        <f t="shared" si="33"/>
        <v>415</v>
      </c>
      <c r="AF41" s="32">
        <f t="shared" si="33"/>
        <v>930</v>
      </c>
    </row>
    <row r="42" spans="2:32" ht="23.1" customHeight="1" x14ac:dyDescent="0.25">
      <c r="B42" s="46" t="s">
        <v>69</v>
      </c>
      <c r="C42" s="50">
        <v>6</v>
      </c>
      <c r="D42" s="50">
        <v>2</v>
      </c>
      <c r="E42" s="50">
        <v>0</v>
      </c>
      <c r="F42" s="50">
        <v>4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14</v>
      </c>
      <c r="P42" s="15">
        <f t="shared" si="1"/>
        <v>24</v>
      </c>
      <c r="R42" s="5" t="s">
        <v>160</v>
      </c>
      <c r="S42" s="48">
        <f>S41/S40</f>
        <v>1.5416666666666667</v>
      </c>
      <c r="T42" s="48">
        <f t="shared" ref="T42:AF42" si="34">T41/T40</f>
        <v>1.1090909090909091</v>
      </c>
      <c r="U42" s="48">
        <f t="shared" si="34"/>
        <v>1.2580645161290323</v>
      </c>
      <c r="V42" s="48">
        <f t="shared" si="34"/>
        <v>1.4393939393939394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1.84</v>
      </c>
      <c r="Z42" s="48">
        <f t="shared" si="34"/>
        <v>1.7916666666666667</v>
      </c>
      <c r="AA42" s="48">
        <f t="shared" si="34"/>
        <v>1.3</v>
      </c>
      <c r="AB42" s="48" t="e">
        <f t="shared" si="34"/>
        <v>#DIV/0!</v>
      </c>
      <c r="AC42" s="48">
        <f t="shared" si="34"/>
        <v>1.4032697547683923</v>
      </c>
      <c r="AD42" s="48" t="e">
        <f t="shared" si="34"/>
        <v>#DIV/0!</v>
      </c>
      <c r="AE42" s="48">
        <f t="shared" si="34"/>
        <v>1.4664310954063604</v>
      </c>
      <c r="AF42" s="48">
        <f t="shared" si="34"/>
        <v>1.4307692307692308</v>
      </c>
    </row>
    <row r="43" spans="2:32" ht="23.1" customHeight="1" x14ac:dyDescent="0.25">
      <c r="B43" s="45" t="s">
        <v>70</v>
      </c>
      <c r="C43" s="50">
        <v>1</v>
      </c>
      <c r="D43" s="50">
        <v>2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9</v>
      </c>
      <c r="N43" s="50">
        <v>0</v>
      </c>
      <c r="O43" s="15">
        <f t="shared" si="0"/>
        <v>4</v>
      </c>
      <c r="P43" s="15">
        <f t="shared" si="1"/>
        <v>13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1</v>
      </c>
      <c r="F44" s="50">
        <v>5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9</v>
      </c>
      <c r="P44" s="15">
        <f t="shared" si="1"/>
        <v>20</v>
      </c>
    </row>
    <row r="45" spans="2:32" ht="23.1" customHeight="1" x14ac:dyDescent="0.25">
      <c r="B45" s="45" t="s">
        <v>72</v>
      </c>
      <c r="C45" s="50">
        <v>1</v>
      </c>
      <c r="D45" s="50">
        <v>2</v>
      </c>
      <c r="E45" s="50">
        <v>2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7</v>
      </c>
      <c r="P45" s="15">
        <f t="shared" si="1"/>
        <v>13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16</v>
      </c>
      <c r="N46" s="50">
        <v>0</v>
      </c>
      <c r="O46" s="15">
        <f t="shared" si="0"/>
        <v>3</v>
      </c>
      <c r="P46" s="15">
        <f t="shared" si="1"/>
        <v>19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1</v>
      </c>
      <c r="F47" s="50">
        <v>3</v>
      </c>
      <c r="G47" s="50">
        <v>0</v>
      </c>
      <c r="H47" s="50">
        <v>0</v>
      </c>
      <c r="I47" s="50">
        <v>2</v>
      </c>
      <c r="J47" s="50">
        <v>0</v>
      </c>
      <c r="K47" s="50">
        <v>1</v>
      </c>
      <c r="L47" s="50">
        <v>0</v>
      </c>
      <c r="M47" s="50">
        <v>17</v>
      </c>
      <c r="N47" s="50">
        <v>0</v>
      </c>
      <c r="O47" s="15">
        <f t="shared" si="0"/>
        <v>9</v>
      </c>
      <c r="P47" s="15">
        <f t="shared" si="1"/>
        <v>26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0</v>
      </c>
      <c r="P48" s="15">
        <f t="shared" si="1"/>
        <v>4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0</v>
      </c>
      <c r="F49" s="50">
        <v>3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5</v>
      </c>
      <c r="P49" s="15">
        <f t="shared" si="1"/>
        <v>22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1</v>
      </c>
      <c r="L50" s="50">
        <v>0</v>
      </c>
      <c r="M50" s="50">
        <v>8</v>
      </c>
      <c r="N50" s="50">
        <v>0</v>
      </c>
      <c r="O50" s="15">
        <f t="shared" si="0"/>
        <v>5</v>
      </c>
      <c r="P50" s="15">
        <f t="shared" si="1"/>
        <v>13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1</v>
      </c>
      <c r="E51" s="50">
        <v>0</v>
      </c>
      <c r="F51" s="50">
        <v>4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9</v>
      </c>
      <c r="P51" s="15">
        <f t="shared" si="1"/>
        <v>13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4</v>
      </c>
      <c r="P52" s="15">
        <f t="shared" si="1"/>
        <v>13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1</v>
      </c>
      <c r="E53" s="50">
        <v>2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6</v>
      </c>
      <c r="P53" s="15">
        <f t="shared" si="1"/>
        <v>16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1</v>
      </c>
      <c r="E54" s="50">
        <v>1</v>
      </c>
      <c r="F54" s="50">
        <v>6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11</v>
      </c>
      <c r="P54" s="15">
        <f t="shared" si="1"/>
        <v>23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2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0</v>
      </c>
      <c r="M55" s="50">
        <v>7</v>
      </c>
      <c r="N55" s="50">
        <v>0</v>
      </c>
      <c r="O55" s="15">
        <f t="shared" si="0"/>
        <v>7</v>
      </c>
      <c r="P55" s="15">
        <f t="shared" si="1"/>
        <v>14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2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2</v>
      </c>
      <c r="P56" s="15">
        <f t="shared" si="1"/>
        <v>7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4</v>
      </c>
      <c r="P57" s="15">
        <f t="shared" si="1"/>
        <v>16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3</v>
      </c>
      <c r="G58" s="50">
        <v>0</v>
      </c>
      <c r="H58" s="50">
        <v>0</v>
      </c>
      <c r="I58" s="50">
        <v>3</v>
      </c>
      <c r="J58" s="50">
        <v>1</v>
      </c>
      <c r="K58" s="50">
        <v>0</v>
      </c>
      <c r="L58" s="50">
        <v>0</v>
      </c>
      <c r="M58" s="50">
        <v>10</v>
      </c>
      <c r="N58" s="50">
        <v>0</v>
      </c>
      <c r="O58" s="15">
        <f t="shared" si="0"/>
        <v>9</v>
      </c>
      <c r="P58" s="15">
        <f t="shared" si="1"/>
        <v>19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0</v>
      </c>
      <c r="J59" s="50">
        <v>2</v>
      </c>
      <c r="K59" s="50">
        <v>0</v>
      </c>
      <c r="L59" s="50">
        <v>0</v>
      </c>
      <c r="M59" s="50">
        <v>19</v>
      </c>
      <c r="N59" s="50">
        <v>0</v>
      </c>
      <c r="O59" s="15">
        <f t="shared" si="0"/>
        <v>3</v>
      </c>
      <c r="P59" s="15">
        <f t="shared" si="1"/>
        <v>22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1</v>
      </c>
      <c r="E60" s="50">
        <v>0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9</v>
      </c>
      <c r="N60" s="50">
        <v>0</v>
      </c>
      <c r="O60" s="15">
        <f t="shared" si="0"/>
        <v>5</v>
      </c>
      <c r="P60" s="15">
        <f t="shared" si="1"/>
        <v>14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0</v>
      </c>
      <c r="F61" s="50">
        <v>3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14</v>
      </c>
      <c r="N61" s="50">
        <v>0</v>
      </c>
      <c r="O61" s="15">
        <f t="shared" si="0"/>
        <v>6</v>
      </c>
      <c r="P61" s="15">
        <f t="shared" si="1"/>
        <v>20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v>1</v>
      </c>
      <c r="E62" s="50">
        <v>1</v>
      </c>
      <c r="F62" s="50">
        <v>3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8</v>
      </c>
      <c r="N62" s="50">
        <v>0</v>
      </c>
      <c r="O62" s="15">
        <f t="shared" si="0"/>
        <v>10</v>
      </c>
      <c r="P62" s="15">
        <f t="shared" si="1"/>
        <v>18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1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5</v>
      </c>
      <c r="N63" s="50">
        <v>0</v>
      </c>
      <c r="O63" s="15">
        <f t="shared" si="0"/>
        <v>3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v>5</v>
      </c>
      <c r="D64" s="50">
        <v>0</v>
      </c>
      <c r="E64" s="50">
        <v>1</v>
      </c>
      <c r="F64" s="50">
        <v>2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9</v>
      </c>
      <c r="N64" s="50">
        <v>0</v>
      </c>
      <c r="O64" s="15">
        <f t="shared" si="0"/>
        <v>9</v>
      </c>
      <c r="P64" s="15">
        <f t="shared" si="1"/>
        <v>18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1</v>
      </c>
      <c r="G65" s="50">
        <v>0</v>
      </c>
      <c r="H65" s="50">
        <v>0</v>
      </c>
      <c r="I65" s="50">
        <v>2</v>
      </c>
      <c r="J65" s="50">
        <v>2</v>
      </c>
      <c r="K65" s="50">
        <v>0</v>
      </c>
      <c r="L65" s="50">
        <v>0</v>
      </c>
      <c r="M65" s="50">
        <v>10</v>
      </c>
      <c r="N65" s="50">
        <v>0</v>
      </c>
      <c r="O65" s="15">
        <f t="shared" si="0"/>
        <v>6</v>
      </c>
      <c r="P65" s="15">
        <f t="shared" si="1"/>
        <v>16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0</v>
      </c>
      <c r="F66" s="50">
        <v>3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10</v>
      </c>
      <c r="N66" s="50">
        <v>0</v>
      </c>
      <c r="O66" s="15">
        <f t="shared" si="0"/>
        <v>7</v>
      </c>
      <c r="P66" s="15">
        <f t="shared" si="1"/>
        <v>17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1</v>
      </c>
      <c r="F67" s="50">
        <v>1</v>
      </c>
      <c r="G67" s="50">
        <v>0</v>
      </c>
      <c r="H67" s="50">
        <v>0</v>
      </c>
      <c r="I67" s="50">
        <v>1</v>
      </c>
      <c r="J67" s="50">
        <v>2</v>
      </c>
      <c r="K67" s="50">
        <v>0</v>
      </c>
      <c r="L67" s="50">
        <v>0</v>
      </c>
      <c r="M67" s="50">
        <v>11</v>
      </c>
      <c r="N67" s="50">
        <v>0</v>
      </c>
      <c r="O67" s="15">
        <f t="shared" si="0"/>
        <v>6</v>
      </c>
      <c r="P67" s="15">
        <f t="shared" si="1"/>
        <v>17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1</v>
      </c>
      <c r="E68" s="50">
        <v>1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3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0</v>
      </c>
      <c r="E69" s="50">
        <v>0</v>
      </c>
      <c r="F69" s="50">
        <v>3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6</v>
      </c>
      <c r="P69" s="15">
        <f t="shared" si="1"/>
        <v>8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1</v>
      </c>
      <c r="G70" s="50">
        <v>0</v>
      </c>
      <c r="H70" s="50">
        <v>0</v>
      </c>
      <c r="I70" s="50">
        <v>2</v>
      </c>
      <c r="J70" s="50">
        <v>1</v>
      </c>
      <c r="K70" s="50">
        <v>1</v>
      </c>
      <c r="L70" s="50">
        <v>0</v>
      </c>
      <c r="M70" s="50">
        <v>5</v>
      </c>
      <c r="N70" s="50">
        <v>0</v>
      </c>
      <c r="O70" s="15">
        <f t="shared" si="0"/>
        <v>6</v>
      </c>
      <c r="P70" s="15">
        <f t="shared" si="1"/>
        <v>11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1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2</v>
      </c>
      <c r="P71" s="15">
        <f t="shared" si="1"/>
        <v>5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6</v>
      </c>
      <c r="P72" s="15">
        <f t="shared" si="1"/>
        <v>9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3</v>
      </c>
      <c r="P73" s="15">
        <f t="shared" si="1"/>
        <v>5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2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3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2</v>
      </c>
      <c r="P76" s="15">
        <f t="shared" si="36"/>
        <v>2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2</v>
      </c>
      <c r="J78" s="50">
        <v>2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4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1</v>
      </c>
      <c r="F79" s="50">
        <v>1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2</v>
      </c>
      <c r="I81" s="50">
        <v>0</v>
      </c>
      <c r="J81" s="50">
        <v>2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5</v>
      </c>
      <c r="P81" s="15">
        <f t="shared" si="36"/>
        <v>5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1</v>
      </c>
      <c r="N84" s="50">
        <v>0</v>
      </c>
      <c r="O84" s="15">
        <f t="shared" si="35"/>
        <v>1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1</v>
      </c>
      <c r="H85" s="50">
        <v>0</v>
      </c>
      <c r="I85" s="50">
        <v>0</v>
      </c>
      <c r="J85" s="50">
        <v>0</v>
      </c>
      <c r="K85" s="50">
        <v>0</v>
      </c>
      <c r="L85" s="50">
        <v>1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1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2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1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2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1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1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1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6</v>
      </c>
      <c r="N103" s="50">
        <v>0</v>
      </c>
      <c r="O103" s="15">
        <f t="shared" si="35"/>
        <v>1</v>
      </c>
      <c r="P103" s="15">
        <f t="shared" si="36"/>
        <v>7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5"/>
        <v>1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1</v>
      </c>
      <c r="E105" s="50">
        <v>0</v>
      </c>
      <c r="F105" s="50">
        <v>0</v>
      </c>
      <c r="G105" s="50">
        <v>1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4</v>
      </c>
      <c r="P105" s="15">
        <f t="shared" si="36"/>
        <v>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111</v>
      </c>
      <c r="D106" s="16">
        <f t="shared" ref="D106:P106" si="37">SUM(D10:D105)</f>
        <v>61</v>
      </c>
      <c r="E106" s="16">
        <f t="shared" si="37"/>
        <v>39</v>
      </c>
      <c r="F106" s="16">
        <f t="shared" si="37"/>
        <v>95</v>
      </c>
      <c r="G106" s="16">
        <f t="shared" si="37"/>
        <v>2</v>
      </c>
      <c r="H106" s="16">
        <f t="shared" si="37"/>
        <v>2</v>
      </c>
      <c r="I106" s="16">
        <f t="shared" si="37"/>
        <v>46</v>
      </c>
      <c r="J106" s="16">
        <f t="shared" si="37"/>
        <v>43</v>
      </c>
      <c r="K106" s="16">
        <f t="shared" si="37"/>
        <v>13</v>
      </c>
      <c r="L106" s="16">
        <f t="shared" si="37"/>
        <v>3</v>
      </c>
      <c r="M106" s="16">
        <f t="shared" si="37"/>
        <v>515</v>
      </c>
      <c r="N106" s="16">
        <f t="shared" si="37"/>
        <v>0</v>
      </c>
      <c r="O106" s="16">
        <f t="shared" si="37"/>
        <v>415</v>
      </c>
      <c r="P106" s="16">
        <f t="shared" si="37"/>
        <v>930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0.11935483870967742</v>
      </c>
      <c r="D107" s="43">
        <f t="shared" si="38"/>
        <v>6.5591397849462371E-2</v>
      </c>
      <c r="E107" s="43">
        <f t="shared" si="38"/>
        <v>4.1935483870967745E-2</v>
      </c>
      <c r="F107" s="43">
        <f t="shared" si="38"/>
        <v>0.10215053763440861</v>
      </c>
      <c r="G107" s="43">
        <f t="shared" si="38"/>
        <v>2.1505376344086021E-3</v>
      </c>
      <c r="H107" s="43">
        <f t="shared" si="38"/>
        <v>2.1505376344086021E-3</v>
      </c>
      <c r="I107" s="43">
        <f t="shared" si="38"/>
        <v>4.9462365591397849E-2</v>
      </c>
      <c r="J107" s="43">
        <f t="shared" si="38"/>
        <v>4.6236559139784944E-2</v>
      </c>
      <c r="K107" s="43">
        <f t="shared" si="38"/>
        <v>1.3978494623655914E-2</v>
      </c>
      <c r="L107" s="43">
        <f t="shared" si="38"/>
        <v>3.2258064516129032E-3</v>
      </c>
      <c r="M107" s="43">
        <f t="shared" si="38"/>
        <v>0.55376344086021501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0.26746987951807227</v>
      </c>
      <c r="D108" s="44">
        <f t="shared" ref="D108:N108" si="39">D106/$O$106</f>
        <v>0.14698795180722893</v>
      </c>
      <c r="E108" s="44">
        <f t="shared" si="39"/>
        <v>9.3975903614457831E-2</v>
      </c>
      <c r="F108" s="44">
        <f t="shared" si="39"/>
        <v>0.2289156626506024</v>
      </c>
      <c r="G108" s="44">
        <f t="shared" si="39"/>
        <v>4.8192771084337354E-3</v>
      </c>
      <c r="H108" s="44">
        <f t="shared" si="39"/>
        <v>4.8192771084337354E-3</v>
      </c>
      <c r="I108" s="44">
        <f t="shared" si="39"/>
        <v>0.1108433734939759</v>
      </c>
      <c r="J108" s="44">
        <f t="shared" si="39"/>
        <v>0.10361445783132531</v>
      </c>
      <c r="K108" s="44">
        <f t="shared" si="39"/>
        <v>3.1325301204819279E-2</v>
      </c>
      <c r="L108" s="44">
        <f t="shared" si="39"/>
        <v>7.2289156626506026E-3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B58" zoomScaleSheetLayoutView="10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173</v>
      </c>
      <c r="E5" s="3"/>
      <c r="F5" s="41" t="s">
        <v>1</v>
      </c>
      <c r="G5" s="58" t="str">
        <f>'18.10 KANONI-MADDU-24h'!G5:H5</f>
        <v>KANONI</v>
      </c>
      <c r="H5" s="59"/>
      <c r="I5" s="14"/>
      <c r="J5" s="2" t="s">
        <v>5</v>
      </c>
      <c r="K5" s="58" t="str">
        <f>'18.10 KANONI-MADDU-24h'!K5:L5</f>
        <v>ZALWANGO S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166</v>
      </c>
      <c r="E6" s="59"/>
      <c r="F6" s="2" t="s">
        <v>2</v>
      </c>
      <c r="G6" s="58" t="s">
        <v>165</v>
      </c>
      <c r="H6" s="59"/>
      <c r="J6" s="2" t="s">
        <v>21</v>
      </c>
      <c r="K6" s="58" t="str">
        <f>'18.10 KANONI-MADDU-24h'!K6:L6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1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0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8</v>
      </c>
      <c r="AD10" s="17">
        <f t="shared" si="2"/>
        <v>0</v>
      </c>
      <c r="AE10" s="31">
        <f t="shared" si="2"/>
        <v>9</v>
      </c>
      <c r="AF10" s="31">
        <f t="shared" si="2"/>
        <v>17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1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2</v>
      </c>
      <c r="P11" s="15">
        <f t="shared" si="1"/>
        <v>6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4</v>
      </c>
      <c r="V11" s="17">
        <f t="shared" si="3"/>
        <v>10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20</v>
      </c>
      <c r="AD11" s="17">
        <f t="shared" si="3"/>
        <v>0</v>
      </c>
      <c r="AE11" s="31">
        <f t="shared" si="3"/>
        <v>15</v>
      </c>
      <c r="AF11" s="31">
        <f t="shared" si="3"/>
        <v>35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2</v>
      </c>
      <c r="P12" s="15">
        <f t="shared" si="1"/>
        <v>4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14</v>
      </c>
      <c r="AD12" s="17">
        <f t="shared" si="4"/>
        <v>0</v>
      </c>
      <c r="AE12" s="31">
        <f t="shared" si="4"/>
        <v>8</v>
      </c>
      <c r="AF12" s="31">
        <f t="shared" si="4"/>
        <v>22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4</v>
      </c>
      <c r="P13" s="15">
        <f t="shared" si="1"/>
        <v>6</v>
      </c>
      <c r="R13" s="1" t="s">
        <v>9</v>
      </c>
      <c r="S13" s="17">
        <f t="shared" ref="S13:AF13" si="5">SUM(C22:C25)</f>
        <v>3</v>
      </c>
      <c r="T13" s="17">
        <f t="shared" si="5"/>
        <v>1</v>
      </c>
      <c r="U13" s="17">
        <f t="shared" si="5"/>
        <v>2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26</v>
      </c>
      <c r="AD13" s="17">
        <f t="shared" si="5"/>
        <v>0</v>
      </c>
      <c r="AE13" s="31">
        <f t="shared" si="5"/>
        <v>18</v>
      </c>
      <c r="AF13" s="31">
        <f t="shared" si="5"/>
        <v>44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3</v>
      </c>
      <c r="P14" s="15">
        <f t="shared" si="1"/>
        <v>10</v>
      </c>
      <c r="R14" s="1" t="s">
        <v>10</v>
      </c>
      <c r="S14" s="17">
        <f t="shared" ref="S14:AF14" si="6">SUM(C26:C29)</f>
        <v>9</v>
      </c>
      <c r="T14" s="17">
        <f t="shared" si="6"/>
        <v>1</v>
      </c>
      <c r="U14" s="17">
        <f t="shared" si="6"/>
        <v>3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30</v>
      </c>
      <c r="AD14" s="17">
        <f t="shared" si="6"/>
        <v>0</v>
      </c>
      <c r="AE14" s="31">
        <f t="shared" si="6"/>
        <v>17</v>
      </c>
      <c r="AF14" s="31">
        <f t="shared" si="6"/>
        <v>47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3</v>
      </c>
      <c r="F15" s="50">
        <v>6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9</v>
      </c>
      <c r="P15" s="15">
        <f t="shared" si="1"/>
        <v>15</v>
      </c>
      <c r="R15" s="1" t="s">
        <v>11</v>
      </c>
      <c r="S15" s="17">
        <f t="shared" ref="S15:AF15" si="7">SUM(C30:C33)</f>
        <v>3</v>
      </c>
      <c r="T15" s="17">
        <f t="shared" si="7"/>
        <v>8</v>
      </c>
      <c r="U15" s="17">
        <f t="shared" si="7"/>
        <v>1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36</v>
      </c>
      <c r="AD15" s="17">
        <f t="shared" si="7"/>
        <v>0</v>
      </c>
      <c r="AE15" s="31">
        <f t="shared" si="7"/>
        <v>19</v>
      </c>
      <c r="AF15" s="31">
        <f t="shared" si="7"/>
        <v>55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2</v>
      </c>
      <c r="P16" s="15">
        <f t="shared" si="1"/>
        <v>5</v>
      </c>
      <c r="R16" s="1" t="s">
        <v>12</v>
      </c>
      <c r="S16" s="17">
        <f t="shared" ref="S16:AF16" si="8">SUM(C34:C37)</f>
        <v>2</v>
      </c>
      <c r="T16" s="17">
        <f t="shared" si="8"/>
        <v>8</v>
      </c>
      <c r="U16" s="17">
        <f t="shared" si="8"/>
        <v>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43</v>
      </c>
      <c r="AD16" s="17">
        <f t="shared" si="8"/>
        <v>0</v>
      </c>
      <c r="AE16" s="31">
        <f t="shared" si="8"/>
        <v>17</v>
      </c>
      <c r="AF16" s="31">
        <f t="shared" si="8"/>
        <v>60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1</v>
      </c>
      <c r="P17" s="15">
        <f t="shared" si="1"/>
        <v>5</v>
      </c>
      <c r="R17" s="1" t="s">
        <v>13</v>
      </c>
      <c r="S17" s="17">
        <f t="shared" ref="S17:AF17" si="9">SUM(C38:C41)</f>
        <v>7</v>
      </c>
      <c r="T17" s="17">
        <f t="shared" si="9"/>
        <v>2</v>
      </c>
      <c r="U17" s="17">
        <f t="shared" si="9"/>
        <v>2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19</v>
      </c>
      <c r="AF17" s="31">
        <f t="shared" si="9"/>
        <v>59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1</v>
      </c>
      <c r="P18" s="15">
        <f t="shared" si="1"/>
        <v>5</v>
      </c>
      <c r="R18" s="1" t="s">
        <v>14</v>
      </c>
      <c r="S18" s="17">
        <f t="shared" ref="S18:AF18" si="10">SUM(C42:C45)</f>
        <v>3</v>
      </c>
      <c r="T18" s="17">
        <f t="shared" si="10"/>
        <v>5</v>
      </c>
      <c r="U18" s="17">
        <f t="shared" si="10"/>
        <v>0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39</v>
      </c>
      <c r="AD18" s="17">
        <f t="shared" si="10"/>
        <v>0</v>
      </c>
      <c r="AE18" s="31">
        <f t="shared" si="10"/>
        <v>21</v>
      </c>
      <c r="AF18" s="31">
        <f t="shared" si="10"/>
        <v>60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4</v>
      </c>
      <c r="T19" s="17">
        <f t="shared" si="11"/>
        <v>6</v>
      </c>
      <c r="U19" s="17">
        <f t="shared" si="11"/>
        <v>1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53</v>
      </c>
      <c r="AD19" s="17">
        <f t="shared" si="11"/>
        <v>0</v>
      </c>
      <c r="AE19" s="31">
        <f t="shared" si="11"/>
        <v>27</v>
      </c>
      <c r="AF19" s="31">
        <f t="shared" si="11"/>
        <v>80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3</v>
      </c>
      <c r="P20" s="15">
        <f t="shared" si="1"/>
        <v>7</v>
      </c>
      <c r="R20" s="1" t="s">
        <v>16</v>
      </c>
      <c r="S20" s="17">
        <f t="shared" ref="S20:AF20" si="12">SUM(C50:C53)</f>
        <v>8</v>
      </c>
      <c r="T20" s="17">
        <f t="shared" si="12"/>
        <v>7</v>
      </c>
      <c r="U20" s="17">
        <f t="shared" si="12"/>
        <v>2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54</v>
      </c>
      <c r="AD20" s="17">
        <f t="shared" si="12"/>
        <v>0</v>
      </c>
      <c r="AE20" s="31">
        <f t="shared" si="12"/>
        <v>25</v>
      </c>
      <c r="AF20" s="31">
        <f t="shared" si="12"/>
        <v>79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1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3</v>
      </c>
      <c r="P21" s="15">
        <f t="shared" si="1"/>
        <v>8</v>
      </c>
      <c r="R21" s="36" t="s">
        <v>20</v>
      </c>
      <c r="S21" s="34">
        <f t="shared" ref="S21:AF21" si="13">SUM(C54:C57)</f>
        <v>6</v>
      </c>
      <c r="T21" s="17">
        <f t="shared" si="13"/>
        <v>4</v>
      </c>
      <c r="U21" s="17">
        <f t="shared" si="13"/>
        <v>2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43</v>
      </c>
      <c r="AD21" s="17">
        <f t="shared" si="13"/>
        <v>0</v>
      </c>
      <c r="AE21" s="31">
        <f t="shared" si="13"/>
        <v>22</v>
      </c>
      <c r="AF21" s="31">
        <f t="shared" si="13"/>
        <v>65</v>
      </c>
    </row>
    <row r="22" spans="2:32" ht="23.1" customHeight="1" x14ac:dyDescent="0.25">
      <c r="B22" s="45" t="s">
        <v>49</v>
      </c>
      <c r="C22" s="50">
        <v>1</v>
      </c>
      <c r="D22" s="50">
        <v>1</v>
      </c>
      <c r="E22" s="50">
        <v>0</v>
      </c>
      <c r="F22" s="50">
        <v>3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7</v>
      </c>
      <c r="P22" s="15">
        <f t="shared" si="1"/>
        <v>14</v>
      </c>
      <c r="R22" s="36" t="s">
        <v>146</v>
      </c>
      <c r="S22" s="34">
        <f>SUM(C58:C61)</f>
        <v>14</v>
      </c>
      <c r="T22" s="34">
        <f t="shared" ref="T22:AF22" si="14">SUM(D58:D61)</f>
        <v>2</v>
      </c>
      <c r="U22" s="34">
        <f t="shared" si="14"/>
        <v>0</v>
      </c>
      <c r="V22" s="34">
        <f t="shared" si="14"/>
        <v>4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45</v>
      </c>
      <c r="AD22" s="34">
        <f t="shared" si="14"/>
        <v>0</v>
      </c>
      <c r="AE22" s="31">
        <f t="shared" si="14"/>
        <v>28</v>
      </c>
      <c r="AF22" s="31">
        <f t="shared" si="14"/>
        <v>73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1</v>
      </c>
      <c r="F23" s="50">
        <v>3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8</v>
      </c>
      <c r="P23" s="15">
        <f t="shared" si="1"/>
        <v>17</v>
      </c>
      <c r="R23" s="36" t="s">
        <v>147</v>
      </c>
      <c r="S23" s="34">
        <f>SUM(C62:C65)</f>
        <v>14</v>
      </c>
      <c r="T23" s="34">
        <f t="shared" ref="T23:AF23" si="15">SUM(D62:D65)</f>
        <v>3</v>
      </c>
      <c r="U23" s="34">
        <f t="shared" si="15"/>
        <v>0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6</v>
      </c>
      <c r="AA23" s="34">
        <f t="shared" si="15"/>
        <v>0</v>
      </c>
      <c r="AB23" s="34">
        <f t="shared" si="15"/>
        <v>0</v>
      </c>
      <c r="AC23" s="34">
        <f t="shared" si="15"/>
        <v>30</v>
      </c>
      <c r="AD23" s="34">
        <f t="shared" si="15"/>
        <v>0</v>
      </c>
      <c r="AE23" s="31">
        <f t="shared" si="15"/>
        <v>28</v>
      </c>
      <c r="AF23" s="31">
        <f t="shared" si="15"/>
        <v>58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0</v>
      </c>
      <c r="P24" s="15">
        <f t="shared" si="1"/>
        <v>0</v>
      </c>
      <c r="R24" s="36" t="s">
        <v>148</v>
      </c>
      <c r="S24" s="34">
        <f>SUM(C66:C69)</f>
        <v>3</v>
      </c>
      <c r="T24" s="34">
        <f t="shared" ref="T24:AF24" si="16">SUM(D66:D69)</f>
        <v>1</v>
      </c>
      <c r="U24" s="34">
        <f t="shared" si="16"/>
        <v>3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10</v>
      </c>
      <c r="AD24" s="34">
        <f t="shared" si="16"/>
        <v>1</v>
      </c>
      <c r="AE24" s="31">
        <f t="shared" si="16"/>
        <v>11</v>
      </c>
      <c r="AF24" s="31">
        <f t="shared" si="16"/>
        <v>21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1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10</v>
      </c>
      <c r="N25" s="50">
        <v>0</v>
      </c>
      <c r="O25" s="15">
        <f t="shared" si="0"/>
        <v>3</v>
      </c>
      <c r="P25" s="15">
        <f t="shared" si="1"/>
        <v>13</v>
      </c>
      <c r="R25" s="36" t="s">
        <v>149</v>
      </c>
      <c r="S25" s="34">
        <f>SUM(C70:C73)</f>
        <v>4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8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7</v>
      </c>
      <c r="AD25" s="34">
        <f t="shared" si="17"/>
        <v>0</v>
      </c>
      <c r="AE25" s="31">
        <f t="shared" si="17"/>
        <v>14</v>
      </c>
      <c r="AF25" s="31">
        <f t="shared" si="17"/>
        <v>21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3</v>
      </c>
      <c r="P26" s="15">
        <f t="shared" si="1"/>
        <v>9</v>
      </c>
      <c r="R26" s="36" t="s">
        <v>150</v>
      </c>
      <c r="S26" s="34">
        <f>SUM(C74:C77)</f>
        <v>2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5</v>
      </c>
      <c r="AA26" s="34">
        <f t="shared" si="18"/>
        <v>1</v>
      </c>
      <c r="AB26" s="34">
        <f t="shared" si="18"/>
        <v>0</v>
      </c>
      <c r="AC26" s="34">
        <f t="shared" si="18"/>
        <v>4</v>
      </c>
      <c r="AD26" s="34">
        <f t="shared" si="18"/>
        <v>0</v>
      </c>
      <c r="AE26" s="31">
        <f t="shared" si="18"/>
        <v>9</v>
      </c>
      <c r="AF26" s="31">
        <f t="shared" si="18"/>
        <v>13</v>
      </c>
    </row>
    <row r="27" spans="2:32" ht="23.1" customHeight="1" x14ac:dyDescent="0.25">
      <c r="B27" s="45" t="s">
        <v>54</v>
      </c>
      <c r="C27" s="50">
        <v>3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5</v>
      </c>
      <c r="P27" s="15">
        <f t="shared" si="1"/>
        <v>11</v>
      </c>
      <c r="R27" s="36" t="s">
        <v>151</v>
      </c>
      <c r="S27" s="34">
        <f>SUM(C78:C81)</f>
        <v>4</v>
      </c>
      <c r="T27" s="34">
        <f t="shared" ref="T27:AF27" si="19">SUM(D78:D81)</f>
        <v>1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6</v>
      </c>
      <c r="AA27" s="34">
        <f t="shared" si="19"/>
        <v>3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17</v>
      </c>
      <c r="AF27" s="31">
        <f t="shared" si="19"/>
        <v>17</v>
      </c>
    </row>
    <row r="28" spans="2:32" ht="23.1" customHeight="1" x14ac:dyDescent="0.25">
      <c r="B28" s="45" t="s">
        <v>55</v>
      </c>
      <c r="C28" s="50">
        <v>3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5</v>
      </c>
      <c r="P28" s="15">
        <f t="shared" si="1"/>
        <v>11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3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4</v>
      </c>
      <c r="AF28" s="31">
        <f t="shared" si="20"/>
        <v>4</v>
      </c>
    </row>
    <row r="29" spans="2:32" ht="23.1" customHeight="1" x14ac:dyDescent="0.25">
      <c r="B29" s="45" t="s">
        <v>56</v>
      </c>
      <c r="C29" s="50">
        <v>2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4</v>
      </c>
      <c r="P29" s="15">
        <f t="shared" si="1"/>
        <v>16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1</v>
      </c>
      <c r="D30" s="50">
        <v>2</v>
      </c>
      <c r="E30" s="50">
        <v>0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7</v>
      </c>
      <c r="P30" s="15">
        <f t="shared" si="1"/>
        <v>23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6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7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2</v>
      </c>
      <c r="D31" s="50">
        <v>6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10</v>
      </c>
      <c r="P31" s="15">
        <f t="shared" si="1"/>
        <v>25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3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14</v>
      </c>
      <c r="AF31" s="31">
        <f t="shared" si="23"/>
        <v>14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1</v>
      </c>
      <c r="P32" s="15">
        <f t="shared" si="1"/>
        <v>4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6</v>
      </c>
      <c r="AF32" s="31">
        <f t="shared" si="24"/>
        <v>6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1</v>
      </c>
      <c r="P33" s="15">
        <f t="shared" si="1"/>
        <v>3</v>
      </c>
      <c r="R33" s="33" t="s">
        <v>157</v>
      </c>
      <c r="S33" s="34">
        <f>SUM(C102:C105)</f>
        <v>2</v>
      </c>
      <c r="T33" s="34">
        <f t="shared" ref="T33:AF33" si="25">SUM(D102:D105)</f>
        <v>1</v>
      </c>
      <c r="U33" s="34">
        <f t="shared" si="25"/>
        <v>2</v>
      </c>
      <c r="V33" s="34">
        <f t="shared" si="25"/>
        <v>6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7</v>
      </c>
      <c r="AD33" s="34">
        <f t="shared" si="25"/>
        <v>0</v>
      </c>
      <c r="AE33" s="31">
        <f t="shared" si="25"/>
        <v>11</v>
      </c>
      <c r="AF33" s="31">
        <f t="shared" si="25"/>
        <v>18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5">
        <f t="shared" si="0"/>
        <v>1</v>
      </c>
      <c r="P34" s="15">
        <f t="shared" si="1"/>
        <v>14</v>
      </c>
      <c r="R34" s="38" t="s">
        <v>90</v>
      </c>
      <c r="S34" s="39">
        <f t="shared" ref="S34:AF34" si="26">MAX(S10:S12)</f>
        <v>3</v>
      </c>
      <c r="T34" s="39">
        <f t="shared" si="26"/>
        <v>1</v>
      </c>
      <c r="U34" s="39">
        <f t="shared" si="26"/>
        <v>4</v>
      </c>
      <c r="V34" s="39">
        <f t="shared" si="26"/>
        <v>10</v>
      </c>
      <c r="W34" s="39">
        <f t="shared" si="26"/>
        <v>0</v>
      </c>
      <c r="X34" s="39">
        <f t="shared" si="26"/>
        <v>0</v>
      </c>
      <c r="Y34" s="39">
        <f t="shared" si="26"/>
        <v>0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20</v>
      </c>
      <c r="AD34" s="39">
        <f t="shared" si="26"/>
        <v>0</v>
      </c>
      <c r="AE34" s="40">
        <f t="shared" si="26"/>
        <v>15</v>
      </c>
      <c r="AF34" s="40">
        <f t="shared" si="26"/>
        <v>35</v>
      </c>
    </row>
    <row r="35" spans="2:32" ht="23.1" customHeight="1" x14ac:dyDescent="0.25">
      <c r="B35" s="46" t="s">
        <v>62</v>
      </c>
      <c r="C35" s="50">
        <v>1</v>
      </c>
      <c r="D35" s="50">
        <v>3</v>
      </c>
      <c r="E35" s="50">
        <v>0</v>
      </c>
      <c r="F35" s="50">
        <v>4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8</v>
      </c>
      <c r="P35" s="15">
        <f t="shared" si="1"/>
        <v>18</v>
      </c>
      <c r="R35" s="38" t="s">
        <v>91</v>
      </c>
      <c r="S35" s="39">
        <f t="shared" ref="S35:AF35" si="27">MAX(S13:S18)</f>
        <v>9</v>
      </c>
      <c r="T35" s="39">
        <f t="shared" si="27"/>
        <v>8</v>
      </c>
      <c r="U35" s="39">
        <f t="shared" si="27"/>
        <v>3</v>
      </c>
      <c r="V35" s="39">
        <f t="shared" si="27"/>
        <v>10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43</v>
      </c>
      <c r="AD35" s="39">
        <f t="shared" si="27"/>
        <v>0</v>
      </c>
      <c r="AE35" s="40">
        <f t="shared" si="27"/>
        <v>21</v>
      </c>
      <c r="AF35" s="40">
        <f t="shared" si="27"/>
        <v>60</v>
      </c>
    </row>
    <row r="36" spans="2:32" ht="23.1" customHeight="1" x14ac:dyDescent="0.25">
      <c r="B36" s="46" t="s">
        <v>63</v>
      </c>
      <c r="C36" s="50">
        <v>0</v>
      </c>
      <c r="D36" s="50">
        <v>2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9</v>
      </c>
      <c r="N36" s="50">
        <v>0</v>
      </c>
      <c r="O36" s="15">
        <f t="shared" si="0"/>
        <v>4</v>
      </c>
      <c r="P36" s="15">
        <f t="shared" si="1"/>
        <v>13</v>
      </c>
      <c r="R36" s="38" t="s">
        <v>92</v>
      </c>
      <c r="S36" s="39">
        <f t="shared" ref="S36:AF36" si="28">MAX(S19:S21)</f>
        <v>8</v>
      </c>
      <c r="T36" s="39">
        <f t="shared" si="28"/>
        <v>7</v>
      </c>
      <c r="U36" s="39">
        <f t="shared" si="28"/>
        <v>2</v>
      </c>
      <c r="V36" s="39">
        <f t="shared" si="28"/>
        <v>8</v>
      </c>
      <c r="W36" s="39">
        <f t="shared" si="28"/>
        <v>0</v>
      </c>
      <c r="X36" s="39">
        <f t="shared" si="28"/>
        <v>0</v>
      </c>
      <c r="Y36" s="39">
        <f t="shared" si="28"/>
        <v>7</v>
      </c>
      <c r="Z36" s="39">
        <f t="shared" si="28"/>
        <v>0</v>
      </c>
      <c r="AA36" s="39">
        <f t="shared" si="28"/>
        <v>1</v>
      </c>
      <c r="AB36" s="39">
        <f t="shared" si="28"/>
        <v>0</v>
      </c>
      <c r="AC36" s="39">
        <f t="shared" si="28"/>
        <v>54</v>
      </c>
      <c r="AD36" s="39">
        <f t="shared" si="28"/>
        <v>0</v>
      </c>
      <c r="AE36" s="40">
        <f t="shared" si="28"/>
        <v>27</v>
      </c>
      <c r="AF36" s="40">
        <f t="shared" si="28"/>
        <v>80</v>
      </c>
    </row>
    <row r="37" spans="2:32" ht="23.1" customHeight="1" x14ac:dyDescent="0.25">
      <c r="B37" s="45" t="s">
        <v>64</v>
      </c>
      <c r="C37" s="50">
        <v>1</v>
      </c>
      <c r="D37" s="50">
        <v>2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4</v>
      </c>
      <c r="P37" s="15">
        <f t="shared" si="1"/>
        <v>15</v>
      </c>
      <c r="R37" s="37" t="s">
        <v>85</v>
      </c>
      <c r="S37" s="35">
        <f t="shared" ref="S37:AF37" si="29">SUM(S10:S12)</f>
        <v>6</v>
      </c>
      <c r="T37" s="16">
        <f t="shared" si="29"/>
        <v>1</v>
      </c>
      <c r="U37" s="16">
        <f t="shared" si="29"/>
        <v>5</v>
      </c>
      <c r="V37" s="16">
        <f t="shared" si="29"/>
        <v>19</v>
      </c>
      <c r="W37" s="16">
        <f t="shared" si="29"/>
        <v>0</v>
      </c>
      <c r="X37" s="16">
        <f t="shared" si="29"/>
        <v>0</v>
      </c>
      <c r="Y37" s="16">
        <f t="shared" si="29"/>
        <v>0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42</v>
      </c>
      <c r="AD37" s="16">
        <f t="shared" si="29"/>
        <v>0</v>
      </c>
      <c r="AE37" s="32">
        <f t="shared" si="29"/>
        <v>32</v>
      </c>
      <c r="AF37" s="32">
        <f t="shared" si="29"/>
        <v>74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15</v>
      </c>
      <c r="N38" s="50">
        <v>0</v>
      </c>
      <c r="O38" s="15">
        <f t="shared" si="0"/>
        <v>2</v>
      </c>
      <c r="P38" s="15">
        <f t="shared" si="1"/>
        <v>17</v>
      </c>
      <c r="R38" s="28" t="s">
        <v>86</v>
      </c>
      <c r="S38" s="16">
        <f t="shared" ref="S38:AF38" si="30">SUM(S13:S18)</f>
        <v>27</v>
      </c>
      <c r="T38" s="16">
        <f t="shared" si="30"/>
        <v>25</v>
      </c>
      <c r="U38" s="16">
        <f t="shared" si="30"/>
        <v>9</v>
      </c>
      <c r="V38" s="16">
        <f t="shared" si="30"/>
        <v>38</v>
      </c>
      <c r="W38" s="16">
        <f t="shared" si="30"/>
        <v>0</v>
      </c>
      <c r="X38" s="16">
        <f t="shared" si="30"/>
        <v>0</v>
      </c>
      <c r="Y38" s="16">
        <f t="shared" si="30"/>
        <v>8</v>
      </c>
      <c r="Z38" s="16">
        <f t="shared" si="30"/>
        <v>2</v>
      </c>
      <c r="AA38" s="16">
        <f t="shared" si="30"/>
        <v>2</v>
      </c>
      <c r="AB38" s="16">
        <f t="shared" si="30"/>
        <v>0</v>
      </c>
      <c r="AC38" s="16">
        <f t="shared" si="30"/>
        <v>214</v>
      </c>
      <c r="AD38" s="16">
        <f t="shared" si="30"/>
        <v>0</v>
      </c>
      <c r="AE38" s="32">
        <f t="shared" si="30"/>
        <v>111</v>
      </c>
      <c r="AF38" s="32">
        <f t="shared" si="30"/>
        <v>325</v>
      </c>
    </row>
    <row r="39" spans="2:32" ht="23.1" customHeight="1" x14ac:dyDescent="0.25">
      <c r="B39" s="46" t="s">
        <v>66</v>
      </c>
      <c r="C39" s="50">
        <v>4</v>
      </c>
      <c r="D39" s="50">
        <v>0</v>
      </c>
      <c r="E39" s="50">
        <v>2</v>
      </c>
      <c r="F39" s="50">
        <v>2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8</v>
      </c>
      <c r="P39" s="15">
        <f t="shared" si="1"/>
        <v>22</v>
      </c>
      <c r="R39" s="29" t="s">
        <v>87</v>
      </c>
      <c r="S39" s="16">
        <f t="shared" ref="S39:AF39" si="31">SUM(S19:S21)</f>
        <v>18</v>
      </c>
      <c r="T39" s="16">
        <f t="shared" si="31"/>
        <v>17</v>
      </c>
      <c r="U39" s="16">
        <f t="shared" si="31"/>
        <v>5</v>
      </c>
      <c r="V39" s="16">
        <f t="shared" si="31"/>
        <v>22</v>
      </c>
      <c r="W39" s="16">
        <f t="shared" si="31"/>
        <v>0</v>
      </c>
      <c r="X39" s="16">
        <f t="shared" si="31"/>
        <v>0</v>
      </c>
      <c r="Y39" s="16">
        <f t="shared" si="31"/>
        <v>10</v>
      </c>
      <c r="Z39" s="16">
        <f t="shared" si="31"/>
        <v>0</v>
      </c>
      <c r="AA39" s="16">
        <f t="shared" si="31"/>
        <v>2</v>
      </c>
      <c r="AB39" s="16">
        <f t="shared" si="31"/>
        <v>0</v>
      </c>
      <c r="AC39" s="16">
        <f t="shared" si="31"/>
        <v>150</v>
      </c>
      <c r="AD39" s="16">
        <f t="shared" si="31"/>
        <v>0</v>
      </c>
      <c r="AE39" s="32">
        <f t="shared" si="31"/>
        <v>74</v>
      </c>
      <c r="AF39" s="32">
        <f t="shared" si="31"/>
        <v>224</v>
      </c>
    </row>
    <row r="40" spans="2:32" ht="23.1" customHeight="1" x14ac:dyDescent="0.25">
      <c r="B40" s="46" t="s">
        <v>67</v>
      </c>
      <c r="C40" s="50">
        <v>1</v>
      </c>
      <c r="D40" s="50">
        <v>1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3</v>
      </c>
      <c r="P40" s="15">
        <f t="shared" si="1"/>
        <v>9</v>
      </c>
      <c r="R40" s="5" t="s">
        <v>17</v>
      </c>
      <c r="S40" s="16">
        <f t="shared" ref="S40:AF40" si="32">SUM(S10:S21)</f>
        <v>51</v>
      </c>
      <c r="T40" s="16">
        <f t="shared" si="32"/>
        <v>43</v>
      </c>
      <c r="U40" s="16">
        <f t="shared" si="32"/>
        <v>19</v>
      </c>
      <c r="V40" s="16">
        <f t="shared" si="32"/>
        <v>79</v>
      </c>
      <c r="W40" s="16">
        <f t="shared" si="32"/>
        <v>0</v>
      </c>
      <c r="X40" s="16">
        <f t="shared" si="32"/>
        <v>0</v>
      </c>
      <c r="Y40" s="16">
        <f t="shared" si="32"/>
        <v>18</v>
      </c>
      <c r="Z40" s="16">
        <f t="shared" si="32"/>
        <v>3</v>
      </c>
      <c r="AA40" s="16">
        <f t="shared" si="32"/>
        <v>4</v>
      </c>
      <c r="AB40" s="16">
        <f t="shared" si="32"/>
        <v>0</v>
      </c>
      <c r="AC40" s="16">
        <f t="shared" si="32"/>
        <v>406</v>
      </c>
      <c r="AD40" s="16">
        <f t="shared" si="32"/>
        <v>0</v>
      </c>
      <c r="AE40" s="32">
        <f t="shared" si="32"/>
        <v>217</v>
      </c>
      <c r="AF40" s="32">
        <f t="shared" si="32"/>
        <v>623</v>
      </c>
    </row>
    <row r="41" spans="2:32" ht="23.1" customHeight="1" x14ac:dyDescent="0.25">
      <c r="B41" s="45" t="s">
        <v>68</v>
      </c>
      <c r="C41" s="50">
        <v>1</v>
      </c>
      <c r="D41" s="50">
        <v>1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6</v>
      </c>
      <c r="P41" s="15">
        <f t="shared" si="1"/>
        <v>11</v>
      </c>
      <c r="R41" s="5" t="s">
        <v>159</v>
      </c>
      <c r="S41" s="16">
        <f>SUM(S10:S33)</f>
        <v>97</v>
      </c>
      <c r="T41" s="16">
        <f t="shared" ref="T41:AF41" si="33">SUM(T10:T33)</f>
        <v>52</v>
      </c>
      <c r="U41" s="16">
        <f t="shared" si="33"/>
        <v>28</v>
      </c>
      <c r="V41" s="16">
        <f t="shared" si="33"/>
        <v>102</v>
      </c>
      <c r="W41" s="16">
        <f t="shared" si="33"/>
        <v>0</v>
      </c>
      <c r="X41" s="16">
        <f t="shared" si="33"/>
        <v>0</v>
      </c>
      <c r="Y41" s="16">
        <f t="shared" si="33"/>
        <v>41</v>
      </c>
      <c r="Z41" s="16">
        <f t="shared" si="33"/>
        <v>38</v>
      </c>
      <c r="AA41" s="16">
        <f t="shared" si="33"/>
        <v>8</v>
      </c>
      <c r="AB41" s="16">
        <f t="shared" si="33"/>
        <v>0</v>
      </c>
      <c r="AC41" s="16">
        <f t="shared" si="33"/>
        <v>509</v>
      </c>
      <c r="AD41" s="16">
        <f t="shared" si="33"/>
        <v>1</v>
      </c>
      <c r="AE41" s="32">
        <f t="shared" si="33"/>
        <v>367</v>
      </c>
      <c r="AF41" s="32">
        <f t="shared" si="33"/>
        <v>876</v>
      </c>
    </row>
    <row r="42" spans="2:32" ht="23.1" customHeight="1" x14ac:dyDescent="0.25">
      <c r="B42" s="46" t="s">
        <v>69</v>
      </c>
      <c r="C42" s="50">
        <v>2</v>
      </c>
      <c r="D42" s="50">
        <v>1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5</v>
      </c>
      <c r="P42" s="15">
        <f t="shared" si="1"/>
        <v>22</v>
      </c>
      <c r="R42" s="5" t="s">
        <v>160</v>
      </c>
      <c r="S42" s="48">
        <f>S41/S40</f>
        <v>1.9019607843137254</v>
      </c>
      <c r="T42" s="48">
        <f t="shared" ref="T42:AF42" si="34">T41/T40</f>
        <v>1.2093023255813953</v>
      </c>
      <c r="U42" s="48">
        <f t="shared" si="34"/>
        <v>1.4736842105263157</v>
      </c>
      <c r="V42" s="48">
        <f t="shared" si="34"/>
        <v>1.2911392405063291</v>
      </c>
      <c r="W42" s="48" t="e">
        <f t="shared" si="34"/>
        <v>#DIV/0!</v>
      </c>
      <c r="X42" s="48" t="e">
        <f t="shared" si="34"/>
        <v>#DIV/0!</v>
      </c>
      <c r="Y42" s="48">
        <f t="shared" si="34"/>
        <v>2.2777777777777777</v>
      </c>
      <c r="Z42" s="48">
        <f t="shared" si="34"/>
        <v>12.666666666666666</v>
      </c>
      <c r="AA42" s="48">
        <f t="shared" si="34"/>
        <v>2</v>
      </c>
      <c r="AB42" s="48" t="e">
        <f t="shared" si="34"/>
        <v>#DIV/0!</v>
      </c>
      <c r="AC42" s="48">
        <f t="shared" si="34"/>
        <v>1.2536945812807883</v>
      </c>
      <c r="AD42" s="48" t="e">
        <f t="shared" si="34"/>
        <v>#DIV/0!</v>
      </c>
      <c r="AE42" s="48">
        <f t="shared" si="34"/>
        <v>1.6912442396313363</v>
      </c>
      <c r="AF42" s="48">
        <f t="shared" si="34"/>
        <v>1.406099518459069</v>
      </c>
    </row>
    <row r="43" spans="2:32" ht="23.1" customHeight="1" x14ac:dyDescent="0.25">
      <c r="B43" s="45" t="s">
        <v>70</v>
      </c>
      <c r="C43" s="50">
        <v>1</v>
      </c>
      <c r="D43" s="50">
        <v>3</v>
      </c>
      <c r="E43" s="50">
        <v>0</v>
      </c>
      <c r="F43" s="50">
        <v>2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8</v>
      </c>
      <c r="P43" s="15">
        <f t="shared" si="1"/>
        <v>22</v>
      </c>
    </row>
    <row r="44" spans="2:32" ht="23.1" customHeight="1" x14ac:dyDescent="0.25">
      <c r="B44" s="47" t="s">
        <v>71</v>
      </c>
      <c r="C44" s="50">
        <v>0</v>
      </c>
      <c r="D44" s="50">
        <v>1</v>
      </c>
      <c r="E44" s="50">
        <v>0</v>
      </c>
      <c r="F44" s="50">
        <v>5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6</v>
      </c>
      <c r="P44" s="15">
        <f t="shared" si="1"/>
        <v>13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2</v>
      </c>
      <c r="P45" s="15">
        <f t="shared" si="1"/>
        <v>3</v>
      </c>
    </row>
    <row r="46" spans="2:32" ht="23.1" customHeight="1" x14ac:dyDescent="0.25">
      <c r="B46" s="46" t="s">
        <v>73</v>
      </c>
      <c r="C46" s="50">
        <v>0</v>
      </c>
      <c r="D46" s="50">
        <v>1</v>
      </c>
      <c r="E46" s="50">
        <v>0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3</v>
      </c>
      <c r="P46" s="15">
        <f t="shared" si="1"/>
        <v>10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2</v>
      </c>
      <c r="E47" s="50">
        <v>0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1</v>
      </c>
      <c r="L47" s="50">
        <v>0</v>
      </c>
      <c r="M47" s="50">
        <v>16</v>
      </c>
      <c r="N47" s="50">
        <v>0</v>
      </c>
      <c r="O47" s="15">
        <f t="shared" si="0"/>
        <v>9</v>
      </c>
      <c r="P47" s="15">
        <f t="shared" si="1"/>
        <v>25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2</v>
      </c>
      <c r="E48" s="50">
        <v>0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6</v>
      </c>
      <c r="P48" s="15">
        <f t="shared" si="1"/>
        <v>22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1</v>
      </c>
      <c r="E49" s="50">
        <v>1</v>
      </c>
      <c r="F49" s="50">
        <v>2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9</v>
      </c>
      <c r="P49" s="15">
        <f t="shared" si="1"/>
        <v>23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4</v>
      </c>
      <c r="P50" s="15">
        <f t="shared" si="1"/>
        <v>13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1</v>
      </c>
      <c r="E51" s="50">
        <v>1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9</v>
      </c>
      <c r="N51" s="50">
        <v>0</v>
      </c>
      <c r="O51" s="15">
        <f t="shared" si="0"/>
        <v>5</v>
      </c>
      <c r="P51" s="15">
        <f t="shared" si="1"/>
        <v>14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2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13</v>
      </c>
      <c r="N52" s="50">
        <v>0</v>
      </c>
      <c r="O52" s="15">
        <f t="shared" si="0"/>
        <v>7</v>
      </c>
      <c r="P52" s="15">
        <f t="shared" si="1"/>
        <v>20</v>
      </c>
      <c r="R52" s="8"/>
      <c r="T52"/>
    </row>
    <row r="53" spans="2:20" ht="23.1" customHeight="1" x14ac:dyDescent="0.25">
      <c r="B53" s="45" t="s">
        <v>80</v>
      </c>
      <c r="C53" s="50">
        <v>2</v>
      </c>
      <c r="D53" s="50">
        <v>3</v>
      </c>
      <c r="E53" s="50">
        <v>1</v>
      </c>
      <c r="F53" s="50">
        <v>3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23</v>
      </c>
      <c r="N53" s="50">
        <v>0</v>
      </c>
      <c r="O53" s="15">
        <f t="shared" si="0"/>
        <v>9</v>
      </c>
      <c r="P53" s="15">
        <f t="shared" si="1"/>
        <v>32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</v>
      </c>
      <c r="N54" s="50">
        <v>0</v>
      </c>
      <c r="O54" s="15">
        <f t="shared" si="0"/>
        <v>2</v>
      </c>
      <c r="P54" s="15">
        <f t="shared" si="1"/>
        <v>5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2</v>
      </c>
      <c r="P55" s="15">
        <f t="shared" si="1"/>
        <v>10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6</v>
      </c>
      <c r="N56" s="50">
        <v>0</v>
      </c>
      <c r="O56" s="15">
        <f t="shared" si="0"/>
        <v>4</v>
      </c>
      <c r="P56" s="15">
        <f t="shared" si="1"/>
        <v>10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3</v>
      </c>
      <c r="E57" s="50">
        <v>2</v>
      </c>
      <c r="F57" s="50">
        <v>4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26</v>
      </c>
      <c r="N57" s="50">
        <v>0</v>
      </c>
      <c r="O57" s="15">
        <f t="shared" si="0"/>
        <v>14</v>
      </c>
      <c r="P57" s="15">
        <f t="shared" si="1"/>
        <v>40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2</v>
      </c>
      <c r="G58" s="50">
        <v>0</v>
      </c>
      <c r="H58" s="50">
        <v>0</v>
      </c>
      <c r="I58" s="50">
        <v>2</v>
      </c>
      <c r="J58" s="50">
        <v>2</v>
      </c>
      <c r="K58" s="50">
        <v>0</v>
      </c>
      <c r="L58" s="50">
        <v>0</v>
      </c>
      <c r="M58" s="50">
        <v>11</v>
      </c>
      <c r="N58" s="50">
        <v>0</v>
      </c>
      <c r="O58" s="15">
        <f t="shared" si="0"/>
        <v>8</v>
      </c>
      <c r="P58" s="15">
        <f t="shared" si="1"/>
        <v>19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2</v>
      </c>
      <c r="J59" s="50">
        <v>1</v>
      </c>
      <c r="K59" s="50">
        <v>0</v>
      </c>
      <c r="L59" s="50">
        <v>0</v>
      </c>
      <c r="M59" s="50">
        <v>15</v>
      </c>
      <c r="N59" s="50">
        <v>0</v>
      </c>
      <c r="O59" s="15">
        <f t="shared" si="0"/>
        <v>7</v>
      </c>
      <c r="P59" s="15">
        <f t="shared" si="1"/>
        <v>22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1</v>
      </c>
      <c r="E60" s="50">
        <v>0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6</v>
      </c>
      <c r="N60" s="50">
        <v>0</v>
      </c>
      <c r="O60" s="15">
        <f t="shared" si="0"/>
        <v>6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13</v>
      </c>
      <c r="N61" s="50">
        <v>0</v>
      </c>
      <c r="O61" s="15">
        <f t="shared" si="0"/>
        <v>7</v>
      </c>
      <c r="P61" s="15">
        <f t="shared" si="1"/>
        <v>20</v>
      </c>
      <c r="R61" s="8"/>
      <c r="T61"/>
    </row>
    <row r="62" spans="2:20" ht="23.1" customHeight="1" x14ac:dyDescent="0.25">
      <c r="B62" s="45" t="s">
        <v>107</v>
      </c>
      <c r="C62" s="50">
        <v>8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1</v>
      </c>
      <c r="J62" s="50">
        <v>1</v>
      </c>
      <c r="K62" s="50">
        <v>0</v>
      </c>
      <c r="L62" s="50">
        <v>0</v>
      </c>
      <c r="M62" s="50">
        <v>10</v>
      </c>
      <c r="N62" s="50">
        <v>0</v>
      </c>
      <c r="O62" s="15">
        <f t="shared" si="0"/>
        <v>10</v>
      </c>
      <c r="P62" s="15">
        <f t="shared" si="1"/>
        <v>20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1</v>
      </c>
      <c r="E63" s="50">
        <v>0</v>
      </c>
      <c r="F63" s="50">
        <v>2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6</v>
      </c>
      <c r="N63" s="50">
        <v>0</v>
      </c>
      <c r="O63" s="15">
        <f t="shared" si="0"/>
        <v>5</v>
      </c>
      <c r="P63" s="15">
        <f t="shared" si="1"/>
        <v>11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5</v>
      </c>
      <c r="K64" s="50">
        <v>0</v>
      </c>
      <c r="L64" s="50">
        <v>0</v>
      </c>
      <c r="M64" s="50">
        <v>8</v>
      </c>
      <c r="N64" s="50">
        <v>0</v>
      </c>
      <c r="O64" s="15">
        <f t="shared" si="0"/>
        <v>8</v>
      </c>
      <c r="P64" s="15">
        <f t="shared" si="1"/>
        <v>16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1</v>
      </c>
      <c r="E65" s="50">
        <v>0</v>
      </c>
      <c r="F65" s="50">
        <v>0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6</v>
      </c>
      <c r="N65" s="50">
        <v>0</v>
      </c>
      <c r="O65" s="15">
        <f t="shared" si="0"/>
        <v>5</v>
      </c>
      <c r="P65" s="15">
        <f t="shared" si="1"/>
        <v>11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2</v>
      </c>
      <c r="N66" s="50">
        <v>0</v>
      </c>
      <c r="O66" s="15">
        <f t="shared" si="0"/>
        <v>1</v>
      </c>
      <c r="P66" s="15">
        <f t="shared" si="1"/>
        <v>3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2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2</v>
      </c>
      <c r="P67" s="15">
        <f t="shared" si="1"/>
        <v>5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1</v>
      </c>
      <c r="K68" s="50">
        <v>0</v>
      </c>
      <c r="L68" s="50">
        <v>0</v>
      </c>
      <c r="M68" s="50">
        <v>2</v>
      </c>
      <c r="N68" s="50">
        <v>1</v>
      </c>
      <c r="O68" s="15">
        <f t="shared" si="0"/>
        <v>3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1</v>
      </c>
      <c r="E69" s="50">
        <v>1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5</v>
      </c>
      <c r="P69" s="15">
        <f t="shared" si="1"/>
        <v>8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3</v>
      </c>
      <c r="P70" s="15">
        <f t="shared" si="1"/>
        <v>3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3</v>
      </c>
      <c r="P71" s="15">
        <f t="shared" si="1"/>
        <v>5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4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4</v>
      </c>
      <c r="P73" s="15">
        <f t="shared" si="1"/>
        <v>5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2</v>
      </c>
      <c r="N74" s="50">
        <v>0</v>
      </c>
      <c r="O74" s="15">
        <f t="shared" ref="O74:O105" si="35">SUM(C74:L74,N74)</f>
        <v>2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1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2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2</v>
      </c>
      <c r="K77" s="50">
        <v>1</v>
      </c>
      <c r="L77" s="50">
        <v>0</v>
      </c>
      <c r="M77" s="50">
        <v>0</v>
      </c>
      <c r="N77" s="50">
        <v>0</v>
      </c>
      <c r="O77" s="15">
        <f t="shared" si="35"/>
        <v>4</v>
      </c>
      <c r="P77" s="15">
        <f t="shared" si="36"/>
        <v>4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3</v>
      </c>
      <c r="P78" s="15">
        <f t="shared" si="36"/>
        <v>3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2</v>
      </c>
      <c r="K79" s="50">
        <v>3</v>
      </c>
      <c r="L79" s="50">
        <v>0</v>
      </c>
      <c r="M79" s="50">
        <v>0</v>
      </c>
      <c r="N79" s="50">
        <v>0</v>
      </c>
      <c r="O79" s="15">
        <f t="shared" si="35"/>
        <v>7</v>
      </c>
      <c r="P79" s="15">
        <f t="shared" si="36"/>
        <v>7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2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3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3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4</v>
      </c>
      <c r="P81" s="15">
        <f t="shared" si="36"/>
        <v>4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3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4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/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2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4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5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2</v>
      </c>
      <c r="G96" s="50">
        <v>0</v>
      </c>
      <c r="H96" s="50">
        <v>0</v>
      </c>
      <c r="I96" s="50">
        <v>4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6</v>
      </c>
      <c r="P96" s="15">
        <f t="shared" si="36"/>
        <v>6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1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3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8</v>
      </c>
      <c r="P97" s="15">
        <f t="shared" si="36"/>
        <v>8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4</v>
      </c>
      <c r="P100" s="15">
        <f t="shared" si="36"/>
        <v>4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1</v>
      </c>
      <c r="E102" s="50">
        <v>0</v>
      </c>
      <c r="F102" s="50">
        <v>3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4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4</v>
      </c>
      <c r="P104" s="15">
        <f t="shared" si="36"/>
        <v>7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2</v>
      </c>
      <c r="N105" s="50">
        <v>0</v>
      </c>
      <c r="O105" s="15">
        <f t="shared" si="35"/>
        <v>2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97</v>
      </c>
      <c r="D106" s="16">
        <f t="shared" ref="D106:P106" si="37">SUM(D10:D105)</f>
        <v>52</v>
      </c>
      <c r="E106" s="16">
        <f t="shared" si="37"/>
        <v>28</v>
      </c>
      <c r="F106" s="16">
        <f t="shared" si="37"/>
        <v>102</v>
      </c>
      <c r="G106" s="16">
        <f t="shared" si="37"/>
        <v>0</v>
      </c>
      <c r="H106" s="16">
        <f t="shared" si="37"/>
        <v>0</v>
      </c>
      <c r="I106" s="16">
        <f t="shared" si="37"/>
        <v>41</v>
      </c>
      <c r="J106" s="16">
        <f t="shared" si="37"/>
        <v>38</v>
      </c>
      <c r="K106" s="16">
        <f t="shared" si="37"/>
        <v>8</v>
      </c>
      <c r="L106" s="16">
        <f t="shared" si="37"/>
        <v>0</v>
      </c>
      <c r="M106" s="16">
        <f t="shared" si="37"/>
        <v>509</v>
      </c>
      <c r="N106" s="16">
        <f t="shared" si="37"/>
        <v>1</v>
      </c>
      <c r="O106" s="16">
        <f t="shared" si="37"/>
        <v>367</v>
      </c>
      <c r="P106" s="16">
        <f t="shared" si="37"/>
        <v>876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0.11073059360730593</v>
      </c>
      <c r="D107" s="43">
        <f t="shared" si="38"/>
        <v>5.9360730593607303E-2</v>
      </c>
      <c r="E107" s="43">
        <f t="shared" si="38"/>
        <v>3.1963470319634701E-2</v>
      </c>
      <c r="F107" s="43">
        <f t="shared" si="38"/>
        <v>0.11643835616438356</v>
      </c>
      <c r="G107" s="43">
        <f t="shared" si="38"/>
        <v>0</v>
      </c>
      <c r="H107" s="43">
        <f t="shared" si="38"/>
        <v>0</v>
      </c>
      <c r="I107" s="43">
        <f t="shared" si="38"/>
        <v>4.6803652968036527E-2</v>
      </c>
      <c r="J107" s="43">
        <f t="shared" si="38"/>
        <v>4.3378995433789952E-2</v>
      </c>
      <c r="K107" s="43">
        <f t="shared" si="38"/>
        <v>9.1324200913242004E-3</v>
      </c>
      <c r="L107" s="43">
        <f t="shared" si="38"/>
        <v>0</v>
      </c>
      <c r="M107" s="43">
        <f t="shared" si="38"/>
        <v>0.58105022831050224</v>
      </c>
      <c r="N107" s="43">
        <f t="shared" si="38"/>
        <v>1.1415525114155251E-3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0.26430517711171664</v>
      </c>
      <c r="D108" s="44">
        <f t="shared" ref="D108:N108" si="39">D106/$O$106</f>
        <v>0.14168937329700274</v>
      </c>
      <c r="E108" s="44">
        <f t="shared" si="39"/>
        <v>7.6294277929155316E-2</v>
      </c>
      <c r="F108" s="44">
        <f t="shared" si="39"/>
        <v>0.27792915531335149</v>
      </c>
      <c r="G108" s="44">
        <f t="shared" si="39"/>
        <v>0</v>
      </c>
      <c r="H108" s="44">
        <f t="shared" si="39"/>
        <v>0</v>
      </c>
      <c r="I108" s="44">
        <f t="shared" si="39"/>
        <v>0.11171662125340599</v>
      </c>
      <c r="J108" s="44">
        <f t="shared" si="39"/>
        <v>0.10354223433242507</v>
      </c>
      <c r="K108" s="44">
        <f t="shared" si="39"/>
        <v>2.1798365122615803E-2</v>
      </c>
      <c r="L108" s="44">
        <f t="shared" si="39"/>
        <v>0</v>
      </c>
      <c r="M108" s="44"/>
      <c r="N108" s="44">
        <f t="shared" si="39"/>
        <v>2.7247956403269754E-3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90" zoomScaleSheetLayoutView="9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174</v>
      </c>
      <c r="E5" s="3"/>
      <c r="F5" s="41" t="s">
        <v>1</v>
      </c>
      <c r="G5" s="58" t="str">
        <f>'17.10 KANONI-MADDU'!G5:H5</f>
        <v>KANONI</v>
      </c>
      <c r="H5" s="59"/>
      <c r="I5" s="14"/>
      <c r="J5" s="2" t="s">
        <v>5</v>
      </c>
      <c r="K5" s="58" t="str">
        <f>'17.10 KANONI-MADDU'!K5:L5</f>
        <v>FELIX OLOYA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KANONI-MADDU'!D6:E6</f>
        <v>KANONI</v>
      </c>
      <c r="E6" s="59"/>
      <c r="F6" s="2" t="s">
        <v>2</v>
      </c>
      <c r="G6" s="58" t="str">
        <f>'17.10 KANONI-MADDU'!G6:H6</f>
        <v>MADDU</v>
      </c>
      <c r="H6" s="59"/>
      <c r="J6" s="2" t="s">
        <v>21</v>
      </c>
      <c r="K6" s="58" t="str">
        <f>'17.10 KANONI-MADDU'!K6:L6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2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10</v>
      </c>
      <c r="T10" s="17">
        <f t="shared" si="2"/>
        <v>2</v>
      </c>
      <c r="U10" s="17">
        <f t="shared" si="2"/>
        <v>2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32</v>
      </c>
      <c r="AD10" s="17">
        <f t="shared" si="2"/>
        <v>0</v>
      </c>
      <c r="AE10" s="31">
        <f t="shared" si="2"/>
        <v>18</v>
      </c>
      <c r="AF10" s="31">
        <f t="shared" si="2"/>
        <v>50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4</v>
      </c>
      <c r="P11" s="15">
        <f t="shared" si="1"/>
        <v>10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58</v>
      </c>
      <c r="AD11" s="17">
        <f t="shared" si="3"/>
        <v>0</v>
      </c>
      <c r="AE11" s="31">
        <f t="shared" si="3"/>
        <v>12</v>
      </c>
      <c r="AF11" s="31">
        <f t="shared" si="3"/>
        <v>70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5</v>
      </c>
      <c r="P12" s="15">
        <f t="shared" si="1"/>
        <v>17</v>
      </c>
      <c r="R12" s="1" t="s">
        <v>8</v>
      </c>
      <c r="S12" s="17">
        <f t="shared" ref="S12:AF12" si="4">SUM(C18:C21)</f>
        <v>7</v>
      </c>
      <c r="T12" s="17">
        <f t="shared" si="4"/>
        <v>1</v>
      </c>
      <c r="U12" s="17">
        <f t="shared" si="4"/>
        <v>1</v>
      </c>
      <c r="V12" s="17">
        <f t="shared" si="4"/>
        <v>4</v>
      </c>
      <c r="W12" s="17">
        <f t="shared" si="4"/>
        <v>2</v>
      </c>
      <c r="X12" s="17">
        <f t="shared" si="4"/>
        <v>0</v>
      </c>
      <c r="Y12" s="17">
        <f t="shared" si="4"/>
        <v>1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44</v>
      </c>
      <c r="AD12" s="17">
        <f t="shared" si="4"/>
        <v>0</v>
      </c>
      <c r="AE12" s="31">
        <f t="shared" si="4"/>
        <v>18</v>
      </c>
      <c r="AF12" s="31">
        <f t="shared" si="4"/>
        <v>62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5</v>
      </c>
      <c r="P13" s="15">
        <f t="shared" si="1"/>
        <v>16</v>
      </c>
      <c r="R13" s="1" t="s">
        <v>9</v>
      </c>
      <c r="S13" s="17">
        <f t="shared" ref="S13:AF13" si="5">SUM(C22:C25)</f>
        <v>10</v>
      </c>
      <c r="T13" s="17">
        <f t="shared" si="5"/>
        <v>2</v>
      </c>
      <c r="U13" s="17">
        <f t="shared" si="5"/>
        <v>1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46</v>
      </c>
      <c r="AD13" s="17">
        <f t="shared" si="5"/>
        <v>0</v>
      </c>
      <c r="AE13" s="31">
        <f t="shared" si="5"/>
        <v>22</v>
      </c>
      <c r="AF13" s="31">
        <f t="shared" si="5"/>
        <v>68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1</v>
      </c>
      <c r="P14" s="15">
        <f t="shared" si="1"/>
        <v>14</v>
      </c>
      <c r="R14" s="1" t="s">
        <v>10</v>
      </c>
      <c r="S14" s="17">
        <f t="shared" ref="S14:AF14" si="6">SUM(C26:C29)</f>
        <v>11</v>
      </c>
      <c r="T14" s="17">
        <f t="shared" si="6"/>
        <v>2</v>
      </c>
      <c r="U14" s="17">
        <f t="shared" si="6"/>
        <v>5</v>
      </c>
      <c r="V14" s="17">
        <f t="shared" si="6"/>
        <v>5</v>
      </c>
      <c r="W14" s="17">
        <f t="shared" si="6"/>
        <v>1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43</v>
      </c>
      <c r="AD14" s="17">
        <f t="shared" si="6"/>
        <v>0</v>
      </c>
      <c r="AE14" s="31">
        <f t="shared" si="6"/>
        <v>27</v>
      </c>
      <c r="AF14" s="31">
        <f t="shared" si="6"/>
        <v>70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1</v>
      </c>
      <c r="L15" s="50">
        <v>0</v>
      </c>
      <c r="M15" s="50">
        <v>15</v>
      </c>
      <c r="N15" s="50">
        <v>0</v>
      </c>
      <c r="O15" s="15">
        <f t="shared" si="0"/>
        <v>4</v>
      </c>
      <c r="P15" s="15">
        <f t="shared" si="1"/>
        <v>19</v>
      </c>
      <c r="R15" s="1" t="s">
        <v>11</v>
      </c>
      <c r="S15" s="17">
        <f t="shared" ref="S15:AF15" si="7">SUM(C30:C33)</f>
        <v>5</v>
      </c>
      <c r="T15" s="17">
        <f t="shared" si="7"/>
        <v>5</v>
      </c>
      <c r="U15" s="17">
        <f t="shared" si="7"/>
        <v>3</v>
      </c>
      <c r="V15" s="17">
        <f t="shared" si="7"/>
        <v>9</v>
      </c>
      <c r="W15" s="17">
        <f t="shared" si="7"/>
        <v>2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51</v>
      </c>
      <c r="AD15" s="17">
        <f t="shared" si="7"/>
        <v>0</v>
      </c>
      <c r="AE15" s="31">
        <f t="shared" si="7"/>
        <v>28</v>
      </c>
      <c r="AF15" s="31">
        <f t="shared" si="7"/>
        <v>79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3</v>
      </c>
      <c r="P16" s="15">
        <f t="shared" si="1"/>
        <v>19</v>
      </c>
      <c r="R16" s="1" t="s">
        <v>12</v>
      </c>
      <c r="S16" s="17">
        <f t="shared" ref="S16:AF16" si="8">SUM(C34:C37)</f>
        <v>15</v>
      </c>
      <c r="T16" s="17">
        <f t="shared" si="8"/>
        <v>4</v>
      </c>
      <c r="U16" s="17">
        <f t="shared" si="8"/>
        <v>2</v>
      </c>
      <c r="V16" s="17">
        <f t="shared" si="8"/>
        <v>8</v>
      </c>
      <c r="W16" s="17">
        <f t="shared" si="8"/>
        <v>1</v>
      </c>
      <c r="X16" s="17">
        <f t="shared" si="8"/>
        <v>0</v>
      </c>
      <c r="Y16" s="17">
        <f t="shared" si="8"/>
        <v>5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44</v>
      </c>
      <c r="AD16" s="17">
        <f t="shared" si="8"/>
        <v>0</v>
      </c>
      <c r="AE16" s="31">
        <f t="shared" si="8"/>
        <v>38</v>
      </c>
      <c r="AF16" s="31">
        <f t="shared" si="8"/>
        <v>82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4</v>
      </c>
      <c r="P17" s="15">
        <f t="shared" si="1"/>
        <v>18</v>
      </c>
      <c r="R17" s="1" t="s">
        <v>13</v>
      </c>
      <c r="S17" s="17">
        <f t="shared" ref="S17:AF17" si="9">SUM(C38:C41)</f>
        <v>11</v>
      </c>
      <c r="T17" s="17">
        <f t="shared" si="9"/>
        <v>1</v>
      </c>
      <c r="U17" s="17">
        <f t="shared" si="9"/>
        <v>0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54</v>
      </c>
      <c r="AD17" s="17">
        <f t="shared" si="9"/>
        <v>0</v>
      </c>
      <c r="AE17" s="31">
        <f t="shared" si="9"/>
        <v>25</v>
      </c>
      <c r="AF17" s="31">
        <f t="shared" si="9"/>
        <v>79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17</v>
      </c>
      <c r="N18" s="50">
        <v>0</v>
      </c>
      <c r="O18" s="15">
        <f t="shared" si="0"/>
        <v>4</v>
      </c>
      <c r="P18" s="15">
        <f t="shared" si="1"/>
        <v>21</v>
      </c>
      <c r="R18" s="1" t="s">
        <v>14</v>
      </c>
      <c r="S18" s="17">
        <f t="shared" ref="S18:AF18" si="10">SUM(C42:C45)</f>
        <v>11</v>
      </c>
      <c r="T18" s="17">
        <f t="shared" si="10"/>
        <v>1</v>
      </c>
      <c r="U18" s="17">
        <f t="shared" si="10"/>
        <v>1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57</v>
      </c>
      <c r="AD18" s="17">
        <f t="shared" si="10"/>
        <v>0</v>
      </c>
      <c r="AE18" s="31">
        <f t="shared" si="10"/>
        <v>22</v>
      </c>
      <c r="AF18" s="31">
        <f t="shared" si="10"/>
        <v>79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3</v>
      </c>
      <c r="P19" s="15">
        <f t="shared" si="1"/>
        <v>15</v>
      </c>
      <c r="R19" s="1" t="s">
        <v>15</v>
      </c>
      <c r="S19" s="17">
        <f t="shared" ref="S19:AF19" si="11">SUM(C46:C49)</f>
        <v>13</v>
      </c>
      <c r="T19" s="17">
        <f t="shared" si="11"/>
        <v>3</v>
      </c>
      <c r="U19" s="17">
        <f t="shared" si="11"/>
        <v>1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75</v>
      </c>
      <c r="AD19" s="17">
        <f t="shared" si="11"/>
        <v>0</v>
      </c>
      <c r="AE19" s="31">
        <f t="shared" si="11"/>
        <v>28</v>
      </c>
      <c r="AF19" s="31">
        <f t="shared" si="11"/>
        <v>103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0</v>
      </c>
      <c r="F20" s="50">
        <v>1</v>
      </c>
      <c r="G20" s="50">
        <v>1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6</v>
      </c>
      <c r="P20" s="15">
        <f t="shared" si="1"/>
        <v>18</v>
      </c>
      <c r="R20" s="1" t="s">
        <v>16</v>
      </c>
      <c r="S20" s="17">
        <f t="shared" ref="S20:AF20" si="12">SUM(C50:C53)</f>
        <v>8</v>
      </c>
      <c r="T20" s="17">
        <f t="shared" si="12"/>
        <v>1</v>
      </c>
      <c r="U20" s="17">
        <f t="shared" si="12"/>
        <v>1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33</v>
      </c>
      <c r="AD20" s="17">
        <f t="shared" si="12"/>
        <v>0</v>
      </c>
      <c r="AE20" s="31">
        <f t="shared" si="12"/>
        <v>24</v>
      </c>
      <c r="AF20" s="31">
        <f t="shared" si="12"/>
        <v>57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5</v>
      </c>
      <c r="P21" s="15">
        <f t="shared" si="1"/>
        <v>8</v>
      </c>
      <c r="R21" s="36" t="s">
        <v>20</v>
      </c>
      <c r="S21" s="34">
        <f t="shared" ref="S21:AF21" si="13">SUM(C54:C57)</f>
        <v>5</v>
      </c>
      <c r="T21" s="17">
        <f t="shared" si="13"/>
        <v>1</v>
      </c>
      <c r="U21" s="17">
        <f t="shared" si="13"/>
        <v>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48</v>
      </c>
      <c r="AD21" s="17">
        <f t="shared" si="13"/>
        <v>0</v>
      </c>
      <c r="AE21" s="31">
        <f t="shared" si="13"/>
        <v>13</v>
      </c>
      <c r="AF21" s="31">
        <f t="shared" si="13"/>
        <v>61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3</v>
      </c>
      <c r="P22" s="15">
        <f t="shared" si="1"/>
        <v>17</v>
      </c>
      <c r="R22" s="38" t="s">
        <v>90</v>
      </c>
      <c r="S22" s="39">
        <f>MAX(S10:S12)</f>
        <v>10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4</v>
      </c>
      <c r="W22" s="39">
        <f t="shared" si="14"/>
        <v>2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58</v>
      </c>
      <c r="AD22" s="39">
        <f t="shared" si="14"/>
        <v>0</v>
      </c>
      <c r="AE22" s="40">
        <f t="shared" si="14"/>
        <v>18</v>
      </c>
      <c r="AF22" s="40">
        <f t="shared" si="14"/>
        <v>70</v>
      </c>
    </row>
    <row r="23" spans="2:32" ht="23.1" customHeight="1" x14ac:dyDescent="0.25">
      <c r="B23" s="23" t="s">
        <v>50</v>
      </c>
      <c r="C23" s="50">
        <v>4</v>
      </c>
      <c r="D23" s="50">
        <v>2</v>
      </c>
      <c r="E23" s="50">
        <v>0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9</v>
      </c>
      <c r="P23" s="15">
        <f t="shared" si="1"/>
        <v>17</v>
      </c>
      <c r="R23" s="38" t="s">
        <v>91</v>
      </c>
      <c r="S23" s="39">
        <f>MAX(S13:S18)</f>
        <v>15</v>
      </c>
      <c r="T23" s="39">
        <f t="shared" ref="T23:AF23" si="15">MAX(T13:T18)</f>
        <v>5</v>
      </c>
      <c r="U23" s="39">
        <f t="shared" si="15"/>
        <v>5</v>
      </c>
      <c r="V23" s="39">
        <f t="shared" si="15"/>
        <v>9</v>
      </c>
      <c r="W23" s="39">
        <f t="shared" si="15"/>
        <v>2</v>
      </c>
      <c r="X23" s="39">
        <f t="shared" si="15"/>
        <v>0</v>
      </c>
      <c r="Y23" s="39">
        <f t="shared" si="15"/>
        <v>5</v>
      </c>
      <c r="Z23" s="39">
        <f t="shared" si="15"/>
        <v>2</v>
      </c>
      <c r="AA23" s="39">
        <f t="shared" si="15"/>
        <v>0</v>
      </c>
      <c r="AB23" s="39">
        <f t="shared" si="15"/>
        <v>1</v>
      </c>
      <c r="AC23" s="39">
        <f t="shared" si="15"/>
        <v>57</v>
      </c>
      <c r="AD23" s="39">
        <f t="shared" si="15"/>
        <v>0</v>
      </c>
      <c r="AE23" s="40">
        <f t="shared" si="15"/>
        <v>38</v>
      </c>
      <c r="AF23" s="40">
        <f t="shared" si="15"/>
        <v>82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4</v>
      </c>
      <c r="P24" s="15">
        <f t="shared" si="1"/>
        <v>18</v>
      </c>
      <c r="R24" s="38" t="s">
        <v>92</v>
      </c>
      <c r="S24" s="39">
        <f>MAX(S19:S21)</f>
        <v>13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10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75</v>
      </c>
      <c r="AD24" s="39">
        <f t="shared" si="16"/>
        <v>0</v>
      </c>
      <c r="AE24" s="40">
        <f t="shared" si="16"/>
        <v>28</v>
      </c>
      <c r="AF24" s="40">
        <f t="shared" si="16"/>
        <v>103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10</v>
      </c>
      <c r="N25" s="50">
        <v>0</v>
      </c>
      <c r="O25" s="15">
        <f t="shared" si="0"/>
        <v>6</v>
      </c>
      <c r="P25" s="15">
        <f t="shared" si="1"/>
        <v>16</v>
      </c>
      <c r="R25" s="37" t="s">
        <v>85</v>
      </c>
      <c r="S25" s="35">
        <f t="shared" ref="S25:AF25" si="17">SUM(S10:S12)</f>
        <v>21</v>
      </c>
      <c r="T25" s="16">
        <f t="shared" si="17"/>
        <v>4</v>
      </c>
      <c r="U25" s="16">
        <f t="shared" si="17"/>
        <v>4</v>
      </c>
      <c r="V25" s="16">
        <f t="shared" si="17"/>
        <v>9</v>
      </c>
      <c r="W25" s="16">
        <f t="shared" si="17"/>
        <v>2</v>
      </c>
      <c r="X25" s="16">
        <f t="shared" si="17"/>
        <v>0</v>
      </c>
      <c r="Y25" s="16">
        <f t="shared" si="17"/>
        <v>3</v>
      </c>
      <c r="Z25" s="16">
        <f t="shared" si="17"/>
        <v>4</v>
      </c>
      <c r="AA25" s="16">
        <f t="shared" si="17"/>
        <v>1</v>
      </c>
      <c r="AB25" s="16">
        <f t="shared" si="17"/>
        <v>0</v>
      </c>
      <c r="AC25" s="16">
        <f t="shared" si="17"/>
        <v>134</v>
      </c>
      <c r="AD25" s="16">
        <f t="shared" si="17"/>
        <v>0</v>
      </c>
      <c r="AE25" s="32">
        <f t="shared" si="17"/>
        <v>48</v>
      </c>
      <c r="AF25" s="32">
        <f t="shared" si="17"/>
        <v>182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3</v>
      </c>
      <c r="P26" s="15">
        <f t="shared" si="1"/>
        <v>14</v>
      </c>
      <c r="R26" s="28" t="s">
        <v>86</v>
      </c>
      <c r="S26" s="16">
        <f t="shared" ref="S26:AF26" si="18">SUM(S13:S18)</f>
        <v>63</v>
      </c>
      <c r="T26" s="16">
        <f t="shared" si="18"/>
        <v>15</v>
      </c>
      <c r="U26" s="16">
        <f t="shared" si="18"/>
        <v>12</v>
      </c>
      <c r="V26" s="16">
        <f t="shared" si="18"/>
        <v>41</v>
      </c>
      <c r="W26" s="16">
        <f t="shared" si="18"/>
        <v>4</v>
      </c>
      <c r="X26" s="16">
        <f t="shared" si="18"/>
        <v>0</v>
      </c>
      <c r="Y26" s="16">
        <f t="shared" si="18"/>
        <v>18</v>
      </c>
      <c r="Z26" s="16">
        <f t="shared" si="18"/>
        <v>8</v>
      </c>
      <c r="AA26" s="16">
        <f t="shared" si="18"/>
        <v>0</v>
      </c>
      <c r="AB26" s="16">
        <f t="shared" si="18"/>
        <v>1</v>
      </c>
      <c r="AC26" s="16">
        <f t="shared" si="18"/>
        <v>295</v>
      </c>
      <c r="AD26" s="16">
        <f t="shared" si="18"/>
        <v>0</v>
      </c>
      <c r="AE26" s="32">
        <f t="shared" si="18"/>
        <v>162</v>
      </c>
      <c r="AF26" s="32">
        <f t="shared" si="18"/>
        <v>457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3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9</v>
      </c>
      <c r="P27" s="15">
        <f t="shared" si="1"/>
        <v>20</v>
      </c>
      <c r="R27" s="29" t="s">
        <v>87</v>
      </c>
      <c r="S27" s="16">
        <f t="shared" ref="S27:AF27" si="19">SUM(S19:S21)</f>
        <v>26</v>
      </c>
      <c r="T27" s="16">
        <f t="shared" si="19"/>
        <v>5</v>
      </c>
      <c r="U27" s="16">
        <f t="shared" si="19"/>
        <v>3</v>
      </c>
      <c r="V27" s="16">
        <f t="shared" si="19"/>
        <v>20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5</v>
      </c>
      <c r="AA27" s="16">
        <f t="shared" si="19"/>
        <v>3</v>
      </c>
      <c r="AB27" s="16">
        <f t="shared" si="19"/>
        <v>0</v>
      </c>
      <c r="AC27" s="16">
        <f t="shared" si="19"/>
        <v>156</v>
      </c>
      <c r="AD27" s="16">
        <f t="shared" si="19"/>
        <v>0</v>
      </c>
      <c r="AE27" s="32">
        <f t="shared" si="19"/>
        <v>65</v>
      </c>
      <c r="AF27" s="32">
        <f t="shared" si="19"/>
        <v>221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1</v>
      </c>
      <c r="P28" s="15">
        <f t="shared" si="1"/>
        <v>13</v>
      </c>
      <c r="R28" s="5" t="s">
        <v>17</v>
      </c>
      <c r="S28" s="16">
        <f t="shared" ref="S28:AF28" si="20">SUM(S10:S21)</f>
        <v>110</v>
      </c>
      <c r="T28" s="16">
        <f t="shared" si="20"/>
        <v>24</v>
      </c>
      <c r="U28" s="16">
        <f t="shared" si="20"/>
        <v>19</v>
      </c>
      <c r="V28" s="16">
        <f t="shared" si="20"/>
        <v>70</v>
      </c>
      <c r="W28" s="16">
        <f t="shared" si="20"/>
        <v>6</v>
      </c>
      <c r="X28" s="16">
        <f t="shared" si="20"/>
        <v>0</v>
      </c>
      <c r="Y28" s="16">
        <f t="shared" si="20"/>
        <v>24</v>
      </c>
      <c r="Z28" s="16">
        <f t="shared" si="20"/>
        <v>17</v>
      </c>
      <c r="AA28" s="16">
        <f t="shared" si="20"/>
        <v>4</v>
      </c>
      <c r="AB28" s="16">
        <f t="shared" si="20"/>
        <v>1</v>
      </c>
      <c r="AC28" s="16">
        <f t="shared" si="20"/>
        <v>585</v>
      </c>
      <c r="AD28" s="16">
        <f t="shared" si="20"/>
        <v>0</v>
      </c>
      <c r="AE28" s="32">
        <f t="shared" si="20"/>
        <v>275</v>
      </c>
      <c r="AF28" s="32">
        <f t="shared" si="20"/>
        <v>860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2</v>
      </c>
      <c r="F29" s="50">
        <v>1</v>
      </c>
      <c r="G29" s="50">
        <v>1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14</v>
      </c>
      <c r="P29" s="15">
        <f t="shared" si="1"/>
        <v>23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3</v>
      </c>
      <c r="E30" s="50">
        <v>1</v>
      </c>
      <c r="F30" s="50">
        <v>4</v>
      </c>
      <c r="G30" s="50">
        <v>1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17</v>
      </c>
      <c r="N30" s="50">
        <v>0</v>
      </c>
      <c r="O30" s="15">
        <f t="shared" si="0"/>
        <v>12</v>
      </c>
      <c r="P30" s="15">
        <f t="shared" si="1"/>
        <v>29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2</v>
      </c>
      <c r="F31" s="50">
        <v>1</v>
      </c>
      <c r="G31" s="50">
        <v>1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5</v>
      </c>
      <c r="P31" s="15">
        <f t="shared" si="1"/>
        <v>17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0</v>
      </c>
      <c r="F32" s="50">
        <v>3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7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19</v>
      </c>
      <c r="N33" s="50">
        <v>0</v>
      </c>
      <c r="O33" s="15">
        <f t="shared" si="0"/>
        <v>4</v>
      </c>
      <c r="P33" s="15">
        <f t="shared" si="1"/>
        <v>23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1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7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5</v>
      </c>
      <c r="D35" s="50">
        <v>2</v>
      </c>
      <c r="E35" s="50">
        <v>0</v>
      </c>
      <c r="F35" s="50">
        <v>2</v>
      </c>
      <c r="G35" s="50">
        <v>1</v>
      </c>
      <c r="H35" s="50">
        <v>0</v>
      </c>
      <c r="I35" s="50">
        <v>3</v>
      </c>
      <c r="J35" s="50">
        <v>0</v>
      </c>
      <c r="K35" s="50">
        <v>0</v>
      </c>
      <c r="L35" s="50">
        <v>1</v>
      </c>
      <c r="M35" s="50">
        <v>10</v>
      </c>
      <c r="N35" s="50">
        <v>0</v>
      </c>
      <c r="O35" s="15">
        <f t="shared" si="0"/>
        <v>14</v>
      </c>
      <c r="P35" s="15">
        <f t="shared" si="1"/>
        <v>24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1</v>
      </c>
      <c r="F36" s="50">
        <v>2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10</v>
      </c>
      <c r="P36" s="15">
        <f t="shared" si="1"/>
        <v>26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7</v>
      </c>
      <c r="P37" s="15">
        <f t="shared" si="1"/>
        <v>19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3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6</v>
      </c>
      <c r="D39" s="50">
        <v>0</v>
      </c>
      <c r="E39" s="50">
        <v>0</v>
      </c>
      <c r="F39" s="50">
        <v>5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12</v>
      </c>
      <c r="P39" s="15">
        <f t="shared" si="1"/>
        <v>22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6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3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4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4</v>
      </c>
      <c r="D42" s="50">
        <v>1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9</v>
      </c>
      <c r="P42" s="15">
        <f t="shared" si="1"/>
        <v>26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2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4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23</v>
      </c>
      <c r="N44" s="50">
        <v>0</v>
      </c>
      <c r="O44" s="15">
        <f t="shared" si="0"/>
        <v>8</v>
      </c>
      <c r="P44" s="15">
        <f t="shared" si="1"/>
        <v>31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1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6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2</v>
      </c>
      <c r="E47" s="50">
        <v>0</v>
      </c>
      <c r="F47" s="50">
        <v>4</v>
      </c>
      <c r="G47" s="50">
        <v>0</v>
      </c>
      <c r="H47" s="50">
        <v>0</v>
      </c>
      <c r="I47" s="50">
        <v>0</v>
      </c>
      <c r="J47" s="50">
        <v>2</v>
      </c>
      <c r="K47" s="50">
        <v>1</v>
      </c>
      <c r="L47" s="50">
        <v>0</v>
      </c>
      <c r="M47" s="50">
        <v>27</v>
      </c>
      <c r="N47" s="50">
        <v>0</v>
      </c>
      <c r="O47" s="15">
        <f t="shared" si="0"/>
        <v>12</v>
      </c>
      <c r="P47" s="15">
        <f t="shared" si="1"/>
        <v>39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3</v>
      </c>
      <c r="P48" s="15">
        <f t="shared" si="1"/>
        <v>21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19</v>
      </c>
      <c r="N49" s="50">
        <v>0</v>
      </c>
      <c r="O49" s="15">
        <f t="shared" si="0"/>
        <v>7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4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0</v>
      </c>
      <c r="F51" s="50">
        <v>4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3</v>
      </c>
      <c r="N51" s="50">
        <v>0</v>
      </c>
      <c r="O51" s="15">
        <f t="shared" si="0"/>
        <v>7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8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8</v>
      </c>
      <c r="N53" s="50">
        <v>0</v>
      </c>
      <c r="O53" s="15">
        <f t="shared" si="0"/>
        <v>5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0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15</v>
      </c>
      <c r="N54" s="50">
        <v>0</v>
      </c>
      <c r="O54" s="15">
        <f t="shared" si="0"/>
        <v>6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3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0</v>
      </c>
      <c r="P56" s="15">
        <f t="shared" si="1"/>
        <v>16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4</v>
      </c>
      <c r="P57" s="15">
        <f t="shared" si="1"/>
        <v>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110</v>
      </c>
      <c r="D58" s="16">
        <f t="shared" si="21"/>
        <v>24</v>
      </c>
      <c r="E58" s="16">
        <f t="shared" si="21"/>
        <v>19</v>
      </c>
      <c r="F58" s="16">
        <f t="shared" si="21"/>
        <v>70</v>
      </c>
      <c r="G58" s="16">
        <f t="shared" si="21"/>
        <v>6</v>
      </c>
      <c r="H58" s="16">
        <f t="shared" si="21"/>
        <v>0</v>
      </c>
      <c r="I58" s="16">
        <f t="shared" si="21"/>
        <v>24</v>
      </c>
      <c r="J58" s="16">
        <f t="shared" si="21"/>
        <v>17</v>
      </c>
      <c r="K58" s="16">
        <f t="shared" si="21"/>
        <v>4</v>
      </c>
      <c r="L58" s="16">
        <f t="shared" si="21"/>
        <v>1</v>
      </c>
      <c r="M58" s="16">
        <f t="shared" si="21"/>
        <v>585</v>
      </c>
      <c r="N58" s="16">
        <f t="shared" si="21"/>
        <v>0</v>
      </c>
      <c r="O58" s="16">
        <f t="shared" si="21"/>
        <v>275</v>
      </c>
      <c r="P58" s="16">
        <f t="shared" si="21"/>
        <v>860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0.12790697674418605</v>
      </c>
      <c r="D59" s="43">
        <f t="shared" si="22"/>
        <v>2.7906976744186046E-2</v>
      </c>
      <c r="E59" s="43">
        <f t="shared" si="22"/>
        <v>2.2093023255813953E-2</v>
      </c>
      <c r="F59" s="43">
        <f t="shared" si="22"/>
        <v>8.1395348837209308E-2</v>
      </c>
      <c r="G59" s="43">
        <f t="shared" si="22"/>
        <v>6.9767441860465115E-3</v>
      </c>
      <c r="H59" s="43">
        <f t="shared" si="22"/>
        <v>0</v>
      </c>
      <c r="I59" s="43">
        <f t="shared" si="22"/>
        <v>2.7906976744186046E-2</v>
      </c>
      <c r="J59" s="43">
        <f t="shared" si="22"/>
        <v>1.9767441860465116E-2</v>
      </c>
      <c r="K59" s="43">
        <f t="shared" si="22"/>
        <v>4.6511627906976744E-3</v>
      </c>
      <c r="L59" s="43">
        <f t="shared" si="22"/>
        <v>1.1627906976744186E-3</v>
      </c>
      <c r="M59" s="43">
        <f t="shared" si="22"/>
        <v>0.68023255813953487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</v>
      </c>
      <c r="D60" s="44">
        <f t="shared" ref="D60:N60" si="23">D58/$O$58</f>
        <v>8.727272727272728E-2</v>
      </c>
      <c r="E60" s="44">
        <f t="shared" si="23"/>
        <v>6.9090909090909092E-2</v>
      </c>
      <c r="F60" s="44">
        <f t="shared" si="23"/>
        <v>0.25454545454545452</v>
      </c>
      <c r="G60" s="44">
        <f t="shared" si="23"/>
        <v>2.181818181818182E-2</v>
      </c>
      <c r="H60" s="44">
        <f t="shared" si="23"/>
        <v>0</v>
      </c>
      <c r="I60" s="44">
        <f t="shared" si="23"/>
        <v>8.727272727272728E-2</v>
      </c>
      <c r="J60" s="44">
        <f t="shared" si="23"/>
        <v>6.1818181818181821E-2</v>
      </c>
      <c r="K60" s="44">
        <f t="shared" si="23"/>
        <v>1.4545454545454545E-2</v>
      </c>
      <c r="L60" s="44">
        <f t="shared" si="23"/>
        <v>3.6363636363636364E-3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K9" sqref="K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MADDU-KANONI'!C3:G3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'20.10 KANONI-MADDU'!D5</f>
        <v>20.10.2019</v>
      </c>
      <c r="E5" s="3"/>
      <c r="F5" s="41" t="s">
        <v>1</v>
      </c>
      <c r="G5" s="58" t="str">
        <f>'17.10 KANONI-MADDU'!G5:H5</f>
        <v>KANONI</v>
      </c>
      <c r="H5" s="59"/>
      <c r="I5" s="14"/>
      <c r="J5" s="2" t="s">
        <v>5</v>
      </c>
      <c r="K5" s="58" t="s">
        <v>168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MADDU-KANONI'!D6:E6</f>
        <v>MADDU</v>
      </c>
      <c r="E6" s="59"/>
      <c r="F6" s="2" t="s">
        <v>2</v>
      </c>
      <c r="G6" s="58" t="str">
        <f>'17.10 MADDU-KANONI'!G6:H6</f>
        <v>KANONI</v>
      </c>
      <c r="H6" s="59"/>
      <c r="J6" s="2" t="s">
        <v>21</v>
      </c>
      <c r="K6" s="58" t="str">
        <f>'17.10 KANONI-MADDU'!K6:L6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3</v>
      </c>
      <c r="T10" s="17">
        <f t="shared" si="2"/>
        <v>2</v>
      </c>
      <c r="U10" s="17">
        <f t="shared" si="2"/>
        <v>0</v>
      </c>
      <c r="V10" s="17">
        <f t="shared" si="2"/>
        <v>5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28</v>
      </c>
      <c r="AD10" s="17">
        <f t="shared" si="2"/>
        <v>0</v>
      </c>
      <c r="AE10" s="31">
        <f t="shared" si="2"/>
        <v>12</v>
      </c>
      <c r="AF10" s="31">
        <f t="shared" si="2"/>
        <v>40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3</v>
      </c>
      <c r="P11" s="15">
        <f t="shared" si="1"/>
        <v>10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0</v>
      </c>
      <c r="V11" s="17">
        <f t="shared" si="3"/>
        <v>9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58</v>
      </c>
      <c r="AD11" s="17">
        <f t="shared" si="3"/>
        <v>0</v>
      </c>
      <c r="AE11" s="31">
        <f t="shared" si="3"/>
        <v>14</v>
      </c>
      <c r="AF11" s="31">
        <f t="shared" si="3"/>
        <v>72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3</v>
      </c>
      <c r="P12" s="15">
        <f t="shared" si="1"/>
        <v>8</v>
      </c>
      <c r="R12" s="1" t="s">
        <v>8</v>
      </c>
      <c r="S12" s="17">
        <f t="shared" ref="S12:AF12" si="4">SUM(C18:C21)</f>
        <v>3</v>
      </c>
      <c r="T12" s="17">
        <f t="shared" si="4"/>
        <v>1</v>
      </c>
      <c r="U12" s="17">
        <f t="shared" si="4"/>
        <v>0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56</v>
      </c>
      <c r="AD12" s="17">
        <f t="shared" si="4"/>
        <v>0</v>
      </c>
      <c r="AE12" s="31">
        <f t="shared" si="4"/>
        <v>12</v>
      </c>
      <c r="AF12" s="31">
        <f t="shared" si="4"/>
        <v>68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0</v>
      </c>
      <c r="F13" s="50">
        <v>1</v>
      </c>
      <c r="G13" s="50">
        <v>1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5</v>
      </c>
      <c r="P13" s="15">
        <f t="shared" si="1"/>
        <v>20</v>
      </c>
      <c r="R13" s="1" t="s">
        <v>9</v>
      </c>
      <c r="S13" s="17">
        <f t="shared" ref="S13:AF13" si="5">SUM(C22:C25)</f>
        <v>6</v>
      </c>
      <c r="T13" s="17">
        <f t="shared" si="5"/>
        <v>1</v>
      </c>
      <c r="U13" s="17">
        <f t="shared" si="5"/>
        <v>1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38</v>
      </c>
      <c r="AD13" s="17">
        <f t="shared" si="5"/>
        <v>0</v>
      </c>
      <c r="AE13" s="31">
        <f t="shared" si="5"/>
        <v>18</v>
      </c>
      <c r="AF13" s="31">
        <f t="shared" si="5"/>
        <v>56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15</v>
      </c>
      <c r="N14" s="50">
        <v>0</v>
      </c>
      <c r="O14" s="15">
        <f t="shared" si="0"/>
        <v>2</v>
      </c>
      <c r="P14" s="15">
        <f t="shared" si="1"/>
        <v>17</v>
      </c>
      <c r="R14" s="1" t="s">
        <v>10</v>
      </c>
      <c r="S14" s="17">
        <f t="shared" ref="S14:AF14" si="6">SUM(C26:C29)</f>
        <v>6</v>
      </c>
      <c r="T14" s="17">
        <f t="shared" si="6"/>
        <v>2</v>
      </c>
      <c r="U14" s="17">
        <f t="shared" si="6"/>
        <v>1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37</v>
      </c>
      <c r="AD14" s="17">
        <f t="shared" si="6"/>
        <v>0</v>
      </c>
      <c r="AE14" s="31">
        <f t="shared" si="6"/>
        <v>18</v>
      </c>
      <c r="AF14" s="31">
        <f t="shared" si="6"/>
        <v>55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3</v>
      </c>
      <c r="G15" s="50">
        <v>0</v>
      </c>
      <c r="H15" s="50">
        <v>1</v>
      </c>
      <c r="I15" s="50">
        <v>1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6</v>
      </c>
      <c r="P15" s="15">
        <f t="shared" si="1"/>
        <v>18</v>
      </c>
      <c r="R15" s="1" t="s">
        <v>11</v>
      </c>
      <c r="S15" s="17">
        <f t="shared" ref="S15:AF15" si="7">SUM(C30:C33)</f>
        <v>9</v>
      </c>
      <c r="T15" s="17">
        <f t="shared" si="7"/>
        <v>9</v>
      </c>
      <c r="U15" s="17">
        <f t="shared" si="7"/>
        <v>3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55</v>
      </c>
      <c r="AD15" s="17">
        <f t="shared" si="7"/>
        <v>0</v>
      </c>
      <c r="AE15" s="31">
        <f t="shared" si="7"/>
        <v>29</v>
      </c>
      <c r="AF15" s="31">
        <f t="shared" si="7"/>
        <v>84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4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15</v>
      </c>
      <c r="N16" s="50">
        <v>0</v>
      </c>
      <c r="O16" s="15">
        <f t="shared" si="0"/>
        <v>5</v>
      </c>
      <c r="P16" s="15">
        <f t="shared" si="1"/>
        <v>20</v>
      </c>
      <c r="R16" s="1" t="s">
        <v>12</v>
      </c>
      <c r="S16" s="17">
        <f t="shared" ref="S16:AF16" si="8">SUM(C34:C37)</f>
        <v>12</v>
      </c>
      <c r="T16" s="17">
        <f t="shared" si="8"/>
        <v>5</v>
      </c>
      <c r="U16" s="17">
        <f t="shared" si="8"/>
        <v>3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2</v>
      </c>
      <c r="AA16" s="17">
        <f t="shared" si="8"/>
        <v>2</v>
      </c>
      <c r="AB16" s="17">
        <f t="shared" si="8"/>
        <v>0</v>
      </c>
      <c r="AC16" s="17">
        <f t="shared" si="8"/>
        <v>46</v>
      </c>
      <c r="AD16" s="17">
        <f t="shared" si="8"/>
        <v>0</v>
      </c>
      <c r="AE16" s="31">
        <f t="shared" si="8"/>
        <v>33</v>
      </c>
      <c r="AF16" s="31">
        <f t="shared" si="8"/>
        <v>79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16</v>
      </c>
      <c r="N17" s="50">
        <v>0</v>
      </c>
      <c r="O17" s="15">
        <f t="shared" si="0"/>
        <v>1</v>
      </c>
      <c r="P17" s="15">
        <f t="shared" si="1"/>
        <v>17</v>
      </c>
      <c r="R17" s="1" t="s">
        <v>13</v>
      </c>
      <c r="S17" s="17">
        <f t="shared" ref="S17:AF17" si="9">SUM(C38:C41)</f>
        <v>13</v>
      </c>
      <c r="T17" s="17">
        <f t="shared" si="9"/>
        <v>2</v>
      </c>
      <c r="U17" s="17">
        <f t="shared" si="9"/>
        <v>3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4</v>
      </c>
      <c r="AA17" s="17">
        <f t="shared" si="9"/>
        <v>3</v>
      </c>
      <c r="AB17" s="17">
        <f t="shared" si="9"/>
        <v>0</v>
      </c>
      <c r="AC17" s="17">
        <f t="shared" si="9"/>
        <v>70</v>
      </c>
      <c r="AD17" s="17">
        <f t="shared" si="9"/>
        <v>0</v>
      </c>
      <c r="AE17" s="31">
        <f t="shared" si="9"/>
        <v>33</v>
      </c>
      <c r="AF17" s="31">
        <f t="shared" si="9"/>
        <v>103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2</v>
      </c>
      <c r="P18" s="15">
        <f t="shared" si="1"/>
        <v>22</v>
      </c>
      <c r="R18" s="1" t="s">
        <v>14</v>
      </c>
      <c r="S18" s="17">
        <f t="shared" ref="S18:AF18" si="10">SUM(C42:C45)</f>
        <v>8</v>
      </c>
      <c r="T18" s="17">
        <f t="shared" si="10"/>
        <v>13</v>
      </c>
      <c r="U18" s="17">
        <f t="shared" si="10"/>
        <v>2</v>
      </c>
      <c r="V18" s="17">
        <f t="shared" si="10"/>
        <v>7</v>
      </c>
      <c r="W18" s="17">
        <f t="shared" si="10"/>
        <v>1</v>
      </c>
      <c r="X18" s="17">
        <f t="shared" si="10"/>
        <v>0</v>
      </c>
      <c r="Y18" s="17">
        <f t="shared" si="10"/>
        <v>2</v>
      </c>
      <c r="Z18" s="17">
        <f t="shared" si="10"/>
        <v>2</v>
      </c>
      <c r="AA18" s="17">
        <f t="shared" si="10"/>
        <v>4</v>
      </c>
      <c r="AB18" s="17">
        <f t="shared" si="10"/>
        <v>0</v>
      </c>
      <c r="AC18" s="17">
        <f t="shared" si="10"/>
        <v>51</v>
      </c>
      <c r="AD18" s="17">
        <f t="shared" si="10"/>
        <v>0</v>
      </c>
      <c r="AE18" s="31">
        <f t="shared" si="10"/>
        <v>39</v>
      </c>
      <c r="AF18" s="31">
        <f t="shared" si="10"/>
        <v>90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0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5</v>
      </c>
      <c r="P19" s="15">
        <f t="shared" si="1"/>
        <v>20</v>
      </c>
      <c r="R19" s="1" t="s">
        <v>15</v>
      </c>
      <c r="S19" s="17">
        <f t="shared" ref="S19:AF19" si="11">SUM(C46:C49)</f>
        <v>13</v>
      </c>
      <c r="T19" s="17">
        <f t="shared" si="11"/>
        <v>9</v>
      </c>
      <c r="U19" s="17">
        <f t="shared" si="11"/>
        <v>6</v>
      </c>
      <c r="V19" s="17">
        <f t="shared" si="11"/>
        <v>10</v>
      </c>
      <c r="W19" s="17">
        <f t="shared" si="11"/>
        <v>2</v>
      </c>
      <c r="X19" s="17">
        <f t="shared" si="11"/>
        <v>1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60</v>
      </c>
      <c r="AD19" s="17">
        <f t="shared" si="11"/>
        <v>0</v>
      </c>
      <c r="AE19" s="31">
        <f t="shared" si="11"/>
        <v>43</v>
      </c>
      <c r="AF19" s="31">
        <f t="shared" si="11"/>
        <v>103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4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5</v>
      </c>
      <c r="P20" s="15">
        <f t="shared" si="1"/>
        <v>15</v>
      </c>
      <c r="R20" s="1" t="s">
        <v>16</v>
      </c>
      <c r="S20" s="17">
        <f t="shared" ref="S20:AF20" si="12">SUM(C50:C53)</f>
        <v>15</v>
      </c>
      <c r="T20" s="17">
        <f t="shared" si="12"/>
        <v>4</v>
      </c>
      <c r="U20" s="17">
        <f t="shared" si="12"/>
        <v>2</v>
      </c>
      <c r="V20" s="17">
        <f t="shared" si="12"/>
        <v>9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67</v>
      </c>
      <c r="AD20" s="17">
        <f t="shared" si="12"/>
        <v>0</v>
      </c>
      <c r="AE20" s="31">
        <f t="shared" si="12"/>
        <v>32</v>
      </c>
      <c r="AF20" s="31">
        <f t="shared" si="12"/>
        <v>99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0</v>
      </c>
      <c r="P21" s="15">
        <f t="shared" si="1"/>
        <v>11</v>
      </c>
      <c r="R21" s="36" t="s">
        <v>20</v>
      </c>
      <c r="S21" s="34">
        <f t="shared" ref="S21:AF21" si="13">SUM(C54:C57)</f>
        <v>13</v>
      </c>
      <c r="T21" s="17">
        <f t="shared" si="13"/>
        <v>8</v>
      </c>
      <c r="U21" s="17">
        <f t="shared" si="13"/>
        <v>1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56</v>
      </c>
      <c r="AD21" s="17">
        <f t="shared" si="13"/>
        <v>0</v>
      </c>
      <c r="AE21" s="31">
        <f t="shared" si="13"/>
        <v>31</v>
      </c>
      <c r="AF21" s="31">
        <f t="shared" si="13"/>
        <v>87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8</v>
      </c>
      <c r="N22" s="50">
        <v>0</v>
      </c>
      <c r="O22" s="15">
        <f t="shared" si="0"/>
        <v>5</v>
      </c>
      <c r="P22" s="15">
        <f t="shared" si="1"/>
        <v>13</v>
      </c>
      <c r="R22" s="38" t="s">
        <v>90</v>
      </c>
      <c r="S22" s="39">
        <f>MAX(S10:S12)</f>
        <v>3</v>
      </c>
      <c r="T22" s="39">
        <f t="shared" ref="T22:AF22" si="14">MAX(T10:T12)</f>
        <v>2</v>
      </c>
      <c r="U22" s="39">
        <f t="shared" si="14"/>
        <v>0</v>
      </c>
      <c r="V22" s="39">
        <f t="shared" si="14"/>
        <v>9</v>
      </c>
      <c r="W22" s="39">
        <f t="shared" si="14"/>
        <v>1</v>
      </c>
      <c r="X22" s="39">
        <f t="shared" si="14"/>
        <v>1</v>
      </c>
      <c r="Y22" s="39">
        <f t="shared" si="14"/>
        <v>1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58</v>
      </c>
      <c r="AD22" s="39">
        <f t="shared" si="14"/>
        <v>0</v>
      </c>
      <c r="AE22" s="40">
        <f t="shared" si="14"/>
        <v>14</v>
      </c>
      <c r="AF22" s="40">
        <f t="shared" si="14"/>
        <v>72</v>
      </c>
    </row>
    <row r="23" spans="2:32" ht="23.1" customHeight="1" x14ac:dyDescent="0.25">
      <c r="B23" s="23" t="s">
        <v>50</v>
      </c>
      <c r="C23" s="50">
        <v>3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5</v>
      </c>
      <c r="P23" s="15">
        <f t="shared" si="1"/>
        <v>14</v>
      </c>
      <c r="R23" s="38" t="s">
        <v>91</v>
      </c>
      <c r="S23" s="39">
        <f>MAX(S13:S18)</f>
        <v>13</v>
      </c>
      <c r="T23" s="39">
        <f t="shared" ref="T23:AF23" si="15">MAX(T13:T18)</f>
        <v>13</v>
      </c>
      <c r="U23" s="39">
        <f t="shared" si="15"/>
        <v>3</v>
      </c>
      <c r="V23" s="39">
        <f t="shared" si="15"/>
        <v>9</v>
      </c>
      <c r="W23" s="39">
        <f t="shared" si="15"/>
        <v>1</v>
      </c>
      <c r="X23" s="39">
        <f t="shared" si="15"/>
        <v>0</v>
      </c>
      <c r="Y23" s="39">
        <f t="shared" si="15"/>
        <v>2</v>
      </c>
      <c r="Z23" s="39">
        <f t="shared" si="15"/>
        <v>4</v>
      </c>
      <c r="AA23" s="39">
        <f t="shared" si="15"/>
        <v>4</v>
      </c>
      <c r="AB23" s="39">
        <f t="shared" si="15"/>
        <v>0</v>
      </c>
      <c r="AC23" s="39">
        <f t="shared" si="15"/>
        <v>70</v>
      </c>
      <c r="AD23" s="39">
        <f t="shared" si="15"/>
        <v>0</v>
      </c>
      <c r="AE23" s="40">
        <f t="shared" si="15"/>
        <v>39</v>
      </c>
      <c r="AF23" s="40">
        <f t="shared" si="15"/>
        <v>103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5</v>
      </c>
      <c r="P24" s="15">
        <f t="shared" si="1"/>
        <v>15</v>
      </c>
      <c r="R24" s="38" t="s">
        <v>92</v>
      </c>
      <c r="S24" s="39">
        <f>MAX(S19:S21)</f>
        <v>15</v>
      </c>
      <c r="T24" s="39">
        <f t="shared" ref="T24:AF24" si="16">MAX(T19:T21)</f>
        <v>9</v>
      </c>
      <c r="U24" s="39">
        <f t="shared" si="16"/>
        <v>6</v>
      </c>
      <c r="V24" s="39">
        <f t="shared" si="16"/>
        <v>10</v>
      </c>
      <c r="W24" s="39">
        <f t="shared" si="16"/>
        <v>2</v>
      </c>
      <c r="X24" s="39">
        <f t="shared" si="16"/>
        <v>1</v>
      </c>
      <c r="Y24" s="39">
        <f t="shared" si="16"/>
        <v>1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67</v>
      </c>
      <c r="AD24" s="39">
        <f t="shared" si="16"/>
        <v>0</v>
      </c>
      <c r="AE24" s="40">
        <f t="shared" si="16"/>
        <v>43</v>
      </c>
      <c r="AF24" s="40">
        <f t="shared" si="16"/>
        <v>103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3</v>
      </c>
      <c r="P25" s="15">
        <f t="shared" si="1"/>
        <v>14</v>
      </c>
      <c r="R25" s="37" t="s">
        <v>85</v>
      </c>
      <c r="S25" s="35">
        <f t="shared" ref="S25:AF25" si="17">SUM(S10:S12)</f>
        <v>9</v>
      </c>
      <c r="T25" s="16">
        <f t="shared" si="17"/>
        <v>3</v>
      </c>
      <c r="U25" s="16">
        <f t="shared" si="17"/>
        <v>0</v>
      </c>
      <c r="V25" s="16">
        <f t="shared" si="17"/>
        <v>21</v>
      </c>
      <c r="W25" s="16">
        <f t="shared" si="17"/>
        <v>1</v>
      </c>
      <c r="X25" s="16">
        <f t="shared" si="17"/>
        <v>1</v>
      </c>
      <c r="Y25" s="16">
        <f t="shared" si="17"/>
        <v>2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142</v>
      </c>
      <c r="AD25" s="16">
        <f t="shared" si="17"/>
        <v>0</v>
      </c>
      <c r="AE25" s="32">
        <f t="shared" si="17"/>
        <v>38</v>
      </c>
      <c r="AF25" s="32">
        <f t="shared" si="17"/>
        <v>180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</v>
      </c>
      <c r="N26" s="50">
        <v>0</v>
      </c>
      <c r="O26" s="15">
        <f t="shared" si="0"/>
        <v>2</v>
      </c>
      <c r="P26" s="15">
        <f t="shared" si="1"/>
        <v>4</v>
      </c>
      <c r="R26" s="28" t="s">
        <v>86</v>
      </c>
      <c r="S26" s="16">
        <f t="shared" ref="S26:AF26" si="18">SUM(S13:S18)</f>
        <v>54</v>
      </c>
      <c r="T26" s="16">
        <f t="shared" si="18"/>
        <v>32</v>
      </c>
      <c r="U26" s="16">
        <f t="shared" si="18"/>
        <v>13</v>
      </c>
      <c r="V26" s="16">
        <f t="shared" si="18"/>
        <v>39</v>
      </c>
      <c r="W26" s="16">
        <f t="shared" si="18"/>
        <v>1</v>
      </c>
      <c r="X26" s="16">
        <f t="shared" si="18"/>
        <v>0</v>
      </c>
      <c r="Y26" s="16">
        <f t="shared" si="18"/>
        <v>7</v>
      </c>
      <c r="Z26" s="16">
        <f t="shared" si="18"/>
        <v>13</v>
      </c>
      <c r="AA26" s="16">
        <f t="shared" si="18"/>
        <v>11</v>
      </c>
      <c r="AB26" s="16">
        <f t="shared" si="18"/>
        <v>0</v>
      </c>
      <c r="AC26" s="16">
        <f t="shared" si="18"/>
        <v>297</v>
      </c>
      <c r="AD26" s="16">
        <f t="shared" si="18"/>
        <v>0</v>
      </c>
      <c r="AE26" s="32">
        <f t="shared" si="18"/>
        <v>170</v>
      </c>
      <c r="AF26" s="32">
        <f t="shared" si="18"/>
        <v>467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7</v>
      </c>
      <c r="P27" s="15">
        <f t="shared" si="1"/>
        <v>16</v>
      </c>
      <c r="R27" s="29" t="s">
        <v>87</v>
      </c>
      <c r="S27" s="16">
        <f t="shared" ref="S27:AF27" si="19">SUM(S19:S21)</f>
        <v>41</v>
      </c>
      <c r="T27" s="16">
        <f t="shared" si="19"/>
        <v>21</v>
      </c>
      <c r="U27" s="16">
        <f t="shared" si="19"/>
        <v>9</v>
      </c>
      <c r="V27" s="16">
        <f t="shared" si="19"/>
        <v>27</v>
      </c>
      <c r="W27" s="16">
        <f t="shared" si="19"/>
        <v>2</v>
      </c>
      <c r="X27" s="16">
        <f t="shared" si="19"/>
        <v>1</v>
      </c>
      <c r="Y27" s="16">
        <f t="shared" si="19"/>
        <v>3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183</v>
      </c>
      <c r="AD27" s="16">
        <f t="shared" si="19"/>
        <v>0</v>
      </c>
      <c r="AE27" s="32">
        <f t="shared" si="19"/>
        <v>106</v>
      </c>
      <c r="AF27" s="32">
        <f t="shared" si="19"/>
        <v>289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7</v>
      </c>
      <c r="P28" s="15">
        <f t="shared" si="1"/>
        <v>17</v>
      </c>
      <c r="R28" s="5" t="s">
        <v>17</v>
      </c>
      <c r="S28" s="16">
        <f t="shared" ref="S28:AF28" si="20">SUM(S10:S21)</f>
        <v>104</v>
      </c>
      <c r="T28" s="16">
        <f t="shared" si="20"/>
        <v>56</v>
      </c>
      <c r="U28" s="16">
        <f t="shared" si="20"/>
        <v>22</v>
      </c>
      <c r="V28" s="16">
        <f t="shared" si="20"/>
        <v>87</v>
      </c>
      <c r="W28" s="16">
        <f t="shared" si="20"/>
        <v>4</v>
      </c>
      <c r="X28" s="16">
        <f t="shared" si="20"/>
        <v>2</v>
      </c>
      <c r="Y28" s="16">
        <f t="shared" si="20"/>
        <v>12</v>
      </c>
      <c r="Z28" s="16">
        <f t="shared" si="20"/>
        <v>16</v>
      </c>
      <c r="AA28" s="16">
        <f t="shared" si="20"/>
        <v>11</v>
      </c>
      <c r="AB28" s="16">
        <f t="shared" si="20"/>
        <v>0</v>
      </c>
      <c r="AC28" s="16">
        <f t="shared" si="20"/>
        <v>622</v>
      </c>
      <c r="AD28" s="16">
        <f t="shared" si="20"/>
        <v>0</v>
      </c>
      <c r="AE28" s="32">
        <f t="shared" si="20"/>
        <v>314</v>
      </c>
      <c r="AF28" s="32">
        <f t="shared" si="20"/>
        <v>936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2</v>
      </c>
      <c r="P29" s="15">
        <f t="shared" si="1"/>
        <v>18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2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18</v>
      </c>
      <c r="N31" s="50">
        <v>0</v>
      </c>
      <c r="O31" s="15">
        <f t="shared" si="0"/>
        <v>5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4</v>
      </c>
      <c r="D32" s="50">
        <v>1</v>
      </c>
      <c r="E32" s="50">
        <v>1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8</v>
      </c>
      <c r="P32" s="15">
        <f t="shared" si="1"/>
        <v>19</v>
      </c>
    </row>
    <row r="33" spans="2:20" ht="23.1" customHeight="1" x14ac:dyDescent="0.25">
      <c r="B33" s="23" t="s">
        <v>60</v>
      </c>
      <c r="C33" s="50">
        <v>3</v>
      </c>
      <c r="D33" s="50">
        <v>6</v>
      </c>
      <c r="E33" s="50">
        <v>0</v>
      </c>
      <c r="F33" s="50">
        <v>2</v>
      </c>
      <c r="G33" s="50">
        <v>0</v>
      </c>
      <c r="H33" s="50">
        <v>0</v>
      </c>
      <c r="I33" s="50">
        <v>1</v>
      </c>
      <c r="J33" s="50">
        <v>1</v>
      </c>
      <c r="K33" s="50">
        <v>1</v>
      </c>
      <c r="L33" s="50">
        <v>0</v>
      </c>
      <c r="M33" s="50">
        <v>13</v>
      </c>
      <c r="N33" s="50">
        <v>0</v>
      </c>
      <c r="O33" s="15">
        <f t="shared" si="0"/>
        <v>14</v>
      </c>
      <c r="P33" s="15">
        <f t="shared" si="1"/>
        <v>27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7</v>
      </c>
      <c r="P34" s="15">
        <f t="shared" si="1"/>
        <v>17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2</v>
      </c>
      <c r="F35" s="50">
        <v>4</v>
      </c>
      <c r="G35" s="50">
        <v>0</v>
      </c>
      <c r="H35" s="50">
        <v>0</v>
      </c>
      <c r="I35" s="50">
        <v>0</v>
      </c>
      <c r="J35" s="50">
        <v>1</v>
      </c>
      <c r="K35" s="50">
        <v>1</v>
      </c>
      <c r="L35" s="50">
        <v>0</v>
      </c>
      <c r="M35" s="50">
        <v>12</v>
      </c>
      <c r="N35" s="50">
        <v>0</v>
      </c>
      <c r="O35" s="15">
        <f t="shared" si="0"/>
        <v>13</v>
      </c>
      <c r="P35" s="15">
        <f t="shared" si="1"/>
        <v>25</v>
      </c>
    </row>
    <row r="36" spans="2:20" ht="23.1" customHeight="1" x14ac:dyDescent="0.25">
      <c r="B36" s="24" t="s">
        <v>63</v>
      </c>
      <c r="C36" s="50">
        <v>3</v>
      </c>
      <c r="D36" s="50">
        <v>3</v>
      </c>
      <c r="E36" s="50">
        <v>1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9</v>
      </c>
      <c r="P36" s="15">
        <f t="shared" si="1"/>
        <v>24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9</v>
      </c>
      <c r="N37" s="50">
        <v>0</v>
      </c>
      <c r="O37" s="15">
        <f t="shared" si="0"/>
        <v>4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2</v>
      </c>
      <c r="D38" s="50">
        <v>1</v>
      </c>
      <c r="E38" s="50">
        <v>1</v>
      </c>
      <c r="F38" s="50">
        <v>2</v>
      </c>
      <c r="G38" s="50">
        <v>0</v>
      </c>
      <c r="H38" s="50">
        <v>0</v>
      </c>
      <c r="I38" s="50">
        <v>1</v>
      </c>
      <c r="J38" s="50">
        <v>1</v>
      </c>
      <c r="K38" s="50">
        <v>1</v>
      </c>
      <c r="L38" s="50">
        <v>0</v>
      </c>
      <c r="M38" s="50">
        <v>25</v>
      </c>
      <c r="N38" s="50">
        <v>0</v>
      </c>
      <c r="O38" s="15">
        <f t="shared" si="0"/>
        <v>9</v>
      </c>
      <c r="P38" s="15">
        <f t="shared" si="1"/>
        <v>34</v>
      </c>
    </row>
    <row r="39" spans="2:20" ht="23.1" customHeight="1" x14ac:dyDescent="0.25">
      <c r="B39" s="24" t="s">
        <v>66</v>
      </c>
      <c r="C39" s="50">
        <v>5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1</v>
      </c>
      <c r="J39" s="50">
        <v>1</v>
      </c>
      <c r="K39" s="50">
        <v>2</v>
      </c>
      <c r="L39" s="50">
        <v>0</v>
      </c>
      <c r="M39" s="50">
        <v>12</v>
      </c>
      <c r="N39" s="50">
        <v>0</v>
      </c>
      <c r="O39" s="15">
        <f t="shared" si="0"/>
        <v>12</v>
      </c>
      <c r="P39" s="15">
        <f t="shared" si="1"/>
        <v>24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2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17</v>
      </c>
      <c r="N40" s="50">
        <v>0</v>
      </c>
      <c r="O40" s="15">
        <f t="shared" si="0"/>
        <v>8</v>
      </c>
      <c r="P40" s="15">
        <f t="shared" si="1"/>
        <v>25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16</v>
      </c>
      <c r="N41" s="50">
        <v>0</v>
      </c>
      <c r="O41" s="15">
        <f t="shared" si="0"/>
        <v>4</v>
      </c>
      <c r="P41" s="15">
        <f t="shared" si="1"/>
        <v>20</v>
      </c>
    </row>
    <row r="42" spans="2:20" ht="23.1" customHeight="1" x14ac:dyDescent="0.25">
      <c r="B42" s="24" t="s">
        <v>69</v>
      </c>
      <c r="C42" s="50">
        <v>2</v>
      </c>
      <c r="D42" s="50">
        <v>2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15</v>
      </c>
      <c r="N42" s="50">
        <v>0</v>
      </c>
      <c r="O42" s="15">
        <f t="shared" si="0"/>
        <v>7</v>
      </c>
      <c r="P42" s="15">
        <f t="shared" si="1"/>
        <v>22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0</v>
      </c>
      <c r="F43" s="50">
        <v>2</v>
      </c>
      <c r="G43" s="50">
        <v>0</v>
      </c>
      <c r="H43" s="50">
        <v>0</v>
      </c>
      <c r="I43" s="50">
        <v>1</v>
      </c>
      <c r="J43" s="50">
        <v>1</v>
      </c>
      <c r="K43" s="50">
        <v>1</v>
      </c>
      <c r="L43" s="50">
        <v>0</v>
      </c>
      <c r="M43" s="50">
        <v>11</v>
      </c>
      <c r="N43" s="50">
        <v>0</v>
      </c>
      <c r="O43" s="15">
        <f t="shared" si="0"/>
        <v>8</v>
      </c>
      <c r="P43" s="15">
        <f t="shared" si="1"/>
        <v>19</v>
      </c>
    </row>
    <row r="44" spans="2:20" ht="23.1" customHeight="1" x14ac:dyDescent="0.25">
      <c r="B44" s="25" t="s">
        <v>71</v>
      </c>
      <c r="C44" s="50">
        <v>1</v>
      </c>
      <c r="D44" s="50">
        <v>4</v>
      </c>
      <c r="E44" s="50">
        <v>0</v>
      </c>
      <c r="F44" s="50">
        <v>2</v>
      </c>
      <c r="G44" s="50">
        <v>1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9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3</v>
      </c>
      <c r="D45" s="50">
        <v>6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1</v>
      </c>
      <c r="K45" s="50">
        <v>2</v>
      </c>
      <c r="L45" s="50">
        <v>0</v>
      </c>
      <c r="M45" s="50">
        <v>15</v>
      </c>
      <c r="N45" s="50">
        <v>0</v>
      </c>
      <c r="O45" s="15">
        <f t="shared" si="0"/>
        <v>15</v>
      </c>
      <c r="P45" s="15">
        <f t="shared" si="1"/>
        <v>30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1</v>
      </c>
      <c r="F46" s="50">
        <v>0</v>
      </c>
      <c r="G46" s="50">
        <v>2</v>
      </c>
      <c r="H46" s="50">
        <v>1</v>
      </c>
      <c r="I46" s="50">
        <v>1</v>
      </c>
      <c r="J46" s="50">
        <v>1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8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0</v>
      </c>
      <c r="E47" s="50">
        <v>3</v>
      </c>
      <c r="F47" s="50">
        <v>3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15</v>
      </c>
      <c r="P47" s="15">
        <f t="shared" si="1"/>
        <v>27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2</v>
      </c>
      <c r="E48" s="50">
        <v>1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7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5</v>
      </c>
      <c r="E49" s="50">
        <v>1</v>
      </c>
      <c r="F49" s="50">
        <v>4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13</v>
      </c>
      <c r="P49" s="15">
        <f t="shared" si="1"/>
        <v>31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21</v>
      </c>
      <c r="N50" s="50">
        <v>0</v>
      </c>
      <c r="O50" s="15">
        <f t="shared" si="0"/>
        <v>5</v>
      </c>
      <c r="P50" s="15">
        <f t="shared" si="1"/>
        <v>26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1</v>
      </c>
      <c r="E51" s="50">
        <v>1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13</v>
      </c>
      <c r="N51" s="50">
        <v>0</v>
      </c>
      <c r="O51" s="15">
        <f t="shared" si="0"/>
        <v>10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2</v>
      </c>
      <c r="E52" s="50">
        <v>0</v>
      </c>
      <c r="F52" s="50">
        <v>6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12</v>
      </c>
      <c r="P52" s="15">
        <f t="shared" si="1"/>
        <v>26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1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5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2</v>
      </c>
      <c r="E54" s="50">
        <v>1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17</v>
      </c>
      <c r="N54" s="50">
        <v>0</v>
      </c>
      <c r="O54" s="15">
        <f t="shared" si="0"/>
        <v>10</v>
      </c>
      <c r="P54" s="15">
        <f t="shared" si="1"/>
        <v>27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2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17</v>
      </c>
      <c r="N55" s="50">
        <v>0</v>
      </c>
      <c r="O55" s="15">
        <f t="shared" si="0"/>
        <v>5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2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7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2</v>
      </c>
      <c r="E57" s="50">
        <v>0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9</v>
      </c>
      <c r="P57" s="15">
        <f t="shared" si="1"/>
        <v>17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104</v>
      </c>
      <c r="D58" s="16">
        <f t="shared" si="21"/>
        <v>56</v>
      </c>
      <c r="E58" s="16">
        <f t="shared" si="21"/>
        <v>22</v>
      </c>
      <c r="F58" s="16">
        <f t="shared" si="21"/>
        <v>87</v>
      </c>
      <c r="G58" s="16">
        <f t="shared" si="21"/>
        <v>4</v>
      </c>
      <c r="H58" s="16">
        <f t="shared" si="21"/>
        <v>2</v>
      </c>
      <c r="I58" s="16">
        <f t="shared" si="21"/>
        <v>12</v>
      </c>
      <c r="J58" s="16">
        <f t="shared" si="21"/>
        <v>16</v>
      </c>
      <c r="K58" s="16">
        <f t="shared" si="21"/>
        <v>11</v>
      </c>
      <c r="L58" s="16">
        <f t="shared" si="21"/>
        <v>0</v>
      </c>
      <c r="M58" s="16">
        <f t="shared" si="21"/>
        <v>622</v>
      </c>
      <c r="N58" s="16">
        <f t="shared" si="21"/>
        <v>0</v>
      </c>
      <c r="O58" s="16">
        <f t="shared" si="21"/>
        <v>314</v>
      </c>
      <c r="P58" s="16">
        <f t="shared" si="21"/>
        <v>936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0.1111111111111111</v>
      </c>
      <c r="D59" s="43">
        <f t="shared" si="22"/>
        <v>5.9829059829059832E-2</v>
      </c>
      <c r="E59" s="43">
        <f t="shared" si="22"/>
        <v>2.3504273504273504E-2</v>
      </c>
      <c r="F59" s="43">
        <f t="shared" si="22"/>
        <v>9.2948717948717952E-2</v>
      </c>
      <c r="G59" s="43">
        <f t="shared" si="22"/>
        <v>4.2735042735042739E-3</v>
      </c>
      <c r="H59" s="43">
        <f t="shared" si="22"/>
        <v>2.136752136752137E-3</v>
      </c>
      <c r="I59" s="43">
        <f t="shared" si="22"/>
        <v>1.282051282051282E-2</v>
      </c>
      <c r="J59" s="43">
        <f t="shared" si="22"/>
        <v>1.7094017094017096E-2</v>
      </c>
      <c r="K59" s="43">
        <f t="shared" si="22"/>
        <v>1.1752136752136752E-2</v>
      </c>
      <c r="L59" s="43">
        <f t="shared" si="22"/>
        <v>0</v>
      </c>
      <c r="M59" s="43">
        <f t="shared" si="22"/>
        <v>0.6645299145299145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0.33121019108280253</v>
      </c>
      <c r="D60" s="44">
        <f t="shared" ref="D60:N60" si="23">D58/$O$58</f>
        <v>0.17834394904458598</v>
      </c>
      <c r="E60" s="44">
        <f t="shared" si="23"/>
        <v>7.0063694267515922E-2</v>
      </c>
      <c r="F60" s="44">
        <f t="shared" si="23"/>
        <v>0.27707006369426751</v>
      </c>
      <c r="G60" s="44">
        <f t="shared" si="23"/>
        <v>1.2738853503184714E-2</v>
      </c>
      <c r="H60" s="44">
        <f t="shared" si="23"/>
        <v>6.369426751592357E-3</v>
      </c>
      <c r="I60" s="44">
        <f t="shared" si="23"/>
        <v>3.8216560509554139E-2</v>
      </c>
      <c r="J60" s="44">
        <f t="shared" si="23"/>
        <v>5.0955414012738856E-2</v>
      </c>
      <c r="K60" s="44">
        <f t="shared" si="23"/>
        <v>3.5031847133757961E-2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175</v>
      </c>
      <c r="E5" s="3"/>
      <c r="F5" s="41" t="s">
        <v>1</v>
      </c>
      <c r="G5" s="58" t="str">
        <f>'17.10 KANONI-MADDU'!G5:H5</f>
        <v>KANONI</v>
      </c>
      <c r="H5" s="59"/>
      <c r="I5" s="14"/>
      <c r="J5" s="2" t="s">
        <v>5</v>
      </c>
      <c r="K5" s="58" t="str">
        <f>'17.10 KANONI-MADDU'!K5:L5</f>
        <v>FELIX OLOYA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KANONI-MADDU'!D6:E6</f>
        <v>KANONI</v>
      </c>
      <c r="E6" s="59"/>
      <c r="F6" s="2" t="s">
        <v>2</v>
      </c>
      <c r="G6" s="58" t="str">
        <f>'17.10 KANONI-MADDU'!G6:H6</f>
        <v>MADDU</v>
      </c>
      <c r="H6" s="59"/>
      <c r="J6" s="2" t="s">
        <v>21</v>
      </c>
      <c r="K6" s="58" t="str">
        <f>'17.10 KANONI-MADDU'!K6:L6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2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1</v>
      </c>
      <c r="T10" s="17">
        <f t="shared" si="2"/>
        <v>2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35</v>
      </c>
      <c r="AD10" s="17">
        <f t="shared" si="2"/>
        <v>0</v>
      </c>
      <c r="AE10" s="31">
        <f t="shared" si="2"/>
        <v>11</v>
      </c>
      <c r="AF10" s="31">
        <f t="shared" si="2"/>
        <v>46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2</v>
      </c>
      <c r="P11" s="15">
        <f t="shared" si="1"/>
        <v>10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2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31</v>
      </c>
      <c r="AD11" s="17">
        <f t="shared" si="3"/>
        <v>0</v>
      </c>
      <c r="AE11" s="31">
        <f t="shared" si="3"/>
        <v>15</v>
      </c>
      <c r="AF11" s="31">
        <f t="shared" si="3"/>
        <v>46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2</v>
      </c>
      <c r="P12" s="15">
        <f t="shared" si="1"/>
        <v>11</v>
      </c>
      <c r="R12" s="1" t="s">
        <v>8</v>
      </c>
      <c r="S12" s="17">
        <f t="shared" ref="S12:AF12" si="4">SUM(C18:C21)</f>
        <v>3</v>
      </c>
      <c r="T12" s="17">
        <f t="shared" si="4"/>
        <v>1</v>
      </c>
      <c r="U12" s="17">
        <f t="shared" si="4"/>
        <v>2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2</v>
      </c>
      <c r="AA12" s="17">
        <f t="shared" si="4"/>
        <v>3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18</v>
      </c>
      <c r="AF12" s="31">
        <f t="shared" si="4"/>
        <v>47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1</v>
      </c>
      <c r="L13" s="50">
        <v>0</v>
      </c>
      <c r="M13" s="50">
        <v>11</v>
      </c>
      <c r="N13" s="50">
        <v>0</v>
      </c>
      <c r="O13" s="15">
        <f t="shared" si="0"/>
        <v>3</v>
      </c>
      <c r="P13" s="15">
        <f t="shared" si="1"/>
        <v>14</v>
      </c>
      <c r="R13" s="1" t="s">
        <v>9</v>
      </c>
      <c r="S13" s="17">
        <f t="shared" ref="S13:AF13" si="5">SUM(C22:C25)</f>
        <v>6</v>
      </c>
      <c r="T13" s="17">
        <f t="shared" si="5"/>
        <v>1</v>
      </c>
      <c r="U13" s="17">
        <f t="shared" si="5"/>
        <v>3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28</v>
      </c>
      <c r="AD13" s="17">
        <f t="shared" si="5"/>
        <v>0</v>
      </c>
      <c r="AE13" s="31">
        <f t="shared" si="5"/>
        <v>19</v>
      </c>
      <c r="AF13" s="31">
        <f t="shared" si="5"/>
        <v>47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5</v>
      </c>
      <c r="P14" s="15">
        <f t="shared" si="1"/>
        <v>17</v>
      </c>
      <c r="R14" s="1" t="s">
        <v>10</v>
      </c>
      <c r="S14" s="17">
        <f t="shared" ref="S14:AF14" si="6">SUM(C26:C29)</f>
        <v>6</v>
      </c>
      <c r="T14" s="17">
        <f t="shared" si="6"/>
        <v>2</v>
      </c>
      <c r="U14" s="17">
        <f t="shared" si="6"/>
        <v>5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31</v>
      </c>
      <c r="AD14" s="17">
        <f t="shared" si="6"/>
        <v>0</v>
      </c>
      <c r="AE14" s="31">
        <f t="shared" si="6"/>
        <v>24</v>
      </c>
      <c r="AF14" s="31">
        <f t="shared" si="6"/>
        <v>55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2</v>
      </c>
      <c r="P15" s="15">
        <f t="shared" si="1"/>
        <v>8</v>
      </c>
      <c r="R15" s="1" t="s">
        <v>11</v>
      </c>
      <c r="S15" s="17">
        <f t="shared" ref="S15:AF15" si="7">SUM(C30:C33)</f>
        <v>7</v>
      </c>
      <c r="T15" s="17">
        <f t="shared" si="7"/>
        <v>1</v>
      </c>
      <c r="U15" s="17">
        <f t="shared" si="7"/>
        <v>3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47</v>
      </c>
      <c r="AD15" s="17">
        <f t="shared" si="7"/>
        <v>0</v>
      </c>
      <c r="AE15" s="31">
        <f t="shared" si="7"/>
        <v>25</v>
      </c>
      <c r="AF15" s="31">
        <f t="shared" si="7"/>
        <v>72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5</v>
      </c>
      <c r="P16" s="15">
        <f t="shared" si="1"/>
        <v>13</v>
      </c>
      <c r="R16" s="1" t="s">
        <v>12</v>
      </c>
      <c r="S16" s="17">
        <f t="shared" ref="S16:AF16" si="8">SUM(C34:C37)</f>
        <v>6</v>
      </c>
      <c r="T16" s="17">
        <f t="shared" si="8"/>
        <v>2</v>
      </c>
      <c r="U16" s="17">
        <f t="shared" si="8"/>
        <v>3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38</v>
      </c>
      <c r="AD16" s="17">
        <f t="shared" si="8"/>
        <v>0</v>
      </c>
      <c r="AE16" s="31">
        <f t="shared" si="8"/>
        <v>17</v>
      </c>
      <c r="AF16" s="31">
        <f t="shared" si="8"/>
        <v>55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3</v>
      </c>
      <c r="P17" s="15">
        <f t="shared" si="1"/>
        <v>8</v>
      </c>
      <c r="R17" s="1" t="s">
        <v>13</v>
      </c>
      <c r="S17" s="17">
        <f t="shared" ref="S17:AF17" si="9">SUM(C38:C41)</f>
        <v>6</v>
      </c>
      <c r="T17" s="17">
        <f t="shared" si="9"/>
        <v>2</v>
      </c>
      <c r="U17" s="17">
        <f t="shared" si="9"/>
        <v>1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44</v>
      </c>
      <c r="AD17" s="17">
        <f t="shared" si="9"/>
        <v>0</v>
      </c>
      <c r="AE17" s="31">
        <f t="shared" si="9"/>
        <v>17</v>
      </c>
      <c r="AF17" s="31">
        <f t="shared" si="9"/>
        <v>61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4</v>
      </c>
      <c r="P18" s="15">
        <f t="shared" si="1"/>
        <v>11</v>
      </c>
      <c r="R18" s="1" t="s">
        <v>14</v>
      </c>
      <c r="S18" s="17">
        <f t="shared" ref="S18:AF18" si="10">SUM(C42:C45)</f>
        <v>4</v>
      </c>
      <c r="T18" s="17">
        <f t="shared" si="10"/>
        <v>1</v>
      </c>
      <c r="U18" s="17">
        <f t="shared" si="10"/>
        <v>2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5</v>
      </c>
      <c r="AA18" s="17">
        <f t="shared" si="10"/>
        <v>0</v>
      </c>
      <c r="AB18" s="17">
        <f t="shared" si="10"/>
        <v>0</v>
      </c>
      <c r="AC18" s="17">
        <f t="shared" si="10"/>
        <v>44</v>
      </c>
      <c r="AD18" s="17">
        <f t="shared" si="10"/>
        <v>0</v>
      </c>
      <c r="AE18" s="31">
        <f t="shared" si="10"/>
        <v>21</v>
      </c>
      <c r="AF18" s="31">
        <f t="shared" si="10"/>
        <v>65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1</v>
      </c>
      <c r="P19" s="15">
        <f t="shared" si="1"/>
        <v>6</v>
      </c>
      <c r="R19" s="1" t="s">
        <v>15</v>
      </c>
      <c r="S19" s="17">
        <f t="shared" ref="S19:AF19" si="11">SUM(C46:C49)</f>
        <v>10</v>
      </c>
      <c r="T19" s="17">
        <f t="shared" si="11"/>
        <v>0</v>
      </c>
      <c r="U19" s="17">
        <f t="shared" si="11"/>
        <v>2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57</v>
      </c>
      <c r="AD19" s="17">
        <f t="shared" si="11"/>
        <v>0</v>
      </c>
      <c r="AE19" s="31">
        <f t="shared" si="11"/>
        <v>24</v>
      </c>
      <c r="AF19" s="31">
        <f t="shared" si="11"/>
        <v>81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2</v>
      </c>
      <c r="K20" s="50">
        <v>1</v>
      </c>
      <c r="L20" s="50">
        <v>0</v>
      </c>
      <c r="M20" s="50">
        <v>11</v>
      </c>
      <c r="N20" s="50">
        <v>0</v>
      </c>
      <c r="O20" s="15">
        <f t="shared" si="0"/>
        <v>8</v>
      </c>
      <c r="P20" s="15">
        <f t="shared" si="1"/>
        <v>19</v>
      </c>
      <c r="R20" s="1" t="s">
        <v>16</v>
      </c>
      <c r="S20" s="17">
        <f t="shared" ref="S20:AF20" si="12">SUM(C50:C53)</f>
        <v>5</v>
      </c>
      <c r="T20" s="17">
        <f t="shared" si="12"/>
        <v>2</v>
      </c>
      <c r="U20" s="17">
        <f t="shared" si="12"/>
        <v>2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48</v>
      </c>
      <c r="AD20" s="17">
        <f t="shared" si="12"/>
        <v>0</v>
      </c>
      <c r="AE20" s="31">
        <f t="shared" si="12"/>
        <v>20</v>
      </c>
      <c r="AF20" s="31">
        <f t="shared" si="12"/>
        <v>68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2</v>
      </c>
      <c r="L21" s="50">
        <v>0</v>
      </c>
      <c r="M21" s="50">
        <v>6</v>
      </c>
      <c r="N21" s="50">
        <v>0</v>
      </c>
      <c r="O21" s="15">
        <f t="shared" si="0"/>
        <v>5</v>
      </c>
      <c r="P21" s="15">
        <f t="shared" si="1"/>
        <v>11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4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43</v>
      </c>
      <c r="AD21" s="17">
        <f t="shared" si="13"/>
        <v>0</v>
      </c>
      <c r="AE21" s="31">
        <f t="shared" si="13"/>
        <v>25</v>
      </c>
      <c r="AF21" s="31">
        <f t="shared" si="13"/>
        <v>68</v>
      </c>
    </row>
    <row r="22" spans="2:32" ht="23.1" customHeight="1" x14ac:dyDescent="0.25">
      <c r="B22" s="23" t="s">
        <v>49</v>
      </c>
      <c r="C22" s="50">
        <v>4</v>
      </c>
      <c r="D22" s="50">
        <v>1</v>
      </c>
      <c r="E22" s="50">
        <v>0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8</v>
      </c>
      <c r="P22" s="15">
        <f t="shared" si="1"/>
        <v>15</v>
      </c>
      <c r="R22" s="38" t="s">
        <v>90</v>
      </c>
      <c r="S22" s="39">
        <f>MAX(S10:S12)</f>
        <v>4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6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2</v>
      </c>
      <c r="AA22" s="39">
        <f t="shared" si="14"/>
        <v>3</v>
      </c>
      <c r="AB22" s="39">
        <f t="shared" si="14"/>
        <v>0</v>
      </c>
      <c r="AC22" s="39">
        <f t="shared" si="14"/>
        <v>35</v>
      </c>
      <c r="AD22" s="39">
        <f t="shared" si="14"/>
        <v>0</v>
      </c>
      <c r="AE22" s="40">
        <f t="shared" si="14"/>
        <v>18</v>
      </c>
      <c r="AF22" s="40">
        <f t="shared" si="14"/>
        <v>47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2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4</v>
      </c>
      <c r="P23" s="15">
        <f t="shared" si="1"/>
        <v>12</v>
      </c>
      <c r="R23" s="38" t="s">
        <v>91</v>
      </c>
      <c r="S23" s="39">
        <f>MAX(S13:S18)</f>
        <v>7</v>
      </c>
      <c r="T23" s="39">
        <f t="shared" ref="T23:AF23" si="15">MAX(T13:T18)</f>
        <v>2</v>
      </c>
      <c r="U23" s="39">
        <f t="shared" si="15"/>
        <v>5</v>
      </c>
      <c r="V23" s="39">
        <f t="shared" si="15"/>
        <v>7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5</v>
      </c>
      <c r="AA23" s="39">
        <f t="shared" si="15"/>
        <v>0</v>
      </c>
      <c r="AB23" s="39">
        <f t="shared" si="15"/>
        <v>0</v>
      </c>
      <c r="AC23" s="39">
        <f t="shared" si="15"/>
        <v>47</v>
      </c>
      <c r="AD23" s="39">
        <f t="shared" si="15"/>
        <v>0</v>
      </c>
      <c r="AE23" s="40">
        <f t="shared" si="15"/>
        <v>25</v>
      </c>
      <c r="AF23" s="40">
        <f t="shared" si="15"/>
        <v>72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3</v>
      </c>
      <c r="P24" s="15">
        <f t="shared" si="1"/>
        <v>8</v>
      </c>
      <c r="R24" s="38" t="s">
        <v>92</v>
      </c>
      <c r="S24" s="39">
        <f>MAX(S19:S21)</f>
        <v>10</v>
      </c>
      <c r="T24" s="39">
        <f t="shared" ref="T24:AF24" si="16">MAX(T19:T21)</f>
        <v>2</v>
      </c>
      <c r="U24" s="39">
        <f t="shared" si="16"/>
        <v>4</v>
      </c>
      <c r="V24" s="39">
        <f t="shared" si="16"/>
        <v>12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57</v>
      </c>
      <c r="AD24" s="39">
        <f t="shared" si="16"/>
        <v>0</v>
      </c>
      <c r="AE24" s="40">
        <f t="shared" si="16"/>
        <v>25</v>
      </c>
      <c r="AF24" s="40">
        <f t="shared" si="16"/>
        <v>81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4</v>
      </c>
      <c r="P25" s="15">
        <f t="shared" si="1"/>
        <v>12</v>
      </c>
      <c r="R25" s="37" t="s">
        <v>85</v>
      </c>
      <c r="S25" s="35">
        <f t="shared" ref="S25:AF25" si="17">SUM(S10:S12)</f>
        <v>8</v>
      </c>
      <c r="T25" s="16">
        <f t="shared" si="17"/>
        <v>3</v>
      </c>
      <c r="U25" s="16">
        <f t="shared" si="17"/>
        <v>5</v>
      </c>
      <c r="V25" s="16">
        <f t="shared" si="17"/>
        <v>13</v>
      </c>
      <c r="W25" s="16">
        <f t="shared" si="17"/>
        <v>0</v>
      </c>
      <c r="X25" s="16">
        <f t="shared" si="17"/>
        <v>0</v>
      </c>
      <c r="Y25" s="16">
        <f t="shared" si="17"/>
        <v>7</v>
      </c>
      <c r="Z25" s="16">
        <f t="shared" si="17"/>
        <v>4</v>
      </c>
      <c r="AA25" s="16">
        <f t="shared" si="17"/>
        <v>4</v>
      </c>
      <c r="AB25" s="16">
        <f t="shared" si="17"/>
        <v>0</v>
      </c>
      <c r="AC25" s="16">
        <f t="shared" si="17"/>
        <v>95</v>
      </c>
      <c r="AD25" s="16">
        <f t="shared" si="17"/>
        <v>0</v>
      </c>
      <c r="AE25" s="32">
        <f t="shared" si="17"/>
        <v>44</v>
      </c>
      <c r="AF25" s="32">
        <f t="shared" si="17"/>
        <v>139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6</v>
      </c>
      <c r="P26" s="15">
        <f t="shared" si="1"/>
        <v>10</v>
      </c>
      <c r="R26" s="28" t="s">
        <v>86</v>
      </c>
      <c r="S26" s="16">
        <f t="shared" ref="S26:AF26" si="18">SUM(S13:S18)</f>
        <v>35</v>
      </c>
      <c r="T26" s="16">
        <f t="shared" si="18"/>
        <v>9</v>
      </c>
      <c r="U26" s="16">
        <f t="shared" si="18"/>
        <v>17</v>
      </c>
      <c r="V26" s="16">
        <f t="shared" si="18"/>
        <v>35</v>
      </c>
      <c r="W26" s="16">
        <f t="shared" si="18"/>
        <v>0</v>
      </c>
      <c r="X26" s="16">
        <f t="shared" si="18"/>
        <v>0</v>
      </c>
      <c r="Y26" s="16">
        <f t="shared" si="18"/>
        <v>14</v>
      </c>
      <c r="Z26" s="16">
        <f t="shared" si="18"/>
        <v>13</v>
      </c>
      <c r="AA26" s="16">
        <f t="shared" si="18"/>
        <v>0</v>
      </c>
      <c r="AB26" s="16">
        <f t="shared" si="18"/>
        <v>0</v>
      </c>
      <c r="AC26" s="16">
        <f t="shared" si="18"/>
        <v>232</v>
      </c>
      <c r="AD26" s="16">
        <f t="shared" si="18"/>
        <v>0</v>
      </c>
      <c r="AE26" s="32">
        <f t="shared" si="18"/>
        <v>123</v>
      </c>
      <c r="AF26" s="32">
        <f t="shared" si="18"/>
        <v>355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3</v>
      </c>
      <c r="F27" s="50">
        <v>1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6</v>
      </c>
      <c r="P27" s="15">
        <f t="shared" si="1"/>
        <v>14</v>
      </c>
      <c r="R27" s="29" t="s">
        <v>87</v>
      </c>
      <c r="S27" s="16">
        <f t="shared" ref="S27:AF27" si="19">SUM(S19:S21)</f>
        <v>20</v>
      </c>
      <c r="T27" s="16">
        <f t="shared" si="19"/>
        <v>2</v>
      </c>
      <c r="U27" s="16">
        <f t="shared" si="19"/>
        <v>8</v>
      </c>
      <c r="V27" s="16">
        <f t="shared" si="19"/>
        <v>28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6</v>
      </c>
      <c r="AA27" s="16">
        <f t="shared" si="19"/>
        <v>0</v>
      </c>
      <c r="AB27" s="16">
        <f t="shared" si="19"/>
        <v>0</v>
      </c>
      <c r="AC27" s="16">
        <f t="shared" si="19"/>
        <v>148</v>
      </c>
      <c r="AD27" s="16">
        <f t="shared" si="19"/>
        <v>0</v>
      </c>
      <c r="AE27" s="32">
        <f t="shared" si="19"/>
        <v>69</v>
      </c>
      <c r="AF27" s="32">
        <f t="shared" si="19"/>
        <v>217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5</v>
      </c>
      <c r="P28" s="15">
        <f t="shared" si="1"/>
        <v>12</v>
      </c>
      <c r="R28" s="5" t="s">
        <v>17</v>
      </c>
      <c r="S28" s="16">
        <f t="shared" ref="S28:AF28" si="20">SUM(S10:S21)</f>
        <v>63</v>
      </c>
      <c r="T28" s="16">
        <f t="shared" si="20"/>
        <v>14</v>
      </c>
      <c r="U28" s="16">
        <f t="shared" si="20"/>
        <v>30</v>
      </c>
      <c r="V28" s="16">
        <f t="shared" si="20"/>
        <v>76</v>
      </c>
      <c r="W28" s="16">
        <f t="shared" si="20"/>
        <v>0</v>
      </c>
      <c r="X28" s="16">
        <f t="shared" si="20"/>
        <v>0</v>
      </c>
      <c r="Y28" s="16">
        <f t="shared" si="20"/>
        <v>26</v>
      </c>
      <c r="Z28" s="16">
        <f t="shared" si="20"/>
        <v>23</v>
      </c>
      <c r="AA28" s="16">
        <f t="shared" si="20"/>
        <v>4</v>
      </c>
      <c r="AB28" s="16">
        <f t="shared" si="20"/>
        <v>0</v>
      </c>
      <c r="AC28" s="16">
        <f t="shared" si="20"/>
        <v>475</v>
      </c>
      <c r="AD28" s="16">
        <f t="shared" si="20"/>
        <v>0</v>
      </c>
      <c r="AE28" s="32">
        <f t="shared" si="20"/>
        <v>236</v>
      </c>
      <c r="AF28" s="32">
        <f t="shared" si="20"/>
        <v>711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3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7</v>
      </c>
      <c r="P29" s="15">
        <f t="shared" si="1"/>
        <v>19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3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2</v>
      </c>
      <c r="F31" s="50">
        <v>3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9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3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8</v>
      </c>
      <c r="P32" s="15">
        <f t="shared" si="1"/>
        <v>26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5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3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5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3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6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4</v>
      </c>
      <c r="P38" s="15">
        <f t="shared" si="1"/>
        <v>24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3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6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4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2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1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5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8</v>
      </c>
      <c r="P44" s="15">
        <f t="shared" si="1"/>
        <v>23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3</v>
      </c>
      <c r="G45" s="50">
        <v>0</v>
      </c>
      <c r="H45" s="50">
        <v>0</v>
      </c>
      <c r="I45" s="50">
        <v>0</v>
      </c>
      <c r="J45" s="50">
        <v>3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6</v>
      </c>
      <c r="P45" s="15">
        <f t="shared" si="1"/>
        <v>16</v>
      </c>
    </row>
    <row r="46" spans="2:20" ht="23.1" customHeight="1" x14ac:dyDescent="0.25">
      <c r="B46" s="24" t="s">
        <v>73</v>
      </c>
      <c r="C46" s="50">
        <v>4</v>
      </c>
      <c r="D46" s="50">
        <v>0</v>
      </c>
      <c r="E46" s="50">
        <v>2</v>
      </c>
      <c r="F46" s="50">
        <v>2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9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4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6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6</v>
      </c>
      <c r="P48" s="15">
        <f t="shared" si="1"/>
        <v>24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3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5</v>
      </c>
      <c r="P50" s="15">
        <f t="shared" si="1"/>
        <v>12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5</v>
      </c>
      <c r="P51" s="15">
        <f t="shared" si="1"/>
        <v>26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2</v>
      </c>
      <c r="E52" s="50">
        <v>1</v>
      </c>
      <c r="F52" s="50">
        <v>3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9</v>
      </c>
      <c r="P52" s="15">
        <f t="shared" si="1"/>
        <v>19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1</v>
      </c>
      <c r="P53" s="15">
        <f t="shared" si="1"/>
        <v>11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2</v>
      </c>
      <c r="F54" s="50">
        <v>5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8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3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6</v>
      </c>
      <c r="P55" s="15">
        <f t="shared" si="1"/>
        <v>18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1</v>
      </c>
      <c r="F56" s="50">
        <v>3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9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2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63</v>
      </c>
      <c r="D58" s="16">
        <f t="shared" si="21"/>
        <v>14</v>
      </c>
      <c r="E58" s="16">
        <f t="shared" si="21"/>
        <v>30</v>
      </c>
      <c r="F58" s="16">
        <f t="shared" si="21"/>
        <v>76</v>
      </c>
      <c r="G58" s="16">
        <f t="shared" si="21"/>
        <v>0</v>
      </c>
      <c r="H58" s="16">
        <f t="shared" si="21"/>
        <v>0</v>
      </c>
      <c r="I58" s="16">
        <f t="shared" si="21"/>
        <v>26</v>
      </c>
      <c r="J58" s="16">
        <f t="shared" si="21"/>
        <v>23</v>
      </c>
      <c r="K58" s="16">
        <f t="shared" si="21"/>
        <v>4</v>
      </c>
      <c r="L58" s="16">
        <f t="shared" si="21"/>
        <v>0</v>
      </c>
      <c r="M58" s="16">
        <f t="shared" si="21"/>
        <v>475</v>
      </c>
      <c r="N58" s="16">
        <f t="shared" si="21"/>
        <v>0</v>
      </c>
      <c r="O58" s="16">
        <f t="shared" si="21"/>
        <v>236</v>
      </c>
      <c r="P58" s="16">
        <f t="shared" si="21"/>
        <v>711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8.8607594936708861E-2</v>
      </c>
      <c r="D59" s="43">
        <f t="shared" si="22"/>
        <v>1.969057665260197E-2</v>
      </c>
      <c r="E59" s="43">
        <f t="shared" si="22"/>
        <v>4.2194092827004218E-2</v>
      </c>
      <c r="F59" s="43">
        <f t="shared" si="22"/>
        <v>0.10689170182841069</v>
      </c>
      <c r="G59" s="43">
        <f t="shared" si="22"/>
        <v>0</v>
      </c>
      <c r="H59" s="43">
        <f t="shared" si="22"/>
        <v>0</v>
      </c>
      <c r="I59" s="43">
        <f t="shared" si="22"/>
        <v>3.6568213783403657E-2</v>
      </c>
      <c r="J59" s="43">
        <f t="shared" si="22"/>
        <v>3.2348804500703238E-2</v>
      </c>
      <c r="K59" s="43">
        <f t="shared" si="22"/>
        <v>5.6258790436005627E-3</v>
      </c>
      <c r="L59" s="43">
        <f t="shared" si="22"/>
        <v>0</v>
      </c>
      <c r="M59" s="43">
        <f t="shared" si="22"/>
        <v>0.66807313642756683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0.26694915254237289</v>
      </c>
      <c r="D60" s="44">
        <f t="shared" ref="D60:N60" si="23">D58/$O$58</f>
        <v>5.9322033898305086E-2</v>
      </c>
      <c r="E60" s="44">
        <f t="shared" si="23"/>
        <v>0.1271186440677966</v>
      </c>
      <c r="F60" s="44">
        <f t="shared" si="23"/>
        <v>0.32203389830508472</v>
      </c>
      <c r="G60" s="44">
        <f t="shared" si="23"/>
        <v>0</v>
      </c>
      <c r="H60" s="44">
        <f t="shared" si="23"/>
        <v>0</v>
      </c>
      <c r="I60" s="44">
        <f t="shared" si="23"/>
        <v>0.11016949152542373</v>
      </c>
      <c r="J60" s="44">
        <f t="shared" si="23"/>
        <v>9.7457627118644072E-2</v>
      </c>
      <c r="K60" s="44">
        <f t="shared" si="23"/>
        <v>1.6949152542372881E-2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SheetLayoutView="100" workbookViewId="0">
      <selection activeCell="H11" sqref="H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MADDU-KANONI'!C3:G3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175</v>
      </c>
      <c r="E5" s="3"/>
      <c r="F5" s="41" t="s">
        <v>1</v>
      </c>
      <c r="G5" s="58" t="str">
        <f>'17.10 KANONI-MADDU'!G5:H5</f>
        <v>KANONI</v>
      </c>
      <c r="H5" s="59"/>
      <c r="I5" s="14"/>
      <c r="J5" s="2" t="s">
        <v>5</v>
      </c>
      <c r="K5" s="58" t="str">
        <f>'17.10 KANONI-MADDU'!K5:L5</f>
        <v>FELIX OLOYA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MADDU-KANONI'!D6:E6</f>
        <v>MADDU</v>
      </c>
      <c r="E6" s="59"/>
      <c r="F6" s="2" t="s">
        <v>2</v>
      </c>
      <c r="G6" s="58" t="str">
        <f>'17.10 MADDU-KANONI'!G6:H6</f>
        <v>KANONI</v>
      </c>
      <c r="H6" s="59"/>
      <c r="J6" s="2" t="s">
        <v>21</v>
      </c>
      <c r="K6" s="58" t="str">
        <f>'17.10 KANONI-MADDU'!K6:L6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2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4</v>
      </c>
      <c r="T10" s="17">
        <f t="shared" si="2"/>
        <v>3</v>
      </c>
      <c r="U10" s="17">
        <f t="shared" si="2"/>
        <v>0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74</v>
      </c>
      <c r="AD10" s="17">
        <f t="shared" si="2"/>
        <v>0</v>
      </c>
      <c r="AE10" s="31">
        <f t="shared" si="2"/>
        <v>16</v>
      </c>
      <c r="AF10" s="31">
        <f t="shared" si="2"/>
        <v>90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4</v>
      </c>
      <c r="P11" s="15">
        <f t="shared" si="1"/>
        <v>11</v>
      </c>
      <c r="R11" s="1" t="s">
        <v>7</v>
      </c>
      <c r="S11" s="17">
        <f t="shared" ref="S11:AF11" si="3">SUM(C14:C17)</f>
        <v>6</v>
      </c>
      <c r="T11" s="17">
        <f t="shared" si="3"/>
        <v>1</v>
      </c>
      <c r="U11" s="17">
        <f t="shared" si="3"/>
        <v>2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37</v>
      </c>
      <c r="AD11" s="17">
        <f t="shared" si="3"/>
        <v>0</v>
      </c>
      <c r="AE11" s="31">
        <f t="shared" si="3"/>
        <v>22</v>
      </c>
      <c r="AF11" s="31">
        <f t="shared" si="3"/>
        <v>59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5</v>
      </c>
      <c r="P12" s="15">
        <f t="shared" si="1"/>
        <v>11</v>
      </c>
      <c r="R12" s="1" t="s">
        <v>8</v>
      </c>
      <c r="S12" s="17">
        <f t="shared" ref="S12:AF12" si="4">SUM(C18:C21)</f>
        <v>5</v>
      </c>
      <c r="T12" s="17">
        <f t="shared" si="4"/>
        <v>2</v>
      </c>
      <c r="U12" s="17">
        <f t="shared" si="4"/>
        <v>3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46</v>
      </c>
      <c r="AD12" s="17">
        <f t="shared" si="4"/>
        <v>0</v>
      </c>
      <c r="AE12" s="31">
        <f t="shared" si="4"/>
        <v>19</v>
      </c>
      <c r="AF12" s="31">
        <f t="shared" si="4"/>
        <v>65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50</v>
      </c>
      <c r="N13" s="50">
        <v>0</v>
      </c>
      <c r="O13" s="15">
        <f t="shared" si="0"/>
        <v>4</v>
      </c>
      <c r="P13" s="15">
        <f t="shared" si="1"/>
        <v>54</v>
      </c>
      <c r="R13" s="1" t="s">
        <v>9</v>
      </c>
      <c r="S13" s="17">
        <f t="shared" ref="S13:AF13" si="5">SUM(C22:C25)</f>
        <v>6</v>
      </c>
      <c r="T13" s="17">
        <f t="shared" si="5"/>
        <v>0</v>
      </c>
      <c r="U13" s="17">
        <f t="shared" si="5"/>
        <v>3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2</v>
      </c>
      <c r="AB13" s="17">
        <f t="shared" si="5"/>
        <v>0</v>
      </c>
      <c r="AC13" s="17">
        <f t="shared" si="5"/>
        <v>36</v>
      </c>
      <c r="AD13" s="17">
        <f t="shared" si="5"/>
        <v>0</v>
      </c>
      <c r="AE13" s="31">
        <f t="shared" si="5"/>
        <v>20</v>
      </c>
      <c r="AF13" s="31">
        <f t="shared" si="5"/>
        <v>56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1</v>
      </c>
      <c r="P14" s="15">
        <f t="shared" si="1"/>
        <v>10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2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14</v>
      </c>
      <c r="AF14" s="31">
        <f t="shared" si="6"/>
        <v>46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6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8</v>
      </c>
      <c r="P15" s="15">
        <f t="shared" si="1"/>
        <v>21</v>
      </c>
      <c r="R15" s="1" t="s">
        <v>11</v>
      </c>
      <c r="S15" s="17">
        <f t="shared" ref="S15:AF15" si="7">SUM(C30:C33)</f>
        <v>5</v>
      </c>
      <c r="T15" s="17">
        <f t="shared" si="7"/>
        <v>2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37</v>
      </c>
      <c r="AD15" s="17">
        <f t="shared" si="7"/>
        <v>0</v>
      </c>
      <c r="AE15" s="31">
        <f t="shared" si="7"/>
        <v>14</v>
      </c>
      <c r="AF15" s="31">
        <f t="shared" si="7"/>
        <v>51</v>
      </c>
    </row>
    <row r="16" spans="2:32" ht="23.1" customHeight="1" x14ac:dyDescent="0.25">
      <c r="B16" s="23" t="s">
        <v>43</v>
      </c>
      <c r="C16" s="50">
        <v>2</v>
      </c>
      <c r="D16" s="50">
        <v>1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6</v>
      </c>
      <c r="P16" s="15">
        <f t="shared" si="1"/>
        <v>12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2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43</v>
      </c>
      <c r="AD16" s="17">
        <f t="shared" si="8"/>
        <v>0</v>
      </c>
      <c r="AE16" s="31">
        <f t="shared" si="8"/>
        <v>13</v>
      </c>
      <c r="AF16" s="31">
        <f t="shared" si="8"/>
        <v>56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2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7</v>
      </c>
      <c r="P17" s="15">
        <f t="shared" si="1"/>
        <v>16</v>
      </c>
      <c r="R17" s="1" t="s">
        <v>13</v>
      </c>
      <c r="S17" s="17">
        <f t="shared" ref="S17:AF17" si="9">SUM(C38:C41)</f>
        <v>7</v>
      </c>
      <c r="T17" s="17">
        <f t="shared" si="9"/>
        <v>3</v>
      </c>
      <c r="U17" s="17">
        <f t="shared" si="9"/>
        <v>1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21</v>
      </c>
      <c r="AF17" s="31">
        <f t="shared" si="9"/>
        <v>61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4</v>
      </c>
      <c r="P18" s="15">
        <f t="shared" si="1"/>
        <v>19</v>
      </c>
      <c r="R18" s="1" t="s">
        <v>14</v>
      </c>
      <c r="S18" s="17">
        <f t="shared" ref="S18:AF18" si="10">SUM(C42:C45)</f>
        <v>7</v>
      </c>
      <c r="T18" s="17">
        <f t="shared" si="10"/>
        <v>3</v>
      </c>
      <c r="U18" s="17">
        <f t="shared" si="10"/>
        <v>3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54</v>
      </c>
      <c r="AD18" s="17">
        <f t="shared" si="10"/>
        <v>0</v>
      </c>
      <c r="AE18" s="31">
        <f t="shared" si="10"/>
        <v>28</v>
      </c>
      <c r="AF18" s="31">
        <f t="shared" si="10"/>
        <v>82</v>
      </c>
    </row>
    <row r="19" spans="2:32" ht="23.1" customHeight="1" x14ac:dyDescent="0.25">
      <c r="B19" s="23" t="s">
        <v>46</v>
      </c>
      <c r="C19" s="50">
        <v>1</v>
      </c>
      <c r="D19" s="50">
        <v>2</v>
      </c>
      <c r="E19" s="50">
        <v>0</v>
      </c>
      <c r="F19" s="50">
        <v>4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7</v>
      </c>
      <c r="P19" s="15">
        <f t="shared" si="1"/>
        <v>13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2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63</v>
      </c>
      <c r="AD19" s="17">
        <f t="shared" si="11"/>
        <v>0</v>
      </c>
      <c r="AE19" s="31">
        <f t="shared" si="11"/>
        <v>18</v>
      </c>
      <c r="AF19" s="31">
        <f t="shared" si="11"/>
        <v>81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0</v>
      </c>
      <c r="P20" s="15">
        <f t="shared" si="1"/>
        <v>17</v>
      </c>
      <c r="R20" s="1" t="s">
        <v>16</v>
      </c>
      <c r="S20" s="17">
        <f t="shared" ref="S20:AF20" si="12">SUM(C50:C53)</f>
        <v>2</v>
      </c>
      <c r="T20" s="17">
        <f t="shared" si="12"/>
        <v>2</v>
      </c>
      <c r="U20" s="17">
        <f t="shared" si="12"/>
        <v>5</v>
      </c>
      <c r="V20" s="17">
        <f t="shared" si="12"/>
        <v>11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47</v>
      </c>
      <c r="AD20" s="17">
        <f t="shared" si="12"/>
        <v>0</v>
      </c>
      <c r="AE20" s="31">
        <f t="shared" si="12"/>
        <v>25</v>
      </c>
      <c r="AF20" s="31">
        <f t="shared" si="12"/>
        <v>72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2</v>
      </c>
      <c r="F21" s="50">
        <v>4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8</v>
      </c>
      <c r="P21" s="15">
        <f t="shared" si="1"/>
        <v>16</v>
      </c>
      <c r="R21" s="36" t="s">
        <v>20</v>
      </c>
      <c r="S21" s="34">
        <f t="shared" ref="S21:AF21" si="13">SUM(C54:C57)</f>
        <v>4</v>
      </c>
      <c r="T21" s="17">
        <f t="shared" si="13"/>
        <v>5</v>
      </c>
      <c r="U21" s="17">
        <f t="shared" si="13"/>
        <v>4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3</v>
      </c>
      <c r="AB21" s="17">
        <f t="shared" si="13"/>
        <v>0</v>
      </c>
      <c r="AC21" s="17">
        <f t="shared" si="13"/>
        <v>36</v>
      </c>
      <c r="AD21" s="17">
        <f t="shared" si="13"/>
        <v>0</v>
      </c>
      <c r="AE21" s="31">
        <f t="shared" si="13"/>
        <v>24</v>
      </c>
      <c r="AF21" s="31">
        <f t="shared" si="13"/>
        <v>60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2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6</v>
      </c>
      <c r="P22" s="15">
        <f t="shared" si="1"/>
        <v>17</v>
      </c>
      <c r="R22" s="38" t="s">
        <v>90</v>
      </c>
      <c r="S22" s="39">
        <f>MAX(S10:S12)</f>
        <v>6</v>
      </c>
      <c r="T22" s="39">
        <f t="shared" ref="T22:AF22" si="14">MAX(T10:T12)</f>
        <v>3</v>
      </c>
      <c r="U22" s="39">
        <f t="shared" si="14"/>
        <v>3</v>
      </c>
      <c r="V22" s="39">
        <f t="shared" si="14"/>
        <v>11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74</v>
      </c>
      <c r="AD22" s="39">
        <f t="shared" si="14"/>
        <v>0</v>
      </c>
      <c r="AE22" s="40">
        <f t="shared" si="14"/>
        <v>22</v>
      </c>
      <c r="AF22" s="40">
        <f t="shared" si="14"/>
        <v>90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1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7</v>
      </c>
      <c r="P23" s="15">
        <f t="shared" si="1"/>
        <v>12</v>
      </c>
      <c r="R23" s="38" t="s">
        <v>91</v>
      </c>
      <c r="S23" s="39">
        <f>MAX(S13:S18)</f>
        <v>7</v>
      </c>
      <c r="T23" s="39">
        <f t="shared" ref="T23:AF23" si="15">MAX(T13:T18)</f>
        <v>3</v>
      </c>
      <c r="U23" s="39">
        <f t="shared" si="15"/>
        <v>3</v>
      </c>
      <c r="V23" s="39">
        <f t="shared" si="15"/>
        <v>9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3</v>
      </c>
      <c r="AA23" s="39">
        <f t="shared" si="15"/>
        <v>2</v>
      </c>
      <c r="AB23" s="39">
        <f t="shared" si="15"/>
        <v>0</v>
      </c>
      <c r="AC23" s="39">
        <f t="shared" si="15"/>
        <v>54</v>
      </c>
      <c r="AD23" s="39">
        <f t="shared" si="15"/>
        <v>0</v>
      </c>
      <c r="AE23" s="40">
        <f t="shared" si="15"/>
        <v>28</v>
      </c>
      <c r="AF23" s="40">
        <f t="shared" si="15"/>
        <v>82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1</v>
      </c>
      <c r="L24" s="50">
        <v>0</v>
      </c>
      <c r="M24" s="50">
        <v>12</v>
      </c>
      <c r="N24" s="50">
        <v>0</v>
      </c>
      <c r="O24" s="15">
        <f t="shared" si="0"/>
        <v>4</v>
      </c>
      <c r="P24" s="15">
        <f t="shared" si="1"/>
        <v>16</v>
      </c>
      <c r="R24" s="38" t="s">
        <v>92</v>
      </c>
      <c r="S24" s="39">
        <f>MAX(S19:S21)</f>
        <v>4</v>
      </c>
      <c r="T24" s="39">
        <f t="shared" ref="T24:AF24" si="16">MAX(T19:T21)</f>
        <v>5</v>
      </c>
      <c r="U24" s="39">
        <f t="shared" si="16"/>
        <v>5</v>
      </c>
      <c r="V24" s="39">
        <f t="shared" si="16"/>
        <v>11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3</v>
      </c>
      <c r="AA24" s="39">
        <f t="shared" si="16"/>
        <v>3</v>
      </c>
      <c r="AB24" s="39">
        <f t="shared" si="16"/>
        <v>0</v>
      </c>
      <c r="AC24" s="39">
        <f t="shared" si="16"/>
        <v>63</v>
      </c>
      <c r="AD24" s="39">
        <f t="shared" si="16"/>
        <v>0</v>
      </c>
      <c r="AE24" s="40">
        <f t="shared" si="16"/>
        <v>25</v>
      </c>
      <c r="AF24" s="40">
        <f t="shared" si="16"/>
        <v>81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8</v>
      </c>
      <c r="N25" s="50">
        <v>0</v>
      </c>
      <c r="O25" s="15">
        <f t="shared" si="0"/>
        <v>3</v>
      </c>
      <c r="P25" s="15">
        <f t="shared" si="1"/>
        <v>11</v>
      </c>
      <c r="R25" s="37" t="s">
        <v>85</v>
      </c>
      <c r="S25" s="35">
        <f t="shared" ref="S25:AF25" si="17">SUM(S10:S12)</f>
        <v>15</v>
      </c>
      <c r="T25" s="16">
        <f t="shared" si="17"/>
        <v>6</v>
      </c>
      <c r="U25" s="16">
        <f t="shared" si="17"/>
        <v>5</v>
      </c>
      <c r="V25" s="16">
        <f t="shared" si="17"/>
        <v>29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157</v>
      </c>
      <c r="AD25" s="16">
        <f t="shared" si="17"/>
        <v>0</v>
      </c>
      <c r="AE25" s="32">
        <f t="shared" si="17"/>
        <v>57</v>
      </c>
      <c r="AF25" s="32">
        <f t="shared" si="17"/>
        <v>214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2</v>
      </c>
      <c r="G26" s="50">
        <v>0</v>
      </c>
      <c r="H26" s="50">
        <v>0</v>
      </c>
      <c r="I26" s="50">
        <v>1</v>
      </c>
      <c r="J26" s="50">
        <v>3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7</v>
      </c>
      <c r="P26" s="15">
        <f t="shared" si="1"/>
        <v>13</v>
      </c>
      <c r="R26" s="28" t="s">
        <v>86</v>
      </c>
      <c r="S26" s="16">
        <f t="shared" ref="S26:AF26" si="18">SUM(S13:S18)</f>
        <v>30</v>
      </c>
      <c r="T26" s="16">
        <f t="shared" si="18"/>
        <v>9</v>
      </c>
      <c r="U26" s="16">
        <f t="shared" si="18"/>
        <v>13</v>
      </c>
      <c r="V26" s="16">
        <f t="shared" si="18"/>
        <v>38</v>
      </c>
      <c r="W26" s="16">
        <f t="shared" si="18"/>
        <v>0</v>
      </c>
      <c r="X26" s="16">
        <f t="shared" si="18"/>
        <v>0</v>
      </c>
      <c r="Y26" s="16">
        <f t="shared" si="18"/>
        <v>7</v>
      </c>
      <c r="Z26" s="16">
        <f t="shared" si="18"/>
        <v>10</v>
      </c>
      <c r="AA26" s="16">
        <f t="shared" si="18"/>
        <v>3</v>
      </c>
      <c r="AB26" s="16">
        <f t="shared" si="18"/>
        <v>0</v>
      </c>
      <c r="AC26" s="16">
        <f t="shared" si="18"/>
        <v>242</v>
      </c>
      <c r="AD26" s="16">
        <f t="shared" si="18"/>
        <v>0</v>
      </c>
      <c r="AE26" s="32">
        <f t="shared" si="18"/>
        <v>110</v>
      </c>
      <c r="AF26" s="32">
        <f t="shared" si="18"/>
        <v>352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1</v>
      </c>
      <c r="P27" s="15">
        <f t="shared" si="1"/>
        <v>11</v>
      </c>
      <c r="R27" s="29" t="s">
        <v>87</v>
      </c>
      <c r="S27" s="16">
        <f t="shared" ref="S27:AF27" si="19">SUM(S19:S21)</f>
        <v>8</v>
      </c>
      <c r="T27" s="16">
        <f t="shared" si="19"/>
        <v>7</v>
      </c>
      <c r="U27" s="16">
        <f t="shared" si="19"/>
        <v>11</v>
      </c>
      <c r="V27" s="16">
        <f t="shared" si="19"/>
        <v>25</v>
      </c>
      <c r="W27" s="16">
        <f t="shared" si="19"/>
        <v>0</v>
      </c>
      <c r="X27" s="16">
        <f t="shared" si="19"/>
        <v>0</v>
      </c>
      <c r="Y27" s="16">
        <f t="shared" si="19"/>
        <v>6</v>
      </c>
      <c r="Z27" s="16">
        <f t="shared" si="19"/>
        <v>6</v>
      </c>
      <c r="AA27" s="16">
        <f t="shared" si="19"/>
        <v>4</v>
      </c>
      <c r="AB27" s="16">
        <f t="shared" si="19"/>
        <v>0</v>
      </c>
      <c r="AC27" s="16">
        <f t="shared" si="19"/>
        <v>146</v>
      </c>
      <c r="AD27" s="16">
        <f t="shared" si="19"/>
        <v>0</v>
      </c>
      <c r="AE27" s="32">
        <f t="shared" si="19"/>
        <v>67</v>
      </c>
      <c r="AF27" s="32">
        <f t="shared" si="19"/>
        <v>213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3</v>
      </c>
      <c r="P28" s="15">
        <f t="shared" si="1"/>
        <v>11</v>
      </c>
      <c r="R28" s="5" t="s">
        <v>17</v>
      </c>
      <c r="S28" s="16">
        <f t="shared" ref="S28:AF28" si="20">SUM(S10:S21)</f>
        <v>53</v>
      </c>
      <c r="T28" s="16">
        <f t="shared" si="20"/>
        <v>22</v>
      </c>
      <c r="U28" s="16">
        <f t="shared" si="20"/>
        <v>29</v>
      </c>
      <c r="V28" s="16">
        <f t="shared" si="20"/>
        <v>92</v>
      </c>
      <c r="W28" s="16">
        <f t="shared" si="20"/>
        <v>0</v>
      </c>
      <c r="X28" s="16">
        <f t="shared" si="20"/>
        <v>0</v>
      </c>
      <c r="Y28" s="16">
        <f t="shared" si="20"/>
        <v>14</v>
      </c>
      <c r="Z28" s="16">
        <f t="shared" si="20"/>
        <v>17</v>
      </c>
      <c r="AA28" s="16">
        <f t="shared" si="20"/>
        <v>7</v>
      </c>
      <c r="AB28" s="16">
        <f t="shared" si="20"/>
        <v>0</v>
      </c>
      <c r="AC28" s="16">
        <f t="shared" si="20"/>
        <v>545</v>
      </c>
      <c r="AD28" s="16">
        <f t="shared" si="20"/>
        <v>0</v>
      </c>
      <c r="AE28" s="32">
        <f t="shared" si="20"/>
        <v>234</v>
      </c>
      <c r="AF28" s="32">
        <f t="shared" si="20"/>
        <v>779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3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9</v>
      </c>
      <c r="N30" s="50">
        <v>0</v>
      </c>
      <c r="O30" s="15">
        <f t="shared" si="0"/>
        <v>4</v>
      </c>
      <c r="P30" s="15">
        <f t="shared" si="1"/>
        <v>13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3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2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5</v>
      </c>
      <c r="P33" s="15">
        <f t="shared" si="1"/>
        <v>15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4</v>
      </c>
      <c r="P34" s="15">
        <f t="shared" si="1"/>
        <v>15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4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3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2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2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0</v>
      </c>
      <c r="F39" s="50">
        <v>3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6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3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1</v>
      </c>
      <c r="F41" s="50">
        <v>3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10</v>
      </c>
      <c r="P41" s="15">
        <f t="shared" si="1"/>
        <v>21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3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8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1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4</v>
      </c>
      <c r="P43" s="15">
        <f t="shared" si="1"/>
        <v>21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1</v>
      </c>
      <c r="F44" s="50">
        <v>3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9</v>
      </c>
      <c r="P44" s="15">
        <f t="shared" si="1"/>
        <v>24</v>
      </c>
    </row>
    <row r="45" spans="2:20" ht="23.1" customHeight="1" x14ac:dyDescent="0.25">
      <c r="B45" s="23" t="s">
        <v>72</v>
      </c>
      <c r="C45" s="50">
        <v>0</v>
      </c>
      <c r="D45" s="50">
        <v>2</v>
      </c>
      <c r="E45" s="50">
        <v>1</v>
      </c>
      <c r="F45" s="50">
        <v>2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7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3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4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6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5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4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4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14</v>
      </c>
      <c r="N50" s="50">
        <v>0</v>
      </c>
      <c r="O50" s="15">
        <f t="shared" si="0"/>
        <v>6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2</v>
      </c>
      <c r="E51" s="50">
        <v>0</v>
      </c>
      <c r="F51" s="50">
        <v>3</v>
      </c>
      <c r="G51" s="50">
        <v>0</v>
      </c>
      <c r="H51" s="50">
        <v>0</v>
      </c>
      <c r="I51" s="50">
        <v>0</v>
      </c>
      <c r="J51" s="50">
        <v>1</v>
      </c>
      <c r="K51" s="50">
        <v>1</v>
      </c>
      <c r="L51" s="50">
        <v>0</v>
      </c>
      <c r="M51" s="50">
        <v>8</v>
      </c>
      <c r="N51" s="50">
        <v>0</v>
      </c>
      <c r="O51" s="15">
        <f t="shared" si="0"/>
        <v>7</v>
      </c>
      <c r="P51" s="15">
        <f t="shared" si="1"/>
        <v>15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3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6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2</v>
      </c>
      <c r="F53" s="50">
        <v>2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6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2</v>
      </c>
      <c r="F54" s="50">
        <v>1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7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2</v>
      </c>
      <c r="L55" s="50">
        <v>0</v>
      </c>
      <c r="M55" s="50">
        <v>11</v>
      </c>
      <c r="N55" s="50">
        <v>0</v>
      </c>
      <c r="O55" s="15">
        <f t="shared" si="0"/>
        <v>6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2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10</v>
      </c>
      <c r="N56" s="50">
        <v>0</v>
      </c>
      <c r="O56" s="15">
        <f t="shared" si="0"/>
        <v>4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2</v>
      </c>
      <c r="E57" s="50">
        <v>1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7</v>
      </c>
      <c r="P57" s="15">
        <f t="shared" si="1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53</v>
      </c>
      <c r="D58" s="16">
        <f t="shared" si="21"/>
        <v>22</v>
      </c>
      <c r="E58" s="16">
        <f t="shared" si="21"/>
        <v>29</v>
      </c>
      <c r="F58" s="16">
        <f t="shared" si="21"/>
        <v>92</v>
      </c>
      <c r="G58" s="16">
        <f t="shared" si="21"/>
        <v>0</v>
      </c>
      <c r="H58" s="16">
        <f t="shared" si="21"/>
        <v>0</v>
      </c>
      <c r="I58" s="16">
        <f t="shared" si="21"/>
        <v>14</v>
      </c>
      <c r="J58" s="16">
        <f t="shared" si="21"/>
        <v>17</v>
      </c>
      <c r="K58" s="16">
        <f t="shared" si="21"/>
        <v>7</v>
      </c>
      <c r="L58" s="16">
        <f t="shared" si="21"/>
        <v>0</v>
      </c>
      <c r="M58" s="16">
        <f t="shared" si="21"/>
        <v>545</v>
      </c>
      <c r="N58" s="16">
        <f t="shared" si="21"/>
        <v>0</v>
      </c>
      <c r="O58" s="16">
        <f t="shared" si="21"/>
        <v>234</v>
      </c>
      <c r="P58" s="16">
        <f t="shared" si="21"/>
        <v>779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6.8035943517329917E-2</v>
      </c>
      <c r="D59" s="43">
        <f t="shared" si="22"/>
        <v>2.8241335044929396E-2</v>
      </c>
      <c r="E59" s="43">
        <f t="shared" si="22"/>
        <v>3.7227214377406934E-2</v>
      </c>
      <c r="F59" s="43">
        <f t="shared" si="22"/>
        <v>0.11810012836970475</v>
      </c>
      <c r="G59" s="43">
        <f t="shared" si="22"/>
        <v>0</v>
      </c>
      <c r="H59" s="43">
        <f t="shared" si="22"/>
        <v>0</v>
      </c>
      <c r="I59" s="43">
        <f t="shared" si="22"/>
        <v>1.7971758664955071E-2</v>
      </c>
      <c r="J59" s="43">
        <f t="shared" si="22"/>
        <v>2.1822849807445442E-2</v>
      </c>
      <c r="K59" s="43">
        <f t="shared" si="22"/>
        <v>8.9858793324775355E-3</v>
      </c>
      <c r="L59" s="43">
        <f t="shared" si="22"/>
        <v>0</v>
      </c>
      <c r="M59" s="43">
        <f t="shared" si="22"/>
        <v>0.69961489088575102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0.2264957264957265</v>
      </c>
      <c r="D60" s="44">
        <f t="shared" ref="D60:N60" si="23">D58/$O$58</f>
        <v>9.4017094017094016E-2</v>
      </c>
      <c r="E60" s="44">
        <f t="shared" si="23"/>
        <v>0.12393162393162394</v>
      </c>
      <c r="F60" s="44">
        <f t="shared" si="23"/>
        <v>0.39316239316239315</v>
      </c>
      <c r="G60" s="44">
        <f t="shared" si="23"/>
        <v>0</v>
      </c>
      <c r="H60" s="44">
        <f t="shared" si="23"/>
        <v>0</v>
      </c>
      <c r="I60" s="44">
        <f t="shared" si="23"/>
        <v>5.9829059829059832E-2</v>
      </c>
      <c r="J60" s="44">
        <f t="shared" si="23"/>
        <v>7.2649572649572655E-2</v>
      </c>
      <c r="K60" s="44">
        <f t="shared" si="23"/>
        <v>2.9914529914529916E-2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SheetLayoutView="100" workbookViewId="0">
      <selection activeCell="J13" sqref="J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176</v>
      </c>
      <c r="E5" s="3"/>
      <c r="F5" s="41" t="s">
        <v>1</v>
      </c>
      <c r="G5" s="58" t="str">
        <f>'21.10 MADDU-KANONI'!G5:H5</f>
        <v>KANONI</v>
      </c>
      <c r="H5" s="59"/>
      <c r="I5" s="14"/>
      <c r="J5" s="2" t="s">
        <v>5</v>
      </c>
      <c r="K5" s="58" t="str">
        <f>'21.10 MADDU-KANONI'!K5:L5</f>
        <v>FELIX OLOYA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KANONI-MADDU'!D6:E6</f>
        <v>KANONI</v>
      </c>
      <c r="E6" s="59"/>
      <c r="F6" s="2" t="s">
        <v>2</v>
      </c>
      <c r="G6" s="58" t="str">
        <f>'17.10 KANONI-MADDU'!G6:H6</f>
        <v>MADDU</v>
      </c>
      <c r="H6" s="59"/>
      <c r="J6" s="2" t="s">
        <v>21</v>
      </c>
      <c r="K6" s="58" t="str">
        <f>'21.10 MADDU-KANONI'!K6:L6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27</v>
      </c>
      <c r="AD10" s="17">
        <f t="shared" si="2"/>
        <v>0</v>
      </c>
      <c r="AE10" s="31">
        <f t="shared" si="2"/>
        <v>14</v>
      </c>
      <c r="AF10" s="31">
        <f t="shared" si="2"/>
        <v>41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2</v>
      </c>
      <c r="P11" s="15">
        <f t="shared" si="1"/>
        <v>12</v>
      </c>
      <c r="R11" s="1" t="s">
        <v>7</v>
      </c>
      <c r="S11" s="17">
        <f t="shared" ref="S11:AF11" si="3">SUM(C14:C17)</f>
        <v>9</v>
      </c>
      <c r="T11" s="17">
        <f t="shared" si="3"/>
        <v>1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30</v>
      </c>
      <c r="AD11" s="17">
        <f t="shared" si="3"/>
        <v>0</v>
      </c>
      <c r="AE11" s="31">
        <f t="shared" si="3"/>
        <v>23</v>
      </c>
      <c r="AF11" s="31">
        <f t="shared" si="3"/>
        <v>53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7</v>
      </c>
      <c r="P12" s="15">
        <f t="shared" si="1"/>
        <v>11</v>
      </c>
      <c r="R12" s="1" t="s">
        <v>8</v>
      </c>
      <c r="S12" s="17">
        <f t="shared" ref="S12:AF12" si="4">SUM(C18:C21)</f>
        <v>3</v>
      </c>
      <c r="T12" s="17">
        <f t="shared" si="4"/>
        <v>7</v>
      </c>
      <c r="U12" s="17">
        <f t="shared" si="4"/>
        <v>4</v>
      </c>
      <c r="V12" s="17">
        <f t="shared" si="4"/>
        <v>8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32</v>
      </c>
      <c r="AD12" s="17">
        <f t="shared" si="4"/>
        <v>0</v>
      </c>
      <c r="AE12" s="31">
        <f t="shared" si="4"/>
        <v>26</v>
      </c>
      <c r="AF12" s="31">
        <f t="shared" si="4"/>
        <v>58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1</v>
      </c>
      <c r="F13" s="50">
        <v>1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4</v>
      </c>
      <c r="P13" s="15">
        <f t="shared" si="1"/>
        <v>12</v>
      </c>
      <c r="R13" s="1" t="s">
        <v>9</v>
      </c>
      <c r="S13" s="17">
        <f t="shared" ref="S13:AF13" si="5">SUM(C22:C25)</f>
        <v>15</v>
      </c>
      <c r="T13" s="17">
        <f t="shared" si="5"/>
        <v>3</v>
      </c>
      <c r="U13" s="17">
        <f t="shared" si="5"/>
        <v>1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42</v>
      </c>
      <c r="AD13" s="17">
        <f t="shared" si="5"/>
        <v>0</v>
      </c>
      <c r="AE13" s="31">
        <f t="shared" si="5"/>
        <v>32</v>
      </c>
      <c r="AF13" s="31">
        <f t="shared" si="5"/>
        <v>74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6</v>
      </c>
      <c r="P14" s="15">
        <f t="shared" si="1"/>
        <v>13</v>
      </c>
      <c r="R14" s="1" t="s">
        <v>10</v>
      </c>
      <c r="S14" s="17">
        <f t="shared" ref="S14:AF14" si="6">SUM(C26:C29)</f>
        <v>15</v>
      </c>
      <c r="T14" s="17">
        <f t="shared" si="6"/>
        <v>1</v>
      </c>
      <c r="U14" s="17">
        <f t="shared" si="6"/>
        <v>5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73</v>
      </c>
      <c r="AD14" s="17">
        <f t="shared" si="6"/>
        <v>0</v>
      </c>
      <c r="AE14" s="31">
        <f t="shared" si="6"/>
        <v>29</v>
      </c>
      <c r="AF14" s="31">
        <f t="shared" si="6"/>
        <v>102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4</v>
      </c>
      <c r="P15" s="15">
        <f t="shared" si="1"/>
        <v>20</v>
      </c>
      <c r="R15" s="1" t="s">
        <v>11</v>
      </c>
      <c r="S15" s="17">
        <f t="shared" ref="S15:AF15" si="7">SUM(C30:C33)</f>
        <v>13</v>
      </c>
      <c r="T15" s="17">
        <f t="shared" si="7"/>
        <v>0</v>
      </c>
      <c r="U15" s="17">
        <f t="shared" si="7"/>
        <v>6</v>
      </c>
      <c r="V15" s="17">
        <f t="shared" si="7"/>
        <v>13</v>
      </c>
      <c r="W15" s="17">
        <f t="shared" si="7"/>
        <v>1</v>
      </c>
      <c r="X15" s="17">
        <f t="shared" si="7"/>
        <v>0</v>
      </c>
      <c r="Y15" s="17">
        <f t="shared" si="7"/>
        <v>4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41</v>
      </c>
      <c r="AF15" s="31">
        <f t="shared" si="7"/>
        <v>82</v>
      </c>
    </row>
    <row r="16" spans="2:32" ht="23.1" customHeight="1" x14ac:dyDescent="0.25">
      <c r="B16" s="23" t="s">
        <v>43</v>
      </c>
      <c r="C16" s="50">
        <v>3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4</v>
      </c>
      <c r="J16" s="50">
        <v>2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10</v>
      </c>
      <c r="P16" s="15">
        <f t="shared" si="1"/>
        <v>15</v>
      </c>
      <c r="R16" s="1" t="s">
        <v>12</v>
      </c>
      <c r="S16" s="17">
        <f t="shared" ref="S16:AF16" si="8">SUM(C34:C37)</f>
        <v>15</v>
      </c>
      <c r="T16" s="17">
        <f t="shared" si="8"/>
        <v>4</v>
      </c>
      <c r="U16" s="17">
        <f t="shared" si="8"/>
        <v>3</v>
      </c>
      <c r="V16" s="17">
        <f t="shared" si="8"/>
        <v>17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41</v>
      </c>
      <c r="AD16" s="17">
        <f t="shared" si="8"/>
        <v>0</v>
      </c>
      <c r="AE16" s="31">
        <f t="shared" si="8"/>
        <v>43</v>
      </c>
      <c r="AF16" s="31">
        <f t="shared" si="8"/>
        <v>84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3</v>
      </c>
      <c r="P17" s="15">
        <f t="shared" si="1"/>
        <v>5</v>
      </c>
      <c r="R17" s="1" t="s">
        <v>13</v>
      </c>
      <c r="S17" s="17">
        <f t="shared" ref="S17:AF17" si="9">SUM(C38:C41)</f>
        <v>18</v>
      </c>
      <c r="T17" s="17">
        <f t="shared" si="9"/>
        <v>2</v>
      </c>
      <c r="U17" s="17">
        <f t="shared" si="9"/>
        <v>2</v>
      </c>
      <c r="V17" s="17">
        <f t="shared" si="9"/>
        <v>17</v>
      </c>
      <c r="W17" s="17">
        <f t="shared" si="9"/>
        <v>1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46</v>
      </c>
      <c r="AD17" s="17">
        <f t="shared" si="9"/>
        <v>0</v>
      </c>
      <c r="AE17" s="31">
        <f t="shared" si="9"/>
        <v>48</v>
      </c>
      <c r="AF17" s="31">
        <f t="shared" si="9"/>
        <v>94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3</v>
      </c>
      <c r="P18" s="15">
        <f t="shared" si="1"/>
        <v>6</v>
      </c>
      <c r="R18" s="1" t="s">
        <v>14</v>
      </c>
      <c r="S18" s="17">
        <f t="shared" ref="S18:AF18" si="10">SUM(C42:C45)</f>
        <v>7</v>
      </c>
      <c r="T18" s="17">
        <f t="shared" si="10"/>
        <v>1</v>
      </c>
      <c r="U18" s="17">
        <f t="shared" si="10"/>
        <v>2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3</v>
      </c>
      <c r="AA18" s="17">
        <f t="shared" si="10"/>
        <v>0</v>
      </c>
      <c r="AB18" s="17">
        <f t="shared" si="10"/>
        <v>1</v>
      </c>
      <c r="AC18" s="17">
        <f t="shared" si="10"/>
        <v>46</v>
      </c>
      <c r="AD18" s="17">
        <f t="shared" si="10"/>
        <v>0</v>
      </c>
      <c r="AE18" s="31">
        <f t="shared" si="10"/>
        <v>22</v>
      </c>
      <c r="AF18" s="31">
        <f t="shared" si="10"/>
        <v>68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3</v>
      </c>
      <c r="P19" s="15">
        <f t="shared" si="1"/>
        <v>9</v>
      </c>
      <c r="R19" s="1" t="s">
        <v>15</v>
      </c>
      <c r="S19" s="17">
        <f t="shared" ref="S19:AF19" si="11">SUM(C46:C49)</f>
        <v>10</v>
      </c>
      <c r="T19" s="17">
        <f t="shared" si="11"/>
        <v>0</v>
      </c>
      <c r="U19" s="17">
        <f t="shared" si="11"/>
        <v>2</v>
      </c>
      <c r="V19" s="17">
        <f t="shared" si="11"/>
        <v>10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43</v>
      </c>
      <c r="AD19" s="17">
        <f t="shared" si="11"/>
        <v>0</v>
      </c>
      <c r="AE19" s="31">
        <f t="shared" si="11"/>
        <v>30</v>
      </c>
      <c r="AF19" s="31">
        <f t="shared" si="11"/>
        <v>73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1</v>
      </c>
      <c r="F20" s="50">
        <v>4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9</v>
      </c>
      <c r="P20" s="15">
        <f t="shared" si="1"/>
        <v>21</v>
      </c>
      <c r="R20" s="1" t="s">
        <v>16</v>
      </c>
      <c r="S20" s="17">
        <f t="shared" ref="S20:AF20" si="12">SUM(C50:C53)</f>
        <v>11</v>
      </c>
      <c r="T20" s="17">
        <f t="shared" si="12"/>
        <v>2</v>
      </c>
      <c r="U20" s="17">
        <f t="shared" si="12"/>
        <v>2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2</v>
      </c>
      <c r="AA20" s="17">
        <f t="shared" si="12"/>
        <v>2</v>
      </c>
      <c r="AB20" s="17">
        <f t="shared" si="12"/>
        <v>0</v>
      </c>
      <c r="AC20" s="17">
        <f t="shared" si="12"/>
        <v>53</v>
      </c>
      <c r="AD20" s="17">
        <f t="shared" si="12"/>
        <v>0</v>
      </c>
      <c r="AE20" s="31">
        <f t="shared" si="12"/>
        <v>27</v>
      </c>
      <c r="AF20" s="31">
        <f t="shared" si="12"/>
        <v>80</v>
      </c>
    </row>
    <row r="21" spans="2:32" ht="23.1" customHeight="1" x14ac:dyDescent="0.25">
      <c r="B21" s="23" t="s">
        <v>48</v>
      </c>
      <c r="C21" s="50">
        <v>1</v>
      </c>
      <c r="D21" s="50">
        <v>4</v>
      </c>
      <c r="E21" s="50">
        <v>3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11</v>
      </c>
      <c r="P21" s="15">
        <f t="shared" si="1"/>
        <v>22</v>
      </c>
      <c r="R21" s="36" t="s">
        <v>20</v>
      </c>
      <c r="S21" s="34">
        <f t="shared" ref="S21:AF21" si="13">SUM(C54:C57)</f>
        <v>8</v>
      </c>
      <c r="T21" s="17">
        <f t="shared" si="13"/>
        <v>1</v>
      </c>
      <c r="U21" s="17">
        <f t="shared" si="13"/>
        <v>1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32</v>
      </c>
      <c r="AD21" s="17">
        <f t="shared" si="13"/>
        <v>0</v>
      </c>
      <c r="AE21" s="31">
        <f t="shared" si="13"/>
        <v>16</v>
      </c>
      <c r="AF21" s="31">
        <f t="shared" si="13"/>
        <v>48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2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8</v>
      </c>
      <c r="P22" s="15">
        <f t="shared" si="1"/>
        <v>19</v>
      </c>
      <c r="R22" s="38" t="s">
        <v>90</v>
      </c>
      <c r="S22" s="39">
        <f>MAX(S10:S12)</f>
        <v>9</v>
      </c>
      <c r="T22" s="39">
        <f t="shared" ref="T22:AF22" si="14">MAX(T10:T12)</f>
        <v>7</v>
      </c>
      <c r="U22" s="39">
        <f t="shared" si="14"/>
        <v>4</v>
      </c>
      <c r="V22" s="39">
        <f t="shared" si="14"/>
        <v>8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32</v>
      </c>
      <c r="AD22" s="39">
        <f t="shared" si="14"/>
        <v>0</v>
      </c>
      <c r="AE22" s="40">
        <f t="shared" si="14"/>
        <v>26</v>
      </c>
      <c r="AF22" s="40">
        <f t="shared" si="14"/>
        <v>58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8</v>
      </c>
      <c r="P23" s="15">
        <f t="shared" si="1"/>
        <v>24</v>
      </c>
      <c r="R23" s="38" t="s">
        <v>91</v>
      </c>
      <c r="S23" s="39">
        <f>MAX(S13:S18)</f>
        <v>18</v>
      </c>
      <c r="T23" s="39">
        <f t="shared" ref="T23:AF23" si="15">MAX(T13:T18)</f>
        <v>4</v>
      </c>
      <c r="U23" s="39">
        <f t="shared" si="15"/>
        <v>6</v>
      </c>
      <c r="V23" s="39">
        <f t="shared" si="15"/>
        <v>17</v>
      </c>
      <c r="W23" s="39">
        <f t="shared" si="15"/>
        <v>1</v>
      </c>
      <c r="X23" s="39">
        <f t="shared" si="15"/>
        <v>0</v>
      </c>
      <c r="Y23" s="39">
        <f t="shared" si="15"/>
        <v>6</v>
      </c>
      <c r="Z23" s="39">
        <f t="shared" si="15"/>
        <v>3</v>
      </c>
      <c r="AA23" s="39">
        <f t="shared" si="15"/>
        <v>1</v>
      </c>
      <c r="AB23" s="39">
        <f t="shared" si="15"/>
        <v>1</v>
      </c>
      <c r="AC23" s="39">
        <f t="shared" si="15"/>
        <v>73</v>
      </c>
      <c r="AD23" s="39">
        <f t="shared" si="15"/>
        <v>0</v>
      </c>
      <c r="AE23" s="40">
        <f t="shared" si="15"/>
        <v>48</v>
      </c>
      <c r="AF23" s="40">
        <f t="shared" si="15"/>
        <v>102</v>
      </c>
    </row>
    <row r="24" spans="2:32" ht="23.1" customHeight="1" x14ac:dyDescent="0.25">
      <c r="B24" s="23" t="s">
        <v>51</v>
      </c>
      <c r="C24" s="50">
        <v>6</v>
      </c>
      <c r="D24" s="50">
        <v>2</v>
      </c>
      <c r="E24" s="50">
        <v>0</v>
      </c>
      <c r="F24" s="50">
        <v>3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12</v>
      </c>
      <c r="P24" s="15">
        <f t="shared" si="1"/>
        <v>21</v>
      </c>
      <c r="R24" s="38" t="s">
        <v>92</v>
      </c>
      <c r="S24" s="39">
        <f>MAX(S19:S21)</f>
        <v>11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10</v>
      </c>
      <c r="W24" s="39">
        <f t="shared" si="16"/>
        <v>1</v>
      </c>
      <c r="X24" s="39">
        <f t="shared" si="16"/>
        <v>0</v>
      </c>
      <c r="Y24" s="39">
        <f t="shared" si="16"/>
        <v>2</v>
      </c>
      <c r="Z24" s="39">
        <f t="shared" si="16"/>
        <v>5</v>
      </c>
      <c r="AA24" s="39">
        <f t="shared" si="16"/>
        <v>2</v>
      </c>
      <c r="AB24" s="39">
        <f t="shared" si="16"/>
        <v>0</v>
      </c>
      <c r="AC24" s="39">
        <f t="shared" si="16"/>
        <v>53</v>
      </c>
      <c r="AD24" s="39">
        <f t="shared" si="16"/>
        <v>0</v>
      </c>
      <c r="AE24" s="40">
        <f t="shared" si="16"/>
        <v>30</v>
      </c>
      <c r="AF24" s="40">
        <f t="shared" si="16"/>
        <v>80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4</v>
      </c>
      <c r="P25" s="15">
        <f t="shared" si="1"/>
        <v>10</v>
      </c>
      <c r="R25" s="37" t="s">
        <v>85</v>
      </c>
      <c r="S25" s="35">
        <f t="shared" ref="S25:AF25" si="17">SUM(S10:S12)</f>
        <v>14</v>
      </c>
      <c r="T25" s="16">
        <f t="shared" si="17"/>
        <v>9</v>
      </c>
      <c r="U25" s="16">
        <f t="shared" si="17"/>
        <v>8</v>
      </c>
      <c r="V25" s="16">
        <f t="shared" si="17"/>
        <v>11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11</v>
      </c>
      <c r="AA25" s="16">
        <f t="shared" si="17"/>
        <v>0</v>
      </c>
      <c r="AB25" s="16">
        <f t="shared" si="17"/>
        <v>0</v>
      </c>
      <c r="AC25" s="16">
        <f t="shared" si="17"/>
        <v>89</v>
      </c>
      <c r="AD25" s="16">
        <f t="shared" si="17"/>
        <v>0</v>
      </c>
      <c r="AE25" s="32">
        <f t="shared" si="17"/>
        <v>63</v>
      </c>
      <c r="AF25" s="32">
        <f t="shared" si="17"/>
        <v>152</v>
      </c>
    </row>
    <row r="26" spans="2:32" ht="23.1" customHeight="1" x14ac:dyDescent="0.25">
      <c r="B26" s="23" t="s">
        <v>53</v>
      </c>
      <c r="C26" s="50">
        <v>8</v>
      </c>
      <c r="D26" s="50">
        <v>0</v>
      </c>
      <c r="E26" s="50">
        <v>1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11</v>
      </c>
      <c r="P26" s="15">
        <f t="shared" si="1"/>
        <v>38</v>
      </c>
      <c r="R26" s="28" t="s">
        <v>86</v>
      </c>
      <c r="S26" s="16">
        <f t="shared" ref="S26:AF26" si="18">SUM(S13:S18)</f>
        <v>83</v>
      </c>
      <c r="T26" s="16">
        <f t="shared" si="18"/>
        <v>11</v>
      </c>
      <c r="U26" s="16">
        <f t="shared" si="18"/>
        <v>19</v>
      </c>
      <c r="V26" s="16">
        <f t="shared" si="18"/>
        <v>67</v>
      </c>
      <c r="W26" s="16">
        <f t="shared" si="18"/>
        <v>2</v>
      </c>
      <c r="X26" s="16">
        <f t="shared" si="18"/>
        <v>0</v>
      </c>
      <c r="Y26" s="16">
        <f t="shared" si="18"/>
        <v>19</v>
      </c>
      <c r="Z26" s="16">
        <f t="shared" si="18"/>
        <v>11</v>
      </c>
      <c r="AA26" s="16">
        <f t="shared" si="18"/>
        <v>2</v>
      </c>
      <c r="AB26" s="16">
        <f t="shared" si="18"/>
        <v>1</v>
      </c>
      <c r="AC26" s="16">
        <f t="shared" si="18"/>
        <v>289</v>
      </c>
      <c r="AD26" s="16">
        <f t="shared" si="18"/>
        <v>0</v>
      </c>
      <c r="AE26" s="32">
        <f t="shared" si="18"/>
        <v>215</v>
      </c>
      <c r="AF26" s="32">
        <f t="shared" si="18"/>
        <v>504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19</v>
      </c>
      <c r="N27" s="50">
        <v>0</v>
      </c>
      <c r="O27" s="15">
        <f t="shared" si="0"/>
        <v>5</v>
      </c>
      <c r="P27" s="15">
        <f t="shared" si="1"/>
        <v>24</v>
      </c>
      <c r="R27" s="29" t="s">
        <v>87</v>
      </c>
      <c r="S27" s="16">
        <f t="shared" ref="S27:AF27" si="19">SUM(S19:S21)</f>
        <v>29</v>
      </c>
      <c r="T27" s="16">
        <f t="shared" si="19"/>
        <v>3</v>
      </c>
      <c r="U27" s="16">
        <f t="shared" si="19"/>
        <v>5</v>
      </c>
      <c r="V27" s="16">
        <f t="shared" si="19"/>
        <v>22</v>
      </c>
      <c r="W27" s="16">
        <f t="shared" si="19"/>
        <v>1</v>
      </c>
      <c r="X27" s="16">
        <f t="shared" si="19"/>
        <v>0</v>
      </c>
      <c r="Y27" s="16">
        <f t="shared" si="19"/>
        <v>4</v>
      </c>
      <c r="Z27" s="16">
        <f t="shared" si="19"/>
        <v>7</v>
      </c>
      <c r="AA27" s="16">
        <f t="shared" si="19"/>
        <v>2</v>
      </c>
      <c r="AB27" s="16">
        <f t="shared" si="19"/>
        <v>0</v>
      </c>
      <c r="AC27" s="16">
        <f t="shared" si="19"/>
        <v>128</v>
      </c>
      <c r="AD27" s="16">
        <f t="shared" si="19"/>
        <v>0</v>
      </c>
      <c r="AE27" s="32">
        <f t="shared" si="19"/>
        <v>73</v>
      </c>
      <c r="AF27" s="32">
        <f t="shared" si="19"/>
        <v>201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2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5">
        <f t="shared" si="0"/>
        <v>7</v>
      </c>
      <c r="P28" s="15">
        <f t="shared" si="1"/>
        <v>20</v>
      </c>
      <c r="R28" s="5" t="s">
        <v>17</v>
      </c>
      <c r="S28" s="16">
        <f t="shared" ref="S28:AF28" si="20">SUM(S10:S21)</f>
        <v>126</v>
      </c>
      <c r="T28" s="16">
        <f t="shared" si="20"/>
        <v>23</v>
      </c>
      <c r="U28" s="16">
        <f t="shared" si="20"/>
        <v>32</v>
      </c>
      <c r="V28" s="16">
        <f t="shared" si="20"/>
        <v>100</v>
      </c>
      <c r="W28" s="16">
        <f t="shared" si="20"/>
        <v>3</v>
      </c>
      <c r="X28" s="16">
        <f t="shared" si="20"/>
        <v>0</v>
      </c>
      <c r="Y28" s="16">
        <f t="shared" si="20"/>
        <v>33</v>
      </c>
      <c r="Z28" s="16">
        <f t="shared" si="20"/>
        <v>29</v>
      </c>
      <c r="AA28" s="16">
        <f t="shared" si="20"/>
        <v>4</v>
      </c>
      <c r="AB28" s="16">
        <f t="shared" si="20"/>
        <v>1</v>
      </c>
      <c r="AC28" s="16">
        <f t="shared" si="20"/>
        <v>506</v>
      </c>
      <c r="AD28" s="16">
        <f t="shared" si="20"/>
        <v>0</v>
      </c>
      <c r="AE28" s="32">
        <f t="shared" si="20"/>
        <v>351</v>
      </c>
      <c r="AF28" s="32">
        <f t="shared" si="20"/>
        <v>857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2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6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0</v>
      </c>
      <c r="E30" s="50">
        <v>2</v>
      </c>
      <c r="F30" s="50">
        <v>5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14</v>
      </c>
      <c r="P30" s="15">
        <f t="shared" si="1"/>
        <v>27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6</v>
      </c>
      <c r="P31" s="15">
        <f t="shared" si="1"/>
        <v>18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3</v>
      </c>
      <c r="F32" s="50">
        <v>4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0</v>
      </c>
      <c r="M32" s="50">
        <v>7</v>
      </c>
      <c r="N32" s="50">
        <v>0</v>
      </c>
      <c r="O32" s="15">
        <f t="shared" si="0"/>
        <v>11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3</v>
      </c>
      <c r="G33" s="50">
        <v>1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10</v>
      </c>
      <c r="P33" s="15">
        <f t="shared" si="1"/>
        <v>19</v>
      </c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1</v>
      </c>
      <c r="F34" s="50">
        <v>4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13</v>
      </c>
      <c r="P34" s="15">
        <f t="shared" si="1"/>
        <v>22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1</v>
      </c>
      <c r="F35" s="50">
        <v>7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14</v>
      </c>
      <c r="P35" s="15">
        <f t="shared" si="1"/>
        <v>22</v>
      </c>
    </row>
    <row r="36" spans="2:20" ht="23.1" customHeight="1" x14ac:dyDescent="0.25">
      <c r="B36" s="24" t="s">
        <v>63</v>
      </c>
      <c r="C36" s="50">
        <v>2</v>
      </c>
      <c r="D36" s="50">
        <v>1</v>
      </c>
      <c r="E36" s="50">
        <v>1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8</v>
      </c>
      <c r="P36" s="15">
        <f t="shared" si="1"/>
        <v>23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0</v>
      </c>
      <c r="F37" s="50">
        <v>3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8</v>
      </c>
      <c r="P37" s="15">
        <f t="shared" si="1"/>
        <v>17</v>
      </c>
    </row>
    <row r="38" spans="2:20" ht="23.1" customHeight="1" x14ac:dyDescent="0.25">
      <c r="B38" s="24" t="s">
        <v>65</v>
      </c>
      <c r="C38" s="50">
        <v>5</v>
      </c>
      <c r="D38" s="50">
        <v>1</v>
      </c>
      <c r="E38" s="50">
        <v>0</v>
      </c>
      <c r="F38" s="50">
        <v>6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0</v>
      </c>
      <c r="M38" s="50">
        <v>17</v>
      </c>
      <c r="N38" s="50">
        <v>0</v>
      </c>
      <c r="O38" s="15">
        <f t="shared" si="0"/>
        <v>16</v>
      </c>
      <c r="P38" s="15">
        <f t="shared" si="1"/>
        <v>33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2</v>
      </c>
      <c r="F39" s="50">
        <v>1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8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4</v>
      </c>
      <c r="G40" s="50">
        <v>1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11</v>
      </c>
      <c r="P40" s="15">
        <f t="shared" si="1"/>
        <v>24</v>
      </c>
    </row>
    <row r="41" spans="2:20" ht="23.1" customHeight="1" x14ac:dyDescent="0.25">
      <c r="B41" s="23" t="s">
        <v>68</v>
      </c>
      <c r="C41" s="50">
        <v>6</v>
      </c>
      <c r="D41" s="50">
        <v>1</v>
      </c>
      <c r="E41" s="50">
        <v>0</v>
      </c>
      <c r="F41" s="50">
        <v>6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13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9</v>
      </c>
      <c r="P42" s="15">
        <f t="shared" si="1"/>
        <v>23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4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1</v>
      </c>
      <c r="M43" s="50">
        <v>12</v>
      </c>
      <c r="N43" s="50">
        <v>0</v>
      </c>
      <c r="O43" s="15">
        <f t="shared" si="0"/>
        <v>6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4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3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2</v>
      </c>
      <c r="F46" s="50">
        <v>3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13</v>
      </c>
      <c r="N46" s="50">
        <v>0</v>
      </c>
      <c r="O46" s="15">
        <f t="shared" si="0"/>
        <v>10</v>
      </c>
      <c r="P46" s="15">
        <f t="shared" si="1"/>
        <v>23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5</v>
      </c>
      <c r="G47" s="50">
        <v>1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10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4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12</v>
      </c>
      <c r="N49" s="50">
        <v>0</v>
      </c>
      <c r="O49" s="15">
        <f t="shared" si="0"/>
        <v>6</v>
      </c>
      <c r="P49" s="15">
        <f t="shared" si="1"/>
        <v>18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1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1</v>
      </c>
      <c r="K50" s="50">
        <v>1</v>
      </c>
      <c r="L50" s="50">
        <v>0</v>
      </c>
      <c r="M50" s="50">
        <v>11</v>
      </c>
      <c r="N50" s="50">
        <v>0</v>
      </c>
      <c r="O50" s="15">
        <f t="shared" si="0"/>
        <v>8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1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5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0</v>
      </c>
      <c r="M52" s="50">
        <v>17</v>
      </c>
      <c r="N52" s="50">
        <v>0</v>
      </c>
      <c r="O52" s="15">
        <f t="shared" si="0"/>
        <v>7</v>
      </c>
      <c r="P52" s="15">
        <f t="shared" si="1"/>
        <v>24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7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4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1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</v>
      </c>
      <c r="N55" s="50">
        <v>0</v>
      </c>
      <c r="O55" s="15">
        <f t="shared" si="0"/>
        <v>4</v>
      </c>
      <c r="P55" s="15">
        <f t="shared" si="1"/>
        <v>7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1</v>
      </c>
      <c r="F56" s="50">
        <v>3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8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11</v>
      </c>
      <c r="N57" s="50">
        <v>0</v>
      </c>
      <c r="O57" s="15">
        <f t="shared" si="0"/>
        <v>0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126</v>
      </c>
      <c r="D58" s="16">
        <f t="shared" si="21"/>
        <v>23</v>
      </c>
      <c r="E58" s="16">
        <f t="shared" si="21"/>
        <v>32</v>
      </c>
      <c r="F58" s="16">
        <f t="shared" si="21"/>
        <v>100</v>
      </c>
      <c r="G58" s="16">
        <f t="shared" si="21"/>
        <v>3</v>
      </c>
      <c r="H58" s="16">
        <f t="shared" si="21"/>
        <v>0</v>
      </c>
      <c r="I58" s="16">
        <f t="shared" si="21"/>
        <v>33</v>
      </c>
      <c r="J58" s="16">
        <f t="shared" si="21"/>
        <v>29</v>
      </c>
      <c r="K58" s="16">
        <f t="shared" si="21"/>
        <v>4</v>
      </c>
      <c r="L58" s="16">
        <f t="shared" si="21"/>
        <v>1</v>
      </c>
      <c r="M58" s="16">
        <f t="shared" si="21"/>
        <v>506</v>
      </c>
      <c r="N58" s="16">
        <f t="shared" si="21"/>
        <v>0</v>
      </c>
      <c r="O58" s="16">
        <f t="shared" si="21"/>
        <v>351</v>
      </c>
      <c r="P58" s="16">
        <f t="shared" si="21"/>
        <v>857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0.14702450408401399</v>
      </c>
      <c r="D59" s="43">
        <f t="shared" si="22"/>
        <v>2.6837806301050177E-2</v>
      </c>
      <c r="E59" s="43">
        <f t="shared" si="22"/>
        <v>3.7339556592765458E-2</v>
      </c>
      <c r="F59" s="43">
        <f t="shared" si="22"/>
        <v>0.11668611435239207</v>
      </c>
      <c r="G59" s="43">
        <f t="shared" si="22"/>
        <v>3.5005834305717621E-3</v>
      </c>
      <c r="H59" s="43">
        <f t="shared" si="22"/>
        <v>0</v>
      </c>
      <c r="I59" s="43">
        <f t="shared" si="22"/>
        <v>3.8506417736289385E-2</v>
      </c>
      <c r="J59" s="43">
        <f t="shared" si="22"/>
        <v>3.3838973162193697E-2</v>
      </c>
      <c r="K59" s="43">
        <f t="shared" si="22"/>
        <v>4.6674445740956822E-3</v>
      </c>
      <c r="L59" s="43">
        <f t="shared" si="22"/>
        <v>1.1668611435239206E-3</v>
      </c>
      <c r="M59" s="43">
        <f t="shared" si="22"/>
        <v>0.59043173862310383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0.35897435897435898</v>
      </c>
      <c r="D60" s="44">
        <f t="shared" ref="D60:N60" si="23">D58/$O$58</f>
        <v>6.5527065527065526E-2</v>
      </c>
      <c r="E60" s="44">
        <f t="shared" si="23"/>
        <v>9.1168091168091173E-2</v>
      </c>
      <c r="F60" s="44">
        <f t="shared" si="23"/>
        <v>0.28490028490028491</v>
      </c>
      <c r="G60" s="44">
        <f t="shared" si="23"/>
        <v>8.5470085470085479E-3</v>
      </c>
      <c r="H60" s="44">
        <f t="shared" si="23"/>
        <v>0</v>
      </c>
      <c r="I60" s="44">
        <f t="shared" si="23"/>
        <v>9.4017094017094016E-2</v>
      </c>
      <c r="J60" s="44">
        <f t="shared" si="23"/>
        <v>8.2621082621082614E-2</v>
      </c>
      <c r="K60" s="44">
        <f t="shared" si="23"/>
        <v>1.1396011396011397E-2</v>
      </c>
      <c r="L60" s="44">
        <f t="shared" si="23"/>
        <v>2.8490028490028491E-3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SheetLayoutView="100" workbookViewId="0">
      <selection activeCell="F11" sqref="F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MADDU-KANONI'!C3:G3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'22.10.KANONI-MADDU'!D5</f>
        <v>22.10.2019</v>
      </c>
      <c r="E5" s="3"/>
      <c r="F5" s="41" t="s">
        <v>1</v>
      </c>
      <c r="G5" s="58" t="str">
        <f>'22.10.KANONI-MADDU'!G5:H5</f>
        <v>KANONI</v>
      </c>
      <c r="H5" s="59"/>
      <c r="I5" s="14"/>
      <c r="J5" s="2" t="s">
        <v>5</v>
      </c>
      <c r="K5" s="58" t="s">
        <v>177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MADDU-KANONI'!D6:E6</f>
        <v>MADDU</v>
      </c>
      <c r="E6" s="59"/>
      <c r="F6" s="2" t="s">
        <v>2</v>
      </c>
      <c r="G6" s="58" t="str">
        <f>'17.10 MADDU-KANONI'!G6:H6</f>
        <v>KANONI</v>
      </c>
      <c r="H6" s="59"/>
      <c r="J6" s="2" t="s">
        <v>21</v>
      </c>
      <c r="K6" s="58" t="str">
        <f>'22.10.KANONI-MADDU'!K6:L6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3</v>
      </c>
      <c r="T10" s="17">
        <f t="shared" si="2"/>
        <v>2</v>
      </c>
      <c r="U10" s="17">
        <f t="shared" si="2"/>
        <v>1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35</v>
      </c>
      <c r="AD10" s="17">
        <f t="shared" si="2"/>
        <v>0</v>
      </c>
      <c r="AE10" s="31">
        <f t="shared" si="2"/>
        <v>13</v>
      </c>
      <c r="AF10" s="31">
        <f t="shared" si="2"/>
        <v>48</v>
      </c>
    </row>
    <row r="11" spans="2:32" s="6" customFormat="1" ht="23.1" customHeight="1" x14ac:dyDescent="0.25">
      <c r="B11" s="23" t="s">
        <v>38</v>
      </c>
      <c r="C11" s="50">
        <v>1</v>
      </c>
      <c r="D11" s="50">
        <v>1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4</v>
      </c>
      <c r="P11" s="15">
        <f t="shared" si="1"/>
        <v>14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1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35</v>
      </c>
      <c r="AD11" s="17">
        <f t="shared" si="3"/>
        <v>0</v>
      </c>
      <c r="AE11" s="31">
        <f t="shared" si="3"/>
        <v>20</v>
      </c>
      <c r="AF11" s="31">
        <f t="shared" si="3"/>
        <v>55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1</v>
      </c>
      <c r="P12" s="15">
        <f t="shared" si="1"/>
        <v>12</v>
      </c>
      <c r="R12" s="1" t="s">
        <v>8</v>
      </c>
      <c r="S12" s="17">
        <f t="shared" ref="S12:AF12" si="4">SUM(C18:C21)</f>
        <v>5</v>
      </c>
      <c r="T12" s="17">
        <f t="shared" si="4"/>
        <v>4</v>
      </c>
      <c r="U12" s="17">
        <f t="shared" si="4"/>
        <v>2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17</v>
      </c>
      <c r="AD12" s="17">
        <f t="shared" si="4"/>
        <v>0</v>
      </c>
      <c r="AE12" s="31">
        <f t="shared" si="4"/>
        <v>20</v>
      </c>
      <c r="AF12" s="31">
        <f t="shared" si="4"/>
        <v>37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0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7</v>
      </c>
      <c r="P13" s="15">
        <f t="shared" si="1"/>
        <v>16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2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60</v>
      </c>
      <c r="AD13" s="17">
        <f t="shared" si="5"/>
        <v>0</v>
      </c>
      <c r="AE13" s="31">
        <f t="shared" si="5"/>
        <v>14</v>
      </c>
      <c r="AF13" s="31">
        <f t="shared" si="5"/>
        <v>74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3</v>
      </c>
      <c r="P14" s="15">
        <f t="shared" si="1"/>
        <v>11</v>
      </c>
      <c r="R14" s="1" t="s">
        <v>10</v>
      </c>
      <c r="S14" s="17">
        <f t="shared" ref="S14:AF14" si="6">SUM(C26:C29)</f>
        <v>9</v>
      </c>
      <c r="T14" s="17">
        <f t="shared" si="6"/>
        <v>5</v>
      </c>
      <c r="U14" s="17">
        <f t="shared" si="6"/>
        <v>2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54</v>
      </c>
      <c r="AD14" s="17">
        <f t="shared" si="6"/>
        <v>0</v>
      </c>
      <c r="AE14" s="31">
        <f t="shared" si="6"/>
        <v>22</v>
      </c>
      <c r="AF14" s="31">
        <f t="shared" si="6"/>
        <v>76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3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8</v>
      </c>
      <c r="P15" s="15">
        <f t="shared" si="1"/>
        <v>24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2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9</v>
      </c>
      <c r="AF15" s="31">
        <f t="shared" si="7"/>
        <v>48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3</v>
      </c>
      <c r="P16" s="15">
        <f t="shared" si="1"/>
        <v>10</v>
      </c>
      <c r="R16" s="1" t="s">
        <v>12</v>
      </c>
      <c r="S16" s="17">
        <f t="shared" ref="S16:AF16" si="8">SUM(C34:C37)</f>
        <v>9</v>
      </c>
      <c r="T16" s="17">
        <f t="shared" si="8"/>
        <v>2</v>
      </c>
      <c r="U16" s="17">
        <f t="shared" si="8"/>
        <v>3</v>
      </c>
      <c r="V16" s="17">
        <f t="shared" si="8"/>
        <v>7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43</v>
      </c>
      <c r="AD16" s="17">
        <f t="shared" si="8"/>
        <v>0</v>
      </c>
      <c r="AE16" s="31">
        <f t="shared" si="8"/>
        <v>24</v>
      </c>
      <c r="AF16" s="31">
        <f t="shared" si="8"/>
        <v>67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4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6</v>
      </c>
      <c r="P17" s="15">
        <f t="shared" si="1"/>
        <v>10</v>
      </c>
      <c r="R17" s="1" t="s">
        <v>13</v>
      </c>
      <c r="S17" s="17">
        <f t="shared" ref="S17:AF17" si="9">SUM(C38:C41)</f>
        <v>6</v>
      </c>
      <c r="T17" s="17">
        <f t="shared" si="9"/>
        <v>2</v>
      </c>
      <c r="U17" s="17">
        <f t="shared" si="9"/>
        <v>2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16</v>
      </c>
      <c r="AF17" s="31">
        <f t="shared" si="9"/>
        <v>67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2</v>
      </c>
      <c r="P18" s="15">
        <f t="shared" si="1"/>
        <v>6</v>
      </c>
      <c r="R18" s="1" t="s">
        <v>14</v>
      </c>
      <c r="S18" s="17">
        <f t="shared" ref="S18:AF18" si="10">SUM(C42:C45)</f>
        <v>8</v>
      </c>
      <c r="T18" s="17">
        <f t="shared" si="10"/>
        <v>3</v>
      </c>
      <c r="U18" s="17">
        <f t="shared" si="10"/>
        <v>2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53</v>
      </c>
      <c r="AD18" s="17">
        <f t="shared" si="10"/>
        <v>0</v>
      </c>
      <c r="AE18" s="31">
        <f t="shared" si="10"/>
        <v>27</v>
      </c>
      <c r="AF18" s="31">
        <f t="shared" si="10"/>
        <v>80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2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4</v>
      </c>
      <c r="P19" s="15">
        <f t="shared" si="1"/>
        <v>9</v>
      </c>
      <c r="R19" s="1" t="s">
        <v>15</v>
      </c>
      <c r="S19" s="17">
        <f t="shared" ref="S19:AF19" si="11">SUM(C46:C49)</f>
        <v>12</v>
      </c>
      <c r="T19" s="17">
        <f t="shared" si="11"/>
        <v>3</v>
      </c>
      <c r="U19" s="17">
        <f t="shared" si="11"/>
        <v>5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55</v>
      </c>
      <c r="AD19" s="17">
        <f t="shared" si="11"/>
        <v>0</v>
      </c>
      <c r="AE19" s="31">
        <f t="shared" si="11"/>
        <v>33</v>
      </c>
      <c r="AF19" s="31">
        <f t="shared" si="11"/>
        <v>88</v>
      </c>
    </row>
    <row r="20" spans="2:32" ht="23.1" customHeight="1" x14ac:dyDescent="0.25">
      <c r="B20" s="23" t="s">
        <v>47</v>
      </c>
      <c r="C20" s="50">
        <v>1</v>
      </c>
      <c r="D20" s="50">
        <v>2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1</v>
      </c>
      <c r="L20" s="50">
        <v>0</v>
      </c>
      <c r="M20" s="50">
        <v>2</v>
      </c>
      <c r="N20" s="50">
        <v>0</v>
      </c>
      <c r="O20" s="15">
        <f t="shared" si="0"/>
        <v>6</v>
      </c>
      <c r="P20" s="15">
        <f t="shared" si="1"/>
        <v>8</v>
      </c>
      <c r="R20" s="1" t="s">
        <v>16</v>
      </c>
      <c r="S20" s="17">
        <f t="shared" ref="S20:AF20" si="12">SUM(C50:C53)</f>
        <v>17</v>
      </c>
      <c r="T20" s="17">
        <f t="shared" si="12"/>
        <v>5</v>
      </c>
      <c r="U20" s="17">
        <f t="shared" si="12"/>
        <v>2</v>
      </c>
      <c r="V20" s="17">
        <f t="shared" si="12"/>
        <v>25</v>
      </c>
      <c r="W20" s="17">
        <f t="shared" si="12"/>
        <v>3</v>
      </c>
      <c r="X20" s="17">
        <f t="shared" si="12"/>
        <v>0</v>
      </c>
      <c r="Y20" s="17">
        <f t="shared" si="12"/>
        <v>5</v>
      </c>
      <c r="Z20" s="17">
        <f t="shared" si="12"/>
        <v>3</v>
      </c>
      <c r="AA20" s="17">
        <f t="shared" si="12"/>
        <v>2</v>
      </c>
      <c r="AB20" s="17">
        <f t="shared" si="12"/>
        <v>0</v>
      </c>
      <c r="AC20" s="17">
        <f t="shared" si="12"/>
        <v>74</v>
      </c>
      <c r="AD20" s="17">
        <f t="shared" si="12"/>
        <v>0</v>
      </c>
      <c r="AE20" s="31">
        <f t="shared" si="12"/>
        <v>62</v>
      </c>
      <c r="AF20" s="31">
        <f t="shared" si="12"/>
        <v>136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1</v>
      </c>
      <c r="F21" s="50">
        <v>2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8</v>
      </c>
      <c r="P21" s="15">
        <f t="shared" si="1"/>
        <v>14</v>
      </c>
      <c r="R21" s="36" t="s">
        <v>20</v>
      </c>
      <c r="S21" s="34">
        <f t="shared" ref="S21:AF21" si="13">SUM(C54:C57)</f>
        <v>19</v>
      </c>
      <c r="T21" s="17">
        <f t="shared" si="13"/>
        <v>4</v>
      </c>
      <c r="U21" s="17">
        <f t="shared" si="13"/>
        <v>4</v>
      </c>
      <c r="V21" s="17">
        <f t="shared" si="13"/>
        <v>11</v>
      </c>
      <c r="W21" s="17">
        <f t="shared" si="13"/>
        <v>1</v>
      </c>
      <c r="X21" s="17">
        <f t="shared" si="13"/>
        <v>0</v>
      </c>
      <c r="Y21" s="17">
        <f t="shared" si="13"/>
        <v>0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51</v>
      </c>
      <c r="AD21" s="17">
        <f t="shared" si="13"/>
        <v>0</v>
      </c>
      <c r="AE21" s="31">
        <f t="shared" si="13"/>
        <v>41</v>
      </c>
      <c r="AF21" s="31">
        <f t="shared" si="13"/>
        <v>92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17</v>
      </c>
      <c r="N22" s="50">
        <v>0</v>
      </c>
      <c r="O22" s="15">
        <f t="shared" si="0"/>
        <v>3</v>
      </c>
      <c r="P22" s="15">
        <f t="shared" si="1"/>
        <v>20</v>
      </c>
      <c r="R22" s="38" t="s">
        <v>90</v>
      </c>
      <c r="S22" s="39">
        <f>MAX(S10:S12)</f>
        <v>5</v>
      </c>
      <c r="T22" s="39">
        <f t="shared" ref="T22:AF22" si="14">MAX(T10:T12)</f>
        <v>4</v>
      </c>
      <c r="U22" s="39">
        <f t="shared" si="14"/>
        <v>2</v>
      </c>
      <c r="V22" s="39">
        <f t="shared" si="14"/>
        <v>11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35</v>
      </c>
      <c r="AD22" s="39">
        <f t="shared" si="14"/>
        <v>0</v>
      </c>
      <c r="AE22" s="40">
        <f t="shared" si="14"/>
        <v>20</v>
      </c>
      <c r="AF22" s="40">
        <f t="shared" si="14"/>
        <v>55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3</v>
      </c>
      <c r="P23" s="15">
        <f t="shared" si="1"/>
        <v>19</v>
      </c>
      <c r="R23" s="38" t="s">
        <v>91</v>
      </c>
      <c r="S23" s="39">
        <f>MAX(S13:S18)</f>
        <v>9</v>
      </c>
      <c r="T23" s="39">
        <f t="shared" ref="T23:AF23" si="15">MAX(T13:T18)</f>
        <v>5</v>
      </c>
      <c r="U23" s="39">
        <f t="shared" si="15"/>
        <v>3</v>
      </c>
      <c r="V23" s="39">
        <f t="shared" si="15"/>
        <v>10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2</v>
      </c>
      <c r="AA23" s="39">
        <f t="shared" si="15"/>
        <v>2</v>
      </c>
      <c r="AB23" s="39">
        <f t="shared" si="15"/>
        <v>0</v>
      </c>
      <c r="AC23" s="39">
        <f t="shared" si="15"/>
        <v>60</v>
      </c>
      <c r="AD23" s="39">
        <f t="shared" si="15"/>
        <v>0</v>
      </c>
      <c r="AE23" s="40">
        <f t="shared" si="15"/>
        <v>27</v>
      </c>
      <c r="AF23" s="40">
        <f t="shared" si="15"/>
        <v>80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2</v>
      </c>
      <c r="L24" s="50">
        <v>0</v>
      </c>
      <c r="M24" s="50">
        <v>8</v>
      </c>
      <c r="N24" s="50">
        <v>0</v>
      </c>
      <c r="O24" s="15">
        <f t="shared" si="0"/>
        <v>5</v>
      </c>
      <c r="P24" s="15">
        <f t="shared" si="1"/>
        <v>13</v>
      </c>
      <c r="R24" s="38" t="s">
        <v>92</v>
      </c>
      <c r="S24" s="39">
        <f>MAX(S19:S21)</f>
        <v>19</v>
      </c>
      <c r="T24" s="39">
        <f t="shared" ref="T24:AF24" si="16">MAX(T19:T21)</f>
        <v>5</v>
      </c>
      <c r="U24" s="39">
        <f t="shared" si="16"/>
        <v>5</v>
      </c>
      <c r="V24" s="39">
        <f t="shared" si="16"/>
        <v>25</v>
      </c>
      <c r="W24" s="39">
        <f t="shared" si="16"/>
        <v>3</v>
      </c>
      <c r="X24" s="39">
        <f t="shared" si="16"/>
        <v>0</v>
      </c>
      <c r="Y24" s="39">
        <f t="shared" si="16"/>
        <v>5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74</v>
      </c>
      <c r="AD24" s="39">
        <f t="shared" si="16"/>
        <v>0</v>
      </c>
      <c r="AE24" s="40">
        <f t="shared" si="16"/>
        <v>62</v>
      </c>
      <c r="AF24" s="40">
        <f t="shared" si="16"/>
        <v>136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5">
        <f t="shared" si="0"/>
        <v>3</v>
      </c>
      <c r="P25" s="15">
        <f t="shared" si="1"/>
        <v>22</v>
      </c>
      <c r="R25" s="37" t="s">
        <v>85</v>
      </c>
      <c r="S25" s="35">
        <f t="shared" ref="S25:AF25" si="17">SUM(S10:S12)</f>
        <v>12</v>
      </c>
      <c r="T25" s="16">
        <f t="shared" si="17"/>
        <v>6</v>
      </c>
      <c r="U25" s="16">
        <f t="shared" si="17"/>
        <v>4</v>
      </c>
      <c r="V25" s="16">
        <f t="shared" si="17"/>
        <v>24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4</v>
      </c>
      <c r="AA25" s="16">
        <f t="shared" si="17"/>
        <v>1</v>
      </c>
      <c r="AB25" s="16">
        <f t="shared" si="17"/>
        <v>0</v>
      </c>
      <c r="AC25" s="16">
        <f t="shared" si="17"/>
        <v>87</v>
      </c>
      <c r="AD25" s="16">
        <f t="shared" si="17"/>
        <v>0</v>
      </c>
      <c r="AE25" s="32">
        <f t="shared" si="17"/>
        <v>53</v>
      </c>
      <c r="AF25" s="32">
        <f t="shared" si="17"/>
        <v>140</v>
      </c>
    </row>
    <row r="26" spans="2:32" ht="23.1" customHeight="1" x14ac:dyDescent="0.25">
      <c r="B26" s="23" t="s">
        <v>53</v>
      </c>
      <c r="C26" s="50">
        <v>2</v>
      </c>
      <c r="D26" s="50">
        <v>3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7</v>
      </c>
      <c r="P26" s="15">
        <f t="shared" si="1"/>
        <v>19</v>
      </c>
      <c r="R26" s="28" t="s">
        <v>86</v>
      </c>
      <c r="S26" s="16">
        <f t="shared" ref="S26:AF26" si="18">SUM(S13:S18)</f>
        <v>37</v>
      </c>
      <c r="T26" s="16">
        <f t="shared" si="18"/>
        <v>12</v>
      </c>
      <c r="U26" s="16">
        <f t="shared" si="18"/>
        <v>13</v>
      </c>
      <c r="V26" s="16">
        <f t="shared" si="18"/>
        <v>35</v>
      </c>
      <c r="W26" s="16">
        <f t="shared" si="18"/>
        <v>0</v>
      </c>
      <c r="X26" s="16">
        <f t="shared" si="18"/>
        <v>0</v>
      </c>
      <c r="Y26" s="16">
        <f t="shared" si="18"/>
        <v>4</v>
      </c>
      <c r="Z26" s="16">
        <f t="shared" si="18"/>
        <v>6</v>
      </c>
      <c r="AA26" s="16">
        <f t="shared" si="18"/>
        <v>5</v>
      </c>
      <c r="AB26" s="16">
        <f t="shared" si="18"/>
        <v>0</v>
      </c>
      <c r="AC26" s="16">
        <f t="shared" si="18"/>
        <v>300</v>
      </c>
      <c r="AD26" s="16">
        <f t="shared" si="18"/>
        <v>0</v>
      </c>
      <c r="AE26" s="32">
        <f t="shared" si="18"/>
        <v>112</v>
      </c>
      <c r="AF26" s="32">
        <f t="shared" si="18"/>
        <v>412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17</v>
      </c>
      <c r="N27" s="50">
        <v>0</v>
      </c>
      <c r="O27" s="15">
        <f t="shared" si="0"/>
        <v>4</v>
      </c>
      <c r="P27" s="15">
        <f t="shared" si="1"/>
        <v>21</v>
      </c>
      <c r="R27" s="29" t="s">
        <v>87</v>
      </c>
      <c r="S27" s="16">
        <f t="shared" ref="S27:AF27" si="19">SUM(S19:S21)</f>
        <v>48</v>
      </c>
      <c r="T27" s="16">
        <f t="shared" si="19"/>
        <v>12</v>
      </c>
      <c r="U27" s="16">
        <f t="shared" si="19"/>
        <v>11</v>
      </c>
      <c r="V27" s="16">
        <f t="shared" si="19"/>
        <v>43</v>
      </c>
      <c r="W27" s="16">
        <f t="shared" si="19"/>
        <v>4</v>
      </c>
      <c r="X27" s="16">
        <f t="shared" si="19"/>
        <v>0</v>
      </c>
      <c r="Y27" s="16">
        <f t="shared" si="19"/>
        <v>10</v>
      </c>
      <c r="Z27" s="16">
        <f t="shared" si="19"/>
        <v>5</v>
      </c>
      <c r="AA27" s="16">
        <f t="shared" si="19"/>
        <v>3</v>
      </c>
      <c r="AB27" s="16">
        <f t="shared" si="19"/>
        <v>0</v>
      </c>
      <c r="AC27" s="16">
        <f t="shared" si="19"/>
        <v>180</v>
      </c>
      <c r="AD27" s="16">
        <f t="shared" si="19"/>
        <v>0</v>
      </c>
      <c r="AE27" s="32">
        <f t="shared" si="19"/>
        <v>136</v>
      </c>
      <c r="AF27" s="32">
        <f t="shared" si="19"/>
        <v>316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2</v>
      </c>
      <c r="P28" s="15">
        <f t="shared" si="1"/>
        <v>14</v>
      </c>
      <c r="R28" s="5" t="s">
        <v>17</v>
      </c>
      <c r="S28" s="16">
        <f t="shared" ref="S28:AF28" si="20">SUM(S10:S21)</f>
        <v>97</v>
      </c>
      <c r="T28" s="16">
        <f t="shared" si="20"/>
        <v>30</v>
      </c>
      <c r="U28" s="16">
        <f t="shared" si="20"/>
        <v>28</v>
      </c>
      <c r="V28" s="16">
        <f t="shared" si="20"/>
        <v>102</v>
      </c>
      <c r="W28" s="16">
        <f t="shared" si="20"/>
        <v>4</v>
      </c>
      <c r="X28" s="16">
        <f t="shared" si="20"/>
        <v>0</v>
      </c>
      <c r="Y28" s="16">
        <f t="shared" si="20"/>
        <v>16</v>
      </c>
      <c r="Z28" s="16">
        <f t="shared" si="20"/>
        <v>15</v>
      </c>
      <c r="AA28" s="16">
        <f t="shared" si="20"/>
        <v>9</v>
      </c>
      <c r="AB28" s="16">
        <f t="shared" si="20"/>
        <v>0</v>
      </c>
      <c r="AC28" s="16">
        <f t="shared" si="20"/>
        <v>567</v>
      </c>
      <c r="AD28" s="16">
        <f t="shared" si="20"/>
        <v>0</v>
      </c>
      <c r="AE28" s="32">
        <f t="shared" si="20"/>
        <v>301</v>
      </c>
      <c r="AF28" s="32">
        <f t="shared" si="20"/>
        <v>868</v>
      </c>
    </row>
    <row r="29" spans="2:32" ht="23.1" customHeight="1" x14ac:dyDescent="0.25">
      <c r="B29" s="23" t="s">
        <v>56</v>
      </c>
      <c r="C29" s="50">
        <v>3</v>
      </c>
      <c r="D29" s="50">
        <v>1</v>
      </c>
      <c r="E29" s="50">
        <v>2</v>
      </c>
      <c r="F29" s="50">
        <v>2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9</v>
      </c>
      <c r="P29" s="15">
        <f t="shared" si="1"/>
        <v>22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0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1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3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3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5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2</v>
      </c>
      <c r="D34" s="50">
        <v>1</v>
      </c>
      <c r="E34" s="50">
        <v>2</v>
      </c>
      <c r="F34" s="50">
        <v>3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3</v>
      </c>
      <c r="N34" s="50">
        <v>0</v>
      </c>
      <c r="O34" s="15">
        <f t="shared" si="0"/>
        <v>9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5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13</v>
      </c>
      <c r="N36" s="50">
        <v>0</v>
      </c>
      <c r="O36" s="15">
        <f t="shared" si="0"/>
        <v>4</v>
      </c>
      <c r="P36" s="15">
        <f t="shared" si="1"/>
        <v>17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6</v>
      </c>
      <c r="P37" s="15">
        <f t="shared" si="1"/>
        <v>17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1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3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5">
        <f t="shared" si="0"/>
        <v>6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14</v>
      </c>
      <c r="N40" s="50">
        <v>0</v>
      </c>
      <c r="O40" s="15">
        <f t="shared" si="0"/>
        <v>4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11</v>
      </c>
      <c r="N41" s="50">
        <v>0</v>
      </c>
      <c r="O41" s="15">
        <f t="shared" si="0"/>
        <v>5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3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6</v>
      </c>
      <c r="P42" s="15">
        <f t="shared" si="1"/>
        <v>21</v>
      </c>
    </row>
    <row r="43" spans="2:20" ht="23.1" customHeight="1" x14ac:dyDescent="0.25">
      <c r="B43" s="23" t="s">
        <v>70</v>
      </c>
      <c r="C43" s="50">
        <v>2</v>
      </c>
      <c r="D43" s="50">
        <v>3</v>
      </c>
      <c r="E43" s="50">
        <v>0</v>
      </c>
      <c r="F43" s="50">
        <v>5</v>
      </c>
      <c r="G43" s="50">
        <v>0</v>
      </c>
      <c r="H43" s="50">
        <v>0</v>
      </c>
      <c r="I43" s="50">
        <v>1</v>
      </c>
      <c r="J43" s="50">
        <v>0</v>
      </c>
      <c r="K43" s="50">
        <v>1</v>
      </c>
      <c r="L43" s="50">
        <v>0</v>
      </c>
      <c r="M43" s="50">
        <v>8</v>
      </c>
      <c r="N43" s="50">
        <v>0</v>
      </c>
      <c r="O43" s="15">
        <f t="shared" si="0"/>
        <v>12</v>
      </c>
      <c r="P43" s="15">
        <f t="shared" si="1"/>
        <v>20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1</v>
      </c>
      <c r="L44" s="50">
        <v>0</v>
      </c>
      <c r="M44" s="50">
        <v>15</v>
      </c>
      <c r="N44" s="50">
        <v>0</v>
      </c>
      <c r="O44" s="15">
        <f t="shared" si="0"/>
        <v>4</v>
      </c>
      <c r="P44" s="15">
        <f t="shared" si="1"/>
        <v>19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5</v>
      </c>
      <c r="P45" s="15">
        <f t="shared" si="1"/>
        <v>20</v>
      </c>
    </row>
    <row r="46" spans="2:20" ht="23.1" customHeight="1" x14ac:dyDescent="0.25">
      <c r="B46" s="24" t="s">
        <v>73</v>
      </c>
      <c r="C46" s="50">
        <v>4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6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4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14</v>
      </c>
      <c r="N47" s="50">
        <v>0</v>
      </c>
      <c r="O47" s="15">
        <f t="shared" si="0"/>
        <v>8</v>
      </c>
      <c r="P47" s="15">
        <f t="shared" si="1"/>
        <v>22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2</v>
      </c>
      <c r="E48" s="50">
        <v>0</v>
      </c>
      <c r="F48" s="50">
        <v>5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14</v>
      </c>
      <c r="P48" s="15">
        <f t="shared" si="1"/>
        <v>29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5</v>
      </c>
      <c r="P49" s="15">
        <f t="shared" si="1"/>
        <v>21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0</v>
      </c>
      <c r="F50" s="50">
        <v>6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12</v>
      </c>
      <c r="P50" s="15">
        <f t="shared" si="1"/>
        <v>32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1</v>
      </c>
      <c r="E51" s="50">
        <v>0</v>
      </c>
      <c r="F51" s="50">
        <v>4</v>
      </c>
      <c r="G51" s="50">
        <v>0</v>
      </c>
      <c r="H51" s="50">
        <v>0</v>
      </c>
      <c r="I51" s="50">
        <v>2</v>
      </c>
      <c r="J51" s="50">
        <v>0</v>
      </c>
      <c r="K51" s="50">
        <v>2</v>
      </c>
      <c r="L51" s="50">
        <v>0</v>
      </c>
      <c r="M51" s="50">
        <v>11</v>
      </c>
      <c r="N51" s="50">
        <v>0</v>
      </c>
      <c r="O51" s="15">
        <f t="shared" si="0"/>
        <v>15</v>
      </c>
      <c r="P51" s="15">
        <f t="shared" si="1"/>
        <v>26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1</v>
      </c>
      <c r="E52" s="50">
        <v>2</v>
      </c>
      <c r="F52" s="50">
        <v>11</v>
      </c>
      <c r="G52" s="50">
        <v>0</v>
      </c>
      <c r="H52" s="50">
        <v>0</v>
      </c>
      <c r="I52" s="50">
        <v>1</v>
      </c>
      <c r="J52" s="50">
        <v>3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24</v>
      </c>
      <c r="P52" s="15">
        <f t="shared" si="1"/>
        <v>50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2</v>
      </c>
      <c r="E53" s="50">
        <v>0</v>
      </c>
      <c r="F53" s="50">
        <v>4</v>
      </c>
      <c r="G53" s="50">
        <v>3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5">
        <f t="shared" si="0"/>
        <v>11</v>
      </c>
      <c r="P53" s="15">
        <f t="shared" si="1"/>
        <v>28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0</v>
      </c>
      <c r="E54" s="50">
        <v>2</v>
      </c>
      <c r="F54" s="50">
        <v>4</v>
      </c>
      <c r="G54" s="50">
        <v>1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14</v>
      </c>
      <c r="P54" s="15">
        <f t="shared" si="1"/>
        <v>29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2</v>
      </c>
      <c r="E55" s="50">
        <v>1</v>
      </c>
      <c r="F55" s="50">
        <v>5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11</v>
      </c>
      <c r="N55" s="50">
        <v>0</v>
      </c>
      <c r="O55" s="15">
        <f t="shared" si="0"/>
        <v>13</v>
      </c>
      <c r="P55" s="15">
        <f t="shared" si="1"/>
        <v>24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15</v>
      </c>
      <c r="N56" s="50">
        <v>0</v>
      </c>
      <c r="O56" s="15">
        <f t="shared" si="0"/>
        <v>7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2</v>
      </c>
      <c r="E57" s="50">
        <v>0</v>
      </c>
      <c r="F57" s="50">
        <v>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7</v>
      </c>
      <c r="P57" s="15">
        <f t="shared" si="1"/>
        <v>17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97</v>
      </c>
      <c r="D58" s="16">
        <f t="shared" si="21"/>
        <v>30</v>
      </c>
      <c r="E58" s="16">
        <f t="shared" si="21"/>
        <v>28</v>
      </c>
      <c r="F58" s="16">
        <f t="shared" si="21"/>
        <v>102</v>
      </c>
      <c r="G58" s="16">
        <f t="shared" si="21"/>
        <v>4</v>
      </c>
      <c r="H58" s="16">
        <f t="shared" si="21"/>
        <v>0</v>
      </c>
      <c r="I58" s="16">
        <f t="shared" si="21"/>
        <v>16</v>
      </c>
      <c r="J58" s="16">
        <f t="shared" si="21"/>
        <v>15</v>
      </c>
      <c r="K58" s="16">
        <f t="shared" si="21"/>
        <v>9</v>
      </c>
      <c r="L58" s="16">
        <f t="shared" si="21"/>
        <v>0</v>
      </c>
      <c r="M58" s="16">
        <f t="shared" si="21"/>
        <v>567</v>
      </c>
      <c r="N58" s="16">
        <f t="shared" si="21"/>
        <v>0</v>
      </c>
      <c r="O58" s="16">
        <f t="shared" si="21"/>
        <v>301</v>
      </c>
      <c r="P58" s="16">
        <f t="shared" si="21"/>
        <v>868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0.11175115207373272</v>
      </c>
      <c r="D59" s="43">
        <f t="shared" si="22"/>
        <v>3.4562211981566823E-2</v>
      </c>
      <c r="E59" s="43">
        <f t="shared" si="22"/>
        <v>3.2258064516129031E-2</v>
      </c>
      <c r="F59" s="43">
        <f t="shared" si="22"/>
        <v>0.11751152073732719</v>
      </c>
      <c r="G59" s="43">
        <f t="shared" si="22"/>
        <v>4.608294930875576E-3</v>
      </c>
      <c r="H59" s="43">
        <f t="shared" si="22"/>
        <v>0</v>
      </c>
      <c r="I59" s="43">
        <f t="shared" si="22"/>
        <v>1.8433179723502304E-2</v>
      </c>
      <c r="J59" s="43">
        <f t="shared" si="22"/>
        <v>1.7281105990783412E-2</v>
      </c>
      <c r="K59" s="43">
        <f t="shared" si="22"/>
        <v>1.0368663594470046E-2</v>
      </c>
      <c r="L59" s="43">
        <f t="shared" si="22"/>
        <v>0</v>
      </c>
      <c r="M59" s="43">
        <f t="shared" si="22"/>
        <v>0.65322580645161288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0.32225913621262459</v>
      </c>
      <c r="D60" s="44">
        <f t="shared" ref="D60:N60" si="23">D58/$O$58</f>
        <v>9.9667774086378738E-2</v>
      </c>
      <c r="E60" s="44">
        <f t="shared" si="23"/>
        <v>9.3023255813953487E-2</v>
      </c>
      <c r="F60" s="44">
        <f t="shared" si="23"/>
        <v>0.33887043189368771</v>
      </c>
      <c r="G60" s="44">
        <f t="shared" si="23"/>
        <v>1.3289036544850499E-2</v>
      </c>
      <c r="H60" s="44">
        <f t="shared" si="23"/>
        <v>0</v>
      </c>
      <c r="I60" s="44">
        <f t="shared" si="23"/>
        <v>5.3156146179401995E-2</v>
      </c>
      <c r="J60" s="44">
        <f t="shared" si="23"/>
        <v>4.9833887043189369E-2</v>
      </c>
      <c r="K60" s="44">
        <f t="shared" si="23"/>
        <v>2.9900332225913623E-2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90" zoomScaleSheetLayoutView="90" workbookViewId="0">
      <selection activeCell="I18" sqref="I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KANONI-MADDU'!C3:G3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178</v>
      </c>
      <c r="E5" s="3"/>
      <c r="F5" s="41" t="s">
        <v>1</v>
      </c>
      <c r="G5" s="58" t="str">
        <f>'19.10 KANONI-MADDU-24h'!G5:H5</f>
        <v>KANONI</v>
      </c>
      <c r="H5" s="59"/>
      <c r="I5" s="14"/>
      <c r="J5" s="2" t="s">
        <v>5</v>
      </c>
      <c r="K5" s="58" t="str">
        <f>'19.10 KANONI-MADDU-24h'!K5:L5</f>
        <v>BABIRYE PHIONA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KANONI-MADDU'!D6:E6</f>
        <v>KANONI</v>
      </c>
      <c r="E6" s="59"/>
      <c r="F6" s="2" t="s">
        <v>2</v>
      </c>
      <c r="G6" s="58" t="str">
        <f>'17.10 KANONI-MADDU'!G6:H6</f>
        <v>MADDU</v>
      </c>
      <c r="H6" s="59"/>
      <c r="J6" s="2" t="s">
        <v>21</v>
      </c>
      <c r="K6" s="58" t="str">
        <f>'19.10 KANONI-MADDU-24h'!K6:L6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41</v>
      </c>
      <c r="AD10" s="17">
        <f t="shared" si="2"/>
        <v>0</v>
      </c>
      <c r="AE10" s="31">
        <f t="shared" si="2"/>
        <v>13</v>
      </c>
      <c r="AF10" s="31">
        <f t="shared" si="2"/>
        <v>54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1</v>
      </c>
      <c r="P11" s="15">
        <f t="shared" si="1"/>
        <v>8</v>
      </c>
      <c r="R11" s="1" t="s">
        <v>7</v>
      </c>
      <c r="S11" s="17">
        <f t="shared" ref="S11:AF11" si="3">SUM(C14:C17)</f>
        <v>9</v>
      </c>
      <c r="T11" s="17">
        <f t="shared" si="3"/>
        <v>1</v>
      </c>
      <c r="U11" s="17">
        <f t="shared" si="3"/>
        <v>3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41</v>
      </c>
      <c r="AD11" s="17">
        <f t="shared" si="3"/>
        <v>0</v>
      </c>
      <c r="AE11" s="31">
        <f t="shared" si="3"/>
        <v>17</v>
      </c>
      <c r="AF11" s="31">
        <f t="shared" si="3"/>
        <v>58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5</v>
      </c>
      <c r="P12" s="15">
        <f t="shared" si="1"/>
        <v>18</v>
      </c>
      <c r="R12" s="1" t="s">
        <v>8</v>
      </c>
      <c r="S12" s="17">
        <f t="shared" ref="S12:AF12" si="4">SUM(C18:C21)</f>
        <v>10</v>
      </c>
      <c r="T12" s="17">
        <f t="shared" si="4"/>
        <v>2</v>
      </c>
      <c r="U12" s="17">
        <f t="shared" si="4"/>
        <v>9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56</v>
      </c>
      <c r="AD12" s="17">
        <f t="shared" si="4"/>
        <v>1</v>
      </c>
      <c r="AE12" s="31">
        <f t="shared" si="4"/>
        <v>30</v>
      </c>
      <c r="AF12" s="31">
        <f t="shared" si="4"/>
        <v>86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4</v>
      </c>
      <c r="P13" s="15">
        <f t="shared" si="1"/>
        <v>19</v>
      </c>
      <c r="R13" s="1" t="s">
        <v>9</v>
      </c>
      <c r="S13" s="17">
        <f t="shared" ref="S13:AF13" si="5">SUM(C22:C25)</f>
        <v>5</v>
      </c>
      <c r="T13" s="17">
        <f t="shared" si="5"/>
        <v>4</v>
      </c>
      <c r="U13" s="17">
        <f t="shared" si="5"/>
        <v>3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46</v>
      </c>
      <c r="AD13" s="17">
        <f t="shared" si="5"/>
        <v>0</v>
      </c>
      <c r="AE13" s="31">
        <f t="shared" si="5"/>
        <v>17</v>
      </c>
      <c r="AF13" s="31">
        <f t="shared" si="5"/>
        <v>63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6</v>
      </c>
      <c r="P14" s="15">
        <f t="shared" si="1"/>
        <v>17</v>
      </c>
      <c r="R14" s="1" t="s">
        <v>10</v>
      </c>
      <c r="S14" s="17">
        <f t="shared" ref="S14:AF14" si="6">SUM(C26:C29)</f>
        <v>14</v>
      </c>
      <c r="T14" s="17">
        <f t="shared" si="6"/>
        <v>2</v>
      </c>
      <c r="U14" s="17">
        <f t="shared" si="6"/>
        <v>1</v>
      </c>
      <c r="V14" s="17">
        <f t="shared" si="6"/>
        <v>6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35</v>
      </c>
      <c r="AD14" s="17">
        <f t="shared" si="6"/>
        <v>0</v>
      </c>
      <c r="AE14" s="31">
        <f t="shared" si="6"/>
        <v>31</v>
      </c>
      <c r="AF14" s="31">
        <f t="shared" si="6"/>
        <v>66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4</v>
      </c>
      <c r="P15" s="15">
        <f t="shared" si="1"/>
        <v>16</v>
      </c>
      <c r="R15" s="1" t="s">
        <v>11</v>
      </c>
      <c r="S15" s="17">
        <f t="shared" ref="S15:AF15" si="7">SUM(C30:C33)</f>
        <v>12</v>
      </c>
      <c r="T15" s="17">
        <f t="shared" si="7"/>
        <v>0</v>
      </c>
      <c r="U15" s="17">
        <f t="shared" si="7"/>
        <v>2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49</v>
      </c>
      <c r="AD15" s="17">
        <f t="shared" si="7"/>
        <v>0</v>
      </c>
      <c r="AE15" s="31">
        <f t="shared" si="7"/>
        <v>23</v>
      </c>
      <c r="AF15" s="31">
        <f t="shared" si="7"/>
        <v>72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5</v>
      </c>
      <c r="P16" s="15">
        <f t="shared" si="1"/>
        <v>18</v>
      </c>
      <c r="R16" s="1" t="s">
        <v>12</v>
      </c>
      <c r="S16" s="17">
        <f t="shared" ref="S16:AF16" si="8">SUM(C34:C37)</f>
        <v>10</v>
      </c>
      <c r="T16" s="17">
        <f t="shared" si="8"/>
        <v>2</v>
      </c>
      <c r="U16" s="17">
        <f t="shared" si="8"/>
        <v>3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2</v>
      </c>
      <c r="AB16" s="17">
        <f t="shared" si="8"/>
        <v>0</v>
      </c>
      <c r="AC16" s="17">
        <f t="shared" si="8"/>
        <v>47</v>
      </c>
      <c r="AD16" s="17">
        <f t="shared" si="8"/>
        <v>0</v>
      </c>
      <c r="AE16" s="31">
        <f t="shared" si="8"/>
        <v>22</v>
      </c>
      <c r="AF16" s="31">
        <f t="shared" si="8"/>
        <v>69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2</v>
      </c>
      <c r="P17" s="15">
        <f t="shared" si="1"/>
        <v>7</v>
      </c>
      <c r="R17" s="1" t="s">
        <v>13</v>
      </c>
      <c r="S17" s="17">
        <f t="shared" ref="S17:AF17" si="9">SUM(C38:C41)</f>
        <v>13</v>
      </c>
      <c r="T17" s="17">
        <f t="shared" si="9"/>
        <v>3</v>
      </c>
      <c r="U17" s="17">
        <f t="shared" si="9"/>
        <v>4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35</v>
      </c>
      <c r="AD17" s="17">
        <f t="shared" si="9"/>
        <v>0</v>
      </c>
      <c r="AE17" s="31">
        <f t="shared" si="9"/>
        <v>27</v>
      </c>
      <c r="AF17" s="31">
        <f t="shared" si="9"/>
        <v>62</v>
      </c>
    </row>
    <row r="18" spans="2:32" ht="23.1" customHeight="1" x14ac:dyDescent="0.25">
      <c r="B18" s="23" t="s">
        <v>45</v>
      </c>
      <c r="C18" s="50">
        <v>3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16</v>
      </c>
      <c r="N18" s="50">
        <v>0</v>
      </c>
      <c r="O18" s="15">
        <f t="shared" si="0"/>
        <v>5</v>
      </c>
      <c r="P18" s="15">
        <f t="shared" si="1"/>
        <v>21</v>
      </c>
      <c r="R18" s="1" t="s">
        <v>14</v>
      </c>
      <c r="S18" s="17">
        <f t="shared" ref="S18:AF18" si="10">SUM(C42:C45)</f>
        <v>8</v>
      </c>
      <c r="T18" s="17">
        <f t="shared" si="10"/>
        <v>1</v>
      </c>
      <c r="U18" s="17">
        <f t="shared" si="10"/>
        <v>3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35</v>
      </c>
      <c r="AD18" s="17">
        <f t="shared" si="10"/>
        <v>0</v>
      </c>
      <c r="AE18" s="31">
        <f t="shared" si="10"/>
        <v>24</v>
      </c>
      <c r="AF18" s="31">
        <f t="shared" si="10"/>
        <v>59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0</v>
      </c>
      <c r="F19" s="50">
        <v>2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17</v>
      </c>
      <c r="N19" s="50">
        <v>1</v>
      </c>
      <c r="O19" s="15">
        <f t="shared" si="0"/>
        <v>6</v>
      </c>
      <c r="P19" s="15">
        <f t="shared" si="1"/>
        <v>23</v>
      </c>
      <c r="R19" s="1" t="s">
        <v>15</v>
      </c>
      <c r="S19" s="17">
        <f t="shared" ref="S19:AF19" si="11">SUM(C46:C49)</f>
        <v>5</v>
      </c>
      <c r="T19" s="17">
        <f t="shared" si="11"/>
        <v>1</v>
      </c>
      <c r="U19" s="17">
        <f t="shared" si="11"/>
        <v>2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57</v>
      </c>
      <c r="AD19" s="17">
        <f t="shared" si="11"/>
        <v>0</v>
      </c>
      <c r="AE19" s="31">
        <f t="shared" si="11"/>
        <v>23</v>
      </c>
      <c r="AF19" s="31">
        <f t="shared" si="11"/>
        <v>80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3</v>
      </c>
      <c r="F20" s="50">
        <v>3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11</v>
      </c>
      <c r="P20" s="15">
        <f t="shared" si="1"/>
        <v>22</v>
      </c>
      <c r="R20" s="1" t="s">
        <v>16</v>
      </c>
      <c r="S20" s="17">
        <f t="shared" ref="S20:AF20" si="12">SUM(C50:C53)</f>
        <v>6</v>
      </c>
      <c r="T20" s="17">
        <f t="shared" si="12"/>
        <v>0</v>
      </c>
      <c r="U20" s="17">
        <f t="shared" si="12"/>
        <v>2</v>
      </c>
      <c r="V20" s="17">
        <f t="shared" si="12"/>
        <v>9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62</v>
      </c>
      <c r="AD20" s="17">
        <f t="shared" si="12"/>
        <v>1</v>
      </c>
      <c r="AE20" s="31">
        <f t="shared" si="12"/>
        <v>25</v>
      </c>
      <c r="AF20" s="31">
        <f t="shared" si="12"/>
        <v>87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5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8</v>
      </c>
      <c r="P21" s="15">
        <f t="shared" si="1"/>
        <v>20</v>
      </c>
      <c r="R21" s="36" t="s">
        <v>20</v>
      </c>
      <c r="S21" s="34">
        <f t="shared" ref="S21:AF21" si="13">SUM(C54:C57)</f>
        <v>5</v>
      </c>
      <c r="T21" s="17">
        <f t="shared" si="13"/>
        <v>1</v>
      </c>
      <c r="U21" s="17">
        <f t="shared" si="13"/>
        <v>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22</v>
      </c>
      <c r="AD21" s="17">
        <f t="shared" si="13"/>
        <v>0</v>
      </c>
      <c r="AE21" s="31">
        <f t="shared" si="13"/>
        <v>11</v>
      </c>
      <c r="AF21" s="31">
        <f t="shared" si="13"/>
        <v>33</v>
      </c>
    </row>
    <row r="22" spans="2:32" ht="23.1" customHeight="1" x14ac:dyDescent="0.25">
      <c r="B22" s="23" t="s">
        <v>49</v>
      </c>
      <c r="C22" s="50">
        <v>3</v>
      </c>
      <c r="D22" s="50">
        <v>2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8</v>
      </c>
      <c r="P22" s="15">
        <f t="shared" si="1"/>
        <v>19</v>
      </c>
      <c r="R22" s="38" t="s">
        <v>90</v>
      </c>
      <c r="S22" s="39">
        <f>MAX(S10:S12)</f>
        <v>10</v>
      </c>
      <c r="T22" s="39">
        <f t="shared" ref="T22:AF22" si="14">MAX(T10:T12)</f>
        <v>2</v>
      </c>
      <c r="U22" s="39">
        <f t="shared" si="14"/>
        <v>9</v>
      </c>
      <c r="V22" s="39">
        <f t="shared" si="14"/>
        <v>5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56</v>
      </c>
      <c r="AD22" s="39">
        <f t="shared" si="14"/>
        <v>1</v>
      </c>
      <c r="AE22" s="40">
        <f t="shared" si="14"/>
        <v>30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2</v>
      </c>
      <c r="P23" s="15">
        <f t="shared" si="1"/>
        <v>16</v>
      </c>
      <c r="R23" s="38" t="s">
        <v>91</v>
      </c>
      <c r="S23" s="39">
        <f>MAX(S13:S18)</f>
        <v>14</v>
      </c>
      <c r="T23" s="39">
        <f t="shared" ref="T23:AF23" si="15">MAX(T13:T18)</f>
        <v>4</v>
      </c>
      <c r="U23" s="39">
        <f t="shared" si="15"/>
        <v>4</v>
      </c>
      <c r="V23" s="39">
        <f t="shared" si="15"/>
        <v>7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4</v>
      </c>
      <c r="AA23" s="39">
        <f t="shared" si="15"/>
        <v>2</v>
      </c>
      <c r="AB23" s="39">
        <f t="shared" si="15"/>
        <v>0</v>
      </c>
      <c r="AC23" s="39">
        <f t="shared" si="15"/>
        <v>49</v>
      </c>
      <c r="AD23" s="39">
        <f t="shared" si="15"/>
        <v>0</v>
      </c>
      <c r="AE23" s="40">
        <f t="shared" si="15"/>
        <v>31</v>
      </c>
      <c r="AF23" s="40">
        <f t="shared" si="15"/>
        <v>72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4</v>
      </c>
      <c r="P24" s="15">
        <f t="shared" si="1"/>
        <v>16</v>
      </c>
      <c r="R24" s="38" t="s">
        <v>92</v>
      </c>
      <c r="S24" s="39">
        <f>MAX(S19:S21)</f>
        <v>6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9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4</v>
      </c>
      <c r="AA24" s="39">
        <f t="shared" si="16"/>
        <v>1</v>
      </c>
      <c r="AB24" s="39">
        <f t="shared" si="16"/>
        <v>0</v>
      </c>
      <c r="AC24" s="39">
        <f t="shared" si="16"/>
        <v>62</v>
      </c>
      <c r="AD24" s="39">
        <f t="shared" si="16"/>
        <v>1</v>
      </c>
      <c r="AE24" s="40">
        <f t="shared" si="16"/>
        <v>25</v>
      </c>
      <c r="AF24" s="40">
        <f t="shared" si="16"/>
        <v>87</v>
      </c>
    </row>
    <row r="25" spans="2:32" ht="23.1" customHeight="1" x14ac:dyDescent="0.25">
      <c r="B25" s="23" t="s">
        <v>52</v>
      </c>
      <c r="C25" s="50">
        <v>1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3</v>
      </c>
      <c r="P25" s="15">
        <f t="shared" si="1"/>
        <v>12</v>
      </c>
      <c r="R25" s="37" t="s">
        <v>85</v>
      </c>
      <c r="S25" s="35">
        <f t="shared" ref="S25:AF25" si="17">SUM(S10:S12)</f>
        <v>25</v>
      </c>
      <c r="T25" s="16">
        <f t="shared" si="17"/>
        <v>3</v>
      </c>
      <c r="U25" s="16">
        <f t="shared" si="17"/>
        <v>13</v>
      </c>
      <c r="V25" s="16">
        <f t="shared" si="17"/>
        <v>11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138</v>
      </c>
      <c r="AD25" s="16">
        <f t="shared" si="17"/>
        <v>1</v>
      </c>
      <c r="AE25" s="32">
        <f t="shared" si="17"/>
        <v>60</v>
      </c>
      <c r="AF25" s="32">
        <f t="shared" si="17"/>
        <v>198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1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9</v>
      </c>
      <c r="P26" s="15">
        <f t="shared" si="1"/>
        <v>20</v>
      </c>
      <c r="R26" s="28" t="s">
        <v>86</v>
      </c>
      <c r="S26" s="16">
        <f t="shared" ref="S26:AF26" si="18">SUM(S13:S18)</f>
        <v>62</v>
      </c>
      <c r="T26" s="16">
        <f t="shared" si="18"/>
        <v>12</v>
      </c>
      <c r="U26" s="16">
        <f t="shared" si="18"/>
        <v>16</v>
      </c>
      <c r="V26" s="16">
        <f t="shared" si="18"/>
        <v>32</v>
      </c>
      <c r="W26" s="16">
        <f t="shared" si="18"/>
        <v>0</v>
      </c>
      <c r="X26" s="16">
        <f t="shared" si="18"/>
        <v>0</v>
      </c>
      <c r="Y26" s="16">
        <f t="shared" si="18"/>
        <v>10</v>
      </c>
      <c r="Z26" s="16">
        <f t="shared" si="18"/>
        <v>9</v>
      </c>
      <c r="AA26" s="16">
        <f t="shared" si="18"/>
        <v>3</v>
      </c>
      <c r="AB26" s="16">
        <f t="shared" si="18"/>
        <v>0</v>
      </c>
      <c r="AC26" s="16">
        <f t="shared" si="18"/>
        <v>247</v>
      </c>
      <c r="AD26" s="16">
        <f t="shared" si="18"/>
        <v>0</v>
      </c>
      <c r="AE26" s="32">
        <f t="shared" si="18"/>
        <v>144</v>
      </c>
      <c r="AF26" s="32">
        <f t="shared" si="18"/>
        <v>391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9</v>
      </c>
      <c r="P27" s="15">
        <f t="shared" si="1"/>
        <v>20</v>
      </c>
      <c r="R27" s="29" t="s">
        <v>87</v>
      </c>
      <c r="S27" s="16">
        <f t="shared" ref="S27:AF27" si="19">SUM(S19:S21)</f>
        <v>16</v>
      </c>
      <c r="T27" s="16">
        <f t="shared" si="19"/>
        <v>2</v>
      </c>
      <c r="U27" s="16">
        <f t="shared" si="19"/>
        <v>5</v>
      </c>
      <c r="V27" s="16">
        <f t="shared" si="19"/>
        <v>19</v>
      </c>
      <c r="W27" s="16">
        <f t="shared" si="19"/>
        <v>1</v>
      </c>
      <c r="X27" s="16">
        <f t="shared" si="19"/>
        <v>0</v>
      </c>
      <c r="Y27" s="16">
        <f t="shared" si="19"/>
        <v>6</v>
      </c>
      <c r="Z27" s="16">
        <f t="shared" si="19"/>
        <v>8</v>
      </c>
      <c r="AA27" s="16">
        <f t="shared" si="19"/>
        <v>1</v>
      </c>
      <c r="AB27" s="16">
        <f t="shared" si="19"/>
        <v>0</v>
      </c>
      <c r="AC27" s="16">
        <f t="shared" si="19"/>
        <v>141</v>
      </c>
      <c r="AD27" s="16">
        <f t="shared" si="19"/>
        <v>1</v>
      </c>
      <c r="AE27" s="32">
        <f t="shared" si="19"/>
        <v>59</v>
      </c>
      <c r="AF27" s="32">
        <f t="shared" si="19"/>
        <v>200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3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10</v>
      </c>
      <c r="P28" s="15">
        <f t="shared" si="1"/>
        <v>18</v>
      </c>
      <c r="R28" s="5" t="s">
        <v>17</v>
      </c>
      <c r="S28" s="16">
        <f t="shared" ref="S28:AF28" si="20">SUM(S10:S21)</f>
        <v>103</v>
      </c>
      <c r="T28" s="16">
        <f t="shared" si="20"/>
        <v>17</v>
      </c>
      <c r="U28" s="16">
        <f t="shared" si="20"/>
        <v>34</v>
      </c>
      <c r="V28" s="16">
        <f t="shared" si="20"/>
        <v>62</v>
      </c>
      <c r="W28" s="16">
        <f t="shared" si="20"/>
        <v>1</v>
      </c>
      <c r="X28" s="16">
        <f t="shared" si="20"/>
        <v>0</v>
      </c>
      <c r="Y28" s="16">
        <f t="shared" si="20"/>
        <v>20</v>
      </c>
      <c r="Z28" s="16">
        <f t="shared" si="20"/>
        <v>20</v>
      </c>
      <c r="AA28" s="16">
        <f t="shared" si="20"/>
        <v>4</v>
      </c>
      <c r="AB28" s="16">
        <f t="shared" si="20"/>
        <v>0</v>
      </c>
      <c r="AC28" s="16">
        <f t="shared" si="20"/>
        <v>526</v>
      </c>
      <c r="AD28" s="16">
        <f t="shared" si="20"/>
        <v>2</v>
      </c>
      <c r="AE28" s="32">
        <f t="shared" si="20"/>
        <v>263</v>
      </c>
      <c r="AF28" s="32">
        <f t="shared" si="20"/>
        <v>789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</v>
      </c>
      <c r="N29" s="50">
        <v>0</v>
      </c>
      <c r="O29" s="15">
        <f t="shared" si="0"/>
        <v>3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4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5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6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6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8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3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4</v>
      </c>
      <c r="P34" s="15">
        <f t="shared" si="1"/>
        <v>16</v>
      </c>
    </row>
    <row r="35" spans="2:20" ht="23.1" customHeight="1" x14ac:dyDescent="0.25">
      <c r="B35" s="24" t="s">
        <v>62</v>
      </c>
      <c r="C35" s="50">
        <v>1</v>
      </c>
      <c r="D35" s="50">
        <v>2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1</v>
      </c>
      <c r="L35" s="50">
        <v>0</v>
      </c>
      <c r="M35" s="50">
        <v>5</v>
      </c>
      <c r="N35" s="50">
        <v>0</v>
      </c>
      <c r="O35" s="15">
        <f t="shared" si="0"/>
        <v>6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5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15</v>
      </c>
      <c r="N37" s="50">
        <v>0</v>
      </c>
      <c r="O37" s="15">
        <f t="shared" si="0"/>
        <v>7</v>
      </c>
      <c r="P37" s="15">
        <f t="shared" si="1"/>
        <v>22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8</v>
      </c>
      <c r="P38" s="15">
        <f t="shared" si="1"/>
        <v>29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4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9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2</v>
      </c>
      <c r="D41" s="50">
        <v>1</v>
      </c>
      <c r="E41" s="50">
        <v>2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0</v>
      </c>
      <c r="N41" s="50">
        <v>0</v>
      </c>
      <c r="O41" s="15">
        <f t="shared" si="0"/>
        <v>6</v>
      </c>
      <c r="P41" s="15">
        <f t="shared" si="1"/>
        <v>6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6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0</v>
      </c>
      <c r="F43" s="50">
        <v>4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6</v>
      </c>
      <c r="N43" s="50">
        <v>0</v>
      </c>
      <c r="O43" s="15">
        <f t="shared" si="0"/>
        <v>10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4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2</v>
      </c>
      <c r="F45" s="50">
        <v>1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4</v>
      </c>
      <c r="P45" s="15">
        <f t="shared" si="1"/>
        <v>20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6</v>
      </c>
      <c r="P46" s="15">
        <f t="shared" si="1"/>
        <v>11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3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18</v>
      </c>
      <c r="N47" s="50">
        <v>0</v>
      </c>
      <c r="O47" s="15">
        <f t="shared" si="0"/>
        <v>7</v>
      </c>
      <c r="P47" s="15">
        <f t="shared" si="1"/>
        <v>25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19</v>
      </c>
      <c r="N48" s="50">
        <v>0</v>
      </c>
      <c r="O48" s="15">
        <f t="shared" si="0"/>
        <v>3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7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3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14</v>
      </c>
      <c r="N50" s="50">
        <v>0</v>
      </c>
      <c r="O50" s="15">
        <f t="shared" si="0"/>
        <v>5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1</v>
      </c>
      <c r="F51" s="50">
        <v>3</v>
      </c>
      <c r="G51" s="50">
        <v>0</v>
      </c>
      <c r="H51" s="50">
        <v>0</v>
      </c>
      <c r="I51" s="50">
        <v>0</v>
      </c>
      <c r="J51" s="50">
        <v>2</v>
      </c>
      <c r="K51" s="50">
        <v>0</v>
      </c>
      <c r="L51" s="50">
        <v>0</v>
      </c>
      <c r="M51" s="50">
        <v>17</v>
      </c>
      <c r="N51" s="50">
        <v>1</v>
      </c>
      <c r="O51" s="15">
        <f t="shared" si="0"/>
        <v>10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1</v>
      </c>
      <c r="K52" s="50">
        <v>1</v>
      </c>
      <c r="L52" s="50">
        <v>0</v>
      </c>
      <c r="M52" s="50">
        <v>11</v>
      </c>
      <c r="N52" s="50">
        <v>0</v>
      </c>
      <c r="O52" s="15">
        <f t="shared" si="0"/>
        <v>4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1</v>
      </c>
      <c r="F53" s="50">
        <v>1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20</v>
      </c>
      <c r="N53" s="50">
        <v>0</v>
      </c>
      <c r="O53" s="15">
        <f t="shared" si="0"/>
        <v>6</v>
      </c>
      <c r="P53" s="15">
        <f t="shared" si="1"/>
        <v>26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1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6</v>
      </c>
      <c r="N55" s="50">
        <v>0</v>
      </c>
      <c r="O55" s="15">
        <f t="shared" si="0"/>
        <v>4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3</v>
      </c>
      <c r="P56" s="15">
        <f t="shared" si="1"/>
        <v>4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3</v>
      </c>
      <c r="P57" s="15">
        <f t="shared" si="1"/>
        <v>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103</v>
      </c>
      <c r="D58" s="16">
        <f t="shared" si="21"/>
        <v>17</v>
      </c>
      <c r="E58" s="16">
        <f t="shared" si="21"/>
        <v>34</v>
      </c>
      <c r="F58" s="16">
        <f t="shared" si="21"/>
        <v>62</v>
      </c>
      <c r="G58" s="16">
        <f t="shared" si="21"/>
        <v>1</v>
      </c>
      <c r="H58" s="16">
        <f t="shared" si="21"/>
        <v>0</v>
      </c>
      <c r="I58" s="16">
        <f t="shared" si="21"/>
        <v>20</v>
      </c>
      <c r="J58" s="16">
        <f t="shared" si="21"/>
        <v>20</v>
      </c>
      <c r="K58" s="16">
        <f t="shared" si="21"/>
        <v>4</v>
      </c>
      <c r="L58" s="16">
        <f t="shared" si="21"/>
        <v>0</v>
      </c>
      <c r="M58" s="16">
        <f t="shared" si="21"/>
        <v>526</v>
      </c>
      <c r="N58" s="16">
        <f t="shared" si="21"/>
        <v>2</v>
      </c>
      <c r="O58" s="16">
        <f t="shared" si="21"/>
        <v>263</v>
      </c>
      <c r="P58" s="16">
        <f t="shared" si="21"/>
        <v>789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0.13054499366286437</v>
      </c>
      <c r="D59" s="43">
        <f t="shared" si="22"/>
        <v>2.1546261089987327E-2</v>
      </c>
      <c r="E59" s="43">
        <f t="shared" si="22"/>
        <v>4.3092522179974654E-2</v>
      </c>
      <c r="F59" s="43">
        <f t="shared" si="22"/>
        <v>7.8580481622306714E-2</v>
      </c>
      <c r="G59" s="43">
        <f t="shared" si="22"/>
        <v>1.2674271229404308E-3</v>
      </c>
      <c r="H59" s="43">
        <f t="shared" si="22"/>
        <v>0</v>
      </c>
      <c r="I59" s="43">
        <f t="shared" si="22"/>
        <v>2.5348542458808618E-2</v>
      </c>
      <c r="J59" s="43">
        <f t="shared" si="22"/>
        <v>2.5348542458808618E-2</v>
      </c>
      <c r="K59" s="43">
        <f t="shared" si="22"/>
        <v>5.0697084917617234E-3</v>
      </c>
      <c r="L59" s="43">
        <f t="shared" si="22"/>
        <v>0</v>
      </c>
      <c r="M59" s="43">
        <f t="shared" si="22"/>
        <v>0.66666666666666663</v>
      </c>
      <c r="N59" s="43">
        <f t="shared" si="22"/>
        <v>2.5348542458808617E-3</v>
      </c>
      <c r="R59" s="8"/>
      <c r="T59"/>
    </row>
    <row r="60" spans="2:20" ht="23.1" customHeight="1" x14ac:dyDescent="0.25">
      <c r="B60" s="42" t="s">
        <v>94</v>
      </c>
      <c r="C60" s="44">
        <f>C58/$O$58</f>
        <v>0.39163498098859317</v>
      </c>
      <c r="D60" s="44">
        <f t="shared" ref="D60:N60" si="23">D58/$O$58</f>
        <v>6.4638783269961975E-2</v>
      </c>
      <c r="E60" s="44">
        <f t="shared" si="23"/>
        <v>0.12927756653992395</v>
      </c>
      <c r="F60" s="44">
        <f t="shared" si="23"/>
        <v>0.23574144486692014</v>
      </c>
      <c r="G60" s="44">
        <f t="shared" si="23"/>
        <v>3.8022813688212928E-3</v>
      </c>
      <c r="H60" s="44">
        <f t="shared" si="23"/>
        <v>0</v>
      </c>
      <c r="I60" s="44">
        <f t="shared" si="23"/>
        <v>7.6045627376425853E-2</v>
      </c>
      <c r="J60" s="44">
        <f t="shared" si="23"/>
        <v>7.6045627376425853E-2</v>
      </c>
      <c r="K60" s="44">
        <f t="shared" si="23"/>
        <v>1.5209125475285171E-2</v>
      </c>
      <c r="L60" s="44">
        <f t="shared" si="23"/>
        <v>0</v>
      </c>
      <c r="M60" s="44"/>
      <c r="N60" s="44">
        <f t="shared" si="23"/>
        <v>7.6045627376425855E-3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SheetLayoutView="100" workbookViewId="0">
      <selection activeCell="K52" sqref="K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3" t="str">
        <f>'17.10 MADDU-KANONI'!C3:G3</f>
        <v>KANONI-MADDU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'23.10 KANONI-MADDU'!D5</f>
        <v>23.10.2019</v>
      </c>
      <c r="E5" s="3"/>
      <c r="F5" s="41" t="s">
        <v>1</v>
      </c>
      <c r="G5" s="58" t="str">
        <f>'23.10 KANONI-MADDU'!G5:H5</f>
        <v>KANONI</v>
      </c>
      <c r="H5" s="59"/>
      <c r="I5" s="14"/>
      <c r="J5" s="2" t="s">
        <v>5</v>
      </c>
      <c r="K5" s="58" t="str">
        <f>'23.10 KANONI-MADDU'!K5:L5</f>
        <v>BABIRYE PHIONA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'17.10 MADDU-KANONI'!D6:E6</f>
        <v>MADDU</v>
      </c>
      <c r="E6" s="59"/>
      <c r="F6" s="2" t="s">
        <v>2</v>
      </c>
      <c r="G6" s="58" t="str">
        <f>'17.10 MADDU-KANONI'!G6:H6</f>
        <v>KANONI</v>
      </c>
      <c r="H6" s="59"/>
      <c r="J6" s="2" t="s">
        <v>21</v>
      </c>
      <c r="K6" s="58" t="str">
        <f>'23.10 KANONI-MADDU'!K6:L6</f>
        <v>FELIX OLOYA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3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29</v>
      </c>
      <c r="AD10" s="17">
        <f t="shared" si="2"/>
        <v>0</v>
      </c>
      <c r="AE10" s="31">
        <f t="shared" si="2"/>
        <v>14</v>
      </c>
      <c r="AF10" s="31">
        <f t="shared" si="2"/>
        <v>43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3</v>
      </c>
      <c r="P11" s="15">
        <f t="shared" si="1"/>
        <v>7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3</v>
      </c>
      <c r="V11" s="17">
        <f t="shared" si="3"/>
        <v>10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39</v>
      </c>
      <c r="AD11" s="17">
        <f t="shared" si="3"/>
        <v>0</v>
      </c>
      <c r="AE11" s="31">
        <f t="shared" si="3"/>
        <v>18</v>
      </c>
      <c r="AF11" s="31">
        <f t="shared" si="3"/>
        <v>57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5</v>
      </c>
      <c r="P12" s="15">
        <f t="shared" si="1"/>
        <v>13</v>
      </c>
      <c r="R12" s="1" t="s">
        <v>8</v>
      </c>
      <c r="S12" s="17">
        <f t="shared" ref="S12:AF12" si="4">SUM(C18:C21)</f>
        <v>8</v>
      </c>
      <c r="T12" s="17">
        <f t="shared" si="4"/>
        <v>0</v>
      </c>
      <c r="U12" s="17">
        <f t="shared" si="4"/>
        <v>2</v>
      </c>
      <c r="V12" s="17">
        <f t="shared" si="4"/>
        <v>14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51</v>
      </c>
      <c r="AD12" s="17">
        <f t="shared" si="4"/>
        <v>0</v>
      </c>
      <c r="AE12" s="31">
        <f t="shared" si="4"/>
        <v>28</v>
      </c>
      <c r="AF12" s="31">
        <f t="shared" si="4"/>
        <v>79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3</v>
      </c>
      <c r="P13" s="15">
        <f t="shared" si="1"/>
        <v>13</v>
      </c>
      <c r="R13" s="1" t="s">
        <v>9</v>
      </c>
      <c r="S13" s="17">
        <f t="shared" ref="S13:AF13" si="5">SUM(C22:C25)</f>
        <v>10</v>
      </c>
      <c r="T13" s="17">
        <f t="shared" si="5"/>
        <v>3</v>
      </c>
      <c r="U13" s="17">
        <f t="shared" si="5"/>
        <v>3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41</v>
      </c>
      <c r="AD13" s="17">
        <f t="shared" si="5"/>
        <v>0</v>
      </c>
      <c r="AE13" s="31">
        <f t="shared" si="5"/>
        <v>23</v>
      </c>
      <c r="AF13" s="31">
        <f t="shared" si="5"/>
        <v>64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3</v>
      </c>
      <c r="P14" s="15">
        <f t="shared" si="1"/>
        <v>11</v>
      </c>
      <c r="R14" s="1" t="s">
        <v>10</v>
      </c>
      <c r="S14" s="17">
        <f t="shared" ref="S14:AF14" si="6">SUM(C26:C29)</f>
        <v>4</v>
      </c>
      <c r="T14" s="17">
        <f t="shared" si="6"/>
        <v>3</v>
      </c>
      <c r="U14" s="17">
        <f t="shared" si="6"/>
        <v>2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55</v>
      </c>
      <c r="AD14" s="17">
        <f t="shared" si="6"/>
        <v>0</v>
      </c>
      <c r="AE14" s="31">
        <f t="shared" si="6"/>
        <v>16</v>
      </c>
      <c r="AF14" s="31">
        <f t="shared" si="6"/>
        <v>71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5</v>
      </c>
      <c r="P15" s="15">
        <f t="shared" si="1"/>
        <v>14</v>
      </c>
      <c r="R15" s="1" t="s">
        <v>11</v>
      </c>
      <c r="S15" s="17">
        <f t="shared" ref="S15:AF15" si="7">SUM(C30:C33)</f>
        <v>10</v>
      </c>
      <c r="T15" s="17">
        <f t="shared" si="7"/>
        <v>3</v>
      </c>
      <c r="U15" s="17">
        <f t="shared" si="7"/>
        <v>3</v>
      </c>
      <c r="V15" s="17">
        <f t="shared" si="7"/>
        <v>10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28</v>
      </c>
      <c r="AF15" s="31">
        <f t="shared" si="7"/>
        <v>69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3</v>
      </c>
      <c r="P16" s="15">
        <f t="shared" si="1"/>
        <v>15</v>
      </c>
      <c r="R16" s="1" t="s">
        <v>12</v>
      </c>
      <c r="S16" s="17">
        <f t="shared" ref="S16:AF16" si="8">SUM(C34:C37)</f>
        <v>11</v>
      </c>
      <c r="T16" s="17">
        <f t="shared" si="8"/>
        <v>3</v>
      </c>
      <c r="U16" s="17">
        <f t="shared" si="8"/>
        <v>2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61</v>
      </c>
      <c r="AD16" s="17">
        <f t="shared" si="8"/>
        <v>0</v>
      </c>
      <c r="AE16" s="31">
        <f t="shared" si="8"/>
        <v>19</v>
      </c>
      <c r="AF16" s="31">
        <f t="shared" si="8"/>
        <v>80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7</v>
      </c>
      <c r="P17" s="15">
        <f t="shared" si="1"/>
        <v>17</v>
      </c>
      <c r="R17" s="1" t="s">
        <v>13</v>
      </c>
      <c r="S17" s="17">
        <f t="shared" ref="S17:AF17" si="9">SUM(C38:C41)</f>
        <v>4</v>
      </c>
      <c r="T17" s="17">
        <f t="shared" si="9"/>
        <v>2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36</v>
      </c>
      <c r="AD17" s="17">
        <f t="shared" si="9"/>
        <v>0</v>
      </c>
      <c r="AE17" s="31">
        <f t="shared" si="9"/>
        <v>14</v>
      </c>
      <c r="AF17" s="31">
        <f t="shared" si="9"/>
        <v>50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4</v>
      </c>
      <c r="P18" s="15">
        <f t="shared" si="1"/>
        <v>15</v>
      </c>
      <c r="R18" s="1" t="s">
        <v>14</v>
      </c>
      <c r="S18" s="17">
        <f t="shared" ref="S18:AF18" si="10">SUM(C42:C45)</f>
        <v>6</v>
      </c>
      <c r="T18" s="17">
        <f t="shared" si="10"/>
        <v>5</v>
      </c>
      <c r="U18" s="17">
        <f t="shared" si="10"/>
        <v>2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34</v>
      </c>
      <c r="AD18" s="17">
        <f t="shared" si="10"/>
        <v>0</v>
      </c>
      <c r="AE18" s="31">
        <f t="shared" si="10"/>
        <v>16</v>
      </c>
      <c r="AF18" s="31">
        <f t="shared" si="10"/>
        <v>50</v>
      </c>
    </row>
    <row r="19" spans="2:32" ht="23.1" customHeight="1" x14ac:dyDescent="0.25">
      <c r="B19" s="23" t="s">
        <v>46</v>
      </c>
      <c r="C19" s="50">
        <v>2</v>
      </c>
      <c r="D19" s="50">
        <v>0</v>
      </c>
      <c r="E19" s="50">
        <v>0</v>
      </c>
      <c r="F19" s="50">
        <v>5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10</v>
      </c>
      <c r="P19" s="15">
        <f t="shared" si="1"/>
        <v>26</v>
      </c>
      <c r="R19" s="1" t="s">
        <v>15</v>
      </c>
      <c r="S19" s="17">
        <f t="shared" ref="S19:AF19" si="11">SUM(C46:C49)</f>
        <v>8</v>
      </c>
      <c r="T19" s="17">
        <f t="shared" si="11"/>
        <v>3</v>
      </c>
      <c r="U19" s="17">
        <f t="shared" si="11"/>
        <v>2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63</v>
      </c>
      <c r="AD19" s="17">
        <f t="shared" si="11"/>
        <v>0</v>
      </c>
      <c r="AE19" s="31">
        <f t="shared" si="11"/>
        <v>19</v>
      </c>
      <c r="AF19" s="31">
        <f t="shared" si="11"/>
        <v>82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4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8</v>
      </c>
      <c r="P20" s="15">
        <f t="shared" si="1"/>
        <v>19</v>
      </c>
      <c r="R20" s="1" t="s">
        <v>16</v>
      </c>
      <c r="S20" s="17">
        <f t="shared" ref="S20:AF20" si="12">SUM(C50:C53)</f>
        <v>7</v>
      </c>
      <c r="T20" s="17">
        <f t="shared" si="12"/>
        <v>5</v>
      </c>
      <c r="U20" s="17">
        <f t="shared" si="12"/>
        <v>5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47</v>
      </c>
      <c r="AD20" s="17">
        <f t="shared" si="12"/>
        <v>0</v>
      </c>
      <c r="AE20" s="31">
        <f t="shared" si="12"/>
        <v>29</v>
      </c>
      <c r="AF20" s="31">
        <f t="shared" si="12"/>
        <v>76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2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6</v>
      </c>
      <c r="P21" s="15">
        <f t="shared" si="1"/>
        <v>19</v>
      </c>
      <c r="R21" s="36" t="s">
        <v>20</v>
      </c>
      <c r="S21" s="34">
        <f t="shared" ref="S21:AF21" si="13">SUM(C54:C57)</f>
        <v>11</v>
      </c>
      <c r="T21" s="17">
        <f t="shared" si="13"/>
        <v>3</v>
      </c>
      <c r="U21" s="17">
        <f t="shared" si="13"/>
        <v>2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39</v>
      </c>
      <c r="AD21" s="17">
        <f t="shared" si="13"/>
        <v>0</v>
      </c>
      <c r="AE21" s="31">
        <f t="shared" si="13"/>
        <v>30</v>
      </c>
      <c r="AF21" s="31">
        <f t="shared" si="13"/>
        <v>69</v>
      </c>
    </row>
    <row r="22" spans="2:32" ht="23.1" customHeight="1" x14ac:dyDescent="0.25">
      <c r="B22" s="23" t="s">
        <v>49</v>
      </c>
      <c r="C22" s="50">
        <v>1</v>
      </c>
      <c r="D22" s="50">
        <v>2</v>
      </c>
      <c r="E22" s="50">
        <v>0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6</v>
      </c>
      <c r="P22" s="15">
        <f t="shared" si="1"/>
        <v>20</v>
      </c>
      <c r="R22" s="38" t="s">
        <v>90</v>
      </c>
      <c r="S22" s="39">
        <f>MAX(S10:S12)</f>
        <v>8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14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51</v>
      </c>
      <c r="AD22" s="39">
        <f t="shared" si="14"/>
        <v>0</v>
      </c>
      <c r="AE22" s="40">
        <f t="shared" si="14"/>
        <v>28</v>
      </c>
      <c r="AF22" s="40">
        <f t="shared" si="14"/>
        <v>79</v>
      </c>
    </row>
    <row r="23" spans="2:32" ht="23.1" customHeight="1" x14ac:dyDescent="0.25">
      <c r="B23" s="23" t="s">
        <v>50</v>
      </c>
      <c r="C23" s="50">
        <v>1</v>
      </c>
      <c r="D23" s="50">
        <v>1</v>
      </c>
      <c r="E23" s="50">
        <v>1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5</v>
      </c>
      <c r="P23" s="15">
        <f t="shared" si="1"/>
        <v>14</v>
      </c>
      <c r="R23" s="38" t="s">
        <v>91</v>
      </c>
      <c r="S23" s="39">
        <f>MAX(S13:S18)</f>
        <v>11</v>
      </c>
      <c r="T23" s="39">
        <f t="shared" ref="T23:AF23" si="15">MAX(T13:T18)</f>
        <v>5</v>
      </c>
      <c r="U23" s="39">
        <f t="shared" si="15"/>
        <v>3</v>
      </c>
      <c r="V23" s="39">
        <f t="shared" si="15"/>
        <v>10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1</v>
      </c>
      <c r="AA23" s="39">
        <f t="shared" si="15"/>
        <v>2</v>
      </c>
      <c r="AB23" s="39">
        <f t="shared" si="15"/>
        <v>0</v>
      </c>
      <c r="AC23" s="39">
        <f t="shared" si="15"/>
        <v>61</v>
      </c>
      <c r="AD23" s="39">
        <f t="shared" si="15"/>
        <v>0</v>
      </c>
      <c r="AE23" s="40">
        <f t="shared" si="15"/>
        <v>28</v>
      </c>
      <c r="AF23" s="40">
        <f t="shared" si="15"/>
        <v>80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3</v>
      </c>
      <c r="P24" s="15">
        <f t="shared" si="1"/>
        <v>10</v>
      </c>
      <c r="R24" s="38" t="s">
        <v>92</v>
      </c>
      <c r="S24" s="39">
        <f>MAX(S19:S21)</f>
        <v>11</v>
      </c>
      <c r="T24" s="39">
        <f t="shared" ref="T24:AF24" si="16">MAX(T19:T21)</f>
        <v>5</v>
      </c>
      <c r="U24" s="39">
        <f t="shared" si="16"/>
        <v>5</v>
      </c>
      <c r="V24" s="39">
        <f t="shared" si="16"/>
        <v>7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63</v>
      </c>
      <c r="AD24" s="39">
        <f t="shared" si="16"/>
        <v>0</v>
      </c>
      <c r="AE24" s="40">
        <f t="shared" si="16"/>
        <v>30</v>
      </c>
      <c r="AF24" s="40">
        <f t="shared" si="16"/>
        <v>82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1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9</v>
      </c>
      <c r="P25" s="15">
        <f t="shared" si="1"/>
        <v>20</v>
      </c>
      <c r="R25" s="37" t="s">
        <v>85</v>
      </c>
      <c r="S25" s="35">
        <f t="shared" ref="S25:AF25" si="17">SUM(S10:S12)</f>
        <v>16</v>
      </c>
      <c r="T25" s="16">
        <f t="shared" si="17"/>
        <v>0</v>
      </c>
      <c r="U25" s="16">
        <f t="shared" si="17"/>
        <v>8</v>
      </c>
      <c r="V25" s="16">
        <f t="shared" si="17"/>
        <v>30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119</v>
      </c>
      <c r="AD25" s="16">
        <f t="shared" si="17"/>
        <v>0</v>
      </c>
      <c r="AE25" s="32">
        <f t="shared" si="17"/>
        <v>60</v>
      </c>
      <c r="AF25" s="32">
        <f t="shared" si="17"/>
        <v>179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4</v>
      </c>
      <c r="P26" s="15">
        <f t="shared" si="1"/>
        <v>19</v>
      </c>
      <c r="R26" s="28" t="s">
        <v>86</v>
      </c>
      <c r="S26" s="16">
        <f t="shared" ref="S26:AF26" si="18">SUM(S13:S18)</f>
        <v>45</v>
      </c>
      <c r="T26" s="16">
        <f t="shared" si="18"/>
        <v>19</v>
      </c>
      <c r="U26" s="16">
        <f t="shared" si="18"/>
        <v>13</v>
      </c>
      <c r="V26" s="16">
        <f t="shared" si="18"/>
        <v>30</v>
      </c>
      <c r="W26" s="16">
        <f t="shared" si="18"/>
        <v>0</v>
      </c>
      <c r="X26" s="16">
        <f t="shared" si="18"/>
        <v>0</v>
      </c>
      <c r="Y26" s="16">
        <f t="shared" si="18"/>
        <v>5</v>
      </c>
      <c r="Z26" s="16">
        <f t="shared" si="18"/>
        <v>2</v>
      </c>
      <c r="AA26" s="16">
        <f t="shared" si="18"/>
        <v>2</v>
      </c>
      <c r="AB26" s="16">
        <f t="shared" si="18"/>
        <v>0</v>
      </c>
      <c r="AC26" s="16">
        <f t="shared" si="18"/>
        <v>268</v>
      </c>
      <c r="AD26" s="16">
        <f t="shared" si="18"/>
        <v>0</v>
      </c>
      <c r="AE26" s="32">
        <f t="shared" si="18"/>
        <v>116</v>
      </c>
      <c r="AF26" s="32">
        <f t="shared" si="18"/>
        <v>384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4</v>
      </c>
      <c r="P27" s="15">
        <f t="shared" si="1"/>
        <v>20</v>
      </c>
      <c r="R27" s="29" t="s">
        <v>87</v>
      </c>
      <c r="S27" s="16">
        <f t="shared" ref="S27:AF27" si="19">SUM(S19:S21)</f>
        <v>26</v>
      </c>
      <c r="T27" s="16">
        <f t="shared" si="19"/>
        <v>11</v>
      </c>
      <c r="U27" s="16">
        <f t="shared" si="19"/>
        <v>9</v>
      </c>
      <c r="V27" s="16">
        <f t="shared" si="19"/>
        <v>18</v>
      </c>
      <c r="W27" s="16">
        <f t="shared" si="19"/>
        <v>0</v>
      </c>
      <c r="X27" s="16">
        <f t="shared" si="19"/>
        <v>0</v>
      </c>
      <c r="Y27" s="16">
        <f t="shared" si="19"/>
        <v>8</v>
      </c>
      <c r="Z27" s="16">
        <f t="shared" si="19"/>
        <v>6</v>
      </c>
      <c r="AA27" s="16">
        <f t="shared" si="19"/>
        <v>0</v>
      </c>
      <c r="AB27" s="16">
        <f t="shared" si="19"/>
        <v>0</v>
      </c>
      <c r="AC27" s="16">
        <f t="shared" si="19"/>
        <v>149</v>
      </c>
      <c r="AD27" s="16">
        <f t="shared" si="19"/>
        <v>0</v>
      </c>
      <c r="AE27" s="32">
        <f t="shared" si="19"/>
        <v>78</v>
      </c>
      <c r="AF27" s="32">
        <f t="shared" si="19"/>
        <v>227</v>
      </c>
    </row>
    <row r="28" spans="2:32" ht="23.1" customHeight="1" x14ac:dyDescent="0.25">
      <c r="B28" s="23" t="s">
        <v>55</v>
      </c>
      <c r="C28" s="50">
        <v>1</v>
      </c>
      <c r="D28" s="50">
        <v>2</v>
      </c>
      <c r="E28" s="50">
        <v>1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5">
        <f t="shared" si="0"/>
        <v>6</v>
      </c>
      <c r="P28" s="15">
        <f t="shared" si="1"/>
        <v>19</v>
      </c>
      <c r="R28" s="5" t="s">
        <v>17</v>
      </c>
      <c r="S28" s="16">
        <f t="shared" ref="S28:AF28" si="20">SUM(S10:S21)</f>
        <v>87</v>
      </c>
      <c r="T28" s="16">
        <f t="shared" si="20"/>
        <v>30</v>
      </c>
      <c r="U28" s="16">
        <f t="shared" si="20"/>
        <v>30</v>
      </c>
      <c r="V28" s="16">
        <f t="shared" si="20"/>
        <v>78</v>
      </c>
      <c r="W28" s="16">
        <f t="shared" si="20"/>
        <v>0</v>
      </c>
      <c r="X28" s="16">
        <f t="shared" si="20"/>
        <v>0</v>
      </c>
      <c r="Y28" s="16">
        <f t="shared" si="20"/>
        <v>17</v>
      </c>
      <c r="Z28" s="16">
        <f t="shared" si="20"/>
        <v>10</v>
      </c>
      <c r="AA28" s="16">
        <f t="shared" si="20"/>
        <v>2</v>
      </c>
      <c r="AB28" s="16">
        <f t="shared" si="20"/>
        <v>0</v>
      </c>
      <c r="AC28" s="16">
        <f t="shared" si="20"/>
        <v>536</v>
      </c>
      <c r="AD28" s="16">
        <f t="shared" si="20"/>
        <v>0</v>
      </c>
      <c r="AE28" s="32">
        <f t="shared" si="20"/>
        <v>254</v>
      </c>
      <c r="AF28" s="32">
        <f t="shared" si="20"/>
        <v>790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2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1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14</v>
      </c>
      <c r="N30" s="50">
        <v>0</v>
      </c>
      <c r="O30" s="15">
        <f t="shared" si="0"/>
        <v>4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0</v>
      </c>
      <c r="F31" s="50">
        <v>4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9</v>
      </c>
      <c r="P31" s="15">
        <f t="shared" si="1"/>
        <v>21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1</v>
      </c>
      <c r="F32" s="50">
        <v>3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9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6</v>
      </c>
      <c r="P33" s="15">
        <f t="shared" si="1"/>
        <v>17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18</v>
      </c>
      <c r="N34" s="50">
        <v>0</v>
      </c>
      <c r="O34" s="15">
        <f t="shared" si="0"/>
        <v>5</v>
      </c>
      <c r="P34" s="15">
        <f t="shared" si="1"/>
        <v>23</v>
      </c>
    </row>
    <row r="35" spans="2:20" ht="23.1" customHeight="1" x14ac:dyDescent="0.25">
      <c r="B35" s="24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1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13</v>
      </c>
      <c r="N36" s="50">
        <v>0</v>
      </c>
      <c r="O36" s="15">
        <f t="shared" si="0"/>
        <v>5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5">
        <f t="shared" si="0"/>
        <v>8</v>
      </c>
      <c r="P37" s="15">
        <f t="shared" si="1"/>
        <v>23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14</v>
      </c>
      <c r="N38" s="50">
        <v>0</v>
      </c>
      <c r="O38" s="15">
        <f t="shared" si="0"/>
        <v>1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1</v>
      </c>
      <c r="L39" s="50">
        <v>0</v>
      </c>
      <c r="M39" s="50">
        <v>7</v>
      </c>
      <c r="N39" s="50">
        <v>0</v>
      </c>
      <c r="O39" s="15">
        <f t="shared" si="0"/>
        <v>5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1</v>
      </c>
      <c r="D40" s="50">
        <v>2</v>
      </c>
      <c r="E40" s="50">
        <v>0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6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2</v>
      </c>
      <c r="P41" s="15">
        <f t="shared" si="1"/>
        <v>7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4</v>
      </c>
      <c r="P42" s="15">
        <f t="shared" si="1"/>
        <v>10</v>
      </c>
    </row>
    <row r="43" spans="2:20" ht="23.1" customHeight="1" x14ac:dyDescent="0.25">
      <c r="B43" s="23" t="s">
        <v>70</v>
      </c>
      <c r="C43" s="50">
        <v>3</v>
      </c>
      <c r="D43" s="50">
        <v>2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6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3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1</v>
      </c>
      <c r="D45" s="50">
        <v>2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3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2</v>
      </c>
      <c r="D46" s="50">
        <v>2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5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8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22</v>
      </c>
      <c r="N48" s="50">
        <v>0</v>
      </c>
      <c r="O48" s="15">
        <f t="shared" si="0"/>
        <v>2</v>
      </c>
      <c r="P48" s="15">
        <f t="shared" si="1"/>
        <v>24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4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1</v>
      </c>
      <c r="E50" s="50">
        <v>2</v>
      </c>
      <c r="F50" s="50">
        <v>4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10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13</v>
      </c>
      <c r="N51" s="50">
        <v>0</v>
      </c>
      <c r="O51" s="15">
        <f t="shared" si="0"/>
        <v>4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3</v>
      </c>
      <c r="E52" s="50">
        <v>0</v>
      </c>
      <c r="F52" s="50">
        <v>2</v>
      </c>
      <c r="G52" s="50">
        <v>0</v>
      </c>
      <c r="H52" s="50">
        <v>0</v>
      </c>
      <c r="I52" s="50">
        <v>1</v>
      </c>
      <c r="J52" s="50">
        <v>2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11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4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9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2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14</v>
      </c>
      <c r="N55" s="50">
        <v>0</v>
      </c>
      <c r="O55" s="15">
        <f t="shared" si="0"/>
        <v>9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4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2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8</v>
      </c>
      <c r="P57" s="15">
        <f t="shared" si="1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87</v>
      </c>
      <c r="D58" s="16">
        <f t="shared" si="21"/>
        <v>30</v>
      </c>
      <c r="E58" s="16">
        <f t="shared" si="21"/>
        <v>30</v>
      </c>
      <c r="F58" s="16">
        <f t="shared" si="21"/>
        <v>78</v>
      </c>
      <c r="G58" s="16">
        <f t="shared" si="21"/>
        <v>0</v>
      </c>
      <c r="H58" s="16">
        <f t="shared" si="21"/>
        <v>0</v>
      </c>
      <c r="I58" s="16">
        <f t="shared" si="21"/>
        <v>17</v>
      </c>
      <c r="J58" s="16">
        <f t="shared" si="21"/>
        <v>10</v>
      </c>
      <c r="K58" s="16">
        <f t="shared" si="21"/>
        <v>2</v>
      </c>
      <c r="L58" s="16">
        <f t="shared" si="21"/>
        <v>0</v>
      </c>
      <c r="M58" s="16">
        <f t="shared" si="21"/>
        <v>536</v>
      </c>
      <c r="N58" s="16">
        <f t="shared" si="21"/>
        <v>0</v>
      </c>
      <c r="O58" s="16">
        <f t="shared" si="21"/>
        <v>254</v>
      </c>
      <c r="P58" s="16">
        <f t="shared" si="21"/>
        <v>790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0.11012658227848102</v>
      </c>
      <c r="D59" s="43">
        <f t="shared" si="22"/>
        <v>3.7974683544303799E-2</v>
      </c>
      <c r="E59" s="43">
        <f t="shared" si="22"/>
        <v>3.7974683544303799E-2</v>
      </c>
      <c r="F59" s="43">
        <f t="shared" si="22"/>
        <v>9.8734177215189872E-2</v>
      </c>
      <c r="G59" s="43">
        <f t="shared" si="22"/>
        <v>0</v>
      </c>
      <c r="H59" s="43">
        <f t="shared" si="22"/>
        <v>0</v>
      </c>
      <c r="I59" s="43">
        <f t="shared" si="22"/>
        <v>2.1518987341772152E-2</v>
      </c>
      <c r="J59" s="43">
        <f t="shared" si="22"/>
        <v>1.2658227848101266E-2</v>
      </c>
      <c r="K59" s="43">
        <f t="shared" si="22"/>
        <v>2.5316455696202532E-3</v>
      </c>
      <c r="L59" s="43">
        <f t="shared" si="22"/>
        <v>0</v>
      </c>
      <c r="M59" s="43">
        <f t="shared" si="22"/>
        <v>0.6784810126582278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0.34251968503937008</v>
      </c>
      <c r="D60" s="44">
        <f t="shared" ref="D60:N60" si="23">D58/$O$58</f>
        <v>0.11811023622047244</v>
      </c>
      <c r="E60" s="44">
        <f t="shared" si="23"/>
        <v>0.11811023622047244</v>
      </c>
      <c r="F60" s="44">
        <f t="shared" si="23"/>
        <v>0.30708661417322836</v>
      </c>
      <c r="G60" s="44">
        <f t="shared" si="23"/>
        <v>0</v>
      </c>
      <c r="H60" s="44">
        <f t="shared" si="23"/>
        <v>0</v>
      </c>
      <c r="I60" s="44">
        <f t="shared" si="23"/>
        <v>6.6929133858267723E-2</v>
      </c>
      <c r="J60" s="44">
        <f t="shared" si="23"/>
        <v>3.937007874015748E-2</v>
      </c>
      <c r="K60" s="44">
        <f t="shared" si="23"/>
        <v>7.874015748031496E-3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M1" zoomScale="60" workbookViewId="0">
      <selection activeCell="N106" sqref="N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8" t="str">
        <f>'23.10 MADDU-KANONI'!C3:G3</f>
        <v>KANONI-MADDU ROAD</v>
      </c>
      <c r="D3" s="68"/>
      <c r="E3" s="68"/>
      <c r="F3" s="68"/>
      <c r="G3" s="6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'23.10 KANONI-MADDU'!G5:H5</f>
        <v>KANONI</v>
      </c>
      <c r="H5" s="65"/>
      <c r="I5" s="14"/>
      <c r="J5" s="2" t="s">
        <v>5</v>
      </c>
      <c r="K5" s="64" t="s">
        <v>179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'23.10 KANONI-MADDU'!D6:E6</f>
        <v>KANONI</v>
      </c>
      <c r="E6" s="65"/>
      <c r="F6" s="2" t="s">
        <v>2</v>
      </c>
      <c r="G6" s="64" t="str">
        <f>'23.10 KANONI-MADDU'!G6:H6</f>
        <v>MADDU</v>
      </c>
      <c r="H6" s="65"/>
      <c r="J6" s="2" t="s">
        <v>21</v>
      </c>
      <c r="K6" s="64" t="str">
        <f>'23.10 KANONI-MADDU'!K6:L6</f>
        <v>FELIX OLOYA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KANONI-MADDU'!C10,'18.10 KANONI-MADDU-24h'!C10,'19.10 KANONI-MADDU-24h'!C10,'20.10 KANONI-MADDU'!C10,'21.10 KANONI-MADDU'!C10,'22.10.KANONI-MADDU'!C10,'23.10 KANONI-MADDU'!C10)</f>
        <v>0.5714285714285714</v>
      </c>
      <c r="D10" s="49">
        <f>AVERAGE('17.10 KANONI-MADDU'!D10,'18.10 KANONI-MADDU-24h'!D10,'19.10 KANONI-MADDU-24h'!D10,'20.10 KANONI-MADDU'!D10,'21.10 KANONI-MADDU'!D10,'22.10.KANONI-MADDU'!D10,'23.10 KANONI-MADDU'!D10)</f>
        <v>0.5714285714285714</v>
      </c>
      <c r="E10" s="49">
        <f>AVERAGE('17.10 KANONI-MADDU'!E10,'18.10 KANONI-MADDU-24h'!E10,'19.10 KANONI-MADDU-24h'!E10,'20.10 KANONI-MADDU'!E10,'21.10 KANONI-MADDU'!E10,'22.10.KANONI-MADDU'!E10,'23.10 KANONI-MADDU'!E10)</f>
        <v>0.2857142857142857</v>
      </c>
      <c r="F10" s="49">
        <f>AVERAGE('17.10 KANONI-MADDU'!F10,'18.10 KANONI-MADDU-24h'!F10,'19.10 KANONI-MADDU-24h'!F10,'20.10 KANONI-MADDU'!F10,'21.10 KANONI-MADDU'!F10,'22.10.KANONI-MADDU'!F10,'23.10 KANONI-MADDU'!F10)</f>
        <v>0.2857142857142857</v>
      </c>
      <c r="G10" s="49">
        <f>AVERAGE('17.10 KANONI-MADDU'!G10,'18.10 KANONI-MADDU-24h'!G10,'19.10 KANONI-MADDU-24h'!G10,'20.10 KANONI-MADDU'!G10,'21.10 KANONI-MADDU'!G10,'22.10.KANONI-MADDU'!G10,'23.10 KANONI-MADDU'!G10)</f>
        <v>0</v>
      </c>
      <c r="H10" s="49">
        <f>AVERAGE('17.10 KANONI-MADDU'!H10,'18.10 KANONI-MADDU-24h'!H10,'19.10 KANONI-MADDU-24h'!H10,'20.10 KANONI-MADDU'!H10,'21.10 KANONI-MADDU'!H10,'22.10.KANONI-MADDU'!H10,'23.10 KANONI-MADDU'!H10)</f>
        <v>0</v>
      </c>
      <c r="I10" s="49">
        <f>AVERAGE('17.10 KANONI-MADDU'!I10,'18.10 KANONI-MADDU-24h'!I10,'19.10 KANONI-MADDU-24h'!I10,'20.10 KANONI-MADDU'!I10,'21.10 KANONI-MADDU'!I10,'22.10.KANONI-MADDU'!I10,'23.10 KANONI-MADDU'!I10)</f>
        <v>0.14285714285714285</v>
      </c>
      <c r="J10" s="49">
        <f>AVERAGE('17.10 KANONI-MADDU'!J10,'18.10 KANONI-MADDU-24h'!J10,'19.10 KANONI-MADDU-24h'!J10,'20.10 KANONI-MADDU'!J10,'21.10 KANONI-MADDU'!J10,'22.10.KANONI-MADDU'!J10,'23.10 KANONI-MADDU'!J10)</f>
        <v>0.42857142857142855</v>
      </c>
      <c r="K10" s="49">
        <f>AVERAGE('17.10 KANONI-MADDU'!K10,'18.10 KANONI-MADDU-24h'!K10,'19.10 KANONI-MADDU-24h'!K10,'20.10 KANONI-MADDU'!K10,'21.10 KANONI-MADDU'!K10,'22.10.KANONI-MADDU'!K10,'23.10 KANONI-MADDU'!K10)</f>
        <v>0</v>
      </c>
      <c r="L10" s="49">
        <f>AVERAGE('17.10 KANONI-MADDU'!L10,'18.10 KANONI-MADDU-24h'!L10,'19.10 KANONI-MADDU-24h'!L10,'20.10 KANONI-MADDU'!L10,'21.10 KANONI-MADDU'!L10,'22.10.KANONI-MADDU'!L10,'23.10 KANONI-MADDU'!L10)</f>
        <v>0</v>
      </c>
      <c r="M10" s="49">
        <f>AVERAGE('17.10 KANONI-MADDU'!M10,'18.10 KANONI-MADDU-24h'!M10,'19.10 KANONI-MADDU-24h'!M10,'20.10 KANONI-MADDU'!M10,'21.10 KANONI-MADDU'!M10,'22.10.KANONI-MADDU'!M10,'23.10 KANONI-MADDU'!M10)</f>
        <v>4.2857142857142856</v>
      </c>
      <c r="N10" s="49">
        <f>AVERAGE('17.10 KANONI-MADDU'!N10,'18.10 KANONI-MADDU-24h'!N10,'19.10 KANONI-MADDU-24h'!N10,'20.10 KANONI-MADDU'!N10,'21.10 KANONI-MADDU'!N10,'22.10.KANONI-MADDU'!N10,'23.10 KANONI-MADDU'!N10)</f>
        <v>0</v>
      </c>
      <c r="O10" s="15">
        <f t="shared" ref="O10:O73" si="0">SUM(C10:L10,N10)</f>
        <v>2.2857142857142851</v>
      </c>
      <c r="P10" s="15">
        <f t="shared" ref="P10:P73" si="1">SUM(C10:N10)</f>
        <v>6.5714285714285712</v>
      </c>
      <c r="R10" s="1" t="s">
        <v>6</v>
      </c>
      <c r="S10" s="17">
        <f t="shared" ref="S10:AF10" si="2">SUM(C10:C13)</f>
        <v>3.7142857142857144</v>
      </c>
      <c r="T10" s="17">
        <f t="shared" si="2"/>
        <v>1.7142857142857142</v>
      </c>
      <c r="U10" s="17">
        <f t="shared" si="2"/>
        <v>1.8571428571428572</v>
      </c>
      <c r="V10" s="17">
        <f t="shared" si="2"/>
        <v>2.2857142857142856</v>
      </c>
      <c r="W10" s="17">
        <f t="shared" si="2"/>
        <v>0.14285714285714285</v>
      </c>
      <c r="X10" s="17">
        <f t="shared" si="2"/>
        <v>0</v>
      </c>
      <c r="Y10" s="17">
        <f t="shared" si="2"/>
        <v>3</v>
      </c>
      <c r="Z10" s="17">
        <f t="shared" si="2"/>
        <v>2.1428571428571428</v>
      </c>
      <c r="AA10" s="17">
        <f t="shared" si="2"/>
        <v>0.2857142857142857</v>
      </c>
      <c r="AB10" s="17">
        <f t="shared" si="2"/>
        <v>0</v>
      </c>
      <c r="AC10" s="17">
        <f t="shared" si="2"/>
        <v>27.571428571428569</v>
      </c>
      <c r="AD10" s="17">
        <f t="shared" si="2"/>
        <v>0</v>
      </c>
      <c r="AE10" s="31">
        <f t="shared" si="2"/>
        <v>15.142857142857142</v>
      </c>
      <c r="AF10" s="31">
        <f t="shared" si="2"/>
        <v>42.714285714285708</v>
      </c>
    </row>
    <row r="11" spans="2:32" s="6" customFormat="1" ht="23.1" customHeight="1" x14ac:dyDescent="0.25">
      <c r="B11" s="23" t="s">
        <v>38</v>
      </c>
      <c r="C11" s="49">
        <f>AVERAGE('17.10 KANONI-MADDU'!C11,'18.10 KANONI-MADDU-24h'!C11,'19.10 KANONI-MADDU-24h'!C11,'20.10 KANONI-MADDU'!C11,'21.10 KANONI-MADDU'!C11,'22.10.KANONI-MADDU'!C11,'23.10 KANONI-MADDU'!C11)</f>
        <v>0.42857142857142855</v>
      </c>
      <c r="D11" s="49">
        <f>AVERAGE('17.10 KANONI-MADDU'!D11,'18.10 KANONI-MADDU-24h'!D11,'19.10 KANONI-MADDU-24h'!D11,'20.10 KANONI-MADDU'!D11,'21.10 KANONI-MADDU'!D11,'22.10.KANONI-MADDU'!D11,'23.10 KANONI-MADDU'!D11)</f>
        <v>0</v>
      </c>
      <c r="E11" s="49">
        <f>AVERAGE('17.10 KANONI-MADDU'!E11,'18.10 KANONI-MADDU-24h'!E11,'19.10 KANONI-MADDU-24h'!E11,'20.10 KANONI-MADDU'!E11,'21.10 KANONI-MADDU'!E11,'22.10.KANONI-MADDU'!E11,'23.10 KANONI-MADDU'!E11)</f>
        <v>0</v>
      </c>
      <c r="F11" s="49">
        <f>AVERAGE('17.10 KANONI-MADDU'!F11,'18.10 KANONI-MADDU-24h'!F11,'19.10 KANONI-MADDU-24h'!F11,'20.10 KANONI-MADDU'!F11,'21.10 KANONI-MADDU'!F11,'22.10.KANONI-MADDU'!F11,'23.10 KANONI-MADDU'!F11)</f>
        <v>0.2857142857142857</v>
      </c>
      <c r="G11" s="49">
        <f>AVERAGE('17.10 KANONI-MADDU'!G11,'18.10 KANONI-MADDU-24h'!G11,'19.10 KANONI-MADDU-24h'!G11,'20.10 KANONI-MADDU'!G11,'21.10 KANONI-MADDU'!G11,'22.10.KANONI-MADDU'!G11,'23.10 KANONI-MADDU'!G11)</f>
        <v>0</v>
      </c>
      <c r="H11" s="49">
        <f>AVERAGE('17.10 KANONI-MADDU'!H11,'18.10 KANONI-MADDU-24h'!H11,'19.10 KANONI-MADDU-24h'!H11,'20.10 KANONI-MADDU'!H11,'21.10 KANONI-MADDU'!H11,'22.10.KANONI-MADDU'!H11,'23.10 KANONI-MADDU'!H11)</f>
        <v>0</v>
      </c>
      <c r="I11" s="49">
        <f>AVERAGE('17.10 KANONI-MADDU'!I11,'18.10 KANONI-MADDU-24h'!I11,'19.10 KANONI-MADDU-24h'!I11,'20.10 KANONI-MADDU'!I11,'21.10 KANONI-MADDU'!I11,'22.10.KANONI-MADDU'!I11,'23.10 KANONI-MADDU'!I11)</f>
        <v>0.5714285714285714</v>
      </c>
      <c r="J11" s="49">
        <f>AVERAGE('17.10 KANONI-MADDU'!J11,'18.10 KANONI-MADDU-24h'!J11,'19.10 KANONI-MADDU-24h'!J11,'20.10 KANONI-MADDU'!J11,'21.10 KANONI-MADDU'!J11,'22.10.KANONI-MADDU'!J11,'23.10 KANONI-MADDU'!J11)</f>
        <v>0.42857142857142855</v>
      </c>
      <c r="K11" s="49">
        <f>AVERAGE('17.10 KANONI-MADDU'!K11,'18.10 KANONI-MADDU-24h'!K11,'19.10 KANONI-MADDU-24h'!K11,'20.10 KANONI-MADDU'!K11,'21.10 KANONI-MADDU'!K11,'22.10.KANONI-MADDU'!K11,'23.10 KANONI-MADDU'!K11)</f>
        <v>0</v>
      </c>
      <c r="L11" s="49">
        <f>AVERAGE('17.10 KANONI-MADDU'!L11,'18.10 KANONI-MADDU-24h'!L11,'19.10 KANONI-MADDU-24h'!L11,'20.10 KANONI-MADDU'!L11,'21.10 KANONI-MADDU'!L11,'22.10.KANONI-MADDU'!L11,'23.10 KANONI-MADDU'!L11)</f>
        <v>0</v>
      </c>
      <c r="M11" s="49">
        <f>AVERAGE('17.10 KANONI-MADDU'!M11,'18.10 KANONI-MADDU-24h'!M11,'19.10 KANONI-MADDU-24h'!M11,'20.10 KANONI-MADDU'!M11,'21.10 KANONI-MADDU'!M11,'22.10.KANONI-MADDU'!M11,'23.10 KANONI-MADDU'!M11)</f>
        <v>6</v>
      </c>
      <c r="N11" s="49">
        <f>AVERAGE('17.10 KANONI-MADDU'!N11,'18.10 KANONI-MADDU-24h'!N11,'19.10 KANONI-MADDU-24h'!N11,'20.10 KANONI-MADDU'!N11,'21.10 KANONI-MADDU'!N11,'22.10.KANONI-MADDU'!N11,'23.10 KANONI-MADDU'!N11)</f>
        <v>0</v>
      </c>
      <c r="O11" s="15">
        <f t="shared" si="0"/>
        <v>1.7142857142857142</v>
      </c>
      <c r="P11" s="15">
        <f t="shared" si="1"/>
        <v>7.7142857142857144</v>
      </c>
      <c r="R11" s="1" t="s">
        <v>7</v>
      </c>
      <c r="S11" s="17">
        <f t="shared" ref="S11:AF11" si="3">SUM(C14:C17)</f>
        <v>7.8571428571428577</v>
      </c>
      <c r="T11" s="17">
        <f t="shared" si="3"/>
        <v>2</v>
      </c>
      <c r="U11" s="17">
        <f t="shared" si="3"/>
        <v>1.9999999999999998</v>
      </c>
      <c r="V11" s="17">
        <f t="shared" si="3"/>
        <v>3.4285714285714284</v>
      </c>
      <c r="W11" s="17">
        <f t="shared" si="3"/>
        <v>0</v>
      </c>
      <c r="X11" s="17">
        <f t="shared" si="3"/>
        <v>0</v>
      </c>
      <c r="Y11" s="17">
        <f t="shared" si="3"/>
        <v>2.5714285714285712</v>
      </c>
      <c r="Z11" s="17">
        <f t="shared" si="3"/>
        <v>1.8571428571428572</v>
      </c>
      <c r="AA11" s="17">
        <f t="shared" si="3"/>
        <v>0.5714285714285714</v>
      </c>
      <c r="AB11" s="17">
        <f t="shared" si="3"/>
        <v>0</v>
      </c>
      <c r="AC11" s="17">
        <f t="shared" si="3"/>
        <v>36</v>
      </c>
      <c r="AD11" s="17">
        <f t="shared" si="3"/>
        <v>0</v>
      </c>
      <c r="AE11" s="31">
        <f t="shared" si="3"/>
        <v>20.285714285714285</v>
      </c>
      <c r="AF11" s="31">
        <f t="shared" si="3"/>
        <v>56.285714285714292</v>
      </c>
    </row>
    <row r="12" spans="2:32" ht="23.1" customHeight="1" x14ac:dyDescent="0.25">
      <c r="B12" s="23" t="s">
        <v>39</v>
      </c>
      <c r="C12" s="49">
        <f>AVERAGE('17.10 KANONI-MADDU'!C12,'18.10 KANONI-MADDU-24h'!C12,'19.10 KANONI-MADDU-24h'!C12,'20.10 KANONI-MADDU'!C12,'21.10 KANONI-MADDU'!C12,'22.10.KANONI-MADDU'!C12,'23.10 KANONI-MADDU'!C12)</f>
        <v>1.2857142857142858</v>
      </c>
      <c r="D12" s="49">
        <f>AVERAGE('17.10 KANONI-MADDU'!D12,'18.10 KANONI-MADDU-24h'!D12,'19.10 KANONI-MADDU-24h'!D12,'20.10 KANONI-MADDU'!D12,'21.10 KANONI-MADDU'!D12,'22.10.KANONI-MADDU'!D12,'23.10 KANONI-MADDU'!D12)</f>
        <v>0.5714285714285714</v>
      </c>
      <c r="E12" s="49">
        <f>AVERAGE('17.10 KANONI-MADDU'!E12,'18.10 KANONI-MADDU-24h'!E12,'19.10 KANONI-MADDU-24h'!E12,'20.10 KANONI-MADDU'!E12,'21.10 KANONI-MADDU'!E12,'22.10.KANONI-MADDU'!E12,'23.10 KANONI-MADDU'!E12)</f>
        <v>0.5714285714285714</v>
      </c>
      <c r="F12" s="49">
        <f>AVERAGE('17.10 KANONI-MADDU'!F12,'18.10 KANONI-MADDU-24h'!F12,'19.10 KANONI-MADDU-24h'!F12,'20.10 KANONI-MADDU'!F12,'21.10 KANONI-MADDU'!F12,'22.10.KANONI-MADDU'!F12,'23.10 KANONI-MADDU'!F12)</f>
        <v>1.4285714285714286</v>
      </c>
      <c r="G12" s="49">
        <f>AVERAGE('17.10 KANONI-MADDU'!G12,'18.10 KANONI-MADDU-24h'!G12,'19.10 KANONI-MADDU-24h'!G12,'20.10 KANONI-MADDU'!G12,'21.10 KANONI-MADDU'!G12,'22.10.KANONI-MADDU'!G12,'23.10 KANONI-MADDU'!G12)</f>
        <v>0.14285714285714285</v>
      </c>
      <c r="H12" s="49">
        <f>AVERAGE('17.10 KANONI-MADDU'!H12,'18.10 KANONI-MADDU-24h'!H12,'19.10 KANONI-MADDU-24h'!H12,'20.10 KANONI-MADDU'!H12,'21.10 KANONI-MADDU'!H12,'22.10.KANONI-MADDU'!H12,'23.10 KANONI-MADDU'!H12)</f>
        <v>0</v>
      </c>
      <c r="I12" s="49">
        <f>AVERAGE('17.10 KANONI-MADDU'!I12,'18.10 KANONI-MADDU-24h'!I12,'19.10 KANONI-MADDU-24h'!I12,'20.10 KANONI-MADDU'!I12,'21.10 KANONI-MADDU'!I12,'22.10.KANONI-MADDU'!I12,'23.10 KANONI-MADDU'!I12)</f>
        <v>1</v>
      </c>
      <c r="J12" s="49">
        <f>AVERAGE('17.10 KANONI-MADDU'!J12,'18.10 KANONI-MADDU-24h'!J12,'19.10 KANONI-MADDU-24h'!J12,'20.10 KANONI-MADDU'!J12,'21.10 KANONI-MADDU'!J12,'22.10.KANONI-MADDU'!J12,'23.10 KANONI-MADDU'!J12)</f>
        <v>0.7142857142857143</v>
      </c>
      <c r="K12" s="49">
        <f>AVERAGE('17.10 KANONI-MADDU'!K12,'18.10 KANONI-MADDU-24h'!K12,'19.10 KANONI-MADDU-24h'!K12,'20.10 KANONI-MADDU'!K12,'21.10 KANONI-MADDU'!K12,'22.10.KANONI-MADDU'!K12,'23.10 KANONI-MADDU'!K12)</f>
        <v>0</v>
      </c>
      <c r="L12" s="49">
        <f>AVERAGE('17.10 KANONI-MADDU'!L12,'18.10 KANONI-MADDU-24h'!L12,'19.10 KANONI-MADDU-24h'!L12,'20.10 KANONI-MADDU'!L12,'21.10 KANONI-MADDU'!L12,'22.10.KANONI-MADDU'!L12,'23.10 KANONI-MADDU'!L12)</f>
        <v>0</v>
      </c>
      <c r="M12" s="49">
        <f>AVERAGE('17.10 KANONI-MADDU'!M12,'18.10 KANONI-MADDU-24h'!M12,'19.10 KANONI-MADDU-24h'!M12,'20.10 KANONI-MADDU'!M12,'21.10 KANONI-MADDU'!M12,'22.10.KANONI-MADDU'!M12,'23.10 KANONI-MADDU'!M12)</f>
        <v>8.5714285714285712</v>
      </c>
      <c r="N12" s="49">
        <f>AVERAGE('17.10 KANONI-MADDU'!N12,'18.10 KANONI-MADDU-24h'!N12,'19.10 KANONI-MADDU-24h'!N12,'20.10 KANONI-MADDU'!N12,'21.10 KANONI-MADDU'!N12,'22.10.KANONI-MADDU'!N12,'23.10 KANONI-MADDU'!N12)</f>
        <v>0</v>
      </c>
      <c r="O12" s="15">
        <f t="shared" si="0"/>
        <v>5.7142857142857153</v>
      </c>
      <c r="P12" s="15">
        <f t="shared" si="1"/>
        <v>14.285714285714286</v>
      </c>
      <c r="R12" s="1" t="s">
        <v>8</v>
      </c>
      <c r="S12" s="17">
        <f t="shared" ref="S12:AF12" si="4">SUM(C18:C21)</f>
        <v>6.2857142857142865</v>
      </c>
      <c r="T12" s="17">
        <f t="shared" si="4"/>
        <v>3.4285714285714284</v>
      </c>
      <c r="U12" s="17">
        <f t="shared" si="4"/>
        <v>4</v>
      </c>
      <c r="V12" s="17">
        <f t="shared" si="4"/>
        <v>5.2857142857142856</v>
      </c>
      <c r="W12" s="17">
        <f t="shared" si="4"/>
        <v>0.2857142857142857</v>
      </c>
      <c r="X12" s="17">
        <f t="shared" si="4"/>
        <v>0</v>
      </c>
      <c r="Y12" s="17">
        <f t="shared" si="4"/>
        <v>2.1428571428571428</v>
      </c>
      <c r="Z12" s="17">
        <f t="shared" si="4"/>
        <v>2.1428571428571428</v>
      </c>
      <c r="AA12" s="17">
        <f t="shared" si="4"/>
        <v>0.8571428571428571</v>
      </c>
      <c r="AB12" s="17">
        <f t="shared" si="4"/>
        <v>0</v>
      </c>
      <c r="AC12" s="17">
        <f t="shared" si="4"/>
        <v>38</v>
      </c>
      <c r="AD12" s="17">
        <f t="shared" si="4"/>
        <v>0.14285714285714285</v>
      </c>
      <c r="AE12" s="31">
        <f t="shared" si="4"/>
        <v>24.571428571428573</v>
      </c>
      <c r="AF12" s="31">
        <f t="shared" si="4"/>
        <v>62.571428571428569</v>
      </c>
    </row>
    <row r="13" spans="2:32" ht="23.1" customHeight="1" x14ac:dyDescent="0.25">
      <c r="B13" s="23" t="s">
        <v>40</v>
      </c>
      <c r="C13" s="49">
        <f>AVERAGE('17.10 KANONI-MADDU'!C13,'18.10 KANONI-MADDU-24h'!C13,'19.10 KANONI-MADDU-24h'!C13,'20.10 KANONI-MADDU'!C13,'21.10 KANONI-MADDU'!C13,'22.10.KANONI-MADDU'!C13,'23.10 KANONI-MADDU'!C13)</f>
        <v>1.4285714285714286</v>
      </c>
      <c r="D13" s="49">
        <f>AVERAGE('17.10 KANONI-MADDU'!D13,'18.10 KANONI-MADDU-24h'!D13,'19.10 KANONI-MADDU-24h'!D13,'20.10 KANONI-MADDU'!D13,'21.10 KANONI-MADDU'!D13,'22.10.KANONI-MADDU'!D13,'23.10 KANONI-MADDU'!D13)</f>
        <v>0.5714285714285714</v>
      </c>
      <c r="E13" s="49">
        <f>AVERAGE('17.10 KANONI-MADDU'!E13,'18.10 KANONI-MADDU-24h'!E13,'19.10 KANONI-MADDU-24h'!E13,'20.10 KANONI-MADDU'!E13,'21.10 KANONI-MADDU'!E13,'22.10.KANONI-MADDU'!E13,'23.10 KANONI-MADDU'!E13)</f>
        <v>1</v>
      </c>
      <c r="F13" s="49">
        <f>AVERAGE('17.10 KANONI-MADDU'!F13,'18.10 KANONI-MADDU-24h'!F13,'19.10 KANONI-MADDU-24h'!F13,'20.10 KANONI-MADDU'!F13,'21.10 KANONI-MADDU'!F13,'22.10.KANONI-MADDU'!F13,'23.10 KANONI-MADDU'!F13)</f>
        <v>0.2857142857142857</v>
      </c>
      <c r="G13" s="49">
        <f>AVERAGE('17.10 KANONI-MADDU'!G13,'18.10 KANONI-MADDU-24h'!G13,'19.10 KANONI-MADDU-24h'!G13,'20.10 KANONI-MADDU'!G13,'21.10 KANONI-MADDU'!G13,'22.10.KANONI-MADDU'!G13,'23.10 KANONI-MADDU'!G13)</f>
        <v>0</v>
      </c>
      <c r="H13" s="49">
        <f>AVERAGE('17.10 KANONI-MADDU'!H13,'18.10 KANONI-MADDU-24h'!H13,'19.10 KANONI-MADDU-24h'!H13,'20.10 KANONI-MADDU'!H13,'21.10 KANONI-MADDU'!H13,'22.10.KANONI-MADDU'!H13,'23.10 KANONI-MADDU'!H13)</f>
        <v>0</v>
      </c>
      <c r="I13" s="49">
        <f>AVERAGE('17.10 KANONI-MADDU'!I13,'18.10 KANONI-MADDU-24h'!I13,'19.10 KANONI-MADDU-24h'!I13,'20.10 KANONI-MADDU'!I13,'21.10 KANONI-MADDU'!I13,'22.10.KANONI-MADDU'!I13,'23.10 KANONI-MADDU'!I13)</f>
        <v>1.2857142857142858</v>
      </c>
      <c r="J13" s="49">
        <f>AVERAGE('17.10 KANONI-MADDU'!J13,'18.10 KANONI-MADDU-24h'!J13,'19.10 KANONI-MADDU-24h'!J13,'20.10 KANONI-MADDU'!J13,'21.10 KANONI-MADDU'!J13,'22.10.KANONI-MADDU'!J13,'23.10 KANONI-MADDU'!J13)</f>
        <v>0.5714285714285714</v>
      </c>
      <c r="K13" s="49">
        <f>AVERAGE('17.10 KANONI-MADDU'!K13,'18.10 KANONI-MADDU-24h'!K13,'19.10 KANONI-MADDU-24h'!K13,'20.10 KANONI-MADDU'!K13,'21.10 KANONI-MADDU'!K13,'22.10.KANONI-MADDU'!K13,'23.10 KANONI-MADDU'!K13)</f>
        <v>0.2857142857142857</v>
      </c>
      <c r="L13" s="49">
        <f>AVERAGE('17.10 KANONI-MADDU'!L13,'18.10 KANONI-MADDU-24h'!L13,'19.10 KANONI-MADDU-24h'!L13,'20.10 KANONI-MADDU'!L13,'21.10 KANONI-MADDU'!L13,'22.10.KANONI-MADDU'!L13,'23.10 KANONI-MADDU'!L13)</f>
        <v>0</v>
      </c>
      <c r="M13" s="49">
        <f>AVERAGE('17.10 KANONI-MADDU'!M13,'18.10 KANONI-MADDU-24h'!M13,'19.10 KANONI-MADDU-24h'!M13,'20.10 KANONI-MADDU'!M13,'21.10 KANONI-MADDU'!M13,'22.10.KANONI-MADDU'!M13,'23.10 KANONI-MADDU'!M13)</f>
        <v>8.7142857142857135</v>
      </c>
      <c r="N13" s="49">
        <f>AVERAGE('17.10 KANONI-MADDU'!N13,'18.10 KANONI-MADDU-24h'!N13,'19.10 KANONI-MADDU-24h'!N13,'20.10 KANONI-MADDU'!N13,'21.10 KANONI-MADDU'!N13,'22.10.KANONI-MADDU'!N13,'23.10 KANONI-MADDU'!N13)</f>
        <v>0</v>
      </c>
      <c r="O13" s="15">
        <f t="shared" si="0"/>
        <v>5.4285714285714279</v>
      </c>
      <c r="P13" s="15">
        <f t="shared" si="1"/>
        <v>14.142857142857142</v>
      </c>
      <c r="R13" s="1" t="s">
        <v>9</v>
      </c>
      <c r="S13" s="17">
        <f t="shared" ref="S13:AF13" si="5">SUM(C22:C25)</f>
        <v>9.2857142857142847</v>
      </c>
      <c r="T13" s="17">
        <f t="shared" si="5"/>
        <v>4.4285714285714288</v>
      </c>
      <c r="U13" s="17">
        <f t="shared" si="5"/>
        <v>3.4285714285714288</v>
      </c>
      <c r="V13" s="17">
        <f t="shared" si="5"/>
        <v>5.4285714285714288</v>
      </c>
      <c r="W13" s="17">
        <f t="shared" si="5"/>
        <v>0</v>
      </c>
      <c r="X13" s="17">
        <f t="shared" si="5"/>
        <v>0</v>
      </c>
      <c r="Y13" s="17">
        <f t="shared" si="5"/>
        <v>1.2857142857142856</v>
      </c>
      <c r="Z13" s="17">
        <f t="shared" si="5"/>
        <v>0.99999999999999989</v>
      </c>
      <c r="AA13" s="17">
        <f t="shared" si="5"/>
        <v>0</v>
      </c>
      <c r="AB13" s="17">
        <f t="shared" si="5"/>
        <v>0</v>
      </c>
      <c r="AC13" s="17">
        <f t="shared" si="5"/>
        <v>35.142857142857139</v>
      </c>
      <c r="AD13" s="17">
        <f t="shared" si="5"/>
        <v>0</v>
      </c>
      <c r="AE13" s="31">
        <f t="shared" si="5"/>
        <v>24.857142857142854</v>
      </c>
      <c r="AF13" s="31">
        <f t="shared" si="5"/>
        <v>60</v>
      </c>
    </row>
    <row r="14" spans="2:32" ht="23.1" customHeight="1" x14ac:dyDescent="0.25">
      <c r="B14" s="23" t="s">
        <v>41</v>
      </c>
      <c r="C14" s="49">
        <f>AVERAGE('17.10 KANONI-MADDU'!C14,'18.10 KANONI-MADDU-24h'!C14,'19.10 KANONI-MADDU-24h'!C14,'20.10 KANONI-MADDU'!C14,'21.10 KANONI-MADDU'!C14,'22.10.KANONI-MADDU'!C14,'23.10 KANONI-MADDU'!C14)</f>
        <v>1.8571428571428572</v>
      </c>
      <c r="D14" s="49">
        <f>AVERAGE('17.10 KANONI-MADDU'!D14,'18.10 KANONI-MADDU-24h'!D14,'19.10 KANONI-MADDU-24h'!D14,'20.10 KANONI-MADDU'!D14,'21.10 KANONI-MADDU'!D14,'22.10.KANONI-MADDU'!D14,'23.10 KANONI-MADDU'!D14)</f>
        <v>0.42857142857142855</v>
      </c>
      <c r="E14" s="49">
        <f>AVERAGE('17.10 KANONI-MADDU'!E14,'18.10 KANONI-MADDU-24h'!E14,'19.10 KANONI-MADDU-24h'!E14,'20.10 KANONI-MADDU'!E14,'21.10 KANONI-MADDU'!E14,'22.10.KANONI-MADDU'!E14,'23.10 KANONI-MADDU'!E14)</f>
        <v>0.42857142857142855</v>
      </c>
      <c r="F14" s="49">
        <f>AVERAGE('17.10 KANONI-MADDU'!F14,'18.10 KANONI-MADDU-24h'!F14,'19.10 KANONI-MADDU-24h'!F14,'20.10 KANONI-MADDU'!F14,'21.10 KANONI-MADDU'!F14,'22.10.KANONI-MADDU'!F14,'23.10 KANONI-MADDU'!F14)</f>
        <v>0.8571428571428571</v>
      </c>
      <c r="G14" s="49">
        <f>AVERAGE('17.10 KANONI-MADDU'!G14,'18.10 KANONI-MADDU-24h'!G14,'19.10 KANONI-MADDU-24h'!G14,'20.10 KANONI-MADDU'!G14,'21.10 KANONI-MADDU'!G14,'22.10.KANONI-MADDU'!G14,'23.10 KANONI-MADDU'!G14)</f>
        <v>0</v>
      </c>
      <c r="H14" s="49">
        <f>AVERAGE('17.10 KANONI-MADDU'!H14,'18.10 KANONI-MADDU-24h'!H14,'19.10 KANONI-MADDU-24h'!H14,'20.10 KANONI-MADDU'!H14,'21.10 KANONI-MADDU'!H14,'22.10.KANONI-MADDU'!H14,'23.10 KANONI-MADDU'!H14)</f>
        <v>0</v>
      </c>
      <c r="I14" s="49">
        <f>AVERAGE('17.10 KANONI-MADDU'!I14,'18.10 KANONI-MADDU-24h'!I14,'19.10 KANONI-MADDU-24h'!I14,'20.10 KANONI-MADDU'!I14,'21.10 KANONI-MADDU'!I14,'22.10.KANONI-MADDU'!I14,'23.10 KANONI-MADDU'!I14)</f>
        <v>0.5714285714285714</v>
      </c>
      <c r="J14" s="49">
        <f>AVERAGE('17.10 KANONI-MADDU'!J14,'18.10 KANONI-MADDU-24h'!J14,'19.10 KANONI-MADDU-24h'!J14,'20.10 KANONI-MADDU'!J14,'21.10 KANONI-MADDU'!J14,'22.10.KANONI-MADDU'!J14,'23.10 KANONI-MADDU'!J14)</f>
        <v>0.42857142857142855</v>
      </c>
      <c r="K14" s="49">
        <f>AVERAGE('17.10 KANONI-MADDU'!K14,'18.10 KANONI-MADDU-24h'!K14,'19.10 KANONI-MADDU-24h'!K14,'20.10 KANONI-MADDU'!K14,'21.10 KANONI-MADDU'!K14,'22.10.KANONI-MADDU'!K14,'23.10 KANONI-MADDU'!K14)</f>
        <v>0.14285714285714285</v>
      </c>
      <c r="L14" s="49">
        <f>AVERAGE('17.10 KANONI-MADDU'!L14,'18.10 KANONI-MADDU-24h'!L14,'19.10 KANONI-MADDU-24h'!L14,'20.10 KANONI-MADDU'!L14,'21.10 KANONI-MADDU'!L14,'22.10.KANONI-MADDU'!L14,'23.10 KANONI-MADDU'!L14)</f>
        <v>0</v>
      </c>
      <c r="M14" s="49">
        <f>AVERAGE('17.10 KANONI-MADDU'!M14,'18.10 KANONI-MADDU-24h'!M14,'19.10 KANONI-MADDU-24h'!M14,'20.10 KANONI-MADDU'!M14,'21.10 KANONI-MADDU'!M14,'22.10.KANONI-MADDU'!M14,'23.10 KANONI-MADDU'!M14)</f>
        <v>8.7142857142857135</v>
      </c>
      <c r="N14" s="49">
        <f>AVERAGE('17.10 KANONI-MADDU'!N14,'18.10 KANONI-MADDU-24h'!N14,'19.10 KANONI-MADDU-24h'!N14,'20.10 KANONI-MADDU'!N14,'21.10 KANONI-MADDU'!N14,'22.10.KANONI-MADDU'!N14,'23.10 KANONI-MADDU'!N14)</f>
        <v>0</v>
      </c>
      <c r="O14" s="15">
        <f t="shared" si="0"/>
        <v>4.7142857142857144</v>
      </c>
      <c r="P14" s="15">
        <f t="shared" si="1"/>
        <v>13.428571428571427</v>
      </c>
      <c r="R14" s="1" t="s">
        <v>10</v>
      </c>
      <c r="S14" s="17">
        <f t="shared" ref="S14:AF14" si="6">SUM(C26:C29)</f>
        <v>10.142857142857142</v>
      </c>
      <c r="T14" s="17">
        <f t="shared" si="6"/>
        <v>2.2857142857142856</v>
      </c>
      <c r="U14" s="17">
        <f t="shared" si="6"/>
        <v>3.8571428571428568</v>
      </c>
      <c r="V14" s="17">
        <f t="shared" si="6"/>
        <v>6.1428571428571423</v>
      </c>
      <c r="W14" s="17">
        <f t="shared" si="6"/>
        <v>0.14285714285714285</v>
      </c>
      <c r="X14" s="17">
        <f t="shared" si="6"/>
        <v>0</v>
      </c>
      <c r="Y14" s="17">
        <f t="shared" si="6"/>
        <v>2.7142857142857144</v>
      </c>
      <c r="Z14" s="17">
        <f t="shared" si="6"/>
        <v>1.4285714285714284</v>
      </c>
      <c r="AA14" s="17">
        <f t="shared" si="6"/>
        <v>0.14285714285714285</v>
      </c>
      <c r="AB14" s="17">
        <f t="shared" si="6"/>
        <v>0</v>
      </c>
      <c r="AC14" s="17">
        <f t="shared" si="6"/>
        <v>43.857142857142854</v>
      </c>
      <c r="AD14" s="17">
        <f t="shared" si="6"/>
        <v>0</v>
      </c>
      <c r="AE14" s="31">
        <f t="shared" si="6"/>
        <v>26.857142857142858</v>
      </c>
      <c r="AF14" s="31">
        <f t="shared" si="6"/>
        <v>70.714285714285708</v>
      </c>
    </row>
    <row r="15" spans="2:32" ht="23.1" customHeight="1" x14ac:dyDescent="0.25">
      <c r="B15" s="23" t="s">
        <v>42</v>
      </c>
      <c r="C15" s="49">
        <f>AVERAGE('17.10 KANONI-MADDU'!C15,'18.10 KANONI-MADDU-24h'!C15,'19.10 KANONI-MADDU-24h'!C15,'20.10 KANONI-MADDU'!C15,'21.10 KANONI-MADDU'!C15,'22.10.KANONI-MADDU'!C15,'23.10 KANONI-MADDU'!C15)</f>
        <v>1.1428571428571428</v>
      </c>
      <c r="D15" s="49">
        <f>AVERAGE('17.10 KANONI-MADDU'!D15,'18.10 KANONI-MADDU-24h'!D15,'19.10 KANONI-MADDU-24h'!D15,'20.10 KANONI-MADDU'!D15,'21.10 KANONI-MADDU'!D15,'22.10.KANONI-MADDU'!D15,'23.10 KANONI-MADDU'!D15)</f>
        <v>0.2857142857142857</v>
      </c>
      <c r="E15" s="49">
        <f>AVERAGE('17.10 KANONI-MADDU'!E15,'18.10 KANONI-MADDU-24h'!E15,'19.10 KANONI-MADDU-24h'!E15,'20.10 KANONI-MADDU'!E15,'21.10 KANONI-MADDU'!E15,'22.10.KANONI-MADDU'!E15,'23.10 KANONI-MADDU'!E15)</f>
        <v>0.14285714285714285</v>
      </c>
      <c r="F15" s="49">
        <f>AVERAGE('17.10 KANONI-MADDU'!F15,'18.10 KANONI-MADDU-24h'!F15,'19.10 KANONI-MADDU-24h'!F15,'20.10 KANONI-MADDU'!F15,'21.10 KANONI-MADDU'!F15,'22.10.KANONI-MADDU'!F15,'23.10 KANONI-MADDU'!F15)</f>
        <v>0.42857142857142855</v>
      </c>
      <c r="G15" s="49">
        <f>AVERAGE('17.10 KANONI-MADDU'!G15,'18.10 KANONI-MADDU-24h'!G15,'19.10 KANONI-MADDU-24h'!G15,'20.10 KANONI-MADDU'!G15,'21.10 KANONI-MADDU'!G15,'22.10.KANONI-MADDU'!G15,'23.10 KANONI-MADDU'!G15)</f>
        <v>0</v>
      </c>
      <c r="H15" s="49">
        <f>AVERAGE('17.10 KANONI-MADDU'!H15,'18.10 KANONI-MADDU-24h'!H15,'19.10 KANONI-MADDU-24h'!H15,'20.10 KANONI-MADDU'!H15,'21.10 KANONI-MADDU'!H15,'22.10.KANONI-MADDU'!H15,'23.10 KANONI-MADDU'!H15)</f>
        <v>0</v>
      </c>
      <c r="I15" s="49">
        <f>AVERAGE('17.10 KANONI-MADDU'!I15,'18.10 KANONI-MADDU-24h'!I15,'19.10 KANONI-MADDU-24h'!I15,'20.10 KANONI-MADDU'!I15,'21.10 KANONI-MADDU'!I15,'22.10.KANONI-MADDU'!I15,'23.10 KANONI-MADDU'!I15)</f>
        <v>0.5714285714285714</v>
      </c>
      <c r="J15" s="49">
        <f>AVERAGE('17.10 KANONI-MADDU'!J15,'18.10 KANONI-MADDU-24h'!J15,'19.10 KANONI-MADDU-24h'!J15,'20.10 KANONI-MADDU'!J15,'21.10 KANONI-MADDU'!J15,'22.10.KANONI-MADDU'!J15,'23.10 KANONI-MADDU'!J15)</f>
        <v>0.5714285714285714</v>
      </c>
      <c r="K15" s="49">
        <f>AVERAGE('17.10 KANONI-MADDU'!K15,'18.10 KANONI-MADDU-24h'!K15,'19.10 KANONI-MADDU-24h'!K15,'20.10 KANONI-MADDU'!K15,'21.10 KANONI-MADDU'!K15,'22.10.KANONI-MADDU'!K15,'23.10 KANONI-MADDU'!K15)</f>
        <v>0.14285714285714285</v>
      </c>
      <c r="L15" s="49">
        <f>AVERAGE('17.10 KANONI-MADDU'!L15,'18.10 KANONI-MADDU-24h'!L15,'19.10 KANONI-MADDU-24h'!L15,'20.10 KANONI-MADDU'!L15,'21.10 KANONI-MADDU'!L15,'22.10.KANONI-MADDU'!L15,'23.10 KANONI-MADDU'!L15)</f>
        <v>0</v>
      </c>
      <c r="M15" s="49">
        <f>AVERAGE('17.10 KANONI-MADDU'!M15,'18.10 KANONI-MADDU-24h'!M15,'19.10 KANONI-MADDU-24h'!M15,'20.10 KANONI-MADDU'!M15,'21.10 KANONI-MADDU'!M15,'22.10.KANONI-MADDU'!M15,'23.10 KANONI-MADDU'!M15)</f>
        <v>10.857142857142858</v>
      </c>
      <c r="N15" s="49">
        <f>AVERAGE('17.10 KANONI-MADDU'!N15,'18.10 KANONI-MADDU-24h'!N15,'19.10 KANONI-MADDU-24h'!N15,'20.10 KANONI-MADDU'!N15,'21.10 KANONI-MADDU'!N15,'22.10.KANONI-MADDU'!N15,'23.10 KANONI-MADDU'!N15)</f>
        <v>0</v>
      </c>
      <c r="O15" s="15">
        <f t="shared" si="0"/>
        <v>3.2857142857142851</v>
      </c>
      <c r="P15" s="15">
        <f t="shared" si="1"/>
        <v>14.142857142857142</v>
      </c>
      <c r="R15" s="1" t="s">
        <v>11</v>
      </c>
      <c r="S15" s="17">
        <f t="shared" ref="S15:AF15" si="7">SUM(C30:C33)</f>
        <v>8.8571428571428577</v>
      </c>
      <c r="T15" s="17">
        <f t="shared" si="7"/>
        <v>2.1428571428571428</v>
      </c>
      <c r="U15" s="17">
        <f t="shared" si="7"/>
        <v>2.7142857142857144</v>
      </c>
      <c r="V15" s="17">
        <f t="shared" si="7"/>
        <v>7.5714285714285712</v>
      </c>
      <c r="W15" s="17">
        <f t="shared" si="7"/>
        <v>0.42857142857142855</v>
      </c>
      <c r="X15" s="17">
        <f t="shared" si="7"/>
        <v>0</v>
      </c>
      <c r="Y15" s="17">
        <f t="shared" si="7"/>
        <v>3.8571428571428572</v>
      </c>
      <c r="Z15" s="17">
        <f t="shared" si="7"/>
        <v>1.5714285714285712</v>
      </c>
      <c r="AA15" s="17">
        <f t="shared" si="7"/>
        <v>0.2857142857142857</v>
      </c>
      <c r="AB15" s="17">
        <f t="shared" si="7"/>
        <v>0</v>
      </c>
      <c r="AC15" s="17">
        <f t="shared" si="7"/>
        <v>41.285714285714285</v>
      </c>
      <c r="AD15" s="17">
        <f t="shared" si="7"/>
        <v>0</v>
      </c>
      <c r="AE15" s="31">
        <f t="shared" si="7"/>
        <v>27.428571428571431</v>
      </c>
      <c r="AF15" s="31">
        <f t="shared" si="7"/>
        <v>68.714285714285722</v>
      </c>
    </row>
    <row r="16" spans="2:32" ht="23.1" customHeight="1" x14ac:dyDescent="0.25">
      <c r="B16" s="23" t="s">
        <v>43</v>
      </c>
      <c r="C16" s="49">
        <f>AVERAGE('17.10 KANONI-MADDU'!C16,'18.10 KANONI-MADDU-24h'!C16,'19.10 KANONI-MADDU-24h'!C16,'20.10 KANONI-MADDU'!C16,'21.10 KANONI-MADDU'!C16,'22.10.KANONI-MADDU'!C16,'23.10 KANONI-MADDU'!C16)</f>
        <v>2.8571428571428572</v>
      </c>
      <c r="D16" s="49">
        <f>AVERAGE('17.10 KANONI-MADDU'!D16,'18.10 KANONI-MADDU-24h'!D16,'19.10 KANONI-MADDU-24h'!D16,'20.10 KANONI-MADDU'!D16,'21.10 KANONI-MADDU'!D16,'22.10.KANONI-MADDU'!D16,'23.10 KANONI-MADDU'!D16)</f>
        <v>1</v>
      </c>
      <c r="E16" s="49">
        <f>AVERAGE('17.10 KANONI-MADDU'!E16,'18.10 KANONI-MADDU-24h'!E16,'19.10 KANONI-MADDU-24h'!E16,'20.10 KANONI-MADDU'!E16,'21.10 KANONI-MADDU'!E16,'22.10.KANONI-MADDU'!E16,'23.10 KANONI-MADDU'!E16)</f>
        <v>0.8571428571428571</v>
      </c>
      <c r="F16" s="49">
        <f>AVERAGE('17.10 KANONI-MADDU'!F16,'18.10 KANONI-MADDU-24h'!F16,'19.10 KANONI-MADDU-24h'!F16,'20.10 KANONI-MADDU'!F16,'21.10 KANONI-MADDU'!F16,'22.10.KANONI-MADDU'!F16,'23.10 KANONI-MADDU'!F16)</f>
        <v>1</v>
      </c>
      <c r="G16" s="49">
        <f>AVERAGE('17.10 KANONI-MADDU'!G16,'18.10 KANONI-MADDU-24h'!G16,'19.10 KANONI-MADDU-24h'!G16,'20.10 KANONI-MADDU'!G16,'21.10 KANONI-MADDU'!G16,'22.10.KANONI-MADDU'!G16,'23.10 KANONI-MADDU'!G16)</f>
        <v>0</v>
      </c>
      <c r="H16" s="49">
        <f>AVERAGE('17.10 KANONI-MADDU'!H16,'18.10 KANONI-MADDU-24h'!H16,'19.10 KANONI-MADDU-24h'!H16,'20.10 KANONI-MADDU'!H16,'21.10 KANONI-MADDU'!H16,'22.10.KANONI-MADDU'!H16,'23.10 KANONI-MADDU'!H16)</f>
        <v>0</v>
      </c>
      <c r="I16" s="49">
        <f>AVERAGE('17.10 KANONI-MADDU'!I16,'18.10 KANONI-MADDU-24h'!I16,'19.10 KANONI-MADDU-24h'!I16,'20.10 KANONI-MADDU'!I16,'21.10 KANONI-MADDU'!I16,'22.10.KANONI-MADDU'!I16,'23.10 KANONI-MADDU'!I16)</f>
        <v>0.8571428571428571</v>
      </c>
      <c r="J16" s="49">
        <f>AVERAGE('17.10 KANONI-MADDU'!J16,'18.10 KANONI-MADDU-24h'!J16,'19.10 KANONI-MADDU-24h'!J16,'20.10 KANONI-MADDU'!J16,'21.10 KANONI-MADDU'!J16,'22.10.KANONI-MADDU'!J16,'23.10 KANONI-MADDU'!J16)</f>
        <v>0.42857142857142855</v>
      </c>
      <c r="K16" s="49">
        <f>AVERAGE('17.10 KANONI-MADDU'!K16,'18.10 KANONI-MADDU-24h'!K16,'19.10 KANONI-MADDU-24h'!K16,'20.10 KANONI-MADDU'!K16,'21.10 KANONI-MADDU'!K16,'22.10.KANONI-MADDU'!K16,'23.10 KANONI-MADDU'!K16)</f>
        <v>0.14285714285714285</v>
      </c>
      <c r="L16" s="49">
        <f>AVERAGE('17.10 KANONI-MADDU'!L16,'18.10 KANONI-MADDU-24h'!L16,'19.10 KANONI-MADDU-24h'!L16,'20.10 KANONI-MADDU'!L16,'21.10 KANONI-MADDU'!L16,'22.10.KANONI-MADDU'!L16,'23.10 KANONI-MADDU'!L16)</f>
        <v>0</v>
      </c>
      <c r="M16" s="49">
        <f>AVERAGE('17.10 KANONI-MADDU'!M16,'18.10 KANONI-MADDU-24h'!M16,'19.10 KANONI-MADDU-24h'!M16,'20.10 KANONI-MADDU'!M16,'21.10 KANONI-MADDU'!M16,'22.10.KANONI-MADDU'!M16,'23.10 KANONI-MADDU'!M16)</f>
        <v>9.7142857142857135</v>
      </c>
      <c r="N16" s="49">
        <f>AVERAGE('17.10 KANONI-MADDU'!N16,'18.10 KANONI-MADDU-24h'!N16,'19.10 KANONI-MADDU-24h'!N16,'20.10 KANONI-MADDU'!N16,'21.10 KANONI-MADDU'!N16,'22.10.KANONI-MADDU'!N16,'23.10 KANONI-MADDU'!N16)</f>
        <v>0</v>
      </c>
      <c r="O16" s="15">
        <f t="shared" si="0"/>
        <v>7.1428571428571432</v>
      </c>
      <c r="P16" s="15">
        <f t="shared" si="1"/>
        <v>16.857142857142858</v>
      </c>
      <c r="R16" s="1" t="s">
        <v>12</v>
      </c>
      <c r="S16" s="17">
        <f t="shared" ref="S16:AF16" si="8">SUM(C34:C37)</f>
        <v>9.2857142857142847</v>
      </c>
      <c r="T16" s="17">
        <f t="shared" si="8"/>
        <v>3.7142857142857144</v>
      </c>
      <c r="U16" s="17">
        <f t="shared" si="8"/>
        <v>2.4285714285714284</v>
      </c>
      <c r="V16" s="17">
        <f t="shared" si="8"/>
        <v>7</v>
      </c>
      <c r="W16" s="17">
        <f t="shared" si="8"/>
        <v>0.14285714285714285</v>
      </c>
      <c r="X16" s="17">
        <f t="shared" si="8"/>
        <v>0</v>
      </c>
      <c r="Y16" s="17">
        <f t="shared" si="8"/>
        <v>2.1428571428571428</v>
      </c>
      <c r="Z16" s="17">
        <f t="shared" si="8"/>
        <v>1.2857142857142856</v>
      </c>
      <c r="AA16" s="17">
        <f t="shared" si="8"/>
        <v>0.71428571428571419</v>
      </c>
      <c r="AB16" s="17">
        <f t="shared" si="8"/>
        <v>0.14285714285714285</v>
      </c>
      <c r="AC16" s="17">
        <f t="shared" si="8"/>
        <v>41</v>
      </c>
      <c r="AD16" s="17">
        <f t="shared" si="8"/>
        <v>0</v>
      </c>
      <c r="AE16" s="31">
        <f t="shared" si="8"/>
        <v>26.857142857142858</v>
      </c>
      <c r="AF16" s="31">
        <f t="shared" si="8"/>
        <v>67.857142857142861</v>
      </c>
    </row>
    <row r="17" spans="2:32" ht="23.1" customHeight="1" x14ac:dyDescent="0.25">
      <c r="B17" s="23" t="s">
        <v>44</v>
      </c>
      <c r="C17" s="49">
        <f>AVERAGE('17.10 KANONI-MADDU'!C17,'18.10 KANONI-MADDU-24h'!C17,'19.10 KANONI-MADDU-24h'!C17,'20.10 KANONI-MADDU'!C17,'21.10 KANONI-MADDU'!C17,'22.10.KANONI-MADDU'!C17,'23.10 KANONI-MADDU'!C17)</f>
        <v>2</v>
      </c>
      <c r="D17" s="49">
        <f>AVERAGE('17.10 KANONI-MADDU'!D17,'18.10 KANONI-MADDU-24h'!D17,'19.10 KANONI-MADDU-24h'!D17,'20.10 KANONI-MADDU'!D17,'21.10 KANONI-MADDU'!D17,'22.10.KANONI-MADDU'!D17,'23.10 KANONI-MADDU'!D17)</f>
        <v>0.2857142857142857</v>
      </c>
      <c r="E17" s="49">
        <f>AVERAGE('17.10 KANONI-MADDU'!E17,'18.10 KANONI-MADDU-24h'!E17,'19.10 KANONI-MADDU-24h'!E17,'20.10 KANONI-MADDU'!E17,'21.10 KANONI-MADDU'!E17,'22.10.KANONI-MADDU'!E17,'23.10 KANONI-MADDU'!E17)</f>
        <v>0.5714285714285714</v>
      </c>
      <c r="F17" s="49">
        <f>AVERAGE('17.10 KANONI-MADDU'!F17,'18.10 KANONI-MADDU-24h'!F17,'19.10 KANONI-MADDU-24h'!F17,'20.10 KANONI-MADDU'!F17,'21.10 KANONI-MADDU'!F17,'22.10.KANONI-MADDU'!F17,'23.10 KANONI-MADDU'!F17)</f>
        <v>1.1428571428571428</v>
      </c>
      <c r="G17" s="49">
        <f>AVERAGE('17.10 KANONI-MADDU'!G17,'18.10 KANONI-MADDU-24h'!G17,'19.10 KANONI-MADDU-24h'!G17,'20.10 KANONI-MADDU'!G17,'21.10 KANONI-MADDU'!G17,'22.10.KANONI-MADDU'!G17,'23.10 KANONI-MADDU'!G17)</f>
        <v>0</v>
      </c>
      <c r="H17" s="49">
        <f>AVERAGE('17.10 KANONI-MADDU'!H17,'18.10 KANONI-MADDU-24h'!H17,'19.10 KANONI-MADDU-24h'!H17,'20.10 KANONI-MADDU'!H17,'21.10 KANONI-MADDU'!H17,'22.10.KANONI-MADDU'!H17,'23.10 KANONI-MADDU'!H17)</f>
        <v>0</v>
      </c>
      <c r="I17" s="49">
        <f>AVERAGE('17.10 KANONI-MADDU'!I17,'18.10 KANONI-MADDU-24h'!I17,'19.10 KANONI-MADDU-24h'!I17,'20.10 KANONI-MADDU'!I17,'21.10 KANONI-MADDU'!I17,'22.10.KANONI-MADDU'!I17,'23.10 KANONI-MADDU'!I17)</f>
        <v>0.5714285714285714</v>
      </c>
      <c r="J17" s="49">
        <f>AVERAGE('17.10 KANONI-MADDU'!J17,'18.10 KANONI-MADDU-24h'!J17,'19.10 KANONI-MADDU-24h'!J17,'20.10 KANONI-MADDU'!J17,'21.10 KANONI-MADDU'!J17,'22.10.KANONI-MADDU'!J17,'23.10 KANONI-MADDU'!J17)</f>
        <v>0.42857142857142855</v>
      </c>
      <c r="K17" s="49">
        <f>AVERAGE('17.10 KANONI-MADDU'!K17,'18.10 KANONI-MADDU-24h'!K17,'19.10 KANONI-MADDU-24h'!K17,'20.10 KANONI-MADDU'!K17,'21.10 KANONI-MADDU'!K17,'22.10.KANONI-MADDU'!K17,'23.10 KANONI-MADDU'!K17)</f>
        <v>0.14285714285714285</v>
      </c>
      <c r="L17" s="49">
        <f>AVERAGE('17.10 KANONI-MADDU'!L17,'18.10 KANONI-MADDU-24h'!L17,'19.10 KANONI-MADDU-24h'!L17,'20.10 KANONI-MADDU'!L17,'21.10 KANONI-MADDU'!L17,'22.10.KANONI-MADDU'!L17,'23.10 KANONI-MADDU'!L17)</f>
        <v>0</v>
      </c>
      <c r="M17" s="49">
        <f>AVERAGE('17.10 KANONI-MADDU'!M17,'18.10 KANONI-MADDU-24h'!M17,'19.10 KANONI-MADDU-24h'!M17,'20.10 KANONI-MADDU'!M17,'21.10 KANONI-MADDU'!M17,'22.10.KANONI-MADDU'!M17,'23.10 KANONI-MADDU'!M17)</f>
        <v>6.7142857142857144</v>
      </c>
      <c r="N17" s="49">
        <f>AVERAGE('17.10 KANONI-MADDU'!N17,'18.10 KANONI-MADDU-24h'!N17,'19.10 KANONI-MADDU-24h'!N17,'20.10 KANONI-MADDU'!N17,'21.10 KANONI-MADDU'!N17,'22.10.KANONI-MADDU'!N17,'23.10 KANONI-MADDU'!N17)</f>
        <v>0</v>
      </c>
      <c r="O17" s="15">
        <f t="shared" si="0"/>
        <v>5.1428571428571432</v>
      </c>
      <c r="P17" s="15">
        <f t="shared" si="1"/>
        <v>11.857142857142858</v>
      </c>
      <c r="R17" s="1" t="s">
        <v>13</v>
      </c>
      <c r="S17" s="17">
        <f t="shared" ref="S17:AF17" si="9">SUM(C38:C41)</f>
        <v>11.571428571428571</v>
      </c>
      <c r="T17" s="17">
        <f t="shared" si="9"/>
        <v>3</v>
      </c>
      <c r="U17" s="17">
        <f t="shared" si="9"/>
        <v>2.1428571428571423</v>
      </c>
      <c r="V17" s="17">
        <f t="shared" si="9"/>
        <v>6.8571428571428577</v>
      </c>
      <c r="W17" s="17">
        <f t="shared" si="9"/>
        <v>0.14285714285714285</v>
      </c>
      <c r="X17" s="17">
        <f t="shared" si="9"/>
        <v>0</v>
      </c>
      <c r="Y17" s="17">
        <f t="shared" si="9"/>
        <v>2.5714285714285712</v>
      </c>
      <c r="Z17" s="17">
        <f t="shared" si="9"/>
        <v>1.4285714285714284</v>
      </c>
      <c r="AA17" s="17">
        <f t="shared" si="9"/>
        <v>1.1428571428571428</v>
      </c>
      <c r="AB17" s="17">
        <f t="shared" si="9"/>
        <v>0</v>
      </c>
      <c r="AC17" s="17">
        <f t="shared" si="9"/>
        <v>44</v>
      </c>
      <c r="AD17" s="17">
        <f t="shared" si="9"/>
        <v>0</v>
      </c>
      <c r="AE17" s="31">
        <f t="shared" si="9"/>
        <v>28.857142857142854</v>
      </c>
      <c r="AF17" s="31">
        <f t="shared" si="9"/>
        <v>72.857142857142861</v>
      </c>
    </row>
    <row r="18" spans="2:32" ht="23.1" customHeight="1" x14ac:dyDescent="0.25">
      <c r="B18" s="23" t="s">
        <v>45</v>
      </c>
      <c r="C18" s="49">
        <f>AVERAGE('17.10 KANONI-MADDU'!C18,'18.10 KANONI-MADDU-24h'!C18,'19.10 KANONI-MADDU-24h'!C18,'20.10 KANONI-MADDU'!C18,'21.10 KANONI-MADDU'!C18,'22.10.KANONI-MADDU'!C18,'23.10 KANONI-MADDU'!C18)</f>
        <v>2</v>
      </c>
      <c r="D18" s="49">
        <f>AVERAGE('17.10 KANONI-MADDU'!D18,'18.10 KANONI-MADDU-24h'!D18,'19.10 KANONI-MADDU-24h'!D18,'20.10 KANONI-MADDU'!D18,'21.10 KANONI-MADDU'!D18,'22.10.KANONI-MADDU'!D18,'23.10 KANONI-MADDU'!D18)</f>
        <v>1</v>
      </c>
      <c r="E18" s="49">
        <f>AVERAGE('17.10 KANONI-MADDU'!E18,'18.10 KANONI-MADDU-24h'!E18,'19.10 KANONI-MADDU-24h'!E18,'20.10 KANONI-MADDU'!E18,'21.10 KANONI-MADDU'!E18,'22.10.KANONI-MADDU'!E18,'23.10 KANONI-MADDU'!E18)</f>
        <v>0.42857142857142855</v>
      </c>
      <c r="F18" s="49">
        <f>AVERAGE('17.10 KANONI-MADDU'!F18,'18.10 KANONI-MADDU-24h'!F18,'19.10 KANONI-MADDU-24h'!F18,'20.10 KANONI-MADDU'!F18,'21.10 KANONI-MADDU'!F18,'22.10.KANONI-MADDU'!F18,'23.10 KANONI-MADDU'!F18)</f>
        <v>0.8571428571428571</v>
      </c>
      <c r="G18" s="49">
        <f>AVERAGE('17.10 KANONI-MADDU'!G18,'18.10 KANONI-MADDU-24h'!G18,'19.10 KANONI-MADDU-24h'!G18,'20.10 KANONI-MADDU'!G18,'21.10 KANONI-MADDU'!G18,'22.10.KANONI-MADDU'!G18,'23.10 KANONI-MADDU'!G18)</f>
        <v>0</v>
      </c>
      <c r="H18" s="49">
        <f>AVERAGE('17.10 KANONI-MADDU'!H18,'18.10 KANONI-MADDU-24h'!H18,'19.10 KANONI-MADDU-24h'!H18,'20.10 KANONI-MADDU'!H18,'21.10 KANONI-MADDU'!H18,'22.10.KANONI-MADDU'!H18,'23.10 KANONI-MADDU'!H18)</f>
        <v>0</v>
      </c>
      <c r="I18" s="49">
        <f>AVERAGE('17.10 KANONI-MADDU'!I18,'18.10 KANONI-MADDU-24h'!I18,'19.10 KANONI-MADDU-24h'!I18,'20.10 KANONI-MADDU'!I18,'21.10 KANONI-MADDU'!I18,'22.10.KANONI-MADDU'!I18,'23.10 KANONI-MADDU'!I18)</f>
        <v>0.7142857142857143</v>
      </c>
      <c r="J18" s="49">
        <f>AVERAGE('17.10 KANONI-MADDU'!J18,'18.10 KANONI-MADDU-24h'!J18,'19.10 KANONI-MADDU-24h'!J18,'20.10 KANONI-MADDU'!J18,'21.10 KANONI-MADDU'!J18,'22.10.KANONI-MADDU'!J18,'23.10 KANONI-MADDU'!J18)</f>
        <v>0.42857142857142855</v>
      </c>
      <c r="K18" s="49">
        <f>AVERAGE('17.10 KANONI-MADDU'!K18,'18.10 KANONI-MADDU-24h'!K18,'19.10 KANONI-MADDU-24h'!K18,'20.10 KANONI-MADDU'!K18,'21.10 KANONI-MADDU'!K18,'22.10.KANONI-MADDU'!K18,'23.10 KANONI-MADDU'!K18)</f>
        <v>0</v>
      </c>
      <c r="L18" s="49">
        <f>AVERAGE('17.10 KANONI-MADDU'!L18,'18.10 KANONI-MADDU-24h'!L18,'19.10 KANONI-MADDU-24h'!L18,'20.10 KANONI-MADDU'!L18,'21.10 KANONI-MADDU'!L18,'22.10.KANONI-MADDU'!L18,'23.10 KANONI-MADDU'!L18)</f>
        <v>0</v>
      </c>
      <c r="M18" s="49">
        <f>AVERAGE('17.10 KANONI-MADDU'!M18,'18.10 KANONI-MADDU-24h'!M18,'19.10 KANONI-MADDU-24h'!M18,'20.10 KANONI-MADDU'!M18,'21.10 KANONI-MADDU'!M18,'22.10.KANONI-MADDU'!M18,'23.10 KANONI-MADDU'!M18)</f>
        <v>9.1428571428571423</v>
      </c>
      <c r="N18" s="49">
        <f>AVERAGE('17.10 KANONI-MADDU'!N18,'18.10 KANONI-MADDU-24h'!N18,'19.10 KANONI-MADDU-24h'!N18,'20.10 KANONI-MADDU'!N18,'21.10 KANONI-MADDU'!N18,'22.10.KANONI-MADDU'!N18,'23.10 KANONI-MADDU'!N18)</f>
        <v>0</v>
      </c>
      <c r="O18" s="15">
        <f t="shared" si="0"/>
        <v>5.4285714285714288</v>
      </c>
      <c r="P18" s="15">
        <f t="shared" si="1"/>
        <v>14.571428571428571</v>
      </c>
      <c r="R18" s="1" t="s">
        <v>14</v>
      </c>
      <c r="S18" s="17">
        <f t="shared" ref="S18:AF18" si="10">SUM(C42:C45)</f>
        <v>7.1428571428571432</v>
      </c>
      <c r="T18" s="17">
        <f t="shared" si="10"/>
        <v>3.1428571428571428</v>
      </c>
      <c r="U18" s="17">
        <f t="shared" si="10"/>
        <v>2.8571428571428568</v>
      </c>
      <c r="V18" s="17">
        <f t="shared" si="10"/>
        <v>6.7142857142857144</v>
      </c>
      <c r="W18" s="17">
        <f t="shared" si="10"/>
        <v>0</v>
      </c>
      <c r="X18" s="17">
        <f t="shared" si="10"/>
        <v>0</v>
      </c>
      <c r="Y18" s="17">
        <f t="shared" si="10"/>
        <v>1.7142857142857142</v>
      </c>
      <c r="Z18" s="17">
        <f t="shared" si="10"/>
        <v>2.8571428571428568</v>
      </c>
      <c r="AA18" s="17">
        <f t="shared" si="10"/>
        <v>0.2857142857142857</v>
      </c>
      <c r="AB18" s="17">
        <f t="shared" si="10"/>
        <v>0.14285714285714285</v>
      </c>
      <c r="AC18" s="17">
        <f t="shared" si="10"/>
        <v>43</v>
      </c>
      <c r="AD18" s="17">
        <f t="shared" si="10"/>
        <v>0</v>
      </c>
      <c r="AE18" s="31">
        <f t="shared" si="10"/>
        <v>24.857142857142858</v>
      </c>
      <c r="AF18" s="31">
        <f t="shared" si="10"/>
        <v>67.857142857142861</v>
      </c>
    </row>
    <row r="19" spans="2:32" ht="23.1" customHeight="1" x14ac:dyDescent="0.25">
      <c r="B19" s="23" t="s">
        <v>46</v>
      </c>
      <c r="C19" s="49">
        <f>AVERAGE('17.10 KANONI-MADDU'!C19,'18.10 KANONI-MADDU-24h'!C19,'19.10 KANONI-MADDU-24h'!C19,'20.10 KANONI-MADDU'!C19,'21.10 KANONI-MADDU'!C19,'22.10.KANONI-MADDU'!C19,'23.10 KANONI-MADDU'!C19)</f>
        <v>0.7142857142857143</v>
      </c>
      <c r="D19" s="49">
        <f>AVERAGE('17.10 KANONI-MADDU'!D19,'18.10 KANONI-MADDU-24h'!D19,'19.10 KANONI-MADDU-24h'!D19,'20.10 KANONI-MADDU'!D19,'21.10 KANONI-MADDU'!D19,'22.10.KANONI-MADDU'!D19,'23.10 KANONI-MADDU'!D19)</f>
        <v>0.5714285714285714</v>
      </c>
      <c r="E19" s="49">
        <f>AVERAGE('17.10 KANONI-MADDU'!E19,'18.10 KANONI-MADDU-24h'!E19,'19.10 KANONI-MADDU-24h'!E19,'20.10 KANONI-MADDU'!E19,'21.10 KANONI-MADDU'!E19,'22.10.KANONI-MADDU'!E19,'23.10 KANONI-MADDU'!E19)</f>
        <v>0.5714285714285714</v>
      </c>
      <c r="F19" s="49">
        <f>AVERAGE('17.10 KANONI-MADDU'!F19,'18.10 KANONI-MADDU-24h'!F19,'19.10 KANONI-MADDU-24h'!F19,'20.10 KANONI-MADDU'!F19,'21.10 KANONI-MADDU'!F19,'22.10.KANONI-MADDU'!F19,'23.10 KANONI-MADDU'!F19)</f>
        <v>0.8571428571428571</v>
      </c>
      <c r="G19" s="49">
        <f>AVERAGE('17.10 KANONI-MADDU'!G19,'18.10 KANONI-MADDU-24h'!G19,'19.10 KANONI-MADDU-24h'!G19,'20.10 KANONI-MADDU'!G19,'21.10 KANONI-MADDU'!G19,'22.10.KANONI-MADDU'!G19,'23.10 KANONI-MADDU'!G19)</f>
        <v>0.14285714285714285</v>
      </c>
      <c r="H19" s="49">
        <f>AVERAGE('17.10 KANONI-MADDU'!H19,'18.10 KANONI-MADDU-24h'!H19,'19.10 KANONI-MADDU-24h'!H19,'20.10 KANONI-MADDU'!H19,'21.10 KANONI-MADDU'!H19,'22.10.KANONI-MADDU'!H19,'23.10 KANONI-MADDU'!H19)</f>
        <v>0</v>
      </c>
      <c r="I19" s="49">
        <f>AVERAGE('17.10 KANONI-MADDU'!I19,'18.10 KANONI-MADDU-24h'!I19,'19.10 KANONI-MADDU-24h'!I19,'20.10 KANONI-MADDU'!I19,'21.10 KANONI-MADDU'!I19,'22.10.KANONI-MADDU'!I19,'23.10 KANONI-MADDU'!I19)</f>
        <v>0.7142857142857143</v>
      </c>
      <c r="J19" s="49">
        <f>AVERAGE('17.10 KANONI-MADDU'!J19,'18.10 KANONI-MADDU-24h'!J19,'19.10 KANONI-MADDU-24h'!J19,'20.10 KANONI-MADDU'!J19,'21.10 KANONI-MADDU'!J19,'22.10.KANONI-MADDU'!J19,'23.10 KANONI-MADDU'!J19)</f>
        <v>0.5714285714285714</v>
      </c>
      <c r="K19" s="49">
        <f>AVERAGE('17.10 KANONI-MADDU'!K19,'18.10 KANONI-MADDU-24h'!K19,'19.10 KANONI-MADDU-24h'!K19,'20.10 KANONI-MADDU'!K19,'21.10 KANONI-MADDU'!K19,'22.10.KANONI-MADDU'!K19,'23.10 KANONI-MADDU'!K19)</f>
        <v>0.14285714285714285</v>
      </c>
      <c r="L19" s="49">
        <f>AVERAGE('17.10 KANONI-MADDU'!L19,'18.10 KANONI-MADDU-24h'!L19,'19.10 KANONI-MADDU-24h'!L19,'20.10 KANONI-MADDU'!L19,'21.10 KANONI-MADDU'!L19,'22.10.KANONI-MADDU'!L19,'23.10 KANONI-MADDU'!L19)</f>
        <v>0</v>
      </c>
      <c r="M19" s="49">
        <f>AVERAGE('17.10 KANONI-MADDU'!M19,'18.10 KANONI-MADDU-24h'!M19,'19.10 KANONI-MADDU-24h'!M19,'20.10 KANONI-MADDU'!M19,'21.10 KANONI-MADDU'!M19,'22.10.KANONI-MADDU'!M19,'23.10 KANONI-MADDU'!M19)</f>
        <v>9.5714285714285712</v>
      </c>
      <c r="N19" s="49">
        <f>AVERAGE('17.10 KANONI-MADDU'!N19,'18.10 KANONI-MADDU-24h'!N19,'19.10 KANONI-MADDU-24h'!N19,'20.10 KANONI-MADDU'!N19,'21.10 KANONI-MADDU'!N19,'22.10.KANONI-MADDU'!N19,'23.10 KANONI-MADDU'!N19)</f>
        <v>0.14285714285714285</v>
      </c>
      <c r="O19" s="15">
        <f t="shared" si="0"/>
        <v>4.4285714285714288</v>
      </c>
      <c r="P19" s="15">
        <f t="shared" si="1"/>
        <v>14</v>
      </c>
      <c r="R19" s="1" t="s">
        <v>15</v>
      </c>
      <c r="S19" s="17">
        <f t="shared" ref="S19:AF19" si="11">SUM(C46:C49)</f>
        <v>7.2857142857142856</v>
      </c>
      <c r="T19" s="17">
        <f t="shared" si="11"/>
        <v>1.4285714285714284</v>
      </c>
      <c r="U19" s="17">
        <f t="shared" si="11"/>
        <v>1.5714285714285712</v>
      </c>
      <c r="V19" s="17">
        <f t="shared" si="11"/>
        <v>8.428571428571427</v>
      </c>
      <c r="W19" s="17">
        <f t="shared" si="11"/>
        <v>0.14285714285714285</v>
      </c>
      <c r="X19" s="17">
        <f t="shared" si="11"/>
        <v>0</v>
      </c>
      <c r="Y19" s="17">
        <f t="shared" si="11"/>
        <v>2.7142857142857144</v>
      </c>
      <c r="Z19" s="17">
        <f t="shared" si="11"/>
        <v>2.5714285714285712</v>
      </c>
      <c r="AA19" s="17">
        <f t="shared" si="11"/>
        <v>0.71428571428571419</v>
      </c>
      <c r="AB19" s="17">
        <f t="shared" si="11"/>
        <v>0</v>
      </c>
      <c r="AC19" s="17">
        <f t="shared" si="11"/>
        <v>52.142857142857139</v>
      </c>
      <c r="AD19" s="17">
        <f t="shared" si="11"/>
        <v>0</v>
      </c>
      <c r="AE19" s="31">
        <f t="shared" si="11"/>
        <v>24.857142857142854</v>
      </c>
      <c r="AF19" s="31">
        <f t="shared" si="11"/>
        <v>77</v>
      </c>
    </row>
    <row r="20" spans="2:32" ht="23.1" customHeight="1" x14ac:dyDescent="0.25">
      <c r="B20" s="23" t="s">
        <v>47</v>
      </c>
      <c r="C20" s="49">
        <f>AVERAGE('17.10 KANONI-MADDU'!C20,'18.10 KANONI-MADDU-24h'!C20,'19.10 KANONI-MADDU-24h'!C20,'20.10 KANONI-MADDU'!C20,'21.10 KANONI-MADDU'!C20,'22.10.KANONI-MADDU'!C20,'23.10 KANONI-MADDU'!C20)</f>
        <v>2.1428571428571428</v>
      </c>
      <c r="D20" s="49">
        <f>AVERAGE('17.10 KANONI-MADDU'!D20,'18.10 KANONI-MADDU-24h'!D20,'19.10 KANONI-MADDU-24h'!D20,'20.10 KANONI-MADDU'!D20,'21.10 KANONI-MADDU'!D20,'22.10.KANONI-MADDU'!D20,'23.10 KANONI-MADDU'!D20)</f>
        <v>0.7142857142857143</v>
      </c>
      <c r="E20" s="49">
        <f>AVERAGE('17.10 KANONI-MADDU'!E20,'18.10 KANONI-MADDU-24h'!E20,'19.10 KANONI-MADDU-24h'!E20,'20.10 KANONI-MADDU'!E20,'21.10 KANONI-MADDU'!E20,'22.10.KANONI-MADDU'!E20,'23.10 KANONI-MADDU'!E20)</f>
        <v>1.4285714285714286</v>
      </c>
      <c r="F20" s="49">
        <f>AVERAGE('17.10 KANONI-MADDU'!F20,'18.10 KANONI-MADDU-24h'!F20,'19.10 KANONI-MADDU-24h'!F20,'20.10 KANONI-MADDU'!F20,'21.10 KANONI-MADDU'!F20,'22.10.KANONI-MADDU'!F20,'23.10 KANONI-MADDU'!F20)</f>
        <v>2</v>
      </c>
      <c r="G20" s="49">
        <f>AVERAGE('17.10 KANONI-MADDU'!G20,'18.10 KANONI-MADDU-24h'!G20,'19.10 KANONI-MADDU-24h'!G20,'20.10 KANONI-MADDU'!G20,'21.10 KANONI-MADDU'!G20,'22.10.KANONI-MADDU'!G20,'23.10 KANONI-MADDU'!G20)</f>
        <v>0.14285714285714285</v>
      </c>
      <c r="H20" s="49">
        <f>AVERAGE('17.10 KANONI-MADDU'!H20,'18.10 KANONI-MADDU-24h'!H20,'19.10 KANONI-MADDU-24h'!H20,'20.10 KANONI-MADDU'!H20,'21.10 KANONI-MADDU'!H20,'22.10.KANONI-MADDU'!H20,'23.10 KANONI-MADDU'!H20)</f>
        <v>0</v>
      </c>
      <c r="I20" s="49">
        <f>AVERAGE('17.10 KANONI-MADDU'!I20,'18.10 KANONI-MADDU-24h'!I20,'19.10 KANONI-MADDU-24h'!I20,'20.10 KANONI-MADDU'!I20,'21.10 KANONI-MADDU'!I20,'22.10.KANONI-MADDU'!I20,'23.10 KANONI-MADDU'!I20)</f>
        <v>0.2857142857142857</v>
      </c>
      <c r="J20" s="49">
        <f>AVERAGE('17.10 KANONI-MADDU'!J20,'18.10 KANONI-MADDU-24h'!J20,'19.10 KANONI-MADDU-24h'!J20,'20.10 KANONI-MADDU'!J20,'21.10 KANONI-MADDU'!J20,'22.10.KANONI-MADDU'!J20,'23.10 KANONI-MADDU'!J20)</f>
        <v>1</v>
      </c>
      <c r="K20" s="49">
        <f>AVERAGE('17.10 KANONI-MADDU'!K20,'18.10 KANONI-MADDU-24h'!K20,'19.10 KANONI-MADDU-24h'!K20,'20.10 KANONI-MADDU'!K20,'21.10 KANONI-MADDU'!K20,'22.10.KANONI-MADDU'!K20,'23.10 KANONI-MADDU'!K20)</f>
        <v>0.2857142857142857</v>
      </c>
      <c r="L20" s="49">
        <f>AVERAGE('17.10 KANONI-MADDU'!L20,'18.10 KANONI-MADDU-24h'!L20,'19.10 KANONI-MADDU-24h'!L20,'20.10 KANONI-MADDU'!L20,'21.10 KANONI-MADDU'!L20,'22.10.KANONI-MADDU'!L20,'23.10 KANONI-MADDU'!L20)</f>
        <v>0</v>
      </c>
      <c r="M20" s="49">
        <f>AVERAGE('17.10 KANONI-MADDU'!M20,'18.10 KANONI-MADDU-24h'!M20,'19.10 KANONI-MADDU-24h'!M20,'20.10 KANONI-MADDU'!M20,'21.10 KANONI-MADDU'!M20,'22.10.KANONI-MADDU'!M20,'23.10 KANONI-MADDU'!M20)</f>
        <v>11.142857142857142</v>
      </c>
      <c r="N20" s="49">
        <f>AVERAGE('17.10 KANONI-MADDU'!N20,'18.10 KANONI-MADDU-24h'!N20,'19.10 KANONI-MADDU-24h'!N20,'20.10 KANONI-MADDU'!N20,'21.10 KANONI-MADDU'!N20,'22.10.KANONI-MADDU'!N20,'23.10 KANONI-MADDU'!N20)</f>
        <v>0</v>
      </c>
      <c r="O20" s="15">
        <f t="shared" si="0"/>
        <v>8</v>
      </c>
      <c r="P20" s="15">
        <f t="shared" si="1"/>
        <v>19.142857142857142</v>
      </c>
      <c r="R20" s="1" t="s">
        <v>16</v>
      </c>
      <c r="S20" s="17">
        <f t="shared" ref="S20:AF20" si="12">SUM(C50:C53)</f>
        <v>7.7142857142857144</v>
      </c>
      <c r="T20" s="17">
        <f t="shared" si="12"/>
        <v>1.5714285714285712</v>
      </c>
      <c r="U20" s="17">
        <f t="shared" si="12"/>
        <v>2</v>
      </c>
      <c r="V20" s="17">
        <f t="shared" si="12"/>
        <v>7.4285714285714279</v>
      </c>
      <c r="W20" s="17">
        <f t="shared" si="12"/>
        <v>0.14285714285714285</v>
      </c>
      <c r="X20" s="17">
        <f t="shared" si="12"/>
        <v>0</v>
      </c>
      <c r="Y20" s="17">
        <f t="shared" si="12"/>
        <v>1.7142857142857142</v>
      </c>
      <c r="Z20" s="17">
        <f t="shared" si="12"/>
        <v>1.5714285714285712</v>
      </c>
      <c r="AA20" s="17">
        <f t="shared" si="12"/>
        <v>0.99999999999999989</v>
      </c>
      <c r="AB20" s="17">
        <f t="shared" si="12"/>
        <v>0</v>
      </c>
      <c r="AC20" s="17">
        <f t="shared" si="12"/>
        <v>46.142857142857153</v>
      </c>
      <c r="AD20" s="17">
        <f t="shared" si="12"/>
        <v>0.14285714285714285</v>
      </c>
      <c r="AE20" s="31">
        <f t="shared" si="12"/>
        <v>23.285714285714285</v>
      </c>
      <c r="AF20" s="31">
        <f t="shared" si="12"/>
        <v>69.428571428571445</v>
      </c>
    </row>
    <row r="21" spans="2:32" ht="23.1" customHeight="1" x14ac:dyDescent="0.25">
      <c r="B21" s="23" t="s">
        <v>48</v>
      </c>
      <c r="C21" s="49">
        <f>AVERAGE('17.10 KANONI-MADDU'!C21,'18.10 KANONI-MADDU-24h'!C21,'19.10 KANONI-MADDU-24h'!C21,'20.10 KANONI-MADDU'!C21,'21.10 KANONI-MADDU'!C21,'22.10.KANONI-MADDU'!C21,'23.10 KANONI-MADDU'!C21)</f>
        <v>1.4285714285714286</v>
      </c>
      <c r="D21" s="49">
        <f>AVERAGE('17.10 KANONI-MADDU'!D21,'18.10 KANONI-MADDU-24h'!D21,'19.10 KANONI-MADDU-24h'!D21,'20.10 KANONI-MADDU'!D21,'21.10 KANONI-MADDU'!D21,'22.10.KANONI-MADDU'!D21,'23.10 KANONI-MADDU'!D21)</f>
        <v>1.1428571428571428</v>
      </c>
      <c r="E21" s="49">
        <f>AVERAGE('17.10 KANONI-MADDU'!E21,'18.10 KANONI-MADDU-24h'!E21,'19.10 KANONI-MADDU-24h'!E21,'20.10 KANONI-MADDU'!E21,'21.10 KANONI-MADDU'!E21,'22.10.KANONI-MADDU'!E21,'23.10 KANONI-MADDU'!E21)</f>
        <v>1.5714285714285714</v>
      </c>
      <c r="F21" s="49">
        <f>AVERAGE('17.10 KANONI-MADDU'!F21,'18.10 KANONI-MADDU-24h'!F21,'19.10 KANONI-MADDU-24h'!F21,'20.10 KANONI-MADDU'!F21,'21.10 KANONI-MADDU'!F21,'22.10.KANONI-MADDU'!F21,'23.10 KANONI-MADDU'!F21)</f>
        <v>1.5714285714285714</v>
      </c>
      <c r="G21" s="49">
        <f>AVERAGE('17.10 KANONI-MADDU'!G21,'18.10 KANONI-MADDU-24h'!G21,'19.10 KANONI-MADDU-24h'!G21,'20.10 KANONI-MADDU'!G21,'21.10 KANONI-MADDU'!G21,'22.10.KANONI-MADDU'!G21,'23.10 KANONI-MADDU'!G21)</f>
        <v>0</v>
      </c>
      <c r="H21" s="49">
        <f>AVERAGE('17.10 KANONI-MADDU'!H21,'18.10 KANONI-MADDU-24h'!H21,'19.10 KANONI-MADDU-24h'!H21,'20.10 KANONI-MADDU'!H21,'21.10 KANONI-MADDU'!H21,'22.10.KANONI-MADDU'!H21,'23.10 KANONI-MADDU'!H21)</f>
        <v>0</v>
      </c>
      <c r="I21" s="49">
        <f>AVERAGE('17.10 KANONI-MADDU'!I21,'18.10 KANONI-MADDU-24h'!I21,'19.10 KANONI-MADDU-24h'!I21,'20.10 KANONI-MADDU'!I21,'21.10 KANONI-MADDU'!I21,'22.10.KANONI-MADDU'!I21,'23.10 KANONI-MADDU'!I21)</f>
        <v>0.42857142857142855</v>
      </c>
      <c r="J21" s="49">
        <f>AVERAGE('17.10 KANONI-MADDU'!J21,'18.10 KANONI-MADDU-24h'!J21,'19.10 KANONI-MADDU-24h'!J21,'20.10 KANONI-MADDU'!J21,'21.10 KANONI-MADDU'!J21,'22.10.KANONI-MADDU'!J21,'23.10 KANONI-MADDU'!J21)</f>
        <v>0.14285714285714285</v>
      </c>
      <c r="K21" s="49">
        <f>AVERAGE('17.10 KANONI-MADDU'!K21,'18.10 KANONI-MADDU-24h'!K21,'19.10 KANONI-MADDU-24h'!K21,'20.10 KANONI-MADDU'!K21,'21.10 KANONI-MADDU'!K21,'22.10.KANONI-MADDU'!K21,'23.10 KANONI-MADDU'!K21)</f>
        <v>0.42857142857142855</v>
      </c>
      <c r="L21" s="49">
        <f>AVERAGE('17.10 KANONI-MADDU'!L21,'18.10 KANONI-MADDU-24h'!L21,'19.10 KANONI-MADDU-24h'!L21,'20.10 KANONI-MADDU'!L21,'21.10 KANONI-MADDU'!L21,'22.10.KANONI-MADDU'!L21,'23.10 KANONI-MADDU'!L21)</f>
        <v>0</v>
      </c>
      <c r="M21" s="49">
        <f>AVERAGE('17.10 KANONI-MADDU'!M21,'18.10 KANONI-MADDU-24h'!M21,'19.10 KANONI-MADDU-24h'!M21,'20.10 KANONI-MADDU'!M21,'21.10 KANONI-MADDU'!M21,'22.10.KANONI-MADDU'!M21,'23.10 KANONI-MADDU'!M21)</f>
        <v>8.1428571428571423</v>
      </c>
      <c r="N21" s="49">
        <f>AVERAGE('17.10 KANONI-MADDU'!N21,'18.10 KANONI-MADDU-24h'!N21,'19.10 KANONI-MADDU-24h'!N21,'20.10 KANONI-MADDU'!N21,'21.10 KANONI-MADDU'!N21,'22.10.KANONI-MADDU'!N21,'23.10 KANONI-MADDU'!N21)</f>
        <v>0</v>
      </c>
      <c r="O21" s="15">
        <f t="shared" si="0"/>
        <v>6.7142857142857144</v>
      </c>
      <c r="P21" s="15">
        <f t="shared" si="1"/>
        <v>14.857142857142858</v>
      </c>
      <c r="R21" s="36" t="s">
        <v>20</v>
      </c>
      <c r="S21" s="34">
        <f t="shared" ref="S21:AF21" si="13">SUM(C54:C57)</f>
        <v>5.7142857142857144</v>
      </c>
      <c r="T21" s="17">
        <f t="shared" si="13"/>
        <v>2.4285714285714284</v>
      </c>
      <c r="U21" s="17">
        <f t="shared" si="13"/>
        <v>1.5714285714285714</v>
      </c>
      <c r="V21" s="17">
        <f t="shared" si="13"/>
        <v>7</v>
      </c>
      <c r="W21" s="17">
        <f t="shared" si="13"/>
        <v>0</v>
      </c>
      <c r="X21" s="17">
        <f t="shared" si="13"/>
        <v>0</v>
      </c>
      <c r="Y21" s="17">
        <f t="shared" si="13"/>
        <v>2.2857142857142856</v>
      </c>
      <c r="Z21" s="17">
        <f t="shared" si="13"/>
        <v>0.71428571428571419</v>
      </c>
      <c r="AA21" s="17">
        <f t="shared" si="13"/>
        <v>0.2857142857142857</v>
      </c>
      <c r="AB21" s="17">
        <f t="shared" si="13"/>
        <v>0</v>
      </c>
      <c r="AC21" s="17">
        <f t="shared" si="13"/>
        <v>37.428571428571431</v>
      </c>
      <c r="AD21" s="17">
        <f t="shared" si="13"/>
        <v>0</v>
      </c>
      <c r="AE21" s="31">
        <f t="shared" si="13"/>
        <v>20</v>
      </c>
      <c r="AF21" s="31">
        <f t="shared" si="13"/>
        <v>57.428571428571431</v>
      </c>
    </row>
    <row r="22" spans="2:32" ht="23.1" customHeight="1" x14ac:dyDescent="0.25">
      <c r="B22" s="23" t="s">
        <v>49</v>
      </c>
      <c r="C22" s="49">
        <f>AVERAGE('17.10 KANONI-MADDU'!C22,'18.10 KANONI-MADDU-24h'!C22,'19.10 KANONI-MADDU-24h'!C22,'20.10 KANONI-MADDU'!C22,'21.10 KANONI-MADDU'!C22,'22.10.KANONI-MADDU'!C22,'23.10 KANONI-MADDU'!C22)</f>
        <v>3.1428571428571428</v>
      </c>
      <c r="D22" s="49">
        <f>AVERAGE('17.10 KANONI-MADDU'!D22,'18.10 KANONI-MADDU-24h'!D22,'19.10 KANONI-MADDU-24h'!D22,'20.10 KANONI-MADDU'!D22,'21.10 KANONI-MADDU'!D22,'22.10.KANONI-MADDU'!D22,'23.10 KANONI-MADDU'!D22)</f>
        <v>1.2857142857142858</v>
      </c>
      <c r="E22" s="49">
        <f>AVERAGE('17.10 KANONI-MADDU'!E22,'18.10 KANONI-MADDU-24h'!E22,'19.10 KANONI-MADDU-24h'!E22,'20.10 KANONI-MADDU'!E22,'21.10 KANONI-MADDU'!E22,'22.10.KANONI-MADDU'!E22,'23.10 KANONI-MADDU'!E22)</f>
        <v>1</v>
      </c>
      <c r="F22" s="49">
        <f>AVERAGE('17.10 KANONI-MADDU'!F22,'18.10 KANONI-MADDU-24h'!F22,'19.10 KANONI-MADDU-24h'!F22,'20.10 KANONI-MADDU'!F22,'21.10 KANONI-MADDU'!F22,'22.10.KANONI-MADDU'!F22,'23.10 KANONI-MADDU'!F22)</f>
        <v>1.4285714285714286</v>
      </c>
      <c r="G22" s="49">
        <f>AVERAGE('17.10 KANONI-MADDU'!G22,'18.10 KANONI-MADDU-24h'!G22,'19.10 KANONI-MADDU-24h'!G22,'20.10 KANONI-MADDU'!G22,'21.10 KANONI-MADDU'!G22,'22.10.KANONI-MADDU'!G22,'23.10 KANONI-MADDU'!G22)</f>
        <v>0</v>
      </c>
      <c r="H22" s="49">
        <f>AVERAGE('17.10 KANONI-MADDU'!H22,'18.10 KANONI-MADDU-24h'!H22,'19.10 KANONI-MADDU-24h'!H22,'20.10 KANONI-MADDU'!H22,'21.10 KANONI-MADDU'!H22,'22.10.KANONI-MADDU'!H22,'23.10 KANONI-MADDU'!H22)</f>
        <v>0</v>
      </c>
      <c r="I22" s="49">
        <f>AVERAGE('17.10 KANONI-MADDU'!I22,'18.10 KANONI-MADDU-24h'!I22,'19.10 KANONI-MADDU-24h'!I22,'20.10 KANONI-MADDU'!I22,'21.10 KANONI-MADDU'!I22,'22.10.KANONI-MADDU'!I22,'23.10 KANONI-MADDU'!I22)</f>
        <v>0.14285714285714285</v>
      </c>
      <c r="J22" s="49">
        <f>AVERAGE('17.10 KANONI-MADDU'!J22,'18.10 KANONI-MADDU-24h'!J22,'19.10 KANONI-MADDU-24h'!J22,'20.10 KANONI-MADDU'!J22,'21.10 KANONI-MADDU'!J22,'22.10.KANONI-MADDU'!J22,'23.10 KANONI-MADDU'!J22)</f>
        <v>0.42857142857142855</v>
      </c>
      <c r="K22" s="49">
        <f>AVERAGE('17.10 KANONI-MADDU'!K22,'18.10 KANONI-MADDU-24h'!K22,'19.10 KANONI-MADDU-24h'!K22,'20.10 KANONI-MADDU'!K22,'21.10 KANONI-MADDU'!K22,'22.10.KANONI-MADDU'!K22,'23.10 KANONI-MADDU'!K22)</f>
        <v>0</v>
      </c>
      <c r="L22" s="49">
        <f>AVERAGE('17.10 KANONI-MADDU'!L22,'18.10 KANONI-MADDU-24h'!L22,'19.10 KANONI-MADDU-24h'!L22,'20.10 KANONI-MADDU'!L22,'21.10 KANONI-MADDU'!L22,'22.10.KANONI-MADDU'!L22,'23.10 KANONI-MADDU'!L22)</f>
        <v>0</v>
      </c>
      <c r="M22" s="49">
        <f>AVERAGE('17.10 KANONI-MADDU'!M22,'18.10 KANONI-MADDU-24h'!M22,'19.10 KANONI-MADDU-24h'!M22,'20.10 KANONI-MADDU'!M22,'21.10 KANONI-MADDU'!M22,'22.10.KANONI-MADDU'!M22,'23.10 KANONI-MADDU'!M22)</f>
        <v>9.1428571428571423</v>
      </c>
      <c r="N22" s="49">
        <f>AVERAGE('17.10 KANONI-MADDU'!N22,'18.10 KANONI-MADDU-24h'!N22,'19.10 KANONI-MADDU-24h'!N22,'20.10 KANONI-MADDU'!N22,'21.10 KANONI-MADDU'!N22,'22.10.KANONI-MADDU'!N22,'23.10 KANONI-MADDU'!N22)</f>
        <v>0</v>
      </c>
      <c r="O22" s="15">
        <f t="shared" si="0"/>
        <v>7.4285714285714297</v>
      </c>
      <c r="P22" s="15">
        <f t="shared" si="1"/>
        <v>16.571428571428573</v>
      </c>
      <c r="R22" s="1" t="s">
        <v>146</v>
      </c>
      <c r="S22" s="34">
        <f>SUM(C58:C61)</f>
        <v>6.5</v>
      </c>
      <c r="T22" s="34">
        <f t="shared" ref="T22:AF22" si="14">SUM(D58:D61)</f>
        <v>1.5</v>
      </c>
      <c r="U22" s="34">
        <f t="shared" si="14"/>
        <v>0.5</v>
      </c>
      <c r="V22" s="34">
        <f t="shared" si="14"/>
        <v>9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3.5</v>
      </c>
      <c r="AA22" s="34">
        <f t="shared" si="14"/>
        <v>0.5</v>
      </c>
      <c r="AB22" s="34">
        <f t="shared" si="14"/>
        <v>0</v>
      </c>
      <c r="AC22" s="34">
        <f t="shared" si="14"/>
        <v>48</v>
      </c>
      <c r="AD22" s="34">
        <f t="shared" si="14"/>
        <v>0</v>
      </c>
      <c r="AE22" s="31">
        <f t="shared" si="14"/>
        <v>23.5</v>
      </c>
      <c r="AF22" s="31">
        <f t="shared" si="14"/>
        <v>71.5</v>
      </c>
    </row>
    <row r="23" spans="2:32" ht="23.1" customHeight="1" x14ac:dyDescent="0.25">
      <c r="B23" s="23" t="s">
        <v>50</v>
      </c>
      <c r="C23" s="49">
        <f>AVERAGE('17.10 KANONI-MADDU'!C23,'18.10 KANONI-MADDU-24h'!C23,'19.10 KANONI-MADDU-24h'!C23,'20.10 KANONI-MADDU'!C23,'21.10 KANONI-MADDU'!C23,'22.10.KANONI-MADDU'!C23,'23.10 KANONI-MADDU'!C23)</f>
        <v>3</v>
      </c>
      <c r="D23" s="49">
        <f>AVERAGE('17.10 KANONI-MADDU'!D23,'18.10 KANONI-MADDU-24h'!D23,'19.10 KANONI-MADDU-24h'!D23,'20.10 KANONI-MADDU'!D23,'21.10 KANONI-MADDU'!D23,'22.10.KANONI-MADDU'!D23,'23.10 KANONI-MADDU'!D23)</f>
        <v>1.8571428571428572</v>
      </c>
      <c r="E23" s="49">
        <f>AVERAGE('17.10 KANONI-MADDU'!E23,'18.10 KANONI-MADDU-24h'!E23,'19.10 KANONI-MADDU-24h'!E23,'20.10 KANONI-MADDU'!E23,'21.10 KANONI-MADDU'!E23,'22.10.KANONI-MADDU'!E23,'23.10 KANONI-MADDU'!E23)</f>
        <v>0.8571428571428571</v>
      </c>
      <c r="F23" s="49">
        <f>AVERAGE('17.10 KANONI-MADDU'!F23,'18.10 KANONI-MADDU-24h'!F23,'19.10 KANONI-MADDU-24h'!F23,'20.10 KANONI-MADDU'!F23,'21.10 KANONI-MADDU'!F23,'22.10.KANONI-MADDU'!F23,'23.10 KANONI-MADDU'!F23)</f>
        <v>1.5714285714285714</v>
      </c>
      <c r="G23" s="49">
        <f>AVERAGE('17.10 KANONI-MADDU'!G23,'18.10 KANONI-MADDU-24h'!G23,'19.10 KANONI-MADDU-24h'!G23,'20.10 KANONI-MADDU'!G23,'21.10 KANONI-MADDU'!G23,'22.10.KANONI-MADDU'!G23,'23.10 KANONI-MADDU'!G23)</f>
        <v>0</v>
      </c>
      <c r="H23" s="49">
        <f>AVERAGE('17.10 KANONI-MADDU'!H23,'18.10 KANONI-MADDU-24h'!H23,'19.10 KANONI-MADDU-24h'!H23,'20.10 KANONI-MADDU'!H23,'21.10 KANONI-MADDU'!H23,'22.10.KANONI-MADDU'!H23,'23.10 KANONI-MADDU'!H23)</f>
        <v>0</v>
      </c>
      <c r="I23" s="49">
        <f>AVERAGE('17.10 KANONI-MADDU'!I23,'18.10 KANONI-MADDU-24h'!I23,'19.10 KANONI-MADDU-24h'!I23,'20.10 KANONI-MADDU'!I23,'21.10 KANONI-MADDU'!I23,'22.10.KANONI-MADDU'!I23,'23.10 KANONI-MADDU'!I23)</f>
        <v>0.14285714285714285</v>
      </c>
      <c r="J23" s="49">
        <f>AVERAGE('17.10 KANONI-MADDU'!J23,'18.10 KANONI-MADDU-24h'!J23,'19.10 KANONI-MADDU-24h'!J23,'20.10 KANONI-MADDU'!J23,'21.10 KANONI-MADDU'!J23,'22.10.KANONI-MADDU'!J23,'23.10 KANONI-MADDU'!J23)</f>
        <v>0.2857142857142857</v>
      </c>
      <c r="K23" s="49">
        <f>AVERAGE('17.10 KANONI-MADDU'!K23,'18.10 KANONI-MADDU-24h'!K23,'19.10 KANONI-MADDU-24h'!K23,'20.10 KANONI-MADDU'!K23,'21.10 KANONI-MADDU'!K23,'22.10.KANONI-MADDU'!K23,'23.10 KANONI-MADDU'!K23)</f>
        <v>0</v>
      </c>
      <c r="L23" s="49">
        <f>AVERAGE('17.10 KANONI-MADDU'!L23,'18.10 KANONI-MADDU-24h'!L23,'19.10 KANONI-MADDU-24h'!L23,'20.10 KANONI-MADDU'!L23,'21.10 KANONI-MADDU'!L23,'22.10.KANONI-MADDU'!L23,'23.10 KANONI-MADDU'!L23)</f>
        <v>0</v>
      </c>
      <c r="M23" s="49">
        <f>AVERAGE('17.10 KANONI-MADDU'!M23,'18.10 KANONI-MADDU-24h'!M23,'19.10 KANONI-MADDU-24h'!M23,'20.10 KANONI-MADDU'!M23,'21.10 KANONI-MADDU'!M23,'22.10.KANONI-MADDU'!M23,'23.10 KANONI-MADDU'!M23)</f>
        <v>10.714285714285714</v>
      </c>
      <c r="N23" s="49">
        <f>AVERAGE('17.10 KANONI-MADDU'!N23,'18.10 KANONI-MADDU-24h'!N23,'19.10 KANONI-MADDU-24h'!N23,'20.10 KANONI-MADDU'!N23,'21.10 KANONI-MADDU'!N23,'22.10.KANONI-MADDU'!N23,'23.10 KANONI-MADDU'!N23)</f>
        <v>0</v>
      </c>
      <c r="O23" s="15">
        <f t="shared" si="0"/>
        <v>7.7142857142857144</v>
      </c>
      <c r="P23" s="15">
        <f t="shared" si="1"/>
        <v>18.428571428571427</v>
      </c>
      <c r="R23" s="1" t="s">
        <v>147</v>
      </c>
      <c r="S23" s="34">
        <f>SUM(C62:C65)</f>
        <v>7.5</v>
      </c>
      <c r="T23" s="34">
        <f t="shared" ref="T23:AF23" si="15">SUM(D62:D65)</f>
        <v>0.5</v>
      </c>
      <c r="U23" s="34">
        <f t="shared" si="15"/>
        <v>3</v>
      </c>
      <c r="V23" s="34">
        <f t="shared" si="15"/>
        <v>6.5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29.5</v>
      </c>
      <c r="AD23" s="34">
        <f t="shared" si="15"/>
        <v>0</v>
      </c>
      <c r="AE23" s="31">
        <f t="shared" si="15"/>
        <v>21.5</v>
      </c>
      <c r="AF23" s="31">
        <f t="shared" si="15"/>
        <v>51</v>
      </c>
    </row>
    <row r="24" spans="2:32" ht="23.1" customHeight="1" x14ac:dyDescent="0.25">
      <c r="B24" s="23" t="s">
        <v>51</v>
      </c>
      <c r="C24" s="49">
        <f>AVERAGE('17.10 KANONI-MADDU'!C24,'18.10 KANONI-MADDU-24h'!C24,'19.10 KANONI-MADDU-24h'!C24,'20.10 KANONI-MADDU'!C24,'21.10 KANONI-MADDU'!C24,'22.10.KANONI-MADDU'!C24,'23.10 KANONI-MADDU'!C24)</f>
        <v>1.7142857142857142</v>
      </c>
      <c r="D24" s="49">
        <f>AVERAGE('17.10 KANONI-MADDU'!D24,'18.10 KANONI-MADDU-24h'!D24,'19.10 KANONI-MADDU-24h'!D24,'20.10 KANONI-MADDU'!D24,'21.10 KANONI-MADDU'!D24,'22.10.KANONI-MADDU'!D24,'23.10 KANONI-MADDU'!D24)</f>
        <v>0.8571428571428571</v>
      </c>
      <c r="E24" s="49">
        <f>AVERAGE('17.10 KANONI-MADDU'!E24,'18.10 KANONI-MADDU-24h'!E24,'19.10 KANONI-MADDU-24h'!E24,'20.10 KANONI-MADDU'!E24,'21.10 KANONI-MADDU'!E24,'22.10.KANONI-MADDU'!E24,'23.10 KANONI-MADDU'!E24)</f>
        <v>0.5714285714285714</v>
      </c>
      <c r="F24" s="49">
        <f>AVERAGE('17.10 KANONI-MADDU'!F24,'18.10 KANONI-MADDU-24h'!F24,'19.10 KANONI-MADDU-24h'!F24,'20.10 KANONI-MADDU'!F24,'21.10 KANONI-MADDU'!F24,'22.10.KANONI-MADDU'!F24,'23.10 KANONI-MADDU'!F24)</f>
        <v>1.2857142857142858</v>
      </c>
      <c r="G24" s="49">
        <f>AVERAGE('17.10 KANONI-MADDU'!G24,'18.10 KANONI-MADDU-24h'!G24,'19.10 KANONI-MADDU-24h'!G24,'20.10 KANONI-MADDU'!G24,'21.10 KANONI-MADDU'!G24,'22.10.KANONI-MADDU'!G24,'23.10 KANONI-MADDU'!G24)</f>
        <v>0</v>
      </c>
      <c r="H24" s="49">
        <f>AVERAGE('17.10 KANONI-MADDU'!H24,'18.10 KANONI-MADDU-24h'!H24,'19.10 KANONI-MADDU-24h'!H24,'20.10 KANONI-MADDU'!H24,'21.10 KANONI-MADDU'!H24,'22.10.KANONI-MADDU'!H24,'23.10 KANONI-MADDU'!H24)</f>
        <v>0</v>
      </c>
      <c r="I24" s="49">
        <f>AVERAGE('17.10 KANONI-MADDU'!I24,'18.10 KANONI-MADDU-24h'!I24,'19.10 KANONI-MADDU-24h'!I24,'20.10 KANONI-MADDU'!I24,'21.10 KANONI-MADDU'!I24,'22.10.KANONI-MADDU'!I24,'23.10 KANONI-MADDU'!I24)</f>
        <v>0.7142857142857143</v>
      </c>
      <c r="J24" s="49">
        <f>AVERAGE('17.10 KANONI-MADDU'!J24,'18.10 KANONI-MADDU-24h'!J24,'19.10 KANONI-MADDU-24h'!J24,'20.10 KANONI-MADDU'!J24,'21.10 KANONI-MADDU'!J24,'22.10.KANONI-MADDU'!J24,'23.10 KANONI-MADDU'!J24)</f>
        <v>0</v>
      </c>
      <c r="K24" s="49">
        <f>AVERAGE('17.10 KANONI-MADDU'!K24,'18.10 KANONI-MADDU-24h'!K24,'19.10 KANONI-MADDU-24h'!K24,'20.10 KANONI-MADDU'!K24,'21.10 KANONI-MADDU'!K24,'22.10.KANONI-MADDU'!K24,'23.10 KANONI-MADDU'!K24)</f>
        <v>0</v>
      </c>
      <c r="L24" s="49">
        <f>AVERAGE('17.10 KANONI-MADDU'!L24,'18.10 KANONI-MADDU-24h'!L24,'19.10 KANONI-MADDU-24h'!L24,'20.10 KANONI-MADDU'!L24,'21.10 KANONI-MADDU'!L24,'22.10.KANONI-MADDU'!L24,'23.10 KANONI-MADDU'!L24)</f>
        <v>0</v>
      </c>
      <c r="M24" s="49">
        <f>AVERAGE('17.10 KANONI-MADDU'!M24,'18.10 KANONI-MADDU-24h'!M24,'19.10 KANONI-MADDU-24h'!M24,'20.10 KANONI-MADDU'!M24,'21.10 KANONI-MADDU'!M24,'22.10.KANONI-MADDU'!M24,'23.10 KANONI-MADDU'!M24)</f>
        <v>8.1428571428571423</v>
      </c>
      <c r="N24" s="49">
        <f>AVERAGE('17.10 KANONI-MADDU'!N24,'18.10 KANONI-MADDU-24h'!N24,'19.10 KANONI-MADDU-24h'!N24,'20.10 KANONI-MADDU'!N24,'21.10 KANONI-MADDU'!N24,'22.10.KANONI-MADDU'!N24,'23.10 KANONI-MADDU'!N24)</f>
        <v>0</v>
      </c>
      <c r="O24" s="15">
        <f t="shared" si="0"/>
        <v>5.1428571428571423</v>
      </c>
      <c r="P24" s="15">
        <f t="shared" si="1"/>
        <v>13.285714285714285</v>
      </c>
      <c r="R24" s="1" t="s">
        <v>148</v>
      </c>
      <c r="S24" s="34">
        <f>SUM(C66:C69)</f>
        <v>5.5</v>
      </c>
      <c r="T24" s="34">
        <f t="shared" ref="T24:AF24" si="16">SUM(D66:D69)</f>
        <v>1</v>
      </c>
      <c r="U24" s="34">
        <f t="shared" si="16"/>
        <v>2</v>
      </c>
      <c r="V24" s="34">
        <f t="shared" si="16"/>
        <v>4.5</v>
      </c>
      <c r="W24" s="34">
        <f t="shared" si="16"/>
        <v>0</v>
      </c>
      <c r="X24" s="34">
        <f t="shared" si="16"/>
        <v>0</v>
      </c>
      <c r="Y24" s="34">
        <f t="shared" si="16"/>
        <v>0.5</v>
      </c>
      <c r="Z24" s="34">
        <f t="shared" si="16"/>
        <v>2</v>
      </c>
      <c r="AA24" s="34">
        <f t="shared" si="16"/>
        <v>0.5</v>
      </c>
      <c r="AB24" s="34">
        <f t="shared" si="16"/>
        <v>0</v>
      </c>
      <c r="AC24" s="34">
        <f t="shared" si="16"/>
        <v>19.5</v>
      </c>
      <c r="AD24" s="34">
        <f t="shared" si="16"/>
        <v>0</v>
      </c>
      <c r="AE24" s="31">
        <f t="shared" si="16"/>
        <v>16</v>
      </c>
      <c r="AF24" s="31">
        <f t="shared" si="16"/>
        <v>35.5</v>
      </c>
    </row>
    <row r="25" spans="2:32" ht="23.1" customHeight="1" x14ac:dyDescent="0.25">
      <c r="B25" s="23" t="s">
        <v>52</v>
      </c>
      <c r="C25" s="49">
        <f>AVERAGE('17.10 KANONI-MADDU'!C25,'18.10 KANONI-MADDU-24h'!C25,'19.10 KANONI-MADDU-24h'!C25,'20.10 KANONI-MADDU'!C25,'21.10 KANONI-MADDU'!C25,'22.10.KANONI-MADDU'!C25,'23.10 KANONI-MADDU'!C25)</f>
        <v>1.4285714285714286</v>
      </c>
      <c r="D25" s="49">
        <f>AVERAGE('17.10 KANONI-MADDU'!D25,'18.10 KANONI-MADDU-24h'!D25,'19.10 KANONI-MADDU-24h'!D25,'20.10 KANONI-MADDU'!D25,'21.10 KANONI-MADDU'!D25,'22.10.KANONI-MADDU'!D25,'23.10 KANONI-MADDU'!D25)</f>
        <v>0.42857142857142855</v>
      </c>
      <c r="E25" s="49">
        <f>AVERAGE('17.10 KANONI-MADDU'!E25,'18.10 KANONI-MADDU-24h'!E25,'19.10 KANONI-MADDU-24h'!E25,'20.10 KANONI-MADDU'!E25,'21.10 KANONI-MADDU'!E25,'22.10.KANONI-MADDU'!E25,'23.10 KANONI-MADDU'!E25)</f>
        <v>1</v>
      </c>
      <c r="F25" s="49">
        <f>AVERAGE('17.10 KANONI-MADDU'!F25,'18.10 KANONI-MADDU-24h'!F25,'19.10 KANONI-MADDU-24h'!F25,'20.10 KANONI-MADDU'!F25,'21.10 KANONI-MADDU'!F25,'22.10.KANONI-MADDU'!F25,'23.10 KANONI-MADDU'!F25)</f>
        <v>1.1428571428571428</v>
      </c>
      <c r="G25" s="49">
        <f>AVERAGE('17.10 KANONI-MADDU'!G25,'18.10 KANONI-MADDU-24h'!G25,'19.10 KANONI-MADDU-24h'!G25,'20.10 KANONI-MADDU'!G25,'21.10 KANONI-MADDU'!G25,'22.10.KANONI-MADDU'!G25,'23.10 KANONI-MADDU'!G25)</f>
        <v>0</v>
      </c>
      <c r="H25" s="49">
        <f>AVERAGE('17.10 KANONI-MADDU'!H25,'18.10 KANONI-MADDU-24h'!H25,'19.10 KANONI-MADDU-24h'!H25,'20.10 KANONI-MADDU'!H25,'21.10 KANONI-MADDU'!H25,'22.10.KANONI-MADDU'!H25,'23.10 KANONI-MADDU'!H25)</f>
        <v>0</v>
      </c>
      <c r="I25" s="49">
        <f>AVERAGE('17.10 KANONI-MADDU'!I25,'18.10 KANONI-MADDU-24h'!I25,'19.10 KANONI-MADDU-24h'!I25,'20.10 KANONI-MADDU'!I25,'21.10 KANONI-MADDU'!I25,'22.10.KANONI-MADDU'!I25,'23.10 KANONI-MADDU'!I25)</f>
        <v>0.2857142857142857</v>
      </c>
      <c r="J25" s="49">
        <f>AVERAGE('17.10 KANONI-MADDU'!J25,'18.10 KANONI-MADDU-24h'!J25,'19.10 KANONI-MADDU-24h'!J25,'20.10 KANONI-MADDU'!J25,'21.10 KANONI-MADDU'!J25,'22.10.KANONI-MADDU'!J25,'23.10 KANONI-MADDU'!J25)</f>
        <v>0.2857142857142857</v>
      </c>
      <c r="K25" s="49">
        <f>AVERAGE('17.10 KANONI-MADDU'!K25,'18.10 KANONI-MADDU-24h'!K25,'19.10 KANONI-MADDU-24h'!K25,'20.10 KANONI-MADDU'!K25,'21.10 KANONI-MADDU'!K25,'22.10.KANONI-MADDU'!K25,'23.10 KANONI-MADDU'!K25)</f>
        <v>0</v>
      </c>
      <c r="L25" s="49">
        <f>AVERAGE('17.10 KANONI-MADDU'!L25,'18.10 KANONI-MADDU-24h'!L25,'19.10 KANONI-MADDU-24h'!L25,'20.10 KANONI-MADDU'!L25,'21.10 KANONI-MADDU'!L25,'22.10.KANONI-MADDU'!L25,'23.10 KANONI-MADDU'!L25)</f>
        <v>0</v>
      </c>
      <c r="M25" s="49">
        <f>AVERAGE('17.10 KANONI-MADDU'!M25,'18.10 KANONI-MADDU-24h'!M25,'19.10 KANONI-MADDU-24h'!M25,'20.10 KANONI-MADDU'!M25,'21.10 KANONI-MADDU'!M25,'22.10.KANONI-MADDU'!M25,'23.10 KANONI-MADDU'!M25)</f>
        <v>7.1428571428571432</v>
      </c>
      <c r="N25" s="49">
        <f>AVERAGE('17.10 KANONI-MADDU'!N25,'18.10 KANONI-MADDU-24h'!N25,'19.10 KANONI-MADDU-24h'!N25,'20.10 KANONI-MADDU'!N25,'21.10 KANONI-MADDU'!N25,'22.10.KANONI-MADDU'!N25,'23.10 KANONI-MADDU'!N25)</f>
        <v>0</v>
      </c>
      <c r="O25" s="15">
        <f t="shared" si="0"/>
        <v>4.5714285714285712</v>
      </c>
      <c r="P25" s="15">
        <f t="shared" si="1"/>
        <v>11.714285714285715</v>
      </c>
      <c r="R25" s="1" t="s">
        <v>149</v>
      </c>
      <c r="S25" s="34">
        <f>SUM(C70:C73)</f>
        <v>3.5</v>
      </c>
      <c r="T25" s="34">
        <f t="shared" ref="T25:AF25" si="17">SUM(D70:D73)</f>
        <v>0</v>
      </c>
      <c r="U25" s="34">
        <f t="shared" si="17"/>
        <v>1.5</v>
      </c>
      <c r="V25" s="34">
        <f t="shared" si="17"/>
        <v>3</v>
      </c>
      <c r="W25" s="34">
        <f t="shared" si="17"/>
        <v>0</v>
      </c>
      <c r="X25" s="34">
        <f t="shared" si="17"/>
        <v>0</v>
      </c>
      <c r="Y25" s="34">
        <f t="shared" si="17"/>
        <v>4.5</v>
      </c>
      <c r="Z25" s="34">
        <f t="shared" si="17"/>
        <v>1.5</v>
      </c>
      <c r="AA25" s="34">
        <f t="shared" si="17"/>
        <v>0.5</v>
      </c>
      <c r="AB25" s="34">
        <f t="shared" si="17"/>
        <v>0</v>
      </c>
      <c r="AC25" s="34">
        <f t="shared" si="17"/>
        <v>9</v>
      </c>
      <c r="AD25" s="34">
        <f t="shared" si="17"/>
        <v>0</v>
      </c>
      <c r="AE25" s="31">
        <f t="shared" si="17"/>
        <v>14.5</v>
      </c>
      <c r="AF25" s="31">
        <f t="shared" si="17"/>
        <v>23.5</v>
      </c>
    </row>
    <row r="26" spans="2:32" ht="23.1" customHeight="1" x14ac:dyDescent="0.25">
      <c r="B26" s="23" t="s">
        <v>53</v>
      </c>
      <c r="C26" s="49">
        <f>AVERAGE('17.10 KANONI-MADDU'!C26,'18.10 KANONI-MADDU-24h'!C26,'19.10 KANONI-MADDU-24h'!C26,'20.10 KANONI-MADDU'!C26,'21.10 KANONI-MADDU'!C26,'22.10.KANONI-MADDU'!C26,'23.10 KANONI-MADDU'!C26)</f>
        <v>3.5714285714285716</v>
      </c>
      <c r="D26" s="49">
        <f>AVERAGE('17.10 KANONI-MADDU'!D26,'18.10 KANONI-MADDU-24h'!D26,'19.10 KANONI-MADDU-24h'!D26,'20.10 KANONI-MADDU'!D26,'21.10 KANONI-MADDU'!D26,'22.10.KANONI-MADDU'!D26,'23.10 KANONI-MADDU'!D26)</f>
        <v>0.2857142857142857</v>
      </c>
      <c r="E26" s="49">
        <f>AVERAGE('17.10 KANONI-MADDU'!E26,'18.10 KANONI-MADDU-24h'!E26,'19.10 KANONI-MADDU-24h'!E26,'20.10 KANONI-MADDU'!E26,'21.10 KANONI-MADDU'!E26,'22.10.KANONI-MADDU'!E26,'23.10 KANONI-MADDU'!E26)</f>
        <v>0.8571428571428571</v>
      </c>
      <c r="F26" s="49">
        <f>AVERAGE('17.10 KANONI-MADDU'!F26,'18.10 KANONI-MADDU-24h'!F26,'19.10 KANONI-MADDU-24h'!F26,'20.10 KANONI-MADDU'!F26,'21.10 KANONI-MADDU'!F26,'22.10.KANONI-MADDU'!F26,'23.10 KANONI-MADDU'!F26)</f>
        <v>1.7142857142857142</v>
      </c>
      <c r="G26" s="49">
        <f>AVERAGE('17.10 KANONI-MADDU'!G26,'18.10 KANONI-MADDU-24h'!G26,'19.10 KANONI-MADDU-24h'!G26,'20.10 KANONI-MADDU'!G26,'21.10 KANONI-MADDU'!G26,'22.10.KANONI-MADDU'!G26,'23.10 KANONI-MADDU'!G26)</f>
        <v>0</v>
      </c>
      <c r="H26" s="49">
        <f>AVERAGE('17.10 KANONI-MADDU'!H26,'18.10 KANONI-MADDU-24h'!H26,'19.10 KANONI-MADDU-24h'!H26,'20.10 KANONI-MADDU'!H26,'21.10 KANONI-MADDU'!H26,'22.10.KANONI-MADDU'!H26,'23.10 KANONI-MADDU'!H26)</f>
        <v>0</v>
      </c>
      <c r="I26" s="49">
        <f>AVERAGE('17.10 KANONI-MADDU'!I26,'18.10 KANONI-MADDU-24h'!I26,'19.10 KANONI-MADDU-24h'!I26,'20.10 KANONI-MADDU'!I26,'21.10 KANONI-MADDU'!I26,'22.10.KANONI-MADDU'!I26,'23.10 KANONI-MADDU'!I26)</f>
        <v>1.4285714285714286</v>
      </c>
      <c r="J26" s="49">
        <f>AVERAGE('17.10 KANONI-MADDU'!J26,'18.10 KANONI-MADDU-24h'!J26,'19.10 KANONI-MADDU-24h'!J26,'20.10 KANONI-MADDU'!J26,'21.10 KANONI-MADDU'!J26,'22.10.KANONI-MADDU'!J26,'23.10 KANONI-MADDU'!J26)</f>
        <v>0.14285714285714285</v>
      </c>
      <c r="K26" s="49">
        <f>AVERAGE('17.10 KANONI-MADDU'!K26,'18.10 KANONI-MADDU-24h'!K26,'19.10 KANONI-MADDU-24h'!K26,'20.10 KANONI-MADDU'!K26,'21.10 KANONI-MADDU'!K26,'22.10.KANONI-MADDU'!K26,'23.10 KANONI-MADDU'!K26)</f>
        <v>0</v>
      </c>
      <c r="L26" s="49">
        <f>AVERAGE('17.10 KANONI-MADDU'!L26,'18.10 KANONI-MADDU-24h'!L26,'19.10 KANONI-MADDU-24h'!L26,'20.10 KANONI-MADDU'!L26,'21.10 KANONI-MADDU'!L26,'22.10.KANONI-MADDU'!L26,'23.10 KANONI-MADDU'!L26)</f>
        <v>0</v>
      </c>
      <c r="M26" s="49">
        <f>AVERAGE('17.10 KANONI-MADDU'!M26,'18.10 KANONI-MADDU-24h'!M26,'19.10 KANONI-MADDU-24h'!M26,'20.10 KANONI-MADDU'!M26,'21.10 KANONI-MADDU'!M26,'22.10.KANONI-MADDU'!M26,'23.10 KANONI-MADDU'!M26)</f>
        <v>12.571428571428571</v>
      </c>
      <c r="N26" s="49">
        <f>AVERAGE('17.10 KANONI-MADDU'!N26,'18.10 KANONI-MADDU-24h'!N26,'19.10 KANONI-MADDU-24h'!N26,'20.10 KANONI-MADDU'!N26,'21.10 KANONI-MADDU'!N26,'22.10.KANONI-MADDU'!N26,'23.10 KANONI-MADDU'!N26)</f>
        <v>0</v>
      </c>
      <c r="O26" s="15">
        <f t="shared" si="0"/>
        <v>8</v>
      </c>
      <c r="P26" s="15">
        <f t="shared" si="1"/>
        <v>20.571428571428569</v>
      </c>
      <c r="R26" s="1" t="s">
        <v>150</v>
      </c>
      <c r="S26" s="34">
        <f>SUM(C74:C77)</f>
        <v>0.5</v>
      </c>
      <c r="T26" s="34">
        <f t="shared" ref="T26:AF26" si="18">SUM(D74:D77)</f>
        <v>0</v>
      </c>
      <c r="U26" s="34">
        <f t="shared" si="18"/>
        <v>0.5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3.5</v>
      </c>
      <c r="AA26" s="34">
        <f t="shared" si="18"/>
        <v>0.5</v>
      </c>
      <c r="AB26" s="34">
        <f t="shared" si="18"/>
        <v>0</v>
      </c>
      <c r="AC26" s="34">
        <f t="shared" si="18"/>
        <v>3.5</v>
      </c>
      <c r="AD26" s="34">
        <f t="shared" si="18"/>
        <v>0</v>
      </c>
      <c r="AE26" s="31">
        <f t="shared" si="18"/>
        <v>7.5</v>
      </c>
      <c r="AF26" s="31">
        <f t="shared" si="18"/>
        <v>11</v>
      </c>
    </row>
    <row r="27" spans="2:32" ht="23.1" customHeight="1" x14ac:dyDescent="0.25">
      <c r="B27" s="23" t="s">
        <v>54</v>
      </c>
      <c r="C27" s="49">
        <f>AVERAGE('17.10 KANONI-MADDU'!C27,'18.10 KANONI-MADDU-24h'!C27,'19.10 KANONI-MADDU-24h'!C27,'20.10 KANONI-MADDU'!C27,'21.10 KANONI-MADDU'!C27,'22.10.KANONI-MADDU'!C27,'23.10 KANONI-MADDU'!C27)</f>
        <v>2.4285714285714284</v>
      </c>
      <c r="D27" s="49">
        <f>AVERAGE('17.10 KANONI-MADDU'!D27,'18.10 KANONI-MADDU-24h'!D27,'19.10 KANONI-MADDU-24h'!D27,'20.10 KANONI-MADDU'!D27,'21.10 KANONI-MADDU'!D27,'22.10.KANONI-MADDU'!D27,'23.10 KANONI-MADDU'!D27)</f>
        <v>0.2857142857142857</v>
      </c>
      <c r="E27" s="49">
        <f>AVERAGE('17.10 KANONI-MADDU'!E27,'18.10 KANONI-MADDU-24h'!E27,'19.10 KANONI-MADDU-24h'!E27,'20.10 KANONI-MADDU'!E27,'21.10 KANONI-MADDU'!E27,'22.10.KANONI-MADDU'!E27,'23.10 KANONI-MADDU'!E27)</f>
        <v>1.2857142857142858</v>
      </c>
      <c r="F27" s="49">
        <f>AVERAGE('17.10 KANONI-MADDU'!F27,'18.10 KANONI-MADDU-24h'!F27,'19.10 KANONI-MADDU-24h'!F27,'20.10 KANONI-MADDU'!F27,'21.10 KANONI-MADDU'!F27,'22.10.KANONI-MADDU'!F27,'23.10 KANONI-MADDU'!F27)</f>
        <v>1.1428571428571428</v>
      </c>
      <c r="G27" s="49">
        <f>AVERAGE('17.10 KANONI-MADDU'!G27,'18.10 KANONI-MADDU-24h'!G27,'19.10 KANONI-MADDU-24h'!G27,'20.10 KANONI-MADDU'!G27,'21.10 KANONI-MADDU'!G27,'22.10.KANONI-MADDU'!G27,'23.10 KANONI-MADDU'!G27)</f>
        <v>0</v>
      </c>
      <c r="H27" s="49">
        <f>AVERAGE('17.10 KANONI-MADDU'!H27,'18.10 KANONI-MADDU-24h'!H27,'19.10 KANONI-MADDU-24h'!H27,'20.10 KANONI-MADDU'!H27,'21.10 KANONI-MADDU'!H27,'22.10.KANONI-MADDU'!H27,'23.10 KANONI-MADDU'!H27)</f>
        <v>0</v>
      </c>
      <c r="I27" s="49">
        <f>AVERAGE('17.10 KANONI-MADDU'!I27,'18.10 KANONI-MADDU-24h'!I27,'19.10 KANONI-MADDU-24h'!I27,'20.10 KANONI-MADDU'!I27,'21.10 KANONI-MADDU'!I27,'22.10.KANONI-MADDU'!I27,'23.10 KANONI-MADDU'!I27)</f>
        <v>0.14285714285714285</v>
      </c>
      <c r="J27" s="49">
        <f>AVERAGE('17.10 KANONI-MADDU'!J27,'18.10 KANONI-MADDU-24h'!J27,'19.10 KANONI-MADDU-24h'!J27,'20.10 KANONI-MADDU'!J27,'21.10 KANONI-MADDU'!J27,'22.10.KANONI-MADDU'!J27,'23.10 KANONI-MADDU'!J27)</f>
        <v>0.2857142857142857</v>
      </c>
      <c r="K27" s="49">
        <f>AVERAGE('17.10 KANONI-MADDU'!K27,'18.10 KANONI-MADDU-24h'!K27,'19.10 KANONI-MADDU-24h'!K27,'20.10 KANONI-MADDU'!K27,'21.10 KANONI-MADDU'!K27,'22.10.KANONI-MADDU'!K27,'23.10 KANONI-MADDU'!K27)</f>
        <v>0</v>
      </c>
      <c r="L27" s="49">
        <f>AVERAGE('17.10 KANONI-MADDU'!L27,'18.10 KANONI-MADDU-24h'!L27,'19.10 KANONI-MADDU-24h'!L27,'20.10 KANONI-MADDU'!L27,'21.10 KANONI-MADDU'!L27,'22.10.KANONI-MADDU'!L27,'23.10 KANONI-MADDU'!L27)</f>
        <v>0</v>
      </c>
      <c r="M27" s="49">
        <f>AVERAGE('17.10 KANONI-MADDU'!M27,'18.10 KANONI-MADDU-24h'!M27,'19.10 KANONI-MADDU-24h'!M27,'20.10 KANONI-MADDU'!M27,'21.10 KANONI-MADDU'!M27,'22.10.KANONI-MADDU'!M27,'23.10 KANONI-MADDU'!M27)</f>
        <v>12.571428571428571</v>
      </c>
      <c r="N27" s="49">
        <f>AVERAGE('17.10 KANONI-MADDU'!N27,'18.10 KANONI-MADDU-24h'!N27,'19.10 KANONI-MADDU-24h'!N27,'20.10 KANONI-MADDU'!N27,'21.10 KANONI-MADDU'!N27,'22.10.KANONI-MADDU'!N27,'23.10 KANONI-MADDU'!N27)</f>
        <v>0</v>
      </c>
      <c r="O27" s="15">
        <f t="shared" si="0"/>
        <v>5.5714285714285712</v>
      </c>
      <c r="P27" s="15">
        <f t="shared" si="1"/>
        <v>18.142857142857142</v>
      </c>
      <c r="R27" s="1" t="s">
        <v>151</v>
      </c>
      <c r="S27" s="34">
        <f>SUM(C78:C81)</f>
        <v>4</v>
      </c>
      <c r="T27" s="34">
        <f t="shared" ref="T27:AF27" si="19">SUM(D78:D81)</f>
        <v>0</v>
      </c>
      <c r="U27" s="34">
        <f t="shared" si="19"/>
        <v>0.5</v>
      </c>
      <c r="V27" s="34">
        <f t="shared" si="19"/>
        <v>1.5</v>
      </c>
      <c r="W27" s="34">
        <f t="shared" si="19"/>
        <v>0</v>
      </c>
      <c r="X27" s="34">
        <f t="shared" si="19"/>
        <v>1</v>
      </c>
      <c r="Y27" s="34">
        <f t="shared" si="19"/>
        <v>2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1.5</v>
      </c>
      <c r="AD27" s="34">
        <f t="shared" si="19"/>
        <v>0</v>
      </c>
      <c r="AE27" s="31">
        <f t="shared" si="19"/>
        <v>11</v>
      </c>
      <c r="AF27" s="31">
        <f t="shared" si="19"/>
        <v>12.5</v>
      </c>
    </row>
    <row r="28" spans="2:32" ht="23.1" customHeight="1" x14ac:dyDescent="0.25">
      <c r="B28" s="23" t="s">
        <v>55</v>
      </c>
      <c r="C28" s="49">
        <f>AVERAGE('17.10 KANONI-MADDU'!C28,'18.10 KANONI-MADDU-24h'!C28,'19.10 KANONI-MADDU-24h'!C28,'20.10 KANONI-MADDU'!C28,'21.10 KANONI-MADDU'!C28,'22.10.KANONI-MADDU'!C28,'23.10 KANONI-MADDU'!C28)</f>
        <v>2</v>
      </c>
      <c r="D28" s="49">
        <f>AVERAGE('17.10 KANONI-MADDU'!D28,'18.10 KANONI-MADDU-24h'!D28,'19.10 KANONI-MADDU-24h'!D28,'20.10 KANONI-MADDU'!D28,'21.10 KANONI-MADDU'!D28,'22.10.KANONI-MADDU'!D28,'23.10 KANONI-MADDU'!D28)</f>
        <v>0.5714285714285714</v>
      </c>
      <c r="E28" s="49">
        <f>AVERAGE('17.10 KANONI-MADDU'!E28,'18.10 KANONI-MADDU-24h'!E28,'19.10 KANONI-MADDU-24h'!E28,'20.10 KANONI-MADDU'!E28,'21.10 KANONI-MADDU'!E28,'22.10.KANONI-MADDU'!E28,'23.10 KANONI-MADDU'!E28)</f>
        <v>1.1428571428571428</v>
      </c>
      <c r="F28" s="49">
        <f>AVERAGE('17.10 KANONI-MADDU'!F28,'18.10 KANONI-MADDU-24h'!F28,'19.10 KANONI-MADDU-24h'!F28,'20.10 KANONI-MADDU'!F28,'21.10 KANONI-MADDU'!F28,'22.10.KANONI-MADDU'!F28,'23.10 KANONI-MADDU'!F28)</f>
        <v>1.2857142857142858</v>
      </c>
      <c r="G28" s="49">
        <f>AVERAGE('17.10 KANONI-MADDU'!G28,'18.10 KANONI-MADDU-24h'!G28,'19.10 KANONI-MADDU-24h'!G28,'20.10 KANONI-MADDU'!G28,'21.10 KANONI-MADDU'!G28,'22.10.KANONI-MADDU'!G28,'23.10 KANONI-MADDU'!G28)</f>
        <v>0</v>
      </c>
      <c r="H28" s="49">
        <f>AVERAGE('17.10 KANONI-MADDU'!H28,'18.10 KANONI-MADDU-24h'!H28,'19.10 KANONI-MADDU-24h'!H28,'20.10 KANONI-MADDU'!H28,'21.10 KANONI-MADDU'!H28,'22.10.KANONI-MADDU'!H28,'23.10 KANONI-MADDU'!H28)</f>
        <v>0</v>
      </c>
      <c r="I28" s="49">
        <f>AVERAGE('17.10 KANONI-MADDU'!I28,'18.10 KANONI-MADDU-24h'!I28,'19.10 KANONI-MADDU-24h'!I28,'20.10 KANONI-MADDU'!I28,'21.10 KANONI-MADDU'!I28,'22.10.KANONI-MADDU'!I28,'23.10 KANONI-MADDU'!I28)</f>
        <v>0.42857142857142855</v>
      </c>
      <c r="J28" s="49">
        <f>AVERAGE('17.10 KANONI-MADDU'!J28,'18.10 KANONI-MADDU-24h'!J28,'19.10 KANONI-MADDU-24h'!J28,'20.10 KANONI-MADDU'!J28,'21.10 KANONI-MADDU'!J28,'22.10.KANONI-MADDU'!J28,'23.10 KANONI-MADDU'!J28)</f>
        <v>0.7142857142857143</v>
      </c>
      <c r="K28" s="49">
        <f>AVERAGE('17.10 KANONI-MADDU'!K28,'18.10 KANONI-MADDU-24h'!K28,'19.10 KANONI-MADDU-24h'!K28,'20.10 KANONI-MADDU'!K28,'21.10 KANONI-MADDU'!K28,'22.10.KANONI-MADDU'!K28,'23.10 KANONI-MADDU'!K28)</f>
        <v>0</v>
      </c>
      <c r="L28" s="49">
        <f>AVERAGE('17.10 KANONI-MADDU'!L28,'18.10 KANONI-MADDU-24h'!L28,'19.10 KANONI-MADDU-24h'!L28,'20.10 KANONI-MADDU'!L28,'21.10 KANONI-MADDU'!L28,'22.10.KANONI-MADDU'!L28,'23.10 KANONI-MADDU'!L28)</f>
        <v>0</v>
      </c>
      <c r="M28" s="49">
        <f>AVERAGE('17.10 KANONI-MADDU'!M28,'18.10 KANONI-MADDU-24h'!M28,'19.10 KANONI-MADDU-24h'!M28,'20.10 KANONI-MADDU'!M28,'21.10 KANONI-MADDU'!M28,'22.10.KANONI-MADDU'!M28,'23.10 KANONI-MADDU'!M28)</f>
        <v>9.1428571428571423</v>
      </c>
      <c r="N28" s="49">
        <f>AVERAGE('17.10 KANONI-MADDU'!N28,'18.10 KANONI-MADDU-24h'!N28,'19.10 KANONI-MADDU-24h'!N28,'20.10 KANONI-MADDU'!N28,'21.10 KANONI-MADDU'!N28,'22.10.KANONI-MADDU'!N28,'23.10 KANONI-MADDU'!N28)</f>
        <v>0</v>
      </c>
      <c r="O28" s="15">
        <f t="shared" si="0"/>
        <v>6.1428571428571432</v>
      </c>
      <c r="P28" s="15">
        <f t="shared" si="1"/>
        <v>15.285714285714285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</v>
      </c>
      <c r="W28" s="34">
        <f t="shared" si="20"/>
        <v>0.5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1</v>
      </c>
      <c r="AD28" s="34">
        <f t="shared" si="20"/>
        <v>0</v>
      </c>
      <c r="AE28" s="31">
        <f t="shared" si="20"/>
        <v>2.5</v>
      </c>
      <c r="AF28" s="31">
        <f t="shared" si="20"/>
        <v>3.5</v>
      </c>
    </row>
    <row r="29" spans="2:32" ht="23.1" customHeight="1" x14ac:dyDescent="0.25">
      <c r="B29" s="23" t="s">
        <v>56</v>
      </c>
      <c r="C29" s="49">
        <f>AVERAGE('17.10 KANONI-MADDU'!C29,'18.10 KANONI-MADDU-24h'!C29,'19.10 KANONI-MADDU-24h'!C29,'20.10 KANONI-MADDU'!C29,'21.10 KANONI-MADDU'!C29,'22.10.KANONI-MADDU'!C29,'23.10 KANONI-MADDU'!C29)</f>
        <v>2.1428571428571428</v>
      </c>
      <c r="D29" s="49">
        <f>AVERAGE('17.10 KANONI-MADDU'!D29,'18.10 KANONI-MADDU-24h'!D29,'19.10 KANONI-MADDU-24h'!D29,'20.10 KANONI-MADDU'!D29,'21.10 KANONI-MADDU'!D29,'22.10.KANONI-MADDU'!D29,'23.10 KANONI-MADDU'!D29)</f>
        <v>1.1428571428571428</v>
      </c>
      <c r="E29" s="49">
        <f>AVERAGE('17.10 KANONI-MADDU'!E29,'18.10 KANONI-MADDU-24h'!E29,'19.10 KANONI-MADDU-24h'!E29,'20.10 KANONI-MADDU'!E29,'21.10 KANONI-MADDU'!E29,'22.10.KANONI-MADDU'!E29,'23.10 KANONI-MADDU'!E29)</f>
        <v>0.5714285714285714</v>
      </c>
      <c r="F29" s="49">
        <f>AVERAGE('17.10 KANONI-MADDU'!F29,'18.10 KANONI-MADDU-24h'!F29,'19.10 KANONI-MADDU-24h'!F29,'20.10 KANONI-MADDU'!F29,'21.10 KANONI-MADDU'!F29,'22.10.KANONI-MADDU'!F29,'23.10 KANONI-MADDU'!F29)</f>
        <v>2</v>
      </c>
      <c r="G29" s="49">
        <f>AVERAGE('17.10 KANONI-MADDU'!G29,'18.10 KANONI-MADDU-24h'!G29,'19.10 KANONI-MADDU-24h'!G29,'20.10 KANONI-MADDU'!G29,'21.10 KANONI-MADDU'!G29,'22.10.KANONI-MADDU'!G29,'23.10 KANONI-MADDU'!G29)</f>
        <v>0.14285714285714285</v>
      </c>
      <c r="H29" s="49">
        <f>AVERAGE('17.10 KANONI-MADDU'!H29,'18.10 KANONI-MADDU-24h'!H29,'19.10 KANONI-MADDU-24h'!H29,'20.10 KANONI-MADDU'!H29,'21.10 KANONI-MADDU'!H29,'22.10.KANONI-MADDU'!H29,'23.10 KANONI-MADDU'!H29)</f>
        <v>0</v>
      </c>
      <c r="I29" s="49">
        <f>AVERAGE('17.10 KANONI-MADDU'!I29,'18.10 KANONI-MADDU-24h'!I29,'19.10 KANONI-MADDU-24h'!I29,'20.10 KANONI-MADDU'!I29,'21.10 KANONI-MADDU'!I29,'22.10.KANONI-MADDU'!I29,'23.10 KANONI-MADDU'!I29)</f>
        <v>0.7142857142857143</v>
      </c>
      <c r="J29" s="49">
        <f>AVERAGE('17.10 KANONI-MADDU'!J29,'18.10 KANONI-MADDU-24h'!J29,'19.10 KANONI-MADDU-24h'!J29,'20.10 KANONI-MADDU'!J29,'21.10 KANONI-MADDU'!J29,'22.10.KANONI-MADDU'!J29,'23.10 KANONI-MADDU'!J29)</f>
        <v>0.2857142857142857</v>
      </c>
      <c r="K29" s="49">
        <f>AVERAGE('17.10 KANONI-MADDU'!K29,'18.10 KANONI-MADDU-24h'!K29,'19.10 KANONI-MADDU-24h'!K29,'20.10 KANONI-MADDU'!K29,'21.10 KANONI-MADDU'!K29,'22.10.KANONI-MADDU'!K29,'23.10 KANONI-MADDU'!K29)</f>
        <v>0.14285714285714285</v>
      </c>
      <c r="L29" s="49">
        <f>AVERAGE('17.10 KANONI-MADDU'!L29,'18.10 KANONI-MADDU-24h'!L29,'19.10 KANONI-MADDU-24h'!L29,'20.10 KANONI-MADDU'!L29,'21.10 KANONI-MADDU'!L29,'22.10.KANONI-MADDU'!L29,'23.10 KANONI-MADDU'!L29)</f>
        <v>0</v>
      </c>
      <c r="M29" s="49">
        <f>AVERAGE('17.10 KANONI-MADDU'!M29,'18.10 KANONI-MADDU-24h'!M29,'19.10 KANONI-MADDU-24h'!M29,'20.10 KANONI-MADDU'!M29,'21.10 KANONI-MADDU'!M29,'22.10.KANONI-MADDU'!M29,'23.10 KANONI-MADDU'!M29)</f>
        <v>9.5714285714285712</v>
      </c>
      <c r="N29" s="49">
        <f>AVERAGE('17.10 KANONI-MADDU'!N29,'18.10 KANONI-MADDU-24h'!N29,'19.10 KANONI-MADDU-24h'!N29,'20.10 KANONI-MADDU'!N29,'21.10 KANONI-MADDU'!N29,'22.10.KANONI-MADDU'!N29,'23.10 KANONI-MADDU'!N29)</f>
        <v>0</v>
      </c>
      <c r="O29" s="15">
        <f t="shared" si="0"/>
        <v>7.1428571428571432</v>
      </c>
      <c r="P29" s="15">
        <f t="shared" si="1"/>
        <v>16.714285714285715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0.5</v>
      </c>
      <c r="Z29" s="34">
        <f t="shared" si="21"/>
        <v>2</v>
      </c>
      <c r="AA29" s="34">
        <f t="shared" si="21"/>
        <v>0</v>
      </c>
      <c r="AB29" s="34">
        <f t="shared" si="21"/>
        <v>0.5</v>
      </c>
      <c r="AC29" s="34">
        <f t="shared" si="21"/>
        <v>0</v>
      </c>
      <c r="AD29" s="34">
        <f t="shared" si="21"/>
        <v>0</v>
      </c>
      <c r="AE29" s="31">
        <f t="shared" si="21"/>
        <v>3.5</v>
      </c>
      <c r="AF29" s="31">
        <f t="shared" si="21"/>
        <v>3.5</v>
      </c>
    </row>
    <row r="30" spans="2:32" ht="23.1" customHeight="1" x14ac:dyDescent="0.25">
      <c r="B30" s="23" t="s">
        <v>57</v>
      </c>
      <c r="C30" s="49">
        <f>AVERAGE('17.10 KANONI-MADDU'!C30,'18.10 KANONI-MADDU-24h'!C30,'19.10 KANONI-MADDU-24h'!C30,'20.10 KANONI-MADDU'!C30,'21.10 KANONI-MADDU'!C30,'22.10.KANONI-MADDU'!C30,'23.10 KANONI-MADDU'!C30)</f>
        <v>2.5714285714285716</v>
      </c>
      <c r="D30" s="49">
        <f>AVERAGE('17.10 KANONI-MADDU'!D30,'18.10 KANONI-MADDU-24h'!D30,'19.10 KANONI-MADDU-24h'!D30,'20.10 KANONI-MADDU'!D30,'21.10 KANONI-MADDU'!D30,'22.10.KANONI-MADDU'!D30,'23.10 KANONI-MADDU'!D30)</f>
        <v>1</v>
      </c>
      <c r="E30" s="49">
        <f>AVERAGE('17.10 KANONI-MADDU'!E30,'18.10 KANONI-MADDU-24h'!E30,'19.10 KANONI-MADDU-24h'!E30,'20.10 KANONI-MADDU'!E30,'21.10 KANONI-MADDU'!E30,'22.10.KANONI-MADDU'!E30,'23.10 KANONI-MADDU'!E30)</f>
        <v>1</v>
      </c>
      <c r="F30" s="49">
        <f>AVERAGE('17.10 KANONI-MADDU'!F30,'18.10 KANONI-MADDU-24h'!F30,'19.10 KANONI-MADDU-24h'!F30,'20.10 KANONI-MADDU'!F30,'21.10 KANONI-MADDU'!F30,'22.10.KANONI-MADDU'!F30,'23.10 KANONI-MADDU'!F30)</f>
        <v>2.1428571428571428</v>
      </c>
      <c r="G30" s="49">
        <f>AVERAGE('17.10 KANONI-MADDU'!G30,'18.10 KANONI-MADDU-24h'!G30,'19.10 KANONI-MADDU-24h'!G30,'20.10 KANONI-MADDU'!G30,'21.10 KANONI-MADDU'!G30,'22.10.KANONI-MADDU'!G30,'23.10 KANONI-MADDU'!G30)</f>
        <v>0.14285714285714285</v>
      </c>
      <c r="H30" s="49">
        <f>AVERAGE('17.10 KANONI-MADDU'!H30,'18.10 KANONI-MADDU-24h'!H30,'19.10 KANONI-MADDU-24h'!H30,'20.10 KANONI-MADDU'!H30,'21.10 KANONI-MADDU'!H30,'22.10.KANONI-MADDU'!H30,'23.10 KANONI-MADDU'!H30)</f>
        <v>0</v>
      </c>
      <c r="I30" s="49">
        <f>AVERAGE('17.10 KANONI-MADDU'!I30,'18.10 KANONI-MADDU-24h'!I30,'19.10 KANONI-MADDU-24h'!I30,'20.10 KANONI-MADDU'!I30,'21.10 KANONI-MADDU'!I30,'22.10.KANONI-MADDU'!I30,'23.10 KANONI-MADDU'!I30)</f>
        <v>0.7142857142857143</v>
      </c>
      <c r="J30" s="49">
        <f>AVERAGE('17.10 KANONI-MADDU'!J30,'18.10 KANONI-MADDU-24h'!J30,'19.10 KANONI-MADDU-24h'!J30,'20.10 KANONI-MADDU'!J30,'21.10 KANONI-MADDU'!J30,'22.10.KANONI-MADDU'!J30,'23.10 KANONI-MADDU'!J30)</f>
        <v>0.5714285714285714</v>
      </c>
      <c r="K30" s="49">
        <f>AVERAGE('17.10 KANONI-MADDU'!K30,'18.10 KANONI-MADDU-24h'!K30,'19.10 KANONI-MADDU-24h'!K30,'20.10 KANONI-MADDU'!K30,'21.10 KANONI-MADDU'!K30,'22.10.KANONI-MADDU'!K30,'23.10 KANONI-MADDU'!K30)</f>
        <v>0</v>
      </c>
      <c r="L30" s="49">
        <f>AVERAGE('17.10 KANONI-MADDU'!L30,'18.10 KANONI-MADDU-24h'!L30,'19.10 KANONI-MADDU-24h'!L30,'20.10 KANONI-MADDU'!L30,'21.10 KANONI-MADDU'!L30,'22.10.KANONI-MADDU'!L30,'23.10 KANONI-MADDU'!L30)</f>
        <v>0</v>
      </c>
      <c r="M30" s="49">
        <f>AVERAGE('17.10 KANONI-MADDU'!M30,'18.10 KANONI-MADDU-24h'!M30,'19.10 KANONI-MADDU-24h'!M30,'20.10 KANONI-MADDU'!M30,'21.10 KANONI-MADDU'!M30,'22.10.KANONI-MADDU'!M30,'23.10 KANONI-MADDU'!M30)</f>
        <v>11.714285714285714</v>
      </c>
      <c r="N30" s="49">
        <f>AVERAGE('17.10 KANONI-MADDU'!N30,'18.10 KANONI-MADDU-24h'!N30,'19.10 KANONI-MADDU-24h'!N30,'20.10 KANONI-MADDU'!N30,'21.10 KANONI-MADDU'!N30,'22.10.KANONI-MADDU'!N30,'23.10 KANONI-MADDU'!N30)</f>
        <v>0</v>
      </c>
      <c r="O30" s="15">
        <f t="shared" si="0"/>
        <v>8.1428571428571423</v>
      </c>
      <c r="P30" s="15">
        <f t="shared" si="1"/>
        <v>19.857142857142854</v>
      </c>
      <c r="R30" s="1" t="s">
        <v>154</v>
      </c>
      <c r="S30" s="34">
        <f>SUM(C90:C93)</f>
        <v>0.5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1.5</v>
      </c>
      <c r="AA30" s="34">
        <f t="shared" si="22"/>
        <v>0.5</v>
      </c>
      <c r="AB30" s="34">
        <f t="shared" si="22"/>
        <v>0</v>
      </c>
      <c r="AC30" s="34">
        <f t="shared" si="22"/>
        <v>0.5</v>
      </c>
      <c r="AD30" s="34">
        <f t="shared" si="22"/>
        <v>0</v>
      </c>
      <c r="AE30" s="31">
        <f t="shared" si="22"/>
        <v>5</v>
      </c>
      <c r="AF30" s="31">
        <f t="shared" si="22"/>
        <v>5.5</v>
      </c>
    </row>
    <row r="31" spans="2:32" ht="23.1" customHeight="1" x14ac:dyDescent="0.25">
      <c r="B31" s="24" t="s">
        <v>58</v>
      </c>
      <c r="C31" s="49">
        <f>AVERAGE('17.10 KANONI-MADDU'!C31,'18.10 KANONI-MADDU-24h'!C31,'19.10 KANONI-MADDU-24h'!C31,'20.10 KANONI-MADDU'!C31,'21.10 KANONI-MADDU'!C31,'22.10.KANONI-MADDU'!C31,'23.10 KANONI-MADDU'!C31)</f>
        <v>2.4285714285714284</v>
      </c>
      <c r="D31" s="49">
        <f>AVERAGE('17.10 KANONI-MADDU'!D31,'18.10 KANONI-MADDU-24h'!D31,'19.10 KANONI-MADDU-24h'!D31,'20.10 KANONI-MADDU'!D31,'21.10 KANONI-MADDU'!D31,'22.10.KANONI-MADDU'!D31,'23.10 KANONI-MADDU'!D31)</f>
        <v>0.7142857142857143</v>
      </c>
      <c r="E31" s="49">
        <f>AVERAGE('17.10 KANONI-MADDU'!E31,'18.10 KANONI-MADDU-24h'!E31,'19.10 KANONI-MADDU-24h'!E31,'20.10 KANONI-MADDU'!E31,'21.10 KANONI-MADDU'!E31,'22.10.KANONI-MADDU'!E31,'23.10 KANONI-MADDU'!E31)</f>
        <v>1.1428571428571428</v>
      </c>
      <c r="F31" s="49">
        <f>AVERAGE('17.10 KANONI-MADDU'!F31,'18.10 KANONI-MADDU-24h'!F31,'19.10 KANONI-MADDU-24h'!F31,'20.10 KANONI-MADDU'!F31,'21.10 KANONI-MADDU'!F31,'22.10.KANONI-MADDU'!F31,'23.10 KANONI-MADDU'!F31)</f>
        <v>1.7142857142857142</v>
      </c>
      <c r="G31" s="49">
        <f>AVERAGE('17.10 KANONI-MADDU'!G31,'18.10 KANONI-MADDU-24h'!G31,'19.10 KANONI-MADDU-24h'!G31,'20.10 KANONI-MADDU'!G31,'21.10 KANONI-MADDU'!G31,'22.10.KANONI-MADDU'!G31,'23.10 KANONI-MADDU'!G31)</f>
        <v>0.14285714285714285</v>
      </c>
      <c r="H31" s="49">
        <f>AVERAGE('17.10 KANONI-MADDU'!H31,'18.10 KANONI-MADDU-24h'!H31,'19.10 KANONI-MADDU-24h'!H31,'20.10 KANONI-MADDU'!H31,'21.10 KANONI-MADDU'!H31,'22.10.KANONI-MADDU'!H31,'23.10 KANONI-MADDU'!H31)</f>
        <v>0</v>
      </c>
      <c r="I31" s="49">
        <f>AVERAGE('17.10 KANONI-MADDU'!I31,'18.10 KANONI-MADDU-24h'!I31,'19.10 KANONI-MADDU-24h'!I31,'20.10 KANONI-MADDU'!I31,'21.10 KANONI-MADDU'!I31,'22.10.KANONI-MADDU'!I31,'23.10 KANONI-MADDU'!I31)</f>
        <v>1.1428571428571428</v>
      </c>
      <c r="J31" s="49">
        <f>AVERAGE('17.10 KANONI-MADDU'!J31,'18.10 KANONI-MADDU-24h'!J31,'19.10 KANONI-MADDU-24h'!J31,'20.10 KANONI-MADDU'!J31,'21.10 KANONI-MADDU'!J31,'22.10.KANONI-MADDU'!J31,'23.10 KANONI-MADDU'!J31)</f>
        <v>0.5714285714285714</v>
      </c>
      <c r="K31" s="49">
        <f>AVERAGE('17.10 KANONI-MADDU'!K31,'18.10 KANONI-MADDU-24h'!K31,'19.10 KANONI-MADDU-24h'!K31,'20.10 KANONI-MADDU'!K31,'21.10 KANONI-MADDU'!K31,'22.10.KANONI-MADDU'!K31,'23.10 KANONI-MADDU'!K31)</f>
        <v>0.14285714285714285</v>
      </c>
      <c r="L31" s="49">
        <f>AVERAGE('17.10 KANONI-MADDU'!L31,'18.10 KANONI-MADDU-24h'!L31,'19.10 KANONI-MADDU-24h'!L31,'20.10 KANONI-MADDU'!L31,'21.10 KANONI-MADDU'!L31,'22.10.KANONI-MADDU'!L31,'23.10 KANONI-MADDU'!L31)</f>
        <v>0</v>
      </c>
      <c r="M31" s="49">
        <f>AVERAGE('17.10 KANONI-MADDU'!M31,'18.10 KANONI-MADDU-24h'!M31,'19.10 KANONI-MADDU-24h'!M31,'20.10 KANONI-MADDU'!M31,'21.10 KANONI-MADDU'!M31,'22.10.KANONI-MADDU'!M31,'23.10 KANONI-MADDU'!M31)</f>
        <v>11.285714285714286</v>
      </c>
      <c r="N31" s="49">
        <f>AVERAGE('17.10 KANONI-MADDU'!N31,'18.10 KANONI-MADDU-24h'!N31,'19.10 KANONI-MADDU-24h'!N31,'20.10 KANONI-MADDU'!N31,'21.10 KANONI-MADDU'!N31,'22.10.KANONI-MADDU'!N31,'23.10 KANONI-MADDU'!N31)</f>
        <v>0</v>
      </c>
      <c r="O31" s="15">
        <f t="shared" si="0"/>
        <v>8</v>
      </c>
      <c r="P31" s="15">
        <f t="shared" si="1"/>
        <v>19.285714285714285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0.5</v>
      </c>
      <c r="AD31" s="34">
        <f t="shared" si="23"/>
        <v>0</v>
      </c>
      <c r="AE31" s="31">
        <f t="shared" si="23"/>
        <v>2.5</v>
      </c>
      <c r="AF31" s="31">
        <f t="shared" si="23"/>
        <v>3</v>
      </c>
    </row>
    <row r="32" spans="2:32" ht="23.1" customHeight="1" x14ac:dyDescent="0.25">
      <c r="B32" s="24" t="s">
        <v>59</v>
      </c>
      <c r="C32" s="49">
        <f>AVERAGE('17.10 KANONI-MADDU'!C32,'18.10 KANONI-MADDU-24h'!C32,'19.10 KANONI-MADDU-24h'!C32,'20.10 KANONI-MADDU'!C32,'21.10 KANONI-MADDU'!C32,'22.10.KANONI-MADDU'!C32,'23.10 KANONI-MADDU'!C32)</f>
        <v>1.2857142857142858</v>
      </c>
      <c r="D32" s="49">
        <f>AVERAGE('17.10 KANONI-MADDU'!D32,'18.10 KANONI-MADDU-24h'!D32,'19.10 KANONI-MADDU-24h'!D32,'20.10 KANONI-MADDU'!D32,'21.10 KANONI-MADDU'!D32,'22.10.KANONI-MADDU'!D32,'23.10 KANONI-MADDU'!D32)</f>
        <v>0.42857142857142855</v>
      </c>
      <c r="E32" s="49">
        <f>AVERAGE('17.10 KANONI-MADDU'!E32,'18.10 KANONI-MADDU-24h'!E32,'19.10 KANONI-MADDU-24h'!E32,'20.10 KANONI-MADDU'!E32,'21.10 KANONI-MADDU'!E32,'22.10.KANONI-MADDU'!E32,'23.10 KANONI-MADDU'!E32)</f>
        <v>0.5714285714285714</v>
      </c>
      <c r="F32" s="49">
        <f>AVERAGE('17.10 KANONI-MADDU'!F32,'18.10 KANONI-MADDU-24h'!F32,'19.10 KANONI-MADDU-24h'!F32,'20.10 KANONI-MADDU'!F32,'21.10 KANONI-MADDU'!F32,'22.10.KANONI-MADDU'!F32,'23.10 KANONI-MADDU'!F32)</f>
        <v>2</v>
      </c>
      <c r="G32" s="49">
        <f>AVERAGE('17.10 KANONI-MADDU'!G32,'18.10 KANONI-MADDU-24h'!G32,'19.10 KANONI-MADDU-24h'!G32,'20.10 KANONI-MADDU'!G32,'21.10 KANONI-MADDU'!G32,'22.10.KANONI-MADDU'!G32,'23.10 KANONI-MADDU'!G32)</f>
        <v>0</v>
      </c>
      <c r="H32" s="49">
        <f>AVERAGE('17.10 KANONI-MADDU'!H32,'18.10 KANONI-MADDU-24h'!H32,'19.10 KANONI-MADDU-24h'!H32,'20.10 KANONI-MADDU'!H32,'21.10 KANONI-MADDU'!H32,'22.10.KANONI-MADDU'!H32,'23.10 KANONI-MADDU'!H32)</f>
        <v>0</v>
      </c>
      <c r="I32" s="49">
        <f>AVERAGE('17.10 KANONI-MADDU'!I32,'18.10 KANONI-MADDU-24h'!I32,'19.10 KANONI-MADDU-24h'!I32,'20.10 KANONI-MADDU'!I32,'21.10 KANONI-MADDU'!I32,'22.10.KANONI-MADDU'!I32,'23.10 KANONI-MADDU'!I32)</f>
        <v>1</v>
      </c>
      <c r="J32" s="49">
        <f>AVERAGE('17.10 KANONI-MADDU'!J32,'18.10 KANONI-MADDU-24h'!J32,'19.10 KANONI-MADDU-24h'!J32,'20.10 KANONI-MADDU'!J32,'21.10 KANONI-MADDU'!J32,'22.10.KANONI-MADDU'!J32,'23.10 KANONI-MADDU'!J32)</f>
        <v>0.14285714285714285</v>
      </c>
      <c r="K32" s="49">
        <f>AVERAGE('17.10 KANONI-MADDU'!K32,'18.10 KANONI-MADDU-24h'!K32,'19.10 KANONI-MADDU-24h'!K32,'20.10 KANONI-MADDU'!K32,'21.10 KANONI-MADDU'!K32,'22.10.KANONI-MADDU'!K32,'23.10 KANONI-MADDU'!K32)</f>
        <v>0.14285714285714285</v>
      </c>
      <c r="L32" s="49">
        <f>AVERAGE('17.10 KANONI-MADDU'!L32,'18.10 KANONI-MADDU-24h'!L32,'19.10 KANONI-MADDU-24h'!L32,'20.10 KANONI-MADDU'!L32,'21.10 KANONI-MADDU'!L32,'22.10.KANONI-MADDU'!L32,'23.10 KANONI-MADDU'!L32)</f>
        <v>0</v>
      </c>
      <c r="M32" s="49">
        <f>AVERAGE('17.10 KANONI-MADDU'!M32,'18.10 KANONI-MADDU-24h'!M32,'19.10 KANONI-MADDU-24h'!M32,'20.10 KANONI-MADDU'!M32,'21.10 KANONI-MADDU'!M32,'22.10.KANONI-MADDU'!M32,'23.10 KANONI-MADDU'!M32)</f>
        <v>9.2857142857142865</v>
      </c>
      <c r="N32" s="49">
        <f>AVERAGE('17.10 KANONI-MADDU'!N32,'18.10 KANONI-MADDU-24h'!N32,'19.10 KANONI-MADDU-24h'!N32,'20.10 KANONI-MADDU'!N32,'21.10 KANONI-MADDU'!N32,'22.10.KANONI-MADDU'!N32,'23.10 KANONI-MADDU'!N32)</f>
        <v>0</v>
      </c>
      <c r="O32" s="15">
        <f t="shared" si="0"/>
        <v>5.5714285714285721</v>
      </c>
      <c r="P32" s="15">
        <f t="shared" si="1"/>
        <v>14.857142857142858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2</v>
      </c>
      <c r="AF32" s="31">
        <f t="shared" si="24"/>
        <v>3</v>
      </c>
    </row>
    <row r="33" spans="2:32" ht="23.1" customHeight="1" x14ac:dyDescent="0.25">
      <c r="B33" s="23" t="s">
        <v>60</v>
      </c>
      <c r="C33" s="49">
        <f>AVERAGE('17.10 KANONI-MADDU'!C33,'18.10 KANONI-MADDU-24h'!C33,'19.10 KANONI-MADDU-24h'!C33,'20.10 KANONI-MADDU'!C33,'21.10 KANONI-MADDU'!C33,'22.10.KANONI-MADDU'!C33,'23.10 KANONI-MADDU'!C33)</f>
        <v>2.5714285714285716</v>
      </c>
      <c r="D33" s="49">
        <f>AVERAGE('17.10 KANONI-MADDU'!D33,'18.10 KANONI-MADDU-24h'!D33,'19.10 KANONI-MADDU-24h'!D33,'20.10 KANONI-MADDU'!D33,'21.10 KANONI-MADDU'!D33,'22.10.KANONI-MADDU'!D33,'23.10 KANONI-MADDU'!D33)</f>
        <v>0</v>
      </c>
      <c r="E33" s="49">
        <f>AVERAGE('17.10 KANONI-MADDU'!E33,'18.10 KANONI-MADDU-24h'!E33,'19.10 KANONI-MADDU-24h'!E33,'20.10 KANONI-MADDU'!E33,'21.10 KANONI-MADDU'!E33,'22.10.KANONI-MADDU'!E33,'23.10 KANONI-MADDU'!E33)</f>
        <v>0</v>
      </c>
      <c r="F33" s="49">
        <f>AVERAGE('17.10 KANONI-MADDU'!F33,'18.10 KANONI-MADDU-24h'!F33,'19.10 KANONI-MADDU-24h'!F33,'20.10 KANONI-MADDU'!F33,'21.10 KANONI-MADDU'!F33,'22.10.KANONI-MADDU'!F33,'23.10 KANONI-MADDU'!F33)</f>
        <v>1.7142857142857142</v>
      </c>
      <c r="G33" s="49">
        <f>AVERAGE('17.10 KANONI-MADDU'!G33,'18.10 KANONI-MADDU-24h'!G33,'19.10 KANONI-MADDU-24h'!G33,'20.10 KANONI-MADDU'!G33,'21.10 KANONI-MADDU'!G33,'22.10.KANONI-MADDU'!G33,'23.10 KANONI-MADDU'!G33)</f>
        <v>0.14285714285714285</v>
      </c>
      <c r="H33" s="49">
        <f>AVERAGE('17.10 KANONI-MADDU'!H33,'18.10 KANONI-MADDU-24h'!H33,'19.10 KANONI-MADDU-24h'!H33,'20.10 KANONI-MADDU'!H33,'21.10 KANONI-MADDU'!H33,'22.10.KANONI-MADDU'!H33,'23.10 KANONI-MADDU'!H33)</f>
        <v>0</v>
      </c>
      <c r="I33" s="49">
        <f>AVERAGE('17.10 KANONI-MADDU'!I33,'18.10 KANONI-MADDU-24h'!I33,'19.10 KANONI-MADDU-24h'!I33,'20.10 KANONI-MADDU'!I33,'21.10 KANONI-MADDU'!I33,'22.10.KANONI-MADDU'!I33,'23.10 KANONI-MADDU'!I33)</f>
        <v>1</v>
      </c>
      <c r="J33" s="49">
        <f>AVERAGE('17.10 KANONI-MADDU'!J33,'18.10 KANONI-MADDU-24h'!J33,'19.10 KANONI-MADDU-24h'!J33,'20.10 KANONI-MADDU'!J33,'21.10 KANONI-MADDU'!J33,'22.10.KANONI-MADDU'!J33,'23.10 KANONI-MADDU'!J33)</f>
        <v>0.2857142857142857</v>
      </c>
      <c r="K33" s="49">
        <f>AVERAGE('17.10 KANONI-MADDU'!K33,'18.10 KANONI-MADDU-24h'!K33,'19.10 KANONI-MADDU-24h'!K33,'20.10 KANONI-MADDU'!K33,'21.10 KANONI-MADDU'!K33,'22.10.KANONI-MADDU'!K33,'23.10 KANONI-MADDU'!K33)</f>
        <v>0</v>
      </c>
      <c r="L33" s="49">
        <f>AVERAGE('17.10 KANONI-MADDU'!L33,'18.10 KANONI-MADDU-24h'!L33,'19.10 KANONI-MADDU-24h'!L33,'20.10 KANONI-MADDU'!L33,'21.10 KANONI-MADDU'!L33,'22.10.KANONI-MADDU'!L33,'23.10 KANONI-MADDU'!L33)</f>
        <v>0</v>
      </c>
      <c r="M33" s="49">
        <f>AVERAGE('17.10 KANONI-MADDU'!M33,'18.10 KANONI-MADDU-24h'!M33,'19.10 KANONI-MADDU-24h'!M33,'20.10 KANONI-MADDU'!M33,'21.10 KANONI-MADDU'!M33,'22.10.KANONI-MADDU'!M33,'23.10 KANONI-MADDU'!M33)</f>
        <v>9</v>
      </c>
      <c r="N33" s="49">
        <f>AVERAGE('17.10 KANONI-MADDU'!N33,'18.10 KANONI-MADDU-24h'!N33,'19.10 KANONI-MADDU-24h'!N33,'20.10 KANONI-MADDU'!N33,'21.10 KANONI-MADDU'!N33,'22.10.KANONI-MADDU'!N33,'23.10 KANONI-MADDU'!N33)</f>
        <v>0</v>
      </c>
      <c r="O33" s="15">
        <f t="shared" si="0"/>
        <v>5.7142857142857144</v>
      </c>
      <c r="P33" s="15">
        <f t="shared" si="1"/>
        <v>14.714285714285715</v>
      </c>
      <c r="R33" s="1" t="s">
        <v>157</v>
      </c>
      <c r="S33" s="34">
        <f>SUM(C102:C105)</f>
        <v>1.5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0</v>
      </c>
      <c r="W33" s="34">
        <f t="shared" si="25"/>
        <v>0.5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9</v>
      </c>
      <c r="AD33" s="34">
        <f t="shared" si="25"/>
        <v>0</v>
      </c>
      <c r="AE33" s="31">
        <f t="shared" si="25"/>
        <v>5</v>
      </c>
      <c r="AF33" s="31">
        <f t="shared" si="25"/>
        <v>14</v>
      </c>
    </row>
    <row r="34" spans="2:32" ht="23.1" customHeight="1" x14ac:dyDescent="0.25">
      <c r="B34" s="24" t="s">
        <v>61</v>
      </c>
      <c r="C34" s="49">
        <f>AVERAGE('17.10 KANONI-MADDU'!C34,'18.10 KANONI-MADDU-24h'!C34,'19.10 KANONI-MADDU-24h'!C34,'20.10 KANONI-MADDU'!C34,'21.10 KANONI-MADDU'!C34,'22.10.KANONI-MADDU'!C34,'23.10 KANONI-MADDU'!C34)</f>
        <v>2.7142857142857144</v>
      </c>
      <c r="D34" s="49">
        <f>AVERAGE('17.10 KANONI-MADDU'!D34,'18.10 KANONI-MADDU-24h'!D34,'19.10 KANONI-MADDU-24h'!D34,'20.10 KANONI-MADDU'!D34,'21.10 KANONI-MADDU'!D34,'22.10.KANONI-MADDU'!D34,'23.10 KANONI-MADDU'!D34)</f>
        <v>1.1428571428571428</v>
      </c>
      <c r="E34" s="49">
        <f>AVERAGE('17.10 KANONI-MADDU'!E34,'18.10 KANONI-MADDU-24h'!E34,'19.10 KANONI-MADDU-24h'!E34,'20.10 KANONI-MADDU'!E34,'21.10 KANONI-MADDU'!E34,'22.10.KANONI-MADDU'!E34,'23.10 KANONI-MADDU'!E34)</f>
        <v>0.8571428571428571</v>
      </c>
      <c r="F34" s="49">
        <f>AVERAGE('17.10 KANONI-MADDU'!F34,'18.10 KANONI-MADDU-24h'!F34,'19.10 KANONI-MADDU-24h'!F34,'20.10 KANONI-MADDU'!F34,'21.10 KANONI-MADDU'!F34,'22.10.KANONI-MADDU'!F34,'23.10 KANONI-MADDU'!F34)</f>
        <v>1.4285714285714286</v>
      </c>
      <c r="G34" s="49">
        <f>AVERAGE('17.10 KANONI-MADDU'!G34,'18.10 KANONI-MADDU-24h'!G34,'19.10 KANONI-MADDU-24h'!G34,'20.10 KANONI-MADDU'!G34,'21.10 KANONI-MADDU'!G34,'22.10.KANONI-MADDU'!G34,'23.10 KANONI-MADDU'!G34)</f>
        <v>0</v>
      </c>
      <c r="H34" s="49">
        <f>AVERAGE('17.10 KANONI-MADDU'!H34,'18.10 KANONI-MADDU-24h'!H34,'19.10 KANONI-MADDU-24h'!H34,'20.10 KANONI-MADDU'!H34,'21.10 KANONI-MADDU'!H34,'22.10.KANONI-MADDU'!H34,'23.10 KANONI-MADDU'!H34)</f>
        <v>0</v>
      </c>
      <c r="I34" s="49">
        <f>AVERAGE('17.10 KANONI-MADDU'!I34,'18.10 KANONI-MADDU-24h'!I34,'19.10 KANONI-MADDU-24h'!I34,'20.10 KANONI-MADDU'!I34,'21.10 KANONI-MADDU'!I34,'22.10.KANONI-MADDU'!I34,'23.10 KANONI-MADDU'!I34)</f>
        <v>0.14285714285714285</v>
      </c>
      <c r="J34" s="49">
        <f>AVERAGE('17.10 KANONI-MADDU'!J34,'18.10 KANONI-MADDU-24h'!J34,'19.10 KANONI-MADDU-24h'!J34,'20.10 KANONI-MADDU'!J34,'21.10 KANONI-MADDU'!J34,'22.10.KANONI-MADDU'!J34,'23.10 KANONI-MADDU'!J34)</f>
        <v>0.2857142857142857</v>
      </c>
      <c r="K34" s="49">
        <f>AVERAGE('17.10 KANONI-MADDU'!K34,'18.10 KANONI-MADDU-24h'!K34,'19.10 KANONI-MADDU-24h'!K34,'20.10 KANONI-MADDU'!K34,'21.10 KANONI-MADDU'!K34,'22.10.KANONI-MADDU'!K34,'23.10 KANONI-MADDU'!K34)</f>
        <v>0</v>
      </c>
      <c r="L34" s="49">
        <f>AVERAGE('17.10 KANONI-MADDU'!L34,'18.10 KANONI-MADDU-24h'!L34,'19.10 KANONI-MADDU-24h'!L34,'20.10 KANONI-MADDU'!L34,'21.10 KANONI-MADDU'!L34,'22.10.KANONI-MADDU'!L34,'23.10 KANONI-MADDU'!L34)</f>
        <v>0</v>
      </c>
      <c r="M34" s="49">
        <f>AVERAGE('17.10 KANONI-MADDU'!M34,'18.10 KANONI-MADDU-24h'!M34,'19.10 KANONI-MADDU-24h'!M34,'20.10 KANONI-MADDU'!M34,'21.10 KANONI-MADDU'!M34,'22.10.KANONI-MADDU'!M34,'23.10 KANONI-MADDU'!M34)</f>
        <v>11</v>
      </c>
      <c r="N34" s="49">
        <f>AVERAGE('17.10 KANONI-MADDU'!N34,'18.10 KANONI-MADDU-24h'!N34,'19.10 KANONI-MADDU-24h'!N34,'20.10 KANONI-MADDU'!N34,'21.10 KANONI-MADDU'!N34,'22.10.KANONI-MADDU'!N34,'23.10 KANONI-MADDU'!N34)</f>
        <v>0</v>
      </c>
      <c r="O34" s="15">
        <f t="shared" si="0"/>
        <v>6.5714285714285721</v>
      </c>
      <c r="P34" s="15">
        <f t="shared" si="1"/>
        <v>17.571428571428573</v>
      </c>
      <c r="R34" s="52" t="s">
        <v>90</v>
      </c>
      <c r="S34" s="53">
        <f t="shared" ref="S34:AF34" si="26">MAX(S10:S12)</f>
        <v>7.8571428571428577</v>
      </c>
      <c r="T34" s="53">
        <f t="shared" si="26"/>
        <v>3.4285714285714284</v>
      </c>
      <c r="U34" s="53">
        <f t="shared" si="26"/>
        <v>4</v>
      </c>
      <c r="V34" s="53">
        <f t="shared" si="26"/>
        <v>5.2857142857142856</v>
      </c>
      <c r="W34" s="53">
        <f t="shared" si="26"/>
        <v>0.2857142857142857</v>
      </c>
      <c r="X34" s="53">
        <f t="shared" si="26"/>
        <v>0</v>
      </c>
      <c r="Y34" s="53">
        <f t="shared" si="26"/>
        <v>3</v>
      </c>
      <c r="Z34" s="53">
        <f t="shared" si="26"/>
        <v>2.1428571428571428</v>
      </c>
      <c r="AA34" s="53">
        <f t="shared" si="26"/>
        <v>0.8571428571428571</v>
      </c>
      <c r="AB34" s="53">
        <f t="shared" si="26"/>
        <v>0</v>
      </c>
      <c r="AC34" s="53">
        <f t="shared" si="26"/>
        <v>38</v>
      </c>
      <c r="AD34" s="53">
        <f t="shared" si="26"/>
        <v>0.14285714285714285</v>
      </c>
      <c r="AE34" s="40">
        <f t="shared" si="26"/>
        <v>24.571428571428573</v>
      </c>
      <c r="AF34" s="40">
        <f t="shared" si="26"/>
        <v>62.571428571428569</v>
      </c>
    </row>
    <row r="35" spans="2:32" ht="23.1" customHeight="1" x14ac:dyDescent="0.25">
      <c r="B35" s="24" t="s">
        <v>62</v>
      </c>
      <c r="C35" s="49">
        <f>AVERAGE('17.10 KANONI-MADDU'!C35,'18.10 KANONI-MADDU-24h'!C35,'19.10 KANONI-MADDU-24h'!C35,'20.10 KANONI-MADDU'!C35,'21.10 KANONI-MADDU'!C35,'22.10.KANONI-MADDU'!C35,'23.10 KANONI-MADDU'!C35)</f>
        <v>2</v>
      </c>
      <c r="D35" s="49">
        <f>AVERAGE('17.10 KANONI-MADDU'!D35,'18.10 KANONI-MADDU-24h'!D35,'19.10 KANONI-MADDU-24h'!D35,'20.10 KANONI-MADDU'!D35,'21.10 KANONI-MADDU'!D35,'22.10.KANONI-MADDU'!D35,'23.10 KANONI-MADDU'!D35)</f>
        <v>1.1428571428571428</v>
      </c>
      <c r="E35" s="49">
        <f>AVERAGE('17.10 KANONI-MADDU'!E35,'18.10 KANONI-MADDU-24h'!E35,'19.10 KANONI-MADDU-24h'!E35,'20.10 KANONI-MADDU'!E35,'21.10 KANONI-MADDU'!E35,'22.10.KANONI-MADDU'!E35,'23.10 KANONI-MADDU'!E35)</f>
        <v>0.5714285714285714</v>
      </c>
      <c r="F35" s="49">
        <f>AVERAGE('17.10 KANONI-MADDU'!F35,'18.10 KANONI-MADDU-24h'!F35,'19.10 KANONI-MADDU-24h'!F35,'20.10 KANONI-MADDU'!F35,'21.10 KANONI-MADDU'!F35,'22.10.KANONI-MADDU'!F35,'23.10 KANONI-MADDU'!F35)</f>
        <v>2.2857142857142856</v>
      </c>
      <c r="G35" s="49">
        <f>AVERAGE('17.10 KANONI-MADDU'!G35,'18.10 KANONI-MADDU-24h'!G35,'19.10 KANONI-MADDU-24h'!G35,'20.10 KANONI-MADDU'!G35,'21.10 KANONI-MADDU'!G35,'22.10.KANONI-MADDU'!G35,'23.10 KANONI-MADDU'!G35)</f>
        <v>0.14285714285714285</v>
      </c>
      <c r="H35" s="49">
        <f>AVERAGE('17.10 KANONI-MADDU'!H35,'18.10 KANONI-MADDU-24h'!H35,'19.10 KANONI-MADDU-24h'!H35,'20.10 KANONI-MADDU'!H35,'21.10 KANONI-MADDU'!H35,'22.10.KANONI-MADDU'!H35,'23.10 KANONI-MADDU'!H35)</f>
        <v>0</v>
      </c>
      <c r="I35" s="49">
        <f>AVERAGE('17.10 KANONI-MADDU'!I35,'18.10 KANONI-MADDU-24h'!I35,'19.10 KANONI-MADDU-24h'!I35,'20.10 KANONI-MADDU'!I35,'21.10 KANONI-MADDU'!I35,'22.10.KANONI-MADDU'!I35,'23.10 KANONI-MADDU'!I35)</f>
        <v>1.2857142857142858</v>
      </c>
      <c r="J35" s="49">
        <f>AVERAGE('17.10 KANONI-MADDU'!J35,'18.10 KANONI-MADDU-24h'!J35,'19.10 KANONI-MADDU-24h'!J35,'20.10 KANONI-MADDU'!J35,'21.10 KANONI-MADDU'!J35,'22.10.KANONI-MADDU'!J35,'23.10 KANONI-MADDU'!J35)</f>
        <v>0.14285714285714285</v>
      </c>
      <c r="K35" s="49">
        <f>AVERAGE('17.10 KANONI-MADDU'!K35,'18.10 KANONI-MADDU-24h'!K35,'19.10 KANONI-MADDU-24h'!K35,'20.10 KANONI-MADDU'!K35,'21.10 KANONI-MADDU'!K35,'22.10.KANONI-MADDU'!K35,'23.10 KANONI-MADDU'!K35)</f>
        <v>0.2857142857142857</v>
      </c>
      <c r="L35" s="49">
        <f>AVERAGE('17.10 KANONI-MADDU'!L35,'18.10 KANONI-MADDU-24h'!L35,'19.10 KANONI-MADDU-24h'!L35,'20.10 KANONI-MADDU'!L35,'21.10 KANONI-MADDU'!L35,'22.10.KANONI-MADDU'!L35,'23.10 KANONI-MADDU'!L35)</f>
        <v>0.14285714285714285</v>
      </c>
      <c r="M35" s="49">
        <f>AVERAGE('17.10 KANONI-MADDU'!M35,'18.10 KANONI-MADDU-24h'!M35,'19.10 KANONI-MADDU-24h'!M35,'20.10 KANONI-MADDU'!M35,'21.10 KANONI-MADDU'!M35,'22.10.KANONI-MADDU'!M35,'23.10 KANONI-MADDU'!M35)</f>
        <v>7.7142857142857144</v>
      </c>
      <c r="N35" s="49">
        <f>AVERAGE('17.10 KANONI-MADDU'!N35,'18.10 KANONI-MADDU-24h'!N35,'19.10 KANONI-MADDU-24h'!N35,'20.10 KANONI-MADDU'!N35,'21.10 KANONI-MADDU'!N35,'22.10.KANONI-MADDU'!N35,'23.10 KANONI-MADDU'!N35)</f>
        <v>0</v>
      </c>
      <c r="O35" s="15">
        <f t="shared" si="0"/>
        <v>8</v>
      </c>
      <c r="P35" s="15">
        <f t="shared" si="1"/>
        <v>15.714285714285715</v>
      </c>
      <c r="R35" s="52" t="s">
        <v>91</v>
      </c>
      <c r="S35" s="53">
        <f t="shared" ref="S35:AF35" si="27">MAX(S13:S18)</f>
        <v>11.571428571428571</v>
      </c>
      <c r="T35" s="53">
        <f t="shared" si="27"/>
        <v>4.4285714285714288</v>
      </c>
      <c r="U35" s="53">
        <f t="shared" si="27"/>
        <v>3.8571428571428568</v>
      </c>
      <c r="V35" s="53">
        <f t="shared" si="27"/>
        <v>7.5714285714285712</v>
      </c>
      <c r="W35" s="53">
        <f t="shared" si="27"/>
        <v>0.42857142857142855</v>
      </c>
      <c r="X35" s="53">
        <f t="shared" si="27"/>
        <v>0</v>
      </c>
      <c r="Y35" s="53">
        <f t="shared" si="27"/>
        <v>3.8571428571428572</v>
      </c>
      <c r="Z35" s="53">
        <f t="shared" si="27"/>
        <v>2.8571428571428568</v>
      </c>
      <c r="AA35" s="53">
        <f t="shared" si="27"/>
        <v>1.1428571428571428</v>
      </c>
      <c r="AB35" s="53">
        <f t="shared" si="27"/>
        <v>0.14285714285714285</v>
      </c>
      <c r="AC35" s="53">
        <f t="shared" si="27"/>
        <v>44</v>
      </c>
      <c r="AD35" s="53">
        <f t="shared" si="27"/>
        <v>0</v>
      </c>
      <c r="AE35" s="40">
        <f t="shared" si="27"/>
        <v>28.857142857142854</v>
      </c>
      <c r="AF35" s="40">
        <f t="shared" si="27"/>
        <v>72.857142857142861</v>
      </c>
    </row>
    <row r="36" spans="2:32" ht="23.1" customHeight="1" x14ac:dyDescent="0.25">
      <c r="B36" s="24" t="s">
        <v>63</v>
      </c>
      <c r="C36" s="49">
        <f>AVERAGE('17.10 KANONI-MADDU'!C36,'18.10 KANONI-MADDU-24h'!C36,'19.10 KANONI-MADDU-24h'!C36,'20.10 KANONI-MADDU'!C36,'21.10 KANONI-MADDU'!C36,'22.10.KANONI-MADDU'!C36,'23.10 KANONI-MADDU'!C36)</f>
        <v>2.2857142857142856</v>
      </c>
      <c r="D36" s="49">
        <f>AVERAGE('17.10 KANONI-MADDU'!D36,'18.10 KANONI-MADDU-24h'!D36,'19.10 KANONI-MADDU-24h'!D36,'20.10 KANONI-MADDU'!D36,'21.10 KANONI-MADDU'!D36,'22.10.KANONI-MADDU'!D36,'23.10 KANONI-MADDU'!D36)</f>
        <v>0.7142857142857143</v>
      </c>
      <c r="E36" s="49">
        <f>AVERAGE('17.10 KANONI-MADDU'!E36,'18.10 KANONI-MADDU-24h'!E36,'19.10 KANONI-MADDU-24h'!E36,'20.10 KANONI-MADDU'!E36,'21.10 KANONI-MADDU'!E36,'22.10.KANONI-MADDU'!E36,'23.10 KANONI-MADDU'!E36)</f>
        <v>0.5714285714285714</v>
      </c>
      <c r="F36" s="49">
        <f>AVERAGE('17.10 KANONI-MADDU'!F36,'18.10 KANONI-MADDU-24h'!F36,'19.10 KANONI-MADDU-24h'!F36,'20.10 KANONI-MADDU'!F36,'21.10 KANONI-MADDU'!F36,'22.10.KANONI-MADDU'!F36,'23.10 KANONI-MADDU'!F36)</f>
        <v>1.5714285714285714</v>
      </c>
      <c r="G36" s="49">
        <f>AVERAGE('17.10 KANONI-MADDU'!G36,'18.10 KANONI-MADDU-24h'!G36,'19.10 KANONI-MADDU-24h'!G36,'20.10 KANONI-MADDU'!G36,'21.10 KANONI-MADDU'!G36,'22.10.KANONI-MADDU'!G36,'23.10 KANONI-MADDU'!G36)</f>
        <v>0</v>
      </c>
      <c r="H36" s="49">
        <f>AVERAGE('17.10 KANONI-MADDU'!H36,'18.10 KANONI-MADDU-24h'!H36,'19.10 KANONI-MADDU-24h'!H36,'20.10 KANONI-MADDU'!H36,'21.10 KANONI-MADDU'!H36,'22.10.KANONI-MADDU'!H36,'23.10 KANONI-MADDU'!H36)</f>
        <v>0</v>
      </c>
      <c r="I36" s="49">
        <f>AVERAGE('17.10 KANONI-MADDU'!I36,'18.10 KANONI-MADDU-24h'!I36,'19.10 KANONI-MADDU-24h'!I36,'20.10 KANONI-MADDU'!I36,'21.10 KANONI-MADDU'!I36,'22.10.KANONI-MADDU'!I36,'23.10 KANONI-MADDU'!I36)</f>
        <v>0.7142857142857143</v>
      </c>
      <c r="J36" s="49">
        <f>AVERAGE('17.10 KANONI-MADDU'!J36,'18.10 KANONI-MADDU-24h'!J36,'19.10 KANONI-MADDU-24h'!J36,'20.10 KANONI-MADDU'!J36,'21.10 KANONI-MADDU'!J36,'22.10.KANONI-MADDU'!J36,'23.10 KANONI-MADDU'!J36)</f>
        <v>0.5714285714285714</v>
      </c>
      <c r="K36" s="49">
        <f>AVERAGE('17.10 KANONI-MADDU'!K36,'18.10 KANONI-MADDU-24h'!K36,'19.10 KANONI-MADDU-24h'!K36,'20.10 KANONI-MADDU'!K36,'21.10 KANONI-MADDU'!K36,'22.10.KANONI-MADDU'!K36,'23.10 KANONI-MADDU'!K36)</f>
        <v>0</v>
      </c>
      <c r="L36" s="49">
        <f>AVERAGE('17.10 KANONI-MADDU'!L36,'18.10 KANONI-MADDU-24h'!L36,'19.10 KANONI-MADDU-24h'!L36,'20.10 KANONI-MADDU'!L36,'21.10 KANONI-MADDU'!L36,'22.10.KANONI-MADDU'!L36,'23.10 KANONI-MADDU'!L36)</f>
        <v>0</v>
      </c>
      <c r="M36" s="49">
        <f>AVERAGE('17.10 KANONI-MADDU'!M36,'18.10 KANONI-MADDU-24h'!M36,'19.10 KANONI-MADDU-24h'!M36,'20.10 KANONI-MADDU'!M36,'21.10 KANONI-MADDU'!M36,'22.10.KANONI-MADDU'!M36,'23.10 KANONI-MADDU'!M36)</f>
        <v>11.142857142857142</v>
      </c>
      <c r="N36" s="49">
        <f>AVERAGE('17.10 KANONI-MADDU'!N36,'18.10 KANONI-MADDU-24h'!N36,'19.10 KANONI-MADDU-24h'!N36,'20.10 KANONI-MADDU'!N36,'21.10 KANONI-MADDU'!N36,'22.10.KANONI-MADDU'!N36,'23.10 KANONI-MADDU'!N36)</f>
        <v>0</v>
      </c>
      <c r="O36" s="15">
        <f t="shared" si="0"/>
        <v>6.4285714285714279</v>
      </c>
      <c r="P36" s="15">
        <f t="shared" si="1"/>
        <v>17.571428571428569</v>
      </c>
      <c r="R36" s="52" t="s">
        <v>92</v>
      </c>
      <c r="S36" s="53">
        <f t="shared" ref="S36:AF36" si="28">MAX(S19:S21)</f>
        <v>7.7142857142857144</v>
      </c>
      <c r="T36" s="53">
        <f t="shared" si="28"/>
        <v>2.4285714285714284</v>
      </c>
      <c r="U36" s="53">
        <f t="shared" si="28"/>
        <v>2</v>
      </c>
      <c r="V36" s="53">
        <f t="shared" si="28"/>
        <v>8.428571428571427</v>
      </c>
      <c r="W36" s="53">
        <f t="shared" si="28"/>
        <v>0.14285714285714285</v>
      </c>
      <c r="X36" s="53">
        <f t="shared" si="28"/>
        <v>0</v>
      </c>
      <c r="Y36" s="53">
        <f t="shared" si="28"/>
        <v>2.7142857142857144</v>
      </c>
      <c r="Z36" s="53">
        <f t="shared" si="28"/>
        <v>2.5714285714285712</v>
      </c>
      <c r="AA36" s="53">
        <f t="shared" si="28"/>
        <v>0.99999999999999989</v>
      </c>
      <c r="AB36" s="53">
        <f t="shared" si="28"/>
        <v>0</v>
      </c>
      <c r="AC36" s="53">
        <f t="shared" si="28"/>
        <v>52.142857142857139</v>
      </c>
      <c r="AD36" s="53">
        <f t="shared" si="28"/>
        <v>0.14285714285714285</v>
      </c>
      <c r="AE36" s="40">
        <f t="shared" si="28"/>
        <v>24.857142857142854</v>
      </c>
      <c r="AF36" s="40">
        <f t="shared" si="28"/>
        <v>77</v>
      </c>
    </row>
    <row r="37" spans="2:32" ht="23.1" customHeight="1" x14ac:dyDescent="0.25">
      <c r="B37" s="23" t="s">
        <v>64</v>
      </c>
      <c r="C37" s="49">
        <f>AVERAGE('17.10 KANONI-MADDU'!C37,'18.10 KANONI-MADDU-24h'!C37,'19.10 KANONI-MADDU-24h'!C37,'20.10 KANONI-MADDU'!C37,'21.10 KANONI-MADDU'!C37,'22.10.KANONI-MADDU'!C37,'23.10 KANONI-MADDU'!C37)</f>
        <v>2.2857142857142856</v>
      </c>
      <c r="D37" s="49">
        <f>AVERAGE('17.10 KANONI-MADDU'!D37,'18.10 KANONI-MADDU-24h'!D37,'19.10 KANONI-MADDU-24h'!D37,'20.10 KANONI-MADDU'!D37,'21.10 KANONI-MADDU'!D37,'22.10.KANONI-MADDU'!D37,'23.10 KANONI-MADDU'!D37)</f>
        <v>0.7142857142857143</v>
      </c>
      <c r="E37" s="49">
        <f>AVERAGE('17.10 KANONI-MADDU'!E37,'18.10 KANONI-MADDU-24h'!E37,'19.10 KANONI-MADDU-24h'!E37,'20.10 KANONI-MADDU'!E37,'21.10 KANONI-MADDU'!E37,'22.10.KANONI-MADDU'!E37,'23.10 KANONI-MADDU'!E37)</f>
        <v>0.42857142857142855</v>
      </c>
      <c r="F37" s="49">
        <f>AVERAGE('17.10 KANONI-MADDU'!F37,'18.10 KANONI-MADDU-24h'!F37,'19.10 KANONI-MADDU-24h'!F37,'20.10 KANONI-MADDU'!F37,'21.10 KANONI-MADDU'!F37,'22.10.KANONI-MADDU'!F37,'23.10 KANONI-MADDU'!F37)</f>
        <v>1.7142857142857142</v>
      </c>
      <c r="G37" s="49">
        <f>AVERAGE('17.10 KANONI-MADDU'!G37,'18.10 KANONI-MADDU-24h'!G37,'19.10 KANONI-MADDU-24h'!G37,'20.10 KANONI-MADDU'!G37,'21.10 KANONI-MADDU'!G37,'22.10.KANONI-MADDU'!G37,'23.10 KANONI-MADDU'!G37)</f>
        <v>0</v>
      </c>
      <c r="H37" s="49">
        <f>AVERAGE('17.10 KANONI-MADDU'!H37,'18.10 KANONI-MADDU-24h'!H37,'19.10 KANONI-MADDU-24h'!H37,'20.10 KANONI-MADDU'!H37,'21.10 KANONI-MADDU'!H37,'22.10.KANONI-MADDU'!H37,'23.10 KANONI-MADDU'!H37)</f>
        <v>0</v>
      </c>
      <c r="I37" s="49">
        <f>AVERAGE('17.10 KANONI-MADDU'!I37,'18.10 KANONI-MADDU-24h'!I37,'19.10 KANONI-MADDU-24h'!I37,'20.10 KANONI-MADDU'!I37,'21.10 KANONI-MADDU'!I37,'22.10.KANONI-MADDU'!I37,'23.10 KANONI-MADDU'!I37)</f>
        <v>0</v>
      </c>
      <c r="J37" s="49">
        <f>AVERAGE('17.10 KANONI-MADDU'!J37,'18.10 KANONI-MADDU-24h'!J37,'19.10 KANONI-MADDU-24h'!J37,'20.10 KANONI-MADDU'!J37,'21.10 KANONI-MADDU'!J37,'22.10.KANONI-MADDU'!J37,'23.10 KANONI-MADDU'!J37)</f>
        <v>0.2857142857142857</v>
      </c>
      <c r="K37" s="49">
        <f>AVERAGE('17.10 KANONI-MADDU'!K37,'18.10 KANONI-MADDU-24h'!K37,'19.10 KANONI-MADDU-24h'!K37,'20.10 KANONI-MADDU'!K37,'21.10 KANONI-MADDU'!K37,'22.10.KANONI-MADDU'!K37,'23.10 KANONI-MADDU'!K37)</f>
        <v>0.42857142857142855</v>
      </c>
      <c r="L37" s="49">
        <f>AVERAGE('17.10 KANONI-MADDU'!L37,'18.10 KANONI-MADDU-24h'!L37,'19.10 KANONI-MADDU-24h'!L37,'20.10 KANONI-MADDU'!L37,'21.10 KANONI-MADDU'!L37,'22.10.KANONI-MADDU'!L37,'23.10 KANONI-MADDU'!L37)</f>
        <v>0</v>
      </c>
      <c r="M37" s="49">
        <f>AVERAGE('17.10 KANONI-MADDU'!M37,'18.10 KANONI-MADDU-24h'!M37,'19.10 KANONI-MADDU-24h'!M37,'20.10 KANONI-MADDU'!M37,'21.10 KANONI-MADDU'!M37,'22.10.KANONI-MADDU'!M37,'23.10 KANONI-MADDU'!M37)</f>
        <v>11.142857142857142</v>
      </c>
      <c r="N37" s="49">
        <f>AVERAGE('17.10 KANONI-MADDU'!N37,'18.10 KANONI-MADDU-24h'!N37,'19.10 KANONI-MADDU-24h'!N37,'20.10 KANONI-MADDU'!N37,'21.10 KANONI-MADDU'!N37,'22.10.KANONI-MADDU'!N37,'23.10 KANONI-MADDU'!N37)</f>
        <v>0</v>
      </c>
      <c r="O37" s="15">
        <f t="shared" si="0"/>
        <v>5.8571428571428568</v>
      </c>
      <c r="P37" s="15">
        <f t="shared" si="1"/>
        <v>17</v>
      </c>
      <c r="R37" s="37" t="s">
        <v>85</v>
      </c>
      <c r="S37" s="54">
        <f t="shared" ref="S37:AF37" si="29">SUM(S10:S12)</f>
        <v>17.857142857142861</v>
      </c>
      <c r="T37" s="55">
        <f t="shared" si="29"/>
        <v>7.1428571428571423</v>
      </c>
      <c r="U37" s="55">
        <f t="shared" si="29"/>
        <v>7.8571428571428568</v>
      </c>
      <c r="V37" s="55">
        <f t="shared" si="29"/>
        <v>11</v>
      </c>
      <c r="W37" s="55">
        <f t="shared" si="29"/>
        <v>0.42857142857142855</v>
      </c>
      <c r="X37" s="55">
        <f t="shared" si="29"/>
        <v>0</v>
      </c>
      <c r="Y37" s="55">
        <f t="shared" si="29"/>
        <v>7.7142857142857135</v>
      </c>
      <c r="Z37" s="55">
        <f t="shared" si="29"/>
        <v>6.1428571428571423</v>
      </c>
      <c r="AA37" s="55">
        <f t="shared" si="29"/>
        <v>1.7142857142857142</v>
      </c>
      <c r="AB37" s="55">
        <f t="shared" si="29"/>
        <v>0</v>
      </c>
      <c r="AC37" s="55">
        <f t="shared" si="29"/>
        <v>101.57142857142857</v>
      </c>
      <c r="AD37" s="55">
        <f t="shared" si="29"/>
        <v>0.14285714285714285</v>
      </c>
      <c r="AE37" s="56">
        <f t="shared" si="29"/>
        <v>60</v>
      </c>
      <c r="AF37" s="56">
        <f t="shared" si="29"/>
        <v>161.57142857142856</v>
      </c>
    </row>
    <row r="38" spans="2:32" ht="23.1" customHeight="1" x14ac:dyDescent="0.25">
      <c r="B38" s="24" t="s">
        <v>65</v>
      </c>
      <c r="C38" s="49">
        <f>AVERAGE('17.10 KANONI-MADDU'!C38,'18.10 KANONI-MADDU-24h'!C38,'19.10 KANONI-MADDU-24h'!C38,'20.10 KANONI-MADDU'!C38,'21.10 KANONI-MADDU'!C38,'22.10.KANONI-MADDU'!C38,'23.10 KANONI-MADDU'!C38)</f>
        <v>2.5714285714285716</v>
      </c>
      <c r="D38" s="49">
        <f>AVERAGE('17.10 KANONI-MADDU'!D38,'18.10 KANONI-MADDU-24h'!D38,'19.10 KANONI-MADDU-24h'!D38,'20.10 KANONI-MADDU'!D38,'21.10 KANONI-MADDU'!D38,'22.10.KANONI-MADDU'!D38,'23.10 KANONI-MADDU'!D38)</f>
        <v>0.42857142857142855</v>
      </c>
      <c r="E38" s="49">
        <f>AVERAGE('17.10 KANONI-MADDU'!E38,'18.10 KANONI-MADDU-24h'!E38,'19.10 KANONI-MADDU-24h'!E38,'20.10 KANONI-MADDU'!E38,'21.10 KANONI-MADDU'!E38,'22.10.KANONI-MADDU'!E38,'23.10 KANONI-MADDU'!E38)</f>
        <v>0.42857142857142855</v>
      </c>
      <c r="F38" s="49">
        <f>AVERAGE('17.10 KANONI-MADDU'!F38,'18.10 KANONI-MADDU-24h'!F38,'19.10 KANONI-MADDU-24h'!F38,'20.10 KANONI-MADDU'!F38,'21.10 KANONI-MADDU'!F38,'22.10.KANONI-MADDU'!F38,'23.10 KANONI-MADDU'!F38)</f>
        <v>2</v>
      </c>
      <c r="G38" s="49">
        <f>AVERAGE('17.10 KANONI-MADDU'!G38,'18.10 KANONI-MADDU-24h'!G38,'19.10 KANONI-MADDU-24h'!G38,'20.10 KANONI-MADDU'!G38,'21.10 KANONI-MADDU'!G38,'22.10.KANONI-MADDU'!G38,'23.10 KANONI-MADDU'!G38)</f>
        <v>0</v>
      </c>
      <c r="H38" s="49">
        <f>AVERAGE('17.10 KANONI-MADDU'!H38,'18.10 KANONI-MADDU-24h'!H38,'19.10 KANONI-MADDU-24h'!H38,'20.10 KANONI-MADDU'!H38,'21.10 KANONI-MADDU'!H38,'22.10.KANONI-MADDU'!H38,'23.10 KANONI-MADDU'!H38)</f>
        <v>0</v>
      </c>
      <c r="I38" s="49">
        <f>AVERAGE('17.10 KANONI-MADDU'!I38,'18.10 KANONI-MADDU-24h'!I38,'19.10 KANONI-MADDU-24h'!I38,'20.10 KANONI-MADDU'!I38,'21.10 KANONI-MADDU'!I38,'22.10.KANONI-MADDU'!I38,'23.10 KANONI-MADDU'!I38)</f>
        <v>1</v>
      </c>
      <c r="J38" s="49">
        <f>AVERAGE('17.10 KANONI-MADDU'!J38,'18.10 KANONI-MADDU-24h'!J38,'19.10 KANONI-MADDU-24h'!J38,'20.10 KANONI-MADDU'!J38,'21.10 KANONI-MADDU'!J38,'22.10.KANONI-MADDU'!J38,'23.10 KANONI-MADDU'!J38)</f>
        <v>0.5714285714285714</v>
      </c>
      <c r="K38" s="49">
        <f>AVERAGE('17.10 KANONI-MADDU'!K38,'18.10 KANONI-MADDU-24h'!K38,'19.10 KANONI-MADDU-24h'!K38,'20.10 KANONI-MADDU'!K38,'21.10 KANONI-MADDU'!K38,'22.10.KANONI-MADDU'!K38,'23.10 KANONI-MADDU'!K38)</f>
        <v>0.14285714285714285</v>
      </c>
      <c r="L38" s="49">
        <f>AVERAGE('17.10 KANONI-MADDU'!L38,'18.10 KANONI-MADDU-24h'!L38,'19.10 KANONI-MADDU-24h'!L38,'20.10 KANONI-MADDU'!L38,'21.10 KANONI-MADDU'!L38,'22.10.KANONI-MADDU'!L38,'23.10 KANONI-MADDU'!L38)</f>
        <v>0</v>
      </c>
      <c r="M38" s="49">
        <f>AVERAGE('17.10 KANONI-MADDU'!M38,'18.10 KANONI-MADDU-24h'!M38,'19.10 KANONI-MADDU-24h'!M38,'20.10 KANONI-MADDU'!M38,'21.10 KANONI-MADDU'!M38,'22.10.KANONI-MADDU'!M38,'23.10 KANONI-MADDU'!M38)</f>
        <v>14.285714285714286</v>
      </c>
      <c r="N38" s="49">
        <f>AVERAGE('17.10 KANONI-MADDU'!N38,'18.10 KANONI-MADDU-24h'!N38,'19.10 KANONI-MADDU-24h'!N38,'20.10 KANONI-MADDU'!N38,'21.10 KANONI-MADDU'!N38,'22.10.KANONI-MADDU'!N38,'23.10 KANONI-MADDU'!N38)</f>
        <v>0</v>
      </c>
      <c r="O38" s="15">
        <f t="shared" si="0"/>
        <v>7.1428571428571432</v>
      </c>
      <c r="P38" s="15">
        <f t="shared" si="1"/>
        <v>21.428571428571431</v>
      </c>
      <c r="R38" s="28" t="s">
        <v>86</v>
      </c>
      <c r="S38" s="55">
        <f t="shared" ref="S38:AF38" si="30">SUM(S13:S18)</f>
        <v>56.285714285714285</v>
      </c>
      <c r="T38" s="55">
        <f t="shared" si="30"/>
        <v>18.714285714285715</v>
      </c>
      <c r="U38" s="55">
        <f t="shared" si="30"/>
        <v>17.428571428571427</v>
      </c>
      <c r="V38" s="55">
        <f t="shared" si="30"/>
        <v>39.714285714285715</v>
      </c>
      <c r="W38" s="55">
        <f t="shared" si="30"/>
        <v>0.85714285714285698</v>
      </c>
      <c r="X38" s="55">
        <f t="shared" si="30"/>
        <v>0</v>
      </c>
      <c r="Y38" s="55">
        <f t="shared" si="30"/>
        <v>14.285714285714285</v>
      </c>
      <c r="Z38" s="55">
        <f t="shared" si="30"/>
        <v>9.5714285714285694</v>
      </c>
      <c r="AA38" s="55">
        <f t="shared" si="30"/>
        <v>2.5714285714285712</v>
      </c>
      <c r="AB38" s="55">
        <f t="shared" si="30"/>
        <v>0.2857142857142857</v>
      </c>
      <c r="AC38" s="55">
        <f t="shared" si="30"/>
        <v>248.28571428571428</v>
      </c>
      <c r="AD38" s="55">
        <f t="shared" si="30"/>
        <v>0</v>
      </c>
      <c r="AE38" s="56">
        <f t="shared" si="30"/>
        <v>159.71428571428572</v>
      </c>
      <c r="AF38" s="56">
        <f t="shared" si="30"/>
        <v>408.00000000000011</v>
      </c>
    </row>
    <row r="39" spans="2:32" ht="23.1" customHeight="1" x14ac:dyDescent="0.25">
      <c r="B39" s="24" t="s">
        <v>66</v>
      </c>
      <c r="C39" s="49">
        <f>AVERAGE('17.10 KANONI-MADDU'!C39,'18.10 KANONI-MADDU-24h'!C39,'19.10 KANONI-MADDU-24h'!C39,'20.10 KANONI-MADDU'!C39,'21.10 KANONI-MADDU'!C39,'22.10.KANONI-MADDU'!C39,'23.10 KANONI-MADDU'!C39)</f>
        <v>2.1428571428571428</v>
      </c>
      <c r="D39" s="49">
        <f>AVERAGE('17.10 KANONI-MADDU'!D39,'18.10 KANONI-MADDU-24h'!D39,'19.10 KANONI-MADDU-24h'!D39,'20.10 KANONI-MADDU'!D39,'21.10 KANONI-MADDU'!D39,'22.10.KANONI-MADDU'!D39,'23.10 KANONI-MADDU'!D39)</f>
        <v>0.2857142857142857</v>
      </c>
      <c r="E39" s="49">
        <f>AVERAGE('17.10 KANONI-MADDU'!E39,'18.10 KANONI-MADDU-24h'!E39,'19.10 KANONI-MADDU-24h'!E39,'20.10 KANONI-MADDU'!E39,'21.10 KANONI-MADDU'!E39,'22.10.KANONI-MADDU'!E39,'23.10 KANONI-MADDU'!E39)</f>
        <v>0.8571428571428571</v>
      </c>
      <c r="F39" s="49">
        <f>AVERAGE('17.10 KANONI-MADDU'!F39,'18.10 KANONI-MADDU-24h'!F39,'19.10 KANONI-MADDU-24h'!F39,'20.10 KANONI-MADDU'!F39,'21.10 KANONI-MADDU'!F39,'22.10.KANONI-MADDU'!F39,'23.10 KANONI-MADDU'!F39)</f>
        <v>1.4285714285714286</v>
      </c>
      <c r="G39" s="49">
        <f>AVERAGE('17.10 KANONI-MADDU'!G39,'18.10 KANONI-MADDU-24h'!G39,'19.10 KANONI-MADDU-24h'!G39,'20.10 KANONI-MADDU'!G39,'21.10 KANONI-MADDU'!G39,'22.10.KANONI-MADDU'!G39,'23.10 KANONI-MADDU'!G39)</f>
        <v>0</v>
      </c>
      <c r="H39" s="49">
        <f>AVERAGE('17.10 KANONI-MADDU'!H39,'18.10 KANONI-MADDU-24h'!H39,'19.10 KANONI-MADDU-24h'!H39,'20.10 KANONI-MADDU'!H39,'21.10 KANONI-MADDU'!H39,'22.10.KANONI-MADDU'!H39,'23.10 KANONI-MADDU'!H39)</f>
        <v>0</v>
      </c>
      <c r="I39" s="49">
        <f>AVERAGE('17.10 KANONI-MADDU'!I39,'18.10 KANONI-MADDU-24h'!I39,'19.10 KANONI-MADDU-24h'!I39,'20.10 KANONI-MADDU'!I39,'21.10 KANONI-MADDU'!I39,'22.10.KANONI-MADDU'!I39,'23.10 KANONI-MADDU'!I39)</f>
        <v>0.5714285714285714</v>
      </c>
      <c r="J39" s="49">
        <f>AVERAGE('17.10 KANONI-MADDU'!J39,'18.10 KANONI-MADDU-24h'!J39,'19.10 KANONI-MADDU-24h'!J39,'20.10 KANONI-MADDU'!J39,'21.10 KANONI-MADDU'!J39,'22.10.KANONI-MADDU'!J39,'23.10 KANONI-MADDU'!J39)</f>
        <v>0.42857142857142855</v>
      </c>
      <c r="K39" s="49">
        <f>AVERAGE('17.10 KANONI-MADDU'!K39,'18.10 KANONI-MADDU-24h'!K39,'19.10 KANONI-MADDU-24h'!K39,'20.10 KANONI-MADDU'!K39,'21.10 KANONI-MADDU'!K39,'22.10.KANONI-MADDU'!K39,'23.10 KANONI-MADDU'!K39)</f>
        <v>0.2857142857142857</v>
      </c>
      <c r="L39" s="49">
        <f>AVERAGE('17.10 KANONI-MADDU'!L39,'18.10 KANONI-MADDU-24h'!L39,'19.10 KANONI-MADDU-24h'!L39,'20.10 KANONI-MADDU'!L39,'21.10 KANONI-MADDU'!L39,'22.10.KANONI-MADDU'!L39,'23.10 KANONI-MADDU'!L39)</f>
        <v>0</v>
      </c>
      <c r="M39" s="49">
        <f>AVERAGE('17.10 KANONI-MADDU'!M39,'18.10 KANONI-MADDU-24h'!M39,'19.10 KANONI-MADDU-24h'!M39,'20.10 KANONI-MADDU'!M39,'21.10 KANONI-MADDU'!M39,'22.10.KANONI-MADDU'!M39,'23.10 KANONI-MADDU'!M39)</f>
        <v>8.8571428571428577</v>
      </c>
      <c r="N39" s="49">
        <f>AVERAGE('17.10 KANONI-MADDU'!N39,'18.10 KANONI-MADDU-24h'!N39,'19.10 KANONI-MADDU-24h'!N39,'20.10 KANONI-MADDU'!N39,'21.10 KANONI-MADDU'!N39,'22.10.KANONI-MADDU'!N39,'23.10 KANONI-MADDU'!N39)</f>
        <v>0</v>
      </c>
      <c r="O39" s="15">
        <f t="shared" si="0"/>
        <v>6</v>
      </c>
      <c r="P39" s="15">
        <f t="shared" si="1"/>
        <v>14.857142857142858</v>
      </c>
      <c r="R39" s="29" t="s">
        <v>87</v>
      </c>
      <c r="S39" s="55">
        <f t="shared" ref="S39:AF39" si="31">SUM(S19:S21)</f>
        <v>20.714285714285715</v>
      </c>
      <c r="T39" s="55">
        <f t="shared" si="31"/>
        <v>5.4285714285714279</v>
      </c>
      <c r="U39" s="55">
        <f t="shared" si="31"/>
        <v>5.1428571428571423</v>
      </c>
      <c r="V39" s="55">
        <f t="shared" si="31"/>
        <v>22.857142857142854</v>
      </c>
      <c r="W39" s="55">
        <f t="shared" si="31"/>
        <v>0.2857142857142857</v>
      </c>
      <c r="X39" s="55">
        <f t="shared" si="31"/>
        <v>0</v>
      </c>
      <c r="Y39" s="55">
        <f t="shared" si="31"/>
        <v>6.7142857142857144</v>
      </c>
      <c r="Z39" s="55">
        <f t="shared" si="31"/>
        <v>4.8571428571428568</v>
      </c>
      <c r="AA39" s="55">
        <f t="shared" si="31"/>
        <v>1.9999999999999996</v>
      </c>
      <c r="AB39" s="55">
        <f t="shared" si="31"/>
        <v>0</v>
      </c>
      <c r="AC39" s="55">
        <f t="shared" si="31"/>
        <v>135.71428571428572</v>
      </c>
      <c r="AD39" s="55">
        <f t="shared" si="31"/>
        <v>0.14285714285714285</v>
      </c>
      <c r="AE39" s="56">
        <f t="shared" si="31"/>
        <v>68.142857142857139</v>
      </c>
      <c r="AF39" s="56">
        <f t="shared" si="31"/>
        <v>203.85714285714289</v>
      </c>
    </row>
    <row r="40" spans="2:32" ht="23.1" customHeight="1" x14ac:dyDescent="0.25">
      <c r="B40" s="24" t="s">
        <v>67</v>
      </c>
      <c r="C40" s="49">
        <f>AVERAGE('17.10 KANONI-MADDU'!C40,'18.10 KANONI-MADDU-24h'!C40,'19.10 KANONI-MADDU-24h'!C40,'20.10 KANONI-MADDU'!C40,'21.10 KANONI-MADDU'!C40,'22.10.KANONI-MADDU'!C40,'23.10 KANONI-MADDU'!C40)</f>
        <v>3.7142857142857144</v>
      </c>
      <c r="D40" s="49">
        <f>AVERAGE('17.10 KANONI-MADDU'!D40,'18.10 KANONI-MADDU-24h'!D40,'19.10 KANONI-MADDU-24h'!D40,'20.10 KANONI-MADDU'!D40,'21.10 KANONI-MADDU'!D40,'22.10.KANONI-MADDU'!D40,'23.10 KANONI-MADDU'!D40)</f>
        <v>1.2857142857142858</v>
      </c>
      <c r="E40" s="49">
        <f>AVERAGE('17.10 KANONI-MADDU'!E40,'18.10 KANONI-MADDU-24h'!E40,'19.10 KANONI-MADDU-24h'!E40,'20.10 KANONI-MADDU'!E40,'21.10 KANONI-MADDU'!E40,'22.10.KANONI-MADDU'!E40,'23.10 KANONI-MADDU'!E40)</f>
        <v>0.2857142857142857</v>
      </c>
      <c r="F40" s="49">
        <f>AVERAGE('17.10 KANONI-MADDU'!F40,'18.10 KANONI-MADDU-24h'!F40,'19.10 KANONI-MADDU-24h'!F40,'20.10 KANONI-MADDU'!F40,'21.10 KANONI-MADDU'!F40,'22.10.KANONI-MADDU'!F40,'23.10 KANONI-MADDU'!F40)</f>
        <v>1.2857142857142858</v>
      </c>
      <c r="G40" s="49">
        <f>AVERAGE('17.10 KANONI-MADDU'!G40,'18.10 KANONI-MADDU-24h'!G40,'19.10 KANONI-MADDU-24h'!G40,'20.10 KANONI-MADDU'!G40,'21.10 KANONI-MADDU'!G40,'22.10.KANONI-MADDU'!G40,'23.10 KANONI-MADDU'!G40)</f>
        <v>0.14285714285714285</v>
      </c>
      <c r="H40" s="49">
        <f>AVERAGE('17.10 KANONI-MADDU'!H40,'18.10 KANONI-MADDU-24h'!H40,'19.10 KANONI-MADDU-24h'!H40,'20.10 KANONI-MADDU'!H40,'21.10 KANONI-MADDU'!H40,'22.10.KANONI-MADDU'!H40,'23.10 KANONI-MADDU'!H40)</f>
        <v>0</v>
      </c>
      <c r="I40" s="49">
        <f>AVERAGE('17.10 KANONI-MADDU'!I40,'18.10 KANONI-MADDU-24h'!I40,'19.10 KANONI-MADDU-24h'!I40,'20.10 KANONI-MADDU'!I40,'21.10 KANONI-MADDU'!I40,'22.10.KANONI-MADDU'!I40,'23.10 KANONI-MADDU'!I40)</f>
        <v>0.7142857142857143</v>
      </c>
      <c r="J40" s="49">
        <f>AVERAGE('17.10 KANONI-MADDU'!J40,'18.10 KANONI-MADDU-24h'!J40,'19.10 KANONI-MADDU-24h'!J40,'20.10 KANONI-MADDU'!J40,'21.10 KANONI-MADDU'!J40,'22.10.KANONI-MADDU'!J40,'23.10 KANONI-MADDU'!J40)</f>
        <v>0.2857142857142857</v>
      </c>
      <c r="K40" s="49">
        <f>AVERAGE('17.10 KANONI-MADDU'!K40,'18.10 KANONI-MADDU-24h'!K40,'19.10 KANONI-MADDU-24h'!K40,'20.10 KANONI-MADDU'!K40,'21.10 KANONI-MADDU'!K40,'22.10.KANONI-MADDU'!K40,'23.10 KANONI-MADDU'!K40)</f>
        <v>0.14285714285714285</v>
      </c>
      <c r="L40" s="49">
        <f>AVERAGE('17.10 KANONI-MADDU'!L40,'18.10 KANONI-MADDU-24h'!L40,'19.10 KANONI-MADDU-24h'!L40,'20.10 KANONI-MADDU'!L40,'21.10 KANONI-MADDU'!L40,'22.10.KANONI-MADDU'!L40,'23.10 KANONI-MADDU'!L40)</f>
        <v>0</v>
      </c>
      <c r="M40" s="49">
        <f>AVERAGE('17.10 KANONI-MADDU'!M40,'18.10 KANONI-MADDU-24h'!M40,'19.10 KANONI-MADDU-24h'!M40,'20.10 KANONI-MADDU'!M40,'21.10 KANONI-MADDU'!M40,'22.10.KANONI-MADDU'!M40,'23.10 KANONI-MADDU'!M40)</f>
        <v>9.5714285714285712</v>
      </c>
      <c r="N40" s="49">
        <f>AVERAGE('17.10 KANONI-MADDU'!N40,'18.10 KANONI-MADDU-24h'!N40,'19.10 KANONI-MADDU-24h'!N40,'20.10 KANONI-MADDU'!N40,'21.10 KANONI-MADDU'!N40,'22.10.KANONI-MADDU'!N40,'23.10 KANONI-MADDU'!N40)</f>
        <v>0</v>
      </c>
      <c r="O40" s="15">
        <f t="shared" si="0"/>
        <v>7.8571428571428577</v>
      </c>
      <c r="P40" s="15">
        <f t="shared" si="1"/>
        <v>17.428571428571431</v>
      </c>
      <c r="R40" s="5" t="s">
        <v>17</v>
      </c>
      <c r="S40" s="55">
        <f t="shared" ref="S40:AF40" si="32">SUM(S10:S21)</f>
        <v>94.857142857142861</v>
      </c>
      <c r="T40" s="55">
        <f t="shared" si="32"/>
        <v>31.285714285714281</v>
      </c>
      <c r="U40" s="55">
        <f t="shared" si="32"/>
        <v>30.428571428571427</v>
      </c>
      <c r="V40" s="55">
        <f t="shared" si="32"/>
        <v>73.571428571428569</v>
      </c>
      <c r="W40" s="55">
        <f t="shared" si="32"/>
        <v>1.5714285714285712</v>
      </c>
      <c r="X40" s="55">
        <f t="shared" si="32"/>
        <v>0</v>
      </c>
      <c r="Y40" s="55">
        <f t="shared" si="32"/>
        <v>28.714285714285715</v>
      </c>
      <c r="Z40" s="55">
        <f t="shared" si="32"/>
        <v>20.571428571428569</v>
      </c>
      <c r="AA40" s="55">
        <f t="shared" si="32"/>
        <v>6.2857142857142856</v>
      </c>
      <c r="AB40" s="55">
        <f t="shared" si="32"/>
        <v>0.2857142857142857</v>
      </c>
      <c r="AC40" s="55">
        <f t="shared" si="32"/>
        <v>485.57142857142861</v>
      </c>
      <c r="AD40" s="55">
        <f t="shared" si="32"/>
        <v>0.2857142857142857</v>
      </c>
      <c r="AE40" s="56">
        <f t="shared" si="32"/>
        <v>287.85714285714289</v>
      </c>
      <c r="AF40" s="56">
        <f t="shared" si="32"/>
        <v>773.42857142857156</v>
      </c>
    </row>
    <row r="41" spans="2:32" ht="23.1" customHeight="1" x14ac:dyDescent="0.25">
      <c r="B41" s="23" t="s">
        <v>68</v>
      </c>
      <c r="C41" s="49">
        <f>AVERAGE('17.10 KANONI-MADDU'!C41,'18.10 KANONI-MADDU-24h'!C41,'19.10 KANONI-MADDU-24h'!C41,'20.10 KANONI-MADDU'!C41,'21.10 KANONI-MADDU'!C41,'22.10.KANONI-MADDU'!C41,'23.10 KANONI-MADDU'!C41)</f>
        <v>3.1428571428571428</v>
      </c>
      <c r="D41" s="49">
        <f>AVERAGE('17.10 KANONI-MADDU'!D41,'18.10 KANONI-MADDU-24h'!D41,'19.10 KANONI-MADDU-24h'!D41,'20.10 KANONI-MADDU'!D41,'21.10 KANONI-MADDU'!D41,'22.10.KANONI-MADDU'!D41,'23.10 KANONI-MADDU'!D41)</f>
        <v>1</v>
      </c>
      <c r="E41" s="49">
        <f>AVERAGE('17.10 KANONI-MADDU'!E41,'18.10 KANONI-MADDU-24h'!E41,'19.10 KANONI-MADDU-24h'!E41,'20.10 KANONI-MADDU'!E41,'21.10 KANONI-MADDU'!E41,'22.10.KANONI-MADDU'!E41,'23.10 KANONI-MADDU'!E41)</f>
        <v>0.5714285714285714</v>
      </c>
      <c r="F41" s="49">
        <f>AVERAGE('17.10 KANONI-MADDU'!F41,'18.10 KANONI-MADDU-24h'!F41,'19.10 KANONI-MADDU-24h'!F41,'20.10 KANONI-MADDU'!F41,'21.10 KANONI-MADDU'!F41,'22.10.KANONI-MADDU'!F41,'23.10 KANONI-MADDU'!F41)</f>
        <v>2.1428571428571428</v>
      </c>
      <c r="G41" s="49">
        <f>AVERAGE('17.10 KANONI-MADDU'!G41,'18.10 KANONI-MADDU-24h'!G41,'19.10 KANONI-MADDU-24h'!G41,'20.10 KANONI-MADDU'!G41,'21.10 KANONI-MADDU'!G41,'22.10.KANONI-MADDU'!G41,'23.10 KANONI-MADDU'!G41)</f>
        <v>0</v>
      </c>
      <c r="H41" s="49">
        <f>AVERAGE('17.10 KANONI-MADDU'!H41,'18.10 KANONI-MADDU-24h'!H41,'19.10 KANONI-MADDU-24h'!H41,'20.10 KANONI-MADDU'!H41,'21.10 KANONI-MADDU'!H41,'22.10.KANONI-MADDU'!H41,'23.10 KANONI-MADDU'!H41)</f>
        <v>0</v>
      </c>
      <c r="I41" s="49">
        <f>AVERAGE('17.10 KANONI-MADDU'!I41,'18.10 KANONI-MADDU-24h'!I41,'19.10 KANONI-MADDU-24h'!I41,'20.10 KANONI-MADDU'!I41,'21.10 KANONI-MADDU'!I41,'22.10.KANONI-MADDU'!I41,'23.10 KANONI-MADDU'!I41)</f>
        <v>0.2857142857142857</v>
      </c>
      <c r="J41" s="49">
        <f>AVERAGE('17.10 KANONI-MADDU'!J41,'18.10 KANONI-MADDU-24h'!J41,'19.10 KANONI-MADDU-24h'!J41,'20.10 KANONI-MADDU'!J41,'21.10 KANONI-MADDU'!J41,'22.10.KANONI-MADDU'!J41,'23.10 KANONI-MADDU'!J41)</f>
        <v>0.14285714285714285</v>
      </c>
      <c r="K41" s="49">
        <f>AVERAGE('17.10 KANONI-MADDU'!K41,'18.10 KANONI-MADDU-24h'!K41,'19.10 KANONI-MADDU-24h'!K41,'20.10 KANONI-MADDU'!K41,'21.10 KANONI-MADDU'!K41,'22.10.KANONI-MADDU'!K41,'23.10 KANONI-MADDU'!K41)</f>
        <v>0.5714285714285714</v>
      </c>
      <c r="L41" s="49">
        <f>AVERAGE('17.10 KANONI-MADDU'!L41,'18.10 KANONI-MADDU-24h'!L41,'19.10 KANONI-MADDU-24h'!L41,'20.10 KANONI-MADDU'!L41,'21.10 KANONI-MADDU'!L41,'22.10.KANONI-MADDU'!L41,'23.10 KANONI-MADDU'!L41)</f>
        <v>0</v>
      </c>
      <c r="M41" s="49">
        <f>AVERAGE('17.10 KANONI-MADDU'!M41,'18.10 KANONI-MADDU-24h'!M41,'19.10 KANONI-MADDU-24h'!M41,'20.10 KANONI-MADDU'!M41,'21.10 KANONI-MADDU'!M41,'22.10.KANONI-MADDU'!M41,'23.10 KANONI-MADDU'!M41)</f>
        <v>11.285714285714286</v>
      </c>
      <c r="N41" s="49">
        <f>AVERAGE('17.10 KANONI-MADDU'!N41,'18.10 KANONI-MADDU-24h'!N41,'19.10 KANONI-MADDU-24h'!N41,'20.10 KANONI-MADDU'!N41,'21.10 KANONI-MADDU'!N41,'22.10.KANONI-MADDU'!N41,'23.10 KANONI-MADDU'!N41)</f>
        <v>0</v>
      </c>
      <c r="O41" s="15">
        <f t="shared" si="0"/>
        <v>7.8571428571428559</v>
      </c>
      <c r="P41" s="15">
        <f t="shared" si="1"/>
        <v>19.142857142857142</v>
      </c>
      <c r="R41" s="5" t="s">
        <v>180</v>
      </c>
      <c r="S41" s="55">
        <f>SUM(S10:S33)</f>
        <v>125.85714285714286</v>
      </c>
      <c r="T41" s="55">
        <f t="shared" ref="T41:AD41" si="33">SUM(T10:T33)</f>
        <v>36.285714285714278</v>
      </c>
      <c r="U41" s="55">
        <f t="shared" si="33"/>
        <v>38.928571428571431</v>
      </c>
      <c r="V41" s="55">
        <f t="shared" si="33"/>
        <v>101.07142857142857</v>
      </c>
      <c r="W41" s="55">
        <f t="shared" si="33"/>
        <v>2.5714285714285712</v>
      </c>
      <c r="X41" s="55">
        <f t="shared" si="33"/>
        <v>1</v>
      </c>
      <c r="Y41" s="55">
        <f t="shared" si="33"/>
        <v>45.214285714285715</v>
      </c>
      <c r="Z41" s="55">
        <f t="shared" si="33"/>
        <v>40.571428571428569</v>
      </c>
      <c r="AA41" s="55">
        <f t="shared" si="33"/>
        <v>8.7857142857142847</v>
      </c>
      <c r="AB41" s="55">
        <f t="shared" si="33"/>
        <v>1.7857142857142856</v>
      </c>
      <c r="AC41" s="55">
        <f t="shared" si="33"/>
        <v>608.57142857142867</v>
      </c>
      <c r="AD41" s="55">
        <f t="shared" si="33"/>
        <v>0.2857142857142857</v>
      </c>
      <c r="AE41" s="56">
        <f>SUM(AE10:AE33)</f>
        <v>402.35714285714289</v>
      </c>
      <c r="AF41" s="56">
        <f>SUM(AF10:AF33)</f>
        <v>1010.9285714285716</v>
      </c>
    </row>
    <row r="42" spans="2:32" ht="23.1" customHeight="1" x14ac:dyDescent="0.25">
      <c r="B42" s="24" t="s">
        <v>69</v>
      </c>
      <c r="C42" s="49">
        <f>AVERAGE('17.10 KANONI-MADDU'!C42,'18.10 KANONI-MADDU-24h'!C42,'19.10 KANONI-MADDU-24h'!C42,'20.10 KANONI-MADDU'!C42,'21.10 KANONI-MADDU'!C42,'22.10.KANONI-MADDU'!C42,'23.10 KANONI-MADDU'!C42)</f>
        <v>2.7142857142857144</v>
      </c>
      <c r="D42" s="49">
        <f>AVERAGE('17.10 KANONI-MADDU'!D42,'18.10 KANONI-MADDU-24h'!D42,'19.10 KANONI-MADDU-24h'!D42,'20.10 KANONI-MADDU'!D42,'21.10 KANONI-MADDU'!D42,'22.10.KANONI-MADDU'!D42,'23.10 KANONI-MADDU'!D42)</f>
        <v>1.1428571428571428</v>
      </c>
      <c r="E42" s="49">
        <f>AVERAGE('17.10 KANONI-MADDU'!E42,'18.10 KANONI-MADDU-24h'!E42,'19.10 KANONI-MADDU-24h'!E42,'20.10 KANONI-MADDU'!E42,'21.10 KANONI-MADDU'!E42,'22.10.KANONI-MADDU'!E42,'23.10 KANONI-MADDU'!E42)</f>
        <v>1.1428571428571428</v>
      </c>
      <c r="F42" s="49">
        <f>AVERAGE('17.10 KANONI-MADDU'!F42,'18.10 KANONI-MADDU-24h'!F42,'19.10 KANONI-MADDU-24h'!F42,'20.10 KANONI-MADDU'!F42,'21.10 KANONI-MADDU'!F42,'22.10.KANONI-MADDU'!F42,'23.10 KANONI-MADDU'!F42)</f>
        <v>2.1428571428571428</v>
      </c>
      <c r="G42" s="49">
        <f>AVERAGE('17.10 KANONI-MADDU'!G42,'18.10 KANONI-MADDU-24h'!G42,'19.10 KANONI-MADDU-24h'!G42,'20.10 KANONI-MADDU'!G42,'21.10 KANONI-MADDU'!G42,'22.10.KANONI-MADDU'!G42,'23.10 KANONI-MADDU'!G42)</f>
        <v>0</v>
      </c>
      <c r="H42" s="49">
        <f>AVERAGE('17.10 KANONI-MADDU'!H42,'18.10 KANONI-MADDU-24h'!H42,'19.10 KANONI-MADDU-24h'!H42,'20.10 KANONI-MADDU'!H42,'21.10 KANONI-MADDU'!H42,'22.10.KANONI-MADDU'!H42,'23.10 KANONI-MADDU'!H42)</f>
        <v>0</v>
      </c>
      <c r="I42" s="49">
        <f>AVERAGE('17.10 KANONI-MADDU'!I42,'18.10 KANONI-MADDU-24h'!I42,'19.10 KANONI-MADDU-24h'!I42,'20.10 KANONI-MADDU'!I42,'21.10 KANONI-MADDU'!I42,'22.10.KANONI-MADDU'!I42,'23.10 KANONI-MADDU'!I42)</f>
        <v>0.7142857142857143</v>
      </c>
      <c r="J42" s="49">
        <f>AVERAGE('17.10 KANONI-MADDU'!J42,'18.10 KANONI-MADDU-24h'!J42,'19.10 KANONI-MADDU-24h'!J42,'20.10 KANONI-MADDU'!J42,'21.10 KANONI-MADDU'!J42,'22.10.KANONI-MADDU'!J42,'23.10 KANONI-MADDU'!J42)</f>
        <v>0.8571428571428571</v>
      </c>
      <c r="K42" s="49">
        <f>AVERAGE('17.10 KANONI-MADDU'!K42,'18.10 KANONI-MADDU-24h'!K42,'19.10 KANONI-MADDU-24h'!K42,'20.10 KANONI-MADDU'!K42,'21.10 KANONI-MADDU'!K42,'22.10.KANONI-MADDU'!K42,'23.10 KANONI-MADDU'!K42)</f>
        <v>0.14285714285714285</v>
      </c>
      <c r="L42" s="49">
        <f>AVERAGE('17.10 KANONI-MADDU'!L42,'18.10 KANONI-MADDU-24h'!L42,'19.10 KANONI-MADDU-24h'!L42,'20.10 KANONI-MADDU'!L42,'21.10 KANONI-MADDU'!L42,'22.10.KANONI-MADDU'!L42,'23.10 KANONI-MADDU'!L42)</f>
        <v>0</v>
      </c>
      <c r="M42" s="49">
        <f>AVERAGE('17.10 KANONI-MADDU'!M42,'18.10 KANONI-MADDU-24h'!M42,'19.10 KANONI-MADDU-24h'!M42,'20.10 KANONI-MADDU'!M42,'21.10 KANONI-MADDU'!M42,'22.10.KANONI-MADDU'!M42,'23.10 KANONI-MADDU'!M42)</f>
        <v>10.714285714285714</v>
      </c>
      <c r="N42" s="49">
        <f>AVERAGE('17.10 KANONI-MADDU'!N42,'18.10 KANONI-MADDU-24h'!N42,'19.10 KANONI-MADDU-24h'!N42,'20.10 KANONI-MADDU'!N42,'21.10 KANONI-MADDU'!N42,'22.10.KANONI-MADDU'!N42,'23.10 KANONI-MADDU'!N42)</f>
        <v>0</v>
      </c>
      <c r="O42" s="15">
        <f t="shared" si="0"/>
        <v>8.8571428571428559</v>
      </c>
      <c r="P42" s="15">
        <f t="shared" si="1"/>
        <v>19.571428571428569</v>
      </c>
      <c r="R42" s="5" t="s">
        <v>160</v>
      </c>
      <c r="S42" s="48">
        <f>S41/S40</f>
        <v>1.3268072289156627</v>
      </c>
      <c r="T42" s="48">
        <f t="shared" ref="T42:AF42" si="34">T41/T40</f>
        <v>1.1598173515981733</v>
      </c>
      <c r="U42" s="48">
        <f t="shared" si="34"/>
        <v>1.279342723004695</v>
      </c>
      <c r="V42" s="48">
        <f t="shared" si="34"/>
        <v>1.3737864077669903</v>
      </c>
      <c r="W42" s="48">
        <f t="shared" si="34"/>
        <v>1.6363636363636365</v>
      </c>
      <c r="X42" s="48" t="e">
        <f t="shared" si="34"/>
        <v>#DIV/0!</v>
      </c>
      <c r="Y42" s="48">
        <f t="shared" si="34"/>
        <v>1.5746268656716418</v>
      </c>
      <c r="Z42" s="48">
        <f t="shared" si="34"/>
        <v>1.9722222222222223</v>
      </c>
      <c r="AA42" s="48">
        <f t="shared" si="34"/>
        <v>1.3977272727272725</v>
      </c>
      <c r="AB42" s="48">
        <f t="shared" si="34"/>
        <v>6.25</v>
      </c>
      <c r="AC42" s="48">
        <f t="shared" si="34"/>
        <v>1.2533097969991174</v>
      </c>
      <c r="AD42" s="48">
        <f t="shared" si="34"/>
        <v>1</v>
      </c>
      <c r="AE42" s="57">
        <f t="shared" si="34"/>
        <v>1.3977667493796526</v>
      </c>
      <c r="AF42" s="57">
        <f t="shared" si="34"/>
        <v>1.3070742519394163</v>
      </c>
    </row>
    <row r="43" spans="2:32" ht="23.1" customHeight="1" x14ac:dyDescent="0.25">
      <c r="B43" s="23" t="s">
        <v>70</v>
      </c>
      <c r="C43" s="49">
        <f>AVERAGE('17.10 KANONI-MADDU'!C43,'18.10 KANONI-MADDU-24h'!C43,'19.10 KANONI-MADDU-24h'!C43,'20.10 KANONI-MADDU'!C43,'21.10 KANONI-MADDU'!C43,'22.10.KANONI-MADDU'!C43,'23.10 KANONI-MADDU'!C43)</f>
        <v>1.2857142857142858</v>
      </c>
      <c r="D43" s="49">
        <f>AVERAGE('17.10 KANONI-MADDU'!D43,'18.10 KANONI-MADDU-24h'!D43,'19.10 KANONI-MADDU-24h'!D43,'20.10 KANONI-MADDU'!D43,'21.10 KANONI-MADDU'!D43,'22.10.KANONI-MADDU'!D43,'23.10 KANONI-MADDU'!D43)</f>
        <v>0.5714285714285714</v>
      </c>
      <c r="E43" s="49">
        <f>AVERAGE('17.10 KANONI-MADDU'!E43,'18.10 KANONI-MADDU-24h'!E43,'19.10 KANONI-MADDU-24h'!E43,'20.10 KANONI-MADDU'!E43,'21.10 KANONI-MADDU'!E43,'22.10.KANONI-MADDU'!E43,'23.10 KANONI-MADDU'!E43)</f>
        <v>0.2857142857142857</v>
      </c>
      <c r="F43" s="49">
        <f>AVERAGE('17.10 KANONI-MADDU'!F43,'18.10 KANONI-MADDU-24h'!F43,'19.10 KANONI-MADDU-24h'!F43,'20.10 KANONI-MADDU'!F43,'21.10 KANONI-MADDU'!F43,'22.10.KANONI-MADDU'!F43,'23.10 KANONI-MADDU'!F43)</f>
        <v>1.8571428571428572</v>
      </c>
      <c r="G43" s="49">
        <f>AVERAGE('17.10 KANONI-MADDU'!G43,'18.10 KANONI-MADDU-24h'!G43,'19.10 KANONI-MADDU-24h'!G43,'20.10 KANONI-MADDU'!G43,'21.10 KANONI-MADDU'!G43,'22.10.KANONI-MADDU'!G43,'23.10 KANONI-MADDU'!G43)</f>
        <v>0</v>
      </c>
      <c r="H43" s="49">
        <f>AVERAGE('17.10 KANONI-MADDU'!H43,'18.10 KANONI-MADDU-24h'!H43,'19.10 KANONI-MADDU-24h'!H43,'20.10 KANONI-MADDU'!H43,'21.10 KANONI-MADDU'!H43,'22.10.KANONI-MADDU'!H43,'23.10 KANONI-MADDU'!H43)</f>
        <v>0</v>
      </c>
      <c r="I43" s="49">
        <f>AVERAGE('17.10 KANONI-MADDU'!I43,'18.10 KANONI-MADDU-24h'!I43,'19.10 KANONI-MADDU-24h'!I43,'20.10 KANONI-MADDU'!I43,'21.10 KANONI-MADDU'!I43,'22.10.KANONI-MADDU'!I43,'23.10 KANONI-MADDU'!I43)</f>
        <v>0.7142857142857143</v>
      </c>
      <c r="J43" s="49">
        <f>AVERAGE('17.10 KANONI-MADDU'!J43,'18.10 KANONI-MADDU-24h'!J43,'19.10 KANONI-MADDU-24h'!J43,'20.10 KANONI-MADDU'!J43,'21.10 KANONI-MADDU'!J43,'22.10.KANONI-MADDU'!J43,'23.10 KANONI-MADDU'!J43)</f>
        <v>0.7142857142857143</v>
      </c>
      <c r="K43" s="49">
        <f>AVERAGE('17.10 KANONI-MADDU'!K43,'18.10 KANONI-MADDU-24h'!K43,'19.10 KANONI-MADDU-24h'!K43,'20.10 KANONI-MADDU'!K43,'21.10 KANONI-MADDU'!K43,'22.10.KANONI-MADDU'!K43,'23.10 KANONI-MADDU'!K43)</f>
        <v>0.14285714285714285</v>
      </c>
      <c r="L43" s="49">
        <f>AVERAGE('17.10 KANONI-MADDU'!L43,'18.10 KANONI-MADDU-24h'!L43,'19.10 KANONI-MADDU-24h'!L43,'20.10 KANONI-MADDU'!L43,'21.10 KANONI-MADDU'!L43,'22.10.KANONI-MADDU'!L43,'23.10 KANONI-MADDU'!L43)</f>
        <v>0.14285714285714285</v>
      </c>
      <c r="M43" s="49">
        <f>AVERAGE('17.10 KANONI-MADDU'!M43,'18.10 KANONI-MADDU-24h'!M43,'19.10 KANONI-MADDU-24h'!M43,'20.10 KANONI-MADDU'!M43,'21.10 KANONI-MADDU'!M43,'22.10.KANONI-MADDU'!M43,'23.10 KANONI-MADDU'!M43)</f>
        <v>10.428571428571429</v>
      </c>
      <c r="N43" s="49">
        <f>AVERAGE('17.10 KANONI-MADDU'!N43,'18.10 KANONI-MADDU-24h'!N43,'19.10 KANONI-MADDU-24h'!N43,'20.10 KANONI-MADDU'!N43,'21.10 KANONI-MADDU'!N43,'22.10.KANONI-MADDU'!N43,'23.10 KANONI-MADDU'!N43)</f>
        <v>0</v>
      </c>
      <c r="O43" s="15">
        <f t="shared" si="0"/>
        <v>5.7142857142857153</v>
      </c>
      <c r="P43" s="15">
        <f t="shared" si="1"/>
        <v>16.142857142857146</v>
      </c>
    </row>
    <row r="44" spans="2:32" ht="23.1" customHeight="1" x14ac:dyDescent="0.25">
      <c r="B44" s="25" t="s">
        <v>71</v>
      </c>
      <c r="C44" s="49">
        <f>AVERAGE('17.10 KANONI-MADDU'!C44,'18.10 KANONI-MADDU-24h'!C44,'19.10 KANONI-MADDU-24h'!C44,'20.10 KANONI-MADDU'!C44,'21.10 KANONI-MADDU'!C44,'22.10.KANONI-MADDU'!C44,'23.10 KANONI-MADDU'!C44)</f>
        <v>2.7142857142857144</v>
      </c>
      <c r="D44" s="49">
        <f>AVERAGE('17.10 KANONI-MADDU'!D44,'18.10 KANONI-MADDU-24h'!D44,'19.10 KANONI-MADDU-24h'!D44,'20.10 KANONI-MADDU'!D44,'21.10 KANONI-MADDU'!D44,'22.10.KANONI-MADDU'!D44,'23.10 KANONI-MADDU'!D44)</f>
        <v>0.2857142857142857</v>
      </c>
      <c r="E44" s="49">
        <f>AVERAGE('17.10 KANONI-MADDU'!E44,'18.10 KANONI-MADDU-24h'!E44,'19.10 KANONI-MADDU-24h'!E44,'20.10 KANONI-MADDU'!E44,'21.10 KANONI-MADDU'!E44,'22.10.KANONI-MADDU'!E44,'23.10 KANONI-MADDU'!E44)</f>
        <v>0.5714285714285714</v>
      </c>
      <c r="F44" s="49">
        <f>AVERAGE('17.10 KANONI-MADDU'!F44,'18.10 KANONI-MADDU-24h'!F44,'19.10 KANONI-MADDU-24h'!F44,'20.10 KANONI-MADDU'!F44,'21.10 KANONI-MADDU'!F44,'22.10.KANONI-MADDU'!F44,'23.10 KANONI-MADDU'!F44)</f>
        <v>1.7142857142857142</v>
      </c>
      <c r="G44" s="49">
        <f>AVERAGE('17.10 KANONI-MADDU'!G44,'18.10 KANONI-MADDU-24h'!G44,'19.10 KANONI-MADDU-24h'!G44,'20.10 KANONI-MADDU'!G44,'21.10 KANONI-MADDU'!G44,'22.10.KANONI-MADDU'!G44,'23.10 KANONI-MADDU'!G44)</f>
        <v>0</v>
      </c>
      <c r="H44" s="49">
        <f>AVERAGE('17.10 KANONI-MADDU'!H44,'18.10 KANONI-MADDU-24h'!H44,'19.10 KANONI-MADDU-24h'!H44,'20.10 KANONI-MADDU'!H44,'21.10 KANONI-MADDU'!H44,'22.10.KANONI-MADDU'!H44,'23.10 KANONI-MADDU'!H44)</f>
        <v>0</v>
      </c>
      <c r="I44" s="49">
        <f>AVERAGE('17.10 KANONI-MADDU'!I44,'18.10 KANONI-MADDU-24h'!I44,'19.10 KANONI-MADDU-24h'!I44,'20.10 KANONI-MADDU'!I44,'21.10 KANONI-MADDU'!I44,'22.10.KANONI-MADDU'!I44,'23.10 KANONI-MADDU'!I44)</f>
        <v>0.14285714285714285</v>
      </c>
      <c r="J44" s="49">
        <f>AVERAGE('17.10 KANONI-MADDU'!J44,'18.10 KANONI-MADDU-24h'!J44,'19.10 KANONI-MADDU-24h'!J44,'20.10 KANONI-MADDU'!J44,'21.10 KANONI-MADDU'!J44,'22.10.KANONI-MADDU'!J44,'23.10 KANONI-MADDU'!J44)</f>
        <v>0.8571428571428571</v>
      </c>
      <c r="K44" s="49">
        <f>AVERAGE('17.10 KANONI-MADDU'!K44,'18.10 KANONI-MADDU-24h'!K44,'19.10 KANONI-MADDU-24h'!K44,'20.10 KANONI-MADDU'!K44,'21.10 KANONI-MADDU'!K44,'22.10.KANONI-MADDU'!K44,'23.10 KANONI-MADDU'!K44)</f>
        <v>0</v>
      </c>
      <c r="L44" s="49">
        <f>AVERAGE('17.10 KANONI-MADDU'!L44,'18.10 KANONI-MADDU-24h'!L44,'19.10 KANONI-MADDU-24h'!L44,'20.10 KANONI-MADDU'!L44,'21.10 KANONI-MADDU'!L44,'22.10.KANONI-MADDU'!L44,'23.10 KANONI-MADDU'!L44)</f>
        <v>0</v>
      </c>
      <c r="M44" s="49">
        <f>AVERAGE('17.10 KANONI-MADDU'!M44,'18.10 KANONI-MADDU-24h'!M44,'19.10 KANONI-MADDU-24h'!M44,'20.10 KANONI-MADDU'!M44,'21.10 KANONI-MADDU'!M44,'22.10.KANONI-MADDU'!M44,'23.10 KANONI-MADDU'!M44)</f>
        <v>11.428571428571429</v>
      </c>
      <c r="N44" s="49">
        <f>AVERAGE('17.10 KANONI-MADDU'!N44,'18.10 KANONI-MADDU-24h'!N44,'19.10 KANONI-MADDU-24h'!N44,'20.10 KANONI-MADDU'!N44,'21.10 KANONI-MADDU'!N44,'22.10.KANONI-MADDU'!N44,'23.10 KANONI-MADDU'!N44)</f>
        <v>0</v>
      </c>
      <c r="O44" s="15">
        <f t="shared" si="0"/>
        <v>6.2857142857142856</v>
      </c>
      <c r="P44" s="15">
        <f t="shared" si="1"/>
        <v>17.714285714285715</v>
      </c>
    </row>
    <row r="45" spans="2:32" ht="23.1" customHeight="1" x14ac:dyDescent="0.25">
      <c r="B45" s="23" t="s">
        <v>72</v>
      </c>
      <c r="C45" s="49">
        <f>AVERAGE('17.10 KANONI-MADDU'!C45,'18.10 KANONI-MADDU-24h'!C45,'19.10 KANONI-MADDU-24h'!C45,'20.10 KANONI-MADDU'!C45,'21.10 KANONI-MADDU'!C45,'22.10.KANONI-MADDU'!C45,'23.10 KANONI-MADDU'!C45)</f>
        <v>0.42857142857142855</v>
      </c>
      <c r="D45" s="49">
        <f>AVERAGE('17.10 KANONI-MADDU'!D45,'18.10 KANONI-MADDU-24h'!D45,'19.10 KANONI-MADDU-24h'!D45,'20.10 KANONI-MADDU'!D45,'21.10 KANONI-MADDU'!D45,'22.10.KANONI-MADDU'!D45,'23.10 KANONI-MADDU'!D45)</f>
        <v>1.1428571428571428</v>
      </c>
      <c r="E45" s="49">
        <f>AVERAGE('17.10 KANONI-MADDU'!E45,'18.10 KANONI-MADDU-24h'!E45,'19.10 KANONI-MADDU-24h'!E45,'20.10 KANONI-MADDU'!E45,'21.10 KANONI-MADDU'!E45,'22.10.KANONI-MADDU'!E45,'23.10 KANONI-MADDU'!E45)</f>
        <v>0.8571428571428571</v>
      </c>
      <c r="F45" s="49">
        <f>AVERAGE('17.10 KANONI-MADDU'!F45,'18.10 KANONI-MADDU-24h'!F45,'19.10 KANONI-MADDU-24h'!F45,'20.10 KANONI-MADDU'!F45,'21.10 KANONI-MADDU'!F45,'22.10.KANONI-MADDU'!F45,'23.10 KANONI-MADDU'!F45)</f>
        <v>1</v>
      </c>
      <c r="G45" s="49">
        <f>AVERAGE('17.10 KANONI-MADDU'!G45,'18.10 KANONI-MADDU-24h'!G45,'19.10 KANONI-MADDU-24h'!G45,'20.10 KANONI-MADDU'!G45,'21.10 KANONI-MADDU'!G45,'22.10.KANONI-MADDU'!G45,'23.10 KANONI-MADDU'!G45)</f>
        <v>0</v>
      </c>
      <c r="H45" s="49">
        <f>AVERAGE('17.10 KANONI-MADDU'!H45,'18.10 KANONI-MADDU-24h'!H45,'19.10 KANONI-MADDU-24h'!H45,'20.10 KANONI-MADDU'!H45,'21.10 KANONI-MADDU'!H45,'22.10.KANONI-MADDU'!H45,'23.10 KANONI-MADDU'!H45)</f>
        <v>0</v>
      </c>
      <c r="I45" s="49">
        <f>AVERAGE('17.10 KANONI-MADDU'!I45,'18.10 KANONI-MADDU-24h'!I45,'19.10 KANONI-MADDU-24h'!I45,'20.10 KANONI-MADDU'!I45,'21.10 KANONI-MADDU'!I45,'22.10.KANONI-MADDU'!I45,'23.10 KANONI-MADDU'!I45)</f>
        <v>0.14285714285714285</v>
      </c>
      <c r="J45" s="49">
        <f>AVERAGE('17.10 KANONI-MADDU'!J45,'18.10 KANONI-MADDU-24h'!J45,'19.10 KANONI-MADDU-24h'!J45,'20.10 KANONI-MADDU'!J45,'21.10 KANONI-MADDU'!J45,'22.10.KANONI-MADDU'!J45,'23.10 KANONI-MADDU'!J45)</f>
        <v>0.42857142857142855</v>
      </c>
      <c r="K45" s="49">
        <f>AVERAGE('17.10 KANONI-MADDU'!K45,'18.10 KANONI-MADDU-24h'!K45,'19.10 KANONI-MADDU-24h'!K45,'20.10 KANONI-MADDU'!K45,'21.10 KANONI-MADDU'!K45,'22.10.KANONI-MADDU'!K45,'23.10 KANONI-MADDU'!K45)</f>
        <v>0</v>
      </c>
      <c r="L45" s="49">
        <f>AVERAGE('17.10 KANONI-MADDU'!L45,'18.10 KANONI-MADDU-24h'!L45,'19.10 KANONI-MADDU-24h'!L45,'20.10 KANONI-MADDU'!L45,'21.10 KANONI-MADDU'!L45,'22.10.KANONI-MADDU'!L45,'23.10 KANONI-MADDU'!L45)</f>
        <v>0</v>
      </c>
      <c r="M45" s="49">
        <f>AVERAGE('17.10 KANONI-MADDU'!M45,'18.10 KANONI-MADDU-24h'!M45,'19.10 KANONI-MADDU-24h'!M45,'20.10 KANONI-MADDU'!M45,'21.10 KANONI-MADDU'!M45,'22.10.KANONI-MADDU'!M45,'23.10 KANONI-MADDU'!M45)</f>
        <v>10.428571428571429</v>
      </c>
      <c r="N45" s="49">
        <f>AVERAGE('17.10 KANONI-MADDU'!N45,'18.10 KANONI-MADDU-24h'!N45,'19.10 KANONI-MADDU-24h'!N45,'20.10 KANONI-MADDU'!N45,'21.10 KANONI-MADDU'!N45,'22.10.KANONI-MADDU'!N45,'23.10 KANONI-MADDU'!N45)</f>
        <v>0</v>
      </c>
      <c r="O45" s="15">
        <f t="shared" si="0"/>
        <v>3.9999999999999996</v>
      </c>
      <c r="P45" s="15">
        <f t="shared" si="1"/>
        <v>14.428571428571429</v>
      </c>
    </row>
    <row r="46" spans="2:32" ht="23.1" customHeight="1" x14ac:dyDescent="0.25">
      <c r="B46" s="24" t="s">
        <v>73</v>
      </c>
      <c r="C46" s="49">
        <f>AVERAGE('17.10 KANONI-MADDU'!C46,'18.10 KANONI-MADDU-24h'!C46,'19.10 KANONI-MADDU-24h'!C46,'20.10 KANONI-MADDU'!C46,'21.10 KANONI-MADDU'!C46,'22.10.KANONI-MADDU'!C46,'23.10 KANONI-MADDU'!C46)</f>
        <v>2.1428571428571428</v>
      </c>
      <c r="D46" s="49">
        <f>AVERAGE('17.10 KANONI-MADDU'!D46,'18.10 KANONI-MADDU-24h'!D46,'19.10 KANONI-MADDU-24h'!D46,'20.10 KANONI-MADDU'!D46,'21.10 KANONI-MADDU'!D46,'22.10.KANONI-MADDU'!D46,'23.10 KANONI-MADDU'!D46)</f>
        <v>0</v>
      </c>
      <c r="E46" s="49">
        <f>AVERAGE('17.10 KANONI-MADDU'!E46,'18.10 KANONI-MADDU-24h'!E46,'19.10 KANONI-MADDU-24h'!E46,'20.10 KANONI-MADDU'!E46,'21.10 KANONI-MADDU'!E46,'22.10.KANONI-MADDU'!E46,'23.10 KANONI-MADDU'!E46)</f>
        <v>0.8571428571428571</v>
      </c>
      <c r="F46" s="49">
        <f>AVERAGE('17.10 KANONI-MADDU'!F46,'18.10 KANONI-MADDU-24h'!F46,'19.10 KANONI-MADDU-24h'!F46,'20.10 KANONI-MADDU'!F46,'21.10 KANONI-MADDU'!F46,'22.10.KANONI-MADDU'!F46,'23.10 KANONI-MADDU'!F46)</f>
        <v>2.1428571428571428</v>
      </c>
      <c r="G46" s="49">
        <f>AVERAGE('17.10 KANONI-MADDU'!G46,'18.10 KANONI-MADDU-24h'!G46,'19.10 KANONI-MADDU-24h'!G46,'20.10 KANONI-MADDU'!G46,'21.10 KANONI-MADDU'!G46,'22.10.KANONI-MADDU'!G46,'23.10 KANONI-MADDU'!G46)</f>
        <v>0</v>
      </c>
      <c r="H46" s="49">
        <f>AVERAGE('17.10 KANONI-MADDU'!H46,'18.10 KANONI-MADDU-24h'!H46,'19.10 KANONI-MADDU-24h'!H46,'20.10 KANONI-MADDU'!H46,'21.10 KANONI-MADDU'!H46,'22.10.KANONI-MADDU'!H46,'23.10 KANONI-MADDU'!H46)</f>
        <v>0</v>
      </c>
      <c r="I46" s="49">
        <f>AVERAGE('17.10 KANONI-MADDU'!I46,'18.10 KANONI-MADDU-24h'!I46,'19.10 KANONI-MADDU-24h'!I46,'20.10 KANONI-MADDU'!I46,'21.10 KANONI-MADDU'!I46,'22.10.KANONI-MADDU'!I46,'23.10 KANONI-MADDU'!I46)</f>
        <v>0.5714285714285714</v>
      </c>
      <c r="J46" s="49">
        <f>AVERAGE('17.10 KANONI-MADDU'!J46,'18.10 KANONI-MADDU-24h'!J46,'19.10 KANONI-MADDU-24h'!J46,'20.10 KANONI-MADDU'!J46,'21.10 KANONI-MADDU'!J46,'22.10.KANONI-MADDU'!J46,'23.10 KANONI-MADDU'!J46)</f>
        <v>0.7142857142857143</v>
      </c>
      <c r="K46" s="49">
        <f>AVERAGE('17.10 KANONI-MADDU'!K46,'18.10 KANONI-MADDU-24h'!K46,'19.10 KANONI-MADDU-24h'!K46,'20.10 KANONI-MADDU'!K46,'21.10 KANONI-MADDU'!K46,'22.10.KANONI-MADDU'!K46,'23.10 KANONI-MADDU'!K46)</f>
        <v>0.14285714285714285</v>
      </c>
      <c r="L46" s="49">
        <f>AVERAGE('17.10 KANONI-MADDU'!L46,'18.10 KANONI-MADDU-24h'!L46,'19.10 KANONI-MADDU-24h'!L46,'20.10 KANONI-MADDU'!L46,'21.10 KANONI-MADDU'!L46,'22.10.KANONI-MADDU'!L46,'23.10 KANONI-MADDU'!L46)</f>
        <v>0</v>
      </c>
      <c r="M46" s="49">
        <f>AVERAGE('17.10 KANONI-MADDU'!M46,'18.10 KANONI-MADDU-24h'!M46,'19.10 KANONI-MADDU-24h'!M46,'20.10 KANONI-MADDU'!M46,'21.10 KANONI-MADDU'!M46,'22.10.KANONI-MADDU'!M46,'23.10 KANONI-MADDU'!M46)</f>
        <v>10.571428571428571</v>
      </c>
      <c r="N46" s="49">
        <f>AVERAGE('17.10 KANONI-MADDU'!N46,'18.10 KANONI-MADDU-24h'!N46,'19.10 KANONI-MADDU-24h'!N46,'20.10 KANONI-MADDU'!N46,'21.10 KANONI-MADDU'!N46,'22.10.KANONI-MADDU'!N46,'23.10 KANONI-MADDU'!N46)</f>
        <v>0</v>
      </c>
      <c r="O46" s="15">
        <f t="shared" si="0"/>
        <v>6.5714285714285712</v>
      </c>
      <c r="P46" s="15">
        <f t="shared" si="1"/>
        <v>17.142857142857142</v>
      </c>
      <c r="R46" s="8"/>
      <c r="T46"/>
    </row>
    <row r="47" spans="2:32" ht="23.1" customHeight="1" x14ac:dyDescent="0.25">
      <c r="B47" s="24" t="s">
        <v>74</v>
      </c>
      <c r="C47" s="49">
        <f>AVERAGE('17.10 KANONI-MADDU'!C47,'18.10 KANONI-MADDU-24h'!C47,'19.10 KANONI-MADDU-24h'!C47,'20.10 KANONI-MADDU'!C47,'21.10 KANONI-MADDU'!C47,'22.10.KANONI-MADDU'!C47,'23.10 KANONI-MADDU'!C47)</f>
        <v>1.5714285714285714</v>
      </c>
      <c r="D47" s="49">
        <f>AVERAGE('17.10 KANONI-MADDU'!D47,'18.10 KANONI-MADDU-24h'!D47,'19.10 KANONI-MADDU-24h'!D47,'20.10 KANONI-MADDU'!D47,'21.10 KANONI-MADDU'!D47,'22.10.KANONI-MADDU'!D47,'23.10 KANONI-MADDU'!D47)</f>
        <v>0.5714285714285714</v>
      </c>
      <c r="E47" s="49">
        <f>AVERAGE('17.10 KANONI-MADDU'!E47,'18.10 KANONI-MADDU-24h'!E47,'19.10 KANONI-MADDU-24h'!E47,'20.10 KANONI-MADDU'!E47,'21.10 KANONI-MADDU'!E47,'22.10.KANONI-MADDU'!E47,'23.10 KANONI-MADDU'!E47)</f>
        <v>0.14285714285714285</v>
      </c>
      <c r="F47" s="49">
        <f>AVERAGE('17.10 KANONI-MADDU'!F47,'18.10 KANONI-MADDU-24h'!F47,'19.10 KANONI-MADDU-24h'!F47,'20.10 KANONI-MADDU'!F47,'21.10 KANONI-MADDU'!F47,'22.10.KANONI-MADDU'!F47,'23.10 KANONI-MADDU'!F47)</f>
        <v>3</v>
      </c>
      <c r="G47" s="49">
        <f>AVERAGE('17.10 KANONI-MADDU'!G47,'18.10 KANONI-MADDU-24h'!G47,'19.10 KANONI-MADDU-24h'!G47,'20.10 KANONI-MADDU'!G47,'21.10 KANONI-MADDU'!G47,'22.10.KANONI-MADDU'!G47,'23.10 KANONI-MADDU'!G47)</f>
        <v>0.14285714285714285</v>
      </c>
      <c r="H47" s="49">
        <f>AVERAGE('17.10 KANONI-MADDU'!H47,'18.10 KANONI-MADDU-24h'!H47,'19.10 KANONI-MADDU-24h'!H47,'20.10 KANONI-MADDU'!H47,'21.10 KANONI-MADDU'!H47,'22.10.KANONI-MADDU'!H47,'23.10 KANONI-MADDU'!H47)</f>
        <v>0</v>
      </c>
      <c r="I47" s="49">
        <f>AVERAGE('17.10 KANONI-MADDU'!I47,'18.10 KANONI-MADDU-24h'!I47,'19.10 KANONI-MADDU-24h'!I47,'20.10 KANONI-MADDU'!I47,'21.10 KANONI-MADDU'!I47,'22.10.KANONI-MADDU'!I47,'23.10 KANONI-MADDU'!I47)</f>
        <v>0.8571428571428571</v>
      </c>
      <c r="J47" s="49">
        <f>AVERAGE('17.10 KANONI-MADDU'!J47,'18.10 KANONI-MADDU-24h'!J47,'19.10 KANONI-MADDU-24h'!J47,'20.10 KANONI-MADDU'!J47,'21.10 KANONI-MADDU'!J47,'22.10.KANONI-MADDU'!J47,'23.10 KANONI-MADDU'!J47)</f>
        <v>0.8571428571428571</v>
      </c>
      <c r="K47" s="49">
        <f>AVERAGE('17.10 KANONI-MADDU'!K47,'18.10 KANONI-MADDU-24h'!K47,'19.10 KANONI-MADDU-24h'!K47,'20.10 KANONI-MADDU'!K47,'21.10 KANONI-MADDU'!K47,'22.10.KANONI-MADDU'!K47,'23.10 KANONI-MADDU'!K47)</f>
        <v>0.42857142857142855</v>
      </c>
      <c r="L47" s="49">
        <f>AVERAGE('17.10 KANONI-MADDU'!L47,'18.10 KANONI-MADDU-24h'!L47,'19.10 KANONI-MADDU-24h'!L47,'20.10 KANONI-MADDU'!L47,'21.10 KANONI-MADDU'!L47,'22.10.KANONI-MADDU'!L47,'23.10 KANONI-MADDU'!L47)</f>
        <v>0</v>
      </c>
      <c r="M47" s="49">
        <f>AVERAGE('17.10 KANONI-MADDU'!M47,'18.10 KANONI-MADDU-24h'!M47,'19.10 KANONI-MADDU-24h'!M47,'20.10 KANONI-MADDU'!M47,'21.10 KANONI-MADDU'!M47,'22.10.KANONI-MADDU'!M47,'23.10 KANONI-MADDU'!M47)</f>
        <v>16.285714285714285</v>
      </c>
      <c r="N47" s="49">
        <f>AVERAGE('17.10 KANONI-MADDU'!N47,'18.10 KANONI-MADDU-24h'!N47,'19.10 KANONI-MADDU-24h'!N47,'20.10 KANONI-MADDU'!N47,'21.10 KANONI-MADDU'!N47,'22.10.KANONI-MADDU'!N47,'23.10 KANONI-MADDU'!N47)</f>
        <v>0</v>
      </c>
      <c r="O47" s="15">
        <f t="shared" si="0"/>
        <v>7.5714285714285712</v>
      </c>
      <c r="P47" s="15">
        <f t="shared" si="1"/>
        <v>23.857142857142854</v>
      </c>
      <c r="R47" s="8"/>
      <c r="T47"/>
    </row>
    <row r="48" spans="2:32" ht="23.1" customHeight="1" x14ac:dyDescent="0.25">
      <c r="B48" s="24" t="s">
        <v>75</v>
      </c>
      <c r="C48" s="49">
        <f>AVERAGE('17.10 KANONI-MADDU'!C48,'18.10 KANONI-MADDU-24h'!C48,'19.10 KANONI-MADDU-24h'!C48,'20.10 KANONI-MADDU'!C48,'21.10 KANONI-MADDU'!C48,'22.10.KANONI-MADDU'!C48,'23.10 KANONI-MADDU'!C48)</f>
        <v>1.5714285714285714</v>
      </c>
      <c r="D48" s="49">
        <f>AVERAGE('17.10 KANONI-MADDU'!D48,'18.10 KANONI-MADDU-24h'!D48,'19.10 KANONI-MADDU-24h'!D48,'20.10 KANONI-MADDU'!D48,'21.10 KANONI-MADDU'!D48,'22.10.KANONI-MADDU'!D48,'23.10 KANONI-MADDU'!D48)</f>
        <v>0.2857142857142857</v>
      </c>
      <c r="E48" s="49">
        <f>AVERAGE('17.10 KANONI-MADDU'!E48,'18.10 KANONI-MADDU-24h'!E48,'19.10 KANONI-MADDU-24h'!E48,'20.10 KANONI-MADDU'!E48,'21.10 KANONI-MADDU'!E48,'22.10.KANONI-MADDU'!E48,'23.10 KANONI-MADDU'!E48)</f>
        <v>0.2857142857142857</v>
      </c>
      <c r="F48" s="49">
        <f>AVERAGE('17.10 KANONI-MADDU'!F48,'18.10 KANONI-MADDU-24h'!F48,'19.10 KANONI-MADDU-24h'!F48,'20.10 KANONI-MADDU'!F48,'21.10 KANONI-MADDU'!F48,'22.10.KANONI-MADDU'!F48,'23.10 KANONI-MADDU'!F48)</f>
        <v>1.5714285714285714</v>
      </c>
      <c r="G48" s="49">
        <f>AVERAGE('17.10 KANONI-MADDU'!G48,'18.10 KANONI-MADDU-24h'!G48,'19.10 KANONI-MADDU-24h'!G48,'20.10 KANONI-MADDU'!G48,'21.10 KANONI-MADDU'!G48,'22.10.KANONI-MADDU'!G48,'23.10 KANONI-MADDU'!G48)</f>
        <v>0</v>
      </c>
      <c r="H48" s="49">
        <f>AVERAGE('17.10 KANONI-MADDU'!H48,'18.10 KANONI-MADDU-24h'!H48,'19.10 KANONI-MADDU-24h'!H48,'20.10 KANONI-MADDU'!H48,'21.10 KANONI-MADDU'!H48,'22.10.KANONI-MADDU'!H48,'23.10 KANONI-MADDU'!H48)</f>
        <v>0</v>
      </c>
      <c r="I48" s="49">
        <f>AVERAGE('17.10 KANONI-MADDU'!I48,'18.10 KANONI-MADDU-24h'!I48,'19.10 KANONI-MADDU-24h'!I48,'20.10 KANONI-MADDU'!I48,'21.10 KANONI-MADDU'!I48,'22.10.KANONI-MADDU'!I48,'23.10 KANONI-MADDU'!I48)</f>
        <v>0.7142857142857143</v>
      </c>
      <c r="J48" s="49">
        <f>AVERAGE('17.10 KANONI-MADDU'!J48,'18.10 KANONI-MADDU-24h'!J48,'19.10 KANONI-MADDU-24h'!J48,'20.10 KANONI-MADDU'!J48,'21.10 KANONI-MADDU'!J48,'22.10.KANONI-MADDU'!J48,'23.10 KANONI-MADDU'!J48)</f>
        <v>0.42857142857142855</v>
      </c>
      <c r="K48" s="49">
        <f>AVERAGE('17.10 KANONI-MADDU'!K48,'18.10 KANONI-MADDU-24h'!K48,'19.10 KANONI-MADDU-24h'!K48,'20.10 KANONI-MADDU'!K48,'21.10 KANONI-MADDU'!K48,'22.10.KANONI-MADDU'!K48,'23.10 KANONI-MADDU'!K48)</f>
        <v>0.14285714285714285</v>
      </c>
      <c r="L48" s="49">
        <f>AVERAGE('17.10 KANONI-MADDU'!L48,'18.10 KANONI-MADDU-24h'!L48,'19.10 KANONI-MADDU-24h'!L48,'20.10 KANONI-MADDU'!L48,'21.10 KANONI-MADDU'!L48,'22.10.KANONI-MADDU'!L48,'23.10 KANONI-MADDU'!L48)</f>
        <v>0</v>
      </c>
      <c r="M48" s="49">
        <f>AVERAGE('17.10 KANONI-MADDU'!M48,'18.10 KANONI-MADDU-24h'!M48,'19.10 KANONI-MADDU-24h'!M48,'20.10 KANONI-MADDU'!M48,'21.10 KANONI-MADDU'!M48,'22.10.KANONI-MADDU'!M48,'23.10 KANONI-MADDU'!M48)</f>
        <v>11.857142857142858</v>
      </c>
      <c r="N48" s="49">
        <f>AVERAGE('17.10 KANONI-MADDU'!N48,'18.10 KANONI-MADDU-24h'!N48,'19.10 KANONI-MADDU-24h'!N48,'20.10 KANONI-MADDU'!N48,'21.10 KANONI-MADDU'!N48,'22.10.KANONI-MADDU'!N48,'23.10 KANONI-MADDU'!N48)</f>
        <v>0</v>
      </c>
      <c r="O48" s="15">
        <f t="shared" si="0"/>
        <v>5.0000000000000009</v>
      </c>
      <c r="P48" s="15">
        <f t="shared" si="1"/>
        <v>16.857142857142858</v>
      </c>
      <c r="R48" s="8"/>
      <c r="T48"/>
    </row>
    <row r="49" spans="2:20" ht="23.1" customHeight="1" x14ac:dyDescent="0.25">
      <c r="B49" s="23" t="s">
        <v>76</v>
      </c>
      <c r="C49" s="49">
        <f>AVERAGE('17.10 KANONI-MADDU'!C49,'18.10 KANONI-MADDU-24h'!C49,'19.10 KANONI-MADDU-24h'!C49,'20.10 KANONI-MADDU'!C49,'21.10 KANONI-MADDU'!C49,'22.10.KANONI-MADDU'!C49,'23.10 KANONI-MADDU'!C49)</f>
        <v>2</v>
      </c>
      <c r="D49" s="49">
        <f>AVERAGE('17.10 KANONI-MADDU'!D49,'18.10 KANONI-MADDU-24h'!D49,'19.10 KANONI-MADDU-24h'!D49,'20.10 KANONI-MADDU'!D49,'21.10 KANONI-MADDU'!D49,'22.10.KANONI-MADDU'!D49,'23.10 KANONI-MADDU'!D49)</f>
        <v>0.5714285714285714</v>
      </c>
      <c r="E49" s="49">
        <f>AVERAGE('17.10 KANONI-MADDU'!E49,'18.10 KANONI-MADDU-24h'!E49,'19.10 KANONI-MADDU-24h'!E49,'20.10 KANONI-MADDU'!E49,'21.10 KANONI-MADDU'!E49,'22.10.KANONI-MADDU'!E49,'23.10 KANONI-MADDU'!E49)</f>
        <v>0.2857142857142857</v>
      </c>
      <c r="F49" s="49">
        <f>AVERAGE('17.10 KANONI-MADDU'!F49,'18.10 KANONI-MADDU-24h'!F49,'19.10 KANONI-MADDU-24h'!F49,'20.10 KANONI-MADDU'!F49,'21.10 KANONI-MADDU'!F49,'22.10.KANONI-MADDU'!F49,'23.10 KANONI-MADDU'!F49)</f>
        <v>1.7142857142857142</v>
      </c>
      <c r="G49" s="49">
        <f>AVERAGE('17.10 KANONI-MADDU'!G49,'18.10 KANONI-MADDU-24h'!G49,'19.10 KANONI-MADDU-24h'!G49,'20.10 KANONI-MADDU'!G49,'21.10 KANONI-MADDU'!G49,'22.10.KANONI-MADDU'!G49,'23.10 KANONI-MADDU'!G49)</f>
        <v>0</v>
      </c>
      <c r="H49" s="49">
        <f>AVERAGE('17.10 KANONI-MADDU'!H49,'18.10 KANONI-MADDU-24h'!H49,'19.10 KANONI-MADDU-24h'!H49,'20.10 KANONI-MADDU'!H49,'21.10 KANONI-MADDU'!H49,'22.10.KANONI-MADDU'!H49,'23.10 KANONI-MADDU'!H49)</f>
        <v>0</v>
      </c>
      <c r="I49" s="49">
        <f>AVERAGE('17.10 KANONI-MADDU'!I49,'18.10 KANONI-MADDU-24h'!I49,'19.10 KANONI-MADDU-24h'!I49,'20.10 KANONI-MADDU'!I49,'21.10 KANONI-MADDU'!I49,'22.10.KANONI-MADDU'!I49,'23.10 KANONI-MADDU'!I49)</f>
        <v>0.5714285714285714</v>
      </c>
      <c r="J49" s="49">
        <f>AVERAGE('17.10 KANONI-MADDU'!J49,'18.10 KANONI-MADDU-24h'!J49,'19.10 KANONI-MADDU-24h'!J49,'20.10 KANONI-MADDU'!J49,'21.10 KANONI-MADDU'!J49,'22.10.KANONI-MADDU'!J49,'23.10 KANONI-MADDU'!J49)</f>
        <v>0.5714285714285714</v>
      </c>
      <c r="K49" s="49">
        <f>AVERAGE('17.10 KANONI-MADDU'!K49,'18.10 KANONI-MADDU-24h'!K49,'19.10 KANONI-MADDU-24h'!K49,'20.10 KANONI-MADDU'!K49,'21.10 KANONI-MADDU'!K49,'22.10.KANONI-MADDU'!K49,'23.10 KANONI-MADDU'!K49)</f>
        <v>0</v>
      </c>
      <c r="L49" s="49">
        <f>AVERAGE('17.10 KANONI-MADDU'!L49,'18.10 KANONI-MADDU-24h'!L49,'19.10 KANONI-MADDU-24h'!L49,'20.10 KANONI-MADDU'!L49,'21.10 KANONI-MADDU'!L49,'22.10.KANONI-MADDU'!L49,'23.10 KANONI-MADDU'!L49)</f>
        <v>0</v>
      </c>
      <c r="M49" s="49">
        <f>AVERAGE('17.10 KANONI-MADDU'!M49,'18.10 KANONI-MADDU-24h'!M49,'19.10 KANONI-MADDU-24h'!M49,'20.10 KANONI-MADDU'!M49,'21.10 KANONI-MADDU'!M49,'22.10.KANONI-MADDU'!M49,'23.10 KANONI-MADDU'!M49)</f>
        <v>13.428571428571429</v>
      </c>
      <c r="N49" s="49">
        <f>AVERAGE('17.10 KANONI-MADDU'!N49,'18.10 KANONI-MADDU-24h'!N49,'19.10 KANONI-MADDU-24h'!N49,'20.10 KANONI-MADDU'!N49,'21.10 KANONI-MADDU'!N49,'22.10.KANONI-MADDU'!N49,'23.10 KANONI-MADDU'!N49)</f>
        <v>0</v>
      </c>
      <c r="O49" s="15">
        <f t="shared" si="0"/>
        <v>5.7142857142857135</v>
      </c>
      <c r="P49" s="15">
        <f t="shared" si="1"/>
        <v>19.142857142857142</v>
      </c>
      <c r="R49" s="8"/>
      <c r="T49"/>
    </row>
    <row r="50" spans="2:20" ht="23.1" customHeight="1" x14ac:dyDescent="0.25">
      <c r="B50" s="24" t="s">
        <v>77</v>
      </c>
      <c r="C50" s="49">
        <f>AVERAGE('17.10 KANONI-MADDU'!C50,'18.10 KANONI-MADDU-24h'!C50,'19.10 KANONI-MADDU-24h'!C50,'20.10 KANONI-MADDU'!C50,'21.10 KANONI-MADDU'!C50,'22.10.KANONI-MADDU'!C50,'23.10 KANONI-MADDU'!C50)</f>
        <v>2</v>
      </c>
      <c r="D50" s="49">
        <f>AVERAGE('17.10 KANONI-MADDU'!D50,'18.10 KANONI-MADDU-24h'!D50,'19.10 KANONI-MADDU-24h'!D50,'20.10 KANONI-MADDU'!D50,'21.10 KANONI-MADDU'!D50,'22.10.KANONI-MADDU'!D50,'23.10 KANONI-MADDU'!D50)</f>
        <v>0.42857142857142855</v>
      </c>
      <c r="E50" s="49">
        <f>AVERAGE('17.10 KANONI-MADDU'!E50,'18.10 KANONI-MADDU-24h'!E50,'19.10 KANONI-MADDU-24h'!E50,'20.10 KANONI-MADDU'!E50,'21.10 KANONI-MADDU'!E50,'22.10.KANONI-MADDU'!E50,'23.10 KANONI-MADDU'!E50)</f>
        <v>0.2857142857142857</v>
      </c>
      <c r="F50" s="49">
        <f>AVERAGE('17.10 KANONI-MADDU'!F50,'18.10 KANONI-MADDU-24h'!F50,'19.10 KANONI-MADDU-24h'!F50,'20.10 KANONI-MADDU'!F50,'21.10 KANONI-MADDU'!F50,'22.10.KANONI-MADDU'!F50,'23.10 KANONI-MADDU'!F50)</f>
        <v>1.4285714285714286</v>
      </c>
      <c r="G50" s="49">
        <f>AVERAGE('17.10 KANONI-MADDU'!G50,'18.10 KANONI-MADDU-24h'!G50,'19.10 KANONI-MADDU-24h'!G50,'20.10 KANONI-MADDU'!G50,'21.10 KANONI-MADDU'!G50,'22.10.KANONI-MADDU'!G50,'23.10 KANONI-MADDU'!G50)</f>
        <v>0</v>
      </c>
      <c r="H50" s="49">
        <f>AVERAGE('17.10 KANONI-MADDU'!H50,'18.10 KANONI-MADDU-24h'!H50,'19.10 KANONI-MADDU-24h'!H50,'20.10 KANONI-MADDU'!H50,'21.10 KANONI-MADDU'!H50,'22.10.KANONI-MADDU'!H50,'23.10 KANONI-MADDU'!H50)</f>
        <v>0</v>
      </c>
      <c r="I50" s="49">
        <f>AVERAGE('17.10 KANONI-MADDU'!I50,'18.10 KANONI-MADDU-24h'!I50,'19.10 KANONI-MADDU-24h'!I50,'20.10 KANONI-MADDU'!I50,'21.10 KANONI-MADDU'!I50,'22.10.KANONI-MADDU'!I50,'23.10 KANONI-MADDU'!I50)</f>
        <v>0.14285714285714285</v>
      </c>
      <c r="J50" s="49">
        <f>AVERAGE('17.10 KANONI-MADDU'!J50,'18.10 KANONI-MADDU-24h'!J50,'19.10 KANONI-MADDU-24h'!J50,'20.10 KANONI-MADDU'!J50,'21.10 KANONI-MADDU'!J50,'22.10.KANONI-MADDU'!J50,'23.10 KANONI-MADDU'!J50)</f>
        <v>0.7142857142857143</v>
      </c>
      <c r="K50" s="49">
        <f>AVERAGE('17.10 KANONI-MADDU'!K50,'18.10 KANONI-MADDU-24h'!K50,'19.10 KANONI-MADDU-24h'!K50,'20.10 KANONI-MADDU'!K50,'21.10 KANONI-MADDU'!K50,'22.10.KANONI-MADDU'!K50,'23.10 KANONI-MADDU'!K50)</f>
        <v>0.2857142857142857</v>
      </c>
      <c r="L50" s="49">
        <f>AVERAGE('17.10 KANONI-MADDU'!L50,'18.10 KANONI-MADDU-24h'!L50,'19.10 KANONI-MADDU-24h'!L50,'20.10 KANONI-MADDU'!L50,'21.10 KANONI-MADDU'!L50,'22.10.KANONI-MADDU'!L50,'23.10 KANONI-MADDU'!L50)</f>
        <v>0</v>
      </c>
      <c r="M50" s="49">
        <f>AVERAGE('17.10 KANONI-MADDU'!M50,'18.10 KANONI-MADDU-24h'!M50,'19.10 KANONI-MADDU-24h'!M50,'20.10 KANONI-MADDU'!M50,'21.10 KANONI-MADDU'!M50,'22.10.KANONI-MADDU'!M50,'23.10 KANONI-MADDU'!M50)</f>
        <v>10.571428571428571</v>
      </c>
      <c r="N50" s="49">
        <f>AVERAGE('17.10 KANONI-MADDU'!N50,'18.10 KANONI-MADDU-24h'!N50,'19.10 KANONI-MADDU-24h'!N50,'20.10 KANONI-MADDU'!N50,'21.10 KANONI-MADDU'!N50,'22.10.KANONI-MADDU'!N50,'23.10 KANONI-MADDU'!N50)</f>
        <v>0</v>
      </c>
      <c r="O50" s="15">
        <f t="shared" si="0"/>
        <v>5.2857142857142856</v>
      </c>
      <c r="P50" s="15">
        <f t="shared" si="1"/>
        <v>15.857142857142858</v>
      </c>
      <c r="R50" s="8"/>
      <c r="T50"/>
    </row>
    <row r="51" spans="2:20" ht="23.1" customHeight="1" x14ac:dyDescent="0.25">
      <c r="B51" s="24" t="s">
        <v>78</v>
      </c>
      <c r="C51" s="49">
        <f>AVERAGE('17.10 KANONI-MADDU'!C51,'18.10 KANONI-MADDU-24h'!C51,'19.10 KANONI-MADDU-24h'!C51,'20.10 KANONI-MADDU'!C51,'21.10 KANONI-MADDU'!C51,'22.10.KANONI-MADDU'!C51,'23.10 KANONI-MADDU'!C51)</f>
        <v>2.7142857142857144</v>
      </c>
      <c r="D51" s="49">
        <f>AVERAGE('17.10 KANONI-MADDU'!D51,'18.10 KANONI-MADDU-24h'!D51,'19.10 KANONI-MADDU-24h'!D51,'20.10 KANONI-MADDU'!D51,'21.10 KANONI-MADDU'!D51,'22.10.KANONI-MADDU'!D51,'23.10 KANONI-MADDU'!D51)</f>
        <v>0.42857142857142855</v>
      </c>
      <c r="E51" s="49">
        <f>AVERAGE('17.10 KANONI-MADDU'!E51,'18.10 KANONI-MADDU-24h'!E51,'19.10 KANONI-MADDU-24h'!E51,'20.10 KANONI-MADDU'!E51,'21.10 KANONI-MADDU'!E51,'22.10.KANONI-MADDU'!E51,'23.10 KANONI-MADDU'!E51)</f>
        <v>0.7142857142857143</v>
      </c>
      <c r="F51" s="49">
        <f>AVERAGE('17.10 KANONI-MADDU'!F51,'18.10 KANONI-MADDU-24h'!F51,'19.10 KANONI-MADDU-24h'!F51,'20.10 KANONI-MADDU'!F51,'21.10 KANONI-MADDU'!F51,'22.10.KANONI-MADDU'!F51,'23.10 KANONI-MADDU'!F51)</f>
        <v>2.5714285714285716</v>
      </c>
      <c r="G51" s="49">
        <f>AVERAGE('17.10 KANONI-MADDU'!G51,'18.10 KANONI-MADDU-24h'!G51,'19.10 KANONI-MADDU-24h'!G51,'20.10 KANONI-MADDU'!G51,'21.10 KANONI-MADDU'!G51,'22.10.KANONI-MADDU'!G51,'23.10 KANONI-MADDU'!G51)</f>
        <v>0</v>
      </c>
      <c r="H51" s="49">
        <f>AVERAGE('17.10 KANONI-MADDU'!H51,'18.10 KANONI-MADDU-24h'!H51,'19.10 KANONI-MADDU-24h'!H51,'20.10 KANONI-MADDU'!H51,'21.10 KANONI-MADDU'!H51,'22.10.KANONI-MADDU'!H51,'23.10 KANONI-MADDU'!H51)</f>
        <v>0</v>
      </c>
      <c r="I51" s="49">
        <f>AVERAGE('17.10 KANONI-MADDU'!I51,'18.10 KANONI-MADDU-24h'!I51,'19.10 KANONI-MADDU-24h'!I51,'20.10 KANONI-MADDU'!I51,'21.10 KANONI-MADDU'!I51,'22.10.KANONI-MADDU'!I51,'23.10 KANONI-MADDU'!I51)</f>
        <v>0.42857142857142855</v>
      </c>
      <c r="J51" s="49">
        <f>AVERAGE('17.10 KANONI-MADDU'!J51,'18.10 KANONI-MADDU-24h'!J51,'19.10 KANONI-MADDU-24h'!J51,'20.10 KANONI-MADDU'!J51,'21.10 KANONI-MADDU'!J51,'22.10.KANONI-MADDU'!J51,'23.10 KANONI-MADDU'!J51)</f>
        <v>0.42857142857142855</v>
      </c>
      <c r="K51" s="49">
        <f>AVERAGE('17.10 KANONI-MADDU'!K51,'18.10 KANONI-MADDU-24h'!K51,'19.10 KANONI-MADDU-24h'!K51,'20.10 KANONI-MADDU'!K51,'21.10 KANONI-MADDU'!K51,'22.10.KANONI-MADDU'!K51,'23.10 KANONI-MADDU'!K51)</f>
        <v>0.14285714285714285</v>
      </c>
      <c r="L51" s="49">
        <f>AVERAGE('17.10 KANONI-MADDU'!L51,'18.10 KANONI-MADDU-24h'!L51,'19.10 KANONI-MADDU-24h'!L51,'20.10 KANONI-MADDU'!L51,'21.10 KANONI-MADDU'!L51,'22.10.KANONI-MADDU'!L51,'23.10 KANONI-MADDU'!L51)</f>
        <v>0</v>
      </c>
      <c r="M51" s="49">
        <f>AVERAGE('17.10 KANONI-MADDU'!M51,'18.10 KANONI-MADDU-24h'!M51,'19.10 KANONI-MADDU-24h'!M51,'20.10 KANONI-MADDU'!M51,'21.10 KANONI-MADDU'!M51,'22.10.KANONI-MADDU'!M51,'23.10 KANONI-MADDU'!M51)</f>
        <v>11.857142857142858</v>
      </c>
      <c r="N51" s="49">
        <f>AVERAGE('17.10 KANONI-MADDU'!N51,'18.10 KANONI-MADDU-24h'!N51,'19.10 KANONI-MADDU-24h'!N51,'20.10 KANONI-MADDU'!N51,'21.10 KANONI-MADDU'!N51,'22.10.KANONI-MADDU'!N51,'23.10 KANONI-MADDU'!N51)</f>
        <v>0.14285714285714285</v>
      </c>
      <c r="O51" s="15">
        <f t="shared" si="0"/>
        <v>7.571428571428573</v>
      </c>
      <c r="P51" s="15">
        <f t="shared" si="1"/>
        <v>19.428571428571431</v>
      </c>
      <c r="R51" s="8"/>
      <c r="T51"/>
    </row>
    <row r="52" spans="2:20" ht="23.1" customHeight="1" x14ac:dyDescent="0.25">
      <c r="B52" s="24" t="s">
        <v>79</v>
      </c>
      <c r="C52" s="49">
        <f>AVERAGE('17.10 KANONI-MADDU'!C52,'18.10 KANONI-MADDU-24h'!C52,'19.10 KANONI-MADDU-24h'!C52,'20.10 KANONI-MADDU'!C52,'21.10 KANONI-MADDU'!C52,'22.10.KANONI-MADDU'!C52,'23.10 KANONI-MADDU'!C52)</f>
        <v>1.5714285714285714</v>
      </c>
      <c r="D52" s="49">
        <f>AVERAGE('17.10 KANONI-MADDU'!D52,'18.10 KANONI-MADDU-24h'!D52,'19.10 KANONI-MADDU-24h'!D52,'20.10 KANONI-MADDU'!D52,'21.10 KANONI-MADDU'!D52,'22.10.KANONI-MADDU'!D52,'23.10 KANONI-MADDU'!D52)</f>
        <v>0.42857142857142855</v>
      </c>
      <c r="E52" s="49">
        <f>AVERAGE('17.10 KANONI-MADDU'!E52,'18.10 KANONI-MADDU-24h'!E52,'19.10 KANONI-MADDU-24h'!E52,'20.10 KANONI-MADDU'!E52,'21.10 KANONI-MADDU'!E52,'22.10.KANONI-MADDU'!E52,'23.10 KANONI-MADDU'!E52)</f>
        <v>0.5714285714285714</v>
      </c>
      <c r="F52" s="49">
        <f>AVERAGE('17.10 KANONI-MADDU'!F52,'18.10 KANONI-MADDU-24h'!F52,'19.10 KANONI-MADDU-24h'!F52,'20.10 KANONI-MADDU'!F52,'21.10 KANONI-MADDU'!F52,'22.10.KANONI-MADDU'!F52,'23.10 KANONI-MADDU'!F52)</f>
        <v>2.1428571428571428</v>
      </c>
      <c r="G52" s="49">
        <f>AVERAGE('17.10 KANONI-MADDU'!G52,'18.10 KANONI-MADDU-24h'!G52,'19.10 KANONI-MADDU-24h'!G52,'20.10 KANONI-MADDU'!G52,'21.10 KANONI-MADDU'!G52,'22.10.KANONI-MADDU'!G52,'23.10 KANONI-MADDU'!G52)</f>
        <v>0</v>
      </c>
      <c r="H52" s="49">
        <f>AVERAGE('17.10 KANONI-MADDU'!H52,'18.10 KANONI-MADDU-24h'!H52,'19.10 KANONI-MADDU-24h'!H52,'20.10 KANONI-MADDU'!H52,'21.10 KANONI-MADDU'!H52,'22.10.KANONI-MADDU'!H52,'23.10 KANONI-MADDU'!H52)</f>
        <v>0</v>
      </c>
      <c r="I52" s="49">
        <f>AVERAGE('17.10 KANONI-MADDU'!I52,'18.10 KANONI-MADDU-24h'!I52,'19.10 KANONI-MADDU-24h'!I52,'20.10 KANONI-MADDU'!I52,'21.10 KANONI-MADDU'!I52,'22.10.KANONI-MADDU'!I52,'23.10 KANONI-MADDU'!I52)</f>
        <v>0.7142857142857143</v>
      </c>
      <c r="J52" s="49">
        <f>AVERAGE('17.10 KANONI-MADDU'!J52,'18.10 KANONI-MADDU-24h'!J52,'19.10 KANONI-MADDU-24h'!J52,'20.10 KANONI-MADDU'!J52,'21.10 KANONI-MADDU'!J52,'22.10.KANONI-MADDU'!J52,'23.10 KANONI-MADDU'!J52)</f>
        <v>0.2857142857142857</v>
      </c>
      <c r="K52" s="49">
        <f>AVERAGE('17.10 KANONI-MADDU'!K52,'18.10 KANONI-MADDU-24h'!K52,'19.10 KANONI-MADDU-24h'!K52,'20.10 KANONI-MADDU'!K52,'21.10 KANONI-MADDU'!K52,'22.10.KANONI-MADDU'!K52,'23.10 KANONI-MADDU'!K52)</f>
        <v>0.2857142857142857</v>
      </c>
      <c r="L52" s="49">
        <f>AVERAGE('17.10 KANONI-MADDU'!L52,'18.10 KANONI-MADDU-24h'!L52,'19.10 KANONI-MADDU-24h'!L52,'20.10 KANONI-MADDU'!L52,'21.10 KANONI-MADDU'!L52,'22.10.KANONI-MADDU'!L52,'23.10 KANONI-MADDU'!L52)</f>
        <v>0</v>
      </c>
      <c r="M52" s="49">
        <f>AVERAGE('17.10 KANONI-MADDU'!M52,'18.10 KANONI-MADDU-24h'!M52,'19.10 KANONI-MADDU-24h'!M52,'20.10 KANONI-MADDU'!M52,'21.10 KANONI-MADDU'!M52,'22.10.KANONI-MADDU'!M52,'23.10 KANONI-MADDU'!M52)</f>
        <v>10.857142857142858</v>
      </c>
      <c r="N52" s="49">
        <f>AVERAGE('17.10 KANONI-MADDU'!N52,'18.10 KANONI-MADDU-24h'!N52,'19.10 KANONI-MADDU-24h'!N52,'20.10 KANONI-MADDU'!N52,'21.10 KANONI-MADDU'!N52,'22.10.KANONI-MADDU'!N52,'23.10 KANONI-MADDU'!N52)</f>
        <v>0</v>
      </c>
      <c r="O52" s="15">
        <f t="shared" si="0"/>
        <v>5.9999999999999991</v>
      </c>
      <c r="P52" s="15">
        <f t="shared" si="1"/>
        <v>16.857142857142858</v>
      </c>
      <c r="R52" s="8"/>
      <c r="T52"/>
    </row>
    <row r="53" spans="2:20" ht="23.1" customHeight="1" x14ac:dyDescent="0.25">
      <c r="B53" s="23" t="s">
        <v>80</v>
      </c>
      <c r="C53" s="49">
        <f>AVERAGE('17.10 KANONI-MADDU'!C53,'18.10 KANONI-MADDU-24h'!C53,'19.10 KANONI-MADDU-24h'!C53,'20.10 KANONI-MADDU'!C53,'21.10 KANONI-MADDU'!C53,'22.10.KANONI-MADDU'!C53,'23.10 KANONI-MADDU'!C53)</f>
        <v>1.4285714285714286</v>
      </c>
      <c r="D53" s="49">
        <f>AVERAGE('17.10 KANONI-MADDU'!D53,'18.10 KANONI-MADDU-24h'!D53,'19.10 KANONI-MADDU-24h'!D53,'20.10 KANONI-MADDU'!D53,'21.10 KANONI-MADDU'!D53,'22.10.KANONI-MADDU'!D53,'23.10 KANONI-MADDU'!D53)</f>
        <v>0.2857142857142857</v>
      </c>
      <c r="E53" s="49">
        <f>AVERAGE('17.10 KANONI-MADDU'!E53,'18.10 KANONI-MADDU-24h'!E53,'19.10 KANONI-MADDU-24h'!E53,'20.10 KANONI-MADDU'!E53,'21.10 KANONI-MADDU'!E53,'22.10.KANONI-MADDU'!E53,'23.10 KANONI-MADDU'!E53)</f>
        <v>0.42857142857142855</v>
      </c>
      <c r="F53" s="49">
        <f>AVERAGE('17.10 KANONI-MADDU'!F53,'18.10 KANONI-MADDU-24h'!F53,'19.10 KANONI-MADDU-24h'!F53,'20.10 KANONI-MADDU'!F53,'21.10 KANONI-MADDU'!F53,'22.10.KANONI-MADDU'!F53,'23.10 KANONI-MADDU'!F53)</f>
        <v>1.2857142857142858</v>
      </c>
      <c r="G53" s="49">
        <f>AVERAGE('17.10 KANONI-MADDU'!G53,'18.10 KANONI-MADDU-24h'!G53,'19.10 KANONI-MADDU-24h'!G53,'20.10 KANONI-MADDU'!G53,'21.10 KANONI-MADDU'!G53,'22.10.KANONI-MADDU'!G53,'23.10 KANONI-MADDU'!G53)</f>
        <v>0.14285714285714285</v>
      </c>
      <c r="H53" s="49">
        <f>AVERAGE('17.10 KANONI-MADDU'!H53,'18.10 KANONI-MADDU-24h'!H53,'19.10 KANONI-MADDU-24h'!H53,'20.10 KANONI-MADDU'!H53,'21.10 KANONI-MADDU'!H53,'22.10.KANONI-MADDU'!H53,'23.10 KANONI-MADDU'!H53)</f>
        <v>0</v>
      </c>
      <c r="I53" s="49">
        <f>AVERAGE('17.10 KANONI-MADDU'!I53,'18.10 KANONI-MADDU-24h'!I53,'19.10 KANONI-MADDU-24h'!I53,'20.10 KANONI-MADDU'!I53,'21.10 KANONI-MADDU'!I53,'22.10.KANONI-MADDU'!I53,'23.10 KANONI-MADDU'!I53)</f>
        <v>0.42857142857142855</v>
      </c>
      <c r="J53" s="49">
        <f>AVERAGE('17.10 KANONI-MADDU'!J53,'18.10 KANONI-MADDU-24h'!J53,'19.10 KANONI-MADDU-24h'!J53,'20.10 KANONI-MADDU'!J53,'21.10 KANONI-MADDU'!J53,'22.10.KANONI-MADDU'!J53,'23.10 KANONI-MADDU'!J53)</f>
        <v>0.14285714285714285</v>
      </c>
      <c r="K53" s="49">
        <f>AVERAGE('17.10 KANONI-MADDU'!K53,'18.10 KANONI-MADDU-24h'!K53,'19.10 KANONI-MADDU-24h'!K53,'20.10 KANONI-MADDU'!K53,'21.10 KANONI-MADDU'!K53,'22.10.KANONI-MADDU'!K53,'23.10 KANONI-MADDU'!K53)</f>
        <v>0.2857142857142857</v>
      </c>
      <c r="L53" s="49">
        <f>AVERAGE('17.10 KANONI-MADDU'!L53,'18.10 KANONI-MADDU-24h'!L53,'19.10 KANONI-MADDU-24h'!L53,'20.10 KANONI-MADDU'!L53,'21.10 KANONI-MADDU'!L53,'22.10.KANONI-MADDU'!L53,'23.10 KANONI-MADDU'!L53)</f>
        <v>0</v>
      </c>
      <c r="M53" s="49">
        <f>AVERAGE('17.10 KANONI-MADDU'!M53,'18.10 KANONI-MADDU-24h'!M53,'19.10 KANONI-MADDU-24h'!M53,'20.10 KANONI-MADDU'!M53,'21.10 KANONI-MADDU'!M53,'22.10.KANONI-MADDU'!M53,'23.10 KANONI-MADDU'!M53)</f>
        <v>12.857142857142858</v>
      </c>
      <c r="N53" s="49">
        <f>AVERAGE('17.10 KANONI-MADDU'!N53,'18.10 KANONI-MADDU-24h'!N53,'19.10 KANONI-MADDU-24h'!N53,'20.10 KANONI-MADDU'!N53,'21.10 KANONI-MADDU'!N53,'22.10.KANONI-MADDU'!N53,'23.10 KANONI-MADDU'!N53)</f>
        <v>0</v>
      </c>
      <c r="O53" s="15">
        <f t="shared" si="0"/>
        <v>4.4285714285714288</v>
      </c>
      <c r="P53" s="15">
        <f t="shared" si="1"/>
        <v>17.285714285714285</v>
      </c>
      <c r="R53" s="8"/>
      <c r="T53"/>
    </row>
    <row r="54" spans="2:20" ht="23.1" customHeight="1" x14ac:dyDescent="0.25">
      <c r="B54" s="23" t="s">
        <v>81</v>
      </c>
      <c r="C54" s="49">
        <f>AVERAGE('17.10 KANONI-MADDU'!C54,'18.10 KANONI-MADDU-24h'!C54,'19.10 KANONI-MADDU-24h'!C54,'20.10 KANONI-MADDU'!C54,'21.10 KANONI-MADDU'!C54,'22.10.KANONI-MADDU'!C54,'23.10 KANONI-MADDU'!C54)</f>
        <v>1</v>
      </c>
      <c r="D54" s="49">
        <f>AVERAGE('17.10 KANONI-MADDU'!D54,'18.10 KANONI-MADDU-24h'!D54,'19.10 KANONI-MADDU-24h'!D54,'20.10 KANONI-MADDU'!D54,'21.10 KANONI-MADDU'!D54,'22.10.KANONI-MADDU'!D54,'23.10 KANONI-MADDU'!D54)</f>
        <v>0.5714285714285714</v>
      </c>
      <c r="E54" s="49">
        <f>AVERAGE('17.10 KANONI-MADDU'!E54,'18.10 KANONI-MADDU-24h'!E54,'19.10 KANONI-MADDU-24h'!E54,'20.10 KANONI-MADDU'!E54,'21.10 KANONI-MADDU'!E54,'22.10.KANONI-MADDU'!E54,'23.10 KANONI-MADDU'!E54)</f>
        <v>0.7142857142857143</v>
      </c>
      <c r="F54" s="49">
        <f>AVERAGE('17.10 KANONI-MADDU'!F54,'18.10 KANONI-MADDU-24h'!F54,'19.10 KANONI-MADDU-24h'!F54,'20.10 KANONI-MADDU'!F54,'21.10 KANONI-MADDU'!F54,'22.10.KANONI-MADDU'!F54,'23.10 KANONI-MADDU'!F54)</f>
        <v>3.1428571428571428</v>
      </c>
      <c r="G54" s="49">
        <f>AVERAGE('17.10 KANONI-MADDU'!G54,'18.10 KANONI-MADDU-24h'!G54,'19.10 KANONI-MADDU-24h'!G54,'20.10 KANONI-MADDU'!G54,'21.10 KANONI-MADDU'!G54,'22.10.KANONI-MADDU'!G54,'23.10 KANONI-MADDU'!G54)</f>
        <v>0</v>
      </c>
      <c r="H54" s="49">
        <f>AVERAGE('17.10 KANONI-MADDU'!H54,'18.10 KANONI-MADDU-24h'!H54,'19.10 KANONI-MADDU-24h'!H54,'20.10 KANONI-MADDU'!H54,'21.10 KANONI-MADDU'!H54,'22.10.KANONI-MADDU'!H54,'23.10 KANONI-MADDU'!H54)</f>
        <v>0</v>
      </c>
      <c r="I54" s="49">
        <f>AVERAGE('17.10 KANONI-MADDU'!I54,'18.10 KANONI-MADDU-24h'!I54,'19.10 KANONI-MADDU-24h'!I54,'20.10 KANONI-MADDU'!I54,'21.10 KANONI-MADDU'!I54,'22.10.KANONI-MADDU'!I54,'23.10 KANONI-MADDU'!I54)</f>
        <v>0.7142857142857143</v>
      </c>
      <c r="J54" s="49">
        <f>AVERAGE('17.10 KANONI-MADDU'!J54,'18.10 KANONI-MADDU-24h'!J54,'19.10 KANONI-MADDU-24h'!J54,'20.10 KANONI-MADDU'!J54,'21.10 KANONI-MADDU'!J54,'22.10.KANONI-MADDU'!J54,'23.10 KANONI-MADDU'!J54)</f>
        <v>0</v>
      </c>
      <c r="K54" s="49">
        <f>AVERAGE('17.10 KANONI-MADDU'!K54,'18.10 KANONI-MADDU-24h'!K54,'19.10 KANONI-MADDU-24h'!K54,'20.10 KANONI-MADDU'!K54,'21.10 KANONI-MADDU'!K54,'22.10.KANONI-MADDU'!K54,'23.10 KANONI-MADDU'!K54)</f>
        <v>0.14285714285714285</v>
      </c>
      <c r="L54" s="49">
        <f>AVERAGE('17.10 KANONI-MADDU'!L54,'18.10 KANONI-MADDU-24h'!L54,'19.10 KANONI-MADDU-24h'!L54,'20.10 KANONI-MADDU'!L54,'21.10 KANONI-MADDU'!L54,'22.10.KANONI-MADDU'!L54,'23.10 KANONI-MADDU'!L54)</f>
        <v>0</v>
      </c>
      <c r="M54" s="49">
        <f>AVERAGE('17.10 KANONI-MADDU'!M54,'18.10 KANONI-MADDU-24h'!M54,'19.10 KANONI-MADDU-24h'!M54,'20.10 KANONI-MADDU'!M54,'21.10 KANONI-MADDU'!M54,'22.10.KANONI-MADDU'!M54,'23.10 KANONI-MADDU'!M54)</f>
        <v>9.4285714285714288</v>
      </c>
      <c r="N54" s="49">
        <f>AVERAGE('17.10 KANONI-MADDU'!N54,'18.10 KANONI-MADDU-24h'!N54,'19.10 KANONI-MADDU-24h'!N54,'20.10 KANONI-MADDU'!N54,'21.10 KANONI-MADDU'!N54,'22.10.KANONI-MADDU'!N54,'23.10 KANONI-MADDU'!N54)</f>
        <v>0</v>
      </c>
      <c r="O54" s="15">
        <f t="shared" si="0"/>
        <v>6.2857142857142865</v>
      </c>
      <c r="P54" s="15">
        <f t="shared" si="1"/>
        <v>15.714285714285715</v>
      </c>
      <c r="R54" s="8"/>
      <c r="T54"/>
    </row>
    <row r="55" spans="2:20" ht="23.1" customHeight="1" x14ac:dyDescent="0.25">
      <c r="B55" s="23" t="s">
        <v>82</v>
      </c>
      <c r="C55" s="49">
        <f>AVERAGE('17.10 KANONI-MADDU'!C55,'18.10 KANONI-MADDU-24h'!C55,'19.10 KANONI-MADDU-24h'!C55,'20.10 KANONI-MADDU'!C55,'21.10 KANONI-MADDU'!C55,'22.10.KANONI-MADDU'!C55,'23.10 KANONI-MADDU'!C55)</f>
        <v>1.7142857142857142</v>
      </c>
      <c r="D55" s="49">
        <f>AVERAGE('17.10 KANONI-MADDU'!D55,'18.10 KANONI-MADDU-24h'!D55,'19.10 KANONI-MADDU-24h'!D55,'20.10 KANONI-MADDU'!D55,'21.10 KANONI-MADDU'!D55,'22.10.KANONI-MADDU'!D55,'23.10 KANONI-MADDU'!D55)</f>
        <v>0.5714285714285714</v>
      </c>
      <c r="E55" s="49">
        <f>AVERAGE('17.10 KANONI-MADDU'!E55,'18.10 KANONI-MADDU-24h'!E55,'19.10 KANONI-MADDU-24h'!E55,'20.10 KANONI-MADDU'!E55,'21.10 KANONI-MADDU'!E55,'22.10.KANONI-MADDU'!E55,'23.10 KANONI-MADDU'!E55)</f>
        <v>0.14285714285714285</v>
      </c>
      <c r="F55" s="49">
        <f>AVERAGE('17.10 KANONI-MADDU'!F55,'18.10 KANONI-MADDU-24h'!F55,'19.10 KANONI-MADDU-24h'!F55,'20.10 KANONI-MADDU'!F55,'21.10 KANONI-MADDU'!F55,'22.10.KANONI-MADDU'!F55,'23.10 KANONI-MADDU'!F55)</f>
        <v>1.5714285714285714</v>
      </c>
      <c r="G55" s="49">
        <f>AVERAGE('17.10 KANONI-MADDU'!G55,'18.10 KANONI-MADDU-24h'!G55,'19.10 KANONI-MADDU-24h'!G55,'20.10 KANONI-MADDU'!G55,'21.10 KANONI-MADDU'!G55,'22.10.KANONI-MADDU'!G55,'23.10 KANONI-MADDU'!G55)</f>
        <v>0</v>
      </c>
      <c r="H55" s="49">
        <f>AVERAGE('17.10 KANONI-MADDU'!H55,'18.10 KANONI-MADDU-24h'!H55,'19.10 KANONI-MADDU-24h'!H55,'20.10 KANONI-MADDU'!H55,'21.10 KANONI-MADDU'!H55,'22.10.KANONI-MADDU'!H55,'23.10 KANONI-MADDU'!H55)</f>
        <v>0</v>
      </c>
      <c r="I55" s="49">
        <f>AVERAGE('17.10 KANONI-MADDU'!I55,'18.10 KANONI-MADDU-24h'!I55,'19.10 KANONI-MADDU-24h'!I55,'20.10 KANONI-MADDU'!I55,'21.10 KANONI-MADDU'!I55,'22.10.KANONI-MADDU'!I55,'23.10 KANONI-MADDU'!I55)</f>
        <v>0.7142857142857143</v>
      </c>
      <c r="J55" s="49">
        <f>AVERAGE('17.10 KANONI-MADDU'!J55,'18.10 KANONI-MADDU-24h'!J55,'19.10 KANONI-MADDU-24h'!J55,'20.10 KANONI-MADDU'!J55,'21.10 KANONI-MADDU'!J55,'22.10.KANONI-MADDU'!J55,'23.10 KANONI-MADDU'!J55)</f>
        <v>0.14285714285714285</v>
      </c>
      <c r="K55" s="49">
        <f>AVERAGE('17.10 KANONI-MADDU'!K55,'18.10 KANONI-MADDU-24h'!K55,'19.10 KANONI-MADDU-24h'!K55,'20.10 KANONI-MADDU'!K55,'21.10 KANONI-MADDU'!K55,'22.10.KANONI-MADDU'!K55,'23.10 KANONI-MADDU'!K55)</f>
        <v>0.14285714285714285</v>
      </c>
      <c r="L55" s="49">
        <f>AVERAGE('17.10 KANONI-MADDU'!L55,'18.10 KANONI-MADDU-24h'!L55,'19.10 KANONI-MADDU-24h'!L55,'20.10 KANONI-MADDU'!L55,'21.10 KANONI-MADDU'!L55,'22.10.KANONI-MADDU'!L55,'23.10 KANONI-MADDU'!L55)</f>
        <v>0</v>
      </c>
      <c r="M55" s="49">
        <f>AVERAGE('17.10 KANONI-MADDU'!M55,'18.10 KANONI-MADDU-24h'!M55,'19.10 KANONI-MADDU-24h'!M55,'20.10 KANONI-MADDU'!M55,'21.10 KANONI-MADDU'!M55,'22.10.KANONI-MADDU'!M55,'23.10 KANONI-MADDU'!M55)</f>
        <v>10.285714285714286</v>
      </c>
      <c r="N55" s="49">
        <f>AVERAGE('17.10 KANONI-MADDU'!N55,'18.10 KANONI-MADDU-24h'!N55,'19.10 KANONI-MADDU-24h'!N55,'20.10 KANONI-MADDU'!N55,'21.10 KANONI-MADDU'!N55,'22.10.KANONI-MADDU'!N55,'23.10 KANONI-MADDU'!N55)</f>
        <v>0</v>
      </c>
      <c r="O55" s="15">
        <f t="shared" si="0"/>
        <v>5.0000000000000009</v>
      </c>
      <c r="P55" s="15">
        <f t="shared" si="1"/>
        <v>15.285714285714288</v>
      </c>
      <c r="R55" s="8"/>
      <c r="T55"/>
    </row>
    <row r="56" spans="2:20" ht="23.1" customHeight="1" x14ac:dyDescent="0.25">
      <c r="B56" s="23" t="s">
        <v>83</v>
      </c>
      <c r="C56" s="49">
        <f>AVERAGE('17.10 KANONI-MADDU'!C56,'18.10 KANONI-MADDU-24h'!C56,'19.10 KANONI-MADDU-24h'!C56,'20.10 KANONI-MADDU'!C56,'21.10 KANONI-MADDU'!C56,'22.10.KANONI-MADDU'!C56,'23.10 KANONI-MADDU'!C56)</f>
        <v>1.5714285714285714</v>
      </c>
      <c r="D56" s="49">
        <f>AVERAGE('17.10 KANONI-MADDU'!D56,'18.10 KANONI-MADDU-24h'!D56,'19.10 KANONI-MADDU-24h'!D56,'20.10 KANONI-MADDU'!D56,'21.10 KANONI-MADDU'!D56,'22.10.KANONI-MADDU'!D56,'23.10 KANONI-MADDU'!D56)</f>
        <v>1</v>
      </c>
      <c r="E56" s="49">
        <f>AVERAGE('17.10 KANONI-MADDU'!E56,'18.10 KANONI-MADDU-24h'!E56,'19.10 KANONI-MADDU-24h'!E56,'20.10 KANONI-MADDU'!E56,'21.10 KANONI-MADDU'!E56,'22.10.KANONI-MADDU'!E56,'23.10 KANONI-MADDU'!E56)</f>
        <v>0.5714285714285714</v>
      </c>
      <c r="F56" s="49">
        <f>AVERAGE('17.10 KANONI-MADDU'!F56,'18.10 KANONI-MADDU-24h'!F56,'19.10 KANONI-MADDU-24h'!F56,'20.10 KANONI-MADDU'!F56,'21.10 KANONI-MADDU'!F56,'22.10.KANONI-MADDU'!F56,'23.10 KANONI-MADDU'!F56)</f>
        <v>1.4285714285714286</v>
      </c>
      <c r="G56" s="49">
        <f>AVERAGE('17.10 KANONI-MADDU'!G56,'18.10 KANONI-MADDU-24h'!G56,'19.10 KANONI-MADDU-24h'!G56,'20.10 KANONI-MADDU'!G56,'21.10 KANONI-MADDU'!G56,'22.10.KANONI-MADDU'!G56,'23.10 KANONI-MADDU'!G56)</f>
        <v>0</v>
      </c>
      <c r="H56" s="49">
        <f>AVERAGE('17.10 KANONI-MADDU'!H56,'18.10 KANONI-MADDU-24h'!H56,'19.10 KANONI-MADDU-24h'!H56,'20.10 KANONI-MADDU'!H56,'21.10 KANONI-MADDU'!H56,'22.10.KANONI-MADDU'!H56,'23.10 KANONI-MADDU'!H56)</f>
        <v>0</v>
      </c>
      <c r="I56" s="49">
        <f>AVERAGE('17.10 KANONI-MADDU'!I56,'18.10 KANONI-MADDU-24h'!I56,'19.10 KANONI-MADDU-24h'!I56,'20.10 KANONI-MADDU'!I56,'21.10 KANONI-MADDU'!I56,'22.10.KANONI-MADDU'!I56,'23.10 KANONI-MADDU'!I56)</f>
        <v>0.2857142857142857</v>
      </c>
      <c r="J56" s="49">
        <f>AVERAGE('17.10 KANONI-MADDU'!J56,'18.10 KANONI-MADDU-24h'!J56,'19.10 KANONI-MADDU-24h'!J56,'20.10 KANONI-MADDU'!J56,'21.10 KANONI-MADDU'!J56,'22.10.KANONI-MADDU'!J56,'23.10 KANONI-MADDU'!J56)</f>
        <v>0.2857142857142857</v>
      </c>
      <c r="K56" s="49">
        <f>AVERAGE('17.10 KANONI-MADDU'!K56,'18.10 KANONI-MADDU-24h'!K56,'19.10 KANONI-MADDU-24h'!K56,'20.10 KANONI-MADDU'!K56,'21.10 KANONI-MADDU'!K56,'22.10.KANONI-MADDU'!K56,'23.10 KANONI-MADDU'!K56)</f>
        <v>0</v>
      </c>
      <c r="L56" s="49">
        <f>AVERAGE('17.10 KANONI-MADDU'!L56,'18.10 KANONI-MADDU-24h'!L56,'19.10 KANONI-MADDU-24h'!L56,'20.10 KANONI-MADDU'!L56,'21.10 KANONI-MADDU'!L56,'22.10.KANONI-MADDU'!L56,'23.10 KANONI-MADDU'!L56)</f>
        <v>0</v>
      </c>
      <c r="M56" s="49">
        <f>AVERAGE('17.10 KANONI-MADDU'!M56,'18.10 KANONI-MADDU-24h'!M56,'19.10 KANONI-MADDU-24h'!M56,'20.10 KANONI-MADDU'!M56,'21.10 KANONI-MADDU'!M56,'22.10.KANONI-MADDU'!M56,'23.10 KANONI-MADDU'!M56)</f>
        <v>8</v>
      </c>
      <c r="N56" s="49">
        <f>AVERAGE('17.10 KANONI-MADDU'!N56,'18.10 KANONI-MADDU-24h'!N56,'19.10 KANONI-MADDU-24h'!N56,'20.10 KANONI-MADDU'!N56,'21.10 KANONI-MADDU'!N56,'22.10.KANONI-MADDU'!N56,'23.10 KANONI-MADDU'!N56)</f>
        <v>0</v>
      </c>
      <c r="O56" s="15">
        <f t="shared" si="0"/>
        <v>5.1428571428571423</v>
      </c>
      <c r="P56" s="15">
        <f t="shared" si="1"/>
        <v>13.142857142857142</v>
      </c>
      <c r="R56" s="8"/>
      <c r="T56"/>
    </row>
    <row r="57" spans="2:20" ht="23.1" customHeight="1" x14ac:dyDescent="0.25">
      <c r="B57" s="23" t="s">
        <v>84</v>
      </c>
      <c r="C57" s="49">
        <f>AVERAGE('17.10 KANONI-MADDU'!C57,'18.10 KANONI-MADDU-24h'!C57,'19.10 KANONI-MADDU-24h'!C57,'20.10 KANONI-MADDU'!C57,'21.10 KANONI-MADDU'!C57,'22.10.KANONI-MADDU'!C57,'23.10 KANONI-MADDU'!C57)</f>
        <v>1.4285714285714286</v>
      </c>
      <c r="D57" s="49">
        <f>AVERAGE('17.10 KANONI-MADDU'!D57,'18.10 KANONI-MADDU-24h'!D57,'19.10 KANONI-MADDU-24h'!D57,'20.10 KANONI-MADDU'!D57,'21.10 KANONI-MADDU'!D57,'22.10.KANONI-MADDU'!D57,'23.10 KANONI-MADDU'!D57)</f>
        <v>0.2857142857142857</v>
      </c>
      <c r="E57" s="49">
        <f>AVERAGE('17.10 KANONI-MADDU'!E57,'18.10 KANONI-MADDU-24h'!E57,'19.10 KANONI-MADDU-24h'!E57,'20.10 KANONI-MADDU'!E57,'21.10 KANONI-MADDU'!E57,'22.10.KANONI-MADDU'!E57,'23.10 KANONI-MADDU'!E57)</f>
        <v>0.14285714285714285</v>
      </c>
      <c r="F57" s="49">
        <f>AVERAGE('17.10 KANONI-MADDU'!F57,'18.10 KANONI-MADDU-24h'!F57,'19.10 KANONI-MADDU-24h'!F57,'20.10 KANONI-MADDU'!F57,'21.10 KANONI-MADDU'!F57,'22.10.KANONI-MADDU'!F57,'23.10 KANONI-MADDU'!F57)</f>
        <v>0.8571428571428571</v>
      </c>
      <c r="G57" s="49">
        <f>AVERAGE('17.10 KANONI-MADDU'!G57,'18.10 KANONI-MADDU-24h'!G57,'19.10 KANONI-MADDU-24h'!G57,'20.10 KANONI-MADDU'!G57,'21.10 KANONI-MADDU'!G57,'22.10.KANONI-MADDU'!G57,'23.10 KANONI-MADDU'!G57)</f>
        <v>0</v>
      </c>
      <c r="H57" s="49">
        <f>AVERAGE('17.10 KANONI-MADDU'!H57,'18.10 KANONI-MADDU-24h'!H57,'19.10 KANONI-MADDU-24h'!H57,'20.10 KANONI-MADDU'!H57,'21.10 KANONI-MADDU'!H57,'22.10.KANONI-MADDU'!H57,'23.10 KANONI-MADDU'!H57)</f>
        <v>0</v>
      </c>
      <c r="I57" s="49">
        <f>AVERAGE('17.10 KANONI-MADDU'!I57,'18.10 KANONI-MADDU-24h'!I57,'19.10 KANONI-MADDU-24h'!I57,'20.10 KANONI-MADDU'!I57,'21.10 KANONI-MADDU'!I57,'22.10.KANONI-MADDU'!I57,'23.10 KANONI-MADDU'!I57)</f>
        <v>0.5714285714285714</v>
      </c>
      <c r="J57" s="49">
        <f>AVERAGE('17.10 KANONI-MADDU'!J57,'18.10 KANONI-MADDU-24h'!J57,'19.10 KANONI-MADDU-24h'!J57,'20.10 KANONI-MADDU'!J57,'21.10 KANONI-MADDU'!J57,'22.10.KANONI-MADDU'!J57,'23.10 KANONI-MADDU'!J57)</f>
        <v>0.2857142857142857</v>
      </c>
      <c r="K57" s="49">
        <f>AVERAGE('17.10 KANONI-MADDU'!K57,'18.10 KANONI-MADDU-24h'!K57,'19.10 KANONI-MADDU-24h'!K57,'20.10 KANONI-MADDU'!K57,'21.10 KANONI-MADDU'!K57,'22.10.KANONI-MADDU'!K57,'23.10 KANONI-MADDU'!K57)</f>
        <v>0</v>
      </c>
      <c r="L57" s="49">
        <f>AVERAGE('17.10 KANONI-MADDU'!L57,'18.10 KANONI-MADDU-24h'!L57,'19.10 KANONI-MADDU-24h'!L57,'20.10 KANONI-MADDU'!L57,'21.10 KANONI-MADDU'!L57,'22.10.KANONI-MADDU'!L57,'23.10 KANONI-MADDU'!L57)</f>
        <v>0</v>
      </c>
      <c r="M57" s="49">
        <f>AVERAGE('17.10 KANONI-MADDU'!M57,'18.10 KANONI-MADDU-24h'!M57,'19.10 KANONI-MADDU-24h'!M57,'20.10 KANONI-MADDU'!M57,'21.10 KANONI-MADDU'!M57,'22.10.KANONI-MADDU'!M57,'23.10 KANONI-MADDU'!M57)</f>
        <v>9.7142857142857135</v>
      </c>
      <c r="N57" s="49">
        <f>AVERAGE('17.10 KANONI-MADDU'!N57,'18.10 KANONI-MADDU-24h'!N57,'19.10 KANONI-MADDU-24h'!N57,'20.10 KANONI-MADDU'!N57,'21.10 KANONI-MADDU'!N57,'22.10.KANONI-MADDU'!N57,'23.10 KANONI-MADDU'!N57)</f>
        <v>0</v>
      </c>
      <c r="O57" s="15">
        <f t="shared" si="0"/>
        <v>3.5714285714285712</v>
      </c>
      <c r="P57" s="15">
        <f t="shared" si="1"/>
        <v>13.285714285714285</v>
      </c>
      <c r="R57" s="8"/>
      <c r="T57"/>
    </row>
    <row r="58" spans="2:20" ht="23.1" customHeight="1" x14ac:dyDescent="0.25">
      <c r="B58" s="23" t="s">
        <v>99</v>
      </c>
      <c r="C58" s="49">
        <f>AVERAGE('18.10 KANONI-MADDU-24h'!C58,'19.10 KANONI-MADDU-24h'!C58)</f>
        <v>2.5</v>
      </c>
      <c r="D58" s="49">
        <f>AVERAGE('18.10 KANONI-MADDU-24h'!D58,'19.10 KANONI-MADDU-24h'!D58)</f>
        <v>0.5</v>
      </c>
      <c r="E58" s="49">
        <f>AVERAGE('18.10 KANONI-MADDU-24h'!E58,'19.10 KANONI-MADDU-24h'!E58)</f>
        <v>0</v>
      </c>
      <c r="F58" s="49">
        <f>AVERAGE('18.10 KANONI-MADDU-24h'!F58,'19.10 KANONI-MADDU-24h'!F58)</f>
        <v>3.5</v>
      </c>
      <c r="G58" s="49">
        <f>AVERAGE('18.10 KANONI-MADDU-24h'!G58,'19.10 KANONI-MADDU-24h'!G58)</f>
        <v>0</v>
      </c>
      <c r="H58" s="49">
        <f>AVERAGE('18.10 KANONI-MADDU-24h'!H58,'19.10 KANONI-MADDU-24h'!H58)</f>
        <v>0</v>
      </c>
      <c r="I58" s="49">
        <f>AVERAGE('18.10 KANONI-MADDU-24h'!I58,'19.10 KANONI-MADDU-24h'!I58)</f>
        <v>1.5</v>
      </c>
      <c r="J58" s="49">
        <f>AVERAGE('18.10 KANONI-MADDU-24h'!J58,'19.10 KANONI-MADDU-24h'!J58)</f>
        <v>0.5</v>
      </c>
      <c r="K58" s="49">
        <f>AVERAGE('18.10 KANONI-MADDU-24h'!K58,'19.10 KANONI-MADDU-24h'!K58)</f>
        <v>0.5</v>
      </c>
      <c r="L58" s="49">
        <f>AVERAGE('18.10 KANONI-MADDU-24h'!L58,'19.10 KANONI-MADDU-24h'!L58)</f>
        <v>0</v>
      </c>
      <c r="M58" s="49">
        <f>AVERAGE('18.10 KANONI-MADDU-24h'!M58,'19.10 KANONI-MADDU-24h'!M58)</f>
        <v>14</v>
      </c>
      <c r="N58" s="49">
        <f>AVERAGE('18.10 KANONI-MADDU-24h'!N58,'19.10 KANONI-MADDU-24h'!N58)</f>
        <v>0</v>
      </c>
      <c r="O58" s="15">
        <f t="shared" si="0"/>
        <v>9</v>
      </c>
      <c r="P58" s="15">
        <f t="shared" si="1"/>
        <v>23</v>
      </c>
      <c r="R58" s="8"/>
      <c r="T58"/>
    </row>
    <row r="59" spans="2:20" ht="23.1" customHeight="1" x14ac:dyDescent="0.25">
      <c r="B59" s="23" t="s">
        <v>100</v>
      </c>
      <c r="C59" s="49">
        <f>AVERAGE('18.10 KANONI-MADDU-24h'!C59,'19.10 KANONI-MADDU-24h'!C59)</f>
        <v>0</v>
      </c>
      <c r="D59" s="49">
        <f>AVERAGE('18.10 KANONI-MADDU-24h'!D59,'19.10 KANONI-MADDU-24h'!D59)</f>
        <v>0</v>
      </c>
      <c r="E59" s="49">
        <f>AVERAGE('18.10 KANONI-MADDU-24h'!E59,'19.10 KANONI-MADDU-24h'!E59)</f>
        <v>0.5</v>
      </c>
      <c r="F59" s="49">
        <f>AVERAGE('18.10 KANONI-MADDU-24h'!F59,'19.10 KANONI-MADDU-24h'!F59)</f>
        <v>3</v>
      </c>
      <c r="G59" s="49">
        <f>AVERAGE('18.10 KANONI-MADDU-24h'!G59,'19.10 KANONI-MADDU-24h'!G59)</f>
        <v>0</v>
      </c>
      <c r="H59" s="49">
        <f>AVERAGE('18.10 KANONI-MADDU-24h'!H59,'19.10 KANONI-MADDU-24h'!H59)</f>
        <v>0</v>
      </c>
      <c r="I59" s="49">
        <f>AVERAGE('18.10 KANONI-MADDU-24h'!I59,'19.10 KANONI-MADDU-24h'!I59)</f>
        <v>0.5</v>
      </c>
      <c r="J59" s="49">
        <f>AVERAGE('18.10 KANONI-MADDU-24h'!J59,'19.10 KANONI-MADDU-24h'!J59)</f>
        <v>2</v>
      </c>
      <c r="K59" s="49">
        <f>AVERAGE('18.10 KANONI-MADDU-24h'!K59,'19.10 KANONI-MADDU-24h'!K59)</f>
        <v>0</v>
      </c>
      <c r="L59" s="49">
        <f>AVERAGE('18.10 KANONI-MADDU-24h'!L59,'19.10 KANONI-MADDU-24h'!L59)</f>
        <v>0</v>
      </c>
      <c r="M59" s="49">
        <f>AVERAGE('18.10 KANONI-MADDU-24h'!M59,'19.10 KANONI-MADDU-24h'!M59)</f>
        <v>15.5</v>
      </c>
      <c r="N59" s="49">
        <f>AVERAGE('18.10 KANONI-MADDU-24h'!N59,'19.10 KANONI-MADDU-24h'!N59)</f>
        <v>0</v>
      </c>
      <c r="O59" s="15">
        <f t="shared" si="0"/>
        <v>6</v>
      </c>
      <c r="P59" s="15">
        <f t="shared" si="1"/>
        <v>21.5</v>
      </c>
      <c r="R59" s="8"/>
      <c r="T59"/>
    </row>
    <row r="60" spans="2:20" ht="23.1" customHeight="1" x14ac:dyDescent="0.25">
      <c r="B60" s="23" t="s">
        <v>101</v>
      </c>
      <c r="C60" s="49">
        <f>AVERAGE('18.10 KANONI-MADDU-24h'!C60,'19.10 KANONI-MADDU-24h'!C60)</f>
        <v>2.5</v>
      </c>
      <c r="D60" s="49">
        <f>AVERAGE('18.10 KANONI-MADDU-24h'!D60,'19.10 KANONI-MADDU-24h'!D60)</f>
        <v>0.5</v>
      </c>
      <c r="E60" s="49">
        <f>AVERAGE('18.10 KANONI-MADDU-24h'!E60,'19.10 KANONI-MADDU-24h'!E60)</f>
        <v>0</v>
      </c>
      <c r="F60" s="49">
        <f>AVERAGE('18.10 KANONI-MADDU-24h'!F60,'19.10 KANONI-MADDU-24h'!F60)</f>
        <v>0.5</v>
      </c>
      <c r="G60" s="49">
        <f>AVERAGE('18.10 KANONI-MADDU-24h'!G60,'19.10 KANONI-MADDU-24h'!G60)</f>
        <v>0</v>
      </c>
      <c r="H60" s="49">
        <f>AVERAGE('18.10 KANONI-MADDU-24h'!H60,'19.10 KANONI-MADDU-24h'!H60)</f>
        <v>0</v>
      </c>
      <c r="I60" s="49">
        <f>AVERAGE('18.10 KANONI-MADDU-24h'!I60,'19.10 KANONI-MADDU-24h'!I60)</f>
        <v>0</v>
      </c>
      <c r="J60" s="49">
        <f>AVERAGE('18.10 KANONI-MADDU-24h'!J60,'19.10 KANONI-MADDU-24h'!J60)</f>
        <v>0.5</v>
      </c>
      <c r="K60" s="49">
        <f>AVERAGE('18.10 KANONI-MADDU-24h'!K60,'19.10 KANONI-MADDU-24h'!K60)</f>
        <v>0</v>
      </c>
      <c r="L60" s="49">
        <f>AVERAGE('18.10 KANONI-MADDU-24h'!L60,'19.10 KANONI-MADDU-24h'!L60)</f>
        <v>0</v>
      </c>
      <c r="M60" s="49">
        <f>AVERAGE('18.10 KANONI-MADDU-24h'!M60,'19.10 KANONI-MADDU-24h'!M60)</f>
        <v>8</v>
      </c>
      <c r="N60" s="49">
        <f>AVERAGE('18.10 KANONI-MADDU-24h'!N60,'19.10 KANONI-MADDU-24h'!N60)</f>
        <v>0</v>
      </c>
      <c r="O60" s="15">
        <f t="shared" si="0"/>
        <v>4</v>
      </c>
      <c r="P60" s="15">
        <f t="shared" si="1"/>
        <v>12</v>
      </c>
      <c r="R60" s="8"/>
      <c r="T60"/>
    </row>
    <row r="61" spans="2:20" ht="23.1" customHeight="1" x14ac:dyDescent="0.25">
      <c r="B61" s="23" t="s">
        <v>102</v>
      </c>
      <c r="C61" s="49">
        <f>AVERAGE('18.10 KANONI-MADDU-24h'!C61,'19.10 KANONI-MADDU-24h'!C61)</f>
        <v>1.5</v>
      </c>
      <c r="D61" s="49">
        <f>AVERAGE('18.10 KANONI-MADDU-24h'!D61,'19.10 KANONI-MADDU-24h'!D61)</f>
        <v>0.5</v>
      </c>
      <c r="E61" s="49">
        <f>AVERAGE('18.10 KANONI-MADDU-24h'!E61,'19.10 KANONI-MADDU-24h'!E61)</f>
        <v>0</v>
      </c>
      <c r="F61" s="49">
        <f>AVERAGE('18.10 KANONI-MADDU-24h'!F61,'19.10 KANONI-MADDU-24h'!F61)</f>
        <v>2</v>
      </c>
      <c r="G61" s="49">
        <f>AVERAGE('18.10 KANONI-MADDU-24h'!G61,'19.10 KANONI-MADDU-24h'!G61)</f>
        <v>0</v>
      </c>
      <c r="H61" s="49">
        <f>AVERAGE('18.10 KANONI-MADDU-24h'!H61,'19.10 KANONI-MADDU-24h'!H61)</f>
        <v>0</v>
      </c>
      <c r="I61" s="49">
        <f>AVERAGE('18.10 KANONI-MADDU-24h'!I61,'19.10 KANONI-MADDU-24h'!I61)</f>
        <v>0</v>
      </c>
      <c r="J61" s="49">
        <f>AVERAGE('18.10 KANONI-MADDU-24h'!J61,'19.10 KANONI-MADDU-24h'!J61)</f>
        <v>0.5</v>
      </c>
      <c r="K61" s="49">
        <f>AVERAGE('18.10 KANONI-MADDU-24h'!K61,'19.10 KANONI-MADDU-24h'!K61)</f>
        <v>0</v>
      </c>
      <c r="L61" s="49">
        <f>AVERAGE('18.10 KANONI-MADDU-24h'!L61,'19.10 KANONI-MADDU-24h'!L61)</f>
        <v>0</v>
      </c>
      <c r="M61" s="49">
        <f>AVERAGE('18.10 KANONI-MADDU-24h'!M61,'19.10 KANONI-MADDU-24h'!M61)</f>
        <v>10.5</v>
      </c>
      <c r="N61" s="49">
        <f>AVERAGE('18.10 KANONI-MADDU-24h'!N61,'19.10 KANONI-MADDU-24h'!N61)</f>
        <v>0</v>
      </c>
      <c r="O61" s="15">
        <f t="shared" si="0"/>
        <v>4.5</v>
      </c>
      <c r="P61" s="15">
        <f t="shared" si="1"/>
        <v>15</v>
      </c>
      <c r="R61" s="8"/>
      <c r="T61"/>
    </row>
    <row r="62" spans="2:20" ht="23.1" customHeight="1" x14ac:dyDescent="0.25">
      <c r="B62" s="23" t="s">
        <v>107</v>
      </c>
      <c r="C62" s="49">
        <f>AVERAGE('18.10 KANONI-MADDU-24h'!C62,'19.10 KANONI-MADDU-24h'!C62)</f>
        <v>3</v>
      </c>
      <c r="D62" s="49">
        <f>AVERAGE('18.10 KANONI-MADDU-24h'!D62,'19.10 KANONI-MADDU-24h'!D62)</f>
        <v>0.5</v>
      </c>
      <c r="E62" s="49">
        <f>AVERAGE('18.10 KANONI-MADDU-24h'!E62,'19.10 KANONI-MADDU-24h'!E62)</f>
        <v>1.5</v>
      </c>
      <c r="F62" s="49">
        <f>AVERAGE('18.10 KANONI-MADDU-24h'!F62,'19.10 KANONI-MADDU-24h'!F62)</f>
        <v>2.5</v>
      </c>
      <c r="G62" s="49">
        <f>AVERAGE('18.10 KANONI-MADDU-24h'!G62,'19.10 KANONI-MADDU-24h'!G62)</f>
        <v>0</v>
      </c>
      <c r="H62" s="49">
        <f>AVERAGE('18.10 KANONI-MADDU-24h'!H62,'19.10 KANONI-MADDU-24h'!H62)</f>
        <v>0</v>
      </c>
      <c r="I62" s="49">
        <f>AVERAGE('18.10 KANONI-MADDU-24h'!I62,'19.10 KANONI-MADDU-24h'!I62)</f>
        <v>0.5</v>
      </c>
      <c r="J62" s="49">
        <f>AVERAGE('18.10 KANONI-MADDU-24h'!J62,'19.10 KANONI-MADDU-24h'!J62)</f>
        <v>1</v>
      </c>
      <c r="K62" s="49">
        <f>AVERAGE('18.10 KANONI-MADDU-24h'!K62,'19.10 KANONI-MADDU-24h'!K62)</f>
        <v>0</v>
      </c>
      <c r="L62" s="49">
        <f>AVERAGE('18.10 KANONI-MADDU-24h'!L62,'19.10 KANONI-MADDU-24h'!L62)</f>
        <v>0</v>
      </c>
      <c r="M62" s="49">
        <f>AVERAGE('18.10 KANONI-MADDU-24h'!M62,'19.10 KANONI-MADDU-24h'!M62)</f>
        <v>9.5</v>
      </c>
      <c r="N62" s="49">
        <f>AVERAGE('18.10 KANONI-MADDU-24h'!N62,'19.10 KANONI-MADDU-24h'!N62)</f>
        <v>0</v>
      </c>
      <c r="O62" s="15">
        <f t="shared" si="0"/>
        <v>9</v>
      </c>
      <c r="P62" s="15">
        <f t="shared" si="1"/>
        <v>18.5</v>
      </c>
      <c r="R62" s="8"/>
      <c r="T62"/>
    </row>
    <row r="63" spans="2:20" ht="23.1" customHeight="1" x14ac:dyDescent="0.25">
      <c r="B63" s="23" t="s">
        <v>108</v>
      </c>
      <c r="C63" s="49">
        <f>AVERAGE('18.10 KANONI-MADDU-24h'!C63,'19.10 KANONI-MADDU-24h'!C63)</f>
        <v>1</v>
      </c>
      <c r="D63" s="49">
        <f>AVERAGE('18.10 KANONI-MADDU-24h'!D63,'19.10 KANONI-MADDU-24h'!D63)</f>
        <v>0</v>
      </c>
      <c r="E63" s="49">
        <f>AVERAGE('18.10 KANONI-MADDU-24h'!E63,'19.10 KANONI-MADDU-24h'!E63)</f>
        <v>1</v>
      </c>
      <c r="F63" s="49">
        <f>AVERAGE('18.10 KANONI-MADDU-24h'!F63,'19.10 KANONI-MADDU-24h'!F63)</f>
        <v>2</v>
      </c>
      <c r="G63" s="49">
        <f>AVERAGE('18.10 KANONI-MADDU-24h'!G63,'19.10 KANONI-MADDU-24h'!G63)</f>
        <v>0</v>
      </c>
      <c r="H63" s="49">
        <f>AVERAGE('18.10 KANONI-MADDU-24h'!H63,'19.10 KANONI-MADDU-24h'!H63)</f>
        <v>0</v>
      </c>
      <c r="I63" s="49">
        <f>AVERAGE('18.10 KANONI-MADDU-24h'!I63,'19.10 KANONI-MADDU-24h'!I63)</f>
        <v>0</v>
      </c>
      <c r="J63" s="49">
        <f>AVERAGE('18.10 KANONI-MADDU-24h'!J63,'19.10 KANONI-MADDU-24h'!J63)</f>
        <v>0</v>
      </c>
      <c r="K63" s="49">
        <f>AVERAGE('18.10 KANONI-MADDU-24h'!K63,'19.10 KANONI-MADDU-24h'!K63)</f>
        <v>0</v>
      </c>
      <c r="L63" s="49">
        <f>AVERAGE('18.10 KANONI-MADDU-24h'!L63,'19.10 KANONI-MADDU-24h'!L63)</f>
        <v>0</v>
      </c>
      <c r="M63" s="49">
        <f>AVERAGE('18.10 KANONI-MADDU-24h'!M63,'19.10 KANONI-MADDU-24h'!M63)</f>
        <v>5</v>
      </c>
      <c r="N63" s="49">
        <f>AVERAGE('18.10 KANONI-MADDU-24h'!N63,'19.10 KANONI-MADDU-24h'!N63)</f>
        <v>0</v>
      </c>
      <c r="O63" s="15">
        <f t="shared" si="0"/>
        <v>4</v>
      </c>
      <c r="P63" s="15">
        <f t="shared" si="1"/>
        <v>9</v>
      </c>
      <c r="R63" s="8"/>
      <c r="T63"/>
    </row>
    <row r="64" spans="2:20" ht="23.1" customHeight="1" x14ac:dyDescent="0.25">
      <c r="B64" s="23" t="s">
        <v>109</v>
      </c>
      <c r="C64" s="49">
        <f>AVERAGE('18.10 KANONI-MADDU-24h'!C64,'19.10 KANONI-MADDU-24h'!C64)</f>
        <v>2.5</v>
      </c>
      <c r="D64" s="49">
        <f>AVERAGE('18.10 KANONI-MADDU-24h'!D64,'19.10 KANONI-MADDU-24h'!D64)</f>
        <v>0</v>
      </c>
      <c r="E64" s="49">
        <f>AVERAGE('18.10 KANONI-MADDU-24h'!E64,'19.10 KANONI-MADDU-24h'!E64)</f>
        <v>0.5</v>
      </c>
      <c r="F64" s="49">
        <f>AVERAGE('18.10 KANONI-MADDU-24h'!F64,'19.10 KANONI-MADDU-24h'!F64)</f>
        <v>1</v>
      </c>
      <c r="G64" s="49">
        <f>AVERAGE('18.10 KANONI-MADDU-24h'!G64,'19.10 KANONI-MADDU-24h'!G64)</f>
        <v>0</v>
      </c>
      <c r="H64" s="49">
        <f>AVERAGE('18.10 KANONI-MADDU-24h'!H64,'19.10 KANONI-MADDU-24h'!H64)</f>
        <v>0</v>
      </c>
      <c r="I64" s="49">
        <f>AVERAGE('18.10 KANONI-MADDU-24h'!I64,'19.10 KANONI-MADDU-24h'!I64)</f>
        <v>0.5</v>
      </c>
      <c r="J64" s="49">
        <f>AVERAGE('18.10 KANONI-MADDU-24h'!J64,'19.10 KANONI-MADDU-24h'!J64)</f>
        <v>0</v>
      </c>
      <c r="K64" s="49">
        <f>AVERAGE('18.10 KANONI-MADDU-24h'!K64,'19.10 KANONI-MADDU-24h'!K64)</f>
        <v>0</v>
      </c>
      <c r="L64" s="49">
        <f>AVERAGE('18.10 KANONI-MADDU-24h'!L64,'19.10 KANONI-MADDU-24h'!L64)</f>
        <v>0</v>
      </c>
      <c r="M64" s="49">
        <f>AVERAGE('18.10 KANONI-MADDU-24h'!M64,'19.10 KANONI-MADDU-24h'!M64)</f>
        <v>7.5</v>
      </c>
      <c r="N64" s="49">
        <f>AVERAGE('18.10 KANONI-MADDU-24h'!N64,'19.10 KANONI-MADDU-24h'!N64)</f>
        <v>0</v>
      </c>
      <c r="O64" s="15">
        <f t="shared" si="0"/>
        <v>4.5</v>
      </c>
      <c r="P64" s="15">
        <f t="shared" si="1"/>
        <v>12</v>
      </c>
      <c r="R64" s="8"/>
      <c r="T64"/>
    </row>
    <row r="65" spans="2:20" ht="23.1" customHeight="1" x14ac:dyDescent="0.25">
      <c r="B65" s="23" t="s">
        <v>158</v>
      </c>
      <c r="C65" s="49">
        <f>AVERAGE('18.10 KANONI-MADDU-24h'!C65,'19.10 KANONI-MADDU-24h'!C65)</f>
        <v>1</v>
      </c>
      <c r="D65" s="49">
        <f>AVERAGE('18.10 KANONI-MADDU-24h'!D65,'19.10 KANONI-MADDU-24h'!D65)</f>
        <v>0</v>
      </c>
      <c r="E65" s="49">
        <f>AVERAGE('18.10 KANONI-MADDU-24h'!E65,'19.10 KANONI-MADDU-24h'!E65)</f>
        <v>0</v>
      </c>
      <c r="F65" s="49">
        <f>AVERAGE('18.10 KANONI-MADDU-24h'!F65,'19.10 KANONI-MADDU-24h'!F65)</f>
        <v>1</v>
      </c>
      <c r="G65" s="49">
        <f>AVERAGE('18.10 KANONI-MADDU-24h'!G65,'19.10 KANONI-MADDU-24h'!G65)</f>
        <v>0</v>
      </c>
      <c r="H65" s="49">
        <f>AVERAGE('18.10 KANONI-MADDU-24h'!H65,'19.10 KANONI-MADDU-24h'!H65)</f>
        <v>0</v>
      </c>
      <c r="I65" s="49">
        <f>AVERAGE('18.10 KANONI-MADDU-24h'!I65,'19.10 KANONI-MADDU-24h'!I65)</f>
        <v>1</v>
      </c>
      <c r="J65" s="49">
        <f>AVERAGE('18.10 KANONI-MADDU-24h'!J65,'19.10 KANONI-MADDU-24h'!J65)</f>
        <v>1</v>
      </c>
      <c r="K65" s="49">
        <f>AVERAGE('18.10 KANONI-MADDU-24h'!K65,'19.10 KANONI-MADDU-24h'!K65)</f>
        <v>0</v>
      </c>
      <c r="L65" s="49">
        <f>AVERAGE('18.10 KANONI-MADDU-24h'!L65,'19.10 KANONI-MADDU-24h'!L65)</f>
        <v>0</v>
      </c>
      <c r="M65" s="49">
        <f>AVERAGE('18.10 KANONI-MADDU-24h'!M65,'19.10 KANONI-MADDU-24h'!M65)</f>
        <v>7.5</v>
      </c>
      <c r="N65" s="49">
        <f>AVERAGE('18.10 KANONI-MADDU-24h'!N65,'19.10 KANONI-MADDU-24h'!N65)</f>
        <v>0</v>
      </c>
      <c r="O65" s="15">
        <f t="shared" si="0"/>
        <v>4</v>
      </c>
      <c r="P65" s="15">
        <f t="shared" si="1"/>
        <v>11.5</v>
      </c>
      <c r="R65" s="8"/>
      <c r="T65"/>
    </row>
    <row r="66" spans="2:20" ht="23.1" customHeight="1" x14ac:dyDescent="0.25">
      <c r="B66" s="23" t="s">
        <v>103</v>
      </c>
      <c r="C66" s="49">
        <f>AVERAGE('18.10 KANONI-MADDU-24h'!C66,'19.10 KANONI-MADDU-24h'!C66)</f>
        <v>2</v>
      </c>
      <c r="D66" s="49">
        <f>AVERAGE('18.10 KANONI-MADDU-24h'!D66,'19.10 KANONI-MADDU-24h'!D66)</f>
        <v>0</v>
      </c>
      <c r="E66" s="49">
        <f>AVERAGE('18.10 KANONI-MADDU-24h'!E66,'19.10 KANONI-MADDU-24h'!E66)</f>
        <v>0.5</v>
      </c>
      <c r="F66" s="49">
        <f>AVERAGE('18.10 KANONI-MADDU-24h'!F66,'19.10 KANONI-MADDU-24h'!F66)</f>
        <v>2</v>
      </c>
      <c r="G66" s="49">
        <f>AVERAGE('18.10 KANONI-MADDU-24h'!G66,'19.10 KANONI-MADDU-24h'!G66)</f>
        <v>0</v>
      </c>
      <c r="H66" s="49">
        <f>AVERAGE('18.10 KANONI-MADDU-24h'!H66,'19.10 KANONI-MADDU-24h'!H66)</f>
        <v>0</v>
      </c>
      <c r="I66" s="49">
        <f>AVERAGE('18.10 KANONI-MADDU-24h'!I66,'19.10 KANONI-MADDU-24h'!I66)</f>
        <v>0</v>
      </c>
      <c r="J66" s="49">
        <f>AVERAGE('18.10 KANONI-MADDU-24h'!J66,'19.10 KANONI-MADDU-24h'!J66)</f>
        <v>0.5</v>
      </c>
      <c r="K66" s="49">
        <f>AVERAGE('18.10 KANONI-MADDU-24h'!K66,'19.10 KANONI-MADDU-24h'!K66)</f>
        <v>0.5</v>
      </c>
      <c r="L66" s="49">
        <f>AVERAGE('18.10 KANONI-MADDU-24h'!L66,'19.10 KANONI-MADDU-24h'!L66)</f>
        <v>0</v>
      </c>
      <c r="M66" s="49">
        <f>AVERAGE('18.10 KANONI-MADDU-24h'!M66,'19.10 KANONI-MADDU-24h'!M66)</f>
        <v>7.5</v>
      </c>
      <c r="N66" s="49">
        <f>AVERAGE('18.10 KANONI-MADDU-24h'!N66,'19.10 KANONI-MADDU-24h'!N66)</f>
        <v>0</v>
      </c>
      <c r="O66" s="15">
        <f t="shared" si="0"/>
        <v>5.5</v>
      </c>
      <c r="P66" s="15">
        <f t="shared" si="1"/>
        <v>13</v>
      </c>
      <c r="R66" s="8"/>
      <c r="T66"/>
    </row>
    <row r="67" spans="2:20" ht="23.1" customHeight="1" x14ac:dyDescent="0.25">
      <c r="B67" s="23" t="s">
        <v>104</v>
      </c>
      <c r="C67" s="49">
        <f>AVERAGE('18.10 KANONI-MADDU-24h'!C67,'19.10 KANONI-MADDU-24h'!C67)</f>
        <v>1.5</v>
      </c>
      <c r="D67" s="49">
        <f>AVERAGE('18.10 KANONI-MADDU-24h'!D67,'19.10 KANONI-MADDU-24h'!D67)</f>
        <v>0.5</v>
      </c>
      <c r="E67" s="49">
        <f>AVERAGE('18.10 KANONI-MADDU-24h'!E67,'19.10 KANONI-MADDU-24h'!E67)</f>
        <v>1</v>
      </c>
      <c r="F67" s="49">
        <f>AVERAGE('18.10 KANONI-MADDU-24h'!F67,'19.10 KANONI-MADDU-24h'!F67)</f>
        <v>1</v>
      </c>
      <c r="G67" s="49">
        <f>AVERAGE('18.10 KANONI-MADDU-24h'!G67,'19.10 KANONI-MADDU-24h'!G67)</f>
        <v>0</v>
      </c>
      <c r="H67" s="49">
        <f>AVERAGE('18.10 KANONI-MADDU-24h'!H67,'19.10 KANONI-MADDU-24h'!H67)</f>
        <v>0</v>
      </c>
      <c r="I67" s="49">
        <f>AVERAGE('18.10 KANONI-MADDU-24h'!I67,'19.10 KANONI-MADDU-24h'!I67)</f>
        <v>0.5</v>
      </c>
      <c r="J67" s="49">
        <f>AVERAGE('18.10 KANONI-MADDU-24h'!J67,'19.10 KANONI-MADDU-24h'!J67)</f>
        <v>1</v>
      </c>
      <c r="K67" s="49">
        <f>AVERAGE('18.10 KANONI-MADDU-24h'!K67,'19.10 KANONI-MADDU-24h'!K67)</f>
        <v>0</v>
      </c>
      <c r="L67" s="49">
        <f>AVERAGE('18.10 KANONI-MADDU-24h'!L67,'19.10 KANONI-MADDU-24h'!L67)</f>
        <v>0</v>
      </c>
      <c r="M67" s="49">
        <f>AVERAGE('18.10 KANONI-MADDU-24h'!M67,'19.10 KANONI-MADDU-24h'!M67)</f>
        <v>6</v>
      </c>
      <c r="N67" s="49">
        <f>AVERAGE('18.10 KANONI-MADDU-24h'!N67,'19.10 KANONI-MADDU-24h'!N67)</f>
        <v>0</v>
      </c>
      <c r="O67" s="15">
        <f t="shared" si="0"/>
        <v>5.5</v>
      </c>
      <c r="P67" s="15">
        <f t="shared" si="1"/>
        <v>11.5</v>
      </c>
      <c r="R67" s="8"/>
      <c r="T67"/>
    </row>
    <row r="68" spans="2:20" ht="23.1" customHeight="1" x14ac:dyDescent="0.25">
      <c r="B68" s="23" t="s">
        <v>105</v>
      </c>
      <c r="C68" s="49">
        <f>AVERAGE('18.10 KANONI-MADDU-24h'!C68,'19.10 KANONI-MADDU-24h'!C68)</f>
        <v>0.5</v>
      </c>
      <c r="D68" s="49">
        <f>AVERAGE('18.10 KANONI-MADDU-24h'!D68,'19.10 KANONI-MADDU-24h'!D68)</f>
        <v>0.5</v>
      </c>
      <c r="E68" s="49">
        <f>AVERAGE('18.10 KANONI-MADDU-24h'!E68,'19.10 KANONI-MADDU-24h'!E68)</f>
        <v>0.5</v>
      </c>
      <c r="F68" s="49">
        <f>AVERAGE('18.10 KANONI-MADDU-24h'!F68,'19.10 KANONI-MADDU-24h'!F68)</f>
        <v>0</v>
      </c>
      <c r="G68" s="49">
        <f>AVERAGE('18.10 KANONI-MADDU-24h'!G68,'19.10 KANONI-MADDU-24h'!G68)</f>
        <v>0</v>
      </c>
      <c r="H68" s="49">
        <f>AVERAGE('18.10 KANONI-MADDU-24h'!H68,'19.10 KANONI-MADDU-24h'!H68)</f>
        <v>0</v>
      </c>
      <c r="I68" s="49">
        <f>AVERAGE('18.10 KANONI-MADDU-24h'!I68,'19.10 KANONI-MADDU-24h'!I68)</f>
        <v>0</v>
      </c>
      <c r="J68" s="49">
        <f>AVERAGE('18.10 KANONI-MADDU-24h'!J68,'19.10 KANONI-MADDU-24h'!J68)</f>
        <v>0</v>
      </c>
      <c r="K68" s="49">
        <f>AVERAGE('18.10 KANONI-MADDU-24h'!K68,'19.10 KANONI-MADDU-24h'!K68)</f>
        <v>0</v>
      </c>
      <c r="L68" s="49">
        <f>AVERAGE('18.10 KANONI-MADDU-24h'!L68,'19.10 KANONI-MADDU-24h'!L68)</f>
        <v>0</v>
      </c>
      <c r="M68" s="49">
        <f>AVERAGE('18.10 KANONI-MADDU-24h'!M68,'19.10 KANONI-MADDU-24h'!M68)</f>
        <v>3.5</v>
      </c>
      <c r="N68" s="49">
        <f>AVERAGE('18.10 KANONI-MADDU-24h'!N68,'19.10 KANONI-MADDU-24h'!N68)</f>
        <v>0</v>
      </c>
      <c r="O68" s="15">
        <f t="shared" si="0"/>
        <v>1.5</v>
      </c>
      <c r="P68" s="15">
        <f t="shared" si="1"/>
        <v>5</v>
      </c>
      <c r="R68" s="8"/>
      <c r="T68"/>
    </row>
    <row r="69" spans="2:20" ht="23.1" customHeight="1" x14ac:dyDescent="0.25">
      <c r="B69" s="23" t="s">
        <v>106</v>
      </c>
      <c r="C69" s="49">
        <f>AVERAGE('18.10 KANONI-MADDU-24h'!C69,'19.10 KANONI-MADDU-24h'!C69)</f>
        <v>1.5</v>
      </c>
      <c r="D69" s="49">
        <f>AVERAGE('18.10 KANONI-MADDU-24h'!D69,'19.10 KANONI-MADDU-24h'!D69)</f>
        <v>0</v>
      </c>
      <c r="E69" s="49">
        <f>AVERAGE('18.10 KANONI-MADDU-24h'!E69,'19.10 KANONI-MADDU-24h'!E69)</f>
        <v>0</v>
      </c>
      <c r="F69" s="49">
        <f>AVERAGE('18.10 KANONI-MADDU-24h'!F69,'19.10 KANONI-MADDU-24h'!F69)</f>
        <v>1.5</v>
      </c>
      <c r="G69" s="49">
        <f>AVERAGE('18.10 KANONI-MADDU-24h'!G69,'19.10 KANONI-MADDU-24h'!G69)</f>
        <v>0</v>
      </c>
      <c r="H69" s="49">
        <f>AVERAGE('18.10 KANONI-MADDU-24h'!H69,'19.10 KANONI-MADDU-24h'!H69)</f>
        <v>0</v>
      </c>
      <c r="I69" s="49">
        <f>AVERAGE('18.10 KANONI-MADDU-24h'!I69,'19.10 KANONI-MADDU-24h'!I69)</f>
        <v>0</v>
      </c>
      <c r="J69" s="49">
        <f>AVERAGE('18.10 KANONI-MADDU-24h'!J69,'19.10 KANONI-MADDU-24h'!J69)</f>
        <v>0.5</v>
      </c>
      <c r="K69" s="49">
        <f>AVERAGE('18.10 KANONI-MADDU-24h'!K69,'19.10 KANONI-MADDU-24h'!K69)</f>
        <v>0</v>
      </c>
      <c r="L69" s="49">
        <f>AVERAGE('18.10 KANONI-MADDU-24h'!L69,'19.10 KANONI-MADDU-24h'!L69)</f>
        <v>0</v>
      </c>
      <c r="M69" s="49">
        <f>AVERAGE('18.10 KANONI-MADDU-24h'!M69,'19.10 KANONI-MADDU-24h'!M69)</f>
        <v>2.5</v>
      </c>
      <c r="N69" s="49">
        <f>AVERAGE('18.10 KANONI-MADDU-24h'!N69,'19.10 KANONI-MADDU-24h'!N69)</f>
        <v>0</v>
      </c>
      <c r="O69" s="15">
        <f t="shared" si="0"/>
        <v>3.5</v>
      </c>
      <c r="P69" s="15">
        <f t="shared" si="1"/>
        <v>6</v>
      </c>
      <c r="R69" s="8"/>
      <c r="T69"/>
    </row>
    <row r="70" spans="2:20" ht="23.1" customHeight="1" x14ac:dyDescent="0.25">
      <c r="B70" s="23" t="s">
        <v>110</v>
      </c>
      <c r="C70" s="49">
        <f>AVERAGE('18.10 KANONI-MADDU-24h'!C70,'19.10 KANONI-MADDU-24h'!C70)</f>
        <v>0</v>
      </c>
      <c r="D70" s="49">
        <f>AVERAGE('18.10 KANONI-MADDU-24h'!D70,'19.10 KANONI-MADDU-24h'!D70)</f>
        <v>0</v>
      </c>
      <c r="E70" s="49">
        <f>AVERAGE('18.10 KANONI-MADDU-24h'!E70,'19.10 KANONI-MADDU-24h'!E70)</f>
        <v>0.5</v>
      </c>
      <c r="F70" s="49">
        <f>AVERAGE('18.10 KANONI-MADDU-24h'!F70,'19.10 KANONI-MADDU-24h'!F70)</f>
        <v>2.5</v>
      </c>
      <c r="G70" s="49">
        <f>AVERAGE('18.10 KANONI-MADDU-24h'!G70,'19.10 KANONI-MADDU-24h'!G70)</f>
        <v>0</v>
      </c>
      <c r="H70" s="49">
        <f>AVERAGE('18.10 KANONI-MADDU-24h'!H70,'19.10 KANONI-MADDU-24h'!H70)</f>
        <v>0</v>
      </c>
      <c r="I70" s="49">
        <f>AVERAGE('18.10 KANONI-MADDU-24h'!I70,'19.10 KANONI-MADDU-24h'!I70)</f>
        <v>1</v>
      </c>
      <c r="J70" s="49">
        <f>AVERAGE('18.10 KANONI-MADDU-24h'!J70,'19.10 KANONI-MADDU-24h'!J70)</f>
        <v>1</v>
      </c>
      <c r="K70" s="49">
        <f>AVERAGE('18.10 KANONI-MADDU-24h'!K70,'19.10 KANONI-MADDU-24h'!K70)</f>
        <v>0.5</v>
      </c>
      <c r="L70" s="49">
        <f>AVERAGE('18.10 KANONI-MADDU-24h'!L70,'19.10 KANONI-MADDU-24h'!L70)</f>
        <v>0</v>
      </c>
      <c r="M70" s="49">
        <f>AVERAGE('18.10 KANONI-MADDU-24h'!M70,'19.10 KANONI-MADDU-24h'!M70)</f>
        <v>4</v>
      </c>
      <c r="N70" s="49">
        <f>AVERAGE('18.10 KANONI-MADDU-24h'!N70,'19.10 KANONI-MADDU-24h'!N70)</f>
        <v>0</v>
      </c>
      <c r="O70" s="15">
        <f t="shared" si="0"/>
        <v>5.5</v>
      </c>
      <c r="P70" s="15">
        <f t="shared" si="1"/>
        <v>9.5</v>
      </c>
      <c r="R70" s="8"/>
      <c r="T70"/>
    </row>
    <row r="71" spans="2:20" ht="23.1" customHeight="1" x14ac:dyDescent="0.25">
      <c r="B71" s="23" t="s">
        <v>111</v>
      </c>
      <c r="C71" s="49">
        <f>AVERAGE('18.10 KANONI-MADDU-24h'!C71,'19.10 KANONI-MADDU-24h'!C71)</f>
        <v>0.5</v>
      </c>
      <c r="D71" s="49">
        <f>AVERAGE('18.10 KANONI-MADDU-24h'!D71,'19.10 KANONI-MADDU-24h'!D71)</f>
        <v>0</v>
      </c>
      <c r="E71" s="49">
        <f>AVERAGE('18.10 KANONI-MADDU-24h'!E71,'19.10 KANONI-MADDU-24h'!E71)</f>
        <v>0</v>
      </c>
      <c r="F71" s="49">
        <f>AVERAGE('18.10 KANONI-MADDU-24h'!F71,'19.10 KANONI-MADDU-24h'!F71)</f>
        <v>0.5</v>
      </c>
      <c r="G71" s="49">
        <f>AVERAGE('18.10 KANONI-MADDU-24h'!G71,'19.10 KANONI-MADDU-24h'!G71)</f>
        <v>0</v>
      </c>
      <c r="H71" s="49">
        <f>AVERAGE('18.10 KANONI-MADDU-24h'!H71,'19.10 KANONI-MADDU-24h'!H71)</f>
        <v>0</v>
      </c>
      <c r="I71" s="49">
        <f>AVERAGE('18.10 KANONI-MADDU-24h'!I71,'19.10 KANONI-MADDU-24h'!I71)</f>
        <v>2</v>
      </c>
      <c r="J71" s="49">
        <f>AVERAGE('18.10 KANONI-MADDU-24h'!J71,'19.10 KANONI-MADDU-24h'!J71)</f>
        <v>0</v>
      </c>
      <c r="K71" s="49">
        <f>AVERAGE('18.10 KANONI-MADDU-24h'!K71,'19.10 KANONI-MADDU-24h'!K71)</f>
        <v>0</v>
      </c>
      <c r="L71" s="49">
        <f>AVERAGE('18.10 KANONI-MADDU-24h'!L71,'19.10 KANONI-MADDU-24h'!L71)</f>
        <v>0</v>
      </c>
      <c r="M71" s="49">
        <f>AVERAGE('18.10 KANONI-MADDU-24h'!M71,'19.10 KANONI-MADDU-24h'!M71)</f>
        <v>2</v>
      </c>
      <c r="N71" s="49">
        <f>AVERAGE('18.10 KANONI-MADDU-24h'!N71,'19.10 KANONI-MADDU-24h'!N71)</f>
        <v>0</v>
      </c>
      <c r="O71" s="15">
        <f t="shared" si="0"/>
        <v>3</v>
      </c>
      <c r="P71" s="15">
        <f t="shared" si="1"/>
        <v>5</v>
      </c>
      <c r="R71" s="8"/>
      <c r="T71"/>
    </row>
    <row r="72" spans="2:20" ht="23.1" customHeight="1" x14ac:dyDescent="0.25">
      <c r="B72" s="23" t="s">
        <v>112</v>
      </c>
      <c r="C72" s="49">
        <f>AVERAGE('18.10 KANONI-MADDU-24h'!C72,'19.10 KANONI-MADDU-24h'!C72)</f>
        <v>1.5</v>
      </c>
      <c r="D72" s="49">
        <f>AVERAGE('18.10 KANONI-MADDU-24h'!D72,'19.10 KANONI-MADDU-24h'!D72)</f>
        <v>0</v>
      </c>
      <c r="E72" s="49">
        <f>AVERAGE('18.10 KANONI-MADDU-24h'!E72,'19.10 KANONI-MADDU-24h'!E72)</f>
        <v>0.5</v>
      </c>
      <c r="F72" s="49">
        <f>AVERAGE('18.10 KANONI-MADDU-24h'!F72,'19.10 KANONI-MADDU-24h'!F72)</f>
        <v>0</v>
      </c>
      <c r="G72" s="49">
        <f>AVERAGE('18.10 KANONI-MADDU-24h'!G72,'19.10 KANONI-MADDU-24h'!G72)</f>
        <v>0</v>
      </c>
      <c r="H72" s="49">
        <f>AVERAGE('18.10 KANONI-MADDU-24h'!H72,'19.10 KANONI-MADDU-24h'!H72)</f>
        <v>0</v>
      </c>
      <c r="I72" s="49">
        <f>AVERAGE('18.10 KANONI-MADDU-24h'!I72,'19.10 KANONI-MADDU-24h'!I72)</f>
        <v>1.5</v>
      </c>
      <c r="J72" s="49">
        <f>AVERAGE('18.10 KANONI-MADDU-24h'!J72,'19.10 KANONI-MADDU-24h'!J72)</f>
        <v>0</v>
      </c>
      <c r="K72" s="49">
        <f>AVERAGE('18.10 KANONI-MADDU-24h'!K72,'19.10 KANONI-MADDU-24h'!K72)</f>
        <v>0</v>
      </c>
      <c r="L72" s="49">
        <f>AVERAGE('18.10 KANONI-MADDU-24h'!L72,'19.10 KANONI-MADDU-24h'!L72)</f>
        <v>0</v>
      </c>
      <c r="M72" s="49">
        <f>AVERAGE('18.10 KANONI-MADDU-24h'!M72,'19.10 KANONI-MADDU-24h'!M72)</f>
        <v>1.5</v>
      </c>
      <c r="N72" s="49">
        <f>AVERAGE('18.10 KANONI-MADDU-24h'!N72,'19.10 KANONI-MADDU-24h'!N72)</f>
        <v>0</v>
      </c>
      <c r="O72" s="15">
        <f t="shared" si="0"/>
        <v>3.5</v>
      </c>
      <c r="P72" s="15">
        <f t="shared" si="1"/>
        <v>5</v>
      </c>
      <c r="R72" s="8"/>
      <c r="T72"/>
    </row>
    <row r="73" spans="2:20" ht="23.1" customHeight="1" x14ac:dyDescent="0.25">
      <c r="B73" s="23" t="s">
        <v>113</v>
      </c>
      <c r="C73" s="49">
        <f>AVERAGE('18.10 KANONI-MADDU-24h'!C73,'19.10 KANONI-MADDU-24h'!C73)</f>
        <v>1.5</v>
      </c>
      <c r="D73" s="49">
        <f>AVERAGE('18.10 KANONI-MADDU-24h'!D73,'19.10 KANONI-MADDU-24h'!D73)</f>
        <v>0</v>
      </c>
      <c r="E73" s="49">
        <f>AVERAGE('18.10 KANONI-MADDU-24h'!E73,'19.10 KANONI-MADDU-24h'!E73)</f>
        <v>0.5</v>
      </c>
      <c r="F73" s="49">
        <f>AVERAGE('18.10 KANONI-MADDU-24h'!F73,'19.10 KANONI-MADDU-24h'!F73)</f>
        <v>0</v>
      </c>
      <c r="G73" s="49">
        <f>AVERAGE('18.10 KANONI-MADDU-24h'!G73,'19.10 KANONI-MADDU-24h'!G73)</f>
        <v>0</v>
      </c>
      <c r="H73" s="49">
        <f>AVERAGE('18.10 KANONI-MADDU-24h'!H73,'19.10 KANONI-MADDU-24h'!H73)</f>
        <v>0</v>
      </c>
      <c r="I73" s="49">
        <f>AVERAGE('18.10 KANONI-MADDU-24h'!I73,'19.10 KANONI-MADDU-24h'!I73)</f>
        <v>0</v>
      </c>
      <c r="J73" s="49">
        <f>AVERAGE('18.10 KANONI-MADDU-24h'!J73,'19.10 KANONI-MADDU-24h'!J73)</f>
        <v>0.5</v>
      </c>
      <c r="K73" s="49">
        <f>AVERAGE('18.10 KANONI-MADDU-24h'!K73,'19.10 KANONI-MADDU-24h'!K73)</f>
        <v>0</v>
      </c>
      <c r="L73" s="49">
        <f>AVERAGE('18.10 KANONI-MADDU-24h'!L73,'19.10 KANONI-MADDU-24h'!L73)</f>
        <v>0</v>
      </c>
      <c r="M73" s="49">
        <f>AVERAGE('18.10 KANONI-MADDU-24h'!M73,'19.10 KANONI-MADDU-24h'!M73)</f>
        <v>1.5</v>
      </c>
      <c r="N73" s="49">
        <f>AVERAGE('18.10 KANONI-MADDU-24h'!N73,'19.10 KANONI-MADDU-24h'!N73)</f>
        <v>0</v>
      </c>
      <c r="O73" s="15">
        <f t="shared" si="0"/>
        <v>2.5</v>
      </c>
      <c r="P73" s="15">
        <f t="shared" si="1"/>
        <v>4</v>
      </c>
      <c r="R73" s="8"/>
      <c r="T73"/>
    </row>
    <row r="74" spans="2:20" ht="23.1" customHeight="1" x14ac:dyDescent="0.25">
      <c r="B74" s="23" t="s">
        <v>114</v>
      </c>
      <c r="C74" s="49">
        <f>AVERAGE('18.10 KANONI-MADDU-24h'!C74,'19.10 KANONI-MADDU-24h'!C74)</f>
        <v>0</v>
      </c>
      <c r="D74" s="49">
        <f>AVERAGE('18.10 KANONI-MADDU-24h'!D74,'19.10 KANONI-MADDU-24h'!D74)</f>
        <v>0</v>
      </c>
      <c r="E74" s="49">
        <f>AVERAGE('18.10 KANONI-MADDU-24h'!E74,'19.10 KANONI-MADDU-24h'!E74)</f>
        <v>0</v>
      </c>
      <c r="F74" s="49">
        <f>AVERAGE('18.10 KANONI-MADDU-24h'!F74,'19.10 KANONI-MADDU-24h'!F74)</f>
        <v>0.5</v>
      </c>
      <c r="G74" s="49">
        <f>AVERAGE('18.10 KANONI-MADDU-24h'!G74,'19.10 KANONI-MADDU-24h'!G74)</f>
        <v>0</v>
      </c>
      <c r="H74" s="49">
        <f>AVERAGE('18.10 KANONI-MADDU-24h'!H74,'19.10 KANONI-MADDU-24h'!H74)</f>
        <v>0</v>
      </c>
      <c r="I74" s="49">
        <f>AVERAGE('18.10 KANONI-MADDU-24h'!I74,'19.10 KANONI-MADDU-24h'!I74)</f>
        <v>0</v>
      </c>
      <c r="J74" s="49">
        <f>AVERAGE('18.10 KANONI-MADDU-24h'!J74,'19.10 KANONI-MADDU-24h'!J74)</f>
        <v>0.5</v>
      </c>
      <c r="K74" s="49">
        <f>AVERAGE('18.10 KANONI-MADDU-24h'!K74,'19.10 KANONI-MADDU-24h'!K74)</f>
        <v>0.5</v>
      </c>
      <c r="L74" s="49">
        <f>AVERAGE('18.10 KANONI-MADDU-24h'!L74,'19.10 KANONI-MADDU-24h'!L74)</f>
        <v>0</v>
      </c>
      <c r="M74" s="49">
        <f>AVERAGE('18.10 KANONI-MADDU-24h'!M74,'19.10 KANONI-MADDU-24h'!M74)</f>
        <v>1</v>
      </c>
      <c r="N74" s="49">
        <f>AVERAGE('18.10 KANONI-MADDU-24h'!N74,'19.10 KANONI-MADDU-24h'!N74)</f>
        <v>0</v>
      </c>
      <c r="O74" s="15">
        <f t="shared" ref="O74:O105" si="35">SUM(C74:L74,N74)</f>
        <v>1.5</v>
      </c>
      <c r="P74" s="15">
        <f t="shared" ref="P74:P105" si="36">SUM(C74:N74)</f>
        <v>2.5</v>
      </c>
      <c r="R74" s="8"/>
      <c r="T74"/>
    </row>
    <row r="75" spans="2:20" ht="23.1" customHeight="1" x14ac:dyDescent="0.25">
      <c r="B75" s="23" t="s">
        <v>115</v>
      </c>
      <c r="C75" s="49">
        <f>AVERAGE('18.10 KANONI-MADDU-24h'!C75,'19.10 KANONI-MADDU-24h'!C75)</f>
        <v>0.5</v>
      </c>
      <c r="D75" s="49">
        <f>AVERAGE('18.10 KANONI-MADDU-24h'!D75,'19.10 KANONI-MADDU-24h'!D75)</f>
        <v>0</v>
      </c>
      <c r="E75" s="49">
        <f>AVERAGE('18.10 KANONI-MADDU-24h'!E75,'19.10 KANONI-MADDU-24h'!E75)</f>
        <v>0</v>
      </c>
      <c r="F75" s="49">
        <f>AVERAGE('18.10 KANONI-MADDU-24h'!F75,'19.10 KANONI-MADDU-24h'!F75)</f>
        <v>1</v>
      </c>
      <c r="G75" s="49">
        <f>AVERAGE('18.10 KANONI-MADDU-24h'!G75,'19.10 KANONI-MADDU-24h'!G75)</f>
        <v>0</v>
      </c>
      <c r="H75" s="49">
        <f>AVERAGE('18.10 KANONI-MADDU-24h'!H75,'19.10 KANONI-MADDU-24h'!H75)</f>
        <v>0</v>
      </c>
      <c r="I75" s="49">
        <f>AVERAGE('18.10 KANONI-MADDU-24h'!I75,'19.10 KANONI-MADDU-24h'!I75)</f>
        <v>0.5</v>
      </c>
      <c r="J75" s="49">
        <f>AVERAGE('18.10 KANONI-MADDU-24h'!J75,'19.10 KANONI-MADDU-24h'!J75)</f>
        <v>1</v>
      </c>
      <c r="K75" s="49">
        <f>AVERAGE('18.10 KANONI-MADDU-24h'!K75,'19.10 KANONI-MADDU-24h'!K75)</f>
        <v>0</v>
      </c>
      <c r="L75" s="49">
        <f>AVERAGE('18.10 KANONI-MADDU-24h'!L75,'19.10 KANONI-MADDU-24h'!L75)</f>
        <v>0</v>
      </c>
      <c r="M75" s="49">
        <f>AVERAGE('18.10 KANONI-MADDU-24h'!M75,'19.10 KANONI-MADDU-24h'!M75)</f>
        <v>2</v>
      </c>
      <c r="N75" s="49">
        <f>AVERAGE('18.10 KANONI-MADDU-24h'!N75,'19.10 KANONI-MADDU-24h'!N75)</f>
        <v>0</v>
      </c>
      <c r="O75" s="15">
        <f t="shared" si="35"/>
        <v>3</v>
      </c>
      <c r="P75" s="15">
        <f t="shared" si="36"/>
        <v>5</v>
      </c>
      <c r="R75" s="8"/>
      <c r="T75"/>
    </row>
    <row r="76" spans="2:20" ht="23.1" customHeight="1" x14ac:dyDescent="0.25">
      <c r="B76" s="23" t="s">
        <v>116</v>
      </c>
      <c r="C76" s="49">
        <f>AVERAGE('18.10 KANONI-MADDU-24h'!C76,'19.10 KANONI-MADDU-24h'!C76)</f>
        <v>0</v>
      </c>
      <c r="D76" s="49">
        <f>AVERAGE('18.10 KANONI-MADDU-24h'!D76,'19.10 KANONI-MADDU-24h'!D76)</f>
        <v>0</v>
      </c>
      <c r="E76" s="49">
        <f>AVERAGE('18.10 KANONI-MADDU-24h'!E76,'19.10 KANONI-MADDU-24h'!E76)</f>
        <v>0.5</v>
      </c>
      <c r="F76" s="49">
        <f>AVERAGE('18.10 KANONI-MADDU-24h'!F76,'19.10 KANONI-MADDU-24h'!F76)</f>
        <v>0.5</v>
      </c>
      <c r="G76" s="49">
        <f>AVERAGE('18.10 KANONI-MADDU-24h'!G76,'19.10 KANONI-MADDU-24h'!G76)</f>
        <v>0</v>
      </c>
      <c r="H76" s="49">
        <f>AVERAGE('18.10 KANONI-MADDU-24h'!H76,'19.10 KANONI-MADDU-24h'!H76)</f>
        <v>0</v>
      </c>
      <c r="I76" s="49">
        <f>AVERAGE('18.10 KANONI-MADDU-24h'!I76,'19.10 KANONI-MADDU-24h'!I76)</f>
        <v>0</v>
      </c>
      <c r="J76" s="49">
        <f>AVERAGE('18.10 KANONI-MADDU-24h'!J76,'19.10 KANONI-MADDU-24h'!J76)</f>
        <v>1</v>
      </c>
      <c r="K76" s="49">
        <f>AVERAGE('18.10 KANONI-MADDU-24h'!K76,'19.10 KANONI-MADDU-24h'!K76)</f>
        <v>0</v>
      </c>
      <c r="L76" s="49">
        <f>AVERAGE('18.10 KANONI-MADDU-24h'!L76,'19.10 KANONI-MADDU-24h'!L76)</f>
        <v>0</v>
      </c>
      <c r="M76" s="49">
        <f>AVERAGE('18.10 KANONI-MADDU-24h'!M76,'19.10 KANONI-MADDU-24h'!M76)</f>
        <v>0.5</v>
      </c>
      <c r="N76" s="49">
        <f>AVERAGE('18.10 KANONI-MADDU-24h'!N76,'19.10 KANONI-MADDU-24h'!N76)</f>
        <v>0</v>
      </c>
      <c r="O76" s="15">
        <f t="shared" si="35"/>
        <v>2</v>
      </c>
      <c r="P76" s="15">
        <f t="shared" si="36"/>
        <v>2.5</v>
      </c>
      <c r="R76" s="8"/>
      <c r="T76"/>
    </row>
    <row r="77" spans="2:20" ht="23.1" customHeight="1" x14ac:dyDescent="0.25">
      <c r="B77" s="23" t="s">
        <v>117</v>
      </c>
      <c r="C77" s="49">
        <f>AVERAGE('18.10 KANONI-MADDU-24h'!C77,'19.10 KANONI-MADDU-24h'!C77)</f>
        <v>0</v>
      </c>
      <c r="D77" s="49">
        <f>AVERAGE('18.10 KANONI-MADDU-24h'!D77,'19.10 KANONI-MADDU-24h'!D77)</f>
        <v>0</v>
      </c>
      <c r="E77" s="49">
        <f>AVERAGE('18.10 KANONI-MADDU-24h'!E77,'19.10 KANONI-MADDU-24h'!E77)</f>
        <v>0</v>
      </c>
      <c r="F77" s="49">
        <f>AVERAGE('18.10 KANONI-MADDU-24h'!F77,'19.10 KANONI-MADDU-24h'!F77)</f>
        <v>0</v>
      </c>
      <c r="G77" s="49">
        <f>AVERAGE('18.10 KANONI-MADDU-24h'!G77,'19.10 KANONI-MADDU-24h'!G77)</f>
        <v>0</v>
      </c>
      <c r="H77" s="49">
        <f>AVERAGE('18.10 KANONI-MADDU-24h'!H77,'19.10 KANONI-MADDU-24h'!H77)</f>
        <v>0</v>
      </c>
      <c r="I77" s="49">
        <f>AVERAGE('18.10 KANONI-MADDU-24h'!I77,'19.10 KANONI-MADDU-24h'!I77)</f>
        <v>0</v>
      </c>
      <c r="J77" s="49">
        <f>AVERAGE('18.10 KANONI-MADDU-24h'!J77,'19.10 KANONI-MADDU-24h'!J77)</f>
        <v>1</v>
      </c>
      <c r="K77" s="49">
        <f>AVERAGE('18.10 KANONI-MADDU-24h'!K77,'19.10 KANONI-MADDU-24h'!K77)</f>
        <v>0</v>
      </c>
      <c r="L77" s="49">
        <f>AVERAGE('18.10 KANONI-MADDU-24h'!L77,'19.10 KANONI-MADDU-24h'!L77)</f>
        <v>0</v>
      </c>
      <c r="M77" s="49">
        <f>AVERAGE('18.10 KANONI-MADDU-24h'!M77,'19.10 KANONI-MADDU-24h'!M77)</f>
        <v>0</v>
      </c>
      <c r="N77" s="49">
        <f>AVERAGE('18.10 KANONI-MADDU-24h'!N77,'19.10 KANONI-MADDU-24h'!N77)</f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24" t="s">
        <v>118</v>
      </c>
      <c r="C78" s="49">
        <f>AVERAGE('18.10 KANONI-MADDU-24h'!C78,'19.10 KANONI-MADDU-24h'!C78)</f>
        <v>0</v>
      </c>
      <c r="D78" s="49">
        <f>AVERAGE('18.10 KANONI-MADDU-24h'!D78,'19.10 KANONI-MADDU-24h'!D78)</f>
        <v>0</v>
      </c>
      <c r="E78" s="49">
        <f>AVERAGE('18.10 KANONI-MADDU-24h'!E78,'19.10 KANONI-MADDU-24h'!E78)</f>
        <v>0</v>
      </c>
      <c r="F78" s="49">
        <f>AVERAGE('18.10 KANONI-MADDU-24h'!F78,'19.10 KANONI-MADDU-24h'!F78)</f>
        <v>0</v>
      </c>
      <c r="G78" s="49">
        <f>AVERAGE('18.10 KANONI-MADDU-24h'!G78,'19.10 KANONI-MADDU-24h'!G78)</f>
        <v>0</v>
      </c>
      <c r="H78" s="49">
        <f>AVERAGE('18.10 KANONI-MADDU-24h'!H78,'19.10 KANONI-MADDU-24h'!H78)</f>
        <v>0</v>
      </c>
      <c r="I78" s="49">
        <f>AVERAGE('18.10 KANONI-MADDU-24h'!I78,'19.10 KANONI-MADDU-24h'!I78)</f>
        <v>1</v>
      </c>
      <c r="J78" s="49">
        <f>AVERAGE('18.10 KANONI-MADDU-24h'!J78,'19.10 KANONI-MADDU-24h'!J78)</f>
        <v>1</v>
      </c>
      <c r="K78" s="49">
        <f>AVERAGE('18.10 KANONI-MADDU-24h'!K78,'19.10 KANONI-MADDU-24h'!K78)</f>
        <v>0</v>
      </c>
      <c r="L78" s="49">
        <f>AVERAGE('18.10 KANONI-MADDU-24h'!L78,'19.10 KANONI-MADDU-24h'!L78)</f>
        <v>0</v>
      </c>
      <c r="M78" s="49">
        <f>AVERAGE('18.10 KANONI-MADDU-24h'!M78,'19.10 KANONI-MADDU-24h'!M78)</f>
        <v>0.5</v>
      </c>
      <c r="N78" s="49">
        <f>AVERAGE('18.10 KANONI-MADDU-24h'!N78,'19.10 KANONI-MADDU-24h'!N78)</f>
        <v>0</v>
      </c>
      <c r="O78" s="15">
        <f t="shared" si="35"/>
        <v>2</v>
      </c>
      <c r="P78" s="15">
        <f t="shared" si="36"/>
        <v>2.5</v>
      </c>
      <c r="R78" s="8"/>
      <c r="T78"/>
    </row>
    <row r="79" spans="2:20" ht="23.1" customHeight="1" x14ac:dyDescent="0.25">
      <c r="B79" s="23" t="s">
        <v>119</v>
      </c>
      <c r="C79" s="49">
        <f>AVERAGE('18.10 KANONI-MADDU-24h'!C79,'19.10 KANONI-MADDU-24h'!C79)</f>
        <v>1.5</v>
      </c>
      <c r="D79" s="49">
        <f>AVERAGE('18.10 KANONI-MADDU-24h'!D79,'19.10 KANONI-MADDU-24h'!D79)</f>
        <v>0</v>
      </c>
      <c r="E79" s="49">
        <f>AVERAGE('18.10 KANONI-MADDU-24h'!E79,'19.10 KANONI-MADDU-24h'!E79)</f>
        <v>0.5</v>
      </c>
      <c r="F79" s="49">
        <f>AVERAGE('18.10 KANONI-MADDU-24h'!F79,'19.10 KANONI-MADDU-24h'!F79)</f>
        <v>1.5</v>
      </c>
      <c r="G79" s="49">
        <f>AVERAGE('18.10 KANONI-MADDU-24h'!G79,'19.10 KANONI-MADDU-24h'!G79)</f>
        <v>0</v>
      </c>
      <c r="H79" s="49">
        <f>AVERAGE('18.10 KANONI-MADDU-24h'!H79,'19.10 KANONI-MADDU-24h'!H79)</f>
        <v>0</v>
      </c>
      <c r="I79" s="49">
        <f>AVERAGE('18.10 KANONI-MADDU-24h'!I79,'19.10 KANONI-MADDU-24h'!I79)</f>
        <v>0.5</v>
      </c>
      <c r="J79" s="49">
        <f>AVERAGE('18.10 KANONI-MADDU-24h'!J79,'19.10 KANONI-MADDU-24h'!J79)</f>
        <v>0</v>
      </c>
      <c r="K79" s="49">
        <f>AVERAGE('18.10 KANONI-MADDU-24h'!K79,'19.10 KANONI-MADDU-24h'!K79)</f>
        <v>0</v>
      </c>
      <c r="L79" s="49">
        <f>AVERAGE('18.10 KANONI-MADDU-24h'!L79,'19.10 KANONI-MADDU-24h'!L79)</f>
        <v>0</v>
      </c>
      <c r="M79" s="49">
        <f>AVERAGE('18.10 KANONI-MADDU-24h'!M79,'19.10 KANONI-MADDU-24h'!M79)</f>
        <v>0.5</v>
      </c>
      <c r="N79" s="49">
        <f>AVERAGE('18.10 KANONI-MADDU-24h'!N79,'19.10 KANONI-MADDU-24h'!N79)</f>
        <v>0</v>
      </c>
      <c r="O79" s="15">
        <f t="shared" si="35"/>
        <v>4</v>
      </c>
      <c r="P79" s="15">
        <f t="shared" si="36"/>
        <v>4.5</v>
      </c>
      <c r="R79" s="8"/>
      <c r="T79"/>
    </row>
    <row r="80" spans="2:20" ht="23.1" customHeight="1" x14ac:dyDescent="0.25">
      <c r="B80" s="25" t="s">
        <v>120</v>
      </c>
      <c r="C80" s="49">
        <f>AVERAGE('18.10 KANONI-MADDU-24h'!C80,'19.10 KANONI-MADDU-24h'!C80)</f>
        <v>1.5</v>
      </c>
      <c r="D80" s="49">
        <f>AVERAGE('18.10 KANONI-MADDU-24h'!D80,'19.10 KANONI-MADDU-24h'!D80)</f>
        <v>0</v>
      </c>
      <c r="E80" s="49">
        <f>AVERAGE('18.10 KANONI-MADDU-24h'!E80,'19.10 KANONI-MADDU-24h'!E80)</f>
        <v>0</v>
      </c>
      <c r="F80" s="49">
        <f>AVERAGE('18.10 KANONI-MADDU-24h'!F80,'19.10 KANONI-MADDU-24h'!F80)</f>
        <v>0</v>
      </c>
      <c r="G80" s="49">
        <f>AVERAGE('18.10 KANONI-MADDU-24h'!G80,'19.10 KANONI-MADDU-24h'!G80)</f>
        <v>0</v>
      </c>
      <c r="H80" s="49">
        <f>AVERAGE('18.10 KANONI-MADDU-24h'!H80,'19.10 KANONI-MADDU-24h'!H80)</f>
        <v>0</v>
      </c>
      <c r="I80" s="49">
        <f>AVERAGE('18.10 KANONI-MADDU-24h'!I80,'19.10 KANONI-MADDU-24h'!I80)</f>
        <v>0</v>
      </c>
      <c r="J80" s="49">
        <f>AVERAGE('18.10 KANONI-MADDU-24h'!J80,'19.10 KANONI-MADDU-24h'!J80)</f>
        <v>0</v>
      </c>
      <c r="K80" s="49">
        <f>AVERAGE('18.10 KANONI-MADDU-24h'!K80,'19.10 KANONI-MADDU-24h'!K80)</f>
        <v>0</v>
      </c>
      <c r="L80" s="49">
        <f>AVERAGE('18.10 KANONI-MADDU-24h'!L80,'19.10 KANONI-MADDU-24h'!L80)</f>
        <v>0</v>
      </c>
      <c r="M80" s="49">
        <f>AVERAGE('18.10 KANONI-MADDU-24h'!M80,'19.10 KANONI-MADDU-24h'!M80)</f>
        <v>0.5</v>
      </c>
      <c r="N80" s="49">
        <f>AVERAGE('18.10 KANONI-MADDU-24h'!N80,'19.10 KANONI-MADDU-24h'!N80)</f>
        <v>0</v>
      </c>
      <c r="O80" s="15">
        <f t="shared" si="35"/>
        <v>1.5</v>
      </c>
      <c r="P80" s="15">
        <f t="shared" si="36"/>
        <v>2</v>
      </c>
      <c r="R80" s="8"/>
      <c r="T80"/>
    </row>
    <row r="81" spans="2:20" ht="23.1" customHeight="1" x14ac:dyDescent="0.25">
      <c r="B81" s="23" t="s">
        <v>121</v>
      </c>
      <c r="C81" s="49">
        <f>AVERAGE('18.10 KANONI-MADDU-24h'!C81,'19.10 KANONI-MADDU-24h'!C81)</f>
        <v>1</v>
      </c>
      <c r="D81" s="49">
        <f>AVERAGE('18.10 KANONI-MADDU-24h'!D81,'19.10 KANONI-MADDU-24h'!D81)</f>
        <v>0</v>
      </c>
      <c r="E81" s="49">
        <f>AVERAGE('18.10 KANONI-MADDU-24h'!E81,'19.10 KANONI-MADDU-24h'!E81)</f>
        <v>0</v>
      </c>
      <c r="F81" s="49">
        <f>AVERAGE('18.10 KANONI-MADDU-24h'!F81,'19.10 KANONI-MADDU-24h'!F81)</f>
        <v>0</v>
      </c>
      <c r="G81" s="49">
        <f>AVERAGE('18.10 KANONI-MADDU-24h'!G81,'19.10 KANONI-MADDU-24h'!G81)</f>
        <v>0</v>
      </c>
      <c r="H81" s="49">
        <f>AVERAGE('18.10 KANONI-MADDU-24h'!H81,'19.10 KANONI-MADDU-24h'!H81)</f>
        <v>1</v>
      </c>
      <c r="I81" s="49">
        <f>AVERAGE('18.10 KANONI-MADDU-24h'!I81,'19.10 KANONI-MADDU-24h'!I81)</f>
        <v>0.5</v>
      </c>
      <c r="J81" s="49">
        <f>AVERAGE('18.10 KANONI-MADDU-24h'!J81,'19.10 KANONI-MADDU-24h'!J81)</f>
        <v>1</v>
      </c>
      <c r="K81" s="49">
        <f>AVERAGE('18.10 KANONI-MADDU-24h'!K81,'19.10 KANONI-MADDU-24h'!K81)</f>
        <v>0</v>
      </c>
      <c r="L81" s="49">
        <f>AVERAGE('18.10 KANONI-MADDU-24h'!L81,'19.10 KANONI-MADDU-24h'!L81)</f>
        <v>0</v>
      </c>
      <c r="M81" s="49">
        <f>AVERAGE('18.10 KANONI-MADDU-24h'!M81,'19.10 KANONI-MADDU-24h'!M81)</f>
        <v>0</v>
      </c>
      <c r="N81" s="49">
        <f>AVERAGE('18.10 KANONI-MADDU-24h'!N81,'19.10 KANONI-MADDU-24h'!N81)</f>
        <v>0</v>
      </c>
      <c r="O81" s="15">
        <f t="shared" si="35"/>
        <v>3.5</v>
      </c>
      <c r="P81" s="15">
        <f t="shared" si="36"/>
        <v>3.5</v>
      </c>
      <c r="R81" s="8"/>
      <c r="T81"/>
    </row>
    <row r="82" spans="2:20" ht="23.1" customHeight="1" x14ac:dyDescent="0.25">
      <c r="B82" s="24" t="s">
        <v>122</v>
      </c>
      <c r="C82" s="49">
        <f>AVERAGE('18.10 KANONI-MADDU-24h'!C82,'19.10 KANONI-MADDU-24h'!C82)</f>
        <v>0</v>
      </c>
      <c r="D82" s="49">
        <f>AVERAGE('18.10 KANONI-MADDU-24h'!D82,'19.10 KANONI-MADDU-24h'!D82)</f>
        <v>0</v>
      </c>
      <c r="E82" s="49">
        <f>AVERAGE('18.10 KANONI-MADDU-24h'!E82,'19.10 KANONI-MADDU-24h'!E82)</f>
        <v>0.5</v>
      </c>
      <c r="F82" s="49">
        <f>AVERAGE('18.10 KANONI-MADDU-24h'!F82,'19.10 KANONI-MADDU-24h'!F82)</f>
        <v>0</v>
      </c>
      <c r="G82" s="49">
        <f>AVERAGE('18.10 KANONI-MADDU-24h'!G82,'19.10 KANONI-MADDU-24h'!G82)</f>
        <v>0</v>
      </c>
      <c r="H82" s="49">
        <f>AVERAGE('18.10 KANONI-MADDU-24h'!H82,'19.10 KANONI-MADDU-24h'!H82)</f>
        <v>0</v>
      </c>
      <c r="I82" s="49">
        <f>AVERAGE('18.10 KANONI-MADDU-24h'!I82,'19.10 KANONI-MADDU-24h'!I82)</f>
        <v>0</v>
      </c>
      <c r="J82" s="49">
        <f>AVERAGE('18.10 KANONI-MADDU-24h'!J82,'19.10 KANONI-MADDU-24h'!J82)</f>
        <v>0</v>
      </c>
      <c r="K82" s="49">
        <f>AVERAGE('18.10 KANONI-MADDU-24h'!K82,'19.10 KANONI-MADDU-24h'!K82)</f>
        <v>0</v>
      </c>
      <c r="L82" s="49">
        <f>AVERAGE('18.10 KANONI-MADDU-24h'!L82,'19.10 KANONI-MADDU-24h'!L82)</f>
        <v>0</v>
      </c>
      <c r="M82" s="49">
        <f>AVERAGE('18.10 KANONI-MADDU-24h'!M82,'19.10 KANONI-MADDU-24h'!M82)</f>
        <v>0</v>
      </c>
      <c r="N82" s="49">
        <f>AVERAGE('18.10 KANONI-MADDU-24h'!N82,'19.10 KANONI-MADDU-24h'!N82)</f>
        <v>0</v>
      </c>
      <c r="O82" s="15">
        <f t="shared" si="35"/>
        <v>0.5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AVERAGE('18.10 KANONI-MADDU-24h'!C83,'19.10 KANONI-MADDU-24h'!C83)</f>
        <v>0</v>
      </c>
      <c r="D83" s="49">
        <f>AVERAGE('18.10 KANONI-MADDU-24h'!D83,'19.10 KANONI-MADDU-24h'!D83)</f>
        <v>0</v>
      </c>
      <c r="E83" s="49">
        <f>AVERAGE('18.10 KANONI-MADDU-24h'!E83,'19.10 KANONI-MADDU-24h'!E83)</f>
        <v>0</v>
      </c>
      <c r="F83" s="49">
        <f>AVERAGE('18.10 KANONI-MADDU-24h'!F83,'19.10 KANONI-MADDU-24h'!F83)</f>
        <v>0</v>
      </c>
      <c r="G83" s="49">
        <f>AVERAGE('18.10 KANONI-MADDU-24h'!G83,'19.10 KANONI-MADDU-24h'!G83)</f>
        <v>0</v>
      </c>
      <c r="H83" s="49">
        <f>AVERAGE('18.10 KANONI-MADDU-24h'!H83,'19.10 KANONI-MADDU-24h'!H83)</f>
        <v>0</v>
      </c>
      <c r="I83" s="49">
        <f>AVERAGE('18.10 KANONI-MADDU-24h'!I83,'19.10 KANONI-MADDU-24h'!I83)</f>
        <v>0</v>
      </c>
      <c r="J83" s="49">
        <f>AVERAGE('18.10 KANONI-MADDU-24h'!J83,'19.10 KANONI-MADDU-24h'!J83)</f>
        <v>0</v>
      </c>
      <c r="K83" s="49">
        <f>AVERAGE('18.10 KANONI-MADDU-24h'!K83,'19.10 KANONI-MADDU-24h'!K83)</f>
        <v>0</v>
      </c>
      <c r="L83" s="49">
        <f>AVERAGE('18.10 KANONI-MADDU-24h'!L83,'19.10 KANONI-MADDU-24h'!L83)</f>
        <v>0</v>
      </c>
      <c r="M83" s="49">
        <f>AVERAGE('18.10 KANONI-MADDU-24h'!M83,'19.10 KANONI-MADDU-24h'!M83)</f>
        <v>0</v>
      </c>
      <c r="N83" s="49">
        <f>AVERAGE('18.10 KANONI-MADDU-24h'!N83,'19.10 KANONI-MADDU-24h'!N83)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AVERAGE('18.10 KANONI-MADDU-24h'!C84,'19.10 KANONI-MADDU-24h'!C84)</f>
        <v>0</v>
      </c>
      <c r="D84" s="49">
        <f>AVERAGE('18.10 KANONI-MADDU-24h'!D84,'19.10 KANONI-MADDU-24h'!D84)</f>
        <v>0</v>
      </c>
      <c r="E84" s="49">
        <f>AVERAGE('18.10 KANONI-MADDU-24h'!E84,'19.10 KANONI-MADDU-24h'!E84)</f>
        <v>0</v>
      </c>
      <c r="F84" s="49">
        <f>AVERAGE('18.10 KANONI-MADDU-24h'!F84,'19.10 KANONI-MADDU-24h'!F84)</f>
        <v>0</v>
      </c>
      <c r="G84" s="49">
        <f>AVERAGE('18.10 KANONI-MADDU-24h'!G84,'19.10 KANONI-MADDU-24h'!G84)</f>
        <v>0</v>
      </c>
      <c r="H84" s="49">
        <f>AVERAGE('18.10 KANONI-MADDU-24h'!H84,'19.10 KANONI-MADDU-24h'!H84)</f>
        <v>0</v>
      </c>
      <c r="I84" s="49">
        <f>AVERAGE('18.10 KANONI-MADDU-24h'!I84,'19.10 KANONI-MADDU-24h'!I84)</f>
        <v>0.5</v>
      </c>
      <c r="J84" s="49">
        <f>AVERAGE('18.10 KANONI-MADDU-24h'!J84,'19.10 KANONI-MADDU-24h'!J84)</f>
        <v>0</v>
      </c>
      <c r="K84" s="49">
        <f>AVERAGE('18.10 KANONI-MADDU-24h'!K84,'19.10 KANONI-MADDU-24h'!K84)</f>
        <v>0</v>
      </c>
      <c r="L84" s="49">
        <f>AVERAGE('18.10 KANONI-MADDU-24h'!L84,'19.10 KANONI-MADDU-24h'!L84)</f>
        <v>0.5</v>
      </c>
      <c r="M84" s="49">
        <f>AVERAGE('18.10 KANONI-MADDU-24h'!M84,'19.10 KANONI-MADDU-24h'!M84)</f>
        <v>0.5</v>
      </c>
      <c r="N84" s="49">
        <f>AVERAGE('18.10 KANONI-MADDU-24h'!N84,'19.10 KANONI-MADDU-24h'!N84)</f>
        <v>0</v>
      </c>
      <c r="O84" s="15">
        <f t="shared" si="35"/>
        <v>1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AVERAGE('18.10 KANONI-MADDU-24h'!C85,'19.10 KANONI-MADDU-24h'!C85)</f>
        <v>0</v>
      </c>
      <c r="D85" s="49">
        <f>AVERAGE('18.10 KANONI-MADDU-24h'!D85,'19.10 KANONI-MADDU-24h'!D85)</f>
        <v>0</v>
      </c>
      <c r="E85" s="49">
        <f>AVERAGE('18.10 KANONI-MADDU-24h'!E85,'19.10 KANONI-MADDU-24h'!E85)</f>
        <v>0</v>
      </c>
      <c r="F85" s="49">
        <f>AVERAGE('18.10 KANONI-MADDU-24h'!F85,'19.10 KANONI-MADDU-24h'!F85)</f>
        <v>0</v>
      </c>
      <c r="G85" s="49">
        <f>AVERAGE('18.10 KANONI-MADDU-24h'!G85,'19.10 KANONI-MADDU-24h'!G85)</f>
        <v>0.5</v>
      </c>
      <c r="H85" s="49">
        <f>AVERAGE('18.10 KANONI-MADDU-24h'!H85,'19.10 KANONI-MADDU-24h'!H85)</f>
        <v>0</v>
      </c>
      <c r="I85" s="49">
        <f>AVERAGE('18.10 KANONI-MADDU-24h'!I85,'19.10 KANONI-MADDU-24h'!I85)</f>
        <v>0</v>
      </c>
      <c r="J85" s="49">
        <f>AVERAGE('18.10 KANONI-MADDU-24h'!J85,'19.10 KANONI-MADDU-24h'!J85)</f>
        <v>0</v>
      </c>
      <c r="K85" s="49">
        <f>AVERAGE('18.10 KANONI-MADDU-24h'!K85,'19.10 KANONI-MADDU-24h'!K85)</f>
        <v>0</v>
      </c>
      <c r="L85" s="49">
        <f>AVERAGE('18.10 KANONI-MADDU-24h'!L85,'19.10 KANONI-MADDU-24h'!L85)</f>
        <v>0.5</v>
      </c>
      <c r="M85" s="49">
        <f>AVERAGE('18.10 KANONI-MADDU-24h'!M85,'19.10 KANONI-MADDU-24h'!M85)</f>
        <v>0.5</v>
      </c>
      <c r="N85" s="49">
        <f>AVERAGE('18.10 KANONI-MADDU-24h'!N85,'19.10 KANONI-MADDU-24h'!N85)</f>
        <v>0</v>
      </c>
      <c r="O85" s="15">
        <f t="shared" si="35"/>
        <v>1</v>
      </c>
      <c r="P85" s="15">
        <f t="shared" si="36"/>
        <v>1.5</v>
      </c>
      <c r="R85" s="8"/>
      <c r="T85"/>
    </row>
    <row r="86" spans="2:20" ht="23.1" customHeight="1" x14ac:dyDescent="0.25">
      <c r="B86" s="24" t="s">
        <v>126</v>
      </c>
      <c r="C86" s="49">
        <f>AVERAGE('18.10 KANONI-MADDU-24h'!C86,'19.10 KANONI-MADDU-24h'!C86)</f>
        <v>0</v>
      </c>
      <c r="D86" s="49">
        <f>AVERAGE('18.10 KANONI-MADDU-24h'!D86,'19.10 KANONI-MADDU-24h'!D86)</f>
        <v>0</v>
      </c>
      <c r="E86" s="49">
        <f>AVERAGE('18.10 KANONI-MADDU-24h'!E86,'19.10 KANONI-MADDU-24h'!E86)</f>
        <v>0</v>
      </c>
      <c r="F86" s="49">
        <f>AVERAGE('18.10 KANONI-MADDU-24h'!F86,'19.10 KANONI-MADDU-24h'!F86)</f>
        <v>0</v>
      </c>
      <c r="G86" s="49">
        <f>AVERAGE('18.10 KANONI-MADDU-24h'!G86,'19.10 KANONI-MADDU-24h'!G86)</f>
        <v>0</v>
      </c>
      <c r="H86" s="49">
        <f>AVERAGE('18.10 KANONI-MADDU-24h'!H86,'19.10 KANONI-MADDU-24h'!H86)</f>
        <v>0</v>
      </c>
      <c r="I86" s="49">
        <f>AVERAGE('18.10 KANONI-MADDU-24h'!I86,'19.10 KANONI-MADDU-24h'!I86)</f>
        <v>0</v>
      </c>
      <c r="J86" s="49">
        <f>AVERAGE('18.10 KANONI-MADDU-24h'!J86,'19.10 KANONI-MADDU-24h'!J86)</f>
        <v>0.5</v>
      </c>
      <c r="K86" s="49">
        <f>AVERAGE('18.10 KANONI-MADDU-24h'!K86,'19.10 KANONI-MADDU-24h'!K86)</f>
        <v>0</v>
      </c>
      <c r="L86" s="49">
        <f>AVERAGE('18.10 KANONI-MADDU-24h'!L86,'19.10 KANONI-MADDU-24h'!L86)</f>
        <v>0</v>
      </c>
      <c r="M86" s="49">
        <f>AVERAGE('18.10 KANONI-MADDU-24h'!M86,'19.10 KANONI-MADDU-24h'!M86)</f>
        <v>0</v>
      </c>
      <c r="N86" s="49">
        <f>AVERAGE('18.10 KANONI-MADDU-24h'!N86,'19.10 KANONI-MADDU-24h'!N86)</f>
        <v>0</v>
      </c>
      <c r="O86" s="15">
        <f t="shared" si="35"/>
        <v>0.5</v>
      </c>
      <c r="P86" s="15">
        <f t="shared" si="36"/>
        <v>0.5</v>
      </c>
      <c r="R86" s="8"/>
      <c r="T86"/>
    </row>
    <row r="87" spans="2:20" ht="23.1" customHeight="1" x14ac:dyDescent="0.25">
      <c r="B87" s="23" t="s">
        <v>127</v>
      </c>
      <c r="C87" s="49">
        <f>AVERAGE('18.10 KANONI-MADDU-24h'!C87,'19.10 KANONI-MADDU-24h'!C87)</f>
        <v>0</v>
      </c>
      <c r="D87" s="49">
        <f>AVERAGE('18.10 KANONI-MADDU-24h'!D87,'19.10 KANONI-MADDU-24h'!D87)</f>
        <v>0</v>
      </c>
      <c r="E87" s="49">
        <f>AVERAGE('18.10 KANONI-MADDU-24h'!E87,'19.10 KANONI-MADDU-24h'!E87)</f>
        <v>0</v>
      </c>
      <c r="F87" s="49">
        <f>AVERAGE('18.10 KANONI-MADDU-24h'!F87,'19.10 KANONI-MADDU-24h'!F87)</f>
        <v>0</v>
      </c>
      <c r="G87" s="49">
        <f>AVERAGE('18.10 KANONI-MADDU-24h'!G87,'19.10 KANONI-MADDU-24h'!G87)</f>
        <v>0</v>
      </c>
      <c r="H87" s="49">
        <f>AVERAGE('18.10 KANONI-MADDU-24h'!H87,'19.10 KANONI-MADDU-24h'!H87)</f>
        <v>0</v>
      </c>
      <c r="I87" s="49">
        <f>AVERAGE('18.10 KANONI-MADDU-24h'!I87,'19.10 KANONI-MADDU-24h'!I87)</f>
        <v>0</v>
      </c>
      <c r="J87" s="49">
        <f>AVERAGE('18.10 KANONI-MADDU-24h'!J87,'19.10 KANONI-MADDU-24h'!J87)</f>
        <v>1</v>
      </c>
      <c r="K87" s="49">
        <f>AVERAGE('18.10 KANONI-MADDU-24h'!K87,'19.10 KANONI-MADDU-24h'!K87)</f>
        <v>0</v>
      </c>
      <c r="L87" s="49">
        <f>AVERAGE('18.10 KANONI-MADDU-24h'!L87,'19.10 KANONI-MADDU-24h'!L87)</f>
        <v>0.5</v>
      </c>
      <c r="M87" s="49">
        <f>AVERAGE('18.10 KANONI-MADDU-24h'!M87,'19.10 KANONI-MADDU-24h'!M87)</f>
        <v>0</v>
      </c>
      <c r="N87" s="49">
        <f>AVERAGE('18.10 KANONI-MADDU-24h'!N87,'19.10 KANONI-MADDU-24h'!N87)</f>
        <v>0</v>
      </c>
      <c r="O87" s="15">
        <f t="shared" si="35"/>
        <v>1.5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AVERAGE('18.10 KANONI-MADDU-24h'!C88,'19.10 KANONI-MADDU-24h'!C88)</f>
        <v>0</v>
      </c>
      <c r="D88" s="49">
        <f>AVERAGE('18.10 KANONI-MADDU-24h'!D88,'19.10 KANONI-MADDU-24h'!D88)</f>
        <v>0</v>
      </c>
      <c r="E88" s="49">
        <f>AVERAGE('18.10 KANONI-MADDU-24h'!E88,'19.10 KANONI-MADDU-24h'!E88)</f>
        <v>0</v>
      </c>
      <c r="F88" s="49">
        <f>AVERAGE('18.10 KANONI-MADDU-24h'!F88,'19.10 KANONI-MADDU-24h'!F88)</f>
        <v>0</v>
      </c>
      <c r="G88" s="49">
        <f>AVERAGE('18.10 KANONI-MADDU-24h'!G88,'19.10 KANONI-MADDU-24h'!G88)</f>
        <v>0</v>
      </c>
      <c r="H88" s="49">
        <f>AVERAGE('18.10 KANONI-MADDU-24h'!H88,'19.10 KANONI-MADDU-24h'!H88)</f>
        <v>0</v>
      </c>
      <c r="I88" s="49">
        <f>AVERAGE('18.10 KANONI-MADDU-24h'!I88,'19.10 KANONI-MADDU-24h'!I88)</f>
        <v>0.5</v>
      </c>
      <c r="J88" s="49">
        <f>AVERAGE('18.10 KANONI-MADDU-24h'!J88,'19.10 KANONI-MADDU-24h'!J88)</f>
        <v>0</v>
      </c>
      <c r="K88" s="49">
        <f>AVERAGE('18.10 KANONI-MADDU-24h'!K88,'19.10 KANONI-MADDU-24h'!K88)</f>
        <v>0</v>
      </c>
      <c r="L88" s="49">
        <f>AVERAGE('18.10 KANONI-MADDU-24h'!L88,'19.10 KANONI-MADDU-24h'!L88)</f>
        <v>0</v>
      </c>
      <c r="M88" s="49">
        <f>AVERAGE('18.10 KANONI-MADDU-24h'!M88,'19.10 KANONI-MADDU-24h'!M88)</f>
        <v>0</v>
      </c>
      <c r="N88" s="49">
        <f>AVERAGE('18.10 KANONI-MADDU-24h'!N88,'19.10 KANONI-MADDU-24h'!N88)</f>
        <v>0</v>
      </c>
      <c r="O88" s="15">
        <f t="shared" si="35"/>
        <v>0.5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AVERAGE('18.10 KANONI-MADDU-24h'!C89,'19.10 KANONI-MADDU-24h'!C89)</f>
        <v>0.5</v>
      </c>
      <c r="D89" s="49">
        <f>AVERAGE('18.10 KANONI-MADDU-24h'!D89,'19.10 KANONI-MADDU-24h'!D89)</f>
        <v>0</v>
      </c>
      <c r="E89" s="49">
        <f>AVERAGE('18.10 KANONI-MADDU-24h'!E89,'19.10 KANONI-MADDU-24h'!E89)</f>
        <v>0</v>
      </c>
      <c r="F89" s="49">
        <f>AVERAGE('18.10 KANONI-MADDU-24h'!F89,'19.10 KANONI-MADDU-24h'!F89)</f>
        <v>0</v>
      </c>
      <c r="G89" s="49">
        <f>AVERAGE('18.10 KANONI-MADDU-24h'!G89,'19.10 KANONI-MADDU-24h'!G89)</f>
        <v>0</v>
      </c>
      <c r="H89" s="49">
        <f>AVERAGE('18.10 KANONI-MADDU-24h'!H89,'19.10 KANONI-MADDU-24h'!H89)</f>
        <v>0</v>
      </c>
      <c r="I89" s="49">
        <f>AVERAGE('18.10 KANONI-MADDU-24h'!I89,'19.10 KANONI-MADDU-24h'!I89)</f>
        <v>0</v>
      </c>
      <c r="J89" s="49">
        <f>AVERAGE('18.10 KANONI-MADDU-24h'!J89,'19.10 KANONI-MADDU-24h'!J89)</f>
        <v>0.5</v>
      </c>
      <c r="K89" s="49">
        <f>AVERAGE('18.10 KANONI-MADDU-24h'!K89,'19.10 KANONI-MADDU-24h'!K89)</f>
        <v>0</v>
      </c>
      <c r="L89" s="49">
        <f>AVERAGE('18.10 KANONI-MADDU-24h'!L89,'19.10 KANONI-MADDU-24h'!L89)</f>
        <v>0</v>
      </c>
      <c r="M89" s="49">
        <f>AVERAGE('18.10 KANONI-MADDU-24h'!M89,'19.10 KANONI-MADDU-24h'!M89)</f>
        <v>0</v>
      </c>
      <c r="N89" s="49">
        <f>AVERAGE('18.10 KANONI-MADDU-24h'!N89,'19.10 KANONI-MADDU-24h'!N89)</f>
        <v>0</v>
      </c>
      <c r="O89" s="15">
        <f t="shared" si="35"/>
        <v>1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AVERAGE('18.10 KANONI-MADDU-24h'!C90,'19.10 KANONI-MADDU-24h'!C90)</f>
        <v>0</v>
      </c>
      <c r="D90" s="49">
        <f>AVERAGE('18.10 KANONI-MADDU-24h'!D90,'19.10 KANONI-MADDU-24h'!D90)</f>
        <v>0.5</v>
      </c>
      <c r="E90" s="49">
        <f>AVERAGE('18.10 KANONI-MADDU-24h'!E90,'19.10 KANONI-MADDU-24h'!E90)</f>
        <v>0</v>
      </c>
      <c r="F90" s="49">
        <f>AVERAGE('18.10 KANONI-MADDU-24h'!F90,'19.10 KANONI-MADDU-24h'!F90)</f>
        <v>0</v>
      </c>
      <c r="G90" s="49">
        <f>AVERAGE('18.10 KANONI-MADDU-24h'!G90,'19.10 KANONI-MADDU-24h'!G90)</f>
        <v>0</v>
      </c>
      <c r="H90" s="49">
        <f>AVERAGE('18.10 KANONI-MADDU-24h'!H90,'19.10 KANONI-MADDU-24h'!H90)</f>
        <v>0</v>
      </c>
      <c r="I90" s="49">
        <f>AVERAGE('18.10 KANONI-MADDU-24h'!I90,'19.10 KANONI-MADDU-24h'!I90)</f>
        <v>1</v>
      </c>
      <c r="J90" s="49">
        <f>AVERAGE('18.10 KANONI-MADDU-24h'!J90,'19.10 KANONI-MADDU-24h'!J90)</f>
        <v>0</v>
      </c>
      <c r="K90" s="49">
        <f>AVERAGE('18.10 KANONI-MADDU-24h'!K90,'19.10 KANONI-MADDU-24h'!K90)</f>
        <v>0</v>
      </c>
      <c r="L90" s="49">
        <f>AVERAGE('18.10 KANONI-MADDU-24h'!L90,'19.10 KANONI-MADDU-24h'!L90)</f>
        <v>0</v>
      </c>
      <c r="M90" s="49">
        <f>AVERAGE('18.10 KANONI-MADDU-24h'!M90,'19.10 KANONI-MADDU-24h'!M90)</f>
        <v>0.5</v>
      </c>
      <c r="N90" s="49">
        <f>AVERAGE('18.10 KANONI-MADDU-24h'!N90,'19.10 KANONI-MADDU-24h'!N90)</f>
        <v>0</v>
      </c>
      <c r="O90" s="15">
        <f t="shared" si="35"/>
        <v>1.5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AVERAGE('18.10 KANONI-MADDU-24h'!C91,'19.10 KANONI-MADDU-24h'!C91)</f>
        <v>0.5</v>
      </c>
      <c r="D91" s="49">
        <f>AVERAGE('18.10 KANONI-MADDU-24h'!D91,'19.10 KANONI-MADDU-24h'!D91)</f>
        <v>0.5</v>
      </c>
      <c r="E91" s="49">
        <f>AVERAGE('18.10 KANONI-MADDU-24h'!E91,'19.10 KANONI-MADDU-24h'!E91)</f>
        <v>0</v>
      </c>
      <c r="F91" s="49">
        <f>AVERAGE('18.10 KANONI-MADDU-24h'!F91,'19.10 KANONI-MADDU-24h'!F91)</f>
        <v>0</v>
      </c>
      <c r="G91" s="49">
        <f>AVERAGE('18.10 KANONI-MADDU-24h'!G91,'19.10 KANONI-MADDU-24h'!G91)</f>
        <v>0</v>
      </c>
      <c r="H91" s="49">
        <f>AVERAGE('18.10 KANONI-MADDU-24h'!H91,'19.10 KANONI-MADDU-24h'!H91)</f>
        <v>0</v>
      </c>
      <c r="I91" s="49">
        <f>AVERAGE('18.10 KANONI-MADDU-24h'!I91,'19.10 KANONI-MADDU-24h'!I91)</f>
        <v>0</v>
      </c>
      <c r="J91" s="49">
        <f>AVERAGE('18.10 KANONI-MADDU-24h'!J91,'19.10 KANONI-MADDU-24h'!J91)</f>
        <v>0</v>
      </c>
      <c r="K91" s="49">
        <f>AVERAGE('18.10 KANONI-MADDU-24h'!K91,'19.10 KANONI-MADDU-24h'!K91)</f>
        <v>0</v>
      </c>
      <c r="L91" s="49">
        <f>AVERAGE('18.10 KANONI-MADDU-24h'!L91,'19.10 KANONI-MADDU-24h'!L91)</f>
        <v>0</v>
      </c>
      <c r="M91" s="49">
        <f>AVERAGE('18.10 KANONI-MADDU-24h'!M91,'19.10 KANONI-MADDU-24h'!M91)</f>
        <v>0</v>
      </c>
      <c r="N91" s="49">
        <f>AVERAGE('18.10 KANONI-MADDU-24h'!N91,'19.10 KANONI-MADDU-24h'!N91)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AVERAGE('18.10 KANONI-MADDU-24h'!C92,'19.10 KANONI-MADDU-24h'!C92)</f>
        <v>0</v>
      </c>
      <c r="D92" s="49">
        <f>AVERAGE('18.10 KANONI-MADDU-24h'!D92,'19.10 KANONI-MADDU-24h'!D92)</f>
        <v>0</v>
      </c>
      <c r="E92" s="49">
        <f>AVERAGE('18.10 KANONI-MADDU-24h'!E92,'19.10 KANONI-MADDU-24h'!E92)</f>
        <v>0</v>
      </c>
      <c r="F92" s="49">
        <f>AVERAGE('18.10 KANONI-MADDU-24h'!F92,'19.10 KANONI-MADDU-24h'!F92)</f>
        <v>0</v>
      </c>
      <c r="G92" s="49">
        <f>AVERAGE('18.10 KANONI-MADDU-24h'!G92,'19.10 KANONI-MADDU-24h'!G92)</f>
        <v>0</v>
      </c>
      <c r="H92" s="49">
        <f>AVERAGE('18.10 KANONI-MADDU-24h'!H92,'19.10 KANONI-MADDU-24h'!H92)</f>
        <v>0</v>
      </c>
      <c r="I92" s="49">
        <f>AVERAGE('18.10 KANONI-MADDU-24h'!I92,'19.10 KANONI-MADDU-24h'!I92)</f>
        <v>0.5</v>
      </c>
      <c r="J92" s="49">
        <f>AVERAGE('18.10 KANONI-MADDU-24h'!J92,'19.10 KANONI-MADDU-24h'!J92)</f>
        <v>0.5</v>
      </c>
      <c r="K92" s="49">
        <f>AVERAGE('18.10 KANONI-MADDU-24h'!K92,'19.10 KANONI-MADDU-24h'!K92)</f>
        <v>0</v>
      </c>
      <c r="L92" s="49">
        <f>AVERAGE('18.10 KANONI-MADDU-24h'!L92,'19.10 KANONI-MADDU-24h'!L92)</f>
        <v>0</v>
      </c>
      <c r="M92" s="49">
        <f>AVERAGE('18.10 KANONI-MADDU-24h'!M92,'19.10 KANONI-MADDU-24h'!M92)</f>
        <v>0</v>
      </c>
      <c r="N92" s="49">
        <f>AVERAGE('18.10 KANONI-MADDU-24h'!N92,'19.10 KANONI-MADDU-24h'!N92)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AVERAGE('18.10 KANONI-MADDU-24h'!C93,'19.10 KANONI-MADDU-24h'!C93)</f>
        <v>0</v>
      </c>
      <c r="D93" s="49">
        <f>AVERAGE('18.10 KANONI-MADDU-24h'!D93,'19.10 KANONI-MADDU-24h'!D93)</f>
        <v>0</v>
      </c>
      <c r="E93" s="49">
        <f>AVERAGE('18.10 KANONI-MADDU-24h'!E93,'19.10 KANONI-MADDU-24h'!E93)</f>
        <v>0</v>
      </c>
      <c r="F93" s="49">
        <f>AVERAGE('18.10 KANONI-MADDU-24h'!F93,'19.10 KANONI-MADDU-24h'!F93)</f>
        <v>0</v>
      </c>
      <c r="G93" s="49">
        <f>AVERAGE('18.10 KANONI-MADDU-24h'!G93,'19.10 KANONI-MADDU-24h'!G93)</f>
        <v>0</v>
      </c>
      <c r="H93" s="49">
        <f>AVERAGE('18.10 KANONI-MADDU-24h'!H93,'19.10 KANONI-MADDU-24h'!H93)</f>
        <v>0</v>
      </c>
      <c r="I93" s="49">
        <f>AVERAGE('18.10 KANONI-MADDU-24h'!I93,'19.10 KANONI-MADDU-24h'!I93)</f>
        <v>0</v>
      </c>
      <c r="J93" s="49">
        <f>AVERAGE('18.10 KANONI-MADDU-24h'!J93,'19.10 KANONI-MADDU-24h'!J93)</f>
        <v>1</v>
      </c>
      <c r="K93" s="49">
        <f>AVERAGE('18.10 KANONI-MADDU-24h'!K93,'19.10 KANONI-MADDU-24h'!K93)</f>
        <v>0.5</v>
      </c>
      <c r="L93" s="49">
        <f>AVERAGE('18.10 KANONI-MADDU-24h'!L93,'19.10 KANONI-MADDU-24h'!L93)</f>
        <v>0</v>
      </c>
      <c r="M93" s="49">
        <f>AVERAGE('18.10 KANONI-MADDU-24h'!M93,'19.10 KANONI-MADDU-24h'!M93)</f>
        <v>0</v>
      </c>
      <c r="N93" s="49">
        <f>AVERAGE('18.10 KANONI-MADDU-24h'!N93,'19.10 KANONI-MADDU-24h'!N93)</f>
        <v>0</v>
      </c>
      <c r="O93" s="15">
        <f t="shared" si="35"/>
        <v>1.5</v>
      </c>
      <c r="P93" s="15">
        <f t="shared" si="36"/>
        <v>1.5</v>
      </c>
      <c r="R93" s="8"/>
      <c r="T93"/>
    </row>
    <row r="94" spans="2:20" ht="23.1" customHeight="1" x14ac:dyDescent="0.25">
      <c r="B94" s="24" t="s">
        <v>134</v>
      </c>
      <c r="C94" s="49">
        <f>AVERAGE('18.10 KANONI-MADDU-24h'!C94,'19.10 KANONI-MADDU-24h'!C94)</f>
        <v>0</v>
      </c>
      <c r="D94" s="49">
        <f>AVERAGE('18.10 KANONI-MADDU-24h'!D94,'19.10 KANONI-MADDU-24h'!D94)</f>
        <v>0</v>
      </c>
      <c r="E94" s="49">
        <f>AVERAGE('18.10 KANONI-MADDU-24h'!E94,'19.10 KANONI-MADDU-24h'!E94)</f>
        <v>0</v>
      </c>
      <c r="F94" s="49">
        <f>AVERAGE('18.10 KANONI-MADDU-24h'!F94,'19.10 KANONI-MADDU-24h'!F94)</f>
        <v>0</v>
      </c>
      <c r="G94" s="49">
        <f>AVERAGE('18.10 KANONI-MADDU-24h'!G94,'19.10 KANONI-MADDU-24h'!G94)</f>
        <v>0</v>
      </c>
      <c r="H94" s="49">
        <f>AVERAGE('18.10 KANONI-MADDU-24h'!H94,'19.10 KANONI-MADDU-24h'!H94)</f>
        <v>0</v>
      </c>
      <c r="I94" s="49">
        <f>AVERAGE('18.10 KANONI-MADDU-24h'!I94,'19.10 KANONI-MADDU-24h'!I94)</f>
        <v>0.5</v>
      </c>
      <c r="J94" s="49">
        <f>AVERAGE('18.10 KANONI-MADDU-24h'!J94,'19.10 KANONI-MADDU-24h'!J94)</f>
        <v>0</v>
      </c>
      <c r="K94" s="49">
        <f>AVERAGE('18.10 KANONI-MADDU-24h'!K94,'19.10 KANONI-MADDU-24h'!K94)</f>
        <v>0</v>
      </c>
      <c r="L94" s="49">
        <f>AVERAGE('18.10 KANONI-MADDU-24h'!L94,'19.10 KANONI-MADDU-24h'!L94)</f>
        <v>0</v>
      </c>
      <c r="M94" s="49">
        <f>AVERAGE('18.10 KANONI-MADDU-24h'!M94,'19.10 KANONI-MADDU-24h'!M94)</f>
        <v>0</v>
      </c>
      <c r="N94" s="49">
        <f>AVERAGE('18.10 KANONI-MADDU-24h'!N94,'19.10 KANONI-MADDU-24h'!N94)</f>
        <v>0</v>
      </c>
      <c r="O94" s="15">
        <f t="shared" si="35"/>
        <v>0.5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AVERAGE('18.10 KANONI-MADDU-24h'!C95,'19.10 KANONI-MADDU-24h'!C95)</f>
        <v>0</v>
      </c>
      <c r="D95" s="49">
        <f>AVERAGE('18.10 KANONI-MADDU-24h'!D95,'19.10 KANONI-MADDU-24h'!D95)</f>
        <v>0</v>
      </c>
      <c r="E95" s="49">
        <f>AVERAGE('18.10 KANONI-MADDU-24h'!E95,'19.10 KANONI-MADDU-24h'!E95)</f>
        <v>0</v>
      </c>
      <c r="F95" s="49">
        <f>AVERAGE('18.10 KANONI-MADDU-24h'!F95,'19.10 KANONI-MADDU-24h'!F95)</f>
        <v>0</v>
      </c>
      <c r="G95" s="49">
        <f>AVERAGE('18.10 KANONI-MADDU-24h'!G95,'19.10 KANONI-MADDU-24h'!G95)</f>
        <v>0</v>
      </c>
      <c r="H95" s="49">
        <f>AVERAGE('18.10 KANONI-MADDU-24h'!H95,'19.10 KANONI-MADDU-24h'!H95)</f>
        <v>0</v>
      </c>
      <c r="I95" s="49">
        <f>AVERAGE('18.10 KANONI-MADDU-24h'!I95,'19.10 KANONI-MADDU-24h'!I95)</f>
        <v>0</v>
      </c>
      <c r="J95" s="49">
        <f>AVERAGE('18.10 KANONI-MADDU-24h'!J95,'19.10 KANONI-MADDU-24h'!J95)</f>
        <v>0</v>
      </c>
      <c r="K95" s="49">
        <f>AVERAGE('18.10 KANONI-MADDU-24h'!K95,'19.10 KANONI-MADDU-24h'!K95)</f>
        <v>0</v>
      </c>
      <c r="L95" s="49">
        <f>AVERAGE('18.10 KANONI-MADDU-24h'!L95,'19.10 KANONI-MADDU-24h'!L95)</f>
        <v>0</v>
      </c>
      <c r="M95" s="49">
        <f>AVERAGE('18.10 KANONI-MADDU-24h'!M95,'19.10 KANONI-MADDU-24h'!M95)</f>
        <v>0</v>
      </c>
      <c r="N95" s="49">
        <f>AVERAGE('18.10 KANONI-MADDU-24h'!N95,'19.10 KANONI-MADDU-24h'!N95)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AVERAGE('18.10 KANONI-MADDU-24h'!C96,'19.10 KANONI-MADDU-24h'!C96)</f>
        <v>0.5</v>
      </c>
      <c r="D96" s="49">
        <f>AVERAGE('18.10 KANONI-MADDU-24h'!D96,'19.10 KANONI-MADDU-24h'!D96)</f>
        <v>0</v>
      </c>
      <c r="E96" s="49">
        <f>AVERAGE('18.10 KANONI-MADDU-24h'!E96,'19.10 KANONI-MADDU-24h'!E96)</f>
        <v>0</v>
      </c>
      <c r="F96" s="49">
        <f>AVERAGE('18.10 KANONI-MADDU-24h'!F96,'19.10 KANONI-MADDU-24h'!F96)</f>
        <v>0</v>
      </c>
      <c r="G96" s="49">
        <f>AVERAGE('18.10 KANONI-MADDU-24h'!G96,'19.10 KANONI-MADDU-24h'!G96)</f>
        <v>0</v>
      </c>
      <c r="H96" s="49">
        <f>AVERAGE('18.10 KANONI-MADDU-24h'!H96,'19.10 KANONI-MADDU-24h'!H96)</f>
        <v>0</v>
      </c>
      <c r="I96" s="49">
        <f>AVERAGE('18.10 KANONI-MADDU-24h'!I96,'19.10 KANONI-MADDU-24h'!I96)</f>
        <v>0.5</v>
      </c>
      <c r="J96" s="49">
        <f>AVERAGE('18.10 KANONI-MADDU-24h'!J96,'19.10 KANONI-MADDU-24h'!J96)</f>
        <v>0.5</v>
      </c>
      <c r="K96" s="49">
        <f>AVERAGE('18.10 KANONI-MADDU-24h'!K96,'19.10 KANONI-MADDU-24h'!K96)</f>
        <v>0</v>
      </c>
      <c r="L96" s="49">
        <f>AVERAGE('18.10 KANONI-MADDU-24h'!L96,'19.10 KANONI-MADDU-24h'!L96)</f>
        <v>0</v>
      </c>
      <c r="M96" s="49">
        <f>AVERAGE('18.10 KANONI-MADDU-24h'!M96,'19.10 KANONI-MADDU-24h'!M96)</f>
        <v>0</v>
      </c>
      <c r="N96" s="49">
        <f>AVERAGE('18.10 KANONI-MADDU-24h'!N96,'19.10 KANONI-MADDU-24h'!N96)</f>
        <v>0</v>
      </c>
      <c r="O96" s="15">
        <f t="shared" si="35"/>
        <v>1.5</v>
      </c>
      <c r="P96" s="15">
        <f t="shared" si="36"/>
        <v>1.5</v>
      </c>
      <c r="R96" s="8"/>
      <c r="T96"/>
    </row>
    <row r="97" spans="2:20" ht="23.1" customHeight="1" x14ac:dyDescent="0.25">
      <c r="B97" s="23" t="s">
        <v>137</v>
      </c>
      <c r="C97" s="49">
        <f>AVERAGE('18.10 KANONI-MADDU-24h'!C97,'19.10 KANONI-MADDU-24h'!C97)</f>
        <v>0.5</v>
      </c>
      <c r="D97" s="49">
        <f>AVERAGE('18.10 KANONI-MADDU-24h'!D97,'19.10 KANONI-MADDU-24h'!D97)</f>
        <v>0</v>
      </c>
      <c r="E97" s="49">
        <f>AVERAGE('18.10 KANONI-MADDU-24h'!E97,'19.10 KANONI-MADDU-24h'!E97)</f>
        <v>0</v>
      </c>
      <c r="F97" s="49">
        <f>AVERAGE('18.10 KANONI-MADDU-24h'!F97,'19.10 KANONI-MADDU-24h'!F97)</f>
        <v>0</v>
      </c>
      <c r="G97" s="49">
        <f>AVERAGE('18.10 KANONI-MADDU-24h'!G97,'19.10 KANONI-MADDU-24h'!G97)</f>
        <v>0</v>
      </c>
      <c r="H97" s="49">
        <f>AVERAGE('18.10 KANONI-MADDU-24h'!H97,'19.10 KANONI-MADDU-24h'!H97)</f>
        <v>0</v>
      </c>
      <c r="I97" s="49">
        <f>AVERAGE('18.10 KANONI-MADDU-24h'!I97,'19.10 KANONI-MADDU-24h'!I97)</f>
        <v>0</v>
      </c>
      <c r="J97" s="49">
        <f>AVERAGE('18.10 KANONI-MADDU-24h'!J97,'19.10 KANONI-MADDU-24h'!J97)</f>
        <v>0</v>
      </c>
      <c r="K97" s="49">
        <f>AVERAGE('18.10 KANONI-MADDU-24h'!K97,'19.10 KANONI-MADDU-24h'!K97)</f>
        <v>0</v>
      </c>
      <c r="L97" s="49">
        <f>AVERAGE('18.10 KANONI-MADDU-24h'!L97,'19.10 KANONI-MADDU-24h'!L97)</f>
        <v>0</v>
      </c>
      <c r="M97" s="49">
        <f>AVERAGE('18.10 KANONI-MADDU-24h'!M97,'19.10 KANONI-MADDU-24h'!M97)</f>
        <v>0.5</v>
      </c>
      <c r="N97" s="49">
        <f>AVERAGE('18.10 KANONI-MADDU-24h'!N97,'19.10 KANONI-MADDU-24h'!N97)</f>
        <v>0</v>
      </c>
      <c r="O97" s="15">
        <f t="shared" si="35"/>
        <v>0.5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AVERAGE('18.10 KANONI-MADDU-24h'!C98,'19.10 KANONI-MADDU-24h'!C98)</f>
        <v>0</v>
      </c>
      <c r="D98" s="49">
        <f>AVERAGE('18.10 KANONI-MADDU-24h'!D98,'19.10 KANONI-MADDU-24h'!D98)</f>
        <v>0</v>
      </c>
      <c r="E98" s="49">
        <f>AVERAGE('18.10 KANONI-MADDU-24h'!E98,'19.10 KANONI-MADDU-24h'!E98)</f>
        <v>0</v>
      </c>
      <c r="F98" s="49">
        <f>AVERAGE('18.10 KANONI-MADDU-24h'!F98,'19.10 KANONI-MADDU-24h'!F98)</f>
        <v>0</v>
      </c>
      <c r="G98" s="49">
        <f>AVERAGE('18.10 KANONI-MADDU-24h'!G98,'19.10 KANONI-MADDU-24h'!G98)</f>
        <v>0</v>
      </c>
      <c r="H98" s="49">
        <f>AVERAGE('18.10 KANONI-MADDU-24h'!H98,'19.10 KANONI-MADDU-24h'!H98)</f>
        <v>0</v>
      </c>
      <c r="I98" s="49">
        <f>AVERAGE('18.10 KANONI-MADDU-24h'!I98,'19.10 KANONI-MADDU-24h'!I98)</f>
        <v>0</v>
      </c>
      <c r="J98" s="49">
        <f>AVERAGE('18.10 KANONI-MADDU-24h'!J98,'19.10 KANONI-MADDU-24h'!J98)</f>
        <v>0.5</v>
      </c>
      <c r="K98" s="49">
        <f>AVERAGE('18.10 KANONI-MADDU-24h'!K98,'19.10 KANONI-MADDU-24h'!K98)</f>
        <v>0</v>
      </c>
      <c r="L98" s="49">
        <f>AVERAGE('18.10 KANONI-MADDU-24h'!L98,'19.10 KANONI-MADDU-24h'!L98)</f>
        <v>0</v>
      </c>
      <c r="M98" s="49">
        <f>AVERAGE('18.10 KANONI-MADDU-24h'!M98,'19.10 KANONI-MADDU-24h'!M98)</f>
        <v>0</v>
      </c>
      <c r="N98" s="49">
        <f>AVERAGE('18.10 KANONI-MADDU-24h'!N98,'19.10 KANONI-MADDU-24h'!N98)</f>
        <v>0</v>
      </c>
      <c r="O98" s="15">
        <f t="shared" si="35"/>
        <v>0.5</v>
      </c>
      <c r="P98" s="15">
        <f t="shared" si="36"/>
        <v>0.5</v>
      </c>
      <c r="R98" s="8"/>
      <c r="T98"/>
    </row>
    <row r="99" spans="2:20" ht="23.1" customHeight="1" x14ac:dyDescent="0.25">
      <c r="B99" s="23" t="s">
        <v>139</v>
      </c>
      <c r="C99" s="49">
        <f>AVERAGE('18.10 KANONI-MADDU-24h'!C99,'19.10 KANONI-MADDU-24h'!C99)</f>
        <v>0</v>
      </c>
      <c r="D99" s="49">
        <f>AVERAGE('18.10 KANONI-MADDU-24h'!D99,'19.10 KANONI-MADDU-24h'!D99)</f>
        <v>0</v>
      </c>
      <c r="E99" s="49">
        <f>AVERAGE('18.10 KANONI-MADDU-24h'!E99,'19.10 KANONI-MADDU-24h'!E99)</f>
        <v>0</v>
      </c>
      <c r="F99" s="49">
        <f>AVERAGE('18.10 KANONI-MADDU-24h'!F99,'19.10 KANONI-MADDU-24h'!F99)</f>
        <v>0</v>
      </c>
      <c r="G99" s="49">
        <f>AVERAGE('18.10 KANONI-MADDU-24h'!G99,'19.10 KANONI-MADDU-24h'!G99)</f>
        <v>0</v>
      </c>
      <c r="H99" s="49">
        <f>AVERAGE('18.10 KANONI-MADDU-24h'!H99,'19.10 KANONI-MADDU-24h'!H99)</f>
        <v>0</v>
      </c>
      <c r="I99" s="49">
        <f>AVERAGE('18.10 KANONI-MADDU-24h'!I99,'19.10 KANONI-MADDU-24h'!I99)</f>
        <v>0</v>
      </c>
      <c r="J99" s="49">
        <f>AVERAGE('18.10 KANONI-MADDU-24h'!J99,'19.10 KANONI-MADDU-24h'!J99)</f>
        <v>0</v>
      </c>
      <c r="K99" s="49">
        <f>AVERAGE('18.10 KANONI-MADDU-24h'!K99,'19.10 KANONI-MADDU-24h'!K99)</f>
        <v>0</v>
      </c>
      <c r="L99" s="49">
        <f>AVERAGE('18.10 KANONI-MADDU-24h'!L99,'19.10 KANONI-MADDU-24h'!L99)</f>
        <v>0</v>
      </c>
      <c r="M99" s="49">
        <f>AVERAGE('18.10 KANONI-MADDU-24h'!M99,'19.10 KANONI-MADDU-24h'!M99)</f>
        <v>0</v>
      </c>
      <c r="N99" s="49">
        <f>AVERAGE('18.10 KANONI-MADDU-24h'!N99,'19.10 KANONI-MADDU-24h'!N99)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49">
        <f>AVERAGE('18.10 KANONI-MADDU-24h'!C100,'19.10 KANONI-MADDU-24h'!C100)</f>
        <v>0</v>
      </c>
      <c r="D100" s="49">
        <f>AVERAGE('18.10 KANONI-MADDU-24h'!D100,'19.10 KANONI-MADDU-24h'!D100)</f>
        <v>0</v>
      </c>
      <c r="E100" s="49">
        <f>AVERAGE('18.10 KANONI-MADDU-24h'!E100,'19.10 KANONI-MADDU-24h'!E100)</f>
        <v>0</v>
      </c>
      <c r="F100" s="49">
        <f>AVERAGE('18.10 KANONI-MADDU-24h'!F100,'19.10 KANONI-MADDU-24h'!F100)</f>
        <v>0.5</v>
      </c>
      <c r="G100" s="49">
        <f>AVERAGE('18.10 KANONI-MADDU-24h'!G100,'19.10 KANONI-MADDU-24h'!G100)</f>
        <v>0</v>
      </c>
      <c r="H100" s="49">
        <f>AVERAGE('18.10 KANONI-MADDU-24h'!H100,'19.10 KANONI-MADDU-24h'!H100)</f>
        <v>0</v>
      </c>
      <c r="I100" s="49">
        <f>AVERAGE('18.10 KANONI-MADDU-24h'!I100,'19.10 KANONI-MADDU-24h'!I100)</f>
        <v>0.5</v>
      </c>
      <c r="J100" s="49">
        <f>AVERAGE('18.10 KANONI-MADDU-24h'!J100,'19.10 KANONI-MADDU-24h'!J100)</f>
        <v>0</v>
      </c>
      <c r="K100" s="49">
        <f>AVERAGE('18.10 KANONI-MADDU-24h'!K100,'19.10 KANONI-MADDU-24h'!K100)</f>
        <v>0</v>
      </c>
      <c r="L100" s="49">
        <f>AVERAGE('18.10 KANONI-MADDU-24h'!L100,'19.10 KANONI-MADDU-24h'!L100)</f>
        <v>0</v>
      </c>
      <c r="M100" s="49">
        <f>AVERAGE('18.10 KANONI-MADDU-24h'!M100,'19.10 KANONI-MADDU-24h'!M100)</f>
        <v>0.5</v>
      </c>
      <c r="N100" s="49">
        <f>AVERAGE('18.10 KANONI-MADDU-24h'!N100,'19.10 KANONI-MADDU-24h'!N100)</f>
        <v>0</v>
      </c>
      <c r="O100" s="15">
        <f t="shared" si="35"/>
        <v>1</v>
      </c>
      <c r="P100" s="15">
        <f t="shared" si="36"/>
        <v>1.5</v>
      </c>
      <c r="R100" s="8"/>
      <c r="T100"/>
    </row>
    <row r="101" spans="2:20" ht="23.1" customHeight="1" x14ac:dyDescent="0.25">
      <c r="B101" s="23" t="s">
        <v>141</v>
      </c>
      <c r="C101" s="49">
        <f>AVERAGE('18.10 KANONI-MADDU-24h'!C101,'19.10 KANONI-MADDU-24h'!C101)</f>
        <v>0</v>
      </c>
      <c r="D101" s="49">
        <f>AVERAGE('18.10 KANONI-MADDU-24h'!D101,'19.10 KANONI-MADDU-24h'!D101)</f>
        <v>0</v>
      </c>
      <c r="E101" s="49">
        <f>AVERAGE('18.10 KANONI-MADDU-24h'!E101,'19.10 KANONI-MADDU-24h'!E101)</f>
        <v>0</v>
      </c>
      <c r="F101" s="49">
        <f>AVERAGE('18.10 KANONI-MADDU-24h'!F101,'19.10 KANONI-MADDU-24h'!F101)</f>
        <v>0.5</v>
      </c>
      <c r="G101" s="49">
        <f>AVERAGE('18.10 KANONI-MADDU-24h'!G101,'19.10 KANONI-MADDU-24h'!G101)</f>
        <v>0</v>
      </c>
      <c r="H101" s="49">
        <f>AVERAGE('18.10 KANONI-MADDU-24h'!H101,'19.10 KANONI-MADDU-24h'!H101)</f>
        <v>0</v>
      </c>
      <c r="I101" s="49">
        <f>AVERAGE('18.10 KANONI-MADDU-24h'!I101,'19.10 KANONI-MADDU-24h'!I101)</f>
        <v>0</v>
      </c>
      <c r="J101" s="49">
        <f>AVERAGE('18.10 KANONI-MADDU-24h'!J101,'19.10 KANONI-MADDU-24h'!J101)</f>
        <v>0</v>
      </c>
      <c r="K101" s="49">
        <f>AVERAGE('18.10 KANONI-MADDU-24h'!K101,'19.10 KANONI-MADDU-24h'!K101)</f>
        <v>0</v>
      </c>
      <c r="L101" s="49">
        <f>AVERAGE('18.10 KANONI-MADDU-24h'!L101,'19.10 KANONI-MADDU-24h'!L101)</f>
        <v>0</v>
      </c>
      <c r="M101" s="49">
        <f>AVERAGE('18.10 KANONI-MADDU-24h'!M101,'19.10 KANONI-MADDU-24h'!M101)</f>
        <v>0.5</v>
      </c>
      <c r="N101" s="49">
        <f>AVERAGE('18.10 KANONI-MADDU-24h'!N101,'19.10 KANONI-MADDU-24h'!N101)</f>
        <v>0</v>
      </c>
      <c r="O101" s="15">
        <f t="shared" si="35"/>
        <v>0.5</v>
      </c>
      <c r="P101" s="15">
        <f t="shared" si="36"/>
        <v>1</v>
      </c>
      <c r="R101" s="8"/>
      <c r="T101"/>
    </row>
    <row r="102" spans="2:20" ht="23.1" customHeight="1" x14ac:dyDescent="0.25">
      <c r="B102" s="24" t="s">
        <v>142</v>
      </c>
      <c r="C102" s="49">
        <f>AVERAGE('18.10 KANONI-MADDU-24h'!C102,'19.10 KANONI-MADDU-24h'!C102)</f>
        <v>0.5</v>
      </c>
      <c r="D102" s="49">
        <f>AVERAGE('18.10 KANONI-MADDU-24h'!D102,'19.10 KANONI-MADDU-24h'!D102)</f>
        <v>0.5</v>
      </c>
      <c r="E102" s="49">
        <f>AVERAGE('18.10 KANONI-MADDU-24h'!E102,'19.10 KANONI-MADDU-24h'!E102)</f>
        <v>0</v>
      </c>
      <c r="F102" s="49">
        <f>AVERAGE('18.10 KANONI-MADDU-24h'!F102,'19.10 KANONI-MADDU-24h'!F102)</f>
        <v>0</v>
      </c>
      <c r="G102" s="49">
        <f>AVERAGE('18.10 KANONI-MADDU-24h'!G102,'19.10 KANONI-MADDU-24h'!G102)</f>
        <v>0</v>
      </c>
      <c r="H102" s="49">
        <f>AVERAGE('18.10 KANONI-MADDU-24h'!H102,'19.10 KANONI-MADDU-24h'!H102)</f>
        <v>0</v>
      </c>
      <c r="I102" s="49">
        <f>AVERAGE('18.10 KANONI-MADDU-24h'!I102,'19.10 KANONI-MADDU-24h'!I102)</f>
        <v>0</v>
      </c>
      <c r="J102" s="49">
        <f>AVERAGE('18.10 KANONI-MADDU-24h'!J102,'19.10 KANONI-MADDU-24h'!J102)</f>
        <v>0</v>
      </c>
      <c r="K102" s="49">
        <f>AVERAGE('18.10 KANONI-MADDU-24h'!K102,'19.10 KANONI-MADDU-24h'!K102)</f>
        <v>0</v>
      </c>
      <c r="L102" s="49">
        <f>AVERAGE('18.10 KANONI-MADDU-24h'!L102,'19.10 KANONI-MADDU-24h'!L102)</f>
        <v>0</v>
      </c>
      <c r="M102" s="49">
        <f>AVERAGE('18.10 KANONI-MADDU-24h'!M102,'19.10 KANONI-MADDU-24h'!M102)</f>
        <v>1</v>
      </c>
      <c r="N102" s="49">
        <f>AVERAGE('18.10 KANONI-MADDU-24h'!N102,'19.10 KANONI-MADDU-24h'!N102)</f>
        <v>0</v>
      </c>
      <c r="O102" s="15">
        <f t="shared" si="35"/>
        <v>1</v>
      </c>
      <c r="P102" s="15">
        <f t="shared" si="36"/>
        <v>2</v>
      </c>
      <c r="R102" s="8"/>
      <c r="T102"/>
    </row>
    <row r="103" spans="2:20" ht="23.1" customHeight="1" x14ac:dyDescent="0.25">
      <c r="B103" s="23" t="s">
        <v>143</v>
      </c>
      <c r="C103" s="49">
        <f>AVERAGE('18.10 KANONI-MADDU-24h'!C103,'19.10 KANONI-MADDU-24h'!C103)</f>
        <v>0.5</v>
      </c>
      <c r="D103" s="49">
        <f>AVERAGE('18.10 KANONI-MADDU-24h'!D103,'19.10 KANONI-MADDU-24h'!D103)</f>
        <v>0</v>
      </c>
      <c r="E103" s="49">
        <f>AVERAGE('18.10 KANONI-MADDU-24h'!E103,'19.10 KANONI-MADDU-24h'!E103)</f>
        <v>0</v>
      </c>
      <c r="F103" s="49">
        <f>AVERAGE('18.10 KANONI-MADDU-24h'!F103,'19.10 KANONI-MADDU-24h'!F103)</f>
        <v>0</v>
      </c>
      <c r="G103" s="49">
        <f>AVERAGE('18.10 KANONI-MADDU-24h'!G103,'19.10 KANONI-MADDU-24h'!G103)</f>
        <v>0</v>
      </c>
      <c r="H103" s="49">
        <f>AVERAGE('18.10 KANONI-MADDU-24h'!H103,'19.10 KANONI-MADDU-24h'!H103)</f>
        <v>0</v>
      </c>
      <c r="I103" s="49">
        <f>AVERAGE('18.10 KANONI-MADDU-24h'!I103,'19.10 KANONI-MADDU-24h'!I103)</f>
        <v>0</v>
      </c>
      <c r="J103" s="49">
        <f>AVERAGE('18.10 KANONI-MADDU-24h'!J103,'19.10 KANONI-MADDU-24h'!J103)</f>
        <v>0.5</v>
      </c>
      <c r="K103" s="49">
        <f>AVERAGE('18.10 KANONI-MADDU-24h'!K103,'19.10 KANONI-MADDU-24h'!K103)</f>
        <v>0</v>
      </c>
      <c r="L103" s="49">
        <f>AVERAGE('18.10 KANONI-MADDU-24h'!L103,'19.10 KANONI-MADDU-24h'!L103)</f>
        <v>0</v>
      </c>
      <c r="M103" s="49">
        <f>AVERAGE('18.10 KANONI-MADDU-24h'!M103,'19.10 KANONI-MADDU-24h'!M103)</f>
        <v>3.5</v>
      </c>
      <c r="N103" s="49">
        <f>AVERAGE('18.10 KANONI-MADDU-24h'!N103,'19.10 KANONI-MADDU-24h'!N103)</f>
        <v>0</v>
      </c>
      <c r="O103" s="15">
        <f t="shared" si="35"/>
        <v>1</v>
      </c>
      <c r="P103" s="15">
        <f t="shared" si="36"/>
        <v>4.5</v>
      </c>
      <c r="R103" s="8"/>
      <c r="T103"/>
    </row>
    <row r="104" spans="2:20" ht="23.1" customHeight="1" x14ac:dyDescent="0.25">
      <c r="B104" s="25" t="s">
        <v>144</v>
      </c>
      <c r="C104" s="49">
        <f>AVERAGE('18.10 KANONI-MADDU-24h'!C104,'19.10 KANONI-MADDU-24h'!C104)</f>
        <v>0</v>
      </c>
      <c r="D104" s="49">
        <f>AVERAGE('18.10 KANONI-MADDU-24h'!D104,'19.10 KANONI-MADDU-24h'!D104)</f>
        <v>0</v>
      </c>
      <c r="E104" s="49">
        <f>AVERAGE('18.10 KANONI-MADDU-24h'!E104,'19.10 KANONI-MADDU-24h'!E104)</f>
        <v>0</v>
      </c>
      <c r="F104" s="49">
        <f>AVERAGE('18.10 KANONI-MADDU-24h'!F104,'19.10 KANONI-MADDU-24h'!F104)</f>
        <v>0</v>
      </c>
      <c r="G104" s="49">
        <f>AVERAGE('18.10 KANONI-MADDU-24h'!G104,'19.10 KANONI-MADDU-24h'!G104)</f>
        <v>0</v>
      </c>
      <c r="H104" s="49">
        <f>AVERAGE('18.10 KANONI-MADDU-24h'!H104,'19.10 KANONI-MADDU-24h'!H104)</f>
        <v>0</v>
      </c>
      <c r="I104" s="49">
        <f>AVERAGE('18.10 KANONI-MADDU-24h'!I104,'19.10 KANONI-MADDU-24h'!I104)</f>
        <v>0.5</v>
      </c>
      <c r="J104" s="49">
        <f>AVERAGE('18.10 KANONI-MADDU-24h'!J104,'19.10 KANONI-MADDU-24h'!J104)</f>
        <v>0.5</v>
      </c>
      <c r="K104" s="49">
        <f>AVERAGE('18.10 KANONI-MADDU-24h'!K104,'19.10 KANONI-MADDU-24h'!K104)</f>
        <v>0</v>
      </c>
      <c r="L104" s="49">
        <f>AVERAGE('18.10 KANONI-MADDU-24h'!L104,'19.10 KANONI-MADDU-24h'!L104)</f>
        <v>0</v>
      </c>
      <c r="M104" s="49">
        <f>AVERAGE('18.10 KANONI-MADDU-24h'!M104,'19.10 KANONI-MADDU-24h'!M104)</f>
        <v>3</v>
      </c>
      <c r="N104" s="49">
        <f>AVERAGE('18.10 KANONI-MADDU-24h'!N104,'19.10 KANONI-MADDU-24h'!N104)</f>
        <v>0</v>
      </c>
      <c r="O104" s="15">
        <f t="shared" si="35"/>
        <v>1</v>
      </c>
      <c r="P104" s="15">
        <f t="shared" si="36"/>
        <v>4</v>
      </c>
      <c r="R104" s="8"/>
      <c r="T104"/>
    </row>
    <row r="105" spans="2:20" ht="23.1" customHeight="1" x14ac:dyDescent="0.25">
      <c r="B105" s="23" t="s">
        <v>145</v>
      </c>
      <c r="C105" s="49">
        <f>AVERAGE('18.10 KANONI-MADDU-24h'!C105,'19.10 KANONI-MADDU-24h'!C105)</f>
        <v>0.5</v>
      </c>
      <c r="D105" s="49">
        <f>AVERAGE('18.10 KANONI-MADDU-24h'!D105,'19.10 KANONI-MADDU-24h'!D105)</f>
        <v>0.5</v>
      </c>
      <c r="E105" s="49">
        <f>AVERAGE('18.10 KANONI-MADDU-24h'!E105,'19.10 KANONI-MADDU-24h'!E105)</f>
        <v>0</v>
      </c>
      <c r="F105" s="49">
        <f>AVERAGE('18.10 KANONI-MADDU-24h'!F105,'19.10 KANONI-MADDU-24h'!F105)</f>
        <v>0</v>
      </c>
      <c r="G105" s="49">
        <f>AVERAGE('18.10 KANONI-MADDU-24h'!G105,'19.10 KANONI-MADDU-24h'!G105)</f>
        <v>0.5</v>
      </c>
      <c r="H105" s="49">
        <f>AVERAGE('18.10 KANONI-MADDU-24h'!H105,'19.10 KANONI-MADDU-24h'!H105)</f>
        <v>0</v>
      </c>
      <c r="I105" s="49">
        <f>AVERAGE('18.10 KANONI-MADDU-24h'!I105,'19.10 KANONI-MADDU-24h'!I105)</f>
        <v>0.5</v>
      </c>
      <c r="J105" s="49">
        <f>AVERAGE('18.10 KANONI-MADDU-24h'!J105,'19.10 KANONI-MADDU-24h'!J105)</f>
        <v>0</v>
      </c>
      <c r="K105" s="49">
        <f>AVERAGE('18.10 KANONI-MADDU-24h'!K105,'19.10 KANONI-MADDU-24h'!K105)</f>
        <v>0</v>
      </c>
      <c r="L105" s="49">
        <f>AVERAGE('18.10 KANONI-MADDU-24h'!L105,'19.10 KANONI-MADDU-24h'!L105)</f>
        <v>0</v>
      </c>
      <c r="M105" s="49">
        <f>AVERAGE('18.10 KANONI-MADDU-24h'!M105,'19.10 KANONI-MADDU-24h'!M105)</f>
        <v>1.5</v>
      </c>
      <c r="N105" s="49">
        <f>AVERAGE('18.10 KANONI-MADDU-24h'!N105,'19.10 KANONI-MADDU-24h'!N105)</f>
        <v>0</v>
      </c>
      <c r="O105" s="15">
        <f t="shared" si="35"/>
        <v>2</v>
      </c>
      <c r="P105" s="15">
        <f t="shared" si="36"/>
        <v>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125.85714285714283</v>
      </c>
      <c r="D106" s="16">
        <f t="shared" ref="D106:P106" si="37">SUM(D10:D105)</f>
        <v>36.285714285714278</v>
      </c>
      <c r="E106" s="16">
        <f t="shared" si="37"/>
        <v>38.928571428571431</v>
      </c>
      <c r="F106" s="16">
        <f t="shared" si="37"/>
        <v>101.07142857142858</v>
      </c>
      <c r="G106" s="16">
        <f t="shared" si="37"/>
        <v>2.5714285714285712</v>
      </c>
      <c r="H106" s="16">
        <f t="shared" si="37"/>
        <v>1</v>
      </c>
      <c r="I106" s="16">
        <f t="shared" si="37"/>
        <v>45.214285714285722</v>
      </c>
      <c r="J106" s="16">
        <f t="shared" si="37"/>
        <v>40.571428571428569</v>
      </c>
      <c r="K106" s="16">
        <f t="shared" si="37"/>
        <v>8.7857142857142883</v>
      </c>
      <c r="L106" s="16">
        <f t="shared" si="37"/>
        <v>1.7857142857142856</v>
      </c>
      <c r="M106" s="16">
        <f t="shared" si="37"/>
        <v>608.57142857142844</v>
      </c>
      <c r="N106" s="16">
        <f t="shared" si="37"/>
        <v>0.2857142857142857</v>
      </c>
      <c r="O106" s="16">
        <f t="shared" si="37"/>
        <v>402.35714285714289</v>
      </c>
      <c r="P106" s="16">
        <f t="shared" si="37"/>
        <v>1010.9285714285716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0.12449657316470002</v>
      </c>
      <c r="D107" s="43">
        <f t="shared" si="38"/>
        <v>3.5893450151911241E-2</v>
      </c>
      <c r="E107" s="43">
        <f t="shared" si="38"/>
        <v>3.8507736875574079E-2</v>
      </c>
      <c r="F107" s="43">
        <f t="shared" si="38"/>
        <v>9.9978803080618947E-2</v>
      </c>
      <c r="G107" s="43">
        <f t="shared" si="38"/>
        <v>2.5436303257259938E-3</v>
      </c>
      <c r="H107" s="43">
        <f t="shared" si="38"/>
        <v>9.8918957111566444E-4</v>
      </c>
      <c r="I107" s="43">
        <f t="shared" si="38"/>
        <v>4.4725499894015405E-2</v>
      </c>
      <c r="J107" s="43">
        <f t="shared" si="38"/>
        <v>4.0132834028121241E-2</v>
      </c>
      <c r="K107" s="43">
        <f t="shared" si="38"/>
        <v>8.6907369462304821E-3</v>
      </c>
      <c r="L107" s="43">
        <f t="shared" si="38"/>
        <v>1.7664099484208291E-3</v>
      </c>
      <c r="M107" s="43">
        <f t="shared" si="38"/>
        <v>0.60199251042181845</v>
      </c>
      <c r="N107" s="43">
        <f t="shared" si="38"/>
        <v>2.8262559174733267E-4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0.31279957393928626</v>
      </c>
      <c r="D108" s="44">
        <f t="shared" ref="D108:N108" si="39">D106/$O$106</f>
        <v>9.0182851056275493E-2</v>
      </c>
      <c r="E108" s="44">
        <f t="shared" si="39"/>
        <v>9.6751287058405813E-2</v>
      </c>
      <c r="F108" s="44">
        <f t="shared" si="39"/>
        <v>0.25119829575714542</v>
      </c>
      <c r="G108" s="44">
        <f t="shared" si="39"/>
        <v>6.3909107047754295E-3</v>
      </c>
      <c r="H108" s="44">
        <f t="shared" si="39"/>
        <v>2.4853541629682226E-3</v>
      </c>
      <c r="I108" s="44">
        <f t="shared" si="39"/>
        <v>0.11237351322563466</v>
      </c>
      <c r="J108" s="44">
        <f t="shared" si="39"/>
        <v>0.10083436889756789</v>
      </c>
      <c r="K108" s="44">
        <f t="shared" si="39"/>
        <v>2.1835611574649392E-2</v>
      </c>
      <c r="L108" s="44">
        <f t="shared" si="39"/>
        <v>4.4381324338718256E-3</v>
      </c>
      <c r="M108" s="44"/>
      <c r="N108" s="44">
        <f t="shared" si="39"/>
        <v>7.1010118941949223E-4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M37" zoomScale="60" workbookViewId="0">
      <selection activeCell="AC54" sqref="AC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8" t="str">
        <f>'23.10 MADDU-KANONI'!C3:G3</f>
        <v>KANONI-MADDU ROAD</v>
      </c>
      <c r="D3" s="68"/>
      <c r="E3" s="68"/>
      <c r="F3" s="68"/>
      <c r="G3" s="6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'23.10 MADDU-KANONI'!G5:H5</f>
        <v>KANONI</v>
      </c>
      <c r="H5" s="65"/>
      <c r="I5" s="14"/>
      <c r="J5" s="2" t="s">
        <v>5</v>
      </c>
      <c r="K5" s="64" t="s">
        <v>179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'23.10 MADDU-KANONI'!D6:E6</f>
        <v>MADDU</v>
      </c>
      <c r="E6" s="65"/>
      <c r="F6" s="2" t="s">
        <v>2</v>
      </c>
      <c r="G6" s="64" t="str">
        <f>'23.10 MADDU-KANONI'!G6:H6</f>
        <v>KANONI</v>
      </c>
      <c r="H6" s="65"/>
      <c r="J6" s="2" t="s">
        <v>21</v>
      </c>
      <c r="K6" s="64" t="str">
        <f>'23.10 MADDU-KANONI'!K6:L6</f>
        <v>FELIX OLOYA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MADDU-KANONI'!C10,'18.10 MADDU-KANONI-24h'!C10,'19.10 MADDU-KANONI-24h'!C10,'20.10 MADDU-KANONI'!C10,'21.10 MADDU-KANONI'!C10,'22.10 MADDU-KANONI'!C10,'23.10 MADDU-KANONI'!C10)</f>
        <v>1</v>
      </c>
      <c r="D10" s="49">
        <f>AVERAGE('17.10 MADDU-KANONI'!D10,'18.10 MADDU-KANONI-24h'!D10,'19.10 MADDU-KANONI-24h'!D10,'20.10 MADDU-KANONI'!D10,'21.10 MADDU-KANONI'!D10,'22.10 MADDU-KANONI'!D10,'23.10 MADDU-KANONI'!D10)</f>
        <v>0.5714285714285714</v>
      </c>
      <c r="E10" s="49">
        <f>AVERAGE('17.10 MADDU-KANONI'!E10,'18.10 MADDU-KANONI-24h'!E10,'19.10 MADDU-KANONI-24h'!E10,'20.10 MADDU-KANONI'!E10,'21.10 MADDU-KANONI'!E10,'22.10 MADDU-KANONI'!E10,'23.10 MADDU-KANONI'!E10)</f>
        <v>0.42857142857142855</v>
      </c>
      <c r="F10" s="49">
        <f>AVERAGE('17.10 MADDU-KANONI'!F10,'18.10 MADDU-KANONI-24h'!F10,'19.10 MADDU-KANONI-24h'!F10,'20.10 MADDU-KANONI'!F10,'21.10 MADDU-KANONI'!F10,'22.10 MADDU-KANONI'!F10,'23.10 MADDU-KANONI'!F10)</f>
        <v>1.2857142857142858</v>
      </c>
      <c r="G10" s="49">
        <f>AVERAGE('17.10 MADDU-KANONI'!G10,'18.10 MADDU-KANONI-24h'!G10,'19.10 MADDU-KANONI-24h'!G10,'20.10 MADDU-KANONI'!G10,'21.10 MADDU-KANONI'!G10,'22.10 MADDU-KANONI'!G10,'23.10 MADDU-KANONI'!G10)</f>
        <v>0</v>
      </c>
      <c r="H10" s="49">
        <f>AVERAGE('17.10 MADDU-KANONI'!H10,'18.10 MADDU-KANONI-24h'!H10,'19.10 MADDU-KANONI-24h'!H10,'20.10 MADDU-KANONI'!H10,'21.10 MADDU-KANONI'!H10,'22.10 MADDU-KANONI'!H10,'23.10 MADDU-KANONI'!H10)</f>
        <v>0</v>
      </c>
      <c r="I10" s="49">
        <f>AVERAGE('17.10 MADDU-KANONI'!I10,'18.10 MADDU-KANONI-24h'!I10,'19.10 MADDU-KANONI-24h'!I10,'20.10 MADDU-KANONI'!I10,'21.10 MADDU-KANONI'!I10,'22.10 MADDU-KANONI'!I10,'23.10 MADDU-KANONI'!I10)</f>
        <v>0</v>
      </c>
      <c r="J10" s="49">
        <f>AVERAGE('17.10 MADDU-KANONI'!J10,'18.10 MADDU-KANONI-24h'!J10,'19.10 MADDU-KANONI-24h'!J10,'20.10 MADDU-KANONI'!J10,'21.10 MADDU-KANONI'!J10,'22.10 MADDU-KANONI'!J10,'23.10 MADDU-KANONI'!J10)</f>
        <v>0</v>
      </c>
      <c r="K10" s="49">
        <f>AVERAGE('17.10 MADDU-KANONI'!K10,'18.10 MADDU-KANONI-24h'!K10,'19.10 MADDU-KANONI-24h'!K10,'20.10 MADDU-KANONI'!K10,'21.10 MADDU-KANONI'!K10,'22.10 MADDU-KANONI'!K10,'23.10 MADDU-KANONI'!K10)</f>
        <v>0</v>
      </c>
      <c r="L10" s="49">
        <f>AVERAGE('17.10 MADDU-KANONI'!L10,'18.10 MADDU-KANONI-24h'!L10,'19.10 MADDU-KANONI-24h'!L10,'20.10 MADDU-KANONI'!L10,'21.10 MADDU-KANONI'!L10,'22.10 MADDU-KANONI'!L10,'23.10 MADDU-KANONI'!L10)</f>
        <v>0</v>
      </c>
      <c r="M10" s="49">
        <f>AVERAGE('17.10 MADDU-KANONI'!M10,'18.10 MADDU-KANONI-24h'!M10,'19.10 MADDU-KANONI-24h'!M10,'20.10 MADDU-KANONI'!M10,'21.10 MADDU-KANONI'!M10,'22.10 MADDU-KANONI'!M10,'23.10 MADDU-KANONI'!M10)</f>
        <v>4.7142857142857144</v>
      </c>
      <c r="N10" s="49">
        <f>AVERAGE('17.10 MADDU-KANONI'!N10,'18.10 MADDU-KANONI-24h'!N10,'19.10 MADDU-KANONI-24h'!N10,'20.10 MADDU-KANONI'!N10,'21.10 MADDU-KANONI'!N10,'22.10 MADDU-KANONI'!N10,'23.10 MADDU-KANONI'!N10)</f>
        <v>0</v>
      </c>
      <c r="O10" s="15">
        <f t="shared" ref="O10:O73" si="0">SUM(C10:L10,N10)</f>
        <v>3.2857142857142856</v>
      </c>
      <c r="P10" s="15">
        <f t="shared" ref="P10:P73" si="1">SUM(C10:N10)</f>
        <v>8</v>
      </c>
      <c r="R10" s="1" t="s">
        <v>6</v>
      </c>
      <c r="S10" s="17">
        <f t="shared" ref="S10:AF10" si="2">SUM(C10:C13)</f>
        <v>3.8571428571428572</v>
      </c>
      <c r="T10" s="17">
        <f t="shared" si="2"/>
        <v>1.5714285714285714</v>
      </c>
      <c r="U10" s="17">
        <f t="shared" si="2"/>
        <v>1</v>
      </c>
      <c r="V10" s="17">
        <f t="shared" si="2"/>
        <v>6.5714285714285712</v>
      </c>
      <c r="W10" s="17">
        <f t="shared" si="2"/>
        <v>0.14285714285714285</v>
      </c>
      <c r="X10" s="17">
        <f t="shared" si="2"/>
        <v>0</v>
      </c>
      <c r="Y10" s="17">
        <f t="shared" si="2"/>
        <v>0.14285714285714285</v>
      </c>
      <c r="Z10" s="17">
        <f t="shared" si="2"/>
        <v>0.2857142857142857</v>
      </c>
      <c r="AA10" s="17">
        <f t="shared" si="2"/>
        <v>0</v>
      </c>
      <c r="AB10" s="17">
        <f t="shared" si="2"/>
        <v>0</v>
      </c>
      <c r="AC10" s="17">
        <f t="shared" si="2"/>
        <v>30.142857142857142</v>
      </c>
      <c r="AD10" s="17">
        <f t="shared" si="2"/>
        <v>0</v>
      </c>
      <c r="AE10" s="31">
        <f t="shared" si="2"/>
        <v>13.571428571428573</v>
      </c>
      <c r="AF10" s="31">
        <f t="shared" si="2"/>
        <v>43.714285714285715</v>
      </c>
    </row>
    <row r="11" spans="2:32" s="6" customFormat="1" ht="23.1" customHeight="1" x14ac:dyDescent="0.25">
      <c r="B11" s="23" t="s">
        <v>38</v>
      </c>
      <c r="C11" s="49">
        <f>AVERAGE('17.10 MADDU-KANONI'!C11,'18.10 MADDU-KANONI-24h'!C11,'19.10 MADDU-KANONI-24h'!C11,'20.10 MADDU-KANONI'!C11,'21.10 MADDU-KANONI'!C11,'22.10 MADDU-KANONI'!C11,'23.10 MADDU-KANONI'!C11)</f>
        <v>1.1428571428571428</v>
      </c>
      <c r="D11" s="49">
        <f>AVERAGE('17.10 MADDU-KANONI'!D11,'18.10 MADDU-KANONI-24h'!D11,'19.10 MADDU-KANONI-24h'!D11,'20.10 MADDU-KANONI'!D11,'21.10 MADDU-KANONI'!D11,'22.10 MADDU-KANONI'!D11,'23.10 MADDU-KANONI'!D11)</f>
        <v>0.5714285714285714</v>
      </c>
      <c r="E11" s="49">
        <f>AVERAGE('17.10 MADDU-KANONI'!E11,'18.10 MADDU-KANONI-24h'!E11,'19.10 MADDU-KANONI-24h'!E11,'20.10 MADDU-KANONI'!E11,'21.10 MADDU-KANONI'!E11,'22.10 MADDU-KANONI'!E11,'23.10 MADDU-KANONI'!E11)</f>
        <v>0</v>
      </c>
      <c r="F11" s="49">
        <f>AVERAGE('17.10 MADDU-KANONI'!F11,'18.10 MADDU-KANONI-24h'!F11,'19.10 MADDU-KANONI-24h'!F11,'20.10 MADDU-KANONI'!F11,'21.10 MADDU-KANONI'!F11,'22.10 MADDU-KANONI'!F11,'23.10 MADDU-KANONI'!F11)</f>
        <v>1.4285714285714286</v>
      </c>
      <c r="G11" s="49">
        <f>AVERAGE('17.10 MADDU-KANONI'!G11,'18.10 MADDU-KANONI-24h'!G11,'19.10 MADDU-KANONI-24h'!G11,'20.10 MADDU-KANONI'!G11,'21.10 MADDU-KANONI'!G11,'22.10 MADDU-KANONI'!G11,'23.10 MADDU-KANONI'!G11)</f>
        <v>0</v>
      </c>
      <c r="H11" s="49">
        <f>AVERAGE('17.10 MADDU-KANONI'!H11,'18.10 MADDU-KANONI-24h'!H11,'19.10 MADDU-KANONI-24h'!H11,'20.10 MADDU-KANONI'!H11,'21.10 MADDU-KANONI'!H11,'22.10 MADDU-KANONI'!H11,'23.10 MADDU-KANONI'!H11)</f>
        <v>0</v>
      </c>
      <c r="I11" s="49">
        <f>AVERAGE('17.10 MADDU-KANONI'!I11,'18.10 MADDU-KANONI-24h'!I11,'19.10 MADDU-KANONI-24h'!I11,'20.10 MADDU-KANONI'!I11,'21.10 MADDU-KANONI'!I11,'22.10 MADDU-KANONI'!I11,'23.10 MADDU-KANONI'!I11)</f>
        <v>0</v>
      </c>
      <c r="J11" s="49">
        <f>AVERAGE('17.10 MADDU-KANONI'!J11,'18.10 MADDU-KANONI-24h'!J11,'19.10 MADDU-KANONI-24h'!J11,'20.10 MADDU-KANONI'!J11,'21.10 MADDU-KANONI'!J11,'22.10 MADDU-KANONI'!J11,'23.10 MADDU-KANONI'!J11)</f>
        <v>0</v>
      </c>
      <c r="K11" s="49">
        <f>AVERAGE('17.10 MADDU-KANONI'!K11,'18.10 MADDU-KANONI-24h'!K11,'19.10 MADDU-KANONI-24h'!K11,'20.10 MADDU-KANONI'!K11,'21.10 MADDU-KANONI'!K11,'22.10 MADDU-KANONI'!K11,'23.10 MADDU-KANONI'!K11)</f>
        <v>0</v>
      </c>
      <c r="L11" s="49">
        <f>AVERAGE('17.10 MADDU-KANONI'!L11,'18.10 MADDU-KANONI-24h'!L11,'19.10 MADDU-KANONI-24h'!L11,'20.10 MADDU-KANONI'!L11,'21.10 MADDU-KANONI'!L11,'22.10 MADDU-KANONI'!L11,'23.10 MADDU-KANONI'!L11)</f>
        <v>0</v>
      </c>
      <c r="M11" s="49">
        <f>AVERAGE('17.10 MADDU-KANONI'!M11,'18.10 MADDU-KANONI-24h'!M11,'19.10 MADDU-KANONI-24h'!M11,'20.10 MADDU-KANONI'!M11,'21.10 MADDU-KANONI'!M11,'22.10 MADDU-KANONI'!M11,'23.10 MADDU-KANONI'!M11)</f>
        <v>5.7142857142857144</v>
      </c>
      <c r="N11" s="49">
        <f>AVERAGE('17.10 MADDU-KANONI'!N11,'18.10 MADDU-KANONI-24h'!N11,'19.10 MADDU-KANONI-24h'!N11,'20.10 MADDU-KANONI'!N11,'21.10 MADDU-KANONI'!N11,'22.10 MADDU-KANONI'!N11,'23.10 MADDU-KANONI'!N11)</f>
        <v>0</v>
      </c>
      <c r="O11" s="15">
        <f t="shared" si="0"/>
        <v>3.1428571428571428</v>
      </c>
      <c r="P11" s="15">
        <f t="shared" si="1"/>
        <v>8.8571428571428577</v>
      </c>
      <c r="R11" s="1" t="s">
        <v>7</v>
      </c>
      <c r="S11" s="17">
        <f t="shared" ref="S11:AF11" si="3">SUM(C14:C17)</f>
        <v>4.5714285714285712</v>
      </c>
      <c r="T11" s="17">
        <f t="shared" si="3"/>
        <v>0.5714285714285714</v>
      </c>
      <c r="U11" s="17">
        <f t="shared" si="3"/>
        <v>1.7142857142857142</v>
      </c>
      <c r="V11" s="17">
        <f t="shared" si="3"/>
        <v>10</v>
      </c>
      <c r="W11" s="17">
        <f t="shared" si="3"/>
        <v>0</v>
      </c>
      <c r="X11" s="17">
        <f t="shared" si="3"/>
        <v>0.14285714285714285</v>
      </c>
      <c r="Y11" s="17">
        <f t="shared" si="3"/>
        <v>0.8571428571428571</v>
      </c>
      <c r="Z11" s="17">
        <f t="shared" si="3"/>
        <v>0.5714285714285714</v>
      </c>
      <c r="AA11" s="17">
        <f t="shared" si="3"/>
        <v>0.14285714285714285</v>
      </c>
      <c r="AB11" s="17">
        <f t="shared" si="3"/>
        <v>0</v>
      </c>
      <c r="AC11" s="17">
        <f t="shared" si="3"/>
        <v>39.142857142857139</v>
      </c>
      <c r="AD11" s="17">
        <f t="shared" si="3"/>
        <v>0</v>
      </c>
      <c r="AE11" s="31">
        <f t="shared" si="3"/>
        <v>18.571428571428573</v>
      </c>
      <c r="AF11" s="31">
        <f t="shared" si="3"/>
        <v>57.714285714285715</v>
      </c>
    </row>
    <row r="12" spans="2:32" ht="23.1" customHeight="1" x14ac:dyDescent="0.25">
      <c r="B12" s="23" t="s">
        <v>39</v>
      </c>
      <c r="C12" s="49">
        <f>AVERAGE('17.10 MADDU-KANONI'!C12,'18.10 MADDU-KANONI-24h'!C12,'19.10 MADDU-KANONI-24h'!C12,'20.10 MADDU-KANONI'!C12,'21.10 MADDU-KANONI'!C12,'22.10 MADDU-KANONI'!C12,'23.10 MADDU-KANONI'!C12)</f>
        <v>0.7142857142857143</v>
      </c>
      <c r="D12" s="49">
        <f>AVERAGE('17.10 MADDU-KANONI'!D12,'18.10 MADDU-KANONI-24h'!D12,'19.10 MADDU-KANONI-24h'!D12,'20.10 MADDU-KANONI'!D12,'21.10 MADDU-KANONI'!D12,'22.10 MADDU-KANONI'!D12,'23.10 MADDU-KANONI'!D12)</f>
        <v>0</v>
      </c>
      <c r="E12" s="49">
        <f>AVERAGE('17.10 MADDU-KANONI'!E12,'18.10 MADDU-KANONI-24h'!E12,'19.10 MADDU-KANONI-24h'!E12,'20.10 MADDU-KANONI'!E12,'21.10 MADDU-KANONI'!E12,'22.10 MADDU-KANONI'!E12,'23.10 MADDU-KANONI'!E12)</f>
        <v>0.42857142857142855</v>
      </c>
      <c r="F12" s="49">
        <f>AVERAGE('17.10 MADDU-KANONI'!F12,'18.10 MADDU-KANONI-24h'!F12,'19.10 MADDU-KANONI-24h'!F12,'20.10 MADDU-KANONI'!F12,'21.10 MADDU-KANONI'!F12,'22.10 MADDU-KANONI'!F12,'23.10 MADDU-KANONI'!F12)</f>
        <v>1.8571428571428572</v>
      </c>
      <c r="G12" s="49">
        <f>AVERAGE('17.10 MADDU-KANONI'!G12,'18.10 MADDU-KANONI-24h'!G12,'19.10 MADDU-KANONI-24h'!G12,'20.10 MADDU-KANONI'!G12,'21.10 MADDU-KANONI'!G12,'22.10 MADDU-KANONI'!G12,'23.10 MADDU-KANONI'!G12)</f>
        <v>0</v>
      </c>
      <c r="H12" s="49">
        <f>AVERAGE('17.10 MADDU-KANONI'!H12,'18.10 MADDU-KANONI-24h'!H12,'19.10 MADDU-KANONI-24h'!H12,'20.10 MADDU-KANONI'!H12,'21.10 MADDU-KANONI'!H12,'22.10 MADDU-KANONI'!H12,'23.10 MADDU-KANONI'!H12)</f>
        <v>0</v>
      </c>
      <c r="I12" s="49">
        <f>AVERAGE('17.10 MADDU-KANONI'!I12,'18.10 MADDU-KANONI-24h'!I12,'19.10 MADDU-KANONI-24h'!I12,'20.10 MADDU-KANONI'!I12,'21.10 MADDU-KANONI'!I12,'22.10 MADDU-KANONI'!I12,'23.10 MADDU-KANONI'!I12)</f>
        <v>0.14285714285714285</v>
      </c>
      <c r="J12" s="49">
        <f>AVERAGE('17.10 MADDU-KANONI'!J12,'18.10 MADDU-KANONI-24h'!J12,'19.10 MADDU-KANONI-24h'!J12,'20.10 MADDU-KANONI'!J12,'21.10 MADDU-KANONI'!J12,'22.10 MADDU-KANONI'!J12,'23.10 MADDU-KANONI'!J12)</f>
        <v>0.14285714285714285</v>
      </c>
      <c r="K12" s="49">
        <f>AVERAGE('17.10 MADDU-KANONI'!K12,'18.10 MADDU-KANONI-24h'!K12,'19.10 MADDU-KANONI-24h'!K12,'20.10 MADDU-KANONI'!K12,'21.10 MADDU-KANONI'!K12,'22.10 MADDU-KANONI'!K12,'23.10 MADDU-KANONI'!K12)</f>
        <v>0</v>
      </c>
      <c r="L12" s="49">
        <f>AVERAGE('17.10 MADDU-KANONI'!L12,'18.10 MADDU-KANONI-24h'!L12,'19.10 MADDU-KANONI-24h'!L12,'20.10 MADDU-KANONI'!L12,'21.10 MADDU-KANONI'!L12,'22.10 MADDU-KANONI'!L12,'23.10 MADDU-KANONI'!L12)</f>
        <v>0</v>
      </c>
      <c r="M12" s="49">
        <f>AVERAGE('17.10 MADDU-KANONI'!M12,'18.10 MADDU-KANONI-24h'!M12,'19.10 MADDU-KANONI-24h'!M12,'20.10 MADDU-KANONI'!M12,'21.10 MADDU-KANONI'!M12,'22.10 MADDU-KANONI'!M12,'23.10 MADDU-KANONI'!M12)</f>
        <v>5.7142857142857144</v>
      </c>
      <c r="N12" s="49">
        <f>AVERAGE('17.10 MADDU-KANONI'!N12,'18.10 MADDU-KANONI-24h'!N12,'19.10 MADDU-KANONI-24h'!N12,'20.10 MADDU-KANONI'!N12,'21.10 MADDU-KANONI'!N12,'22.10 MADDU-KANONI'!N12,'23.10 MADDU-KANONI'!N12)</f>
        <v>0</v>
      </c>
      <c r="O12" s="15">
        <f t="shared" si="0"/>
        <v>3.2857142857142856</v>
      </c>
      <c r="P12" s="15">
        <f t="shared" si="1"/>
        <v>9</v>
      </c>
      <c r="R12" s="1" t="s">
        <v>8</v>
      </c>
      <c r="S12" s="17">
        <f t="shared" ref="S12:AF12" si="4">SUM(C18:C21)</f>
        <v>4.7142857142857144</v>
      </c>
      <c r="T12" s="17">
        <f t="shared" si="4"/>
        <v>1.2857142857142856</v>
      </c>
      <c r="U12" s="17">
        <f t="shared" si="4"/>
        <v>2.2857142857142856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0.71428571428571419</v>
      </c>
      <c r="Z12" s="17">
        <f t="shared" si="4"/>
        <v>0.71428571428571419</v>
      </c>
      <c r="AA12" s="17">
        <f t="shared" si="4"/>
        <v>0.14285714285714285</v>
      </c>
      <c r="AB12" s="17">
        <f t="shared" si="4"/>
        <v>0</v>
      </c>
      <c r="AC12" s="17">
        <f t="shared" si="4"/>
        <v>36.857142857142861</v>
      </c>
      <c r="AD12" s="17">
        <f t="shared" si="4"/>
        <v>0</v>
      </c>
      <c r="AE12" s="31">
        <f t="shared" si="4"/>
        <v>18.857142857142858</v>
      </c>
      <c r="AF12" s="31">
        <f t="shared" si="4"/>
        <v>55.714285714285715</v>
      </c>
    </row>
    <row r="13" spans="2:32" ht="23.1" customHeight="1" x14ac:dyDescent="0.25">
      <c r="B13" s="23" t="s">
        <v>40</v>
      </c>
      <c r="C13" s="49">
        <f>AVERAGE('17.10 MADDU-KANONI'!C13,'18.10 MADDU-KANONI-24h'!C13,'19.10 MADDU-KANONI-24h'!C13,'20.10 MADDU-KANONI'!C13,'21.10 MADDU-KANONI'!C13,'22.10 MADDU-KANONI'!C13,'23.10 MADDU-KANONI'!C13)</f>
        <v>1</v>
      </c>
      <c r="D13" s="49">
        <f>AVERAGE('17.10 MADDU-KANONI'!D13,'18.10 MADDU-KANONI-24h'!D13,'19.10 MADDU-KANONI-24h'!D13,'20.10 MADDU-KANONI'!D13,'21.10 MADDU-KANONI'!D13,'22.10 MADDU-KANONI'!D13,'23.10 MADDU-KANONI'!D13)</f>
        <v>0.42857142857142855</v>
      </c>
      <c r="E13" s="49">
        <f>AVERAGE('17.10 MADDU-KANONI'!E13,'18.10 MADDU-KANONI-24h'!E13,'19.10 MADDU-KANONI-24h'!E13,'20.10 MADDU-KANONI'!E13,'21.10 MADDU-KANONI'!E13,'22.10 MADDU-KANONI'!E13,'23.10 MADDU-KANONI'!E13)</f>
        <v>0.14285714285714285</v>
      </c>
      <c r="F13" s="49">
        <f>AVERAGE('17.10 MADDU-KANONI'!F13,'18.10 MADDU-KANONI-24h'!F13,'19.10 MADDU-KANONI-24h'!F13,'20.10 MADDU-KANONI'!F13,'21.10 MADDU-KANONI'!F13,'22.10 MADDU-KANONI'!F13,'23.10 MADDU-KANONI'!F13)</f>
        <v>2</v>
      </c>
      <c r="G13" s="49">
        <f>AVERAGE('17.10 MADDU-KANONI'!G13,'18.10 MADDU-KANONI-24h'!G13,'19.10 MADDU-KANONI-24h'!G13,'20.10 MADDU-KANONI'!G13,'21.10 MADDU-KANONI'!G13,'22.10 MADDU-KANONI'!G13,'23.10 MADDU-KANONI'!G13)</f>
        <v>0.14285714285714285</v>
      </c>
      <c r="H13" s="49">
        <f>AVERAGE('17.10 MADDU-KANONI'!H13,'18.10 MADDU-KANONI-24h'!H13,'19.10 MADDU-KANONI-24h'!H13,'20.10 MADDU-KANONI'!H13,'21.10 MADDU-KANONI'!H13,'22.10 MADDU-KANONI'!H13,'23.10 MADDU-KANONI'!H13)</f>
        <v>0</v>
      </c>
      <c r="I13" s="49">
        <f>AVERAGE('17.10 MADDU-KANONI'!I13,'18.10 MADDU-KANONI-24h'!I13,'19.10 MADDU-KANONI-24h'!I13,'20.10 MADDU-KANONI'!I13,'21.10 MADDU-KANONI'!I13,'22.10 MADDU-KANONI'!I13,'23.10 MADDU-KANONI'!I13)</f>
        <v>0</v>
      </c>
      <c r="J13" s="49">
        <f>AVERAGE('17.10 MADDU-KANONI'!J13,'18.10 MADDU-KANONI-24h'!J13,'19.10 MADDU-KANONI-24h'!J13,'20.10 MADDU-KANONI'!J13,'21.10 MADDU-KANONI'!J13,'22.10 MADDU-KANONI'!J13,'23.10 MADDU-KANONI'!J13)</f>
        <v>0.14285714285714285</v>
      </c>
      <c r="K13" s="49">
        <f>AVERAGE('17.10 MADDU-KANONI'!K13,'18.10 MADDU-KANONI-24h'!K13,'19.10 MADDU-KANONI-24h'!K13,'20.10 MADDU-KANONI'!K13,'21.10 MADDU-KANONI'!K13,'22.10 MADDU-KANONI'!K13,'23.10 MADDU-KANONI'!K13)</f>
        <v>0</v>
      </c>
      <c r="L13" s="49">
        <f>AVERAGE('17.10 MADDU-KANONI'!L13,'18.10 MADDU-KANONI-24h'!L13,'19.10 MADDU-KANONI-24h'!L13,'20.10 MADDU-KANONI'!L13,'21.10 MADDU-KANONI'!L13,'22.10 MADDU-KANONI'!L13,'23.10 MADDU-KANONI'!L13)</f>
        <v>0</v>
      </c>
      <c r="M13" s="49">
        <f>AVERAGE('17.10 MADDU-KANONI'!M13,'18.10 MADDU-KANONI-24h'!M13,'19.10 MADDU-KANONI-24h'!M13,'20.10 MADDU-KANONI'!M13,'21.10 MADDU-KANONI'!M13,'22.10 MADDU-KANONI'!M13,'23.10 MADDU-KANONI'!M13)</f>
        <v>14</v>
      </c>
      <c r="N13" s="49">
        <f>AVERAGE('17.10 MADDU-KANONI'!N13,'18.10 MADDU-KANONI-24h'!N13,'19.10 MADDU-KANONI-24h'!N13,'20.10 MADDU-KANONI'!N13,'21.10 MADDU-KANONI'!N13,'22.10 MADDU-KANONI'!N13,'23.10 MADDU-KANONI'!N13)</f>
        <v>0</v>
      </c>
      <c r="O13" s="15">
        <f t="shared" si="0"/>
        <v>3.8571428571428568</v>
      </c>
      <c r="P13" s="15">
        <f t="shared" si="1"/>
        <v>17.857142857142858</v>
      </c>
      <c r="R13" s="1" t="s">
        <v>9</v>
      </c>
      <c r="S13" s="17">
        <f t="shared" ref="S13:AF13" si="5">SUM(C22:C25)</f>
        <v>5.2857142857142856</v>
      </c>
      <c r="T13" s="17">
        <f t="shared" si="5"/>
        <v>1.1428571428571428</v>
      </c>
      <c r="U13" s="17">
        <f t="shared" si="5"/>
        <v>2.5714285714285712</v>
      </c>
      <c r="V13" s="17">
        <f t="shared" si="5"/>
        <v>7.5714285714285712</v>
      </c>
      <c r="W13" s="17">
        <f t="shared" si="5"/>
        <v>0</v>
      </c>
      <c r="X13" s="17">
        <f t="shared" si="5"/>
        <v>0</v>
      </c>
      <c r="Y13" s="17">
        <f t="shared" si="5"/>
        <v>0.8571428571428571</v>
      </c>
      <c r="Z13" s="17">
        <f t="shared" si="5"/>
        <v>0.71428571428571419</v>
      </c>
      <c r="AA13" s="17">
        <f t="shared" si="5"/>
        <v>0.71428571428571419</v>
      </c>
      <c r="AB13" s="17">
        <f t="shared" si="5"/>
        <v>0</v>
      </c>
      <c r="AC13" s="17">
        <f t="shared" si="5"/>
        <v>38.857142857142861</v>
      </c>
      <c r="AD13" s="17">
        <f t="shared" si="5"/>
        <v>0</v>
      </c>
      <c r="AE13" s="31">
        <f t="shared" si="5"/>
        <v>18.857142857142858</v>
      </c>
      <c r="AF13" s="31">
        <f t="shared" si="5"/>
        <v>57.714285714285715</v>
      </c>
    </row>
    <row r="14" spans="2:32" ht="23.1" customHeight="1" x14ac:dyDescent="0.25">
      <c r="B14" s="23" t="s">
        <v>41</v>
      </c>
      <c r="C14" s="49">
        <f>AVERAGE('17.10 MADDU-KANONI'!C14,'18.10 MADDU-KANONI-24h'!C14,'19.10 MADDU-KANONI-24h'!C14,'20.10 MADDU-KANONI'!C14,'21.10 MADDU-KANONI'!C14,'22.10 MADDU-KANONI'!C14,'23.10 MADDU-KANONI'!C14)</f>
        <v>0.7142857142857143</v>
      </c>
      <c r="D14" s="49">
        <f>AVERAGE('17.10 MADDU-KANONI'!D14,'18.10 MADDU-KANONI-24h'!D14,'19.10 MADDU-KANONI-24h'!D14,'20.10 MADDU-KANONI'!D14,'21.10 MADDU-KANONI'!D14,'22.10 MADDU-KANONI'!D14,'23.10 MADDU-KANONI'!D14)</f>
        <v>0.14285714285714285</v>
      </c>
      <c r="E14" s="49">
        <f>AVERAGE('17.10 MADDU-KANONI'!E14,'18.10 MADDU-KANONI-24h'!E14,'19.10 MADDU-KANONI-24h'!E14,'20.10 MADDU-KANONI'!E14,'21.10 MADDU-KANONI'!E14,'22.10 MADDU-KANONI'!E14,'23.10 MADDU-KANONI'!E14)</f>
        <v>0</v>
      </c>
      <c r="F14" s="49">
        <f>AVERAGE('17.10 MADDU-KANONI'!F14,'18.10 MADDU-KANONI-24h'!F14,'19.10 MADDU-KANONI-24h'!F14,'20.10 MADDU-KANONI'!F14,'21.10 MADDU-KANONI'!F14,'22.10 MADDU-KANONI'!F14,'23.10 MADDU-KANONI'!F14)</f>
        <v>1.8571428571428572</v>
      </c>
      <c r="G14" s="49">
        <f>AVERAGE('17.10 MADDU-KANONI'!G14,'18.10 MADDU-KANONI-24h'!G14,'19.10 MADDU-KANONI-24h'!G14,'20.10 MADDU-KANONI'!G14,'21.10 MADDU-KANONI'!G14,'22.10 MADDU-KANONI'!G14,'23.10 MADDU-KANONI'!G14)</f>
        <v>0</v>
      </c>
      <c r="H14" s="49">
        <f>AVERAGE('17.10 MADDU-KANONI'!H14,'18.10 MADDU-KANONI-24h'!H14,'19.10 MADDU-KANONI-24h'!H14,'20.10 MADDU-KANONI'!H14,'21.10 MADDU-KANONI'!H14,'22.10 MADDU-KANONI'!H14,'23.10 MADDU-KANONI'!H14)</f>
        <v>0</v>
      </c>
      <c r="I14" s="49">
        <f>AVERAGE('17.10 MADDU-KANONI'!I14,'18.10 MADDU-KANONI-24h'!I14,'19.10 MADDU-KANONI-24h'!I14,'20.10 MADDU-KANONI'!I14,'21.10 MADDU-KANONI'!I14,'22.10 MADDU-KANONI'!I14,'23.10 MADDU-KANONI'!I14)</f>
        <v>0</v>
      </c>
      <c r="J14" s="49">
        <f>AVERAGE('17.10 MADDU-KANONI'!J14,'18.10 MADDU-KANONI-24h'!J14,'19.10 MADDU-KANONI-24h'!J14,'20.10 MADDU-KANONI'!J14,'21.10 MADDU-KANONI'!J14,'22.10 MADDU-KANONI'!J14,'23.10 MADDU-KANONI'!J14)</f>
        <v>0.14285714285714285</v>
      </c>
      <c r="K14" s="49">
        <f>AVERAGE('17.10 MADDU-KANONI'!K14,'18.10 MADDU-KANONI-24h'!K14,'19.10 MADDU-KANONI-24h'!K14,'20.10 MADDU-KANONI'!K14,'21.10 MADDU-KANONI'!K14,'22.10 MADDU-KANONI'!K14,'23.10 MADDU-KANONI'!K14)</f>
        <v>0</v>
      </c>
      <c r="L14" s="49">
        <f>AVERAGE('17.10 MADDU-KANONI'!L14,'18.10 MADDU-KANONI-24h'!L14,'19.10 MADDU-KANONI-24h'!L14,'20.10 MADDU-KANONI'!L14,'21.10 MADDU-KANONI'!L14,'22.10 MADDU-KANONI'!L14,'23.10 MADDU-KANONI'!L14)</f>
        <v>0</v>
      </c>
      <c r="M14" s="49">
        <f>AVERAGE('17.10 MADDU-KANONI'!M14,'18.10 MADDU-KANONI-24h'!M14,'19.10 MADDU-KANONI-24h'!M14,'20.10 MADDU-KANONI'!M14,'21.10 MADDU-KANONI'!M14,'22.10 MADDU-KANONI'!M14,'23.10 MADDU-KANONI'!M14)</f>
        <v>9.1428571428571423</v>
      </c>
      <c r="N14" s="49">
        <f>AVERAGE('17.10 MADDU-KANONI'!N14,'18.10 MADDU-KANONI-24h'!N14,'19.10 MADDU-KANONI-24h'!N14,'20.10 MADDU-KANONI'!N14,'21.10 MADDU-KANONI'!N14,'22.10 MADDU-KANONI'!N14,'23.10 MADDU-KANONI'!N14)</f>
        <v>0</v>
      </c>
      <c r="O14" s="15">
        <f t="shared" si="0"/>
        <v>2.8571428571428572</v>
      </c>
      <c r="P14" s="15">
        <f t="shared" si="1"/>
        <v>12</v>
      </c>
      <c r="R14" s="1" t="s">
        <v>10</v>
      </c>
      <c r="S14" s="17">
        <f t="shared" ref="S14:AF14" si="6">SUM(C26:C29)</f>
        <v>6.7142857142857135</v>
      </c>
      <c r="T14" s="17">
        <f t="shared" si="6"/>
        <v>2.714285714285714</v>
      </c>
      <c r="U14" s="17">
        <f t="shared" si="6"/>
        <v>2.4285714285714288</v>
      </c>
      <c r="V14" s="17">
        <f t="shared" si="6"/>
        <v>4.4285714285714288</v>
      </c>
      <c r="W14" s="17">
        <f t="shared" si="6"/>
        <v>0</v>
      </c>
      <c r="X14" s="17">
        <f t="shared" si="6"/>
        <v>0</v>
      </c>
      <c r="Y14" s="17">
        <f t="shared" si="6"/>
        <v>1.4285714285714284</v>
      </c>
      <c r="Z14" s="17">
        <f t="shared" si="6"/>
        <v>1.4285714285714284</v>
      </c>
      <c r="AA14" s="17">
        <f t="shared" si="6"/>
        <v>0</v>
      </c>
      <c r="AB14" s="17">
        <f t="shared" si="6"/>
        <v>0</v>
      </c>
      <c r="AC14" s="17">
        <f t="shared" si="6"/>
        <v>42.714285714285708</v>
      </c>
      <c r="AD14" s="17">
        <f t="shared" si="6"/>
        <v>0</v>
      </c>
      <c r="AE14" s="31">
        <f t="shared" si="6"/>
        <v>19.142857142857146</v>
      </c>
      <c r="AF14" s="31">
        <f t="shared" si="6"/>
        <v>61.857142857142854</v>
      </c>
    </row>
    <row r="15" spans="2:32" ht="23.1" customHeight="1" x14ac:dyDescent="0.25">
      <c r="B15" s="23" t="s">
        <v>42</v>
      </c>
      <c r="C15" s="49">
        <f>AVERAGE('17.10 MADDU-KANONI'!C15,'18.10 MADDU-KANONI-24h'!C15,'19.10 MADDU-KANONI-24h'!C15,'20.10 MADDU-KANONI'!C15,'21.10 MADDU-KANONI'!C15,'22.10 MADDU-KANONI'!C15,'23.10 MADDU-KANONI'!C15)</f>
        <v>1.5714285714285714</v>
      </c>
      <c r="D15" s="49">
        <f>AVERAGE('17.10 MADDU-KANONI'!D15,'18.10 MADDU-KANONI-24h'!D15,'19.10 MADDU-KANONI-24h'!D15,'20.10 MADDU-KANONI'!D15,'21.10 MADDU-KANONI'!D15,'22.10 MADDU-KANONI'!D15,'23.10 MADDU-KANONI'!D15)</f>
        <v>0.14285714285714285</v>
      </c>
      <c r="E15" s="49">
        <f>AVERAGE('17.10 MADDU-KANONI'!E15,'18.10 MADDU-KANONI-24h'!E15,'19.10 MADDU-KANONI-24h'!E15,'20.10 MADDU-KANONI'!E15,'21.10 MADDU-KANONI'!E15,'22.10 MADDU-KANONI'!E15,'23.10 MADDU-KANONI'!E15)</f>
        <v>0.7142857142857143</v>
      </c>
      <c r="F15" s="49">
        <f>AVERAGE('17.10 MADDU-KANONI'!F15,'18.10 MADDU-KANONI-24h'!F15,'19.10 MADDU-KANONI-24h'!F15,'20.10 MADDU-KANONI'!F15,'21.10 MADDU-KANONI'!F15,'22.10 MADDU-KANONI'!F15,'23.10 MADDU-KANONI'!F15)</f>
        <v>3.5714285714285716</v>
      </c>
      <c r="G15" s="49">
        <f>AVERAGE('17.10 MADDU-KANONI'!G15,'18.10 MADDU-KANONI-24h'!G15,'19.10 MADDU-KANONI-24h'!G15,'20.10 MADDU-KANONI'!G15,'21.10 MADDU-KANONI'!G15,'22.10 MADDU-KANONI'!G15,'23.10 MADDU-KANONI'!G15)</f>
        <v>0</v>
      </c>
      <c r="H15" s="49">
        <f>AVERAGE('17.10 MADDU-KANONI'!H15,'18.10 MADDU-KANONI-24h'!H15,'19.10 MADDU-KANONI-24h'!H15,'20.10 MADDU-KANONI'!H15,'21.10 MADDU-KANONI'!H15,'22.10 MADDU-KANONI'!H15,'23.10 MADDU-KANONI'!H15)</f>
        <v>0.14285714285714285</v>
      </c>
      <c r="I15" s="49">
        <f>AVERAGE('17.10 MADDU-KANONI'!I15,'18.10 MADDU-KANONI-24h'!I15,'19.10 MADDU-KANONI-24h'!I15,'20.10 MADDU-KANONI'!I15,'21.10 MADDU-KANONI'!I15,'22.10 MADDU-KANONI'!I15,'23.10 MADDU-KANONI'!I15)</f>
        <v>0.42857142857142855</v>
      </c>
      <c r="J15" s="49">
        <f>AVERAGE('17.10 MADDU-KANONI'!J15,'18.10 MADDU-KANONI-24h'!J15,'19.10 MADDU-KANONI-24h'!J15,'20.10 MADDU-KANONI'!J15,'21.10 MADDU-KANONI'!J15,'22.10 MADDU-KANONI'!J15,'23.10 MADDU-KANONI'!J15)</f>
        <v>0.14285714285714285</v>
      </c>
      <c r="K15" s="49">
        <f>AVERAGE('17.10 MADDU-KANONI'!K15,'18.10 MADDU-KANONI-24h'!K15,'19.10 MADDU-KANONI-24h'!K15,'20.10 MADDU-KANONI'!K15,'21.10 MADDU-KANONI'!K15,'22.10 MADDU-KANONI'!K15,'23.10 MADDU-KANONI'!K15)</f>
        <v>0.14285714285714285</v>
      </c>
      <c r="L15" s="49">
        <f>AVERAGE('17.10 MADDU-KANONI'!L15,'18.10 MADDU-KANONI-24h'!L15,'19.10 MADDU-KANONI-24h'!L15,'20.10 MADDU-KANONI'!L15,'21.10 MADDU-KANONI'!L15,'22.10 MADDU-KANONI'!L15,'23.10 MADDU-KANONI'!L15)</f>
        <v>0</v>
      </c>
      <c r="M15" s="49">
        <f>AVERAGE('17.10 MADDU-KANONI'!M15,'18.10 MADDU-KANONI-24h'!M15,'19.10 MADDU-KANONI-24h'!M15,'20.10 MADDU-KANONI'!M15,'21.10 MADDU-KANONI'!M15,'22.10 MADDU-KANONI'!M15,'23.10 MADDU-KANONI'!M15)</f>
        <v>10.428571428571429</v>
      </c>
      <c r="N15" s="49">
        <f>AVERAGE('17.10 MADDU-KANONI'!N15,'18.10 MADDU-KANONI-24h'!N15,'19.10 MADDU-KANONI-24h'!N15,'20.10 MADDU-KANONI'!N15,'21.10 MADDU-KANONI'!N15,'22.10 MADDU-KANONI'!N15,'23.10 MADDU-KANONI'!N15)</f>
        <v>0</v>
      </c>
      <c r="O15" s="15">
        <f t="shared" si="0"/>
        <v>6.8571428571428585</v>
      </c>
      <c r="P15" s="15">
        <f t="shared" si="1"/>
        <v>17.285714285714288</v>
      </c>
      <c r="R15" s="1" t="s">
        <v>11</v>
      </c>
      <c r="S15" s="17">
        <f t="shared" ref="S15:AF15" si="7">SUM(C30:C33)</f>
        <v>5.8571428571428577</v>
      </c>
      <c r="T15" s="17">
        <f t="shared" si="7"/>
        <v>3.4285714285714284</v>
      </c>
      <c r="U15" s="17">
        <f t="shared" si="7"/>
        <v>2.1428571428571428</v>
      </c>
      <c r="V15" s="17">
        <f t="shared" si="7"/>
        <v>5.5714285714285712</v>
      </c>
      <c r="W15" s="17">
        <f t="shared" si="7"/>
        <v>0</v>
      </c>
      <c r="X15" s="17">
        <f t="shared" si="7"/>
        <v>0</v>
      </c>
      <c r="Y15" s="17">
        <f t="shared" si="7"/>
        <v>0.5714285714285714</v>
      </c>
      <c r="Z15" s="17">
        <f t="shared" si="7"/>
        <v>0.5714285714285714</v>
      </c>
      <c r="AA15" s="17">
        <f t="shared" si="7"/>
        <v>0.2857142857142857</v>
      </c>
      <c r="AB15" s="17">
        <f t="shared" si="7"/>
        <v>0</v>
      </c>
      <c r="AC15" s="17">
        <f t="shared" si="7"/>
        <v>40.857142857142854</v>
      </c>
      <c r="AD15" s="17">
        <f t="shared" si="7"/>
        <v>0</v>
      </c>
      <c r="AE15" s="31">
        <f t="shared" si="7"/>
        <v>18.428571428571431</v>
      </c>
      <c r="AF15" s="31">
        <f t="shared" si="7"/>
        <v>59.285714285714285</v>
      </c>
    </row>
    <row r="16" spans="2:32" ht="23.1" customHeight="1" x14ac:dyDescent="0.25">
      <c r="B16" s="23" t="s">
        <v>43</v>
      </c>
      <c r="C16" s="49">
        <f>AVERAGE('17.10 MADDU-KANONI'!C16,'18.10 MADDU-KANONI-24h'!C16,'19.10 MADDU-KANONI-24h'!C16,'20.10 MADDU-KANONI'!C16,'21.10 MADDU-KANONI'!C16,'22.10 MADDU-KANONI'!C16,'23.10 MADDU-KANONI'!C16)</f>
        <v>1.2857142857142858</v>
      </c>
      <c r="D16" s="49">
        <f>AVERAGE('17.10 MADDU-KANONI'!D16,'18.10 MADDU-KANONI-24h'!D16,'19.10 MADDU-KANONI-24h'!D16,'20.10 MADDU-KANONI'!D16,'21.10 MADDU-KANONI'!D16,'22.10 MADDU-KANONI'!D16,'23.10 MADDU-KANONI'!D16)</f>
        <v>0.2857142857142857</v>
      </c>
      <c r="E16" s="49">
        <f>AVERAGE('17.10 MADDU-KANONI'!E16,'18.10 MADDU-KANONI-24h'!E16,'19.10 MADDU-KANONI-24h'!E16,'20.10 MADDU-KANONI'!E16,'21.10 MADDU-KANONI'!E16,'22.10 MADDU-KANONI'!E16,'23.10 MADDU-KANONI'!E16)</f>
        <v>0.42857142857142855</v>
      </c>
      <c r="F16" s="49">
        <f>AVERAGE('17.10 MADDU-KANONI'!F16,'18.10 MADDU-KANONI-24h'!F16,'19.10 MADDU-KANONI-24h'!F16,'20.10 MADDU-KANONI'!F16,'21.10 MADDU-KANONI'!F16,'22.10 MADDU-KANONI'!F16,'23.10 MADDU-KANONI'!F16)</f>
        <v>2.2857142857142856</v>
      </c>
      <c r="G16" s="49">
        <f>AVERAGE('17.10 MADDU-KANONI'!G16,'18.10 MADDU-KANONI-24h'!G16,'19.10 MADDU-KANONI-24h'!G16,'20.10 MADDU-KANONI'!G16,'21.10 MADDU-KANONI'!G16,'22.10 MADDU-KANONI'!G16,'23.10 MADDU-KANONI'!G16)</f>
        <v>0</v>
      </c>
      <c r="H16" s="49">
        <f>AVERAGE('17.10 MADDU-KANONI'!H16,'18.10 MADDU-KANONI-24h'!H16,'19.10 MADDU-KANONI-24h'!H16,'20.10 MADDU-KANONI'!H16,'21.10 MADDU-KANONI'!H16,'22.10 MADDU-KANONI'!H16,'23.10 MADDU-KANONI'!H16)</f>
        <v>0</v>
      </c>
      <c r="I16" s="49">
        <f>AVERAGE('17.10 MADDU-KANONI'!I16,'18.10 MADDU-KANONI-24h'!I16,'19.10 MADDU-KANONI-24h'!I16,'20.10 MADDU-KANONI'!I16,'21.10 MADDU-KANONI'!I16,'22.10 MADDU-KANONI'!I16,'23.10 MADDU-KANONI'!I16)</f>
        <v>0.14285714285714285</v>
      </c>
      <c r="J16" s="49">
        <f>AVERAGE('17.10 MADDU-KANONI'!J16,'18.10 MADDU-KANONI-24h'!J16,'19.10 MADDU-KANONI-24h'!J16,'20.10 MADDU-KANONI'!J16,'21.10 MADDU-KANONI'!J16,'22.10 MADDU-KANONI'!J16,'23.10 MADDU-KANONI'!J16)</f>
        <v>0.14285714285714285</v>
      </c>
      <c r="K16" s="49">
        <f>AVERAGE('17.10 MADDU-KANONI'!K16,'18.10 MADDU-KANONI-24h'!K16,'19.10 MADDU-KANONI-24h'!K16,'20.10 MADDU-KANONI'!K16,'21.10 MADDU-KANONI'!K16,'22.10 MADDU-KANONI'!K16,'23.10 MADDU-KANONI'!K16)</f>
        <v>0</v>
      </c>
      <c r="L16" s="49">
        <f>AVERAGE('17.10 MADDU-KANONI'!L16,'18.10 MADDU-KANONI-24h'!L16,'19.10 MADDU-KANONI-24h'!L16,'20.10 MADDU-KANONI'!L16,'21.10 MADDU-KANONI'!L16,'22.10 MADDU-KANONI'!L16,'23.10 MADDU-KANONI'!L16)</f>
        <v>0</v>
      </c>
      <c r="M16" s="49">
        <f>AVERAGE('17.10 MADDU-KANONI'!M16,'18.10 MADDU-KANONI-24h'!M16,'19.10 MADDU-KANONI-24h'!M16,'20.10 MADDU-KANONI'!M16,'21.10 MADDU-KANONI'!M16,'22.10 MADDU-KANONI'!M16,'23.10 MADDU-KANONI'!M16)</f>
        <v>9.1428571428571423</v>
      </c>
      <c r="N16" s="49">
        <f>AVERAGE('17.10 MADDU-KANONI'!N16,'18.10 MADDU-KANONI-24h'!N16,'19.10 MADDU-KANONI-24h'!N16,'20.10 MADDU-KANONI'!N16,'21.10 MADDU-KANONI'!N16,'22.10 MADDU-KANONI'!N16,'23.10 MADDU-KANONI'!N16)</f>
        <v>0</v>
      </c>
      <c r="O16" s="15">
        <f t="shared" si="0"/>
        <v>4.5714285714285721</v>
      </c>
      <c r="P16" s="15">
        <f t="shared" si="1"/>
        <v>13.714285714285715</v>
      </c>
      <c r="R16" s="1" t="s">
        <v>12</v>
      </c>
      <c r="S16" s="17">
        <f t="shared" ref="S16:AF16" si="8">SUM(C34:C37)</f>
        <v>7.5714285714285712</v>
      </c>
      <c r="T16" s="17">
        <f t="shared" si="8"/>
        <v>3.4285714285714284</v>
      </c>
      <c r="U16" s="17">
        <f t="shared" si="8"/>
        <v>2.1428571428571428</v>
      </c>
      <c r="V16" s="17">
        <f t="shared" si="8"/>
        <v>5.2857142857142847</v>
      </c>
      <c r="W16" s="17">
        <f t="shared" si="8"/>
        <v>0</v>
      </c>
      <c r="X16" s="17">
        <f t="shared" si="8"/>
        <v>0</v>
      </c>
      <c r="Y16" s="17">
        <f t="shared" si="8"/>
        <v>0.5714285714285714</v>
      </c>
      <c r="Z16" s="17">
        <f t="shared" si="8"/>
        <v>1.1428571428571428</v>
      </c>
      <c r="AA16" s="17">
        <f t="shared" si="8"/>
        <v>0.71428571428571419</v>
      </c>
      <c r="AB16" s="17">
        <f t="shared" si="8"/>
        <v>0</v>
      </c>
      <c r="AC16" s="17">
        <f t="shared" si="8"/>
        <v>47.571428571428569</v>
      </c>
      <c r="AD16" s="17">
        <f t="shared" si="8"/>
        <v>0</v>
      </c>
      <c r="AE16" s="31">
        <f t="shared" si="8"/>
        <v>20.857142857142858</v>
      </c>
      <c r="AF16" s="31">
        <f t="shared" si="8"/>
        <v>68.428571428571431</v>
      </c>
    </row>
    <row r="17" spans="2:32" ht="23.1" customHeight="1" x14ac:dyDescent="0.25">
      <c r="B17" s="23" t="s">
        <v>44</v>
      </c>
      <c r="C17" s="49">
        <f>AVERAGE('17.10 MADDU-KANONI'!C17,'18.10 MADDU-KANONI-24h'!C17,'19.10 MADDU-KANONI-24h'!C17,'20.10 MADDU-KANONI'!C17,'21.10 MADDU-KANONI'!C17,'22.10 MADDU-KANONI'!C17,'23.10 MADDU-KANONI'!C17)</f>
        <v>1</v>
      </c>
      <c r="D17" s="49">
        <f>AVERAGE('17.10 MADDU-KANONI'!D17,'18.10 MADDU-KANONI-24h'!D17,'19.10 MADDU-KANONI-24h'!D17,'20.10 MADDU-KANONI'!D17,'21.10 MADDU-KANONI'!D17,'22.10 MADDU-KANONI'!D17,'23.10 MADDU-KANONI'!D17)</f>
        <v>0</v>
      </c>
      <c r="E17" s="49">
        <f>AVERAGE('17.10 MADDU-KANONI'!E17,'18.10 MADDU-KANONI-24h'!E17,'19.10 MADDU-KANONI-24h'!E17,'20.10 MADDU-KANONI'!E17,'21.10 MADDU-KANONI'!E17,'22.10 MADDU-KANONI'!E17,'23.10 MADDU-KANONI'!E17)</f>
        <v>0.5714285714285714</v>
      </c>
      <c r="F17" s="49">
        <f>AVERAGE('17.10 MADDU-KANONI'!F17,'18.10 MADDU-KANONI-24h'!F17,'19.10 MADDU-KANONI-24h'!F17,'20.10 MADDU-KANONI'!F17,'21.10 MADDU-KANONI'!F17,'22.10 MADDU-KANONI'!F17,'23.10 MADDU-KANONI'!F17)</f>
        <v>2.2857142857142856</v>
      </c>
      <c r="G17" s="49">
        <f>AVERAGE('17.10 MADDU-KANONI'!G17,'18.10 MADDU-KANONI-24h'!G17,'19.10 MADDU-KANONI-24h'!G17,'20.10 MADDU-KANONI'!G17,'21.10 MADDU-KANONI'!G17,'22.10 MADDU-KANONI'!G17,'23.10 MADDU-KANONI'!G17)</f>
        <v>0</v>
      </c>
      <c r="H17" s="49">
        <f>AVERAGE('17.10 MADDU-KANONI'!H17,'18.10 MADDU-KANONI-24h'!H17,'19.10 MADDU-KANONI-24h'!H17,'20.10 MADDU-KANONI'!H17,'21.10 MADDU-KANONI'!H17,'22.10 MADDU-KANONI'!H17,'23.10 MADDU-KANONI'!H17)</f>
        <v>0</v>
      </c>
      <c r="I17" s="49">
        <f>AVERAGE('17.10 MADDU-KANONI'!I17,'18.10 MADDU-KANONI-24h'!I17,'19.10 MADDU-KANONI-24h'!I17,'20.10 MADDU-KANONI'!I17,'21.10 MADDU-KANONI'!I17,'22.10 MADDU-KANONI'!I17,'23.10 MADDU-KANONI'!I17)</f>
        <v>0.2857142857142857</v>
      </c>
      <c r="J17" s="49">
        <f>AVERAGE('17.10 MADDU-KANONI'!J17,'18.10 MADDU-KANONI-24h'!J17,'19.10 MADDU-KANONI-24h'!J17,'20.10 MADDU-KANONI'!J17,'21.10 MADDU-KANONI'!J17,'22.10 MADDU-KANONI'!J17,'23.10 MADDU-KANONI'!J17)</f>
        <v>0.14285714285714285</v>
      </c>
      <c r="K17" s="49">
        <f>AVERAGE('17.10 MADDU-KANONI'!K17,'18.10 MADDU-KANONI-24h'!K17,'19.10 MADDU-KANONI-24h'!K17,'20.10 MADDU-KANONI'!K17,'21.10 MADDU-KANONI'!K17,'22.10 MADDU-KANONI'!K17,'23.10 MADDU-KANONI'!K17)</f>
        <v>0</v>
      </c>
      <c r="L17" s="49">
        <f>AVERAGE('17.10 MADDU-KANONI'!L17,'18.10 MADDU-KANONI-24h'!L17,'19.10 MADDU-KANONI-24h'!L17,'20.10 MADDU-KANONI'!L17,'21.10 MADDU-KANONI'!L17,'22.10 MADDU-KANONI'!L17,'23.10 MADDU-KANONI'!L17)</f>
        <v>0</v>
      </c>
      <c r="M17" s="49">
        <f>AVERAGE('17.10 MADDU-KANONI'!M17,'18.10 MADDU-KANONI-24h'!M17,'19.10 MADDU-KANONI-24h'!M17,'20.10 MADDU-KANONI'!M17,'21.10 MADDU-KANONI'!M17,'22.10 MADDU-KANONI'!M17,'23.10 MADDU-KANONI'!M17)</f>
        <v>10.428571428571429</v>
      </c>
      <c r="N17" s="49">
        <f>AVERAGE('17.10 MADDU-KANONI'!N17,'18.10 MADDU-KANONI-24h'!N17,'19.10 MADDU-KANONI-24h'!N17,'20.10 MADDU-KANONI'!N17,'21.10 MADDU-KANONI'!N17,'22.10 MADDU-KANONI'!N17,'23.10 MADDU-KANONI'!N17)</f>
        <v>0</v>
      </c>
      <c r="O17" s="15">
        <f t="shared" si="0"/>
        <v>4.2857142857142856</v>
      </c>
      <c r="P17" s="15">
        <f t="shared" si="1"/>
        <v>14.714285714285715</v>
      </c>
      <c r="R17" s="1" t="s">
        <v>13</v>
      </c>
      <c r="S17" s="17">
        <f t="shared" ref="S17:AF17" si="9">SUM(C38:C41)</f>
        <v>8.5714285714285712</v>
      </c>
      <c r="T17" s="17">
        <f t="shared" si="9"/>
        <v>2.2857142857142856</v>
      </c>
      <c r="U17" s="17">
        <f t="shared" si="9"/>
        <v>2.1428571428571428</v>
      </c>
      <c r="V17" s="17">
        <f t="shared" si="9"/>
        <v>4.8571428571428568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1.4285714285714284</v>
      </c>
      <c r="AA17" s="17">
        <f t="shared" si="9"/>
        <v>1.2857142857142856</v>
      </c>
      <c r="AB17" s="17">
        <f t="shared" si="9"/>
        <v>0</v>
      </c>
      <c r="AC17" s="17">
        <f t="shared" si="9"/>
        <v>46.142857142857139</v>
      </c>
      <c r="AD17" s="17">
        <f t="shared" si="9"/>
        <v>0</v>
      </c>
      <c r="AE17" s="31">
        <f t="shared" si="9"/>
        <v>22.571428571428569</v>
      </c>
      <c r="AF17" s="31">
        <f t="shared" si="9"/>
        <v>68.714285714285708</v>
      </c>
    </row>
    <row r="18" spans="2:32" ht="23.1" customHeight="1" x14ac:dyDescent="0.25">
      <c r="B18" s="23" t="s">
        <v>45</v>
      </c>
      <c r="C18" s="49">
        <f>AVERAGE('17.10 MADDU-KANONI'!C18,'18.10 MADDU-KANONI-24h'!C18,'19.10 MADDU-KANONI-24h'!C18,'20.10 MADDU-KANONI'!C18,'21.10 MADDU-KANONI'!C18,'22.10 MADDU-KANONI'!C18,'23.10 MADDU-KANONI'!C18)</f>
        <v>1</v>
      </c>
      <c r="D18" s="49">
        <f>AVERAGE('17.10 MADDU-KANONI'!D18,'18.10 MADDU-KANONI-24h'!D18,'19.10 MADDU-KANONI-24h'!D18,'20.10 MADDU-KANONI'!D18,'21.10 MADDU-KANONI'!D18,'22.10 MADDU-KANONI'!D18,'23.10 MADDU-KANONI'!D18)</f>
        <v>0.42857142857142855</v>
      </c>
      <c r="E18" s="49">
        <f>AVERAGE('17.10 MADDU-KANONI'!E18,'18.10 MADDU-KANONI-24h'!E18,'19.10 MADDU-KANONI-24h'!E18,'20.10 MADDU-KANONI'!E18,'21.10 MADDU-KANONI'!E18,'22.10 MADDU-KANONI'!E18,'23.10 MADDU-KANONI'!E18)</f>
        <v>0.2857142857142857</v>
      </c>
      <c r="F18" s="49">
        <f>AVERAGE('17.10 MADDU-KANONI'!F18,'18.10 MADDU-KANONI-24h'!F18,'19.10 MADDU-KANONI-24h'!F18,'20.10 MADDU-KANONI'!F18,'21.10 MADDU-KANONI'!F18,'22.10 MADDU-KANONI'!F18,'23.10 MADDU-KANONI'!F18)</f>
        <v>1.4285714285714286</v>
      </c>
      <c r="G18" s="49">
        <f>AVERAGE('17.10 MADDU-KANONI'!G18,'18.10 MADDU-KANONI-24h'!G18,'19.10 MADDU-KANONI-24h'!G18,'20.10 MADDU-KANONI'!G18,'21.10 MADDU-KANONI'!G18,'22.10 MADDU-KANONI'!G18,'23.10 MADDU-KANONI'!G18)</f>
        <v>0</v>
      </c>
      <c r="H18" s="49">
        <f>AVERAGE('17.10 MADDU-KANONI'!H18,'18.10 MADDU-KANONI-24h'!H18,'19.10 MADDU-KANONI-24h'!H18,'20.10 MADDU-KANONI'!H18,'21.10 MADDU-KANONI'!H18,'22.10 MADDU-KANONI'!H18,'23.10 MADDU-KANONI'!H18)</f>
        <v>0</v>
      </c>
      <c r="I18" s="49">
        <f>AVERAGE('17.10 MADDU-KANONI'!I18,'18.10 MADDU-KANONI-24h'!I18,'19.10 MADDU-KANONI-24h'!I18,'20.10 MADDU-KANONI'!I18,'21.10 MADDU-KANONI'!I18,'22.10 MADDU-KANONI'!I18,'23.10 MADDU-KANONI'!I18)</f>
        <v>0.14285714285714285</v>
      </c>
      <c r="J18" s="49">
        <f>AVERAGE('17.10 MADDU-KANONI'!J18,'18.10 MADDU-KANONI-24h'!J18,'19.10 MADDU-KANONI-24h'!J18,'20.10 MADDU-KANONI'!J18,'21.10 MADDU-KANONI'!J18,'22.10 MADDU-KANONI'!J18,'23.10 MADDU-KANONI'!J18)</f>
        <v>0</v>
      </c>
      <c r="K18" s="49">
        <f>AVERAGE('17.10 MADDU-KANONI'!K18,'18.10 MADDU-KANONI-24h'!K18,'19.10 MADDU-KANONI-24h'!K18,'20.10 MADDU-KANONI'!K18,'21.10 MADDU-KANONI'!K18,'22.10 MADDU-KANONI'!K18,'23.10 MADDU-KANONI'!K18)</f>
        <v>0</v>
      </c>
      <c r="L18" s="49">
        <f>AVERAGE('17.10 MADDU-KANONI'!L18,'18.10 MADDU-KANONI-24h'!L18,'19.10 MADDU-KANONI-24h'!L18,'20.10 MADDU-KANONI'!L18,'21.10 MADDU-KANONI'!L18,'22.10 MADDU-KANONI'!L18,'23.10 MADDU-KANONI'!L18)</f>
        <v>0</v>
      </c>
      <c r="M18" s="49">
        <f>AVERAGE('17.10 MADDU-KANONI'!M18,'18.10 MADDU-KANONI-24h'!M18,'19.10 MADDU-KANONI-24h'!M18,'20.10 MADDU-KANONI'!M18,'21.10 MADDU-KANONI'!M18,'22.10 MADDU-KANONI'!M18,'23.10 MADDU-KANONI'!M18)</f>
        <v>10.857142857142858</v>
      </c>
      <c r="N18" s="49">
        <f>AVERAGE('17.10 MADDU-KANONI'!N18,'18.10 MADDU-KANONI-24h'!N18,'19.10 MADDU-KANONI-24h'!N18,'20.10 MADDU-KANONI'!N18,'21.10 MADDU-KANONI'!N18,'22.10 MADDU-KANONI'!N18,'23.10 MADDU-KANONI'!N18)</f>
        <v>0</v>
      </c>
      <c r="O18" s="15">
        <f t="shared" si="0"/>
        <v>3.285714285714286</v>
      </c>
      <c r="P18" s="15">
        <f t="shared" si="1"/>
        <v>14.142857142857144</v>
      </c>
      <c r="R18" s="1" t="s">
        <v>14</v>
      </c>
      <c r="S18" s="17">
        <f t="shared" ref="S18:AF18" si="10">SUM(C42:C45)</f>
        <v>7.1428571428571423</v>
      </c>
      <c r="T18" s="17">
        <f t="shared" si="10"/>
        <v>4.5714285714285712</v>
      </c>
      <c r="U18" s="17">
        <f t="shared" si="10"/>
        <v>1.7142857142857142</v>
      </c>
      <c r="V18" s="17">
        <f t="shared" si="10"/>
        <v>7.4285714285714288</v>
      </c>
      <c r="W18" s="17">
        <f t="shared" si="10"/>
        <v>0.14285714285714285</v>
      </c>
      <c r="X18" s="17">
        <f t="shared" si="10"/>
        <v>0</v>
      </c>
      <c r="Y18" s="17">
        <f t="shared" si="10"/>
        <v>2.1428571428571423</v>
      </c>
      <c r="Z18" s="17">
        <f t="shared" si="10"/>
        <v>0.8571428571428571</v>
      </c>
      <c r="AA18" s="17">
        <f t="shared" si="10"/>
        <v>0.8571428571428571</v>
      </c>
      <c r="AB18" s="17">
        <f t="shared" si="10"/>
        <v>0</v>
      </c>
      <c r="AC18" s="17">
        <f t="shared" si="10"/>
        <v>43.857142857142861</v>
      </c>
      <c r="AD18" s="17">
        <f t="shared" si="10"/>
        <v>0</v>
      </c>
      <c r="AE18" s="31">
        <f t="shared" si="10"/>
        <v>24.857142857142854</v>
      </c>
      <c r="AF18" s="31">
        <f t="shared" si="10"/>
        <v>68.714285714285708</v>
      </c>
    </row>
    <row r="19" spans="2:32" ht="23.1" customHeight="1" x14ac:dyDescent="0.25">
      <c r="B19" s="23" t="s">
        <v>46</v>
      </c>
      <c r="C19" s="49">
        <f>AVERAGE('17.10 MADDU-KANONI'!C19,'18.10 MADDU-KANONI-24h'!C19,'19.10 MADDU-KANONI-24h'!C19,'20.10 MADDU-KANONI'!C19,'21.10 MADDU-KANONI'!C19,'22.10 MADDU-KANONI'!C19,'23.10 MADDU-KANONI'!C19)</f>
        <v>1.2857142857142858</v>
      </c>
      <c r="D19" s="49">
        <f>AVERAGE('17.10 MADDU-KANONI'!D19,'18.10 MADDU-KANONI-24h'!D19,'19.10 MADDU-KANONI-24h'!D19,'20.10 MADDU-KANONI'!D19,'21.10 MADDU-KANONI'!D19,'22.10 MADDU-KANONI'!D19,'23.10 MADDU-KANONI'!D19)</f>
        <v>0.42857142857142855</v>
      </c>
      <c r="E19" s="49">
        <f>AVERAGE('17.10 MADDU-KANONI'!E19,'18.10 MADDU-KANONI-24h'!E19,'19.10 MADDU-KANONI-24h'!E19,'20.10 MADDU-KANONI'!E19,'21.10 MADDU-KANONI'!E19,'22.10 MADDU-KANONI'!E19,'23.10 MADDU-KANONI'!E19)</f>
        <v>0.42857142857142855</v>
      </c>
      <c r="F19" s="49">
        <f>AVERAGE('17.10 MADDU-KANONI'!F19,'18.10 MADDU-KANONI-24h'!F19,'19.10 MADDU-KANONI-24h'!F19,'20.10 MADDU-KANONI'!F19,'21.10 MADDU-KANONI'!F19,'22.10 MADDU-KANONI'!F19,'23.10 MADDU-KANONI'!F19)</f>
        <v>2.5714285714285716</v>
      </c>
      <c r="G19" s="49">
        <f>AVERAGE('17.10 MADDU-KANONI'!G19,'18.10 MADDU-KANONI-24h'!G19,'19.10 MADDU-KANONI-24h'!G19,'20.10 MADDU-KANONI'!G19,'21.10 MADDU-KANONI'!G19,'22.10 MADDU-KANONI'!G19,'23.10 MADDU-KANONI'!G19)</f>
        <v>0</v>
      </c>
      <c r="H19" s="49">
        <f>AVERAGE('17.10 MADDU-KANONI'!H19,'18.10 MADDU-KANONI-24h'!H19,'19.10 MADDU-KANONI-24h'!H19,'20.10 MADDU-KANONI'!H19,'21.10 MADDU-KANONI'!H19,'22.10 MADDU-KANONI'!H19,'23.10 MADDU-KANONI'!H19)</f>
        <v>0</v>
      </c>
      <c r="I19" s="49">
        <f>AVERAGE('17.10 MADDU-KANONI'!I19,'18.10 MADDU-KANONI-24h'!I19,'19.10 MADDU-KANONI-24h'!I19,'20.10 MADDU-KANONI'!I19,'21.10 MADDU-KANONI'!I19,'22.10 MADDU-KANONI'!I19,'23.10 MADDU-KANONI'!I19)</f>
        <v>0.5714285714285714</v>
      </c>
      <c r="J19" s="49">
        <f>AVERAGE('17.10 MADDU-KANONI'!J19,'18.10 MADDU-KANONI-24h'!J19,'19.10 MADDU-KANONI-24h'!J19,'20.10 MADDU-KANONI'!J19,'21.10 MADDU-KANONI'!J19,'22.10 MADDU-KANONI'!J19,'23.10 MADDU-KANONI'!J19)</f>
        <v>0.42857142857142855</v>
      </c>
      <c r="K19" s="49">
        <f>AVERAGE('17.10 MADDU-KANONI'!K19,'18.10 MADDU-KANONI-24h'!K19,'19.10 MADDU-KANONI-24h'!K19,'20.10 MADDU-KANONI'!K19,'21.10 MADDU-KANONI'!K19,'22.10 MADDU-KANONI'!K19,'23.10 MADDU-KANONI'!K19)</f>
        <v>0</v>
      </c>
      <c r="L19" s="49">
        <f>AVERAGE('17.10 MADDU-KANONI'!L19,'18.10 MADDU-KANONI-24h'!L19,'19.10 MADDU-KANONI-24h'!L19,'20.10 MADDU-KANONI'!L19,'21.10 MADDU-KANONI'!L19,'22.10 MADDU-KANONI'!L19,'23.10 MADDU-KANONI'!L19)</f>
        <v>0</v>
      </c>
      <c r="M19" s="49">
        <f>AVERAGE('17.10 MADDU-KANONI'!M19,'18.10 MADDU-KANONI-24h'!M19,'19.10 MADDU-KANONI-24h'!M19,'20.10 MADDU-KANONI'!M19,'21.10 MADDU-KANONI'!M19,'22.10 MADDU-KANONI'!M19,'23.10 MADDU-KANONI'!M19)</f>
        <v>9.4285714285714288</v>
      </c>
      <c r="N19" s="49">
        <f>AVERAGE('17.10 MADDU-KANONI'!N19,'18.10 MADDU-KANONI-24h'!N19,'19.10 MADDU-KANONI-24h'!N19,'20.10 MADDU-KANONI'!N19,'21.10 MADDU-KANONI'!N19,'22.10 MADDU-KANONI'!N19,'23.10 MADDU-KANONI'!N19)</f>
        <v>0</v>
      </c>
      <c r="O19" s="15">
        <f t="shared" si="0"/>
        <v>5.7142857142857144</v>
      </c>
      <c r="P19" s="15">
        <f t="shared" si="1"/>
        <v>15.142857142857142</v>
      </c>
      <c r="R19" s="1" t="s">
        <v>15</v>
      </c>
      <c r="S19" s="17">
        <f t="shared" ref="S19:AF19" si="11">SUM(C46:C49)</f>
        <v>8.2857142857142847</v>
      </c>
      <c r="T19" s="17">
        <f t="shared" si="11"/>
        <v>4.2857142857142856</v>
      </c>
      <c r="U19" s="17">
        <f t="shared" si="11"/>
        <v>4.2857142857142856</v>
      </c>
      <c r="V19" s="17">
        <f t="shared" si="11"/>
        <v>7.1428571428571423</v>
      </c>
      <c r="W19" s="17">
        <f t="shared" si="11"/>
        <v>0.2857142857142857</v>
      </c>
      <c r="X19" s="17">
        <f t="shared" si="11"/>
        <v>0.14285714285714285</v>
      </c>
      <c r="Y19" s="17">
        <f t="shared" si="11"/>
        <v>3.2857142857142856</v>
      </c>
      <c r="Z19" s="17">
        <f t="shared" si="11"/>
        <v>1</v>
      </c>
      <c r="AA19" s="17">
        <f t="shared" si="11"/>
        <v>0.42857142857142855</v>
      </c>
      <c r="AB19" s="17">
        <f t="shared" si="11"/>
        <v>0</v>
      </c>
      <c r="AC19" s="17">
        <f t="shared" si="11"/>
        <v>52.142857142857146</v>
      </c>
      <c r="AD19" s="17">
        <f t="shared" si="11"/>
        <v>0</v>
      </c>
      <c r="AE19" s="31">
        <f t="shared" si="11"/>
        <v>29.142857142857146</v>
      </c>
      <c r="AF19" s="31">
        <f t="shared" si="11"/>
        <v>81.285714285714292</v>
      </c>
    </row>
    <row r="20" spans="2:32" ht="23.1" customHeight="1" x14ac:dyDescent="0.25">
      <c r="B20" s="23" t="s">
        <v>47</v>
      </c>
      <c r="C20" s="49">
        <f>AVERAGE('17.10 MADDU-KANONI'!C20,'18.10 MADDU-KANONI-24h'!C20,'19.10 MADDU-KANONI-24h'!C20,'20.10 MADDU-KANONI'!C20,'21.10 MADDU-KANONI'!C20,'22.10 MADDU-KANONI'!C20,'23.10 MADDU-KANONI'!C20)</f>
        <v>1.1428571428571428</v>
      </c>
      <c r="D20" s="49">
        <f>AVERAGE('17.10 MADDU-KANONI'!D20,'18.10 MADDU-KANONI-24h'!D20,'19.10 MADDU-KANONI-24h'!D20,'20.10 MADDU-KANONI'!D20,'21.10 MADDU-KANONI'!D20,'22.10 MADDU-KANONI'!D20,'23.10 MADDU-KANONI'!D20)</f>
        <v>0.2857142857142857</v>
      </c>
      <c r="E20" s="49">
        <f>AVERAGE('17.10 MADDU-KANONI'!E20,'18.10 MADDU-KANONI-24h'!E20,'19.10 MADDU-KANONI-24h'!E20,'20.10 MADDU-KANONI'!E20,'21.10 MADDU-KANONI'!E20,'22.10 MADDU-KANONI'!E20,'23.10 MADDU-KANONI'!E20)</f>
        <v>0.5714285714285714</v>
      </c>
      <c r="F20" s="49">
        <f>AVERAGE('17.10 MADDU-KANONI'!F20,'18.10 MADDU-KANONI-24h'!F20,'19.10 MADDU-KANONI-24h'!F20,'20.10 MADDU-KANONI'!F20,'21.10 MADDU-KANONI'!F20,'22.10 MADDU-KANONI'!F20,'23.10 MADDU-KANONI'!F20)</f>
        <v>2.7142857142857144</v>
      </c>
      <c r="G20" s="49">
        <f>AVERAGE('17.10 MADDU-KANONI'!G20,'18.10 MADDU-KANONI-24h'!G20,'19.10 MADDU-KANONI-24h'!G20,'20.10 MADDU-KANONI'!G20,'21.10 MADDU-KANONI'!G20,'22.10 MADDU-KANONI'!G20,'23.10 MADDU-KANONI'!G20)</f>
        <v>0</v>
      </c>
      <c r="H20" s="49">
        <f>AVERAGE('17.10 MADDU-KANONI'!H20,'18.10 MADDU-KANONI-24h'!H20,'19.10 MADDU-KANONI-24h'!H20,'20.10 MADDU-KANONI'!H20,'21.10 MADDU-KANONI'!H20,'22.10 MADDU-KANONI'!H20,'23.10 MADDU-KANONI'!H20)</f>
        <v>0</v>
      </c>
      <c r="I20" s="49">
        <f>AVERAGE('17.10 MADDU-KANONI'!I20,'18.10 MADDU-KANONI-24h'!I20,'19.10 MADDU-KANONI-24h'!I20,'20.10 MADDU-KANONI'!I20,'21.10 MADDU-KANONI'!I20,'22.10 MADDU-KANONI'!I20,'23.10 MADDU-KANONI'!I20)</f>
        <v>0</v>
      </c>
      <c r="J20" s="49">
        <f>AVERAGE('17.10 MADDU-KANONI'!J20,'18.10 MADDU-KANONI-24h'!J20,'19.10 MADDU-KANONI-24h'!J20,'20.10 MADDU-KANONI'!J20,'21.10 MADDU-KANONI'!J20,'22.10 MADDU-KANONI'!J20,'23.10 MADDU-KANONI'!J20)</f>
        <v>0.14285714285714285</v>
      </c>
      <c r="K20" s="49">
        <f>AVERAGE('17.10 MADDU-KANONI'!K20,'18.10 MADDU-KANONI-24h'!K20,'19.10 MADDU-KANONI-24h'!K20,'20.10 MADDU-KANONI'!K20,'21.10 MADDU-KANONI'!K20,'22.10 MADDU-KANONI'!K20,'23.10 MADDU-KANONI'!K20)</f>
        <v>0.14285714285714285</v>
      </c>
      <c r="L20" s="49">
        <f>AVERAGE('17.10 MADDU-KANONI'!L20,'18.10 MADDU-KANONI-24h'!L20,'19.10 MADDU-KANONI-24h'!L20,'20.10 MADDU-KANONI'!L20,'21.10 MADDU-KANONI'!L20,'22.10 MADDU-KANONI'!L20,'23.10 MADDU-KANONI'!L20)</f>
        <v>0</v>
      </c>
      <c r="M20" s="49">
        <f>AVERAGE('17.10 MADDU-KANONI'!M20,'18.10 MADDU-KANONI-24h'!M20,'19.10 MADDU-KANONI-24h'!M20,'20.10 MADDU-KANONI'!M20,'21.10 MADDU-KANONI'!M20,'22.10 MADDU-KANONI'!M20,'23.10 MADDU-KANONI'!M20)</f>
        <v>8.4285714285714288</v>
      </c>
      <c r="N20" s="49">
        <f>AVERAGE('17.10 MADDU-KANONI'!N20,'18.10 MADDU-KANONI-24h'!N20,'19.10 MADDU-KANONI-24h'!N20,'20.10 MADDU-KANONI'!N20,'21.10 MADDU-KANONI'!N20,'22.10 MADDU-KANONI'!N20,'23.10 MADDU-KANONI'!N20)</f>
        <v>0</v>
      </c>
      <c r="O20" s="15">
        <f t="shared" si="0"/>
        <v>5.0000000000000009</v>
      </c>
      <c r="P20" s="15">
        <f t="shared" si="1"/>
        <v>13.428571428571431</v>
      </c>
      <c r="R20" s="1" t="s">
        <v>16</v>
      </c>
      <c r="S20" s="17">
        <f t="shared" ref="S20:AF20" si="12">SUM(C50:C53)</f>
        <v>9</v>
      </c>
      <c r="T20" s="17">
        <f t="shared" si="12"/>
        <v>4.4285714285714288</v>
      </c>
      <c r="U20" s="17">
        <f t="shared" si="12"/>
        <v>2.5714285714285716</v>
      </c>
      <c r="V20" s="17">
        <f t="shared" si="12"/>
        <v>10.428571428571429</v>
      </c>
      <c r="W20" s="17">
        <f t="shared" si="12"/>
        <v>0.42857142857142855</v>
      </c>
      <c r="X20" s="17">
        <f t="shared" si="12"/>
        <v>0</v>
      </c>
      <c r="Y20" s="17">
        <f t="shared" si="12"/>
        <v>1.9999999999999998</v>
      </c>
      <c r="Z20" s="17">
        <f t="shared" si="12"/>
        <v>1.2857142857142856</v>
      </c>
      <c r="AA20" s="17">
        <f t="shared" si="12"/>
        <v>0.8571428571428571</v>
      </c>
      <c r="AB20" s="17">
        <f t="shared" si="12"/>
        <v>0.14285714285714285</v>
      </c>
      <c r="AC20" s="17">
        <f t="shared" si="12"/>
        <v>54.428571428571431</v>
      </c>
      <c r="AD20" s="17">
        <f t="shared" si="12"/>
        <v>0</v>
      </c>
      <c r="AE20" s="31">
        <f t="shared" si="12"/>
        <v>31.142857142857139</v>
      </c>
      <c r="AF20" s="31">
        <f t="shared" si="12"/>
        <v>85.571428571428569</v>
      </c>
    </row>
    <row r="21" spans="2:32" ht="23.1" customHeight="1" x14ac:dyDescent="0.25">
      <c r="B21" s="23" t="s">
        <v>48</v>
      </c>
      <c r="C21" s="49">
        <f>AVERAGE('17.10 MADDU-KANONI'!C21,'18.10 MADDU-KANONI-24h'!C21,'19.10 MADDU-KANONI-24h'!C21,'20.10 MADDU-KANONI'!C21,'21.10 MADDU-KANONI'!C21,'22.10 MADDU-KANONI'!C21,'23.10 MADDU-KANONI'!C21)</f>
        <v>1.2857142857142858</v>
      </c>
      <c r="D21" s="49">
        <f>AVERAGE('17.10 MADDU-KANONI'!D21,'18.10 MADDU-KANONI-24h'!D21,'19.10 MADDU-KANONI-24h'!D21,'20.10 MADDU-KANONI'!D21,'21.10 MADDU-KANONI'!D21,'22.10 MADDU-KANONI'!D21,'23.10 MADDU-KANONI'!D21)</f>
        <v>0.14285714285714285</v>
      </c>
      <c r="E21" s="49">
        <f>AVERAGE('17.10 MADDU-KANONI'!E21,'18.10 MADDU-KANONI-24h'!E21,'19.10 MADDU-KANONI-24h'!E21,'20.10 MADDU-KANONI'!E21,'21.10 MADDU-KANONI'!E21,'22.10 MADDU-KANONI'!E21,'23.10 MADDU-KANONI'!E21)</f>
        <v>1</v>
      </c>
      <c r="F21" s="49">
        <f>AVERAGE('17.10 MADDU-KANONI'!F21,'18.10 MADDU-KANONI-24h'!F21,'19.10 MADDU-KANONI-24h'!F21,'20.10 MADDU-KANONI'!F21,'21.10 MADDU-KANONI'!F21,'22.10 MADDU-KANONI'!F21,'23.10 MADDU-KANONI'!F21)</f>
        <v>2.2857142857142856</v>
      </c>
      <c r="G21" s="49">
        <f>AVERAGE('17.10 MADDU-KANONI'!G21,'18.10 MADDU-KANONI-24h'!G21,'19.10 MADDU-KANONI-24h'!G21,'20.10 MADDU-KANONI'!G21,'21.10 MADDU-KANONI'!G21,'22.10 MADDU-KANONI'!G21,'23.10 MADDU-KANONI'!G21)</f>
        <v>0</v>
      </c>
      <c r="H21" s="49">
        <f>AVERAGE('17.10 MADDU-KANONI'!H21,'18.10 MADDU-KANONI-24h'!H21,'19.10 MADDU-KANONI-24h'!H21,'20.10 MADDU-KANONI'!H21,'21.10 MADDU-KANONI'!H21,'22.10 MADDU-KANONI'!H21,'23.10 MADDU-KANONI'!H21)</f>
        <v>0</v>
      </c>
      <c r="I21" s="49">
        <f>AVERAGE('17.10 MADDU-KANONI'!I21,'18.10 MADDU-KANONI-24h'!I21,'19.10 MADDU-KANONI-24h'!I21,'20.10 MADDU-KANONI'!I21,'21.10 MADDU-KANONI'!I21,'22.10 MADDU-KANONI'!I21,'23.10 MADDU-KANONI'!I21)</f>
        <v>0</v>
      </c>
      <c r="J21" s="49">
        <f>AVERAGE('17.10 MADDU-KANONI'!J21,'18.10 MADDU-KANONI-24h'!J21,'19.10 MADDU-KANONI-24h'!J21,'20.10 MADDU-KANONI'!J21,'21.10 MADDU-KANONI'!J21,'22.10 MADDU-KANONI'!J21,'23.10 MADDU-KANONI'!J21)</f>
        <v>0.14285714285714285</v>
      </c>
      <c r="K21" s="49">
        <f>AVERAGE('17.10 MADDU-KANONI'!K21,'18.10 MADDU-KANONI-24h'!K21,'19.10 MADDU-KANONI-24h'!K21,'20.10 MADDU-KANONI'!K21,'21.10 MADDU-KANONI'!K21,'22.10 MADDU-KANONI'!K21,'23.10 MADDU-KANONI'!K21)</f>
        <v>0</v>
      </c>
      <c r="L21" s="49">
        <f>AVERAGE('17.10 MADDU-KANONI'!L21,'18.10 MADDU-KANONI-24h'!L21,'19.10 MADDU-KANONI-24h'!L21,'20.10 MADDU-KANONI'!L21,'21.10 MADDU-KANONI'!L21,'22.10 MADDU-KANONI'!L21,'23.10 MADDU-KANONI'!L21)</f>
        <v>0</v>
      </c>
      <c r="M21" s="49">
        <f>AVERAGE('17.10 MADDU-KANONI'!M21,'18.10 MADDU-KANONI-24h'!M21,'19.10 MADDU-KANONI-24h'!M21,'20.10 MADDU-KANONI'!M21,'21.10 MADDU-KANONI'!M21,'22.10 MADDU-KANONI'!M21,'23.10 MADDU-KANONI'!M21)</f>
        <v>8.1428571428571423</v>
      </c>
      <c r="N21" s="49">
        <f>AVERAGE('17.10 MADDU-KANONI'!N21,'18.10 MADDU-KANONI-24h'!N21,'19.10 MADDU-KANONI-24h'!N21,'20.10 MADDU-KANONI'!N21,'21.10 MADDU-KANONI'!N21,'22.10 MADDU-KANONI'!N21,'23.10 MADDU-KANONI'!N21)</f>
        <v>0</v>
      </c>
      <c r="O21" s="15">
        <f t="shared" si="0"/>
        <v>4.8571428571428577</v>
      </c>
      <c r="P21" s="15">
        <f t="shared" si="1"/>
        <v>13</v>
      </c>
      <c r="R21" s="36" t="s">
        <v>20</v>
      </c>
      <c r="S21" s="34">
        <f t="shared" ref="S21:AF21" si="13">SUM(C54:C57)</f>
        <v>10.857142857142858</v>
      </c>
      <c r="T21" s="17">
        <f t="shared" si="13"/>
        <v>4.8571428571428577</v>
      </c>
      <c r="U21" s="17">
        <f t="shared" si="13"/>
        <v>4.1428571428571423</v>
      </c>
      <c r="V21" s="17">
        <f t="shared" si="13"/>
        <v>8.2857142857142865</v>
      </c>
      <c r="W21" s="17">
        <f t="shared" si="13"/>
        <v>0.14285714285714285</v>
      </c>
      <c r="X21" s="17">
        <f t="shared" si="13"/>
        <v>0</v>
      </c>
      <c r="Y21" s="17">
        <f t="shared" si="13"/>
        <v>2.1428571428571428</v>
      </c>
      <c r="Z21" s="17">
        <f t="shared" si="13"/>
        <v>0.85714285714285698</v>
      </c>
      <c r="AA21" s="17">
        <f t="shared" si="13"/>
        <v>1</v>
      </c>
      <c r="AB21" s="17">
        <f t="shared" si="13"/>
        <v>0.14285714285714285</v>
      </c>
      <c r="AC21" s="17">
        <f t="shared" si="13"/>
        <v>43.714285714285708</v>
      </c>
      <c r="AD21" s="17">
        <f t="shared" si="13"/>
        <v>0</v>
      </c>
      <c r="AE21" s="31">
        <f t="shared" si="13"/>
        <v>32.428571428571431</v>
      </c>
      <c r="AF21" s="31">
        <f t="shared" si="13"/>
        <v>76.142857142857139</v>
      </c>
    </row>
    <row r="22" spans="2:32" ht="23.1" customHeight="1" x14ac:dyDescent="0.25">
      <c r="B22" s="23" t="s">
        <v>49</v>
      </c>
      <c r="C22" s="49">
        <f>AVERAGE('17.10 MADDU-KANONI'!C22,'18.10 MADDU-KANONI-24h'!C22,'19.10 MADDU-KANONI-24h'!C22,'20.10 MADDU-KANONI'!C22,'21.10 MADDU-KANONI'!C22,'22.10 MADDU-KANONI'!C22,'23.10 MADDU-KANONI'!C22)</f>
        <v>0.8571428571428571</v>
      </c>
      <c r="D22" s="49">
        <f>AVERAGE('17.10 MADDU-KANONI'!D22,'18.10 MADDU-KANONI-24h'!D22,'19.10 MADDU-KANONI-24h'!D22,'20.10 MADDU-KANONI'!D22,'21.10 MADDU-KANONI'!D22,'22.10 MADDU-KANONI'!D22,'23.10 MADDU-KANONI'!D22)</f>
        <v>0.7142857142857143</v>
      </c>
      <c r="E22" s="49">
        <f>AVERAGE('17.10 MADDU-KANONI'!E22,'18.10 MADDU-KANONI-24h'!E22,'19.10 MADDU-KANONI-24h'!E22,'20.10 MADDU-KANONI'!E22,'21.10 MADDU-KANONI'!E22,'22.10 MADDU-KANONI'!E22,'23.10 MADDU-KANONI'!E22)</f>
        <v>0.7142857142857143</v>
      </c>
      <c r="F22" s="49">
        <f>AVERAGE('17.10 MADDU-KANONI'!F22,'18.10 MADDU-KANONI-24h'!F22,'19.10 MADDU-KANONI-24h'!F22,'20.10 MADDU-KANONI'!F22,'21.10 MADDU-KANONI'!F22,'22.10 MADDU-KANONI'!F22,'23.10 MADDU-KANONI'!F22)</f>
        <v>2.2857142857142856</v>
      </c>
      <c r="G22" s="49">
        <f>AVERAGE('17.10 MADDU-KANONI'!G22,'18.10 MADDU-KANONI-24h'!G22,'19.10 MADDU-KANONI-24h'!G22,'20.10 MADDU-KANONI'!G22,'21.10 MADDU-KANONI'!G22,'22.10 MADDU-KANONI'!G22,'23.10 MADDU-KANONI'!G22)</f>
        <v>0</v>
      </c>
      <c r="H22" s="49">
        <f>AVERAGE('17.10 MADDU-KANONI'!H22,'18.10 MADDU-KANONI-24h'!H22,'19.10 MADDU-KANONI-24h'!H22,'20.10 MADDU-KANONI'!H22,'21.10 MADDU-KANONI'!H22,'22.10 MADDU-KANONI'!H22,'23.10 MADDU-KANONI'!H22)</f>
        <v>0</v>
      </c>
      <c r="I22" s="49">
        <f>AVERAGE('17.10 MADDU-KANONI'!I22,'18.10 MADDU-KANONI-24h'!I22,'19.10 MADDU-KANONI-24h'!I22,'20.10 MADDU-KANONI'!I22,'21.10 MADDU-KANONI'!I22,'22.10 MADDU-KANONI'!I22,'23.10 MADDU-KANONI'!I22)</f>
        <v>0.42857142857142855</v>
      </c>
      <c r="J22" s="49">
        <f>AVERAGE('17.10 MADDU-KANONI'!J22,'18.10 MADDU-KANONI-24h'!J22,'19.10 MADDU-KANONI-24h'!J22,'20.10 MADDU-KANONI'!J22,'21.10 MADDU-KANONI'!J22,'22.10 MADDU-KANONI'!J22,'23.10 MADDU-KANONI'!J22)</f>
        <v>0.2857142857142857</v>
      </c>
      <c r="K22" s="49">
        <f>AVERAGE('17.10 MADDU-KANONI'!K22,'18.10 MADDU-KANONI-24h'!K22,'19.10 MADDU-KANONI-24h'!K22,'20.10 MADDU-KANONI'!K22,'21.10 MADDU-KANONI'!K22,'22.10 MADDU-KANONI'!K22,'23.10 MADDU-KANONI'!K22)</f>
        <v>0.14285714285714285</v>
      </c>
      <c r="L22" s="49">
        <f>AVERAGE('17.10 MADDU-KANONI'!L22,'18.10 MADDU-KANONI-24h'!L22,'19.10 MADDU-KANONI-24h'!L22,'20.10 MADDU-KANONI'!L22,'21.10 MADDU-KANONI'!L22,'22.10 MADDU-KANONI'!L22,'23.10 MADDU-KANONI'!L22)</f>
        <v>0</v>
      </c>
      <c r="M22" s="49">
        <f>AVERAGE('17.10 MADDU-KANONI'!M22,'18.10 MADDU-KANONI-24h'!M22,'19.10 MADDU-KANONI-24h'!M22,'20.10 MADDU-KANONI'!M22,'21.10 MADDU-KANONI'!M22,'22.10 MADDU-KANONI'!M22,'23.10 MADDU-KANONI'!M22)</f>
        <v>10.285714285714286</v>
      </c>
      <c r="N22" s="49">
        <f>AVERAGE('17.10 MADDU-KANONI'!N22,'18.10 MADDU-KANONI-24h'!N22,'19.10 MADDU-KANONI-24h'!N22,'20.10 MADDU-KANONI'!N22,'21.10 MADDU-KANONI'!N22,'22.10 MADDU-KANONI'!N22,'23.10 MADDU-KANONI'!N22)</f>
        <v>0</v>
      </c>
      <c r="O22" s="15">
        <f t="shared" si="0"/>
        <v>5.4285714285714288</v>
      </c>
      <c r="P22" s="15">
        <f t="shared" si="1"/>
        <v>15.714285714285715</v>
      </c>
      <c r="R22" s="1" t="s">
        <v>146</v>
      </c>
      <c r="S22" s="34">
        <f>SUM(C58:C61)</f>
        <v>13.5</v>
      </c>
      <c r="T22" s="34">
        <f t="shared" ref="T22:AF22" si="14">SUM(D58:D61)</f>
        <v>7</v>
      </c>
      <c r="U22" s="34">
        <f t="shared" si="14"/>
        <v>2</v>
      </c>
      <c r="V22" s="34">
        <f t="shared" si="14"/>
        <v>3.5</v>
      </c>
      <c r="W22" s="34">
        <f t="shared" si="14"/>
        <v>0</v>
      </c>
      <c r="X22" s="34">
        <f t="shared" si="14"/>
        <v>0</v>
      </c>
      <c r="Y22" s="34">
        <f t="shared" si="14"/>
        <v>4.5</v>
      </c>
      <c r="Z22" s="34">
        <f t="shared" si="14"/>
        <v>4.5</v>
      </c>
      <c r="AA22" s="34">
        <f t="shared" si="14"/>
        <v>0</v>
      </c>
      <c r="AB22" s="34">
        <f t="shared" si="14"/>
        <v>0</v>
      </c>
      <c r="AC22" s="34">
        <f t="shared" si="14"/>
        <v>44.5</v>
      </c>
      <c r="AD22" s="34">
        <f t="shared" si="14"/>
        <v>0</v>
      </c>
      <c r="AE22" s="31">
        <f t="shared" si="14"/>
        <v>35</v>
      </c>
      <c r="AF22" s="31">
        <f t="shared" si="14"/>
        <v>79.5</v>
      </c>
    </row>
    <row r="23" spans="2:32" ht="23.1" customHeight="1" x14ac:dyDescent="0.25">
      <c r="B23" s="23" t="s">
        <v>50</v>
      </c>
      <c r="C23" s="49">
        <f>AVERAGE('17.10 MADDU-KANONI'!C23,'18.10 MADDU-KANONI-24h'!C23,'19.10 MADDU-KANONI-24h'!C23,'20.10 MADDU-KANONI'!C23,'21.10 MADDU-KANONI'!C23,'22.10 MADDU-KANONI'!C23,'23.10 MADDU-KANONI'!C23)</f>
        <v>1.8571428571428572</v>
      </c>
      <c r="D23" s="49">
        <f>AVERAGE('17.10 MADDU-KANONI'!D23,'18.10 MADDU-KANONI-24h'!D23,'19.10 MADDU-KANONI-24h'!D23,'20.10 MADDU-KANONI'!D23,'21.10 MADDU-KANONI'!D23,'22.10 MADDU-KANONI'!D23,'23.10 MADDU-KANONI'!D23)</f>
        <v>0.2857142857142857</v>
      </c>
      <c r="E23" s="49">
        <f>AVERAGE('17.10 MADDU-KANONI'!E23,'18.10 MADDU-KANONI-24h'!E23,'19.10 MADDU-KANONI-24h'!E23,'20.10 MADDU-KANONI'!E23,'21.10 MADDU-KANONI'!E23,'22.10 MADDU-KANONI'!E23,'23.10 MADDU-KANONI'!E23)</f>
        <v>0.5714285714285714</v>
      </c>
      <c r="F23" s="49">
        <f>AVERAGE('17.10 MADDU-KANONI'!F23,'18.10 MADDU-KANONI-24h'!F23,'19.10 MADDU-KANONI-24h'!F23,'20.10 MADDU-KANONI'!F23,'21.10 MADDU-KANONI'!F23,'22.10 MADDU-KANONI'!F23,'23.10 MADDU-KANONI'!F23)</f>
        <v>2.5714285714285716</v>
      </c>
      <c r="G23" s="49">
        <f>AVERAGE('17.10 MADDU-KANONI'!G23,'18.10 MADDU-KANONI-24h'!G23,'19.10 MADDU-KANONI-24h'!G23,'20.10 MADDU-KANONI'!G23,'21.10 MADDU-KANONI'!G23,'22.10 MADDU-KANONI'!G23,'23.10 MADDU-KANONI'!G23)</f>
        <v>0</v>
      </c>
      <c r="H23" s="49">
        <f>AVERAGE('17.10 MADDU-KANONI'!H23,'18.10 MADDU-KANONI-24h'!H23,'19.10 MADDU-KANONI-24h'!H23,'20.10 MADDU-KANONI'!H23,'21.10 MADDU-KANONI'!H23,'22.10 MADDU-KANONI'!H23,'23.10 MADDU-KANONI'!H23)</f>
        <v>0</v>
      </c>
      <c r="I23" s="49">
        <f>AVERAGE('17.10 MADDU-KANONI'!I23,'18.10 MADDU-KANONI-24h'!I23,'19.10 MADDU-KANONI-24h'!I23,'20.10 MADDU-KANONI'!I23,'21.10 MADDU-KANONI'!I23,'22.10 MADDU-KANONI'!I23,'23.10 MADDU-KANONI'!I23)</f>
        <v>0.42857142857142855</v>
      </c>
      <c r="J23" s="49">
        <f>AVERAGE('17.10 MADDU-KANONI'!J23,'18.10 MADDU-KANONI-24h'!J23,'19.10 MADDU-KANONI-24h'!J23,'20.10 MADDU-KANONI'!J23,'21.10 MADDU-KANONI'!J23,'22.10 MADDU-KANONI'!J23,'23.10 MADDU-KANONI'!J23)</f>
        <v>0</v>
      </c>
      <c r="K23" s="49">
        <f>AVERAGE('17.10 MADDU-KANONI'!K23,'18.10 MADDU-KANONI-24h'!K23,'19.10 MADDU-KANONI-24h'!K23,'20.10 MADDU-KANONI'!K23,'21.10 MADDU-KANONI'!K23,'22.10 MADDU-KANONI'!K23,'23.10 MADDU-KANONI'!K23)</f>
        <v>0</v>
      </c>
      <c r="L23" s="49">
        <f>AVERAGE('17.10 MADDU-KANONI'!L23,'18.10 MADDU-KANONI-24h'!L23,'19.10 MADDU-KANONI-24h'!L23,'20.10 MADDU-KANONI'!L23,'21.10 MADDU-KANONI'!L23,'22.10 MADDU-KANONI'!L23,'23.10 MADDU-KANONI'!L23)</f>
        <v>0</v>
      </c>
      <c r="M23" s="49">
        <f>AVERAGE('17.10 MADDU-KANONI'!M23,'18.10 MADDU-KANONI-24h'!M23,'19.10 MADDU-KANONI-24h'!M23,'20.10 MADDU-KANONI'!M23,'21.10 MADDU-KANONI'!M23,'22.10 MADDU-KANONI'!M23,'23.10 MADDU-KANONI'!M23)</f>
        <v>9.8571428571428577</v>
      </c>
      <c r="N23" s="49">
        <f>AVERAGE('17.10 MADDU-KANONI'!N23,'18.10 MADDU-KANONI-24h'!N23,'19.10 MADDU-KANONI-24h'!N23,'20.10 MADDU-KANONI'!N23,'21.10 MADDU-KANONI'!N23,'22.10 MADDU-KANONI'!N23,'23.10 MADDU-KANONI'!N23)</f>
        <v>0</v>
      </c>
      <c r="O23" s="15">
        <f t="shared" si="0"/>
        <v>5.7142857142857153</v>
      </c>
      <c r="P23" s="15">
        <f t="shared" si="1"/>
        <v>15.571428571428573</v>
      </c>
      <c r="R23" s="1" t="s">
        <v>147</v>
      </c>
      <c r="S23" s="34">
        <f>SUM(C62:C65)</f>
        <v>10</v>
      </c>
      <c r="T23" s="34">
        <f t="shared" ref="T23:AF23" si="15">SUM(D62:D65)</f>
        <v>1.5</v>
      </c>
      <c r="U23" s="34">
        <f t="shared" si="15"/>
        <v>0.5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6</v>
      </c>
      <c r="AA23" s="34">
        <f t="shared" si="15"/>
        <v>0.5</v>
      </c>
      <c r="AB23" s="34">
        <f t="shared" si="15"/>
        <v>0</v>
      </c>
      <c r="AC23" s="34">
        <f t="shared" si="15"/>
        <v>23.5</v>
      </c>
      <c r="AD23" s="34">
        <f t="shared" si="15"/>
        <v>0</v>
      </c>
      <c r="AE23" s="31">
        <f t="shared" si="15"/>
        <v>23.5</v>
      </c>
      <c r="AF23" s="31">
        <f t="shared" si="15"/>
        <v>47</v>
      </c>
    </row>
    <row r="24" spans="2:32" ht="23.1" customHeight="1" x14ac:dyDescent="0.25">
      <c r="B24" s="23" t="s">
        <v>51</v>
      </c>
      <c r="C24" s="49">
        <f>AVERAGE('17.10 MADDU-KANONI'!C24,'18.10 MADDU-KANONI-24h'!C24,'19.10 MADDU-KANONI-24h'!C24,'20.10 MADDU-KANONI'!C24,'21.10 MADDU-KANONI'!C24,'22.10 MADDU-KANONI'!C24,'23.10 MADDU-KANONI'!C24)</f>
        <v>1.1428571428571428</v>
      </c>
      <c r="D24" s="49">
        <f>AVERAGE('17.10 MADDU-KANONI'!D24,'18.10 MADDU-KANONI-24h'!D24,'19.10 MADDU-KANONI-24h'!D24,'20.10 MADDU-KANONI'!D24,'21.10 MADDU-KANONI'!D24,'22.10 MADDU-KANONI'!D24,'23.10 MADDU-KANONI'!D24)</f>
        <v>0.14285714285714285</v>
      </c>
      <c r="E24" s="49">
        <f>AVERAGE('17.10 MADDU-KANONI'!E24,'18.10 MADDU-KANONI-24h'!E24,'19.10 MADDU-KANONI-24h'!E24,'20.10 MADDU-KANONI'!E24,'21.10 MADDU-KANONI'!E24,'22.10 MADDU-KANONI'!E24,'23.10 MADDU-KANONI'!E24)</f>
        <v>0.5714285714285714</v>
      </c>
      <c r="F24" s="49">
        <f>AVERAGE('17.10 MADDU-KANONI'!F24,'18.10 MADDU-KANONI-24h'!F24,'19.10 MADDU-KANONI-24h'!F24,'20.10 MADDU-KANONI'!F24,'21.10 MADDU-KANONI'!F24,'22.10 MADDU-KANONI'!F24,'23.10 MADDU-KANONI'!F24)</f>
        <v>0.8571428571428571</v>
      </c>
      <c r="G24" s="49">
        <f>AVERAGE('17.10 MADDU-KANONI'!G24,'18.10 MADDU-KANONI-24h'!G24,'19.10 MADDU-KANONI-24h'!G24,'20.10 MADDU-KANONI'!G24,'21.10 MADDU-KANONI'!G24,'22.10 MADDU-KANONI'!G24,'23.10 MADDU-KANONI'!G24)</f>
        <v>0</v>
      </c>
      <c r="H24" s="49">
        <f>AVERAGE('17.10 MADDU-KANONI'!H24,'18.10 MADDU-KANONI-24h'!H24,'19.10 MADDU-KANONI-24h'!H24,'20.10 MADDU-KANONI'!H24,'21.10 MADDU-KANONI'!H24,'22.10 MADDU-KANONI'!H24,'23.10 MADDU-KANONI'!H24)</f>
        <v>0</v>
      </c>
      <c r="I24" s="49">
        <f>AVERAGE('17.10 MADDU-KANONI'!I24,'18.10 MADDU-KANONI-24h'!I24,'19.10 MADDU-KANONI-24h'!I24,'20.10 MADDU-KANONI'!I24,'21.10 MADDU-KANONI'!I24,'22.10 MADDU-KANONI'!I24,'23.10 MADDU-KANONI'!I24)</f>
        <v>0</v>
      </c>
      <c r="J24" s="49">
        <f>AVERAGE('17.10 MADDU-KANONI'!J24,'18.10 MADDU-KANONI-24h'!J24,'19.10 MADDU-KANONI-24h'!J24,'20.10 MADDU-KANONI'!J24,'21.10 MADDU-KANONI'!J24,'22.10 MADDU-KANONI'!J24,'23.10 MADDU-KANONI'!J24)</f>
        <v>0.14285714285714285</v>
      </c>
      <c r="K24" s="49">
        <f>AVERAGE('17.10 MADDU-KANONI'!K24,'18.10 MADDU-KANONI-24h'!K24,'19.10 MADDU-KANONI-24h'!K24,'20.10 MADDU-KANONI'!K24,'21.10 MADDU-KANONI'!K24,'22.10 MADDU-KANONI'!K24,'23.10 MADDU-KANONI'!K24)</f>
        <v>0.42857142857142855</v>
      </c>
      <c r="L24" s="49">
        <f>AVERAGE('17.10 MADDU-KANONI'!L24,'18.10 MADDU-KANONI-24h'!L24,'19.10 MADDU-KANONI-24h'!L24,'20.10 MADDU-KANONI'!L24,'21.10 MADDU-KANONI'!L24,'22.10 MADDU-KANONI'!L24,'23.10 MADDU-KANONI'!L24)</f>
        <v>0</v>
      </c>
      <c r="M24" s="49">
        <f>AVERAGE('17.10 MADDU-KANONI'!M24,'18.10 MADDU-KANONI-24h'!M24,'19.10 MADDU-KANONI-24h'!M24,'20.10 MADDU-KANONI'!M24,'21.10 MADDU-KANONI'!M24,'22.10 MADDU-KANONI'!M24,'23.10 MADDU-KANONI'!M24)</f>
        <v>7.4285714285714288</v>
      </c>
      <c r="N24" s="49">
        <f>AVERAGE('17.10 MADDU-KANONI'!N24,'18.10 MADDU-KANONI-24h'!N24,'19.10 MADDU-KANONI-24h'!N24,'20.10 MADDU-KANONI'!N24,'21.10 MADDU-KANONI'!N24,'22.10 MADDU-KANONI'!N24,'23.10 MADDU-KANONI'!N24)</f>
        <v>0</v>
      </c>
      <c r="O24" s="15">
        <f t="shared" si="0"/>
        <v>3.2857142857142851</v>
      </c>
      <c r="P24" s="15">
        <f t="shared" si="1"/>
        <v>10.714285714285714</v>
      </c>
      <c r="R24" s="1" t="s">
        <v>148</v>
      </c>
      <c r="S24" s="34">
        <f>SUM(C66:C69)</f>
        <v>3.5</v>
      </c>
      <c r="T24" s="34">
        <f t="shared" ref="T24:AF24" si="16">SUM(D66:D69)</f>
        <v>1.5</v>
      </c>
      <c r="U24" s="34">
        <f t="shared" si="16"/>
        <v>3</v>
      </c>
      <c r="V24" s="34">
        <f t="shared" si="16"/>
        <v>1.5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8</v>
      </c>
      <c r="AD24" s="34">
        <f t="shared" si="16"/>
        <v>0.5</v>
      </c>
      <c r="AE24" s="31">
        <f t="shared" si="16"/>
        <v>14</v>
      </c>
      <c r="AF24" s="31">
        <f t="shared" si="16"/>
        <v>22</v>
      </c>
    </row>
    <row r="25" spans="2:32" ht="23.1" customHeight="1" x14ac:dyDescent="0.25">
      <c r="B25" s="23" t="s">
        <v>52</v>
      </c>
      <c r="C25" s="49">
        <f>AVERAGE('17.10 MADDU-KANONI'!C25,'18.10 MADDU-KANONI-24h'!C25,'19.10 MADDU-KANONI-24h'!C25,'20.10 MADDU-KANONI'!C25,'21.10 MADDU-KANONI'!C25,'22.10 MADDU-KANONI'!C25,'23.10 MADDU-KANONI'!C25)</f>
        <v>1.4285714285714286</v>
      </c>
      <c r="D25" s="49">
        <f>AVERAGE('17.10 MADDU-KANONI'!D25,'18.10 MADDU-KANONI-24h'!D25,'19.10 MADDU-KANONI-24h'!D25,'20.10 MADDU-KANONI'!D25,'21.10 MADDU-KANONI'!D25,'22.10 MADDU-KANONI'!D25,'23.10 MADDU-KANONI'!D25)</f>
        <v>0</v>
      </c>
      <c r="E25" s="49">
        <f>AVERAGE('17.10 MADDU-KANONI'!E25,'18.10 MADDU-KANONI-24h'!E25,'19.10 MADDU-KANONI-24h'!E25,'20.10 MADDU-KANONI'!E25,'21.10 MADDU-KANONI'!E25,'22.10 MADDU-KANONI'!E25,'23.10 MADDU-KANONI'!E25)</f>
        <v>0.7142857142857143</v>
      </c>
      <c r="F25" s="49">
        <f>AVERAGE('17.10 MADDU-KANONI'!F25,'18.10 MADDU-KANONI-24h'!F25,'19.10 MADDU-KANONI-24h'!F25,'20.10 MADDU-KANONI'!F25,'21.10 MADDU-KANONI'!F25,'22.10 MADDU-KANONI'!F25,'23.10 MADDU-KANONI'!F25)</f>
        <v>1.8571428571428572</v>
      </c>
      <c r="G25" s="49">
        <f>AVERAGE('17.10 MADDU-KANONI'!G25,'18.10 MADDU-KANONI-24h'!G25,'19.10 MADDU-KANONI-24h'!G25,'20.10 MADDU-KANONI'!G25,'21.10 MADDU-KANONI'!G25,'22.10 MADDU-KANONI'!G25,'23.10 MADDU-KANONI'!G25)</f>
        <v>0</v>
      </c>
      <c r="H25" s="49">
        <f>AVERAGE('17.10 MADDU-KANONI'!H25,'18.10 MADDU-KANONI-24h'!H25,'19.10 MADDU-KANONI-24h'!H25,'20.10 MADDU-KANONI'!H25,'21.10 MADDU-KANONI'!H25,'22.10 MADDU-KANONI'!H25,'23.10 MADDU-KANONI'!H25)</f>
        <v>0</v>
      </c>
      <c r="I25" s="49">
        <f>AVERAGE('17.10 MADDU-KANONI'!I25,'18.10 MADDU-KANONI-24h'!I25,'19.10 MADDU-KANONI-24h'!I25,'20.10 MADDU-KANONI'!I25,'21.10 MADDU-KANONI'!I25,'22.10 MADDU-KANONI'!I25,'23.10 MADDU-KANONI'!I25)</f>
        <v>0</v>
      </c>
      <c r="J25" s="49">
        <f>AVERAGE('17.10 MADDU-KANONI'!J25,'18.10 MADDU-KANONI-24h'!J25,'19.10 MADDU-KANONI-24h'!J25,'20.10 MADDU-KANONI'!J25,'21.10 MADDU-KANONI'!J25,'22.10 MADDU-KANONI'!J25,'23.10 MADDU-KANONI'!J25)</f>
        <v>0.2857142857142857</v>
      </c>
      <c r="K25" s="49">
        <f>AVERAGE('17.10 MADDU-KANONI'!K25,'18.10 MADDU-KANONI-24h'!K25,'19.10 MADDU-KANONI-24h'!K25,'20.10 MADDU-KANONI'!K25,'21.10 MADDU-KANONI'!K25,'22.10 MADDU-KANONI'!K25,'23.10 MADDU-KANONI'!K25)</f>
        <v>0.14285714285714285</v>
      </c>
      <c r="L25" s="49">
        <f>AVERAGE('17.10 MADDU-KANONI'!L25,'18.10 MADDU-KANONI-24h'!L25,'19.10 MADDU-KANONI-24h'!L25,'20.10 MADDU-KANONI'!L25,'21.10 MADDU-KANONI'!L25,'22.10 MADDU-KANONI'!L25,'23.10 MADDU-KANONI'!L25)</f>
        <v>0</v>
      </c>
      <c r="M25" s="49">
        <f>AVERAGE('17.10 MADDU-KANONI'!M25,'18.10 MADDU-KANONI-24h'!M25,'19.10 MADDU-KANONI-24h'!M25,'20.10 MADDU-KANONI'!M25,'21.10 MADDU-KANONI'!M25,'22.10 MADDU-KANONI'!M25,'23.10 MADDU-KANONI'!M25)</f>
        <v>11.285714285714286</v>
      </c>
      <c r="N25" s="49">
        <f>AVERAGE('17.10 MADDU-KANONI'!N25,'18.10 MADDU-KANONI-24h'!N25,'19.10 MADDU-KANONI-24h'!N25,'20.10 MADDU-KANONI'!N25,'21.10 MADDU-KANONI'!N25,'22.10 MADDU-KANONI'!N25,'23.10 MADDU-KANONI'!N25)</f>
        <v>0</v>
      </c>
      <c r="O25" s="15">
        <f t="shared" si="0"/>
        <v>4.4285714285714288</v>
      </c>
      <c r="P25" s="15">
        <f t="shared" si="1"/>
        <v>15.714285714285715</v>
      </c>
      <c r="R25" s="1" t="s">
        <v>149</v>
      </c>
      <c r="S25" s="34">
        <f>SUM(C70:C73)</f>
        <v>3.5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4</v>
      </c>
      <c r="AD25" s="34">
        <f t="shared" si="17"/>
        <v>0</v>
      </c>
      <c r="AE25" s="31">
        <f t="shared" si="17"/>
        <v>12</v>
      </c>
      <c r="AF25" s="31">
        <f t="shared" si="17"/>
        <v>16</v>
      </c>
    </row>
    <row r="26" spans="2:32" ht="23.1" customHeight="1" x14ac:dyDescent="0.25">
      <c r="B26" s="23" t="s">
        <v>53</v>
      </c>
      <c r="C26" s="49">
        <f>AVERAGE('17.10 MADDU-KANONI'!C26,'18.10 MADDU-KANONI-24h'!C26,'19.10 MADDU-KANONI-24h'!C26,'20.10 MADDU-KANONI'!C26,'21.10 MADDU-KANONI'!C26,'22.10 MADDU-KANONI'!C26,'23.10 MADDU-KANONI'!C26)</f>
        <v>1.1428571428571428</v>
      </c>
      <c r="D26" s="49">
        <f>AVERAGE('17.10 MADDU-KANONI'!D26,'18.10 MADDU-KANONI-24h'!D26,'19.10 MADDU-KANONI-24h'!D26,'20.10 MADDU-KANONI'!D26,'21.10 MADDU-KANONI'!D26,'22.10 MADDU-KANONI'!D26,'23.10 MADDU-KANONI'!D26)</f>
        <v>0.7142857142857143</v>
      </c>
      <c r="E26" s="49">
        <f>AVERAGE('17.10 MADDU-KANONI'!E26,'18.10 MADDU-KANONI-24h'!E26,'19.10 MADDU-KANONI-24h'!E26,'20.10 MADDU-KANONI'!E26,'21.10 MADDU-KANONI'!E26,'22.10 MADDU-KANONI'!E26,'23.10 MADDU-KANONI'!E26)</f>
        <v>0.5714285714285714</v>
      </c>
      <c r="F26" s="49">
        <f>AVERAGE('17.10 MADDU-KANONI'!F26,'18.10 MADDU-KANONI-24h'!F26,'19.10 MADDU-KANONI-24h'!F26,'20.10 MADDU-KANONI'!F26,'21.10 MADDU-KANONI'!F26,'22.10 MADDU-KANONI'!F26,'23.10 MADDU-KANONI'!F26)</f>
        <v>1</v>
      </c>
      <c r="G26" s="49">
        <f>AVERAGE('17.10 MADDU-KANONI'!G26,'18.10 MADDU-KANONI-24h'!G26,'19.10 MADDU-KANONI-24h'!G26,'20.10 MADDU-KANONI'!G26,'21.10 MADDU-KANONI'!G26,'22.10 MADDU-KANONI'!G26,'23.10 MADDU-KANONI'!G26)</f>
        <v>0</v>
      </c>
      <c r="H26" s="49">
        <f>AVERAGE('17.10 MADDU-KANONI'!H26,'18.10 MADDU-KANONI-24h'!H26,'19.10 MADDU-KANONI-24h'!H26,'20.10 MADDU-KANONI'!H26,'21.10 MADDU-KANONI'!H26,'22.10 MADDU-KANONI'!H26,'23.10 MADDU-KANONI'!H26)</f>
        <v>0</v>
      </c>
      <c r="I26" s="49">
        <f>AVERAGE('17.10 MADDU-KANONI'!I26,'18.10 MADDU-KANONI-24h'!I26,'19.10 MADDU-KANONI-24h'!I26,'20.10 MADDU-KANONI'!I26,'21.10 MADDU-KANONI'!I26,'22.10 MADDU-KANONI'!I26,'23.10 MADDU-KANONI'!I26)</f>
        <v>0.5714285714285714</v>
      </c>
      <c r="J26" s="49">
        <f>AVERAGE('17.10 MADDU-KANONI'!J26,'18.10 MADDU-KANONI-24h'!J26,'19.10 MADDU-KANONI-24h'!J26,'20.10 MADDU-KANONI'!J26,'21.10 MADDU-KANONI'!J26,'22.10 MADDU-KANONI'!J26,'23.10 MADDU-KANONI'!J26)</f>
        <v>0.8571428571428571</v>
      </c>
      <c r="K26" s="49">
        <f>AVERAGE('17.10 MADDU-KANONI'!K26,'18.10 MADDU-KANONI-24h'!K26,'19.10 MADDU-KANONI-24h'!K26,'20.10 MADDU-KANONI'!K26,'21.10 MADDU-KANONI'!K26,'22.10 MADDU-KANONI'!K26,'23.10 MADDU-KANONI'!K26)</f>
        <v>0</v>
      </c>
      <c r="L26" s="49">
        <f>AVERAGE('17.10 MADDU-KANONI'!L26,'18.10 MADDU-KANONI-24h'!L26,'19.10 MADDU-KANONI-24h'!L26,'20.10 MADDU-KANONI'!L26,'21.10 MADDU-KANONI'!L26,'22.10 MADDU-KANONI'!L26,'23.10 MADDU-KANONI'!L26)</f>
        <v>0</v>
      </c>
      <c r="M26" s="49">
        <f>AVERAGE('17.10 MADDU-KANONI'!M26,'18.10 MADDU-KANONI-24h'!M26,'19.10 MADDU-KANONI-24h'!M26,'20.10 MADDU-KANONI'!M26,'21.10 MADDU-KANONI'!M26,'22.10 MADDU-KANONI'!M26,'23.10 MADDU-KANONI'!M26)</f>
        <v>10.714285714285714</v>
      </c>
      <c r="N26" s="49">
        <f>AVERAGE('17.10 MADDU-KANONI'!N26,'18.10 MADDU-KANONI-24h'!N26,'19.10 MADDU-KANONI-24h'!N26,'20.10 MADDU-KANONI'!N26,'21.10 MADDU-KANONI'!N26,'22.10 MADDU-KANONI'!N26,'23.10 MADDU-KANONI'!N26)</f>
        <v>0</v>
      </c>
      <c r="O26" s="15">
        <f t="shared" si="0"/>
        <v>4.8571428571428568</v>
      </c>
      <c r="P26" s="15">
        <f t="shared" si="1"/>
        <v>15.571428571428569</v>
      </c>
      <c r="R26" s="1" t="s">
        <v>150</v>
      </c>
      <c r="S26" s="34">
        <f>SUM(C74:C77)</f>
        <v>1.5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5</v>
      </c>
      <c r="AA26" s="34">
        <f t="shared" si="18"/>
        <v>1</v>
      </c>
      <c r="AB26" s="34">
        <f t="shared" si="18"/>
        <v>0</v>
      </c>
      <c r="AC26" s="34">
        <f t="shared" si="18"/>
        <v>2.5</v>
      </c>
      <c r="AD26" s="34">
        <f t="shared" si="18"/>
        <v>0</v>
      </c>
      <c r="AE26" s="31">
        <f t="shared" si="18"/>
        <v>10.5</v>
      </c>
      <c r="AF26" s="31">
        <f t="shared" si="18"/>
        <v>13</v>
      </c>
    </row>
    <row r="27" spans="2:32" ht="23.1" customHeight="1" x14ac:dyDescent="0.25">
      <c r="B27" s="23" t="s">
        <v>54</v>
      </c>
      <c r="C27" s="49">
        <f>AVERAGE('17.10 MADDU-KANONI'!C27,'18.10 MADDU-KANONI-24h'!C27,'19.10 MADDU-KANONI-24h'!C27,'20.10 MADDU-KANONI'!C27,'21.10 MADDU-KANONI'!C27,'22.10 MADDU-KANONI'!C27,'23.10 MADDU-KANONI'!C27)</f>
        <v>2</v>
      </c>
      <c r="D27" s="49">
        <f>AVERAGE('17.10 MADDU-KANONI'!D27,'18.10 MADDU-KANONI-24h'!D27,'19.10 MADDU-KANONI-24h'!D27,'20.10 MADDU-KANONI'!D27,'21.10 MADDU-KANONI'!D27,'22.10 MADDU-KANONI'!D27,'23.10 MADDU-KANONI'!D27)</f>
        <v>0.5714285714285714</v>
      </c>
      <c r="E27" s="49">
        <f>AVERAGE('17.10 MADDU-KANONI'!E27,'18.10 MADDU-KANONI-24h'!E27,'19.10 MADDU-KANONI-24h'!E27,'20.10 MADDU-KANONI'!E27,'21.10 MADDU-KANONI'!E27,'22.10 MADDU-KANONI'!E27,'23.10 MADDU-KANONI'!E27)</f>
        <v>0.5714285714285714</v>
      </c>
      <c r="F27" s="49">
        <f>AVERAGE('17.10 MADDU-KANONI'!F27,'18.10 MADDU-KANONI-24h'!F27,'19.10 MADDU-KANONI-24h'!F27,'20.10 MADDU-KANONI'!F27,'21.10 MADDU-KANONI'!F27,'22.10 MADDU-KANONI'!F27,'23.10 MADDU-KANONI'!F27)</f>
        <v>1.2857142857142858</v>
      </c>
      <c r="G27" s="49">
        <f>AVERAGE('17.10 MADDU-KANONI'!G27,'18.10 MADDU-KANONI-24h'!G27,'19.10 MADDU-KANONI-24h'!G27,'20.10 MADDU-KANONI'!G27,'21.10 MADDU-KANONI'!G27,'22.10 MADDU-KANONI'!G27,'23.10 MADDU-KANONI'!G27)</f>
        <v>0</v>
      </c>
      <c r="H27" s="49">
        <f>AVERAGE('17.10 MADDU-KANONI'!H27,'18.10 MADDU-KANONI-24h'!H27,'19.10 MADDU-KANONI-24h'!H27,'20.10 MADDU-KANONI'!H27,'21.10 MADDU-KANONI'!H27,'22.10 MADDU-KANONI'!H27,'23.10 MADDU-KANONI'!H27)</f>
        <v>0</v>
      </c>
      <c r="I27" s="49">
        <f>AVERAGE('17.10 MADDU-KANONI'!I27,'18.10 MADDU-KANONI-24h'!I27,'19.10 MADDU-KANONI-24h'!I27,'20.10 MADDU-KANONI'!I27,'21.10 MADDU-KANONI'!I27,'22.10 MADDU-KANONI'!I27,'23.10 MADDU-KANONI'!I27)</f>
        <v>0.14285714285714285</v>
      </c>
      <c r="J27" s="49">
        <f>AVERAGE('17.10 MADDU-KANONI'!J27,'18.10 MADDU-KANONI-24h'!J27,'19.10 MADDU-KANONI-24h'!J27,'20.10 MADDU-KANONI'!J27,'21.10 MADDU-KANONI'!J27,'22.10 MADDU-KANONI'!J27,'23.10 MADDU-KANONI'!J27)</f>
        <v>0.42857142857142855</v>
      </c>
      <c r="K27" s="49">
        <f>AVERAGE('17.10 MADDU-KANONI'!K27,'18.10 MADDU-KANONI-24h'!K27,'19.10 MADDU-KANONI-24h'!K27,'20.10 MADDU-KANONI'!K27,'21.10 MADDU-KANONI'!K27,'22.10 MADDU-KANONI'!K27,'23.10 MADDU-KANONI'!K27)</f>
        <v>0</v>
      </c>
      <c r="L27" s="49">
        <f>AVERAGE('17.10 MADDU-KANONI'!L27,'18.10 MADDU-KANONI-24h'!L27,'19.10 MADDU-KANONI-24h'!L27,'20.10 MADDU-KANONI'!L27,'21.10 MADDU-KANONI'!L27,'22.10 MADDU-KANONI'!L27,'23.10 MADDU-KANONI'!L27)</f>
        <v>0</v>
      </c>
      <c r="M27" s="49">
        <f>AVERAGE('17.10 MADDU-KANONI'!M27,'18.10 MADDU-KANONI-24h'!M27,'19.10 MADDU-KANONI-24h'!M27,'20.10 MADDU-KANONI'!M27,'21.10 MADDU-KANONI'!M27,'22.10 MADDU-KANONI'!M27,'23.10 MADDU-KANONI'!M27)</f>
        <v>12</v>
      </c>
      <c r="N27" s="49">
        <f>AVERAGE('17.10 MADDU-KANONI'!N27,'18.10 MADDU-KANONI-24h'!N27,'19.10 MADDU-KANONI-24h'!N27,'20.10 MADDU-KANONI'!N27,'21.10 MADDU-KANONI'!N27,'22.10 MADDU-KANONI'!N27,'23.10 MADDU-KANONI'!N27)</f>
        <v>0</v>
      </c>
      <c r="O27" s="15">
        <f t="shared" si="0"/>
        <v>5</v>
      </c>
      <c r="P27" s="15">
        <f t="shared" si="1"/>
        <v>17</v>
      </c>
      <c r="R27" s="1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4.5</v>
      </c>
      <c r="AA27" s="34">
        <f t="shared" si="19"/>
        <v>3</v>
      </c>
      <c r="AB27" s="34">
        <f t="shared" si="19"/>
        <v>0</v>
      </c>
      <c r="AC27" s="34">
        <f t="shared" si="19"/>
        <v>0.5</v>
      </c>
      <c r="AD27" s="34">
        <f t="shared" si="19"/>
        <v>0</v>
      </c>
      <c r="AE27" s="31">
        <f t="shared" si="19"/>
        <v>12.5</v>
      </c>
      <c r="AF27" s="31">
        <f t="shared" si="19"/>
        <v>13</v>
      </c>
    </row>
    <row r="28" spans="2:32" ht="23.1" customHeight="1" x14ac:dyDescent="0.25">
      <c r="B28" s="23" t="s">
        <v>55</v>
      </c>
      <c r="C28" s="49">
        <f>AVERAGE('17.10 MADDU-KANONI'!C28,'18.10 MADDU-KANONI-24h'!C28,'19.10 MADDU-KANONI-24h'!C28,'20.10 MADDU-KANONI'!C28,'21.10 MADDU-KANONI'!C28,'22.10 MADDU-KANONI'!C28,'23.10 MADDU-KANONI'!C28)</f>
        <v>2.4285714285714284</v>
      </c>
      <c r="D28" s="49">
        <f>AVERAGE('17.10 MADDU-KANONI'!D28,'18.10 MADDU-KANONI-24h'!D28,'19.10 MADDU-KANONI-24h'!D28,'20.10 MADDU-KANONI'!D28,'21.10 MADDU-KANONI'!D28,'22.10 MADDU-KANONI'!D28,'23.10 MADDU-KANONI'!D28)</f>
        <v>0.5714285714285714</v>
      </c>
      <c r="E28" s="49">
        <f>AVERAGE('17.10 MADDU-KANONI'!E28,'18.10 MADDU-KANONI-24h'!E28,'19.10 MADDU-KANONI-24h'!E28,'20.10 MADDU-KANONI'!E28,'21.10 MADDU-KANONI'!E28,'22.10 MADDU-KANONI'!E28,'23.10 MADDU-KANONI'!E28)</f>
        <v>0.7142857142857143</v>
      </c>
      <c r="F28" s="49">
        <f>AVERAGE('17.10 MADDU-KANONI'!F28,'18.10 MADDU-KANONI-24h'!F28,'19.10 MADDU-KANONI-24h'!F28,'20.10 MADDU-KANONI'!F28,'21.10 MADDU-KANONI'!F28,'22.10 MADDU-KANONI'!F28,'23.10 MADDU-KANONI'!F28)</f>
        <v>0.7142857142857143</v>
      </c>
      <c r="G28" s="49">
        <f>AVERAGE('17.10 MADDU-KANONI'!G28,'18.10 MADDU-KANONI-24h'!G28,'19.10 MADDU-KANONI-24h'!G28,'20.10 MADDU-KANONI'!G28,'21.10 MADDU-KANONI'!G28,'22.10 MADDU-KANONI'!G28,'23.10 MADDU-KANONI'!G28)</f>
        <v>0</v>
      </c>
      <c r="H28" s="49">
        <f>AVERAGE('17.10 MADDU-KANONI'!H28,'18.10 MADDU-KANONI-24h'!H28,'19.10 MADDU-KANONI-24h'!H28,'20.10 MADDU-KANONI'!H28,'21.10 MADDU-KANONI'!H28,'22.10 MADDU-KANONI'!H28,'23.10 MADDU-KANONI'!H28)</f>
        <v>0</v>
      </c>
      <c r="I28" s="49">
        <f>AVERAGE('17.10 MADDU-KANONI'!I28,'18.10 MADDU-KANONI-24h'!I28,'19.10 MADDU-KANONI-24h'!I28,'20.10 MADDU-KANONI'!I28,'21.10 MADDU-KANONI'!I28,'22.10 MADDU-KANONI'!I28,'23.10 MADDU-KANONI'!I28)</f>
        <v>0.42857142857142855</v>
      </c>
      <c r="J28" s="49">
        <f>AVERAGE('17.10 MADDU-KANONI'!J28,'18.10 MADDU-KANONI-24h'!J28,'19.10 MADDU-KANONI-24h'!J28,'20.10 MADDU-KANONI'!J28,'21.10 MADDU-KANONI'!J28,'22.10 MADDU-KANONI'!J28,'23.10 MADDU-KANONI'!J28)</f>
        <v>0</v>
      </c>
      <c r="K28" s="49">
        <f>AVERAGE('17.10 MADDU-KANONI'!K28,'18.10 MADDU-KANONI-24h'!K28,'19.10 MADDU-KANONI-24h'!K28,'20.10 MADDU-KANONI'!K28,'21.10 MADDU-KANONI'!K28,'22.10 MADDU-KANONI'!K28,'23.10 MADDU-KANONI'!K28)</f>
        <v>0</v>
      </c>
      <c r="L28" s="49">
        <f>AVERAGE('17.10 MADDU-KANONI'!L28,'18.10 MADDU-KANONI-24h'!L28,'19.10 MADDU-KANONI-24h'!L28,'20.10 MADDU-KANONI'!L28,'21.10 MADDU-KANONI'!L28,'22.10 MADDU-KANONI'!L28,'23.10 MADDU-KANONI'!L28)</f>
        <v>0</v>
      </c>
      <c r="M28" s="49">
        <f>AVERAGE('17.10 MADDU-KANONI'!M28,'18.10 MADDU-KANONI-24h'!M28,'19.10 MADDU-KANONI-24h'!M28,'20.10 MADDU-KANONI'!M28,'21.10 MADDU-KANONI'!M28,'22.10 MADDU-KANONI'!M28,'23.10 MADDU-KANONI'!M28)</f>
        <v>9.8571428571428577</v>
      </c>
      <c r="N28" s="49">
        <f>AVERAGE('17.10 MADDU-KANONI'!N28,'18.10 MADDU-KANONI-24h'!N28,'19.10 MADDU-KANONI-24h'!N28,'20.10 MADDU-KANONI'!N28,'21.10 MADDU-KANONI'!N28,'22.10 MADDU-KANONI'!N28,'23.10 MADDU-KANONI'!N28)</f>
        <v>0</v>
      </c>
      <c r="O28" s="15">
        <f t="shared" si="0"/>
        <v>4.8571428571428577</v>
      </c>
      <c r="P28" s="15">
        <f t="shared" si="1"/>
        <v>14.714285714285715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2.5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3.5</v>
      </c>
      <c r="AF28" s="31">
        <f t="shared" si="20"/>
        <v>3.5</v>
      </c>
    </row>
    <row r="29" spans="2:32" ht="23.1" customHeight="1" x14ac:dyDescent="0.25">
      <c r="B29" s="23" t="s">
        <v>56</v>
      </c>
      <c r="C29" s="49">
        <f>AVERAGE('17.10 MADDU-KANONI'!C29,'18.10 MADDU-KANONI-24h'!C29,'19.10 MADDU-KANONI-24h'!C29,'20.10 MADDU-KANONI'!C29,'21.10 MADDU-KANONI'!C29,'22.10 MADDU-KANONI'!C29,'23.10 MADDU-KANONI'!C29)</f>
        <v>1.1428571428571428</v>
      </c>
      <c r="D29" s="49">
        <f>AVERAGE('17.10 MADDU-KANONI'!D29,'18.10 MADDU-KANONI-24h'!D29,'19.10 MADDU-KANONI-24h'!D29,'20.10 MADDU-KANONI'!D29,'21.10 MADDU-KANONI'!D29,'22.10 MADDU-KANONI'!D29,'23.10 MADDU-KANONI'!D29)</f>
        <v>0.8571428571428571</v>
      </c>
      <c r="E29" s="49">
        <f>AVERAGE('17.10 MADDU-KANONI'!E29,'18.10 MADDU-KANONI-24h'!E29,'19.10 MADDU-KANONI-24h'!E29,'20.10 MADDU-KANONI'!E29,'21.10 MADDU-KANONI'!E29,'22.10 MADDU-KANONI'!E29,'23.10 MADDU-KANONI'!E29)</f>
        <v>0.5714285714285714</v>
      </c>
      <c r="F29" s="49">
        <f>AVERAGE('17.10 MADDU-KANONI'!F29,'18.10 MADDU-KANONI-24h'!F29,'19.10 MADDU-KANONI-24h'!F29,'20.10 MADDU-KANONI'!F29,'21.10 MADDU-KANONI'!F29,'22.10 MADDU-KANONI'!F29,'23.10 MADDU-KANONI'!F29)</f>
        <v>1.4285714285714286</v>
      </c>
      <c r="G29" s="49">
        <f>AVERAGE('17.10 MADDU-KANONI'!G29,'18.10 MADDU-KANONI-24h'!G29,'19.10 MADDU-KANONI-24h'!G29,'20.10 MADDU-KANONI'!G29,'21.10 MADDU-KANONI'!G29,'22.10 MADDU-KANONI'!G29,'23.10 MADDU-KANONI'!G29)</f>
        <v>0</v>
      </c>
      <c r="H29" s="49">
        <f>AVERAGE('17.10 MADDU-KANONI'!H29,'18.10 MADDU-KANONI-24h'!H29,'19.10 MADDU-KANONI-24h'!H29,'20.10 MADDU-KANONI'!H29,'21.10 MADDU-KANONI'!H29,'22.10 MADDU-KANONI'!H29,'23.10 MADDU-KANONI'!H29)</f>
        <v>0</v>
      </c>
      <c r="I29" s="49">
        <f>AVERAGE('17.10 MADDU-KANONI'!I29,'18.10 MADDU-KANONI-24h'!I29,'19.10 MADDU-KANONI-24h'!I29,'20.10 MADDU-KANONI'!I29,'21.10 MADDU-KANONI'!I29,'22.10 MADDU-KANONI'!I29,'23.10 MADDU-KANONI'!I29)</f>
        <v>0.2857142857142857</v>
      </c>
      <c r="J29" s="49">
        <f>AVERAGE('17.10 MADDU-KANONI'!J29,'18.10 MADDU-KANONI-24h'!J29,'19.10 MADDU-KANONI-24h'!J29,'20.10 MADDU-KANONI'!J29,'21.10 MADDU-KANONI'!J29,'22.10 MADDU-KANONI'!J29,'23.10 MADDU-KANONI'!J29)</f>
        <v>0.14285714285714285</v>
      </c>
      <c r="K29" s="49">
        <f>AVERAGE('17.10 MADDU-KANONI'!K29,'18.10 MADDU-KANONI-24h'!K29,'19.10 MADDU-KANONI-24h'!K29,'20.10 MADDU-KANONI'!K29,'21.10 MADDU-KANONI'!K29,'22.10 MADDU-KANONI'!K29,'23.10 MADDU-KANONI'!K29)</f>
        <v>0</v>
      </c>
      <c r="L29" s="49">
        <f>AVERAGE('17.10 MADDU-KANONI'!L29,'18.10 MADDU-KANONI-24h'!L29,'19.10 MADDU-KANONI-24h'!L29,'20.10 MADDU-KANONI'!L29,'21.10 MADDU-KANONI'!L29,'22.10 MADDU-KANONI'!L29,'23.10 MADDU-KANONI'!L29)</f>
        <v>0</v>
      </c>
      <c r="M29" s="49">
        <f>AVERAGE('17.10 MADDU-KANONI'!M29,'18.10 MADDU-KANONI-24h'!M29,'19.10 MADDU-KANONI-24h'!M29,'20.10 MADDU-KANONI'!M29,'21.10 MADDU-KANONI'!M29,'22.10 MADDU-KANONI'!M29,'23.10 MADDU-KANONI'!M29)</f>
        <v>10.142857142857142</v>
      </c>
      <c r="N29" s="49">
        <f>AVERAGE('17.10 MADDU-KANONI'!N29,'18.10 MADDU-KANONI-24h'!N29,'19.10 MADDU-KANONI-24h'!N29,'20.10 MADDU-KANONI'!N29,'21.10 MADDU-KANONI'!N29,'22.10 MADDU-KANONI'!N29,'23.10 MADDU-KANONI'!N29)</f>
        <v>0</v>
      </c>
      <c r="O29" s="15">
        <f t="shared" si="0"/>
        <v>4.4285714285714288</v>
      </c>
      <c r="P29" s="15">
        <f t="shared" si="1"/>
        <v>14.571428571428571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1.5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3.5</v>
      </c>
      <c r="AF29" s="31">
        <f t="shared" si="21"/>
        <v>3.5</v>
      </c>
    </row>
    <row r="30" spans="2:32" ht="23.1" customHeight="1" x14ac:dyDescent="0.25">
      <c r="B30" s="23" t="s">
        <v>57</v>
      </c>
      <c r="C30" s="49">
        <f>AVERAGE('17.10 MADDU-KANONI'!C30,'18.10 MADDU-KANONI-24h'!C30,'19.10 MADDU-KANONI-24h'!C30,'20.10 MADDU-KANONI'!C30,'21.10 MADDU-KANONI'!C30,'22.10 MADDU-KANONI'!C30,'23.10 MADDU-KANONI'!C30)</f>
        <v>0.8571428571428571</v>
      </c>
      <c r="D30" s="49">
        <f>AVERAGE('17.10 MADDU-KANONI'!D30,'18.10 MADDU-KANONI-24h'!D30,'19.10 MADDU-KANONI-24h'!D30,'20.10 MADDU-KANONI'!D30,'21.10 MADDU-KANONI'!D30,'22.10 MADDU-KANONI'!D30,'23.10 MADDU-KANONI'!D30)</f>
        <v>0.8571428571428571</v>
      </c>
      <c r="E30" s="49">
        <f>AVERAGE('17.10 MADDU-KANONI'!E30,'18.10 MADDU-KANONI-24h'!E30,'19.10 MADDU-KANONI-24h'!E30,'20.10 MADDU-KANONI'!E30,'21.10 MADDU-KANONI'!E30,'22.10 MADDU-KANONI'!E30,'23.10 MADDU-KANONI'!E30)</f>
        <v>0.2857142857142857</v>
      </c>
      <c r="F30" s="49">
        <f>AVERAGE('17.10 MADDU-KANONI'!F30,'18.10 MADDU-KANONI-24h'!F30,'19.10 MADDU-KANONI-24h'!F30,'20.10 MADDU-KANONI'!F30,'21.10 MADDU-KANONI'!F30,'22.10 MADDU-KANONI'!F30,'23.10 MADDU-KANONI'!F30)</f>
        <v>1</v>
      </c>
      <c r="G30" s="49">
        <f>AVERAGE('17.10 MADDU-KANONI'!G30,'18.10 MADDU-KANONI-24h'!G30,'19.10 MADDU-KANONI-24h'!G30,'20.10 MADDU-KANONI'!G30,'21.10 MADDU-KANONI'!G30,'22.10 MADDU-KANONI'!G30,'23.10 MADDU-KANONI'!G30)</f>
        <v>0</v>
      </c>
      <c r="H30" s="49">
        <f>AVERAGE('17.10 MADDU-KANONI'!H30,'18.10 MADDU-KANONI-24h'!H30,'19.10 MADDU-KANONI-24h'!H30,'20.10 MADDU-KANONI'!H30,'21.10 MADDU-KANONI'!H30,'22.10 MADDU-KANONI'!H30,'23.10 MADDU-KANONI'!H30)</f>
        <v>0</v>
      </c>
      <c r="I30" s="49">
        <f>AVERAGE('17.10 MADDU-KANONI'!I30,'18.10 MADDU-KANONI-24h'!I30,'19.10 MADDU-KANONI-24h'!I30,'20.10 MADDU-KANONI'!I30,'21.10 MADDU-KANONI'!I30,'22.10 MADDU-KANONI'!I30,'23.10 MADDU-KANONI'!I30)</f>
        <v>0.14285714285714285</v>
      </c>
      <c r="J30" s="49">
        <f>AVERAGE('17.10 MADDU-KANONI'!J30,'18.10 MADDU-KANONI-24h'!J30,'19.10 MADDU-KANONI-24h'!J30,'20.10 MADDU-KANONI'!J30,'21.10 MADDU-KANONI'!J30,'22.10 MADDU-KANONI'!J30,'23.10 MADDU-KANONI'!J30)</f>
        <v>0.14285714285714285</v>
      </c>
      <c r="K30" s="49">
        <f>AVERAGE('17.10 MADDU-KANONI'!K30,'18.10 MADDU-KANONI-24h'!K30,'19.10 MADDU-KANONI-24h'!K30,'20.10 MADDU-KANONI'!K30,'21.10 MADDU-KANONI'!K30,'22.10 MADDU-KANONI'!K30,'23.10 MADDU-KANONI'!K30)</f>
        <v>0.14285714285714285</v>
      </c>
      <c r="L30" s="49">
        <f>AVERAGE('17.10 MADDU-KANONI'!L30,'18.10 MADDU-KANONI-24h'!L30,'19.10 MADDU-KANONI-24h'!L30,'20.10 MADDU-KANONI'!L30,'21.10 MADDU-KANONI'!L30,'22.10 MADDU-KANONI'!L30,'23.10 MADDU-KANONI'!L30)</f>
        <v>0</v>
      </c>
      <c r="M30" s="49">
        <f>AVERAGE('17.10 MADDU-KANONI'!M30,'18.10 MADDU-KANONI-24h'!M30,'19.10 MADDU-KANONI-24h'!M30,'20.10 MADDU-KANONI'!M30,'21.10 MADDU-KANONI'!M30,'22.10 MADDU-KANONI'!M30,'23.10 MADDU-KANONI'!M30)</f>
        <v>12.571428571428571</v>
      </c>
      <c r="N30" s="49">
        <f>AVERAGE('17.10 MADDU-KANONI'!N30,'18.10 MADDU-KANONI-24h'!N30,'19.10 MADDU-KANONI-24h'!N30,'20.10 MADDU-KANONI'!N30,'21.10 MADDU-KANONI'!N30,'22.10 MADDU-KANONI'!N30,'23.10 MADDU-KANONI'!N30)</f>
        <v>0</v>
      </c>
      <c r="O30" s="15">
        <f t="shared" si="0"/>
        <v>3.4285714285714284</v>
      </c>
      <c r="P30" s="15">
        <f t="shared" si="1"/>
        <v>16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4.5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6.5</v>
      </c>
      <c r="AF30" s="31">
        <f t="shared" si="22"/>
        <v>6.5</v>
      </c>
    </row>
    <row r="31" spans="2:32" ht="23.1" customHeight="1" x14ac:dyDescent="0.25">
      <c r="B31" s="24" t="s">
        <v>58</v>
      </c>
      <c r="C31" s="49">
        <f>AVERAGE('17.10 MADDU-KANONI'!C31,'18.10 MADDU-KANONI-24h'!C31,'19.10 MADDU-KANONI-24h'!C31,'20.10 MADDU-KANONI'!C31,'21.10 MADDU-KANONI'!C31,'22.10 MADDU-KANONI'!C31,'23.10 MADDU-KANONI'!C31)</f>
        <v>1.4285714285714286</v>
      </c>
      <c r="D31" s="49">
        <f>AVERAGE('17.10 MADDU-KANONI'!D31,'18.10 MADDU-KANONI-24h'!D31,'19.10 MADDU-KANONI-24h'!D31,'20.10 MADDU-KANONI'!D31,'21.10 MADDU-KANONI'!D31,'22.10 MADDU-KANONI'!D31,'23.10 MADDU-KANONI'!D31)</f>
        <v>1.2857142857142858</v>
      </c>
      <c r="E31" s="49">
        <f>AVERAGE('17.10 MADDU-KANONI'!E31,'18.10 MADDU-KANONI-24h'!E31,'19.10 MADDU-KANONI-24h'!E31,'20.10 MADDU-KANONI'!E31,'21.10 MADDU-KANONI'!E31,'22.10 MADDU-KANONI'!E31,'23.10 MADDU-KANONI'!E31)</f>
        <v>0.5714285714285714</v>
      </c>
      <c r="F31" s="49">
        <f>AVERAGE('17.10 MADDU-KANONI'!F31,'18.10 MADDU-KANONI-24h'!F31,'19.10 MADDU-KANONI-24h'!F31,'20.10 MADDU-KANONI'!F31,'21.10 MADDU-KANONI'!F31,'22.10 MADDU-KANONI'!F31,'23.10 MADDU-KANONI'!F31)</f>
        <v>1.8571428571428572</v>
      </c>
      <c r="G31" s="49">
        <f>AVERAGE('17.10 MADDU-KANONI'!G31,'18.10 MADDU-KANONI-24h'!G31,'19.10 MADDU-KANONI-24h'!G31,'20.10 MADDU-KANONI'!G31,'21.10 MADDU-KANONI'!G31,'22.10 MADDU-KANONI'!G31,'23.10 MADDU-KANONI'!G31)</f>
        <v>0</v>
      </c>
      <c r="H31" s="49">
        <f>AVERAGE('17.10 MADDU-KANONI'!H31,'18.10 MADDU-KANONI-24h'!H31,'19.10 MADDU-KANONI-24h'!H31,'20.10 MADDU-KANONI'!H31,'21.10 MADDU-KANONI'!H31,'22.10 MADDU-KANONI'!H31,'23.10 MADDU-KANONI'!H31)</f>
        <v>0</v>
      </c>
      <c r="I31" s="49">
        <f>AVERAGE('17.10 MADDU-KANONI'!I31,'18.10 MADDU-KANONI-24h'!I31,'19.10 MADDU-KANONI-24h'!I31,'20.10 MADDU-KANONI'!I31,'21.10 MADDU-KANONI'!I31,'22.10 MADDU-KANONI'!I31,'23.10 MADDU-KANONI'!I31)</f>
        <v>0</v>
      </c>
      <c r="J31" s="49">
        <f>AVERAGE('17.10 MADDU-KANONI'!J31,'18.10 MADDU-KANONI-24h'!J31,'19.10 MADDU-KANONI-24h'!J31,'20.10 MADDU-KANONI'!J31,'21.10 MADDU-KANONI'!J31,'22.10 MADDU-KANONI'!J31,'23.10 MADDU-KANONI'!J31)</f>
        <v>0</v>
      </c>
      <c r="K31" s="49">
        <f>AVERAGE('17.10 MADDU-KANONI'!K31,'18.10 MADDU-KANONI-24h'!K31,'19.10 MADDU-KANONI-24h'!K31,'20.10 MADDU-KANONI'!K31,'21.10 MADDU-KANONI'!K31,'22.10 MADDU-KANONI'!K31,'23.10 MADDU-KANONI'!K31)</f>
        <v>0</v>
      </c>
      <c r="L31" s="49">
        <f>AVERAGE('17.10 MADDU-KANONI'!L31,'18.10 MADDU-KANONI-24h'!L31,'19.10 MADDU-KANONI-24h'!L31,'20.10 MADDU-KANONI'!L31,'21.10 MADDU-KANONI'!L31,'22.10 MADDU-KANONI'!L31,'23.10 MADDU-KANONI'!L31)</f>
        <v>0</v>
      </c>
      <c r="M31" s="49">
        <f>AVERAGE('17.10 MADDU-KANONI'!M31,'18.10 MADDU-KANONI-24h'!M31,'19.10 MADDU-KANONI-24h'!M31,'20.10 MADDU-KANONI'!M31,'21.10 MADDU-KANONI'!M31,'22.10 MADDU-KANONI'!M31,'23.10 MADDU-KANONI'!M31)</f>
        <v>11.428571428571429</v>
      </c>
      <c r="N31" s="49">
        <f>AVERAGE('17.10 MADDU-KANONI'!N31,'18.10 MADDU-KANONI-24h'!N31,'19.10 MADDU-KANONI-24h'!N31,'20.10 MADDU-KANONI'!N31,'21.10 MADDU-KANONI'!N31,'22.10 MADDU-KANONI'!N31,'23.10 MADDU-KANONI'!N31)</f>
        <v>0</v>
      </c>
      <c r="O31" s="15">
        <f t="shared" si="0"/>
        <v>5.1428571428571423</v>
      </c>
      <c r="P31" s="15">
        <f t="shared" si="1"/>
        <v>16.571428571428569</v>
      </c>
      <c r="R31" s="1" t="s">
        <v>155</v>
      </c>
      <c r="S31" s="34">
        <f>SUM(C94:C97)</f>
        <v>1</v>
      </c>
      <c r="T31" s="34">
        <f t="shared" ref="T31:AF31" si="23">SUM(D94:D97)</f>
        <v>0.5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1.5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7</v>
      </c>
      <c r="AF31" s="31">
        <f t="shared" si="23"/>
        <v>7</v>
      </c>
    </row>
    <row r="32" spans="2:32" ht="23.1" customHeight="1" x14ac:dyDescent="0.25">
      <c r="B32" s="24" t="s">
        <v>59</v>
      </c>
      <c r="C32" s="49">
        <f>AVERAGE('17.10 MADDU-KANONI'!C32,'18.10 MADDU-KANONI-24h'!C32,'19.10 MADDU-KANONI-24h'!C32,'20.10 MADDU-KANONI'!C32,'21.10 MADDU-KANONI'!C32,'22.10 MADDU-KANONI'!C32,'23.10 MADDU-KANONI'!C32)</f>
        <v>1.7142857142857142</v>
      </c>
      <c r="D32" s="49">
        <f>AVERAGE('17.10 MADDU-KANONI'!D32,'18.10 MADDU-KANONI-24h'!D32,'19.10 MADDU-KANONI-24h'!D32,'20.10 MADDU-KANONI'!D32,'21.10 MADDU-KANONI'!D32,'22.10 MADDU-KANONI'!D32,'23.10 MADDU-KANONI'!D32)</f>
        <v>0.42857142857142855</v>
      </c>
      <c r="E32" s="49">
        <f>AVERAGE('17.10 MADDU-KANONI'!E32,'18.10 MADDU-KANONI-24h'!E32,'19.10 MADDU-KANONI-24h'!E32,'20.10 MADDU-KANONI'!E32,'21.10 MADDU-KANONI'!E32,'22.10 MADDU-KANONI'!E32,'23.10 MADDU-KANONI'!E32)</f>
        <v>0.42857142857142855</v>
      </c>
      <c r="F32" s="49">
        <f>AVERAGE('17.10 MADDU-KANONI'!F32,'18.10 MADDU-KANONI-24h'!F32,'19.10 MADDU-KANONI-24h'!F32,'20.10 MADDU-KANONI'!F32,'21.10 MADDU-KANONI'!F32,'22.10 MADDU-KANONI'!F32,'23.10 MADDU-KANONI'!F32)</f>
        <v>1.4285714285714286</v>
      </c>
      <c r="G32" s="49">
        <f>AVERAGE('17.10 MADDU-KANONI'!G32,'18.10 MADDU-KANONI-24h'!G32,'19.10 MADDU-KANONI-24h'!G32,'20.10 MADDU-KANONI'!G32,'21.10 MADDU-KANONI'!G32,'22.10 MADDU-KANONI'!G32,'23.10 MADDU-KANONI'!G32)</f>
        <v>0</v>
      </c>
      <c r="H32" s="49">
        <f>AVERAGE('17.10 MADDU-KANONI'!H32,'18.10 MADDU-KANONI-24h'!H32,'19.10 MADDU-KANONI-24h'!H32,'20.10 MADDU-KANONI'!H32,'21.10 MADDU-KANONI'!H32,'22.10 MADDU-KANONI'!H32,'23.10 MADDU-KANONI'!H32)</f>
        <v>0</v>
      </c>
      <c r="I32" s="49">
        <f>AVERAGE('17.10 MADDU-KANONI'!I32,'18.10 MADDU-KANONI-24h'!I32,'19.10 MADDU-KANONI-24h'!I32,'20.10 MADDU-KANONI'!I32,'21.10 MADDU-KANONI'!I32,'22.10 MADDU-KANONI'!I32,'23.10 MADDU-KANONI'!I32)</f>
        <v>0.14285714285714285</v>
      </c>
      <c r="J32" s="49">
        <f>AVERAGE('17.10 MADDU-KANONI'!J32,'18.10 MADDU-KANONI-24h'!J32,'19.10 MADDU-KANONI-24h'!J32,'20.10 MADDU-KANONI'!J32,'21.10 MADDU-KANONI'!J32,'22.10 MADDU-KANONI'!J32,'23.10 MADDU-KANONI'!J32)</f>
        <v>0.2857142857142857</v>
      </c>
      <c r="K32" s="49">
        <f>AVERAGE('17.10 MADDU-KANONI'!K32,'18.10 MADDU-KANONI-24h'!K32,'19.10 MADDU-KANONI-24h'!K32,'20.10 MADDU-KANONI'!K32,'21.10 MADDU-KANONI'!K32,'22.10 MADDU-KANONI'!K32,'23.10 MADDU-KANONI'!K32)</f>
        <v>0</v>
      </c>
      <c r="L32" s="49">
        <f>AVERAGE('17.10 MADDU-KANONI'!L32,'18.10 MADDU-KANONI-24h'!L32,'19.10 MADDU-KANONI-24h'!L32,'20.10 MADDU-KANONI'!L32,'21.10 MADDU-KANONI'!L32,'22.10 MADDU-KANONI'!L32,'23.10 MADDU-KANONI'!L32)</f>
        <v>0</v>
      </c>
      <c r="M32" s="49">
        <f>AVERAGE('17.10 MADDU-KANONI'!M32,'18.10 MADDU-KANONI-24h'!M32,'19.10 MADDU-KANONI-24h'!M32,'20.10 MADDU-KANONI'!M32,'21.10 MADDU-KANONI'!M32,'22.10 MADDU-KANONI'!M32,'23.10 MADDU-KANONI'!M32)</f>
        <v>6.2857142857142856</v>
      </c>
      <c r="N32" s="49">
        <f>AVERAGE('17.10 MADDU-KANONI'!N32,'18.10 MADDU-KANONI-24h'!N32,'19.10 MADDU-KANONI-24h'!N32,'20.10 MADDU-KANONI'!N32,'21.10 MADDU-KANONI'!N32,'22.10 MADDU-KANONI'!N32,'23.10 MADDU-KANONI'!N32)</f>
        <v>0</v>
      </c>
      <c r="O32" s="15">
        <f t="shared" si="0"/>
        <v>4.4285714285714288</v>
      </c>
      <c r="P32" s="15">
        <f t="shared" si="1"/>
        <v>10.714285714285715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4</v>
      </c>
      <c r="AF32" s="31">
        <f t="shared" si="24"/>
        <v>4</v>
      </c>
    </row>
    <row r="33" spans="2:32" ht="23.1" customHeight="1" x14ac:dyDescent="0.25">
      <c r="B33" s="23" t="s">
        <v>60</v>
      </c>
      <c r="C33" s="49">
        <f>AVERAGE('17.10 MADDU-KANONI'!C33,'18.10 MADDU-KANONI-24h'!C33,'19.10 MADDU-KANONI-24h'!C33,'20.10 MADDU-KANONI'!C33,'21.10 MADDU-KANONI'!C33,'22.10 MADDU-KANONI'!C33,'23.10 MADDU-KANONI'!C33)</f>
        <v>1.8571428571428572</v>
      </c>
      <c r="D33" s="49">
        <f>AVERAGE('17.10 MADDU-KANONI'!D33,'18.10 MADDU-KANONI-24h'!D33,'19.10 MADDU-KANONI-24h'!D33,'20.10 MADDU-KANONI'!D33,'21.10 MADDU-KANONI'!D33,'22.10 MADDU-KANONI'!D33,'23.10 MADDU-KANONI'!D33)</f>
        <v>0.8571428571428571</v>
      </c>
      <c r="E33" s="49">
        <f>AVERAGE('17.10 MADDU-KANONI'!E33,'18.10 MADDU-KANONI-24h'!E33,'19.10 MADDU-KANONI-24h'!E33,'20.10 MADDU-KANONI'!E33,'21.10 MADDU-KANONI'!E33,'22.10 MADDU-KANONI'!E33,'23.10 MADDU-KANONI'!E33)</f>
        <v>0.8571428571428571</v>
      </c>
      <c r="F33" s="49">
        <f>AVERAGE('17.10 MADDU-KANONI'!F33,'18.10 MADDU-KANONI-24h'!F33,'19.10 MADDU-KANONI-24h'!F33,'20.10 MADDU-KANONI'!F33,'21.10 MADDU-KANONI'!F33,'22.10 MADDU-KANONI'!F33,'23.10 MADDU-KANONI'!F33)</f>
        <v>1.2857142857142858</v>
      </c>
      <c r="G33" s="49">
        <f>AVERAGE('17.10 MADDU-KANONI'!G33,'18.10 MADDU-KANONI-24h'!G33,'19.10 MADDU-KANONI-24h'!G33,'20.10 MADDU-KANONI'!G33,'21.10 MADDU-KANONI'!G33,'22.10 MADDU-KANONI'!G33,'23.10 MADDU-KANONI'!G33)</f>
        <v>0</v>
      </c>
      <c r="H33" s="49">
        <f>AVERAGE('17.10 MADDU-KANONI'!H33,'18.10 MADDU-KANONI-24h'!H33,'19.10 MADDU-KANONI-24h'!H33,'20.10 MADDU-KANONI'!H33,'21.10 MADDU-KANONI'!H33,'22.10 MADDU-KANONI'!H33,'23.10 MADDU-KANONI'!H33)</f>
        <v>0</v>
      </c>
      <c r="I33" s="49">
        <f>AVERAGE('17.10 MADDU-KANONI'!I33,'18.10 MADDU-KANONI-24h'!I33,'19.10 MADDU-KANONI-24h'!I33,'20.10 MADDU-KANONI'!I33,'21.10 MADDU-KANONI'!I33,'22.10 MADDU-KANONI'!I33,'23.10 MADDU-KANONI'!I33)</f>
        <v>0.2857142857142857</v>
      </c>
      <c r="J33" s="49">
        <f>AVERAGE('17.10 MADDU-KANONI'!J33,'18.10 MADDU-KANONI-24h'!J33,'19.10 MADDU-KANONI-24h'!J33,'20.10 MADDU-KANONI'!J33,'21.10 MADDU-KANONI'!J33,'22.10 MADDU-KANONI'!J33,'23.10 MADDU-KANONI'!J33)</f>
        <v>0.14285714285714285</v>
      </c>
      <c r="K33" s="49">
        <f>AVERAGE('17.10 MADDU-KANONI'!K33,'18.10 MADDU-KANONI-24h'!K33,'19.10 MADDU-KANONI-24h'!K33,'20.10 MADDU-KANONI'!K33,'21.10 MADDU-KANONI'!K33,'22.10 MADDU-KANONI'!K33,'23.10 MADDU-KANONI'!K33)</f>
        <v>0.14285714285714285</v>
      </c>
      <c r="L33" s="49">
        <f>AVERAGE('17.10 MADDU-KANONI'!L33,'18.10 MADDU-KANONI-24h'!L33,'19.10 MADDU-KANONI-24h'!L33,'20.10 MADDU-KANONI'!L33,'21.10 MADDU-KANONI'!L33,'22.10 MADDU-KANONI'!L33,'23.10 MADDU-KANONI'!L33)</f>
        <v>0</v>
      </c>
      <c r="M33" s="49">
        <f>AVERAGE('17.10 MADDU-KANONI'!M33,'18.10 MADDU-KANONI-24h'!M33,'19.10 MADDU-KANONI-24h'!M33,'20.10 MADDU-KANONI'!M33,'21.10 MADDU-KANONI'!M33,'22.10 MADDU-KANONI'!M33,'23.10 MADDU-KANONI'!M33)</f>
        <v>10.571428571428571</v>
      </c>
      <c r="N33" s="49">
        <f>AVERAGE('17.10 MADDU-KANONI'!N33,'18.10 MADDU-KANONI-24h'!N33,'19.10 MADDU-KANONI-24h'!N33,'20.10 MADDU-KANONI'!N33,'21.10 MADDU-KANONI'!N33,'22.10 MADDU-KANONI'!N33,'23.10 MADDU-KANONI'!N33)</f>
        <v>0</v>
      </c>
      <c r="O33" s="15">
        <f t="shared" si="0"/>
        <v>5.4285714285714297</v>
      </c>
      <c r="P33" s="15">
        <f t="shared" si="1"/>
        <v>16</v>
      </c>
      <c r="R33" s="1" t="s">
        <v>157</v>
      </c>
      <c r="S33" s="34">
        <f>SUM(C102:C105)</f>
        <v>1.5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3.5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5</v>
      </c>
      <c r="AD33" s="34">
        <f t="shared" si="25"/>
        <v>0</v>
      </c>
      <c r="AE33" s="31">
        <f t="shared" si="25"/>
        <v>7</v>
      </c>
      <c r="AF33" s="31">
        <f t="shared" si="25"/>
        <v>12</v>
      </c>
    </row>
    <row r="34" spans="2:32" ht="23.1" customHeight="1" x14ac:dyDescent="0.25">
      <c r="B34" s="24" t="s">
        <v>61</v>
      </c>
      <c r="C34" s="49">
        <f>AVERAGE('17.10 MADDU-KANONI'!C34,'18.10 MADDU-KANONI-24h'!C34,'19.10 MADDU-KANONI-24h'!C34,'20.10 MADDU-KANONI'!C34,'21.10 MADDU-KANONI'!C34,'22.10 MADDU-KANONI'!C34,'23.10 MADDU-KANONI'!C34)</f>
        <v>2</v>
      </c>
      <c r="D34" s="49">
        <f>AVERAGE('17.10 MADDU-KANONI'!D34,'18.10 MADDU-KANONI-24h'!D34,'19.10 MADDU-KANONI-24h'!D34,'20.10 MADDU-KANONI'!D34,'21.10 MADDU-KANONI'!D34,'22.10 MADDU-KANONI'!D34,'23.10 MADDU-KANONI'!D34)</f>
        <v>0.5714285714285714</v>
      </c>
      <c r="E34" s="49">
        <f>AVERAGE('17.10 MADDU-KANONI'!E34,'18.10 MADDU-KANONI-24h'!E34,'19.10 MADDU-KANONI-24h'!E34,'20.10 MADDU-KANONI'!E34,'21.10 MADDU-KANONI'!E34,'22.10 MADDU-KANONI'!E34,'23.10 MADDU-KANONI'!E34)</f>
        <v>0.5714285714285714</v>
      </c>
      <c r="F34" s="49">
        <f>AVERAGE('17.10 MADDU-KANONI'!F34,'18.10 MADDU-KANONI-24h'!F34,'19.10 MADDU-KANONI-24h'!F34,'20.10 MADDU-KANONI'!F34,'21.10 MADDU-KANONI'!F34,'22.10 MADDU-KANONI'!F34,'23.10 MADDU-KANONI'!F34)</f>
        <v>1.1428571428571428</v>
      </c>
      <c r="G34" s="49">
        <f>AVERAGE('17.10 MADDU-KANONI'!G34,'18.10 MADDU-KANONI-24h'!G34,'19.10 MADDU-KANONI-24h'!G34,'20.10 MADDU-KANONI'!G34,'21.10 MADDU-KANONI'!G34,'22.10 MADDU-KANONI'!G34,'23.10 MADDU-KANONI'!G34)</f>
        <v>0</v>
      </c>
      <c r="H34" s="49">
        <f>AVERAGE('17.10 MADDU-KANONI'!H34,'18.10 MADDU-KANONI-24h'!H34,'19.10 MADDU-KANONI-24h'!H34,'20.10 MADDU-KANONI'!H34,'21.10 MADDU-KANONI'!H34,'22.10 MADDU-KANONI'!H34,'23.10 MADDU-KANONI'!H34)</f>
        <v>0</v>
      </c>
      <c r="I34" s="49">
        <f>AVERAGE('17.10 MADDU-KANONI'!I34,'18.10 MADDU-KANONI-24h'!I34,'19.10 MADDU-KANONI-24h'!I34,'20.10 MADDU-KANONI'!I34,'21.10 MADDU-KANONI'!I34,'22.10 MADDU-KANONI'!I34,'23.10 MADDU-KANONI'!I34)</f>
        <v>0.2857142857142857</v>
      </c>
      <c r="J34" s="49">
        <f>AVERAGE('17.10 MADDU-KANONI'!J34,'18.10 MADDU-KANONI-24h'!J34,'19.10 MADDU-KANONI-24h'!J34,'20.10 MADDU-KANONI'!J34,'21.10 MADDU-KANONI'!J34,'22.10 MADDU-KANONI'!J34,'23.10 MADDU-KANONI'!J34)</f>
        <v>0.5714285714285714</v>
      </c>
      <c r="K34" s="49">
        <f>AVERAGE('17.10 MADDU-KANONI'!K34,'18.10 MADDU-KANONI-24h'!K34,'19.10 MADDU-KANONI-24h'!K34,'20.10 MADDU-KANONI'!K34,'21.10 MADDU-KANONI'!K34,'22.10 MADDU-KANONI'!K34,'23.10 MADDU-KANONI'!K34)</f>
        <v>0.14285714285714285</v>
      </c>
      <c r="L34" s="49">
        <f>AVERAGE('17.10 MADDU-KANONI'!L34,'18.10 MADDU-KANONI-24h'!L34,'19.10 MADDU-KANONI-24h'!L34,'20.10 MADDU-KANONI'!L34,'21.10 MADDU-KANONI'!L34,'22.10 MADDU-KANONI'!L34,'23.10 MADDU-KANONI'!L34)</f>
        <v>0</v>
      </c>
      <c r="M34" s="49">
        <f>AVERAGE('17.10 MADDU-KANONI'!M34,'18.10 MADDU-KANONI-24h'!M34,'19.10 MADDU-KANONI-24h'!M34,'20.10 MADDU-KANONI'!M34,'21.10 MADDU-KANONI'!M34,'22.10 MADDU-KANONI'!M34,'23.10 MADDU-KANONI'!M34)</f>
        <v>11.285714285714286</v>
      </c>
      <c r="N34" s="49">
        <f>AVERAGE('17.10 MADDU-KANONI'!N34,'18.10 MADDU-KANONI-24h'!N34,'19.10 MADDU-KANONI-24h'!N34,'20.10 MADDU-KANONI'!N34,'21.10 MADDU-KANONI'!N34,'22.10 MADDU-KANONI'!N34,'23.10 MADDU-KANONI'!N34)</f>
        <v>0</v>
      </c>
      <c r="O34" s="15">
        <f t="shared" si="0"/>
        <v>5.2857142857142847</v>
      </c>
      <c r="P34" s="15">
        <f t="shared" si="1"/>
        <v>16.571428571428569</v>
      </c>
      <c r="R34" s="52" t="s">
        <v>90</v>
      </c>
      <c r="S34" s="53">
        <f t="shared" ref="S34:AF34" si="26">MAX(S10:S12)</f>
        <v>4.7142857142857144</v>
      </c>
      <c r="T34" s="53">
        <f t="shared" si="26"/>
        <v>1.5714285714285714</v>
      </c>
      <c r="U34" s="53">
        <f t="shared" si="26"/>
        <v>2.2857142857142856</v>
      </c>
      <c r="V34" s="53">
        <f t="shared" si="26"/>
        <v>10</v>
      </c>
      <c r="W34" s="53">
        <f t="shared" si="26"/>
        <v>0.14285714285714285</v>
      </c>
      <c r="X34" s="53">
        <f t="shared" si="26"/>
        <v>0.14285714285714285</v>
      </c>
      <c r="Y34" s="53">
        <f t="shared" si="26"/>
        <v>0.8571428571428571</v>
      </c>
      <c r="Z34" s="53">
        <f t="shared" si="26"/>
        <v>0.71428571428571419</v>
      </c>
      <c r="AA34" s="53">
        <f t="shared" si="26"/>
        <v>0.14285714285714285</v>
      </c>
      <c r="AB34" s="53">
        <f t="shared" si="26"/>
        <v>0</v>
      </c>
      <c r="AC34" s="53">
        <f t="shared" si="26"/>
        <v>39.142857142857139</v>
      </c>
      <c r="AD34" s="53">
        <f t="shared" si="26"/>
        <v>0</v>
      </c>
      <c r="AE34" s="40">
        <f t="shared" si="26"/>
        <v>18.857142857142858</v>
      </c>
      <c r="AF34" s="40">
        <f t="shared" si="26"/>
        <v>57.714285714285715</v>
      </c>
    </row>
    <row r="35" spans="2:32" ht="23.1" customHeight="1" x14ac:dyDescent="0.25">
      <c r="B35" s="24" t="s">
        <v>62</v>
      </c>
      <c r="C35" s="49">
        <f>AVERAGE('17.10 MADDU-KANONI'!C35,'18.10 MADDU-KANONI-24h'!C35,'19.10 MADDU-KANONI-24h'!C35,'20.10 MADDU-KANONI'!C35,'21.10 MADDU-KANONI'!C35,'22.10 MADDU-KANONI'!C35,'23.10 MADDU-KANONI'!C35)</f>
        <v>1.7142857142857142</v>
      </c>
      <c r="D35" s="49">
        <f>AVERAGE('17.10 MADDU-KANONI'!D35,'18.10 MADDU-KANONI-24h'!D35,'19.10 MADDU-KANONI-24h'!D35,'20.10 MADDU-KANONI'!D35,'21.10 MADDU-KANONI'!D35,'22.10 MADDU-KANONI'!D35,'23.10 MADDU-KANONI'!D35)</f>
        <v>1</v>
      </c>
      <c r="E35" s="49">
        <f>AVERAGE('17.10 MADDU-KANONI'!E35,'18.10 MADDU-KANONI-24h'!E35,'19.10 MADDU-KANONI-24h'!E35,'20.10 MADDU-KANONI'!E35,'21.10 MADDU-KANONI'!E35,'22.10 MADDU-KANONI'!E35,'23.10 MADDU-KANONI'!E35)</f>
        <v>0.42857142857142855</v>
      </c>
      <c r="F35" s="49">
        <f>AVERAGE('17.10 MADDU-KANONI'!F35,'18.10 MADDU-KANONI-24h'!F35,'19.10 MADDU-KANONI-24h'!F35,'20.10 MADDU-KANONI'!F35,'21.10 MADDU-KANONI'!F35,'22.10 MADDU-KANONI'!F35,'23.10 MADDU-KANONI'!F35)</f>
        <v>2</v>
      </c>
      <c r="G35" s="49">
        <f>AVERAGE('17.10 MADDU-KANONI'!G35,'18.10 MADDU-KANONI-24h'!G35,'19.10 MADDU-KANONI-24h'!G35,'20.10 MADDU-KANONI'!G35,'21.10 MADDU-KANONI'!G35,'22.10 MADDU-KANONI'!G35,'23.10 MADDU-KANONI'!G35)</f>
        <v>0</v>
      </c>
      <c r="H35" s="49">
        <f>AVERAGE('17.10 MADDU-KANONI'!H35,'18.10 MADDU-KANONI-24h'!H35,'19.10 MADDU-KANONI-24h'!H35,'20.10 MADDU-KANONI'!H35,'21.10 MADDU-KANONI'!H35,'22.10 MADDU-KANONI'!H35,'23.10 MADDU-KANONI'!H35)</f>
        <v>0</v>
      </c>
      <c r="I35" s="49">
        <f>AVERAGE('17.10 MADDU-KANONI'!I35,'18.10 MADDU-KANONI-24h'!I35,'19.10 MADDU-KANONI-24h'!I35,'20.10 MADDU-KANONI'!I35,'21.10 MADDU-KANONI'!I35,'22.10 MADDU-KANONI'!I35,'23.10 MADDU-KANONI'!I35)</f>
        <v>0.14285714285714285</v>
      </c>
      <c r="J35" s="49">
        <f>AVERAGE('17.10 MADDU-KANONI'!J35,'18.10 MADDU-KANONI-24h'!J35,'19.10 MADDU-KANONI-24h'!J35,'20.10 MADDU-KANONI'!J35,'21.10 MADDU-KANONI'!J35,'22.10 MADDU-KANONI'!J35,'23.10 MADDU-KANONI'!J35)</f>
        <v>0.14285714285714285</v>
      </c>
      <c r="K35" s="49">
        <f>AVERAGE('17.10 MADDU-KANONI'!K35,'18.10 MADDU-KANONI-24h'!K35,'19.10 MADDU-KANONI-24h'!K35,'20.10 MADDU-KANONI'!K35,'21.10 MADDU-KANONI'!K35,'22.10 MADDU-KANONI'!K35,'23.10 MADDU-KANONI'!K35)</f>
        <v>0.14285714285714285</v>
      </c>
      <c r="L35" s="49">
        <f>AVERAGE('17.10 MADDU-KANONI'!L35,'18.10 MADDU-KANONI-24h'!L35,'19.10 MADDU-KANONI-24h'!L35,'20.10 MADDU-KANONI'!L35,'21.10 MADDU-KANONI'!L35,'22.10 MADDU-KANONI'!L35,'23.10 MADDU-KANONI'!L35)</f>
        <v>0</v>
      </c>
      <c r="M35" s="49">
        <f>AVERAGE('17.10 MADDU-KANONI'!M35,'18.10 MADDU-KANONI-24h'!M35,'19.10 MADDU-KANONI-24h'!M35,'20.10 MADDU-KANONI'!M35,'21.10 MADDU-KANONI'!M35,'22.10 MADDU-KANONI'!M35,'23.10 MADDU-KANONI'!M35)</f>
        <v>12.857142857142858</v>
      </c>
      <c r="N35" s="49">
        <f>AVERAGE('17.10 MADDU-KANONI'!N35,'18.10 MADDU-KANONI-24h'!N35,'19.10 MADDU-KANONI-24h'!N35,'20.10 MADDU-KANONI'!N35,'21.10 MADDU-KANONI'!N35,'22.10 MADDU-KANONI'!N35,'23.10 MADDU-KANONI'!N35)</f>
        <v>0</v>
      </c>
      <c r="O35" s="15">
        <f t="shared" si="0"/>
        <v>5.5714285714285721</v>
      </c>
      <c r="P35" s="15">
        <f t="shared" si="1"/>
        <v>18.428571428571431</v>
      </c>
      <c r="R35" s="52" t="s">
        <v>91</v>
      </c>
      <c r="S35" s="53">
        <f t="shared" ref="S35:AF35" si="27">MAX(S13:S18)</f>
        <v>8.5714285714285712</v>
      </c>
      <c r="T35" s="53">
        <f t="shared" si="27"/>
        <v>4.5714285714285712</v>
      </c>
      <c r="U35" s="53">
        <f t="shared" si="27"/>
        <v>2.5714285714285712</v>
      </c>
      <c r="V35" s="53">
        <f t="shared" si="27"/>
        <v>7.5714285714285712</v>
      </c>
      <c r="W35" s="53">
        <f t="shared" si="27"/>
        <v>0.14285714285714285</v>
      </c>
      <c r="X35" s="53">
        <f t="shared" si="27"/>
        <v>0</v>
      </c>
      <c r="Y35" s="53">
        <f t="shared" si="27"/>
        <v>2.1428571428571423</v>
      </c>
      <c r="Z35" s="53">
        <f t="shared" si="27"/>
        <v>1.4285714285714284</v>
      </c>
      <c r="AA35" s="53">
        <f t="shared" si="27"/>
        <v>1.2857142857142856</v>
      </c>
      <c r="AB35" s="53">
        <f t="shared" si="27"/>
        <v>0</v>
      </c>
      <c r="AC35" s="53">
        <f t="shared" si="27"/>
        <v>47.571428571428569</v>
      </c>
      <c r="AD35" s="53">
        <f t="shared" si="27"/>
        <v>0</v>
      </c>
      <c r="AE35" s="40">
        <f t="shared" si="27"/>
        <v>24.857142857142854</v>
      </c>
      <c r="AF35" s="40">
        <f t="shared" si="27"/>
        <v>68.714285714285708</v>
      </c>
    </row>
    <row r="36" spans="2:32" ht="23.1" customHeight="1" x14ac:dyDescent="0.25">
      <c r="B36" s="24" t="s">
        <v>63</v>
      </c>
      <c r="C36" s="49">
        <f>AVERAGE('17.10 MADDU-KANONI'!C36,'18.10 MADDU-KANONI-24h'!C36,'19.10 MADDU-KANONI-24h'!C36,'20.10 MADDU-KANONI'!C36,'21.10 MADDU-KANONI'!C36,'22.10 MADDU-KANONI'!C36,'23.10 MADDU-KANONI'!C36)</f>
        <v>2</v>
      </c>
      <c r="D36" s="49">
        <f>AVERAGE('17.10 MADDU-KANONI'!D36,'18.10 MADDU-KANONI-24h'!D36,'19.10 MADDU-KANONI-24h'!D36,'20.10 MADDU-KANONI'!D36,'21.10 MADDU-KANONI'!D36,'22.10 MADDU-KANONI'!D36,'23.10 MADDU-KANONI'!D36)</f>
        <v>1</v>
      </c>
      <c r="E36" s="49">
        <f>AVERAGE('17.10 MADDU-KANONI'!E36,'18.10 MADDU-KANONI-24h'!E36,'19.10 MADDU-KANONI-24h'!E36,'20.10 MADDU-KANONI'!E36,'21.10 MADDU-KANONI'!E36,'22.10 MADDU-KANONI'!E36,'23.10 MADDU-KANONI'!E36)</f>
        <v>0.2857142857142857</v>
      </c>
      <c r="F36" s="49">
        <f>AVERAGE('17.10 MADDU-KANONI'!F36,'18.10 MADDU-KANONI-24h'!F36,'19.10 MADDU-KANONI-24h'!F36,'20.10 MADDU-KANONI'!F36,'21.10 MADDU-KANONI'!F36,'22.10 MADDU-KANONI'!F36,'23.10 MADDU-KANONI'!F36)</f>
        <v>1</v>
      </c>
      <c r="G36" s="49">
        <f>AVERAGE('17.10 MADDU-KANONI'!G36,'18.10 MADDU-KANONI-24h'!G36,'19.10 MADDU-KANONI-24h'!G36,'20.10 MADDU-KANONI'!G36,'21.10 MADDU-KANONI'!G36,'22.10 MADDU-KANONI'!G36,'23.10 MADDU-KANONI'!G36)</f>
        <v>0</v>
      </c>
      <c r="H36" s="49">
        <f>AVERAGE('17.10 MADDU-KANONI'!H36,'18.10 MADDU-KANONI-24h'!H36,'19.10 MADDU-KANONI-24h'!H36,'20.10 MADDU-KANONI'!H36,'21.10 MADDU-KANONI'!H36,'22.10 MADDU-KANONI'!H36,'23.10 MADDU-KANONI'!H36)</f>
        <v>0</v>
      </c>
      <c r="I36" s="49">
        <f>AVERAGE('17.10 MADDU-KANONI'!I36,'18.10 MADDU-KANONI-24h'!I36,'19.10 MADDU-KANONI-24h'!I36,'20.10 MADDU-KANONI'!I36,'21.10 MADDU-KANONI'!I36,'22.10 MADDU-KANONI'!I36,'23.10 MADDU-KANONI'!I36)</f>
        <v>0.14285714285714285</v>
      </c>
      <c r="J36" s="49">
        <f>AVERAGE('17.10 MADDU-KANONI'!J36,'18.10 MADDU-KANONI-24h'!J36,'19.10 MADDU-KANONI-24h'!J36,'20.10 MADDU-KANONI'!J36,'21.10 MADDU-KANONI'!J36,'22.10 MADDU-KANONI'!J36,'23.10 MADDU-KANONI'!J36)</f>
        <v>0.2857142857142857</v>
      </c>
      <c r="K36" s="49">
        <f>AVERAGE('17.10 MADDU-KANONI'!K36,'18.10 MADDU-KANONI-24h'!K36,'19.10 MADDU-KANONI-24h'!K36,'20.10 MADDU-KANONI'!K36,'21.10 MADDU-KANONI'!K36,'22.10 MADDU-KANONI'!K36,'23.10 MADDU-KANONI'!K36)</f>
        <v>0.2857142857142857</v>
      </c>
      <c r="L36" s="49">
        <f>AVERAGE('17.10 MADDU-KANONI'!L36,'18.10 MADDU-KANONI-24h'!L36,'19.10 MADDU-KANONI-24h'!L36,'20.10 MADDU-KANONI'!L36,'21.10 MADDU-KANONI'!L36,'22.10 MADDU-KANONI'!L36,'23.10 MADDU-KANONI'!L36)</f>
        <v>0</v>
      </c>
      <c r="M36" s="49">
        <f>AVERAGE('17.10 MADDU-KANONI'!M36,'18.10 MADDU-KANONI-24h'!M36,'19.10 MADDU-KANONI-24h'!M36,'20.10 MADDU-KANONI'!M36,'21.10 MADDU-KANONI'!M36,'22.10 MADDU-KANONI'!M36,'23.10 MADDU-KANONI'!M36)</f>
        <v>12.285714285714286</v>
      </c>
      <c r="N36" s="49">
        <f>AVERAGE('17.10 MADDU-KANONI'!N36,'18.10 MADDU-KANONI-24h'!N36,'19.10 MADDU-KANONI-24h'!N36,'20.10 MADDU-KANONI'!N36,'21.10 MADDU-KANONI'!N36,'22.10 MADDU-KANONI'!N36,'23.10 MADDU-KANONI'!N36)</f>
        <v>0</v>
      </c>
      <c r="O36" s="15">
        <f t="shared" si="0"/>
        <v>5</v>
      </c>
      <c r="P36" s="15">
        <f t="shared" si="1"/>
        <v>17.285714285714285</v>
      </c>
      <c r="R36" s="52" t="s">
        <v>92</v>
      </c>
      <c r="S36" s="53">
        <f t="shared" ref="S36:AF36" si="28">MAX(S19:S21)</f>
        <v>10.857142857142858</v>
      </c>
      <c r="T36" s="53">
        <f t="shared" si="28"/>
        <v>4.8571428571428577</v>
      </c>
      <c r="U36" s="53">
        <f t="shared" si="28"/>
        <v>4.2857142857142856</v>
      </c>
      <c r="V36" s="53">
        <f t="shared" si="28"/>
        <v>10.428571428571429</v>
      </c>
      <c r="W36" s="53">
        <f t="shared" si="28"/>
        <v>0.42857142857142855</v>
      </c>
      <c r="X36" s="53">
        <f t="shared" si="28"/>
        <v>0.14285714285714285</v>
      </c>
      <c r="Y36" s="53">
        <f t="shared" si="28"/>
        <v>3.2857142857142856</v>
      </c>
      <c r="Z36" s="53">
        <f t="shared" si="28"/>
        <v>1.2857142857142856</v>
      </c>
      <c r="AA36" s="53">
        <f t="shared" si="28"/>
        <v>1</v>
      </c>
      <c r="AB36" s="53">
        <f t="shared" si="28"/>
        <v>0.14285714285714285</v>
      </c>
      <c r="AC36" s="53">
        <f t="shared" si="28"/>
        <v>54.428571428571431</v>
      </c>
      <c r="AD36" s="53">
        <f t="shared" si="28"/>
        <v>0</v>
      </c>
      <c r="AE36" s="40">
        <f t="shared" si="28"/>
        <v>32.428571428571431</v>
      </c>
      <c r="AF36" s="40">
        <f t="shared" si="28"/>
        <v>85.571428571428569</v>
      </c>
    </row>
    <row r="37" spans="2:32" ht="23.1" customHeight="1" x14ac:dyDescent="0.25">
      <c r="B37" s="23" t="s">
        <v>64</v>
      </c>
      <c r="C37" s="49">
        <f>AVERAGE('17.10 MADDU-KANONI'!C37,'18.10 MADDU-KANONI-24h'!C37,'19.10 MADDU-KANONI-24h'!C37,'20.10 MADDU-KANONI'!C37,'21.10 MADDU-KANONI'!C37,'22.10 MADDU-KANONI'!C37,'23.10 MADDU-KANONI'!C37)</f>
        <v>1.8571428571428572</v>
      </c>
      <c r="D37" s="49">
        <f>AVERAGE('17.10 MADDU-KANONI'!D37,'18.10 MADDU-KANONI-24h'!D37,'19.10 MADDU-KANONI-24h'!D37,'20.10 MADDU-KANONI'!D37,'21.10 MADDU-KANONI'!D37,'22.10 MADDU-KANONI'!D37,'23.10 MADDU-KANONI'!D37)</f>
        <v>0.8571428571428571</v>
      </c>
      <c r="E37" s="49">
        <f>AVERAGE('17.10 MADDU-KANONI'!E37,'18.10 MADDU-KANONI-24h'!E37,'19.10 MADDU-KANONI-24h'!E37,'20.10 MADDU-KANONI'!E37,'21.10 MADDU-KANONI'!E37,'22.10 MADDU-KANONI'!E37,'23.10 MADDU-KANONI'!E37)</f>
        <v>0.8571428571428571</v>
      </c>
      <c r="F37" s="49">
        <f>AVERAGE('17.10 MADDU-KANONI'!F37,'18.10 MADDU-KANONI-24h'!F37,'19.10 MADDU-KANONI-24h'!F37,'20.10 MADDU-KANONI'!F37,'21.10 MADDU-KANONI'!F37,'22.10 MADDU-KANONI'!F37,'23.10 MADDU-KANONI'!F37)</f>
        <v>1.1428571428571428</v>
      </c>
      <c r="G37" s="49">
        <f>AVERAGE('17.10 MADDU-KANONI'!G37,'18.10 MADDU-KANONI-24h'!G37,'19.10 MADDU-KANONI-24h'!G37,'20.10 MADDU-KANONI'!G37,'21.10 MADDU-KANONI'!G37,'22.10 MADDU-KANONI'!G37,'23.10 MADDU-KANONI'!G37)</f>
        <v>0</v>
      </c>
      <c r="H37" s="49">
        <f>AVERAGE('17.10 MADDU-KANONI'!H37,'18.10 MADDU-KANONI-24h'!H37,'19.10 MADDU-KANONI-24h'!H37,'20.10 MADDU-KANONI'!H37,'21.10 MADDU-KANONI'!H37,'22.10 MADDU-KANONI'!H37,'23.10 MADDU-KANONI'!H37)</f>
        <v>0</v>
      </c>
      <c r="I37" s="49">
        <f>AVERAGE('17.10 MADDU-KANONI'!I37,'18.10 MADDU-KANONI-24h'!I37,'19.10 MADDU-KANONI-24h'!I37,'20.10 MADDU-KANONI'!I37,'21.10 MADDU-KANONI'!I37,'22.10 MADDU-KANONI'!I37,'23.10 MADDU-KANONI'!I37)</f>
        <v>0</v>
      </c>
      <c r="J37" s="49">
        <f>AVERAGE('17.10 MADDU-KANONI'!J37,'18.10 MADDU-KANONI-24h'!J37,'19.10 MADDU-KANONI-24h'!J37,'20.10 MADDU-KANONI'!J37,'21.10 MADDU-KANONI'!J37,'22.10 MADDU-KANONI'!J37,'23.10 MADDU-KANONI'!J37)</f>
        <v>0.14285714285714285</v>
      </c>
      <c r="K37" s="49">
        <f>AVERAGE('17.10 MADDU-KANONI'!K37,'18.10 MADDU-KANONI-24h'!K37,'19.10 MADDU-KANONI-24h'!K37,'20.10 MADDU-KANONI'!K37,'21.10 MADDU-KANONI'!K37,'22.10 MADDU-KANONI'!K37,'23.10 MADDU-KANONI'!K37)</f>
        <v>0.14285714285714285</v>
      </c>
      <c r="L37" s="49">
        <f>AVERAGE('17.10 MADDU-KANONI'!L37,'18.10 MADDU-KANONI-24h'!L37,'19.10 MADDU-KANONI-24h'!L37,'20.10 MADDU-KANONI'!L37,'21.10 MADDU-KANONI'!L37,'22.10 MADDU-KANONI'!L37,'23.10 MADDU-KANONI'!L37)</f>
        <v>0</v>
      </c>
      <c r="M37" s="49">
        <f>AVERAGE('17.10 MADDU-KANONI'!M37,'18.10 MADDU-KANONI-24h'!M37,'19.10 MADDU-KANONI-24h'!M37,'20.10 MADDU-KANONI'!M37,'21.10 MADDU-KANONI'!M37,'22.10 MADDU-KANONI'!M37,'23.10 MADDU-KANONI'!M37)</f>
        <v>11.142857142857142</v>
      </c>
      <c r="N37" s="49">
        <f>AVERAGE('17.10 MADDU-KANONI'!N37,'18.10 MADDU-KANONI-24h'!N37,'19.10 MADDU-KANONI-24h'!N37,'20.10 MADDU-KANONI'!N37,'21.10 MADDU-KANONI'!N37,'22.10 MADDU-KANONI'!N37,'23.10 MADDU-KANONI'!N37)</f>
        <v>0</v>
      </c>
      <c r="O37" s="15">
        <f t="shared" si="0"/>
        <v>5.0000000000000009</v>
      </c>
      <c r="P37" s="15">
        <f t="shared" si="1"/>
        <v>16.142857142857142</v>
      </c>
      <c r="R37" s="37" t="s">
        <v>85</v>
      </c>
      <c r="S37" s="54">
        <f t="shared" ref="S37:AF37" si="29">SUM(S10:S12)</f>
        <v>13.142857142857142</v>
      </c>
      <c r="T37" s="55">
        <f t="shared" si="29"/>
        <v>3.4285714285714284</v>
      </c>
      <c r="U37" s="55">
        <f t="shared" si="29"/>
        <v>5</v>
      </c>
      <c r="V37" s="55">
        <f t="shared" si="29"/>
        <v>25.571428571428569</v>
      </c>
      <c r="W37" s="55">
        <f t="shared" si="29"/>
        <v>0.14285714285714285</v>
      </c>
      <c r="X37" s="55">
        <f t="shared" si="29"/>
        <v>0.14285714285714285</v>
      </c>
      <c r="Y37" s="55">
        <f t="shared" si="29"/>
        <v>1.7142857142857142</v>
      </c>
      <c r="Z37" s="55">
        <f t="shared" si="29"/>
        <v>1.5714285714285712</v>
      </c>
      <c r="AA37" s="55">
        <f t="shared" si="29"/>
        <v>0.2857142857142857</v>
      </c>
      <c r="AB37" s="55">
        <f t="shared" si="29"/>
        <v>0</v>
      </c>
      <c r="AC37" s="55">
        <f t="shared" si="29"/>
        <v>106.14285714285714</v>
      </c>
      <c r="AD37" s="55">
        <f t="shared" si="29"/>
        <v>0</v>
      </c>
      <c r="AE37" s="56">
        <f t="shared" si="29"/>
        <v>51</v>
      </c>
      <c r="AF37" s="56">
        <f t="shared" si="29"/>
        <v>157.14285714285714</v>
      </c>
    </row>
    <row r="38" spans="2:32" ht="23.1" customHeight="1" x14ac:dyDescent="0.25">
      <c r="B38" s="24" t="s">
        <v>65</v>
      </c>
      <c r="C38" s="49">
        <f>AVERAGE('17.10 MADDU-KANONI'!C38,'18.10 MADDU-KANONI-24h'!C38,'19.10 MADDU-KANONI-24h'!C38,'20.10 MADDU-KANONI'!C38,'21.10 MADDU-KANONI'!C38,'22.10 MADDU-KANONI'!C38,'23.10 MADDU-KANONI'!C38)</f>
        <v>1.1428571428571428</v>
      </c>
      <c r="D38" s="49">
        <f>AVERAGE('17.10 MADDU-KANONI'!D38,'18.10 MADDU-KANONI-24h'!D38,'19.10 MADDU-KANONI-24h'!D38,'20.10 MADDU-KANONI'!D38,'21.10 MADDU-KANONI'!D38,'22.10 MADDU-KANONI'!D38,'23.10 MADDU-KANONI'!D38)</f>
        <v>0.2857142857142857</v>
      </c>
      <c r="E38" s="49">
        <f>AVERAGE('17.10 MADDU-KANONI'!E38,'18.10 MADDU-KANONI-24h'!E38,'19.10 MADDU-KANONI-24h'!E38,'20.10 MADDU-KANONI'!E38,'21.10 MADDU-KANONI'!E38,'22.10 MADDU-KANONI'!E38,'23.10 MADDU-KANONI'!E38)</f>
        <v>0.42857142857142855</v>
      </c>
      <c r="F38" s="49">
        <f>AVERAGE('17.10 MADDU-KANONI'!F38,'18.10 MADDU-KANONI-24h'!F38,'19.10 MADDU-KANONI-24h'!F38,'20.10 MADDU-KANONI'!F38,'21.10 MADDU-KANONI'!F38,'22.10 MADDU-KANONI'!F38,'23.10 MADDU-KANONI'!F38)</f>
        <v>1</v>
      </c>
      <c r="G38" s="49">
        <f>AVERAGE('17.10 MADDU-KANONI'!G38,'18.10 MADDU-KANONI-24h'!G38,'19.10 MADDU-KANONI-24h'!G38,'20.10 MADDU-KANONI'!G38,'21.10 MADDU-KANONI'!G38,'22.10 MADDU-KANONI'!G38,'23.10 MADDU-KANONI'!G38)</f>
        <v>0</v>
      </c>
      <c r="H38" s="49">
        <f>AVERAGE('17.10 MADDU-KANONI'!H38,'18.10 MADDU-KANONI-24h'!H38,'19.10 MADDU-KANONI-24h'!H38,'20.10 MADDU-KANONI'!H38,'21.10 MADDU-KANONI'!H38,'22.10 MADDU-KANONI'!H38,'23.10 MADDU-KANONI'!H38)</f>
        <v>0</v>
      </c>
      <c r="I38" s="49">
        <f>AVERAGE('17.10 MADDU-KANONI'!I38,'18.10 MADDU-KANONI-24h'!I38,'19.10 MADDU-KANONI-24h'!I38,'20.10 MADDU-KANONI'!I38,'21.10 MADDU-KANONI'!I38,'22.10 MADDU-KANONI'!I38,'23.10 MADDU-KANONI'!I38)</f>
        <v>0.42857142857142855</v>
      </c>
      <c r="J38" s="49">
        <f>AVERAGE('17.10 MADDU-KANONI'!J38,'18.10 MADDU-KANONI-24h'!J38,'19.10 MADDU-KANONI-24h'!J38,'20.10 MADDU-KANONI'!J38,'21.10 MADDU-KANONI'!J38,'22.10 MADDU-KANONI'!J38,'23.10 MADDU-KANONI'!J38)</f>
        <v>0.2857142857142857</v>
      </c>
      <c r="K38" s="49">
        <f>AVERAGE('17.10 MADDU-KANONI'!K38,'18.10 MADDU-KANONI-24h'!K38,'19.10 MADDU-KANONI-24h'!K38,'20.10 MADDU-KANONI'!K38,'21.10 MADDU-KANONI'!K38,'22.10 MADDU-KANONI'!K38,'23.10 MADDU-KANONI'!K38)</f>
        <v>0.42857142857142855</v>
      </c>
      <c r="L38" s="49">
        <f>AVERAGE('17.10 MADDU-KANONI'!L38,'18.10 MADDU-KANONI-24h'!L38,'19.10 MADDU-KANONI-24h'!L38,'20.10 MADDU-KANONI'!L38,'21.10 MADDU-KANONI'!L38,'22.10 MADDU-KANONI'!L38,'23.10 MADDU-KANONI'!L38)</f>
        <v>0</v>
      </c>
      <c r="M38" s="49">
        <f>AVERAGE('17.10 MADDU-KANONI'!M38,'18.10 MADDU-KANONI-24h'!M38,'19.10 MADDU-KANONI-24h'!M38,'20.10 MADDU-KANONI'!M38,'21.10 MADDU-KANONI'!M38,'22.10 MADDU-KANONI'!M38,'23.10 MADDU-KANONI'!M38)</f>
        <v>13.142857142857142</v>
      </c>
      <c r="N38" s="49">
        <f>AVERAGE('17.10 MADDU-KANONI'!N38,'18.10 MADDU-KANONI-24h'!N38,'19.10 MADDU-KANONI-24h'!N38,'20.10 MADDU-KANONI'!N38,'21.10 MADDU-KANONI'!N38,'22.10 MADDU-KANONI'!N38,'23.10 MADDU-KANONI'!N38)</f>
        <v>0</v>
      </c>
      <c r="O38" s="15">
        <f t="shared" si="0"/>
        <v>3.9999999999999991</v>
      </c>
      <c r="P38" s="15">
        <f t="shared" si="1"/>
        <v>17.142857142857142</v>
      </c>
      <c r="R38" s="28" t="s">
        <v>86</v>
      </c>
      <c r="S38" s="55">
        <f t="shared" ref="S38:AF38" si="30">SUM(S13:S18)</f>
        <v>41.142857142857139</v>
      </c>
      <c r="T38" s="55">
        <f t="shared" si="30"/>
        <v>17.571428571428569</v>
      </c>
      <c r="U38" s="55">
        <f t="shared" si="30"/>
        <v>13.142857142857141</v>
      </c>
      <c r="V38" s="55">
        <f t="shared" si="30"/>
        <v>35.142857142857139</v>
      </c>
      <c r="W38" s="55">
        <f t="shared" si="30"/>
        <v>0.14285714285714285</v>
      </c>
      <c r="X38" s="55">
        <f t="shared" si="30"/>
        <v>0</v>
      </c>
      <c r="Y38" s="55">
        <f t="shared" si="30"/>
        <v>7.5714285714285703</v>
      </c>
      <c r="Z38" s="55">
        <f t="shared" si="30"/>
        <v>6.1428571428571415</v>
      </c>
      <c r="AA38" s="55">
        <f t="shared" si="30"/>
        <v>3.8571428571428568</v>
      </c>
      <c r="AB38" s="55">
        <f t="shared" si="30"/>
        <v>0</v>
      </c>
      <c r="AC38" s="55">
        <f t="shared" si="30"/>
        <v>260</v>
      </c>
      <c r="AD38" s="55">
        <f t="shared" si="30"/>
        <v>0</v>
      </c>
      <c r="AE38" s="56">
        <f t="shared" si="30"/>
        <v>124.71428571428572</v>
      </c>
      <c r="AF38" s="56">
        <f t="shared" si="30"/>
        <v>384.71428571428572</v>
      </c>
    </row>
    <row r="39" spans="2:32" ht="23.1" customHeight="1" x14ac:dyDescent="0.25">
      <c r="B39" s="24" t="s">
        <v>66</v>
      </c>
      <c r="C39" s="49">
        <f>AVERAGE('17.10 MADDU-KANONI'!C39,'18.10 MADDU-KANONI-24h'!C39,'19.10 MADDU-KANONI-24h'!C39,'20.10 MADDU-KANONI'!C39,'21.10 MADDU-KANONI'!C39,'22.10 MADDU-KANONI'!C39,'23.10 MADDU-KANONI'!C39)</f>
        <v>2.8571428571428572</v>
      </c>
      <c r="D39" s="49">
        <f>AVERAGE('17.10 MADDU-KANONI'!D39,'18.10 MADDU-KANONI-24h'!D39,'19.10 MADDU-KANONI-24h'!D39,'20.10 MADDU-KANONI'!D39,'21.10 MADDU-KANONI'!D39,'22.10 MADDU-KANONI'!D39,'23.10 MADDU-KANONI'!D39)</f>
        <v>0.8571428571428571</v>
      </c>
      <c r="E39" s="49">
        <f>AVERAGE('17.10 MADDU-KANONI'!E39,'18.10 MADDU-KANONI-24h'!E39,'19.10 MADDU-KANONI-24h'!E39,'20.10 MADDU-KANONI'!E39,'21.10 MADDU-KANONI'!E39,'22.10 MADDU-KANONI'!E39,'23.10 MADDU-KANONI'!E39)</f>
        <v>0.8571428571428571</v>
      </c>
      <c r="F39" s="49">
        <f>AVERAGE('17.10 MADDU-KANONI'!F39,'18.10 MADDU-KANONI-24h'!F39,'19.10 MADDU-KANONI-24h'!F39,'20.10 MADDU-KANONI'!F39,'21.10 MADDU-KANONI'!F39,'22.10 MADDU-KANONI'!F39,'23.10 MADDU-KANONI'!F39)</f>
        <v>1.2857142857142858</v>
      </c>
      <c r="G39" s="49">
        <f>AVERAGE('17.10 MADDU-KANONI'!G39,'18.10 MADDU-KANONI-24h'!G39,'19.10 MADDU-KANONI-24h'!G39,'20.10 MADDU-KANONI'!G39,'21.10 MADDU-KANONI'!G39,'22.10 MADDU-KANONI'!G39,'23.10 MADDU-KANONI'!G39)</f>
        <v>0</v>
      </c>
      <c r="H39" s="49">
        <f>AVERAGE('17.10 MADDU-KANONI'!H39,'18.10 MADDU-KANONI-24h'!H39,'19.10 MADDU-KANONI-24h'!H39,'20.10 MADDU-KANONI'!H39,'21.10 MADDU-KANONI'!H39,'22.10 MADDU-KANONI'!H39,'23.10 MADDU-KANONI'!H39)</f>
        <v>0</v>
      </c>
      <c r="I39" s="49">
        <f>AVERAGE('17.10 MADDU-KANONI'!I39,'18.10 MADDU-KANONI-24h'!I39,'19.10 MADDU-KANONI-24h'!I39,'20.10 MADDU-KANONI'!I39,'21.10 MADDU-KANONI'!I39,'22.10 MADDU-KANONI'!I39,'23.10 MADDU-KANONI'!I39)</f>
        <v>0.8571428571428571</v>
      </c>
      <c r="J39" s="49">
        <f>AVERAGE('17.10 MADDU-KANONI'!J39,'18.10 MADDU-KANONI-24h'!J39,'19.10 MADDU-KANONI-24h'!J39,'20.10 MADDU-KANONI'!J39,'21.10 MADDU-KANONI'!J39,'22.10 MADDU-KANONI'!J39,'23.10 MADDU-KANONI'!J39)</f>
        <v>0.2857142857142857</v>
      </c>
      <c r="K39" s="49">
        <f>AVERAGE('17.10 MADDU-KANONI'!K39,'18.10 MADDU-KANONI-24h'!K39,'19.10 MADDU-KANONI-24h'!K39,'20.10 MADDU-KANONI'!K39,'21.10 MADDU-KANONI'!K39,'22.10 MADDU-KANONI'!K39,'23.10 MADDU-KANONI'!K39)</f>
        <v>0.5714285714285714</v>
      </c>
      <c r="L39" s="49">
        <f>AVERAGE('17.10 MADDU-KANONI'!L39,'18.10 MADDU-KANONI-24h'!L39,'19.10 MADDU-KANONI-24h'!L39,'20.10 MADDU-KANONI'!L39,'21.10 MADDU-KANONI'!L39,'22.10 MADDU-KANONI'!L39,'23.10 MADDU-KANONI'!L39)</f>
        <v>0</v>
      </c>
      <c r="M39" s="49">
        <f>AVERAGE('17.10 MADDU-KANONI'!M39,'18.10 MADDU-KANONI-24h'!M39,'19.10 MADDU-KANONI-24h'!M39,'20.10 MADDU-KANONI'!M39,'21.10 MADDU-KANONI'!M39,'22.10 MADDU-KANONI'!M39,'23.10 MADDU-KANONI'!M39)</f>
        <v>12.142857142857142</v>
      </c>
      <c r="N39" s="49">
        <f>AVERAGE('17.10 MADDU-KANONI'!N39,'18.10 MADDU-KANONI-24h'!N39,'19.10 MADDU-KANONI-24h'!N39,'20.10 MADDU-KANONI'!N39,'21.10 MADDU-KANONI'!N39,'22.10 MADDU-KANONI'!N39,'23.10 MADDU-KANONI'!N39)</f>
        <v>0</v>
      </c>
      <c r="O39" s="15">
        <f t="shared" si="0"/>
        <v>7.5714285714285703</v>
      </c>
      <c r="P39" s="15">
        <f t="shared" si="1"/>
        <v>19.714285714285712</v>
      </c>
      <c r="R39" s="29" t="s">
        <v>87</v>
      </c>
      <c r="S39" s="55">
        <f t="shared" ref="S39:AF39" si="31">SUM(S19:S21)</f>
        <v>28.142857142857142</v>
      </c>
      <c r="T39" s="55">
        <f t="shared" si="31"/>
        <v>13.571428571428573</v>
      </c>
      <c r="U39" s="55">
        <f t="shared" si="31"/>
        <v>11</v>
      </c>
      <c r="V39" s="55">
        <f t="shared" si="31"/>
        <v>25.857142857142854</v>
      </c>
      <c r="W39" s="55">
        <f t="shared" si="31"/>
        <v>0.85714285714285698</v>
      </c>
      <c r="X39" s="55">
        <f t="shared" si="31"/>
        <v>0.14285714285714285</v>
      </c>
      <c r="Y39" s="55">
        <f t="shared" si="31"/>
        <v>7.4285714285714288</v>
      </c>
      <c r="Z39" s="55">
        <f t="shared" si="31"/>
        <v>3.1428571428571423</v>
      </c>
      <c r="AA39" s="55">
        <f t="shared" si="31"/>
        <v>2.2857142857142856</v>
      </c>
      <c r="AB39" s="55">
        <f t="shared" si="31"/>
        <v>0.2857142857142857</v>
      </c>
      <c r="AC39" s="55">
        <f t="shared" si="31"/>
        <v>150.28571428571428</v>
      </c>
      <c r="AD39" s="55">
        <f t="shared" si="31"/>
        <v>0</v>
      </c>
      <c r="AE39" s="56">
        <f t="shared" si="31"/>
        <v>92.714285714285722</v>
      </c>
      <c r="AF39" s="56">
        <f t="shared" si="31"/>
        <v>243</v>
      </c>
    </row>
    <row r="40" spans="2:32" ht="23.1" customHeight="1" x14ac:dyDescent="0.25">
      <c r="B40" s="24" t="s">
        <v>67</v>
      </c>
      <c r="C40" s="49">
        <f>AVERAGE('17.10 MADDU-KANONI'!C40,'18.10 MADDU-KANONI-24h'!C40,'19.10 MADDU-KANONI-24h'!C40,'20.10 MADDU-KANONI'!C40,'21.10 MADDU-KANONI'!C40,'22.10 MADDU-KANONI'!C40,'23.10 MADDU-KANONI'!C40)</f>
        <v>2.7142857142857144</v>
      </c>
      <c r="D40" s="49">
        <f>AVERAGE('17.10 MADDU-KANONI'!D40,'18.10 MADDU-KANONI-24h'!D40,'19.10 MADDU-KANONI-24h'!D40,'20.10 MADDU-KANONI'!D40,'21.10 MADDU-KANONI'!D40,'22.10 MADDU-KANONI'!D40,'23.10 MADDU-KANONI'!D40)</f>
        <v>0.7142857142857143</v>
      </c>
      <c r="E40" s="49">
        <f>AVERAGE('17.10 MADDU-KANONI'!E40,'18.10 MADDU-KANONI-24h'!E40,'19.10 MADDU-KANONI-24h'!E40,'20.10 MADDU-KANONI'!E40,'21.10 MADDU-KANONI'!E40,'22.10 MADDU-KANONI'!E40,'23.10 MADDU-KANONI'!E40)</f>
        <v>0.14285714285714285</v>
      </c>
      <c r="F40" s="49">
        <f>AVERAGE('17.10 MADDU-KANONI'!F40,'18.10 MADDU-KANONI-24h'!F40,'19.10 MADDU-KANONI-24h'!F40,'20.10 MADDU-KANONI'!F40,'21.10 MADDU-KANONI'!F40,'22.10 MADDU-KANONI'!F40,'23.10 MADDU-KANONI'!F40)</f>
        <v>1.1428571428571428</v>
      </c>
      <c r="G40" s="49">
        <f>AVERAGE('17.10 MADDU-KANONI'!G40,'18.10 MADDU-KANONI-24h'!G40,'19.10 MADDU-KANONI-24h'!G40,'20.10 MADDU-KANONI'!G40,'21.10 MADDU-KANONI'!G40,'22.10 MADDU-KANONI'!G40,'23.10 MADDU-KANONI'!G40)</f>
        <v>0</v>
      </c>
      <c r="H40" s="49">
        <f>AVERAGE('17.10 MADDU-KANONI'!H40,'18.10 MADDU-KANONI-24h'!H40,'19.10 MADDU-KANONI-24h'!H40,'20.10 MADDU-KANONI'!H40,'21.10 MADDU-KANONI'!H40,'22.10 MADDU-KANONI'!H40,'23.10 MADDU-KANONI'!H40)</f>
        <v>0</v>
      </c>
      <c r="I40" s="49">
        <f>AVERAGE('17.10 MADDU-KANONI'!I40,'18.10 MADDU-KANONI-24h'!I40,'19.10 MADDU-KANONI-24h'!I40,'20.10 MADDU-KANONI'!I40,'21.10 MADDU-KANONI'!I40,'22.10 MADDU-KANONI'!I40,'23.10 MADDU-KANONI'!I40)</f>
        <v>0.42857142857142855</v>
      </c>
      <c r="J40" s="49">
        <f>AVERAGE('17.10 MADDU-KANONI'!J40,'18.10 MADDU-KANONI-24h'!J40,'19.10 MADDU-KANONI-24h'!J40,'20.10 MADDU-KANONI'!J40,'21.10 MADDU-KANONI'!J40,'22.10 MADDU-KANONI'!J40,'23.10 MADDU-KANONI'!J40)</f>
        <v>0.2857142857142857</v>
      </c>
      <c r="K40" s="49">
        <f>AVERAGE('17.10 MADDU-KANONI'!K40,'18.10 MADDU-KANONI-24h'!K40,'19.10 MADDU-KANONI-24h'!K40,'20.10 MADDU-KANONI'!K40,'21.10 MADDU-KANONI'!K40,'22.10 MADDU-KANONI'!K40,'23.10 MADDU-KANONI'!K40)</f>
        <v>0</v>
      </c>
      <c r="L40" s="49">
        <f>AVERAGE('17.10 MADDU-KANONI'!L40,'18.10 MADDU-KANONI-24h'!L40,'19.10 MADDU-KANONI-24h'!L40,'20.10 MADDU-KANONI'!L40,'21.10 MADDU-KANONI'!L40,'22.10 MADDU-KANONI'!L40,'23.10 MADDU-KANONI'!L40)</f>
        <v>0</v>
      </c>
      <c r="M40" s="49">
        <f>AVERAGE('17.10 MADDU-KANONI'!M40,'18.10 MADDU-KANONI-24h'!M40,'19.10 MADDU-KANONI-24h'!M40,'20.10 MADDU-KANONI'!M40,'21.10 MADDU-KANONI'!M40,'22.10 MADDU-KANONI'!M40,'23.10 MADDU-KANONI'!M40)</f>
        <v>11.285714285714286</v>
      </c>
      <c r="N40" s="49">
        <f>AVERAGE('17.10 MADDU-KANONI'!N40,'18.10 MADDU-KANONI-24h'!N40,'19.10 MADDU-KANONI-24h'!N40,'20.10 MADDU-KANONI'!N40,'21.10 MADDU-KANONI'!N40,'22.10 MADDU-KANONI'!N40,'23.10 MADDU-KANONI'!N40)</f>
        <v>0</v>
      </c>
      <c r="O40" s="15">
        <f t="shared" si="0"/>
        <v>5.4285714285714288</v>
      </c>
      <c r="P40" s="15">
        <f t="shared" si="1"/>
        <v>16.714285714285715</v>
      </c>
      <c r="R40" s="5" t="s">
        <v>17</v>
      </c>
      <c r="S40" s="55">
        <f t="shared" ref="S40:AF40" si="32">SUM(S10:S21)</f>
        <v>82.428571428571416</v>
      </c>
      <c r="T40" s="55">
        <f t="shared" si="32"/>
        <v>34.571428571428569</v>
      </c>
      <c r="U40" s="55">
        <f t="shared" si="32"/>
        <v>29.142857142857142</v>
      </c>
      <c r="V40" s="55">
        <f t="shared" si="32"/>
        <v>86.571428571428569</v>
      </c>
      <c r="W40" s="55">
        <f t="shared" si="32"/>
        <v>1.1428571428571428</v>
      </c>
      <c r="X40" s="55">
        <f t="shared" si="32"/>
        <v>0.2857142857142857</v>
      </c>
      <c r="Y40" s="55">
        <f t="shared" si="32"/>
        <v>16.714285714285712</v>
      </c>
      <c r="Z40" s="55">
        <f t="shared" si="32"/>
        <v>10.857142857142858</v>
      </c>
      <c r="AA40" s="55">
        <f t="shared" si="32"/>
        <v>6.4285714285714279</v>
      </c>
      <c r="AB40" s="55">
        <f t="shared" si="32"/>
        <v>0.2857142857142857</v>
      </c>
      <c r="AC40" s="55">
        <f t="shared" si="32"/>
        <v>516.42857142857156</v>
      </c>
      <c r="AD40" s="55">
        <f t="shared" si="32"/>
        <v>0</v>
      </c>
      <c r="AE40" s="56">
        <f t="shared" si="32"/>
        <v>268.42857142857139</v>
      </c>
      <c r="AF40" s="56">
        <f t="shared" si="32"/>
        <v>784.85714285714289</v>
      </c>
    </row>
    <row r="41" spans="2:32" ht="23.1" customHeight="1" x14ac:dyDescent="0.25">
      <c r="B41" s="23" t="s">
        <v>68</v>
      </c>
      <c r="C41" s="49">
        <f>AVERAGE('17.10 MADDU-KANONI'!C41,'18.10 MADDU-KANONI-24h'!C41,'19.10 MADDU-KANONI-24h'!C41,'20.10 MADDU-KANONI'!C41,'21.10 MADDU-KANONI'!C41,'22.10 MADDU-KANONI'!C41,'23.10 MADDU-KANONI'!C41)</f>
        <v>1.8571428571428572</v>
      </c>
      <c r="D41" s="49">
        <f>AVERAGE('17.10 MADDU-KANONI'!D41,'18.10 MADDU-KANONI-24h'!D41,'19.10 MADDU-KANONI-24h'!D41,'20.10 MADDU-KANONI'!D41,'21.10 MADDU-KANONI'!D41,'22.10 MADDU-KANONI'!D41,'23.10 MADDU-KANONI'!D41)</f>
        <v>0.42857142857142855</v>
      </c>
      <c r="E41" s="49">
        <f>AVERAGE('17.10 MADDU-KANONI'!E41,'18.10 MADDU-KANONI-24h'!E41,'19.10 MADDU-KANONI-24h'!E41,'20.10 MADDU-KANONI'!E41,'21.10 MADDU-KANONI'!E41,'22.10 MADDU-KANONI'!E41,'23.10 MADDU-KANONI'!E41)</f>
        <v>0.7142857142857143</v>
      </c>
      <c r="F41" s="49">
        <f>AVERAGE('17.10 MADDU-KANONI'!F41,'18.10 MADDU-KANONI-24h'!F41,'19.10 MADDU-KANONI-24h'!F41,'20.10 MADDU-KANONI'!F41,'21.10 MADDU-KANONI'!F41,'22.10 MADDU-KANONI'!F41,'23.10 MADDU-KANONI'!F41)</f>
        <v>1.4285714285714286</v>
      </c>
      <c r="G41" s="49">
        <f>AVERAGE('17.10 MADDU-KANONI'!G41,'18.10 MADDU-KANONI-24h'!G41,'19.10 MADDU-KANONI-24h'!G41,'20.10 MADDU-KANONI'!G41,'21.10 MADDU-KANONI'!G41,'22.10 MADDU-KANONI'!G41,'23.10 MADDU-KANONI'!G41)</f>
        <v>0</v>
      </c>
      <c r="H41" s="49">
        <f>AVERAGE('17.10 MADDU-KANONI'!H41,'18.10 MADDU-KANONI-24h'!H41,'19.10 MADDU-KANONI-24h'!H41,'20.10 MADDU-KANONI'!H41,'21.10 MADDU-KANONI'!H41,'22.10 MADDU-KANONI'!H41,'23.10 MADDU-KANONI'!H41)</f>
        <v>0</v>
      </c>
      <c r="I41" s="49">
        <f>AVERAGE('17.10 MADDU-KANONI'!I41,'18.10 MADDU-KANONI-24h'!I41,'19.10 MADDU-KANONI-24h'!I41,'20.10 MADDU-KANONI'!I41,'21.10 MADDU-KANONI'!I41,'22.10 MADDU-KANONI'!I41,'23.10 MADDU-KANONI'!I41)</f>
        <v>0.2857142857142857</v>
      </c>
      <c r="J41" s="49">
        <f>AVERAGE('17.10 MADDU-KANONI'!J41,'18.10 MADDU-KANONI-24h'!J41,'19.10 MADDU-KANONI-24h'!J41,'20.10 MADDU-KANONI'!J41,'21.10 MADDU-KANONI'!J41,'22.10 MADDU-KANONI'!J41,'23.10 MADDU-KANONI'!J41)</f>
        <v>0.5714285714285714</v>
      </c>
      <c r="K41" s="49">
        <f>AVERAGE('17.10 MADDU-KANONI'!K41,'18.10 MADDU-KANONI-24h'!K41,'19.10 MADDU-KANONI-24h'!K41,'20.10 MADDU-KANONI'!K41,'21.10 MADDU-KANONI'!K41,'22.10 MADDU-KANONI'!K41,'23.10 MADDU-KANONI'!K41)</f>
        <v>0.2857142857142857</v>
      </c>
      <c r="L41" s="49">
        <f>AVERAGE('17.10 MADDU-KANONI'!L41,'18.10 MADDU-KANONI-24h'!L41,'19.10 MADDU-KANONI-24h'!L41,'20.10 MADDU-KANONI'!L41,'21.10 MADDU-KANONI'!L41,'22.10 MADDU-KANONI'!L41,'23.10 MADDU-KANONI'!L41)</f>
        <v>0</v>
      </c>
      <c r="M41" s="49">
        <f>AVERAGE('17.10 MADDU-KANONI'!M41,'18.10 MADDU-KANONI-24h'!M41,'19.10 MADDU-KANONI-24h'!M41,'20.10 MADDU-KANONI'!M41,'21.10 MADDU-KANONI'!M41,'22.10 MADDU-KANONI'!M41,'23.10 MADDU-KANONI'!M41)</f>
        <v>9.5714285714285712</v>
      </c>
      <c r="N41" s="49">
        <f>AVERAGE('17.10 MADDU-KANONI'!N41,'18.10 MADDU-KANONI-24h'!N41,'19.10 MADDU-KANONI-24h'!N41,'20.10 MADDU-KANONI'!N41,'21.10 MADDU-KANONI'!N41,'22.10 MADDU-KANONI'!N41,'23.10 MADDU-KANONI'!N41)</f>
        <v>0</v>
      </c>
      <c r="O41" s="15">
        <f t="shared" si="0"/>
        <v>5.5714285714285712</v>
      </c>
      <c r="P41" s="15">
        <f t="shared" si="1"/>
        <v>15.142857142857142</v>
      </c>
      <c r="R41" s="5" t="s">
        <v>180</v>
      </c>
      <c r="S41" s="55">
        <f>SUM(S10:S33)</f>
        <v>119.92857142857142</v>
      </c>
      <c r="T41" s="55">
        <f t="shared" ref="T41:AD41" si="33">SUM(T10:T33)</f>
        <v>49.071428571428569</v>
      </c>
      <c r="U41" s="55">
        <f t="shared" si="33"/>
        <v>37.642857142857139</v>
      </c>
      <c r="V41" s="55">
        <f t="shared" si="33"/>
        <v>103.07142857142857</v>
      </c>
      <c r="W41" s="55">
        <f t="shared" si="33"/>
        <v>1.1428571428571428</v>
      </c>
      <c r="X41" s="55">
        <f t="shared" si="33"/>
        <v>0.2857142857142857</v>
      </c>
      <c r="Y41" s="55">
        <f t="shared" si="33"/>
        <v>39.214285714285708</v>
      </c>
      <c r="Z41" s="55">
        <f t="shared" si="33"/>
        <v>45.357142857142861</v>
      </c>
      <c r="AA41" s="55">
        <f t="shared" si="33"/>
        <v>10.928571428571427</v>
      </c>
      <c r="AB41" s="55">
        <f t="shared" si="33"/>
        <v>0.2857142857142857</v>
      </c>
      <c r="AC41" s="55">
        <f t="shared" si="33"/>
        <v>604.42857142857156</v>
      </c>
      <c r="AD41" s="55">
        <f t="shared" si="33"/>
        <v>0.5</v>
      </c>
      <c r="AE41" s="56">
        <f>SUM(AE10:AE33)</f>
        <v>407.42857142857139</v>
      </c>
      <c r="AF41" s="56">
        <f>SUM(AF10:AF33)</f>
        <v>1011.8571428571429</v>
      </c>
    </row>
    <row r="42" spans="2:32" ht="23.1" customHeight="1" x14ac:dyDescent="0.25">
      <c r="B42" s="24" t="s">
        <v>69</v>
      </c>
      <c r="C42" s="49">
        <f>AVERAGE('17.10 MADDU-KANONI'!C42,'18.10 MADDU-KANONI-24h'!C42,'19.10 MADDU-KANONI-24h'!C42,'20.10 MADDU-KANONI'!C42,'21.10 MADDU-KANONI'!C42,'22.10 MADDU-KANONI'!C42,'23.10 MADDU-KANONI'!C42)</f>
        <v>2.1428571428571428</v>
      </c>
      <c r="D42" s="49">
        <f>AVERAGE('17.10 MADDU-KANONI'!D42,'18.10 MADDU-KANONI-24h'!D42,'19.10 MADDU-KANONI-24h'!D42,'20.10 MADDU-KANONI'!D42,'21.10 MADDU-KANONI'!D42,'22.10 MADDU-KANONI'!D42,'23.10 MADDU-KANONI'!D42)</f>
        <v>0.7142857142857143</v>
      </c>
      <c r="E42" s="49">
        <f>AVERAGE('17.10 MADDU-KANONI'!E42,'18.10 MADDU-KANONI-24h'!E42,'19.10 MADDU-KANONI-24h'!E42,'20.10 MADDU-KANONI'!E42,'21.10 MADDU-KANONI'!E42,'22.10 MADDU-KANONI'!E42,'23.10 MADDU-KANONI'!E42)</f>
        <v>0.7142857142857143</v>
      </c>
      <c r="F42" s="49">
        <f>AVERAGE('17.10 MADDU-KANONI'!F42,'18.10 MADDU-KANONI-24h'!F42,'19.10 MADDU-KANONI-24h'!F42,'20.10 MADDU-KANONI'!F42,'21.10 MADDU-KANONI'!F42,'22.10 MADDU-KANONI'!F42,'23.10 MADDU-KANONI'!F42)</f>
        <v>2.4285714285714284</v>
      </c>
      <c r="G42" s="49">
        <f>AVERAGE('17.10 MADDU-KANONI'!G42,'18.10 MADDU-KANONI-24h'!G42,'19.10 MADDU-KANONI-24h'!G42,'20.10 MADDU-KANONI'!G42,'21.10 MADDU-KANONI'!G42,'22.10 MADDU-KANONI'!G42,'23.10 MADDU-KANONI'!G42)</f>
        <v>0</v>
      </c>
      <c r="H42" s="49">
        <f>AVERAGE('17.10 MADDU-KANONI'!H42,'18.10 MADDU-KANONI-24h'!H42,'19.10 MADDU-KANONI-24h'!H42,'20.10 MADDU-KANONI'!H42,'21.10 MADDU-KANONI'!H42,'22.10 MADDU-KANONI'!H42,'23.10 MADDU-KANONI'!H42)</f>
        <v>0</v>
      </c>
      <c r="I42" s="49">
        <f>AVERAGE('17.10 MADDU-KANONI'!I42,'18.10 MADDU-KANONI-24h'!I42,'19.10 MADDU-KANONI-24h'!I42,'20.10 MADDU-KANONI'!I42,'21.10 MADDU-KANONI'!I42,'22.10 MADDU-KANONI'!I42,'23.10 MADDU-KANONI'!I42)</f>
        <v>0.2857142857142857</v>
      </c>
      <c r="J42" s="49">
        <f>AVERAGE('17.10 MADDU-KANONI'!J42,'18.10 MADDU-KANONI-24h'!J42,'19.10 MADDU-KANONI-24h'!J42,'20.10 MADDU-KANONI'!J42,'21.10 MADDU-KANONI'!J42,'22.10 MADDU-KANONI'!J42,'23.10 MADDU-KANONI'!J42)</f>
        <v>0.14285714285714285</v>
      </c>
      <c r="K42" s="49">
        <f>AVERAGE('17.10 MADDU-KANONI'!K42,'18.10 MADDU-KANONI-24h'!K42,'19.10 MADDU-KANONI-24h'!K42,'20.10 MADDU-KANONI'!K42,'21.10 MADDU-KANONI'!K42,'22.10 MADDU-KANONI'!K42,'23.10 MADDU-KANONI'!K42)</f>
        <v>0.14285714285714285</v>
      </c>
      <c r="L42" s="49">
        <f>AVERAGE('17.10 MADDU-KANONI'!L42,'18.10 MADDU-KANONI-24h'!L42,'19.10 MADDU-KANONI-24h'!L42,'20.10 MADDU-KANONI'!L42,'21.10 MADDU-KANONI'!L42,'22.10 MADDU-KANONI'!L42,'23.10 MADDU-KANONI'!L42)</f>
        <v>0</v>
      </c>
      <c r="M42" s="49">
        <f>AVERAGE('17.10 MADDU-KANONI'!M42,'18.10 MADDU-KANONI-24h'!M42,'19.10 MADDU-KANONI-24h'!M42,'20.10 MADDU-KANONI'!M42,'21.10 MADDU-KANONI'!M42,'22.10 MADDU-KANONI'!M42,'23.10 MADDU-KANONI'!M42)</f>
        <v>12.285714285714286</v>
      </c>
      <c r="N42" s="49">
        <f>AVERAGE('17.10 MADDU-KANONI'!N42,'18.10 MADDU-KANONI-24h'!N42,'19.10 MADDU-KANONI-24h'!N42,'20.10 MADDU-KANONI'!N42,'21.10 MADDU-KANONI'!N42,'22.10 MADDU-KANONI'!N42,'23.10 MADDU-KANONI'!N42)</f>
        <v>0</v>
      </c>
      <c r="O42" s="15">
        <f t="shared" si="0"/>
        <v>6.5714285714285721</v>
      </c>
      <c r="P42" s="15">
        <f t="shared" si="1"/>
        <v>18.857142857142858</v>
      </c>
      <c r="R42" s="5" t="s">
        <v>160</v>
      </c>
      <c r="S42" s="48">
        <f>S41/S40</f>
        <v>1.454939341421144</v>
      </c>
      <c r="T42" s="48">
        <f t="shared" ref="T42:AF42" si="34">T41/T40</f>
        <v>1.4194214876033058</v>
      </c>
      <c r="U42" s="48">
        <f t="shared" si="34"/>
        <v>1.2916666666666665</v>
      </c>
      <c r="V42" s="48">
        <f t="shared" si="34"/>
        <v>1.1905940594059405</v>
      </c>
      <c r="W42" s="48">
        <f t="shared" si="34"/>
        <v>1</v>
      </c>
      <c r="X42" s="48">
        <f t="shared" si="34"/>
        <v>1</v>
      </c>
      <c r="Y42" s="48">
        <f t="shared" si="34"/>
        <v>2.3461538461538463</v>
      </c>
      <c r="Z42" s="48">
        <f t="shared" si="34"/>
        <v>4.177631578947369</v>
      </c>
      <c r="AA42" s="48">
        <f t="shared" si="34"/>
        <v>1.7</v>
      </c>
      <c r="AB42" s="48">
        <f t="shared" si="34"/>
        <v>1</v>
      </c>
      <c r="AC42" s="48">
        <f t="shared" si="34"/>
        <v>1.1704011065006916</v>
      </c>
      <c r="AD42" s="48" t="e">
        <f t="shared" si="34"/>
        <v>#DIV/0!</v>
      </c>
      <c r="AE42" s="57">
        <f t="shared" si="34"/>
        <v>1.5178286322511976</v>
      </c>
      <c r="AF42" s="57">
        <f t="shared" si="34"/>
        <v>1.2892246086639971</v>
      </c>
    </row>
    <row r="43" spans="2:32" ht="23.1" customHeight="1" x14ac:dyDescent="0.25">
      <c r="B43" s="23" t="s">
        <v>70</v>
      </c>
      <c r="C43" s="49">
        <f>AVERAGE('17.10 MADDU-KANONI'!C43,'18.10 MADDU-KANONI-24h'!C43,'19.10 MADDU-KANONI-24h'!C43,'20.10 MADDU-KANONI'!C43,'21.10 MADDU-KANONI'!C43,'22.10 MADDU-KANONI'!C43,'23.10 MADDU-KANONI'!C43)</f>
        <v>2.2857142857142856</v>
      </c>
      <c r="D43" s="49">
        <f>AVERAGE('17.10 MADDU-KANONI'!D43,'18.10 MADDU-KANONI-24h'!D43,'19.10 MADDU-KANONI-24h'!D43,'20.10 MADDU-KANONI'!D43,'21.10 MADDU-KANONI'!D43,'22.10 MADDU-KANONI'!D43,'23.10 MADDU-KANONI'!D43)</f>
        <v>1.4285714285714286</v>
      </c>
      <c r="E43" s="49">
        <f>AVERAGE('17.10 MADDU-KANONI'!E43,'18.10 MADDU-KANONI-24h'!E43,'19.10 MADDU-KANONI-24h'!E43,'20.10 MADDU-KANONI'!E43,'21.10 MADDU-KANONI'!E43,'22.10 MADDU-KANONI'!E43,'23.10 MADDU-KANONI'!E43)</f>
        <v>0.2857142857142857</v>
      </c>
      <c r="F43" s="49">
        <f>AVERAGE('17.10 MADDU-KANONI'!F43,'18.10 MADDU-KANONI-24h'!F43,'19.10 MADDU-KANONI-24h'!F43,'20.10 MADDU-KANONI'!F43,'21.10 MADDU-KANONI'!F43,'22.10 MADDU-KANONI'!F43,'23.10 MADDU-KANONI'!F43)</f>
        <v>2</v>
      </c>
      <c r="G43" s="49">
        <f>AVERAGE('17.10 MADDU-KANONI'!G43,'18.10 MADDU-KANONI-24h'!G43,'19.10 MADDU-KANONI-24h'!G43,'20.10 MADDU-KANONI'!G43,'21.10 MADDU-KANONI'!G43,'22.10 MADDU-KANONI'!G43,'23.10 MADDU-KANONI'!G43)</f>
        <v>0</v>
      </c>
      <c r="H43" s="49">
        <f>AVERAGE('17.10 MADDU-KANONI'!H43,'18.10 MADDU-KANONI-24h'!H43,'19.10 MADDU-KANONI-24h'!H43,'20.10 MADDU-KANONI'!H43,'21.10 MADDU-KANONI'!H43,'22.10 MADDU-KANONI'!H43,'23.10 MADDU-KANONI'!H43)</f>
        <v>0</v>
      </c>
      <c r="I43" s="49">
        <f>AVERAGE('17.10 MADDU-KANONI'!I43,'18.10 MADDU-KANONI-24h'!I43,'19.10 MADDU-KANONI-24h'!I43,'20.10 MADDU-KANONI'!I43,'21.10 MADDU-KANONI'!I43,'22.10 MADDU-KANONI'!I43,'23.10 MADDU-KANONI'!I43)</f>
        <v>1</v>
      </c>
      <c r="J43" s="49">
        <f>AVERAGE('17.10 MADDU-KANONI'!J43,'18.10 MADDU-KANONI-24h'!J43,'19.10 MADDU-KANONI-24h'!J43,'20.10 MADDU-KANONI'!J43,'21.10 MADDU-KANONI'!J43,'22.10 MADDU-KANONI'!J43,'23.10 MADDU-KANONI'!J43)</f>
        <v>0.14285714285714285</v>
      </c>
      <c r="K43" s="49">
        <f>AVERAGE('17.10 MADDU-KANONI'!K43,'18.10 MADDU-KANONI-24h'!K43,'19.10 MADDU-KANONI-24h'!K43,'20.10 MADDU-KANONI'!K43,'21.10 MADDU-KANONI'!K43,'22.10 MADDU-KANONI'!K43,'23.10 MADDU-KANONI'!K43)</f>
        <v>0.2857142857142857</v>
      </c>
      <c r="L43" s="49">
        <f>AVERAGE('17.10 MADDU-KANONI'!L43,'18.10 MADDU-KANONI-24h'!L43,'19.10 MADDU-KANONI-24h'!L43,'20.10 MADDU-KANONI'!L43,'21.10 MADDU-KANONI'!L43,'22.10 MADDU-KANONI'!L43,'23.10 MADDU-KANONI'!L43)</f>
        <v>0</v>
      </c>
      <c r="M43" s="49">
        <f>AVERAGE('17.10 MADDU-KANONI'!M43,'18.10 MADDU-KANONI-24h'!M43,'19.10 MADDU-KANONI-24h'!M43,'20.10 MADDU-KANONI'!M43,'21.10 MADDU-KANONI'!M43,'22.10 MADDU-KANONI'!M43,'23.10 MADDU-KANONI'!M43)</f>
        <v>11.714285714285714</v>
      </c>
      <c r="N43" s="49">
        <f>AVERAGE('17.10 MADDU-KANONI'!N43,'18.10 MADDU-KANONI-24h'!N43,'19.10 MADDU-KANONI-24h'!N43,'20.10 MADDU-KANONI'!N43,'21.10 MADDU-KANONI'!N43,'22.10 MADDU-KANONI'!N43,'23.10 MADDU-KANONI'!N43)</f>
        <v>0</v>
      </c>
      <c r="O43" s="15">
        <f t="shared" si="0"/>
        <v>7.4285714285714288</v>
      </c>
      <c r="P43" s="15">
        <f t="shared" si="1"/>
        <v>19.142857142857142</v>
      </c>
    </row>
    <row r="44" spans="2:32" ht="23.1" customHeight="1" x14ac:dyDescent="0.25">
      <c r="B44" s="25" t="s">
        <v>71</v>
      </c>
      <c r="C44" s="49">
        <f>AVERAGE('17.10 MADDU-KANONI'!C44,'18.10 MADDU-KANONI-24h'!C44,'19.10 MADDU-KANONI-24h'!C44,'20.10 MADDU-KANONI'!C44,'21.10 MADDU-KANONI'!C44,'22.10 MADDU-KANONI'!C44,'23.10 MADDU-KANONI'!C44)</f>
        <v>1.5714285714285714</v>
      </c>
      <c r="D44" s="49">
        <f>AVERAGE('17.10 MADDU-KANONI'!D44,'18.10 MADDU-KANONI-24h'!D44,'19.10 MADDU-KANONI-24h'!D44,'20.10 MADDU-KANONI'!D44,'21.10 MADDU-KANONI'!D44,'22.10 MADDU-KANONI'!D44,'23.10 MADDU-KANONI'!D44)</f>
        <v>0.8571428571428571</v>
      </c>
      <c r="E44" s="49">
        <f>AVERAGE('17.10 MADDU-KANONI'!E44,'18.10 MADDU-KANONI-24h'!E44,'19.10 MADDU-KANONI-24h'!E44,'20.10 MADDU-KANONI'!E44,'21.10 MADDU-KANONI'!E44,'22.10 MADDU-KANONI'!E44,'23.10 MADDU-KANONI'!E44)</f>
        <v>0.2857142857142857</v>
      </c>
      <c r="F44" s="49">
        <f>AVERAGE('17.10 MADDU-KANONI'!F44,'18.10 MADDU-KANONI-24h'!F44,'19.10 MADDU-KANONI-24h'!F44,'20.10 MADDU-KANONI'!F44,'21.10 MADDU-KANONI'!F44,'22.10 MADDU-KANONI'!F44,'23.10 MADDU-KANONI'!F44)</f>
        <v>1.5714285714285714</v>
      </c>
      <c r="G44" s="49">
        <f>AVERAGE('17.10 MADDU-KANONI'!G44,'18.10 MADDU-KANONI-24h'!G44,'19.10 MADDU-KANONI-24h'!G44,'20.10 MADDU-KANONI'!G44,'21.10 MADDU-KANONI'!G44,'22.10 MADDU-KANONI'!G44,'23.10 MADDU-KANONI'!G44)</f>
        <v>0.14285714285714285</v>
      </c>
      <c r="H44" s="49">
        <f>AVERAGE('17.10 MADDU-KANONI'!H44,'18.10 MADDU-KANONI-24h'!H44,'19.10 MADDU-KANONI-24h'!H44,'20.10 MADDU-KANONI'!H44,'21.10 MADDU-KANONI'!H44,'22.10 MADDU-KANONI'!H44,'23.10 MADDU-KANONI'!H44)</f>
        <v>0</v>
      </c>
      <c r="I44" s="49">
        <f>AVERAGE('17.10 MADDU-KANONI'!I44,'18.10 MADDU-KANONI-24h'!I44,'19.10 MADDU-KANONI-24h'!I44,'20.10 MADDU-KANONI'!I44,'21.10 MADDU-KANONI'!I44,'22.10 MADDU-KANONI'!I44,'23.10 MADDU-KANONI'!I44)</f>
        <v>0.2857142857142857</v>
      </c>
      <c r="J44" s="49">
        <f>AVERAGE('17.10 MADDU-KANONI'!J44,'18.10 MADDU-KANONI-24h'!J44,'19.10 MADDU-KANONI-24h'!J44,'20.10 MADDU-KANONI'!J44,'21.10 MADDU-KANONI'!J44,'22.10 MADDU-KANONI'!J44,'23.10 MADDU-KANONI'!J44)</f>
        <v>0.2857142857142857</v>
      </c>
      <c r="K44" s="49">
        <f>AVERAGE('17.10 MADDU-KANONI'!K44,'18.10 MADDU-KANONI-24h'!K44,'19.10 MADDU-KANONI-24h'!K44,'20.10 MADDU-KANONI'!K44,'21.10 MADDU-KANONI'!K44,'22.10 MADDU-KANONI'!K44,'23.10 MADDU-KANONI'!K44)</f>
        <v>0.14285714285714285</v>
      </c>
      <c r="L44" s="49">
        <f>AVERAGE('17.10 MADDU-KANONI'!L44,'18.10 MADDU-KANONI-24h'!L44,'19.10 MADDU-KANONI-24h'!L44,'20.10 MADDU-KANONI'!L44,'21.10 MADDU-KANONI'!L44,'22.10 MADDU-KANONI'!L44,'23.10 MADDU-KANONI'!L44)</f>
        <v>0</v>
      </c>
      <c r="M44" s="49">
        <f>AVERAGE('17.10 MADDU-KANONI'!M44,'18.10 MADDU-KANONI-24h'!M44,'19.10 MADDU-KANONI-24h'!M44,'20.10 MADDU-KANONI'!M44,'21.10 MADDU-KANONI'!M44,'22.10 MADDU-KANONI'!M44,'23.10 MADDU-KANONI'!M44)</f>
        <v>9.4285714285714288</v>
      </c>
      <c r="N44" s="49">
        <f>AVERAGE('17.10 MADDU-KANONI'!N44,'18.10 MADDU-KANONI-24h'!N44,'19.10 MADDU-KANONI-24h'!N44,'20.10 MADDU-KANONI'!N44,'21.10 MADDU-KANONI'!N44,'22.10 MADDU-KANONI'!N44,'23.10 MADDU-KANONI'!N44)</f>
        <v>0</v>
      </c>
      <c r="O44" s="15">
        <f t="shared" si="0"/>
        <v>5.1428571428571432</v>
      </c>
      <c r="P44" s="15">
        <f t="shared" si="1"/>
        <v>14.571428571428573</v>
      </c>
    </row>
    <row r="45" spans="2:32" ht="23.1" customHeight="1" x14ac:dyDescent="0.25">
      <c r="B45" s="23" t="s">
        <v>72</v>
      </c>
      <c r="C45" s="49">
        <f>AVERAGE('17.10 MADDU-KANONI'!C45,'18.10 MADDU-KANONI-24h'!C45,'19.10 MADDU-KANONI-24h'!C45,'20.10 MADDU-KANONI'!C45,'21.10 MADDU-KANONI'!C45,'22.10 MADDU-KANONI'!C45,'23.10 MADDU-KANONI'!C45)</f>
        <v>1.1428571428571428</v>
      </c>
      <c r="D45" s="49">
        <f>AVERAGE('17.10 MADDU-KANONI'!D45,'18.10 MADDU-KANONI-24h'!D45,'19.10 MADDU-KANONI-24h'!D45,'20.10 MADDU-KANONI'!D45,'21.10 MADDU-KANONI'!D45,'22.10 MADDU-KANONI'!D45,'23.10 MADDU-KANONI'!D45)</f>
        <v>1.5714285714285714</v>
      </c>
      <c r="E45" s="49">
        <f>AVERAGE('17.10 MADDU-KANONI'!E45,'18.10 MADDU-KANONI-24h'!E45,'19.10 MADDU-KANONI-24h'!E45,'20.10 MADDU-KANONI'!E45,'21.10 MADDU-KANONI'!E45,'22.10 MADDU-KANONI'!E45,'23.10 MADDU-KANONI'!E45)</f>
        <v>0.42857142857142855</v>
      </c>
      <c r="F45" s="49">
        <f>AVERAGE('17.10 MADDU-KANONI'!F45,'18.10 MADDU-KANONI-24h'!F45,'19.10 MADDU-KANONI-24h'!F45,'20.10 MADDU-KANONI'!F45,'21.10 MADDU-KANONI'!F45,'22.10 MADDU-KANONI'!F45,'23.10 MADDU-KANONI'!F45)</f>
        <v>1.4285714285714286</v>
      </c>
      <c r="G45" s="49">
        <f>AVERAGE('17.10 MADDU-KANONI'!G45,'18.10 MADDU-KANONI-24h'!G45,'19.10 MADDU-KANONI-24h'!G45,'20.10 MADDU-KANONI'!G45,'21.10 MADDU-KANONI'!G45,'22.10 MADDU-KANONI'!G45,'23.10 MADDU-KANONI'!G45)</f>
        <v>0</v>
      </c>
      <c r="H45" s="49">
        <f>AVERAGE('17.10 MADDU-KANONI'!H45,'18.10 MADDU-KANONI-24h'!H45,'19.10 MADDU-KANONI-24h'!H45,'20.10 MADDU-KANONI'!H45,'21.10 MADDU-KANONI'!H45,'22.10 MADDU-KANONI'!H45,'23.10 MADDU-KANONI'!H45)</f>
        <v>0</v>
      </c>
      <c r="I45" s="49">
        <f>AVERAGE('17.10 MADDU-KANONI'!I45,'18.10 MADDU-KANONI-24h'!I45,'19.10 MADDU-KANONI-24h'!I45,'20.10 MADDU-KANONI'!I45,'21.10 MADDU-KANONI'!I45,'22.10 MADDU-KANONI'!I45,'23.10 MADDU-KANONI'!I45)</f>
        <v>0.5714285714285714</v>
      </c>
      <c r="J45" s="49">
        <f>AVERAGE('17.10 MADDU-KANONI'!J45,'18.10 MADDU-KANONI-24h'!J45,'19.10 MADDU-KANONI-24h'!J45,'20.10 MADDU-KANONI'!J45,'21.10 MADDU-KANONI'!J45,'22.10 MADDU-KANONI'!J45,'23.10 MADDU-KANONI'!J45)</f>
        <v>0.2857142857142857</v>
      </c>
      <c r="K45" s="49">
        <f>AVERAGE('17.10 MADDU-KANONI'!K45,'18.10 MADDU-KANONI-24h'!K45,'19.10 MADDU-KANONI-24h'!K45,'20.10 MADDU-KANONI'!K45,'21.10 MADDU-KANONI'!K45,'22.10 MADDU-KANONI'!K45,'23.10 MADDU-KANONI'!K45)</f>
        <v>0.2857142857142857</v>
      </c>
      <c r="L45" s="49">
        <f>AVERAGE('17.10 MADDU-KANONI'!L45,'18.10 MADDU-KANONI-24h'!L45,'19.10 MADDU-KANONI-24h'!L45,'20.10 MADDU-KANONI'!L45,'21.10 MADDU-KANONI'!L45,'22.10 MADDU-KANONI'!L45,'23.10 MADDU-KANONI'!L45)</f>
        <v>0</v>
      </c>
      <c r="M45" s="49">
        <f>AVERAGE('17.10 MADDU-KANONI'!M45,'18.10 MADDU-KANONI-24h'!M45,'19.10 MADDU-KANONI-24h'!M45,'20.10 MADDU-KANONI'!M45,'21.10 MADDU-KANONI'!M45,'22.10 MADDU-KANONI'!M45,'23.10 MADDU-KANONI'!M45)</f>
        <v>10.428571428571429</v>
      </c>
      <c r="N45" s="49">
        <f>AVERAGE('17.10 MADDU-KANONI'!N45,'18.10 MADDU-KANONI-24h'!N45,'19.10 MADDU-KANONI-24h'!N45,'20.10 MADDU-KANONI'!N45,'21.10 MADDU-KANONI'!N45,'22.10 MADDU-KANONI'!N45,'23.10 MADDU-KANONI'!N45)</f>
        <v>0</v>
      </c>
      <c r="O45" s="15">
        <f t="shared" si="0"/>
        <v>5.7142857142857135</v>
      </c>
      <c r="P45" s="15">
        <f t="shared" si="1"/>
        <v>16.142857142857142</v>
      </c>
    </row>
    <row r="46" spans="2:32" ht="23.1" customHeight="1" x14ac:dyDescent="0.25">
      <c r="B46" s="24" t="s">
        <v>73</v>
      </c>
      <c r="C46" s="49">
        <f>AVERAGE('17.10 MADDU-KANONI'!C46,'18.10 MADDU-KANONI-24h'!C46,'19.10 MADDU-KANONI-24h'!C46,'20.10 MADDU-KANONI'!C46,'21.10 MADDU-KANONI'!C46,'22.10 MADDU-KANONI'!C46,'23.10 MADDU-KANONI'!C46)</f>
        <v>1.4285714285714286</v>
      </c>
      <c r="D46" s="49">
        <f>AVERAGE('17.10 MADDU-KANONI'!D46,'18.10 MADDU-KANONI-24h'!D46,'19.10 MADDU-KANONI-24h'!D46,'20.10 MADDU-KANONI'!D46,'21.10 MADDU-KANONI'!D46,'22.10 MADDU-KANONI'!D46,'23.10 MADDU-KANONI'!D46)</f>
        <v>1</v>
      </c>
      <c r="E46" s="49">
        <f>AVERAGE('17.10 MADDU-KANONI'!E46,'18.10 MADDU-KANONI-24h'!E46,'19.10 MADDU-KANONI-24h'!E46,'20.10 MADDU-KANONI'!E46,'21.10 MADDU-KANONI'!E46,'22.10 MADDU-KANONI'!E46,'23.10 MADDU-KANONI'!E46)</f>
        <v>0.42857142857142855</v>
      </c>
      <c r="F46" s="49">
        <f>AVERAGE('17.10 MADDU-KANONI'!F46,'18.10 MADDU-KANONI-24h'!F46,'19.10 MADDU-KANONI-24h'!F46,'20.10 MADDU-KANONI'!F46,'21.10 MADDU-KANONI'!F46,'22.10 MADDU-KANONI'!F46,'23.10 MADDU-KANONI'!F46)</f>
        <v>1</v>
      </c>
      <c r="G46" s="49">
        <f>AVERAGE('17.10 MADDU-KANONI'!G46,'18.10 MADDU-KANONI-24h'!G46,'19.10 MADDU-KANONI-24h'!G46,'20.10 MADDU-KANONI'!G46,'21.10 MADDU-KANONI'!G46,'22.10 MADDU-KANONI'!G46,'23.10 MADDU-KANONI'!G46)</f>
        <v>0.2857142857142857</v>
      </c>
      <c r="H46" s="49">
        <f>AVERAGE('17.10 MADDU-KANONI'!H46,'18.10 MADDU-KANONI-24h'!H46,'19.10 MADDU-KANONI-24h'!H46,'20.10 MADDU-KANONI'!H46,'21.10 MADDU-KANONI'!H46,'22.10 MADDU-KANONI'!H46,'23.10 MADDU-KANONI'!H46)</f>
        <v>0.14285714285714285</v>
      </c>
      <c r="I46" s="49">
        <f>AVERAGE('17.10 MADDU-KANONI'!I46,'18.10 MADDU-KANONI-24h'!I46,'19.10 MADDU-KANONI-24h'!I46,'20.10 MADDU-KANONI'!I46,'21.10 MADDU-KANONI'!I46,'22.10 MADDU-KANONI'!I46,'23.10 MADDU-KANONI'!I46)</f>
        <v>0.42857142857142855</v>
      </c>
      <c r="J46" s="49">
        <f>AVERAGE('17.10 MADDU-KANONI'!J46,'18.10 MADDU-KANONI-24h'!J46,'19.10 MADDU-KANONI-24h'!J46,'20.10 MADDU-KANONI'!J46,'21.10 MADDU-KANONI'!J46,'22.10 MADDU-KANONI'!J46,'23.10 MADDU-KANONI'!J46)</f>
        <v>0.14285714285714285</v>
      </c>
      <c r="K46" s="49">
        <f>AVERAGE('17.10 MADDU-KANONI'!K46,'18.10 MADDU-KANONI-24h'!K46,'19.10 MADDU-KANONI-24h'!K46,'20.10 MADDU-KANONI'!K46,'21.10 MADDU-KANONI'!K46,'22.10 MADDU-KANONI'!K46,'23.10 MADDU-KANONI'!K46)</f>
        <v>0</v>
      </c>
      <c r="L46" s="49">
        <f>AVERAGE('17.10 MADDU-KANONI'!L46,'18.10 MADDU-KANONI-24h'!L46,'19.10 MADDU-KANONI-24h'!L46,'20.10 MADDU-KANONI'!L46,'21.10 MADDU-KANONI'!L46,'22.10 MADDU-KANONI'!L46,'23.10 MADDU-KANONI'!L46)</f>
        <v>0</v>
      </c>
      <c r="M46" s="49">
        <f>AVERAGE('17.10 MADDU-KANONI'!M46,'18.10 MADDU-KANONI-24h'!M46,'19.10 MADDU-KANONI-24h'!M46,'20.10 MADDU-KANONI'!M46,'21.10 MADDU-KANONI'!M46,'22.10 MADDU-KANONI'!M46,'23.10 MADDU-KANONI'!M46)</f>
        <v>10.428571428571429</v>
      </c>
      <c r="N46" s="49">
        <f>AVERAGE('17.10 MADDU-KANONI'!N46,'18.10 MADDU-KANONI-24h'!N46,'19.10 MADDU-KANONI-24h'!N46,'20.10 MADDU-KANONI'!N46,'21.10 MADDU-KANONI'!N46,'22.10 MADDU-KANONI'!N46,'23.10 MADDU-KANONI'!N46)</f>
        <v>0</v>
      </c>
      <c r="O46" s="15">
        <f t="shared" si="0"/>
        <v>4.8571428571428585</v>
      </c>
      <c r="P46" s="15">
        <f t="shared" si="1"/>
        <v>15.285714285714288</v>
      </c>
      <c r="R46" s="8"/>
      <c r="T46"/>
    </row>
    <row r="47" spans="2:32" ht="23.1" customHeight="1" x14ac:dyDescent="0.25">
      <c r="B47" s="24" t="s">
        <v>74</v>
      </c>
      <c r="C47" s="49">
        <f>AVERAGE('17.10 MADDU-KANONI'!C47,'18.10 MADDU-KANONI-24h'!C47,'19.10 MADDU-KANONI-24h'!C47,'20.10 MADDU-KANONI'!C47,'21.10 MADDU-KANONI'!C47,'22.10 MADDU-KANONI'!C47,'23.10 MADDU-KANONI'!C47)</f>
        <v>3.2857142857142856</v>
      </c>
      <c r="D47" s="49">
        <f>AVERAGE('17.10 MADDU-KANONI'!D47,'18.10 MADDU-KANONI-24h'!D47,'19.10 MADDU-KANONI-24h'!D47,'20.10 MADDU-KANONI'!D47,'21.10 MADDU-KANONI'!D47,'22.10 MADDU-KANONI'!D47,'23.10 MADDU-KANONI'!D47)</f>
        <v>0.42857142857142855</v>
      </c>
      <c r="E47" s="49">
        <f>AVERAGE('17.10 MADDU-KANONI'!E47,'18.10 MADDU-KANONI-24h'!E47,'19.10 MADDU-KANONI-24h'!E47,'20.10 MADDU-KANONI'!E47,'21.10 MADDU-KANONI'!E47,'22.10 MADDU-KANONI'!E47,'23.10 MADDU-KANONI'!E47)</f>
        <v>1.4285714285714286</v>
      </c>
      <c r="F47" s="49">
        <f>AVERAGE('17.10 MADDU-KANONI'!F47,'18.10 MADDU-KANONI-24h'!F47,'19.10 MADDU-KANONI-24h'!F47,'20.10 MADDU-KANONI'!F47,'21.10 MADDU-KANONI'!F47,'22.10 MADDU-KANONI'!F47,'23.10 MADDU-KANONI'!F47)</f>
        <v>1.8571428571428572</v>
      </c>
      <c r="G47" s="49">
        <f>AVERAGE('17.10 MADDU-KANONI'!G47,'18.10 MADDU-KANONI-24h'!G47,'19.10 MADDU-KANONI-24h'!G47,'20.10 MADDU-KANONI'!G47,'21.10 MADDU-KANONI'!G47,'22.10 MADDU-KANONI'!G47,'23.10 MADDU-KANONI'!G47)</f>
        <v>0</v>
      </c>
      <c r="H47" s="49">
        <f>AVERAGE('17.10 MADDU-KANONI'!H47,'18.10 MADDU-KANONI-24h'!H47,'19.10 MADDU-KANONI-24h'!H47,'20.10 MADDU-KANONI'!H47,'21.10 MADDU-KANONI'!H47,'22.10 MADDU-KANONI'!H47,'23.10 MADDU-KANONI'!H47)</f>
        <v>0</v>
      </c>
      <c r="I47" s="49">
        <f>AVERAGE('17.10 MADDU-KANONI'!I47,'18.10 MADDU-KANONI-24h'!I47,'19.10 MADDU-KANONI-24h'!I47,'20.10 MADDU-KANONI'!I47,'21.10 MADDU-KANONI'!I47,'22.10 MADDU-KANONI'!I47,'23.10 MADDU-KANONI'!I47)</f>
        <v>0.5714285714285714</v>
      </c>
      <c r="J47" s="49">
        <f>AVERAGE('17.10 MADDU-KANONI'!J47,'18.10 MADDU-KANONI-24h'!J47,'19.10 MADDU-KANONI-24h'!J47,'20.10 MADDU-KANONI'!J47,'21.10 MADDU-KANONI'!J47,'22.10 MADDU-KANONI'!J47,'23.10 MADDU-KANONI'!J47)</f>
        <v>0.42857142857142855</v>
      </c>
      <c r="K47" s="49">
        <f>AVERAGE('17.10 MADDU-KANONI'!K47,'18.10 MADDU-KANONI-24h'!K47,'19.10 MADDU-KANONI-24h'!K47,'20.10 MADDU-KANONI'!K47,'21.10 MADDU-KANONI'!K47,'22.10 MADDU-KANONI'!K47,'23.10 MADDU-KANONI'!K47)</f>
        <v>0.14285714285714285</v>
      </c>
      <c r="L47" s="49">
        <f>AVERAGE('17.10 MADDU-KANONI'!L47,'18.10 MADDU-KANONI-24h'!L47,'19.10 MADDU-KANONI-24h'!L47,'20.10 MADDU-KANONI'!L47,'21.10 MADDU-KANONI'!L47,'22.10 MADDU-KANONI'!L47,'23.10 MADDU-KANONI'!L47)</f>
        <v>0</v>
      </c>
      <c r="M47" s="49">
        <f>AVERAGE('17.10 MADDU-KANONI'!M47,'18.10 MADDU-KANONI-24h'!M47,'19.10 MADDU-KANONI-24h'!M47,'20.10 MADDU-KANONI'!M47,'21.10 MADDU-KANONI'!M47,'22.10 MADDU-KANONI'!M47,'23.10 MADDU-KANONI'!M47)</f>
        <v>13.571428571428571</v>
      </c>
      <c r="N47" s="49">
        <f>AVERAGE('17.10 MADDU-KANONI'!N47,'18.10 MADDU-KANONI-24h'!N47,'19.10 MADDU-KANONI-24h'!N47,'20.10 MADDU-KANONI'!N47,'21.10 MADDU-KANONI'!N47,'22.10 MADDU-KANONI'!N47,'23.10 MADDU-KANONI'!N47)</f>
        <v>0</v>
      </c>
      <c r="O47" s="15">
        <f t="shared" si="0"/>
        <v>8.1428571428571423</v>
      </c>
      <c r="P47" s="15">
        <f t="shared" si="1"/>
        <v>21.714285714285715</v>
      </c>
      <c r="R47" s="8"/>
      <c r="T47"/>
    </row>
    <row r="48" spans="2:32" ht="23.1" customHeight="1" x14ac:dyDescent="0.25">
      <c r="B48" s="24" t="s">
        <v>75</v>
      </c>
      <c r="C48" s="49">
        <f>AVERAGE('17.10 MADDU-KANONI'!C48,'18.10 MADDU-KANONI-24h'!C48,'19.10 MADDU-KANONI-24h'!C48,'20.10 MADDU-KANONI'!C48,'21.10 MADDU-KANONI'!C48,'22.10 MADDU-KANONI'!C48,'23.10 MADDU-KANONI'!C48)</f>
        <v>1.5714285714285714</v>
      </c>
      <c r="D48" s="49">
        <f>AVERAGE('17.10 MADDU-KANONI'!D48,'18.10 MADDU-KANONI-24h'!D48,'19.10 MADDU-KANONI-24h'!D48,'20.10 MADDU-KANONI'!D48,'21.10 MADDU-KANONI'!D48,'22.10 MADDU-KANONI'!D48,'23.10 MADDU-KANONI'!D48)</f>
        <v>1.8571428571428572</v>
      </c>
      <c r="E48" s="49">
        <f>AVERAGE('17.10 MADDU-KANONI'!E48,'18.10 MADDU-KANONI-24h'!E48,'19.10 MADDU-KANONI-24h'!E48,'20.10 MADDU-KANONI'!E48,'21.10 MADDU-KANONI'!E48,'22.10 MADDU-KANONI'!E48,'23.10 MADDU-KANONI'!E48)</f>
        <v>1.8571428571428572</v>
      </c>
      <c r="F48" s="49">
        <f>AVERAGE('17.10 MADDU-KANONI'!F48,'18.10 MADDU-KANONI-24h'!F48,'19.10 MADDU-KANONI-24h'!F48,'20.10 MADDU-KANONI'!F48,'21.10 MADDU-KANONI'!F48,'22.10 MADDU-KANONI'!F48,'23.10 MADDU-KANONI'!F48)</f>
        <v>2.2857142857142856</v>
      </c>
      <c r="G48" s="49">
        <f>AVERAGE('17.10 MADDU-KANONI'!G48,'18.10 MADDU-KANONI-24h'!G48,'19.10 MADDU-KANONI-24h'!G48,'20.10 MADDU-KANONI'!G48,'21.10 MADDU-KANONI'!G48,'22.10 MADDU-KANONI'!G48,'23.10 MADDU-KANONI'!G48)</f>
        <v>0</v>
      </c>
      <c r="H48" s="49">
        <f>AVERAGE('17.10 MADDU-KANONI'!H48,'18.10 MADDU-KANONI-24h'!H48,'19.10 MADDU-KANONI-24h'!H48,'20.10 MADDU-KANONI'!H48,'21.10 MADDU-KANONI'!H48,'22.10 MADDU-KANONI'!H48,'23.10 MADDU-KANONI'!H48)</f>
        <v>0</v>
      </c>
      <c r="I48" s="49">
        <f>AVERAGE('17.10 MADDU-KANONI'!I48,'18.10 MADDU-KANONI-24h'!I48,'19.10 MADDU-KANONI-24h'!I48,'20.10 MADDU-KANONI'!I48,'21.10 MADDU-KANONI'!I48,'22.10 MADDU-KANONI'!I48,'23.10 MADDU-KANONI'!I48)</f>
        <v>1.1428571428571428</v>
      </c>
      <c r="J48" s="49">
        <f>AVERAGE('17.10 MADDU-KANONI'!J48,'18.10 MADDU-KANONI-24h'!J48,'19.10 MADDU-KANONI-24h'!J48,'20.10 MADDU-KANONI'!J48,'21.10 MADDU-KANONI'!J48,'22.10 MADDU-KANONI'!J48,'23.10 MADDU-KANONI'!J48)</f>
        <v>0.2857142857142857</v>
      </c>
      <c r="K48" s="49">
        <f>AVERAGE('17.10 MADDU-KANONI'!K48,'18.10 MADDU-KANONI-24h'!K48,'19.10 MADDU-KANONI-24h'!K48,'20.10 MADDU-KANONI'!K48,'21.10 MADDU-KANONI'!K48,'22.10 MADDU-KANONI'!K48,'23.10 MADDU-KANONI'!K48)</f>
        <v>0.2857142857142857</v>
      </c>
      <c r="L48" s="49">
        <f>AVERAGE('17.10 MADDU-KANONI'!L48,'18.10 MADDU-KANONI-24h'!L48,'19.10 MADDU-KANONI-24h'!L48,'20.10 MADDU-KANONI'!L48,'21.10 MADDU-KANONI'!L48,'22.10 MADDU-KANONI'!L48,'23.10 MADDU-KANONI'!L48)</f>
        <v>0</v>
      </c>
      <c r="M48" s="49">
        <f>AVERAGE('17.10 MADDU-KANONI'!M48,'18.10 MADDU-KANONI-24h'!M48,'19.10 MADDU-KANONI-24h'!M48,'20.10 MADDU-KANONI'!M48,'21.10 MADDU-KANONI'!M48,'22.10 MADDU-KANONI'!M48,'23.10 MADDU-KANONI'!M48)</f>
        <v>14.857142857142858</v>
      </c>
      <c r="N48" s="49">
        <f>AVERAGE('17.10 MADDU-KANONI'!N48,'18.10 MADDU-KANONI-24h'!N48,'19.10 MADDU-KANONI-24h'!N48,'20.10 MADDU-KANONI'!N48,'21.10 MADDU-KANONI'!N48,'22.10 MADDU-KANONI'!N48,'23.10 MADDU-KANONI'!N48)</f>
        <v>0</v>
      </c>
      <c r="O48" s="15">
        <f t="shared" si="0"/>
        <v>9.2857142857142883</v>
      </c>
      <c r="P48" s="15">
        <f t="shared" si="1"/>
        <v>24.142857142857146</v>
      </c>
      <c r="R48" s="8"/>
      <c r="T48"/>
    </row>
    <row r="49" spans="2:20" ht="23.1" customHeight="1" x14ac:dyDescent="0.25">
      <c r="B49" s="23" t="s">
        <v>76</v>
      </c>
      <c r="C49" s="49">
        <f>AVERAGE('17.10 MADDU-KANONI'!C49,'18.10 MADDU-KANONI-24h'!C49,'19.10 MADDU-KANONI-24h'!C49,'20.10 MADDU-KANONI'!C49,'21.10 MADDU-KANONI'!C49,'22.10 MADDU-KANONI'!C49,'23.10 MADDU-KANONI'!C49)</f>
        <v>2</v>
      </c>
      <c r="D49" s="49">
        <f>AVERAGE('17.10 MADDU-KANONI'!D49,'18.10 MADDU-KANONI-24h'!D49,'19.10 MADDU-KANONI-24h'!D49,'20.10 MADDU-KANONI'!D49,'21.10 MADDU-KANONI'!D49,'22.10 MADDU-KANONI'!D49,'23.10 MADDU-KANONI'!D49)</f>
        <v>1</v>
      </c>
      <c r="E49" s="49">
        <f>AVERAGE('17.10 MADDU-KANONI'!E49,'18.10 MADDU-KANONI-24h'!E49,'19.10 MADDU-KANONI-24h'!E49,'20.10 MADDU-KANONI'!E49,'21.10 MADDU-KANONI'!E49,'22.10 MADDU-KANONI'!E49,'23.10 MADDU-KANONI'!E49)</f>
        <v>0.5714285714285714</v>
      </c>
      <c r="F49" s="49">
        <f>AVERAGE('17.10 MADDU-KANONI'!F49,'18.10 MADDU-KANONI-24h'!F49,'19.10 MADDU-KANONI-24h'!F49,'20.10 MADDU-KANONI'!F49,'21.10 MADDU-KANONI'!F49,'22.10 MADDU-KANONI'!F49,'23.10 MADDU-KANONI'!F49)</f>
        <v>2</v>
      </c>
      <c r="G49" s="49">
        <f>AVERAGE('17.10 MADDU-KANONI'!G49,'18.10 MADDU-KANONI-24h'!G49,'19.10 MADDU-KANONI-24h'!G49,'20.10 MADDU-KANONI'!G49,'21.10 MADDU-KANONI'!G49,'22.10 MADDU-KANONI'!G49,'23.10 MADDU-KANONI'!G49)</f>
        <v>0</v>
      </c>
      <c r="H49" s="49">
        <f>AVERAGE('17.10 MADDU-KANONI'!H49,'18.10 MADDU-KANONI-24h'!H49,'19.10 MADDU-KANONI-24h'!H49,'20.10 MADDU-KANONI'!H49,'21.10 MADDU-KANONI'!H49,'22.10 MADDU-KANONI'!H49,'23.10 MADDU-KANONI'!H49)</f>
        <v>0</v>
      </c>
      <c r="I49" s="49">
        <f>AVERAGE('17.10 MADDU-KANONI'!I49,'18.10 MADDU-KANONI-24h'!I49,'19.10 MADDU-KANONI-24h'!I49,'20.10 MADDU-KANONI'!I49,'21.10 MADDU-KANONI'!I49,'22.10 MADDU-KANONI'!I49,'23.10 MADDU-KANONI'!I49)</f>
        <v>1.1428571428571428</v>
      </c>
      <c r="J49" s="49">
        <f>AVERAGE('17.10 MADDU-KANONI'!J49,'18.10 MADDU-KANONI-24h'!J49,'19.10 MADDU-KANONI-24h'!J49,'20.10 MADDU-KANONI'!J49,'21.10 MADDU-KANONI'!J49,'22.10 MADDU-KANONI'!J49,'23.10 MADDU-KANONI'!J49)</f>
        <v>0.14285714285714285</v>
      </c>
      <c r="K49" s="49">
        <f>AVERAGE('17.10 MADDU-KANONI'!K49,'18.10 MADDU-KANONI-24h'!K49,'19.10 MADDU-KANONI-24h'!K49,'20.10 MADDU-KANONI'!K49,'21.10 MADDU-KANONI'!K49,'22.10 MADDU-KANONI'!K49,'23.10 MADDU-KANONI'!K49)</f>
        <v>0</v>
      </c>
      <c r="L49" s="49">
        <f>AVERAGE('17.10 MADDU-KANONI'!L49,'18.10 MADDU-KANONI-24h'!L49,'19.10 MADDU-KANONI-24h'!L49,'20.10 MADDU-KANONI'!L49,'21.10 MADDU-KANONI'!L49,'22.10 MADDU-KANONI'!L49,'23.10 MADDU-KANONI'!L49)</f>
        <v>0</v>
      </c>
      <c r="M49" s="49">
        <f>AVERAGE('17.10 MADDU-KANONI'!M49,'18.10 MADDU-KANONI-24h'!M49,'19.10 MADDU-KANONI-24h'!M49,'20.10 MADDU-KANONI'!M49,'21.10 MADDU-KANONI'!M49,'22.10 MADDU-KANONI'!M49,'23.10 MADDU-KANONI'!M49)</f>
        <v>13.285714285714286</v>
      </c>
      <c r="N49" s="49">
        <f>AVERAGE('17.10 MADDU-KANONI'!N49,'18.10 MADDU-KANONI-24h'!N49,'19.10 MADDU-KANONI-24h'!N49,'20.10 MADDU-KANONI'!N49,'21.10 MADDU-KANONI'!N49,'22.10 MADDU-KANONI'!N49,'23.10 MADDU-KANONI'!N49)</f>
        <v>0</v>
      </c>
      <c r="O49" s="15">
        <f t="shared" si="0"/>
        <v>6.8571428571428568</v>
      </c>
      <c r="P49" s="15">
        <f t="shared" si="1"/>
        <v>20.142857142857142</v>
      </c>
      <c r="R49" s="8"/>
      <c r="T49"/>
    </row>
    <row r="50" spans="2:20" ht="23.1" customHeight="1" x14ac:dyDescent="0.25">
      <c r="B50" s="24" t="s">
        <v>77</v>
      </c>
      <c r="C50" s="49">
        <f>AVERAGE('17.10 MADDU-KANONI'!C50,'18.10 MADDU-KANONI-24h'!C50,'19.10 MADDU-KANONI-24h'!C50,'20.10 MADDU-KANONI'!C50,'21.10 MADDU-KANONI'!C50,'22.10 MADDU-KANONI'!C50,'23.10 MADDU-KANONI'!C50)</f>
        <v>2.2857142857142856</v>
      </c>
      <c r="D50" s="49">
        <f>AVERAGE('17.10 MADDU-KANONI'!D50,'18.10 MADDU-KANONI-24h'!D50,'19.10 MADDU-KANONI-24h'!D50,'20.10 MADDU-KANONI'!D50,'21.10 MADDU-KANONI'!D50,'22.10 MADDU-KANONI'!D50,'23.10 MADDU-KANONI'!D50)</f>
        <v>0.42857142857142855</v>
      </c>
      <c r="E50" s="49">
        <f>AVERAGE('17.10 MADDU-KANONI'!E50,'18.10 MADDU-KANONI-24h'!E50,'19.10 MADDU-KANONI-24h'!E50,'20.10 MADDU-KANONI'!E50,'21.10 MADDU-KANONI'!E50,'22.10 MADDU-KANONI'!E50,'23.10 MADDU-KANONI'!E50)</f>
        <v>0.2857142857142857</v>
      </c>
      <c r="F50" s="49">
        <f>AVERAGE('17.10 MADDU-KANONI'!F50,'18.10 MADDU-KANONI-24h'!F50,'19.10 MADDU-KANONI-24h'!F50,'20.10 MADDU-KANONI'!F50,'21.10 MADDU-KANONI'!F50,'22.10 MADDU-KANONI'!F50,'23.10 MADDU-KANONI'!F50)</f>
        <v>3.4285714285714284</v>
      </c>
      <c r="G50" s="49">
        <f>AVERAGE('17.10 MADDU-KANONI'!G50,'18.10 MADDU-KANONI-24h'!G50,'19.10 MADDU-KANONI-24h'!G50,'20.10 MADDU-KANONI'!G50,'21.10 MADDU-KANONI'!G50,'22.10 MADDU-KANONI'!G50,'23.10 MADDU-KANONI'!G50)</f>
        <v>0</v>
      </c>
      <c r="H50" s="49">
        <f>AVERAGE('17.10 MADDU-KANONI'!H50,'18.10 MADDU-KANONI-24h'!H50,'19.10 MADDU-KANONI-24h'!H50,'20.10 MADDU-KANONI'!H50,'21.10 MADDU-KANONI'!H50,'22.10 MADDU-KANONI'!H50,'23.10 MADDU-KANONI'!H50)</f>
        <v>0</v>
      </c>
      <c r="I50" s="49">
        <f>AVERAGE('17.10 MADDU-KANONI'!I50,'18.10 MADDU-KANONI-24h'!I50,'19.10 MADDU-KANONI-24h'!I50,'20.10 MADDU-KANONI'!I50,'21.10 MADDU-KANONI'!I50,'22.10 MADDU-KANONI'!I50,'23.10 MADDU-KANONI'!I50)</f>
        <v>0.42857142857142855</v>
      </c>
      <c r="J50" s="49">
        <f>AVERAGE('17.10 MADDU-KANONI'!J50,'18.10 MADDU-KANONI-24h'!J50,'19.10 MADDU-KANONI-24h'!J50,'20.10 MADDU-KANONI'!J50,'21.10 MADDU-KANONI'!J50,'22.10 MADDU-KANONI'!J50,'23.10 MADDU-KANONI'!J50)</f>
        <v>0.14285714285714285</v>
      </c>
      <c r="K50" s="49">
        <f>AVERAGE('17.10 MADDU-KANONI'!K50,'18.10 MADDU-KANONI-24h'!K50,'19.10 MADDU-KANONI-24h'!K50,'20.10 MADDU-KANONI'!K50,'21.10 MADDU-KANONI'!K50,'22.10 MADDU-KANONI'!K50,'23.10 MADDU-KANONI'!K50)</f>
        <v>0</v>
      </c>
      <c r="L50" s="49">
        <f>AVERAGE('17.10 MADDU-KANONI'!L50,'18.10 MADDU-KANONI-24h'!L50,'19.10 MADDU-KANONI-24h'!L50,'20.10 MADDU-KANONI'!L50,'21.10 MADDU-KANONI'!L50,'22.10 MADDU-KANONI'!L50,'23.10 MADDU-KANONI'!L50)</f>
        <v>0</v>
      </c>
      <c r="M50" s="49">
        <f>AVERAGE('17.10 MADDU-KANONI'!M50,'18.10 MADDU-KANONI-24h'!M50,'19.10 MADDU-KANONI-24h'!M50,'20.10 MADDU-KANONI'!M50,'21.10 MADDU-KANONI'!M50,'22.10 MADDU-KANONI'!M50,'23.10 MADDU-KANONI'!M50)</f>
        <v>14.857142857142858</v>
      </c>
      <c r="N50" s="49">
        <f>AVERAGE('17.10 MADDU-KANONI'!N50,'18.10 MADDU-KANONI-24h'!N50,'19.10 MADDU-KANONI-24h'!N50,'20.10 MADDU-KANONI'!N50,'21.10 MADDU-KANONI'!N50,'22.10 MADDU-KANONI'!N50,'23.10 MADDU-KANONI'!N50)</f>
        <v>0</v>
      </c>
      <c r="O50" s="15">
        <f t="shared" si="0"/>
        <v>7</v>
      </c>
      <c r="P50" s="15">
        <f t="shared" si="1"/>
        <v>21.857142857142858</v>
      </c>
      <c r="R50" s="8"/>
      <c r="T50"/>
    </row>
    <row r="51" spans="2:20" ht="23.1" customHeight="1" x14ac:dyDescent="0.25">
      <c r="B51" s="24" t="s">
        <v>78</v>
      </c>
      <c r="C51" s="49">
        <f>AVERAGE('17.10 MADDU-KANONI'!C51,'18.10 MADDU-KANONI-24h'!C51,'19.10 MADDU-KANONI-24h'!C51,'20.10 MADDU-KANONI'!C51,'21.10 MADDU-KANONI'!C51,'22.10 MADDU-KANONI'!C51,'23.10 MADDU-KANONI'!C51)</f>
        <v>3</v>
      </c>
      <c r="D51" s="49">
        <f>AVERAGE('17.10 MADDU-KANONI'!D51,'18.10 MADDU-KANONI-24h'!D51,'19.10 MADDU-KANONI-24h'!D51,'20.10 MADDU-KANONI'!D51,'21.10 MADDU-KANONI'!D51,'22.10 MADDU-KANONI'!D51,'23.10 MADDU-KANONI'!D51)</f>
        <v>1</v>
      </c>
      <c r="E51" s="49">
        <f>AVERAGE('17.10 MADDU-KANONI'!E51,'18.10 MADDU-KANONI-24h'!E51,'19.10 MADDU-KANONI-24h'!E51,'20.10 MADDU-KANONI'!E51,'21.10 MADDU-KANONI'!E51,'22.10 MADDU-KANONI'!E51,'23.10 MADDU-KANONI'!E51)</f>
        <v>0.7142857142857143</v>
      </c>
      <c r="F51" s="49">
        <f>AVERAGE('17.10 MADDU-KANONI'!F51,'18.10 MADDU-KANONI-24h'!F51,'19.10 MADDU-KANONI-24h'!F51,'20.10 MADDU-KANONI'!F51,'21.10 MADDU-KANONI'!F51,'22.10 MADDU-KANONI'!F51,'23.10 MADDU-KANONI'!F51)</f>
        <v>1.5714285714285714</v>
      </c>
      <c r="G51" s="49">
        <f>AVERAGE('17.10 MADDU-KANONI'!G51,'18.10 MADDU-KANONI-24h'!G51,'19.10 MADDU-KANONI-24h'!G51,'20.10 MADDU-KANONI'!G51,'21.10 MADDU-KANONI'!G51,'22.10 MADDU-KANONI'!G51,'23.10 MADDU-KANONI'!G51)</f>
        <v>0</v>
      </c>
      <c r="H51" s="49">
        <f>AVERAGE('17.10 MADDU-KANONI'!H51,'18.10 MADDU-KANONI-24h'!H51,'19.10 MADDU-KANONI-24h'!H51,'20.10 MADDU-KANONI'!H51,'21.10 MADDU-KANONI'!H51,'22.10 MADDU-KANONI'!H51,'23.10 MADDU-KANONI'!H51)</f>
        <v>0</v>
      </c>
      <c r="I51" s="49">
        <f>AVERAGE('17.10 MADDU-KANONI'!I51,'18.10 MADDU-KANONI-24h'!I51,'19.10 MADDU-KANONI-24h'!I51,'20.10 MADDU-KANONI'!I51,'21.10 MADDU-KANONI'!I51,'22.10 MADDU-KANONI'!I51,'23.10 MADDU-KANONI'!I51)</f>
        <v>0.42857142857142855</v>
      </c>
      <c r="J51" s="49">
        <f>AVERAGE('17.10 MADDU-KANONI'!J51,'18.10 MADDU-KANONI-24h'!J51,'19.10 MADDU-KANONI-24h'!J51,'20.10 MADDU-KANONI'!J51,'21.10 MADDU-KANONI'!J51,'22.10 MADDU-KANONI'!J51,'23.10 MADDU-KANONI'!J51)</f>
        <v>0.14285714285714285</v>
      </c>
      <c r="K51" s="49">
        <f>AVERAGE('17.10 MADDU-KANONI'!K51,'18.10 MADDU-KANONI-24h'!K51,'19.10 MADDU-KANONI-24h'!K51,'20.10 MADDU-KANONI'!K51,'21.10 MADDU-KANONI'!K51,'22.10 MADDU-KANONI'!K51,'23.10 MADDU-KANONI'!K51)</f>
        <v>0.5714285714285714</v>
      </c>
      <c r="L51" s="49">
        <f>AVERAGE('17.10 MADDU-KANONI'!L51,'18.10 MADDU-KANONI-24h'!L51,'19.10 MADDU-KANONI-24h'!L51,'20.10 MADDU-KANONI'!L51,'21.10 MADDU-KANONI'!L51,'22.10 MADDU-KANONI'!L51,'23.10 MADDU-KANONI'!L51)</f>
        <v>0</v>
      </c>
      <c r="M51" s="49">
        <f>AVERAGE('17.10 MADDU-KANONI'!M51,'18.10 MADDU-KANONI-24h'!M51,'19.10 MADDU-KANONI-24h'!M51,'20.10 MADDU-KANONI'!M51,'21.10 MADDU-KANONI'!M51,'22.10 MADDU-KANONI'!M51,'23.10 MADDU-KANONI'!M51)</f>
        <v>10.428571428571429</v>
      </c>
      <c r="N51" s="49">
        <f>AVERAGE('17.10 MADDU-KANONI'!N51,'18.10 MADDU-KANONI-24h'!N51,'19.10 MADDU-KANONI-24h'!N51,'20.10 MADDU-KANONI'!N51,'21.10 MADDU-KANONI'!N51,'22.10 MADDU-KANONI'!N51,'23.10 MADDU-KANONI'!N51)</f>
        <v>0</v>
      </c>
      <c r="O51" s="15">
        <f t="shared" si="0"/>
        <v>7.4285714285714288</v>
      </c>
      <c r="P51" s="15">
        <f t="shared" si="1"/>
        <v>17.857142857142858</v>
      </c>
      <c r="R51" s="8"/>
      <c r="T51"/>
    </row>
    <row r="52" spans="2:20" ht="23.1" customHeight="1" x14ac:dyDescent="0.25">
      <c r="B52" s="24" t="s">
        <v>79</v>
      </c>
      <c r="C52" s="49">
        <f>AVERAGE('17.10 MADDU-KANONI'!C52,'18.10 MADDU-KANONI-24h'!C52,'19.10 MADDU-KANONI-24h'!C52,'20.10 MADDU-KANONI'!C52,'21.10 MADDU-KANONI'!C52,'22.10 MADDU-KANONI'!C52,'23.10 MADDU-KANONI'!C52)</f>
        <v>2.5714285714285716</v>
      </c>
      <c r="D52" s="49">
        <f>AVERAGE('17.10 MADDU-KANONI'!D52,'18.10 MADDU-KANONI-24h'!D52,'19.10 MADDU-KANONI-24h'!D52,'20.10 MADDU-KANONI'!D52,'21.10 MADDU-KANONI'!D52,'22.10 MADDU-KANONI'!D52,'23.10 MADDU-KANONI'!D52)</f>
        <v>1.5714285714285714</v>
      </c>
      <c r="E52" s="49">
        <f>AVERAGE('17.10 MADDU-KANONI'!E52,'18.10 MADDU-KANONI-24h'!E52,'19.10 MADDU-KANONI-24h'!E52,'20.10 MADDU-KANONI'!E52,'21.10 MADDU-KANONI'!E52,'22.10 MADDU-KANONI'!E52,'23.10 MADDU-KANONI'!E52)</f>
        <v>0.8571428571428571</v>
      </c>
      <c r="F52" s="49">
        <f>AVERAGE('17.10 MADDU-KANONI'!F52,'18.10 MADDU-KANONI-24h'!F52,'19.10 MADDU-KANONI-24h'!F52,'20.10 MADDU-KANONI'!F52,'21.10 MADDU-KANONI'!F52,'22.10 MADDU-KANONI'!F52,'23.10 MADDU-KANONI'!F52)</f>
        <v>3.5714285714285716</v>
      </c>
      <c r="G52" s="49">
        <f>AVERAGE('17.10 MADDU-KANONI'!G52,'18.10 MADDU-KANONI-24h'!G52,'19.10 MADDU-KANONI-24h'!G52,'20.10 MADDU-KANONI'!G52,'21.10 MADDU-KANONI'!G52,'22.10 MADDU-KANONI'!G52,'23.10 MADDU-KANONI'!G52)</f>
        <v>0</v>
      </c>
      <c r="H52" s="49">
        <f>AVERAGE('17.10 MADDU-KANONI'!H52,'18.10 MADDU-KANONI-24h'!H52,'19.10 MADDU-KANONI-24h'!H52,'20.10 MADDU-KANONI'!H52,'21.10 MADDU-KANONI'!H52,'22.10 MADDU-KANONI'!H52,'23.10 MADDU-KANONI'!H52)</f>
        <v>0</v>
      </c>
      <c r="I52" s="49">
        <f>AVERAGE('17.10 MADDU-KANONI'!I52,'18.10 MADDU-KANONI-24h'!I52,'19.10 MADDU-KANONI-24h'!I52,'20.10 MADDU-KANONI'!I52,'21.10 MADDU-KANONI'!I52,'22.10 MADDU-KANONI'!I52,'23.10 MADDU-KANONI'!I52)</f>
        <v>0.5714285714285714</v>
      </c>
      <c r="J52" s="49">
        <f>AVERAGE('17.10 MADDU-KANONI'!J52,'18.10 MADDU-KANONI-24h'!J52,'19.10 MADDU-KANONI-24h'!J52,'20.10 MADDU-KANONI'!J52,'21.10 MADDU-KANONI'!J52,'22.10 MADDU-KANONI'!J52,'23.10 MADDU-KANONI'!J52)</f>
        <v>0.8571428571428571</v>
      </c>
      <c r="K52" s="49">
        <f>AVERAGE('17.10 MADDU-KANONI'!K52,'18.10 MADDU-KANONI-24h'!K52,'19.10 MADDU-KANONI-24h'!K52,'20.10 MADDU-KANONI'!K52,'21.10 MADDU-KANONI'!K52,'22.10 MADDU-KANONI'!K52,'23.10 MADDU-KANONI'!K52)</f>
        <v>0</v>
      </c>
      <c r="L52" s="49">
        <f>AVERAGE('17.10 MADDU-KANONI'!L52,'18.10 MADDU-KANONI-24h'!L52,'19.10 MADDU-KANONI-24h'!L52,'20.10 MADDU-KANONI'!L52,'21.10 MADDU-KANONI'!L52,'22.10 MADDU-KANONI'!L52,'23.10 MADDU-KANONI'!L52)</f>
        <v>0.14285714285714285</v>
      </c>
      <c r="M52" s="49">
        <f>AVERAGE('17.10 MADDU-KANONI'!M52,'18.10 MADDU-KANONI-24h'!M52,'19.10 MADDU-KANONI-24h'!M52,'20.10 MADDU-KANONI'!M52,'21.10 MADDU-KANONI'!M52,'22.10 MADDU-KANONI'!M52,'23.10 MADDU-KANONI'!M52)</f>
        <v>13.428571428571429</v>
      </c>
      <c r="N52" s="49">
        <f>AVERAGE('17.10 MADDU-KANONI'!N52,'18.10 MADDU-KANONI-24h'!N52,'19.10 MADDU-KANONI-24h'!N52,'20.10 MADDU-KANONI'!N52,'21.10 MADDU-KANONI'!N52,'22.10 MADDU-KANONI'!N52,'23.10 MADDU-KANONI'!N52)</f>
        <v>0</v>
      </c>
      <c r="O52" s="15">
        <f t="shared" si="0"/>
        <v>10.142857142857142</v>
      </c>
      <c r="P52" s="15">
        <f t="shared" si="1"/>
        <v>23.571428571428569</v>
      </c>
      <c r="R52" s="8"/>
      <c r="T52"/>
    </row>
    <row r="53" spans="2:20" ht="23.1" customHeight="1" x14ac:dyDescent="0.25">
      <c r="B53" s="23" t="s">
        <v>80</v>
      </c>
      <c r="C53" s="49">
        <f>AVERAGE('17.10 MADDU-KANONI'!C53,'18.10 MADDU-KANONI-24h'!C53,'19.10 MADDU-KANONI-24h'!C53,'20.10 MADDU-KANONI'!C53,'21.10 MADDU-KANONI'!C53,'22.10 MADDU-KANONI'!C53,'23.10 MADDU-KANONI'!C53)</f>
        <v>1.1428571428571428</v>
      </c>
      <c r="D53" s="49">
        <f>AVERAGE('17.10 MADDU-KANONI'!D53,'18.10 MADDU-KANONI-24h'!D53,'19.10 MADDU-KANONI-24h'!D53,'20.10 MADDU-KANONI'!D53,'21.10 MADDU-KANONI'!D53,'22.10 MADDU-KANONI'!D53,'23.10 MADDU-KANONI'!D53)</f>
        <v>1.4285714285714286</v>
      </c>
      <c r="E53" s="49">
        <f>AVERAGE('17.10 MADDU-KANONI'!E53,'18.10 MADDU-KANONI-24h'!E53,'19.10 MADDU-KANONI-24h'!E53,'20.10 MADDU-KANONI'!E53,'21.10 MADDU-KANONI'!E53,'22.10 MADDU-KANONI'!E53,'23.10 MADDU-KANONI'!E53)</f>
        <v>0.7142857142857143</v>
      </c>
      <c r="F53" s="49">
        <f>AVERAGE('17.10 MADDU-KANONI'!F53,'18.10 MADDU-KANONI-24h'!F53,'19.10 MADDU-KANONI-24h'!F53,'20.10 MADDU-KANONI'!F53,'21.10 MADDU-KANONI'!F53,'22.10 MADDU-KANONI'!F53,'23.10 MADDU-KANONI'!F53)</f>
        <v>1.8571428571428572</v>
      </c>
      <c r="G53" s="49">
        <f>AVERAGE('17.10 MADDU-KANONI'!G53,'18.10 MADDU-KANONI-24h'!G53,'19.10 MADDU-KANONI-24h'!G53,'20.10 MADDU-KANONI'!G53,'21.10 MADDU-KANONI'!G53,'22.10 MADDU-KANONI'!G53,'23.10 MADDU-KANONI'!G53)</f>
        <v>0.42857142857142855</v>
      </c>
      <c r="H53" s="49">
        <f>AVERAGE('17.10 MADDU-KANONI'!H53,'18.10 MADDU-KANONI-24h'!H53,'19.10 MADDU-KANONI-24h'!H53,'20.10 MADDU-KANONI'!H53,'21.10 MADDU-KANONI'!H53,'22.10 MADDU-KANONI'!H53,'23.10 MADDU-KANONI'!H53)</f>
        <v>0</v>
      </c>
      <c r="I53" s="49">
        <f>AVERAGE('17.10 MADDU-KANONI'!I53,'18.10 MADDU-KANONI-24h'!I53,'19.10 MADDU-KANONI-24h'!I53,'20.10 MADDU-KANONI'!I53,'21.10 MADDU-KANONI'!I53,'22.10 MADDU-KANONI'!I53,'23.10 MADDU-KANONI'!I53)</f>
        <v>0.5714285714285714</v>
      </c>
      <c r="J53" s="49">
        <f>AVERAGE('17.10 MADDU-KANONI'!J53,'18.10 MADDU-KANONI-24h'!J53,'19.10 MADDU-KANONI-24h'!J53,'20.10 MADDU-KANONI'!J53,'21.10 MADDU-KANONI'!J53,'22.10 MADDU-KANONI'!J53,'23.10 MADDU-KANONI'!J53)</f>
        <v>0.14285714285714285</v>
      </c>
      <c r="K53" s="49">
        <f>AVERAGE('17.10 MADDU-KANONI'!K53,'18.10 MADDU-KANONI-24h'!K53,'19.10 MADDU-KANONI-24h'!K53,'20.10 MADDU-KANONI'!K53,'21.10 MADDU-KANONI'!K53,'22.10 MADDU-KANONI'!K53,'23.10 MADDU-KANONI'!K53)</f>
        <v>0.2857142857142857</v>
      </c>
      <c r="L53" s="49">
        <f>AVERAGE('17.10 MADDU-KANONI'!L53,'18.10 MADDU-KANONI-24h'!L53,'19.10 MADDU-KANONI-24h'!L53,'20.10 MADDU-KANONI'!L53,'21.10 MADDU-KANONI'!L53,'22.10 MADDU-KANONI'!L53,'23.10 MADDU-KANONI'!L53)</f>
        <v>0</v>
      </c>
      <c r="M53" s="49">
        <f>AVERAGE('17.10 MADDU-KANONI'!M53,'18.10 MADDU-KANONI-24h'!M53,'19.10 MADDU-KANONI-24h'!M53,'20.10 MADDU-KANONI'!M53,'21.10 MADDU-KANONI'!M53,'22.10 MADDU-KANONI'!M53,'23.10 MADDU-KANONI'!M53)</f>
        <v>15.714285714285714</v>
      </c>
      <c r="N53" s="49">
        <f>AVERAGE('17.10 MADDU-KANONI'!N53,'18.10 MADDU-KANONI-24h'!N53,'19.10 MADDU-KANONI-24h'!N53,'20.10 MADDU-KANONI'!N53,'21.10 MADDU-KANONI'!N53,'22.10 MADDU-KANONI'!N53,'23.10 MADDU-KANONI'!N53)</f>
        <v>0</v>
      </c>
      <c r="O53" s="15">
        <f t="shared" si="0"/>
        <v>6.5714285714285712</v>
      </c>
      <c r="P53" s="15">
        <f t="shared" si="1"/>
        <v>22.285714285714285</v>
      </c>
      <c r="R53" s="8"/>
      <c r="T53"/>
    </row>
    <row r="54" spans="2:20" ht="23.1" customHeight="1" x14ac:dyDescent="0.25">
      <c r="B54" s="23" t="s">
        <v>81</v>
      </c>
      <c r="C54" s="49">
        <f>AVERAGE('17.10 MADDU-KANONI'!C54,'18.10 MADDU-KANONI-24h'!C54,'19.10 MADDU-KANONI-24h'!C54,'20.10 MADDU-KANONI'!C54,'21.10 MADDU-KANONI'!C54,'22.10 MADDU-KANONI'!C54,'23.10 MADDU-KANONI'!C54)</f>
        <v>3.2857142857142856</v>
      </c>
      <c r="D54" s="49">
        <f>AVERAGE('17.10 MADDU-KANONI'!D54,'18.10 MADDU-KANONI-24h'!D54,'19.10 MADDU-KANONI-24h'!D54,'20.10 MADDU-KANONI'!D54,'21.10 MADDU-KANONI'!D54,'22.10 MADDU-KANONI'!D54,'23.10 MADDU-KANONI'!D54)</f>
        <v>0.5714285714285714</v>
      </c>
      <c r="E54" s="49">
        <f>AVERAGE('17.10 MADDU-KANONI'!E54,'18.10 MADDU-KANONI-24h'!E54,'19.10 MADDU-KANONI-24h'!E54,'20.10 MADDU-KANONI'!E54,'21.10 MADDU-KANONI'!E54,'22.10 MADDU-KANONI'!E54,'23.10 MADDU-KANONI'!E54)</f>
        <v>0.8571428571428571</v>
      </c>
      <c r="F54" s="49">
        <f>AVERAGE('17.10 MADDU-KANONI'!F54,'18.10 MADDU-KANONI-24h'!F54,'19.10 MADDU-KANONI-24h'!F54,'20.10 MADDU-KANONI'!F54,'21.10 MADDU-KANONI'!F54,'22.10 MADDU-KANONI'!F54,'23.10 MADDU-KANONI'!F54)</f>
        <v>2.4285714285714284</v>
      </c>
      <c r="G54" s="49">
        <f>AVERAGE('17.10 MADDU-KANONI'!G54,'18.10 MADDU-KANONI-24h'!G54,'19.10 MADDU-KANONI-24h'!G54,'20.10 MADDU-KANONI'!G54,'21.10 MADDU-KANONI'!G54,'22.10 MADDU-KANONI'!G54,'23.10 MADDU-KANONI'!G54)</f>
        <v>0.14285714285714285</v>
      </c>
      <c r="H54" s="49">
        <f>AVERAGE('17.10 MADDU-KANONI'!H54,'18.10 MADDU-KANONI-24h'!H54,'19.10 MADDU-KANONI-24h'!H54,'20.10 MADDU-KANONI'!H54,'21.10 MADDU-KANONI'!H54,'22.10 MADDU-KANONI'!H54,'23.10 MADDU-KANONI'!H54)</f>
        <v>0</v>
      </c>
      <c r="I54" s="49">
        <f>AVERAGE('17.10 MADDU-KANONI'!I54,'18.10 MADDU-KANONI-24h'!I54,'19.10 MADDU-KANONI-24h'!I54,'20.10 MADDU-KANONI'!I54,'21.10 MADDU-KANONI'!I54,'22.10 MADDU-KANONI'!I54,'23.10 MADDU-KANONI'!I54)</f>
        <v>0.2857142857142857</v>
      </c>
      <c r="J54" s="49">
        <f>AVERAGE('17.10 MADDU-KANONI'!J54,'18.10 MADDU-KANONI-24h'!J54,'19.10 MADDU-KANONI-24h'!J54,'20.10 MADDU-KANONI'!J54,'21.10 MADDU-KANONI'!J54,'22.10 MADDU-KANONI'!J54,'23.10 MADDU-KANONI'!J54)</f>
        <v>0.5714285714285714</v>
      </c>
      <c r="K54" s="49">
        <f>AVERAGE('17.10 MADDU-KANONI'!K54,'18.10 MADDU-KANONI-24h'!K54,'19.10 MADDU-KANONI-24h'!K54,'20.10 MADDU-KANONI'!K54,'21.10 MADDU-KANONI'!K54,'22.10 MADDU-KANONI'!K54,'23.10 MADDU-KANONI'!K54)</f>
        <v>0</v>
      </c>
      <c r="L54" s="49">
        <f>AVERAGE('17.10 MADDU-KANONI'!L54,'18.10 MADDU-KANONI-24h'!L54,'19.10 MADDU-KANONI-24h'!L54,'20.10 MADDU-KANONI'!L54,'21.10 MADDU-KANONI'!L54,'22.10 MADDU-KANONI'!L54,'23.10 MADDU-KANONI'!L54)</f>
        <v>0</v>
      </c>
      <c r="M54" s="49">
        <f>AVERAGE('17.10 MADDU-KANONI'!M54,'18.10 MADDU-KANONI-24h'!M54,'19.10 MADDU-KANONI-24h'!M54,'20.10 MADDU-KANONI'!M54,'21.10 MADDU-KANONI'!M54,'22.10 MADDU-KANONI'!M54,'23.10 MADDU-KANONI'!M54)</f>
        <v>10.428571428571429</v>
      </c>
      <c r="N54" s="49">
        <f>AVERAGE('17.10 MADDU-KANONI'!N54,'18.10 MADDU-KANONI-24h'!N54,'19.10 MADDU-KANONI-24h'!N54,'20.10 MADDU-KANONI'!N54,'21.10 MADDU-KANONI'!N54,'22.10 MADDU-KANONI'!N54,'23.10 MADDU-KANONI'!N54)</f>
        <v>0</v>
      </c>
      <c r="O54" s="15">
        <f t="shared" si="0"/>
        <v>8.1428571428571423</v>
      </c>
      <c r="P54" s="15">
        <f t="shared" si="1"/>
        <v>18.571428571428569</v>
      </c>
      <c r="R54" s="8"/>
      <c r="T54"/>
    </row>
    <row r="55" spans="2:20" ht="23.1" customHeight="1" x14ac:dyDescent="0.25">
      <c r="B55" s="23" t="s">
        <v>82</v>
      </c>
      <c r="C55" s="49">
        <f>AVERAGE('17.10 MADDU-KANONI'!C55,'18.10 MADDU-KANONI-24h'!C55,'19.10 MADDU-KANONI-24h'!C55,'20.10 MADDU-KANONI'!C55,'21.10 MADDU-KANONI'!C55,'22.10 MADDU-KANONI'!C55,'23.10 MADDU-KANONI'!C55)</f>
        <v>2.1428571428571428</v>
      </c>
      <c r="D55" s="49">
        <f>AVERAGE('17.10 MADDU-KANONI'!D55,'18.10 MADDU-KANONI-24h'!D55,'19.10 MADDU-KANONI-24h'!D55,'20.10 MADDU-KANONI'!D55,'21.10 MADDU-KANONI'!D55,'22.10 MADDU-KANONI'!D55,'23.10 MADDU-KANONI'!D55)</f>
        <v>1.2857142857142858</v>
      </c>
      <c r="E55" s="49">
        <f>AVERAGE('17.10 MADDU-KANONI'!E55,'18.10 MADDU-KANONI-24h'!E55,'19.10 MADDU-KANONI-24h'!E55,'20.10 MADDU-KANONI'!E55,'21.10 MADDU-KANONI'!E55,'22.10 MADDU-KANONI'!E55,'23.10 MADDU-KANONI'!E55)</f>
        <v>1.1428571428571428</v>
      </c>
      <c r="F55" s="49">
        <f>AVERAGE('17.10 MADDU-KANONI'!F55,'18.10 MADDU-KANONI-24h'!F55,'19.10 MADDU-KANONI-24h'!F55,'20.10 MADDU-KANONI'!F55,'21.10 MADDU-KANONI'!F55,'22.10 MADDU-KANONI'!F55,'23.10 MADDU-KANONI'!F55)</f>
        <v>2</v>
      </c>
      <c r="G55" s="49">
        <f>AVERAGE('17.10 MADDU-KANONI'!G55,'18.10 MADDU-KANONI-24h'!G55,'19.10 MADDU-KANONI-24h'!G55,'20.10 MADDU-KANONI'!G55,'21.10 MADDU-KANONI'!G55,'22.10 MADDU-KANONI'!G55,'23.10 MADDU-KANONI'!G55)</f>
        <v>0</v>
      </c>
      <c r="H55" s="49">
        <f>AVERAGE('17.10 MADDU-KANONI'!H55,'18.10 MADDU-KANONI-24h'!H55,'19.10 MADDU-KANONI-24h'!H55,'20.10 MADDU-KANONI'!H55,'21.10 MADDU-KANONI'!H55,'22.10 MADDU-KANONI'!H55,'23.10 MADDU-KANONI'!H55)</f>
        <v>0</v>
      </c>
      <c r="I55" s="49">
        <f>AVERAGE('17.10 MADDU-KANONI'!I55,'18.10 MADDU-KANONI-24h'!I55,'19.10 MADDU-KANONI-24h'!I55,'20.10 MADDU-KANONI'!I55,'21.10 MADDU-KANONI'!I55,'22.10 MADDU-KANONI'!I55,'23.10 MADDU-KANONI'!I55)</f>
        <v>0.42857142857142855</v>
      </c>
      <c r="J55" s="49">
        <f>AVERAGE('17.10 MADDU-KANONI'!J55,'18.10 MADDU-KANONI-24h'!J55,'19.10 MADDU-KANONI-24h'!J55,'20.10 MADDU-KANONI'!J55,'21.10 MADDU-KANONI'!J55,'22.10 MADDU-KANONI'!J55,'23.10 MADDU-KANONI'!J55)</f>
        <v>0.14285714285714285</v>
      </c>
      <c r="K55" s="49">
        <f>AVERAGE('17.10 MADDU-KANONI'!K55,'18.10 MADDU-KANONI-24h'!K55,'19.10 MADDU-KANONI-24h'!K55,'20.10 MADDU-KANONI'!K55,'21.10 MADDU-KANONI'!K55,'22.10 MADDU-KANONI'!K55,'23.10 MADDU-KANONI'!K55)</f>
        <v>0.5714285714285714</v>
      </c>
      <c r="L55" s="49">
        <f>AVERAGE('17.10 MADDU-KANONI'!L55,'18.10 MADDU-KANONI-24h'!L55,'19.10 MADDU-KANONI-24h'!L55,'20.10 MADDU-KANONI'!L55,'21.10 MADDU-KANONI'!L55,'22.10 MADDU-KANONI'!L55,'23.10 MADDU-KANONI'!L55)</f>
        <v>0</v>
      </c>
      <c r="M55" s="49">
        <f>AVERAGE('17.10 MADDU-KANONI'!M55,'18.10 MADDU-KANONI-24h'!M55,'19.10 MADDU-KANONI-24h'!M55,'20.10 MADDU-KANONI'!M55,'21.10 MADDU-KANONI'!M55,'22.10 MADDU-KANONI'!M55,'23.10 MADDU-KANONI'!M55)</f>
        <v>11.857142857142858</v>
      </c>
      <c r="N55" s="49">
        <f>AVERAGE('17.10 MADDU-KANONI'!N55,'18.10 MADDU-KANONI-24h'!N55,'19.10 MADDU-KANONI-24h'!N55,'20.10 MADDU-KANONI'!N55,'21.10 MADDU-KANONI'!N55,'22.10 MADDU-KANONI'!N55,'23.10 MADDU-KANONI'!N55)</f>
        <v>0</v>
      </c>
      <c r="O55" s="15">
        <f t="shared" si="0"/>
        <v>7.7142857142857144</v>
      </c>
      <c r="P55" s="15">
        <f t="shared" si="1"/>
        <v>19.571428571428573</v>
      </c>
      <c r="R55" s="8"/>
      <c r="T55"/>
    </row>
    <row r="56" spans="2:20" ht="23.1" customHeight="1" x14ac:dyDescent="0.25">
      <c r="B56" s="23" t="s">
        <v>83</v>
      </c>
      <c r="C56" s="49">
        <f>AVERAGE('17.10 MADDU-KANONI'!C56,'18.10 MADDU-KANONI-24h'!C56,'19.10 MADDU-KANONI-24h'!C56,'20.10 MADDU-KANONI'!C56,'21.10 MADDU-KANONI'!C56,'22.10 MADDU-KANONI'!C56,'23.10 MADDU-KANONI'!C56)</f>
        <v>2.5714285714285716</v>
      </c>
      <c r="D56" s="49">
        <f>AVERAGE('17.10 MADDU-KANONI'!D56,'18.10 MADDU-KANONI-24h'!D56,'19.10 MADDU-KANONI-24h'!D56,'20.10 MADDU-KANONI'!D56,'21.10 MADDU-KANONI'!D56,'22.10 MADDU-KANONI'!D56,'23.10 MADDU-KANONI'!D56)</f>
        <v>1</v>
      </c>
      <c r="E56" s="49">
        <f>AVERAGE('17.10 MADDU-KANONI'!E56,'18.10 MADDU-KANONI-24h'!E56,'19.10 MADDU-KANONI-24h'!E56,'20.10 MADDU-KANONI'!E56,'21.10 MADDU-KANONI'!E56,'22.10 MADDU-KANONI'!E56,'23.10 MADDU-KANONI'!E56)</f>
        <v>0.42857142857142855</v>
      </c>
      <c r="F56" s="49">
        <f>AVERAGE('17.10 MADDU-KANONI'!F56,'18.10 MADDU-KANONI-24h'!F56,'19.10 MADDU-KANONI-24h'!F56,'20.10 MADDU-KANONI'!F56,'21.10 MADDU-KANONI'!F56,'22.10 MADDU-KANONI'!F56,'23.10 MADDU-KANONI'!F56)</f>
        <v>1.2857142857142858</v>
      </c>
      <c r="G56" s="49">
        <f>AVERAGE('17.10 MADDU-KANONI'!G56,'18.10 MADDU-KANONI-24h'!G56,'19.10 MADDU-KANONI-24h'!G56,'20.10 MADDU-KANONI'!G56,'21.10 MADDU-KANONI'!G56,'22.10 MADDU-KANONI'!G56,'23.10 MADDU-KANONI'!G56)</f>
        <v>0</v>
      </c>
      <c r="H56" s="49">
        <f>AVERAGE('17.10 MADDU-KANONI'!H56,'18.10 MADDU-KANONI-24h'!H56,'19.10 MADDU-KANONI-24h'!H56,'20.10 MADDU-KANONI'!H56,'21.10 MADDU-KANONI'!H56,'22.10 MADDU-KANONI'!H56,'23.10 MADDU-KANONI'!H56)</f>
        <v>0</v>
      </c>
      <c r="I56" s="49">
        <f>AVERAGE('17.10 MADDU-KANONI'!I56,'18.10 MADDU-KANONI-24h'!I56,'19.10 MADDU-KANONI-24h'!I56,'20.10 MADDU-KANONI'!I56,'21.10 MADDU-KANONI'!I56,'22.10 MADDU-KANONI'!I56,'23.10 MADDU-KANONI'!I56)</f>
        <v>0.42857142857142855</v>
      </c>
      <c r="J56" s="49">
        <f>AVERAGE('17.10 MADDU-KANONI'!J56,'18.10 MADDU-KANONI-24h'!J56,'19.10 MADDU-KANONI-24h'!J56,'20.10 MADDU-KANONI'!J56,'21.10 MADDU-KANONI'!J56,'22.10 MADDU-KANONI'!J56,'23.10 MADDU-KANONI'!J56)</f>
        <v>0</v>
      </c>
      <c r="K56" s="49">
        <f>AVERAGE('17.10 MADDU-KANONI'!K56,'18.10 MADDU-KANONI-24h'!K56,'19.10 MADDU-KANONI-24h'!K56,'20.10 MADDU-KANONI'!K56,'21.10 MADDU-KANONI'!K56,'22.10 MADDU-KANONI'!K56,'23.10 MADDU-KANONI'!K56)</f>
        <v>0.42857142857142855</v>
      </c>
      <c r="L56" s="49">
        <f>AVERAGE('17.10 MADDU-KANONI'!L56,'18.10 MADDU-KANONI-24h'!L56,'19.10 MADDU-KANONI-24h'!L56,'20.10 MADDU-KANONI'!L56,'21.10 MADDU-KANONI'!L56,'22.10 MADDU-KANONI'!L56,'23.10 MADDU-KANONI'!L56)</f>
        <v>0.14285714285714285</v>
      </c>
      <c r="M56" s="49">
        <f>AVERAGE('17.10 MADDU-KANONI'!M56,'18.10 MADDU-KANONI-24h'!M56,'19.10 MADDU-KANONI-24h'!M56,'20.10 MADDU-KANONI'!M56,'21.10 MADDU-KANONI'!M56,'22.10 MADDU-KANONI'!M56,'23.10 MADDU-KANONI'!M56)</f>
        <v>9.8571428571428577</v>
      </c>
      <c r="N56" s="49">
        <f>AVERAGE('17.10 MADDU-KANONI'!N56,'18.10 MADDU-KANONI-24h'!N56,'19.10 MADDU-KANONI-24h'!N56,'20.10 MADDU-KANONI'!N56,'21.10 MADDU-KANONI'!N56,'22.10 MADDU-KANONI'!N56,'23.10 MADDU-KANONI'!N56)</f>
        <v>0</v>
      </c>
      <c r="O56" s="15">
        <f t="shared" si="0"/>
        <v>6.2857142857142865</v>
      </c>
      <c r="P56" s="15">
        <f t="shared" si="1"/>
        <v>16.142857142857146</v>
      </c>
      <c r="R56" s="8"/>
      <c r="T56"/>
    </row>
    <row r="57" spans="2:20" ht="23.1" customHeight="1" x14ac:dyDescent="0.25">
      <c r="B57" s="23" t="s">
        <v>84</v>
      </c>
      <c r="C57" s="49">
        <f>AVERAGE('17.10 MADDU-KANONI'!C57,'18.10 MADDU-KANONI-24h'!C57,'19.10 MADDU-KANONI-24h'!C57,'20.10 MADDU-KANONI'!C57,'21.10 MADDU-KANONI'!C57,'22.10 MADDU-KANONI'!C57,'23.10 MADDU-KANONI'!C57)</f>
        <v>2.8571428571428572</v>
      </c>
      <c r="D57" s="49">
        <f>AVERAGE('17.10 MADDU-KANONI'!D57,'18.10 MADDU-KANONI-24h'!D57,'19.10 MADDU-KANONI-24h'!D57,'20.10 MADDU-KANONI'!D57,'21.10 MADDU-KANONI'!D57,'22.10 MADDU-KANONI'!D57,'23.10 MADDU-KANONI'!D57)</f>
        <v>2</v>
      </c>
      <c r="E57" s="49">
        <f>AVERAGE('17.10 MADDU-KANONI'!E57,'18.10 MADDU-KANONI-24h'!E57,'19.10 MADDU-KANONI-24h'!E57,'20.10 MADDU-KANONI'!E57,'21.10 MADDU-KANONI'!E57,'22.10 MADDU-KANONI'!E57,'23.10 MADDU-KANONI'!E57)</f>
        <v>1.7142857142857142</v>
      </c>
      <c r="F57" s="49">
        <f>AVERAGE('17.10 MADDU-KANONI'!F57,'18.10 MADDU-KANONI-24h'!F57,'19.10 MADDU-KANONI-24h'!F57,'20.10 MADDU-KANONI'!F57,'21.10 MADDU-KANONI'!F57,'22.10 MADDU-KANONI'!F57,'23.10 MADDU-KANONI'!F57)</f>
        <v>2.5714285714285716</v>
      </c>
      <c r="G57" s="49">
        <f>AVERAGE('17.10 MADDU-KANONI'!G57,'18.10 MADDU-KANONI-24h'!G57,'19.10 MADDU-KANONI-24h'!G57,'20.10 MADDU-KANONI'!G57,'21.10 MADDU-KANONI'!G57,'22.10 MADDU-KANONI'!G57,'23.10 MADDU-KANONI'!G57)</f>
        <v>0</v>
      </c>
      <c r="H57" s="49">
        <f>AVERAGE('17.10 MADDU-KANONI'!H57,'18.10 MADDU-KANONI-24h'!H57,'19.10 MADDU-KANONI-24h'!H57,'20.10 MADDU-KANONI'!H57,'21.10 MADDU-KANONI'!H57,'22.10 MADDU-KANONI'!H57,'23.10 MADDU-KANONI'!H57)</f>
        <v>0</v>
      </c>
      <c r="I57" s="49">
        <f>AVERAGE('17.10 MADDU-KANONI'!I57,'18.10 MADDU-KANONI-24h'!I57,'19.10 MADDU-KANONI-24h'!I57,'20.10 MADDU-KANONI'!I57,'21.10 MADDU-KANONI'!I57,'22.10 MADDU-KANONI'!I57,'23.10 MADDU-KANONI'!I57)</f>
        <v>1</v>
      </c>
      <c r="J57" s="49">
        <f>AVERAGE('17.10 MADDU-KANONI'!J57,'18.10 MADDU-KANONI-24h'!J57,'19.10 MADDU-KANONI-24h'!J57,'20.10 MADDU-KANONI'!J57,'21.10 MADDU-KANONI'!J57,'22.10 MADDU-KANONI'!J57,'23.10 MADDU-KANONI'!J57)</f>
        <v>0.14285714285714285</v>
      </c>
      <c r="K57" s="49">
        <f>AVERAGE('17.10 MADDU-KANONI'!K57,'18.10 MADDU-KANONI-24h'!K57,'19.10 MADDU-KANONI-24h'!K57,'20.10 MADDU-KANONI'!K57,'21.10 MADDU-KANONI'!K57,'22.10 MADDU-KANONI'!K57,'23.10 MADDU-KANONI'!K57)</f>
        <v>0</v>
      </c>
      <c r="L57" s="49">
        <f>AVERAGE('17.10 MADDU-KANONI'!L57,'18.10 MADDU-KANONI-24h'!L57,'19.10 MADDU-KANONI-24h'!L57,'20.10 MADDU-KANONI'!L57,'21.10 MADDU-KANONI'!L57,'22.10 MADDU-KANONI'!L57,'23.10 MADDU-KANONI'!L57)</f>
        <v>0</v>
      </c>
      <c r="M57" s="49">
        <f>AVERAGE('17.10 MADDU-KANONI'!M57,'18.10 MADDU-KANONI-24h'!M57,'19.10 MADDU-KANONI-24h'!M57,'20.10 MADDU-KANONI'!M57,'21.10 MADDU-KANONI'!M57,'22.10 MADDU-KANONI'!M57,'23.10 MADDU-KANONI'!M57)</f>
        <v>11.571428571428571</v>
      </c>
      <c r="N57" s="49">
        <f>AVERAGE('17.10 MADDU-KANONI'!N57,'18.10 MADDU-KANONI-24h'!N57,'19.10 MADDU-KANONI-24h'!N57,'20.10 MADDU-KANONI'!N57,'21.10 MADDU-KANONI'!N57,'22.10 MADDU-KANONI'!N57,'23.10 MADDU-KANONI'!N57)</f>
        <v>0</v>
      </c>
      <c r="O57" s="15">
        <f t="shared" si="0"/>
        <v>10.285714285714286</v>
      </c>
      <c r="P57" s="15">
        <f t="shared" si="1"/>
        <v>21.857142857142858</v>
      </c>
      <c r="R57" s="8"/>
      <c r="T57"/>
    </row>
    <row r="58" spans="2:20" ht="23.1" customHeight="1" x14ac:dyDescent="0.25">
      <c r="B58" s="23" t="s">
        <v>99</v>
      </c>
      <c r="C58" s="49">
        <f>AVERAGE('18.10 MADDU-KANONI-24h'!C58,'19.10 MADDU-KANONI-24h'!C58)</f>
        <v>2.5</v>
      </c>
      <c r="D58" s="49">
        <f>AVERAGE('18.10 MADDU-KANONI-24h'!D58,'19.10 MADDU-KANONI-24h'!D58)</f>
        <v>0.5</v>
      </c>
      <c r="E58" s="49">
        <f>AVERAGE('18.10 MADDU-KANONI-24h'!E58,'19.10 MADDU-KANONI-24h'!E58)</f>
        <v>1</v>
      </c>
      <c r="F58" s="49">
        <f>AVERAGE('18.10 MADDU-KANONI-24h'!F58,'19.10 MADDU-KANONI-24h'!F58)</f>
        <v>1</v>
      </c>
      <c r="G58" s="49">
        <f>AVERAGE('18.10 MADDU-KANONI-24h'!G58,'19.10 MADDU-KANONI-24h'!G58)</f>
        <v>0</v>
      </c>
      <c r="H58" s="49">
        <f>AVERAGE('18.10 MADDU-KANONI-24h'!H58,'19.10 MADDU-KANONI-24h'!H58)</f>
        <v>0</v>
      </c>
      <c r="I58" s="49">
        <f>AVERAGE('18.10 MADDU-KANONI-24h'!I58,'19.10 MADDU-KANONI-24h'!I58)</f>
        <v>2</v>
      </c>
      <c r="J58" s="49">
        <f>AVERAGE('18.10 MADDU-KANONI-24h'!J58,'19.10 MADDU-KANONI-24h'!J58)</f>
        <v>1.5</v>
      </c>
      <c r="K58" s="49">
        <f>AVERAGE('18.10 MADDU-KANONI-24h'!K58,'19.10 MADDU-KANONI-24h'!K58)</f>
        <v>0</v>
      </c>
      <c r="L58" s="49">
        <f>AVERAGE('18.10 MADDU-KANONI-24h'!L58,'19.10 MADDU-KANONI-24h'!L58)</f>
        <v>0</v>
      </c>
      <c r="M58" s="49">
        <f>AVERAGE('18.10 MADDU-KANONI-24h'!M58,'19.10 MADDU-KANONI-24h'!M58)</f>
        <v>12</v>
      </c>
      <c r="N58" s="49">
        <f>AVERAGE('18.10 MADDU-KANONI-24h'!N58,'19.10 MADDU-KANONI-24h'!N58)</f>
        <v>0</v>
      </c>
      <c r="O58" s="15">
        <f t="shared" si="0"/>
        <v>8.5</v>
      </c>
      <c r="P58" s="15">
        <f t="shared" si="1"/>
        <v>20.5</v>
      </c>
      <c r="R58" s="8"/>
      <c r="T58"/>
    </row>
    <row r="59" spans="2:20" ht="23.1" customHeight="1" x14ac:dyDescent="0.25">
      <c r="B59" s="23" t="s">
        <v>100</v>
      </c>
      <c r="C59" s="49">
        <f>AVERAGE('18.10 MADDU-KANONI-24h'!C59,'19.10 MADDU-KANONI-24h'!C59)</f>
        <v>2</v>
      </c>
      <c r="D59" s="49">
        <f>AVERAGE('18.10 MADDU-KANONI-24h'!D59,'19.10 MADDU-KANONI-24h'!D59)</f>
        <v>1.5</v>
      </c>
      <c r="E59" s="49">
        <f>AVERAGE('18.10 MADDU-KANONI-24h'!E59,'19.10 MADDU-KANONI-24h'!E59)</f>
        <v>0</v>
      </c>
      <c r="F59" s="49">
        <f>AVERAGE('18.10 MADDU-KANONI-24h'!F59,'19.10 MADDU-KANONI-24h'!F59)</f>
        <v>1</v>
      </c>
      <c r="G59" s="49">
        <f>AVERAGE('18.10 MADDU-KANONI-24h'!G59,'19.10 MADDU-KANONI-24h'!G59)</f>
        <v>0</v>
      </c>
      <c r="H59" s="49">
        <f>AVERAGE('18.10 MADDU-KANONI-24h'!H59,'19.10 MADDU-KANONI-24h'!H59)</f>
        <v>0</v>
      </c>
      <c r="I59" s="49">
        <f>AVERAGE('18.10 MADDU-KANONI-24h'!I59,'19.10 MADDU-KANONI-24h'!I59)</f>
        <v>1</v>
      </c>
      <c r="J59" s="49">
        <f>AVERAGE('18.10 MADDU-KANONI-24h'!J59,'19.10 MADDU-KANONI-24h'!J59)</f>
        <v>1.5</v>
      </c>
      <c r="K59" s="49">
        <f>AVERAGE('18.10 MADDU-KANONI-24h'!K59,'19.10 MADDU-KANONI-24h'!K59)</f>
        <v>0</v>
      </c>
      <c r="L59" s="49">
        <f>AVERAGE('18.10 MADDU-KANONI-24h'!L59,'19.10 MADDU-KANONI-24h'!L59)</f>
        <v>0</v>
      </c>
      <c r="M59" s="49">
        <f>AVERAGE('18.10 MADDU-KANONI-24h'!M59,'19.10 MADDU-KANONI-24h'!M59)</f>
        <v>11.5</v>
      </c>
      <c r="N59" s="49">
        <f>AVERAGE('18.10 MADDU-KANONI-24h'!N59,'19.10 MADDU-KANONI-24h'!N59)</f>
        <v>0</v>
      </c>
      <c r="O59" s="15">
        <f t="shared" si="0"/>
        <v>7</v>
      </c>
      <c r="P59" s="15">
        <f t="shared" si="1"/>
        <v>18.5</v>
      </c>
      <c r="R59" s="8"/>
      <c r="T59"/>
    </row>
    <row r="60" spans="2:20" ht="23.1" customHeight="1" x14ac:dyDescent="0.25">
      <c r="B60" s="23" t="s">
        <v>101</v>
      </c>
      <c r="C60" s="49">
        <f>AVERAGE('18.10 MADDU-KANONI-24h'!C60,'19.10 MADDU-KANONI-24h'!C60)</f>
        <v>5</v>
      </c>
      <c r="D60" s="49">
        <f>AVERAGE('18.10 MADDU-KANONI-24h'!D60,'19.10 MADDU-KANONI-24h'!D60)</f>
        <v>4.5</v>
      </c>
      <c r="E60" s="49">
        <f>AVERAGE('18.10 MADDU-KANONI-24h'!E60,'19.10 MADDU-KANONI-24h'!E60)</f>
        <v>1</v>
      </c>
      <c r="F60" s="49">
        <f>AVERAGE('18.10 MADDU-KANONI-24h'!F60,'19.10 MADDU-KANONI-24h'!F60)</f>
        <v>1.5</v>
      </c>
      <c r="G60" s="49">
        <f>AVERAGE('18.10 MADDU-KANONI-24h'!G60,'19.10 MADDU-KANONI-24h'!G60)</f>
        <v>0</v>
      </c>
      <c r="H60" s="49">
        <f>AVERAGE('18.10 MADDU-KANONI-24h'!H60,'19.10 MADDU-KANONI-24h'!H60)</f>
        <v>0</v>
      </c>
      <c r="I60" s="49">
        <f>AVERAGE('18.10 MADDU-KANONI-24h'!I60,'19.10 MADDU-KANONI-24h'!I60)</f>
        <v>1</v>
      </c>
      <c r="J60" s="49">
        <f>AVERAGE('18.10 MADDU-KANONI-24h'!J60,'19.10 MADDU-KANONI-24h'!J60)</f>
        <v>1</v>
      </c>
      <c r="K60" s="49">
        <f>AVERAGE('18.10 MADDU-KANONI-24h'!K60,'19.10 MADDU-KANONI-24h'!K60)</f>
        <v>0</v>
      </c>
      <c r="L60" s="49">
        <f>AVERAGE('18.10 MADDU-KANONI-24h'!L60,'19.10 MADDU-KANONI-24h'!L60)</f>
        <v>0</v>
      </c>
      <c r="M60" s="49">
        <f>AVERAGE('18.10 MADDU-KANONI-24h'!M60,'19.10 MADDU-KANONI-24h'!M60)</f>
        <v>8</v>
      </c>
      <c r="N60" s="49">
        <f>AVERAGE('18.10 MADDU-KANONI-24h'!N60,'19.10 MADDU-KANONI-24h'!N60)</f>
        <v>0</v>
      </c>
      <c r="O60" s="15">
        <f t="shared" si="0"/>
        <v>14</v>
      </c>
      <c r="P60" s="15">
        <f t="shared" si="1"/>
        <v>22</v>
      </c>
      <c r="R60" s="8"/>
      <c r="T60"/>
    </row>
    <row r="61" spans="2:20" ht="23.1" customHeight="1" x14ac:dyDescent="0.25">
      <c r="B61" s="23" t="s">
        <v>102</v>
      </c>
      <c r="C61" s="49">
        <f>AVERAGE('18.10 MADDU-KANONI-24h'!C61,'19.10 MADDU-KANONI-24h'!C61)</f>
        <v>4</v>
      </c>
      <c r="D61" s="49">
        <f>AVERAGE('18.10 MADDU-KANONI-24h'!D61,'19.10 MADDU-KANONI-24h'!D61)</f>
        <v>0.5</v>
      </c>
      <c r="E61" s="49">
        <f>AVERAGE('18.10 MADDU-KANONI-24h'!E61,'19.10 MADDU-KANONI-24h'!E61)</f>
        <v>0</v>
      </c>
      <c r="F61" s="49">
        <f>AVERAGE('18.10 MADDU-KANONI-24h'!F61,'19.10 MADDU-KANONI-24h'!F61)</f>
        <v>0</v>
      </c>
      <c r="G61" s="49">
        <f>AVERAGE('18.10 MADDU-KANONI-24h'!G61,'19.10 MADDU-KANONI-24h'!G61)</f>
        <v>0</v>
      </c>
      <c r="H61" s="49">
        <f>AVERAGE('18.10 MADDU-KANONI-24h'!H61,'19.10 MADDU-KANONI-24h'!H61)</f>
        <v>0</v>
      </c>
      <c r="I61" s="49">
        <f>AVERAGE('18.10 MADDU-KANONI-24h'!I61,'19.10 MADDU-KANONI-24h'!I61)</f>
        <v>0.5</v>
      </c>
      <c r="J61" s="49">
        <f>AVERAGE('18.10 MADDU-KANONI-24h'!J61,'19.10 MADDU-KANONI-24h'!J61)</f>
        <v>0.5</v>
      </c>
      <c r="K61" s="49">
        <f>AVERAGE('18.10 MADDU-KANONI-24h'!K61,'19.10 MADDU-KANONI-24h'!K61)</f>
        <v>0</v>
      </c>
      <c r="L61" s="49">
        <f>AVERAGE('18.10 MADDU-KANONI-24h'!L61,'19.10 MADDU-KANONI-24h'!L61)</f>
        <v>0</v>
      </c>
      <c r="M61" s="49">
        <f>AVERAGE('18.10 MADDU-KANONI-24h'!M61,'19.10 MADDU-KANONI-24h'!M61)</f>
        <v>13</v>
      </c>
      <c r="N61" s="49">
        <f>AVERAGE('18.10 MADDU-KANONI-24h'!N61,'19.10 MADDU-KANONI-24h'!N61)</f>
        <v>0</v>
      </c>
      <c r="O61" s="15">
        <f t="shared" si="0"/>
        <v>5.5</v>
      </c>
      <c r="P61" s="15">
        <f t="shared" si="1"/>
        <v>18.5</v>
      </c>
      <c r="R61" s="8"/>
      <c r="T61"/>
    </row>
    <row r="62" spans="2:20" ht="23.1" customHeight="1" x14ac:dyDescent="0.25">
      <c r="B62" s="23" t="s">
        <v>107</v>
      </c>
      <c r="C62" s="49">
        <f>AVERAGE('18.10 MADDU-KANONI-24h'!C62,'19.10 MADDU-KANONI-24h'!C62)</f>
        <v>5</v>
      </c>
      <c r="D62" s="49">
        <f>AVERAGE('18.10 MADDU-KANONI-24h'!D62,'19.10 MADDU-KANONI-24h'!D62)</f>
        <v>0</v>
      </c>
      <c r="E62" s="49">
        <f>AVERAGE('18.10 MADDU-KANONI-24h'!E62,'19.10 MADDU-KANONI-24h'!E62)</f>
        <v>0</v>
      </c>
      <c r="F62" s="49">
        <f>AVERAGE('18.10 MADDU-KANONI-24h'!F62,'19.10 MADDU-KANONI-24h'!F62)</f>
        <v>0</v>
      </c>
      <c r="G62" s="49">
        <f>AVERAGE('18.10 MADDU-KANONI-24h'!G62,'19.10 MADDU-KANONI-24h'!G62)</f>
        <v>0</v>
      </c>
      <c r="H62" s="49">
        <f>AVERAGE('18.10 MADDU-KANONI-24h'!H62,'19.10 MADDU-KANONI-24h'!H62)</f>
        <v>0</v>
      </c>
      <c r="I62" s="49">
        <f>AVERAGE('18.10 MADDU-KANONI-24h'!I62,'19.10 MADDU-KANONI-24h'!I62)</f>
        <v>0.5</v>
      </c>
      <c r="J62" s="49">
        <f>AVERAGE('18.10 MADDU-KANONI-24h'!J62,'19.10 MADDU-KANONI-24h'!J62)</f>
        <v>1</v>
      </c>
      <c r="K62" s="49">
        <f>AVERAGE('18.10 MADDU-KANONI-24h'!K62,'19.10 MADDU-KANONI-24h'!K62)</f>
        <v>0</v>
      </c>
      <c r="L62" s="49">
        <f>AVERAGE('18.10 MADDU-KANONI-24h'!L62,'19.10 MADDU-KANONI-24h'!L62)</f>
        <v>0</v>
      </c>
      <c r="M62" s="49">
        <f>AVERAGE('18.10 MADDU-KANONI-24h'!M62,'19.10 MADDU-KANONI-24h'!M62)</f>
        <v>5</v>
      </c>
      <c r="N62" s="49">
        <f>AVERAGE('18.10 MADDU-KANONI-24h'!N62,'19.10 MADDU-KANONI-24h'!N62)</f>
        <v>0</v>
      </c>
      <c r="O62" s="15">
        <f t="shared" si="0"/>
        <v>6.5</v>
      </c>
      <c r="P62" s="15">
        <f t="shared" si="1"/>
        <v>11.5</v>
      </c>
      <c r="R62" s="8"/>
      <c r="T62"/>
    </row>
    <row r="63" spans="2:20" ht="23.1" customHeight="1" x14ac:dyDescent="0.25">
      <c r="B63" s="23" t="s">
        <v>108</v>
      </c>
      <c r="C63" s="49">
        <f>AVERAGE('18.10 MADDU-KANONI-24h'!C63,'19.10 MADDU-KANONI-24h'!C63)</f>
        <v>2</v>
      </c>
      <c r="D63" s="49">
        <f>AVERAGE('18.10 MADDU-KANONI-24h'!D63,'19.10 MADDU-KANONI-24h'!D63)</f>
        <v>0.5</v>
      </c>
      <c r="E63" s="49">
        <f>AVERAGE('18.10 MADDU-KANONI-24h'!E63,'19.10 MADDU-KANONI-24h'!E63)</f>
        <v>0</v>
      </c>
      <c r="F63" s="49">
        <f>AVERAGE('18.10 MADDU-KANONI-24h'!F63,'19.10 MADDU-KANONI-24h'!F63)</f>
        <v>1.5</v>
      </c>
      <c r="G63" s="49">
        <f>AVERAGE('18.10 MADDU-KANONI-24h'!G63,'19.10 MADDU-KANONI-24h'!G63)</f>
        <v>0</v>
      </c>
      <c r="H63" s="49">
        <f>AVERAGE('18.10 MADDU-KANONI-24h'!H63,'19.10 MADDU-KANONI-24h'!H63)</f>
        <v>0</v>
      </c>
      <c r="I63" s="49">
        <f>AVERAGE('18.10 MADDU-KANONI-24h'!I63,'19.10 MADDU-KANONI-24h'!I63)</f>
        <v>0.5</v>
      </c>
      <c r="J63" s="49">
        <f>AVERAGE('18.10 MADDU-KANONI-24h'!J63,'19.10 MADDU-KANONI-24h'!J63)</f>
        <v>0.5</v>
      </c>
      <c r="K63" s="49">
        <f>AVERAGE('18.10 MADDU-KANONI-24h'!K63,'19.10 MADDU-KANONI-24h'!K63)</f>
        <v>0</v>
      </c>
      <c r="L63" s="49">
        <f>AVERAGE('18.10 MADDU-KANONI-24h'!L63,'19.10 MADDU-KANONI-24h'!L63)</f>
        <v>0</v>
      </c>
      <c r="M63" s="49">
        <f>AVERAGE('18.10 MADDU-KANONI-24h'!M63,'19.10 MADDU-KANONI-24h'!M63)</f>
        <v>5.5</v>
      </c>
      <c r="N63" s="49">
        <f>AVERAGE('18.10 MADDU-KANONI-24h'!N63,'19.10 MADDU-KANONI-24h'!N63)</f>
        <v>0</v>
      </c>
      <c r="O63" s="15">
        <f t="shared" si="0"/>
        <v>5</v>
      </c>
      <c r="P63" s="15">
        <f t="shared" si="1"/>
        <v>10.5</v>
      </c>
      <c r="R63" s="8"/>
      <c r="T63"/>
    </row>
    <row r="64" spans="2:20" ht="23.1" customHeight="1" x14ac:dyDescent="0.25">
      <c r="B64" s="23" t="s">
        <v>109</v>
      </c>
      <c r="C64" s="49">
        <f>AVERAGE('18.10 MADDU-KANONI-24h'!C64,'19.10 MADDU-KANONI-24h'!C64)</f>
        <v>2</v>
      </c>
      <c r="D64" s="49">
        <f>AVERAGE('18.10 MADDU-KANONI-24h'!D64,'19.10 MADDU-KANONI-24h'!D64)</f>
        <v>0.5</v>
      </c>
      <c r="E64" s="49">
        <f>AVERAGE('18.10 MADDU-KANONI-24h'!E64,'19.10 MADDU-KANONI-24h'!E64)</f>
        <v>0.5</v>
      </c>
      <c r="F64" s="49">
        <f>AVERAGE('18.10 MADDU-KANONI-24h'!F64,'19.10 MADDU-KANONI-24h'!F64)</f>
        <v>0.5</v>
      </c>
      <c r="G64" s="49">
        <f>AVERAGE('18.10 MADDU-KANONI-24h'!G64,'19.10 MADDU-KANONI-24h'!G64)</f>
        <v>0</v>
      </c>
      <c r="H64" s="49">
        <f>AVERAGE('18.10 MADDU-KANONI-24h'!H64,'19.10 MADDU-KANONI-24h'!H64)</f>
        <v>0</v>
      </c>
      <c r="I64" s="49">
        <f>AVERAGE('18.10 MADDU-KANONI-24h'!I64,'19.10 MADDU-KANONI-24h'!I64)</f>
        <v>0</v>
      </c>
      <c r="J64" s="49">
        <f>AVERAGE('18.10 MADDU-KANONI-24h'!J64,'19.10 MADDU-KANONI-24h'!J64)</f>
        <v>3.5</v>
      </c>
      <c r="K64" s="49">
        <f>AVERAGE('18.10 MADDU-KANONI-24h'!K64,'19.10 MADDU-KANONI-24h'!K64)</f>
        <v>0</v>
      </c>
      <c r="L64" s="49">
        <f>AVERAGE('18.10 MADDU-KANONI-24h'!L64,'19.10 MADDU-KANONI-24h'!L64)</f>
        <v>0</v>
      </c>
      <c r="M64" s="49">
        <f>AVERAGE('18.10 MADDU-KANONI-24h'!M64,'19.10 MADDU-KANONI-24h'!M64)</f>
        <v>7</v>
      </c>
      <c r="N64" s="49">
        <f>AVERAGE('18.10 MADDU-KANONI-24h'!N64,'19.10 MADDU-KANONI-24h'!N64)</f>
        <v>0</v>
      </c>
      <c r="O64" s="15">
        <f t="shared" si="0"/>
        <v>7</v>
      </c>
      <c r="P64" s="15">
        <f t="shared" si="1"/>
        <v>14</v>
      </c>
      <c r="R64" s="8"/>
      <c r="T64"/>
    </row>
    <row r="65" spans="2:20" ht="23.1" customHeight="1" x14ac:dyDescent="0.25">
      <c r="B65" s="23" t="s">
        <v>158</v>
      </c>
      <c r="C65" s="49">
        <f>AVERAGE('18.10 MADDU-KANONI-24h'!C65,'19.10 MADDU-KANONI-24h'!C65)</f>
        <v>1</v>
      </c>
      <c r="D65" s="49">
        <f>AVERAGE('18.10 MADDU-KANONI-24h'!D65,'19.10 MADDU-KANONI-24h'!D65)</f>
        <v>0.5</v>
      </c>
      <c r="E65" s="49">
        <f>AVERAGE('18.10 MADDU-KANONI-24h'!E65,'19.10 MADDU-KANONI-24h'!E65)</f>
        <v>0</v>
      </c>
      <c r="F65" s="49">
        <f>AVERAGE('18.10 MADDU-KANONI-24h'!F65,'19.10 MADDU-KANONI-24h'!F65)</f>
        <v>0</v>
      </c>
      <c r="G65" s="49">
        <f>AVERAGE('18.10 MADDU-KANONI-24h'!G65,'19.10 MADDU-KANONI-24h'!G65)</f>
        <v>0</v>
      </c>
      <c r="H65" s="49">
        <f>AVERAGE('18.10 MADDU-KANONI-24h'!H65,'19.10 MADDU-KANONI-24h'!H65)</f>
        <v>0</v>
      </c>
      <c r="I65" s="49">
        <f>AVERAGE('18.10 MADDU-KANONI-24h'!I65,'19.10 MADDU-KANONI-24h'!I65)</f>
        <v>2</v>
      </c>
      <c r="J65" s="49">
        <f>AVERAGE('18.10 MADDU-KANONI-24h'!J65,'19.10 MADDU-KANONI-24h'!J65)</f>
        <v>1</v>
      </c>
      <c r="K65" s="49">
        <f>AVERAGE('18.10 MADDU-KANONI-24h'!K65,'19.10 MADDU-KANONI-24h'!K65)</f>
        <v>0.5</v>
      </c>
      <c r="L65" s="49">
        <f>AVERAGE('18.10 MADDU-KANONI-24h'!L65,'19.10 MADDU-KANONI-24h'!L65)</f>
        <v>0</v>
      </c>
      <c r="M65" s="49">
        <f>AVERAGE('18.10 MADDU-KANONI-24h'!M65,'19.10 MADDU-KANONI-24h'!M65)</f>
        <v>6</v>
      </c>
      <c r="N65" s="49">
        <f>AVERAGE('18.10 MADDU-KANONI-24h'!N65,'19.10 MADDU-KANONI-24h'!N65)</f>
        <v>0</v>
      </c>
      <c r="O65" s="15">
        <f t="shared" si="0"/>
        <v>5</v>
      </c>
      <c r="P65" s="15">
        <f t="shared" si="1"/>
        <v>11</v>
      </c>
      <c r="R65" s="8"/>
      <c r="T65"/>
    </row>
    <row r="66" spans="2:20" ht="23.1" customHeight="1" x14ac:dyDescent="0.25">
      <c r="B66" s="23" t="s">
        <v>103</v>
      </c>
      <c r="C66" s="49">
        <f>AVERAGE('18.10 MADDU-KANONI-24h'!C66,'19.10 MADDU-KANONI-24h'!C66)</f>
        <v>1</v>
      </c>
      <c r="D66" s="49">
        <f>AVERAGE('18.10 MADDU-KANONI-24h'!D66,'19.10 MADDU-KANONI-24h'!D66)</f>
        <v>0</v>
      </c>
      <c r="E66" s="49">
        <f>AVERAGE('18.10 MADDU-KANONI-24h'!E66,'19.10 MADDU-KANONI-24h'!E66)</f>
        <v>0.5</v>
      </c>
      <c r="F66" s="49">
        <f>AVERAGE('18.10 MADDU-KANONI-24h'!F66,'19.10 MADDU-KANONI-24h'!F66)</f>
        <v>0</v>
      </c>
      <c r="G66" s="49">
        <f>AVERAGE('18.10 MADDU-KANONI-24h'!G66,'19.10 MADDU-KANONI-24h'!G66)</f>
        <v>0</v>
      </c>
      <c r="H66" s="49">
        <f>AVERAGE('18.10 MADDU-KANONI-24h'!H66,'19.10 MADDU-KANONI-24h'!H66)</f>
        <v>0</v>
      </c>
      <c r="I66" s="49">
        <f>AVERAGE('18.10 MADDU-KANONI-24h'!I66,'19.10 MADDU-KANONI-24h'!I66)</f>
        <v>0.5</v>
      </c>
      <c r="J66" s="49">
        <f>AVERAGE('18.10 MADDU-KANONI-24h'!J66,'19.10 MADDU-KANONI-24h'!J66)</f>
        <v>0.5</v>
      </c>
      <c r="K66" s="49">
        <f>AVERAGE('18.10 MADDU-KANONI-24h'!K66,'19.10 MADDU-KANONI-24h'!K66)</f>
        <v>0</v>
      </c>
      <c r="L66" s="49">
        <f>AVERAGE('18.10 MADDU-KANONI-24h'!L66,'19.10 MADDU-KANONI-24h'!L66)</f>
        <v>0</v>
      </c>
      <c r="M66" s="49">
        <f>AVERAGE('18.10 MADDU-KANONI-24h'!M66,'19.10 MADDU-KANONI-24h'!M66)</f>
        <v>2</v>
      </c>
      <c r="N66" s="49">
        <f>AVERAGE('18.10 MADDU-KANONI-24h'!N66,'19.10 MADDU-KANONI-24h'!N66)</f>
        <v>0</v>
      </c>
      <c r="O66" s="15">
        <f t="shared" si="0"/>
        <v>2.5</v>
      </c>
      <c r="P66" s="15">
        <f t="shared" si="1"/>
        <v>4.5</v>
      </c>
      <c r="R66" s="8"/>
      <c r="T66"/>
    </row>
    <row r="67" spans="2:20" ht="23.1" customHeight="1" x14ac:dyDescent="0.25">
      <c r="B67" s="23" t="s">
        <v>104</v>
      </c>
      <c r="C67" s="49">
        <f>AVERAGE('18.10 MADDU-KANONI-24h'!C67,'19.10 MADDU-KANONI-24h'!C67)</f>
        <v>0.5</v>
      </c>
      <c r="D67" s="49">
        <f>AVERAGE('18.10 MADDU-KANONI-24h'!D67,'19.10 MADDU-KANONI-24h'!D67)</f>
        <v>0</v>
      </c>
      <c r="E67" s="49">
        <f>AVERAGE('18.10 MADDU-KANONI-24h'!E67,'19.10 MADDU-KANONI-24h'!E67)</f>
        <v>1.5</v>
      </c>
      <c r="F67" s="49">
        <f>AVERAGE('18.10 MADDU-KANONI-24h'!F67,'19.10 MADDU-KANONI-24h'!F67)</f>
        <v>1</v>
      </c>
      <c r="G67" s="49">
        <f>AVERAGE('18.10 MADDU-KANONI-24h'!G67,'19.10 MADDU-KANONI-24h'!G67)</f>
        <v>0</v>
      </c>
      <c r="H67" s="49">
        <f>AVERAGE('18.10 MADDU-KANONI-24h'!H67,'19.10 MADDU-KANONI-24h'!H67)</f>
        <v>0</v>
      </c>
      <c r="I67" s="49">
        <f>AVERAGE('18.10 MADDU-KANONI-24h'!I67,'19.10 MADDU-KANONI-24h'!I67)</f>
        <v>0</v>
      </c>
      <c r="J67" s="49">
        <f>AVERAGE('18.10 MADDU-KANONI-24h'!J67,'19.10 MADDU-KANONI-24h'!J67)</f>
        <v>0.5</v>
      </c>
      <c r="K67" s="49">
        <f>AVERAGE('18.10 MADDU-KANONI-24h'!K67,'19.10 MADDU-KANONI-24h'!K67)</f>
        <v>0</v>
      </c>
      <c r="L67" s="49">
        <f>AVERAGE('18.10 MADDU-KANONI-24h'!L67,'19.10 MADDU-KANONI-24h'!L67)</f>
        <v>0</v>
      </c>
      <c r="M67" s="49">
        <f>AVERAGE('18.10 MADDU-KANONI-24h'!M67,'19.10 MADDU-KANONI-24h'!M67)</f>
        <v>2.5</v>
      </c>
      <c r="N67" s="49">
        <f>AVERAGE('18.10 MADDU-KANONI-24h'!N67,'19.10 MADDU-KANONI-24h'!N67)</f>
        <v>0</v>
      </c>
      <c r="O67" s="15">
        <f t="shared" si="0"/>
        <v>3.5</v>
      </c>
      <c r="P67" s="15">
        <f t="shared" si="1"/>
        <v>6</v>
      </c>
      <c r="R67" s="8"/>
      <c r="T67"/>
    </row>
    <row r="68" spans="2:20" ht="23.1" customHeight="1" x14ac:dyDescent="0.25">
      <c r="B68" s="23" t="s">
        <v>105</v>
      </c>
      <c r="C68" s="49">
        <f>AVERAGE('18.10 MADDU-KANONI-24h'!C68,'19.10 MADDU-KANONI-24h'!C68)</f>
        <v>0</v>
      </c>
      <c r="D68" s="49">
        <f>AVERAGE('18.10 MADDU-KANONI-24h'!D68,'19.10 MADDU-KANONI-24h'!D68)</f>
        <v>0.5</v>
      </c>
      <c r="E68" s="49">
        <f>AVERAGE('18.10 MADDU-KANONI-24h'!E68,'19.10 MADDU-KANONI-24h'!E68)</f>
        <v>0.5</v>
      </c>
      <c r="F68" s="49">
        <f>AVERAGE('18.10 MADDU-KANONI-24h'!F68,'19.10 MADDU-KANONI-24h'!F68)</f>
        <v>0</v>
      </c>
      <c r="G68" s="49">
        <f>AVERAGE('18.10 MADDU-KANONI-24h'!G68,'19.10 MADDU-KANONI-24h'!G68)</f>
        <v>0</v>
      </c>
      <c r="H68" s="49">
        <f>AVERAGE('18.10 MADDU-KANONI-24h'!H68,'19.10 MADDU-KANONI-24h'!H68)</f>
        <v>0</v>
      </c>
      <c r="I68" s="49">
        <f>AVERAGE('18.10 MADDU-KANONI-24h'!I68,'19.10 MADDU-KANONI-24h'!I68)</f>
        <v>1</v>
      </c>
      <c r="J68" s="49">
        <f>AVERAGE('18.10 MADDU-KANONI-24h'!J68,'19.10 MADDU-KANONI-24h'!J68)</f>
        <v>0.5</v>
      </c>
      <c r="K68" s="49">
        <f>AVERAGE('18.10 MADDU-KANONI-24h'!K68,'19.10 MADDU-KANONI-24h'!K68)</f>
        <v>0</v>
      </c>
      <c r="L68" s="49">
        <f>AVERAGE('18.10 MADDU-KANONI-24h'!L68,'19.10 MADDU-KANONI-24h'!L68)</f>
        <v>0</v>
      </c>
      <c r="M68" s="49">
        <f>AVERAGE('18.10 MADDU-KANONI-24h'!M68,'19.10 MADDU-KANONI-24h'!M68)</f>
        <v>1.5</v>
      </c>
      <c r="N68" s="49">
        <f>AVERAGE('18.10 MADDU-KANONI-24h'!N68,'19.10 MADDU-KANONI-24h'!N68)</f>
        <v>0.5</v>
      </c>
      <c r="O68" s="15">
        <f t="shared" si="0"/>
        <v>3</v>
      </c>
      <c r="P68" s="15">
        <f t="shared" si="1"/>
        <v>4.5</v>
      </c>
      <c r="R68" s="8"/>
      <c r="T68"/>
    </row>
    <row r="69" spans="2:20" ht="23.1" customHeight="1" x14ac:dyDescent="0.25">
      <c r="B69" s="23" t="s">
        <v>106</v>
      </c>
      <c r="C69" s="49">
        <f>AVERAGE('18.10 MADDU-KANONI-24h'!C69,'19.10 MADDU-KANONI-24h'!C69)</f>
        <v>2</v>
      </c>
      <c r="D69" s="49">
        <f>AVERAGE('18.10 MADDU-KANONI-24h'!D69,'19.10 MADDU-KANONI-24h'!D69)</f>
        <v>1</v>
      </c>
      <c r="E69" s="49">
        <f>AVERAGE('18.10 MADDU-KANONI-24h'!E69,'19.10 MADDU-KANONI-24h'!E69)</f>
        <v>0.5</v>
      </c>
      <c r="F69" s="49">
        <f>AVERAGE('18.10 MADDU-KANONI-24h'!F69,'19.10 MADDU-KANONI-24h'!F69)</f>
        <v>0.5</v>
      </c>
      <c r="G69" s="49">
        <f>AVERAGE('18.10 MADDU-KANONI-24h'!G69,'19.10 MADDU-KANONI-24h'!G69)</f>
        <v>0</v>
      </c>
      <c r="H69" s="49">
        <f>AVERAGE('18.10 MADDU-KANONI-24h'!H69,'19.10 MADDU-KANONI-24h'!H69)</f>
        <v>0</v>
      </c>
      <c r="I69" s="49">
        <f>AVERAGE('18.10 MADDU-KANONI-24h'!I69,'19.10 MADDU-KANONI-24h'!I69)</f>
        <v>0.5</v>
      </c>
      <c r="J69" s="49">
        <f>AVERAGE('18.10 MADDU-KANONI-24h'!J69,'19.10 MADDU-KANONI-24h'!J69)</f>
        <v>0.5</v>
      </c>
      <c r="K69" s="49">
        <f>AVERAGE('18.10 MADDU-KANONI-24h'!K69,'19.10 MADDU-KANONI-24h'!K69)</f>
        <v>0</v>
      </c>
      <c r="L69" s="49">
        <f>AVERAGE('18.10 MADDU-KANONI-24h'!L69,'19.10 MADDU-KANONI-24h'!L69)</f>
        <v>0</v>
      </c>
      <c r="M69" s="49">
        <f>AVERAGE('18.10 MADDU-KANONI-24h'!M69,'19.10 MADDU-KANONI-24h'!M69)</f>
        <v>2</v>
      </c>
      <c r="N69" s="49">
        <f>AVERAGE('18.10 MADDU-KANONI-24h'!N69,'19.10 MADDU-KANONI-24h'!N69)</f>
        <v>0</v>
      </c>
      <c r="O69" s="15">
        <f t="shared" si="0"/>
        <v>5</v>
      </c>
      <c r="P69" s="15">
        <f t="shared" si="1"/>
        <v>7</v>
      </c>
      <c r="R69" s="8"/>
      <c r="T69"/>
    </row>
    <row r="70" spans="2:20" ht="23.1" customHeight="1" x14ac:dyDescent="0.25">
      <c r="B70" s="23" t="s">
        <v>110</v>
      </c>
      <c r="C70" s="49">
        <f>AVERAGE('18.10 MADDU-KANONI-24h'!C70,'19.10 MADDU-KANONI-24h'!C70)</f>
        <v>0.5</v>
      </c>
      <c r="D70" s="49">
        <f>AVERAGE('18.10 MADDU-KANONI-24h'!D70,'19.10 MADDU-KANONI-24h'!D70)</f>
        <v>0.5</v>
      </c>
      <c r="E70" s="49">
        <f>AVERAGE('18.10 MADDU-KANONI-24h'!E70,'19.10 MADDU-KANONI-24h'!E70)</f>
        <v>0</v>
      </c>
      <c r="F70" s="49">
        <f>AVERAGE('18.10 MADDU-KANONI-24h'!F70,'19.10 MADDU-KANONI-24h'!F70)</f>
        <v>0</v>
      </c>
      <c r="G70" s="49">
        <f>AVERAGE('18.10 MADDU-KANONI-24h'!G70,'19.10 MADDU-KANONI-24h'!G70)</f>
        <v>0</v>
      </c>
      <c r="H70" s="49">
        <f>AVERAGE('18.10 MADDU-KANONI-24h'!H70,'19.10 MADDU-KANONI-24h'!H70)</f>
        <v>0</v>
      </c>
      <c r="I70" s="49">
        <f>AVERAGE('18.10 MADDU-KANONI-24h'!I70,'19.10 MADDU-KANONI-24h'!I70)</f>
        <v>1.5</v>
      </c>
      <c r="J70" s="49">
        <f>AVERAGE('18.10 MADDU-KANONI-24h'!J70,'19.10 MADDU-KANONI-24h'!J70)</f>
        <v>0.5</v>
      </c>
      <c r="K70" s="49">
        <f>AVERAGE('18.10 MADDU-KANONI-24h'!K70,'19.10 MADDU-KANONI-24h'!K70)</f>
        <v>0</v>
      </c>
      <c r="L70" s="49">
        <f>AVERAGE('18.10 MADDU-KANONI-24h'!L70,'19.10 MADDU-KANONI-24h'!L70)</f>
        <v>0</v>
      </c>
      <c r="M70" s="49">
        <f>AVERAGE('18.10 MADDU-KANONI-24h'!M70,'19.10 MADDU-KANONI-24h'!M70)</f>
        <v>0.5</v>
      </c>
      <c r="N70" s="49">
        <f>AVERAGE('18.10 MADDU-KANONI-24h'!N70,'19.10 MADDU-KANONI-24h'!N70)</f>
        <v>0</v>
      </c>
      <c r="O70" s="15">
        <f t="shared" si="0"/>
        <v>3</v>
      </c>
      <c r="P70" s="15">
        <f t="shared" si="1"/>
        <v>3.5</v>
      </c>
      <c r="R70" s="8"/>
      <c r="T70"/>
    </row>
    <row r="71" spans="2:20" ht="23.1" customHeight="1" x14ac:dyDescent="0.25">
      <c r="B71" s="23" t="s">
        <v>111</v>
      </c>
      <c r="C71" s="49">
        <f>AVERAGE('18.10 MADDU-KANONI-24h'!C71,'19.10 MADDU-KANONI-24h'!C71)</f>
        <v>1.5</v>
      </c>
      <c r="D71" s="49">
        <f>AVERAGE('18.10 MADDU-KANONI-24h'!D71,'19.10 MADDU-KANONI-24h'!D71)</f>
        <v>0.5</v>
      </c>
      <c r="E71" s="49">
        <f>AVERAGE('18.10 MADDU-KANONI-24h'!E71,'19.10 MADDU-KANONI-24h'!E71)</f>
        <v>0</v>
      </c>
      <c r="F71" s="49">
        <f>AVERAGE('18.10 MADDU-KANONI-24h'!F71,'19.10 MADDU-KANONI-24h'!F71)</f>
        <v>0</v>
      </c>
      <c r="G71" s="49">
        <f>AVERAGE('18.10 MADDU-KANONI-24h'!G71,'19.10 MADDU-KANONI-24h'!G71)</f>
        <v>0</v>
      </c>
      <c r="H71" s="49">
        <f>AVERAGE('18.10 MADDU-KANONI-24h'!H71,'19.10 MADDU-KANONI-24h'!H71)</f>
        <v>0</v>
      </c>
      <c r="I71" s="49">
        <f>AVERAGE('18.10 MADDU-KANONI-24h'!I71,'19.10 MADDU-KANONI-24h'!I71)</f>
        <v>0.5</v>
      </c>
      <c r="J71" s="49">
        <f>AVERAGE('18.10 MADDU-KANONI-24h'!J71,'19.10 MADDU-KANONI-24h'!J71)</f>
        <v>0.5</v>
      </c>
      <c r="K71" s="49">
        <f>AVERAGE('18.10 MADDU-KANONI-24h'!K71,'19.10 MADDU-KANONI-24h'!K71)</f>
        <v>0</v>
      </c>
      <c r="L71" s="49">
        <f>AVERAGE('18.10 MADDU-KANONI-24h'!L71,'19.10 MADDU-KANONI-24h'!L71)</f>
        <v>0</v>
      </c>
      <c r="M71" s="49">
        <f>AVERAGE('18.10 MADDU-KANONI-24h'!M71,'19.10 MADDU-KANONI-24h'!M71)</f>
        <v>1</v>
      </c>
      <c r="N71" s="49">
        <f>AVERAGE('18.10 MADDU-KANONI-24h'!N71,'19.10 MADDU-KANONI-24h'!N71)</f>
        <v>0</v>
      </c>
      <c r="O71" s="15">
        <f t="shared" si="0"/>
        <v>3</v>
      </c>
      <c r="P71" s="15">
        <f t="shared" si="1"/>
        <v>4</v>
      </c>
      <c r="R71" s="8"/>
      <c r="T71"/>
    </row>
    <row r="72" spans="2:20" ht="23.1" customHeight="1" x14ac:dyDescent="0.25">
      <c r="B72" s="23" t="s">
        <v>112</v>
      </c>
      <c r="C72" s="49">
        <f>AVERAGE('18.10 MADDU-KANONI-24h'!C72,'19.10 MADDU-KANONI-24h'!C72)</f>
        <v>0.5</v>
      </c>
      <c r="D72" s="49">
        <f>AVERAGE('18.10 MADDU-KANONI-24h'!D72,'19.10 MADDU-KANONI-24h'!D72)</f>
        <v>0</v>
      </c>
      <c r="E72" s="49">
        <f>AVERAGE('18.10 MADDU-KANONI-24h'!E72,'19.10 MADDU-KANONI-24h'!E72)</f>
        <v>0</v>
      </c>
      <c r="F72" s="49">
        <f>AVERAGE('18.10 MADDU-KANONI-24h'!F72,'19.10 MADDU-KANONI-24h'!F72)</f>
        <v>0.5</v>
      </c>
      <c r="G72" s="49">
        <f>AVERAGE('18.10 MADDU-KANONI-24h'!G72,'19.10 MADDU-KANONI-24h'!G72)</f>
        <v>0</v>
      </c>
      <c r="H72" s="49">
        <f>AVERAGE('18.10 MADDU-KANONI-24h'!H72,'19.10 MADDU-KANONI-24h'!H72)</f>
        <v>0</v>
      </c>
      <c r="I72" s="49">
        <f>AVERAGE('18.10 MADDU-KANONI-24h'!I72,'19.10 MADDU-KANONI-24h'!I72)</f>
        <v>1.5</v>
      </c>
      <c r="J72" s="49">
        <f>AVERAGE('18.10 MADDU-KANONI-24h'!J72,'19.10 MADDU-KANONI-24h'!J72)</f>
        <v>1</v>
      </c>
      <c r="K72" s="49">
        <f>AVERAGE('18.10 MADDU-KANONI-24h'!K72,'19.10 MADDU-KANONI-24h'!K72)</f>
        <v>0</v>
      </c>
      <c r="L72" s="49">
        <f>AVERAGE('18.10 MADDU-KANONI-24h'!L72,'19.10 MADDU-KANONI-24h'!L72)</f>
        <v>0</v>
      </c>
      <c r="M72" s="49">
        <f>AVERAGE('18.10 MADDU-KANONI-24h'!M72,'19.10 MADDU-KANONI-24h'!M72)</f>
        <v>2</v>
      </c>
      <c r="N72" s="49">
        <f>AVERAGE('18.10 MADDU-KANONI-24h'!N72,'19.10 MADDU-KANONI-24h'!N72)</f>
        <v>0</v>
      </c>
      <c r="O72" s="15">
        <f t="shared" si="0"/>
        <v>3.5</v>
      </c>
      <c r="P72" s="15">
        <f t="shared" si="1"/>
        <v>5.5</v>
      </c>
      <c r="R72" s="8"/>
      <c r="T72"/>
    </row>
    <row r="73" spans="2:20" ht="23.1" customHeight="1" x14ac:dyDescent="0.25">
      <c r="B73" s="23" t="s">
        <v>113</v>
      </c>
      <c r="C73" s="49">
        <f>AVERAGE('18.10 MADDU-KANONI-24h'!C73,'19.10 MADDU-KANONI-24h'!C73)</f>
        <v>1</v>
      </c>
      <c r="D73" s="49">
        <f>AVERAGE('18.10 MADDU-KANONI-24h'!D73,'19.10 MADDU-KANONI-24h'!D73)</f>
        <v>0</v>
      </c>
      <c r="E73" s="49">
        <f>AVERAGE('18.10 MADDU-KANONI-24h'!E73,'19.10 MADDU-KANONI-24h'!E73)</f>
        <v>0</v>
      </c>
      <c r="F73" s="49">
        <f>AVERAGE('18.10 MADDU-KANONI-24h'!F73,'19.10 MADDU-KANONI-24h'!F73)</f>
        <v>0</v>
      </c>
      <c r="G73" s="49">
        <f>AVERAGE('18.10 MADDU-KANONI-24h'!G73,'19.10 MADDU-KANONI-24h'!G73)</f>
        <v>0</v>
      </c>
      <c r="H73" s="49">
        <f>AVERAGE('18.10 MADDU-KANONI-24h'!H73,'19.10 MADDU-KANONI-24h'!H73)</f>
        <v>0</v>
      </c>
      <c r="I73" s="49">
        <f>AVERAGE('18.10 MADDU-KANONI-24h'!I73,'19.10 MADDU-KANONI-24h'!I73)</f>
        <v>1.5</v>
      </c>
      <c r="J73" s="49">
        <f>AVERAGE('18.10 MADDU-KANONI-24h'!J73,'19.10 MADDU-KANONI-24h'!J73)</f>
        <v>0</v>
      </c>
      <c r="K73" s="49">
        <f>AVERAGE('18.10 MADDU-KANONI-24h'!K73,'19.10 MADDU-KANONI-24h'!K73)</f>
        <v>0</v>
      </c>
      <c r="L73" s="49">
        <f>AVERAGE('18.10 MADDU-KANONI-24h'!L73,'19.10 MADDU-KANONI-24h'!L73)</f>
        <v>0</v>
      </c>
      <c r="M73" s="49">
        <f>AVERAGE('18.10 MADDU-KANONI-24h'!M73,'19.10 MADDU-KANONI-24h'!M73)</f>
        <v>0.5</v>
      </c>
      <c r="N73" s="49">
        <f>AVERAGE('18.10 MADDU-KANONI-24h'!N73,'19.10 MADDU-KANONI-24h'!N73)</f>
        <v>0</v>
      </c>
      <c r="O73" s="15">
        <f t="shared" si="0"/>
        <v>2.5</v>
      </c>
      <c r="P73" s="15">
        <f t="shared" si="1"/>
        <v>3</v>
      </c>
      <c r="R73" s="8"/>
      <c r="T73"/>
    </row>
    <row r="74" spans="2:20" ht="23.1" customHeight="1" x14ac:dyDescent="0.25">
      <c r="B74" s="23" t="s">
        <v>114</v>
      </c>
      <c r="C74" s="49">
        <f>AVERAGE('18.10 MADDU-KANONI-24h'!C74,'19.10 MADDU-KANONI-24h'!C74)</f>
        <v>1</v>
      </c>
      <c r="D74" s="49">
        <f>AVERAGE('18.10 MADDU-KANONI-24h'!D74,'19.10 MADDU-KANONI-24h'!D74)</f>
        <v>0</v>
      </c>
      <c r="E74" s="49">
        <f>AVERAGE('18.10 MADDU-KANONI-24h'!E74,'19.10 MADDU-KANONI-24h'!E74)</f>
        <v>0</v>
      </c>
      <c r="F74" s="49">
        <f>AVERAGE('18.10 MADDU-KANONI-24h'!F74,'19.10 MADDU-KANONI-24h'!F74)</f>
        <v>0</v>
      </c>
      <c r="G74" s="49">
        <f>AVERAGE('18.10 MADDU-KANONI-24h'!G74,'19.10 MADDU-KANONI-24h'!G74)</f>
        <v>0</v>
      </c>
      <c r="H74" s="49">
        <f>AVERAGE('18.10 MADDU-KANONI-24h'!H74,'19.10 MADDU-KANONI-24h'!H74)</f>
        <v>0</v>
      </c>
      <c r="I74" s="49">
        <f>AVERAGE('18.10 MADDU-KANONI-24h'!I74,'19.10 MADDU-KANONI-24h'!I74)</f>
        <v>0</v>
      </c>
      <c r="J74" s="49">
        <f>AVERAGE('18.10 MADDU-KANONI-24h'!J74,'19.10 MADDU-KANONI-24h'!J74)</f>
        <v>0.5</v>
      </c>
      <c r="K74" s="49">
        <f>AVERAGE('18.10 MADDU-KANONI-24h'!K74,'19.10 MADDU-KANONI-24h'!K74)</f>
        <v>0.5</v>
      </c>
      <c r="L74" s="49">
        <f>AVERAGE('18.10 MADDU-KANONI-24h'!L74,'19.10 MADDU-KANONI-24h'!L74)</f>
        <v>0</v>
      </c>
      <c r="M74" s="49">
        <f>AVERAGE('18.10 MADDU-KANONI-24h'!M74,'19.10 MADDU-KANONI-24h'!M74)</f>
        <v>1</v>
      </c>
      <c r="N74" s="49">
        <f>AVERAGE('18.10 MADDU-KANONI-24h'!N74,'19.10 MADDU-KANONI-24h'!N74)</f>
        <v>0</v>
      </c>
      <c r="O74" s="15">
        <f t="shared" ref="O74:O105" si="35">SUM(C74:L74,N74)</f>
        <v>2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23" t="s">
        <v>115</v>
      </c>
      <c r="C75" s="49">
        <f>AVERAGE('18.10 MADDU-KANONI-24h'!C75,'19.10 MADDU-KANONI-24h'!C75)</f>
        <v>0</v>
      </c>
      <c r="D75" s="49">
        <f>AVERAGE('18.10 MADDU-KANONI-24h'!D75,'19.10 MADDU-KANONI-24h'!D75)</f>
        <v>1</v>
      </c>
      <c r="E75" s="49">
        <f>AVERAGE('18.10 MADDU-KANONI-24h'!E75,'19.10 MADDU-KANONI-24h'!E75)</f>
        <v>0</v>
      </c>
      <c r="F75" s="49">
        <f>AVERAGE('18.10 MADDU-KANONI-24h'!F75,'19.10 MADDU-KANONI-24h'!F75)</f>
        <v>0</v>
      </c>
      <c r="G75" s="49">
        <f>AVERAGE('18.10 MADDU-KANONI-24h'!G75,'19.10 MADDU-KANONI-24h'!G75)</f>
        <v>0</v>
      </c>
      <c r="H75" s="49">
        <f>AVERAGE('18.10 MADDU-KANONI-24h'!H75,'19.10 MADDU-KANONI-24h'!H75)</f>
        <v>0</v>
      </c>
      <c r="I75" s="49">
        <f>AVERAGE('18.10 MADDU-KANONI-24h'!I75,'19.10 MADDU-KANONI-24h'!I75)</f>
        <v>1.5</v>
      </c>
      <c r="J75" s="49">
        <f>AVERAGE('18.10 MADDU-KANONI-24h'!J75,'19.10 MADDU-KANONI-24h'!J75)</f>
        <v>1</v>
      </c>
      <c r="K75" s="49">
        <f>AVERAGE('18.10 MADDU-KANONI-24h'!K75,'19.10 MADDU-KANONI-24h'!K75)</f>
        <v>0</v>
      </c>
      <c r="L75" s="49">
        <f>AVERAGE('18.10 MADDU-KANONI-24h'!L75,'19.10 MADDU-KANONI-24h'!L75)</f>
        <v>0</v>
      </c>
      <c r="M75" s="49">
        <f>AVERAGE('18.10 MADDU-KANONI-24h'!M75,'19.10 MADDU-KANONI-24h'!M75)</f>
        <v>0</v>
      </c>
      <c r="N75" s="49">
        <f>AVERAGE('18.10 MADDU-KANONI-24h'!N75,'19.10 MADDU-KANONI-24h'!N75)</f>
        <v>0</v>
      </c>
      <c r="O75" s="15">
        <f t="shared" si="35"/>
        <v>3.5</v>
      </c>
      <c r="P75" s="15">
        <f t="shared" si="36"/>
        <v>3.5</v>
      </c>
      <c r="R75" s="8"/>
      <c r="T75"/>
    </row>
    <row r="76" spans="2:20" ht="23.1" customHeight="1" x14ac:dyDescent="0.25">
      <c r="B76" s="23" t="s">
        <v>116</v>
      </c>
      <c r="C76" s="49">
        <f>AVERAGE('18.10 MADDU-KANONI-24h'!C76,'19.10 MADDU-KANONI-24h'!C76)</f>
        <v>0.5</v>
      </c>
      <c r="D76" s="49">
        <f>AVERAGE('18.10 MADDU-KANONI-24h'!D76,'19.10 MADDU-KANONI-24h'!D76)</f>
        <v>0</v>
      </c>
      <c r="E76" s="49">
        <f>AVERAGE('18.10 MADDU-KANONI-24h'!E76,'19.10 MADDU-KANONI-24h'!E76)</f>
        <v>0</v>
      </c>
      <c r="F76" s="49">
        <f>AVERAGE('18.10 MADDU-KANONI-24h'!F76,'19.10 MADDU-KANONI-24h'!F76)</f>
        <v>0</v>
      </c>
      <c r="G76" s="49">
        <f>AVERAGE('18.10 MADDU-KANONI-24h'!G76,'19.10 MADDU-KANONI-24h'!G76)</f>
        <v>0</v>
      </c>
      <c r="H76" s="49">
        <f>AVERAGE('18.10 MADDU-KANONI-24h'!H76,'19.10 MADDU-KANONI-24h'!H76)</f>
        <v>0</v>
      </c>
      <c r="I76" s="49">
        <f>AVERAGE('18.10 MADDU-KANONI-24h'!I76,'19.10 MADDU-KANONI-24h'!I76)</f>
        <v>0</v>
      </c>
      <c r="J76" s="49">
        <f>AVERAGE('18.10 MADDU-KANONI-24h'!J76,'19.10 MADDU-KANONI-24h'!J76)</f>
        <v>1.5</v>
      </c>
      <c r="K76" s="49">
        <f>AVERAGE('18.10 MADDU-KANONI-24h'!K76,'19.10 MADDU-KANONI-24h'!K76)</f>
        <v>0</v>
      </c>
      <c r="L76" s="49">
        <f>AVERAGE('18.10 MADDU-KANONI-24h'!L76,'19.10 MADDU-KANONI-24h'!L76)</f>
        <v>0</v>
      </c>
      <c r="M76" s="49">
        <f>AVERAGE('18.10 MADDU-KANONI-24h'!M76,'19.10 MADDU-KANONI-24h'!M76)</f>
        <v>1.5</v>
      </c>
      <c r="N76" s="49">
        <f>AVERAGE('18.10 MADDU-KANONI-24h'!N76,'19.10 MADDU-KANONI-24h'!N76)</f>
        <v>0</v>
      </c>
      <c r="O76" s="15">
        <f t="shared" si="35"/>
        <v>2</v>
      </c>
      <c r="P76" s="15">
        <f t="shared" si="36"/>
        <v>3.5</v>
      </c>
      <c r="R76" s="8"/>
      <c r="T76"/>
    </row>
    <row r="77" spans="2:20" ht="23.1" customHeight="1" x14ac:dyDescent="0.25">
      <c r="B77" s="23" t="s">
        <v>117</v>
      </c>
      <c r="C77" s="49">
        <f>AVERAGE('18.10 MADDU-KANONI-24h'!C77,'19.10 MADDU-KANONI-24h'!C77)</f>
        <v>0</v>
      </c>
      <c r="D77" s="49">
        <f>AVERAGE('18.10 MADDU-KANONI-24h'!D77,'19.10 MADDU-KANONI-24h'!D77)</f>
        <v>0</v>
      </c>
      <c r="E77" s="49">
        <f>AVERAGE('18.10 MADDU-KANONI-24h'!E77,'19.10 MADDU-KANONI-24h'!E77)</f>
        <v>0</v>
      </c>
      <c r="F77" s="49">
        <f>AVERAGE('18.10 MADDU-KANONI-24h'!F77,'19.10 MADDU-KANONI-24h'!F77)</f>
        <v>0.5</v>
      </c>
      <c r="G77" s="49">
        <f>AVERAGE('18.10 MADDU-KANONI-24h'!G77,'19.10 MADDU-KANONI-24h'!G77)</f>
        <v>0</v>
      </c>
      <c r="H77" s="49">
        <f>AVERAGE('18.10 MADDU-KANONI-24h'!H77,'19.10 MADDU-KANONI-24h'!H77)</f>
        <v>0</v>
      </c>
      <c r="I77" s="49">
        <f>AVERAGE('18.10 MADDU-KANONI-24h'!I77,'19.10 MADDU-KANONI-24h'!I77)</f>
        <v>0</v>
      </c>
      <c r="J77" s="49">
        <f>AVERAGE('18.10 MADDU-KANONI-24h'!J77,'19.10 MADDU-KANONI-24h'!J77)</f>
        <v>2</v>
      </c>
      <c r="K77" s="49">
        <f>AVERAGE('18.10 MADDU-KANONI-24h'!K77,'19.10 MADDU-KANONI-24h'!K77)</f>
        <v>0.5</v>
      </c>
      <c r="L77" s="49">
        <f>AVERAGE('18.10 MADDU-KANONI-24h'!L77,'19.10 MADDU-KANONI-24h'!L77)</f>
        <v>0</v>
      </c>
      <c r="M77" s="49">
        <f>AVERAGE('18.10 MADDU-KANONI-24h'!M77,'19.10 MADDU-KANONI-24h'!M77)</f>
        <v>0</v>
      </c>
      <c r="N77" s="49">
        <f>AVERAGE('18.10 MADDU-KANONI-24h'!N77,'19.10 MADDU-KANONI-24h'!N77)</f>
        <v>0</v>
      </c>
      <c r="O77" s="15">
        <f t="shared" si="35"/>
        <v>3</v>
      </c>
      <c r="P77" s="15">
        <f t="shared" si="36"/>
        <v>3</v>
      </c>
      <c r="R77" s="8"/>
      <c r="T77"/>
    </row>
    <row r="78" spans="2:20" ht="23.1" customHeight="1" x14ac:dyDescent="0.25">
      <c r="B78" s="24" t="s">
        <v>118</v>
      </c>
      <c r="C78" s="49">
        <f>AVERAGE('18.10 MADDU-KANONI-24h'!C78,'19.10 MADDU-KANONI-24h'!C78)</f>
        <v>1.5</v>
      </c>
      <c r="D78" s="49">
        <f>AVERAGE('18.10 MADDU-KANONI-24h'!D78,'19.10 MADDU-KANONI-24h'!D78)</f>
        <v>0</v>
      </c>
      <c r="E78" s="49">
        <f>AVERAGE('18.10 MADDU-KANONI-24h'!E78,'19.10 MADDU-KANONI-24h'!E78)</f>
        <v>0</v>
      </c>
      <c r="F78" s="49">
        <f>AVERAGE('18.10 MADDU-KANONI-24h'!F78,'19.10 MADDU-KANONI-24h'!F78)</f>
        <v>0</v>
      </c>
      <c r="G78" s="49">
        <f>AVERAGE('18.10 MADDU-KANONI-24h'!G78,'19.10 MADDU-KANONI-24h'!G78)</f>
        <v>0</v>
      </c>
      <c r="H78" s="49">
        <f>AVERAGE('18.10 MADDU-KANONI-24h'!H78,'19.10 MADDU-KANONI-24h'!H78)</f>
        <v>0</v>
      </c>
      <c r="I78" s="49">
        <f>AVERAGE('18.10 MADDU-KANONI-24h'!I78,'19.10 MADDU-KANONI-24h'!I78)</f>
        <v>0</v>
      </c>
      <c r="J78" s="49">
        <f>AVERAGE('18.10 MADDU-KANONI-24h'!J78,'19.10 MADDU-KANONI-24h'!J78)</f>
        <v>0.5</v>
      </c>
      <c r="K78" s="49">
        <f>AVERAGE('18.10 MADDU-KANONI-24h'!K78,'19.10 MADDU-KANONI-24h'!K78)</f>
        <v>0</v>
      </c>
      <c r="L78" s="49">
        <f>AVERAGE('18.10 MADDU-KANONI-24h'!L78,'19.10 MADDU-KANONI-24h'!L78)</f>
        <v>0</v>
      </c>
      <c r="M78" s="49">
        <f>AVERAGE('18.10 MADDU-KANONI-24h'!M78,'19.10 MADDU-KANONI-24h'!M78)</f>
        <v>0.5</v>
      </c>
      <c r="N78" s="49">
        <f>AVERAGE('18.10 MADDU-KANONI-24h'!N78,'19.10 MADDU-KANONI-24h'!N78)</f>
        <v>0</v>
      </c>
      <c r="O78" s="15">
        <f t="shared" si="35"/>
        <v>2</v>
      </c>
      <c r="P78" s="15">
        <f t="shared" si="36"/>
        <v>2.5</v>
      </c>
      <c r="R78" s="8"/>
      <c r="T78"/>
    </row>
    <row r="79" spans="2:20" ht="23.1" customHeight="1" x14ac:dyDescent="0.25">
      <c r="B79" s="23" t="s">
        <v>119</v>
      </c>
      <c r="C79" s="49">
        <f>AVERAGE('18.10 MADDU-KANONI-24h'!C79,'19.10 MADDU-KANONI-24h'!C79)</f>
        <v>0</v>
      </c>
      <c r="D79" s="49">
        <f>AVERAGE('18.10 MADDU-KANONI-24h'!D79,'19.10 MADDU-KANONI-24h'!D79)</f>
        <v>0.5</v>
      </c>
      <c r="E79" s="49">
        <f>AVERAGE('18.10 MADDU-KANONI-24h'!E79,'19.10 MADDU-KANONI-24h'!E79)</f>
        <v>0</v>
      </c>
      <c r="F79" s="49">
        <f>AVERAGE('18.10 MADDU-KANONI-24h'!F79,'19.10 MADDU-KANONI-24h'!F79)</f>
        <v>0</v>
      </c>
      <c r="G79" s="49">
        <f>AVERAGE('18.10 MADDU-KANONI-24h'!G79,'19.10 MADDU-KANONI-24h'!G79)</f>
        <v>0</v>
      </c>
      <c r="H79" s="49">
        <f>AVERAGE('18.10 MADDU-KANONI-24h'!H79,'19.10 MADDU-KANONI-24h'!H79)</f>
        <v>0</v>
      </c>
      <c r="I79" s="49">
        <f>AVERAGE('18.10 MADDU-KANONI-24h'!I79,'19.10 MADDU-KANONI-24h'!I79)</f>
        <v>0.5</v>
      </c>
      <c r="J79" s="49">
        <f>AVERAGE('18.10 MADDU-KANONI-24h'!J79,'19.10 MADDU-KANONI-24h'!J79)</f>
        <v>1</v>
      </c>
      <c r="K79" s="49">
        <f>AVERAGE('18.10 MADDU-KANONI-24h'!K79,'19.10 MADDU-KANONI-24h'!K79)</f>
        <v>2</v>
      </c>
      <c r="L79" s="49">
        <f>AVERAGE('18.10 MADDU-KANONI-24h'!L79,'19.10 MADDU-KANONI-24h'!L79)</f>
        <v>0</v>
      </c>
      <c r="M79" s="49">
        <f>AVERAGE('18.10 MADDU-KANONI-24h'!M79,'19.10 MADDU-KANONI-24h'!M79)</f>
        <v>0</v>
      </c>
      <c r="N79" s="49">
        <f>AVERAGE('18.10 MADDU-KANONI-24h'!N79,'19.10 MADDU-KANONI-24h'!N79)</f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25" t="s">
        <v>120</v>
      </c>
      <c r="C80" s="49">
        <f>AVERAGE('18.10 MADDU-KANONI-24h'!C80,'19.10 MADDU-KANONI-24h'!C80)</f>
        <v>0</v>
      </c>
      <c r="D80" s="49">
        <f>AVERAGE('18.10 MADDU-KANONI-24h'!D80,'19.10 MADDU-KANONI-24h'!D80)</f>
        <v>0.5</v>
      </c>
      <c r="E80" s="49">
        <f>AVERAGE('18.10 MADDU-KANONI-24h'!E80,'19.10 MADDU-KANONI-24h'!E80)</f>
        <v>1</v>
      </c>
      <c r="F80" s="49">
        <f>AVERAGE('18.10 MADDU-KANONI-24h'!F80,'19.10 MADDU-KANONI-24h'!F80)</f>
        <v>0</v>
      </c>
      <c r="G80" s="49">
        <f>AVERAGE('18.10 MADDU-KANONI-24h'!G80,'19.10 MADDU-KANONI-24h'!G80)</f>
        <v>0</v>
      </c>
      <c r="H80" s="49">
        <f>AVERAGE('18.10 MADDU-KANONI-24h'!H80,'19.10 MADDU-KANONI-24h'!H80)</f>
        <v>0</v>
      </c>
      <c r="I80" s="49">
        <f>AVERAGE('18.10 MADDU-KANONI-24h'!I80,'19.10 MADDU-KANONI-24h'!I80)</f>
        <v>0</v>
      </c>
      <c r="J80" s="49">
        <f>AVERAGE('18.10 MADDU-KANONI-24h'!J80,'19.10 MADDU-KANONI-24h'!J80)</f>
        <v>1.5</v>
      </c>
      <c r="K80" s="49">
        <f>AVERAGE('18.10 MADDU-KANONI-24h'!K80,'19.10 MADDU-KANONI-24h'!K80)</f>
        <v>0</v>
      </c>
      <c r="L80" s="49">
        <f>AVERAGE('18.10 MADDU-KANONI-24h'!L80,'19.10 MADDU-KANONI-24h'!L80)</f>
        <v>0</v>
      </c>
      <c r="M80" s="49">
        <f>AVERAGE('18.10 MADDU-KANONI-24h'!M80,'19.10 MADDU-KANONI-24h'!M80)</f>
        <v>0</v>
      </c>
      <c r="N80" s="49">
        <f>AVERAGE('18.10 MADDU-KANONI-24h'!N80,'19.10 MADDU-KANONI-24h'!N80)</f>
        <v>0</v>
      </c>
      <c r="O80" s="15">
        <f t="shared" si="35"/>
        <v>3</v>
      </c>
      <c r="P80" s="15">
        <f t="shared" si="36"/>
        <v>3</v>
      </c>
      <c r="R80" s="8"/>
      <c r="T80"/>
    </row>
    <row r="81" spans="2:20" ht="23.1" customHeight="1" x14ac:dyDescent="0.25">
      <c r="B81" s="23" t="s">
        <v>121</v>
      </c>
      <c r="C81" s="49">
        <f>AVERAGE('18.10 MADDU-KANONI-24h'!C81,'19.10 MADDU-KANONI-24h'!C81)</f>
        <v>0.5</v>
      </c>
      <c r="D81" s="49">
        <f>AVERAGE('18.10 MADDU-KANONI-24h'!D81,'19.10 MADDU-KANONI-24h'!D81)</f>
        <v>0</v>
      </c>
      <c r="E81" s="49">
        <f>AVERAGE('18.10 MADDU-KANONI-24h'!E81,'19.10 MADDU-KANONI-24h'!E81)</f>
        <v>0</v>
      </c>
      <c r="F81" s="49">
        <f>AVERAGE('18.10 MADDU-KANONI-24h'!F81,'19.10 MADDU-KANONI-24h'!F81)</f>
        <v>0</v>
      </c>
      <c r="G81" s="49">
        <f>AVERAGE('18.10 MADDU-KANONI-24h'!G81,'19.10 MADDU-KANONI-24h'!G81)</f>
        <v>0</v>
      </c>
      <c r="H81" s="49">
        <f>AVERAGE('18.10 MADDU-KANONI-24h'!H81,'19.10 MADDU-KANONI-24h'!H81)</f>
        <v>0</v>
      </c>
      <c r="I81" s="49">
        <f>AVERAGE('18.10 MADDU-KANONI-24h'!I81,'19.10 MADDU-KANONI-24h'!I81)</f>
        <v>0.5</v>
      </c>
      <c r="J81" s="49">
        <f>AVERAGE('18.10 MADDU-KANONI-24h'!J81,'19.10 MADDU-KANONI-24h'!J81)</f>
        <v>1.5</v>
      </c>
      <c r="K81" s="49">
        <f>AVERAGE('18.10 MADDU-KANONI-24h'!K81,'19.10 MADDU-KANONI-24h'!K81)</f>
        <v>1</v>
      </c>
      <c r="L81" s="49">
        <f>AVERAGE('18.10 MADDU-KANONI-24h'!L81,'19.10 MADDU-KANONI-24h'!L81)</f>
        <v>0</v>
      </c>
      <c r="M81" s="49">
        <f>AVERAGE('18.10 MADDU-KANONI-24h'!M81,'19.10 MADDU-KANONI-24h'!M81)</f>
        <v>0</v>
      </c>
      <c r="N81" s="49">
        <f>AVERAGE('18.10 MADDU-KANONI-24h'!N81,'19.10 MADDU-KANONI-24h'!N81)</f>
        <v>0</v>
      </c>
      <c r="O81" s="15">
        <f t="shared" si="35"/>
        <v>3.5</v>
      </c>
      <c r="P81" s="15">
        <f t="shared" si="36"/>
        <v>3.5</v>
      </c>
      <c r="R81" s="8"/>
      <c r="T81"/>
    </row>
    <row r="82" spans="2:20" ht="23.1" customHeight="1" x14ac:dyDescent="0.25">
      <c r="B82" s="24" t="s">
        <v>122</v>
      </c>
      <c r="C82" s="49">
        <f>AVERAGE('18.10 MADDU-KANONI-24h'!C82,'19.10 MADDU-KANONI-24h'!C82)</f>
        <v>0</v>
      </c>
      <c r="D82" s="49">
        <f>AVERAGE('18.10 MADDU-KANONI-24h'!D82,'19.10 MADDU-KANONI-24h'!D82)</f>
        <v>0</v>
      </c>
      <c r="E82" s="49">
        <f>AVERAGE('18.10 MADDU-KANONI-24h'!E82,'19.10 MADDU-KANONI-24h'!E82)</f>
        <v>0</v>
      </c>
      <c r="F82" s="49">
        <f>AVERAGE('18.10 MADDU-KANONI-24h'!F82,'19.10 MADDU-KANONI-24h'!F82)</f>
        <v>0</v>
      </c>
      <c r="G82" s="49">
        <f>AVERAGE('18.10 MADDU-KANONI-24h'!G82,'19.10 MADDU-KANONI-24h'!G82)</f>
        <v>0</v>
      </c>
      <c r="H82" s="49">
        <f>AVERAGE('18.10 MADDU-KANONI-24h'!H82,'19.10 MADDU-KANONI-24h'!H82)</f>
        <v>0</v>
      </c>
      <c r="I82" s="49">
        <f>AVERAGE('18.10 MADDU-KANONI-24h'!I82,'19.10 MADDU-KANONI-24h'!I82)</f>
        <v>0</v>
      </c>
      <c r="J82" s="49">
        <f>AVERAGE('18.10 MADDU-KANONI-24h'!J82,'19.10 MADDU-KANONI-24h'!J82)</f>
        <v>0</v>
      </c>
      <c r="K82" s="49">
        <f>AVERAGE('18.10 MADDU-KANONI-24h'!K82,'19.10 MADDU-KANONI-24h'!K82)</f>
        <v>0</v>
      </c>
      <c r="L82" s="49">
        <f>AVERAGE('18.10 MADDU-KANONI-24h'!L82,'19.10 MADDU-KANONI-24h'!L82)</f>
        <v>0</v>
      </c>
      <c r="M82" s="49">
        <f>AVERAGE('18.10 MADDU-KANONI-24h'!M82,'19.10 MADDU-KANONI-24h'!M82)</f>
        <v>0</v>
      </c>
      <c r="N82" s="49">
        <f>AVERAGE('18.10 MADDU-KANONI-24h'!N82,'19.10 MADDU-KANONI-24h'!N82)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49">
        <f>AVERAGE('18.10 MADDU-KANONI-24h'!C83,'19.10 MADDU-KANONI-24h'!C83)</f>
        <v>0</v>
      </c>
      <c r="D83" s="49">
        <f>AVERAGE('18.10 MADDU-KANONI-24h'!D83,'19.10 MADDU-KANONI-24h'!D83)</f>
        <v>0</v>
      </c>
      <c r="E83" s="49">
        <f>AVERAGE('18.10 MADDU-KANONI-24h'!E83,'19.10 MADDU-KANONI-24h'!E83)</f>
        <v>0.5</v>
      </c>
      <c r="F83" s="49">
        <f>AVERAGE('18.10 MADDU-KANONI-24h'!F83,'19.10 MADDU-KANONI-24h'!F83)</f>
        <v>0</v>
      </c>
      <c r="G83" s="49">
        <f>AVERAGE('18.10 MADDU-KANONI-24h'!G83,'19.10 MADDU-KANONI-24h'!G83)</f>
        <v>0</v>
      </c>
      <c r="H83" s="49">
        <f>AVERAGE('18.10 MADDU-KANONI-24h'!H83,'19.10 MADDU-KANONI-24h'!H83)</f>
        <v>0</v>
      </c>
      <c r="I83" s="49">
        <f>AVERAGE('18.10 MADDU-KANONI-24h'!I83,'19.10 MADDU-KANONI-24h'!I83)</f>
        <v>0.5</v>
      </c>
      <c r="J83" s="49">
        <f>AVERAGE('18.10 MADDU-KANONI-24h'!J83,'19.10 MADDU-KANONI-24h'!J83)</f>
        <v>1.5</v>
      </c>
      <c r="K83" s="49">
        <f>AVERAGE('18.10 MADDU-KANONI-24h'!K83,'19.10 MADDU-KANONI-24h'!K83)</f>
        <v>0</v>
      </c>
      <c r="L83" s="49">
        <f>AVERAGE('18.10 MADDU-KANONI-24h'!L83,'19.10 MADDU-KANONI-24h'!L83)</f>
        <v>0</v>
      </c>
      <c r="M83" s="49">
        <f>AVERAGE('18.10 MADDU-KANONI-24h'!M83,'19.10 MADDU-KANONI-24h'!M83)</f>
        <v>0</v>
      </c>
      <c r="N83" s="49">
        <f>AVERAGE('18.10 MADDU-KANONI-24h'!N83,'19.10 MADDU-KANONI-24h'!N83)</f>
        <v>0</v>
      </c>
      <c r="O83" s="15">
        <f t="shared" si="35"/>
        <v>2.5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AVERAGE('18.10 MADDU-KANONI-24h'!C84,'19.10 MADDU-KANONI-24h'!C84)</f>
        <v>0</v>
      </c>
      <c r="D84" s="49">
        <f>AVERAGE('18.10 MADDU-KANONI-24h'!D84,'19.10 MADDU-KANONI-24h'!D84)</f>
        <v>0</v>
      </c>
      <c r="E84" s="49">
        <f>AVERAGE('18.10 MADDU-KANONI-24h'!E84,'19.10 MADDU-KANONI-24h'!E84)</f>
        <v>0</v>
      </c>
      <c r="F84" s="49">
        <f>AVERAGE('18.10 MADDU-KANONI-24h'!F84,'19.10 MADDU-KANONI-24h'!F84)</f>
        <v>0</v>
      </c>
      <c r="G84" s="49">
        <f>AVERAGE('18.10 MADDU-KANONI-24h'!G84,'19.10 MADDU-KANONI-24h'!G84)</f>
        <v>0</v>
      </c>
      <c r="H84" s="49">
        <f>AVERAGE('18.10 MADDU-KANONI-24h'!H84,'19.10 MADDU-KANONI-24h'!H84)</f>
        <v>0</v>
      </c>
      <c r="I84" s="49">
        <f>AVERAGE('18.10 MADDU-KANONI-24h'!I84,'19.10 MADDU-KANONI-24h'!I84)</f>
        <v>0</v>
      </c>
      <c r="J84" s="49">
        <f>AVERAGE('18.10 MADDU-KANONI-24h'!J84,'19.10 MADDU-KANONI-24h'!J84)</f>
        <v>0.5</v>
      </c>
      <c r="K84" s="49">
        <f>AVERAGE('18.10 MADDU-KANONI-24h'!K84,'19.10 MADDU-KANONI-24h'!K84)</f>
        <v>0</v>
      </c>
      <c r="L84" s="49">
        <f>AVERAGE('18.10 MADDU-KANONI-24h'!L84,'19.10 MADDU-KANONI-24h'!L84)</f>
        <v>0</v>
      </c>
      <c r="M84" s="49">
        <f>AVERAGE('18.10 MADDU-KANONI-24h'!M84,'19.10 MADDU-KANONI-24h'!M84)</f>
        <v>0</v>
      </c>
      <c r="N84" s="49">
        <f>AVERAGE('18.10 MADDU-KANONI-24h'!N84,'19.10 MADDU-KANONI-24h'!N84)</f>
        <v>0</v>
      </c>
      <c r="O84" s="15">
        <f t="shared" si="35"/>
        <v>0.5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AVERAGE('18.10 MADDU-KANONI-24h'!C85,'19.10 MADDU-KANONI-24h'!C85)</f>
        <v>0</v>
      </c>
      <c r="D85" s="49">
        <f>AVERAGE('18.10 MADDU-KANONI-24h'!D85,'19.10 MADDU-KANONI-24h'!D85)</f>
        <v>0</v>
      </c>
      <c r="E85" s="49">
        <f>AVERAGE('18.10 MADDU-KANONI-24h'!E85,'19.10 MADDU-KANONI-24h'!E85)</f>
        <v>0</v>
      </c>
      <c r="F85" s="49">
        <f>AVERAGE('18.10 MADDU-KANONI-24h'!F85,'19.10 MADDU-KANONI-24h'!F85)</f>
        <v>0</v>
      </c>
      <c r="G85" s="49">
        <f>AVERAGE('18.10 MADDU-KANONI-24h'!G85,'19.10 MADDU-KANONI-24h'!G85)</f>
        <v>0</v>
      </c>
      <c r="H85" s="49">
        <f>AVERAGE('18.10 MADDU-KANONI-24h'!H85,'19.10 MADDU-KANONI-24h'!H85)</f>
        <v>0</v>
      </c>
      <c r="I85" s="49">
        <f>AVERAGE('18.10 MADDU-KANONI-24h'!I85,'19.10 MADDU-KANONI-24h'!I85)</f>
        <v>0</v>
      </c>
      <c r="J85" s="49">
        <f>AVERAGE('18.10 MADDU-KANONI-24h'!J85,'19.10 MADDU-KANONI-24h'!J85)</f>
        <v>0.5</v>
      </c>
      <c r="K85" s="49">
        <f>AVERAGE('18.10 MADDU-KANONI-24h'!K85,'19.10 MADDU-KANONI-24h'!K85)</f>
        <v>0</v>
      </c>
      <c r="L85" s="49">
        <f>AVERAGE('18.10 MADDU-KANONI-24h'!L85,'19.10 MADDU-KANONI-24h'!L85)</f>
        <v>0</v>
      </c>
      <c r="M85" s="49">
        <f>AVERAGE('18.10 MADDU-KANONI-24h'!M85,'19.10 MADDU-KANONI-24h'!M85)</f>
        <v>0</v>
      </c>
      <c r="N85" s="49">
        <f>AVERAGE('18.10 MADDU-KANONI-24h'!N85,'19.10 MADDU-KANONI-24h'!N85)</f>
        <v>0</v>
      </c>
      <c r="O85" s="15">
        <f t="shared" si="35"/>
        <v>0.5</v>
      </c>
      <c r="P85" s="15">
        <f t="shared" si="36"/>
        <v>0.5</v>
      </c>
      <c r="R85" s="8"/>
      <c r="T85"/>
    </row>
    <row r="86" spans="2:20" ht="23.1" customHeight="1" x14ac:dyDescent="0.25">
      <c r="B86" s="24" t="s">
        <v>126</v>
      </c>
      <c r="C86" s="49">
        <f>AVERAGE('18.10 MADDU-KANONI-24h'!C86,'19.10 MADDU-KANONI-24h'!C86)</f>
        <v>0</v>
      </c>
      <c r="D86" s="49">
        <f>AVERAGE('18.10 MADDU-KANONI-24h'!D86,'19.10 MADDU-KANONI-24h'!D86)</f>
        <v>0</v>
      </c>
      <c r="E86" s="49">
        <f>AVERAGE('18.10 MADDU-KANONI-24h'!E86,'19.10 MADDU-KANONI-24h'!E86)</f>
        <v>0</v>
      </c>
      <c r="F86" s="49">
        <f>AVERAGE('18.10 MADDU-KANONI-24h'!F86,'19.10 MADDU-KANONI-24h'!F86)</f>
        <v>0</v>
      </c>
      <c r="G86" s="49">
        <f>AVERAGE('18.10 MADDU-KANONI-24h'!G86,'19.10 MADDU-KANONI-24h'!G86)</f>
        <v>0</v>
      </c>
      <c r="H86" s="49">
        <f>AVERAGE('18.10 MADDU-KANONI-24h'!H86,'19.10 MADDU-KANONI-24h'!H86)</f>
        <v>0</v>
      </c>
      <c r="I86" s="49">
        <f>AVERAGE('18.10 MADDU-KANONI-24h'!I86,'19.10 MADDU-KANONI-24h'!I86)</f>
        <v>0</v>
      </c>
      <c r="J86" s="49">
        <f>AVERAGE('18.10 MADDU-KANONI-24h'!J86,'19.10 MADDU-KANONI-24h'!J86)</f>
        <v>1</v>
      </c>
      <c r="K86" s="49">
        <f>AVERAGE('18.10 MADDU-KANONI-24h'!K86,'19.10 MADDU-KANONI-24h'!K86)</f>
        <v>0</v>
      </c>
      <c r="L86" s="49">
        <f>AVERAGE('18.10 MADDU-KANONI-24h'!L86,'19.10 MADDU-KANONI-24h'!L86)</f>
        <v>0</v>
      </c>
      <c r="M86" s="49">
        <f>AVERAGE('18.10 MADDU-KANONI-24h'!M86,'19.10 MADDU-KANONI-24h'!M86)</f>
        <v>0</v>
      </c>
      <c r="N86" s="49">
        <f>AVERAGE('18.10 MADDU-KANONI-24h'!N86,'19.10 MADDU-KANONI-24h'!N86)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AVERAGE('18.10 MADDU-KANONI-24h'!C87,'19.10 MADDU-KANONI-24h'!C87)</f>
        <v>0</v>
      </c>
      <c r="D87" s="49">
        <f>AVERAGE('18.10 MADDU-KANONI-24h'!D87,'19.10 MADDU-KANONI-24h'!D87)</f>
        <v>0</v>
      </c>
      <c r="E87" s="49">
        <f>AVERAGE('18.10 MADDU-KANONI-24h'!E87,'19.10 MADDU-KANONI-24h'!E87)</f>
        <v>0</v>
      </c>
      <c r="F87" s="49">
        <f>AVERAGE('18.10 MADDU-KANONI-24h'!F87,'19.10 MADDU-KANONI-24h'!F87)</f>
        <v>0</v>
      </c>
      <c r="G87" s="49">
        <f>AVERAGE('18.10 MADDU-KANONI-24h'!G87,'19.10 MADDU-KANONI-24h'!G87)</f>
        <v>0</v>
      </c>
      <c r="H87" s="49">
        <f>AVERAGE('18.10 MADDU-KANONI-24h'!H87,'19.10 MADDU-KANONI-24h'!H87)</f>
        <v>0</v>
      </c>
      <c r="I87" s="49">
        <f>AVERAGE('18.10 MADDU-KANONI-24h'!I87,'19.10 MADDU-KANONI-24h'!I87)</f>
        <v>1</v>
      </c>
      <c r="J87" s="49">
        <f>AVERAGE('18.10 MADDU-KANONI-24h'!J87,'19.10 MADDU-KANONI-24h'!J87)</f>
        <v>0</v>
      </c>
      <c r="K87" s="49">
        <f>AVERAGE('18.10 MADDU-KANONI-24h'!K87,'19.10 MADDU-KANONI-24h'!K87)</f>
        <v>0</v>
      </c>
      <c r="L87" s="49">
        <f>AVERAGE('18.10 MADDU-KANONI-24h'!L87,'19.10 MADDU-KANONI-24h'!L87)</f>
        <v>0</v>
      </c>
      <c r="M87" s="49">
        <f>AVERAGE('18.10 MADDU-KANONI-24h'!M87,'19.10 MADDU-KANONI-24h'!M87)</f>
        <v>0</v>
      </c>
      <c r="N87" s="49">
        <f>AVERAGE('18.10 MADDU-KANONI-24h'!N87,'19.10 MADDU-KANONI-24h'!N87)</f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AVERAGE('18.10 MADDU-KANONI-24h'!C88,'19.10 MADDU-KANONI-24h'!C88)</f>
        <v>0</v>
      </c>
      <c r="D88" s="49">
        <f>AVERAGE('18.10 MADDU-KANONI-24h'!D88,'19.10 MADDU-KANONI-24h'!D88)</f>
        <v>0</v>
      </c>
      <c r="E88" s="49">
        <f>AVERAGE('18.10 MADDU-KANONI-24h'!E88,'19.10 MADDU-KANONI-24h'!E88)</f>
        <v>0</v>
      </c>
      <c r="F88" s="49">
        <f>AVERAGE('18.10 MADDU-KANONI-24h'!F88,'19.10 MADDU-KANONI-24h'!F88)</f>
        <v>0</v>
      </c>
      <c r="G88" s="49">
        <f>AVERAGE('18.10 MADDU-KANONI-24h'!G88,'19.10 MADDU-KANONI-24h'!G88)</f>
        <v>0</v>
      </c>
      <c r="H88" s="49">
        <f>AVERAGE('18.10 MADDU-KANONI-24h'!H88,'19.10 MADDU-KANONI-24h'!H88)</f>
        <v>0</v>
      </c>
      <c r="I88" s="49">
        <f>AVERAGE('18.10 MADDU-KANONI-24h'!I88,'19.10 MADDU-KANONI-24h'!I88)</f>
        <v>1</v>
      </c>
      <c r="J88" s="49">
        <f>AVERAGE('18.10 MADDU-KANONI-24h'!J88,'19.10 MADDU-KANONI-24h'!J88)</f>
        <v>0</v>
      </c>
      <c r="K88" s="49">
        <f>AVERAGE('18.10 MADDU-KANONI-24h'!K88,'19.10 MADDU-KANONI-24h'!K88)</f>
        <v>0</v>
      </c>
      <c r="L88" s="49">
        <f>AVERAGE('18.10 MADDU-KANONI-24h'!L88,'19.10 MADDU-KANONI-24h'!L88)</f>
        <v>0</v>
      </c>
      <c r="M88" s="49">
        <f>AVERAGE('18.10 MADDU-KANONI-24h'!M88,'19.10 MADDU-KANONI-24h'!M88)</f>
        <v>0</v>
      </c>
      <c r="N88" s="49">
        <f>AVERAGE('18.10 MADDU-KANONI-24h'!N88,'19.10 MADDU-KANONI-24h'!N88)</f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AVERAGE('18.10 MADDU-KANONI-24h'!C89,'19.10 MADDU-KANONI-24h'!C89)</f>
        <v>0</v>
      </c>
      <c r="D89" s="49">
        <f>AVERAGE('18.10 MADDU-KANONI-24h'!D89,'19.10 MADDU-KANONI-24h'!D89)</f>
        <v>0</v>
      </c>
      <c r="E89" s="49">
        <f>AVERAGE('18.10 MADDU-KANONI-24h'!E89,'19.10 MADDU-KANONI-24h'!E89)</f>
        <v>0</v>
      </c>
      <c r="F89" s="49">
        <f>AVERAGE('18.10 MADDU-KANONI-24h'!F89,'19.10 MADDU-KANONI-24h'!F89)</f>
        <v>0</v>
      </c>
      <c r="G89" s="49">
        <f>AVERAGE('18.10 MADDU-KANONI-24h'!G89,'19.10 MADDU-KANONI-24h'!G89)</f>
        <v>0</v>
      </c>
      <c r="H89" s="49">
        <f>AVERAGE('18.10 MADDU-KANONI-24h'!H89,'19.10 MADDU-KANONI-24h'!H89)</f>
        <v>0</v>
      </c>
      <c r="I89" s="49">
        <f>AVERAGE('18.10 MADDU-KANONI-24h'!I89,'19.10 MADDU-KANONI-24h'!I89)</f>
        <v>0</v>
      </c>
      <c r="J89" s="49">
        <f>AVERAGE('18.10 MADDU-KANONI-24h'!J89,'19.10 MADDU-KANONI-24h'!J89)</f>
        <v>0.5</v>
      </c>
      <c r="K89" s="49">
        <f>AVERAGE('18.10 MADDU-KANONI-24h'!K89,'19.10 MADDU-KANONI-24h'!K89)</f>
        <v>0</v>
      </c>
      <c r="L89" s="49">
        <f>AVERAGE('18.10 MADDU-KANONI-24h'!L89,'19.10 MADDU-KANONI-24h'!L89)</f>
        <v>0</v>
      </c>
      <c r="M89" s="49">
        <f>AVERAGE('18.10 MADDU-KANONI-24h'!M89,'19.10 MADDU-KANONI-24h'!M89)</f>
        <v>0</v>
      </c>
      <c r="N89" s="49">
        <f>AVERAGE('18.10 MADDU-KANONI-24h'!N89,'19.10 MADDU-KANONI-24h'!N89)</f>
        <v>0</v>
      </c>
      <c r="O89" s="15">
        <f t="shared" si="35"/>
        <v>0.5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AVERAGE('18.10 MADDU-KANONI-24h'!C90,'19.10 MADDU-KANONI-24h'!C90)</f>
        <v>0</v>
      </c>
      <c r="D90" s="49">
        <f>AVERAGE('18.10 MADDU-KANONI-24h'!D90,'19.10 MADDU-KANONI-24h'!D90)</f>
        <v>0</v>
      </c>
      <c r="E90" s="49">
        <f>AVERAGE('18.10 MADDU-KANONI-24h'!E90,'19.10 MADDU-KANONI-24h'!E90)</f>
        <v>0</v>
      </c>
      <c r="F90" s="49">
        <f>AVERAGE('18.10 MADDU-KANONI-24h'!F90,'19.10 MADDU-KANONI-24h'!F90)</f>
        <v>0</v>
      </c>
      <c r="G90" s="49">
        <f>AVERAGE('18.10 MADDU-KANONI-24h'!G90,'19.10 MADDU-KANONI-24h'!G90)</f>
        <v>0</v>
      </c>
      <c r="H90" s="49">
        <f>AVERAGE('18.10 MADDU-KANONI-24h'!H90,'19.10 MADDU-KANONI-24h'!H90)</f>
        <v>0</v>
      </c>
      <c r="I90" s="49">
        <f>AVERAGE('18.10 MADDU-KANONI-24h'!I90,'19.10 MADDU-KANONI-24h'!I90)</f>
        <v>0</v>
      </c>
      <c r="J90" s="49">
        <f>AVERAGE('18.10 MADDU-KANONI-24h'!J90,'19.10 MADDU-KANONI-24h'!J90)</f>
        <v>0</v>
      </c>
      <c r="K90" s="49">
        <f>AVERAGE('18.10 MADDU-KANONI-24h'!K90,'19.10 MADDU-KANONI-24h'!K90)</f>
        <v>0</v>
      </c>
      <c r="L90" s="49">
        <f>AVERAGE('18.10 MADDU-KANONI-24h'!L90,'19.10 MADDU-KANONI-24h'!L90)</f>
        <v>0</v>
      </c>
      <c r="M90" s="49">
        <f>AVERAGE('18.10 MADDU-KANONI-24h'!M90,'19.10 MADDU-KANONI-24h'!M90)</f>
        <v>0</v>
      </c>
      <c r="N90" s="49">
        <f>AVERAGE('18.10 MADDU-KANONI-24h'!N90,'19.10 MADDU-KANONI-24h'!N90)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AVERAGE('18.10 MADDU-KANONI-24h'!C91,'19.10 MADDU-KANONI-24h'!C91)</f>
        <v>0</v>
      </c>
      <c r="D91" s="49">
        <f>AVERAGE('18.10 MADDU-KANONI-24h'!D91,'19.10 MADDU-KANONI-24h'!D91)</f>
        <v>0</v>
      </c>
      <c r="E91" s="49">
        <f>AVERAGE('18.10 MADDU-KANONI-24h'!E91,'19.10 MADDU-KANONI-24h'!E91)</f>
        <v>0</v>
      </c>
      <c r="F91" s="49">
        <f>AVERAGE('18.10 MADDU-KANONI-24h'!F91,'19.10 MADDU-KANONI-24h'!F91)</f>
        <v>0</v>
      </c>
      <c r="G91" s="49">
        <f>AVERAGE('18.10 MADDU-KANONI-24h'!G91,'19.10 MADDU-KANONI-24h'!G91)</f>
        <v>0</v>
      </c>
      <c r="H91" s="49">
        <f>AVERAGE('18.10 MADDU-KANONI-24h'!H91,'19.10 MADDU-KANONI-24h'!H91)</f>
        <v>0</v>
      </c>
      <c r="I91" s="49">
        <f>AVERAGE('18.10 MADDU-KANONI-24h'!I91,'19.10 MADDU-KANONI-24h'!I91)</f>
        <v>0</v>
      </c>
      <c r="J91" s="49">
        <f>AVERAGE('18.10 MADDU-KANONI-24h'!J91,'19.10 MADDU-KANONI-24h'!J91)</f>
        <v>2</v>
      </c>
      <c r="K91" s="49">
        <f>AVERAGE('18.10 MADDU-KANONI-24h'!K91,'19.10 MADDU-KANONI-24h'!K91)</f>
        <v>0</v>
      </c>
      <c r="L91" s="49">
        <f>AVERAGE('18.10 MADDU-KANONI-24h'!L91,'19.10 MADDU-KANONI-24h'!L91)</f>
        <v>0</v>
      </c>
      <c r="M91" s="49">
        <f>AVERAGE('18.10 MADDU-KANONI-24h'!M91,'19.10 MADDU-KANONI-24h'!M91)</f>
        <v>0</v>
      </c>
      <c r="N91" s="49">
        <f>AVERAGE('18.10 MADDU-KANONI-24h'!N91,'19.10 MADDU-KANONI-24h'!N91)</f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AVERAGE('18.10 MADDU-KANONI-24h'!C92,'19.10 MADDU-KANONI-24h'!C92)</f>
        <v>0</v>
      </c>
      <c r="D92" s="49">
        <f>AVERAGE('18.10 MADDU-KANONI-24h'!D92,'19.10 MADDU-KANONI-24h'!D92)</f>
        <v>0</v>
      </c>
      <c r="E92" s="49">
        <f>AVERAGE('18.10 MADDU-KANONI-24h'!E92,'19.10 MADDU-KANONI-24h'!E92)</f>
        <v>0</v>
      </c>
      <c r="F92" s="49">
        <f>AVERAGE('18.10 MADDU-KANONI-24h'!F92,'19.10 MADDU-KANONI-24h'!F92)</f>
        <v>0</v>
      </c>
      <c r="G92" s="49">
        <f>AVERAGE('18.10 MADDU-KANONI-24h'!G92,'19.10 MADDU-KANONI-24h'!G92)</f>
        <v>0</v>
      </c>
      <c r="H92" s="49">
        <f>AVERAGE('18.10 MADDU-KANONI-24h'!H92,'19.10 MADDU-KANONI-24h'!H92)</f>
        <v>0</v>
      </c>
      <c r="I92" s="49">
        <f>AVERAGE('18.10 MADDU-KANONI-24h'!I92,'19.10 MADDU-KANONI-24h'!I92)</f>
        <v>1</v>
      </c>
      <c r="J92" s="49">
        <f>AVERAGE('18.10 MADDU-KANONI-24h'!J92,'19.10 MADDU-KANONI-24h'!J92)</f>
        <v>0</v>
      </c>
      <c r="K92" s="49">
        <f>AVERAGE('18.10 MADDU-KANONI-24h'!K92,'19.10 MADDU-KANONI-24h'!K92)</f>
        <v>0</v>
      </c>
      <c r="L92" s="49">
        <f>AVERAGE('18.10 MADDU-KANONI-24h'!L92,'19.10 MADDU-KANONI-24h'!L92)</f>
        <v>0</v>
      </c>
      <c r="M92" s="49">
        <f>AVERAGE('18.10 MADDU-KANONI-24h'!M92,'19.10 MADDU-KANONI-24h'!M92)</f>
        <v>0</v>
      </c>
      <c r="N92" s="49">
        <f>AVERAGE('18.10 MADDU-KANONI-24h'!N92,'19.10 MADDU-KANONI-24h'!N92)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AVERAGE('18.10 MADDU-KANONI-24h'!C93,'19.10 MADDU-KANONI-24h'!C93)</f>
        <v>0.5</v>
      </c>
      <c r="D93" s="49">
        <f>AVERAGE('18.10 MADDU-KANONI-24h'!D93,'19.10 MADDU-KANONI-24h'!D93)</f>
        <v>0</v>
      </c>
      <c r="E93" s="49">
        <f>AVERAGE('18.10 MADDU-KANONI-24h'!E93,'19.10 MADDU-KANONI-24h'!E93)</f>
        <v>0.5</v>
      </c>
      <c r="F93" s="49">
        <f>AVERAGE('18.10 MADDU-KANONI-24h'!F93,'19.10 MADDU-KANONI-24h'!F93)</f>
        <v>0</v>
      </c>
      <c r="G93" s="49">
        <f>AVERAGE('18.10 MADDU-KANONI-24h'!G93,'19.10 MADDU-KANONI-24h'!G93)</f>
        <v>0</v>
      </c>
      <c r="H93" s="49">
        <f>AVERAGE('18.10 MADDU-KANONI-24h'!H93,'19.10 MADDU-KANONI-24h'!H93)</f>
        <v>0</v>
      </c>
      <c r="I93" s="49">
        <f>AVERAGE('18.10 MADDU-KANONI-24h'!I93,'19.10 MADDU-KANONI-24h'!I93)</f>
        <v>0</v>
      </c>
      <c r="J93" s="49">
        <f>AVERAGE('18.10 MADDU-KANONI-24h'!J93,'19.10 MADDU-KANONI-24h'!J93)</f>
        <v>2.5</v>
      </c>
      <c r="K93" s="49">
        <f>AVERAGE('18.10 MADDU-KANONI-24h'!K93,'19.10 MADDU-KANONI-24h'!K93)</f>
        <v>0</v>
      </c>
      <c r="L93" s="49">
        <f>AVERAGE('18.10 MADDU-KANONI-24h'!L93,'19.10 MADDU-KANONI-24h'!L93)</f>
        <v>0</v>
      </c>
      <c r="M93" s="49">
        <f>AVERAGE('18.10 MADDU-KANONI-24h'!M93,'19.10 MADDU-KANONI-24h'!M93)</f>
        <v>0</v>
      </c>
      <c r="N93" s="49">
        <f>AVERAGE('18.10 MADDU-KANONI-24h'!N93,'19.10 MADDU-KANONI-24h'!N93)</f>
        <v>0</v>
      </c>
      <c r="O93" s="15">
        <f t="shared" si="35"/>
        <v>3.5</v>
      </c>
      <c r="P93" s="15">
        <f t="shared" si="36"/>
        <v>3.5</v>
      </c>
      <c r="R93" s="8"/>
      <c r="T93"/>
    </row>
    <row r="94" spans="2:20" ht="23.1" customHeight="1" x14ac:dyDescent="0.25">
      <c r="B94" s="24" t="s">
        <v>134</v>
      </c>
      <c r="C94" s="49">
        <f>AVERAGE('18.10 MADDU-KANONI-24h'!C94,'19.10 MADDU-KANONI-24h'!C94)</f>
        <v>0</v>
      </c>
      <c r="D94" s="49">
        <f>AVERAGE('18.10 MADDU-KANONI-24h'!D94,'19.10 MADDU-KANONI-24h'!D94)</f>
        <v>0</v>
      </c>
      <c r="E94" s="49">
        <f>AVERAGE('18.10 MADDU-KANONI-24h'!E94,'19.10 MADDU-KANONI-24h'!E94)</f>
        <v>0</v>
      </c>
      <c r="F94" s="49">
        <f>AVERAGE('18.10 MADDU-KANONI-24h'!F94,'19.10 MADDU-KANONI-24h'!F94)</f>
        <v>0</v>
      </c>
      <c r="G94" s="49">
        <f>AVERAGE('18.10 MADDU-KANONI-24h'!G94,'19.10 MADDU-KANONI-24h'!G94)</f>
        <v>0</v>
      </c>
      <c r="H94" s="49">
        <f>AVERAGE('18.10 MADDU-KANONI-24h'!H94,'19.10 MADDU-KANONI-24h'!H94)</f>
        <v>0</v>
      </c>
      <c r="I94" s="49">
        <f>AVERAGE('18.10 MADDU-KANONI-24h'!I94,'19.10 MADDU-KANONI-24h'!I94)</f>
        <v>0</v>
      </c>
      <c r="J94" s="49">
        <f>AVERAGE('18.10 MADDU-KANONI-24h'!J94,'19.10 MADDU-KANONI-24h'!J94)</f>
        <v>0</v>
      </c>
      <c r="K94" s="49">
        <f>AVERAGE('18.10 MADDU-KANONI-24h'!K94,'19.10 MADDU-KANONI-24h'!K94)</f>
        <v>0</v>
      </c>
      <c r="L94" s="49">
        <f>AVERAGE('18.10 MADDU-KANONI-24h'!L94,'19.10 MADDU-KANONI-24h'!L94)</f>
        <v>0</v>
      </c>
      <c r="M94" s="49">
        <f>AVERAGE('18.10 MADDU-KANONI-24h'!M94,'19.10 MADDU-KANONI-24h'!M94)</f>
        <v>0</v>
      </c>
      <c r="N94" s="49">
        <f>AVERAGE('18.10 MADDU-KANONI-24h'!N94,'19.10 MADDU-KANONI-24h'!N94)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AVERAGE('18.10 MADDU-KANONI-24h'!C95,'19.10 MADDU-KANONI-24h'!C95)</f>
        <v>0</v>
      </c>
      <c r="D95" s="49">
        <f>AVERAGE('18.10 MADDU-KANONI-24h'!D95,'19.10 MADDU-KANONI-24h'!D95)</f>
        <v>0</v>
      </c>
      <c r="E95" s="49">
        <f>AVERAGE('18.10 MADDU-KANONI-24h'!E95,'19.10 MADDU-KANONI-24h'!E95)</f>
        <v>0</v>
      </c>
      <c r="F95" s="49">
        <f>AVERAGE('18.10 MADDU-KANONI-24h'!F95,'19.10 MADDU-KANONI-24h'!F95)</f>
        <v>0</v>
      </c>
      <c r="G95" s="49">
        <f>AVERAGE('18.10 MADDU-KANONI-24h'!G95,'19.10 MADDU-KANONI-24h'!G95)</f>
        <v>0</v>
      </c>
      <c r="H95" s="49">
        <f>AVERAGE('18.10 MADDU-KANONI-24h'!H95,'19.10 MADDU-KANONI-24h'!H95)</f>
        <v>0</v>
      </c>
      <c r="I95" s="49">
        <f>AVERAGE('18.10 MADDU-KANONI-24h'!I95,'19.10 MADDU-KANONI-24h'!I95)</f>
        <v>0</v>
      </c>
      <c r="J95" s="49">
        <f>AVERAGE('18.10 MADDU-KANONI-24h'!J95,'19.10 MADDU-KANONI-24h'!J95)</f>
        <v>0</v>
      </c>
      <c r="K95" s="49">
        <f>AVERAGE('18.10 MADDU-KANONI-24h'!K95,'19.10 MADDU-KANONI-24h'!K95)</f>
        <v>0</v>
      </c>
      <c r="L95" s="49">
        <f>AVERAGE('18.10 MADDU-KANONI-24h'!L95,'19.10 MADDU-KANONI-24h'!L95)</f>
        <v>0</v>
      </c>
      <c r="M95" s="49">
        <f>AVERAGE('18.10 MADDU-KANONI-24h'!M95,'19.10 MADDU-KANONI-24h'!M95)</f>
        <v>0</v>
      </c>
      <c r="N95" s="49">
        <f>AVERAGE('18.10 MADDU-KANONI-24h'!N95,'19.10 MADDU-KANONI-24h'!N95)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AVERAGE('18.10 MADDU-KANONI-24h'!C96,'19.10 MADDU-KANONI-24h'!C96)</f>
        <v>0</v>
      </c>
      <c r="D96" s="49">
        <f>AVERAGE('18.10 MADDU-KANONI-24h'!D96,'19.10 MADDU-KANONI-24h'!D96)</f>
        <v>0</v>
      </c>
      <c r="E96" s="49">
        <f>AVERAGE('18.10 MADDU-KANONI-24h'!E96,'19.10 MADDU-KANONI-24h'!E96)</f>
        <v>0</v>
      </c>
      <c r="F96" s="49">
        <f>AVERAGE('18.10 MADDU-KANONI-24h'!F96,'19.10 MADDU-KANONI-24h'!F96)</f>
        <v>1</v>
      </c>
      <c r="G96" s="49">
        <f>AVERAGE('18.10 MADDU-KANONI-24h'!G96,'19.10 MADDU-KANONI-24h'!G96)</f>
        <v>0</v>
      </c>
      <c r="H96" s="49">
        <f>AVERAGE('18.10 MADDU-KANONI-24h'!H96,'19.10 MADDU-KANONI-24h'!H96)</f>
        <v>0</v>
      </c>
      <c r="I96" s="49">
        <f>AVERAGE('18.10 MADDU-KANONI-24h'!I96,'19.10 MADDU-KANONI-24h'!I96)</f>
        <v>2</v>
      </c>
      <c r="J96" s="49">
        <f>AVERAGE('18.10 MADDU-KANONI-24h'!J96,'19.10 MADDU-KANONI-24h'!J96)</f>
        <v>0</v>
      </c>
      <c r="K96" s="49">
        <f>AVERAGE('18.10 MADDU-KANONI-24h'!K96,'19.10 MADDU-KANONI-24h'!K96)</f>
        <v>0</v>
      </c>
      <c r="L96" s="49">
        <f>AVERAGE('18.10 MADDU-KANONI-24h'!L96,'19.10 MADDU-KANONI-24h'!L96)</f>
        <v>0</v>
      </c>
      <c r="M96" s="49">
        <f>AVERAGE('18.10 MADDU-KANONI-24h'!M96,'19.10 MADDU-KANONI-24h'!M96)</f>
        <v>0</v>
      </c>
      <c r="N96" s="49">
        <f>AVERAGE('18.10 MADDU-KANONI-24h'!N96,'19.10 MADDU-KANONI-24h'!N96)</f>
        <v>0</v>
      </c>
      <c r="O96" s="15">
        <f t="shared" si="35"/>
        <v>3</v>
      </c>
      <c r="P96" s="15">
        <f t="shared" si="36"/>
        <v>3</v>
      </c>
      <c r="R96" s="8"/>
      <c r="T96"/>
    </row>
    <row r="97" spans="2:20" ht="23.1" customHeight="1" x14ac:dyDescent="0.25">
      <c r="B97" s="23" t="s">
        <v>137</v>
      </c>
      <c r="C97" s="49">
        <f>AVERAGE('18.10 MADDU-KANONI-24h'!C97,'19.10 MADDU-KANONI-24h'!C97)</f>
        <v>1</v>
      </c>
      <c r="D97" s="49">
        <f>AVERAGE('18.10 MADDU-KANONI-24h'!D97,'19.10 MADDU-KANONI-24h'!D97)</f>
        <v>0.5</v>
      </c>
      <c r="E97" s="49">
        <f>AVERAGE('18.10 MADDU-KANONI-24h'!E97,'19.10 MADDU-KANONI-24h'!E97)</f>
        <v>0</v>
      </c>
      <c r="F97" s="49">
        <f>AVERAGE('18.10 MADDU-KANONI-24h'!F97,'19.10 MADDU-KANONI-24h'!F97)</f>
        <v>1</v>
      </c>
      <c r="G97" s="49">
        <f>AVERAGE('18.10 MADDU-KANONI-24h'!G97,'19.10 MADDU-KANONI-24h'!G97)</f>
        <v>0</v>
      </c>
      <c r="H97" s="49">
        <f>AVERAGE('18.10 MADDU-KANONI-24h'!H97,'19.10 MADDU-KANONI-24h'!H97)</f>
        <v>0</v>
      </c>
      <c r="I97" s="49">
        <f>AVERAGE('18.10 MADDU-KANONI-24h'!I97,'19.10 MADDU-KANONI-24h'!I97)</f>
        <v>0</v>
      </c>
      <c r="J97" s="49">
        <f>AVERAGE('18.10 MADDU-KANONI-24h'!J97,'19.10 MADDU-KANONI-24h'!J97)</f>
        <v>1.5</v>
      </c>
      <c r="K97" s="49">
        <f>AVERAGE('18.10 MADDU-KANONI-24h'!K97,'19.10 MADDU-KANONI-24h'!K97)</f>
        <v>0</v>
      </c>
      <c r="L97" s="49">
        <f>AVERAGE('18.10 MADDU-KANONI-24h'!L97,'19.10 MADDU-KANONI-24h'!L97)</f>
        <v>0</v>
      </c>
      <c r="M97" s="49">
        <f>AVERAGE('18.10 MADDU-KANONI-24h'!M97,'19.10 MADDU-KANONI-24h'!M97)</f>
        <v>0</v>
      </c>
      <c r="N97" s="49">
        <f>AVERAGE('18.10 MADDU-KANONI-24h'!N97,'19.10 MADDU-KANONI-24h'!N97)</f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24" t="s">
        <v>138</v>
      </c>
      <c r="C98" s="49">
        <f>AVERAGE('18.10 MADDU-KANONI-24h'!C98,'19.10 MADDU-KANONI-24h'!C98)</f>
        <v>0</v>
      </c>
      <c r="D98" s="49">
        <f>AVERAGE('18.10 MADDU-KANONI-24h'!D98,'19.10 MADDU-KANONI-24h'!D98)</f>
        <v>0</v>
      </c>
      <c r="E98" s="49">
        <f>AVERAGE('18.10 MADDU-KANONI-24h'!E98,'19.10 MADDU-KANONI-24h'!E98)</f>
        <v>0</v>
      </c>
      <c r="F98" s="49">
        <f>AVERAGE('18.10 MADDU-KANONI-24h'!F98,'19.10 MADDU-KANONI-24h'!F98)</f>
        <v>0</v>
      </c>
      <c r="G98" s="49">
        <f>AVERAGE('18.10 MADDU-KANONI-24h'!G98,'19.10 MADDU-KANONI-24h'!G98)</f>
        <v>0</v>
      </c>
      <c r="H98" s="49">
        <f>AVERAGE('18.10 MADDU-KANONI-24h'!H98,'19.10 MADDU-KANONI-24h'!H98)</f>
        <v>0</v>
      </c>
      <c r="I98" s="49">
        <f>AVERAGE('18.10 MADDU-KANONI-24h'!I98,'19.10 MADDU-KANONI-24h'!I98)</f>
        <v>0</v>
      </c>
      <c r="J98" s="49">
        <f>AVERAGE('18.10 MADDU-KANONI-24h'!J98,'19.10 MADDU-KANONI-24h'!J98)</f>
        <v>0.5</v>
      </c>
      <c r="K98" s="49">
        <f>AVERAGE('18.10 MADDU-KANONI-24h'!K98,'19.10 MADDU-KANONI-24h'!K98)</f>
        <v>0</v>
      </c>
      <c r="L98" s="49">
        <f>AVERAGE('18.10 MADDU-KANONI-24h'!L98,'19.10 MADDU-KANONI-24h'!L98)</f>
        <v>0</v>
      </c>
      <c r="M98" s="49">
        <f>AVERAGE('18.10 MADDU-KANONI-24h'!M98,'19.10 MADDU-KANONI-24h'!M98)</f>
        <v>0</v>
      </c>
      <c r="N98" s="49">
        <f>AVERAGE('18.10 MADDU-KANONI-24h'!N98,'19.10 MADDU-KANONI-24h'!N98)</f>
        <v>0</v>
      </c>
      <c r="O98" s="15">
        <f t="shared" si="35"/>
        <v>0.5</v>
      </c>
      <c r="P98" s="15">
        <f t="shared" si="36"/>
        <v>0.5</v>
      </c>
      <c r="R98" s="8"/>
      <c r="T98"/>
    </row>
    <row r="99" spans="2:20" ht="23.1" customHeight="1" x14ac:dyDescent="0.25">
      <c r="B99" s="23" t="s">
        <v>139</v>
      </c>
      <c r="C99" s="49">
        <f>AVERAGE('18.10 MADDU-KANONI-24h'!C99,'19.10 MADDU-KANONI-24h'!C99)</f>
        <v>0</v>
      </c>
      <c r="D99" s="49">
        <f>AVERAGE('18.10 MADDU-KANONI-24h'!D99,'19.10 MADDU-KANONI-24h'!D99)</f>
        <v>0</v>
      </c>
      <c r="E99" s="49">
        <f>AVERAGE('18.10 MADDU-KANONI-24h'!E99,'19.10 MADDU-KANONI-24h'!E99)</f>
        <v>0</v>
      </c>
      <c r="F99" s="49">
        <f>AVERAGE('18.10 MADDU-KANONI-24h'!F99,'19.10 MADDU-KANONI-24h'!F99)</f>
        <v>0</v>
      </c>
      <c r="G99" s="49">
        <f>AVERAGE('18.10 MADDU-KANONI-24h'!G99,'19.10 MADDU-KANONI-24h'!G99)</f>
        <v>0</v>
      </c>
      <c r="H99" s="49">
        <f>AVERAGE('18.10 MADDU-KANONI-24h'!H99,'19.10 MADDU-KANONI-24h'!H99)</f>
        <v>0</v>
      </c>
      <c r="I99" s="49">
        <f>AVERAGE('18.10 MADDU-KANONI-24h'!I99,'19.10 MADDU-KANONI-24h'!I99)</f>
        <v>0</v>
      </c>
      <c r="J99" s="49">
        <f>AVERAGE('18.10 MADDU-KANONI-24h'!J99,'19.10 MADDU-KANONI-24h'!J99)</f>
        <v>0</v>
      </c>
      <c r="K99" s="49">
        <f>AVERAGE('18.10 MADDU-KANONI-24h'!K99,'19.10 MADDU-KANONI-24h'!K99)</f>
        <v>0</v>
      </c>
      <c r="L99" s="49">
        <f>AVERAGE('18.10 MADDU-KANONI-24h'!L99,'19.10 MADDU-KANONI-24h'!L99)</f>
        <v>0</v>
      </c>
      <c r="M99" s="49">
        <f>AVERAGE('18.10 MADDU-KANONI-24h'!M99,'19.10 MADDU-KANONI-24h'!M99)</f>
        <v>0</v>
      </c>
      <c r="N99" s="49">
        <f>AVERAGE('18.10 MADDU-KANONI-24h'!N99,'19.10 MADDU-KANONI-24h'!N99)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49">
        <f>AVERAGE('18.10 MADDU-KANONI-24h'!C100,'19.10 MADDU-KANONI-24h'!C100)</f>
        <v>0.5</v>
      </c>
      <c r="D100" s="49">
        <f>AVERAGE('18.10 MADDU-KANONI-24h'!D100,'19.10 MADDU-KANONI-24h'!D100)</f>
        <v>0</v>
      </c>
      <c r="E100" s="49">
        <f>AVERAGE('18.10 MADDU-KANONI-24h'!E100,'19.10 MADDU-KANONI-24h'!E100)</f>
        <v>0</v>
      </c>
      <c r="F100" s="49">
        <f>AVERAGE('18.10 MADDU-KANONI-24h'!F100,'19.10 MADDU-KANONI-24h'!F100)</f>
        <v>1.5</v>
      </c>
      <c r="G100" s="49">
        <f>AVERAGE('18.10 MADDU-KANONI-24h'!G100,'19.10 MADDU-KANONI-24h'!G100)</f>
        <v>0</v>
      </c>
      <c r="H100" s="49">
        <f>AVERAGE('18.10 MADDU-KANONI-24h'!H100,'19.10 MADDU-KANONI-24h'!H100)</f>
        <v>0</v>
      </c>
      <c r="I100" s="49">
        <f>AVERAGE('18.10 MADDU-KANONI-24h'!I100,'19.10 MADDU-KANONI-24h'!I100)</f>
        <v>0</v>
      </c>
      <c r="J100" s="49">
        <f>AVERAGE('18.10 MADDU-KANONI-24h'!J100,'19.10 MADDU-KANONI-24h'!J100)</f>
        <v>0</v>
      </c>
      <c r="K100" s="49">
        <f>AVERAGE('18.10 MADDU-KANONI-24h'!K100,'19.10 MADDU-KANONI-24h'!K100)</f>
        <v>0</v>
      </c>
      <c r="L100" s="49">
        <f>AVERAGE('18.10 MADDU-KANONI-24h'!L100,'19.10 MADDU-KANONI-24h'!L100)</f>
        <v>0</v>
      </c>
      <c r="M100" s="49">
        <f>AVERAGE('18.10 MADDU-KANONI-24h'!M100,'19.10 MADDU-KANONI-24h'!M100)</f>
        <v>0</v>
      </c>
      <c r="N100" s="49">
        <f>AVERAGE('18.10 MADDU-KANONI-24h'!N100,'19.10 MADDU-KANONI-24h'!N100)</f>
        <v>0</v>
      </c>
      <c r="O100" s="15">
        <f t="shared" si="35"/>
        <v>2</v>
      </c>
      <c r="P100" s="15">
        <f t="shared" si="36"/>
        <v>2</v>
      </c>
      <c r="R100" s="8"/>
      <c r="T100"/>
    </row>
    <row r="101" spans="2:20" ht="23.1" customHeight="1" x14ac:dyDescent="0.25">
      <c r="B101" s="23" t="s">
        <v>141</v>
      </c>
      <c r="C101" s="49">
        <f>AVERAGE('18.10 MADDU-KANONI-24h'!C101,'19.10 MADDU-KANONI-24h'!C101)</f>
        <v>0</v>
      </c>
      <c r="D101" s="49">
        <f>AVERAGE('18.10 MADDU-KANONI-24h'!D101,'19.10 MADDU-KANONI-24h'!D101)</f>
        <v>0</v>
      </c>
      <c r="E101" s="49">
        <f>AVERAGE('18.10 MADDU-KANONI-24h'!E101,'19.10 MADDU-KANONI-24h'!E101)</f>
        <v>0</v>
      </c>
      <c r="F101" s="49">
        <f>AVERAGE('18.10 MADDU-KANONI-24h'!F101,'19.10 MADDU-KANONI-24h'!F101)</f>
        <v>1.5</v>
      </c>
      <c r="G101" s="49">
        <f>AVERAGE('18.10 MADDU-KANONI-24h'!G101,'19.10 MADDU-KANONI-24h'!G101)</f>
        <v>0</v>
      </c>
      <c r="H101" s="49">
        <f>AVERAGE('18.10 MADDU-KANONI-24h'!H101,'19.10 MADDU-KANONI-24h'!H101)</f>
        <v>0</v>
      </c>
      <c r="I101" s="49">
        <f>AVERAGE('18.10 MADDU-KANONI-24h'!I101,'19.10 MADDU-KANONI-24h'!I101)</f>
        <v>0</v>
      </c>
      <c r="J101" s="49">
        <f>AVERAGE('18.10 MADDU-KANONI-24h'!J101,'19.10 MADDU-KANONI-24h'!J101)</f>
        <v>0</v>
      </c>
      <c r="K101" s="49">
        <f>AVERAGE('18.10 MADDU-KANONI-24h'!K101,'19.10 MADDU-KANONI-24h'!K101)</f>
        <v>0</v>
      </c>
      <c r="L101" s="49">
        <f>AVERAGE('18.10 MADDU-KANONI-24h'!L101,'19.10 MADDU-KANONI-24h'!L101)</f>
        <v>0</v>
      </c>
      <c r="M101" s="49">
        <f>AVERAGE('18.10 MADDU-KANONI-24h'!M101,'19.10 MADDU-KANONI-24h'!M101)</f>
        <v>0</v>
      </c>
      <c r="N101" s="49">
        <f>AVERAGE('18.10 MADDU-KANONI-24h'!N101,'19.10 MADDU-KANONI-24h'!N101)</f>
        <v>0</v>
      </c>
      <c r="O101" s="15">
        <f t="shared" si="35"/>
        <v>1.5</v>
      </c>
      <c r="P101" s="15">
        <f t="shared" si="36"/>
        <v>1.5</v>
      </c>
      <c r="R101" s="8"/>
      <c r="T101"/>
    </row>
    <row r="102" spans="2:20" ht="23.1" customHeight="1" x14ac:dyDescent="0.25">
      <c r="B102" s="24" t="s">
        <v>142</v>
      </c>
      <c r="C102" s="49">
        <f>AVERAGE('18.10 MADDU-KANONI-24h'!C102,'19.10 MADDU-KANONI-24h'!C102)</f>
        <v>0.5</v>
      </c>
      <c r="D102" s="49">
        <f>AVERAGE('18.10 MADDU-KANONI-24h'!D102,'19.10 MADDU-KANONI-24h'!D102)</f>
        <v>0.5</v>
      </c>
      <c r="E102" s="49">
        <f>AVERAGE('18.10 MADDU-KANONI-24h'!E102,'19.10 MADDU-KANONI-24h'!E102)</f>
        <v>0</v>
      </c>
      <c r="F102" s="49">
        <f>AVERAGE('18.10 MADDU-KANONI-24h'!F102,'19.10 MADDU-KANONI-24h'!F102)</f>
        <v>1.5</v>
      </c>
      <c r="G102" s="49">
        <f>AVERAGE('18.10 MADDU-KANONI-24h'!G102,'19.10 MADDU-KANONI-24h'!G102)</f>
        <v>0</v>
      </c>
      <c r="H102" s="49">
        <f>AVERAGE('18.10 MADDU-KANONI-24h'!H102,'19.10 MADDU-KANONI-24h'!H102)</f>
        <v>0</v>
      </c>
      <c r="I102" s="49">
        <f>AVERAGE('18.10 MADDU-KANONI-24h'!I102,'19.10 MADDU-KANONI-24h'!I102)</f>
        <v>0</v>
      </c>
      <c r="J102" s="49">
        <f>AVERAGE('18.10 MADDU-KANONI-24h'!J102,'19.10 MADDU-KANONI-24h'!J102)</f>
        <v>0</v>
      </c>
      <c r="K102" s="49">
        <f>AVERAGE('18.10 MADDU-KANONI-24h'!K102,'19.10 MADDU-KANONI-24h'!K102)</f>
        <v>0</v>
      </c>
      <c r="L102" s="49">
        <f>AVERAGE('18.10 MADDU-KANONI-24h'!L102,'19.10 MADDU-KANONI-24h'!L102)</f>
        <v>0</v>
      </c>
      <c r="M102" s="49">
        <f>AVERAGE('18.10 MADDU-KANONI-24h'!M102,'19.10 MADDU-KANONI-24h'!M102)</f>
        <v>0.5</v>
      </c>
      <c r="N102" s="49">
        <f>AVERAGE('18.10 MADDU-KANONI-24h'!N102,'19.10 MADDU-KANONI-24h'!N102)</f>
        <v>0</v>
      </c>
      <c r="O102" s="15">
        <f t="shared" si="35"/>
        <v>2.5</v>
      </c>
      <c r="P102" s="15">
        <f t="shared" si="36"/>
        <v>3</v>
      </c>
      <c r="R102" s="8"/>
      <c r="T102"/>
    </row>
    <row r="103" spans="2:20" ht="23.1" customHeight="1" x14ac:dyDescent="0.25">
      <c r="B103" s="23" t="s">
        <v>143</v>
      </c>
      <c r="C103" s="49">
        <f>AVERAGE('18.10 MADDU-KANONI-24h'!C103,'19.10 MADDU-KANONI-24h'!C103)</f>
        <v>0.5</v>
      </c>
      <c r="D103" s="49">
        <f>AVERAGE('18.10 MADDU-KANONI-24h'!D103,'19.10 MADDU-KANONI-24h'!D103)</f>
        <v>0</v>
      </c>
      <c r="E103" s="49">
        <f>AVERAGE('18.10 MADDU-KANONI-24h'!E103,'19.10 MADDU-KANONI-24h'!E103)</f>
        <v>0</v>
      </c>
      <c r="F103" s="49">
        <f>AVERAGE('18.10 MADDU-KANONI-24h'!F103,'19.10 MADDU-KANONI-24h'!F103)</f>
        <v>0</v>
      </c>
      <c r="G103" s="49">
        <f>AVERAGE('18.10 MADDU-KANONI-24h'!G103,'19.10 MADDU-KANONI-24h'!G103)</f>
        <v>0</v>
      </c>
      <c r="H103" s="49">
        <f>AVERAGE('18.10 MADDU-KANONI-24h'!H103,'19.10 MADDU-KANONI-24h'!H103)</f>
        <v>0</v>
      </c>
      <c r="I103" s="49">
        <f>AVERAGE('18.10 MADDU-KANONI-24h'!I103,'19.10 MADDU-KANONI-24h'!I103)</f>
        <v>0</v>
      </c>
      <c r="J103" s="49">
        <f>AVERAGE('18.10 MADDU-KANONI-24h'!J103,'19.10 MADDU-KANONI-24h'!J103)</f>
        <v>0</v>
      </c>
      <c r="K103" s="49">
        <f>AVERAGE('18.10 MADDU-KANONI-24h'!K103,'19.10 MADDU-KANONI-24h'!K103)</f>
        <v>0</v>
      </c>
      <c r="L103" s="49">
        <f>AVERAGE('18.10 MADDU-KANONI-24h'!L103,'19.10 MADDU-KANONI-24h'!L103)</f>
        <v>0</v>
      </c>
      <c r="M103" s="49">
        <f>AVERAGE('18.10 MADDU-KANONI-24h'!M103,'19.10 MADDU-KANONI-24h'!M103)</f>
        <v>0.5</v>
      </c>
      <c r="N103" s="49">
        <f>AVERAGE('18.10 MADDU-KANONI-24h'!N103,'19.10 MADDU-KANONI-24h'!N103)</f>
        <v>0</v>
      </c>
      <c r="O103" s="15">
        <f t="shared" si="35"/>
        <v>0.5</v>
      </c>
      <c r="P103" s="15">
        <f t="shared" si="36"/>
        <v>1</v>
      </c>
      <c r="R103" s="8"/>
      <c r="T103"/>
    </row>
    <row r="104" spans="2:20" ht="23.1" customHeight="1" x14ac:dyDescent="0.25">
      <c r="B104" s="25" t="s">
        <v>144</v>
      </c>
      <c r="C104" s="49">
        <f>AVERAGE('18.10 MADDU-KANONI-24h'!C104,'19.10 MADDU-KANONI-24h'!C104)</f>
        <v>0.5</v>
      </c>
      <c r="D104" s="49">
        <f>AVERAGE('18.10 MADDU-KANONI-24h'!D104,'19.10 MADDU-KANONI-24h'!D104)</f>
        <v>0.5</v>
      </c>
      <c r="E104" s="49">
        <f>AVERAGE('18.10 MADDU-KANONI-24h'!E104,'19.10 MADDU-KANONI-24h'!E104)</f>
        <v>0.5</v>
      </c>
      <c r="F104" s="49">
        <f>AVERAGE('18.10 MADDU-KANONI-24h'!F104,'19.10 MADDU-KANONI-24h'!F104)</f>
        <v>1.5</v>
      </c>
      <c r="G104" s="49">
        <f>AVERAGE('18.10 MADDU-KANONI-24h'!G104,'19.10 MADDU-KANONI-24h'!G104)</f>
        <v>0</v>
      </c>
      <c r="H104" s="49">
        <f>AVERAGE('18.10 MADDU-KANONI-24h'!H104,'19.10 MADDU-KANONI-24h'!H104)</f>
        <v>0</v>
      </c>
      <c r="I104" s="49">
        <f>AVERAGE('18.10 MADDU-KANONI-24h'!I104,'19.10 MADDU-KANONI-24h'!I104)</f>
        <v>0</v>
      </c>
      <c r="J104" s="49">
        <f>AVERAGE('18.10 MADDU-KANONI-24h'!J104,'19.10 MADDU-KANONI-24h'!J104)</f>
        <v>0</v>
      </c>
      <c r="K104" s="49">
        <f>AVERAGE('18.10 MADDU-KANONI-24h'!K104,'19.10 MADDU-KANONI-24h'!K104)</f>
        <v>0</v>
      </c>
      <c r="L104" s="49">
        <f>AVERAGE('18.10 MADDU-KANONI-24h'!L104,'19.10 MADDU-KANONI-24h'!L104)</f>
        <v>0</v>
      </c>
      <c r="M104" s="49">
        <f>AVERAGE('18.10 MADDU-KANONI-24h'!M104,'19.10 MADDU-KANONI-24h'!M104)</f>
        <v>2</v>
      </c>
      <c r="N104" s="49">
        <f>AVERAGE('18.10 MADDU-KANONI-24h'!N104,'19.10 MADDU-KANONI-24h'!N104)</f>
        <v>0</v>
      </c>
      <c r="O104" s="15">
        <f t="shared" si="35"/>
        <v>3</v>
      </c>
      <c r="P104" s="15">
        <f t="shared" si="36"/>
        <v>5</v>
      </c>
      <c r="R104" s="8"/>
      <c r="T104"/>
    </row>
    <row r="105" spans="2:20" ht="23.1" customHeight="1" x14ac:dyDescent="0.25">
      <c r="B105" s="23" t="s">
        <v>145</v>
      </c>
      <c r="C105" s="49">
        <f>AVERAGE('18.10 MADDU-KANONI-24h'!C105,'19.10 MADDU-KANONI-24h'!C105)</f>
        <v>0</v>
      </c>
      <c r="D105" s="49">
        <f>AVERAGE('18.10 MADDU-KANONI-24h'!D105,'19.10 MADDU-KANONI-24h'!D105)</f>
        <v>0</v>
      </c>
      <c r="E105" s="49">
        <f>AVERAGE('18.10 MADDU-KANONI-24h'!E105,'19.10 MADDU-KANONI-24h'!E105)</f>
        <v>0.5</v>
      </c>
      <c r="F105" s="49">
        <f>AVERAGE('18.10 MADDU-KANONI-24h'!F105,'19.10 MADDU-KANONI-24h'!F105)</f>
        <v>0.5</v>
      </c>
      <c r="G105" s="49">
        <f>AVERAGE('18.10 MADDU-KANONI-24h'!G105,'19.10 MADDU-KANONI-24h'!G105)</f>
        <v>0</v>
      </c>
      <c r="H105" s="49">
        <f>AVERAGE('18.10 MADDU-KANONI-24h'!H105,'19.10 MADDU-KANONI-24h'!H105)</f>
        <v>0</v>
      </c>
      <c r="I105" s="49">
        <f>AVERAGE('18.10 MADDU-KANONI-24h'!I105,'19.10 MADDU-KANONI-24h'!I105)</f>
        <v>0</v>
      </c>
      <c r="J105" s="49">
        <f>AVERAGE('18.10 MADDU-KANONI-24h'!J105,'19.10 MADDU-KANONI-24h'!J105)</f>
        <v>0</v>
      </c>
      <c r="K105" s="49">
        <f>AVERAGE('18.10 MADDU-KANONI-24h'!K105,'19.10 MADDU-KANONI-24h'!K105)</f>
        <v>0</v>
      </c>
      <c r="L105" s="49">
        <f>AVERAGE('18.10 MADDU-KANONI-24h'!L105,'19.10 MADDU-KANONI-24h'!L105)</f>
        <v>0</v>
      </c>
      <c r="M105" s="49">
        <f>AVERAGE('18.10 MADDU-KANONI-24h'!M105,'19.10 MADDU-KANONI-24h'!M105)</f>
        <v>2</v>
      </c>
      <c r="N105" s="49">
        <f>AVERAGE('18.10 MADDU-KANONI-24h'!N105,'19.10 MADDU-KANONI-24h'!N105)</f>
        <v>0</v>
      </c>
      <c r="O105" s="15">
        <f t="shared" si="35"/>
        <v>1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119.92857142857143</v>
      </c>
      <c r="D106" s="16">
        <f t="shared" ref="D106:P106" si="37">SUM(D10:D105)</f>
        <v>49.071428571428569</v>
      </c>
      <c r="E106" s="16">
        <f t="shared" si="37"/>
        <v>37.642857142857139</v>
      </c>
      <c r="F106" s="16">
        <f t="shared" si="37"/>
        <v>103.07142857142858</v>
      </c>
      <c r="G106" s="16">
        <f t="shared" si="37"/>
        <v>1.1428571428571428</v>
      </c>
      <c r="H106" s="16">
        <f t="shared" si="37"/>
        <v>0.2857142857142857</v>
      </c>
      <c r="I106" s="16">
        <f t="shared" si="37"/>
        <v>39.214285714285715</v>
      </c>
      <c r="J106" s="16">
        <f t="shared" si="37"/>
        <v>45.357142857142854</v>
      </c>
      <c r="K106" s="16">
        <f t="shared" si="37"/>
        <v>10.928571428571427</v>
      </c>
      <c r="L106" s="16">
        <f t="shared" si="37"/>
        <v>0.2857142857142857</v>
      </c>
      <c r="M106" s="16">
        <f t="shared" si="37"/>
        <v>604.42857142857144</v>
      </c>
      <c r="N106" s="16">
        <f t="shared" si="37"/>
        <v>0.5</v>
      </c>
      <c r="O106" s="16">
        <f t="shared" si="37"/>
        <v>407.42857142857144</v>
      </c>
      <c r="P106" s="16">
        <f t="shared" si="37"/>
        <v>1011.857142857143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0.11852322462233515</v>
      </c>
      <c r="D107" s="43">
        <f t="shared" si="38"/>
        <v>4.8496399830580253E-2</v>
      </c>
      <c r="E107" s="43">
        <f t="shared" si="38"/>
        <v>3.7201750670619788E-2</v>
      </c>
      <c r="F107" s="43">
        <f t="shared" si="38"/>
        <v>0.10186361711139348</v>
      </c>
      <c r="G107" s="43">
        <f t="shared" si="38"/>
        <v>1.1294649159960468E-3</v>
      </c>
      <c r="H107" s="43">
        <f t="shared" si="38"/>
        <v>2.8236622899901169E-4</v>
      </c>
      <c r="I107" s="43">
        <f t="shared" si="38"/>
        <v>3.8754764930114351E-2</v>
      </c>
      <c r="J107" s="43">
        <f t="shared" si="38"/>
        <v>4.48256388535931E-2</v>
      </c>
      <c r="K107" s="43">
        <f t="shared" si="38"/>
        <v>1.0800508259212195E-2</v>
      </c>
      <c r="L107" s="43">
        <f t="shared" si="38"/>
        <v>2.8236622899901169E-4</v>
      </c>
      <c r="M107" s="43">
        <f t="shared" si="38"/>
        <v>0.59734575744740925</v>
      </c>
      <c r="N107" s="43">
        <f t="shared" si="38"/>
        <v>4.9414090074827047E-4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0.29435483870967744</v>
      </c>
      <c r="D108" s="44">
        <f t="shared" ref="D108:N108" si="39">D106/$O$106</f>
        <v>0.12044179523141654</v>
      </c>
      <c r="E108" s="44">
        <f t="shared" si="39"/>
        <v>9.2391304347826067E-2</v>
      </c>
      <c r="F108" s="44">
        <f t="shared" si="39"/>
        <v>0.25298036465638152</v>
      </c>
      <c r="G108" s="44">
        <f t="shared" si="39"/>
        <v>2.8050490883590462E-3</v>
      </c>
      <c r="H108" s="44">
        <f t="shared" si="39"/>
        <v>7.0126227208976155E-4</v>
      </c>
      <c r="I108" s="44">
        <f t="shared" si="39"/>
        <v>9.6248246844319776E-2</v>
      </c>
      <c r="J108" s="44">
        <f t="shared" si="39"/>
        <v>0.11132538569424964</v>
      </c>
      <c r="K108" s="44">
        <f t="shared" si="39"/>
        <v>2.6823281907433376E-2</v>
      </c>
      <c r="L108" s="44">
        <f t="shared" si="39"/>
        <v>7.0126227208976155E-4</v>
      </c>
      <c r="M108" s="44"/>
      <c r="N108" s="44">
        <f t="shared" si="39"/>
        <v>1.2272089761570827E-3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N43" zoomScale="60" workbookViewId="0">
      <selection activeCell="AE53" sqref="AE5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1" t="s">
        <v>23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 spans="2:32" ht="20.100000000000001" customHeight="1" x14ac:dyDescent="0.25">
      <c r="B2" s="62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2:32" ht="20.100000000000001" customHeight="1" x14ac:dyDescent="0.25">
      <c r="B3" s="22" t="s">
        <v>96</v>
      </c>
      <c r="C3" s="68" t="str">
        <f>'23.10 MADDU-KANONI'!C3:G3</f>
        <v>KANONI-MADDU ROAD</v>
      </c>
      <c r="D3" s="68"/>
      <c r="E3" s="68"/>
      <c r="F3" s="68"/>
      <c r="G3" s="6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162</v>
      </c>
      <c r="E5" s="67"/>
      <c r="F5" s="41" t="s">
        <v>1</v>
      </c>
      <c r="G5" s="64" t="str">
        <f>'Avg Week Maddu-Kanoni'!G5:H5</f>
        <v>KANONI</v>
      </c>
      <c r="H5" s="65"/>
      <c r="I5" s="14"/>
      <c r="J5" s="2" t="s">
        <v>5</v>
      </c>
      <c r="K5" s="64" t="str">
        <f>'Avg Week Maddu-Kanoni'!K5:L5</f>
        <v>XXXX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9" t="s">
        <v>161</v>
      </c>
      <c r="E6" s="70"/>
      <c r="F6" s="2" t="s">
        <v>2</v>
      </c>
      <c r="G6" s="69" t="s">
        <v>161</v>
      </c>
      <c r="H6" s="70"/>
      <c r="J6" s="2" t="s">
        <v>21</v>
      </c>
      <c r="K6" s="64" t="str">
        <f>'Avg Week Maddu-Kanoni'!K6:L6</f>
        <v>FELIX OLOYA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0" t="s">
        <v>88</v>
      </c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Kanoni-Maddu'!C10+'Avg Week Maddu-Kanoni'!C10</f>
        <v>1.5714285714285714</v>
      </c>
      <c r="D10" s="49">
        <f>'Avg Week Kanoni-Maddu'!D10+'Avg Week Maddu-Kanoni'!D10</f>
        <v>1.1428571428571428</v>
      </c>
      <c r="E10" s="49">
        <f>'Avg Week Kanoni-Maddu'!E10+'Avg Week Maddu-Kanoni'!E10</f>
        <v>0.71428571428571419</v>
      </c>
      <c r="F10" s="49">
        <f>'Avg Week Kanoni-Maddu'!F10+'Avg Week Maddu-Kanoni'!F10</f>
        <v>1.5714285714285716</v>
      </c>
      <c r="G10" s="49">
        <f>'Avg Week Kanoni-Maddu'!G10+'Avg Week Maddu-Kanoni'!G10</f>
        <v>0</v>
      </c>
      <c r="H10" s="49">
        <f>'Avg Week Kanoni-Maddu'!H10+'Avg Week Maddu-Kanoni'!H10</f>
        <v>0</v>
      </c>
      <c r="I10" s="49">
        <f>'Avg Week Kanoni-Maddu'!I10+'Avg Week Maddu-Kanoni'!I10</f>
        <v>0.14285714285714285</v>
      </c>
      <c r="J10" s="49">
        <f>'Avg Week Kanoni-Maddu'!J10+'Avg Week Maddu-Kanoni'!J10</f>
        <v>0.42857142857142855</v>
      </c>
      <c r="K10" s="49">
        <f>'Avg Week Kanoni-Maddu'!K10+'Avg Week Maddu-Kanoni'!K10</f>
        <v>0</v>
      </c>
      <c r="L10" s="49">
        <f>'Avg Week Kanoni-Maddu'!L10+'Avg Week Maddu-Kanoni'!L10</f>
        <v>0</v>
      </c>
      <c r="M10" s="49">
        <f>'Avg Week Kanoni-Maddu'!M10+'Avg Week Maddu-Kanoni'!M10</f>
        <v>9</v>
      </c>
      <c r="N10" s="49">
        <f>'Avg Week Kanoni-Maddu'!N10+'Avg Week Maddu-Kanoni'!N10</f>
        <v>0</v>
      </c>
      <c r="O10" s="15">
        <f t="shared" ref="O10:O73" si="0">SUM(C10:L10,N10)</f>
        <v>5.5714285714285721</v>
      </c>
      <c r="P10" s="15">
        <f t="shared" ref="P10:P73" si="1">SUM(C10:N10)</f>
        <v>14.571428571428573</v>
      </c>
      <c r="R10" s="1" t="s">
        <v>6</v>
      </c>
      <c r="S10" s="17">
        <f t="shared" ref="S10:AF10" si="2">SUM(C10:C13)</f>
        <v>7.5714285714285712</v>
      </c>
      <c r="T10" s="17">
        <f t="shared" si="2"/>
        <v>3.2857142857142856</v>
      </c>
      <c r="U10" s="17">
        <f t="shared" si="2"/>
        <v>2.8571428571428568</v>
      </c>
      <c r="V10" s="17">
        <f t="shared" si="2"/>
        <v>8.8571428571428577</v>
      </c>
      <c r="W10" s="17">
        <f t="shared" si="2"/>
        <v>0.2857142857142857</v>
      </c>
      <c r="X10" s="17">
        <f t="shared" si="2"/>
        <v>0</v>
      </c>
      <c r="Y10" s="17">
        <f t="shared" si="2"/>
        <v>3.1428571428571428</v>
      </c>
      <c r="Z10" s="17">
        <f t="shared" si="2"/>
        <v>2.4285714285714288</v>
      </c>
      <c r="AA10" s="17">
        <f t="shared" si="2"/>
        <v>0.2857142857142857</v>
      </c>
      <c r="AB10" s="17">
        <f t="shared" si="2"/>
        <v>0</v>
      </c>
      <c r="AC10" s="17">
        <f t="shared" si="2"/>
        <v>57.714285714285715</v>
      </c>
      <c r="AD10" s="17">
        <f t="shared" si="2"/>
        <v>0</v>
      </c>
      <c r="AE10" s="31">
        <f t="shared" si="2"/>
        <v>28.714285714285715</v>
      </c>
      <c r="AF10" s="31">
        <f t="shared" si="2"/>
        <v>86.428571428571431</v>
      </c>
    </row>
    <row r="11" spans="2:32" s="6" customFormat="1" ht="23.1" customHeight="1" x14ac:dyDescent="0.25">
      <c r="B11" s="23" t="s">
        <v>38</v>
      </c>
      <c r="C11" s="49">
        <f>'Avg Week Kanoni-Maddu'!C11+'Avg Week Maddu-Kanoni'!C11</f>
        <v>1.5714285714285714</v>
      </c>
      <c r="D11" s="49">
        <f>'Avg Week Kanoni-Maddu'!D11+'Avg Week Maddu-Kanoni'!D11</f>
        <v>0.5714285714285714</v>
      </c>
      <c r="E11" s="49">
        <f>'Avg Week Kanoni-Maddu'!E11+'Avg Week Maddu-Kanoni'!E11</f>
        <v>0</v>
      </c>
      <c r="F11" s="49">
        <f>'Avg Week Kanoni-Maddu'!F11+'Avg Week Maddu-Kanoni'!F11</f>
        <v>1.7142857142857144</v>
      </c>
      <c r="G11" s="49">
        <f>'Avg Week Kanoni-Maddu'!G11+'Avg Week Maddu-Kanoni'!G11</f>
        <v>0</v>
      </c>
      <c r="H11" s="49">
        <f>'Avg Week Kanoni-Maddu'!H11+'Avg Week Maddu-Kanoni'!H11</f>
        <v>0</v>
      </c>
      <c r="I11" s="49">
        <f>'Avg Week Kanoni-Maddu'!I11+'Avg Week Maddu-Kanoni'!I11</f>
        <v>0.5714285714285714</v>
      </c>
      <c r="J11" s="49">
        <f>'Avg Week Kanoni-Maddu'!J11+'Avg Week Maddu-Kanoni'!J11</f>
        <v>0.42857142857142855</v>
      </c>
      <c r="K11" s="49">
        <f>'Avg Week Kanoni-Maddu'!K11+'Avg Week Maddu-Kanoni'!K11</f>
        <v>0</v>
      </c>
      <c r="L11" s="49">
        <f>'Avg Week Kanoni-Maddu'!L11+'Avg Week Maddu-Kanoni'!L11</f>
        <v>0</v>
      </c>
      <c r="M11" s="49">
        <f>'Avg Week Kanoni-Maddu'!M11+'Avg Week Maddu-Kanoni'!M11</f>
        <v>11.714285714285715</v>
      </c>
      <c r="N11" s="49">
        <f>'Avg Week Kanoni-Maddu'!N11+'Avg Week Maddu-Kanoni'!N11</f>
        <v>0</v>
      </c>
      <c r="O11" s="15">
        <f t="shared" si="0"/>
        <v>4.8571428571428577</v>
      </c>
      <c r="P11" s="15">
        <f t="shared" si="1"/>
        <v>16.571428571428573</v>
      </c>
      <c r="R11" s="1" t="s">
        <v>7</v>
      </c>
      <c r="S11" s="17">
        <f t="shared" ref="S11:AF11" si="3">SUM(C14:C17)</f>
        <v>12.428571428571431</v>
      </c>
      <c r="T11" s="17">
        <f t="shared" si="3"/>
        <v>2.5714285714285712</v>
      </c>
      <c r="U11" s="17">
        <f t="shared" si="3"/>
        <v>3.714285714285714</v>
      </c>
      <c r="V11" s="17">
        <f t="shared" si="3"/>
        <v>13.428571428571429</v>
      </c>
      <c r="W11" s="17">
        <f t="shared" si="3"/>
        <v>0</v>
      </c>
      <c r="X11" s="17">
        <f t="shared" si="3"/>
        <v>0.14285714285714285</v>
      </c>
      <c r="Y11" s="17">
        <f t="shared" si="3"/>
        <v>3.4285714285714284</v>
      </c>
      <c r="Z11" s="17">
        <f t="shared" si="3"/>
        <v>2.4285714285714284</v>
      </c>
      <c r="AA11" s="17">
        <f t="shared" si="3"/>
        <v>0.71428571428571419</v>
      </c>
      <c r="AB11" s="17">
        <f t="shared" si="3"/>
        <v>0</v>
      </c>
      <c r="AC11" s="17">
        <f t="shared" si="3"/>
        <v>75.142857142857139</v>
      </c>
      <c r="AD11" s="17">
        <f t="shared" si="3"/>
        <v>0</v>
      </c>
      <c r="AE11" s="31">
        <f t="shared" si="3"/>
        <v>38.857142857142861</v>
      </c>
      <c r="AF11" s="31">
        <f t="shared" si="3"/>
        <v>113.99999999999999</v>
      </c>
    </row>
    <row r="12" spans="2:32" ht="23.1" customHeight="1" x14ac:dyDescent="0.25">
      <c r="B12" s="23" t="s">
        <v>39</v>
      </c>
      <c r="C12" s="49">
        <f>'Avg Week Kanoni-Maddu'!C12+'Avg Week Maddu-Kanoni'!C12</f>
        <v>2</v>
      </c>
      <c r="D12" s="49">
        <f>'Avg Week Kanoni-Maddu'!D12+'Avg Week Maddu-Kanoni'!D12</f>
        <v>0.5714285714285714</v>
      </c>
      <c r="E12" s="49">
        <f>'Avg Week Kanoni-Maddu'!E12+'Avg Week Maddu-Kanoni'!E12</f>
        <v>1</v>
      </c>
      <c r="F12" s="49">
        <f>'Avg Week Kanoni-Maddu'!F12+'Avg Week Maddu-Kanoni'!F12</f>
        <v>3.2857142857142856</v>
      </c>
      <c r="G12" s="49">
        <f>'Avg Week Kanoni-Maddu'!G12+'Avg Week Maddu-Kanoni'!G12</f>
        <v>0.14285714285714285</v>
      </c>
      <c r="H12" s="49">
        <f>'Avg Week Kanoni-Maddu'!H12+'Avg Week Maddu-Kanoni'!H12</f>
        <v>0</v>
      </c>
      <c r="I12" s="49">
        <f>'Avg Week Kanoni-Maddu'!I12+'Avg Week Maddu-Kanoni'!I12</f>
        <v>1.1428571428571428</v>
      </c>
      <c r="J12" s="49">
        <f>'Avg Week Kanoni-Maddu'!J12+'Avg Week Maddu-Kanoni'!J12</f>
        <v>0.85714285714285721</v>
      </c>
      <c r="K12" s="49">
        <f>'Avg Week Kanoni-Maddu'!K12+'Avg Week Maddu-Kanoni'!K12</f>
        <v>0</v>
      </c>
      <c r="L12" s="49">
        <f>'Avg Week Kanoni-Maddu'!L12+'Avg Week Maddu-Kanoni'!L12</f>
        <v>0</v>
      </c>
      <c r="M12" s="49">
        <f>'Avg Week Kanoni-Maddu'!M12+'Avg Week Maddu-Kanoni'!M12</f>
        <v>14.285714285714285</v>
      </c>
      <c r="N12" s="49">
        <f>'Avg Week Kanoni-Maddu'!N12+'Avg Week Maddu-Kanoni'!N12</f>
        <v>0</v>
      </c>
      <c r="O12" s="15">
        <f t="shared" si="0"/>
        <v>9</v>
      </c>
      <c r="P12" s="15">
        <f t="shared" si="1"/>
        <v>23.285714285714285</v>
      </c>
      <c r="R12" s="1" t="s">
        <v>8</v>
      </c>
      <c r="S12" s="17">
        <f t="shared" ref="S12:AF12" si="4">SUM(C18:C21)</f>
        <v>11</v>
      </c>
      <c r="T12" s="17">
        <f t="shared" si="4"/>
        <v>4.7142857142857144</v>
      </c>
      <c r="U12" s="17">
        <f t="shared" si="4"/>
        <v>6.2857142857142856</v>
      </c>
      <c r="V12" s="17">
        <f t="shared" si="4"/>
        <v>14.285714285714285</v>
      </c>
      <c r="W12" s="17">
        <f t="shared" si="4"/>
        <v>0.2857142857142857</v>
      </c>
      <c r="X12" s="17">
        <f t="shared" si="4"/>
        <v>0</v>
      </c>
      <c r="Y12" s="17">
        <f t="shared" si="4"/>
        <v>2.8571428571428568</v>
      </c>
      <c r="Z12" s="17">
        <f t="shared" si="4"/>
        <v>2.8571428571428568</v>
      </c>
      <c r="AA12" s="17">
        <f t="shared" si="4"/>
        <v>1</v>
      </c>
      <c r="AB12" s="17">
        <f t="shared" si="4"/>
        <v>0</v>
      </c>
      <c r="AC12" s="17">
        <f t="shared" si="4"/>
        <v>74.857142857142861</v>
      </c>
      <c r="AD12" s="17">
        <f t="shared" si="4"/>
        <v>0.14285714285714285</v>
      </c>
      <c r="AE12" s="31">
        <f t="shared" si="4"/>
        <v>43.428571428571431</v>
      </c>
      <c r="AF12" s="31">
        <f t="shared" si="4"/>
        <v>118.28571428571428</v>
      </c>
    </row>
    <row r="13" spans="2:32" ht="23.1" customHeight="1" x14ac:dyDescent="0.25">
      <c r="B13" s="23" t="s">
        <v>40</v>
      </c>
      <c r="C13" s="49">
        <f>'Avg Week Kanoni-Maddu'!C13+'Avg Week Maddu-Kanoni'!C13</f>
        <v>2.4285714285714288</v>
      </c>
      <c r="D13" s="49">
        <f>'Avg Week Kanoni-Maddu'!D13+'Avg Week Maddu-Kanoni'!D13</f>
        <v>1</v>
      </c>
      <c r="E13" s="49">
        <f>'Avg Week Kanoni-Maddu'!E13+'Avg Week Maddu-Kanoni'!E13</f>
        <v>1.1428571428571428</v>
      </c>
      <c r="F13" s="49">
        <f>'Avg Week Kanoni-Maddu'!F13+'Avg Week Maddu-Kanoni'!F13</f>
        <v>2.2857142857142856</v>
      </c>
      <c r="G13" s="49">
        <f>'Avg Week Kanoni-Maddu'!G13+'Avg Week Maddu-Kanoni'!G13</f>
        <v>0.14285714285714285</v>
      </c>
      <c r="H13" s="49">
        <f>'Avg Week Kanoni-Maddu'!H13+'Avg Week Maddu-Kanoni'!H13</f>
        <v>0</v>
      </c>
      <c r="I13" s="49">
        <f>'Avg Week Kanoni-Maddu'!I13+'Avg Week Maddu-Kanoni'!I13</f>
        <v>1.2857142857142858</v>
      </c>
      <c r="J13" s="49">
        <f>'Avg Week Kanoni-Maddu'!J13+'Avg Week Maddu-Kanoni'!J13</f>
        <v>0.71428571428571419</v>
      </c>
      <c r="K13" s="49">
        <f>'Avg Week Kanoni-Maddu'!K13+'Avg Week Maddu-Kanoni'!K13</f>
        <v>0.2857142857142857</v>
      </c>
      <c r="L13" s="49">
        <f>'Avg Week Kanoni-Maddu'!L13+'Avg Week Maddu-Kanoni'!L13</f>
        <v>0</v>
      </c>
      <c r="M13" s="49">
        <f>'Avg Week Kanoni-Maddu'!M13+'Avg Week Maddu-Kanoni'!M13</f>
        <v>22.714285714285715</v>
      </c>
      <c r="N13" s="49">
        <f>'Avg Week Kanoni-Maddu'!N13+'Avg Week Maddu-Kanoni'!N13</f>
        <v>0</v>
      </c>
      <c r="O13" s="15">
        <f t="shared" si="0"/>
        <v>9.2857142857142865</v>
      </c>
      <c r="P13" s="15">
        <f t="shared" si="1"/>
        <v>32</v>
      </c>
      <c r="R13" s="1" t="s">
        <v>9</v>
      </c>
      <c r="S13" s="17">
        <f t="shared" ref="S13:AF13" si="5">SUM(C22:C25)</f>
        <v>14.571428571428573</v>
      </c>
      <c r="T13" s="17">
        <f t="shared" si="5"/>
        <v>5.5714285714285712</v>
      </c>
      <c r="U13" s="17">
        <f t="shared" si="5"/>
        <v>6</v>
      </c>
      <c r="V13" s="17">
        <f t="shared" si="5"/>
        <v>13</v>
      </c>
      <c r="W13" s="17">
        <f t="shared" si="5"/>
        <v>0</v>
      </c>
      <c r="X13" s="17">
        <f t="shared" si="5"/>
        <v>0</v>
      </c>
      <c r="Y13" s="17">
        <f t="shared" si="5"/>
        <v>2.1428571428571428</v>
      </c>
      <c r="Z13" s="17">
        <f t="shared" si="5"/>
        <v>1.7142857142857142</v>
      </c>
      <c r="AA13" s="17">
        <f t="shared" si="5"/>
        <v>0.71428571428571419</v>
      </c>
      <c r="AB13" s="17">
        <f t="shared" si="5"/>
        <v>0</v>
      </c>
      <c r="AC13" s="17">
        <f t="shared" si="5"/>
        <v>74</v>
      </c>
      <c r="AD13" s="17">
        <f t="shared" si="5"/>
        <v>0</v>
      </c>
      <c r="AE13" s="31">
        <f t="shared" si="5"/>
        <v>43.714285714285715</v>
      </c>
      <c r="AF13" s="31">
        <f t="shared" si="5"/>
        <v>117.71428571428571</v>
      </c>
    </row>
    <row r="14" spans="2:32" ht="23.1" customHeight="1" x14ac:dyDescent="0.25">
      <c r="B14" s="23" t="s">
        <v>41</v>
      </c>
      <c r="C14" s="49">
        <f>'Avg Week Kanoni-Maddu'!C14+'Avg Week Maddu-Kanoni'!C14</f>
        <v>2.5714285714285716</v>
      </c>
      <c r="D14" s="49">
        <f>'Avg Week Kanoni-Maddu'!D14+'Avg Week Maddu-Kanoni'!D14</f>
        <v>0.5714285714285714</v>
      </c>
      <c r="E14" s="49">
        <f>'Avg Week Kanoni-Maddu'!E14+'Avg Week Maddu-Kanoni'!E14</f>
        <v>0.42857142857142855</v>
      </c>
      <c r="F14" s="49">
        <f>'Avg Week Kanoni-Maddu'!F14+'Avg Week Maddu-Kanoni'!F14</f>
        <v>2.7142857142857144</v>
      </c>
      <c r="G14" s="49">
        <f>'Avg Week Kanoni-Maddu'!G14+'Avg Week Maddu-Kanoni'!G14</f>
        <v>0</v>
      </c>
      <c r="H14" s="49">
        <f>'Avg Week Kanoni-Maddu'!H14+'Avg Week Maddu-Kanoni'!H14</f>
        <v>0</v>
      </c>
      <c r="I14" s="49">
        <f>'Avg Week Kanoni-Maddu'!I14+'Avg Week Maddu-Kanoni'!I14</f>
        <v>0.5714285714285714</v>
      </c>
      <c r="J14" s="49">
        <f>'Avg Week Kanoni-Maddu'!J14+'Avg Week Maddu-Kanoni'!J14</f>
        <v>0.5714285714285714</v>
      </c>
      <c r="K14" s="49">
        <f>'Avg Week Kanoni-Maddu'!K14+'Avg Week Maddu-Kanoni'!K14</f>
        <v>0.14285714285714285</v>
      </c>
      <c r="L14" s="49">
        <f>'Avg Week Kanoni-Maddu'!L14+'Avg Week Maddu-Kanoni'!L14</f>
        <v>0</v>
      </c>
      <c r="M14" s="49">
        <f>'Avg Week Kanoni-Maddu'!M14+'Avg Week Maddu-Kanoni'!M14</f>
        <v>17.857142857142854</v>
      </c>
      <c r="N14" s="49">
        <f>'Avg Week Kanoni-Maddu'!N14+'Avg Week Maddu-Kanoni'!N14</f>
        <v>0</v>
      </c>
      <c r="O14" s="15">
        <f t="shared" si="0"/>
        <v>7.5714285714285721</v>
      </c>
      <c r="P14" s="15">
        <f t="shared" si="1"/>
        <v>25.428571428571427</v>
      </c>
      <c r="R14" s="1" t="s">
        <v>10</v>
      </c>
      <c r="S14" s="17">
        <f t="shared" ref="S14:AF14" si="6">SUM(C26:C29)</f>
        <v>16.857142857142858</v>
      </c>
      <c r="T14" s="17">
        <f t="shared" si="6"/>
        <v>5</v>
      </c>
      <c r="U14" s="17">
        <f t="shared" si="6"/>
        <v>6.2857142857142847</v>
      </c>
      <c r="V14" s="17">
        <f t="shared" si="6"/>
        <v>10.571428571428573</v>
      </c>
      <c r="W14" s="17">
        <f t="shared" si="6"/>
        <v>0.14285714285714285</v>
      </c>
      <c r="X14" s="17">
        <f t="shared" si="6"/>
        <v>0</v>
      </c>
      <c r="Y14" s="17">
        <f t="shared" si="6"/>
        <v>4.1428571428571423</v>
      </c>
      <c r="Z14" s="17">
        <f t="shared" si="6"/>
        <v>2.8571428571428568</v>
      </c>
      <c r="AA14" s="17">
        <f t="shared" si="6"/>
        <v>0.14285714285714285</v>
      </c>
      <c r="AB14" s="17">
        <f t="shared" si="6"/>
        <v>0</v>
      </c>
      <c r="AC14" s="17">
        <f t="shared" si="6"/>
        <v>86.571428571428584</v>
      </c>
      <c r="AD14" s="17">
        <f t="shared" si="6"/>
        <v>0</v>
      </c>
      <c r="AE14" s="31">
        <f t="shared" si="6"/>
        <v>46</v>
      </c>
      <c r="AF14" s="31">
        <f t="shared" si="6"/>
        <v>132.57142857142856</v>
      </c>
    </row>
    <row r="15" spans="2:32" ht="23.1" customHeight="1" x14ac:dyDescent="0.25">
      <c r="B15" s="23" t="s">
        <v>42</v>
      </c>
      <c r="C15" s="49">
        <f>'Avg Week Kanoni-Maddu'!C15+'Avg Week Maddu-Kanoni'!C15</f>
        <v>2.7142857142857144</v>
      </c>
      <c r="D15" s="49">
        <f>'Avg Week Kanoni-Maddu'!D15+'Avg Week Maddu-Kanoni'!D15</f>
        <v>0.42857142857142855</v>
      </c>
      <c r="E15" s="49">
        <f>'Avg Week Kanoni-Maddu'!E15+'Avg Week Maddu-Kanoni'!E15</f>
        <v>0.85714285714285721</v>
      </c>
      <c r="F15" s="49">
        <f>'Avg Week Kanoni-Maddu'!F15+'Avg Week Maddu-Kanoni'!F15</f>
        <v>4</v>
      </c>
      <c r="G15" s="49">
        <f>'Avg Week Kanoni-Maddu'!G15+'Avg Week Maddu-Kanoni'!G15</f>
        <v>0</v>
      </c>
      <c r="H15" s="49">
        <f>'Avg Week Kanoni-Maddu'!H15+'Avg Week Maddu-Kanoni'!H15</f>
        <v>0.14285714285714285</v>
      </c>
      <c r="I15" s="49">
        <f>'Avg Week Kanoni-Maddu'!I15+'Avg Week Maddu-Kanoni'!I15</f>
        <v>1</v>
      </c>
      <c r="J15" s="49">
        <f>'Avg Week Kanoni-Maddu'!J15+'Avg Week Maddu-Kanoni'!J15</f>
        <v>0.71428571428571419</v>
      </c>
      <c r="K15" s="49">
        <f>'Avg Week Kanoni-Maddu'!K15+'Avg Week Maddu-Kanoni'!K15</f>
        <v>0.2857142857142857</v>
      </c>
      <c r="L15" s="49">
        <f>'Avg Week Kanoni-Maddu'!L15+'Avg Week Maddu-Kanoni'!L15</f>
        <v>0</v>
      </c>
      <c r="M15" s="49">
        <f>'Avg Week Kanoni-Maddu'!M15+'Avg Week Maddu-Kanoni'!M15</f>
        <v>21.285714285714285</v>
      </c>
      <c r="N15" s="49">
        <f>'Avg Week Kanoni-Maddu'!N15+'Avg Week Maddu-Kanoni'!N15</f>
        <v>0</v>
      </c>
      <c r="O15" s="15">
        <f t="shared" si="0"/>
        <v>10.142857142857142</v>
      </c>
      <c r="P15" s="15">
        <f t="shared" si="1"/>
        <v>31.428571428571427</v>
      </c>
      <c r="R15" s="1" t="s">
        <v>11</v>
      </c>
      <c r="S15" s="17">
        <f t="shared" ref="S15:AF15" si="7">SUM(C30:C33)</f>
        <v>14.714285714285714</v>
      </c>
      <c r="T15" s="17">
        <f t="shared" si="7"/>
        <v>5.5714285714285712</v>
      </c>
      <c r="U15" s="17">
        <f t="shared" si="7"/>
        <v>4.8571428571428568</v>
      </c>
      <c r="V15" s="17">
        <f t="shared" si="7"/>
        <v>13.142857142857142</v>
      </c>
      <c r="W15" s="17">
        <f t="shared" si="7"/>
        <v>0.42857142857142855</v>
      </c>
      <c r="X15" s="17">
        <f t="shared" si="7"/>
        <v>0</v>
      </c>
      <c r="Y15" s="17">
        <f t="shared" si="7"/>
        <v>4.4285714285714288</v>
      </c>
      <c r="Z15" s="17">
        <f t="shared" si="7"/>
        <v>2.1428571428571428</v>
      </c>
      <c r="AA15" s="17">
        <f t="shared" si="7"/>
        <v>0.5714285714285714</v>
      </c>
      <c r="AB15" s="17">
        <f t="shared" si="7"/>
        <v>0</v>
      </c>
      <c r="AC15" s="17">
        <f t="shared" si="7"/>
        <v>82.142857142857139</v>
      </c>
      <c r="AD15" s="17">
        <f t="shared" si="7"/>
        <v>0</v>
      </c>
      <c r="AE15" s="31">
        <f t="shared" si="7"/>
        <v>45.857142857142847</v>
      </c>
      <c r="AF15" s="31">
        <f t="shared" si="7"/>
        <v>127.99999999999999</v>
      </c>
    </row>
    <row r="16" spans="2:32" ht="23.1" customHeight="1" x14ac:dyDescent="0.25">
      <c r="B16" s="23" t="s">
        <v>43</v>
      </c>
      <c r="C16" s="49">
        <f>'Avg Week Kanoni-Maddu'!C16+'Avg Week Maddu-Kanoni'!C16</f>
        <v>4.1428571428571432</v>
      </c>
      <c r="D16" s="49">
        <f>'Avg Week Kanoni-Maddu'!D16+'Avg Week Maddu-Kanoni'!D16</f>
        <v>1.2857142857142856</v>
      </c>
      <c r="E16" s="49">
        <f>'Avg Week Kanoni-Maddu'!E16+'Avg Week Maddu-Kanoni'!E16</f>
        <v>1.2857142857142856</v>
      </c>
      <c r="F16" s="49">
        <f>'Avg Week Kanoni-Maddu'!F16+'Avg Week Maddu-Kanoni'!F16</f>
        <v>3.2857142857142856</v>
      </c>
      <c r="G16" s="49">
        <f>'Avg Week Kanoni-Maddu'!G16+'Avg Week Maddu-Kanoni'!G16</f>
        <v>0</v>
      </c>
      <c r="H16" s="49">
        <f>'Avg Week Kanoni-Maddu'!H16+'Avg Week Maddu-Kanoni'!H16</f>
        <v>0</v>
      </c>
      <c r="I16" s="49">
        <f>'Avg Week Kanoni-Maddu'!I16+'Avg Week Maddu-Kanoni'!I16</f>
        <v>1</v>
      </c>
      <c r="J16" s="49">
        <f>'Avg Week Kanoni-Maddu'!J16+'Avg Week Maddu-Kanoni'!J16</f>
        <v>0.5714285714285714</v>
      </c>
      <c r="K16" s="49">
        <f>'Avg Week Kanoni-Maddu'!K16+'Avg Week Maddu-Kanoni'!K16</f>
        <v>0.14285714285714285</v>
      </c>
      <c r="L16" s="49">
        <f>'Avg Week Kanoni-Maddu'!L16+'Avg Week Maddu-Kanoni'!L16</f>
        <v>0</v>
      </c>
      <c r="M16" s="49">
        <f>'Avg Week Kanoni-Maddu'!M16+'Avg Week Maddu-Kanoni'!M16</f>
        <v>18.857142857142854</v>
      </c>
      <c r="N16" s="49">
        <f>'Avg Week Kanoni-Maddu'!N16+'Avg Week Maddu-Kanoni'!N16</f>
        <v>0</v>
      </c>
      <c r="O16" s="15">
        <f t="shared" si="0"/>
        <v>11.714285714285714</v>
      </c>
      <c r="P16" s="15">
        <f t="shared" si="1"/>
        <v>30.571428571428569</v>
      </c>
      <c r="R16" s="1" t="s">
        <v>12</v>
      </c>
      <c r="S16" s="17">
        <f t="shared" ref="S16:AF16" si="8">SUM(C34:C37)</f>
        <v>16.857142857142858</v>
      </c>
      <c r="T16" s="17">
        <f t="shared" si="8"/>
        <v>7.1428571428571423</v>
      </c>
      <c r="U16" s="17">
        <f t="shared" si="8"/>
        <v>4.5714285714285712</v>
      </c>
      <c r="V16" s="17">
        <f t="shared" si="8"/>
        <v>12.285714285714285</v>
      </c>
      <c r="W16" s="17">
        <f t="shared" si="8"/>
        <v>0.14285714285714285</v>
      </c>
      <c r="X16" s="17">
        <f t="shared" si="8"/>
        <v>0</v>
      </c>
      <c r="Y16" s="17">
        <f t="shared" si="8"/>
        <v>2.7142857142857144</v>
      </c>
      <c r="Z16" s="17">
        <f t="shared" si="8"/>
        <v>2.4285714285714284</v>
      </c>
      <c r="AA16" s="17">
        <f t="shared" si="8"/>
        <v>1.4285714285714284</v>
      </c>
      <c r="AB16" s="17">
        <f t="shared" si="8"/>
        <v>0.14285714285714285</v>
      </c>
      <c r="AC16" s="17">
        <f t="shared" si="8"/>
        <v>88.571428571428584</v>
      </c>
      <c r="AD16" s="17">
        <f t="shared" si="8"/>
        <v>0</v>
      </c>
      <c r="AE16" s="31">
        <f t="shared" si="8"/>
        <v>47.714285714285715</v>
      </c>
      <c r="AF16" s="31">
        <f t="shared" si="8"/>
        <v>136.28571428571428</v>
      </c>
    </row>
    <row r="17" spans="2:32" ht="23.1" customHeight="1" x14ac:dyDescent="0.25">
      <c r="B17" s="23" t="s">
        <v>44</v>
      </c>
      <c r="C17" s="49">
        <f>'Avg Week Kanoni-Maddu'!C17+'Avg Week Maddu-Kanoni'!C17</f>
        <v>3</v>
      </c>
      <c r="D17" s="49">
        <f>'Avg Week Kanoni-Maddu'!D17+'Avg Week Maddu-Kanoni'!D17</f>
        <v>0.2857142857142857</v>
      </c>
      <c r="E17" s="49">
        <f>'Avg Week Kanoni-Maddu'!E17+'Avg Week Maddu-Kanoni'!E17</f>
        <v>1.1428571428571428</v>
      </c>
      <c r="F17" s="49">
        <f>'Avg Week Kanoni-Maddu'!F17+'Avg Week Maddu-Kanoni'!F17</f>
        <v>3.4285714285714284</v>
      </c>
      <c r="G17" s="49">
        <f>'Avg Week Kanoni-Maddu'!G17+'Avg Week Maddu-Kanoni'!G17</f>
        <v>0</v>
      </c>
      <c r="H17" s="49">
        <f>'Avg Week Kanoni-Maddu'!H17+'Avg Week Maddu-Kanoni'!H17</f>
        <v>0</v>
      </c>
      <c r="I17" s="49">
        <f>'Avg Week Kanoni-Maddu'!I17+'Avg Week Maddu-Kanoni'!I17</f>
        <v>0.8571428571428571</v>
      </c>
      <c r="J17" s="49">
        <f>'Avg Week Kanoni-Maddu'!J17+'Avg Week Maddu-Kanoni'!J17</f>
        <v>0.5714285714285714</v>
      </c>
      <c r="K17" s="49">
        <f>'Avg Week Kanoni-Maddu'!K17+'Avg Week Maddu-Kanoni'!K17</f>
        <v>0.14285714285714285</v>
      </c>
      <c r="L17" s="49">
        <f>'Avg Week Kanoni-Maddu'!L17+'Avg Week Maddu-Kanoni'!L17</f>
        <v>0</v>
      </c>
      <c r="M17" s="49">
        <f>'Avg Week Kanoni-Maddu'!M17+'Avg Week Maddu-Kanoni'!M17</f>
        <v>17.142857142857142</v>
      </c>
      <c r="N17" s="49">
        <f>'Avg Week Kanoni-Maddu'!N17+'Avg Week Maddu-Kanoni'!N17</f>
        <v>0</v>
      </c>
      <c r="O17" s="15">
        <f t="shared" si="0"/>
        <v>9.4285714285714288</v>
      </c>
      <c r="P17" s="15">
        <f t="shared" si="1"/>
        <v>26.571428571428569</v>
      </c>
      <c r="R17" s="1" t="s">
        <v>13</v>
      </c>
      <c r="S17" s="17">
        <f t="shared" ref="S17:AF17" si="9">SUM(C38:C41)</f>
        <v>20.142857142857146</v>
      </c>
      <c r="T17" s="17">
        <f t="shared" si="9"/>
        <v>5.2857142857142856</v>
      </c>
      <c r="U17" s="17">
        <f t="shared" si="9"/>
        <v>4.2857142857142847</v>
      </c>
      <c r="V17" s="17">
        <f t="shared" si="9"/>
        <v>11.714285714285714</v>
      </c>
      <c r="W17" s="17">
        <f t="shared" si="9"/>
        <v>0.14285714285714285</v>
      </c>
      <c r="X17" s="17">
        <f t="shared" si="9"/>
        <v>0</v>
      </c>
      <c r="Y17" s="17">
        <f t="shared" si="9"/>
        <v>4.5714285714285712</v>
      </c>
      <c r="Z17" s="17">
        <f t="shared" si="9"/>
        <v>2.8571428571428568</v>
      </c>
      <c r="AA17" s="17">
        <f t="shared" si="9"/>
        <v>2.4285714285714284</v>
      </c>
      <c r="AB17" s="17">
        <f t="shared" si="9"/>
        <v>0</v>
      </c>
      <c r="AC17" s="17">
        <f t="shared" si="9"/>
        <v>90.142857142857153</v>
      </c>
      <c r="AD17" s="17">
        <f t="shared" si="9"/>
        <v>0</v>
      </c>
      <c r="AE17" s="31">
        <f t="shared" si="9"/>
        <v>51.428571428571431</v>
      </c>
      <c r="AF17" s="31">
        <f t="shared" si="9"/>
        <v>141.57142857142856</v>
      </c>
    </row>
    <row r="18" spans="2:32" ht="23.1" customHeight="1" x14ac:dyDescent="0.25">
      <c r="B18" s="23" t="s">
        <v>45</v>
      </c>
      <c r="C18" s="49">
        <f>'Avg Week Kanoni-Maddu'!C18+'Avg Week Maddu-Kanoni'!C18</f>
        <v>3</v>
      </c>
      <c r="D18" s="49">
        <f>'Avg Week Kanoni-Maddu'!D18+'Avg Week Maddu-Kanoni'!D18</f>
        <v>1.4285714285714286</v>
      </c>
      <c r="E18" s="49">
        <f>'Avg Week Kanoni-Maddu'!E18+'Avg Week Maddu-Kanoni'!E18</f>
        <v>0.71428571428571419</v>
      </c>
      <c r="F18" s="49">
        <f>'Avg Week Kanoni-Maddu'!F18+'Avg Week Maddu-Kanoni'!F18</f>
        <v>2.2857142857142856</v>
      </c>
      <c r="G18" s="49">
        <f>'Avg Week Kanoni-Maddu'!G18+'Avg Week Maddu-Kanoni'!G18</f>
        <v>0</v>
      </c>
      <c r="H18" s="49">
        <f>'Avg Week Kanoni-Maddu'!H18+'Avg Week Maddu-Kanoni'!H18</f>
        <v>0</v>
      </c>
      <c r="I18" s="49">
        <f>'Avg Week Kanoni-Maddu'!I18+'Avg Week Maddu-Kanoni'!I18</f>
        <v>0.85714285714285721</v>
      </c>
      <c r="J18" s="49">
        <f>'Avg Week Kanoni-Maddu'!J18+'Avg Week Maddu-Kanoni'!J18</f>
        <v>0.42857142857142855</v>
      </c>
      <c r="K18" s="49">
        <f>'Avg Week Kanoni-Maddu'!K18+'Avg Week Maddu-Kanoni'!K18</f>
        <v>0</v>
      </c>
      <c r="L18" s="49">
        <f>'Avg Week Kanoni-Maddu'!L18+'Avg Week Maddu-Kanoni'!L18</f>
        <v>0</v>
      </c>
      <c r="M18" s="49">
        <f>'Avg Week Kanoni-Maddu'!M18+'Avg Week Maddu-Kanoni'!M18</f>
        <v>20</v>
      </c>
      <c r="N18" s="49">
        <f>'Avg Week Kanoni-Maddu'!N18+'Avg Week Maddu-Kanoni'!N18</f>
        <v>0</v>
      </c>
      <c r="O18" s="15">
        <f t="shared" si="0"/>
        <v>8.7142857142857153</v>
      </c>
      <c r="P18" s="15">
        <f t="shared" si="1"/>
        <v>28.714285714285715</v>
      </c>
      <c r="R18" s="1" t="s">
        <v>14</v>
      </c>
      <c r="S18" s="17">
        <f t="shared" ref="S18:AF18" si="10">SUM(C42:C45)</f>
        <v>14.285714285714286</v>
      </c>
      <c r="T18" s="17">
        <f t="shared" si="10"/>
        <v>7.7142857142857144</v>
      </c>
      <c r="U18" s="17">
        <f t="shared" si="10"/>
        <v>4.5714285714285712</v>
      </c>
      <c r="V18" s="17">
        <f t="shared" si="10"/>
        <v>14.142857142857144</v>
      </c>
      <c r="W18" s="17">
        <f t="shared" si="10"/>
        <v>0.14285714285714285</v>
      </c>
      <c r="X18" s="17">
        <f t="shared" si="10"/>
        <v>0</v>
      </c>
      <c r="Y18" s="17">
        <f t="shared" si="10"/>
        <v>3.8571428571428568</v>
      </c>
      <c r="Z18" s="17">
        <f t="shared" si="10"/>
        <v>3.7142857142857144</v>
      </c>
      <c r="AA18" s="17">
        <f t="shared" si="10"/>
        <v>1.1428571428571428</v>
      </c>
      <c r="AB18" s="17">
        <f t="shared" si="10"/>
        <v>0.14285714285714285</v>
      </c>
      <c r="AC18" s="17">
        <f t="shared" si="10"/>
        <v>86.857142857142861</v>
      </c>
      <c r="AD18" s="17">
        <f t="shared" si="10"/>
        <v>0</v>
      </c>
      <c r="AE18" s="31">
        <f t="shared" si="10"/>
        <v>49.714285714285715</v>
      </c>
      <c r="AF18" s="31">
        <f t="shared" si="10"/>
        <v>136.57142857142856</v>
      </c>
    </row>
    <row r="19" spans="2:32" ht="23.1" customHeight="1" x14ac:dyDescent="0.25">
      <c r="B19" s="23" t="s">
        <v>46</v>
      </c>
      <c r="C19" s="49">
        <f>'Avg Week Kanoni-Maddu'!C19+'Avg Week Maddu-Kanoni'!C19</f>
        <v>2</v>
      </c>
      <c r="D19" s="49">
        <f>'Avg Week Kanoni-Maddu'!D19+'Avg Week Maddu-Kanoni'!D19</f>
        <v>1</v>
      </c>
      <c r="E19" s="49">
        <f>'Avg Week Kanoni-Maddu'!E19+'Avg Week Maddu-Kanoni'!E19</f>
        <v>1</v>
      </c>
      <c r="F19" s="49">
        <f>'Avg Week Kanoni-Maddu'!F19+'Avg Week Maddu-Kanoni'!F19</f>
        <v>3.4285714285714288</v>
      </c>
      <c r="G19" s="49">
        <f>'Avg Week Kanoni-Maddu'!G19+'Avg Week Maddu-Kanoni'!G19</f>
        <v>0.14285714285714285</v>
      </c>
      <c r="H19" s="49">
        <f>'Avg Week Kanoni-Maddu'!H19+'Avg Week Maddu-Kanoni'!H19</f>
        <v>0</v>
      </c>
      <c r="I19" s="49">
        <f>'Avg Week Kanoni-Maddu'!I19+'Avg Week Maddu-Kanoni'!I19</f>
        <v>1.2857142857142856</v>
      </c>
      <c r="J19" s="49">
        <f>'Avg Week Kanoni-Maddu'!J19+'Avg Week Maddu-Kanoni'!J19</f>
        <v>1</v>
      </c>
      <c r="K19" s="49">
        <f>'Avg Week Kanoni-Maddu'!K19+'Avg Week Maddu-Kanoni'!K19</f>
        <v>0.14285714285714285</v>
      </c>
      <c r="L19" s="49">
        <f>'Avg Week Kanoni-Maddu'!L19+'Avg Week Maddu-Kanoni'!L19</f>
        <v>0</v>
      </c>
      <c r="M19" s="49">
        <f>'Avg Week Kanoni-Maddu'!M19+'Avg Week Maddu-Kanoni'!M19</f>
        <v>19</v>
      </c>
      <c r="N19" s="49">
        <f>'Avg Week Kanoni-Maddu'!N19+'Avg Week Maddu-Kanoni'!N19</f>
        <v>0.14285714285714285</v>
      </c>
      <c r="O19" s="15">
        <f t="shared" si="0"/>
        <v>10.142857142857142</v>
      </c>
      <c r="P19" s="15">
        <f t="shared" si="1"/>
        <v>29.142857142857142</v>
      </c>
      <c r="R19" s="1" t="s">
        <v>15</v>
      </c>
      <c r="S19" s="17">
        <f t="shared" ref="S19:AF19" si="11">SUM(C46:C49)</f>
        <v>15.571428571428569</v>
      </c>
      <c r="T19" s="17">
        <f t="shared" si="11"/>
        <v>5.7142857142857135</v>
      </c>
      <c r="U19" s="17">
        <f t="shared" si="11"/>
        <v>5.8571428571428568</v>
      </c>
      <c r="V19" s="17">
        <f t="shared" si="11"/>
        <v>15.571428571428573</v>
      </c>
      <c r="W19" s="17">
        <f t="shared" si="11"/>
        <v>0.42857142857142855</v>
      </c>
      <c r="X19" s="17">
        <f t="shared" si="11"/>
        <v>0.14285714285714285</v>
      </c>
      <c r="Y19" s="17">
        <f t="shared" si="11"/>
        <v>6</v>
      </c>
      <c r="Z19" s="17">
        <f t="shared" si="11"/>
        <v>3.5714285714285712</v>
      </c>
      <c r="AA19" s="17">
        <f t="shared" si="11"/>
        <v>1.1428571428571428</v>
      </c>
      <c r="AB19" s="17">
        <f t="shared" si="11"/>
        <v>0</v>
      </c>
      <c r="AC19" s="17">
        <f t="shared" si="11"/>
        <v>104.28571428571428</v>
      </c>
      <c r="AD19" s="17">
        <f t="shared" si="11"/>
        <v>0</v>
      </c>
      <c r="AE19" s="31">
        <f t="shared" si="11"/>
        <v>54</v>
      </c>
      <c r="AF19" s="31">
        <f t="shared" si="11"/>
        <v>158.28571428571428</v>
      </c>
    </row>
    <row r="20" spans="2:32" ht="23.1" customHeight="1" x14ac:dyDescent="0.25">
      <c r="B20" s="23" t="s">
        <v>47</v>
      </c>
      <c r="C20" s="49">
        <f>'Avg Week Kanoni-Maddu'!C20+'Avg Week Maddu-Kanoni'!C20</f>
        <v>3.2857142857142856</v>
      </c>
      <c r="D20" s="49">
        <f>'Avg Week Kanoni-Maddu'!D20+'Avg Week Maddu-Kanoni'!D20</f>
        <v>1</v>
      </c>
      <c r="E20" s="49">
        <f>'Avg Week Kanoni-Maddu'!E20+'Avg Week Maddu-Kanoni'!E20</f>
        <v>2</v>
      </c>
      <c r="F20" s="49">
        <f>'Avg Week Kanoni-Maddu'!F20+'Avg Week Maddu-Kanoni'!F20</f>
        <v>4.7142857142857144</v>
      </c>
      <c r="G20" s="49">
        <f>'Avg Week Kanoni-Maddu'!G20+'Avg Week Maddu-Kanoni'!G20</f>
        <v>0.14285714285714285</v>
      </c>
      <c r="H20" s="49">
        <f>'Avg Week Kanoni-Maddu'!H20+'Avg Week Maddu-Kanoni'!H20</f>
        <v>0</v>
      </c>
      <c r="I20" s="49">
        <f>'Avg Week Kanoni-Maddu'!I20+'Avg Week Maddu-Kanoni'!I20</f>
        <v>0.2857142857142857</v>
      </c>
      <c r="J20" s="49">
        <f>'Avg Week Kanoni-Maddu'!J20+'Avg Week Maddu-Kanoni'!J20</f>
        <v>1.1428571428571428</v>
      </c>
      <c r="K20" s="49">
        <f>'Avg Week Kanoni-Maddu'!K20+'Avg Week Maddu-Kanoni'!K20</f>
        <v>0.42857142857142855</v>
      </c>
      <c r="L20" s="49">
        <f>'Avg Week Kanoni-Maddu'!L20+'Avg Week Maddu-Kanoni'!L20</f>
        <v>0</v>
      </c>
      <c r="M20" s="49">
        <f>'Avg Week Kanoni-Maddu'!M20+'Avg Week Maddu-Kanoni'!M20</f>
        <v>19.571428571428569</v>
      </c>
      <c r="N20" s="49">
        <f>'Avg Week Kanoni-Maddu'!N20+'Avg Week Maddu-Kanoni'!N20</f>
        <v>0</v>
      </c>
      <c r="O20" s="15">
        <f t="shared" si="0"/>
        <v>13</v>
      </c>
      <c r="P20" s="15">
        <f t="shared" si="1"/>
        <v>32.571428571428569</v>
      </c>
      <c r="R20" s="1" t="s">
        <v>16</v>
      </c>
      <c r="S20" s="17">
        <f t="shared" ref="S20:AF20" si="12">SUM(C50:C53)</f>
        <v>16.714285714285715</v>
      </c>
      <c r="T20" s="17">
        <f t="shared" si="12"/>
        <v>6</v>
      </c>
      <c r="U20" s="17">
        <f t="shared" si="12"/>
        <v>4.5714285714285712</v>
      </c>
      <c r="V20" s="17">
        <f t="shared" si="12"/>
        <v>17.857142857142858</v>
      </c>
      <c r="W20" s="17">
        <f t="shared" si="12"/>
        <v>0.5714285714285714</v>
      </c>
      <c r="X20" s="17">
        <f t="shared" si="12"/>
        <v>0</v>
      </c>
      <c r="Y20" s="17">
        <f t="shared" si="12"/>
        <v>3.714285714285714</v>
      </c>
      <c r="Z20" s="17">
        <f t="shared" si="12"/>
        <v>2.8571428571428568</v>
      </c>
      <c r="AA20" s="17">
        <f t="shared" si="12"/>
        <v>1.857142857142857</v>
      </c>
      <c r="AB20" s="17">
        <f t="shared" si="12"/>
        <v>0.14285714285714285</v>
      </c>
      <c r="AC20" s="17">
        <f t="shared" si="12"/>
        <v>100.57142857142857</v>
      </c>
      <c r="AD20" s="17">
        <f t="shared" si="12"/>
        <v>0.14285714285714285</v>
      </c>
      <c r="AE20" s="31">
        <f t="shared" si="12"/>
        <v>54.428571428571431</v>
      </c>
      <c r="AF20" s="31">
        <f t="shared" si="12"/>
        <v>155</v>
      </c>
    </row>
    <row r="21" spans="2:32" ht="23.1" customHeight="1" x14ac:dyDescent="0.25">
      <c r="B21" s="23" t="s">
        <v>48</v>
      </c>
      <c r="C21" s="49">
        <f>'Avg Week Kanoni-Maddu'!C21+'Avg Week Maddu-Kanoni'!C21</f>
        <v>2.7142857142857144</v>
      </c>
      <c r="D21" s="49">
        <f>'Avg Week Kanoni-Maddu'!D21+'Avg Week Maddu-Kanoni'!D21</f>
        <v>1.2857142857142856</v>
      </c>
      <c r="E21" s="49">
        <f>'Avg Week Kanoni-Maddu'!E21+'Avg Week Maddu-Kanoni'!E21</f>
        <v>2.5714285714285712</v>
      </c>
      <c r="F21" s="49">
        <f>'Avg Week Kanoni-Maddu'!F21+'Avg Week Maddu-Kanoni'!F21</f>
        <v>3.8571428571428568</v>
      </c>
      <c r="G21" s="49">
        <f>'Avg Week Kanoni-Maddu'!G21+'Avg Week Maddu-Kanoni'!G21</f>
        <v>0</v>
      </c>
      <c r="H21" s="49">
        <f>'Avg Week Kanoni-Maddu'!H21+'Avg Week Maddu-Kanoni'!H21</f>
        <v>0</v>
      </c>
      <c r="I21" s="49">
        <f>'Avg Week Kanoni-Maddu'!I21+'Avg Week Maddu-Kanoni'!I21</f>
        <v>0.42857142857142855</v>
      </c>
      <c r="J21" s="49">
        <f>'Avg Week Kanoni-Maddu'!J21+'Avg Week Maddu-Kanoni'!J21</f>
        <v>0.2857142857142857</v>
      </c>
      <c r="K21" s="49">
        <f>'Avg Week Kanoni-Maddu'!K21+'Avg Week Maddu-Kanoni'!K21</f>
        <v>0.42857142857142855</v>
      </c>
      <c r="L21" s="49">
        <f>'Avg Week Kanoni-Maddu'!L21+'Avg Week Maddu-Kanoni'!L21</f>
        <v>0</v>
      </c>
      <c r="M21" s="49">
        <f>'Avg Week Kanoni-Maddu'!M21+'Avg Week Maddu-Kanoni'!M21</f>
        <v>16.285714285714285</v>
      </c>
      <c r="N21" s="49">
        <f>'Avg Week Kanoni-Maddu'!N21+'Avg Week Maddu-Kanoni'!N21</f>
        <v>0</v>
      </c>
      <c r="O21" s="15">
        <f t="shared" si="0"/>
        <v>11.571428571428571</v>
      </c>
      <c r="P21" s="15">
        <f t="shared" si="1"/>
        <v>27.857142857142854</v>
      </c>
      <c r="R21" s="36" t="s">
        <v>20</v>
      </c>
      <c r="S21" s="34">
        <f t="shared" ref="S21:AF21" si="13">SUM(C54:C57)</f>
        <v>16.571428571428569</v>
      </c>
      <c r="T21" s="17">
        <f t="shared" si="13"/>
        <v>7.2857142857142856</v>
      </c>
      <c r="U21" s="17">
        <f t="shared" si="13"/>
        <v>5.7142857142857135</v>
      </c>
      <c r="V21" s="17">
        <f t="shared" si="13"/>
        <v>15.285714285714286</v>
      </c>
      <c r="W21" s="17">
        <f t="shared" si="13"/>
        <v>0.14285714285714285</v>
      </c>
      <c r="X21" s="17">
        <f t="shared" si="13"/>
        <v>0</v>
      </c>
      <c r="Y21" s="17">
        <f t="shared" si="13"/>
        <v>4.4285714285714279</v>
      </c>
      <c r="Z21" s="17">
        <f t="shared" si="13"/>
        <v>1.5714285714285714</v>
      </c>
      <c r="AA21" s="17">
        <f t="shared" si="13"/>
        <v>1.2857142857142856</v>
      </c>
      <c r="AB21" s="17">
        <f t="shared" si="13"/>
        <v>0.14285714285714285</v>
      </c>
      <c r="AC21" s="17">
        <f t="shared" si="13"/>
        <v>81.142857142857139</v>
      </c>
      <c r="AD21" s="17">
        <f t="shared" si="13"/>
        <v>0</v>
      </c>
      <c r="AE21" s="31">
        <f t="shared" si="13"/>
        <v>52.428571428571431</v>
      </c>
      <c r="AF21" s="31">
        <f t="shared" si="13"/>
        <v>133.57142857142856</v>
      </c>
    </row>
    <row r="22" spans="2:32" ht="23.1" customHeight="1" x14ac:dyDescent="0.25">
      <c r="B22" s="23" t="s">
        <v>49</v>
      </c>
      <c r="C22" s="49">
        <f>'Avg Week Kanoni-Maddu'!C22+'Avg Week Maddu-Kanoni'!C22</f>
        <v>4</v>
      </c>
      <c r="D22" s="49">
        <f>'Avg Week Kanoni-Maddu'!D22+'Avg Week Maddu-Kanoni'!D22</f>
        <v>2</v>
      </c>
      <c r="E22" s="49">
        <f>'Avg Week Kanoni-Maddu'!E22+'Avg Week Maddu-Kanoni'!E22</f>
        <v>1.7142857142857144</v>
      </c>
      <c r="F22" s="49">
        <f>'Avg Week Kanoni-Maddu'!F22+'Avg Week Maddu-Kanoni'!F22</f>
        <v>3.7142857142857144</v>
      </c>
      <c r="G22" s="49">
        <f>'Avg Week Kanoni-Maddu'!G22+'Avg Week Maddu-Kanoni'!G22</f>
        <v>0</v>
      </c>
      <c r="H22" s="49">
        <f>'Avg Week Kanoni-Maddu'!H22+'Avg Week Maddu-Kanoni'!H22</f>
        <v>0</v>
      </c>
      <c r="I22" s="49">
        <f>'Avg Week Kanoni-Maddu'!I22+'Avg Week Maddu-Kanoni'!I22</f>
        <v>0.5714285714285714</v>
      </c>
      <c r="J22" s="49">
        <f>'Avg Week Kanoni-Maddu'!J22+'Avg Week Maddu-Kanoni'!J22</f>
        <v>0.71428571428571419</v>
      </c>
      <c r="K22" s="49">
        <f>'Avg Week Kanoni-Maddu'!K22+'Avg Week Maddu-Kanoni'!K22</f>
        <v>0.14285714285714285</v>
      </c>
      <c r="L22" s="49">
        <f>'Avg Week Kanoni-Maddu'!L22+'Avg Week Maddu-Kanoni'!L22</f>
        <v>0</v>
      </c>
      <c r="M22" s="49">
        <f>'Avg Week Kanoni-Maddu'!M22+'Avg Week Maddu-Kanoni'!M22</f>
        <v>19.428571428571431</v>
      </c>
      <c r="N22" s="49">
        <f>'Avg Week Kanoni-Maddu'!N22+'Avg Week Maddu-Kanoni'!N22</f>
        <v>0</v>
      </c>
      <c r="O22" s="15">
        <f t="shared" si="0"/>
        <v>12.857142857142856</v>
      </c>
      <c r="P22" s="15">
        <f t="shared" si="1"/>
        <v>32.285714285714285</v>
      </c>
      <c r="R22" s="1" t="s">
        <v>146</v>
      </c>
      <c r="S22" s="34">
        <f>SUM(C58:C61)</f>
        <v>20</v>
      </c>
      <c r="T22" s="34">
        <f t="shared" ref="T22:AF22" si="14">SUM(D58:D61)</f>
        <v>8.5</v>
      </c>
      <c r="U22" s="34">
        <f t="shared" si="14"/>
        <v>2.5</v>
      </c>
      <c r="V22" s="34">
        <f t="shared" si="14"/>
        <v>12.5</v>
      </c>
      <c r="W22" s="34">
        <f t="shared" si="14"/>
        <v>0</v>
      </c>
      <c r="X22" s="34">
        <f t="shared" si="14"/>
        <v>0</v>
      </c>
      <c r="Y22" s="34">
        <f t="shared" si="14"/>
        <v>6.5</v>
      </c>
      <c r="Z22" s="34">
        <f t="shared" si="14"/>
        <v>8</v>
      </c>
      <c r="AA22" s="34">
        <f t="shared" si="14"/>
        <v>0.5</v>
      </c>
      <c r="AB22" s="34">
        <f t="shared" si="14"/>
        <v>0</v>
      </c>
      <c r="AC22" s="34">
        <f t="shared" si="14"/>
        <v>92.5</v>
      </c>
      <c r="AD22" s="34">
        <f t="shared" si="14"/>
        <v>0</v>
      </c>
      <c r="AE22" s="31">
        <f t="shared" si="14"/>
        <v>58.5</v>
      </c>
      <c r="AF22" s="31">
        <f t="shared" si="14"/>
        <v>151</v>
      </c>
    </row>
    <row r="23" spans="2:32" ht="23.1" customHeight="1" x14ac:dyDescent="0.25">
      <c r="B23" s="23" t="s">
        <v>50</v>
      </c>
      <c r="C23" s="49">
        <f>'Avg Week Kanoni-Maddu'!C23+'Avg Week Maddu-Kanoni'!C23</f>
        <v>4.8571428571428577</v>
      </c>
      <c r="D23" s="49">
        <f>'Avg Week Kanoni-Maddu'!D23+'Avg Week Maddu-Kanoni'!D23</f>
        <v>2.1428571428571428</v>
      </c>
      <c r="E23" s="49">
        <f>'Avg Week Kanoni-Maddu'!E23+'Avg Week Maddu-Kanoni'!E23</f>
        <v>1.4285714285714284</v>
      </c>
      <c r="F23" s="49">
        <f>'Avg Week Kanoni-Maddu'!F23+'Avg Week Maddu-Kanoni'!F23</f>
        <v>4.1428571428571432</v>
      </c>
      <c r="G23" s="49">
        <f>'Avg Week Kanoni-Maddu'!G23+'Avg Week Maddu-Kanoni'!G23</f>
        <v>0</v>
      </c>
      <c r="H23" s="49">
        <f>'Avg Week Kanoni-Maddu'!H23+'Avg Week Maddu-Kanoni'!H23</f>
        <v>0</v>
      </c>
      <c r="I23" s="49">
        <f>'Avg Week Kanoni-Maddu'!I23+'Avg Week Maddu-Kanoni'!I23</f>
        <v>0.5714285714285714</v>
      </c>
      <c r="J23" s="49">
        <f>'Avg Week Kanoni-Maddu'!J23+'Avg Week Maddu-Kanoni'!J23</f>
        <v>0.2857142857142857</v>
      </c>
      <c r="K23" s="49">
        <f>'Avg Week Kanoni-Maddu'!K23+'Avg Week Maddu-Kanoni'!K23</f>
        <v>0</v>
      </c>
      <c r="L23" s="49">
        <f>'Avg Week Kanoni-Maddu'!L23+'Avg Week Maddu-Kanoni'!L23</f>
        <v>0</v>
      </c>
      <c r="M23" s="49">
        <f>'Avg Week Kanoni-Maddu'!M23+'Avg Week Maddu-Kanoni'!M23</f>
        <v>20.571428571428569</v>
      </c>
      <c r="N23" s="49">
        <f>'Avg Week Kanoni-Maddu'!N23+'Avg Week Maddu-Kanoni'!N23</f>
        <v>0</v>
      </c>
      <c r="O23" s="15">
        <f t="shared" si="0"/>
        <v>13.428571428571431</v>
      </c>
      <c r="P23" s="15">
        <f t="shared" si="1"/>
        <v>34</v>
      </c>
      <c r="R23" s="1" t="s">
        <v>147</v>
      </c>
      <c r="S23" s="34">
        <f>SUM(C62:C65)</f>
        <v>17.5</v>
      </c>
      <c r="T23" s="34">
        <f t="shared" ref="T23:AF23" si="15">SUM(D62:D65)</f>
        <v>2</v>
      </c>
      <c r="U23" s="34">
        <f t="shared" si="15"/>
        <v>3.5</v>
      </c>
      <c r="V23" s="34">
        <f t="shared" si="15"/>
        <v>8.5</v>
      </c>
      <c r="W23" s="34">
        <f t="shared" si="15"/>
        <v>0</v>
      </c>
      <c r="X23" s="34">
        <f t="shared" si="15"/>
        <v>0</v>
      </c>
      <c r="Y23" s="34">
        <f t="shared" si="15"/>
        <v>5</v>
      </c>
      <c r="Z23" s="34">
        <f t="shared" si="15"/>
        <v>8</v>
      </c>
      <c r="AA23" s="34">
        <f t="shared" si="15"/>
        <v>0.5</v>
      </c>
      <c r="AB23" s="34">
        <f t="shared" si="15"/>
        <v>0</v>
      </c>
      <c r="AC23" s="34">
        <f t="shared" si="15"/>
        <v>53</v>
      </c>
      <c r="AD23" s="34">
        <f t="shared" si="15"/>
        <v>0</v>
      </c>
      <c r="AE23" s="31">
        <f t="shared" si="15"/>
        <v>45</v>
      </c>
      <c r="AF23" s="31">
        <f t="shared" si="15"/>
        <v>98</v>
      </c>
    </row>
    <row r="24" spans="2:32" ht="23.1" customHeight="1" x14ac:dyDescent="0.25">
      <c r="B24" s="23" t="s">
        <v>51</v>
      </c>
      <c r="C24" s="49">
        <f>'Avg Week Kanoni-Maddu'!C24+'Avg Week Maddu-Kanoni'!C24</f>
        <v>2.8571428571428568</v>
      </c>
      <c r="D24" s="49">
        <f>'Avg Week Kanoni-Maddu'!D24+'Avg Week Maddu-Kanoni'!D24</f>
        <v>1</v>
      </c>
      <c r="E24" s="49">
        <f>'Avg Week Kanoni-Maddu'!E24+'Avg Week Maddu-Kanoni'!E24</f>
        <v>1.1428571428571428</v>
      </c>
      <c r="F24" s="49">
        <f>'Avg Week Kanoni-Maddu'!F24+'Avg Week Maddu-Kanoni'!F24</f>
        <v>2.1428571428571428</v>
      </c>
      <c r="G24" s="49">
        <f>'Avg Week Kanoni-Maddu'!G24+'Avg Week Maddu-Kanoni'!G24</f>
        <v>0</v>
      </c>
      <c r="H24" s="49">
        <f>'Avg Week Kanoni-Maddu'!H24+'Avg Week Maddu-Kanoni'!H24</f>
        <v>0</v>
      </c>
      <c r="I24" s="49">
        <f>'Avg Week Kanoni-Maddu'!I24+'Avg Week Maddu-Kanoni'!I24</f>
        <v>0.7142857142857143</v>
      </c>
      <c r="J24" s="49">
        <f>'Avg Week Kanoni-Maddu'!J24+'Avg Week Maddu-Kanoni'!J24</f>
        <v>0.14285714285714285</v>
      </c>
      <c r="K24" s="49">
        <f>'Avg Week Kanoni-Maddu'!K24+'Avg Week Maddu-Kanoni'!K24</f>
        <v>0.42857142857142855</v>
      </c>
      <c r="L24" s="49">
        <f>'Avg Week Kanoni-Maddu'!L24+'Avg Week Maddu-Kanoni'!L24</f>
        <v>0</v>
      </c>
      <c r="M24" s="49">
        <f>'Avg Week Kanoni-Maddu'!M24+'Avg Week Maddu-Kanoni'!M24</f>
        <v>15.571428571428571</v>
      </c>
      <c r="N24" s="49">
        <f>'Avg Week Kanoni-Maddu'!N24+'Avg Week Maddu-Kanoni'!N24</f>
        <v>0</v>
      </c>
      <c r="O24" s="15">
        <f t="shared" si="0"/>
        <v>8.4285714285714288</v>
      </c>
      <c r="P24" s="15">
        <f t="shared" si="1"/>
        <v>24</v>
      </c>
      <c r="R24" s="1" t="s">
        <v>148</v>
      </c>
      <c r="S24" s="34">
        <f>SUM(C66:C69)</f>
        <v>9</v>
      </c>
      <c r="T24" s="34">
        <f t="shared" ref="T24:AF24" si="16">SUM(D66:D69)</f>
        <v>2.5</v>
      </c>
      <c r="U24" s="34">
        <f t="shared" si="16"/>
        <v>5</v>
      </c>
      <c r="V24" s="34">
        <f t="shared" si="16"/>
        <v>6</v>
      </c>
      <c r="W24" s="34">
        <f t="shared" si="16"/>
        <v>0</v>
      </c>
      <c r="X24" s="34">
        <f t="shared" si="16"/>
        <v>0</v>
      </c>
      <c r="Y24" s="34">
        <f t="shared" si="16"/>
        <v>2.5</v>
      </c>
      <c r="Z24" s="34">
        <f t="shared" si="16"/>
        <v>4</v>
      </c>
      <c r="AA24" s="34">
        <f t="shared" si="16"/>
        <v>0.5</v>
      </c>
      <c r="AB24" s="34">
        <f t="shared" si="16"/>
        <v>0</v>
      </c>
      <c r="AC24" s="34">
        <f t="shared" si="16"/>
        <v>27.5</v>
      </c>
      <c r="AD24" s="34">
        <f t="shared" si="16"/>
        <v>0.5</v>
      </c>
      <c r="AE24" s="31">
        <f t="shared" si="16"/>
        <v>30</v>
      </c>
      <c r="AF24" s="31">
        <f t="shared" si="16"/>
        <v>57.5</v>
      </c>
    </row>
    <row r="25" spans="2:32" ht="23.1" customHeight="1" x14ac:dyDescent="0.25">
      <c r="B25" s="23" t="s">
        <v>52</v>
      </c>
      <c r="C25" s="49">
        <f>'Avg Week Kanoni-Maddu'!C25+'Avg Week Maddu-Kanoni'!C25</f>
        <v>2.8571428571428572</v>
      </c>
      <c r="D25" s="49">
        <f>'Avg Week Kanoni-Maddu'!D25+'Avg Week Maddu-Kanoni'!D25</f>
        <v>0.42857142857142855</v>
      </c>
      <c r="E25" s="49">
        <f>'Avg Week Kanoni-Maddu'!E25+'Avg Week Maddu-Kanoni'!E25</f>
        <v>1.7142857142857144</v>
      </c>
      <c r="F25" s="49">
        <f>'Avg Week Kanoni-Maddu'!F25+'Avg Week Maddu-Kanoni'!F25</f>
        <v>3</v>
      </c>
      <c r="G25" s="49">
        <f>'Avg Week Kanoni-Maddu'!G25+'Avg Week Maddu-Kanoni'!G25</f>
        <v>0</v>
      </c>
      <c r="H25" s="49">
        <f>'Avg Week Kanoni-Maddu'!H25+'Avg Week Maddu-Kanoni'!H25</f>
        <v>0</v>
      </c>
      <c r="I25" s="49">
        <f>'Avg Week Kanoni-Maddu'!I25+'Avg Week Maddu-Kanoni'!I25</f>
        <v>0.2857142857142857</v>
      </c>
      <c r="J25" s="49">
        <f>'Avg Week Kanoni-Maddu'!J25+'Avg Week Maddu-Kanoni'!J25</f>
        <v>0.5714285714285714</v>
      </c>
      <c r="K25" s="49">
        <f>'Avg Week Kanoni-Maddu'!K25+'Avg Week Maddu-Kanoni'!K25</f>
        <v>0.14285714285714285</v>
      </c>
      <c r="L25" s="49">
        <f>'Avg Week Kanoni-Maddu'!L25+'Avg Week Maddu-Kanoni'!L25</f>
        <v>0</v>
      </c>
      <c r="M25" s="49">
        <f>'Avg Week Kanoni-Maddu'!M25+'Avg Week Maddu-Kanoni'!M25</f>
        <v>18.428571428571431</v>
      </c>
      <c r="N25" s="49">
        <f>'Avg Week Kanoni-Maddu'!N25+'Avg Week Maddu-Kanoni'!N25</f>
        <v>0</v>
      </c>
      <c r="O25" s="15">
        <f t="shared" si="0"/>
        <v>9</v>
      </c>
      <c r="P25" s="15">
        <f t="shared" si="1"/>
        <v>27.428571428571431</v>
      </c>
      <c r="R25" s="1" t="s">
        <v>149</v>
      </c>
      <c r="S25" s="34">
        <f>SUM(C70:C73)</f>
        <v>7</v>
      </c>
      <c r="T25" s="34">
        <f t="shared" ref="T25:AF25" si="17">SUM(D70:D73)</f>
        <v>1</v>
      </c>
      <c r="U25" s="34">
        <f t="shared" si="17"/>
        <v>1.5</v>
      </c>
      <c r="V25" s="34">
        <f t="shared" si="17"/>
        <v>3.5</v>
      </c>
      <c r="W25" s="34">
        <f t="shared" si="17"/>
        <v>0</v>
      </c>
      <c r="X25" s="34">
        <f t="shared" si="17"/>
        <v>0</v>
      </c>
      <c r="Y25" s="34">
        <f t="shared" si="17"/>
        <v>9.5</v>
      </c>
      <c r="Z25" s="34">
        <f t="shared" si="17"/>
        <v>3.5</v>
      </c>
      <c r="AA25" s="34">
        <f t="shared" si="17"/>
        <v>0.5</v>
      </c>
      <c r="AB25" s="34">
        <f t="shared" si="17"/>
        <v>0</v>
      </c>
      <c r="AC25" s="34">
        <f t="shared" si="17"/>
        <v>13</v>
      </c>
      <c r="AD25" s="34">
        <f t="shared" si="17"/>
        <v>0</v>
      </c>
      <c r="AE25" s="31">
        <f t="shared" si="17"/>
        <v>26.5</v>
      </c>
      <c r="AF25" s="31">
        <f t="shared" si="17"/>
        <v>39.5</v>
      </c>
    </row>
    <row r="26" spans="2:32" ht="23.1" customHeight="1" x14ac:dyDescent="0.25">
      <c r="B26" s="23" t="s">
        <v>53</v>
      </c>
      <c r="C26" s="49">
        <f>'Avg Week Kanoni-Maddu'!C26+'Avg Week Maddu-Kanoni'!C26</f>
        <v>4.7142857142857144</v>
      </c>
      <c r="D26" s="49">
        <f>'Avg Week Kanoni-Maddu'!D26+'Avg Week Maddu-Kanoni'!D26</f>
        <v>1</v>
      </c>
      <c r="E26" s="49">
        <f>'Avg Week Kanoni-Maddu'!E26+'Avg Week Maddu-Kanoni'!E26</f>
        <v>1.4285714285714284</v>
      </c>
      <c r="F26" s="49">
        <f>'Avg Week Kanoni-Maddu'!F26+'Avg Week Maddu-Kanoni'!F26</f>
        <v>2.7142857142857144</v>
      </c>
      <c r="G26" s="49">
        <f>'Avg Week Kanoni-Maddu'!G26+'Avg Week Maddu-Kanoni'!G26</f>
        <v>0</v>
      </c>
      <c r="H26" s="49">
        <f>'Avg Week Kanoni-Maddu'!H26+'Avg Week Maddu-Kanoni'!H26</f>
        <v>0</v>
      </c>
      <c r="I26" s="49">
        <f>'Avg Week Kanoni-Maddu'!I26+'Avg Week Maddu-Kanoni'!I26</f>
        <v>2</v>
      </c>
      <c r="J26" s="49">
        <f>'Avg Week Kanoni-Maddu'!J26+'Avg Week Maddu-Kanoni'!J26</f>
        <v>1</v>
      </c>
      <c r="K26" s="49">
        <f>'Avg Week Kanoni-Maddu'!K26+'Avg Week Maddu-Kanoni'!K26</f>
        <v>0</v>
      </c>
      <c r="L26" s="49">
        <f>'Avg Week Kanoni-Maddu'!L26+'Avg Week Maddu-Kanoni'!L26</f>
        <v>0</v>
      </c>
      <c r="M26" s="49">
        <f>'Avg Week Kanoni-Maddu'!M26+'Avg Week Maddu-Kanoni'!M26</f>
        <v>23.285714285714285</v>
      </c>
      <c r="N26" s="49">
        <f>'Avg Week Kanoni-Maddu'!N26+'Avg Week Maddu-Kanoni'!N26</f>
        <v>0</v>
      </c>
      <c r="O26" s="15">
        <f t="shared" si="0"/>
        <v>12.857142857142858</v>
      </c>
      <c r="P26" s="15">
        <f t="shared" si="1"/>
        <v>36.142857142857139</v>
      </c>
      <c r="R26" s="1" t="s">
        <v>150</v>
      </c>
      <c r="S26" s="34">
        <f>SUM(C74:C77)</f>
        <v>2</v>
      </c>
      <c r="T26" s="34">
        <f t="shared" ref="T26:AF26" si="18">SUM(D74:D77)</f>
        <v>1</v>
      </c>
      <c r="U26" s="34">
        <f t="shared" si="18"/>
        <v>0.5</v>
      </c>
      <c r="V26" s="34">
        <f t="shared" si="18"/>
        <v>2.5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8.5</v>
      </c>
      <c r="AA26" s="34">
        <f t="shared" si="18"/>
        <v>1.5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18</v>
      </c>
      <c r="AF26" s="31">
        <f t="shared" si="18"/>
        <v>24</v>
      </c>
    </row>
    <row r="27" spans="2:32" ht="23.1" customHeight="1" x14ac:dyDescent="0.25">
      <c r="B27" s="23" t="s">
        <v>54</v>
      </c>
      <c r="C27" s="49">
        <f>'Avg Week Kanoni-Maddu'!C27+'Avg Week Maddu-Kanoni'!C27</f>
        <v>4.4285714285714288</v>
      </c>
      <c r="D27" s="49">
        <f>'Avg Week Kanoni-Maddu'!D27+'Avg Week Maddu-Kanoni'!D27</f>
        <v>0.8571428571428571</v>
      </c>
      <c r="E27" s="49">
        <f>'Avg Week Kanoni-Maddu'!E27+'Avg Week Maddu-Kanoni'!E27</f>
        <v>1.8571428571428572</v>
      </c>
      <c r="F27" s="49">
        <f>'Avg Week Kanoni-Maddu'!F27+'Avg Week Maddu-Kanoni'!F27</f>
        <v>2.4285714285714288</v>
      </c>
      <c r="G27" s="49">
        <f>'Avg Week Kanoni-Maddu'!G27+'Avg Week Maddu-Kanoni'!G27</f>
        <v>0</v>
      </c>
      <c r="H27" s="49">
        <f>'Avg Week Kanoni-Maddu'!H27+'Avg Week Maddu-Kanoni'!H27</f>
        <v>0</v>
      </c>
      <c r="I27" s="49">
        <f>'Avg Week Kanoni-Maddu'!I27+'Avg Week Maddu-Kanoni'!I27</f>
        <v>0.2857142857142857</v>
      </c>
      <c r="J27" s="49">
        <f>'Avg Week Kanoni-Maddu'!J27+'Avg Week Maddu-Kanoni'!J27</f>
        <v>0.71428571428571419</v>
      </c>
      <c r="K27" s="49">
        <f>'Avg Week Kanoni-Maddu'!K27+'Avg Week Maddu-Kanoni'!K27</f>
        <v>0</v>
      </c>
      <c r="L27" s="49">
        <f>'Avg Week Kanoni-Maddu'!L27+'Avg Week Maddu-Kanoni'!L27</f>
        <v>0</v>
      </c>
      <c r="M27" s="49">
        <f>'Avg Week Kanoni-Maddu'!M27+'Avg Week Maddu-Kanoni'!M27</f>
        <v>24.571428571428569</v>
      </c>
      <c r="N27" s="49">
        <f>'Avg Week Kanoni-Maddu'!N27+'Avg Week Maddu-Kanoni'!N27</f>
        <v>0</v>
      </c>
      <c r="O27" s="15">
        <f t="shared" si="0"/>
        <v>10.571428571428571</v>
      </c>
      <c r="P27" s="15">
        <f t="shared" si="1"/>
        <v>35.142857142857139</v>
      </c>
      <c r="R27" s="1" t="s">
        <v>151</v>
      </c>
      <c r="S27" s="34">
        <f>SUM(C78:C81)</f>
        <v>6</v>
      </c>
      <c r="T27" s="34">
        <f t="shared" ref="T27:AF27" si="19">SUM(D78:D81)</f>
        <v>1</v>
      </c>
      <c r="U27" s="34">
        <f t="shared" si="19"/>
        <v>1.5</v>
      </c>
      <c r="V27" s="34">
        <f t="shared" si="19"/>
        <v>1.5</v>
      </c>
      <c r="W27" s="34">
        <f t="shared" si="19"/>
        <v>0</v>
      </c>
      <c r="X27" s="34">
        <f t="shared" si="19"/>
        <v>1</v>
      </c>
      <c r="Y27" s="34">
        <f t="shared" si="19"/>
        <v>3</v>
      </c>
      <c r="Z27" s="34">
        <f t="shared" si="19"/>
        <v>6.5</v>
      </c>
      <c r="AA27" s="34">
        <f t="shared" si="19"/>
        <v>3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23.5</v>
      </c>
      <c r="AF27" s="31">
        <f t="shared" si="19"/>
        <v>25.5</v>
      </c>
    </row>
    <row r="28" spans="2:32" ht="23.1" customHeight="1" x14ac:dyDescent="0.25">
      <c r="B28" s="23" t="s">
        <v>55</v>
      </c>
      <c r="C28" s="49">
        <f>'Avg Week Kanoni-Maddu'!C28+'Avg Week Maddu-Kanoni'!C28</f>
        <v>4.4285714285714288</v>
      </c>
      <c r="D28" s="49">
        <f>'Avg Week Kanoni-Maddu'!D28+'Avg Week Maddu-Kanoni'!D28</f>
        <v>1.1428571428571428</v>
      </c>
      <c r="E28" s="49">
        <f>'Avg Week Kanoni-Maddu'!E28+'Avg Week Maddu-Kanoni'!E28</f>
        <v>1.8571428571428572</v>
      </c>
      <c r="F28" s="49">
        <f>'Avg Week Kanoni-Maddu'!F28+'Avg Week Maddu-Kanoni'!F28</f>
        <v>2</v>
      </c>
      <c r="G28" s="49">
        <f>'Avg Week Kanoni-Maddu'!G28+'Avg Week Maddu-Kanoni'!G28</f>
        <v>0</v>
      </c>
      <c r="H28" s="49">
        <f>'Avg Week Kanoni-Maddu'!H28+'Avg Week Maddu-Kanoni'!H28</f>
        <v>0</v>
      </c>
      <c r="I28" s="49">
        <f>'Avg Week Kanoni-Maddu'!I28+'Avg Week Maddu-Kanoni'!I28</f>
        <v>0.8571428571428571</v>
      </c>
      <c r="J28" s="49">
        <f>'Avg Week Kanoni-Maddu'!J28+'Avg Week Maddu-Kanoni'!J28</f>
        <v>0.7142857142857143</v>
      </c>
      <c r="K28" s="49">
        <f>'Avg Week Kanoni-Maddu'!K28+'Avg Week Maddu-Kanoni'!K28</f>
        <v>0</v>
      </c>
      <c r="L28" s="49">
        <f>'Avg Week Kanoni-Maddu'!L28+'Avg Week Maddu-Kanoni'!L28</f>
        <v>0</v>
      </c>
      <c r="M28" s="49">
        <f>'Avg Week Kanoni-Maddu'!M28+'Avg Week Maddu-Kanoni'!M28</f>
        <v>19</v>
      </c>
      <c r="N28" s="49">
        <f>'Avg Week Kanoni-Maddu'!N28+'Avg Week Maddu-Kanoni'!N28</f>
        <v>0</v>
      </c>
      <c r="O28" s="15">
        <f t="shared" si="0"/>
        <v>11</v>
      </c>
      <c r="P28" s="15">
        <f t="shared" si="1"/>
        <v>30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0.5</v>
      </c>
      <c r="X28" s="34">
        <f t="shared" si="20"/>
        <v>0</v>
      </c>
      <c r="Y28" s="34">
        <f t="shared" si="20"/>
        <v>1</v>
      </c>
      <c r="Z28" s="34">
        <f t="shared" si="20"/>
        <v>2.5</v>
      </c>
      <c r="AA28" s="34">
        <f t="shared" si="20"/>
        <v>0</v>
      </c>
      <c r="AB28" s="34">
        <f t="shared" si="20"/>
        <v>1</v>
      </c>
      <c r="AC28" s="34">
        <f t="shared" si="20"/>
        <v>1</v>
      </c>
      <c r="AD28" s="34">
        <f t="shared" si="20"/>
        <v>0</v>
      </c>
      <c r="AE28" s="31">
        <f t="shared" si="20"/>
        <v>6</v>
      </c>
      <c r="AF28" s="31">
        <f t="shared" si="20"/>
        <v>7</v>
      </c>
    </row>
    <row r="29" spans="2:32" ht="23.1" customHeight="1" x14ac:dyDescent="0.25">
      <c r="B29" s="23" t="s">
        <v>56</v>
      </c>
      <c r="C29" s="49">
        <f>'Avg Week Kanoni-Maddu'!C29+'Avg Week Maddu-Kanoni'!C29</f>
        <v>3.2857142857142856</v>
      </c>
      <c r="D29" s="49">
        <f>'Avg Week Kanoni-Maddu'!D29+'Avg Week Maddu-Kanoni'!D29</f>
        <v>2</v>
      </c>
      <c r="E29" s="49">
        <f>'Avg Week Kanoni-Maddu'!E29+'Avg Week Maddu-Kanoni'!E29</f>
        <v>1.1428571428571428</v>
      </c>
      <c r="F29" s="49">
        <f>'Avg Week Kanoni-Maddu'!F29+'Avg Week Maddu-Kanoni'!F29</f>
        <v>3.4285714285714288</v>
      </c>
      <c r="G29" s="49">
        <f>'Avg Week Kanoni-Maddu'!G29+'Avg Week Maddu-Kanoni'!G29</f>
        <v>0.14285714285714285</v>
      </c>
      <c r="H29" s="49">
        <f>'Avg Week Kanoni-Maddu'!H29+'Avg Week Maddu-Kanoni'!H29</f>
        <v>0</v>
      </c>
      <c r="I29" s="49">
        <f>'Avg Week Kanoni-Maddu'!I29+'Avg Week Maddu-Kanoni'!I29</f>
        <v>1</v>
      </c>
      <c r="J29" s="49">
        <f>'Avg Week Kanoni-Maddu'!J29+'Avg Week Maddu-Kanoni'!J29</f>
        <v>0.42857142857142855</v>
      </c>
      <c r="K29" s="49">
        <f>'Avg Week Kanoni-Maddu'!K29+'Avg Week Maddu-Kanoni'!K29</f>
        <v>0.14285714285714285</v>
      </c>
      <c r="L29" s="49">
        <f>'Avg Week Kanoni-Maddu'!L29+'Avg Week Maddu-Kanoni'!L29</f>
        <v>0</v>
      </c>
      <c r="M29" s="49">
        <f>'Avg Week Kanoni-Maddu'!M29+'Avg Week Maddu-Kanoni'!M29</f>
        <v>19.714285714285715</v>
      </c>
      <c r="N29" s="49">
        <f>'Avg Week Kanoni-Maddu'!N29+'Avg Week Maddu-Kanoni'!N29</f>
        <v>0</v>
      </c>
      <c r="O29" s="15">
        <f t="shared" si="0"/>
        <v>11.571428571428571</v>
      </c>
      <c r="P29" s="15">
        <f t="shared" si="1"/>
        <v>31.285714285714285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3.5</v>
      </c>
      <c r="AA29" s="34">
        <f t="shared" si="21"/>
        <v>0</v>
      </c>
      <c r="AB29" s="34">
        <f t="shared" si="21"/>
        <v>0.5</v>
      </c>
      <c r="AC29" s="34">
        <f t="shared" si="21"/>
        <v>0</v>
      </c>
      <c r="AD29" s="34">
        <f t="shared" si="21"/>
        <v>0</v>
      </c>
      <c r="AE29" s="31">
        <f t="shared" si="21"/>
        <v>7</v>
      </c>
      <c r="AF29" s="31">
        <f t="shared" si="21"/>
        <v>7</v>
      </c>
    </row>
    <row r="30" spans="2:32" ht="23.1" customHeight="1" x14ac:dyDescent="0.25">
      <c r="B30" s="23" t="s">
        <v>57</v>
      </c>
      <c r="C30" s="49">
        <f>'Avg Week Kanoni-Maddu'!C30+'Avg Week Maddu-Kanoni'!C30</f>
        <v>3.4285714285714288</v>
      </c>
      <c r="D30" s="49">
        <f>'Avg Week Kanoni-Maddu'!D30+'Avg Week Maddu-Kanoni'!D30</f>
        <v>1.8571428571428572</v>
      </c>
      <c r="E30" s="49">
        <f>'Avg Week Kanoni-Maddu'!E30+'Avg Week Maddu-Kanoni'!E30</f>
        <v>1.2857142857142856</v>
      </c>
      <c r="F30" s="49">
        <f>'Avg Week Kanoni-Maddu'!F30+'Avg Week Maddu-Kanoni'!F30</f>
        <v>3.1428571428571428</v>
      </c>
      <c r="G30" s="49">
        <f>'Avg Week Kanoni-Maddu'!G30+'Avg Week Maddu-Kanoni'!G30</f>
        <v>0.14285714285714285</v>
      </c>
      <c r="H30" s="49">
        <f>'Avg Week Kanoni-Maddu'!H30+'Avg Week Maddu-Kanoni'!H30</f>
        <v>0</v>
      </c>
      <c r="I30" s="49">
        <f>'Avg Week Kanoni-Maddu'!I30+'Avg Week Maddu-Kanoni'!I30</f>
        <v>0.85714285714285721</v>
      </c>
      <c r="J30" s="49">
        <f>'Avg Week Kanoni-Maddu'!J30+'Avg Week Maddu-Kanoni'!J30</f>
        <v>0.71428571428571419</v>
      </c>
      <c r="K30" s="49">
        <f>'Avg Week Kanoni-Maddu'!K30+'Avg Week Maddu-Kanoni'!K30</f>
        <v>0.14285714285714285</v>
      </c>
      <c r="L30" s="49">
        <f>'Avg Week Kanoni-Maddu'!L30+'Avg Week Maddu-Kanoni'!L30</f>
        <v>0</v>
      </c>
      <c r="M30" s="49">
        <f>'Avg Week Kanoni-Maddu'!M30+'Avg Week Maddu-Kanoni'!M30</f>
        <v>24.285714285714285</v>
      </c>
      <c r="N30" s="49">
        <f>'Avg Week Kanoni-Maddu'!N30+'Avg Week Maddu-Kanoni'!N30</f>
        <v>0</v>
      </c>
      <c r="O30" s="15">
        <f t="shared" si="0"/>
        <v>11.571428571428571</v>
      </c>
      <c r="P30" s="15">
        <f t="shared" si="1"/>
        <v>35.857142857142854</v>
      </c>
      <c r="R30" s="1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6</v>
      </c>
      <c r="AA30" s="34">
        <f t="shared" si="22"/>
        <v>0.5</v>
      </c>
      <c r="AB30" s="34">
        <f t="shared" si="22"/>
        <v>0</v>
      </c>
      <c r="AC30" s="34">
        <f t="shared" si="22"/>
        <v>0.5</v>
      </c>
      <c r="AD30" s="34">
        <f t="shared" si="22"/>
        <v>0</v>
      </c>
      <c r="AE30" s="31">
        <f t="shared" si="22"/>
        <v>11.5</v>
      </c>
      <c r="AF30" s="31">
        <f t="shared" si="22"/>
        <v>12</v>
      </c>
    </row>
    <row r="31" spans="2:32" ht="23.1" customHeight="1" x14ac:dyDescent="0.25">
      <c r="B31" s="24" t="s">
        <v>58</v>
      </c>
      <c r="C31" s="49">
        <f>'Avg Week Kanoni-Maddu'!C31+'Avg Week Maddu-Kanoni'!C31</f>
        <v>3.8571428571428568</v>
      </c>
      <c r="D31" s="49">
        <f>'Avg Week Kanoni-Maddu'!D31+'Avg Week Maddu-Kanoni'!D31</f>
        <v>2</v>
      </c>
      <c r="E31" s="49">
        <f>'Avg Week Kanoni-Maddu'!E31+'Avg Week Maddu-Kanoni'!E31</f>
        <v>1.7142857142857142</v>
      </c>
      <c r="F31" s="49">
        <f>'Avg Week Kanoni-Maddu'!F31+'Avg Week Maddu-Kanoni'!F31</f>
        <v>3.5714285714285712</v>
      </c>
      <c r="G31" s="49">
        <f>'Avg Week Kanoni-Maddu'!G31+'Avg Week Maddu-Kanoni'!G31</f>
        <v>0.14285714285714285</v>
      </c>
      <c r="H31" s="49">
        <f>'Avg Week Kanoni-Maddu'!H31+'Avg Week Maddu-Kanoni'!H31</f>
        <v>0</v>
      </c>
      <c r="I31" s="49">
        <f>'Avg Week Kanoni-Maddu'!I31+'Avg Week Maddu-Kanoni'!I31</f>
        <v>1.1428571428571428</v>
      </c>
      <c r="J31" s="49">
        <f>'Avg Week Kanoni-Maddu'!J31+'Avg Week Maddu-Kanoni'!J31</f>
        <v>0.5714285714285714</v>
      </c>
      <c r="K31" s="49">
        <f>'Avg Week Kanoni-Maddu'!K31+'Avg Week Maddu-Kanoni'!K31</f>
        <v>0.14285714285714285</v>
      </c>
      <c r="L31" s="49">
        <f>'Avg Week Kanoni-Maddu'!L31+'Avg Week Maddu-Kanoni'!L31</f>
        <v>0</v>
      </c>
      <c r="M31" s="49">
        <f>'Avg Week Kanoni-Maddu'!M31+'Avg Week Maddu-Kanoni'!M31</f>
        <v>22.714285714285715</v>
      </c>
      <c r="N31" s="49">
        <f>'Avg Week Kanoni-Maddu'!N31+'Avg Week Maddu-Kanoni'!N31</f>
        <v>0</v>
      </c>
      <c r="O31" s="15">
        <f t="shared" si="0"/>
        <v>13.142857142857141</v>
      </c>
      <c r="P31" s="15">
        <f t="shared" si="1"/>
        <v>35.857142857142854</v>
      </c>
      <c r="R31" s="1" t="s">
        <v>155</v>
      </c>
      <c r="S31" s="34">
        <f>SUM(C94:C97)</f>
        <v>2</v>
      </c>
      <c r="T31" s="34">
        <f t="shared" ref="T31:AF31" si="23">SUM(D94:D97)</f>
        <v>0.5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0.5</v>
      </c>
      <c r="AD31" s="34">
        <f t="shared" si="23"/>
        <v>0</v>
      </c>
      <c r="AE31" s="31">
        <f t="shared" si="23"/>
        <v>9.5</v>
      </c>
      <c r="AF31" s="31">
        <f t="shared" si="23"/>
        <v>10</v>
      </c>
    </row>
    <row r="32" spans="2:32" ht="23.1" customHeight="1" x14ac:dyDescent="0.25">
      <c r="B32" s="24" t="s">
        <v>59</v>
      </c>
      <c r="C32" s="49">
        <f>'Avg Week Kanoni-Maddu'!C32+'Avg Week Maddu-Kanoni'!C32</f>
        <v>3</v>
      </c>
      <c r="D32" s="49">
        <f>'Avg Week Kanoni-Maddu'!D32+'Avg Week Maddu-Kanoni'!D32</f>
        <v>0.8571428571428571</v>
      </c>
      <c r="E32" s="49">
        <f>'Avg Week Kanoni-Maddu'!E32+'Avg Week Maddu-Kanoni'!E32</f>
        <v>1</v>
      </c>
      <c r="F32" s="49">
        <f>'Avg Week Kanoni-Maddu'!F32+'Avg Week Maddu-Kanoni'!F32</f>
        <v>3.4285714285714288</v>
      </c>
      <c r="G32" s="49">
        <f>'Avg Week Kanoni-Maddu'!G32+'Avg Week Maddu-Kanoni'!G32</f>
        <v>0</v>
      </c>
      <c r="H32" s="49">
        <f>'Avg Week Kanoni-Maddu'!H32+'Avg Week Maddu-Kanoni'!H32</f>
        <v>0</v>
      </c>
      <c r="I32" s="49">
        <f>'Avg Week Kanoni-Maddu'!I32+'Avg Week Maddu-Kanoni'!I32</f>
        <v>1.1428571428571428</v>
      </c>
      <c r="J32" s="49">
        <f>'Avg Week Kanoni-Maddu'!J32+'Avg Week Maddu-Kanoni'!J32</f>
        <v>0.42857142857142855</v>
      </c>
      <c r="K32" s="49">
        <f>'Avg Week Kanoni-Maddu'!K32+'Avg Week Maddu-Kanoni'!K32</f>
        <v>0.14285714285714285</v>
      </c>
      <c r="L32" s="49">
        <f>'Avg Week Kanoni-Maddu'!L32+'Avg Week Maddu-Kanoni'!L32</f>
        <v>0</v>
      </c>
      <c r="M32" s="49">
        <f>'Avg Week Kanoni-Maddu'!M32+'Avg Week Maddu-Kanoni'!M32</f>
        <v>15.571428571428573</v>
      </c>
      <c r="N32" s="49">
        <f>'Avg Week Kanoni-Maddu'!N32+'Avg Week Maddu-Kanoni'!N32</f>
        <v>0</v>
      </c>
      <c r="O32" s="15">
        <f t="shared" si="0"/>
        <v>10</v>
      </c>
      <c r="P32" s="15">
        <f t="shared" si="1"/>
        <v>25.571428571428573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4</v>
      </c>
      <c r="W32" s="34">
        <f t="shared" si="24"/>
        <v>0</v>
      </c>
      <c r="X32" s="34">
        <f t="shared" si="24"/>
        <v>0</v>
      </c>
      <c r="Y32" s="34">
        <f t="shared" si="24"/>
        <v>0.5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6</v>
      </c>
      <c r="AF32" s="31">
        <f t="shared" si="24"/>
        <v>7</v>
      </c>
    </row>
    <row r="33" spans="2:32" ht="23.1" customHeight="1" x14ac:dyDescent="0.25">
      <c r="B33" s="23" t="s">
        <v>60</v>
      </c>
      <c r="C33" s="49">
        <f>'Avg Week Kanoni-Maddu'!C33+'Avg Week Maddu-Kanoni'!C33</f>
        <v>4.4285714285714288</v>
      </c>
      <c r="D33" s="49">
        <f>'Avg Week Kanoni-Maddu'!D33+'Avg Week Maddu-Kanoni'!D33</f>
        <v>0.8571428571428571</v>
      </c>
      <c r="E33" s="49">
        <f>'Avg Week Kanoni-Maddu'!E33+'Avg Week Maddu-Kanoni'!E33</f>
        <v>0.8571428571428571</v>
      </c>
      <c r="F33" s="49">
        <f>'Avg Week Kanoni-Maddu'!F33+'Avg Week Maddu-Kanoni'!F33</f>
        <v>3</v>
      </c>
      <c r="G33" s="49">
        <f>'Avg Week Kanoni-Maddu'!G33+'Avg Week Maddu-Kanoni'!G33</f>
        <v>0.14285714285714285</v>
      </c>
      <c r="H33" s="49">
        <f>'Avg Week Kanoni-Maddu'!H33+'Avg Week Maddu-Kanoni'!H33</f>
        <v>0</v>
      </c>
      <c r="I33" s="49">
        <f>'Avg Week Kanoni-Maddu'!I33+'Avg Week Maddu-Kanoni'!I33</f>
        <v>1.2857142857142856</v>
      </c>
      <c r="J33" s="49">
        <f>'Avg Week Kanoni-Maddu'!J33+'Avg Week Maddu-Kanoni'!J33</f>
        <v>0.42857142857142855</v>
      </c>
      <c r="K33" s="49">
        <f>'Avg Week Kanoni-Maddu'!K33+'Avg Week Maddu-Kanoni'!K33</f>
        <v>0.14285714285714285</v>
      </c>
      <c r="L33" s="49">
        <f>'Avg Week Kanoni-Maddu'!L33+'Avg Week Maddu-Kanoni'!L33</f>
        <v>0</v>
      </c>
      <c r="M33" s="49">
        <f>'Avg Week Kanoni-Maddu'!M33+'Avg Week Maddu-Kanoni'!M33</f>
        <v>19.571428571428569</v>
      </c>
      <c r="N33" s="49">
        <f>'Avg Week Kanoni-Maddu'!N33+'Avg Week Maddu-Kanoni'!N33</f>
        <v>0</v>
      </c>
      <c r="O33" s="15">
        <f t="shared" si="0"/>
        <v>11.142857142857141</v>
      </c>
      <c r="P33" s="15">
        <f t="shared" si="1"/>
        <v>30.714285714285708</v>
      </c>
      <c r="R33" s="1" t="s">
        <v>157</v>
      </c>
      <c r="S33" s="34">
        <f>SUM(C102:C105)</f>
        <v>3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3.5</v>
      </c>
      <c r="W33" s="34">
        <f t="shared" si="25"/>
        <v>0.5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12</v>
      </c>
      <c r="AF33" s="31">
        <f t="shared" si="25"/>
        <v>26</v>
      </c>
    </row>
    <row r="34" spans="2:32" ht="23.1" customHeight="1" x14ac:dyDescent="0.25">
      <c r="B34" s="24" t="s">
        <v>61</v>
      </c>
      <c r="C34" s="49">
        <f>'Avg Week Kanoni-Maddu'!C34+'Avg Week Maddu-Kanoni'!C34</f>
        <v>4.7142857142857144</v>
      </c>
      <c r="D34" s="49">
        <f>'Avg Week Kanoni-Maddu'!D34+'Avg Week Maddu-Kanoni'!D34</f>
        <v>1.7142857142857142</v>
      </c>
      <c r="E34" s="49">
        <f>'Avg Week Kanoni-Maddu'!E34+'Avg Week Maddu-Kanoni'!E34</f>
        <v>1.4285714285714284</v>
      </c>
      <c r="F34" s="49">
        <f>'Avg Week Kanoni-Maddu'!F34+'Avg Week Maddu-Kanoni'!F34</f>
        <v>2.5714285714285712</v>
      </c>
      <c r="G34" s="49">
        <f>'Avg Week Kanoni-Maddu'!G34+'Avg Week Maddu-Kanoni'!G34</f>
        <v>0</v>
      </c>
      <c r="H34" s="49">
        <f>'Avg Week Kanoni-Maddu'!H34+'Avg Week Maddu-Kanoni'!H34</f>
        <v>0</v>
      </c>
      <c r="I34" s="49">
        <f>'Avg Week Kanoni-Maddu'!I34+'Avg Week Maddu-Kanoni'!I34</f>
        <v>0.42857142857142855</v>
      </c>
      <c r="J34" s="49">
        <f>'Avg Week Kanoni-Maddu'!J34+'Avg Week Maddu-Kanoni'!J34</f>
        <v>0.8571428571428571</v>
      </c>
      <c r="K34" s="49">
        <f>'Avg Week Kanoni-Maddu'!K34+'Avg Week Maddu-Kanoni'!K34</f>
        <v>0.14285714285714285</v>
      </c>
      <c r="L34" s="49">
        <f>'Avg Week Kanoni-Maddu'!L34+'Avg Week Maddu-Kanoni'!L34</f>
        <v>0</v>
      </c>
      <c r="M34" s="49">
        <f>'Avg Week Kanoni-Maddu'!M34+'Avg Week Maddu-Kanoni'!M34</f>
        <v>22.285714285714285</v>
      </c>
      <c r="N34" s="49">
        <f>'Avg Week Kanoni-Maddu'!N34+'Avg Week Maddu-Kanoni'!N34</f>
        <v>0</v>
      </c>
      <c r="O34" s="15">
        <f t="shared" si="0"/>
        <v>11.857142857142858</v>
      </c>
      <c r="P34" s="15">
        <f t="shared" si="1"/>
        <v>34.142857142857139</v>
      </c>
      <c r="R34" s="52" t="s">
        <v>90</v>
      </c>
      <c r="S34" s="53">
        <f t="shared" ref="S34:AF34" si="26">MAX(S10:S12)</f>
        <v>12.428571428571431</v>
      </c>
      <c r="T34" s="53">
        <f t="shared" si="26"/>
        <v>4.7142857142857144</v>
      </c>
      <c r="U34" s="53">
        <f t="shared" si="26"/>
        <v>6.2857142857142856</v>
      </c>
      <c r="V34" s="53">
        <f t="shared" si="26"/>
        <v>14.285714285714285</v>
      </c>
      <c r="W34" s="53">
        <f t="shared" si="26"/>
        <v>0.2857142857142857</v>
      </c>
      <c r="X34" s="53">
        <f t="shared" si="26"/>
        <v>0.14285714285714285</v>
      </c>
      <c r="Y34" s="53">
        <f t="shared" si="26"/>
        <v>3.4285714285714284</v>
      </c>
      <c r="Z34" s="53">
        <f t="shared" si="26"/>
        <v>2.8571428571428568</v>
      </c>
      <c r="AA34" s="53">
        <f t="shared" si="26"/>
        <v>1</v>
      </c>
      <c r="AB34" s="53">
        <f t="shared" si="26"/>
        <v>0</v>
      </c>
      <c r="AC34" s="53">
        <f t="shared" si="26"/>
        <v>75.142857142857139</v>
      </c>
      <c r="AD34" s="53">
        <f t="shared" si="26"/>
        <v>0.14285714285714285</v>
      </c>
      <c r="AE34" s="40">
        <f t="shared" si="26"/>
        <v>43.428571428571431</v>
      </c>
      <c r="AF34" s="40">
        <f t="shared" si="26"/>
        <v>118.28571428571428</v>
      </c>
    </row>
    <row r="35" spans="2:32" ht="23.1" customHeight="1" x14ac:dyDescent="0.25">
      <c r="B35" s="24" t="s">
        <v>62</v>
      </c>
      <c r="C35" s="49">
        <f>'Avg Week Kanoni-Maddu'!C35+'Avg Week Maddu-Kanoni'!C35</f>
        <v>3.7142857142857144</v>
      </c>
      <c r="D35" s="49">
        <f>'Avg Week Kanoni-Maddu'!D35+'Avg Week Maddu-Kanoni'!D35</f>
        <v>2.1428571428571428</v>
      </c>
      <c r="E35" s="49">
        <f>'Avg Week Kanoni-Maddu'!E35+'Avg Week Maddu-Kanoni'!E35</f>
        <v>1</v>
      </c>
      <c r="F35" s="49">
        <f>'Avg Week Kanoni-Maddu'!F35+'Avg Week Maddu-Kanoni'!F35</f>
        <v>4.2857142857142856</v>
      </c>
      <c r="G35" s="49">
        <f>'Avg Week Kanoni-Maddu'!G35+'Avg Week Maddu-Kanoni'!G35</f>
        <v>0.14285714285714285</v>
      </c>
      <c r="H35" s="49">
        <f>'Avg Week Kanoni-Maddu'!H35+'Avg Week Maddu-Kanoni'!H35</f>
        <v>0</v>
      </c>
      <c r="I35" s="49">
        <f>'Avg Week Kanoni-Maddu'!I35+'Avg Week Maddu-Kanoni'!I35</f>
        <v>1.4285714285714286</v>
      </c>
      <c r="J35" s="49">
        <f>'Avg Week Kanoni-Maddu'!J35+'Avg Week Maddu-Kanoni'!J35</f>
        <v>0.2857142857142857</v>
      </c>
      <c r="K35" s="49">
        <f>'Avg Week Kanoni-Maddu'!K35+'Avg Week Maddu-Kanoni'!K35</f>
        <v>0.42857142857142855</v>
      </c>
      <c r="L35" s="49">
        <f>'Avg Week Kanoni-Maddu'!L35+'Avg Week Maddu-Kanoni'!L35</f>
        <v>0.14285714285714285</v>
      </c>
      <c r="M35" s="49">
        <f>'Avg Week Kanoni-Maddu'!M35+'Avg Week Maddu-Kanoni'!M35</f>
        <v>20.571428571428573</v>
      </c>
      <c r="N35" s="49">
        <f>'Avg Week Kanoni-Maddu'!N35+'Avg Week Maddu-Kanoni'!N35</f>
        <v>0</v>
      </c>
      <c r="O35" s="15">
        <f t="shared" si="0"/>
        <v>13.571428571428571</v>
      </c>
      <c r="P35" s="15">
        <f t="shared" si="1"/>
        <v>34.142857142857146</v>
      </c>
      <c r="R35" s="52" t="s">
        <v>91</v>
      </c>
      <c r="S35" s="53">
        <f t="shared" ref="S35:AF35" si="27">MAX(S13:S18)</f>
        <v>20.142857142857146</v>
      </c>
      <c r="T35" s="53">
        <f t="shared" si="27"/>
        <v>7.7142857142857144</v>
      </c>
      <c r="U35" s="53">
        <f t="shared" si="27"/>
        <v>6.2857142857142847</v>
      </c>
      <c r="V35" s="53">
        <f t="shared" si="27"/>
        <v>14.142857142857144</v>
      </c>
      <c r="W35" s="53">
        <f t="shared" si="27"/>
        <v>0.42857142857142855</v>
      </c>
      <c r="X35" s="53">
        <f t="shared" si="27"/>
        <v>0</v>
      </c>
      <c r="Y35" s="53">
        <f t="shared" si="27"/>
        <v>4.5714285714285712</v>
      </c>
      <c r="Z35" s="53">
        <f t="shared" si="27"/>
        <v>3.7142857142857144</v>
      </c>
      <c r="AA35" s="53">
        <f t="shared" si="27"/>
        <v>2.4285714285714284</v>
      </c>
      <c r="AB35" s="53">
        <f t="shared" si="27"/>
        <v>0.14285714285714285</v>
      </c>
      <c r="AC35" s="53">
        <f t="shared" si="27"/>
        <v>90.142857142857153</v>
      </c>
      <c r="AD35" s="53">
        <f t="shared" si="27"/>
        <v>0</v>
      </c>
      <c r="AE35" s="40">
        <f t="shared" si="27"/>
        <v>51.428571428571431</v>
      </c>
      <c r="AF35" s="40">
        <f t="shared" si="27"/>
        <v>141.57142857142856</v>
      </c>
    </row>
    <row r="36" spans="2:32" ht="23.1" customHeight="1" x14ac:dyDescent="0.25">
      <c r="B36" s="24" t="s">
        <v>63</v>
      </c>
      <c r="C36" s="49">
        <f>'Avg Week Kanoni-Maddu'!C36+'Avg Week Maddu-Kanoni'!C36</f>
        <v>4.2857142857142856</v>
      </c>
      <c r="D36" s="49">
        <f>'Avg Week Kanoni-Maddu'!D36+'Avg Week Maddu-Kanoni'!D36</f>
        <v>1.7142857142857144</v>
      </c>
      <c r="E36" s="49">
        <f>'Avg Week Kanoni-Maddu'!E36+'Avg Week Maddu-Kanoni'!E36</f>
        <v>0.8571428571428571</v>
      </c>
      <c r="F36" s="49">
        <f>'Avg Week Kanoni-Maddu'!F36+'Avg Week Maddu-Kanoni'!F36</f>
        <v>2.5714285714285712</v>
      </c>
      <c r="G36" s="49">
        <f>'Avg Week Kanoni-Maddu'!G36+'Avg Week Maddu-Kanoni'!G36</f>
        <v>0</v>
      </c>
      <c r="H36" s="49">
        <f>'Avg Week Kanoni-Maddu'!H36+'Avg Week Maddu-Kanoni'!H36</f>
        <v>0</v>
      </c>
      <c r="I36" s="49">
        <f>'Avg Week Kanoni-Maddu'!I36+'Avg Week Maddu-Kanoni'!I36</f>
        <v>0.85714285714285721</v>
      </c>
      <c r="J36" s="49">
        <f>'Avg Week Kanoni-Maddu'!J36+'Avg Week Maddu-Kanoni'!J36</f>
        <v>0.8571428571428571</v>
      </c>
      <c r="K36" s="49">
        <f>'Avg Week Kanoni-Maddu'!K36+'Avg Week Maddu-Kanoni'!K36</f>
        <v>0.2857142857142857</v>
      </c>
      <c r="L36" s="49">
        <f>'Avg Week Kanoni-Maddu'!L36+'Avg Week Maddu-Kanoni'!L36</f>
        <v>0</v>
      </c>
      <c r="M36" s="49">
        <f>'Avg Week Kanoni-Maddu'!M36+'Avg Week Maddu-Kanoni'!M36</f>
        <v>23.428571428571431</v>
      </c>
      <c r="N36" s="49">
        <f>'Avg Week Kanoni-Maddu'!N36+'Avg Week Maddu-Kanoni'!N36</f>
        <v>0</v>
      </c>
      <c r="O36" s="15">
        <f t="shared" si="0"/>
        <v>11.428571428571429</v>
      </c>
      <c r="P36" s="15">
        <f t="shared" si="1"/>
        <v>34.857142857142861</v>
      </c>
      <c r="R36" s="52" t="s">
        <v>92</v>
      </c>
      <c r="S36" s="53">
        <f t="shared" ref="S36:AF36" si="28">MAX(S19:S21)</f>
        <v>16.714285714285715</v>
      </c>
      <c r="T36" s="53">
        <f t="shared" si="28"/>
        <v>7.2857142857142856</v>
      </c>
      <c r="U36" s="53">
        <f t="shared" si="28"/>
        <v>5.8571428571428568</v>
      </c>
      <c r="V36" s="53">
        <f t="shared" si="28"/>
        <v>17.857142857142858</v>
      </c>
      <c r="W36" s="53">
        <f t="shared" si="28"/>
        <v>0.5714285714285714</v>
      </c>
      <c r="X36" s="53">
        <f t="shared" si="28"/>
        <v>0.14285714285714285</v>
      </c>
      <c r="Y36" s="53">
        <f t="shared" si="28"/>
        <v>6</v>
      </c>
      <c r="Z36" s="53">
        <f t="shared" si="28"/>
        <v>3.5714285714285712</v>
      </c>
      <c r="AA36" s="53">
        <f t="shared" si="28"/>
        <v>1.857142857142857</v>
      </c>
      <c r="AB36" s="53">
        <f t="shared" si="28"/>
        <v>0.14285714285714285</v>
      </c>
      <c r="AC36" s="53">
        <f t="shared" si="28"/>
        <v>104.28571428571428</v>
      </c>
      <c r="AD36" s="53">
        <f t="shared" si="28"/>
        <v>0.14285714285714285</v>
      </c>
      <c r="AE36" s="40">
        <f t="shared" si="28"/>
        <v>54.428571428571431</v>
      </c>
      <c r="AF36" s="40">
        <f t="shared" si="28"/>
        <v>158.28571428571428</v>
      </c>
    </row>
    <row r="37" spans="2:32" ht="23.1" customHeight="1" x14ac:dyDescent="0.25">
      <c r="B37" s="23" t="s">
        <v>64</v>
      </c>
      <c r="C37" s="49">
        <f>'Avg Week Kanoni-Maddu'!C37+'Avg Week Maddu-Kanoni'!C37</f>
        <v>4.1428571428571423</v>
      </c>
      <c r="D37" s="49">
        <f>'Avg Week Kanoni-Maddu'!D37+'Avg Week Maddu-Kanoni'!D37</f>
        <v>1.5714285714285714</v>
      </c>
      <c r="E37" s="49">
        <f>'Avg Week Kanoni-Maddu'!E37+'Avg Week Maddu-Kanoni'!E37</f>
        <v>1.2857142857142856</v>
      </c>
      <c r="F37" s="49">
        <f>'Avg Week Kanoni-Maddu'!F37+'Avg Week Maddu-Kanoni'!F37</f>
        <v>2.8571428571428568</v>
      </c>
      <c r="G37" s="49">
        <f>'Avg Week Kanoni-Maddu'!G37+'Avg Week Maddu-Kanoni'!G37</f>
        <v>0</v>
      </c>
      <c r="H37" s="49">
        <f>'Avg Week Kanoni-Maddu'!H37+'Avg Week Maddu-Kanoni'!H37</f>
        <v>0</v>
      </c>
      <c r="I37" s="49">
        <f>'Avg Week Kanoni-Maddu'!I37+'Avg Week Maddu-Kanoni'!I37</f>
        <v>0</v>
      </c>
      <c r="J37" s="49">
        <f>'Avg Week Kanoni-Maddu'!J37+'Avg Week Maddu-Kanoni'!J37</f>
        <v>0.42857142857142855</v>
      </c>
      <c r="K37" s="49">
        <f>'Avg Week Kanoni-Maddu'!K37+'Avg Week Maddu-Kanoni'!K37</f>
        <v>0.5714285714285714</v>
      </c>
      <c r="L37" s="49">
        <f>'Avg Week Kanoni-Maddu'!L37+'Avg Week Maddu-Kanoni'!L37</f>
        <v>0</v>
      </c>
      <c r="M37" s="49">
        <f>'Avg Week Kanoni-Maddu'!M37+'Avg Week Maddu-Kanoni'!M37</f>
        <v>22.285714285714285</v>
      </c>
      <c r="N37" s="49">
        <f>'Avg Week Kanoni-Maddu'!N37+'Avg Week Maddu-Kanoni'!N37</f>
        <v>0</v>
      </c>
      <c r="O37" s="15">
        <f t="shared" si="0"/>
        <v>10.857142857142856</v>
      </c>
      <c r="P37" s="15">
        <f t="shared" si="1"/>
        <v>33.142857142857139</v>
      </c>
      <c r="R37" s="37" t="s">
        <v>85</v>
      </c>
      <c r="S37" s="54">
        <f t="shared" ref="S37:AF37" si="29">SUM(S10:S12)</f>
        <v>31</v>
      </c>
      <c r="T37" s="55">
        <f t="shared" si="29"/>
        <v>10.571428571428571</v>
      </c>
      <c r="U37" s="55">
        <f t="shared" si="29"/>
        <v>12.857142857142858</v>
      </c>
      <c r="V37" s="55">
        <f t="shared" si="29"/>
        <v>36.571428571428569</v>
      </c>
      <c r="W37" s="55">
        <f t="shared" si="29"/>
        <v>0.5714285714285714</v>
      </c>
      <c r="X37" s="55">
        <f t="shared" si="29"/>
        <v>0.14285714285714285</v>
      </c>
      <c r="Y37" s="55">
        <f t="shared" si="29"/>
        <v>9.428571428571427</v>
      </c>
      <c r="Z37" s="55">
        <f t="shared" si="29"/>
        <v>7.7142857142857144</v>
      </c>
      <c r="AA37" s="55">
        <f t="shared" si="29"/>
        <v>2</v>
      </c>
      <c r="AB37" s="55">
        <f t="shared" si="29"/>
        <v>0</v>
      </c>
      <c r="AC37" s="55">
        <f t="shared" si="29"/>
        <v>207.71428571428572</v>
      </c>
      <c r="AD37" s="55">
        <f t="shared" si="29"/>
        <v>0.14285714285714285</v>
      </c>
      <c r="AE37" s="56">
        <f t="shared" si="29"/>
        <v>111.00000000000001</v>
      </c>
      <c r="AF37" s="56">
        <f t="shared" si="29"/>
        <v>318.71428571428567</v>
      </c>
    </row>
    <row r="38" spans="2:32" ht="23.1" customHeight="1" x14ac:dyDescent="0.25">
      <c r="B38" s="24" t="s">
        <v>65</v>
      </c>
      <c r="C38" s="49">
        <f>'Avg Week Kanoni-Maddu'!C38+'Avg Week Maddu-Kanoni'!C38</f>
        <v>3.7142857142857144</v>
      </c>
      <c r="D38" s="49">
        <f>'Avg Week Kanoni-Maddu'!D38+'Avg Week Maddu-Kanoni'!D38</f>
        <v>0.71428571428571419</v>
      </c>
      <c r="E38" s="49">
        <f>'Avg Week Kanoni-Maddu'!E38+'Avg Week Maddu-Kanoni'!E38</f>
        <v>0.8571428571428571</v>
      </c>
      <c r="F38" s="49">
        <f>'Avg Week Kanoni-Maddu'!F38+'Avg Week Maddu-Kanoni'!F38</f>
        <v>3</v>
      </c>
      <c r="G38" s="49">
        <f>'Avg Week Kanoni-Maddu'!G38+'Avg Week Maddu-Kanoni'!G38</f>
        <v>0</v>
      </c>
      <c r="H38" s="49">
        <f>'Avg Week Kanoni-Maddu'!H38+'Avg Week Maddu-Kanoni'!H38</f>
        <v>0</v>
      </c>
      <c r="I38" s="49">
        <f>'Avg Week Kanoni-Maddu'!I38+'Avg Week Maddu-Kanoni'!I38</f>
        <v>1.4285714285714286</v>
      </c>
      <c r="J38" s="49">
        <f>'Avg Week Kanoni-Maddu'!J38+'Avg Week Maddu-Kanoni'!J38</f>
        <v>0.8571428571428571</v>
      </c>
      <c r="K38" s="49">
        <f>'Avg Week Kanoni-Maddu'!K38+'Avg Week Maddu-Kanoni'!K38</f>
        <v>0.5714285714285714</v>
      </c>
      <c r="L38" s="49">
        <f>'Avg Week Kanoni-Maddu'!L38+'Avg Week Maddu-Kanoni'!L38</f>
        <v>0</v>
      </c>
      <c r="M38" s="49">
        <f>'Avg Week Kanoni-Maddu'!M38+'Avg Week Maddu-Kanoni'!M38</f>
        <v>27.428571428571431</v>
      </c>
      <c r="N38" s="49">
        <f>'Avg Week Kanoni-Maddu'!N38+'Avg Week Maddu-Kanoni'!N38</f>
        <v>0</v>
      </c>
      <c r="O38" s="15">
        <f t="shared" si="0"/>
        <v>11.142857142857142</v>
      </c>
      <c r="P38" s="15">
        <f t="shared" si="1"/>
        <v>38.571428571428569</v>
      </c>
      <c r="R38" s="28" t="s">
        <v>86</v>
      </c>
      <c r="S38" s="55">
        <f t="shared" ref="S38:AF38" si="30">SUM(S13:S18)</f>
        <v>97.428571428571431</v>
      </c>
      <c r="T38" s="55">
        <f t="shared" si="30"/>
        <v>36.285714285714285</v>
      </c>
      <c r="U38" s="55">
        <f t="shared" si="30"/>
        <v>30.571428571428569</v>
      </c>
      <c r="V38" s="55">
        <f t="shared" si="30"/>
        <v>74.857142857142861</v>
      </c>
      <c r="W38" s="55">
        <f t="shared" si="30"/>
        <v>0.99999999999999978</v>
      </c>
      <c r="X38" s="55">
        <f t="shared" si="30"/>
        <v>0</v>
      </c>
      <c r="Y38" s="55">
        <f t="shared" si="30"/>
        <v>21.857142857142858</v>
      </c>
      <c r="Z38" s="55">
        <f t="shared" si="30"/>
        <v>15.714285714285715</v>
      </c>
      <c r="AA38" s="55">
        <f t="shared" si="30"/>
        <v>6.428571428571427</v>
      </c>
      <c r="AB38" s="55">
        <f t="shared" si="30"/>
        <v>0.2857142857142857</v>
      </c>
      <c r="AC38" s="55">
        <f t="shared" si="30"/>
        <v>508.28571428571433</v>
      </c>
      <c r="AD38" s="55">
        <f t="shared" si="30"/>
        <v>0</v>
      </c>
      <c r="AE38" s="56">
        <f t="shared" si="30"/>
        <v>284.42857142857144</v>
      </c>
      <c r="AF38" s="56">
        <f t="shared" si="30"/>
        <v>792.71428571428567</v>
      </c>
    </row>
    <row r="39" spans="2:32" ht="23.1" customHeight="1" x14ac:dyDescent="0.25">
      <c r="B39" s="24" t="s">
        <v>66</v>
      </c>
      <c r="C39" s="49">
        <f>'Avg Week Kanoni-Maddu'!C39+'Avg Week Maddu-Kanoni'!C39</f>
        <v>5</v>
      </c>
      <c r="D39" s="49">
        <f>'Avg Week Kanoni-Maddu'!D39+'Avg Week Maddu-Kanoni'!D39</f>
        <v>1.1428571428571428</v>
      </c>
      <c r="E39" s="49">
        <f>'Avg Week Kanoni-Maddu'!E39+'Avg Week Maddu-Kanoni'!E39</f>
        <v>1.7142857142857142</v>
      </c>
      <c r="F39" s="49">
        <f>'Avg Week Kanoni-Maddu'!F39+'Avg Week Maddu-Kanoni'!F39</f>
        <v>2.7142857142857144</v>
      </c>
      <c r="G39" s="49">
        <f>'Avg Week Kanoni-Maddu'!G39+'Avg Week Maddu-Kanoni'!G39</f>
        <v>0</v>
      </c>
      <c r="H39" s="49">
        <f>'Avg Week Kanoni-Maddu'!H39+'Avg Week Maddu-Kanoni'!H39</f>
        <v>0</v>
      </c>
      <c r="I39" s="49">
        <f>'Avg Week Kanoni-Maddu'!I39+'Avg Week Maddu-Kanoni'!I39</f>
        <v>1.4285714285714284</v>
      </c>
      <c r="J39" s="49">
        <f>'Avg Week Kanoni-Maddu'!J39+'Avg Week Maddu-Kanoni'!J39</f>
        <v>0.71428571428571419</v>
      </c>
      <c r="K39" s="49">
        <f>'Avg Week Kanoni-Maddu'!K39+'Avg Week Maddu-Kanoni'!K39</f>
        <v>0.8571428571428571</v>
      </c>
      <c r="L39" s="49">
        <f>'Avg Week Kanoni-Maddu'!L39+'Avg Week Maddu-Kanoni'!L39</f>
        <v>0</v>
      </c>
      <c r="M39" s="49">
        <f>'Avg Week Kanoni-Maddu'!M39+'Avg Week Maddu-Kanoni'!M39</f>
        <v>21</v>
      </c>
      <c r="N39" s="49">
        <f>'Avg Week Kanoni-Maddu'!N39+'Avg Week Maddu-Kanoni'!N39</f>
        <v>0</v>
      </c>
      <c r="O39" s="15">
        <f t="shared" si="0"/>
        <v>13.571428571428571</v>
      </c>
      <c r="P39" s="15">
        <f t="shared" si="1"/>
        <v>34.571428571428569</v>
      </c>
      <c r="R39" s="29" t="s">
        <v>87</v>
      </c>
      <c r="S39" s="55">
        <f t="shared" ref="S39:AF39" si="31">SUM(S19:S21)</f>
        <v>48.857142857142854</v>
      </c>
      <c r="T39" s="55">
        <f t="shared" si="31"/>
        <v>19</v>
      </c>
      <c r="U39" s="55">
        <f t="shared" si="31"/>
        <v>16.142857142857139</v>
      </c>
      <c r="V39" s="55">
        <f t="shared" si="31"/>
        <v>48.714285714285715</v>
      </c>
      <c r="W39" s="55">
        <f t="shared" si="31"/>
        <v>1.1428571428571428</v>
      </c>
      <c r="X39" s="55">
        <f t="shared" si="31"/>
        <v>0.14285714285714285</v>
      </c>
      <c r="Y39" s="55">
        <f t="shared" si="31"/>
        <v>14.142857142857142</v>
      </c>
      <c r="Z39" s="55">
        <f t="shared" si="31"/>
        <v>7.9999999999999991</v>
      </c>
      <c r="AA39" s="55">
        <f t="shared" si="31"/>
        <v>4.2857142857142856</v>
      </c>
      <c r="AB39" s="55">
        <f t="shared" si="31"/>
        <v>0.2857142857142857</v>
      </c>
      <c r="AC39" s="55">
        <f t="shared" si="31"/>
        <v>286</v>
      </c>
      <c r="AD39" s="55">
        <f t="shared" si="31"/>
        <v>0.14285714285714285</v>
      </c>
      <c r="AE39" s="56">
        <f t="shared" si="31"/>
        <v>160.85714285714286</v>
      </c>
      <c r="AF39" s="56">
        <f t="shared" si="31"/>
        <v>446.85714285714283</v>
      </c>
    </row>
    <row r="40" spans="2:32" ht="23.1" customHeight="1" x14ac:dyDescent="0.25">
      <c r="B40" s="24" t="s">
        <v>67</v>
      </c>
      <c r="C40" s="49">
        <f>'Avg Week Kanoni-Maddu'!C40+'Avg Week Maddu-Kanoni'!C40</f>
        <v>6.4285714285714288</v>
      </c>
      <c r="D40" s="49">
        <f>'Avg Week Kanoni-Maddu'!D40+'Avg Week Maddu-Kanoni'!D40</f>
        <v>2</v>
      </c>
      <c r="E40" s="49">
        <f>'Avg Week Kanoni-Maddu'!E40+'Avg Week Maddu-Kanoni'!E40</f>
        <v>0.42857142857142855</v>
      </c>
      <c r="F40" s="49">
        <f>'Avg Week Kanoni-Maddu'!F40+'Avg Week Maddu-Kanoni'!F40</f>
        <v>2.4285714285714288</v>
      </c>
      <c r="G40" s="49">
        <f>'Avg Week Kanoni-Maddu'!G40+'Avg Week Maddu-Kanoni'!G40</f>
        <v>0.14285714285714285</v>
      </c>
      <c r="H40" s="49">
        <f>'Avg Week Kanoni-Maddu'!H40+'Avg Week Maddu-Kanoni'!H40</f>
        <v>0</v>
      </c>
      <c r="I40" s="49">
        <f>'Avg Week Kanoni-Maddu'!I40+'Avg Week Maddu-Kanoni'!I40</f>
        <v>1.1428571428571428</v>
      </c>
      <c r="J40" s="49">
        <f>'Avg Week Kanoni-Maddu'!J40+'Avg Week Maddu-Kanoni'!J40</f>
        <v>0.5714285714285714</v>
      </c>
      <c r="K40" s="49">
        <f>'Avg Week Kanoni-Maddu'!K40+'Avg Week Maddu-Kanoni'!K40</f>
        <v>0.14285714285714285</v>
      </c>
      <c r="L40" s="49">
        <f>'Avg Week Kanoni-Maddu'!L40+'Avg Week Maddu-Kanoni'!L40</f>
        <v>0</v>
      </c>
      <c r="M40" s="49">
        <f>'Avg Week Kanoni-Maddu'!M40+'Avg Week Maddu-Kanoni'!M40</f>
        <v>20.857142857142858</v>
      </c>
      <c r="N40" s="49">
        <f>'Avg Week Kanoni-Maddu'!N40+'Avg Week Maddu-Kanoni'!N40</f>
        <v>0</v>
      </c>
      <c r="O40" s="15">
        <f t="shared" si="0"/>
        <v>13.285714285714285</v>
      </c>
      <c r="P40" s="15">
        <f t="shared" si="1"/>
        <v>34.142857142857139</v>
      </c>
      <c r="R40" s="5" t="s">
        <v>17</v>
      </c>
      <c r="S40" s="55">
        <f t="shared" ref="S40:AF40" si="32">SUM(S10:S21)</f>
        <v>177.28571428571428</v>
      </c>
      <c r="T40" s="55">
        <f t="shared" si="32"/>
        <v>65.857142857142861</v>
      </c>
      <c r="U40" s="55">
        <f t="shared" si="32"/>
        <v>59.571428571428562</v>
      </c>
      <c r="V40" s="55">
        <f t="shared" si="32"/>
        <v>160.14285714285711</v>
      </c>
      <c r="W40" s="55">
        <f t="shared" si="32"/>
        <v>2.714285714285714</v>
      </c>
      <c r="X40" s="55">
        <f t="shared" si="32"/>
        <v>0.2857142857142857</v>
      </c>
      <c r="Y40" s="55">
        <f t="shared" si="32"/>
        <v>45.428571428571423</v>
      </c>
      <c r="Z40" s="55">
        <f t="shared" si="32"/>
        <v>31.428571428571431</v>
      </c>
      <c r="AA40" s="55">
        <f t="shared" si="32"/>
        <v>12.714285714285715</v>
      </c>
      <c r="AB40" s="55">
        <f t="shared" si="32"/>
        <v>0.5714285714285714</v>
      </c>
      <c r="AC40" s="55">
        <f t="shared" si="32"/>
        <v>1001.9999999999999</v>
      </c>
      <c r="AD40" s="55">
        <f t="shared" si="32"/>
        <v>0.2857142857142857</v>
      </c>
      <c r="AE40" s="56">
        <f t="shared" si="32"/>
        <v>556.28571428571433</v>
      </c>
      <c r="AF40" s="56">
        <f t="shared" si="32"/>
        <v>1558.2857142857142</v>
      </c>
    </row>
    <row r="41" spans="2:32" ht="23.1" customHeight="1" x14ac:dyDescent="0.25">
      <c r="B41" s="23" t="s">
        <v>68</v>
      </c>
      <c r="C41" s="49">
        <f>'Avg Week Kanoni-Maddu'!C41+'Avg Week Maddu-Kanoni'!C41</f>
        <v>5</v>
      </c>
      <c r="D41" s="49">
        <f>'Avg Week Kanoni-Maddu'!D41+'Avg Week Maddu-Kanoni'!D41</f>
        <v>1.4285714285714286</v>
      </c>
      <c r="E41" s="49">
        <f>'Avg Week Kanoni-Maddu'!E41+'Avg Week Maddu-Kanoni'!E41</f>
        <v>1.2857142857142856</v>
      </c>
      <c r="F41" s="49">
        <f>'Avg Week Kanoni-Maddu'!F41+'Avg Week Maddu-Kanoni'!F41</f>
        <v>3.5714285714285712</v>
      </c>
      <c r="G41" s="49">
        <f>'Avg Week Kanoni-Maddu'!G41+'Avg Week Maddu-Kanoni'!G41</f>
        <v>0</v>
      </c>
      <c r="H41" s="49">
        <f>'Avg Week Kanoni-Maddu'!H41+'Avg Week Maddu-Kanoni'!H41</f>
        <v>0</v>
      </c>
      <c r="I41" s="49">
        <f>'Avg Week Kanoni-Maddu'!I41+'Avg Week Maddu-Kanoni'!I41</f>
        <v>0.5714285714285714</v>
      </c>
      <c r="J41" s="49">
        <f>'Avg Week Kanoni-Maddu'!J41+'Avg Week Maddu-Kanoni'!J41</f>
        <v>0.71428571428571419</v>
      </c>
      <c r="K41" s="49">
        <f>'Avg Week Kanoni-Maddu'!K41+'Avg Week Maddu-Kanoni'!K41</f>
        <v>0.8571428571428571</v>
      </c>
      <c r="L41" s="49">
        <f>'Avg Week Kanoni-Maddu'!L41+'Avg Week Maddu-Kanoni'!L41</f>
        <v>0</v>
      </c>
      <c r="M41" s="49">
        <f>'Avg Week Kanoni-Maddu'!M41+'Avg Week Maddu-Kanoni'!M41</f>
        <v>20.857142857142858</v>
      </c>
      <c r="N41" s="49">
        <f>'Avg Week Kanoni-Maddu'!N41+'Avg Week Maddu-Kanoni'!N41</f>
        <v>0</v>
      </c>
      <c r="O41" s="15">
        <f t="shared" si="0"/>
        <v>13.428571428571427</v>
      </c>
      <c r="P41" s="15">
        <f t="shared" si="1"/>
        <v>34.285714285714285</v>
      </c>
      <c r="R41" s="5" t="s">
        <v>180</v>
      </c>
      <c r="S41" s="55">
        <f>SUM(S10:S33)</f>
        <v>245.78571428571428</v>
      </c>
      <c r="T41" s="55">
        <f t="shared" ref="T41:AD41" si="33">SUM(T10:T33)</f>
        <v>85.357142857142861</v>
      </c>
      <c r="U41" s="55">
        <f t="shared" si="33"/>
        <v>76.571428571428555</v>
      </c>
      <c r="V41" s="55">
        <f t="shared" si="33"/>
        <v>204.14285714285711</v>
      </c>
      <c r="W41" s="55">
        <f t="shared" si="33"/>
        <v>3.714285714285714</v>
      </c>
      <c r="X41" s="55">
        <f t="shared" si="33"/>
        <v>1.2857142857142856</v>
      </c>
      <c r="Y41" s="55">
        <f t="shared" si="33"/>
        <v>84.428571428571416</v>
      </c>
      <c r="Z41" s="55">
        <f t="shared" si="33"/>
        <v>85.928571428571431</v>
      </c>
      <c r="AA41" s="55">
        <f t="shared" si="33"/>
        <v>19.714285714285715</v>
      </c>
      <c r="AB41" s="55">
        <f t="shared" si="33"/>
        <v>2.0714285714285712</v>
      </c>
      <c r="AC41" s="55">
        <f t="shared" si="33"/>
        <v>1213</v>
      </c>
      <c r="AD41" s="55">
        <f t="shared" si="33"/>
        <v>0.7857142857142857</v>
      </c>
      <c r="AE41" s="56">
        <f>SUM(AE10:AE33)</f>
        <v>809.78571428571433</v>
      </c>
      <c r="AF41" s="56">
        <f>SUM(AF10:AF33)</f>
        <v>2022.7857142857142</v>
      </c>
    </row>
    <row r="42" spans="2:32" ht="23.1" customHeight="1" x14ac:dyDescent="0.25">
      <c r="B42" s="24" t="s">
        <v>69</v>
      </c>
      <c r="C42" s="49">
        <f>'Avg Week Kanoni-Maddu'!C42+'Avg Week Maddu-Kanoni'!C42</f>
        <v>4.8571428571428577</v>
      </c>
      <c r="D42" s="49">
        <f>'Avg Week Kanoni-Maddu'!D42+'Avg Week Maddu-Kanoni'!D42</f>
        <v>1.8571428571428572</v>
      </c>
      <c r="E42" s="49">
        <f>'Avg Week Kanoni-Maddu'!E42+'Avg Week Maddu-Kanoni'!E42</f>
        <v>1.8571428571428572</v>
      </c>
      <c r="F42" s="49">
        <f>'Avg Week Kanoni-Maddu'!F42+'Avg Week Maddu-Kanoni'!F42</f>
        <v>4.5714285714285712</v>
      </c>
      <c r="G42" s="49">
        <f>'Avg Week Kanoni-Maddu'!G42+'Avg Week Maddu-Kanoni'!G42</f>
        <v>0</v>
      </c>
      <c r="H42" s="49">
        <f>'Avg Week Kanoni-Maddu'!H42+'Avg Week Maddu-Kanoni'!H42</f>
        <v>0</v>
      </c>
      <c r="I42" s="49">
        <f>'Avg Week Kanoni-Maddu'!I42+'Avg Week Maddu-Kanoni'!I42</f>
        <v>1</v>
      </c>
      <c r="J42" s="49">
        <f>'Avg Week Kanoni-Maddu'!J42+'Avg Week Maddu-Kanoni'!J42</f>
        <v>1</v>
      </c>
      <c r="K42" s="49">
        <f>'Avg Week Kanoni-Maddu'!K42+'Avg Week Maddu-Kanoni'!K42</f>
        <v>0.2857142857142857</v>
      </c>
      <c r="L42" s="49">
        <f>'Avg Week Kanoni-Maddu'!L42+'Avg Week Maddu-Kanoni'!L42</f>
        <v>0</v>
      </c>
      <c r="M42" s="49">
        <f>'Avg Week Kanoni-Maddu'!M42+'Avg Week Maddu-Kanoni'!M42</f>
        <v>23</v>
      </c>
      <c r="N42" s="49">
        <f>'Avg Week Kanoni-Maddu'!N42+'Avg Week Maddu-Kanoni'!N42</f>
        <v>0</v>
      </c>
      <c r="O42" s="15">
        <f t="shared" si="0"/>
        <v>15.428571428571431</v>
      </c>
      <c r="P42" s="15">
        <f t="shared" si="1"/>
        <v>38.428571428571431</v>
      </c>
      <c r="R42" s="5" t="s">
        <v>160</v>
      </c>
      <c r="S42" s="48">
        <f>S41/S40</f>
        <v>1.3863819500402901</v>
      </c>
      <c r="T42" s="48">
        <f t="shared" ref="T42:AF42" si="34">T41/T40</f>
        <v>1.2960954446854664</v>
      </c>
      <c r="U42" s="48">
        <f t="shared" si="34"/>
        <v>1.2853717026378897</v>
      </c>
      <c r="V42" s="48">
        <f t="shared" si="34"/>
        <v>1.2747546833184658</v>
      </c>
      <c r="W42" s="48">
        <f t="shared" si="34"/>
        <v>1.368421052631579</v>
      </c>
      <c r="X42" s="48">
        <f t="shared" si="34"/>
        <v>4.5</v>
      </c>
      <c r="Y42" s="48">
        <f t="shared" si="34"/>
        <v>1.8584905660377358</v>
      </c>
      <c r="Z42" s="48">
        <f t="shared" si="34"/>
        <v>2.7340909090909089</v>
      </c>
      <c r="AA42" s="48">
        <f t="shared" si="34"/>
        <v>1.550561797752809</v>
      </c>
      <c r="AB42" s="48">
        <f t="shared" si="34"/>
        <v>3.6249999999999996</v>
      </c>
      <c r="AC42" s="48">
        <f t="shared" si="34"/>
        <v>1.2105788423153694</v>
      </c>
      <c r="AD42" s="48">
        <f t="shared" si="34"/>
        <v>2.75</v>
      </c>
      <c r="AE42" s="57">
        <f t="shared" si="34"/>
        <v>1.4557010785824345</v>
      </c>
      <c r="AF42" s="57">
        <f t="shared" si="34"/>
        <v>1.2980839750641731</v>
      </c>
    </row>
    <row r="43" spans="2:32" ht="23.1" customHeight="1" x14ac:dyDescent="0.25">
      <c r="B43" s="23" t="s">
        <v>70</v>
      </c>
      <c r="C43" s="49">
        <f>'Avg Week Kanoni-Maddu'!C43+'Avg Week Maddu-Kanoni'!C43</f>
        <v>3.5714285714285712</v>
      </c>
      <c r="D43" s="49">
        <f>'Avg Week Kanoni-Maddu'!D43+'Avg Week Maddu-Kanoni'!D43</f>
        <v>2</v>
      </c>
      <c r="E43" s="49">
        <f>'Avg Week Kanoni-Maddu'!E43+'Avg Week Maddu-Kanoni'!E43</f>
        <v>0.5714285714285714</v>
      </c>
      <c r="F43" s="49">
        <f>'Avg Week Kanoni-Maddu'!F43+'Avg Week Maddu-Kanoni'!F43</f>
        <v>3.8571428571428572</v>
      </c>
      <c r="G43" s="49">
        <f>'Avg Week Kanoni-Maddu'!G43+'Avg Week Maddu-Kanoni'!G43</f>
        <v>0</v>
      </c>
      <c r="H43" s="49">
        <f>'Avg Week Kanoni-Maddu'!H43+'Avg Week Maddu-Kanoni'!H43</f>
        <v>0</v>
      </c>
      <c r="I43" s="49">
        <f>'Avg Week Kanoni-Maddu'!I43+'Avg Week Maddu-Kanoni'!I43</f>
        <v>1.7142857142857144</v>
      </c>
      <c r="J43" s="49">
        <f>'Avg Week Kanoni-Maddu'!J43+'Avg Week Maddu-Kanoni'!J43</f>
        <v>0.85714285714285721</v>
      </c>
      <c r="K43" s="49">
        <f>'Avg Week Kanoni-Maddu'!K43+'Avg Week Maddu-Kanoni'!K43</f>
        <v>0.42857142857142855</v>
      </c>
      <c r="L43" s="49">
        <f>'Avg Week Kanoni-Maddu'!L43+'Avg Week Maddu-Kanoni'!L43</f>
        <v>0.14285714285714285</v>
      </c>
      <c r="M43" s="49">
        <f>'Avg Week Kanoni-Maddu'!M43+'Avg Week Maddu-Kanoni'!M43</f>
        <v>22.142857142857142</v>
      </c>
      <c r="N43" s="49">
        <f>'Avg Week Kanoni-Maddu'!N43+'Avg Week Maddu-Kanoni'!N43</f>
        <v>0</v>
      </c>
      <c r="O43" s="15">
        <f t="shared" si="0"/>
        <v>13.142857142857144</v>
      </c>
      <c r="P43" s="15">
        <f t="shared" si="1"/>
        <v>35.285714285714285</v>
      </c>
    </row>
    <row r="44" spans="2:32" ht="23.1" customHeight="1" x14ac:dyDescent="0.25">
      <c r="B44" s="25" t="s">
        <v>71</v>
      </c>
      <c r="C44" s="49">
        <f>'Avg Week Kanoni-Maddu'!C44+'Avg Week Maddu-Kanoni'!C44</f>
        <v>4.2857142857142856</v>
      </c>
      <c r="D44" s="49">
        <f>'Avg Week Kanoni-Maddu'!D44+'Avg Week Maddu-Kanoni'!D44</f>
        <v>1.1428571428571428</v>
      </c>
      <c r="E44" s="49">
        <f>'Avg Week Kanoni-Maddu'!E44+'Avg Week Maddu-Kanoni'!E44</f>
        <v>0.8571428571428571</v>
      </c>
      <c r="F44" s="49">
        <f>'Avg Week Kanoni-Maddu'!F44+'Avg Week Maddu-Kanoni'!F44</f>
        <v>3.2857142857142856</v>
      </c>
      <c r="G44" s="49">
        <f>'Avg Week Kanoni-Maddu'!G44+'Avg Week Maddu-Kanoni'!G44</f>
        <v>0.14285714285714285</v>
      </c>
      <c r="H44" s="49">
        <f>'Avg Week Kanoni-Maddu'!H44+'Avg Week Maddu-Kanoni'!H44</f>
        <v>0</v>
      </c>
      <c r="I44" s="49">
        <f>'Avg Week Kanoni-Maddu'!I44+'Avg Week Maddu-Kanoni'!I44</f>
        <v>0.42857142857142855</v>
      </c>
      <c r="J44" s="49">
        <f>'Avg Week Kanoni-Maddu'!J44+'Avg Week Maddu-Kanoni'!J44</f>
        <v>1.1428571428571428</v>
      </c>
      <c r="K44" s="49">
        <f>'Avg Week Kanoni-Maddu'!K44+'Avg Week Maddu-Kanoni'!K44</f>
        <v>0.14285714285714285</v>
      </c>
      <c r="L44" s="49">
        <f>'Avg Week Kanoni-Maddu'!L44+'Avg Week Maddu-Kanoni'!L44</f>
        <v>0</v>
      </c>
      <c r="M44" s="49">
        <f>'Avg Week Kanoni-Maddu'!M44+'Avg Week Maddu-Kanoni'!M44</f>
        <v>20.857142857142858</v>
      </c>
      <c r="N44" s="49">
        <f>'Avg Week Kanoni-Maddu'!N44+'Avg Week Maddu-Kanoni'!N44</f>
        <v>0</v>
      </c>
      <c r="O44" s="15">
        <f t="shared" si="0"/>
        <v>11.428571428571427</v>
      </c>
      <c r="P44" s="15">
        <f t="shared" si="1"/>
        <v>32.285714285714285</v>
      </c>
    </row>
    <row r="45" spans="2:32" ht="23.1" customHeight="1" x14ac:dyDescent="0.25">
      <c r="B45" s="23" t="s">
        <v>72</v>
      </c>
      <c r="C45" s="49">
        <f>'Avg Week Kanoni-Maddu'!C45+'Avg Week Maddu-Kanoni'!C45</f>
        <v>1.5714285714285714</v>
      </c>
      <c r="D45" s="49">
        <f>'Avg Week Kanoni-Maddu'!D45+'Avg Week Maddu-Kanoni'!D45</f>
        <v>2.7142857142857144</v>
      </c>
      <c r="E45" s="49">
        <f>'Avg Week Kanoni-Maddu'!E45+'Avg Week Maddu-Kanoni'!E45</f>
        <v>1.2857142857142856</v>
      </c>
      <c r="F45" s="49">
        <f>'Avg Week Kanoni-Maddu'!F45+'Avg Week Maddu-Kanoni'!F45</f>
        <v>2.4285714285714288</v>
      </c>
      <c r="G45" s="49">
        <f>'Avg Week Kanoni-Maddu'!G45+'Avg Week Maddu-Kanoni'!G45</f>
        <v>0</v>
      </c>
      <c r="H45" s="49">
        <f>'Avg Week Kanoni-Maddu'!H45+'Avg Week Maddu-Kanoni'!H45</f>
        <v>0</v>
      </c>
      <c r="I45" s="49">
        <f>'Avg Week Kanoni-Maddu'!I45+'Avg Week Maddu-Kanoni'!I45</f>
        <v>0.71428571428571419</v>
      </c>
      <c r="J45" s="49">
        <f>'Avg Week Kanoni-Maddu'!J45+'Avg Week Maddu-Kanoni'!J45</f>
        <v>0.71428571428571419</v>
      </c>
      <c r="K45" s="49">
        <f>'Avg Week Kanoni-Maddu'!K45+'Avg Week Maddu-Kanoni'!K45</f>
        <v>0.2857142857142857</v>
      </c>
      <c r="L45" s="49">
        <f>'Avg Week Kanoni-Maddu'!L45+'Avg Week Maddu-Kanoni'!L45</f>
        <v>0</v>
      </c>
      <c r="M45" s="49">
        <f>'Avg Week Kanoni-Maddu'!M45+'Avg Week Maddu-Kanoni'!M45</f>
        <v>20.857142857142858</v>
      </c>
      <c r="N45" s="49">
        <f>'Avg Week Kanoni-Maddu'!N45+'Avg Week Maddu-Kanoni'!N45</f>
        <v>0</v>
      </c>
      <c r="O45" s="15">
        <f t="shared" si="0"/>
        <v>9.7142857142857135</v>
      </c>
      <c r="P45" s="15">
        <f t="shared" si="1"/>
        <v>30.571428571428569</v>
      </c>
    </row>
    <row r="46" spans="2:32" ht="23.1" customHeight="1" x14ac:dyDescent="0.25">
      <c r="B46" s="24" t="s">
        <v>73</v>
      </c>
      <c r="C46" s="49">
        <f>'Avg Week Kanoni-Maddu'!C46+'Avg Week Maddu-Kanoni'!C46</f>
        <v>3.5714285714285712</v>
      </c>
      <c r="D46" s="49">
        <f>'Avg Week Kanoni-Maddu'!D46+'Avg Week Maddu-Kanoni'!D46</f>
        <v>1</v>
      </c>
      <c r="E46" s="49">
        <f>'Avg Week Kanoni-Maddu'!E46+'Avg Week Maddu-Kanoni'!E46</f>
        <v>1.2857142857142856</v>
      </c>
      <c r="F46" s="49">
        <f>'Avg Week Kanoni-Maddu'!F46+'Avg Week Maddu-Kanoni'!F46</f>
        <v>3.1428571428571428</v>
      </c>
      <c r="G46" s="49">
        <f>'Avg Week Kanoni-Maddu'!G46+'Avg Week Maddu-Kanoni'!G46</f>
        <v>0.2857142857142857</v>
      </c>
      <c r="H46" s="49">
        <f>'Avg Week Kanoni-Maddu'!H46+'Avg Week Maddu-Kanoni'!H46</f>
        <v>0.14285714285714285</v>
      </c>
      <c r="I46" s="49">
        <f>'Avg Week Kanoni-Maddu'!I46+'Avg Week Maddu-Kanoni'!I46</f>
        <v>1</v>
      </c>
      <c r="J46" s="49">
        <f>'Avg Week Kanoni-Maddu'!J46+'Avg Week Maddu-Kanoni'!J46</f>
        <v>0.85714285714285721</v>
      </c>
      <c r="K46" s="49">
        <f>'Avg Week Kanoni-Maddu'!K46+'Avg Week Maddu-Kanoni'!K46</f>
        <v>0.14285714285714285</v>
      </c>
      <c r="L46" s="49">
        <f>'Avg Week Kanoni-Maddu'!L46+'Avg Week Maddu-Kanoni'!L46</f>
        <v>0</v>
      </c>
      <c r="M46" s="49">
        <f>'Avg Week Kanoni-Maddu'!M46+'Avg Week Maddu-Kanoni'!M46</f>
        <v>21</v>
      </c>
      <c r="N46" s="49">
        <f>'Avg Week Kanoni-Maddu'!N46+'Avg Week Maddu-Kanoni'!N46</f>
        <v>0</v>
      </c>
      <c r="O46" s="15">
        <f t="shared" si="0"/>
        <v>11.428571428571429</v>
      </c>
      <c r="P46" s="15">
        <f t="shared" si="1"/>
        <v>32.428571428571431</v>
      </c>
      <c r="R46" s="8"/>
      <c r="T46"/>
    </row>
    <row r="47" spans="2:32" ht="23.1" customHeight="1" x14ac:dyDescent="0.25">
      <c r="B47" s="24" t="s">
        <v>74</v>
      </c>
      <c r="C47" s="49">
        <f>'Avg Week Kanoni-Maddu'!C47+'Avg Week Maddu-Kanoni'!C47</f>
        <v>4.8571428571428568</v>
      </c>
      <c r="D47" s="49">
        <f>'Avg Week Kanoni-Maddu'!D47+'Avg Week Maddu-Kanoni'!D47</f>
        <v>1</v>
      </c>
      <c r="E47" s="49">
        <f>'Avg Week Kanoni-Maddu'!E47+'Avg Week Maddu-Kanoni'!E47</f>
        <v>1.5714285714285714</v>
      </c>
      <c r="F47" s="49">
        <f>'Avg Week Kanoni-Maddu'!F47+'Avg Week Maddu-Kanoni'!F47</f>
        <v>4.8571428571428577</v>
      </c>
      <c r="G47" s="49">
        <f>'Avg Week Kanoni-Maddu'!G47+'Avg Week Maddu-Kanoni'!G47</f>
        <v>0.14285714285714285</v>
      </c>
      <c r="H47" s="49">
        <f>'Avg Week Kanoni-Maddu'!H47+'Avg Week Maddu-Kanoni'!H47</f>
        <v>0</v>
      </c>
      <c r="I47" s="49">
        <f>'Avg Week Kanoni-Maddu'!I47+'Avg Week Maddu-Kanoni'!I47</f>
        <v>1.4285714285714284</v>
      </c>
      <c r="J47" s="49">
        <f>'Avg Week Kanoni-Maddu'!J47+'Avg Week Maddu-Kanoni'!J47</f>
        <v>1.2857142857142856</v>
      </c>
      <c r="K47" s="49">
        <f>'Avg Week Kanoni-Maddu'!K47+'Avg Week Maddu-Kanoni'!K47</f>
        <v>0.5714285714285714</v>
      </c>
      <c r="L47" s="49">
        <f>'Avg Week Kanoni-Maddu'!L47+'Avg Week Maddu-Kanoni'!L47</f>
        <v>0</v>
      </c>
      <c r="M47" s="49">
        <f>'Avg Week Kanoni-Maddu'!M47+'Avg Week Maddu-Kanoni'!M47</f>
        <v>29.857142857142854</v>
      </c>
      <c r="N47" s="49">
        <f>'Avg Week Kanoni-Maddu'!N47+'Avg Week Maddu-Kanoni'!N47</f>
        <v>0</v>
      </c>
      <c r="O47" s="15">
        <f t="shared" si="0"/>
        <v>15.714285714285714</v>
      </c>
      <c r="P47" s="15">
        <f t="shared" si="1"/>
        <v>45.571428571428569</v>
      </c>
      <c r="R47" s="8"/>
      <c r="T47"/>
    </row>
    <row r="48" spans="2:32" ht="23.1" customHeight="1" x14ac:dyDescent="0.25">
      <c r="B48" s="24" t="s">
        <v>75</v>
      </c>
      <c r="C48" s="49">
        <f>'Avg Week Kanoni-Maddu'!C48+'Avg Week Maddu-Kanoni'!C48</f>
        <v>3.1428571428571428</v>
      </c>
      <c r="D48" s="49">
        <f>'Avg Week Kanoni-Maddu'!D48+'Avg Week Maddu-Kanoni'!D48</f>
        <v>2.1428571428571428</v>
      </c>
      <c r="E48" s="49">
        <f>'Avg Week Kanoni-Maddu'!E48+'Avg Week Maddu-Kanoni'!E48</f>
        <v>2.1428571428571428</v>
      </c>
      <c r="F48" s="49">
        <f>'Avg Week Kanoni-Maddu'!F48+'Avg Week Maddu-Kanoni'!F48</f>
        <v>3.8571428571428568</v>
      </c>
      <c r="G48" s="49">
        <f>'Avg Week Kanoni-Maddu'!G48+'Avg Week Maddu-Kanoni'!G48</f>
        <v>0</v>
      </c>
      <c r="H48" s="49">
        <f>'Avg Week Kanoni-Maddu'!H48+'Avg Week Maddu-Kanoni'!H48</f>
        <v>0</v>
      </c>
      <c r="I48" s="49">
        <f>'Avg Week Kanoni-Maddu'!I48+'Avg Week Maddu-Kanoni'!I48</f>
        <v>1.8571428571428572</v>
      </c>
      <c r="J48" s="49">
        <f>'Avg Week Kanoni-Maddu'!J48+'Avg Week Maddu-Kanoni'!J48</f>
        <v>0.71428571428571419</v>
      </c>
      <c r="K48" s="49">
        <f>'Avg Week Kanoni-Maddu'!K48+'Avg Week Maddu-Kanoni'!K48</f>
        <v>0.42857142857142855</v>
      </c>
      <c r="L48" s="49">
        <f>'Avg Week Kanoni-Maddu'!L48+'Avg Week Maddu-Kanoni'!L48</f>
        <v>0</v>
      </c>
      <c r="M48" s="49">
        <f>'Avg Week Kanoni-Maddu'!M48+'Avg Week Maddu-Kanoni'!M48</f>
        <v>26.714285714285715</v>
      </c>
      <c r="N48" s="49">
        <f>'Avg Week Kanoni-Maddu'!N48+'Avg Week Maddu-Kanoni'!N48</f>
        <v>0</v>
      </c>
      <c r="O48" s="15">
        <f t="shared" si="0"/>
        <v>14.285714285714285</v>
      </c>
      <c r="P48" s="15">
        <f t="shared" si="1"/>
        <v>41</v>
      </c>
      <c r="R48" s="8"/>
      <c r="T48"/>
    </row>
    <row r="49" spans="2:20" ht="23.1" customHeight="1" x14ac:dyDescent="0.25">
      <c r="B49" s="23" t="s">
        <v>76</v>
      </c>
      <c r="C49" s="49">
        <f>'Avg Week Kanoni-Maddu'!C49+'Avg Week Maddu-Kanoni'!C49</f>
        <v>4</v>
      </c>
      <c r="D49" s="49">
        <f>'Avg Week Kanoni-Maddu'!D49+'Avg Week Maddu-Kanoni'!D49</f>
        <v>1.5714285714285714</v>
      </c>
      <c r="E49" s="49">
        <f>'Avg Week Kanoni-Maddu'!E49+'Avg Week Maddu-Kanoni'!E49</f>
        <v>0.8571428571428571</v>
      </c>
      <c r="F49" s="49">
        <f>'Avg Week Kanoni-Maddu'!F49+'Avg Week Maddu-Kanoni'!F49</f>
        <v>3.7142857142857144</v>
      </c>
      <c r="G49" s="49">
        <f>'Avg Week Kanoni-Maddu'!G49+'Avg Week Maddu-Kanoni'!G49</f>
        <v>0</v>
      </c>
      <c r="H49" s="49">
        <f>'Avg Week Kanoni-Maddu'!H49+'Avg Week Maddu-Kanoni'!H49</f>
        <v>0</v>
      </c>
      <c r="I49" s="49">
        <f>'Avg Week Kanoni-Maddu'!I49+'Avg Week Maddu-Kanoni'!I49</f>
        <v>1.7142857142857142</v>
      </c>
      <c r="J49" s="49">
        <f>'Avg Week Kanoni-Maddu'!J49+'Avg Week Maddu-Kanoni'!J49</f>
        <v>0.71428571428571419</v>
      </c>
      <c r="K49" s="49">
        <f>'Avg Week Kanoni-Maddu'!K49+'Avg Week Maddu-Kanoni'!K49</f>
        <v>0</v>
      </c>
      <c r="L49" s="49">
        <f>'Avg Week Kanoni-Maddu'!L49+'Avg Week Maddu-Kanoni'!L49</f>
        <v>0</v>
      </c>
      <c r="M49" s="49">
        <f>'Avg Week Kanoni-Maddu'!M49+'Avg Week Maddu-Kanoni'!M49</f>
        <v>26.714285714285715</v>
      </c>
      <c r="N49" s="49">
        <f>'Avg Week Kanoni-Maddu'!N49+'Avg Week Maddu-Kanoni'!N49</f>
        <v>0</v>
      </c>
      <c r="O49" s="15">
        <f t="shared" si="0"/>
        <v>12.571428571428569</v>
      </c>
      <c r="P49" s="15">
        <f t="shared" si="1"/>
        <v>39.285714285714285</v>
      </c>
      <c r="R49" s="8"/>
      <c r="T49"/>
    </row>
    <row r="50" spans="2:20" ht="23.1" customHeight="1" x14ac:dyDescent="0.25">
      <c r="B50" s="24" t="s">
        <v>77</v>
      </c>
      <c r="C50" s="49">
        <f>'Avg Week Kanoni-Maddu'!C50+'Avg Week Maddu-Kanoni'!C50</f>
        <v>4.2857142857142856</v>
      </c>
      <c r="D50" s="49">
        <f>'Avg Week Kanoni-Maddu'!D50+'Avg Week Maddu-Kanoni'!D50</f>
        <v>0.8571428571428571</v>
      </c>
      <c r="E50" s="49">
        <f>'Avg Week Kanoni-Maddu'!E50+'Avg Week Maddu-Kanoni'!E50</f>
        <v>0.5714285714285714</v>
      </c>
      <c r="F50" s="49">
        <f>'Avg Week Kanoni-Maddu'!F50+'Avg Week Maddu-Kanoni'!F50</f>
        <v>4.8571428571428568</v>
      </c>
      <c r="G50" s="49">
        <f>'Avg Week Kanoni-Maddu'!G50+'Avg Week Maddu-Kanoni'!G50</f>
        <v>0</v>
      </c>
      <c r="H50" s="49">
        <f>'Avg Week Kanoni-Maddu'!H50+'Avg Week Maddu-Kanoni'!H50</f>
        <v>0</v>
      </c>
      <c r="I50" s="49">
        <f>'Avg Week Kanoni-Maddu'!I50+'Avg Week Maddu-Kanoni'!I50</f>
        <v>0.5714285714285714</v>
      </c>
      <c r="J50" s="49">
        <f>'Avg Week Kanoni-Maddu'!J50+'Avg Week Maddu-Kanoni'!J50</f>
        <v>0.85714285714285721</v>
      </c>
      <c r="K50" s="49">
        <f>'Avg Week Kanoni-Maddu'!K50+'Avg Week Maddu-Kanoni'!K50</f>
        <v>0.2857142857142857</v>
      </c>
      <c r="L50" s="49">
        <f>'Avg Week Kanoni-Maddu'!L50+'Avg Week Maddu-Kanoni'!L50</f>
        <v>0</v>
      </c>
      <c r="M50" s="49">
        <f>'Avg Week Kanoni-Maddu'!M50+'Avg Week Maddu-Kanoni'!M50</f>
        <v>25.428571428571431</v>
      </c>
      <c r="N50" s="49">
        <f>'Avg Week Kanoni-Maddu'!N50+'Avg Week Maddu-Kanoni'!N50</f>
        <v>0</v>
      </c>
      <c r="O50" s="15">
        <f t="shared" si="0"/>
        <v>12.285714285714285</v>
      </c>
      <c r="P50" s="15">
        <f t="shared" si="1"/>
        <v>37.714285714285715</v>
      </c>
      <c r="R50" s="8"/>
      <c r="T50"/>
    </row>
    <row r="51" spans="2:20" ht="23.1" customHeight="1" x14ac:dyDescent="0.25">
      <c r="B51" s="24" t="s">
        <v>78</v>
      </c>
      <c r="C51" s="49">
        <f>'Avg Week Kanoni-Maddu'!C51+'Avg Week Maddu-Kanoni'!C51</f>
        <v>5.7142857142857144</v>
      </c>
      <c r="D51" s="49">
        <f>'Avg Week Kanoni-Maddu'!D51+'Avg Week Maddu-Kanoni'!D51</f>
        <v>1.4285714285714286</v>
      </c>
      <c r="E51" s="49">
        <f>'Avg Week Kanoni-Maddu'!E51+'Avg Week Maddu-Kanoni'!E51</f>
        <v>1.4285714285714286</v>
      </c>
      <c r="F51" s="49">
        <f>'Avg Week Kanoni-Maddu'!F51+'Avg Week Maddu-Kanoni'!F51</f>
        <v>4.1428571428571432</v>
      </c>
      <c r="G51" s="49">
        <f>'Avg Week Kanoni-Maddu'!G51+'Avg Week Maddu-Kanoni'!G51</f>
        <v>0</v>
      </c>
      <c r="H51" s="49">
        <f>'Avg Week Kanoni-Maddu'!H51+'Avg Week Maddu-Kanoni'!H51</f>
        <v>0</v>
      </c>
      <c r="I51" s="49">
        <f>'Avg Week Kanoni-Maddu'!I51+'Avg Week Maddu-Kanoni'!I51</f>
        <v>0.8571428571428571</v>
      </c>
      <c r="J51" s="49">
        <f>'Avg Week Kanoni-Maddu'!J51+'Avg Week Maddu-Kanoni'!J51</f>
        <v>0.5714285714285714</v>
      </c>
      <c r="K51" s="49">
        <f>'Avg Week Kanoni-Maddu'!K51+'Avg Week Maddu-Kanoni'!K51</f>
        <v>0.71428571428571419</v>
      </c>
      <c r="L51" s="49">
        <f>'Avg Week Kanoni-Maddu'!L51+'Avg Week Maddu-Kanoni'!L51</f>
        <v>0</v>
      </c>
      <c r="M51" s="49">
        <f>'Avg Week Kanoni-Maddu'!M51+'Avg Week Maddu-Kanoni'!M51</f>
        <v>22.285714285714285</v>
      </c>
      <c r="N51" s="49">
        <f>'Avg Week Kanoni-Maddu'!N51+'Avg Week Maddu-Kanoni'!N51</f>
        <v>0.14285714285714285</v>
      </c>
      <c r="O51" s="15">
        <f t="shared" si="0"/>
        <v>15</v>
      </c>
      <c r="P51" s="15">
        <f t="shared" si="1"/>
        <v>37.285714285714285</v>
      </c>
      <c r="R51" s="8"/>
      <c r="T51"/>
    </row>
    <row r="52" spans="2:20" ht="23.1" customHeight="1" x14ac:dyDescent="0.25">
      <c r="B52" s="24" t="s">
        <v>79</v>
      </c>
      <c r="C52" s="49">
        <f>'Avg Week Kanoni-Maddu'!C52+'Avg Week Maddu-Kanoni'!C52</f>
        <v>4.1428571428571432</v>
      </c>
      <c r="D52" s="49">
        <f>'Avg Week Kanoni-Maddu'!D52+'Avg Week Maddu-Kanoni'!D52</f>
        <v>2</v>
      </c>
      <c r="E52" s="49">
        <f>'Avg Week Kanoni-Maddu'!E52+'Avg Week Maddu-Kanoni'!E52</f>
        <v>1.4285714285714284</v>
      </c>
      <c r="F52" s="49">
        <f>'Avg Week Kanoni-Maddu'!F52+'Avg Week Maddu-Kanoni'!F52</f>
        <v>5.7142857142857144</v>
      </c>
      <c r="G52" s="49">
        <f>'Avg Week Kanoni-Maddu'!G52+'Avg Week Maddu-Kanoni'!G52</f>
        <v>0</v>
      </c>
      <c r="H52" s="49">
        <f>'Avg Week Kanoni-Maddu'!H52+'Avg Week Maddu-Kanoni'!H52</f>
        <v>0</v>
      </c>
      <c r="I52" s="49">
        <f>'Avg Week Kanoni-Maddu'!I52+'Avg Week Maddu-Kanoni'!I52</f>
        <v>1.2857142857142856</v>
      </c>
      <c r="J52" s="49">
        <f>'Avg Week Kanoni-Maddu'!J52+'Avg Week Maddu-Kanoni'!J52</f>
        <v>1.1428571428571428</v>
      </c>
      <c r="K52" s="49">
        <f>'Avg Week Kanoni-Maddu'!K52+'Avg Week Maddu-Kanoni'!K52</f>
        <v>0.2857142857142857</v>
      </c>
      <c r="L52" s="49">
        <f>'Avg Week Kanoni-Maddu'!L52+'Avg Week Maddu-Kanoni'!L52</f>
        <v>0.14285714285714285</v>
      </c>
      <c r="M52" s="49">
        <f>'Avg Week Kanoni-Maddu'!M52+'Avg Week Maddu-Kanoni'!M52</f>
        <v>24.285714285714285</v>
      </c>
      <c r="N52" s="49">
        <f>'Avg Week Kanoni-Maddu'!N52+'Avg Week Maddu-Kanoni'!N52</f>
        <v>0</v>
      </c>
      <c r="O52" s="15">
        <f t="shared" si="0"/>
        <v>16.142857142857142</v>
      </c>
      <c r="P52" s="15">
        <f t="shared" si="1"/>
        <v>40.428571428571431</v>
      </c>
      <c r="R52" s="8"/>
      <c r="T52"/>
    </row>
    <row r="53" spans="2:20" ht="23.1" customHeight="1" x14ac:dyDescent="0.25">
      <c r="B53" s="23" t="s">
        <v>80</v>
      </c>
      <c r="C53" s="49">
        <f>'Avg Week Kanoni-Maddu'!C53+'Avg Week Maddu-Kanoni'!C53</f>
        <v>2.5714285714285712</v>
      </c>
      <c r="D53" s="49">
        <f>'Avg Week Kanoni-Maddu'!D53+'Avg Week Maddu-Kanoni'!D53</f>
        <v>1.7142857142857144</v>
      </c>
      <c r="E53" s="49">
        <f>'Avg Week Kanoni-Maddu'!E53+'Avg Week Maddu-Kanoni'!E53</f>
        <v>1.1428571428571428</v>
      </c>
      <c r="F53" s="49">
        <f>'Avg Week Kanoni-Maddu'!F53+'Avg Week Maddu-Kanoni'!F53</f>
        <v>3.1428571428571432</v>
      </c>
      <c r="G53" s="49">
        <f>'Avg Week Kanoni-Maddu'!G53+'Avg Week Maddu-Kanoni'!G53</f>
        <v>0.5714285714285714</v>
      </c>
      <c r="H53" s="49">
        <f>'Avg Week Kanoni-Maddu'!H53+'Avg Week Maddu-Kanoni'!H53</f>
        <v>0</v>
      </c>
      <c r="I53" s="49">
        <f>'Avg Week Kanoni-Maddu'!I53+'Avg Week Maddu-Kanoni'!I53</f>
        <v>1</v>
      </c>
      <c r="J53" s="49">
        <f>'Avg Week Kanoni-Maddu'!J53+'Avg Week Maddu-Kanoni'!J53</f>
        <v>0.2857142857142857</v>
      </c>
      <c r="K53" s="49">
        <f>'Avg Week Kanoni-Maddu'!K53+'Avg Week Maddu-Kanoni'!K53</f>
        <v>0.5714285714285714</v>
      </c>
      <c r="L53" s="49">
        <f>'Avg Week Kanoni-Maddu'!L53+'Avg Week Maddu-Kanoni'!L53</f>
        <v>0</v>
      </c>
      <c r="M53" s="49">
        <f>'Avg Week Kanoni-Maddu'!M53+'Avg Week Maddu-Kanoni'!M53</f>
        <v>28.571428571428569</v>
      </c>
      <c r="N53" s="49">
        <f>'Avg Week Kanoni-Maddu'!N53+'Avg Week Maddu-Kanoni'!N53</f>
        <v>0</v>
      </c>
      <c r="O53" s="15">
        <f t="shared" si="0"/>
        <v>11.000000000000002</v>
      </c>
      <c r="P53" s="15">
        <f t="shared" si="1"/>
        <v>39.571428571428569</v>
      </c>
      <c r="R53" s="8"/>
      <c r="T53"/>
    </row>
    <row r="54" spans="2:20" ht="23.1" customHeight="1" x14ac:dyDescent="0.25">
      <c r="B54" s="23" t="s">
        <v>81</v>
      </c>
      <c r="C54" s="49">
        <f>'Avg Week Kanoni-Maddu'!C54+'Avg Week Maddu-Kanoni'!C54</f>
        <v>4.2857142857142856</v>
      </c>
      <c r="D54" s="49">
        <f>'Avg Week Kanoni-Maddu'!D54+'Avg Week Maddu-Kanoni'!D54</f>
        <v>1.1428571428571428</v>
      </c>
      <c r="E54" s="49">
        <f>'Avg Week Kanoni-Maddu'!E54+'Avg Week Maddu-Kanoni'!E54</f>
        <v>1.5714285714285714</v>
      </c>
      <c r="F54" s="49">
        <f>'Avg Week Kanoni-Maddu'!F54+'Avg Week Maddu-Kanoni'!F54</f>
        <v>5.5714285714285712</v>
      </c>
      <c r="G54" s="49">
        <f>'Avg Week Kanoni-Maddu'!G54+'Avg Week Maddu-Kanoni'!G54</f>
        <v>0.14285714285714285</v>
      </c>
      <c r="H54" s="49">
        <f>'Avg Week Kanoni-Maddu'!H54+'Avg Week Maddu-Kanoni'!H54</f>
        <v>0</v>
      </c>
      <c r="I54" s="49">
        <f>'Avg Week Kanoni-Maddu'!I54+'Avg Week Maddu-Kanoni'!I54</f>
        <v>1</v>
      </c>
      <c r="J54" s="49">
        <f>'Avg Week Kanoni-Maddu'!J54+'Avg Week Maddu-Kanoni'!J54</f>
        <v>0.5714285714285714</v>
      </c>
      <c r="K54" s="49">
        <f>'Avg Week Kanoni-Maddu'!K54+'Avg Week Maddu-Kanoni'!K54</f>
        <v>0.14285714285714285</v>
      </c>
      <c r="L54" s="49">
        <f>'Avg Week Kanoni-Maddu'!L54+'Avg Week Maddu-Kanoni'!L54</f>
        <v>0</v>
      </c>
      <c r="M54" s="49">
        <f>'Avg Week Kanoni-Maddu'!M54+'Avg Week Maddu-Kanoni'!M54</f>
        <v>19.857142857142858</v>
      </c>
      <c r="N54" s="49">
        <f>'Avg Week Kanoni-Maddu'!N54+'Avg Week Maddu-Kanoni'!N54</f>
        <v>0</v>
      </c>
      <c r="O54" s="15">
        <f t="shared" si="0"/>
        <v>14.428571428571427</v>
      </c>
      <c r="P54" s="15">
        <f t="shared" si="1"/>
        <v>34.285714285714285</v>
      </c>
      <c r="R54" s="8"/>
      <c r="T54"/>
    </row>
    <row r="55" spans="2:20" ht="23.1" customHeight="1" x14ac:dyDescent="0.25">
      <c r="B55" s="23" t="s">
        <v>82</v>
      </c>
      <c r="C55" s="49">
        <f>'Avg Week Kanoni-Maddu'!C55+'Avg Week Maddu-Kanoni'!C55</f>
        <v>3.8571428571428568</v>
      </c>
      <c r="D55" s="49">
        <f>'Avg Week Kanoni-Maddu'!D55+'Avg Week Maddu-Kanoni'!D55</f>
        <v>1.8571428571428572</v>
      </c>
      <c r="E55" s="49">
        <f>'Avg Week Kanoni-Maddu'!E55+'Avg Week Maddu-Kanoni'!E55</f>
        <v>1.2857142857142856</v>
      </c>
      <c r="F55" s="49">
        <f>'Avg Week Kanoni-Maddu'!F55+'Avg Week Maddu-Kanoni'!F55</f>
        <v>3.5714285714285712</v>
      </c>
      <c r="G55" s="49">
        <f>'Avg Week Kanoni-Maddu'!G55+'Avg Week Maddu-Kanoni'!G55</f>
        <v>0</v>
      </c>
      <c r="H55" s="49">
        <f>'Avg Week Kanoni-Maddu'!H55+'Avg Week Maddu-Kanoni'!H55</f>
        <v>0</v>
      </c>
      <c r="I55" s="49">
        <f>'Avg Week Kanoni-Maddu'!I55+'Avg Week Maddu-Kanoni'!I55</f>
        <v>1.1428571428571428</v>
      </c>
      <c r="J55" s="49">
        <f>'Avg Week Kanoni-Maddu'!J55+'Avg Week Maddu-Kanoni'!J55</f>
        <v>0.2857142857142857</v>
      </c>
      <c r="K55" s="49">
        <f>'Avg Week Kanoni-Maddu'!K55+'Avg Week Maddu-Kanoni'!K55</f>
        <v>0.71428571428571419</v>
      </c>
      <c r="L55" s="49">
        <f>'Avg Week Kanoni-Maddu'!L55+'Avg Week Maddu-Kanoni'!L55</f>
        <v>0</v>
      </c>
      <c r="M55" s="49">
        <f>'Avg Week Kanoni-Maddu'!M55+'Avg Week Maddu-Kanoni'!M55</f>
        <v>22.142857142857146</v>
      </c>
      <c r="N55" s="49">
        <f>'Avg Week Kanoni-Maddu'!N55+'Avg Week Maddu-Kanoni'!N55</f>
        <v>0</v>
      </c>
      <c r="O55" s="15">
        <f t="shared" si="0"/>
        <v>12.714285714285712</v>
      </c>
      <c r="P55" s="15">
        <f t="shared" si="1"/>
        <v>34.857142857142861</v>
      </c>
      <c r="R55" s="8"/>
      <c r="T55"/>
    </row>
    <row r="56" spans="2:20" ht="23.1" customHeight="1" x14ac:dyDescent="0.25">
      <c r="B56" s="23" t="s">
        <v>83</v>
      </c>
      <c r="C56" s="49">
        <f>'Avg Week Kanoni-Maddu'!C56+'Avg Week Maddu-Kanoni'!C56</f>
        <v>4.1428571428571432</v>
      </c>
      <c r="D56" s="49">
        <f>'Avg Week Kanoni-Maddu'!D56+'Avg Week Maddu-Kanoni'!D56</f>
        <v>2</v>
      </c>
      <c r="E56" s="49">
        <f>'Avg Week Kanoni-Maddu'!E56+'Avg Week Maddu-Kanoni'!E56</f>
        <v>1</v>
      </c>
      <c r="F56" s="49">
        <f>'Avg Week Kanoni-Maddu'!F56+'Avg Week Maddu-Kanoni'!F56</f>
        <v>2.7142857142857144</v>
      </c>
      <c r="G56" s="49">
        <f>'Avg Week Kanoni-Maddu'!G56+'Avg Week Maddu-Kanoni'!G56</f>
        <v>0</v>
      </c>
      <c r="H56" s="49">
        <f>'Avg Week Kanoni-Maddu'!H56+'Avg Week Maddu-Kanoni'!H56</f>
        <v>0</v>
      </c>
      <c r="I56" s="49">
        <f>'Avg Week Kanoni-Maddu'!I56+'Avg Week Maddu-Kanoni'!I56</f>
        <v>0.71428571428571419</v>
      </c>
      <c r="J56" s="49">
        <f>'Avg Week Kanoni-Maddu'!J56+'Avg Week Maddu-Kanoni'!J56</f>
        <v>0.2857142857142857</v>
      </c>
      <c r="K56" s="49">
        <f>'Avg Week Kanoni-Maddu'!K56+'Avg Week Maddu-Kanoni'!K56</f>
        <v>0.42857142857142855</v>
      </c>
      <c r="L56" s="49">
        <f>'Avg Week Kanoni-Maddu'!L56+'Avg Week Maddu-Kanoni'!L56</f>
        <v>0.14285714285714285</v>
      </c>
      <c r="M56" s="49">
        <f>'Avg Week Kanoni-Maddu'!M56+'Avg Week Maddu-Kanoni'!M56</f>
        <v>17.857142857142858</v>
      </c>
      <c r="N56" s="49">
        <f>'Avg Week Kanoni-Maddu'!N56+'Avg Week Maddu-Kanoni'!N56</f>
        <v>0</v>
      </c>
      <c r="O56" s="15">
        <f t="shared" si="0"/>
        <v>11.428571428571429</v>
      </c>
      <c r="P56" s="15">
        <f t="shared" si="1"/>
        <v>29.285714285714285</v>
      </c>
      <c r="R56" s="8"/>
      <c r="T56"/>
    </row>
    <row r="57" spans="2:20" ht="23.1" customHeight="1" x14ac:dyDescent="0.25">
      <c r="B57" s="23" t="s">
        <v>84</v>
      </c>
      <c r="C57" s="49">
        <f>'Avg Week Kanoni-Maddu'!C57+'Avg Week Maddu-Kanoni'!C57</f>
        <v>4.2857142857142856</v>
      </c>
      <c r="D57" s="49">
        <f>'Avg Week Kanoni-Maddu'!D57+'Avg Week Maddu-Kanoni'!D57</f>
        <v>2.2857142857142856</v>
      </c>
      <c r="E57" s="49">
        <f>'Avg Week Kanoni-Maddu'!E57+'Avg Week Maddu-Kanoni'!E57</f>
        <v>1.857142857142857</v>
      </c>
      <c r="F57" s="49">
        <f>'Avg Week Kanoni-Maddu'!F57+'Avg Week Maddu-Kanoni'!F57</f>
        <v>3.4285714285714288</v>
      </c>
      <c r="G57" s="49">
        <f>'Avg Week Kanoni-Maddu'!G57+'Avg Week Maddu-Kanoni'!G57</f>
        <v>0</v>
      </c>
      <c r="H57" s="49">
        <f>'Avg Week Kanoni-Maddu'!H57+'Avg Week Maddu-Kanoni'!H57</f>
        <v>0</v>
      </c>
      <c r="I57" s="49">
        <f>'Avg Week Kanoni-Maddu'!I57+'Avg Week Maddu-Kanoni'!I57</f>
        <v>1.5714285714285714</v>
      </c>
      <c r="J57" s="49">
        <f>'Avg Week Kanoni-Maddu'!J57+'Avg Week Maddu-Kanoni'!J57</f>
        <v>0.42857142857142855</v>
      </c>
      <c r="K57" s="49">
        <f>'Avg Week Kanoni-Maddu'!K57+'Avg Week Maddu-Kanoni'!K57</f>
        <v>0</v>
      </c>
      <c r="L57" s="49">
        <f>'Avg Week Kanoni-Maddu'!L57+'Avg Week Maddu-Kanoni'!L57</f>
        <v>0</v>
      </c>
      <c r="M57" s="49">
        <f>'Avg Week Kanoni-Maddu'!M57+'Avg Week Maddu-Kanoni'!M57</f>
        <v>21.285714285714285</v>
      </c>
      <c r="N57" s="49">
        <f>'Avg Week Kanoni-Maddu'!N57+'Avg Week Maddu-Kanoni'!N57</f>
        <v>0</v>
      </c>
      <c r="O57" s="15">
        <f t="shared" si="0"/>
        <v>13.857142857142858</v>
      </c>
      <c r="P57" s="15">
        <f t="shared" si="1"/>
        <v>35.142857142857139</v>
      </c>
      <c r="R57" s="8"/>
      <c r="T57"/>
    </row>
    <row r="58" spans="2:20" ht="23.1" customHeight="1" x14ac:dyDescent="0.25">
      <c r="B58" s="23" t="s">
        <v>99</v>
      </c>
      <c r="C58" s="49">
        <f>'Avg Week Kanoni-Maddu'!C58+'Avg Week Maddu-Kanoni'!C58</f>
        <v>5</v>
      </c>
      <c r="D58" s="49">
        <f>'Avg Week Kanoni-Maddu'!D58+'Avg Week Maddu-Kanoni'!D58</f>
        <v>1</v>
      </c>
      <c r="E58" s="49">
        <f>'Avg Week Kanoni-Maddu'!E58+'Avg Week Maddu-Kanoni'!E58</f>
        <v>1</v>
      </c>
      <c r="F58" s="49">
        <f>'Avg Week Kanoni-Maddu'!F58+'Avg Week Maddu-Kanoni'!F58</f>
        <v>4.5</v>
      </c>
      <c r="G58" s="49">
        <f>'Avg Week Kanoni-Maddu'!G58+'Avg Week Maddu-Kanoni'!G58</f>
        <v>0</v>
      </c>
      <c r="H58" s="49">
        <f>'Avg Week Kanoni-Maddu'!H58+'Avg Week Maddu-Kanoni'!H58</f>
        <v>0</v>
      </c>
      <c r="I58" s="49">
        <f>'Avg Week Kanoni-Maddu'!I58+'Avg Week Maddu-Kanoni'!I58</f>
        <v>3.5</v>
      </c>
      <c r="J58" s="49">
        <f>'Avg Week Kanoni-Maddu'!J58+'Avg Week Maddu-Kanoni'!J58</f>
        <v>2</v>
      </c>
      <c r="K58" s="49">
        <f>'Avg Week Kanoni-Maddu'!K58+'Avg Week Maddu-Kanoni'!K58</f>
        <v>0.5</v>
      </c>
      <c r="L58" s="49">
        <f>'Avg Week Kanoni-Maddu'!L58+'Avg Week Maddu-Kanoni'!L58</f>
        <v>0</v>
      </c>
      <c r="M58" s="49">
        <f>'Avg Week Kanoni-Maddu'!M58+'Avg Week Maddu-Kanoni'!M58</f>
        <v>26</v>
      </c>
      <c r="N58" s="49">
        <f>'Avg Week Kanoni-Maddu'!N58+'Avg Week Maddu-Kanoni'!N58</f>
        <v>0</v>
      </c>
      <c r="O58" s="15">
        <f t="shared" si="0"/>
        <v>17.5</v>
      </c>
      <c r="P58" s="15">
        <f t="shared" si="1"/>
        <v>43.5</v>
      </c>
      <c r="R58" s="8"/>
      <c r="T58"/>
    </row>
    <row r="59" spans="2:20" ht="23.1" customHeight="1" x14ac:dyDescent="0.25">
      <c r="B59" s="23" t="s">
        <v>100</v>
      </c>
      <c r="C59" s="49">
        <f>'Avg Week Kanoni-Maddu'!C59+'Avg Week Maddu-Kanoni'!C59</f>
        <v>2</v>
      </c>
      <c r="D59" s="49">
        <f>'Avg Week Kanoni-Maddu'!D59+'Avg Week Maddu-Kanoni'!D59</f>
        <v>1.5</v>
      </c>
      <c r="E59" s="49">
        <f>'Avg Week Kanoni-Maddu'!E59+'Avg Week Maddu-Kanoni'!E59</f>
        <v>0.5</v>
      </c>
      <c r="F59" s="49">
        <f>'Avg Week Kanoni-Maddu'!F59+'Avg Week Maddu-Kanoni'!F59</f>
        <v>4</v>
      </c>
      <c r="G59" s="49">
        <f>'Avg Week Kanoni-Maddu'!G59+'Avg Week Maddu-Kanoni'!G59</f>
        <v>0</v>
      </c>
      <c r="H59" s="49">
        <f>'Avg Week Kanoni-Maddu'!H59+'Avg Week Maddu-Kanoni'!H59</f>
        <v>0</v>
      </c>
      <c r="I59" s="49">
        <f>'Avg Week Kanoni-Maddu'!I59+'Avg Week Maddu-Kanoni'!I59</f>
        <v>1.5</v>
      </c>
      <c r="J59" s="49">
        <f>'Avg Week Kanoni-Maddu'!J59+'Avg Week Maddu-Kanoni'!J59</f>
        <v>3.5</v>
      </c>
      <c r="K59" s="49">
        <f>'Avg Week Kanoni-Maddu'!K59+'Avg Week Maddu-Kanoni'!K59</f>
        <v>0</v>
      </c>
      <c r="L59" s="49">
        <f>'Avg Week Kanoni-Maddu'!L59+'Avg Week Maddu-Kanoni'!L59</f>
        <v>0</v>
      </c>
      <c r="M59" s="49">
        <f>'Avg Week Kanoni-Maddu'!M59+'Avg Week Maddu-Kanoni'!M59</f>
        <v>27</v>
      </c>
      <c r="N59" s="49">
        <f>'Avg Week Kanoni-Maddu'!N59+'Avg Week Maddu-Kanoni'!N59</f>
        <v>0</v>
      </c>
      <c r="O59" s="15">
        <f t="shared" si="0"/>
        <v>13</v>
      </c>
      <c r="P59" s="15">
        <f t="shared" si="1"/>
        <v>40</v>
      </c>
      <c r="R59" s="8"/>
      <c r="T59"/>
    </row>
    <row r="60" spans="2:20" ht="23.1" customHeight="1" x14ac:dyDescent="0.25">
      <c r="B60" s="23" t="s">
        <v>101</v>
      </c>
      <c r="C60" s="49">
        <f>'Avg Week Kanoni-Maddu'!C60+'Avg Week Maddu-Kanoni'!C60</f>
        <v>7.5</v>
      </c>
      <c r="D60" s="49">
        <f>'Avg Week Kanoni-Maddu'!D60+'Avg Week Maddu-Kanoni'!D60</f>
        <v>5</v>
      </c>
      <c r="E60" s="49">
        <f>'Avg Week Kanoni-Maddu'!E60+'Avg Week Maddu-Kanoni'!E60</f>
        <v>1</v>
      </c>
      <c r="F60" s="49">
        <f>'Avg Week Kanoni-Maddu'!F60+'Avg Week Maddu-Kanoni'!F60</f>
        <v>2</v>
      </c>
      <c r="G60" s="49">
        <f>'Avg Week Kanoni-Maddu'!G60+'Avg Week Maddu-Kanoni'!G60</f>
        <v>0</v>
      </c>
      <c r="H60" s="49">
        <f>'Avg Week Kanoni-Maddu'!H60+'Avg Week Maddu-Kanoni'!H60</f>
        <v>0</v>
      </c>
      <c r="I60" s="49">
        <f>'Avg Week Kanoni-Maddu'!I60+'Avg Week Maddu-Kanoni'!I60</f>
        <v>1</v>
      </c>
      <c r="J60" s="49">
        <f>'Avg Week Kanoni-Maddu'!J60+'Avg Week Maddu-Kanoni'!J60</f>
        <v>1.5</v>
      </c>
      <c r="K60" s="49">
        <f>'Avg Week Kanoni-Maddu'!K60+'Avg Week Maddu-Kanoni'!K60</f>
        <v>0</v>
      </c>
      <c r="L60" s="49">
        <f>'Avg Week Kanoni-Maddu'!L60+'Avg Week Maddu-Kanoni'!L60</f>
        <v>0</v>
      </c>
      <c r="M60" s="49">
        <f>'Avg Week Kanoni-Maddu'!M60+'Avg Week Maddu-Kanoni'!M60</f>
        <v>16</v>
      </c>
      <c r="N60" s="49">
        <f>'Avg Week Kanoni-Maddu'!N60+'Avg Week Maddu-Kanoni'!N60</f>
        <v>0</v>
      </c>
      <c r="O60" s="15">
        <f t="shared" si="0"/>
        <v>18</v>
      </c>
      <c r="P60" s="15">
        <f t="shared" si="1"/>
        <v>34</v>
      </c>
      <c r="R60" s="8"/>
      <c r="T60"/>
    </row>
    <row r="61" spans="2:20" ht="23.1" customHeight="1" x14ac:dyDescent="0.25">
      <c r="B61" s="23" t="s">
        <v>102</v>
      </c>
      <c r="C61" s="49">
        <f>'Avg Week Kanoni-Maddu'!C61+'Avg Week Maddu-Kanoni'!C61</f>
        <v>5.5</v>
      </c>
      <c r="D61" s="49">
        <f>'Avg Week Kanoni-Maddu'!D61+'Avg Week Maddu-Kanoni'!D61</f>
        <v>1</v>
      </c>
      <c r="E61" s="49">
        <f>'Avg Week Kanoni-Maddu'!E61+'Avg Week Maddu-Kanoni'!E61</f>
        <v>0</v>
      </c>
      <c r="F61" s="49">
        <f>'Avg Week Kanoni-Maddu'!F61+'Avg Week Maddu-Kanoni'!F61</f>
        <v>2</v>
      </c>
      <c r="G61" s="49">
        <f>'Avg Week Kanoni-Maddu'!G61+'Avg Week Maddu-Kanoni'!G61</f>
        <v>0</v>
      </c>
      <c r="H61" s="49">
        <f>'Avg Week Kanoni-Maddu'!H61+'Avg Week Maddu-Kanoni'!H61</f>
        <v>0</v>
      </c>
      <c r="I61" s="49">
        <f>'Avg Week Kanoni-Maddu'!I61+'Avg Week Maddu-Kanoni'!I61</f>
        <v>0.5</v>
      </c>
      <c r="J61" s="49">
        <f>'Avg Week Kanoni-Maddu'!J61+'Avg Week Maddu-Kanoni'!J61</f>
        <v>1</v>
      </c>
      <c r="K61" s="49">
        <f>'Avg Week Kanoni-Maddu'!K61+'Avg Week Maddu-Kanoni'!K61</f>
        <v>0</v>
      </c>
      <c r="L61" s="49">
        <f>'Avg Week Kanoni-Maddu'!L61+'Avg Week Maddu-Kanoni'!L61</f>
        <v>0</v>
      </c>
      <c r="M61" s="49">
        <f>'Avg Week Kanoni-Maddu'!M61+'Avg Week Maddu-Kanoni'!M61</f>
        <v>23.5</v>
      </c>
      <c r="N61" s="49">
        <f>'Avg Week Kanoni-Maddu'!N61+'Avg Week Maddu-Kanoni'!N61</f>
        <v>0</v>
      </c>
      <c r="O61" s="15">
        <f t="shared" si="0"/>
        <v>10</v>
      </c>
      <c r="P61" s="15">
        <f t="shared" si="1"/>
        <v>33.5</v>
      </c>
      <c r="R61" s="8"/>
      <c r="T61"/>
    </row>
    <row r="62" spans="2:20" ht="23.1" customHeight="1" x14ac:dyDescent="0.25">
      <c r="B62" s="23" t="s">
        <v>107</v>
      </c>
      <c r="C62" s="49">
        <f>'Avg Week Kanoni-Maddu'!C62+'Avg Week Maddu-Kanoni'!C62</f>
        <v>8</v>
      </c>
      <c r="D62" s="49">
        <f>'Avg Week Kanoni-Maddu'!D62+'Avg Week Maddu-Kanoni'!D62</f>
        <v>0.5</v>
      </c>
      <c r="E62" s="49">
        <f>'Avg Week Kanoni-Maddu'!E62+'Avg Week Maddu-Kanoni'!E62</f>
        <v>1.5</v>
      </c>
      <c r="F62" s="49">
        <f>'Avg Week Kanoni-Maddu'!F62+'Avg Week Maddu-Kanoni'!F62</f>
        <v>2.5</v>
      </c>
      <c r="G62" s="49">
        <f>'Avg Week Kanoni-Maddu'!G62+'Avg Week Maddu-Kanoni'!G62</f>
        <v>0</v>
      </c>
      <c r="H62" s="49">
        <f>'Avg Week Kanoni-Maddu'!H62+'Avg Week Maddu-Kanoni'!H62</f>
        <v>0</v>
      </c>
      <c r="I62" s="49">
        <f>'Avg Week Kanoni-Maddu'!I62+'Avg Week Maddu-Kanoni'!I62</f>
        <v>1</v>
      </c>
      <c r="J62" s="49">
        <f>'Avg Week Kanoni-Maddu'!J62+'Avg Week Maddu-Kanoni'!J62</f>
        <v>2</v>
      </c>
      <c r="K62" s="49">
        <f>'Avg Week Kanoni-Maddu'!K62+'Avg Week Maddu-Kanoni'!K62</f>
        <v>0</v>
      </c>
      <c r="L62" s="49">
        <f>'Avg Week Kanoni-Maddu'!L62+'Avg Week Maddu-Kanoni'!L62</f>
        <v>0</v>
      </c>
      <c r="M62" s="49">
        <f>'Avg Week Kanoni-Maddu'!M62+'Avg Week Maddu-Kanoni'!M62</f>
        <v>14.5</v>
      </c>
      <c r="N62" s="49">
        <f>'Avg Week Kanoni-Maddu'!N62+'Avg Week Maddu-Kanoni'!N62</f>
        <v>0</v>
      </c>
      <c r="O62" s="15">
        <f t="shared" si="0"/>
        <v>15.5</v>
      </c>
      <c r="P62" s="15">
        <f t="shared" si="1"/>
        <v>30</v>
      </c>
      <c r="R62" s="8"/>
      <c r="T62"/>
    </row>
    <row r="63" spans="2:20" ht="23.1" customHeight="1" x14ac:dyDescent="0.25">
      <c r="B63" s="23" t="s">
        <v>108</v>
      </c>
      <c r="C63" s="49">
        <f>'Avg Week Kanoni-Maddu'!C63+'Avg Week Maddu-Kanoni'!C63</f>
        <v>3</v>
      </c>
      <c r="D63" s="49">
        <f>'Avg Week Kanoni-Maddu'!D63+'Avg Week Maddu-Kanoni'!D63</f>
        <v>0.5</v>
      </c>
      <c r="E63" s="49">
        <f>'Avg Week Kanoni-Maddu'!E63+'Avg Week Maddu-Kanoni'!E63</f>
        <v>1</v>
      </c>
      <c r="F63" s="49">
        <f>'Avg Week Kanoni-Maddu'!F63+'Avg Week Maddu-Kanoni'!F63</f>
        <v>3.5</v>
      </c>
      <c r="G63" s="49">
        <f>'Avg Week Kanoni-Maddu'!G63+'Avg Week Maddu-Kanoni'!G63</f>
        <v>0</v>
      </c>
      <c r="H63" s="49">
        <f>'Avg Week Kanoni-Maddu'!H63+'Avg Week Maddu-Kanoni'!H63</f>
        <v>0</v>
      </c>
      <c r="I63" s="49">
        <f>'Avg Week Kanoni-Maddu'!I63+'Avg Week Maddu-Kanoni'!I63</f>
        <v>0.5</v>
      </c>
      <c r="J63" s="49">
        <f>'Avg Week Kanoni-Maddu'!J63+'Avg Week Maddu-Kanoni'!J63</f>
        <v>0.5</v>
      </c>
      <c r="K63" s="49">
        <f>'Avg Week Kanoni-Maddu'!K63+'Avg Week Maddu-Kanoni'!K63</f>
        <v>0</v>
      </c>
      <c r="L63" s="49">
        <f>'Avg Week Kanoni-Maddu'!L63+'Avg Week Maddu-Kanoni'!L63</f>
        <v>0</v>
      </c>
      <c r="M63" s="49">
        <f>'Avg Week Kanoni-Maddu'!M63+'Avg Week Maddu-Kanoni'!M63</f>
        <v>10.5</v>
      </c>
      <c r="N63" s="49">
        <f>'Avg Week Kanoni-Maddu'!N63+'Avg Week Maddu-Kanoni'!N63</f>
        <v>0</v>
      </c>
      <c r="O63" s="15">
        <f t="shared" si="0"/>
        <v>9</v>
      </c>
      <c r="P63" s="15">
        <f t="shared" si="1"/>
        <v>19.5</v>
      </c>
      <c r="R63" s="8"/>
      <c r="T63"/>
    </row>
    <row r="64" spans="2:20" ht="23.1" customHeight="1" x14ac:dyDescent="0.25">
      <c r="B64" s="23" t="s">
        <v>109</v>
      </c>
      <c r="C64" s="49">
        <f>'Avg Week Kanoni-Maddu'!C64+'Avg Week Maddu-Kanoni'!C64</f>
        <v>4.5</v>
      </c>
      <c r="D64" s="49">
        <f>'Avg Week Kanoni-Maddu'!D64+'Avg Week Maddu-Kanoni'!D64</f>
        <v>0.5</v>
      </c>
      <c r="E64" s="49">
        <f>'Avg Week Kanoni-Maddu'!E64+'Avg Week Maddu-Kanoni'!E64</f>
        <v>1</v>
      </c>
      <c r="F64" s="49">
        <f>'Avg Week Kanoni-Maddu'!F64+'Avg Week Maddu-Kanoni'!F64</f>
        <v>1.5</v>
      </c>
      <c r="G64" s="49">
        <f>'Avg Week Kanoni-Maddu'!G64+'Avg Week Maddu-Kanoni'!G64</f>
        <v>0</v>
      </c>
      <c r="H64" s="49">
        <f>'Avg Week Kanoni-Maddu'!H64+'Avg Week Maddu-Kanoni'!H64</f>
        <v>0</v>
      </c>
      <c r="I64" s="49">
        <f>'Avg Week Kanoni-Maddu'!I64+'Avg Week Maddu-Kanoni'!I64</f>
        <v>0.5</v>
      </c>
      <c r="J64" s="49">
        <f>'Avg Week Kanoni-Maddu'!J64+'Avg Week Maddu-Kanoni'!J64</f>
        <v>3.5</v>
      </c>
      <c r="K64" s="49">
        <f>'Avg Week Kanoni-Maddu'!K64+'Avg Week Maddu-Kanoni'!K64</f>
        <v>0</v>
      </c>
      <c r="L64" s="49">
        <f>'Avg Week Kanoni-Maddu'!L64+'Avg Week Maddu-Kanoni'!L64</f>
        <v>0</v>
      </c>
      <c r="M64" s="49">
        <f>'Avg Week Kanoni-Maddu'!M64+'Avg Week Maddu-Kanoni'!M64</f>
        <v>14.5</v>
      </c>
      <c r="N64" s="49">
        <f>'Avg Week Kanoni-Maddu'!N64+'Avg Week Maddu-Kanoni'!N64</f>
        <v>0</v>
      </c>
      <c r="O64" s="15">
        <f t="shared" si="0"/>
        <v>11.5</v>
      </c>
      <c r="P64" s="15">
        <f t="shared" si="1"/>
        <v>26</v>
      </c>
      <c r="R64" s="8"/>
      <c r="T64"/>
    </row>
    <row r="65" spans="2:20" ht="23.1" customHeight="1" x14ac:dyDescent="0.25">
      <c r="B65" s="23" t="s">
        <v>158</v>
      </c>
      <c r="C65" s="49">
        <f>'Avg Week Kanoni-Maddu'!C65+'Avg Week Maddu-Kanoni'!C65</f>
        <v>2</v>
      </c>
      <c r="D65" s="49">
        <f>'Avg Week Kanoni-Maddu'!D65+'Avg Week Maddu-Kanoni'!D65</f>
        <v>0.5</v>
      </c>
      <c r="E65" s="49">
        <f>'Avg Week Kanoni-Maddu'!E65+'Avg Week Maddu-Kanoni'!E65</f>
        <v>0</v>
      </c>
      <c r="F65" s="49">
        <f>'Avg Week Kanoni-Maddu'!F65+'Avg Week Maddu-Kanoni'!F65</f>
        <v>1</v>
      </c>
      <c r="G65" s="49">
        <f>'Avg Week Kanoni-Maddu'!G65+'Avg Week Maddu-Kanoni'!G65</f>
        <v>0</v>
      </c>
      <c r="H65" s="49">
        <f>'Avg Week Kanoni-Maddu'!H65+'Avg Week Maddu-Kanoni'!H65</f>
        <v>0</v>
      </c>
      <c r="I65" s="49">
        <f>'Avg Week Kanoni-Maddu'!I65+'Avg Week Maddu-Kanoni'!I65</f>
        <v>3</v>
      </c>
      <c r="J65" s="49">
        <f>'Avg Week Kanoni-Maddu'!J65+'Avg Week Maddu-Kanoni'!J65</f>
        <v>2</v>
      </c>
      <c r="K65" s="49">
        <f>'Avg Week Kanoni-Maddu'!K65+'Avg Week Maddu-Kanoni'!K65</f>
        <v>0.5</v>
      </c>
      <c r="L65" s="49">
        <f>'Avg Week Kanoni-Maddu'!L65+'Avg Week Maddu-Kanoni'!L65</f>
        <v>0</v>
      </c>
      <c r="M65" s="49">
        <f>'Avg Week Kanoni-Maddu'!M65+'Avg Week Maddu-Kanoni'!M65</f>
        <v>13.5</v>
      </c>
      <c r="N65" s="49">
        <f>'Avg Week Kanoni-Maddu'!N65+'Avg Week Maddu-Kanoni'!N65</f>
        <v>0</v>
      </c>
      <c r="O65" s="15">
        <f t="shared" si="0"/>
        <v>9</v>
      </c>
      <c r="P65" s="15">
        <f t="shared" si="1"/>
        <v>22.5</v>
      </c>
      <c r="R65" s="8"/>
      <c r="T65"/>
    </row>
    <row r="66" spans="2:20" ht="23.1" customHeight="1" x14ac:dyDescent="0.25">
      <c r="B66" s="23" t="s">
        <v>103</v>
      </c>
      <c r="C66" s="49">
        <f>'Avg Week Kanoni-Maddu'!C66+'Avg Week Maddu-Kanoni'!C66</f>
        <v>3</v>
      </c>
      <c r="D66" s="49">
        <f>'Avg Week Kanoni-Maddu'!D66+'Avg Week Maddu-Kanoni'!D66</f>
        <v>0</v>
      </c>
      <c r="E66" s="49">
        <f>'Avg Week Kanoni-Maddu'!E66+'Avg Week Maddu-Kanoni'!E66</f>
        <v>1</v>
      </c>
      <c r="F66" s="49">
        <f>'Avg Week Kanoni-Maddu'!F66+'Avg Week Maddu-Kanoni'!F66</f>
        <v>2</v>
      </c>
      <c r="G66" s="49">
        <f>'Avg Week Kanoni-Maddu'!G66+'Avg Week Maddu-Kanoni'!G66</f>
        <v>0</v>
      </c>
      <c r="H66" s="49">
        <f>'Avg Week Kanoni-Maddu'!H66+'Avg Week Maddu-Kanoni'!H66</f>
        <v>0</v>
      </c>
      <c r="I66" s="49">
        <f>'Avg Week Kanoni-Maddu'!I66+'Avg Week Maddu-Kanoni'!I66</f>
        <v>0.5</v>
      </c>
      <c r="J66" s="49">
        <f>'Avg Week Kanoni-Maddu'!J66+'Avg Week Maddu-Kanoni'!J66</f>
        <v>1</v>
      </c>
      <c r="K66" s="49">
        <f>'Avg Week Kanoni-Maddu'!K66+'Avg Week Maddu-Kanoni'!K66</f>
        <v>0.5</v>
      </c>
      <c r="L66" s="49">
        <f>'Avg Week Kanoni-Maddu'!L66+'Avg Week Maddu-Kanoni'!L66</f>
        <v>0</v>
      </c>
      <c r="M66" s="49">
        <f>'Avg Week Kanoni-Maddu'!M66+'Avg Week Maddu-Kanoni'!M66</f>
        <v>9.5</v>
      </c>
      <c r="N66" s="49">
        <f>'Avg Week Kanoni-Maddu'!N66+'Avg Week Maddu-Kanoni'!N66</f>
        <v>0</v>
      </c>
      <c r="O66" s="15">
        <f t="shared" si="0"/>
        <v>8</v>
      </c>
      <c r="P66" s="15">
        <f t="shared" si="1"/>
        <v>17.5</v>
      </c>
      <c r="R66" s="8"/>
      <c r="T66"/>
    </row>
    <row r="67" spans="2:20" ht="23.1" customHeight="1" x14ac:dyDescent="0.25">
      <c r="B67" s="23" t="s">
        <v>104</v>
      </c>
      <c r="C67" s="49">
        <f>'Avg Week Kanoni-Maddu'!C67+'Avg Week Maddu-Kanoni'!C67</f>
        <v>2</v>
      </c>
      <c r="D67" s="49">
        <f>'Avg Week Kanoni-Maddu'!D67+'Avg Week Maddu-Kanoni'!D67</f>
        <v>0.5</v>
      </c>
      <c r="E67" s="49">
        <f>'Avg Week Kanoni-Maddu'!E67+'Avg Week Maddu-Kanoni'!E67</f>
        <v>2.5</v>
      </c>
      <c r="F67" s="49">
        <f>'Avg Week Kanoni-Maddu'!F67+'Avg Week Maddu-Kanoni'!F67</f>
        <v>2</v>
      </c>
      <c r="G67" s="49">
        <f>'Avg Week Kanoni-Maddu'!G67+'Avg Week Maddu-Kanoni'!G67</f>
        <v>0</v>
      </c>
      <c r="H67" s="49">
        <f>'Avg Week Kanoni-Maddu'!H67+'Avg Week Maddu-Kanoni'!H67</f>
        <v>0</v>
      </c>
      <c r="I67" s="49">
        <f>'Avg Week Kanoni-Maddu'!I67+'Avg Week Maddu-Kanoni'!I67</f>
        <v>0.5</v>
      </c>
      <c r="J67" s="49">
        <f>'Avg Week Kanoni-Maddu'!J67+'Avg Week Maddu-Kanoni'!J67</f>
        <v>1.5</v>
      </c>
      <c r="K67" s="49">
        <f>'Avg Week Kanoni-Maddu'!K67+'Avg Week Maddu-Kanoni'!K67</f>
        <v>0</v>
      </c>
      <c r="L67" s="49">
        <f>'Avg Week Kanoni-Maddu'!L67+'Avg Week Maddu-Kanoni'!L67</f>
        <v>0</v>
      </c>
      <c r="M67" s="49">
        <f>'Avg Week Kanoni-Maddu'!M67+'Avg Week Maddu-Kanoni'!M67</f>
        <v>8.5</v>
      </c>
      <c r="N67" s="49">
        <f>'Avg Week Kanoni-Maddu'!N67+'Avg Week Maddu-Kanoni'!N67</f>
        <v>0</v>
      </c>
      <c r="O67" s="15">
        <f t="shared" si="0"/>
        <v>9</v>
      </c>
      <c r="P67" s="15">
        <f t="shared" si="1"/>
        <v>17.5</v>
      </c>
      <c r="R67" s="8"/>
      <c r="T67"/>
    </row>
    <row r="68" spans="2:20" ht="23.1" customHeight="1" x14ac:dyDescent="0.25">
      <c r="B68" s="23" t="s">
        <v>105</v>
      </c>
      <c r="C68" s="49">
        <f>'Avg Week Kanoni-Maddu'!C68+'Avg Week Maddu-Kanoni'!C68</f>
        <v>0.5</v>
      </c>
      <c r="D68" s="49">
        <f>'Avg Week Kanoni-Maddu'!D68+'Avg Week Maddu-Kanoni'!D68</f>
        <v>1</v>
      </c>
      <c r="E68" s="49">
        <f>'Avg Week Kanoni-Maddu'!E68+'Avg Week Maddu-Kanoni'!E68</f>
        <v>1</v>
      </c>
      <c r="F68" s="49">
        <f>'Avg Week Kanoni-Maddu'!F68+'Avg Week Maddu-Kanoni'!F68</f>
        <v>0</v>
      </c>
      <c r="G68" s="49">
        <f>'Avg Week Kanoni-Maddu'!G68+'Avg Week Maddu-Kanoni'!G68</f>
        <v>0</v>
      </c>
      <c r="H68" s="49">
        <f>'Avg Week Kanoni-Maddu'!H68+'Avg Week Maddu-Kanoni'!H68</f>
        <v>0</v>
      </c>
      <c r="I68" s="49">
        <f>'Avg Week Kanoni-Maddu'!I68+'Avg Week Maddu-Kanoni'!I68</f>
        <v>1</v>
      </c>
      <c r="J68" s="49">
        <f>'Avg Week Kanoni-Maddu'!J68+'Avg Week Maddu-Kanoni'!J68</f>
        <v>0.5</v>
      </c>
      <c r="K68" s="49">
        <f>'Avg Week Kanoni-Maddu'!K68+'Avg Week Maddu-Kanoni'!K68</f>
        <v>0</v>
      </c>
      <c r="L68" s="49">
        <f>'Avg Week Kanoni-Maddu'!L68+'Avg Week Maddu-Kanoni'!L68</f>
        <v>0</v>
      </c>
      <c r="M68" s="49">
        <f>'Avg Week Kanoni-Maddu'!M68+'Avg Week Maddu-Kanoni'!M68</f>
        <v>5</v>
      </c>
      <c r="N68" s="49">
        <f>'Avg Week Kanoni-Maddu'!N68+'Avg Week Maddu-Kanoni'!N68</f>
        <v>0.5</v>
      </c>
      <c r="O68" s="15">
        <f t="shared" si="0"/>
        <v>4.5</v>
      </c>
      <c r="P68" s="15">
        <f t="shared" si="1"/>
        <v>9.5</v>
      </c>
      <c r="R68" s="8"/>
      <c r="T68"/>
    </row>
    <row r="69" spans="2:20" ht="23.1" customHeight="1" x14ac:dyDescent="0.25">
      <c r="B69" s="23" t="s">
        <v>106</v>
      </c>
      <c r="C69" s="49">
        <f>'Avg Week Kanoni-Maddu'!C69+'Avg Week Maddu-Kanoni'!C69</f>
        <v>3.5</v>
      </c>
      <c r="D69" s="49">
        <f>'Avg Week Kanoni-Maddu'!D69+'Avg Week Maddu-Kanoni'!D69</f>
        <v>1</v>
      </c>
      <c r="E69" s="49">
        <f>'Avg Week Kanoni-Maddu'!E69+'Avg Week Maddu-Kanoni'!E69</f>
        <v>0.5</v>
      </c>
      <c r="F69" s="49">
        <f>'Avg Week Kanoni-Maddu'!F69+'Avg Week Maddu-Kanoni'!F69</f>
        <v>2</v>
      </c>
      <c r="G69" s="49">
        <f>'Avg Week Kanoni-Maddu'!G69+'Avg Week Maddu-Kanoni'!G69</f>
        <v>0</v>
      </c>
      <c r="H69" s="49">
        <f>'Avg Week Kanoni-Maddu'!H69+'Avg Week Maddu-Kanoni'!H69</f>
        <v>0</v>
      </c>
      <c r="I69" s="49">
        <f>'Avg Week Kanoni-Maddu'!I69+'Avg Week Maddu-Kanoni'!I69</f>
        <v>0.5</v>
      </c>
      <c r="J69" s="49">
        <f>'Avg Week Kanoni-Maddu'!J69+'Avg Week Maddu-Kanoni'!J69</f>
        <v>1</v>
      </c>
      <c r="K69" s="49">
        <f>'Avg Week Kanoni-Maddu'!K69+'Avg Week Maddu-Kanoni'!K69</f>
        <v>0</v>
      </c>
      <c r="L69" s="49">
        <f>'Avg Week Kanoni-Maddu'!L69+'Avg Week Maddu-Kanoni'!L69</f>
        <v>0</v>
      </c>
      <c r="M69" s="49">
        <f>'Avg Week Kanoni-Maddu'!M69+'Avg Week Maddu-Kanoni'!M69</f>
        <v>4.5</v>
      </c>
      <c r="N69" s="49">
        <f>'Avg Week Kanoni-Maddu'!N69+'Avg Week Maddu-Kanoni'!N69</f>
        <v>0</v>
      </c>
      <c r="O69" s="15">
        <f t="shared" si="0"/>
        <v>8.5</v>
      </c>
      <c r="P69" s="15">
        <f t="shared" si="1"/>
        <v>13</v>
      </c>
      <c r="R69" s="8"/>
      <c r="T69"/>
    </row>
    <row r="70" spans="2:20" ht="23.1" customHeight="1" x14ac:dyDescent="0.25">
      <c r="B70" s="23" t="s">
        <v>110</v>
      </c>
      <c r="C70" s="49">
        <f>'Avg Week Kanoni-Maddu'!C70+'Avg Week Maddu-Kanoni'!C70</f>
        <v>0.5</v>
      </c>
      <c r="D70" s="49">
        <f>'Avg Week Kanoni-Maddu'!D70+'Avg Week Maddu-Kanoni'!D70</f>
        <v>0.5</v>
      </c>
      <c r="E70" s="49">
        <f>'Avg Week Kanoni-Maddu'!E70+'Avg Week Maddu-Kanoni'!E70</f>
        <v>0.5</v>
      </c>
      <c r="F70" s="49">
        <f>'Avg Week Kanoni-Maddu'!F70+'Avg Week Maddu-Kanoni'!F70</f>
        <v>2.5</v>
      </c>
      <c r="G70" s="49">
        <f>'Avg Week Kanoni-Maddu'!G70+'Avg Week Maddu-Kanoni'!G70</f>
        <v>0</v>
      </c>
      <c r="H70" s="49">
        <f>'Avg Week Kanoni-Maddu'!H70+'Avg Week Maddu-Kanoni'!H70</f>
        <v>0</v>
      </c>
      <c r="I70" s="49">
        <f>'Avg Week Kanoni-Maddu'!I70+'Avg Week Maddu-Kanoni'!I70</f>
        <v>2.5</v>
      </c>
      <c r="J70" s="49">
        <f>'Avg Week Kanoni-Maddu'!J70+'Avg Week Maddu-Kanoni'!J70</f>
        <v>1.5</v>
      </c>
      <c r="K70" s="49">
        <f>'Avg Week Kanoni-Maddu'!K70+'Avg Week Maddu-Kanoni'!K70</f>
        <v>0.5</v>
      </c>
      <c r="L70" s="49">
        <f>'Avg Week Kanoni-Maddu'!L70+'Avg Week Maddu-Kanoni'!L70</f>
        <v>0</v>
      </c>
      <c r="M70" s="49">
        <f>'Avg Week Kanoni-Maddu'!M70+'Avg Week Maddu-Kanoni'!M70</f>
        <v>4.5</v>
      </c>
      <c r="N70" s="49">
        <f>'Avg Week Kanoni-Maddu'!N70+'Avg Week Maddu-Kanoni'!N70</f>
        <v>0</v>
      </c>
      <c r="O70" s="15">
        <f t="shared" si="0"/>
        <v>8.5</v>
      </c>
      <c r="P70" s="15">
        <f t="shared" si="1"/>
        <v>13</v>
      </c>
      <c r="R70" s="8"/>
      <c r="T70"/>
    </row>
    <row r="71" spans="2:20" ht="23.1" customHeight="1" x14ac:dyDescent="0.25">
      <c r="B71" s="23" t="s">
        <v>111</v>
      </c>
      <c r="C71" s="49">
        <f>'Avg Week Kanoni-Maddu'!C71+'Avg Week Maddu-Kanoni'!C71</f>
        <v>2</v>
      </c>
      <c r="D71" s="49">
        <f>'Avg Week Kanoni-Maddu'!D71+'Avg Week Maddu-Kanoni'!D71</f>
        <v>0.5</v>
      </c>
      <c r="E71" s="49">
        <f>'Avg Week Kanoni-Maddu'!E71+'Avg Week Maddu-Kanoni'!E71</f>
        <v>0</v>
      </c>
      <c r="F71" s="49">
        <f>'Avg Week Kanoni-Maddu'!F71+'Avg Week Maddu-Kanoni'!F71</f>
        <v>0.5</v>
      </c>
      <c r="G71" s="49">
        <f>'Avg Week Kanoni-Maddu'!G71+'Avg Week Maddu-Kanoni'!G71</f>
        <v>0</v>
      </c>
      <c r="H71" s="49">
        <f>'Avg Week Kanoni-Maddu'!H71+'Avg Week Maddu-Kanoni'!H71</f>
        <v>0</v>
      </c>
      <c r="I71" s="49">
        <f>'Avg Week Kanoni-Maddu'!I71+'Avg Week Maddu-Kanoni'!I71</f>
        <v>2.5</v>
      </c>
      <c r="J71" s="49">
        <f>'Avg Week Kanoni-Maddu'!J71+'Avg Week Maddu-Kanoni'!J71</f>
        <v>0.5</v>
      </c>
      <c r="K71" s="49">
        <f>'Avg Week Kanoni-Maddu'!K71+'Avg Week Maddu-Kanoni'!K71</f>
        <v>0</v>
      </c>
      <c r="L71" s="49">
        <f>'Avg Week Kanoni-Maddu'!L71+'Avg Week Maddu-Kanoni'!L71</f>
        <v>0</v>
      </c>
      <c r="M71" s="49">
        <f>'Avg Week Kanoni-Maddu'!M71+'Avg Week Maddu-Kanoni'!M71</f>
        <v>3</v>
      </c>
      <c r="N71" s="49">
        <f>'Avg Week Kanoni-Maddu'!N71+'Avg Week Maddu-Kanoni'!N71</f>
        <v>0</v>
      </c>
      <c r="O71" s="15">
        <f t="shared" si="0"/>
        <v>6</v>
      </c>
      <c r="P71" s="15">
        <f t="shared" si="1"/>
        <v>9</v>
      </c>
      <c r="R71" s="8"/>
      <c r="T71"/>
    </row>
    <row r="72" spans="2:20" ht="23.1" customHeight="1" x14ac:dyDescent="0.25">
      <c r="B72" s="23" t="s">
        <v>112</v>
      </c>
      <c r="C72" s="49">
        <f>'Avg Week Kanoni-Maddu'!C72+'Avg Week Maddu-Kanoni'!C72</f>
        <v>2</v>
      </c>
      <c r="D72" s="49">
        <f>'Avg Week Kanoni-Maddu'!D72+'Avg Week Maddu-Kanoni'!D72</f>
        <v>0</v>
      </c>
      <c r="E72" s="49">
        <f>'Avg Week Kanoni-Maddu'!E72+'Avg Week Maddu-Kanoni'!E72</f>
        <v>0.5</v>
      </c>
      <c r="F72" s="49">
        <f>'Avg Week Kanoni-Maddu'!F72+'Avg Week Maddu-Kanoni'!F72</f>
        <v>0.5</v>
      </c>
      <c r="G72" s="49">
        <f>'Avg Week Kanoni-Maddu'!G72+'Avg Week Maddu-Kanoni'!G72</f>
        <v>0</v>
      </c>
      <c r="H72" s="49">
        <f>'Avg Week Kanoni-Maddu'!H72+'Avg Week Maddu-Kanoni'!H72</f>
        <v>0</v>
      </c>
      <c r="I72" s="49">
        <f>'Avg Week Kanoni-Maddu'!I72+'Avg Week Maddu-Kanoni'!I72</f>
        <v>3</v>
      </c>
      <c r="J72" s="49">
        <f>'Avg Week Kanoni-Maddu'!J72+'Avg Week Maddu-Kanoni'!J72</f>
        <v>1</v>
      </c>
      <c r="K72" s="49">
        <f>'Avg Week Kanoni-Maddu'!K72+'Avg Week Maddu-Kanoni'!K72</f>
        <v>0</v>
      </c>
      <c r="L72" s="49">
        <f>'Avg Week Kanoni-Maddu'!L72+'Avg Week Maddu-Kanoni'!L72</f>
        <v>0</v>
      </c>
      <c r="M72" s="49">
        <f>'Avg Week Kanoni-Maddu'!M72+'Avg Week Maddu-Kanoni'!M72</f>
        <v>3.5</v>
      </c>
      <c r="N72" s="49">
        <f>'Avg Week Kanoni-Maddu'!N72+'Avg Week Maddu-Kanoni'!N72</f>
        <v>0</v>
      </c>
      <c r="O72" s="15">
        <f t="shared" si="0"/>
        <v>7</v>
      </c>
      <c r="P72" s="15">
        <f t="shared" si="1"/>
        <v>10.5</v>
      </c>
      <c r="R72" s="8"/>
      <c r="T72"/>
    </row>
    <row r="73" spans="2:20" ht="23.1" customHeight="1" x14ac:dyDescent="0.25">
      <c r="B73" s="23" t="s">
        <v>113</v>
      </c>
      <c r="C73" s="49">
        <f>'Avg Week Kanoni-Maddu'!C73+'Avg Week Maddu-Kanoni'!C73</f>
        <v>2.5</v>
      </c>
      <c r="D73" s="49">
        <f>'Avg Week Kanoni-Maddu'!D73+'Avg Week Maddu-Kanoni'!D73</f>
        <v>0</v>
      </c>
      <c r="E73" s="49">
        <f>'Avg Week Kanoni-Maddu'!E73+'Avg Week Maddu-Kanoni'!E73</f>
        <v>0.5</v>
      </c>
      <c r="F73" s="49">
        <f>'Avg Week Kanoni-Maddu'!F73+'Avg Week Maddu-Kanoni'!F73</f>
        <v>0</v>
      </c>
      <c r="G73" s="49">
        <f>'Avg Week Kanoni-Maddu'!G73+'Avg Week Maddu-Kanoni'!G73</f>
        <v>0</v>
      </c>
      <c r="H73" s="49">
        <f>'Avg Week Kanoni-Maddu'!H73+'Avg Week Maddu-Kanoni'!H73</f>
        <v>0</v>
      </c>
      <c r="I73" s="49">
        <f>'Avg Week Kanoni-Maddu'!I73+'Avg Week Maddu-Kanoni'!I73</f>
        <v>1.5</v>
      </c>
      <c r="J73" s="49">
        <f>'Avg Week Kanoni-Maddu'!J73+'Avg Week Maddu-Kanoni'!J73</f>
        <v>0.5</v>
      </c>
      <c r="K73" s="49">
        <f>'Avg Week Kanoni-Maddu'!K73+'Avg Week Maddu-Kanoni'!K73</f>
        <v>0</v>
      </c>
      <c r="L73" s="49">
        <f>'Avg Week Kanoni-Maddu'!L73+'Avg Week Maddu-Kanoni'!L73</f>
        <v>0</v>
      </c>
      <c r="M73" s="49">
        <f>'Avg Week Kanoni-Maddu'!M73+'Avg Week Maddu-Kanoni'!M73</f>
        <v>2</v>
      </c>
      <c r="N73" s="49">
        <f>'Avg Week Kanoni-Maddu'!N73+'Avg Week Maddu-Kanoni'!N73</f>
        <v>0</v>
      </c>
      <c r="O73" s="15">
        <f t="shared" si="0"/>
        <v>5</v>
      </c>
      <c r="P73" s="15">
        <f t="shared" si="1"/>
        <v>7</v>
      </c>
      <c r="R73" s="8"/>
      <c r="T73"/>
    </row>
    <row r="74" spans="2:20" ht="23.1" customHeight="1" x14ac:dyDescent="0.25">
      <c r="B74" s="23" t="s">
        <v>114</v>
      </c>
      <c r="C74" s="49">
        <f>'Avg Week Kanoni-Maddu'!C74+'Avg Week Maddu-Kanoni'!C74</f>
        <v>1</v>
      </c>
      <c r="D74" s="49">
        <f>'Avg Week Kanoni-Maddu'!D74+'Avg Week Maddu-Kanoni'!D74</f>
        <v>0</v>
      </c>
      <c r="E74" s="49">
        <f>'Avg Week Kanoni-Maddu'!E74+'Avg Week Maddu-Kanoni'!E74</f>
        <v>0</v>
      </c>
      <c r="F74" s="49">
        <f>'Avg Week Kanoni-Maddu'!F74+'Avg Week Maddu-Kanoni'!F74</f>
        <v>0.5</v>
      </c>
      <c r="G74" s="49">
        <f>'Avg Week Kanoni-Maddu'!G74+'Avg Week Maddu-Kanoni'!G74</f>
        <v>0</v>
      </c>
      <c r="H74" s="49">
        <f>'Avg Week Kanoni-Maddu'!H74+'Avg Week Maddu-Kanoni'!H74</f>
        <v>0</v>
      </c>
      <c r="I74" s="49">
        <f>'Avg Week Kanoni-Maddu'!I74+'Avg Week Maddu-Kanoni'!I74</f>
        <v>0</v>
      </c>
      <c r="J74" s="49">
        <f>'Avg Week Kanoni-Maddu'!J74+'Avg Week Maddu-Kanoni'!J74</f>
        <v>1</v>
      </c>
      <c r="K74" s="49">
        <f>'Avg Week Kanoni-Maddu'!K74+'Avg Week Maddu-Kanoni'!K74</f>
        <v>1</v>
      </c>
      <c r="L74" s="49">
        <f>'Avg Week Kanoni-Maddu'!L74+'Avg Week Maddu-Kanoni'!L74</f>
        <v>0</v>
      </c>
      <c r="M74" s="49">
        <f>'Avg Week Kanoni-Maddu'!M74+'Avg Week Maddu-Kanoni'!M74</f>
        <v>2</v>
      </c>
      <c r="N74" s="49">
        <f>'Avg Week Kanoni-Maddu'!N74+'Avg Week Maddu-Kanoni'!N74</f>
        <v>0</v>
      </c>
      <c r="O74" s="15">
        <f t="shared" ref="O74:O105" si="35">SUM(C74:L74,N74)</f>
        <v>3.5</v>
      </c>
      <c r="P74" s="15">
        <f t="shared" ref="P74:P105" si="36">SUM(C74:N74)</f>
        <v>5.5</v>
      </c>
      <c r="R74" s="8"/>
      <c r="T74"/>
    </row>
    <row r="75" spans="2:20" ht="23.1" customHeight="1" x14ac:dyDescent="0.25">
      <c r="B75" s="23" t="s">
        <v>115</v>
      </c>
      <c r="C75" s="49">
        <f>'Avg Week Kanoni-Maddu'!C75+'Avg Week Maddu-Kanoni'!C75</f>
        <v>0.5</v>
      </c>
      <c r="D75" s="49">
        <f>'Avg Week Kanoni-Maddu'!D75+'Avg Week Maddu-Kanoni'!D75</f>
        <v>1</v>
      </c>
      <c r="E75" s="49">
        <f>'Avg Week Kanoni-Maddu'!E75+'Avg Week Maddu-Kanoni'!E75</f>
        <v>0</v>
      </c>
      <c r="F75" s="49">
        <f>'Avg Week Kanoni-Maddu'!F75+'Avg Week Maddu-Kanoni'!F75</f>
        <v>1</v>
      </c>
      <c r="G75" s="49">
        <f>'Avg Week Kanoni-Maddu'!G75+'Avg Week Maddu-Kanoni'!G75</f>
        <v>0</v>
      </c>
      <c r="H75" s="49">
        <f>'Avg Week Kanoni-Maddu'!H75+'Avg Week Maddu-Kanoni'!H75</f>
        <v>0</v>
      </c>
      <c r="I75" s="49">
        <f>'Avg Week Kanoni-Maddu'!I75+'Avg Week Maddu-Kanoni'!I75</f>
        <v>2</v>
      </c>
      <c r="J75" s="49">
        <f>'Avg Week Kanoni-Maddu'!J75+'Avg Week Maddu-Kanoni'!J75</f>
        <v>2</v>
      </c>
      <c r="K75" s="49">
        <f>'Avg Week Kanoni-Maddu'!K75+'Avg Week Maddu-Kanoni'!K75</f>
        <v>0</v>
      </c>
      <c r="L75" s="49">
        <f>'Avg Week Kanoni-Maddu'!L75+'Avg Week Maddu-Kanoni'!L75</f>
        <v>0</v>
      </c>
      <c r="M75" s="49">
        <f>'Avg Week Kanoni-Maddu'!M75+'Avg Week Maddu-Kanoni'!M75</f>
        <v>2</v>
      </c>
      <c r="N75" s="49">
        <f>'Avg Week Kanoni-Maddu'!N75+'Avg Week Maddu-Kanoni'!N75</f>
        <v>0</v>
      </c>
      <c r="O75" s="15">
        <f t="shared" si="35"/>
        <v>6.5</v>
      </c>
      <c r="P75" s="15">
        <f t="shared" si="36"/>
        <v>8.5</v>
      </c>
      <c r="R75" s="8"/>
      <c r="T75"/>
    </row>
    <row r="76" spans="2:20" ht="23.1" customHeight="1" x14ac:dyDescent="0.25">
      <c r="B76" s="23" t="s">
        <v>116</v>
      </c>
      <c r="C76" s="49">
        <f>'Avg Week Kanoni-Maddu'!C76+'Avg Week Maddu-Kanoni'!C76</f>
        <v>0.5</v>
      </c>
      <c r="D76" s="49">
        <f>'Avg Week Kanoni-Maddu'!D76+'Avg Week Maddu-Kanoni'!D76</f>
        <v>0</v>
      </c>
      <c r="E76" s="49">
        <f>'Avg Week Kanoni-Maddu'!E76+'Avg Week Maddu-Kanoni'!E76</f>
        <v>0.5</v>
      </c>
      <c r="F76" s="49">
        <f>'Avg Week Kanoni-Maddu'!F76+'Avg Week Maddu-Kanoni'!F76</f>
        <v>0.5</v>
      </c>
      <c r="G76" s="49">
        <f>'Avg Week Kanoni-Maddu'!G76+'Avg Week Maddu-Kanoni'!G76</f>
        <v>0</v>
      </c>
      <c r="H76" s="49">
        <f>'Avg Week Kanoni-Maddu'!H76+'Avg Week Maddu-Kanoni'!H76</f>
        <v>0</v>
      </c>
      <c r="I76" s="49">
        <f>'Avg Week Kanoni-Maddu'!I76+'Avg Week Maddu-Kanoni'!I76</f>
        <v>0</v>
      </c>
      <c r="J76" s="49">
        <f>'Avg Week Kanoni-Maddu'!J76+'Avg Week Maddu-Kanoni'!J76</f>
        <v>2.5</v>
      </c>
      <c r="K76" s="49">
        <f>'Avg Week Kanoni-Maddu'!K76+'Avg Week Maddu-Kanoni'!K76</f>
        <v>0</v>
      </c>
      <c r="L76" s="49">
        <f>'Avg Week Kanoni-Maddu'!L76+'Avg Week Maddu-Kanoni'!L76</f>
        <v>0</v>
      </c>
      <c r="M76" s="49">
        <f>'Avg Week Kanoni-Maddu'!M76+'Avg Week Maddu-Kanoni'!M76</f>
        <v>2</v>
      </c>
      <c r="N76" s="49">
        <f>'Avg Week Kanoni-Maddu'!N76+'Avg Week Maddu-Kanoni'!N76</f>
        <v>0</v>
      </c>
      <c r="O76" s="15">
        <f t="shared" si="35"/>
        <v>4</v>
      </c>
      <c r="P76" s="15">
        <f t="shared" si="36"/>
        <v>6</v>
      </c>
      <c r="R76" s="8"/>
      <c r="T76"/>
    </row>
    <row r="77" spans="2:20" ht="23.1" customHeight="1" x14ac:dyDescent="0.25">
      <c r="B77" s="23" t="s">
        <v>117</v>
      </c>
      <c r="C77" s="49">
        <f>'Avg Week Kanoni-Maddu'!C77+'Avg Week Maddu-Kanoni'!C77</f>
        <v>0</v>
      </c>
      <c r="D77" s="49">
        <f>'Avg Week Kanoni-Maddu'!D77+'Avg Week Maddu-Kanoni'!D77</f>
        <v>0</v>
      </c>
      <c r="E77" s="49">
        <f>'Avg Week Kanoni-Maddu'!E77+'Avg Week Maddu-Kanoni'!E77</f>
        <v>0</v>
      </c>
      <c r="F77" s="49">
        <f>'Avg Week Kanoni-Maddu'!F77+'Avg Week Maddu-Kanoni'!F77</f>
        <v>0.5</v>
      </c>
      <c r="G77" s="49">
        <f>'Avg Week Kanoni-Maddu'!G77+'Avg Week Maddu-Kanoni'!G77</f>
        <v>0</v>
      </c>
      <c r="H77" s="49">
        <f>'Avg Week Kanoni-Maddu'!H77+'Avg Week Maddu-Kanoni'!H77</f>
        <v>0</v>
      </c>
      <c r="I77" s="49">
        <f>'Avg Week Kanoni-Maddu'!I77+'Avg Week Maddu-Kanoni'!I77</f>
        <v>0</v>
      </c>
      <c r="J77" s="49">
        <f>'Avg Week Kanoni-Maddu'!J77+'Avg Week Maddu-Kanoni'!J77</f>
        <v>3</v>
      </c>
      <c r="K77" s="49">
        <f>'Avg Week Kanoni-Maddu'!K77+'Avg Week Maddu-Kanoni'!K77</f>
        <v>0.5</v>
      </c>
      <c r="L77" s="49">
        <f>'Avg Week Kanoni-Maddu'!L77+'Avg Week Maddu-Kanoni'!L77</f>
        <v>0</v>
      </c>
      <c r="M77" s="49">
        <f>'Avg Week Kanoni-Maddu'!M77+'Avg Week Maddu-Kanoni'!M77</f>
        <v>0</v>
      </c>
      <c r="N77" s="49">
        <f>'Avg Week Kanoni-Maddu'!N77+'Avg Week Maddu-Kanoni'!N77</f>
        <v>0</v>
      </c>
      <c r="O77" s="15">
        <f t="shared" si="35"/>
        <v>4</v>
      </c>
      <c r="P77" s="15">
        <f t="shared" si="36"/>
        <v>4</v>
      </c>
      <c r="R77" s="8"/>
      <c r="T77"/>
    </row>
    <row r="78" spans="2:20" ht="23.1" customHeight="1" x14ac:dyDescent="0.25">
      <c r="B78" s="24" t="s">
        <v>118</v>
      </c>
      <c r="C78" s="49">
        <f>'Avg Week Kanoni-Maddu'!C78+'Avg Week Maddu-Kanoni'!C78</f>
        <v>1.5</v>
      </c>
      <c r="D78" s="49">
        <f>'Avg Week Kanoni-Maddu'!D78+'Avg Week Maddu-Kanoni'!D78</f>
        <v>0</v>
      </c>
      <c r="E78" s="49">
        <f>'Avg Week Kanoni-Maddu'!E78+'Avg Week Maddu-Kanoni'!E78</f>
        <v>0</v>
      </c>
      <c r="F78" s="49">
        <f>'Avg Week Kanoni-Maddu'!F78+'Avg Week Maddu-Kanoni'!F78</f>
        <v>0</v>
      </c>
      <c r="G78" s="49">
        <f>'Avg Week Kanoni-Maddu'!G78+'Avg Week Maddu-Kanoni'!G78</f>
        <v>0</v>
      </c>
      <c r="H78" s="49">
        <f>'Avg Week Kanoni-Maddu'!H78+'Avg Week Maddu-Kanoni'!H78</f>
        <v>0</v>
      </c>
      <c r="I78" s="49">
        <f>'Avg Week Kanoni-Maddu'!I78+'Avg Week Maddu-Kanoni'!I78</f>
        <v>1</v>
      </c>
      <c r="J78" s="49">
        <f>'Avg Week Kanoni-Maddu'!J78+'Avg Week Maddu-Kanoni'!J78</f>
        <v>1.5</v>
      </c>
      <c r="K78" s="49">
        <f>'Avg Week Kanoni-Maddu'!K78+'Avg Week Maddu-Kanoni'!K78</f>
        <v>0</v>
      </c>
      <c r="L78" s="49">
        <f>'Avg Week Kanoni-Maddu'!L78+'Avg Week Maddu-Kanoni'!L78</f>
        <v>0</v>
      </c>
      <c r="M78" s="49">
        <f>'Avg Week Kanoni-Maddu'!M78+'Avg Week Maddu-Kanoni'!M78</f>
        <v>1</v>
      </c>
      <c r="N78" s="49">
        <f>'Avg Week Kanoni-Maddu'!N78+'Avg Week Maddu-Kanoni'!N78</f>
        <v>0</v>
      </c>
      <c r="O78" s="15">
        <f t="shared" si="35"/>
        <v>4</v>
      </c>
      <c r="P78" s="15">
        <f t="shared" si="36"/>
        <v>5</v>
      </c>
      <c r="R78" s="8"/>
      <c r="T78"/>
    </row>
    <row r="79" spans="2:20" ht="23.1" customHeight="1" x14ac:dyDescent="0.25">
      <c r="B79" s="23" t="s">
        <v>119</v>
      </c>
      <c r="C79" s="49">
        <f>'Avg Week Kanoni-Maddu'!C79+'Avg Week Maddu-Kanoni'!C79</f>
        <v>1.5</v>
      </c>
      <c r="D79" s="49">
        <f>'Avg Week Kanoni-Maddu'!D79+'Avg Week Maddu-Kanoni'!D79</f>
        <v>0.5</v>
      </c>
      <c r="E79" s="49">
        <f>'Avg Week Kanoni-Maddu'!E79+'Avg Week Maddu-Kanoni'!E79</f>
        <v>0.5</v>
      </c>
      <c r="F79" s="49">
        <f>'Avg Week Kanoni-Maddu'!F79+'Avg Week Maddu-Kanoni'!F79</f>
        <v>1.5</v>
      </c>
      <c r="G79" s="49">
        <f>'Avg Week Kanoni-Maddu'!G79+'Avg Week Maddu-Kanoni'!G79</f>
        <v>0</v>
      </c>
      <c r="H79" s="49">
        <f>'Avg Week Kanoni-Maddu'!H79+'Avg Week Maddu-Kanoni'!H79</f>
        <v>0</v>
      </c>
      <c r="I79" s="49">
        <f>'Avg Week Kanoni-Maddu'!I79+'Avg Week Maddu-Kanoni'!I79</f>
        <v>1</v>
      </c>
      <c r="J79" s="49">
        <f>'Avg Week Kanoni-Maddu'!J79+'Avg Week Maddu-Kanoni'!J79</f>
        <v>1</v>
      </c>
      <c r="K79" s="49">
        <f>'Avg Week Kanoni-Maddu'!K79+'Avg Week Maddu-Kanoni'!K79</f>
        <v>2</v>
      </c>
      <c r="L79" s="49">
        <f>'Avg Week Kanoni-Maddu'!L79+'Avg Week Maddu-Kanoni'!L79</f>
        <v>0</v>
      </c>
      <c r="M79" s="49">
        <f>'Avg Week Kanoni-Maddu'!M79+'Avg Week Maddu-Kanoni'!M79</f>
        <v>0.5</v>
      </c>
      <c r="N79" s="49">
        <f>'Avg Week Kanoni-Maddu'!N79+'Avg Week Maddu-Kanoni'!N79</f>
        <v>0</v>
      </c>
      <c r="O79" s="15">
        <f t="shared" si="35"/>
        <v>8</v>
      </c>
      <c r="P79" s="15">
        <f t="shared" si="36"/>
        <v>8.5</v>
      </c>
      <c r="R79" s="8"/>
      <c r="T79"/>
    </row>
    <row r="80" spans="2:20" ht="23.1" customHeight="1" x14ac:dyDescent="0.25">
      <c r="B80" s="25" t="s">
        <v>120</v>
      </c>
      <c r="C80" s="49">
        <f>'Avg Week Kanoni-Maddu'!C80+'Avg Week Maddu-Kanoni'!C80</f>
        <v>1.5</v>
      </c>
      <c r="D80" s="49">
        <f>'Avg Week Kanoni-Maddu'!D80+'Avg Week Maddu-Kanoni'!D80</f>
        <v>0.5</v>
      </c>
      <c r="E80" s="49">
        <f>'Avg Week Kanoni-Maddu'!E80+'Avg Week Maddu-Kanoni'!E80</f>
        <v>1</v>
      </c>
      <c r="F80" s="49">
        <f>'Avg Week Kanoni-Maddu'!F80+'Avg Week Maddu-Kanoni'!F80</f>
        <v>0</v>
      </c>
      <c r="G80" s="49">
        <f>'Avg Week Kanoni-Maddu'!G80+'Avg Week Maddu-Kanoni'!G80</f>
        <v>0</v>
      </c>
      <c r="H80" s="49">
        <f>'Avg Week Kanoni-Maddu'!H80+'Avg Week Maddu-Kanoni'!H80</f>
        <v>0</v>
      </c>
      <c r="I80" s="49">
        <f>'Avg Week Kanoni-Maddu'!I80+'Avg Week Maddu-Kanoni'!I80</f>
        <v>0</v>
      </c>
      <c r="J80" s="49">
        <f>'Avg Week Kanoni-Maddu'!J80+'Avg Week Maddu-Kanoni'!J80</f>
        <v>1.5</v>
      </c>
      <c r="K80" s="49">
        <f>'Avg Week Kanoni-Maddu'!K80+'Avg Week Maddu-Kanoni'!K80</f>
        <v>0</v>
      </c>
      <c r="L80" s="49">
        <f>'Avg Week Kanoni-Maddu'!L80+'Avg Week Maddu-Kanoni'!L80</f>
        <v>0</v>
      </c>
      <c r="M80" s="49">
        <f>'Avg Week Kanoni-Maddu'!M80+'Avg Week Maddu-Kanoni'!M80</f>
        <v>0.5</v>
      </c>
      <c r="N80" s="49">
        <f>'Avg Week Kanoni-Maddu'!N80+'Avg Week Maddu-Kanoni'!N80</f>
        <v>0</v>
      </c>
      <c r="O80" s="15">
        <f t="shared" si="35"/>
        <v>4.5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'Avg Week Kanoni-Maddu'!C81+'Avg Week Maddu-Kanoni'!C81</f>
        <v>1.5</v>
      </c>
      <c r="D81" s="49">
        <f>'Avg Week Kanoni-Maddu'!D81+'Avg Week Maddu-Kanoni'!D81</f>
        <v>0</v>
      </c>
      <c r="E81" s="49">
        <f>'Avg Week Kanoni-Maddu'!E81+'Avg Week Maddu-Kanoni'!E81</f>
        <v>0</v>
      </c>
      <c r="F81" s="49">
        <f>'Avg Week Kanoni-Maddu'!F81+'Avg Week Maddu-Kanoni'!F81</f>
        <v>0</v>
      </c>
      <c r="G81" s="49">
        <f>'Avg Week Kanoni-Maddu'!G81+'Avg Week Maddu-Kanoni'!G81</f>
        <v>0</v>
      </c>
      <c r="H81" s="49">
        <f>'Avg Week Kanoni-Maddu'!H81+'Avg Week Maddu-Kanoni'!H81</f>
        <v>1</v>
      </c>
      <c r="I81" s="49">
        <f>'Avg Week Kanoni-Maddu'!I81+'Avg Week Maddu-Kanoni'!I81</f>
        <v>1</v>
      </c>
      <c r="J81" s="49">
        <f>'Avg Week Kanoni-Maddu'!J81+'Avg Week Maddu-Kanoni'!J81</f>
        <v>2.5</v>
      </c>
      <c r="K81" s="49">
        <f>'Avg Week Kanoni-Maddu'!K81+'Avg Week Maddu-Kanoni'!K81</f>
        <v>1</v>
      </c>
      <c r="L81" s="49">
        <f>'Avg Week Kanoni-Maddu'!L81+'Avg Week Maddu-Kanoni'!L81</f>
        <v>0</v>
      </c>
      <c r="M81" s="49">
        <f>'Avg Week Kanoni-Maddu'!M81+'Avg Week Maddu-Kanoni'!M81</f>
        <v>0</v>
      </c>
      <c r="N81" s="49">
        <f>'Avg Week Kanoni-Maddu'!N81+'Avg Week Maddu-Kanoni'!N81</f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'Avg Week Kanoni-Maddu'!C82+'Avg Week Maddu-Kanoni'!C82</f>
        <v>0</v>
      </c>
      <c r="D82" s="49">
        <f>'Avg Week Kanoni-Maddu'!D82+'Avg Week Maddu-Kanoni'!D82</f>
        <v>0</v>
      </c>
      <c r="E82" s="49">
        <f>'Avg Week Kanoni-Maddu'!E82+'Avg Week Maddu-Kanoni'!E82</f>
        <v>0.5</v>
      </c>
      <c r="F82" s="49">
        <f>'Avg Week Kanoni-Maddu'!F82+'Avg Week Maddu-Kanoni'!F82</f>
        <v>0</v>
      </c>
      <c r="G82" s="49">
        <f>'Avg Week Kanoni-Maddu'!G82+'Avg Week Maddu-Kanoni'!G82</f>
        <v>0</v>
      </c>
      <c r="H82" s="49">
        <f>'Avg Week Kanoni-Maddu'!H82+'Avg Week Maddu-Kanoni'!H82</f>
        <v>0</v>
      </c>
      <c r="I82" s="49">
        <f>'Avg Week Kanoni-Maddu'!I82+'Avg Week Maddu-Kanoni'!I82</f>
        <v>0</v>
      </c>
      <c r="J82" s="49">
        <f>'Avg Week Kanoni-Maddu'!J82+'Avg Week Maddu-Kanoni'!J82</f>
        <v>0</v>
      </c>
      <c r="K82" s="49">
        <f>'Avg Week Kanoni-Maddu'!K82+'Avg Week Maddu-Kanoni'!K82</f>
        <v>0</v>
      </c>
      <c r="L82" s="49">
        <f>'Avg Week Kanoni-Maddu'!L82+'Avg Week Maddu-Kanoni'!L82</f>
        <v>0</v>
      </c>
      <c r="M82" s="49">
        <f>'Avg Week Kanoni-Maddu'!M82+'Avg Week Maddu-Kanoni'!M82</f>
        <v>0</v>
      </c>
      <c r="N82" s="49">
        <f>'Avg Week Kanoni-Maddu'!N82+'Avg Week Maddu-Kanoni'!N82</f>
        <v>0</v>
      </c>
      <c r="O82" s="15">
        <f t="shared" si="35"/>
        <v>0.5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'Avg Week Kanoni-Maddu'!C83+'Avg Week Maddu-Kanoni'!C83</f>
        <v>0</v>
      </c>
      <c r="D83" s="49">
        <f>'Avg Week Kanoni-Maddu'!D83+'Avg Week Maddu-Kanoni'!D83</f>
        <v>0</v>
      </c>
      <c r="E83" s="49">
        <f>'Avg Week Kanoni-Maddu'!E83+'Avg Week Maddu-Kanoni'!E83</f>
        <v>0.5</v>
      </c>
      <c r="F83" s="49">
        <f>'Avg Week Kanoni-Maddu'!F83+'Avg Week Maddu-Kanoni'!F83</f>
        <v>0</v>
      </c>
      <c r="G83" s="49">
        <f>'Avg Week Kanoni-Maddu'!G83+'Avg Week Maddu-Kanoni'!G83</f>
        <v>0</v>
      </c>
      <c r="H83" s="49">
        <f>'Avg Week Kanoni-Maddu'!H83+'Avg Week Maddu-Kanoni'!H83</f>
        <v>0</v>
      </c>
      <c r="I83" s="49">
        <f>'Avg Week Kanoni-Maddu'!I83+'Avg Week Maddu-Kanoni'!I83</f>
        <v>0.5</v>
      </c>
      <c r="J83" s="49">
        <f>'Avg Week Kanoni-Maddu'!J83+'Avg Week Maddu-Kanoni'!J83</f>
        <v>1.5</v>
      </c>
      <c r="K83" s="49">
        <f>'Avg Week Kanoni-Maddu'!K83+'Avg Week Maddu-Kanoni'!K83</f>
        <v>0</v>
      </c>
      <c r="L83" s="49">
        <f>'Avg Week Kanoni-Maddu'!L83+'Avg Week Maddu-Kanoni'!L83</f>
        <v>0</v>
      </c>
      <c r="M83" s="49">
        <f>'Avg Week Kanoni-Maddu'!M83+'Avg Week Maddu-Kanoni'!M83</f>
        <v>0</v>
      </c>
      <c r="N83" s="49">
        <f>'Avg Week Kanoni-Maddu'!N83+'Avg Week Maddu-Kanoni'!N83</f>
        <v>0</v>
      </c>
      <c r="O83" s="15">
        <f t="shared" si="35"/>
        <v>2.5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'Avg Week Kanoni-Maddu'!C84+'Avg Week Maddu-Kanoni'!C84</f>
        <v>0</v>
      </c>
      <c r="D84" s="49">
        <f>'Avg Week Kanoni-Maddu'!D84+'Avg Week Maddu-Kanoni'!D84</f>
        <v>0</v>
      </c>
      <c r="E84" s="49">
        <f>'Avg Week Kanoni-Maddu'!E84+'Avg Week Maddu-Kanoni'!E84</f>
        <v>0</v>
      </c>
      <c r="F84" s="49">
        <f>'Avg Week Kanoni-Maddu'!F84+'Avg Week Maddu-Kanoni'!F84</f>
        <v>0</v>
      </c>
      <c r="G84" s="49">
        <f>'Avg Week Kanoni-Maddu'!G84+'Avg Week Maddu-Kanoni'!G84</f>
        <v>0</v>
      </c>
      <c r="H84" s="49">
        <f>'Avg Week Kanoni-Maddu'!H84+'Avg Week Maddu-Kanoni'!H84</f>
        <v>0</v>
      </c>
      <c r="I84" s="49">
        <f>'Avg Week Kanoni-Maddu'!I84+'Avg Week Maddu-Kanoni'!I84</f>
        <v>0.5</v>
      </c>
      <c r="J84" s="49">
        <f>'Avg Week Kanoni-Maddu'!J84+'Avg Week Maddu-Kanoni'!J84</f>
        <v>0.5</v>
      </c>
      <c r="K84" s="49">
        <f>'Avg Week Kanoni-Maddu'!K84+'Avg Week Maddu-Kanoni'!K84</f>
        <v>0</v>
      </c>
      <c r="L84" s="49">
        <f>'Avg Week Kanoni-Maddu'!L84+'Avg Week Maddu-Kanoni'!L84</f>
        <v>0.5</v>
      </c>
      <c r="M84" s="49">
        <f>'Avg Week Kanoni-Maddu'!M84+'Avg Week Maddu-Kanoni'!M84</f>
        <v>0.5</v>
      </c>
      <c r="N84" s="49">
        <f>'Avg Week Kanoni-Maddu'!N84+'Avg Week Maddu-Kanoni'!N84</f>
        <v>0</v>
      </c>
      <c r="O84" s="15">
        <f t="shared" si="35"/>
        <v>1.5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'Avg Week Kanoni-Maddu'!C85+'Avg Week Maddu-Kanoni'!C85</f>
        <v>0</v>
      </c>
      <c r="D85" s="49">
        <f>'Avg Week Kanoni-Maddu'!D85+'Avg Week Maddu-Kanoni'!D85</f>
        <v>0</v>
      </c>
      <c r="E85" s="49">
        <f>'Avg Week Kanoni-Maddu'!E85+'Avg Week Maddu-Kanoni'!E85</f>
        <v>0</v>
      </c>
      <c r="F85" s="49">
        <f>'Avg Week Kanoni-Maddu'!F85+'Avg Week Maddu-Kanoni'!F85</f>
        <v>0</v>
      </c>
      <c r="G85" s="49">
        <f>'Avg Week Kanoni-Maddu'!G85+'Avg Week Maddu-Kanoni'!G85</f>
        <v>0.5</v>
      </c>
      <c r="H85" s="49">
        <f>'Avg Week Kanoni-Maddu'!H85+'Avg Week Maddu-Kanoni'!H85</f>
        <v>0</v>
      </c>
      <c r="I85" s="49">
        <f>'Avg Week Kanoni-Maddu'!I85+'Avg Week Maddu-Kanoni'!I85</f>
        <v>0</v>
      </c>
      <c r="J85" s="49">
        <f>'Avg Week Kanoni-Maddu'!J85+'Avg Week Maddu-Kanoni'!J85</f>
        <v>0.5</v>
      </c>
      <c r="K85" s="49">
        <f>'Avg Week Kanoni-Maddu'!K85+'Avg Week Maddu-Kanoni'!K85</f>
        <v>0</v>
      </c>
      <c r="L85" s="49">
        <f>'Avg Week Kanoni-Maddu'!L85+'Avg Week Maddu-Kanoni'!L85</f>
        <v>0.5</v>
      </c>
      <c r="M85" s="49">
        <f>'Avg Week Kanoni-Maddu'!M85+'Avg Week Maddu-Kanoni'!M85</f>
        <v>0.5</v>
      </c>
      <c r="N85" s="49">
        <f>'Avg Week Kanoni-Maddu'!N85+'Avg Week Maddu-Kanoni'!N85</f>
        <v>0</v>
      </c>
      <c r="O85" s="15">
        <f t="shared" si="35"/>
        <v>1.5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'Avg Week Kanoni-Maddu'!C86+'Avg Week Maddu-Kanoni'!C86</f>
        <v>0</v>
      </c>
      <c r="D86" s="49">
        <f>'Avg Week Kanoni-Maddu'!D86+'Avg Week Maddu-Kanoni'!D86</f>
        <v>0</v>
      </c>
      <c r="E86" s="49">
        <f>'Avg Week Kanoni-Maddu'!E86+'Avg Week Maddu-Kanoni'!E86</f>
        <v>0</v>
      </c>
      <c r="F86" s="49">
        <f>'Avg Week Kanoni-Maddu'!F86+'Avg Week Maddu-Kanoni'!F86</f>
        <v>0</v>
      </c>
      <c r="G86" s="49">
        <f>'Avg Week Kanoni-Maddu'!G86+'Avg Week Maddu-Kanoni'!G86</f>
        <v>0</v>
      </c>
      <c r="H86" s="49">
        <f>'Avg Week Kanoni-Maddu'!H86+'Avg Week Maddu-Kanoni'!H86</f>
        <v>0</v>
      </c>
      <c r="I86" s="49">
        <f>'Avg Week Kanoni-Maddu'!I86+'Avg Week Maddu-Kanoni'!I86</f>
        <v>0</v>
      </c>
      <c r="J86" s="49">
        <f>'Avg Week Kanoni-Maddu'!J86+'Avg Week Maddu-Kanoni'!J86</f>
        <v>1.5</v>
      </c>
      <c r="K86" s="49">
        <f>'Avg Week Kanoni-Maddu'!K86+'Avg Week Maddu-Kanoni'!K86</f>
        <v>0</v>
      </c>
      <c r="L86" s="49">
        <f>'Avg Week Kanoni-Maddu'!L86+'Avg Week Maddu-Kanoni'!L86</f>
        <v>0</v>
      </c>
      <c r="M86" s="49">
        <f>'Avg Week Kanoni-Maddu'!M86+'Avg Week Maddu-Kanoni'!M86</f>
        <v>0</v>
      </c>
      <c r="N86" s="49">
        <f>'Avg Week Kanoni-Maddu'!N86+'Avg Week Maddu-Kanoni'!N86</f>
        <v>0</v>
      </c>
      <c r="O86" s="15">
        <f t="shared" si="35"/>
        <v>1.5</v>
      </c>
      <c r="P86" s="15">
        <f t="shared" si="36"/>
        <v>1.5</v>
      </c>
      <c r="R86" s="8"/>
      <c r="T86"/>
    </row>
    <row r="87" spans="2:20" ht="23.1" customHeight="1" x14ac:dyDescent="0.25">
      <c r="B87" s="23" t="s">
        <v>127</v>
      </c>
      <c r="C87" s="49">
        <f>'Avg Week Kanoni-Maddu'!C87+'Avg Week Maddu-Kanoni'!C87</f>
        <v>0</v>
      </c>
      <c r="D87" s="49">
        <f>'Avg Week Kanoni-Maddu'!D87+'Avg Week Maddu-Kanoni'!D87</f>
        <v>0</v>
      </c>
      <c r="E87" s="49">
        <f>'Avg Week Kanoni-Maddu'!E87+'Avg Week Maddu-Kanoni'!E87</f>
        <v>0</v>
      </c>
      <c r="F87" s="49">
        <f>'Avg Week Kanoni-Maddu'!F87+'Avg Week Maddu-Kanoni'!F87</f>
        <v>0</v>
      </c>
      <c r="G87" s="49">
        <f>'Avg Week Kanoni-Maddu'!G87+'Avg Week Maddu-Kanoni'!G87</f>
        <v>0</v>
      </c>
      <c r="H87" s="49">
        <f>'Avg Week Kanoni-Maddu'!H87+'Avg Week Maddu-Kanoni'!H87</f>
        <v>0</v>
      </c>
      <c r="I87" s="49">
        <f>'Avg Week Kanoni-Maddu'!I87+'Avg Week Maddu-Kanoni'!I87</f>
        <v>1</v>
      </c>
      <c r="J87" s="49">
        <f>'Avg Week Kanoni-Maddu'!J87+'Avg Week Maddu-Kanoni'!J87</f>
        <v>1</v>
      </c>
      <c r="K87" s="49">
        <f>'Avg Week Kanoni-Maddu'!K87+'Avg Week Maddu-Kanoni'!K87</f>
        <v>0</v>
      </c>
      <c r="L87" s="49">
        <f>'Avg Week Kanoni-Maddu'!L87+'Avg Week Maddu-Kanoni'!L87</f>
        <v>0.5</v>
      </c>
      <c r="M87" s="49">
        <f>'Avg Week Kanoni-Maddu'!M87+'Avg Week Maddu-Kanoni'!M87</f>
        <v>0</v>
      </c>
      <c r="N87" s="49">
        <f>'Avg Week Kanoni-Maddu'!N87+'Avg Week Maddu-Kanoni'!N87</f>
        <v>0</v>
      </c>
      <c r="O87" s="15">
        <f t="shared" si="35"/>
        <v>2.5</v>
      </c>
      <c r="P87" s="15">
        <f t="shared" si="36"/>
        <v>2.5</v>
      </c>
      <c r="R87" s="8"/>
      <c r="T87"/>
    </row>
    <row r="88" spans="2:20" ht="23.1" customHeight="1" x14ac:dyDescent="0.25">
      <c r="B88" s="25" t="s">
        <v>128</v>
      </c>
      <c r="C88" s="49">
        <f>'Avg Week Kanoni-Maddu'!C88+'Avg Week Maddu-Kanoni'!C88</f>
        <v>0</v>
      </c>
      <c r="D88" s="49">
        <f>'Avg Week Kanoni-Maddu'!D88+'Avg Week Maddu-Kanoni'!D88</f>
        <v>0</v>
      </c>
      <c r="E88" s="49">
        <f>'Avg Week Kanoni-Maddu'!E88+'Avg Week Maddu-Kanoni'!E88</f>
        <v>0</v>
      </c>
      <c r="F88" s="49">
        <f>'Avg Week Kanoni-Maddu'!F88+'Avg Week Maddu-Kanoni'!F88</f>
        <v>0</v>
      </c>
      <c r="G88" s="49">
        <f>'Avg Week Kanoni-Maddu'!G88+'Avg Week Maddu-Kanoni'!G88</f>
        <v>0</v>
      </c>
      <c r="H88" s="49">
        <f>'Avg Week Kanoni-Maddu'!H88+'Avg Week Maddu-Kanoni'!H88</f>
        <v>0</v>
      </c>
      <c r="I88" s="49">
        <f>'Avg Week Kanoni-Maddu'!I88+'Avg Week Maddu-Kanoni'!I88</f>
        <v>1.5</v>
      </c>
      <c r="J88" s="49">
        <f>'Avg Week Kanoni-Maddu'!J88+'Avg Week Maddu-Kanoni'!J88</f>
        <v>0</v>
      </c>
      <c r="K88" s="49">
        <f>'Avg Week Kanoni-Maddu'!K88+'Avg Week Maddu-Kanoni'!K88</f>
        <v>0</v>
      </c>
      <c r="L88" s="49">
        <f>'Avg Week Kanoni-Maddu'!L88+'Avg Week Maddu-Kanoni'!L88</f>
        <v>0</v>
      </c>
      <c r="M88" s="49">
        <f>'Avg Week Kanoni-Maddu'!M88+'Avg Week Maddu-Kanoni'!M88</f>
        <v>0</v>
      </c>
      <c r="N88" s="49">
        <f>'Avg Week Kanoni-Maddu'!N88+'Avg Week Maddu-Kanoni'!N88</f>
        <v>0</v>
      </c>
      <c r="O88" s="15">
        <f t="shared" si="35"/>
        <v>1.5</v>
      </c>
      <c r="P88" s="15">
        <f t="shared" si="36"/>
        <v>1.5</v>
      </c>
      <c r="R88" s="8"/>
      <c r="T88"/>
    </row>
    <row r="89" spans="2:20" ht="23.1" customHeight="1" x14ac:dyDescent="0.25">
      <c r="B89" s="23" t="s">
        <v>129</v>
      </c>
      <c r="C89" s="49">
        <f>'Avg Week Kanoni-Maddu'!C89+'Avg Week Maddu-Kanoni'!C89</f>
        <v>0.5</v>
      </c>
      <c r="D89" s="49">
        <f>'Avg Week Kanoni-Maddu'!D89+'Avg Week Maddu-Kanoni'!D89</f>
        <v>0</v>
      </c>
      <c r="E89" s="49">
        <f>'Avg Week Kanoni-Maddu'!E89+'Avg Week Maddu-Kanoni'!E89</f>
        <v>0</v>
      </c>
      <c r="F89" s="49">
        <f>'Avg Week Kanoni-Maddu'!F89+'Avg Week Maddu-Kanoni'!F89</f>
        <v>0</v>
      </c>
      <c r="G89" s="49">
        <f>'Avg Week Kanoni-Maddu'!G89+'Avg Week Maddu-Kanoni'!G89</f>
        <v>0</v>
      </c>
      <c r="H89" s="49">
        <f>'Avg Week Kanoni-Maddu'!H89+'Avg Week Maddu-Kanoni'!H89</f>
        <v>0</v>
      </c>
      <c r="I89" s="49">
        <f>'Avg Week Kanoni-Maddu'!I89+'Avg Week Maddu-Kanoni'!I89</f>
        <v>0</v>
      </c>
      <c r="J89" s="49">
        <f>'Avg Week Kanoni-Maddu'!J89+'Avg Week Maddu-Kanoni'!J89</f>
        <v>1</v>
      </c>
      <c r="K89" s="49">
        <f>'Avg Week Kanoni-Maddu'!K89+'Avg Week Maddu-Kanoni'!K89</f>
        <v>0</v>
      </c>
      <c r="L89" s="49">
        <f>'Avg Week Kanoni-Maddu'!L89+'Avg Week Maddu-Kanoni'!L89</f>
        <v>0</v>
      </c>
      <c r="M89" s="49">
        <f>'Avg Week Kanoni-Maddu'!M89+'Avg Week Maddu-Kanoni'!M89</f>
        <v>0</v>
      </c>
      <c r="N89" s="49">
        <f>'Avg Week Kanoni-Maddu'!N89+'Avg Week Maddu-Kanoni'!N89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'Avg Week Kanoni-Maddu'!C90+'Avg Week Maddu-Kanoni'!C90</f>
        <v>0</v>
      </c>
      <c r="D90" s="49">
        <f>'Avg Week Kanoni-Maddu'!D90+'Avg Week Maddu-Kanoni'!D90</f>
        <v>0.5</v>
      </c>
      <c r="E90" s="49">
        <f>'Avg Week Kanoni-Maddu'!E90+'Avg Week Maddu-Kanoni'!E90</f>
        <v>0</v>
      </c>
      <c r="F90" s="49">
        <f>'Avg Week Kanoni-Maddu'!F90+'Avg Week Maddu-Kanoni'!F90</f>
        <v>0</v>
      </c>
      <c r="G90" s="49">
        <f>'Avg Week Kanoni-Maddu'!G90+'Avg Week Maddu-Kanoni'!G90</f>
        <v>0</v>
      </c>
      <c r="H90" s="49">
        <f>'Avg Week Kanoni-Maddu'!H90+'Avg Week Maddu-Kanoni'!H90</f>
        <v>0</v>
      </c>
      <c r="I90" s="49">
        <f>'Avg Week Kanoni-Maddu'!I90+'Avg Week Maddu-Kanoni'!I90</f>
        <v>1</v>
      </c>
      <c r="J90" s="49">
        <f>'Avg Week Kanoni-Maddu'!J90+'Avg Week Maddu-Kanoni'!J90</f>
        <v>0</v>
      </c>
      <c r="K90" s="49">
        <f>'Avg Week Kanoni-Maddu'!K90+'Avg Week Maddu-Kanoni'!K90</f>
        <v>0</v>
      </c>
      <c r="L90" s="49">
        <f>'Avg Week Kanoni-Maddu'!L90+'Avg Week Maddu-Kanoni'!L90</f>
        <v>0</v>
      </c>
      <c r="M90" s="49">
        <f>'Avg Week Kanoni-Maddu'!M90+'Avg Week Maddu-Kanoni'!M90</f>
        <v>0.5</v>
      </c>
      <c r="N90" s="49">
        <f>'Avg Week Kanoni-Maddu'!N90+'Avg Week Maddu-Kanoni'!N90</f>
        <v>0</v>
      </c>
      <c r="O90" s="15">
        <f t="shared" si="35"/>
        <v>1.5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'Avg Week Kanoni-Maddu'!C91+'Avg Week Maddu-Kanoni'!C91</f>
        <v>0.5</v>
      </c>
      <c r="D91" s="49">
        <f>'Avg Week Kanoni-Maddu'!D91+'Avg Week Maddu-Kanoni'!D91</f>
        <v>0.5</v>
      </c>
      <c r="E91" s="49">
        <f>'Avg Week Kanoni-Maddu'!E91+'Avg Week Maddu-Kanoni'!E91</f>
        <v>0</v>
      </c>
      <c r="F91" s="49">
        <f>'Avg Week Kanoni-Maddu'!F91+'Avg Week Maddu-Kanoni'!F91</f>
        <v>0</v>
      </c>
      <c r="G91" s="49">
        <f>'Avg Week Kanoni-Maddu'!G91+'Avg Week Maddu-Kanoni'!G91</f>
        <v>0</v>
      </c>
      <c r="H91" s="49">
        <f>'Avg Week Kanoni-Maddu'!H91+'Avg Week Maddu-Kanoni'!H91</f>
        <v>0</v>
      </c>
      <c r="I91" s="49">
        <f>'Avg Week Kanoni-Maddu'!I91+'Avg Week Maddu-Kanoni'!I91</f>
        <v>0</v>
      </c>
      <c r="J91" s="49">
        <f>'Avg Week Kanoni-Maddu'!J91+'Avg Week Maddu-Kanoni'!J91</f>
        <v>2</v>
      </c>
      <c r="K91" s="49">
        <f>'Avg Week Kanoni-Maddu'!K91+'Avg Week Maddu-Kanoni'!K91</f>
        <v>0</v>
      </c>
      <c r="L91" s="49">
        <f>'Avg Week Kanoni-Maddu'!L91+'Avg Week Maddu-Kanoni'!L91</f>
        <v>0</v>
      </c>
      <c r="M91" s="49">
        <f>'Avg Week Kanoni-Maddu'!M91+'Avg Week Maddu-Kanoni'!M91</f>
        <v>0</v>
      </c>
      <c r="N91" s="49">
        <f>'Avg Week Kanoni-Maddu'!N91+'Avg Week Maddu-Kanoni'!N91</f>
        <v>0</v>
      </c>
      <c r="O91" s="15">
        <f t="shared" si="35"/>
        <v>3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'Avg Week Kanoni-Maddu'!C92+'Avg Week Maddu-Kanoni'!C92</f>
        <v>0</v>
      </c>
      <c r="D92" s="49">
        <f>'Avg Week Kanoni-Maddu'!D92+'Avg Week Maddu-Kanoni'!D92</f>
        <v>0</v>
      </c>
      <c r="E92" s="49">
        <f>'Avg Week Kanoni-Maddu'!E92+'Avg Week Maddu-Kanoni'!E92</f>
        <v>0</v>
      </c>
      <c r="F92" s="49">
        <f>'Avg Week Kanoni-Maddu'!F92+'Avg Week Maddu-Kanoni'!F92</f>
        <v>0</v>
      </c>
      <c r="G92" s="49">
        <f>'Avg Week Kanoni-Maddu'!G92+'Avg Week Maddu-Kanoni'!G92</f>
        <v>0</v>
      </c>
      <c r="H92" s="49">
        <f>'Avg Week Kanoni-Maddu'!H92+'Avg Week Maddu-Kanoni'!H92</f>
        <v>0</v>
      </c>
      <c r="I92" s="49">
        <f>'Avg Week Kanoni-Maddu'!I92+'Avg Week Maddu-Kanoni'!I92</f>
        <v>1.5</v>
      </c>
      <c r="J92" s="49">
        <f>'Avg Week Kanoni-Maddu'!J92+'Avg Week Maddu-Kanoni'!J92</f>
        <v>0.5</v>
      </c>
      <c r="K92" s="49">
        <f>'Avg Week Kanoni-Maddu'!K92+'Avg Week Maddu-Kanoni'!K92</f>
        <v>0</v>
      </c>
      <c r="L92" s="49">
        <f>'Avg Week Kanoni-Maddu'!L92+'Avg Week Maddu-Kanoni'!L92</f>
        <v>0</v>
      </c>
      <c r="M92" s="49">
        <f>'Avg Week Kanoni-Maddu'!M92+'Avg Week Maddu-Kanoni'!M92</f>
        <v>0</v>
      </c>
      <c r="N92" s="49">
        <f>'Avg Week Kanoni-Maddu'!N92+'Avg Week Maddu-Kanoni'!N92</f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23" t="s">
        <v>133</v>
      </c>
      <c r="C93" s="49">
        <f>'Avg Week Kanoni-Maddu'!C93+'Avg Week Maddu-Kanoni'!C93</f>
        <v>0.5</v>
      </c>
      <c r="D93" s="49">
        <f>'Avg Week Kanoni-Maddu'!D93+'Avg Week Maddu-Kanoni'!D93</f>
        <v>0</v>
      </c>
      <c r="E93" s="49">
        <f>'Avg Week Kanoni-Maddu'!E93+'Avg Week Maddu-Kanoni'!E93</f>
        <v>0.5</v>
      </c>
      <c r="F93" s="49">
        <f>'Avg Week Kanoni-Maddu'!F93+'Avg Week Maddu-Kanoni'!F93</f>
        <v>0</v>
      </c>
      <c r="G93" s="49">
        <f>'Avg Week Kanoni-Maddu'!G93+'Avg Week Maddu-Kanoni'!G93</f>
        <v>0</v>
      </c>
      <c r="H93" s="49">
        <f>'Avg Week Kanoni-Maddu'!H93+'Avg Week Maddu-Kanoni'!H93</f>
        <v>0</v>
      </c>
      <c r="I93" s="49">
        <f>'Avg Week Kanoni-Maddu'!I93+'Avg Week Maddu-Kanoni'!I93</f>
        <v>0</v>
      </c>
      <c r="J93" s="49">
        <f>'Avg Week Kanoni-Maddu'!J93+'Avg Week Maddu-Kanoni'!J93</f>
        <v>3.5</v>
      </c>
      <c r="K93" s="49">
        <f>'Avg Week Kanoni-Maddu'!K93+'Avg Week Maddu-Kanoni'!K93</f>
        <v>0.5</v>
      </c>
      <c r="L93" s="49">
        <f>'Avg Week Kanoni-Maddu'!L93+'Avg Week Maddu-Kanoni'!L93</f>
        <v>0</v>
      </c>
      <c r="M93" s="49">
        <f>'Avg Week Kanoni-Maddu'!M93+'Avg Week Maddu-Kanoni'!M93</f>
        <v>0</v>
      </c>
      <c r="N93" s="49">
        <f>'Avg Week Kanoni-Maddu'!N93+'Avg Week Maddu-Kanoni'!N93</f>
        <v>0</v>
      </c>
      <c r="O93" s="15">
        <f t="shared" si="35"/>
        <v>5</v>
      </c>
      <c r="P93" s="15">
        <f t="shared" si="36"/>
        <v>5</v>
      </c>
      <c r="R93" s="8"/>
      <c r="T93"/>
    </row>
    <row r="94" spans="2:20" ht="23.1" customHeight="1" x14ac:dyDescent="0.25">
      <c r="B94" s="24" t="s">
        <v>134</v>
      </c>
      <c r="C94" s="49">
        <f>'Avg Week Kanoni-Maddu'!C94+'Avg Week Maddu-Kanoni'!C94</f>
        <v>0</v>
      </c>
      <c r="D94" s="49">
        <f>'Avg Week Kanoni-Maddu'!D94+'Avg Week Maddu-Kanoni'!D94</f>
        <v>0</v>
      </c>
      <c r="E94" s="49">
        <f>'Avg Week Kanoni-Maddu'!E94+'Avg Week Maddu-Kanoni'!E94</f>
        <v>0</v>
      </c>
      <c r="F94" s="49">
        <f>'Avg Week Kanoni-Maddu'!F94+'Avg Week Maddu-Kanoni'!F94</f>
        <v>0</v>
      </c>
      <c r="G94" s="49">
        <f>'Avg Week Kanoni-Maddu'!G94+'Avg Week Maddu-Kanoni'!G94</f>
        <v>0</v>
      </c>
      <c r="H94" s="49">
        <f>'Avg Week Kanoni-Maddu'!H94+'Avg Week Maddu-Kanoni'!H94</f>
        <v>0</v>
      </c>
      <c r="I94" s="49">
        <f>'Avg Week Kanoni-Maddu'!I94+'Avg Week Maddu-Kanoni'!I94</f>
        <v>0.5</v>
      </c>
      <c r="J94" s="49">
        <f>'Avg Week Kanoni-Maddu'!J94+'Avg Week Maddu-Kanoni'!J94</f>
        <v>0</v>
      </c>
      <c r="K94" s="49">
        <f>'Avg Week Kanoni-Maddu'!K94+'Avg Week Maddu-Kanoni'!K94</f>
        <v>0</v>
      </c>
      <c r="L94" s="49">
        <f>'Avg Week Kanoni-Maddu'!L94+'Avg Week Maddu-Kanoni'!L94</f>
        <v>0</v>
      </c>
      <c r="M94" s="49">
        <f>'Avg Week Kanoni-Maddu'!M94+'Avg Week Maddu-Kanoni'!M94</f>
        <v>0</v>
      </c>
      <c r="N94" s="49">
        <f>'Avg Week Kanoni-Maddu'!N94+'Avg Week Maddu-Kanoni'!N94</f>
        <v>0</v>
      </c>
      <c r="O94" s="15">
        <f t="shared" si="35"/>
        <v>0.5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'Avg Week Kanoni-Maddu'!C95+'Avg Week Maddu-Kanoni'!C95</f>
        <v>0</v>
      </c>
      <c r="D95" s="49">
        <f>'Avg Week Kanoni-Maddu'!D95+'Avg Week Maddu-Kanoni'!D95</f>
        <v>0</v>
      </c>
      <c r="E95" s="49">
        <f>'Avg Week Kanoni-Maddu'!E95+'Avg Week Maddu-Kanoni'!E95</f>
        <v>0</v>
      </c>
      <c r="F95" s="49">
        <f>'Avg Week Kanoni-Maddu'!F95+'Avg Week Maddu-Kanoni'!F95</f>
        <v>0</v>
      </c>
      <c r="G95" s="49">
        <f>'Avg Week Kanoni-Maddu'!G95+'Avg Week Maddu-Kanoni'!G95</f>
        <v>0</v>
      </c>
      <c r="H95" s="49">
        <f>'Avg Week Kanoni-Maddu'!H95+'Avg Week Maddu-Kanoni'!H95</f>
        <v>0</v>
      </c>
      <c r="I95" s="49">
        <f>'Avg Week Kanoni-Maddu'!I95+'Avg Week Maddu-Kanoni'!I95</f>
        <v>0</v>
      </c>
      <c r="J95" s="49">
        <f>'Avg Week Kanoni-Maddu'!J95+'Avg Week Maddu-Kanoni'!J95</f>
        <v>0</v>
      </c>
      <c r="K95" s="49">
        <f>'Avg Week Kanoni-Maddu'!K95+'Avg Week Maddu-Kanoni'!K95</f>
        <v>0</v>
      </c>
      <c r="L95" s="49">
        <f>'Avg Week Kanoni-Maddu'!L95+'Avg Week Maddu-Kanoni'!L95</f>
        <v>0</v>
      </c>
      <c r="M95" s="49">
        <f>'Avg Week Kanoni-Maddu'!M95+'Avg Week Maddu-Kanoni'!M95</f>
        <v>0</v>
      </c>
      <c r="N95" s="49">
        <f>'Avg Week Kanoni-Maddu'!N95+'Avg Week Maddu-Kanoni'!N95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'Avg Week Kanoni-Maddu'!C96+'Avg Week Maddu-Kanoni'!C96</f>
        <v>0.5</v>
      </c>
      <c r="D96" s="49">
        <f>'Avg Week Kanoni-Maddu'!D96+'Avg Week Maddu-Kanoni'!D96</f>
        <v>0</v>
      </c>
      <c r="E96" s="49">
        <f>'Avg Week Kanoni-Maddu'!E96+'Avg Week Maddu-Kanoni'!E96</f>
        <v>0</v>
      </c>
      <c r="F96" s="49">
        <f>'Avg Week Kanoni-Maddu'!F96+'Avg Week Maddu-Kanoni'!F96</f>
        <v>1</v>
      </c>
      <c r="G96" s="49">
        <f>'Avg Week Kanoni-Maddu'!G96+'Avg Week Maddu-Kanoni'!G96</f>
        <v>0</v>
      </c>
      <c r="H96" s="49">
        <f>'Avg Week Kanoni-Maddu'!H96+'Avg Week Maddu-Kanoni'!H96</f>
        <v>0</v>
      </c>
      <c r="I96" s="49">
        <f>'Avg Week Kanoni-Maddu'!I96+'Avg Week Maddu-Kanoni'!I96</f>
        <v>2.5</v>
      </c>
      <c r="J96" s="49">
        <f>'Avg Week Kanoni-Maddu'!J96+'Avg Week Maddu-Kanoni'!J96</f>
        <v>0.5</v>
      </c>
      <c r="K96" s="49">
        <f>'Avg Week Kanoni-Maddu'!K96+'Avg Week Maddu-Kanoni'!K96</f>
        <v>0</v>
      </c>
      <c r="L96" s="49">
        <f>'Avg Week Kanoni-Maddu'!L96+'Avg Week Maddu-Kanoni'!L96</f>
        <v>0</v>
      </c>
      <c r="M96" s="49">
        <f>'Avg Week Kanoni-Maddu'!M96+'Avg Week Maddu-Kanoni'!M96</f>
        <v>0</v>
      </c>
      <c r="N96" s="49">
        <f>'Avg Week Kanoni-Maddu'!N96+'Avg Week Maddu-Kanoni'!N96</f>
        <v>0</v>
      </c>
      <c r="O96" s="15">
        <f t="shared" si="35"/>
        <v>4.5</v>
      </c>
      <c r="P96" s="15">
        <f t="shared" si="36"/>
        <v>4.5</v>
      </c>
      <c r="R96" s="8"/>
      <c r="T96"/>
    </row>
    <row r="97" spans="2:20" ht="23.1" customHeight="1" x14ac:dyDescent="0.25">
      <c r="B97" s="23" t="s">
        <v>137</v>
      </c>
      <c r="C97" s="49">
        <f>'Avg Week Kanoni-Maddu'!C97+'Avg Week Maddu-Kanoni'!C97</f>
        <v>1.5</v>
      </c>
      <c r="D97" s="49">
        <f>'Avg Week Kanoni-Maddu'!D97+'Avg Week Maddu-Kanoni'!D97</f>
        <v>0.5</v>
      </c>
      <c r="E97" s="49">
        <f>'Avg Week Kanoni-Maddu'!E97+'Avg Week Maddu-Kanoni'!E97</f>
        <v>0</v>
      </c>
      <c r="F97" s="49">
        <f>'Avg Week Kanoni-Maddu'!F97+'Avg Week Maddu-Kanoni'!F97</f>
        <v>1</v>
      </c>
      <c r="G97" s="49">
        <f>'Avg Week Kanoni-Maddu'!G97+'Avg Week Maddu-Kanoni'!G97</f>
        <v>0</v>
      </c>
      <c r="H97" s="49">
        <f>'Avg Week Kanoni-Maddu'!H97+'Avg Week Maddu-Kanoni'!H97</f>
        <v>0</v>
      </c>
      <c r="I97" s="49">
        <f>'Avg Week Kanoni-Maddu'!I97+'Avg Week Maddu-Kanoni'!I97</f>
        <v>0</v>
      </c>
      <c r="J97" s="49">
        <f>'Avg Week Kanoni-Maddu'!J97+'Avg Week Maddu-Kanoni'!J97</f>
        <v>1.5</v>
      </c>
      <c r="K97" s="49">
        <f>'Avg Week Kanoni-Maddu'!K97+'Avg Week Maddu-Kanoni'!K97</f>
        <v>0</v>
      </c>
      <c r="L97" s="49">
        <f>'Avg Week Kanoni-Maddu'!L97+'Avg Week Maddu-Kanoni'!L97</f>
        <v>0</v>
      </c>
      <c r="M97" s="49">
        <f>'Avg Week Kanoni-Maddu'!M97+'Avg Week Maddu-Kanoni'!M97</f>
        <v>0.5</v>
      </c>
      <c r="N97" s="49">
        <f>'Avg Week Kanoni-Maddu'!N97+'Avg Week Maddu-Kanoni'!N97</f>
        <v>0</v>
      </c>
      <c r="O97" s="15">
        <f t="shared" si="35"/>
        <v>4.5</v>
      </c>
      <c r="P97" s="15">
        <f t="shared" si="36"/>
        <v>5</v>
      </c>
      <c r="R97" s="8"/>
      <c r="T97"/>
    </row>
    <row r="98" spans="2:20" ht="23.1" customHeight="1" x14ac:dyDescent="0.25">
      <c r="B98" s="24" t="s">
        <v>138</v>
      </c>
      <c r="C98" s="49">
        <f>'Avg Week Kanoni-Maddu'!C98+'Avg Week Maddu-Kanoni'!C98</f>
        <v>0</v>
      </c>
      <c r="D98" s="49">
        <f>'Avg Week Kanoni-Maddu'!D98+'Avg Week Maddu-Kanoni'!D98</f>
        <v>0</v>
      </c>
      <c r="E98" s="49">
        <f>'Avg Week Kanoni-Maddu'!E98+'Avg Week Maddu-Kanoni'!E98</f>
        <v>0</v>
      </c>
      <c r="F98" s="49">
        <f>'Avg Week Kanoni-Maddu'!F98+'Avg Week Maddu-Kanoni'!F98</f>
        <v>0</v>
      </c>
      <c r="G98" s="49">
        <f>'Avg Week Kanoni-Maddu'!G98+'Avg Week Maddu-Kanoni'!G98</f>
        <v>0</v>
      </c>
      <c r="H98" s="49">
        <f>'Avg Week Kanoni-Maddu'!H98+'Avg Week Maddu-Kanoni'!H98</f>
        <v>0</v>
      </c>
      <c r="I98" s="49">
        <f>'Avg Week Kanoni-Maddu'!I98+'Avg Week Maddu-Kanoni'!I98</f>
        <v>0</v>
      </c>
      <c r="J98" s="49">
        <f>'Avg Week Kanoni-Maddu'!J98+'Avg Week Maddu-Kanoni'!J98</f>
        <v>1</v>
      </c>
      <c r="K98" s="49">
        <f>'Avg Week Kanoni-Maddu'!K98+'Avg Week Maddu-Kanoni'!K98</f>
        <v>0</v>
      </c>
      <c r="L98" s="49">
        <f>'Avg Week Kanoni-Maddu'!L98+'Avg Week Maddu-Kanoni'!L98</f>
        <v>0</v>
      </c>
      <c r="M98" s="49">
        <f>'Avg Week Kanoni-Maddu'!M98+'Avg Week Maddu-Kanoni'!M98</f>
        <v>0</v>
      </c>
      <c r="N98" s="49">
        <f>'Avg Week Kanoni-Maddu'!N98+'Avg Week Maddu-Kanoni'!N98</f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23" t="s">
        <v>139</v>
      </c>
      <c r="C99" s="49">
        <f>'Avg Week Kanoni-Maddu'!C99+'Avg Week Maddu-Kanoni'!C99</f>
        <v>0</v>
      </c>
      <c r="D99" s="49">
        <f>'Avg Week Kanoni-Maddu'!D99+'Avg Week Maddu-Kanoni'!D99</f>
        <v>0</v>
      </c>
      <c r="E99" s="49">
        <f>'Avg Week Kanoni-Maddu'!E99+'Avg Week Maddu-Kanoni'!E99</f>
        <v>0</v>
      </c>
      <c r="F99" s="49">
        <f>'Avg Week Kanoni-Maddu'!F99+'Avg Week Maddu-Kanoni'!F99</f>
        <v>0</v>
      </c>
      <c r="G99" s="49">
        <f>'Avg Week Kanoni-Maddu'!G99+'Avg Week Maddu-Kanoni'!G99</f>
        <v>0</v>
      </c>
      <c r="H99" s="49">
        <f>'Avg Week Kanoni-Maddu'!H99+'Avg Week Maddu-Kanoni'!H99</f>
        <v>0</v>
      </c>
      <c r="I99" s="49">
        <f>'Avg Week Kanoni-Maddu'!I99+'Avg Week Maddu-Kanoni'!I99</f>
        <v>0</v>
      </c>
      <c r="J99" s="49">
        <f>'Avg Week Kanoni-Maddu'!J99+'Avg Week Maddu-Kanoni'!J99</f>
        <v>0</v>
      </c>
      <c r="K99" s="49">
        <f>'Avg Week Kanoni-Maddu'!K99+'Avg Week Maddu-Kanoni'!K99</f>
        <v>0</v>
      </c>
      <c r="L99" s="49">
        <f>'Avg Week Kanoni-Maddu'!L99+'Avg Week Maddu-Kanoni'!L99</f>
        <v>0</v>
      </c>
      <c r="M99" s="49">
        <f>'Avg Week Kanoni-Maddu'!M99+'Avg Week Maddu-Kanoni'!M99</f>
        <v>0</v>
      </c>
      <c r="N99" s="49">
        <f>'Avg Week Kanoni-Maddu'!N99+'Avg Week Maddu-Kanoni'!N99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49">
        <f>'Avg Week Kanoni-Maddu'!C100+'Avg Week Maddu-Kanoni'!C100</f>
        <v>0.5</v>
      </c>
      <c r="D100" s="49">
        <f>'Avg Week Kanoni-Maddu'!D100+'Avg Week Maddu-Kanoni'!D100</f>
        <v>0</v>
      </c>
      <c r="E100" s="49">
        <f>'Avg Week Kanoni-Maddu'!E100+'Avg Week Maddu-Kanoni'!E100</f>
        <v>0</v>
      </c>
      <c r="F100" s="49">
        <f>'Avg Week Kanoni-Maddu'!F100+'Avg Week Maddu-Kanoni'!F100</f>
        <v>2</v>
      </c>
      <c r="G100" s="49">
        <f>'Avg Week Kanoni-Maddu'!G100+'Avg Week Maddu-Kanoni'!G100</f>
        <v>0</v>
      </c>
      <c r="H100" s="49">
        <f>'Avg Week Kanoni-Maddu'!H100+'Avg Week Maddu-Kanoni'!H100</f>
        <v>0</v>
      </c>
      <c r="I100" s="49">
        <f>'Avg Week Kanoni-Maddu'!I100+'Avg Week Maddu-Kanoni'!I100</f>
        <v>0.5</v>
      </c>
      <c r="J100" s="49">
        <f>'Avg Week Kanoni-Maddu'!J100+'Avg Week Maddu-Kanoni'!J100</f>
        <v>0</v>
      </c>
      <c r="K100" s="49">
        <f>'Avg Week Kanoni-Maddu'!K100+'Avg Week Maddu-Kanoni'!K100</f>
        <v>0</v>
      </c>
      <c r="L100" s="49">
        <f>'Avg Week Kanoni-Maddu'!L100+'Avg Week Maddu-Kanoni'!L100</f>
        <v>0</v>
      </c>
      <c r="M100" s="49">
        <f>'Avg Week Kanoni-Maddu'!M100+'Avg Week Maddu-Kanoni'!M100</f>
        <v>0.5</v>
      </c>
      <c r="N100" s="49">
        <f>'Avg Week Kanoni-Maddu'!N100+'Avg Week Maddu-Kanoni'!N100</f>
        <v>0</v>
      </c>
      <c r="O100" s="15">
        <f t="shared" si="35"/>
        <v>3</v>
      </c>
      <c r="P100" s="15">
        <f t="shared" si="36"/>
        <v>3.5</v>
      </c>
      <c r="R100" s="8"/>
      <c r="T100"/>
    </row>
    <row r="101" spans="2:20" ht="23.1" customHeight="1" x14ac:dyDescent="0.25">
      <c r="B101" s="23" t="s">
        <v>141</v>
      </c>
      <c r="C101" s="49">
        <f>'Avg Week Kanoni-Maddu'!C101+'Avg Week Maddu-Kanoni'!C101</f>
        <v>0</v>
      </c>
      <c r="D101" s="49">
        <f>'Avg Week Kanoni-Maddu'!D101+'Avg Week Maddu-Kanoni'!D101</f>
        <v>0</v>
      </c>
      <c r="E101" s="49">
        <f>'Avg Week Kanoni-Maddu'!E101+'Avg Week Maddu-Kanoni'!E101</f>
        <v>0</v>
      </c>
      <c r="F101" s="49">
        <f>'Avg Week Kanoni-Maddu'!F101+'Avg Week Maddu-Kanoni'!F101</f>
        <v>2</v>
      </c>
      <c r="G101" s="49">
        <f>'Avg Week Kanoni-Maddu'!G101+'Avg Week Maddu-Kanoni'!G101</f>
        <v>0</v>
      </c>
      <c r="H101" s="49">
        <f>'Avg Week Kanoni-Maddu'!H101+'Avg Week Maddu-Kanoni'!H101</f>
        <v>0</v>
      </c>
      <c r="I101" s="49">
        <f>'Avg Week Kanoni-Maddu'!I101+'Avg Week Maddu-Kanoni'!I101</f>
        <v>0</v>
      </c>
      <c r="J101" s="49">
        <f>'Avg Week Kanoni-Maddu'!J101+'Avg Week Maddu-Kanoni'!J101</f>
        <v>0</v>
      </c>
      <c r="K101" s="49">
        <f>'Avg Week Kanoni-Maddu'!K101+'Avg Week Maddu-Kanoni'!K101</f>
        <v>0</v>
      </c>
      <c r="L101" s="49">
        <f>'Avg Week Kanoni-Maddu'!L101+'Avg Week Maddu-Kanoni'!L101</f>
        <v>0</v>
      </c>
      <c r="M101" s="49">
        <f>'Avg Week Kanoni-Maddu'!M101+'Avg Week Maddu-Kanoni'!M101</f>
        <v>0.5</v>
      </c>
      <c r="N101" s="49">
        <f>'Avg Week Kanoni-Maddu'!N101+'Avg Week Maddu-Kanoni'!N101</f>
        <v>0</v>
      </c>
      <c r="O101" s="15">
        <f t="shared" si="35"/>
        <v>2</v>
      </c>
      <c r="P101" s="15">
        <f t="shared" si="36"/>
        <v>2.5</v>
      </c>
      <c r="R101" s="8"/>
      <c r="T101"/>
    </row>
    <row r="102" spans="2:20" ht="23.1" customHeight="1" x14ac:dyDescent="0.25">
      <c r="B102" s="24" t="s">
        <v>142</v>
      </c>
      <c r="C102" s="49">
        <f>'Avg Week Kanoni-Maddu'!C102+'Avg Week Maddu-Kanoni'!C102</f>
        <v>1</v>
      </c>
      <c r="D102" s="49">
        <f>'Avg Week Kanoni-Maddu'!D102+'Avg Week Maddu-Kanoni'!D102</f>
        <v>1</v>
      </c>
      <c r="E102" s="49">
        <f>'Avg Week Kanoni-Maddu'!E102+'Avg Week Maddu-Kanoni'!E102</f>
        <v>0</v>
      </c>
      <c r="F102" s="49">
        <f>'Avg Week Kanoni-Maddu'!F102+'Avg Week Maddu-Kanoni'!F102</f>
        <v>1.5</v>
      </c>
      <c r="G102" s="49">
        <f>'Avg Week Kanoni-Maddu'!G102+'Avg Week Maddu-Kanoni'!G102</f>
        <v>0</v>
      </c>
      <c r="H102" s="49">
        <f>'Avg Week Kanoni-Maddu'!H102+'Avg Week Maddu-Kanoni'!H102</f>
        <v>0</v>
      </c>
      <c r="I102" s="49">
        <f>'Avg Week Kanoni-Maddu'!I102+'Avg Week Maddu-Kanoni'!I102</f>
        <v>0</v>
      </c>
      <c r="J102" s="49">
        <f>'Avg Week Kanoni-Maddu'!J102+'Avg Week Maddu-Kanoni'!J102</f>
        <v>0</v>
      </c>
      <c r="K102" s="49">
        <f>'Avg Week Kanoni-Maddu'!K102+'Avg Week Maddu-Kanoni'!K102</f>
        <v>0</v>
      </c>
      <c r="L102" s="49">
        <f>'Avg Week Kanoni-Maddu'!L102+'Avg Week Maddu-Kanoni'!L102</f>
        <v>0</v>
      </c>
      <c r="M102" s="49">
        <f>'Avg Week Kanoni-Maddu'!M102+'Avg Week Maddu-Kanoni'!M102</f>
        <v>1.5</v>
      </c>
      <c r="N102" s="49">
        <f>'Avg Week Kanoni-Maddu'!N102+'Avg Week Maddu-Kanoni'!N102</f>
        <v>0</v>
      </c>
      <c r="O102" s="15">
        <f t="shared" si="35"/>
        <v>3.5</v>
      </c>
      <c r="P102" s="15">
        <f t="shared" si="36"/>
        <v>5</v>
      </c>
      <c r="R102" s="8"/>
      <c r="T102"/>
    </row>
    <row r="103" spans="2:20" ht="23.1" customHeight="1" x14ac:dyDescent="0.25">
      <c r="B103" s="23" t="s">
        <v>143</v>
      </c>
      <c r="C103" s="49">
        <f>'Avg Week Kanoni-Maddu'!C103+'Avg Week Maddu-Kanoni'!C103</f>
        <v>1</v>
      </c>
      <c r="D103" s="49">
        <f>'Avg Week Kanoni-Maddu'!D103+'Avg Week Maddu-Kanoni'!D103</f>
        <v>0</v>
      </c>
      <c r="E103" s="49">
        <f>'Avg Week Kanoni-Maddu'!E103+'Avg Week Maddu-Kanoni'!E103</f>
        <v>0</v>
      </c>
      <c r="F103" s="49">
        <f>'Avg Week Kanoni-Maddu'!F103+'Avg Week Maddu-Kanoni'!F103</f>
        <v>0</v>
      </c>
      <c r="G103" s="49">
        <f>'Avg Week Kanoni-Maddu'!G103+'Avg Week Maddu-Kanoni'!G103</f>
        <v>0</v>
      </c>
      <c r="H103" s="49">
        <f>'Avg Week Kanoni-Maddu'!H103+'Avg Week Maddu-Kanoni'!H103</f>
        <v>0</v>
      </c>
      <c r="I103" s="49">
        <f>'Avg Week Kanoni-Maddu'!I103+'Avg Week Maddu-Kanoni'!I103</f>
        <v>0</v>
      </c>
      <c r="J103" s="49">
        <f>'Avg Week Kanoni-Maddu'!J103+'Avg Week Maddu-Kanoni'!J103</f>
        <v>0.5</v>
      </c>
      <c r="K103" s="49">
        <f>'Avg Week Kanoni-Maddu'!K103+'Avg Week Maddu-Kanoni'!K103</f>
        <v>0</v>
      </c>
      <c r="L103" s="49">
        <f>'Avg Week Kanoni-Maddu'!L103+'Avg Week Maddu-Kanoni'!L103</f>
        <v>0</v>
      </c>
      <c r="M103" s="49">
        <f>'Avg Week Kanoni-Maddu'!M103+'Avg Week Maddu-Kanoni'!M103</f>
        <v>4</v>
      </c>
      <c r="N103" s="49">
        <f>'Avg Week Kanoni-Maddu'!N103+'Avg Week Maddu-Kanoni'!N103</f>
        <v>0</v>
      </c>
      <c r="O103" s="15">
        <f t="shared" si="35"/>
        <v>1.5</v>
      </c>
      <c r="P103" s="15">
        <f t="shared" si="36"/>
        <v>5.5</v>
      </c>
      <c r="R103" s="8"/>
      <c r="T103"/>
    </row>
    <row r="104" spans="2:20" ht="23.1" customHeight="1" x14ac:dyDescent="0.25">
      <c r="B104" s="25" t="s">
        <v>144</v>
      </c>
      <c r="C104" s="49">
        <f>'Avg Week Kanoni-Maddu'!C104+'Avg Week Maddu-Kanoni'!C104</f>
        <v>0.5</v>
      </c>
      <c r="D104" s="49">
        <f>'Avg Week Kanoni-Maddu'!D104+'Avg Week Maddu-Kanoni'!D104</f>
        <v>0.5</v>
      </c>
      <c r="E104" s="49">
        <f>'Avg Week Kanoni-Maddu'!E104+'Avg Week Maddu-Kanoni'!E104</f>
        <v>0.5</v>
      </c>
      <c r="F104" s="49">
        <f>'Avg Week Kanoni-Maddu'!F104+'Avg Week Maddu-Kanoni'!F104</f>
        <v>1.5</v>
      </c>
      <c r="G104" s="49">
        <f>'Avg Week Kanoni-Maddu'!G104+'Avg Week Maddu-Kanoni'!G104</f>
        <v>0</v>
      </c>
      <c r="H104" s="49">
        <f>'Avg Week Kanoni-Maddu'!H104+'Avg Week Maddu-Kanoni'!H104</f>
        <v>0</v>
      </c>
      <c r="I104" s="49">
        <f>'Avg Week Kanoni-Maddu'!I104+'Avg Week Maddu-Kanoni'!I104</f>
        <v>0.5</v>
      </c>
      <c r="J104" s="49">
        <f>'Avg Week Kanoni-Maddu'!J104+'Avg Week Maddu-Kanoni'!J104</f>
        <v>0.5</v>
      </c>
      <c r="K104" s="49">
        <f>'Avg Week Kanoni-Maddu'!K104+'Avg Week Maddu-Kanoni'!K104</f>
        <v>0</v>
      </c>
      <c r="L104" s="49">
        <f>'Avg Week Kanoni-Maddu'!L104+'Avg Week Maddu-Kanoni'!L104</f>
        <v>0</v>
      </c>
      <c r="M104" s="49">
        <f>'Avg Week Kanoni-Maddu'!M104+'Avg Week Maddu-Kanoni'!M104</f>
        <v>5</v>
      </c>
      <c r="N104" s="49">
        <f>'Avg Week Kanoni-Maddu'!N104+'Avg Week Maddu-Kanoni'!N104</f>
        <v>0</v>
      </c>
      <c r="O104" s="15">
        <f t="shared" si="35"/>
        <v>4</v>
      </c>
      <c r="P104" s="15">
        <f t="shared" si="36"/>
        <v>9</v>
      </c>
      <c r="R104" s="8"/>
      <c r="T104"/>
    </row>
    <row r="105" spans="2:20" ht="23.1" customHeight="1" x14ac:dyDescent="0.25">
      <c r="B105" s="23" t="s">
        <v>145</v>
      </c>
      <c r="C105" s="49">
        <f>'Avg Week Kanoni-Maddu'!C105+'Avg Week Maddu-Kanoni'!C105</f>
        <v>0.5</v>
      </c>
      <c r="D105" s="49">
        <f>'Avg Week Kanoni-Maddu'!D105+'Avg Week Maddu-Kanoni'!D105</f>
        <v>0.5</v>
      </c>
      <c r="E105" s="49">
        <f>'Avg Week Kanoni-Maddu'!E105+'Avg Week Maddu-Kanoni'!E105</f>
        <v>0.5</v>
      </c>
      <c r="F105" s="49">
        <f>'Avg Week Kanoni-Maddu'!F105+'Avg Week Maddu-Kanoni'!F105</f>
        <v>0.5</v>
      </c>
      <c r="G105" s="49">
        <f>'Avg Week Kanoni-Maddu'!G105+'Avg Week Maddu-Kanoni'!G105</f>
        <v>0.5</v>
      </c>
      <c r="H105" s="49">
        <f>'Avg Week Kanoni-Maddu'!H105+'Avg Week Maddu-Kanoni'!H105</f>
        <v>0</v>
      </c>
      <c r="I105" s="49">
        <f>'Avg Week Kanoni-Maddu'!I105+'Avg Week Maddu-Kanoni'!I105</f>
        <v>0.5</v>
      </c>
      <c r="J105" s="49">
        <f>'Avg Week Kanoni-Maddu'!J105+'Avg Week Maddu-Kanoni'!J105</f>
        <v>0</v>
      </c>
      <c r="K105" s="49">
        <f>'Avg Week Kanoni-Maddu'!K105+'Avg Week Maddu-Kanoni'!K105</f>
        <v>0</v>
      </c>
      <c r="L105" s="49">
        <f>'Avg Week Kanoni-Maddu'!L105+'Avg Week Maddu-Kanoni'!L105</f>
        <v>0</v>
      </c>
      <c r="M105" s="49">
        <f>'Avg Week Kanoni-Maddu'!M105+'Avg Week Maddu-Kanoni'!M105</f>
        <v>3.5</v>
      </c>
      <c r="N105" s="49">
        <f>'Avg Week Kanoni-Maddu'!N105+'Avg Week Maddu-Kanoni'!N105</f>
        <v>0</v>
      </c>
      <c r="O105" s="15">
        <f t="shared" si="35"/>
        <v>3</v>
      </c>
      <c r="P105" s="15">
        <f t="shared" si="36"/>
        <v>6.5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245.78571428571431</v>
      </c>
      <c r="D106" s="16">
        <f t="shared" ref="D106:P106" si="37">SUM(D10:D105)</f>
        <v>85.357142857142861</v>
      </c>
      <c r="E106" s="16">
        <f t="shared" si="37"/>
        <v>76.571428571428555</v>
      </c>
      <c r="F106" s="16">
        <f t="shared" si="37"/>
        <v>204.1428571428572</v>
      </c>
      <c r="G106" s="16">
        <f t="shared" si="37"/>
        <v>3.714285714285714</v>
      </c>
      <c r="H106" s="16">
        <f t="shared" si="37"/>
        <v>1.2857142857142856</v>
      </c>
      <c r="I106" s="16">
        <f t="shared" si="37"/>
        <v>84.428571428571416</v>
      </c>
      <c r="J106" s="16">
        <f t="shared" si="37"/>
        <v>85.928571428571431</v>
      </c>
      <c r="K106" s="16">
        <f t="shared" si="37"/>
        <v>19.714285714285712</v>
      </c>
      <c r="L106" s="16">
        <f t="shared" si="37"/>
        <v>2.0714285714285712</v>
      </c>
      <c r="M106" s="16">
        <f t="shared" si="37"/>
        <v>1213.0000000000002</v>
      </c>
      <c r="N106" s="16">
        <f t="shared" si="37"/>
        <v>0.7857142857142857</v>
      </c>
      <c r="O106" s="16">
        <f t="shared" si="37"/>
        <v>809.78571428571433</v>
      </c>
      <c r="P106" s="16">
        <f t="shared" si="37"/>
        <v>2022.785714285714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0.12150852784349733</v>
      </c>
      <c r="D107" s="43">
        <f t="shared" si="38"/>
        <v>4.219781771955225E-2</v>
      </c>
      <c r="E107" s="43">
        <f t="shared" si="38"/>
        <v>3.7854444012853559E-2</v>
      </c>
      <c r="F107" s="43">
        <f t="shared" si="38"/>
        <v>0.10092164271337269</v>
      </c>
      <c r="G107" s="43">
        <f t="shared" si="38"/>
        <v>1.83622303047424E-3</v>
      </c>
      <c r="H107" s="43">
        <f t="shared" si="38"/>
        <v>6.3561566439492923E-4</v>
      </c>
      <c r="I107" s="43">
        <f t="shared" si="38"/>
        <v>4.1738761961933685E-2</v>
      </c>
      <c r="J107" s="43">
        <f t="shared" si="38"/>
        <v>4.2480313570394439E-2</v>
      </c>
      <c r="K107" s="43">
        <f t="shared" si="38"/>
        <v>9.7461068540555806E-3</v>
      </c>
      <c r="L107" s="43">
        <f t="shared" si="38"/>
        <v>1.0240474593029415E-3</v>
      </c>
      <c r="M107" s="43">
        <f t="shared" si="38"/>
        <v>0.59966806737526057</v>
      </c>
      <c r="N107" s="43">
        <f t="shared" si="38"/>
        <v>3.8843179490801236E-4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0.30351944958983856</v>
      </c>
      <c r="D108" s="44">
        <f t="shared" ref="D108:N108" si="39">D106/$O$106</f>
        <v>0.10540707418188233</v>
      </c>
      <c r="E108" s="44">
        <f t="shared" si="39"/>
        <v>9.4557643115462622E-2</v>
      </c>
      <c r="F108" s="44">
        <f t="shared" si="39"/>
        <v>0.25209491047014204</v>
      </c>
      <c r="G108" s="44">
        <f t="shared" si="39"/>
        <v>4.5867513451530381E-3</v>
      </c>
      <c r="H108" s="44">
        <f t="shared" si="39"/>
        <v>1.5877216194760517E-3</v>
      </c>
      <c r="I108" s="44">
        <f t="shared" si="39"/>
        <v>0.10426038634559405</v>
      </c>
      <c r="J108" s="44">
        <f t="shared" si="39"/>
        <v>0.1061127282349828</v>
      </c>
      <c r="K108" s="44">
        <f t="shared" si="39"/>
        <v>2.4345064831966124E-2</v>
      </c>
      <c r="L108" s="44">
        <f t="shared" si="39"/>
        <v>2.5579959424891943E-3</v>
      </c>
      <c r="M108" s="44"/>
      <c r="N108" s="44">
        <f t="shared" si="39"/>
        <v>9.7027432301314274E-4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KANONI-MADDU</vt:lpstr>
      <vt:lpstr>17.10 MADDU-KANONI</vt:lpstr>
      <vt:lpstr>18.10 KANONI-MADDU-24h</vt:lpstr>
      <vt:lpstr>18.10 MADDU-KANONI-24h</vt:lpstr>
      <vt:lpstr>19.10 KANONI-MADDU-24h</vt:lpstr>
      <vt:lpstr>19.10 MADDU-KANONI-24h</vt:lpstr>
      <vt:lpstr>20.10 KANONI-MADDU</vt:lpstr>
      <vt:lpstr>20.10 MADDU-KANONI</vt:lpstr>
      <vt:lpstr>21.10 KANONI-MADDU</vt:lpstr>
      <vt:lpstr>21.10 MADDU-KANONI</vt:lpstr>
      <vt:lpstr>22.10.KANONI-MADDU</vt:lpstr>
      <vt:lpstr>22.10 MADDU-KANONI</vt:lpstr>
      <vt:lpstr>23.10 KANONI-MADDU</vt:lpstr>
      <vt:lpstr>23.10 MADDU-KANONI</vt:lpstr>
      <vt:lpstr>Avg Week Kanoni-Maddu</vt:lpstr>
      <vt:lpstr>Avg Week Maddu-Kanoni</vt:lpstr>
      <vt:lpstr>Avg Week Kanoni-Maddu-2Dir</vt:lpstr>
      <vt:lpstr>'17.10 KANONI-MADDU'!Print_Area</vt:lpstr>
      <vt:lpstr>'17.10 MADDU-KANONI'!Print_Area</vt:lpstr>
      <vt:lpstr>'18.10 KANONI-MADDU-24h'!Print_Area</vt:lpstr>
      <vt:lpstr>'18.10 MADDU-KANONI-24h'!Print_Area</vt:lpstr>
      <vt:lpstr>'19.10 KANONI-MADDU-24h'!Print_Area</vt:lpstr>
      <vt:lpstr>'19.10 MADDU-KANONI-24h'!Print_Area</vt:lpstr>
      <vt:lpstr>'20.10 KANONI-MADDU'!Print_Area</vt:lpstr>
      <vt:lpstr>'20.10 MADDU-KANONI'!Print_Area</vt:lpstr>
      <vt:lpstr>'21.10 KANONI-MADDU'!Print_Area</vt:lpstr>
      <vt:lpstr>'21.10 MADDU-KANONI'!Print_Area</vt:lpstr>
      <vt:lpstr>'22.10 MADDU-KANONI'!Print_Area</vt:lpstr>
      <vt:lpstr>'22.10.KANONI-MADDU'!Print_Area</vt:lpstr>
      <vt:lpstr>'23.10 KANONI-MADDU'!Print_Area</vt:lpstr>
      <vt:lpstr>'23.10 MADDU-KANONI'!Print_Area</vt:lpstr>
      <vt:lpstr>'Avg Week Kanoni-Maddu'!Print_Area</vt:lpstr>
      <vt:lpstr>'Avg Week Kanoni-Maddu-2Dir'!Print_Area</vt:lpstr>
      <vt:lpstr>'Avg Week Maddu-Kanoni'!Print_Area</vt:lpstr>
      <vt:lpstr>'17.10 KANONI-MADDU'!Print_Titles</vt:lpstr>
      <vt:lpstr>'17.10 MADDU-KANONI'!Print_Titles</vt:lpstr>
      <vt:lpstr>'18.10 KANONI-MADDU-24h'!Print_Titles</vt:lpstr>
      <vt:lpstr>'18.10 MADDU-KANONI-24h'!Print_Titles</vt:lpstr>
      <vt:lpstr>'19.10 KANONI-MADDU-24h'!Print_Titles</vt:lpstr>
      <vt:lpstr>'19.10 MADDU-KANONI-24h'!Print_Titles</vt:lpstr>
      <vt:lpstr>'20.10 KANONI-MADDU'!Print_Titles</vt:lpstr>
      <vt:lpstr>'20.10 MADDU-KANONI'!Print_Titles</vt:lpstr>
      <vt:lpstr>'21.10 KANONI-MADDU'!Print_Titles</vt:lpstr>
      <vt:lpstr>'21.10 MADDU-KANONI'!Print_Titles</vt:lpstr>
      <vt:lpstr>'22.10 MADDU-KANONI'!Print_Titles</vt:lpstr>
      <vt:lpstr>'22.10.KANONI-MADDU'!Print_Titles</vt:lpstr>
      <vt:lpstr>'23.10 KANONI-MADDU'!Print_Titles</vt:lpstr>
      <vt:lpstr>'23.10 MADDU-KANONI'!Print_Titles</vt:lpstr>
      <vt:lpstr>'Avg Week Kanoni-Maddu'!Print_Titles</vt:lpstr>
      <vt:lpstr>'Avg Week Kanoni-Maddu-2Dir'!Print_Titles</vt:lpstr>
      <vt:lpstr>'Avg Week Maddu-Kanoni'!Print_Titles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2019-11-29T06:23:26Z</dcterms:modified>
</cp:coreProperties>
</file>