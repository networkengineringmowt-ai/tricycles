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drawings/drawing14.xml" ContentType="application/vnd.openxmlformats-officedocument.drawing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\Desktop\C-3 Analysis   Complete-Steve\STN84-MITYANA ROAD\MCC\"/>
    </mc:Choice>
  </mc:AlternateContent>
  <bookViews>
    <workbookView xWindow="-120" yWindow="-120" windowWidth="20730" windowHeight="11160" tabRatio="909" firstSheet="14" activeTab="16"/>
  </bookViews>
  <sheets>
    <sheet name="17.10  MUBENDE-MITYANA" sheetId="94" r:id="rId1"/>
    <sheet name="17.10  MITYANA-MUBENDE " sheetId="114" r:id="rId2"/>
    <sheet name="18.10 MUBENDE-MITYANA-24h" sheetId="110" r:id="rId3"/>
    <sheet name="18.10  MITYANA-MUBENDE-24h" sheetId="105" r:id="rId4"/>
    <sheet name="19.10  MUBENDE-MITYANA-24h" sheetId="109" r:id="rId5"/>
    <sheet name="19.10 MITYANA-MUBENDE-24h" sheetId="101" r:id="rId6"/>
    <sheet name="20.10 MUBENDE-MITYANA" sheetId="100" r:id="rId7"/>
    <sheet name="20.10 MITYANA-MUBENDE" sheetId="99" r:id="rId8"/>
    <sheet name="21.10 MUBENDE-MITYANA" sheetId="96" r:id="rId9"/>
    <sheet name="21.10 MITYANA-MUBENDE" sheetId="95" r:id="rId10"/>
    <sheet name="22.10 MUBENDE-MITYANA" sheetId="98" r:id="rId11"/>
    <sheet name="22.10 MITYANA-MUBENDE" sheetId="97" r:id="rId12"/>
    <sheet name="23.10 MUBENDE-MITYANA" sheetId="112" r:id="rId13"/>
    <sheet name="23.10 MITYANA-MUBENDE" sheetId="93" r:id="rId14"/>
    <sheet name="Avg Week MUBENDE-MITYANA" sheetId="107" r:id="rId15"/>
    <sheet name="Avg Week MITYANA-MUBENDE" sheetId="108" r:id="rId16"/>
    <sheet name="Avg Week MUBENDE-MITYANA-2Dir" sheetId="111" r:id="rId17"/>
  </sheets>
  <definedNames>
    <definedName name="_xlnm.Print_Area" localSheetId="1">'17.10  MITYANA-MUBENDE '!$A$1:$AF$60</definedName>
    <definedName name="_xlnm.Print_Area" localSheetId="0">'17.10  MUBENDE-MITYANA'!$A$1:$AF$60</definedName>
    <definedName name="_xlnm.Print_Area" localSheetId="3">'18.10  MITYANA-MUBENDE-24h'!$A$1:$AF$108</definedName>
    <definedName name="_xlnm.Print_Area" localSheetId="2">'18.10 MUBENDE-MITYANA-24h'!$A$1:$AF$108</definedName>
    <definedName name="_xlnm.Print_Area" localSheetId="4">'19.10  MUBENDE-MITYANA-24h'!$A$1:$AF$108</definedName>
    <definedName name="_xlnm.Print_Area" localSheetId="5">'19.10 MITYANA-MUBENDE-24h'!$A$1:$AF$108</definedName>
    <definedName name="_xlnm.Print_Area" localSheetId="7">'20.10 MITYANA-MUBENDE'!$A$1:$AF$60</definedName>
    <definedName name="_xlnm.Print_Area" localSheetId="6">'20.10 MUBENDE-MITYANA'!$A$1:$AF$60</definedName>
    <definedName name="_xlnm.Print_Area" localSheetId="9">'21.10 MITYANA-MUBENDE'!$A$1:$AF$60</definedName>
    <definedName name="_xlnm.Print_Area" localSheetId="8">'21.10 MUBENDE-MITYANA'!$A$1:$AF$60</definedName>
    <definedName name="_xlnm.Print_Area" localSheetId="11">'22.10 MITYANA-MUBENDE'!$A$1:$AF$60</definedName>
    <definedName name="_xlnm.Print_Area" localSheetId="10">'22.10 MUBENDE-MITYANA'!$A$1:$AF$60</definedName>
    <definedName name="_xlnm.Print_Area" localSheetId="13">'23.10 MITYANA-MUBENDE'!$A$1:$AF$60</definedName>
    <definedName name="_xlnm.Print_Area" localSheetId="12">'23.10 MUBENDE-MITYANA'!$A$1:$AF$60</definedName>
    <definedName name="_xlnm.Print_Area" localSheetId="15">'Avg Week MITYANA-MUBENDE'!$A$1:$AF$108</definedName>
    <definedName name="_xlnm.Print_Area" localSheetId="14">'Avg Week MUBENDE-MITYANA'!$A$1:$AF$108</definedName>
    <definedName name="_xlnm.Print_Area" localSheetId="16">'Avg Week MUBENDE-MITYANA-2Dir'!$A$1:$AF$108</definedName>
    <definedName name="_xlnm.Print_Titles" localSheetId="1">'17.10  MITYANA-MUBENDE '!$1:$8</definedName>
    <definedName name="_xlnm.Print_Titles" localSheetId="0">'17.10  MUBENDE-MITYANA'!$1:$8</definedName>
    <definedName name="_xlnm.Print_Titles" localSheetId="3">'18.10  MITYANA-MUBENDE-24h'!$1:$8</definedName>
    <definedName name="_xlnm.Print_Titles" localSheetId="2">'18.10 MUBENDE-MITYANA-24h'!$1:$8</definedName>
    <definedName name="_xlnm.Print_Titles" localSheetId="4">'19.10  MUBENDE-MITYANA-24h'!$1:$8</definedName>
    <definedName name="_xlnm.Print_Titles" localSheetId="5">'19.10 MITYANA-MUBENDE-24h'!$1:$8</definedName>
    <definedName name="_xlnm.Print_Titles" localSheetId="7">'20.10 MITYANA-MUBENDE'!$1:$8</definedName>
    <definedName name="_xlnm.Print_Titles" localSheetId="6">'20.10 MUBENDE-MITYANA'!$1:$8</definedName>
    <definedName name="_xlnm.Print_Titles" localSheetId="9">'21.10 MITYANA-MUBENDE'!$1:$8</definedName>
    <definedName name="_xlnm.Print_Titles" localSheetId="8">'21.10 MUBENDE-MITYANA'!$1:$8</definedName>
    <definedName name="_xlnm.Print_Titles" localSheetId="11">'22.10 MITYANA-MUBENDE'!$1:$8</definedName>
    <definedName name="_xlnm.Print_Titles" localSheetId="10">'22.10 MUBENDE-MITYANA'!$1:$8</definedName>
    <definedName name="_xlnm.Print_Titles" localSheetId="13">'23.10 MITYANA-MUBENDE'!$1:$8</definedName>
    <definedName name="_xlnm.Print_Titles" localSheetId="12">'23.10 MUBENDE-MITYANA'!$1:$8</definedName>
    <definedName name="_xlnm.Print_Titles" localSheetId="15">'Avg Week MITYANA-MUBENDE'!$1:$8</definedName>
    <definedName name="_xlnm.Print_Titles" localSheetId="14">'Avg Week MUBENDE-MITYANA'!$1:$8</definedName>
    <definedName name="_xlnm.Print_Titles" localSheetId="16">'Avg Week MUBENDE-MITYANA-2Dir'!$1:$8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6" i="108" l="1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106" i="11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P58" i="111" l="1"/>
  <c r="P59" i="111"/>
  <c r="P60" i="111"/>
  <c r="P61" i="111"/>
  <c r="P62" i="111"/>
  <c r="P63" i="111"/>
  <c r="P64" i="111"/>
  <c r="AF23" i="111" s="1"/>
  <c r="P65" i="111"/>
  <c r="P66" i="111"/>
  <c r="P67" i="111"/>
  <c r="P68" i="111"/>
  <c r="P69" i="111"/>
  <c r="P70" i="111"/>
  <c r="P71" i="111"/>
  <c r="P72" i="111"/>
  <c r="AF25" i="111" s="1"/>
  <c r="P73" i="111"/>
  <c r="P74" i="111"/>
  <c r="P75" i="111"/>
  <c r="P76" i="111"/>
  <c r="AF26" i="111" s="1"/>
  <c r="P77" i="111"/>
  <c r="P78" i="111"/>
  <c r="P79" i="111"/>
  <c r="P80" i="111"/>
  <c r="AF27" i="111" s="1"/>
  <c r="P81" i="111"/>
  <c r="P82" i="111"/>
  <c r="P83" i="111"/>
  <c r="P84" i="111"/>
  <c r="AF28" i="111" s="1"/>
  <c r="P85" i="111"/>
  <c r="P86" i="111"/>
  <c r="P87" i="111"/>
  <c r="P88" i="111"/>
  <c r="P89" i="111"/>
  <c r="AF29" i="111" s="1"/>
  <c r="P90" i="111"/>
  <c r="P91" i="111"/>
  <c r="P92" i="111"/>
  <c r="AF30" i="111" s="1"/>
  <c r="P93" i="111"/>
  <c r="P94" i="111"/>
  <c r="P95" i="111"/>
  <c r="P96" i="111"/>
  <c r="P97" i="111"/>
  <c r="P98" i="111"/>
  <c r="P99" i="111"/>
  <c r="P100" i="111"/>
  <c r="AF32" i="111" s="1"/>
  <c r="P101" i="111"/>
  <c r="P102" i="111"/>
  <c r="P103" i="111"/>
  <c r="P104" i="111"/>
  <c r="P105" i="111"/>
  <c r="O58" i="111"/>
  <c r="O59" i="111"/>
  <c r="O60" i="111"/>
  <c r="O61" i="111"/>
  <c r="AE22" i="111" s="1"/>
  <c r="O62" i="111"/>
  <c r="O63" i="111"/>
  <c r="O64" i="111"/>
  <c r="AE23" i="111" s="1"/>
  <c r="O65" i="111"/>
  <c r="O66" i="111"/>
  <c r="O67" i="111"/>
  <c r="O68" i="111"/>
  <c r="O69" i="111"/>
  <c r="O70" i="111"/>
  <c r="O71" i="111"/>
  <c r="O72" i="111"/>
  <c r="O73" i="111"/>
  <c r="AE25" i="111" s="1"/>
  <c r="O74" i="111"/>
  <c r="O75" i="111"/>
  <c r="O76" i="111"/>
  <c r="O77" i="111"/>
  <c r="AE26" i="111" s="1"/>
  <c r="O78" i="111"/>
  <c r="O79" i="111"/>
  <c r="O80" i="111"/>
  <c r="O81" i="111"/>
  <c r="O82" i="111"/>
  <c r="O83" i="111"/>
  <c r="O84" i="111"/>
  <c r="AE28" i="111" s="1"/>
  <c r="O85" i="111"/>
  <c r="O86" i="111"/>
  <c r="O87" i="111"/>
  <c r="O88" i="111"/>
  <c r="O89" i="111"/>
  <c r="AE29" i="111" s="1"/>
  <c r="O90" i="111"/>
  <c r="O91" i="111"/>
  <c r="O92" i="111"/>
  <c r="O93" i="111"/>
  <c r="AE30" i="111" s="1"/>
  <c r="O94" i="111"/>
  <c r="O95" i="111"/>
  <c r="O96" i="111"/>
  <c r="AE31" i="111" s="1"/>
  <c r="O97" i="111"/>
  <c r="O98" i="111"/>
  <c r="O99" i="111"/>
  <c r="O100" i="111"/>
  <c r="O101" i="111"/>
  <c r="O102" i="111"/>
  <c r="O103" i="111"/>
  <c r="O104" i="111"/>
  <c r="O105" i="111"/>
  <c r="AE33" i="111" s="1"/>
  <c r="C59" i="111"/>
  <c r="D59" i="111"/>
  <c r="E59" i="111"/>
  <c r="F59" i="111"/>
  <c r="G59" i="111"/>
  <c r="H59" i="111"/>
  <c r="I59" i="111"/>
  <c r="J59" i="111"/>
  <c r="Z22" i="111" s="1"/>
  <c r="K59" i="111"/>
  <c r="L59" i="111"/>
  <c r="M59" i="111"/>
  <c r="N59" i="111"/>
  <c r="C60" i="111"/>
  <c r="D60" i="111"/>
  <c r="E60" i="111"/>
  <c r="F60" i="111"/>
  <c r="G60" i="111"/>
  <c r="H60" i="111"/>
  <c r="I60" i="111"/>
  <c r="J60" i="111"/>
  <c r="K60" i="111"/>
  <c r="L60" i="111"/>
  <c r="M60" i="111"/>
  <c r="N60" i="111"/>
  <c r="C61" i="111"/>
  <c r="D61" i="111"/>
  <c r="E61" i="111"/>
  <c r="F61" i="111"/>
  <c r="G61" i="111"/>
  <c r="H61" i="111"/>
  <c r="I61" i="111"/>
  <c r="J61" i="111"/>
  <c r="K61" i="111"/>
  <c r="L61" i="111"/>
  <c r="M61" i="111"/>
  <c r="N61" i="111"/>
  <c r="C62" i="111"/>
  <c r="D62" i="111"/>
  <c r="E62" i="111"/>
  <c r="F62" i="111"/>
  <c r="V23" i="111" s="1"/>
  <c r="G62" i="111"/>
  <c r="H62" i="111"/>
  <c r="I62" i="111"/>
  <c r="J62" i="111"/>
  <c r="Z23" i="111" s="1"/>
  <c r="K62" i="111"/>
  <c r="L62" i="111"/>
  <c r="M62" i="111"/>
  <c r="N62" i="111"/>
  <c r="AD23" i="111" s="1"/>
  <c r="C63" i="111"/>
  <c r="D63" i="111"/>
  <c r="E63" i="111"/>
  <c r="F63" i="111"/>
  <c r="G63" i="111"/>
  <c r="H63" i="111"/>
  <c r="I63" i="111"/>
  <c r="J63" i="111"/>
  <c r="K63" i="111"/>
  <c r="L63" i="111"/>
  <c r="M63" i="111"/>
  <c r="N63" i="111"/>
  <c r="C64" i="111"/>
  <c r="D64" i="111"/>
  <c r="E64" i="111"/>
  <c r="F64" i="111"/>
  <c r="G64" i="111"/>
  <c r="H64" i="111"/>
  <c r="I64" i="111"/>
  <c r="J64" i="111"/>
  <c r="K64" i="111"/>
  <c r="L64" i="111"/>
  <c r="M64" i="111"/>
  <c r="N64" i="111"/>
  <c r="C65" i="111"/>
  <c r="D65" i="111"/>
  <c r="E65" i="111"/>
  <c r="F65" i="111"/>
  <c r="G65" i="111"/>
  <c r="H65" i="111"/>
  <c r="I65" i="111"/>
  <c r="J65" i="111"/>
  <c r="K65" i="111"/>
  <c r="L65" i="111"/>
  <c r="M65" i="111"/>
  <c r="N65" i="111"/>
  <c r="C66" i="111"/>
  <c r="D66" i="111"/>
  <c r="E66" i="111"/>
  <c r="F66" i="111"/>
  <c r="G66" i="111"/>
  <c r="H66" i="111"/>
  <c r="I66" i="111"/>
  <c r="J66" i="111"/>
  <c r="K66" i="111"/>
  <c r="L66" i="111"/>
  <c r="M66" i="111"/>
  <c r="N66" i="111"/>
  <c r="C67" i="111"/>
  <c r="D67" i="111"/>
  <c r="E67" i="111"/>
  <c r="F67" i="111"/>
  <c r="G67" i="111"/>
  <c r="H67" i="111"/>
  <c r="I67" i="111"/>
  <c r="J67" i="111"/>
  <c r="K67" i="111"/>
  <c r="L67" i="111"/>
  <c r="M67" i="111"/>
  <c r="N67" i="111"/>
  <c r="C68" i="111"/>
  <c r="D68" i="111"/>
  <c r="E68" i="111"/>
  <c r="F68" i="111"/>
  <c r="G68" i="111"/>
  <c r="H68" i="111"/>
  <c r="I68" i="111"/>
  <c r="J68" i="111"/>
  <c r="K68" i="111"/>
  <c r="L68" i="111"/>
  <c r="M68" i="111"/>
  <c r="N68" i="111"/>
  <c r="C69" i="111"/>
  <c r="D69" i="111"/>
  <c r="E69" i="111"/>
  <c r="F69" i="111"/>
  <c r="G69" i="111"/>
  <c r="H69" i="111"/>
  <c r="I69" i="111"/>
  <c r="J69" i="111"/>
  <c r="K69" i="111"/>
  <c r="L69" i="111"/>
  <c r="M69" i="111"/>
  <c r="N69" i="111"/>
  <c r="C70" i="111"/>
  <c r="D70" i="111"/>
  <c r="E70" i="111"/>
  <c r="F70" i="111"/>
  <c r="V25" i="111" s="1"/>
  <c r="G70" i="111"/>
  <c r="H70" i="111"/>
  <c r="I70" i="111"/>
  <c r="J70" i="111"/>
  <c r="Z25" i="111" s="1"/>
  <c r="K70" i="111"/>
  <c r="L70" i="111"/>
  <c r="M70" i="111"/>
  <c r="N70" i="111"/>
  <c r="AD25" i="111" s="1"/>
  <c r="C71" i="111"/>
  <c r="D71" i="111"/>
  <c r="E71" i="111"/>
  <c r="F71" i="111"/>
  <c r="G71" i="111"/>
  <c r="H71" i="111"/>
  <c r="I71" i="111"/>
  <c r="J71" i="111"/>
  <c r="K71" i="111"/>
  <c r="L71" i="111"/>
  <c r="M71" i="111"/>
  <c r="N71" i="111"/>
  <c r="C72" i="111"/>
  <c r="D72" i="111"/>
  <c r="E72" i="111"/>
  <c r="F72" i="111"/>
  <c r="G72" i="111"/>
  <c r="H72" i="111"/>
  <c r="I72" i="111"/>
  <c r="J72" i="111"/>
  <c r="K72" i="111"/>
  <c r="L72" i="111"/>
  <c r="M72" i="111"/>
  <c r="N72" i="111"/>
  <c r="C73" i="111"/>
  <c r="D73" i="111"/>
  <c r="E73" i="111"/>
  <c r="F73" i="111"/>
  <c r="G73" i="111"/>
  <c r="H73" i="111"/>
  <c r="I73" i="111"/>
  <c r="J73" i="111"/>
  <c r="K73" i="111"/>
  <c r="L73" i="111"/>
  <c r="M73" i="111"/>
  <c r="N73" i="111"/>
  <c r="C74" i="111"/>
  <c r="D74" i="111"/>
  <c r="E74" i="111"/>
  <c r="F74" i="111"/>
  <c r="G74" i="111"/>
  <c r="H74" i="111"/>
  <c r="I74" i="111"/>
  <c r="J74" i="111"/>
  <c r="K74" i="111"/>
  <c r="L74" i="111"/>
  <c r="M74" i="111"/>
  <c r="N74" i="111"/>
  <c r="C75" i="111"/>
  <c r="D75" i="111"/>
  <c r="E75" i="111"/>
  <c r="F75" i="111"/>
  <c r="G75" i="111"/>
  <c r="H75" i="111"/>
  <c r="I75" i="111"/>
  <c r="J75" i="111"/>
  <c r="K75" i="111"/>
  <c r="L75" i="111"/>
  <c r="M75" i="111"/>
  <c r="N75" i="111"/>
  <c r="C76" i="111"/>
  <c r="D76" i="111"/>
  <c r="E76" i="111"/>
  <c r="F76" i="111"/>
  <c r="G76" i="111"/>
  <c r="H76" i="111"/>
  <c r="I76" i="111"/>
  <c r="J76" i="111"/>
  <c r="K76" i="111"/>
  <c r="L76" i="111"/>
  <c r="M76" i="111"/>
  <c r="N76" i="111"/>
  <c r="C77" i="111"/>
  <c r="D77" i="111"/>
  <c r="E77" i="111"/>
  <c r="F77" i="111"/>
  <c r="G77" i="111"/>
  <c r="H77" i="111"/>
  <c r="I77" i="111"/>
  <c r="J77" i="111"/>
  <c r="K77" i="111"/>
  <c r="L77" i="111"/>
  <c r="M77" i="111"/>
  <c r="N77" i="111"/>
  <c r="C78" i="111"/>
  <c r="D78" i="111"/>
  <c r="E78" i="111"/>
  <c r="F78" i="111"/>
  <c r="V27" i="111" s="1"/>
  <c r="G78" i="111"/>
  <c r="H78" i="111"/>
  <c r="I78" i="111"/>
  <c r="J78" i="111"/>
  <c r="Z27" i="111" s="1"/>
  <c r="K78" i="111"/>
  <c r="L78" i="111"/>
  <c r="M78" i="111"/>
  <c r="N78" i="111"/>
  <c r="AD27" i="111" s="1"/>
  <c r="C79" i="111"/>
  <c r="D79" i="111"/>
  <c r="E79" i="111"/>
  <c r="F79" i="111"/>
  <c r="G79" i="111"/>
  <c r="H79" i="111"/>
  <c r="I79" i="111"/>
  <c r="J79" i="111"/>
  <c r="K79" i="111"/>
  <c r="L79" i="111"/>
  <c r="M79" i="111"/>
  <c r="N79" i="111"/>
  <c r="C80" i="111"/>
  <c r="D80" i="111"/>
  <c r="E80" i="111"/>
  <c r="F80" i="111"/>
  <c r="G80" i="111"/>
  <c r="H80" i="111"/>
  <c r="I80" i="111"/>
  <c r="J80" i="111"/>
  <c r="K80" i="111"/>
  <c r="L80" i="111"/>
  <c r="M80" i="111"/>
  <c r="N80" i="111"/>
  <c r="C81" i="111"/>
  <c r="D81" i="111"/>
  <c r="E81" i="111"/>
  <c r="F81" i="111"/>
  <c r="G81" i="111"/>
  <c r="H81" i="111"/>
  <c r="I81" i="111"/>
  <c r="J81" i="111"/>
  <c r="K81" i="111"/>
  <c r="L81" i="111"/>
  <c r="M81" i="111"/>
  <c r="N81" i="111"/>
  <c r="C82" i="111"/>
  <c r="D82" i="111"/>
  <c r="E82" i="111"/>
  <c r="F82" i="111"/>
  <c r="G82" i="111"/>
  <c r="H82" i="111"/>
  <c r="I82" i="111"/>
  <c r="J82" i="111"/>
  <c r="K82" i="111"/>
  <c r="L82" i="111"/>
  <c r="M82" i="111"/>
  <c r="N82" i="111"/>
  <c r="C83" i="111"/>
  <c r="D83" i="111"/>
  <c r="E83" i="111"/>
  <c r="F83" i="111"/>
  <c r="G83" i="111"/>
  <c r="H83" i="111"/>
  <c r="I83" i="111"/>
  <c r="J83" i="111"/>
  <c r="K83" i="111"/>
  <c r="L83" i="111"/>
  <c r="M83" i="111"/>
  <c r="N83" i="111"/>
  <c r="C84" i="111"/>
  <c r="D84" i="111"/>
  <c r="E84" i="111"/>
  <c r="F84" i="111"/>
  <c r="G84" i="111"/>
  <c r="H84" i="111"/>
  <c r="I84" i="111"/>
  <c r="J84" i="111"/>
  <c r="K84" i="111"/>
  <c r="L84" i="111"/>
  <c r="M84" i="111"/>
  <c r="N84" i="111"/>
  <c r="C85" i="111"/>
  <c r="D85" i="111"/>
  <c r="E85" i="111"/>
  <c r="F85" i="111"/>
  <c r="G85" i="111"/>
  <c r="H85" i="111"/>
  <c r="I85" i="111"/>
  <c r="J85" i="111"/>
  <c r="K85" i="111"/>
  <c r="L85" i="111"/>
  <c r="M85" i="111"/>
  <c r="N85" i="111"/>
  <c r="C86" i="111"/>
  <c r="D86" i="111"/>
  <c r="E86" i="111"/>
  <c r="F86" i="111"/>
  <c r="V29" i="111" s="1"/>
  <c r="G86" i="111"/>
  <c r="H86" i="111"/>
  <c r="I86" i="111"/>
  <c r="J86" i="111"/>
  <c r="Z29" i="111" s="1"/>
  <c r="K86" i="111"/>
  <c r="L86" i="111"/>
  <c r="M86" i="111"/>
  <c r="N86" i="111"/>
  <c r="AD29" i="111" s="1"/>
  <c r="C87" i="111"/>
  <c r="D87" i="111"/>
  <c r="E87" i="111"/>
  <c r="F87" i="111"/>
  <c r="G87" i="111"/>
  <c r="H87" i="111"/>
  <c r="I87" i="111"/>
  <c r="J87" i="111"/>
  <c r="K87" i="111"/>
  <c r="L87" i="111"/>
  <c r="M87" i="111"/>
  <c r="N87" i="111"/>
  <c r="C88" i="111"/>
  <c r="D88" i="111"/>
  <c r="E88" i="111"/>
  <c r="F88" i="111"/>
  <c r="G88" i="111"/>
  <c r="H88" i="111"/>
  <c r="I88" i="111"/>
  <c r="J88" i="111"/>
  <c r="K88" i="111"/>
  <c r="L88" i="111"/>
  <c r="M88" i="111"/>
  <c r="N88" i="111"/>
  <c r="C89" i="111"/>
  <c r="D89" i="111"/>
  <c r="E89" i="111"/>
  <c r="F89" i="111"/>
  <c r="G89" i="111"/>
  <c r="H89" i="111"/>
  <c r="I89" i="111"/>
  <c r="J89" i="111"/>
  <c r="K89" i="111"/>
  <c r="L89" i="111"/>
  <c r="M89" i="111"/>
  <c r="N89" i="111"/>
  <c r="C90" i="111"/>
  <c r="D90" i="111"/>
  <c r="E90" i="111"/>
  <c r="F90" i="111"/>
  <c r="G90" i="111"/>
  <c r="H90" i="111"/>
  <c r="I90" i="111"/>
  <c r="J90" i="111"/>
  <c r="K90" i="111"/>
  <c r="L90" i="111"/>
  <c r="M90" i="111"/>
  <c r="N90" i="111"/>
  <c r="C91" i="111"/>
  <c r="D91" i="111"/>
  <c r="E91" i="111"/>
  <c r="F91" i="111"/>
  <c r="G91" i="111"/>
  <c r="H91" i="111"/>
  <c r="I91" i="111"/>
  <c r="J91" i="111"/>
  <c r="K91" i="111"/>
  <c r="L91" i="111"/>
  <c r="M91" i="111"/>
  <c r="N91" i="111"/>
  <c r="C92" i="111"/>
  <c r="D92" i="111"/>
  <c r="E92" i="111"/>
  <c r="F92" i="111"/>
  <c r="G92" i="111"/>
  <c r="H92" i="111"/>
  <c r="I92" i="111"/>
  <c r="J92" i="111"/>
  <c r="K92" i="111"/>
  <c r="L92" i="111"/>
  <c r="M92" i="111"/>
  <c r="N92" i="111"/>
  <c r="C93" i="111"/>
  <c r="D93" i="111"/>
  <c r="E93" i="111"/>
  <c r="F93" i="111"/>
  <c r="G93" i="111"/>
  <c r="H93" i="111"/>
  <c r="I93" i="111"/>
  <c r="J93" i="111"/>
  <c r="K93" i="111"/>
  <c r="L93" i="111"/>
  <c r="M93" i="111"/>
  <c r="N93" i="111"/>
  <c r="C94" i="111"/>
  <c r="D94" i="111"/>
  <c r="E94" i="111"/>
  <c r="F94" i="111"/>
  <c r="V31" i="111" s="1"/>
  <c r="G94" i="111"/>
  <c r="H94" i="111"/>
  <c r="I94" i="111"/>
  <c r="J94" i="111"/>
  <c r="Z31" i="111" s="1"/>
  <c r="K94" i="111"/>
  <c r="L94" i="111"/>
  <c r="M94" i="111"/>
  <c r="N94" i="111"/>
  <c r="AD31" i="111" s="1"/>
  <c r="C95" i="111"/>
  <c r="D95" i="111"/>
  <c r="E95" i="111"/>
  <c r="F95" i="111"/>
  <c r="G95" i="111"/>
  <c r="H95" i="111"/>
  <c r="I95" i="111"/>
  <c r="J95" i="111"/>
  <c r="K95" i="111"/>
  <c r="L95" i="111"/>
  <c r="M95" i="111"/>
  <c r="N95" i="111"/>
  <c r="C96" i="111"/>
  <c r="D96" i="111"/>
  <c r="E96" i="111"/>
  <c r="F96" i="111"/>
  <c r="G96" i="111"/>
  <c r="H96" i="111"/>
  <c r="I96" i="111"/>
  <c r="J96" i="111"/>
  <c r="K96" i="111"/>
  <c r="L96" i="111"/>
  <c r="M96" i="111"/>
  <c r="N96" i="111"/>
  <c r="C97" i="111"/>
  <c r="D97" i="111"/>
  <c r="E97" i="111"/>
  <c r="F97" i="111"/>
  <c r="G97" i="111"/>
  <c r="H97" i="111"/>
  <c r="I97" i="111"/>
  <c r="J97" i="111"/>
  <c r="K97" i="111"/>
  <c r="L97" i="111"/>
  <c r="M97" i="111"/>
  <c r="N97" i="111"/>
  <c r="C98" i="111"/>
  <c r="D98" i="111"/>
  <c r="E98" i="111"/>
  <c r="F98" i="111"/>
  <c r="G98" i="111"/>
  <c r="H98" i="111"/>
  <c r="I98" i="111"/>
  <c r="J98" i="111"/>
  <c r="K98" i="111"/>
  <c r="L98" i="111"/>
  <c r="M98" i="111"/>
  <c r="N98" i="111"/>
  <c r="C99" i="111"/>
  <c r="D99" i="111"/>
  <c r="E99" i="111"/>
  <c r="F99" i="111"/>
  <c r="G99" i="111"/>
  <c r="H99" i="111"/>
  <c r="I99" i="111"/>
  <c r="J99" i="111"/>
  <c r="K99" i="111"/>
  <c r="L99" i="111"/>
  <c r="M99" i="111"/>
  <c r="N99" i="111"/>
  <c r="C100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C101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C102" i="111"/>
  <c r="D102" i="111"/>
  <c r="E102" i="111"/>
  <c r="F102" i="111"/>
  <c r="V33" i="111" s="1"/>
  <c r="G102" i="111"/>
  <c r="H102" i="111"/>
  <c r="I102" i="111"/>
  <c r="J102" i="111"/>
  <c r="Z33" i="111" s="1"/>
  <c r="K102" i="111"/>
  <c r="L102" i="111"/>
  <c r="M102" i="111"/>
  <c r="N102" i="111"/>
  <c r="AD33" i="111" s="1"/>
  <c r="C103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C104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C105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D58" i="111"/>
  <c r="E58" i="111"/>
  <c r="U22" i="111" s="1"/>
  <c r="F58" i="111"/>
  <c r="G58" i="111"/>
  <c r="W22" i="111" s="1"/>
  <c r="H58" i="111"/>
  <c r="I58" i="111"/>
  <c r="Y22" i="111" s="1"/>
  <c r="J58" i="111"/>
  <c r="K58" i="111"/>
  <c r="AA22" i="111" s="1"/>
  <c r="L58" i="111"/>
  <c r="M58" i="111"/>
  <c r="AC22" i="111" s="1"/>
  <c r="N58" i="111"/>
  <c r="C58" i="111"/>
  <c r="P58" i="108"/>
  <c r="P59" i="108"/>
  <c r="P60" i="108"/>
  <c r="AF22" i="108" s="1"/>
  <c r="P61" i="108"/>
  <c r="P62" i="108"/>
  <c r="P63" i="108"/>
  <c r="P64" i="108"/>
  <c r="P65" i="108"/>
  <c r="AF23" i="108" s="1"/>
  <c r="P66" i="108"/>
  <c r="P67" i="108"/>
  <c r="P68" i="108"/>
  <c r="AF24" i="108" s="1"/>
  <c r="P69" i="108"/>
  <c r="P70" i="108"/>
  <c r="P71" i="108"/>
  <c r="P72" i="108"/>
  <c r="P73" i="108"/>
  <c r="P74" i="108"/>
  <c r="P75" i="108"/>
  <c r="P76" i="108"/>
  <c r="AF26" i="108" s="1"/>
  <c r="P77" i="108"/>
  <c r="P78" i="108"/>
  <c r="P79" i="108"/>
  <c r="P80" i="108"/>
  <c r="P81" i="108"/>
  <c r="P82" i="108"/>
  <c r="P83" i="108"/>
  <c r="P84" i="108"/>
  <c r="AF28" i="108" s="1"/>
  <c r="P85" i="108"/>
  <c r="P86" i="108"/>
  <c r="P87" i="108"/>
  <c r="P88" i="108"/>
  <c r="AF29" i="108" s="1"/>
  <c r="P89" i="108"/>
  <c r="P90" i="108"/>
  <c r="P91" i="108"/>
  <c r="P92" i="108"/>
  <c r="P93" i="108"/>
  <c r="AF30" i="108" s="1"/>
  <c r="P94" i="108"/>
  <c r="P95" i="108"/>
  <c r="P96" i="108"/>
  <c r="AF31" i="108" s="1"/>
  <c r="P97" i="108"/>
  <c r="P98" i="108"/>
  <c r="P99" i="108"/>
  <c r="P100" i="108"/>
  <c r="P101" i="108"/>
  <c r="AF32" i="108" s="1"/>
  <c r="P102" i="108"/>
  <c r="P103" i="108"/>
  <c r="P104" i="108"/>
  <c r="AF33" i="108" s="1"/>
  <c r="P105" i="108"/>
  <c r="O58" i="108"/>
  <c r="O59" i="108"/>
  <c r="O60" i="108"/>
  <c r="AE22" i="108" s="1"/>
  <c r="O61" i="108"/>
  <c r="O62" i="108"/>
  <c r="O63" i="108"/>
  <c r="O64" i="108"/>
  <c r="O65" i="108"/>
  <c r="O66" i="108"/>
  <c r="O67" i="108"/>
  <c r="AE24" i="108" s="1"/>
  <c r="O68" i="108"/>
  <c r="O69" i="108"/>
  <c r="O70" i="108"/>
  <c r="O71" i="108"/>
  <c r="O72" i="108"/>
  <c r="O73" i="108"/>
  <c r="AE25" i="108" s="1"/>
  <c r="O74" i="108"/>
  <c r="O75" i="108"/>
  <c r="O76" i="108"/>
  <c r="O77" i="108"/>
  <c r="O78" i="108"/>
  <c r="O79" i="108"/>
  <c r="O80" i="108"/>
  <c r="AE27" i="108" s="1"/>
  <c r="O81" i="108"/>
  <c r="O82" i="108"/>
  <c r="O83" i="108"/>
  <c r="O84" i="108"/>
  <c r="O85" i="108"/>
  <c r="AE28" i="108" s="1"/>
  <c r="O86" i="108"/>
  <c r="O87" i="108"/>
  <c r="AE29" i="108" s="1"/>
  <c r="O88" i="108"/>
  <c r="O89" i="108"/>
  <c r="O90" i="108"/>
  <c r="O91" i="108"/>
  <c r="O92" i="108"/>
  <c r="AE30" i="108" s="1"/>
  <c r="O93" i="108"/>
  <c r="O94" i="108"/>
  <c r="O95" i="108"/>
  <c r="O96" i="108"/>
  <c r="O97" i="108"/>
  <c r="O98" i="108"/>
  <c r="O99" i="108"/>
  <c r="AE32" i="108" s="1"/>
  <c r="O100" i="108"/>
  <c r="O101" i="108"/>
  <c r="O102" i="108"/>
  <c r="O103" i="108"/>
  <c r="O104" i="108"/>
  <c r="O105" i="108"/>
  <c r="AE33" i="108" s="1"/>
  <c r="C59" i="108"/>
  <c r="D59" i="108"/>
  <c r="E59" i="108"/>
  <c r="F59" i="108"/>
  <c r="G59" i="108"/>
  <c r="H59" i="108"/>
  <c r="I59" i="108"/>
  <c r="J59" i="108"/>
  <c r="Z22" i="108" s="1"/>
  <c r="K59" i="108"/>
  <c r="L59" i="108"/>
  <c r="M59" i="108"/>
  <c r="N59" i="108"/>
  <c r="AD22" i="108" s="1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V24" i="108" s="1"/>
  <c r="G66" i="108"/>
  <c r="H66" i="108"/>
  <c r="I66" i="108"/>
  <c r="J66" i="108"/>
  <c r="Z24" i="108" s="1"/>
  <c r="K66" i="108"/>
  <c r="L66" i="108"/>
  <c r="M66" i="108"/>
  <c r="N66" i="108"/>
  <c r="AD24" i="108" s="1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V26" i="108" s="1"/>
  <c r="G74" i="108"/>
  <c r="H74" i="108"/>
  <c r="I74" i="108"/>
  <c r="J74" i="108"/>
  <c r="Z26" i="108" s="1"/>
  <c r="K74" i="108"/>
  <c r="L74" i="108"/>
  <c r="M74" i="108"/>
  <c r="N74" i="108"/>
  <c r="AD26" i="108" s="1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V28" i="108" s="1"/>
  <c r="G82" i="108"/>
  <c r="H82" i="108"/>
  <c r="I82" i="108"/>
  <c r="J82" i="108"/>
  <c r="Z28" i="108" s="1"/>
  <c r="K82" i="108"/>
  <c r="L82" i="108"/>
  <c r="M82" i="108"/>
  <c r="N82" i="108"/>
  <c r="AD28" i="108" s="1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V30" i="108" s="1"/>
  <c r="G90" i="108"/>
  <c r="H90" i="108"/>
  <c r="I90" i="108"/>
  <c r="J90" i="108"/>
  <c r="Z30" i="108" s="1"/>
  <c r="K90" i="108"/>
  <c r="L90" i="108"/>
  <c r="M90" i="108"/>
  <c r="N90" i="108"/>
  <c r="AD30" i="108" s="1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V32" i="108" s="1"/>
  <c r="G98" i="108"/>
  <c r="H98" i="108"/>
  <c r="I98" i="108"/>
  <c r="J98" i="108"/>
  <c r="Z32" i="108" s="1"/>
  <c r="K98" i="108"/>
  <c r="L98" i="108"/>
  <c r="M98" i="108"/>
  <c r="N98" i="108"/>
  <c r="AD32" i="108" s="1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W22" i="108" s="1"/>
  <c r="H58" i="108"/>
  <c r="I58" i="108"/>
  <c r="J58" i="108"/>
  <c r="K58" i="108"/>
  <c r="AA22" i="108" s="1"/>
  <c r="L58" i="108"/>
  <c r="M58" i="108"/>
  <c r="N58" i="108"/>
  <c r="C58" i="108"/>
  <c r="P58" i="107"/>
  <c r="P59" i="107"/>
  <c r="P60" i="107"/>
  <c r="AF22" i="107" s="1"/>
  <c r="P61" i="107"/>
  <c r="P62" i="107"/>
  <c r="P63" i="107"/>
  <c r="P64" i="107"/>
  <c r="P65" i="107"/>
  <c r="P66" i="107"/>
  <c r="P67" i="107"/>
  <c r="P68" i="107"/>
  <c r="AF24" i="107" s="1"/>
  <c r="P69" i="107"/>
  <c r="P70" i="107"/>
  <c r="P71" i="107"/>
  <c r="P72" i="107"/>
  <c r="P73" i="107"/>
  <c r="P74" i="107"/>
  <c r="P75" i="107"/>
  <c r="P76" i="107"/>
  <c r="AF26" i="107" s="1"/>
  <c r="P77" i="107"/>
  <c r="P78" i="107"/>
  <c r="P79" i="107"/>
  <c r="P80" i="107"/>
  <c r="P81" i="107"/>
  <c r="AF27" i="107" s="1"/>
  <c r="P82" i="107"/>
  <c r="P83" i="107"/>
  <c r="P84" i="107"/>
  <c r="AF28" i="107" s="1"/>
  <c r="P85" i="107"/>
  <c r="P86" i="107"/>
  <c r="P87" i="107"/>
  <c r="P88" i="107"/>
  <c r="P89" i="107"/>
  <c r="AF29" i="107" s="1"/>
  <c r="P90" i="107"/>
  <c r="P91" i="107"/>
  <c r="P92" i="107"/>
  <c r="P93" i="107"/>
  <c r="P94" i="107"/>
  <c r="P95" i="107"/>
  <c r="P96" i="107"/>
  <c r="AF31" i="107" s="1"/>
  <c r="P97" i="107"/>
  <c r="P98" i="107"/>
  <c r="P99" i="107"/>
  <c r="P100" i="107"/>
  <c r="P101" i="107"/>
  <c r="P102" i="107"/>
  <c r="P103" i="107"/>
  <c r="P104" i="107"/>
  <c r="AF33" i="107" s="1"/>
  <c r="P105" i="107"/>
  <c r="O58" i="107"/>
  <c r="O59" i="107"/>
  <c r="O60" i="107"/>
  <c r="O61" i="107"/>
  <c r="O62" i="107"/>
  <c r="O63" i="107"/>
  <c r="O64" i="107"/>
  <c r="AE23" i="107" s="1"/>
  <c r="O65" i="107"/>
  <c r="O66" i="107"/>
  <c r="O67" i="107"/>
  <c r="O68" i="107"/>
  <c r="AE24" i="107" s="1"/>
  <c r="O69" i="107"/>
  <c r="O70" i="107"/>
  <c r="O71" i="107"/>
  <c r="O72" i="107"/>
  <c r="O73" i="107"/>
  <c r="AE25" i="107" s="1"/>
  <c r="O74" i="107"/>
  <c r="O75" i="107"/>
  <c r="O76" i="107"/>
  <c r="O77" i="107"/>
  <c r="O78" i="107"/>
  <c r="O79" i="107"/>
  <c r="O80" i="107"/>
  <c r="AE27" i="107" s="1"/>
  <c r="O81" i="107"/>
  <c r="O82" i="107"/>
  <c r="O83" i="107"/>
  <c r="O84" i="107"/>
  <c r="AE28" i="107" s="1"/>
  <c r="O85" i="107"/>
  <c r="O86" i="107"/>
  <c r="O87" i="107"/>
  <c r="O88" i="107"/>
  <c r="O89" i="107"/>
  <c r="AE29" i="107" s="1"/>
  <c r="O90" i="107"/>
  <c r="O91" i="107"/>
  <c r="O92" i="107"/>
  <c r="O93" i="107"/>
  <c r="O94" i="107"/>
  <c r="O95" i="107"/>
  <c r="O96" i="107"/>
  <c r="AE31" i="107" s="1"/>
  <c r="O97" i="107"/>
  <c r="O98" i="107"/>
  <c r="O99" i="107"/>
  <c r="O100" i="107"/>
  <c r="AE32" i="107" s="1"/>
  <c r="O101" i="107"/>
  <c r="O102" i="107"/>
  <c r="O103" i="107"/>
  <c r="O104" i="107"/>
  <c r="AE33" i="107" s="1"/>
  <c r="O105" i="107"/>
  <c r="C59" i="107"/>
  <c r="D59" i="107"/>
  <c r="E59" i="107"/>
  <c r="F59" i="107"/>
  <c r="G59" i="107"/>
  <c r="H59" i="107"/>
  <c r="I59" i="107"/>
  <c r="J59" i="107"/>
  <c r="K59" i="107"/>
  <c r="L59" i="107"/>
  <c r="M59" i="107"/>
  <c r="N59" i="107"/>
  <c r="AD22" i="107" s="1"/>
  <c r="C60" i="107"/>
  <c r="D60" i="107"/>
  <c r="E60" i="107"/>
  <c r="F60" i="107"/>
  <c r="G60" i="107"/>
  <c r="H60" i="107"/>
  <c r="I60" i="107"/>
  <c r="J60" i="107"/>
  <c r="K60" i="107"/>
  <c r="L60" i="107"/>
  <c r="M60" i="107"/>
  <c r="N60" i="107"/>
  <c r="C61" i="107"/>
  <c r="D61" i="107"/>
  <c r="E61" i="107"/>
  <c r="F61" i="107"/>
  <c r="G61" i="107"/>
  <c r="H61" i="107"/>
  <c r="I61" i="107"/>
  <c r="J61" i="107"/>
  <c r="K61" i="107"/>
  <c r="L61" i="107"/>
  <c r="M61" i="107"/>
  <c r="N61" i="107"/>
  <c r="C62" i="107"/>
  <c r="D62" i="107"/>
  <c r="E62" i="107"/>
  <c r="F62" i="107"/>
  <c r="V23" i="107" s="1"/>
  <c r="G62" i="107"/>
  <c r="H62" i="107"/>
  <c r="I62" i="107"/>
  <c r="J62" i="107"/>
  <c r="Z23" i="107" s="1"/>
  <c r="K62" i="107"/>
  <c r="L62" i="107"/>
  <c r="M62" i="107"/>
  <c r="N62" i="107"/>
  <c r="AD23" i="107" s="1"/>
  <c r="C63" i="107"/>
  <c r="D63" i="107"/>
  <c r="E63" i="107"/>
  <c r="F63" i="107"/>
  <c r="G63" i="107"/>
  <c r="H63" i="107"/>
  <c r="I63" i="107"/>
  <c r="J63" i="107"/>
  <c r="K63" i="107"/>
  <c r="L63" i="107"/>
  <c r="M63" i="107"/>
  <c r="N63" i="107"/>
  <c r="C64" i="107"/>
  <c r="D64" i="107"/>
  <c r="E64" i="107"/>
  <c r="F64" i="107"/>
  <c r="G64" i="107"/>
  <c r="H64" i="107"/>
  <c r="I64" i="107"/>
  <c r="J64" i="107"/>
  <c r="K64" i="107"/>
  <c r="L64" i="107"/>
  <c r="M64" i="107"/>
  <c r="N64" i="107"/>
  <c r="C65" i="107"/>
  <c r="D65" i="107"/>
  <c r="E65" i="107"/>
  <c r="F65" i="107"/>
  <c r="G65" i="107"/>
  <c r="H65" i="107"/>
  <c r="I65" i="107"/>
  <c r="J65" i="107"/>
  <c r="K65" i="107"/>
  <c r="L65" i="107"/>
  <c r="M65" i="107"/>
  <c r="N65" i="107"/>
  <c r="C66" i="107"/>
  <c r="D66" i="107"/>
  <c r="E66" i="107"/>
  <c r="F66" i="107"/>
  <c r="V24" i="107" s="1"/>
  <c r="G66" i="107"/>
  <c r="H66" i="107"/>
  <c r="I66" i="107"/>
  <c r="J66" i="107"/>
  <c r="Z24" i="107" s="1"/>
  <c r="K66" i="107"/>
  <c r="L66" i="107"/>
  <c r="M66" i="107"/>
  <c r="N66" i="107"/>
  <c r="AD24" i="107" s="1"/>
  <c r="C67" i="107"/>
  <c r="D67" i="107"/>
  <c r="E67" i="107"/>
  <c r="F67" i="107"/>
  <c r="G67" i="107"/>
  <c r="H67" i="107"/>
  <c r="I67" i="107"/>
  <c r="J67" i="107"/>
  <c r="K67" i="107"/>
  <c r="L67" i="107"/>
  <c r="M67" i="107"/>
  <c r="N67" i="107"/>
  <c r="C68" i="107"/>
  <c r="D68" i="107"/>
  <c r="E68" i="107"/>
  <c r="F68" i="107"/>
  <c r="G68" i="107"/>
  <c r="H68" i="107"/>
  <c r="I68" i="107"/>
  <c r="J68" i="107"/>
  <c r="K68" i="107"/>
  <c r="L68" i="107"/>
  <c r="M68" i="107"/>
  <c r="N68" i="107"/>
  <c r="C69" i="107"/>
  <c r="D69" i="107"/>
  <c r="E69" i="107"/>
  <c r="F69" i="107"/>
  <c r="G69" i="107"/>
  <c r="H69" i="107"/>
  <c r="I69" i="107"/>
  <c r="J69" i="107"/>
  <c r="K69" i="107"/>
  <c r="L69" i="107"/>
  <c r="M69" i="107"/>
  <c r="N69" i="107"/>
  <c r="C70" i="107"/>
  <c r="D70" i="107"/>
  <c r="E70" i="107"/>
  <c r="F70" i="107"/>
  <c r="V25" i="107" s="1"/>
  <c r="G70" i="107"/>
  <c r="H70" i="107"/>
  <c r="I70" i="107"/>
  <c r="J70" i="107"/>
  <c r="Z25" i="107" s="1"/>
  <c r="K70" i="107"/>
  <c r="L70" i="107"/>
  <c r="M70" i="107"/>
  <c r="N70" i="107"/>
  <c r="AD25" i="107" s="1"/>
  <c r="C71" i="107"/>
  <c r="D71" i="107"/>
  <c r="E71" i="107"/>
  <c r="F71" i="107"/>
  <c r="G71" i="107"/>
  <c r="H71" i="107"/>
  <c r="I71" i="107"/>
  <c r="J71" i="107"/>
  <c r="K71" i="107"/>
  <c r="L71" i="107"/>
  <c r="M71" i="107"/>
  <c r="N71" i="107"/>
  <c r="C72" i="107"/>
  <c r="D72" i="107"/>
  <c r="E72" i="107"/>
  <c r="F72" i="107"/>
  <c r="G72" i="107"/>
  <c r="H72" i="107"/>
  <c r="I72" i="107"/>
  <c r="J72" i="107"/>
  <c r="K72" i="107"/>
  <c r="L72" i="107"/>
  <c r="M72" i="107"/>
  <c r="N72" i="107"/>
  <c r="C73" i="107"/>
  <c r="D73" i="107"/>
  <c r="E73" i="107"/>
  <c r="F73" i="107"/>
  <c r="G73" i="107"/>
  <c r="H73" i="107"/>
  <c r="I73" i="107"/>
  <c r="J73" i="107"/>
  <c r="K73" i="107"/>
  <c r="L73" i="107"/>
  <c r="M73" i="107"/>
  <c r="N73" i="107"/>
  <c r="C74" i="107"/>
  <c r="D74" i="107"/>
  <c r="E74" i="107"/>
  <c r="F74" i="107"/>
  <c r="V26" i="107" s="1"/>
  <c r="G74" i="107"/>
  <c r="H74" i="107"/>
  <c r="I74" i="107"/>
  <c r="J74" i="107"/>
  <c r="Z26" i="107" s="1"/>
  <c r="K74" i="107"/>
  <c r="L74" i="107"/>
  <c r="M74" i="107"/>
  <c r="N74" i="107"/>
  <c r="AD26" i="107" s="1"/>
  <c r="C75" i="107"/>
  <c r="D75" i="107"/>
  <c r="E75" i="107"/>
  <c r="F75" i="107"/>
  <c r="G75" i="107"/>
  <c r="H75" i="107"/>
  <c r="I75" i="107"/>
  <c r="J75" i="107"/>
  <c r="K75" i="107"/>
  <c r="L75" i="107"/>
  <c r="M75" i="107"/>
  <c r="N75" i="107"/>
  <c r="C76" i="107"/>
  <c r="D76" i="107"/>
  <c r="E76" i="107"/>
  <c r="F76" i="107"/>
  <c r="G76" i="107"/>
  <c r="H76" i="107"/>
  <c r="I76" i="107"/>
  <c r="J76" i="107"/>
  <c r="K76" i="107"/>
  <c r="L76" i="107"/>
  <c r="M76" i="107"/>
  <c r="N76" i="107"/>
  <c r="C77" i="107"/>
  <c r="D77" i="107"/>
  <c r="E77" i="107"/>
  <c r="F77" i="107"/>
  <c r="G77" i="107"/>
  <c r="H77" i="107"/>
  <c r="I77" i="107"/>
  <c r="J77" i="107"/>
  <c r="K77" i="107"/>
  <c r="L77" i="107"/>
  <c r="M77" i="107"/>
  <c r="N77" i="107"/>
  <c r="C78" i="107"/>
  <c r="D78" i="107"/>
  <c r="E78" i="107"/>
  <c r="F78" i="107"/>
  <c r="V27" i="107" s="1"/>
  <c r="G78" i="107"/>
  <c r="H78" i="107"/>
  <c r="I78" i="107"/>
  <c r="J78" i="107"/>
  <c r="Z27" i="107" s="1"/>
  <c r="K78" i="107"/>
  <c r="L78" i="107"/>
  <c r="M78" i="107"/>
  <c r="N78" i="107"/>
  <c r="AD27" i="107" s="1"/>
  <c r="C79" i="107"/>
  <c r="D79" i="107"/>
  <c r="E79" i="107"/>
  <c r="F79" i="107"/>
  <c r="G79" i="107"/>
  <c r="H79" i="107"/>
  <c r="I79" i="107"/>
  <c r="J79" i="107"/>
  <c r="K79" i="107"/>
  <c r="L79" i="107"/>
  <c r="M79" i="107"/>
  <c r="N79" i="107"/>
  <c r="C80" i="107"/>
  <c r="D80" i="107"/>
  <c r="E80" i="107"/>
  <c r="F80" i="107"/>
  <c r="G80" i="107"/>
  <c r="H80" i="107"/>
  <c r="I80" i="107"/>
  <c r="J80" i="107"/>
  <c r="K80" i="107"/>
  <c r="L80" i="107"/>
  <c r="M80" i="107"/>
  <c r="N80" i="107"/>
  <c r="C81" i="107"/>
  <c r="D81" i="107"/>
  <c r="E81" i="107"/>
  <c r="F81" i="107"/>
  <c r="G81" i="107"/>
  <c r="H81" i="107"/>
  <c r="I81" i="107"/>
  <c r="J81" i="107"/>
  <c r="K81" i="107"/>
  <c r="L81" i="107"/>
  <c r="M81" i="107"/>
  <c r="N81" i="107"/>
  <c r="C82" i="107"/>
  <c r="D82" i="107"/>
  <c r="E82" i="107"/>
  <c r="F82" i="107"/>
  <c r="V28" i="107" s="1"/>
  <c r="G82" i="107"/>
  <c r="H82" i="107"/>
  <c r="I82" i="107"/>
  <c r="J82" i="107"/>
  <c r="Z28" i="107" s="1"/>
  <c r="K82" i="107"/>
  <c r="L82" i="107"/>
  <c r="M82" i="107"/>
  <c r="N82" i="107"/>
  <c r="AD28" i="107" s="1"/>
  <c r="C83" i="107"/>
  <c r="D83" i="107"/>
  <c r="E83" i="107"/>
  <c r="F83" i="107"/>
  <c r="G83" i="107"/>
  <c r="H83" i="107"/>
  <c r="I83" i="107"/>
  <c r="J83" i="107"/>
  <c r="K83" i="107"/>
  <c r="L83" i="107"/>
  <c r="M83" i="107"/>
  <c r="N83" i="107"/>
  <c r="C84" i="107"/>
  <c r="D84" i="107"/>
  <c r="E84" i="107"/>
  <c r="F84" i="107"/>
  <c r="G84" i="107"/>
  <c r="H84" i="107"/>
  <c r="I84" i="107"/>
  <c r="J84" i="107"/>
  <c r="K84" i="107"/>
  <c r="L84" i="107"/>
  <c r="M84" i="107"/>
  <c r="N84" i="107"/>
  <c r="C85" i="107"/>
  <c r="D85" i="107"/>
  <c r="E85" i="107"/>
  <c r="F85" i="107"/>
  <c r="G85" i="107"/>
  <c r="H85" i="107"/>
  <c r="I85" i="107"/>
  <c r="J85" i="107"/>
  <c r="K85" i="107"/>
  <c r="L85" i="107"/>
  <c r="M85" i="107"/>
  <c r="N85" i="107"/>
  <c r="C86" i="107"/>
  <c r="D86" i="107"/>
  <c r="E86" i="107"/>
  <c r="F86" i="107"/>
  <c r="V29" i="107" s="1"/>
  <c r="G86" i="107"/>
  <c r="H86" i="107"/>
  <c r="I86" i="107"/>
  <c r="J86" i="107"/>
  <c r="Z29" i="107" s="1"/>
  <c r="K86" i="107"/>
  <c r="L86" i="107"/>
  <c r="M86" i="107"/>
  <c r="N86" i="107"/>
  <c r="AD29" i="107" s="1"/>
  <c r="C87" i="107"/>
  <c r="D87" i="107"/>
  <c r="E87" i="107"/>
  <c r="F87" i="107"/>
  <c r="G87" i="107"/>
  <c r="H87" i="107"/>
  <c r="I87" i="107"/>
  <c r="J87" i="107"/>
  <c r="K87" i="107"/>
  <c r="L87" i="107"/>
  <c r="M87" i="107"/>
  <c r="N87" i="107"/>
  <c r="C88" i="107"/>
  <c r="D88" i="107"/>
  <c r="E88" i="107"/>
  <c r="F88" i="107"/>
  <c r="G88" i="107"/>
  <c r="H88" i="107"/>
  <c r="I88" i="107"/>
  <c r="J88" i="107"/>
  <c r="K88" i="107"/>
  <c r="L88" i="107"/>
  <c r="M88" i="107"/>
  <c r="N88" i="107"/>
  <c r="C89" i="107"/>
  <c r="D89" i="107"/>
  <c r="E89" i="107"/>
  <c r="F89" i="107"/>
  <c r="G89" i="107"/>
  <c r="H89" i="107"/>
  <c r="I89" i="107"/>
  <c r="J89" i="107"/>
  <c r="K89" i="107"/>
  <c r="L89" i="107"/>
  <c r="M89" i="107"/>
  <c r="N89" i="107"/>
  <c r="C90" i="107"/>
  <c r="D90" i="107"/>
  <c r="E90" i="107"/>
  <c r="F90" i="107"/>
  <c r="V30" i="107" s="1"/>
  <c r="G90" i="107"/>
  <c r="H90" i="107"/>
  <c r="I90" i="107"/>
  <c r="J90" i="107"/>
  <c r="Z30" i="107" s="1"/>
  <c r="K90" i="107"/>
  <c r="L90" i="107"/>
  <c r="M90" i="107"/>
  <c r="N90" i="107"/>
  <c r="AD30" i="107" s="1"/>
  <c r="C91" i="107"/>
  <c r="D91" i="107"/>
  <c r="E91" i="107"/>
  <c r="F91" i="107"/>
  <c r="G91" i="107"/>
  <c r="H91" i="107"/>
  <c r="I91" i="107"/>
  <c r="J91" i="107"/>
  <c r="K91" i="107"/>
  <c r="L91" i="107"/>
  <c r="M91" i="107"/>
  <c r="N91" i="107"/>
  <c r="C92" i="107"/>
  <c r="D92" i="107"/>
  <c r="E92" i="107"/>
  <c r="F92" i="107"/>
  <c r="G92" i="107"/>
  <c r="H92" i="107"/>
  <c r="I92" i="107"/>
  <c r="J92" i="107"/>
  <c r="K92" i="107"/>
  <c r="L92" i="107"/>
  <c r="M92" i="107"/>
  <c r="N92" i="107"/>
  <c r="C93" i="107"/>
  <c r="D93" i="107"/>
  <c r="E93" i="107"/>
  <c r="F93" i="107"/>
  <c r="G93" i="107"/>
  <c r="H93" i="107"/>
  <c r="I93" i="107"/>
  <c r="J93" i="107"/>
  <c r="K93" i="107"/>
  <c r="L93" i="107"/>
  <c r="M93" i="107"/>
  <c r="N93" i="107"/>
  <c r="C94" i="107"/>
  <c r="D94" i="107"/>
  <c r="E94" i="107"/>
  <c r="F94" i="107"/>
  <c r="V31" i="107" s="1"/>
  <c r="G94" i="107"/>
  <c r="H94" i="107"/>
  <c r="I94" i="107"/>
  <c r="J94" i="107"/>
  <c r="Z31" i="107" s="1"/>
  <c r="K94" i="107"/>
  <c r="L94" i="107"/>
  <c r="M94" i="107"/>
  <c r="N94" i="107"/>
  <c r="AD31" i="107" s="1"/>
  <c r="C95" i="107"/>
  <c r="D95" i="107"/>
  <c r="E95" i="107"/>
  <c r="F95" i="107"/>
  <c r="G95" i="107"/>
  <c r="H95" i="107"/>
  <c r="I95" i="107"/>
  <c r="J95" i="107"/>
  <c r="K95" i="107"/>
  <c r="L95" i="107"/>
  <c r="M95" i="107"/>
  <c r="N95" i="107"/>
  <c r="C96" i="107"/>
  <c r="D96" i="107"/>
  <c r="E96" i="107"/>
  <c r="F96" i="107"/>
  <c r="G96" i="107"/>
  <c r="H96" i="107"/>
  <c r="I96" i="107"/>
  <c r="J96" i="107"/>
  <c r="K96" i="107"/>
  <c r="L96" i="107"/>
  <c r="M96" i="107"/>
  <c r="N96" i="107"/>
  <c r="C97" i="107"/>
  <c r="D97" i="107"/>
  <c r="E97" i="107"/>
  <c r="F97" i="107"/>
  <c r="G97" i="107"/>
  <c r="H97" i="107"/>
  <c r="I97" i="107"/>
  <c r="J97" i="107"/>
  <c r="K97" i="107"/>
  <c r="L97" i="107"/>
  <c r="M97" i="107"/>
  <c r="N97" i="107"/>
  <c r="C98" i="107"/>
  <c r="D98" i="107"/>
  <c r="E98" i="107"/>
  <c r="F98" i="107"/>
  <c r="V32" i="107" s="1"/>
  <c r="G98" i="107"/>
  <c r="H98" i="107"/>
  <c r="I98" i="107"/>
  <c r="J98" i="107"/>
  <c r="Z32" i="107" s="1"/>
  <c r="K98" i="107"/>
  <c r="L98" i="107"/>
  <c r="M98" i="107"/>
  <c r="N98" i="107"/>
  <c r="AD32" i="107" s="1"/>
  <c r="C99" i="107"/>
  <c r="D99" i="107"/>
  <c r="E99" i="107"/>
  <c r="F99" i="107"/>
  <c r="G99" i="107"/>
  <c r="H99" i="107"/>
  <c r="I99" i="107"/>
  <c r="J99" i="107"/>
  <c r="K99" i="107"/>
  <c r="L99" i="107"/>
  <c r="M99" i="107"/>
  <c r="N99" i="107"/>
  <c r="C100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C101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C102" i="107"/>
  <c r="D102" i="107"/>
  <c r="E102" i="107"/>
  <c r="F102" i="107"/>
  <c r="V33" i="107" s="1"/>
  <c r="G102" i="107"/>
  <c r="H102" i="107"/>
  <c r="I102" i="107"/>
  <c r="J102" i="107"/>
  <c r="Z33" i="107" s="1"/>
  <c r="K102" i="107"/>
  <c r="L102" i="107"/>
  <c r="M102" i="107"/>
  <c r="N102" i="107"/>
  <c r="AD33" i="107" s="1"/>
  <c r="C103" i="107"/>
  <c r="D103" i="107"/>
  <c r="E103" i="107"/>
  <c r="U33" i="107" s="1"/>
  <c r="F103" i="107"/>
  <c r="G103" i="107"/>
  <c r="H103" i="107"/>
  <c r="I103" i="107"/>
  <c r="J103" i="107"/>
  <c r="K103" i="107"/>
  <c r="L103" i="107"/>
  <c r="M103" i="107"/>
  <c r="N103" i="107"/>
  <c r="C104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C105" i="107"/>
  <c r="D105" i="107"/>
  <c r="E105" i="107"/>
  <c r="F105" i="107"/>
  <c r="G105" i="107"/>
  <c r="W33" i="107" s="1"/>
  <c r="H105" i="107"/>
  <c r="I105" i="107"/>
  <c r="J105" i="107"/>
  <c r="K105" i="107"/>
  <c r="AA33" i="107" s="1"/>
  <c r="L105" i="107"/>
  <c r="M105" i="107"/>
  <c r="N105" i="107"/>
  <c r="D58" i="107"/>
  <c r="E58" i="107"/>
  <c r="F58" i="107"/>
  <c r="G58" i="107"/>
  <c r="H58" i="107"/>
  <c r="I58" i="107"/>
  <c r="J58" i="107"/>
  <c r="K58" i="107"/>
  <c r="AA22" i="107" s="1"/>
  <c r="L58" i="107"/>
  <c r="M58" i="107"/>
  <c r="N58" i="107"/>
  <c r="C58" i="107"/>
  <c r="AC33" i="107"/>
  <c r="AB33" i="107"/>
  <c r="Y33" i="107"/>
  <c r="X33" i="107"/>
  <c r="T33" i="107"/>
  <c r="S33" i="107"/>
  <c r="AF32" i="107"/>
  <c r="AC32" i="107"/>
  <c r="AB32" i="107"/>
  <c r="AA32" i="107"/>
  <c r="Y32" i="107"/>
  <c r="X32" i="107"/>
  <c r="W32" i="107"/>
  <c r="U32" i="107"/>
  <c r="T32" i="107"/>
  <c r="S32" i="107"/>
  <c r="AC31" i="107"/>
  <c r="AB31" i="107"/>
  <c r="AA31" i="107"/>
  <c r="Y31" i="107"/>
  <c r="X31" i="107"/>
  <c r="W31" i="107"/>
  <c r="U31" i="107"/>
  <c r="T31" i="107"/>
  <c r="S31" i="107"/>
  <c r="AF30" i="107"/>
  <c r="AE30" i="107"/>
  <c r="AC30" i="107"/>
  <c r="AB30" i="107"/>
  <c r="AA30" i="107"/>
  <c r="Y30" i="107"/>
  <c r="X30" i="107"/>
  <c r="W30" i="107"/>
  <c r="U30" i="107"/>
  <c r="T30" i="107"/>
  <c r="S30" i="107"/>
  <c r="AC29" i="107"/>
  <c r="AB29" i="107"/>
  <c r="AA29" i="107"/>
  <c r="Y29" i="107"/>
  <c r="X29" i="107"/>
  <c r="W29" i="107"/>
  <c r="U29" i="107"/>
  <c r="T29" i="107"/>
  <c r="S29" i="107"/>
  <c r="AC28" i="107"/>
  <c r="AB28" i="107"/>
  <c r="AA28" i="107"/>
  <c r="Y28" i="107"/>
  <c r="X28" i="107"/>
  <c r="W28" i="107"/>
  <c r="U28" i="107"/>
  <c r="T28" i="107"/>
  <c r="S28" i="107"/>
  <c r="AC27" i="107"/>
  <c r="AB27" i="107"/>
  <c r="AA27" i="107"/>
  <c r="Y27" i="107"/>
  <c r="X27" i="107"/>
  <c r="W27" i="107"/>
  <c r="U27" i="107"/>
  <c r="T27" i="107"/>
  <c r="S27" i="107"/>
  <c r="AE26" i="107"/>
  <c r="AC26" i="107"/>
  <c r="AB26" i="107"/>
  <c r="AA26" i="107"/>
  <c r="Y26" i="107"/>
  <c r="X26" i="107"/>
  <c r="W26" i="107"/>
  <c r="U26" i="107"/>
  <c r="T26" i="107"/>
  <c r="S26" i="107"/>
  <c r="AF25" i="107"/>
  <c r="AC25" i="107"/>
  <c r="AB25" i="107"/>
  <c r="AA25" i="107"/>
  <c r="Y25" i="107"/>
  <c r="X25" i="107"/>
  <c r="W25" i="107"/>
  <c r="U25" i="107"/>
  <c r="T25" i="107"/>
  <c r="S25" i="107"/>
  <c r="AC24" i="107"/>
  <c r="AB24" i="107"/>
  <c r="AA24" i="107"/>
  <c r="Y24" i="107"/>
  <c r="X24" i="107"/>
  <c r="W24" i="107"/>
  <c r="U24" i="107"/>
  <c r="T24" i="107"/>
  <c r="S24" i="107"/>
  <c r="AF23" i="107"/>
  <c r="AC23" i="107"/>
  <c r="AB23" i="107"/>
  <c r="AA23" i="107"/>
  <c r="Y23" i="107"/>
  <c r="X23" i="107"/>
  <c r="W23" i="107"/>
  <c r="U23" i="107"/>
  <c r="T23" i="107"/>
  <c r="S23" i="107"/>
  <c r="AE22" i="107"/>
  <c r="AC22" i="107"/>
  <c r="AB22" i="107"/>
  <c r="Z22" i="107"/>
  <c r="Y22" i="107"/>
  <c r="X22" i="107"/>
  <c r="W22" i="107"/>
  <c r="V22" i="107"/>
  <c r="U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C36" i="107" s="1"/>
  <c r="AB20" i="107"/>
  <c r="AA20" i="107"/>
  <c r="Z20" i="107"/>
  <c r="Y20" i="107"/>
  <c r="Y36" i="107" s="1"/>
  <c r="X20" i="107"/>
  <c r="W20" i="107"/>
  <c r="V20" i="107"/>
  <c r="U20" i="107"/>
  <c r="U36" i="107" s="1"/>
  <c r="T20" i="107"/>
  <c r="S20" i="107"/>
  <c r="AF19" i="107"/>
  <c r="AF36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6" i="107" s="1"/>
  <c r="W19" i="107"/>
  <c r="W36" i="107" s="1"/>
  <c r="V19" i="107"/>
  <c r="V39" i="107" s="1"/>
  <c r="U19" i="107"/>
  <c r="U39" i="107" s="1"/>
  <c r="T19" i="107"/>
  <c r="T36" i="107" s="1"/>
  <c r="S19" i="107"/>
  <c r="S39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Z15" i="107"/>
  <c r="Y15" i="107"/>
  <c r="X15" i="107"/>
  <c r="W15" i="107"/>
  <c r="V15" i="107"/>
  <c r="U15" i="107"/>
  <c r="T15" i="107"/>
  <c r="S15" i="107"/>
  <c r="AF14" i="107"/>
  <c r="AE14" i="107"/>
  <c r="AD14" i="107"/>
  <c r="AC14" i="107"/>
  <c r="AC38" i="107" s="1"/>
  <c r="AB14" i="107"/>
  <c r="AA14" i="107"/>
  <c r="Z14" i="107"/>
  <c r="Y14" i="107"/>
  <c r="Y38" i="107" s="1"/>
  <c r="X14" i="107"/>
  <c r="W14" i="107"/>
  <c r="V14" i="107"/>
  <c r="U14" i="107"/>
  <c r="U38" i="107" s="1"/>
  <c r="T14" i="107"/>
  <c r="S14" i="107"/>
  <c r="AF13" i="107"/>
  <c r="AF38" i="107" s="1"/>
  <c r="AE13" i="107"/>
  <c r="AE35" i="107" s="1"/>
  <c r="AD13" i="107"/>
  <c r="AD35" i="107" s="1"/>
  <c r="AC13" i="107"/>
  <c r="AC35" i="107" s="1"/>
  <c r="AB13" i="107"/>
  <c r="AB38" i="107" s="1"/>
  <c r="AA13" i="107"/>
  <c r="AA38" i="107" s="1"/>
  <c r="Z13" i="107"/>
  <c r="Z35" i="107" s="1"/>
  <c r="Y13" i="107"/>
  <c r="Y35" i="107" s="1"/>
  <c r="X13" i="107"/>
  <c r="X38" i="107" s="1"/>
  <c r="W13" i="107"/>
  <c r="W38" i="107" s="1"/>
  <c r="V13" i="107"/>
  <c r="V35" i="107" s="1"/>
  <c r="U13" i="107"/>
  <c r="U35" i="107" s="1"/>
  <c r="T13" i="107"/>
  <c r="T38" i="107" s="1"/>
  <c r="S13" i="107"/>
  <c r="S38" i="107" s="1"/>
  <c r="AF12" i="107"/>
  <c r="AE12" i="107"/>
  <c r="AD12" i="107"/>
  <c r="AC12" i="107"/>
  <c r="AB12" i="107"/>
  <c r="AA12" i="107"/>
  <c r="Z12" i="107"/>
  <c r="Y12" i="107"/>
  <c r="X12" i="107"/>
  <c r="W12" i="107"/>
  <c r="V12" i="107"/>
  <c r="U12" i="107"/>
  <c r="T12" i="107"/>
  <c r="S12" i="107"/>
  <c r="AF11" i="107"/>
  <c r="AE11" i="107"/>
  <c r="AD11" i="107"/>
  <c r="AC11" i="107"/>
  <c r="AB11" i="107"/>
  <c r="AA11" i="107"/>
  <c r="Z11" i="107"/>
  <c r="Y11" i="107"/>
  <c r="X11" i="107"/>
  <c r="W11" i="107"/>
  <c r="W37" i="107" s="1"/>
  <c r="V11" i="107"/>
  <c r="U11" i="107"/>
  <c r="T11" i="107"/>
  <c r="S11" i="107"/>
  <c r="AF10" i="107"/>
  <c r="AF40" i="107" s="1"/>
  <c r="AE10" i="107"/>
  <c r="AE40" i="107" s="1"/>
  <c r="AD10" i="107"/>
  <c r="AC10" i="107"/>
  <c r="AC34" i="107" s="1"/>
  <c r="AB10" i="107"/>
  <c r="AB40" i="107" s="1"/>
  <c r="AA10" i="107"/>
  <c r="AA40" i="107" s="1"/>
  <c r="Z10" i="107"/>
  <c r="Y10" i="107"/>
  <c r="X10" i="107"/>
  <c r="X40" i="107" s="1"/>
  <c r="W10" i="107"/>
  <c r="W40" i="107" s="1"/>
  <c r="V10" i="107"/>
  <c r="U10" i="107"/>
  <c r="T10" i="107"/>
  <c r="T40" i="107" s="1"/>
  <c r="S10" i="107"/>
  <c r="S40" i="107" s="1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C32" i="108"/>
  <c r="AB32" i="108"/>
  <c r="AA32" i="108"/>
  <c r="Y32" i="108"/>
  <c r="X32" i="108"/>
  <c r="W32" i="108"/>
  <c r="U32" i="108"/>
  <c r="T32" i="108"/>
  <c r="S32" i="108"/>
  <c r="AE31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C30" i="108"/>
  <c r="AB30" i="108"/>
  <c r="AA30" i="108"/>
  <c r="Y30" i="108"/>
  <c r="X30" i="108"/>
  <c r="W30" i="108"/>
  <c r="U30" i="108"/>
  <c r="T30" i="108"/>
  <c r="S30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C28" i="108"/>
  <c r="AB28" i="108"/>
  <c r="AA28" i="108"/>
  <c r="Y28" i="108"/>
  <c r="X28" i="108"/>
  <c r="W28" i="108"/>
  <c r="U28" i="108"/>
  <c r="T28" i="108"/>
  <c r="S28" i="108"/>
  <c r="AF27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E26" i="108"/>
  <c r="AC26" i="108"/>
  <c r="AB26" i="108"/>
  <c r="AA26" i="108"/>
  <c r="Y26" i="108"/>
  <c r="X26" i="108"/>
  <c r="W26" i="108"/>
  <c r="U26" i="108"/>
  <c r="T26" i="108"/>
  <c r="S26" i="108"/>
  <c r="AF25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C24" i="108"/>
  <c r="AB24" i="108"/>
  <c r="AA24" i="108"/>
  <c r="Y24" i="108"/>
  <c r="X24" i="108"/>
  <c r="W24" i="108"/>
  <c r="U24" i="108"/>
  <c r="T24" i="108"/>
  <c r="S24" i="108"/>
  <c r="AE23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C22" i="108"/>
  <c r="AB22" i="108"/>
  <c r="Y22" i="108"/>
  <c r="X22" i="108"/>
  <c r="V22" i="108"/>
  <c r="U22" i="108"/>
  <c r="T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C36" i="108" s="1"/>
  <c r="AB20" i="108"/>
  <c r="AA20" i="108"/>
  <c r="Z20" i="108"/>
  <c r="Y20" i="108"/>
  <c r="Y36" i="108" s="1"/>
  <c r="X20" i="108"/>
  <c r="W20" i="108"/>
  <c r="V20" i="108"/>
  <c r="U20" i="108"/>
  <c r="U36" i="108" s="1"/>
  <c r="T20" i="108"/>
  <c r="S20" i="108"/>
  <c r="AF19" i="108"/>
  <c r="AF36" i="108" s="1"/>
  <c r="AE19" i="108"/>
  <c r="AE36" i="108" s="1"/>
  <c r="AD19" i="108"/>
  <c r="AD39" i="108" s="1"/>
  <c r="AC19" i="108"/>
  <c r="AC39" i="108" s="1"/>
  <c r="AB19" i="108"/>
  <c r="AB36" i="108" s="1"/>
  <c r="AA19" i="108"/>
  <c r="AA39" i="108" s="1"/>
  <c r="Z19" i="108"/>
  <c r="Z39" i="108" s="1"/>
  <c r="Y19" i="108"/>
  <c r="Y39" i="108" s="1"/>
  <c r="X19" i="108"/>
  <c r="X36" i="108" s="1"/>
  <c r="W19" i="108"/>
  <c r="W36" i="108" s="1"/>
  <c r="V19" i="108"/>
  <c r="V39" i="108" s="1"/>
  <c r="U19" i="108"/>
  <c r="U39" i="108" s="1"/>
  <c r="T19" i="108"/>
  <c r="T36" i="108" s="1"/>
  <c r="S19" i="108"/>
  <c r="S36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Z15" i="108"/>
  <c r="Y15" i="108"/>
  <c r="X15" i="108"/>
  <c r="W15" i="108"/>
  <c r="V15" i="108"/>
  <c r="U15" i="108"/>
  <c r="T15" i="108"/>
  <c r="S15" i="108"/>
  <c r="AF14" i="108"/>
  <c r="AE14" i="108"/>
  <c r="AD14" i="108"/>
  <c r="AC14" i="108"/>
  <c r="AC38" i="108" s="1"/>
  <c r="AB14" i="108"/>
  <c r="AA14" i="108"/>
  <c r="Z14" i="108"/>
  <c r="Y14" i="108"/>
  <c r="Y38" i="108" s="1"/>
  <c r="X14" i="108"/>
  <c r="W14" i="108"/>
  <c r="V14" i="108"/>
  <c r="U14" i="108"/>
  <c r="U38" i="108" s="1"/>
  <c r="T14" i="108"/>
  <c r="S14" i="108"/>
  <c r="AF13" i="108"/>
  <c r="AF38" i="108" s="1"/>
  <c r="AE13" i="108"/>
  <c r="AE35" i="108" s="1"/>
  <c r="AD13" i="108"/>
  <c r="AD35" i="108" s="1"/>
  <c r="AC13" i="108"/>
  <c r="AC35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8" i="108" s="1"/>
  <c r="V13" i="108"/>
  <c r="V35" i="108" s="1"/>
  <c r="U13" i="108"/>
  <c r="U35" i="108" s="1"/>
  <c r="T13" i="108"/>
  <c r="T38" i="108" s="1"/>
  <c r="S13" i="108"/>
  <c r="S38" i="108" s="1"/>
  <c r="AF12" i="108"/>
  <c r="AE12" i="108"/>
  <c r="AD12" i="108"/>
  <c r="AC12" i="108"/>
  <c r="AB12" i="108"/>
  <c r="AA12" i="108"/>
  <c r="Z12" i="108"/>
  <c r="Y12" i="108"/>
  <c r="X12" i="108"/>
  <c r="W12" i="108"/>
  <c r="V12" i="108"/>
  <c r="U12" i="108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W37" i="108" s="1"/>
  <c r="V11" i="108"/>
  <c r="U11" i="108"/>
  <c r="T11" i="108"/>
  <c r="S11" i="108"/>
  <c r="S41" i="108" s="1"/>
  <c r="AF10" i="108"/>
  <c r="AF40" i="108" s="1"/>
  <c r="AE10" i="108"/>
  <c r="AE40" i="108" s="1"/>
  <c r="AD10" i="108"/>
  <c r="AC10" i="108"/>
  <c r="AC34" i="108" s="1"/>
  <c r="AB10" i="108"/>
  <c r="AB40" i="108" s="1"/>
  <c r="AA10" i="108"/>
  <c r="AA40" i="108" s="1"/>
  <c r="Z10" i="108"/>
  <c r="Y10" i="108"/>
  <c r="Y41" i="108" s="1"/>
  <c r="X10" i="108"/>
  <c r="X40" i="108" s="1"/>
  <c r="W10" i="108"/>
  <c r="W40" i="108" s="1"/>
  <c r="V10" i="108"/>
  <c r="U10" i="108"/>
  <c r="U40" i="108" s="1"/>
  <c r="T10" i="108"/>
  <c r="T40" i="108" s="1"/>
  <c r="S10" i="108"/>
  <c r="S40" i="108" s="1"/>
  <c r="AF33" i="111"/>
  <c r="AC33" i="111"/>
  <c r="AB33" i="111"/>
  <c r="AA33" i="111"/>
  <c r="Y33" i="111"/>
  <c r="X33" i="111"/>
  <c r="W33" i="111"/>
  <c r="U33" i="111"/>
  <c r="T33" i="111"/>
  <c r="S33" i="111"/>
  <c r="AE32" i="111"/>
  <c r="AD32" i="111"/>
  <c r="AC32" i="111"/>
  <c r="AB32" i="111"/>
  <c r="AA32" i="111"/>
  <c r="Z32" i="111"/>
  <c r="Y32" i="111"/>
  <c r="X32" i="111"/>
  <c r="W32" i="111"/>
  <c r="V32" i="111"/>
  <c r="U32" i="111"/>
  <c r="T32" i="111"/>
  <c r="S32" i="111"/>
  <c r="AF31" i="111"/>
  <c r="AC31" i="111"/>
  <c r="AB31" i="111"/>
  <c r="AA31" i="111"/>
  <c r="Y31" i="111"/>
  <c r="X31" i="111"/>
  <c r="W31" i="111"/>
  <c r="U31" i="111"/>
  <c r="T31" i="111"/>
  <c r="S31" i="111"/>
  <c r="AD30" i="111"/>
  <c r="AC30" i="111"/>
  <c r="AB30" i="111"/>
  <c r="AA30" i="111"/>
  <c r="Z30" i="111"/>
  <c r="Y30" i="111"/>
  <c r="X30" i="111"/>
  <c r="W30" i="111"/>
  <c r="V30" i="111"/>
  <c r="U30" i="111"/>
  <c r="T30" i="111"/>
  <c r="S30" i="111"/>
  <c r="AC29" i="111"/>
  <c r="AB29" i="111"/>
  <c r="AA29" i="111"/>
  <c r="Y29" i="111"/>
  <c r="X29" i="111"/>
  <c r="W29" i="111"/>
  <c r="U29" i="111"/>
  <c r="T29" i="111"/>
  <c r="S29" i="111"/>
  <c r="AD28" i="111"/>
  <c r="AC28" i="111"/>
  <c r="AB28" i="111"/>
  <c r="AA28" i="111"/>
  <c r="Z28" i="111"/>
  <c r="Y28" i="111"/>
  <c r="X28" i="111"/>
  <c r="W28" i="111"/>
  <c r="V28" i="111"/>
  <c r="U28" i="111"/>
  <c r="T28" i="111"/>
  <c r="S28" i="111"/>
  <c r="AE27" i="111"/>
  <c r="AC27" i="111"/>
  <c r="AB27" i="111"/>
  <c r="AA27" i="111"/>
  <c r="Y27" i="111"/>
  <c r="X27" i="111"/>
  <c r="W27" i="111"/>
  <c r="U27" i="111"/>
  <c r="T27" i="111"/>
  <c r="S27" i="111"/>
  <c r="AD26" i="111"/>
  <c r="AC26" i="111"/>
  <c r="AB26" i="111"/>
  <c r="AA26" i="111"/>
  <c r="Z26" i="111"/>
  <c r="Y26" i="111"/>
  <c r="X26" i="111"/>
  <c r="W26" i="111"/>
  <c r="V26" i="111"/>
  <c r="U26" i="111"/>
  <c r="T26" i="111"/>
  <c r="S26" i="111"/>
  <c r="AC25" i="111"/>
  <c r="AB25" i="111"/>
  <c r="AA25" i="111"/>
  <c r="Y25" i="111"/>
  <c r="X25" i="111"/>
  <c r="W25" i="111"/>
  <c r="U25" i="111"/>
  <c r="T25" i="111"/>
  <c r="S25" i="111"/>
  <c r="AF24" i="111"/>
  <c r="AE24" i="111"/>
  <c r="AD24" i="111"/>
  <c r="AC24" i="111"/>
  <c r="AB24" i="111"/>
  <c r="AA24" i="111"/>
  <c r="Z24" i="111"/>
  <c r="Y24" i="111"/>
  <c r="X24" i="111"/>
  <c r="W24" i="111"/>
  <c r="V24" i="111"/>
  <c r="U24" i="111"/>
  <c r="T24" i="111"/>
  <c r="S24" i="111"/>
  <c r="AC23" i="111"/>
  <c r="AB23" i="111"/>
  <c r="AA23" i="111"/>
  <c r="Y23" i="111"/>
  <c r="X23" i="111"/>
  <c r="W23" i="111"/>
  <c r="U23" i="111"/>
  <c r="T23" i="111"/>
  <c r="S23" i="111"/>
  <c r="AF22" i="111"/>
  <c r="AD22" i="111"/>
  <c r="AB22" i="111"/>
  <c r="X22" i="111"/>
  <c r="V22" i="111"/>
  <c r="T22" i="111"/>
  <c r="S22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D20" i="111"/>
  <c r="AC20" i="111"/>
  <c r="AC36" i="111" s="1"/>
  <c r="AB20" i="111"/>
  <c r="AA20" i="111"/>
  <c r="Z20" i="111"/>
  <c r="Y20" i="111"/>
  <c r="Y36" i="111" s="1"/>
  <c r="X20" i="111"/>
  <c r="W20" i="111"/>
  <c r="V20" i="111"/>
  <c r="U20" i="111"/>
  <c r="U36" i="111" s="1"/>
  <c r="T20" i="111"/>
  <c r="S20" i="111"/>
  <c r="AF19" i="111"/>
  <c r="AF36" i="111" s="1"/>
  <c r="AE19" i="111"/>
  <c r="AE36" i="111" s="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6" i="111" s="1"/>
  <c r="W19" i="111"/>
  <c r="W39" i="111" s="1"/>
  <c r="V19" i="111"/>
  <c r="V39" i="111" s="1"/>
  <c r="U19" i="111"/>
  <c r="U39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A15" i="111"/>
  <c r="Z15" i="111"/>
  <c r="Y15" i="111"/>
  <c r="X15" i="111"/>
  <c r="W15" i="111"/>
  <c r="V15" i="111"/>
  <c r="U15" i="111"/>
  <c r="T15" i="111"/>
  <c r="S15" i="111"/>
  <c r="AF14" i="111"/>
  <c r="AE14" i="111"/>
  <c r="AD14" i="111"/>
  <c r="AC14" i="111"/>
  <c r="AC38" i="111" s="1"/>
  <c r="AB14" i="111"/>
  <c r="AA14" i="111"/>
  <c r="Z14" i="111"/>
  <c r="Y14" i="111"/>
  <c r="Y38" i="111" s="1"/>
  <c r="X14" i="111"/>
  <c r="W14" i="111"/>
  <c r="V14" i="111"/>
  <c r="U14" i="111"/>
  <c r="U38" i="111" s="1"/>
  <c r="T14" i="111"/>
  <c r="S14" i="111"/>
  <c r="AF13" i="111"/>
  <c r="AF38" i="111" s="1"/>
  <c r="AE13" i="111"/>
  <c r="AE38" i="111" s="1"/>
  <c r="AD13" i="111"/>
  <c r="AD35" i="111" s="1"/>
  <c r="AC13" i="111"/>
  <c r="AC35" i="111" s="1"/>
  <c r="AB13" i="111"/>
  <c r="AB38" i="111" s="1"/>
  <c r="AA13" i="111"/>
  <c r="AA38" i="111" s="1"/>
  <c r="Z13" i="111"/>
  <c r="Z35" i="111" s="1"/>
  <c r="Y13" i="111"/>
  <c r="Y35" i="111" s="1"/>
  <c r="X13" i="111"/>
  <c r="X38" i="111" s="1"/>
  <c r="W13" i="111"/>
  <c r="W35" i="111" s="1"/>
  <c r="V13" i="111"/>
  <c r="V35" i="111" s="1"/>
  <c r="U13" i="111"/>
  <c r="U35" i="111" s="1"/>
  <c r="T13" i="111"/>
  <c r="T38" i="111" s="1"/>
  <c r="S13" i="111"/>
  <c r="S38" i="111" s="1"/>
  <c r="AF12" i="111"/>
  <c r="AE12" i="111"/>
  <c r="AD12" i="111"/>
  <c r="AC12" i="111"/>
  <c r="AB12" i="111"/>
  <c r="AA12" i="111"/>
  <c r="Z12" i="111"/>
  <c r="Y12" i="111"/>
  <c r="X12" i="111"/>
  <c r="W12" i="111"/>
  <c r="V12" i="111"/>
  <c r="U12" i="111"/>
  <c r="T12" i="111"/>
  <c r="S12" i="111"/>
  <c r="AF11" i="111"/>
  <c r="AE11" i="111"/>
  <c r="AD11" i="111"/>
  <c r="AC11" i="111"/>
  <c r="AB11" i="111"/>
  <c r="AA11" i="111"/>
  <c r="AA37" i="111" s="1"/>
  <c r="Z11" i="111"/>
  <c r="Y11" i="111"/>
  <c r="X11" i="111"/>
  <c r="W11" i="111"/>
  <c r="V11" i="111"/>
  <c r="U11" i="111"/>
  <c r="T11" i="111"/>
  <c r="S11" i="111"/>
  <c r="AF10" i="111"/>
  <c r="AF40" i="111" s="1"/>
  <c r="AE10" i="111"/>
  <c r="AE40" i="111" s="1"/>
  <c r="AD10" i="111"/>
  <c r="AC10" i="111"/>
  <c r="AB10" i="111"/>
  <c r="AB40" i="111" s="1"/>
  <c r="AA10" i="111"/>
  <c r="AA40" i="111" s="1"/>
  <c r="Z10" i="111"/>
  <c r="Y10" i="111"/>
  <c r="Y34" i="111" s="1"/>
  <c r="X10" i="111"/>
  <c r="X40" i="111" s="1"/>
  <c r="W10" i="111"/>
  <c r="W40" i="111" s="1"/>
  <c r="V10" i="111"/>
  <c r="U10" i="111"/>
  <c r="U40" i="111" s="1"/>
  <c r="T10" i="111"/>
  <c r="T40" i="111" s="1"/>
  <c r="S10" i="111"/>
  <c r="S40" i="111" s="1"/>
  <c r="AE41" i="111" l="1"/>
  <c r="AE42" i="111" s="1"/>
  <c r="Z41" i="111"/>
  <c r="V41" i="111"/>
  <c r="AD41" i="111"/>
  <c r="AC41" i="111"/>
  <c r="W41" i="111"/>
  <c r="W42" i="111" s="1"/>
  <c r="S41" i="111"/>
  <c r="S42" i="111" s="1"/>
  <c r="AE41" i="108"/>
  <c r="AD41" i="108"/>
  <c r="V41" i="108"/>
  <c r="Z41" i="108"/>
  <c r="AA41" i="108"/>
  <c r="AA42" i="108" s="1"/>
  <c r="AE41" i="107"/>
  <c r="V41" i="107"/>
  <c r="AD41" i="107"/>
  <c r="Z41" i="107"/>
  <c r="U41" i="107"/>
  <c r="Y41" i="107"/>
  <c r="AA41" i="107"/>
  <c r="S41" i="107"/>
  <c r="S42" i="107" s="1"/>
  <c r="AA42" i="107"/>
  <c r="AE42" i="107"/>
  <c r="AD42" i="107"/>
  <c r="U34" i="107"/>
  <c r="S35" i="107"/>
  <c r="AA35" i="107"/>
  <c r="AA37" i="107"/>
  <c r="W39" i="107"/>
  <c r="U40" i="107"/>
  <c r="AC40" i="107"/>
  <c r="V34" i="107"/>
  <c r="Z34" i="107"/>
  <c r="AD34" i="107"/>
  <c r="T35" i="107"/>
  <c r="X35" i="107"/>
  <c r="AB35" i="107"/>
  <c r="AF35" i="107"/>
  <c r="V36" i="107"/>
  <c r="Z36" i="107"/>
  <c r="AD36" i="107"/>
  <c r="T37" i="107"/>
  <c r="X37" i="107"/>
  <c r="AB37" i="107"/>
  <c r="AF37" i="107"/>
  <c r="V38" i="107"/>
  <c r="Z38" i="107"/>
  <c r="AD38" i="107"/>
  <c r="T39" i="107"/>
  <c r="X39" i="107"/>
  <c r="AB39" i="107"/>
  <c r="AF39" i="107"/>
  <c r="V40" i="107"/>
  <c r="V42" i="107" s="1"/>
  <c r="Z40" i="107"/>
  <c r="Z42" i="107" s="1"/>
  <c r="AD40" i="107"/>
  <c r="T41" i="107"/>
  <c r="T42" i="107" s="1"/>
  <c r="X41" i="107"/>
  <c r="X42" i="107" s="1"/>
  <c r="AB41" i="107"/>
  <c r="AB42" i="107" s="1"/>
  <c r="AF41" i="107"/>
  <c r="AF42" i="107" s="1"/>
  <c r="Y34" i="107"/>
  <c r="W35" i="107"/>
  <c r="S37" i="107"/>
  <c r="AE37" i="107"/>
  <c r="AA39" i="107"/>
  <c r="Y40" i="107"/>
  <c r="Y42" i="107" s="1"/>
  <c r="W41" i="107"/>
  <c r="W42" i="107" s="1"/>
  <c r="S34" i="107"/>
  <c r="W34" i="107"/>
  <c r="AA34" i="107"/>
  <c r="AE34" i="107"/>
  <c r="S36" i="107"/>
  <c r="AE36" i="107"/>
  <c r="U37" i="107"/>
  <c r="Y37" i="107"/>
  <c r="AC37" i="107"/>
  <c r="AE38" i="107"/>
  <c r="AC41" i="107"/>
  <c r="AC42" i="107" s="1"/>
  <c r="T34" i="107"/>
  <c r="X34" i="107"/>
  <c r="AB34" i="107"/>
  <c r="AF34" i="107"/>
  <c r="V37" i="107"/>
  <c r="Z37" i="107"/>
  <c r="AD37" i="107"/>
  <c r="S42" i="108"/>
  <c r="AE42" i="108"/>
  <c r="Y34" i="108"/>
  <c r="W35" i="108"/>
  <c r="AE37" i="108"/>
  <c r="W39" i="108"/>
  <c r="Y40" i="108"/>
  <c r="Y42" i="108" s="1"/>
  <c r="W41" i="108"/>
  <c r="W42" i="108" s="1"/>
  <c r="V34" i="108"/>
  <c r="Z34" i="108"/>
  <c r="AD34" i="108"/>
  <c r="T35" i="108"/>
  <c r="X35" i="108"/>
  <c r="AB35" i="108"/>
  <c r="AF35" i="108"/>
  <c r="V36" i="108"/>
  <c r="Z36" i="108"/>
  <c r="AD36" i="108"/>
  <c r="T37" i="108"/>
  <c r="X37" i="108"/>
  <c r="AB37" i="108"/>
  <c r="AF37" i="108"/>
  <c r="V38" i="108"/>
  <c r="Z38" i="108"/>
  <c r="AD38" i="108"/>
  <c r="T39" i="108"/>
  <c r="X39" i="108"/>
  <c r="AB39" i="108"/>
  <c r="AF39" i="108"/>
  <c r="V40" i="108"/>
  <c r="V42" i="108" s="1"/>
  <c r="Z40" i="108"/>
  <c r="Z42" i="108" s="1"/>
  <c r="AD40" i="108"/>
  <c r="AD42" i="108" s="1"/>
  <c r="T41" i="108"/>
  <c r="T42" i="108" s="1"/>
  <c r="X41" i="108"/>
  <c r="X42" i="108" s="1"/>
  <c r="AB41" i="108"/>
  <c r="AB42" i="108" s="1"/>
  <c r="AF41" i="108"/>
  <c r="AF42" i="108" s="1"/>
  <c r="U34" i="108"/>
  <c r="S35" i="108"/>
  <c r="AA35" i="108"/>
  <c r="S37" i="108"/>
  <c r="AA37" i="108"/>
  <c r="S39" i="108"/>
  <c r="AE39" i="108"/>
  <c r="AC40" i="108"/>
  <c r="S34" i="108"/>
  <c r="W34" i="108"/>
  <c r="AA34" i="108"/>
  <c r="AE34" i="108"/>
  <c r="AA36" i="108"/>
  <c r="U37" i="108"/>
  <c r="Y37" i="108"/>
  <c r="AC37" i="108"/>
  <c r="AE38" i="108"/>
  <c r="U41" i="108"/>
  <c r="U42" i="108" s="1"/>
  <c r="AC41" i="108"/>
  <c r="AC42" i="108" s="1"/>
  <c r="T34" i="108"/>
  <c r="X34" i="108"/>
  <c r="AB34" i="108"/>
  <c r="AF34" i="108"/>
  <c r="V37" i="108"/>
  <c r="Z37" i="108"/>
  <c r="AD37" i="108"/>
  <c r="U34" i="111"/>
  <c r="AC34" i="111"/>
  <c r="AA35" i="111"/>
  <c r="S37" i="111"/>
  <c r="AE37" i="111"/>
  <c r="AA39" i="111"/>
  <c r="Y40" i="111"/>
  <c r="AA41" i="111"/>
  <c r="AA42" i="111" s="1"/>
  <c r="V34" i="111"/>
  <c r="Z34" i="111"/>
  <c r="AD34" i="111"/>
  <c r="T35" i="111"/>
  <c r="X35" i="111"/>
  <c r="AB35" i="111"/>
  <c r="AF35" i="111"/>
  <c r="V36" i="111"/>
  <c r="Z36" i="111"/>
  <c r="AD36" i="111"/>
  <c r="T37" i="111"/>
  <c r="X37" i="111"/>
  <c r="AB37" i="111"/>
  <c r="AF37" i="111"/>
  <c r="V38" i="111"/>
  <c r="Z38" i="111"/>
  <c r="AD38" i="111"/>
  <c r="T39" i="111"/>
  <c r="X39" i="111"/>
  <c r="AB39" i="111"/>
  <c r="AF39" i="111"/>
  <c r="V40" i="111"/>
  <c r="V42" i="111" s="1"/>
  <c r="Z40" i="111"/>
  <c r="Z42" i="111" s="1"/>
  <c r="AD40" i="111"/>
  <c r="AD42" i="111" s="1"/>
  <c r="T41" i="111"/>
  <c r="T42" i="111" s="1"/>
  <c r="X41" i="111"/>
  <c r="X42" i="111" s="1"/>
  <c r="AB41" i="111"/>
  <c r="AB42" i="111" s="1"/>
  <c r="AF41" i="111"/>
  <c r="AF42" i="111" s="1"/>
  <c r="S35" i="111"/>
  <c r="AE35" i="111"/>
  <c r="W37" i="111"/>
  <c r="S39" i="111"/>
  <c r="AE39" i="111"/>
  <c r="AC40" i="111"/>
  <c r="S34" i="111"/>
  <c r="W34" i="111"/>
  <c r="AA34" i="111"/>
  <c r="AE34" i="111"/>
  <c r="W36" i="111"/>
  <c r="U37" i="111"/>
  <c r="Y37" i="111"/>
  <c r="AC37" i="111"/>
  <c r="W38" i="111"/>
  <c r="U41" i="111"/>
  <c r="U42" i="111" s="1"/>
  <c r="Y41" i="111"/>
  <c r="Y42" i="111" s="1"/>
  <c r="T34" i="111"/>
  <c r="X34" i="111"/>
  <c r="AB34" i="111"/>
  <c r="AF34" i="111"/>
  <c r="V37" i="111"/>
  <c r="Z37" i="111"/>
  <c r="AD37" i="111"/>
  <c r="C3" i="111"/>
  <c r="G5" i="108"/>
  <c r="K6" i="108"/>
  <c r="G6" i="108"/>
  <c r="D6" i="108"/>
  <c r="C3" i="108"/>
  <c r="G6" i="107"/>
  <c r="D6" i="107"/>
  <c r="K6" i="107"/>
  <c r="G5" i="107"/>
  <c r="C3" i="107"/>
  <c r="AC42" i="111" l="1"/>
  <c r="U42" i="107"/>
  <c r="N57" i="108"/>
  <c r="M57" i="108"/>
  <c r="L57" i="108"/>
  <c r="K57" i="108"/>
  <c r="J57" i="108"/>
  <c r="I57" i="108"/>
  <c r="H57" i="108"/>
  <c r="G57" i="108"/>
  <c r="F57" i="108"/>
  <c r="E57" i="108"/>
  <c r="D57" i="108"/>
  <c r="C57" i="108"/>
  <c r="N56" i="108"/>
  <c r="M56" i="108"/>
  <c r="L56" i="108"/>
  <c r="K56" i="108"/>
  <c r="J56" i="108"/>
  <c r="I56" i="108"/>
  <c r="H56" i="108"/>
  <c r="G56" i="108"/>
  <c r="F56" i="108"/>
  <c r="E56" i="108"/>
  <c r="D56" i="108"/>
  <c r="C56" i="108"/>
  <c r="N55" i="108"/>
  <c r="M55" i="108"/>
  <c r="L55" i="108"/>
  <c r="K55" i="108"/>
  <c r="J55" i="108"/>
  <c r="I55" i="108"/>
  <c r="H55" i="108"/>
  <c r="G55" i="108"/>
  <c r="F55" i="108"/>
  <c r="E55" i="108"/>
  <c r="D55" i="108"/>
  <c r="C55" i="108"/>
  <c r="N54" i="108"/>
  <c r="M54" i="108"/>
  <c r="L54" i="108"/>
  <c r="K54" i="108"/>
  <c r="J54" i="108"/>
  <c r="I54" i="108"/>
  <c r="H54" i="108"/>
  <c r="G54" i="108"/>
  <c r="F54" i="108"/>
  <c r="E54" i="108"/>
  <c r="D54" i="108"/>
  <c r="C54" i="108"/>
  <c r="N53" i="108"/>
  <c r="M53" i="108"/>
  <c r="L53" i="108"/>
  <c r="K53" i="108"/>
  <c r="J53" i="108"/>
  <c r="I53" i="108"/>
  <c r="H53" i="108"/>
  <c r="G53" i="108"/>
  <c r="F53" i="108"/>
  <c r="E53" i="108"/>
  <c r="D53" i="108"/>
  <c r="C53" i="108"/>
  <c r="N52" i="108"/>
  <c r="M52" i="108"/>
  <c r="L52" i="108"/>
  <c r="K52" i="108"/>
  <c r="J52" i="108"/>
  <c r="I52" i="108"/>
  <c r="H52" i="108"/>
  <c r="G52" i="108"/>
  <c r="F52" i="108"/>
  <c r="E52" i="108"/>
  <c r="D52" i="108"/>
  <c r="C52" i="108"/>
  <c r="N51" i="108"/>
  <c r="M51" i="108"/>
  <c r="L51" i="108"/>
  <c r="K51" i="108"/>
  <c r="J51" i="108"/>
  <c r="I51" i="108"/>
  <c r="H51" i="108"/>
  <c r="G51" i="108"/>
  <c r="F51" i="108"/>
  <c r="E51" i="108"/>
  <c r="D51" i="108"/>
  <c r="C51" i="108"/>
  <c r="N50" i="108"/>
  <c r="M50" i="108"/>
  <c r="L50" i="108"/>
  <c r="K50" i="108"/>
  <c r="J50" i="108"/>
  <c r="I50" i="108"/>
  <c r="H50" i="108"/>
  <c r="G50" i="108"/>
  <c r="F50" i="108"/>
  <c r="E50" i="108"/>
  <c r="D50" i="108"/>
  <c r="C50" i="108"/>
  <c r="N49" i="108"/>
  <c r="M49" i="108"/>
  <c r="L49" i="108"/>
  <c r="K49" i="108"/>
  <c r="J49" i="108"/>
  <c r="I49" i="108"/>
  <c r="H49" i="108"/>
  <c r="G49" i="108"/>
  <c r="F49" i="108"/>
  <c r="E49" i="108"/>
  <c r="D49" i="108"/>
  <c r="C49" i="108"/>
  <c r="N48" i="108"/>
  <c r="M48" i="108"/>
  <c r="L48" i="108"/>
  <c r="K48" i="108"/>
  <c r="J48" i="108"/>
  <c r="I48" i="108"/>
  <c r="H48" i="108"/>
  <c r="G48" i="108"/>
  <c r="F48" i="108"/>
  <c r="E48" i="108"/>
  <c r="D48" i="108"/>
  <c r="C48" i="108"/>
  <c r="N47" i="108"/>
  <c r="M47" i="108"/>
  <c r="L47" i="108"/>
  <c r="K47" i="108"/>
  <c r="J47" i="108"/>
  <c r="I47" i="108"/>
  <c r="H47" i="108"/>
  <c r="G47" i="108"/>
  <c r="F47" i="108"/>
  <c r="E47" i="108"/>
  <c r="D47" i="108"/>
  <c r="C47" i="108"/>
  <c r="N46" i="108"/>
  <c r="M46" i="108"/>
  <c r="L46" i="108"/>
  <c r="K46" i="108"/>
  <c r="J46" i="108"/>
  <c r="I46" i="108"/>
  <c r="H46" i="108"/>
  <c r="G46" i="108"/>
  <c r="F46" i="108"/>
  <c r="E46" i="108"/>
  <c r="D46" i="108"/>
  <c r="C46" i="108"/>
  <c r="N45" i="108"/>
  <c r="M45" i="108"/>
  <c r="L45" i="108"/>
  <c r="K45" i="108"/>
  <c r="J45" i="108"/>
  <c r="I45" i="108"/>
  <c r="H45" i="108"/>
  <c r="G45" i="108"/>
  <c r="F45" i="108"/>
  <c r="E45" i="108"/>
  <c r="D45" i="108"/>
  <c r="C45" i="108"/>
  <c r="N44" i="108"/>
  <c r="M44" i="108"/>
  <c r="L44" i="108"/>
  <c r="K44" i="108"/>
  <c r="J44" i="108"/>
  <c r="I44" i="108"/>
  <c r="H44" i="108"/>
  <c r="G44" i="108"/>
  <c r="F44" i="108"/>
  <c r="E44" i="108"/>
  <c r="D44" i="108"/>
  <c r="C44" i="108"/>
  <c r="N43" i="108"/>
  <c r="M43" i="108"/>
  <c r="L43" i="108"/>
  <c r="K43" i="108"/>
  <c r="J43" i="108"/>
  <c r="I43" i="108"/>
  <c r="H43" i="108"/>
  <c r="G43" i="108"/>
  <c r="F43" i="108"/>
  <c r="E43" i="108"/>
  <c r="D43" i="108"/>
  <c r="C43" i="108"/>
  <c r="N42" i="108"/>
  <c r="M42" i="108"/>
  <c r="L42" i="108"/>
  <c r="K42" i="108"/>
  <c r="J42" i="108"/>
  <c r="I42" i="108"/>
  <c r="H42" i="108"/>
  <c r="G42" i="108"/>
  <c r="F42" i="108"/>
  <c r="E42" i="108"/>
  <c r="D42" i="108"/>
  <c r="C42" i="108"/>
  <c r="N41" i="108"/>
  <c r="M41" i="108"/>
  <c r="L41" i="108"/>
  <c r="K41" i="108"/>
  <c r="J41" i="108"/>
  <c r="I41" i="108"/>
  <c r="H41" i="108"/>
  <c r="G41" i="108"/>
  <c r="F41" i="108"/>
  <c r="E41" i="108"/>
  <c r="D41" i="108"/>
  <c r="C41" i="108"/>
  <c r="N40" i="108"/>
  <c r="M40" i="108"/>
  <c r="L40" i="108"/>
  <c r="K40" i="108"/>
  <c r="J40" i="108"/>
  <c r="I40" i="108"/>
  <c r="H40" i="108"/>
  <c r="G40" i="108"/>
  <c r="F40" i="108"/>
  <c r="E40" i="108"/>
  <c r="D40" i="108"/>
  <c r="C40" i="108"/>
  <c r="N39" i="108"/>
  <c r="M39" i="108"/>
  <c r="L39" i="108"/>
  <c r="K39" i="108"/>
  <c r="J39" i="108"/>
  <c r="I39" i="108"/>
  <c r="H39" i="108"/>
  <c r="G39" i="108"/>
  <c r="F39" i="108"/>
  <c r="E39" i="108"/>
  <c r="D39" i="108"/>
  <c r="C39" i="108"/>
  <c r="N38" i="108"/>
  <c r="M38" i="108"/>
  <c r="L38" i="108"/>
  <c r="K38" i="108"/>
  <c r="J38" i="108"/>
  <c r="I38" i="108"/>
  <c r="H38" i="108"/>
  <c r="G38" i="108"/>
  <c r="F38" i="108"/>
  <c r="E38" i="108"/>
  <c r="D38" i="108"/>
  <c r="C38" i="108"/>
  <c r="N37" i="108"/>
  <c r="M37" i="108"/>
  <c r="L37" i="108"/>
  <c r="K37" i="108"/>
  <c r="J37" i="108"/>
  <c r="I37" i="108"/>
  <c r="H37" i="108"/>
  <c r="G37" i="108"/>
  <c r="F37" i="108"/>
  <c r="E37" i="108"/>
  <c r="D37" i="108"/>
  <c r="C37" i="108"/>
  <c r="N36" i="108"/>
  <c r="M36" i="108"/>
  <c r="L36" i="108"/>
  <c r="K36" i="108"/>
  <c r="J36" i="108"/>
  <c r="I36" i="108"/>
  <c r="H36" i="108"/>
  <c r="G36" i="108"/>
  <c r="F36" i="108"/>
  <c r="E36" i="108"/>
  <c r="D36" i="108"/>
  <c r="C36" i="108"/>
  <c r="N35" i="108"/>
  <c r="M35" i="108"/>
  <c r="L35" i="108"/>
  <c r="K35" i="108"/>
  <c r="J35" i="108"/>
  <c r="I35" i="108"/>
  <c r="H35" i="108"/>
  <c r="G35" i="108"/>
  <c r="F35" i="108"/>
  <c r="E35" i="108"/>
  <c r="D35" i="108"/>
  <c r="C35" i="108"/>
  <c r="N34" i="108"/>
  <c r="M34" i="108"/>
  <c r="L34" i="108"/>
  <c r="K34" i="108"/>
  <c r="J34" i="108"/>
  <c r="I34" i="108"/>
  <c r="H34" i="108"/>
  <c r="G34" i="108"/>
  <c r="F34" i="108"/>
  <c r="E34" i="108"/>
  <c r="D34" i="108"/>
  <c r="C34" i="108"/>
  <c r="N33" i="108"/>
  <c r="M33" i="108"/>
  <c r="L33" i="108"/>
  <c r="K33" i="108"/>
  <c r="J33" i="108"/>
  <c r="I33" i="108"/>
  <c r="H33" i="108"/>
  <c r="G33" i="108"/>
  <c r="F33" i="108"/>
  <c r="E33" i="108"/>
  <c r="D33" i="108"/>
  <c r="C33" i="108"/>
  <c r="N32" i="108"/>
  <c r="M32" i="108"/>
  <c r="L32" i="108"/>
  <c r="K32" i="108"/>
  <c r="J32" i="108"/>
  <c r="I32" i="108"/>
  <c r="H32" i="108"/>
  <c r="G32" i="108"/>
  <c r="F32" i="108"/>
  <c r="E32" i="108"/>
  <c r="D32" i="108"/>
  <c r="C32" i="108"/>
  <c r="N31" i="108"/>
  <c r="M31" i="108"/>
  <c r="L31" i="108"/>
  <c r="K31" i="108"/>
  <c r="J31" i="108"/>
  <c r="I31" i="108"/>
  <c r="H31" i="108"/>
  <c r="G31" i="108"/>
  <c r="F31" i="108"/>
  <c r="E31" i="108"/>
  <c r="D31" i="108"/>
  <c r="C31" i="108"/>
  <c r="N30" i="108"/>
  <c r="M30" i="108"/>
  <c r="L30" i="108"/>
  <c r="K30" i="108"/>
  <c r="J30" i="108"/>
  <c r="I30" i="108"/>
  <c r="H30" i="108"/>
  <c r="G30" i="108"/>
  <c r="F30" i="108"/>
  <c r="E30" i="108"/>
  <c r="D30" i="108"/>
  <c r="C30" i="108"/>
  <c r="N29" i="108"/>
  <c r="M29" i="108"/>
  <c r="L29" i="108"/>
  <c r="K29" i="108"/>
  <c r="J29" i="108"/>
  <c r="I29" i="108"/>
  <c r="H29" i="108"/>
  <c r="G29" i="108"/>
  <c r="F29" i="108"/>
  <c r="E29" i="108"/>
  <c r="D29" i="108"/>
  <c r="C29" i="108"/>
  <c r="N28" i="108"/>
  <c r="M28" i="108"/>
  <c r="L28" i="108"/>
  <c r="K28" i="108"/>
  <c r="J28" i="108"/>
  <c r="I28" i="108"/>
  <c r="H28" i="108"/>
  <c r="G28" i="108"/>
  <c r="F28" i="108"/>
  <c r="E28" i="108"/>
  <c r="D28" i="108"/>
  <c r="C28" i="108"/>
  <c r="N27" i="108"/>
  <c r="M27" i="108"/>
  <c r="L27" i="108"/>
  <c r="K27" i="108"/>
  <c r="J27" i="108"/>
  <c r="I27" i="108"/>
  <c r="H27" i="108"/>
  <c r="G27" i="108"/>
  <c r="F27" i="108"/>
  <c r="E27" i="108"/>
  <c r="D27" i="108"/>
  <c r="C27" i="108"/>
  <c r="N26" i="108"/>
  <c r="M26" i="108"/>
  <c r="L26" i="108"/>
  <c r="K26" i="108"/>
  <c r="J26" i="108"/>
  <c r="I26" i="108"/>
  <c r="H26" i="108"/>
  <c r="G26" i="108"/>
  <c r="F26" i="108"/>
  <c r="E26" i="108"/>
  <c r="D26" i="108"/>
  <c r="C26" i="108"/>
  <c r="N25" i="108"/>
  <c r="M25" i="108"/>
  <c r="L25" i="108"/>
  <c r="K25" i="108"/>
  <c r="J25" i="108"/>
  <c r="I25" i="108"/>
  <c r="H25" i="108"/>
  <c r="G25" i="108"/>
  <c r="F25" i="108"/>
  <c r="E25" i="108"/>
  <c r="D25" i="108"/>
  <c r="C25" i="108"/>
  <c r="N24" i="108"/>
  <c r="M24" i="108"/>
  <c r="L24" i="108"/>
  <c r="K24" i="108"/>
  <c r="J24" i="108"/>
  <c r="I24" i="108"/>
  <c r="H24" i="108"/>
  <c r="G24" i="108"/>
  <c r="F24" i="108"/>
  <c r="E24" i="108"/>
  <c r="D24" i="108"/>
  <c r="C24" i="108"/>
  <c r="N23" i="108"/>
  <c r="M23" i="108"/>
  <c r="L23" i="108"/>
  <c r="K23" i="108"/>
  <c r="J23" i="108"/>
  <c r="I23" i="108"/>
  <c r="H23" i="108"/>
  <c r="G23" i="108"/>
  <c r="F23" i="108"/>
  <c r="E23" i="108"/>
  <c r="D23" i="108"/>
  <c r="C23" i="108"/>
  <c r="N22" i="108"/>
  <c r="M22" i="108"/>
  <c r="L22" i="108"/>
  <c r="K22" i="108"/>
  <c r="J22" i="108"/>
  <c r="I22" i="108"/>
  <c r="H22" i="108"/>
  <c r="G22" i="108"/>
  <c r="F22" i="108"/>
  <c r="E22" i="108"/>
  <c r="D22" i="108"/>
  <c r="C22" i="108"/>
  <c r="N21" i="108"/>
  <c r="M21" i="108"/>
  <c r="L21" i="108"/>
  <c r="K21" i="108"/>
  <c r="J21" i="108"/>
  <c r="I21" i="108"/>
  <c r="H21" i="108"/>
  <c r="G21" i="108"/>
  <c r="F21" i="108"/>
  <c r="E21" i="108"/>
  <c r="D21" i="108"/>
  <c r="C21" i="108"/>
  <c r="N20" i="108"/>
  <c r="M20" i="108"/>
  <c r="L20" i="108"/>
  <c r="K20" i="108"/>
  <c r="J20" i="108"/>
  <c r="I20" i="108"/>
  <c r="H20" i="108"/>
  <c r="G20" i="108"/>
  <c r="F20" i="108"/>
  <c r="E20" i="108"/>
  <c r="D20" i="108"/>
  <c r="C20" i="108"/>
  <c r="N19" i="108"/>
  <c r="M19" i="108"/>
  <c r="L19" i="108"/>
  <c r="K19" i="108"/>
  <c r="J19" i="108"/>
  <c r="I19" i="108"/>
  <c r="H19" i="108"/>
  <c r="G19" i="108"/>
  <c r="F19" i="108"/>
  <c r="E19" i="108"/>
  <c r="D19" i="108"/>
  <c r="C19" i="108"/>
  <c r="N18" i="108"/>
  <c r="M18" i="108"/>
  <c r="L18" i="108"/>
  <c r="K18" i="108"/>
  <c r="J18" i="108"/>
  <c r="I18" i="108"/>
  <c r="H18" i="108"/>
  <c r="G18" i="108"/>
  <c r="F18" i="108"/>
  <c r="E18" i="108"/>
  <c r="D18" i="108"/>
  <c r="C18" i="108"/>
  <c r="N17" i="108"/>
  <c r="M17" i="108"/>
  <c r="L17" i="108"/>
  <c r="K17" i="108"/>
  <c r="J17" i="108"/>
  <c r="I17" i="108"/>
  <c r="H17" i="108"/>
  <c r="G17" i="108"/>
  <c r="F17" i="108"/>
  <c r="E17" i="108"/>
  <c r="D17" i="108"/>
  <c r="C17" i="108"/>
  <c r="N16" i="108"/>
  <c r="M16" i="108"/>
  <c r="L16" i="108"/>
  <c r="K16" i="108"/>
  <c r="J16" i="108"/>
  <c r="I16" i="108"/>
  <c r="H16" i="108"/>
  <c r="G16" i="108"/>
  <c r="F16" i="108"/>
  <c r="E16" i="108"/>
  <c r="D16" i="108"/>
  <c r="C16" i="108"/>
  <c r="N15" i="108"/>
  <c r="M15" i="108"/>
  <c r="L15" i="108"/>
  <c r="K15" i="108"/>
  <c r="J15" i="108"/>
  <c r="I15" i="108"/>
  <c r="H15" i="108"/>
  <c r="G15" i="108"/>
  <c r="F15" i="108"/>
  <c r="E15" i="108"/>
  <c r="D15" i="108"/>
  <c r="C15" i="108"/>
  <c r="N14" i="108"/>
  <c r="M14" i="108"/>
  <c r="L14" i="108"/>
  <c r="K14" i="108"/>
  <c r="J14" i="108"/>
  <c r="I14" i="108"/>
  <c r="H14" i="108"/>
  <c r="G14" i="108"/>
  <c r="F14" i="108"/>
  <c r="E14" i="108"/>
  <c r="D14" i="108"/>
  <c r="C14" i="108"/>
  <c r="N13" i="108"/>
  <c r="M13" i="108"/>
  <c r="L13" i="108"/>
  <c r="K13" i="108"/>
  <c r="J13" i="108"/>
  <c r="I13" i="108"/>
  <c r="H13" i="108"/>
  <c r="G13" i="108"/>
  <c r="F13" i="108"/>
  <c r="E13" i="108"/>
  <c r="D13" i="108"/>
  <c r="C13" i="108"/>
  <c r="N12" i="108"/>
  <c r="M12" i="108"/>
  <c r="L12" i="108"/>
  <c r="K12" i="108"/>
  <c r="J12" i="108"/>
  <c r="I12" i="108"/>
  <c r="H12" i="108"/>
  <c r="G12" i="108"/>
  <c r="F12" i="108"/>
  <c r="E12" i="108"/>
  <c r="D12" i="108"/>
  <c r="C12" i="108"/>
  <c r="N11" i="108"/>
  <c r="M11" i="108"/>
  <c r="L11" i="108"/>
  <c r="K11" i="108"/>
  <c r="J11" i="108"/>
  <c r="I11" i="108"/>
  <c r="H11" i="108"/>
  <c r="G11" i="108"/>
  <c r="F11" i="108"/>
  <c r="E11" i="108"/>
  <c r="D11" i="108"/>
  <c r="C11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D11" i="107"/>
  <c r="E11" i="107"/>
  <c r="E11" i="111" s="1"/>
  <c r="F11" i="107"/>
  <c r="F11" i="111" s="1"/>
  <c r="G11" i="107"/>
  <c r="H11" i="107"/>
  <c r="I11" i="107"/>
  <c r="I11" i="111" s="1"/>
  <c r="J11" i="107"/>
  <c r="J11" i="111" s="1"/>
  <c r="K11" i="107"/>
  <c r="L11" i="107"/>
  <c r="M11" i="107"/>
  <c r="M11" i="111" s="1"/>
  <c r="N11" i="107"/>
  <c r="N11" i="111" s="1"/>
  <c r="C12" i="107"/>
  <c r="D12" i="107"/>
  <c r="E12" i="107"/>
  <c r="E12" i="111" s="1"/>
  <c r="F12" i="107"/>
  <c r="F12" i="111" s="1"/>
  <c r="G12" i="107"/>
  <c r="H12" i="107"/>
  <c r="I12" i="107"/>
  <c r="I12" i="111" s="1"/>
  <c r="J12" i="107"/>
  <c r="J12" i="111" s="1"/>
  <c r="K12" i="107"/>
  <c r="L12" i="107"/>
  <c r="M12" i="107"/>
  <c r="M12" i="111" s="1"/>
  <c r="N12" i="107"/>
  <c r="N12" i="111" s="1"/>
  <c r="C13" i="107"/>
  <c r="D13" i="107"/>
  <c r="E13" i="107"/>
  <c r="E13" i="111" s="1"/>
  <c r="F13" i="107"/>
  <c r="F13" i="111" s="1"/>
  <c r="G13" i="107"/>
  <c r="H13" i="107"/>
  <c r="I13" i="107"/>
  <c r="I13" i="111" s="1"/>
  <c r="J13" i="107"/>
  <c r="J13" i="111" s="1"/>
  <c r="K13" i="107"/>
  <c r="L13" i="107"/>
  <c r="M13" i="107"/>
  <c r="M13" i="111" s="1"/>
  <c r="N13" i="107"/>
  <c r="N13" i="111" s="1"/>
  <c r="C14" i="107"/>
  <c r="D14" i="107"/>
  <c r="E14" i="107"/>
  <c r="E14" i="111" s="1"/>
  <c r="F14" i="107"/>
  <c r="F14" i="111" s="1"/>
  <c r="G14" i="107"/>
  <c r="H14" i="107"/>
  <c r="I14" i="107"/>
  <c r="I14" i="111" s="1"/>
  <c r="J14" i="107"/>
  <c r="J14" i="111" s="1"/>
  <c r="K14" i="107"/>
  <c r="L14" i="107"/>
  <c r="M14" i="107"/>
  <c r="M14" i="111" s="1"/>
  <c r="N14" i="107"/>
  <c r="N14" i="111" s="1"/>
  <c r="C15" i="107"/>
  <c r="D15" i="107"/>
  <c r="E15" i="107"/>
  <c r="E15" i="111" s="1"/>
  <c r="F15" i="107"/>
  <c r="F15" i="111" s="1"/>
  <c r="G15" i="107"/>
  <c r="H15" i="107"/>
  <c r="I15" i="107"/>
  <c r="I15" i="111" s="1"/>
  <c r="J15" i="107"/>
  <c r="J15" i="111" s="1"/>
  <c r="K15" i="107"/>
  <c r="L15" i="107"/>
  <c r="M15" i="107"/>
  <c r="M15" i="111" s="1"/>
  <c r="N15" i="107"/>
  <c r="N15" i="111" s="1"/>
  <c r="C16" i="107"/>
  <c r="D16" i="107"/>
  <c r="E16" i="107"/>
  <c r="E16" i="111" s="1"/>
  <c r="F16" i="107"/>
  <c r="F16" i="111" s="1"/>
  <c r="G16" i="107"/>
  <c r="H16" i="107"/>
  <c r="I16" i="107"/>
  <c r="I16" i="111" s="1"/>
  <c r="J16" i="107"/>
  <c r="J16" i="111" s="1"/>
  <c r="K16" i="107"/>
  <c r="L16" i="107"/>
  <c r="M16" i="107"/>
  <c r="M16" i="111" s="1"/>
  <c r="N16" i="107"/>
  <c r="N16" i="111" s="1"/>
  <c r="C17" i="107"/>
  <c r="D17" i="107"/>
  <c r="E17" i="107"/>
  <c r="E17" i="111" s="1"/>
  <c r="F17" i="107"/>
  <c r="F17" i="111" s="1"/>
  <c r="G17" i="107"/>
  <c r="H17" i="107"/>
  <c r="I17" i="107"/>
  <c r="I17" i="111" s="1"/>
  <c r="J17" i="107"/>
  <c r="J17" i="111" s="1"/>
  <c r="K17" i="107"/>
  <c r="L17" i="107"/>
  <c r="M17" i="107"/>
  <c r="M17" i="111" s="1"/>
  <c r="N17" i="107"/>
  <c r="N17" i="111" s="1"/>
  <c r="C18" i="107"/>
  <c r="D18" i="107"/>
  <c r="E18" i="107"/>
  <c r="E18" i="111" s="1"/>
  <c r="F18" i="107"/>
  <c r="F18" i="111" s="1"/>
  <c r="G18" i="107"/>
  <c r="H18" i="107"/>
  <c r="I18" i="107"/>
  <c r="I18" i="111" s="1"/>
  <c r="J18" i="107"/>
  <c r="J18" i="111" s="1"/>
  <c r="K18" i="107"/>
  <c r="L18" i="107"/>
  <c r="M18" i="107"/>
  <c r="M18" i="111" s="1"/>
  <c r="N18" i="107"/>
  <c r="N18" i="111" s="1"/>
  <c r="C19" i="107"/>
  <c r="D19" i="107"/>
  <c r="E19" i="107"/>
  <c r="E19" i="111" s="1"/>
  <c r="F19" i="107"/>
  <c r="F19" i="111" s="1"/>
  <c r="G19" i="107"/>
  <c r="H19" i="107"/>
  <c r="I19" i="107"/>
  <c r="I19" i="111" s="1"/>
  <c r="J19" i="107"/>
  <c r="J19" i="111" s="1"/>
  <c r="K19" i="107"/>
  <c r="L19" i="107"/>
  <c r="M19" i="107"/>
  <c r="M19" i="111" s="1"/>
  <c r="N19" i="107"/>
  <c r="N19" i="111" s="1"/>
  <c r="C20" i="107"/>
  <c r="D20" i="107"/>
  <c r="E20" i="107"/>
  <c r="E20" i="111" s="1"/>
  <c r="F20" i="107"/>
  <c r="F20" i="111" s="1"/>
  <c r="G20" i="107"/>
  <c r="H20" i="107"/>
  <c r="I20" i="107"/>
  <c r="I20" i="111" s="1"/>
  <c r="J20" i="107"/>
  <c r="J20" i="111" s="1"/>
  <c r="K20" i="107"/>
  <c r="L20" i="107"/>
  <c r="M20" i="107"/>
  <c r="M20" i="111" s="1"/>
  <c r="N20" i="107"/>
  <c r="N20" i="111" s="1"/>
  <c r="C21" i="107"/>
  <c r="D21" i="107"/>
  <c r="E21" i="107"/>
  <c r="E21" i="111" s="1"/>
  <c r="F21" i="107"/>
  <c r="F21" i="111" s="1"/>
  <c r="G21" i="107"/>
  <c r="H21" i="107"/>
  <c r="I21" i="107"/>
  <c r="I21" i="111" s="1"/>
  <c r="J21" i="107"/>
  <c r="J21" i="111" s="1"/>
  <c r="K21" i="107"/>
  <c r="L21" i="107"/>
  <c r="M21" i="107"/>
  <c r="M21" i="111" s="1"/>
  <c r="N21" i="107"/>
  <c r="N21" i="111" s="1"/>
  <c r="C22" i="107"/>
  <c r="D22" i="107"/>
  <c r="E22" i="107"/>
  <c r="E22" i="111" s="1"/>
  <c r="F22" i="107"/>
  <c r="F22" i="111" s="1"/>
  <c r="G22" i="107"/>
  <c r="H22" i="107"/>
  <c r="I22" i="107"/>
  <c r="I22" i="111" s="1"/>
  <c r="J22" i="107"/>
  <c r="J22" i="111" s="1"/>
  <c r="K22" i="107"/>
  <c r="L22" i="107"/>
  <c r="M22" i="107"/>
  <c r="M22" i="111" s="1"/>
  <c r="N22" i="107"/>
  <c r="N22" i="111" s="1"/>
  <c r="C23" i="107"/>
  <c r="D23" i="107"/>
  <c r="E23" i="107"/>
  <c r="E23" i="111" s="1"/>
  <c r="F23" i="107"/>
  <c r="F23" i="111" s="1"/>
  <c r="G23" i="107"/>
  <c r="H23" i="107"/>
  <c r="I23" i="107"/>
  <c r="I23" i="111" s="1"/>
  <c r="J23" i="107"/>
  <c r="J23" i="111" s="1"/>
  <c r="K23" i="107"/>
  <c r="L23" i="107"/>
  <c r="M23" i="107"/>
  <c r="M23" i="111" s="1"/>
  <c r="N23" i="107"/>
  <c r="N23" i="111" s="1"/>
  <c r="C24" i="107"/>
  <c r="D24" i="107"/>
  <c r="E24" i="107"/>
  <c r="E24" i="111" s="1"/>
  <c r="F24" i="107"/>
  <c r="F24" i="111" s="1"/>
  <c r="G24" i="107"/>
  <c r="H24" i="107"/>
  <c r="I24" i="107"/>
  <c r="I24" i="111" s="1"/>
  <c r="J24" i="107"/>
  <c r="J24" i="111" s="1"/>
  <c r="K24" i="107"/>
  <c r="L24" i="107"/>
  <c r="M24" i="107"/>
  <c r="M24" i="111" s="1"/>
  <c r="N24" i="107"/>
  <c r="N24" i="111" s="1"/>
  <c r="C25" i="107"/>
  <c r="D25" i="107"/>
  <c r="E25" i="107"/>
  <c r="E25" i="111" s="1"/>
  <c r="F25" i="107"/>
  <c r="F25" i="111" s="1"/>
  <c r="G25" i="107"/>
  <c r="H25" i="107"/>
  <c r="I25" i="107"/>
  <c r="I25" i="111" s="1"/>
  <c r="J25" i="107"/>
  <c r="J25" i="111" s="1"/>
  <c r="K25" i="107"/>
  <c r="L25" i="107"/>
  <c r="M25" i="107"/>
  <c r="M25" i="111" s="1"/>
  <c r="N25" i="107"/>
  <c r="N25" i="111" s="1"/>
  <c r="C26" i="107"/>
  <c r="D26" i="107"/>
  <c r="E26" i="107"/>
  <c r="E26" i="111" s="1"/>
  <c r="F26" i="107"/>
  <c r="F26" i="111" s="1"/>
  <c r="G26" i="107"/>
  <c r="H26" i="107"/>
  <c r="I26" i="107"/>
  <c r="I26" i="111" s="1"/>
  <c r="J26" i="107"/>
  <c r="J26" i="111" s="1"/>
  <c r="K26" i="107"/>
  <c r="L26" i="107"/>
  <c r="M26" i="107"/>
  <c r="M26" i="111" s="1"/>
  <c r="N26" i="107"/>
  <c r="N26" i="111" s="1"/>
  <c r="C27" i="107"/>
  <c r="D27" i="107"/>
  <c r="E27" i="107"/>
  <c r="E27" i="111" s="1"/>
  <c r="F27" i="107"/>
  <c r="F27" i="111" s="1"/>
  <c r="G27" i="107"/>
  <c r="H27" i="107"/>
  <c r="I27" i="107"/>
  <c r="I27" i="111" s="1"/>
  <c r="J27" i="107"/>
  <c r="J27" i="111" s="1"/>
  <c r="K27" i="107"/>
  <c r="L27" i="107"/>
  <c r="M27" i="107"/>
  <c r="M27" i="111" s="1"/>
  <c r="N27" i="107"/>
  <c r="N27" i="111" s="1"/>
  <c r="C28" i="107"/>
  <c r="D28" i="107"/>
  <c r="E28" i="107"/>
  <c r="E28" i="111" s="1"/>
  <c r="F28" i="107"/>
  <c r="F28" i="111" s="1"/>
  <c r="G28" i="107"/>
  <c r="H28" i="107"/>
  <c r="I28" i="107"/>
  <c r="I28" i="111" s="1"/>
  <c r="J28" i="107"/>
  <c r="J28" i="111" s="1"/>
  <c r="K28" i="107"/>
  <c r="L28" i="107"/>
  <c r="M28" i="107"/>
  <c r="M28" i="111" s="1"/>
  <c r="N28" i="107"/>
  <c r="N28" i="111" s="1"/>
  <c r="C29" i="107"/>
  <c r="D29" i="107"/>
  <c r="E29" i="107"/>
  <c r="E29" i="111" s="1"/>
  <c r="F29" i="107"/>
  <c r="F29" i="111" s="1"/>
  <c r="G29" i="107"/>
  <c r="H29" i="107"/>
  <c r="I29" i="107"/>
  <c r="I29" i="111" s="1"/>
  <c r="J29" i="107"/>
  <c r="J29" i="111" s="1"/>
  <c r="K29" i="107"/>
  <c r="L29" i="107"/>
  <c r="M29" i="107"/>
  <c r="M29" i="111" s="1"/>
  <c r="N29" i="107"/>
  <c r="N29" i="111" s="1"/>
  <c r="C30" i="107"/>
  <c r="D30" i="107"/>
  <c r="E30" i="107"/>
  <c r="E30" i="111" s="1"/>
  <c r="F30" i="107"/>
  <c r="F30" i="111" s="1"/>
  <c r="G30" i="107"/>
  <c r="H30" i="107"/>
  <c r="I30" i="107"/>
  <c r="I30" i="111" s="1"/>
  <c r="J30" i="107"/>
  <c r="J30" i="111" s="1"/>
  <c r="K30" i="107"/>
  <c r="L30" i="107"/>
  <c r="M30" i="107"/>
  <c r="M30" i="111" s="1"/>
  <c r="N30" i="107"/>
  <c r="N30" i="111" s="1"/>
  <c r="C31" i="107"/>
  <c r="D31" i="107"/>
  <c r="E31" i="107"/>
  <c r="E31" i="111" s="1"/>
  <c r="F31" i="107"/>
  <c r="F31" i="111" s="1"/>
  <c r="G31" i="107"/>
  <c r="H31" i="107"/>
  <c r="I31" i="107"/>
  <c r="I31" i="111" s="1"/>
  <c r="J31" i="107"/>
  <c r="J31" i="111" s="1"/>
  <c r="K31" i="107"/>
  <c r="L31" i="107"/>
  <c r="M31" i="107"/>
  <c r="M31" i="111" s="1"/>
  <c r="N31" i="107"/>
  <c r="N31" i="111" s="1"/>
  <c r="C32" i="107"/>
  <c r="D32" i="107"/>
  <c r="E32" i="107"/>
  <c r="E32" i="111" s="1"/>
  <c r="F32" i="107"/>
  <c r="F32" i="111" s="1"/>
  <c r="G32" i="107"/>
  <c r="H32" i="107"/>
  <c r="I32" i="107"/>
  <c r="I32" i="111" s="1"/>
  <c r="J32" i="107"/>
  <c r="J32" i="111" s="1"/>
  <c r="K32" i="107"/>
  <c r="L32" i="107"/>
  <c r="M32" i="107"/>
  <c r="M32" i="111" s="1"/>
  <c r="N32" i="107"/>
  <c r="N32" i="111" s="1"/>
  <c r="C33" i="107"/>
  <c r="D33" i="107"/>
  <c r="E33" i="107"/>
  <c r="E33" i="111" s="1"/>
  <c r="F33" i="107"/>
  <c r="F33" i="111" s="1"/>
  <c r="G33" i="107"/>
  <c r="H33" i="107"/>
  <c r="I33" i="107"/>
  <c r="I33" i="111" s="1"/>
  <c r="J33" i="107"/>
  <c r="J33" i="111" s="1"/>
  <c r="K33" i="107"/>
  <c r="L33" i="107"/>
  <c r="M33" i="107"/>
  <c r="M33" i="111" s="1"/>
  <c r="N33" i="107"/>
  <c r="N33" i="111" s="1"/>
  <c r="C34" i="107"/>
  <c r="D34" i="107"/>
  <c r="E34" i="107"/>
  <c r="E34" i="111" s="1"/>
  <c r="F34" i="107"/>
  <c r="F34" i="111" s="1"/>
  <c r="G34" i="107"/>
  <c r="H34" i="107"/>
  <c r="I34" i="107"/>
  <c r="I34" i="111" s="1"/>
  <c r="J34" i="107"/>
  <c r="J34" i="111" s="1"/>
  <c r="K34" i="107"/>
  <c r="L34" i="107"/>
  <c r="M34" i="107"/>
  <c r="M34" i="111" s="1"/>
  <c r="N34" i="107"/>
  <c r="N34" i="111" s="1"/>
  <c r="C35" i="107"/>
  <c r="D35" i="107"/>
  <c r="E35" i="107"/>
  <c r="E35" i="111" s="1"/>
  <c r="F35" i="107"/>
  <c r="F35" i="111" s="1"/>
  <c r="G35" i="107"/>
  <c r="H35" i="107"/>
  <c r="I35" i="107"/>
  <c r="I35" i="111" s="1"/>
  <c r="J35" i="107"/>
  <c r="J35" i="111" s="1"/>
  <c r="K35" i="107"/>
  <c r="L35" i="107"/>
  <c r="M35" i="107"/>
  <c r="M35" i="111" s="1"/>
  <c r="N35" i="107"/>
  <c r="N35" i="111" s="1"/>
  <c r="C36" i="107"/>
  <c r="D36" i="107"/>
  <c r="E36" i="107"/>
  <c r="E36" i="111" s="1"/>
  <c r="F36" i="107"/>
  <c r="F36" i="111" s="1"/>
  <c r="G36" i="107"/>
  <c r="H36" i="107"/>
  <c r="I36" i="107"/>
  <c r="I36" i="111" s="1"/>
  <c r="J36" i="107"/>
  <c r="J36" i="111" s="1"/>
  <c r="K36" i="107"/>
  <c r="L36" i="107"/>
  <c r="M36" i="107"/>
  <c r="M36" i="111" s="1"/>
  <c r="N36" i="107"/>
  <c r="N36" i="111" s="1"/>
  <c r="C37" i="107"/>
  <c r="D37" i="107"/>
  <c r="E37" i="107"/>
  <c r="E37" i="111" s="1"/>
  <c r="F37" i="107"/>
  <c r="F37" i="111" s="1"/>
  <c r="G37" i="107"/>
  <c r="H37" i="107"/>
  <c r="I37" i="107"/>
  <c r="I37" i="111" s="1"/>
  <c r="J37" i="107"/>
  <c r="J37" i="111" s="1"/>
  <c r="K37" i="107"/>
  <c r="L37" i="107"/>
  <c r="M37" i="107"/>
  <c r="M37" i="111" s="1"/>
  <c r="N37" i="107"/>
  <c r="N37" i="111" s="1"/>
  <c r="C38" i="107"/>
  <c r="D38" i="107"/>
  <c r="E38" i="107"/>
  <c r="E38" i="111" s="1"/>
  <c r="F38" i="107"/>
  <c r="F38" i="111" s="1"/>
  <c r="G38" i="107"/>
  <c r="H38" i="107"/>
  <c r="I38" i="107"/>
  <c r="I38" i="111" s="1"/>
  <c r="J38" i="107"/>
  <c r="J38" i="111" s="1"/>
  <c r="K38" i="107"/>
  <c r="L38" i="107"/>
  <c r="M38" i="107"/>
  <c r="M38" i="111" s="1"/>
  <c r="N38" i="107"/>
  <c r="N38" i="111" s="1"/>
  <c r="C39" i="107"/>
  <c r="D39" i="107"/>
  <c r="E39" i="107"/>
  <c r="E39" i="111" s="1"/>
  <c r="F39" i="107"/>
  <c r="F39" i="111" s="1"/>
  <c r="G39" i="107"/>
  <c r="H39" i="107"/>
  <c r="H39" i="111" s="1"/>
  <c r="I39" i="107"/>
  <c r="I39" i="111" s="1"/>
  <c r="J39" i="107"/>
  <c r="J39" i="111" s="1"/>
  <c r="K39" i="107"/>
  <c r="L39" i="107"/>
  <c r="M39" i="107"/>
  <c r="M39" i="111" s="1"/>
  <c r="N39" i="107"/>
  <c r="N39" i="111" s="1"/>
  <c r="C40" i="107"/>
  <c r="D40" i="107"/>
  <c r="E40" i="107"/>
  <c r="E40" i="111" s="1"/>
  <c r="F40" i="107"/>
  <c r="F40" i="111" s="1"/>
  <c r="G40" i="107"/>
  <c r="H40" i="107"/>
  <c r="I40" i="107"/>
  <c r="I40" i="111" s="1"/>
  <c r="J40" i="107"/>
  <c r="J40" i="111" s="1"/>
  <c r="K40" i="107"/>
  <c r="L40" i="107"/>
  <c r="M40" i="107"/>
  <c r="M40" i="111" s="1"/>
  <c r="N40" i="107"/>
  <c r="N40" i="111" s="1"/>
  <c r="C41" i="107"/>
  <c r="D41" i="107"/>
  <c r="E41" i="107"/>
  <c r="E41" i="111" s="1"/>
  <c r="F41" i="107"/>
  <c r="F41" i="111" s="1"/>
  <c r="G41" i="107"/>
  <c r="H41" i="107"/>
  <c r="I41" i="107"/>
  <c r="I41" i="111" s="1"/>
  <c r="J41" i="107"/>
  <c r="J41" i="111" s="1"/>
  <c r="K41" i="107"/>
  <c r="L41" i="107"/>
  <c r="M41" i="107"/>
  <c r="M41" i="111" s="1"/>
  <c r="N41" i="107"/>
  <c r="N41" i="111" s="1"/>
  <c r="C42" i="107"/>
  <c r="D42" i="107"/>
  <c r="E42" i="107"/>
  <c r="E42" i="111" s="1"/>
  <c r="F42" i="107"/>
  <c r="F42" i="111" s="1"/>
  <c r="G42" i="107"/>
  <c r="H42" i="107"/>
  <c r="I42" i="107"/>
  <c r="I42" i="111" s="1"/>
  <c r="J42" i="107"/>
  <c r="J42" i="111" s="1"/>
  <c r="K42" i="107"/>
  <c r="L42" i="107"/>
  <c r="M42" i="107"/>
  <c r="M42" i="111" s="1"/>
  <c r="N42" i="107"/>
  <c r="N42" i="111" s="1"/>
  <c r="C43" i="107"/>
  <c r="D43" i="107"/>
  <c r="E43" i="107"/>
  <c r="E43" i="111" s="1"/>
  <c r="F43" i="107"/>
  <c r="F43" i="111" s="1"/>
  <c r="G43" i="107"/>
  <c r="H43" i="107"/>
  <c r="I43" i="107"/>
  <c r="I43" i="111" s="1"/>
  <c r="J43" i="107"/>
  <c r="J43" i="111" s="1"/>
  <c r="K43" i="107"/>
  <c r="L43" i="107"/>
  <c r="M43" i="107"/>
  <c r="M43" i="111" s="1"/>
  <c r="N43" i="107"/>
  <c r="N43" i="111" s="1"/>
  <c r="C44" i="107"/>
  <c r="D44" i="107"/>
  <c r="E44" i="107"/>
  <c r="E44" i="111" s="1"/>
  <c r="F44" i="107"/>
  <c r="F44" i="111" s="1"/>
  <c r="G44" i="107"/>
  <c r="H44" i="107"/>
  <c r="I44" i="107"/>
  <c r="I44" i="111" s="1"/>
  <c r="J44" i="107"/>
  <c r="J44" i="111" s="1"/>
  <c r="K44" i="107"/>
  <c r="L44" i="107"/>
  <c r="M44" i="107"/>
  <c r="M44" i="111" s="1"/>
  <c r="N44" i="107"/>
  <c r="N44" i="111" s="1"/>
  <c r="C45" i="107"/>
  <c r="D45" i="107"/>
  <c r="E45" i="107"/>
  <c r="E45" i="111" s="1"/>
  <c r="F45" i="107"/>
  <c r="F45" i="111" s="1"/>
  <c r="G45" i="107"/>
  <c r="H45" i="107"/>
  <c r="I45" i="107"/>
  <c r="I45" i="111" s="1"/>
  <c r="J45" i="107"/>
  <c r="J45" i="111" s="1"/>
  <c r="K45" i="107"/>
  <c r="L45" i="107"/>
  <c r="M45" i="107"/>
  <c r="M45" i="111" s="1"/>
  <c r="N45" i="107"/>
  <c r="N45" i="111" s="1"/>
  <c r="C46" i="107"/>
  <c r="D46" i="107"/>
  <c r="E46" i="107"/>
  <c r="E46" i="111" s="1"/>
  <c r="F46" i="107"/>
  <c r="F46" i="111" s="1"/>
  <c r="G46" i="107"/>
  <c r="H46" i="107"/>
  <c r="I46" i="107"/>
  <c r="I46" i="111" s="1"/>
  <c r="J46" i="107"/>
  <c r="J46" i="111" s="1"/>
  <c r="K46" i="107"/>
  <c r="L46" i="107"/>
  <c r="M46" i="107"/>
  <c r="M46" i="111" s="1"/>
  <c r="N46" i="107"/>
  <c r="N46" i="111" s="1"/>
  <c r="C47" i="107"/>
  <c r="D47" i="107"/>
  <c r="E47" i="107"/>
  <c r="E47" i="111" s="1"/>
  <c r="F47" i="107"/>
  <c r="F47" i="111" s="1"/>
  <c r="G47" i="107"/>
  <c r="H47" i="107"/>
  <c r="I47" i="107"/>
  <c r="I47" i="111" s="1"/>
  <c r="J47" i="107"/>
  <c r="J47" i="111" s="1"/>
  <c r="K47" i="107"/>
  <c r="L47" i="107"/>
  <c r="M47" i="107"/>
  <c r="M47" i="111" s="1"/>
  <c r="N47" i="107"/>
  <c r="N47" i="111" s="1"/>
  <c r="C48" i="107"/>
  <c r="D48" i="107"/>
  <c r="E48" i="107"/>
  <c r="E48" i="111" s="1"/>
  <c r="F48" i="107"/>
  <c r="F48" i="111" s="1"/>
  <c r="G48" i="107"/>
  <c r="H48" i="107"/>
  <c r="I48" i="107"/>
  <c r="I48" i="111" s="1"/>
  <c r="J48" i="107"/>
  <c r="J48" i="111" s="1"/>
  <c r="K48" i="107"/>
  <c r="L48" i="107"/>
  <c r="M48" i="107"/>
  <c r="M48" i="111" s="1"/>
  <c r="N48" i="107"/>
  <c r="N48" i="111" s="1"/>
  <c r="C49" i="107"/>
  <c r="D49" i="107"/>
  <c r="E49" i="107"/>
  <c r="E49" i="111" s="1"/>
  <c r="F49" i="107"/>
  <c r="F49" i="111" s="1"/>
  <c r="G49" i="107"/>
  <c r="H49" i="107"/>
  <c r="I49" i="107"/>
  <c r="I49" i="111" s="1"/>
  <c r="J49" i="107"/>
  <c r="J49" i="111" s="1"/>
  <c r="K49" i="107"/>
  <c r="L49" i="107"/>
  <c r="M49" i="107"/>
  <c r="M49" i="111" s="1"/>
  <c r="N49" i="107"/>
  <c r="N49" i="111" s="1"/>
  <c r="C50" i="107"/>
  <c r="D50" i="107"/>
  <c r="E50" i="107"/>
  <c r="E50" i="111" s="1"/>
  <c r="F50" i="107"/>
  <c r="F50" i="111" s="1"/>
  <c r="G50" i="107"/>
  <c r="H50" i="107"/>
  <c r="I50" i="107"/>
  <c r="I50" i="111" s="1"/>
  <c r="J50" i="107"/>
  <c r="J50" i="111" s="1"/>
  <c r="K50" i="107"/>
  <c r="L50" i="107"/>
  <c r="M50" i="107"/>
  <c r="M50" i="111" s="1"/>
  <c r="N50" i="107"/>
  <c r="N50" i="111" s="1"/>
  <c r="C51" i="107"/>
  <c r="D51" i="107"/>
  <c r="E51" i="107"/>
  <c r="E51" i="111" s="1"/>
  <c r="F51" i="107"/>
  <c r="F51" i="111" s="1"/>
  <c r="G51" i="107"/>
  <c r="H51" i="107"/>
  <c r="I51" i="107"/>
  <c r="I51" i="111" s="1"/>
  <c r="J51" i="107"/>
  <c r="J51" i="111" s="1"/>
  <c r="K51" i="107"/>
  <c r="L51" i="107"/>
  <c r="M51" i="107"/>
  <c r="M51" i="111" s="1"/>
  <c r="N51" i="107"/>
  <c r="N51" i="111" s="1"/>
  <c r="C52" i="107"/>
  <c r="D52" i="107"/>
  <c r="E52" i="107"/>
  <c r="E52" i="111" s="1"/>
  <c r="F52" i="107"/>
  <c r="F52" i="111" s="1"/>
  <c r="G52" i="107"/>
  <c r="H52" i="107"/>
  <c r="I52" i="107"/>
  <c r="I52" i="111" s="1"/>
  <c r="J52" i="107"/>
  <c r="J52" i="111" s="1"/>
  <c r="K52" i="107"/>
  <c r="L52" i="107"/>
  <c r="M52" i="107"/>
  <c r="M52" i="111" s="1"/>
  <c r="N52" i="107"/>
  <c r="N52" i="111" s="1"/>
  <c r="C53" i="107"/>
  <c r="D53" i="107"/>
  <c r="E53" i="107"/>
  <c r="E53" i="111" s="1"/>
  <c r="F53" i="107"/>
  <c r="F53" i="111" s="1"/>
  <c r="G53" i="107"/>
  <c r="H53" i="107"/>
  <c r="I53" i="107"/>
  <c r="I53" i="111" s="1"/>
  <c r="J53" i="107"/>
  <c r="J53" i="111" s="1"/>
  <c r="K53" i="107"/>
  <c r="L53" i="107"/>
  <c r="M53" i="107"/>
  <c r="M53" i="111" s="1"/>
  <c r="N53" i="107"/>
  <c r="N53" i="111" s="1"/>
  <c r="C54" i="107"/>
  <c r="D54" i="107"/>
  <c r="E54" i="107"/>
  <c r="E54" i="111" s="1"/>
  <c r="F54" i="107"/>
  <c r="F54" i="111" s="1"/>
  <c r="G54" i="107"/>
  <c r="H54" i="107"/>
  <c r="I54" i="107"/>
  <c r="I54" i="111" s="1"/>
  <c r="J54" i="107"/>
  <c r="J54" i="111" s="1"/>
  <c r="K54" i="107"/>
  <c r="L54" i="107"/>
  <c r="M54" i="107"/>
  <c r="M54" i="111" s="1"/>
  <c r="N54" i="107"/>
  <c r="N54" i="111" s="1"/>
  <c r="C55" i="107"/>
  <c r="D55" i="107"/>
  <c r="E55" i="107"/>
  <c r="E55" i="111" s="1"/>
  <c r="F55" i="107"/>
  <c r="F55" i="111" s="1"/>
  <c r="G55" i="107"/>
  <c r="H55" i="107"/>
  <c r="I55" i="107"/>
  <c r="I55" i="111" s="1"/>
  <c r="J55" i="107"/>
  <c r="J55" i="111" s="1"/>
  <c r="K55" i="107"/>
  <c r="L55" i="107"/>
  <c r="M55" i="107"/>
  <c r="M55" i="111" s="1"/>
  <c r="N55" i="107"/>
  <c r="N55" i="111" s="1"/>
  <c r="C56" i="107"/>
  <c r="D56" i="107"/>
  <c r="E56" i="107"/>
  <c r="E56" i="111" s="1"/>
  <c r="F56" i="107"/>
  <c r="F56" i="111" s="1"/>
  <c r="G56" i="107"/>
  <c r="H56" i="107"/>
  <c r="I56" i="107"/>
  <c r="I56" i="111" s="1"/>
  <c r="J56" i="107"/>
  <c r="J56" i="111" s="1"/>
  <c r="K56" i="107"/>
  <c r="L56" i="107"/>
  <c r="M56" i="107"/>
  <c r="M56" i="111" s="1"/>
  <c r="N56" i="107"/>
  <c r="N56" i="111" s="1"/>
  <c r="C57" i="107"/>
  <c r="D57" i="107"/>
  <c r="E57" i="107"/>
  <c r="E57" i="111" s="1"/>
  <c r="F57" i="107"/>
  <c r="F57" i="111" s="1"/>
  <c r="G57" i="107"/>
  <c r="H57" i="107"/>
  <c r="I57" i="107"/>
  <c r="I57" i="111" s="1"/>
  <c r="J57" i="107"/>
  <c r="J57" i="111" s="1"/>
  <c r="K57" i="107"/>
  <c r="L57" i="107"/>
  <c r="L57" i="111" s="1"/>
  <c r="M57" i="107"/>
  <c r="M57" i="111" s="1"/>
  <c r="N57" i="107"/>
  <c r="N57" i="111" s="1"/>
  <c r="D10" i="107"/>
  <c r="D10" i="111" s="1"/>
  <c r="E10" i="107"/>
  <c r="E10" i="111" s="1"/>
  <c r="F10" i="107"/>
  <c r="F10" i="111" s="1"/>
  <c r="G10" i="107"/>
  <c r="G10" i="111" s="1"/>
  <c r="H10" i="107"/>
  <c r="H10" i="111" s="1"/>
  <c r="I10" i="107"/>
  <c r="I10" i="111" s="1"/>
  <c r="J10" i="107"/>
  <c r="J10" i="111" s="1"/>
  <c r="K10" i="107"/>
  <c r="K10" i="111" s="1"/>
  <c r="L10" i="107"/>
  <c r="L10" i="111" s="1"/>
  <c r="M10" i="107"/>
  <c r="M10" i="111" s="1"/>
  <c r="N10" i="107"/>
  <c r="N10" i="111" s="1"/>
  <c r="C10" i="107"/>
  <c r="C10" i="111" s="1"/>
  <c r="H57" i="111" l="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L24" i="111"/>
  <c r="H24" i="111"/>
  <c r="D24" i="111"/>
  <c r="L23" i="111"/>
  <c r="H23" i="111"/>
  <c r="D23" i="111"/>
  <c r="L22" i="111"/>
  <c r="H22" i="111"/>
  <c r="D22" i="111"/>
  <c r="L21" i="111"/>
  <c r="H21" i="111"/>
  <c r="D21" i="111"/>
  <c r="L20" i="111"/>
  <c r="H20" i="111"/>
  <c r="D20" i="111"/>
  <c r="L19" i="111"/>
  <c r="H19" i="111"/>
  <c r="D19" i="111"/>
  <c r="L18" i="111"/>
  <c r="H18" i="111"/>
  <c r="D18" i="111"/>
  <c r="L17" i="111"/>
  <c r="H17" i="111"/>
  <c r="D17" i="111"/>
  <c r="L16" i="111"/>
  <c r="H16" i="111"/>
  <c r="D16" i="111"/>
  <c r="L15" i="111"/>
  <c r="H15" i="111"/>
  <c r="D15" i="111"/>
  <c r="L14" i="111"/>
  <c r="H14" i="111"/>
  <c r="D14" i="111"/>
  <c r="L13" i="111"/>
  <c r="H13" i="111"/>
  <c r="D13" i="111"/>
  <c r="L12" i="111"/>
  <c r="H12" i="111"/>
  <c r="D12" i="111"/>
  <c r="L11" i="111"/>
  <c r="H11" i="111"/>
  <c r="D11" i="111"/>
  <c r="K57" i="111"/>
  <c r="G57" i="111"/>
  <c r="C57" i="111"/>
  <c r="K56" i="111"/>
  <c r="G56" i="111"/>
  <c r="C56" i="111"/>
  <c r="K55" i="111"/>
  <c r="G55" i="111"/>
  <c r="C55" i="111"/>
  <c r="K54" i="111"/>
  <c r="G54" i="111"/>
  <c r="C54" i="111"/>
  <c r="K53" i="111"/>
  <c r="G53" i="111"/>
  <c r="C53" i="111"/>
  <c r="K52" i="111"/>
  <c r="G52" i="111"/>
  <c r="C52" i="111"/>
  <c r="K51" i="111"/>
  <c r="G51" i="111"/>
  <c r="C51" i="111"/>
  <c r="K50" i="111"/>
  <c r="G50" i="111"/>
  <c r="C50" i="111"/>
  <c r="K49" i="111"/>
  <c r="G49" i="111"/>
  <c r="C49" i="111"/>
  <c r="K48" i="111"/>
  <c r="G48" i="111"/>
  <c r="C48" i="111"/>
  <c r="K47" i="111"/>
  <c r="G47" i="111"/>
  <c r="C47" i="111"/>
  <c r="K46" i="111"/>
  <c r="G46" i="111"/>
  <c r="C46" i="111"/>
  <c r="K45" i="111"/>
  <c r="G45" i="111"/>
  <c r="C45" i="111"/>
  <c r="K44" i="111"/>
  <c r="G44" i="111"/>
  <c r="C44" i="111"/>
  <c r="K43" i="111"/>
  <c r="G43" i="111"/>
  <c r="C43" i="111"/>
  <c r="K42" i="111"/>
  <c r="G42" i="111"/>
  <c r="C42" i="111"/>
  <c r="K41" i="111"/>
  <c r="G41" i="111"/>
  <c r="C41" i="111"/>
  <c r="K40" i="111"/>
  <c r="G40" i="111"/>
  <c r="C40" i="111"/>
  <c r="K39" i="111"/>
  <c r="G39" i="111"/>
  <c r="C39" i="111"/>
  <c r="K38" i="111"/>
  <c r="G38" i="111"/>
  <c r="C38" i="111"/>
  <c r="K37" i="111"/>
  <c r="G37" i="111"/>
  <c r="C37" i="111"/>
  <c r="K36" i="111"/>
  <c r="G36" i="111"/>
  <c r="C36" i="111"/>
  <c r="K35" i="111"/>
  <c r="G35" i="111"/>
  <c r="C35" i="111"/>
  <c r="K34" i="111"/>
  <c r="G34" i="111"/>
  <c r="C34" i="111"/>
  <c r="K33" i="111"/>
  <c r="G33" i="111"/>
  <c r="C33" i="111"/>
  <c r="K32" i="111"/>
  <c r="G32" i="111"/>
  <c r="C32" i="111"/>
  <c r="K31" i="111"/>
  <c r="G31" i="111"/>
  <c r="C31" i="111"/>
  <c r="K30" i="111"/>
  <c r="G30" i="111"/>
  <c r="C30" i="111"/>
  <c r="K29" i="111"/>
  <c r="G29" i="111"/>
  <c r="C29" i="111"/>
  <c r="K28" i="111"/>
  <c r="G28" i="111"/>
  <c r="C28" i="111"/>
  <c r="K27" i="111"/>
  <c r="G27" i="111"/>
  <c r="C27" i="111"/>
  <c r="K26" i="111"/>
  <c r="G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N58" i="114"/>
  <c r="M58" i="114"/>
  <c r="L58" i="114"/>
  <c r="K58" i="114"/>
  <c r="J58" i="114"/>
  <c r="I58" i="114"/>
  <c r="H58" i="114"/>
  <c r="G58" i="114"/>
  <c r="F58" i="114"/>
  <c r="E58" i="114"/>
  <c r="D58" i="114"/>
  <c r="C58" i="114"/>
  <c r="P57" i="114"/>
  <c r="O57" i="114"/>
  <c r="P56" i="114"/>
  <c r="O56" i="114"/>
  <c r="P55" i="114"/>
  <c r="O55" i="114"/>
  <c r="P54" i="114"/>
  <c r="O54" i="114"/>
  <c r="AE21" i="114" s="1"/>
  <c r="P53" i="114"/>
  <c r="O53" i="114"/>
  <c r="P52" i="114"/>
  <c r="O52" i="114"/>
  <c r="P51" i="114"/>
  <c r="O51" i="114"/>
  <c r="P50" i="114"/>
  <c r="O50" i="114"/>
  <c r="AE20" i="114" s="1"/>
  <c r="P49" i="114"/>
  <c r="O49" i="114"/>
  <c r="P48" i="114"/>
  <c r="O48" i="114"/>
  <c r="P47" i="114"/>
  <c r="O47" i="114"/>
  <c r="P46" i="114"/>
  <c r="O46" i="114"/>
  <c r="AE19" i="114" s="1"/>
  <c r="AE27" i="114" s="1"/>
  <c r="P45" i="114"/>
  <c r="O45" i="114"/>
  <c r="P44" i="114"/>
  <c r="O44" i="114"/>
  <c r="P43" i="114"/>
  <c r="O43" i="114"/>
  <c r="P42" i="114"/>
  <c r="O42" i="114"/>
  <c r="AE18" i="114" s="1"/>
  <c r="P41" i="114"/>
  <c r="O41" i="114"/>
  <c r="P40" i="114"/>
  <c r="O40" i="114"/>
  <c r="P39" i="114"/>
  <c r="O39" i="114"/>
  <c r="P38" i="114"/>
  <c r="O38" i="114"/>
  <c r="AE17" i="114" s="1"/>
  <c r="P37" i="114"/>
  <c r="O37" i="114"/>
  <c r="P36" i="114"/>
  <c r="O36" i="114"/>
  <c r="P35" i="114"/>
  <c r="O35" i="114"/>
  <c r="P34" i="114"/>
  <c r="O34" i="114"/>
  <c r="AE16" i="114" s="1"/>
  <c r="P33" i="114"/>
  <c r="O33" i="114"/>
  <c r="P32" i="114"/>
  <c r="O32" i="114"/>
  <c r="P31" i="114"/>
  <c r="AF15" i="114" s="1"/>
  <c r="O31" i="114"/>
  <c r="P30" i="114"/>
  <c r="O30" i="114"/>
  <c r="AE15" i="114" s="1"/>
  <c r="P29" i="114"/>
  <c r="O29" i="114"/>
  <c r="P28" i="114"/>
  <c r="O28" i="114"/>
  <c r="P27" i="114"/>
  <c r="O27" i="114"/>
  <c r="P26" i="114"/>
  <c r="O26" i="114"/>
  <c r="P25" i="114"/>
  <c r="O25" i="114"/>
  <c r="P24" i="114"/>
  <c r="O24" i="114"/>
  <c r="P23" i="114"/>
  <c r="O23" i="114"/>
  <c r="P22" i="114"/>
  <c r="AF13" i="114" s="1"/>
  <c r="O22" i="114"/>
  <c r="AF21" i="114"/>
  <c r="AD21" i="114"/>
  <c r="AC21" i="114"/>
  <c r="AB21" i="114"/>
  <c r="AA21" i="114"/>
  <c r="Z21" i="114"/>
  <c r="Y21" i="114"/>
  <c r="X21" i="114"/>
  <c r="W21" i="114"/>
  <c r="V21" i="114"/>
  <c r="U21" i="114"/>
  <c r="T21" i="114"/>
  <c r="S21" i="114"/>
  <c r="P21" i="114"/>
  <c r="O21" i="114"/>
  <c r="AF20" i="114"/>
  <c r="AD20" i="114"/>
  <c r="AC20" i="114"/>
  <c r="AB20" i="114"/>
  <c r="AA20" i="114"/>
  <c r="Z20" i="114"/>
  <c r="Y20" i="114"/>
  <c r="X20" i="114"/>
  <c r="W20" i="114"/>
  <c r="V20" i="114"/>
  <c r="U20" i="114"/>
  <c r="T20" i="114"/>
  <c r="S20" i="114"/>
  <c r="P20" i="114"/>
  <c r="O20" i="114"/>
  <c r="AF19" i="114"/>
  <c r="AD19" i="114"/>
  <c r="AD27" i="114" s="1"/>
  <c r="AC19" i="114"/>
  <c r="AB19" i="114"/>
  <c r="AA19" i="114"/>
  <c r="Z19" i="114"/>
  <c r="Z27" i="114" s="1"/>
  <c r="Y19" i="114"/>
  <c r="X19" i="114"/>
  <c r="W19" i="114"/>
  <c r="V19" i="114"/>
  <c r="V27" i="114" s="1"/>
  <c r="U19" i="114"/>
  <c r="T19" i="114"/>
  <c r="S19" i="114"/>
  <c r="P19" i="114"/>
  <c r="AF12" i="114" s="1"/>
  <c r="O19" i="114"/>
  <c r="AF18" i="114"/>
  <c r="AD18" i="114"/>
  <c r="AC18" i="114"/>
  <c r="AB18" i="114"/>
  <c r="AA18" i="114"/>
  <c r="Z18" i="114"/>
  <c r="Y18" i="114"/>
  <c r="X18" i="114"/>
  <c r="W18" i="114"/>
  <c r="V18" i="114"/>
  <c r="U18" i="114"/>
  <c r="T18" i="114"/>
  <c r="S18" i="114"/>
  <c r="P18" i="114"/>
  <c r="O18" i="114"/>
  <c r="AF17" i="114"/>
  <c r="AD17" i="114"/>
  <c r="AC17" i="114"/>
  <c r="AB17" i="114"/>
  <c r="AA17" i="114"/>
  <c r="Z17" i="114"/>
  <c r="Y17" i="114"/>
  <c r="X17" i="114"/>
  <c r="W17" i="114"/>
  <c r="V17" i="114"/>
  <c r="U17" i="114"/>
  <c r="T17" i="114"/>
  <c r="S17" i="114"/>
  <c r="P17" i="114"/>
  <c r="O17" i="114"/>
  <c r="AF16" i="114"/>
  <c r="AD16" i="114"/>
  <c r="AC16" i="114"/>
  <c r="AB16" i="114"/>
  <c r="AA16" i="114"/>
  <c r="Z16" i="114"/>
  <c r="Y16" i="114"/>
  <c r="X16" i="114"/>
  <c r="W16" i="114"/>
  <c r="V16" i="114"/>
  <c r="U16" i="114"/>
  <c r="T16" i="114"/>
  <c r="S16" i="114"/>
  <c r="P16" i="114"/>
  <c r="O16" i="114"/>
  <c r="AD15" i="114"/>
  <c r="AC15" i="114"/>
  <c r="AB15" i="114"/>
  <c r="AA15" i="114"/>
  <c r="Z15" i="114"/>
  <c r="Y15" i="114"/>
  <c r="X15" i="114"/>
  <c r="W15" i="114"/>
  <c r="V15" i="114"/>
  <c r="U15" i="114"/>
  <c r="T15" i="114"/>
  <c r="S15" i="114"/>
  <c r="P15" i="114"/>
  <c r="O15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P14" i="114"/>
  <c r="O14" i="114"/>
  <c r="AD13" i="114"/>
  <c r="AD26" i="114" s="1"/>
  <c r="AC13" i="114"/>
  <c r="AB13" i="114"/>
  <c r="AA13" i="114"/>
  <c r="Z13" i="114"/>
  <c r="Z26" i="114" s="1"/>
  <c r="Y13" i="114"/>
  <c r="X13" i="114"/>
  <c r="W13" i="114"/>
  <c r="V13" i="114"/>
  <c r="V26" i="114" s="1"/>
  <c r="U13" i="114"/>
  <c r="T13" i="114"/>
  <c r="S13" i="114"/>
  <c r="P13" i="114"/>
  <c r="O13" i="114"/>
  <c r="AD12" i="114"/>
  <c r="AC12" i="114"/>
  <c r="AB12" i="114"/>
  <c r="AA12" i="114"/>
  <c r="Z12" i="114"/>
  <c r="Y12" i="114"/>
  <c r="X12" i="114"/>
  <c r="W12" i="114"/>
  <c r="V12" i="114"/>
  <c r="U12" i="114"/>
  <c r="T12" i="114"/>
  <c r="S12" i="114"/>
  <c r="P12" i="114"/>
  <c r="O12" i="114"/>
  <c r="AF11" i="114"/>
  <c r="AD11" i="114"/>
  <c r="AC11" i="114"/>
  <c r="AB11" i="114"/>
  <c r="AA11" i="114"/>
  <c r="Z11" i="114"/>
  <c r="Y11" i="114"/>
  <c r="X11" i="114"/>
  <c r="W11" i="114"/>
  <c r="V11" i="114"/>
  <c r="U11" i="114"/>
  <c r="T11" i="114"/>
  <c r="S11" i="114"/>
  <c r="P11" i="114"/>
  <c r="O11" i="114"/>
  <c r="AD10" i="114"/>
  <c r="AC10" i="114"/>
  <c r="AB10" i="114"/>
  <c r="AA10" i="114"/>
  <c r="Z10" i="114"/>
  <c r="Y10" i="114"/>
  <c r="X10" i="114"/>
  <c r="W10" i="114"/>
  <c r="V10" i="114"/>
  <c r="U10" i="114"/>
  <c r="T10" i="114"/>
  <c r="S10" i="114"/>
  <c r="P10" i="114"/>
  <c r="O10" i="114"/>
  <c r="K6" i="114"/>
  <c r="G6" i="114"/>
  <c r="D6" i="114"/>
  <c r="K5" i="114"/>
  <c r="G5" i="114"/>
  <c r="C3" i="114"/>
  <c r="N58" i="112"/>
  <c r="M58" i="112"/>
  <c r="L58" i="112"/>
  <c r="K58" i="112"/>
  <c r="J58" i="112"/>
  <c r="I58" i="112"/>
  <c r="H58" i="112"/>
  <c r="G58" i="112"/>
  <c r="F58" i="112"/>
  <c r="E58" i="112"/>
  <c r="D58" i="112"/>
  <c r="C58" i="112"/>
  <c r="P57" i="112"/>
  <c r="O57" i="112"/>
  <c r="P56" i="112"/>
  <c r="O56" i="112"/>
  <c r="P55" i="112"/>
  <c r="O55" i="112"/>
  <c r="P54" i="112"/>
  <c r="O54" i="112"/>
  <c r="P53" i="112"/>
  <c r="O53" i="112"/>
  <c r="P52" i="112"/>
  <c r="O52" i="112"/>
  <c r="P51" i="112"/>
  <c r="O51" i="112"/>
  <c r="P50" i="112"/>
  <c r="O50" i="112"/>
  <c r="P49" i="112"/>
  <c r="O49" i="112"/>
  <c r="P48" i="112"/>
  <c r="O48" i="112"/>
  <c r="P47" i="112"/>
  <c r="O47" i="112"/>
  <c r="P46" i="112"/>
  <c r="O46" i="112"/>
  <c r="P45" i="112"/>
  <c r="O45" i="112"/>
  <c r="P44" i="112"/>
  <c r="O44" i="112"/>
  <c r="P43" i="112"/>
  <c r="O43" i="112"/>
  <c r="P42" i="112"/>
  <c r="O42" i="112"/>
  <c r="P41" i="112"/>
  <c r="O41" i="112"/>
  <c r="P40" i="112"/>
  <c r="O40" i="112"/>
  <c r="P39" i="112"/>
  <c r="O39" i="112"/>
  <c r="P38" i="112"/>
  <c r="O38" i="112"/>
  <c r="P37" i="112"/>
  <c r="O37" i="112"/>
  <c r="P36" i="112"/>
  <c r="O36" i="112"/>
  <c r="P35" i="112"/>
  <c r="O35" i="112"/>
  <c r="P34" i="112"/>
  <c r="O34" i="112"/>
  <c r="P33" i="112"/>
  <c r="O33" i="112"/>
  <c r="P32" i="112"/>
  <c r="O32" i="112"/>
  <c r="P31" i="112"/>
  <c r="O31" i="112"/>
  <c r="P30" i="112"/>
  <c r="O30" i="112"/>
  <c r="P29" i="112"/>
  <c r="O29" i="112"/>
  <c r="P28" i="112"/>
  <c r="O28" i="112"/>
  <c r="P27" i="112"/>
  <c r="O27" i="112"/>
  <c r="P26" i="112"/>
  <c r="O26" i="112"/>
  <c r="P25" i="112"/>
  <c r="O25" i="112"/>
  <c r="P24" i="112"/>
  <c r="O24" i="112"/>
  <c r="P23" i="112"/>
  <c r="O23" i="112"/>
  <c r="P22" i="112"/>
  <c r="O22" i="112"/>
  <c r="AF21" i="112"/>
  <c r="AE21" i="112"/>
  <c r="AD21" i="112"/>
  <c r="AC21" i="112"/>
  <c r="AB21" i="112"/>
  <c r="AA21" i="112"/>
  <c r="Z21" i="112"/>
  <c r="Y21" i="112"/>
  <c r="X21" i="112"/>
  <c r="W21" i="112"/>
  <c r="V21" i="112"/>
  <c r="U21" i="112"/>
  <c r="T21" i="112"/>
  <c r="S21" i="112"/>
  <c r="P21" i="112"/>
  <c r="O21" i="112"/>
  <c r="AF20" i="112"/>
  <c r="AE20" i="112"/>
  <c r="AD20" i="112"/>
  <c r="AC20" i="112"/>
  <c r="AB20" i="112"/>
  <c r="AA20" i="112"/>
  <c r="Z20" i="112"/>
  <c r="Y20" i="112"/>
  <c r="X20" i="112"/>
  <c r="W20" i="112"/>
  <c r="V20" i="112"/>
  <c r="U20" i="112"/>
  <c r="T20" i="112"/>
  <c r="S20" i="112"/>
  <c r="P20" i="112"/>
  <c r="O20" i="112"/>
  <c r="AF19" i="112"/>
  <c r="AF27" i="112" s="1"/>
  <c r="AE19" i="112"/>
  <c r="AE27" i="112" s="1"/>
  <c r="AD19" i="112"/>
  <c r="AD27" i="112" s="1"/>
  <c r="AC19" i="112"/>
  <c r="AC27" i="112" s="1"/>
  <c r="AB19" i="112"/>
  <c r="AB27" i="112" s="1"/>
  <c r="AA19" i="112"/>
  <c r="AA27" i="112" s="1"/>
  <c r="Z19" i="112"/>
  <c r="Z27" i="112" s="1"/>
  <c r="Y19" i="112"/>
  <c r="Y27" i="112" s="1"/>
  <c r="X19" i="112"/>
  <c r="X24" i="112" s="1"/>
  <c r="W19" i="112"/>
  <c r="W27" i="112" s="1"/>
  <c r="V19" i="112"/>
  <c r="V27" i="112" s="1"/>
  <c r="U19" i="112"/>
  <c r="U27" i="112" s="1"/>
  <c r="T19" i="112"/>
  <c r="T24" i="112" s="1"/>
  <c r="S19" i="112"/>
  <c r="S27" i="112" s="1"/>
  <c r="P19" i="112"/>
  <c r="O19" i="112"/>
  <c r="AF18" i="112"/>
  <c r="AE18" i="112"/>
  <c r="AD18" i="112"/>
  <c r="AC18" i="112"/>
  <c r="AB18" i="112"/>
  <c r="AA18" i="112"/>
  <c r="Z18" i="112"/>
  <c r="Y18" i="112"/>
  <c r="X18" i="112"/>
  <c r="W18" i="112"/>
  <c r="V18" i="112"/>
  <c r="U18" i="112"/>
  <c r="T18" i="112"/>
  <c r="S18" i="112"/>
  <c r="P18" i="112"/>
  <c r="O18" i="112"/>
  <c r="AE12" i="112" s="1"/>
  <c r="AF17" i="112"/>
  <c r="AE17" i="112"/>
  <c r="AD17" i="112"/>
  <c r="AC17" i="112"/>
  <c r="AB17" i="112"/>
  <c r="AA17" i="112"/>
  <c r="Z17" i="112"/>
  <c r="Y17" i="112"/>
  <c r="X17" i="112"/>
  <c r="W17" i="112"/>
  <c r="V17" i="112"/>
  <c r="U17" i="112"/>
  <c r="T17" i="112"/>
  <c r="S17" i="112"/>
  <c r="P17" i="112"/>
  <c r="O17" i="112"/>
  <c r="AF16" i="112"/>
  <c r="AE16" i="112"/>
  <c r="AD16" i="112"/>
  <c r="AC16" i="112"/>
  <c r="AB16" i="112"/>
  <c r="AA16" i="112"/>
  <c r="Z16" i="112"/>
  <c r="Y16" i="112"/>
  <c r="X16" i="112"/>
  <c r="W16" i="112"/>
  <c r="V16" i="112"/>
  <c r="U16" i="112"/>
  <c r="T16" i="112"/>
  <c r="S16" i="112"/>
  <c r="P16" i="112"/>
  <c r="O16" i="112"/>
  <c r="AF15" i="112"/>
  <c r="AE15" i="112"/>
  <c r="AD15" i="112"/>
  <c r="AC15" i="112"/>
  <c r="AB15" i="112"/>
  <c r="AA15" i="112"/>
  <c r="Z15" i="112"/>
  <c r="Y15" i="112"/>
  <c r="X15" i="112"/>
  <c r="W15" i="112"/>
  <c r="V15" i="112"/>
  <c r="U15" i="112"/>
  <c r="T15" i="112"/>
  <c r="S15" i="112"/>
  <c r="P15" i="112"/>
  <c r="O15" i="112"/>
  <c r="AF14" i="112"/>
  <c r="AE14" i="112"/>
  <c r="AD14" i="112"/>
  <c r="AC14" i="112"/>
  <c r="AB14" i="112"/>
  <c r="AA14" i="112"/>
  <c r="Z14" i="112"/>
  <c r="Y14" i="112"/>
  <c r="X14" i="112"/>
  <c r="W14" i="112"/>
  <c r="V14" i="112"/>
  <c r="U14" i="112"/>
  <c r="T14" i="112"/>
  <c r="S14" i="112"/>
  <c r="P14" i="112"/>
  <c r="O14" i="112"/>
  <c r="AF13" i="112"/>
  <c r="AF26" i="112" s="1"/>
  <c r="AE13" i="112"/>
  <c r="AE26" i="112" s="1"/>
  <c r="AD13" i="112"/>
  <c r="AD23" i="112" s="1"/>
  <c r="AC13" i="112"/>
  <c r="AC26" i="112" s="1"/>
  <c r="AB13" i="112"/>
  <c r="AB26" i="112" s="1"/>
  <c r="AA13" i="112"/>
  <c r="AA26" i="112" s="1"/>
  <c r="Z13" i="112"/>
  <c r="Z23" i="112" s="1"/>
  <c r="Y13" i="112"/>
  <c r="Y26" i="112" s="1"/>
  <c r="X13" i="112"/>
  <c r="X26" i="112" s="1"/>
  <c r="W13" i="112"/>
  <c r="W26" i="112" s="1"/>
  <c r="V13" i="112"/>
  <c r="V23" i="112" s="1"/>
  <c r="U13" i="112"/>
  <c r="U26" i="112" s="1"/>
  <c r="T13" i="112"/>
  <c r="T26" i="112" s="1"/>
  <c r="S13" i="112"/>
  <c r="S26" i="112" s="1"/>
  <c r="P13" i="112"/>
  <c r="O13" i="112"/>
  <c r="AF12" i="112"/>
  <c r="AD12" i="112"/>
  <c r="AC12" i="112"/>
  <c r="AB12" i="112"/>
  <c r="AA12" i="112"/>
  <c r="Z12" i="112"/>
  <c r="Y12" i="112"/>
  <c r="X12" i="112"/>
  <c r="W12" i="112"/>
  <c r="V12" i="112"/>
  <c r="U12" i="112"/>
  <c r="T12" i="112"/>
  <c r="S12" i="112"/>
  <c r="P12" i="112"/>
  <c r="O12" i="112"/>
  <c r="AF11" i="112"/>
  <c r="AD11" i="112"/>
  <c r="AC11" i="112"/>
  <c r="AB11" i="112"/>
  <c r="AA11" i="112"/>
  <c r="Z11" i="112"/>
  <c r="Y11" i="112"/>
  <c r="X11" i="112"/>
  <c r="W11" i="112"/>
  <c r="V11" i="112"/>
  <c r="U11" i="112"/>
  <c r="T11" i="112"/>
  <c r="S11" i="112"/>
  <c r="P11" i="112"/>
  <c r="O11" i="112"/>
  <c r="AD10" i="112"/>
  <c r="AC10" i="112"/>
  <c r="AB10" i="112"/>
  <c r="AA10" i="112"/>
  <c r="AA28" i="112" s="1"/>
  <c r="Z10" i="112"/>
  <c r="Y10" i="112"/>
  <c r="X10" i="112"/>
  <c r="W10" i="112"/>
  <c r="W28" i="112" s="1"/>
  <c r="V10" i="112"/>
  <c r="U10" i="112"/>
  <c r="T10" i="112"/>
  <c r="S10" i="112"/>
  <c r="P10" i="112"/>
  <c r="O10" i="112"/>
  <c r="K6" i="112"/>
  <c r="C3" i="112"/>
  <c r="C3" i="94"/>
  <c r="AD28" i="114" l="1"/>
  <c r="W24" i="114"/>
  <c r="AA27" i="114"/>
  <c r="AF14" i="114"/>
  <c r="AF26" i="114" s="1"/>
  <c r="AC28" i="112"/>
  <c r="T27" i="114"/>
  <c r="X27" i="114"/>
  <c r="AB27" i="114"/>
  <c r="AF10" i="112"/>
  <c r="AF28" i="112" s="1"/>
  <c r="X28" i="114"/>
  <c r="T26" i="114"/>
  <c r="X26" i="114"/>
  <c r="AB26" i="114"/>
  <c r="AB28" i="114"/>
  <c r="AC27" i="114"/>
  <c r="Y27" i="114"/>
  <c r="U27" i="114"/>
  <c r="S24" i="114"/>
  <c r="AF27" i="114"/>
  <c r="Z28" i="114"/>
  <c r="T28" i="114"/>
  <c r="U24" i="114"/>
  <c r="AC24" i="114"/>
  <c r="S27" i="114"/>
  <c r="AE14" i="114"/>
  <c r="W23" i="114"/>
  <c r="Y26" i="114"/>
  <c r="V28" i="114"/>
  <c r="AE12" i="114"/>
  <c r="AE11" i="114"/>
  <c r="P58" i="114"/>
  <c r="M59" i="114" s="1"/>
  <c r="O58" i="114"/>
  <c r="N60" i="114" s="1"/>
  <c r="S28" i="114"/>
  <c r="U28" i="114"/>
  <c r="W28" i="114"/>
  <c r="Y28" i="114"/>
  <c r="AA28" i="114"/>
  <c r="AC28" i="114"/>
  <c r="S26" i="114"/>
  <c r="U23" i="114"/>
  <c r="W26" i="114"/>
  <c r="Y23" i="114"/>
  <c r="AA26" i="114"/>
  <c r="AC23" i="114"/>
  <c r="AE13" i="114"/>
  <c r="AE23" i="114" s="1"/>
  <c r="S23" i="114"/>
  <c r="AA23" i="114"/>
  <c r="Y24" i="114"/>
  <c r="U26" i="114"/>
  <c r="AC26" i="114"/>
  <c r="W27" i="114"/>
  <c r="AE10" i="114"/>
  <c r="U22" i="114"/>
  <c r="Y22" i="114"/>
  <c r="AC22" i="114"/>
  <c r="S25" i="114"/>
  <c r="W25" i="114"/>
  <c r="AA25" i="114"/>
  <c r="S22" i="114"/>
  <c r="W22" i="114"/>
  <c r="AA22" i="114"/>
  <c r="AA24" i="114"/>
  <c r="AE24" i="114"/>
  <c r="U25" i="114"/>
  <c r="Y25" i="114"/>
  <c r="AC25" i="114"/>
  <c r="AF10" i="114"/>
  <c r="T22" i="114"/>
  <c r="V22" i="114"/>
  <c r="X22" i="114"/>
  <c r="Z22" i="114"/>
  <c r="AB22" i="114"/>
  <c r="AD22" i="114"/>
  <c r="T23" i="114"/>
  <c r="V23" i="114"/>
  <c r="X23" i="114"/>
  <c r="Z23" i="114"/>
  <c r="AB23" i="114"/>
  <c r="AD23" i="114"/>
  <c r="T24" i="114"/>
  <c r="V24" i="114"/>
  <c r="X24" i="114"/>
  <c r="Z24" i="114"/>
  <c r="AB24" i="114"/>
  <c r="AD24" i="114"/>
  <c r="AF24" i="114"/>
  <c r="T25" i="114"/>
  <c r="V25" i="114"/>
  <c r="X25" i="114"/>
  <c r="Z25" i="114"/>
  <c r="AB25" i="114"/>
  <c r="AD25" i="114"/>
  <c r="Y28" i="112"/>
  <c r="U28" i="112"/>
  <c r="S28" i="112"/>
  <c r="AE11" i="112"/>
  <c r="O58" i="112"/>
  <c r="E60" i="112" s="1"/>
  <c r="X25" i="112"/>
  <c r="Z22" i="112"/>
  <c r="AD22" i="112"/>
  <c r="AB25" i="112"/>
  <c r="V22" i="112"/>
  <c r="T25" i="112"/>
  <c r="T23" i="112"/>
  <c r="X23" i="112"/>
  <c r="AB23" i="112"/>
  <c r="AF23" i="112"/>
  <c r="V24" i="112"/>
  <c r="Z24" i="112"/>
  <c r="AD24" i="112"/>
  <c r="AF25" i="112"/>
  <c r="V26" i="112"/>
  <c r="Z26" i="112"/>
  <c r="AD26" i="112"/>
  <c r="T27" i="112"/>
  <c r="X27" i="112"/>
  <c r="C60" i="112"/>
  <c r="P58" i="112"/>
  <c r="M59" i="112" s="1"/>
  <c r="T28" i="112"/>
  <c r="V28" i="112"/>
  <c r="X28" i="112"/>
  <c r="Z28" i="112"/>
  <c r="AB28" i="112"/>
  <c r="AD28" i="112"/>
  <c r="T22" i="112"/>
  <c r="X22" i="112"/>
  <c r="AB22" i="112"/>
  <c r="AF22" i="112"/>
  <c r="AB24" i="112"/>
  <c r="AF24" i="112"/>
  <c r="V25" i="112"/>
  <c r="Z25" i="112"/>
  <c r="AD25" i="112"/>
  <c r="AE10" i="112"/>
  <c r="S22" i="112"/>
  <c r="U22" i="112"/>
  <c r="W22" i="112"/>
  <c r="Y22" i="112"/>
  <c r="AA22" i="112"/>
  <c r="AC22" i="112"/>
  <c r="S23" i="112"/>
  <c r="U23" i="112"/>
  <c r="W23" i="112"/>
  <c r="Y23" i="112"/>
  <c r="AA23" i="112"/>
  <c r="AC23" i="112"/>
  <c r="AE23" i="112"/>
  <c r="S24" i="112"/>
  <c r="U24" i="112"/>
  <c r="W24" i="112"/>
  <c r="Y24" i="112"/>
  <c r="AA24" i="112"/>
  <c r="AC24" i="112"/>
  <c r="AE24" i="112"/>
  <c r="S25" i="112"/>
  <c r="U25" i="112"/>
  <c r="W25" i="112"/>
  <c r="Y25" i="112"/>
  <c r="AA25" i="112"/>
  <c r="AC25" i="112"/>
  <c r="K6" i="98"/>
  <c r="K6" i="99" s="1"/>
  <c r="K6" i="100" s="1"/>
  <c r="K6" i="101" s="1"/>
  <c r="K6" i="109" s="1"/>
  <c r="K6" i="105" s="1"/>
  <c r="K6" i="110" s="1"/>
  <c r="G5" i="99"/>
  <c r="G5" i="100" s="1"/>
  <c r="G5" i="101" s="1"/>
  <c r="G5" i="109" s="1"/>
  <c r="G5" i="105" s="1"/>
  <c r="G5" i="110" s="1"/>
  <c r="K6" i="97"/>
  <c r="K5" i="97"/>
  <c r="G5" i="97"/>
  <c r="K6" i="96"/>
  <c r="G5" i="96"/>
  <c r="K6" i="95"/>
  <c r="K5" i="95"/>
  <c r="G5" i="95"/>
  <c r="K6" i="94"/>
  <c r="G6" i="110"/>
  <c r="G6" i="100"/>
  <c r="G6" i="98"/>
  <c r="G6" i="96"/>
  <c r="G6" i="109" s="1"/>
  <c r="G6" i="105"/>
  <c r="G6" i="101"/>
  <c r="G6" i="99"/>
  <c r="G6" i="97"/>
  <c r="G6" i="95"/>
  <c r="D6" i="110"/>
  <c r="D6" i="109"/>
  <c r="D6" i="100"/>
  <c r="D6" i="98"/>
  <c r="D6" i="96"/>
  <c r="D6" i="105"/>
  <c r="D6" i="101"/>
  <c r="D6" i="99"/>
  <c r="D6" i="97"/>
  <c r="D6" i="95"/>
  <c r="D5" i="110"/>
  <c r="D5" i="109"/>
  <c r="D5" i="100"/>
  <c r="D5" i="98"/>
  <c r="D5" i="96"/>
  <c r="AF23" i="114" l="1"/>
  <c r="AE26" i="114"/>
  <c r="J59" i="114"/>
  <c r="E59" i="114"/>
  <c r="F59" i="114"/>
  <c r="I59" i="114"/>
  <c r="N59" i="114"/>
  <c r="L59" i="114"/>
  <c r="H59" i="114"/>
  <c r="D59" i="114"/>
  <c r="K59" i="114"/>
  <c r="G59" i="114"/>
  <c r="C59" i="114"/>
  <c r="H60" i="114"/>
  <c r="I60" i="114"/>
  <c r="L60" i="114"/>
  <c r="D60" i="114"/>
  <c r="E60" i="114"/>
  <c r="J60" i="114"/>
  <c r="F60" i="114"/>
  <c r="K60" i="114"/>
  <c r="G60" i="114"/>
  <c r="C60" i="114"/>
  <c r="AF28" i="114"/>
  <c r="AF25" i="114"/>
  <c r="AF22" i="114"/>
  <c r="AE28" i="114"/>
  <c r="AE22" i="114"/>
  <c r="AE25" i="114"/>
  <c r="J60" i="112"/>
  <c r="K60" i="112"/>
  <c r="N60" i="112"/>
  <c r="F60" i="112"/>
  <c r="G60" i="112"/>
  <c r="D59" i="112"/>
  <c r="L60" i="112"/>
  <c r="H60" i="112"/>
  <c r="D60" i="112"/>
  <c r="I60" i="112"/>
  <c r="E59" i="112"/>
  <c r="L59" i="112"/>
  <c r="I59" i="112"/>
  <c r="H59" i="112"/>
  <c r="AE28" i="112"/>
  <c r="AE25" i="112"/>
  <c r="AE22" i="112"/>
  <c r="K59" i="112"/>
  <c r="G59" i="112"/>
  <c r="C59" i="112"/>
  <c r="N59" i="112"/>
  <c r="J59" i="112"/>
  <c r="F59" i="112"/>
  <c r="K6" i="111"/>
  <c r="K5" i="111"/>
  <c r="G5" i="11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Z39" i="105" s="1"/>
  <c r="Y19" i="105"/>
  <c r="X19" i="105"/>
  <c r="X39" i="105" s="1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AA39" i="101" s="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7" i="99" l="1"/>
  <c r="W39" i="105"/>
  <c r="AA39" i="105"/>
  <c r="Y39" i="109"/>
  <c r="AA26" i="95"/>
  <c r="X26" i="98"/>
  <c r="Z39" i="101"/>
  <c r="AB39" i="101"/>
  <c r="AD39" i="101"/>
  <c r="W26" i="95"/>
  <c r="AD26" i="95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AB15" i="95"/>
  <c r="U17" i="97"/>
  <c r="U26" i="97" s="1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Z13" i="109"/>
  <c r="P12" i="110"/>
  <c r="D106" i="110"/>
  <c r="L106" i="110"/>
  <c r="P27" i="110"/>
  <c r="S14" i="110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69" i="101"/>
  <c r="P91" i="101"/>
  <c r="U15" i="94"/>
  <c r="W17" i="96"/>
  <c r="Z19" i="98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AD12" i="101"/>
  <c r="U12" i="101"/>
  <c r="W12" i="101"/>
  <c r="Y12" i="101"/>
  <c r="AA12" i="101"/>
  <c r="AC12" i="101"/>
  <c r="V11" i="101"/>
  <c r="AC36" i="101"/>
  <c r="W18" i="9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T11" i="101"/>
  <c r="X11" i="101"/>
  <c r="Z11" i="101"/>
  <c r="AB11" i="101"/>
  <c r="AD11" i="101"/>
  <c r="Y39" i="101"/>
  <c r="Y36" i="101"/>
  <c r="Z13" i="101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AF33" i="101" l="1"/>
  <c r="U38" i="109"/>
  <c r="S38" i="110"/>
  <c r="X26" i="96"/>
  <c r="AB26" i="9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S24" i="94"/>
  <c r="W27" i="95"/>
  <c r="W24" i="95"/>
  <c r="AB24" i="98"/>
  <c r="W26" i="96"/>
  <c r="AC26" i="97"/>
  <c r="AC23" i="97"/>
  <c r="AC24" i="94"/>
  <c r="Y24" i="94"/>
  <c r="S27" i="94"/>
  <c r="AA38" i="110"/>
  <c r="W24" i="94"/>
  <c r="W27" i="94"/>
  <c r="S26" i="94"/>
  <c r="U23" i="97"/>
  <c r="AA27" i="94"/>
  <c r="U27" i="95"/>
  <c r="U24" i="95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V23" i="95"/>
  <c r="W23" i="94"/>
  <c r="AA38" i="101"/>
  <c r="AC38" i="101"/>
  <c r="Y35" i="101"/>
  <c r="U38" i="101"/>
  <c r="Y23" i="100"/>
  <c r="W28" i="100"/>
  <c r="AB26" i="99"/>
  <c r="T26" i="99"/>
  <c r="AF13" i="100"/>
  <c r="Z35" i="101"/>
  <c r="AC26" i="99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V22" i="93" l="1"/>
  <c r="AE24" i="98"/>
  <c r="X42" i="109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H60" i="94"/>
  <c r="AF35" i="101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K108" i="111" l="1"/>
  <c r="N107" i="111"/>
  <c r="K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E108" i="111" l="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<sst xmlns="http://schemas.openxmlformats.org/spreadsheetml/2006/main" count="2343" uniqueCount="181">
  <si>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</si>
  <si>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</si>
  <si>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</si>
  <si>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</si>
  <si>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</si>
  <si>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</si>
  <si>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</si>
  <si>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</si>
  <si>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</si>
  <si>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</si>
  <si>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</si>
  <si>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</si>
  <si>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</si>
  <si>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</si>
  <si>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</si>
  <si>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</si>
  <si>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</si>
  <si>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</si>
  <si>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</si>
  <si>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</si>
  <si>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</si>
  <si>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</si>
  <si>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</si>
  <si>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</si>
  <si>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</si>
  <si>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</si>
  <si>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</si>
  <si>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</si>
  <si>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</si>
  <si>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</si>
  <si>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</si>
  <si>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</si>
  <si>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</si>
  <si>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</si>
  <si>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</si>
  <si>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</si>
  <si>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</si>
  <si>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</si>
  <si>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</si>
  <si>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</si>
  <si>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</si>
  <si>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</si>
  <si>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</si>
  <si>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</si>
  <si>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</si>
  <si>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</si>
  <si>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</si>
  <si>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</si>
  <si>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</si>
  <si>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</si>
  <si>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</si>
  <si>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</si>
  <si>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</si>
  <si>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</si>
  <si>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</si>
  <si>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</si>
  <si>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</si>
  <si>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</si>
  <si>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</si>
  <si>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</si>
  <si>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</si>
  <si>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</si>
  <si>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</si>
  <si>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</si>
  <si>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</si>
  <si>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</si>
  <si>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</si>
  <si>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</si>
  <si>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</si>
  <si>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</si>
  <si>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</si>
  <si>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</si>
  <si>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</si>
  <si>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</si>
  <si>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</si>
  <si>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</si>
  <si>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</si>
  <si>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</si>
  <si>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</si>
  <si>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</si>
  <si>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</si>
  <si>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</si>
  <si>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</si>
  <si>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</si>
  <si>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</si>
  <si>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</si>
  <si>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</si>
  <si>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</si>
  <si>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</si>
  <si>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</si>
  <si>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</si>
  <si>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</si>
  <si>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</si>
  <si>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</si>
  <si>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</si>
  <si>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</si>
  <si>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</si>
  <si>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</si>
  <si>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</si>
  <si>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</si>
  <si>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</si>
  <si>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</si>
  <si>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</si>
  <si>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</si>
  <si>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</si>
  <si>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</si>
  <si>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</si>
  <si>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</si>
  <si>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</si>
  <si>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</si>
  <si>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</si>
  <si>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</si>
  <si>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</si>
  <si>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</si>
  <si>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</si>
  <si>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</si>
  <si>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</si>
  <si>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</si>
  <si>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</si>
  <si>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</si>
  <si>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</si>
  <si>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</si>
  <si>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</si>
  <si>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</si>
  <si>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</si>
  <si>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</si>
  <si>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</si>
  <si>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</si>
  <si>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</si>
  <si>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</si>
  <si>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</si>
  <si>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</si>
  <si>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</si>
  <si>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</si>
  <si>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</si>
  <si>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</si>
  <si>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</si>
  <si>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</si>
  <si>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</si>
  <si>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</si>
  <si>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</si>
  <si>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</si>
  <si>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</si>
  <si>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</si>
  <si>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</si>
  <si>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</si>
  <si>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</si>
  <si>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</si>
  <si>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</si>
  <si>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</si>
  <si>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</si>
  <si>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</si>
  <si>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</si>
  <si>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</si>
  <si>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</si>
  <si>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</si>
  <si>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</si>
  <si>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</si>
  <si>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</si>
  <si>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</si>
  <si>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</si>
  <si>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</si>
  <si>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</si>
  <si>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C4 - STNo 84 - MUBENDE ROAD</t>
  </si>
  <si>
    <t>23.10.19</t>
  </si>
  <si>
    <t>MITYANA</t>
  </si>
  <si>
    <t>MITYANA COLLEGE KIKUMBI</t>
  </si>
  <si>
    <t>MUBENDE</t>
  </si>
  <si>
    <t>STEVEN</t>
  </si>
  <si>
    <t>17.10.19</t>
  </si>
  <si>
    <t>BYARUHANGA BRIAN</t>
  </si>
  <si>
    <t>21.10.19</t>
  </si>
  <si>
    <t>22.10.19</t>
  </si>
  <si>
    <t>20.10.19</t>
  </si>
  <si>
    <t>19.10.19</t>
  </si>
  <si>
    <t>KABEIZA HENRY</t>
  </si>
  <si>
    <t>OLIVER</t>
  </si>
  <si>
    <t>18.10.19</t>
  </si>
  <si>
    <t>23.10.2019</t>
  </si>
  <si>
    <t>XXXX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</si>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</sst>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4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2" borderId="4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0" fillId="0" borderId="4" xfId="0" applyFill="1" applyBorder="1"/>
    <xf numFmtId="0" fontId="0" fillId="4" borderId="4" xfId="0" applyFill="1" applyBorder="1"/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2" borderId="1" xfId="2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4" borderId="2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 MUBENDE-MITYANA'!$AE$9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 MUBENDE-MITYANA'!$AE$10:$AE$21</c:f>
              <c:numCache>
                <c:formatCode>0</c:formatCode>
                <c:ptCount val="12"/>
                <c:pt idx="0">
                  <c:v>68</c:v>
                </c:pt>
                <c:pt idx="1">
                  <c:v>63</c:v>
                </c:pt>
                <c:pt idx="2">
                  <c:v>69</c:v>
                </c:pt>
                <c:pt idx="3">
                  <c:v>70</c:v>
                </c:pt>
                <c:pt idx="4">
                  <c:v>111</c:v>
                </c:pt>
                <c:pt idx="5">
                  <c:v>76</c:v>
                </c:pt>
                <c:pt idx="6">
                  <c:v>93</c:v>
                </c:pt>
                <c:pt idx="7">
                  <c:v>106</c:v>
                </c:pt>
                <c:pt idx="8">
                  <c:v>94</c:v>
                </c:pt>
                <c:pt idx="9">
                  <c:v>123</c:v>
                </c:pt>
                <c:pt idx="10">
                  <c:v>125</c:v>
                </c:pt>
                <c:pt idx="11">
                  <c:v>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'17.10  MUBENDE-MITYANA'!$AF$9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 MUBENDE-MITYANA'!$AF$10:$AF$21</c:f>
              <c:numCache>
                <c:formatCode>0</c:formatCode>
                <c:ptCount val="12"/>
                <c:pt idx="0">
                  <c:v>229</c:v>
                </c:pt>
                <c:pt idx="1">
                  <c:v>240</c:v>
                </c:pt>
                <c:pt idx="2">
                  <c:v>233</c:v>
                </c:pt>
                <c:pt idx="3">
                  <c:v>231</c:v>
                </c:pt>
                <c:pt idx="4">
                  <c:v>271</c:v>
                </c:pt>
                <c:pt idx="5">
                  <c:v>229</c:v>
                </c:pt>
                <c:pt idx="6">
                  <c:v>261</c:v>
                </c:pt>
                <c:pt idx="7">
                  <c:v>264</c:v>
                </c:pt>
                <c:pt idx="8">
                  <c:v>271</c:v>
                </c:pt>
                <c:pt idx="9">
                  <c:v>292</c:v>
                </c:pt>
                <c:pt idx="10">
                  <c:v>340</c:v>
                </c:pt>
                <c:pt idx="11">
                  <c:v>408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 MUBENDE-MITYANA'!$C$59:$N$59</c:f>
              <c:numCache>
                <c:formatCode>0.0%</c:formatCode>
                <c:ptCount val="12"/>
                <c:pt idx="0">
                  <c:v>0.10003059039461609</c:v>
                </c:pt>
                <c:pt idx="1">
                  <c:v>4.068522483940043E-2</c:v>
                </c:pt>
                <c:pt idx="2">
                  <c:v>3.1202202508412359E-2</c:v>
                </c:pt>
                <c:pt idx="3">
                  <c:v>9.8806974609972467E-2</c:v>
                </c:pt>
                <c:pt idx="4">
                  <c:v>1.5295197308045274E-3</c:v>
                </c:pt>
                <c:pt idx="5">
                  <c:v>4.5885591924135823E-3</c:v>
                </c:pt>
                <c:pt idx="6">
                  <c:v>3.0590394616090547E-2</c:v>
                </c:pt>
                <c:pt idx="7">
                  <c:v>2.294279596206791E-2</c:v>
                </c:pt>
                <c:pt idx="8">
                  <c:v>3.6708473539308656E-3</c:v>
                </c:pt>
                <c:pt idx="9">
                  <c:v>1.3765677577240747E-2</c:v>
                </c:pt>
                <c:pt idx="10">
                  <c:v>0.65218721321505047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 MUBENDE-MITYANA'!$S$9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'17.10 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 MUBENDE-MITYANA'!$S$10:$S$21</c:f>
              <c:numCache>
                <c:formatCode>0</c:formatCode>
                <c:ptCount val="12"/>
                <c:pt idx="0">
                  <c:v>24</c:v>
                </c:pt>
                <c:pt idx="1">
                  <c:v>12</c:v>
                </c:pt>
                <c:pt idx="2">
                  <c:v>15</c:v>
                </c:pt>
                <c:pt idx="3">
                  <c:v>22</c:v>
                </c:pt>
                <c:pt idx="4">
                  <c:v>33</c:v>
                </c:pt>
                <c:pt idx="5">
                  <c:v>28</c:v>
                </c:pt>
                <c:pt idx="6">
                  <c:v>17</c:v>
                </c:pt>
                <c:pt idx="7">
                  <c:v>28</c:v>
                </c:pt>
                <c:pt idx="8">
                  <c:v>23</c:v>
                </c:pt>
                <c:pt idx="9">
                  <c:v>34</c:v>
                </c:pt>
                <c:pt idx="10">
                  <c:v>46</c:v>
                </c:pt>
                <c:pt idx="11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'17.10  MUBENDE-MITYANA'!$T$9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'17.10 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 MUBENDE-MITYANA'!$T$10:$T$21</c:f>
              <c:numCache>
                <c:formatCode>0</c:formatCode>
                <c:ptCount val="12"/>
                <c:pt idx="0">
                  <c:v>4</c:v>
                </c:pt>
                <c:pt idx="1">
                  <c:v>10</c:v>
                </c:pt>
                <c:pt idx="2">
                  <c:v>12</c:v>
                </c:pt>
                <c:pt idx="3">
                  <c:v>7</c:v>
                </c:pt>
                <c:pt idx="4">
                  <c:v>14</c:v>
                </c:pt>
                <c:pt idx="5">
                  <c:v>6</c:v>
                </c:pt>
                <c:pt idx="6">
                  <c:v>14</c:v>
                </c:pt>
                <c:pt idx="7">
                  <c:v>16</c:v>
                </c:pt>
                <c:pt idx="8">
                  <c:v>8</c:v>
                </c:pt>
                <c:pt idx="9">
                  <c:v>15</c:v>
                </c:pt>
                <c:pt idx="10">
                  <c:v>12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'17.10  MUBENDE-MITYANA'!$U$9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MUBENDE-MITYANA'!$U$10:$U$21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7</c:v>
                </c:pt>
                <c:pt idx="3">
                  <c:v>6</c:v>
                </c:pt>
                <c:pt idx="4">
                  <c:v>12</c:v>
                </c:pt>
                <c:pt idx="5">
                  <c:v>6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12</c:v>
                </c:pt>
                <c:pt idx="10">
                  <c:v>7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'17.10  MUBENDE-MITYANA'!$V$9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MUBENDE-MITYANA'!$V$10:$V$21</c:f>
              <c:numCache>
                <c:formatCode>0</c:formatCode>
                <c:ptCount val="12"/>
                <c:pt idx="0">
                  <c:v>18</c:v>
                </c:pt>
                <c:pt idx="1">
                  <c:v>26</c:v>
                </c:pt>
                <c:pt idx="2">
                  <c:v>26</c:v>
                </c:pt>
                <c:pt idx="3">
                  <c:v>25</c:v>
                </c:pt>
                <c:pt idx="4">
                  <c:v>29</c:v>
                </c:pt>
                <c:pt idx="5">
                  <c:v>21</c:v>
                </c:pt>
                <c:pt idx="6">
                  <c:v>35</c:v>
                </c:pt>
                <c:pt idx="7">
                  <c:v>31</c:v>
                </c:pt>
                <c:pt idx="8">
                  <c:v>23</c:v>
                </c:pt>
                <c:pt idx="9">
                  <c:v>27</c:v>
                </c:pt>
                <c:pt idx="10">
                  <c:v>30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'17.10  MUBENDE-MITYANA'!$W$9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'17.10  MUBENDE-MITYANA'!$X$9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'17.10  MUBENDE-MITYANA'!$Y$9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MUBENDE-MITYANA'!$Y$10:$Y$21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2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4</c:v>
                </c:pt>
                <c:pt idx="7">
                  <c:v>6</c:v>
                </c:pt>
                <c:pt idx="8">
                  <c:v>16</c:v>
                </c:pt>
                <c:pt idx="9">
                  <c:v>11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'17.10  MUBENDE-MITYANA'!$Z$9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MUBENDE-MITYANA'!$Z$10:$Z$21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10</c:v>
                </c:pt>
                <c:pt idx="5">
                  <c:v>1</c:v>
                </c:pt>
                <c:pt idx="6">
                  <c:v>8</c:v>
                </c:pt>
                <c:pt idx="7">
                  <c:v>8</c:v>
                </c:pt>
                <c:pt idx="8">
                  <c:v>6</c:v>
                </c:pt>
                <c:pt idx="9">
                  <c:v>14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'17.10  MUBENDE-MITYANA'!$AA$9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4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'17.10  MUBENDE-MITYANA'!$AB$9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MUBENDE-MITYANA'!$AB$10:$AB$21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2</c:v>
                </c:pt>
                <c:pt idx="8">
                  <c:v>8</c:v>
                </c:pt>
                <c:pt idx="9">
                  <c:v>4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'17.10  MUBENDE-MITYANA'!$AC$9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MUBENDE-MITYANA'!$AC$10:$AC$21</c:f>
              <c:numCache>
                <c:formatCode>0</c:formatCode>
                <c:ptCount val="12"/>
                <c:pt idx="0">
                  <c:v>161</c:v>
                </c:pt>
                <c:pt idx="1">
                  <c:v>177</c:v>
                </c:pt>
                <c:pt idx="2">
                  <c:v>164</c:v>
                </c:pt>
                <c:pt idx="3">
                  <c:v>161</c:v>
                </c:pt>
                <c:pt idx="4">
                  <c:v>160</c:v>
                </c:pt>
                <c:pt idx="5">
                  <c:v>153</c:v>
                </c:pt>
                <c:pt idx="6">
                  <c:v>168</c:v>
                </c:pt>
                <c:pt idx="7">
                  <c:v>158</c:v>
                </c:pt>
                <c:pt idx="8">
                  <c:v>177</c:v>
                </c:pt>
                <c:pt idx="9">
                  <c:v>169</c:v>
                </c:pt>
                <c:pt idx="10">
                  <c:v>215</c:v>
                </c:pt>
                <c:pt idx="11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'17.10  MUBENDE-MITYANA'!$AD$9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MUBENDE-MITYANA'!$AD$10:$AD$21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 MUBENDE-MITYANA'!$C$60:$N$60</c:f>
              <c:numCache>
                <c:formatCode>0.00%</c:formatCode>
                <c:ptCount val="12"/>
                <c:pt idx="0">
                  <c:v>0.28759894459102903</c:v>
                </c:pt>
                <c:pt idx="1">
                  <c:v>0.11697449428320141</c:v>
                </c:pt>
                <c:pt idx="2">
                  <c:v>8.9709762532981532E-2</c:v>
                </c:pt>
                <c:pt idx="3">
                  <c:v>0.28408091468777485</c:v>
                </c:pt>
                <c:pt idx="4">
                  <c:v>4.3975373790677225E-3</c:v>
                </c:pt>
                <c:pt idx="5">
                  <c:v>1.3192612137203167E-2</c:v>
                </c:pt>
                <c:pt idx="6">
                  <c:v>8.7950747581354446E-2</c:v>
                </c:pt>
                <c:pt idx="7">
                  <c:v>6.5963060686015831E-2</c:v>
                </c:pt>
                <c:pt idx="8">
                  <c:v>1.0554089709762533E-2</c:v>
                </c:pt>
                <c:pt idx="9">
                  <c:v>3.9577836411609502E-2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 MITYANA-MUBENDE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 MITYANA-MUBENDE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 MITYANA-MUBENDE '!$AE$10:$AE$21</c:f>
              <c:numCache>
                <c:formatCode>0</c:formatCode>
                <c:ptCount val="12"/>
                <c:pt idx="0">
                  <c:v>75</c:v>
                </c:pt>
                <c:pt idx="1">
                  <c:v>96</c:v>
                </c:pt>
                <c:pt idx="2">
                  <c:v>86</c:v>
                </c:pt>
                <c:pt idx="3">
                  <c:v>109</c:v>
                </c:pt>
                <c:pt idx="4">
                  <c:v>115</c:v>
                </c:pt>
                <c:pt idx="5">
                  <c:v>118</c:v>
                </c:pt>
                <c:pt idx="6">
                  <c:v>115</c:v>
                </c:pt>
                <c:pt idx="7">
                  <c:v>110</c:v>
                </c:pt>
                <c:pt idx="8">
                  <c:v>84</c:v>
                </c:pt>
                <c:pt idx="9">
                  <c:v>98</c:v>
                </c:pt>
                <c:pt idx="10">
                  <c:v>97</c:v>
                </c:pt>
                <c:pt idx="11">
                  <c:v>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D9-4EA5-A3B8-1FC34B74B24E}"/>
            </c:ext>
          </c:extLst>
        </c:ser>
        <c:ser>
          <c:idx val="1"/>
          <c:order val="1"/>
          <c:tx>
            <c:strRef>
              <c:f>'17.10  MITYANA-MUBENDE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 MITYANA-MUBENDE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 MITYANA-MUBENDE '!$AF$10:$AF$21</c:f>
              <c:numCache>
                <c:formatCode>0</c:formatCode>
                <c:ptCount val="12"/>
                <c:pt idx="0">
                  <c:v>226</c:v>
                </c:pt>
                <c:pt idx="1">
                  <c:v>253</c:v>
                </c:pt>
                <c:pt idx="2">
                  <c:v>252</c:v>
                </c:pt>
                <c:pt idx="3">
                  <c:v>300</c:v>
                </c:pt>
                <c:pt idx="4">
                  <c:v>268</c:v>
                </c:pt>
                <c:pt idx="5">
                  <c:v>270</c:v>
                </c:pt>
                <c:pt idx="6">
                  <c:v>275</c:v>
                </c:pt>
                <c:pt idx="7">
                  <c:v>260</c:v>
                </c:pt>
                <c:pt idx="8">
                  <c:v>229</c:v>
                </c:pt>
                <c:pt idx="9">
                  <c:v>239</c:v>
                </c:pt>
                <c:pt idx="10">
                  <c:v>287</c:v>
                </c:pt>
                <c:pt idx="11">
                  <c:v>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D9-4EA5-A3B8-1FC34B74B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AC8-4466-B343-81729CAA51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AC8-4466-B343-81729CAA51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AC8-4466-B343-81729CAA51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AC8-4466-B343-81729CAA516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AC8-4466-B343-81729CAA516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AC8-4466-B343-81729CAA516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AC8-4466-B343-81729CAA516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AC8-4466-B343-81729CAA516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AC8-4466-B343-81729CAA516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AC8-4466-B343-81729CAA516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AC8-4466-B343-81729CAA516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AC8-4466-B343-81729CAA516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AC8-4466-B343-81729CAA51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 MITYANA-MUBENDE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 MITYANA-MUBENDE '!$C$59:$N$59</c:f>
              <c:numCache>
                <c:formatCode>0.0%</c:formatCode>
                <c:ptCount val="12"/>
                <c:pt idx="0">
                  <c:v>0.10015748031496063</c:v>
                </c:pt>
                <c:pt idx="1">
                  <c:v>4.15748031496063E-2</c:v>
                </c:pt>
                <c:pt idx="2">
                  <c:v>2.9291338582677167E-2</c:v>
                </c:pt>
                <c:pt idx="3">
                  <c:v>0.10141732283464568</c:v>
                </c:pt>
                <c:pt idx="4">
                  <c:v>1.5748031496062992E-3</c:v>
                </c:pt>
                <c:pt idx="5">
                  <c:v>6.929133858267717E-3</c:v>
                </c:pt>
                <c:pt idx="6">
                  <c:v>5.4803149606299215E-2</c:v>
                </c:pt>
                <c:pt idx="7">
                  <c:v>2.5511811023622048E-2</c:v>
                </c:pt>
                <c:pt idx="8">
                  <c:v>6.6141732283464564E-3</c:v>
                </c:pt>
                <c:pt idx="9">
                  <c:v>1.1653543307086614E-2</c:v>
                </c:pt>
                <c:pt idx="10">
                  <c:v>0.62047244094488185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AC8-4466-B343-81729CAA5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 MITYANA-MUBENDE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'17.10  MITYANA-MUBENDE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 MITYANA-MUBENDE '!$S$10:$S$21</c:f>
              <c:numCache>
                <c:formatCode>0</c:formatCode>
                <c:ptCount val="12"/>
                <c:pt idx="0">
                  <c:v>17</c:v>
                </c:pt>
                <c:pt idx="1">
                  <c:v>24</c:v>
                </c:pt>
                <c:pt idx="2">
                  <c:v>28</c:v>
                </c:pt>
                <c:pt idx="3">
                  <c:v>35</c:v>
                </c:pt>
                <c:pt idx="4">
                  <c:v>35</c:v>
                </c:pt>
                <c:pt idx="5">
                  <c:v>30</c:v>
                </c:pt>
                <c:pt idx="6">
                  <c:v>36</c:v>
                </c:pt>
                <c:pt idx="7">
                  <c:v>21</c:v>
                </c:pt>
                <c:pt idx="8">
                  <c:v>25</c:v>
                </c:pt>
                <c:pt idx="9">
                  <c:v>21</c:v>
                </c:pt>
                <c:pt idx="10">
                  <c:v>27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7C-443D-8412-6B42237B6BAA}"/>
            </c:ext>
          </c:extLst>
        </c:ser>
        <c:ser>
          <c:idx val="1"/>
          <c:order val="1"/>
          <c:tx>
            <c:strRef>
              <c:f>'17.10  MITYANA-MUBENDE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'17.10  MITYANA-MUBENDE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 MITYANA-MUBENDE '!$T$10:$T$21</c:f>
              <c:numCache>
                <c:formatCode>0</c:formatCode>
                <c:ptCount val="12"/>
                <c:pt idx="0">
                  <c:v>7</c:v>
                </c:pt>
                <c:pt idx="1">
                  <c:v>18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16</c:v>
                </c:pt>
                <c:pt idx="6">
                  <c:v>8</c:v>
                </c:pt>
                <c:pt idx="7">
                  <c:v>14</c:v>
                </c:pt>
                <c:pt idx="8">
                  <c:v>8</c:v>
                </c:pt>
                <c:pt idx="9">
                  <c:v>8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A7C-443D-8412-6B42237B6BAA}"/>
            </c:ext>
          </c:extLst>
        </c:ser>
        <c:ser>
          <c:idx val="2"/>
          <c:order val="2"/>
          <c:tx>
            <c:strRef>
              <c:f>'17.10  MITYANA-MUBENDE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'!$U$10:$U$21</c:f>
              <c:numCache>
                <c:formatCode>0</c:formatCode>
                <c:ptCount val="12"/>
                <c:pt idx="0">
                  <c:v>16</c:v>
                </c:pt>
                <c:pt idx="1">
                  <c:v>9</c:v>
                </c:pt>
                <c:pt idx="2">
                  <c:v>7</c:v>
                </c:pt>
                <c:pt idx="3">
                  <c:v>10</c:v>
                </c:pt>
                <c:pt idx="4">
                  <c:v>13</c:v>
                </c:pt>
                <c:pt idx="5">
                  <c:v>7</c:v>
                </c:pt>
                <c:pt idx="6">
                  <c:v>7</c:v>
                </c:pt>
                <c:pt idx="7">
                  <c:v>8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7C-443D-8412-6B42237B6BAA}"/>
            </c:ext>
          </c:extLst>
        </c:ser>
        <c:ser>
          <c:idx val="3"/>
          <c:order val="3"/>
          <c:tx>
            <c:strRef>
              <c:f>'17.10  MITYANA-MUBENDE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'!$V$10:$V$21</c:f>
              <c:numCache>
                <c:formatCode>0</c:formatCode>
                <c:ptCount val="12"/>
                <c:pt idx="0">
                  <c:v>17</c:v>
                </c:pt>
                <c:pt idx="1">
                  <c:v>20</c:v>
                </c:pt>
                <c:pt idx="2">
                  <c:v>22</c:v>
                </c:pt>
                <c:pt idx="3">
                  <c:v>29</c:v>
                </c:pt>
                <c:pt idx="4">
                  <c:v>28</c:v>
                </c:pt>
                <c:pt idx="5">
                  <c:v>33</c:v>
                </c:pt>
                <c:pt idx="6">
                  <c:v>30</c:v>
                </c:pt>
                <c:pt idx="7">
                  <c:v>31</c:v>
                </c:pt>
                <c:pt idx="8">
                  <c:v>24</c:v>
                </c:pt>
                <c:pt idx="9">
                  <c:v>30</c:v>
                </c:pt>
                <c:pt idx="10">
                  <c:v>24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7C-443D-8412-6B42237B6BAA}"/>
            </c:ext>
          </c:extLst>
        </c:ser>
        <c:ser>
          <c:idx val="4"/>
          <c:order val="4"/>
          <c:tx>
            <c:strRef>
              <c:f>'17.10  MITYANA-MUBENDE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7C-443D-8412-6B42237B6BAA}"/>
            </c:ext>
          </c:extLst>
        </c:ser>
        <c:ser>
          <c:idx val="5"/>
          <c:order val="5"/>
          <c:tx>
            <c:strRef>
              <c:f>'17.10  MITYANA-MUBENDE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A7C-443D-8412-6B42237B6BAA}"/>
            </c:ext>
          </c:extLst>
        </c:ser>
        <c:ser>
          <c:idx val="6"/>
          <c:order val="6"/>
          <c:tx>
            <c:strRef>
              <c:f>'17.10  MITYANA-MUBENDE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'!$Y$10:$Y$21</c:f>
              <c:numCache>
                <c:formatCode>0</c:formatCode>
                <c:ptCount val="12"/>
                <c:pt idx="0">
                  <c:v>4</c:v>
                </c:pt>
                <c:pt idx="1">
                  <c:v>13</c:v>
                </c:pt>
                <c:pt idx="2">
                  <c:v>14</c:v>
                </c:pt>
                <c:pt idx="3">
                  <c:v>12</c:v>
                </c:pt>
                <c:pt idx="4">
                  <c:v>18</c:v>
                </c:pt>
                <c:pt idx="5">
                  <c:v>17</c:v>
                </c:pt>
                <c:pt idx="6">
                  <c:v>19</c:v>
                </c:pt>
                <c:pt idx="7">
                  <c:v>23</c:v>
                </c:pt>
                <c:pt idx="8">
                  <c:v>13</c:v>
                </c:pt>
                <c:pt idx="9">
                  <c:v>17</c:v>
                </c:pt>
                <c:pt idx="10">
                  <c:v>10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7C-443D-8412-6B42237B6BAA}"/>
            </c:ext>
          </c:extLst>
        </c:ser>
        <c:ser>
          <c:idx val="7"/>
          <c:order val="7"/>
          <c:tx>
            <c:strRef>
              <c:f>'17.10  MITYANA-MUBENDE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'!$Z$10:$Z$21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10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7C-443D-8412-6B42237B6BAA}"/>
            </c:ext>
          </c:extLst>
        </c:ser>
        <c:ser>
          <c:idx val="8"/>
          <c:order val="8"/>
          <c:tx>
            <c:strRef>
              <c:f>'17.10  MITYANA-MUBENDE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7C-443D-8412-6B42237B6BAA}"/>
            </c:ext>
          </c:extLst>
        </c:ser>
        <c:ser>
          <c:idx val="9"/>
          <c:order val="9"/>
          <c:tx>
            <c:strRef>
              <c:f>'17.10  MITYANA-MUBENDE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'!$AB$10:$AB$21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A7C-443D-8412-6B42237B6BAA}"/>
            </c:ext>
          </c:extLst>
        </c:ser>
        <c:ser>
          <c:idx val="10"/>
          <c:order val="10"/>
          <c:tx>
            <c:strRef>
              <c:f>'17.10  MITYANA-MUBENDE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'!$AC$10:$AC$21</c:f>
              <c:numCache>
                <c:formatCode>0</c:formatCode>
                <c:ptCount val="12"/>
                <c:pt idx="0">
                  <c:v>151</c:v>
                </c:pt>
                <c:pt idx="1">
                  <c:v>157</c:v>
                </c:pt>
                <c:pt idx="2">
                  <c:v>166</c:v>
                </c:pt>
                <c:pt idx="3">
                  <c:v>191</c:v>
                </c:pt>
                <c:pt idx="4">
                  <c:v>153</c:v>
                </c:pt>
                <c:pt idx="5">
                  <c:v>152</c:v>
                </c:pt>
                <c:pt idx="6">
                  <c:v>160</c:v>
                </c:pt>
                <c:pt idx="7">
                  <c:v>150</c:v>
                </c:pt>
                <c:pt idx="8">
                  <c:v>145</c:v>
                </c:pt>
                <c:pt idx="9">
                  <c:v>141</c:v>
                </c:pt>
                <c:pt idx="10">
                  <c:v>190</c:v>
                </c:pt>
                <c:pt idx="11">
                  <c:v>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7C-443D-8412-6B42237B6BAA}"/>
            </c:ext>
          </c:extLst>
        </c:ser>
        <c:ser>
          <c:idx val="11"/>
          <c:order val="11"/>
          <c:tx>
            <c:strRef>
              <c:f>'17.10  MITYANA-MUBENDE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 MITYANA-MUBENDE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A7C-443D-8412-6B42237B6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7B2-4ABD-AB2A-9FB4A7B7E2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7B2-4ABD-AB2A-9FB4A7B7E2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7B2-4ABD-AB2A-9FB4A7B7E2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7B2-4ABD-AB2A-9FB4A7B7E2D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7B2-4ABD-AB2A-9FB4A7B7E2D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7B2-4ABD-AB2A-9FB4A7B7E2D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7B2-4ABD-AB2A-9FB4A7B7E2D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7B2-4ABD-AB2A-9FB4A7B7E2D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7B2-4ABD-AB2A-9FB4A7B7E2D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7B2-4ABD-AB2A-9FB4A7B7E2D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7B2-4ABD-AB2A-9FB4A7B7E2D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7B2-4ABD-AB2A-9FB4A7B7E2D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7B2-4ABD-AB2A-9FB4A7B7E2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 MITYANA-MUBENDE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 MITYANA-MUBENDE '!$C$60:$N$60</c:f>
              <c:numCache>
                <c:formatCode>0.00%</c:formatCode>
                <c:ptCount val="12"/>
                <c:pt idx="0">
                  <c:v>0.26390041493775934</c:v>
                </c:pt>
                <c:pt idx="1">
                  <c:v>0.10954356846473029</c:v>
                </c:pt>
                <c:pt idx="2">
                  <c:v>7.7178423236514526E-2</c:v>
                </c:pt>
                <c:pt idx="3">
                  <c:v>0.26721991701244813</c:v>
                </c:pt>
                <c:pt idx="4">
                  <c:v>4.1493775933609959E-3</c:v>
                </c:pt>
                <c:pt idx="5">
                  <c:v>1.8257261410788383E-2</c:v>
                </c:pt>
                <c:pt idx="6">
                  <c:v>0.14439834024896264</c:v>
                </c:pt>
                <c:pt idx="7">
                  <c:v>6.721991701244813E-2</c:v>
                </c:pt>
                <c:pt idx="8">
                  <c:v>1.7427385892116183E-2</c:v>
                </c:pt>
                <c:pt idx="9">
                  <c:v>3.0705394190871368E-2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7B2-4ABD-AB2A-9FB4A7B7E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MUBENDE-MITYANA-24h'!$AE$9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MUBENDE-MITYANA-24h'!$R$10:$R$33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MUBENDE-MITYANA-24h'!$AE$10:$AE$33</c:f>
              <c:numCache>
                <c:formatCode>0</c:formatCode>
                <c:ptCount val="24"/>
                <c:pt idx="0">
                  <c:v>68</c:v>
                </c:pt>
                <c:pt idx="1">
                  <c:v>59</c:v>
                </c:pt>
                <c:pt idx="2">
                  <c:v>64</c:v>
                </c:pt>
                <c:pt idx="3">
                  <c:v>84</c:v>
                </c:pt>
                <c:pt idx="4">
                  <c:v>82</c:v>
                </c:pt>
                <c:pt idx="5">
                  <c:v>96</c:v>
                </c:pt>
                <c:pt idx="6">
                  <c:v>87</c:v>
                </c:pt>
                <c:pt idx="7">
                  <c:v>90</c:v>
                </c:pt>
                <c:pt idx="8">
                  <c:v>103</c:v>
                </c:pt>
                <c:pt idx="9">
                  <c:v>118</c:v>
                </c:pt>
                <c:pt idx="10">
                  <c:v>183</c:v>
                </c:pt>
                <c:pt idx="11">
                  <c:v>219</c:v>
                </c:pt>
                <c:pt idx="12">
                  <c:v>125</c:v>
                </c:pt>
                <c:pt idx="13">
                  <c:v>117</c:v>
                </c:pt>
                <c:pt idx="14">
                  <c:v>92</c:v>
                </c:pt>
                <c:pt idx="15">
                  <c:v>85</c:v>
                </c:pt>
                <c:pt idx="16">
                  <c:v>59</c:v>
                </c:pt>
                <c:pt idx="17">
                  <c:v>37</c:v>
                </c:pt>
                <c:pt idx="18">
                  <c:v>33</c:v>
                </c:pt>
                <c:pt idx="19">
                  <c:v>34</c:v>
                </c:pt>
                <c:pt idx="20">
                  <c:v>33</c:v>
                </c:pt>
                <c:pt idx="21">
                  <c:v>18</c:v>
                </c:pt>
                <c:pt idx="22">
                  <c:v>27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'18.10 MUBENDE-MITYANA-24h'!$AF$9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MUBENDE-MITYANA-24h'!$R$10:$R$33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MUBENDE-MITYANA-24h'!$AF$10:$AF$33</c:f>
              <c:numCache>
                <c:formatCode>0</c:formatCode>
                <c:ptCount val="24"/>
                <c:pt idx="0">
                  <c:v>244</c:v>
                </c:pt>
                <c:pt idx="1">
                  <c:v>207</c:v>
                </c:pt>
                <c:pt idx="2">
                  <c:v>229</c:v>
                </c:pt>
                <c:pt idx="3">
                  <c:v>223</c:v>
                </c:pt>
                <c:pt idx="4">
                  <c:v>230</c:v>
                </c:pt>
                <c:pt idx="5">
                  <c:v>241</c:v>
                </c:pt>
                <c:pt idx="6">
                  <c:v>233</c:v>
                </c:pt>
                <c:pt idx="7">
                  <c:v>258</c:v>
                </c:pt>
                <c:pt idx="8">
                  <c:v>263</c:v>
                </c:pt>
                <c:pt idx="9">
                  <c:v>299</c:v>
                </c:pt>
                <c:pt idx="10">
                  <c:v>366</c:v>
                </c:pt>
                <c:pt idx="11">
                  <c:v>413</c:v>
                </c:pt>
                <c:pt idx="12">
                  <c:v>265</c:v>
                </c:pt>
                <c:pt idx="13">
                  <c:v>201</c:v>
                </c:pt>
                <c:pt idx="14">
                  <c:v>156</c:v>
                </c:pt>
                <c:pt idx="15">
                  <c:v>118</c:v>
                </c:pt>
                <c:pt idx="16">
                  <c:v>75</c:v>
                </c:pt>
                <c:pt idx="17">
                  <c:v>43</c:v>
                </c:pt>
                <c:pt idx="18">
                  <c:v>36</c:v>
                </c:pt>
                <c:pt idx="19">
                  <c:v>36</c:v>
                </c:pt>
                <c:pt idx="20">
                  <c:v>35</c:v>
                </c:pt>
                <c:pt idx="21">
                  <c:v>23</c:v>
                </c:pt>
                <c:pt idx="22">
                  <c:v>36</c:v>
                </c:pt>
                <c:pt idx="23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MUBENDE-MITYANA-24h'!$C$9:$N$9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MUBENDE-MITYANA-24h'!$C$107:$N$107</c:f>
              <c:numCache>
                <c:formatCode>0.0%</c:formatCode>
                <c:ptCount val="12"/>
                <c:pt idx="0">
                  <c:v>0.11467783205396603</c:v>
                </c:pt>
                <c:pt idx="1">
                  <c:v>5.0011630611770178E-2</c:v>
                </c:pt>
                <c:pt idx="2">
                  <c:v>4.6057222609909285E-2</c:v>
                </c:pt>
                <c:pt idx="3">
                  <c:v>9.9558036752733198E-2</c:v>
                </c:pt>
                <c:pt idx="4">
                  <c:v>4.8848569434752267E-3</c:v>
                </c:pt>
                <c:pt idx="5">
                  <c:v>7.6762037683182132E-3</c:v>
                </c:pt>
                <c:pt idx="6">
                  <c:v>4.6289834845312863E-2</c:v>
                </c:pt>
                <c:pt idx="7">
                  <c:v>4.3498488020469878E-2</c:v>
                </c:pt>
                <c:pt idx="8">
                  <c:v>1.7445917655268667E-2</c:v>
                </c:pt>
                <c:pt idx="9">
                  <c:v>2.1167713421725982E-2</c:v>
                </c:pt>
                <c:pt idx="10">
                  <c:v>0.54849965108164689</c:v>
                </c:pt>
                <c:pt idx="11">
                  <c:v>2.3261223540358222E-4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MUBENDE-MITYANA-24h'!$C$9:$N$9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MUBENDE-MITYANA-24h'!$C$108:$N$108</c:f>
              <c:numCache>
                <c:formatCode>0.00%</c:formatCode>
                <c:ptCount val="12"/>
                <c:pt idx="0">
                  <c:v>0.25399278722308088</c:v>
                </c:pt>
                <c:pt idx="1">
                  <c:v>0.11076764554353426</c:v>
                </c:pt>
                <c:pt idx="2">
                  <c:v>0.10200927357032458</c:v>
                </c:pt>
                <c:pt idx="3">
                  <c:v>0.22050489438433796</c:v>
                </c:pt>
                <c:pt idx="4">
                  <c:v>1.0819165378670788E-2</c:v>
                </c:pt>
                <c:pt idx="5">
                  <c:v>1.7001545595054096E-2</c:v>
                </c:pt>
                <c:pt idx="6">
                  <c:v>0.10252447192168986</c:v>
                </c:pt>
                <c:pt idx="7">
                  <c:v>9.634209170530654E-2</c:v>
                </c:pt>
                <c:pt idx="8">
                  <c:v>3.8639876352395672E-2</c:v>
                </c:pt>
                <c:pt idx="9">
                  <c:v>4.6883049974240081E-2</c:v>
                </c:pt>
                <c:pt idx="11">
                  <c:v>5.1519835136527566E-4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 MITYANA-MUBENDE-24h'!$AE$9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 MITYANA-MUBENDE-24h'!$R$10:$R$33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 MITYANA-MUBENDE-24h'!$AE$10:$AE$33</c:f>
              <c:numCache>
                <c:formatCode>0</c:formatCode>
                <c:ptCount val="24"/>
                <c:pt idx="0">
                  <c:v>85</c:v>
                </c:pt>
                <c:pt idx="1">
                  <c:v>86</c:v>
                </c:pt>
                <c:pt idx="2">
                  <c:v>119</c:v>
                </c:pt>
                <c:pt idx="3">
                  <c:v>106</c:v>
                </c:pt>
                <c:pt idx="4">
                  <c:v>91</c:v>
                </c:pt>
                <c:pt idx="5">
                  <c:v>86</c:v>
                </c:pt>
                <c:pt idx="6">
                  <c:v>146</c:v>
                </c:pt>
                <c:pt idx="7">
                  <c:v>99</c:v>
                </c:pt>
                <c:pt idx="8">
                  <c:v>109</c:v>
                </c:pt>
                <c:pt idx="9">
                  <c:v>187</c:v>
                </c:pt>
                <c:pt idx="10">
                  <c:v>125</c:v>
                </c:pt>
                <c:pt idx="11">
                  <c:v>110</c:v>
                </c:pt>
                <c:pt idx="12">
                  <c:v>84</c:v>
                </c:pt>
                <c:pt idx="13">
                  <c:v>79</c:v>
                </c:pt>
                <c:pt idx="14">
                  <c:v>72</c:v>
                </c:pt>
                <c:pt idx="15">
                  <c:v>66</c:v>
                </c:pt>
                <c:pt idx="16">
                  <c:v>60</c:v>
                </c:pt>
                <c:pt idx="17">
                  <c:v>32</c:v>
                </c:pt>
                <c:pt idx="18">
                  <c:v>27</c:v>
                </c:pt>
                <c:pt idx="19">
                  <c:v>15</c:v>
                </c:pt>
                <c:pt idx="20">
                  <c:v>15</c:v>
                </c:pt>
                <c:pt idx="21">
                  <c:v>12</c:v>
                </c:pt>
                <c:pt idx="22">
                  <c:v>25</c:v>
                </c:pt>
                <c:pt idx="23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'18.10  MITYANA-MUBENDE-24h'!$AF$9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 MITYANA-MUBENDE-24h'!$R$10:$R$33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 MITYANA-MUBENDE-24h'!$AF$10:$AF$33</c:f>
              <c:numCache>
                <c:formatCode>0</c:formatCode>
                <c:ptCount val="24"/>
                <c:pt idx="0">
                  <c:v>220</c:v>
                </c:pt>
                <c:pt idx="1">
                  <c:v>225</c:v>
                </c:pt>
                <c:pt idx="2">
                  <c:v>243</c:v>
                </c:pt>
                <c:pt idx="3">
                  <c:v>220</c:v>
                </c:pt>
                <c:pt idx="4">
                  <c:v>200</c:v>
                </c:pt>
                <c:pt idx="5">
                  <c:v>196</c:v>
                </c:pt>
                <c:pt idx="6">
                  <c:v>303</c:v>
                </c:pt>
                <c:pt idx="7">
                  <c:v>212</c:v>
                </c:pt>
                <c:pt idx="8">
                  <c:v>244</c:v>
                </c:pt>
                <c:pt idx="9">
                  <c:v>331</c:v>
                </c:pt>
                <c:pt idx="10">
                  <c:v>345</c:v>
                </c:pt>
                <c:pt idx="11">
                  <c:v>308</c:v>
                </c:pt>
                <c:pt idx="12">
                  <c:v>214</c:v>
                </c:pt>
                <c:pt idx="13">
                  <c:v>190</c:v>
                </c:pt>
                <c:pt idx="14">
                  <c:v>167</c:v>
                </c:pt>
                <c:pt idx="15">
                  <c:v>106</c:v>
                </c:pt>
                <c:pt idx="16">
                  <c:v>84</c:v>
                </c:pt>
                <c:pt idx="17">
                  <c:v>42</c:v>
                </c:pt>
                <c:pt idx="18">
                  <c:v>31</c:v>
                </c:pt>
                <c:pt idx="19">
                  <c:v>17</c:v>
                </c:pt>
                <c:pt idx="20">
                  <c:v>20</c:v>
                </c:pt>
                <c:pt idx="21">
                  <c:v>15</c:v>
                </c:pt>
                <c:pt idx="22">
                  <c:v>41</c:v>
                </c:pt>
                <c:pt idx="23">
                  <c:v>130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 MITYANA-MUBENDE-24h'!$C$9:$N$9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 MITYANA-MUBENDE-24h'!$C$107:$N$107</c:f>
              <c:numCache>
                <c:formatCode>0.0%</c:formatCode>
                <c:ptCount val="12"/>
                <c:pt idx="0">
                  <c:v>0.12524366471734893</c:v>
                </c:pt>
                <c:pt idx="1">
                  <c:v>3.9961013645224169E-2</c:v>
                </c:pt>
                <c:pt idx="2">
                  <c:v>2.8265107212475632E-2</c:v>
                </c:pt>
                <c:pt idx="3">
                  <c:v>0.10185185185185185</c:v>
                </c:pt>
                <c:pt idx="4">
                  <c:v>4.3859649122807015E-3</c:v>
                </c:pt>
                <c:pt idx="5">
                  <c:v>7.3099415204678359E-3</c:v>
                </c:pt>
                <c:pt idx="6">
                  <c:v>6.2378167641325533E-2</c:v>
                </c:pt>
                <c:pt idx="7">
                  <c:v>5.3849902534113057E-2</c:v>
                </c:pt>
                <c:pt idx="8">
                  <c:v>1.9249512670565301E-2</c:v>
                </c:pt>
                <c:pt idx="9">
                  <c:v>2.1442495126705652E-2</c:v>
                </c:pt>
                <c:pt idx="10">
                  <c:v>0.53581871345029242</c:v>
                </c:pt>
                <c:pt idx="11">
                  <c:v>2.4366471734892786E-4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 MITYANA-MUBENDE-24h'!$C$9:$N$9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 MITYANA-MUBENDE-24h'!$C$108:$N$108</c:f>
              <c:numCache>
                <c:formatCode>0.00%</c:formatCode>
                <c:ptCount val="12"/>
                <c:pt idx="0">
                  <c:v>0.26981627296587929</c:v>
                </c:pt>
                <c:pt idx="1">
                  <c:v>8.6089238845144356E-2</c:v>
                </c:pt>
                <c:pt idx="2">
                  <c:v>6.0892388451443569E-2</c:v>
                </c:pt>
                <c:pt idx="3">
                  <c:v>0.21942257217847769</c:v>
                </c:pt>
                <c:pt idx="4">
                  <c:v>9.4488188976377951E-3</c:v>
                </c:pt>
                <c:pt idx="5">
                  <c:v>1.5748031496062992E-2</c:v>
                </c:pt>
                <c:pt idx="6">
                  <c:v>0.13438320209973753</c:v>
                </c:pt>
                <c:pt idx="7">
                  <c:v>0.11601049868766404</c:v>
                </c:pt>
                <c:pt idx="8">
                  <c:v>4.1469816272965879E-2</c:v>
                </c:pt>
                <c:pt idx="9">
                  <c:v>4.6194225721784776E-2</c:v>
                </c:pt>
                <c:pt idx="11">
                  <c:v>5.2493438320209973E-4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 MUBENDE-MITYANA-24h'!$AE$9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 MUBENDE-MITYANA-24h'!$R$10:$R$33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 MUBENDE-MITYANA-24h'!$AE$10:$AE$33</c:f>
              <c:numCache>
                <c:formatCode>0</c:formatCode>
                <c:ptCount val="24"/>
                <c:pt idx="0">
                  <c:v>48</c:v>
                </c:pt>
                <c:pt idx="1">
                  <c:v>70</c:v>
                </c:pt>
                <c:pt idx="2">
                  <c:v>69</c:v>
                </c:pt>
                <c:pt idx="3">
                  <c:v>72</c:v>
                </c:pt>
                <c:pt idx="4">
                  <c:v>102</c:v>
                </c:pt>
                <c:pt idx="5">
                  <c:v>102</c:v>
                </c:pt>
                <c:pt idx="6">
                  <c:v>94</c:v>
                </c:pt>
                <c:pt idx="7">
                  <c:v>95</c:v>
                </c:pt>
                <c:pt idx="8">
                  <c:v>115</c:v>
                </c:pt>
                <c:pt idx="9">
                  <c:v>112</c:v>
                </c:pt>
                <c:pt idx="10">
                  <c:v>130</c:v>
                </c:pt>
                <c:pt idx="11">
                  <c:v>110</c:v>
                </c:pt>
                <c:pt idx="12">
                  <c:v>115</c:v>
                </c:pt>
                <c:pt idx="13">
                  <c:v>130</c:v>
                </c:pt>
                <c:pt idx="14">
                  <c:v>134</c:v>
                </c:pt>
                <c:pt idx="15">
                  <c:v>70</c:v>
                </c:pt>
                <c:pt idx="16">
                  <c:v>52</c:v>
                </c:pt>
                <c:pt idx="17">
                  <c:v>35</c:v>
                </c:pt>
                <c:pt idx="18">
                  <c:v>43</c:v>
                </c:pt>
                <c:pt idx="19">
                  <c:v>27</c:v>
                </c:pt>
                <c:pt idx="20">
                  <c:v>20</c:v>
                </c:pt>
                <c:pt idx="21">
                  <c:v>22</c:v>
                </c:pt>
                <c:pt idx="22">
                  <c:v>20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'19.10  MUBENDE-MITYANA-24h'!$AF$9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 MUBENDE-MITYANA-24h'!$R$10:$R$33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 MUBENDE-MITYANA-24h'!$AF$10:$AF$33</c:f>
              <c:numCache>
                <c:formatCode>0</c:formatCode>
                <c:ptCount val="24"/>
                <c:pt idx="0">
                  <c:v>181</c:v>
                </c:pt>
                <c:pt idx="1">
                  <c:v>207</c:v>
                </c:pt>
                <c:pt idx="2">
                  <c:v>206</c:v>
                </c:pt>
                <c:pt idx="3">
                  <c:v>192</c:v>
                </c:pt>
                <c:pt idx="4">
                  <c:v>275</c:v>
                </c:pt>
                <c:pt idx="5">
                  <c:v>232</c:v>
                </c:pt>
                <c:pt idx="6">
                  <c:v>213</c:v>
                </c:pt>
                <c:pt idx="7">
                  <c:v>210</c:v>
                </c:pt>
                <c:pt idx="8">
                  <c:v>301</c:v>
                </c:pt>
                <c:pt idx="9">
                  <c:v>249</c:v>
                </c:pt>
                <c:pt idx="10">
                  <c:v>216</c:v>
                </c:pt>
                <c:pt idx="11">
                  <c:v>319</c:v>
                </c:pt>
                <c:pt idx="12">
                  <c:v>279</c:v>
                </c:pt>
                <c:pt idx="13">
                  <c:v>230</c:v>
                </c:pt>
                <c:pt idx="14">
                  <c:v>212</c:v>
                </c:pt>
                <c:pt idx="15">
                  <c:v>102</c:v>
                </c:pt>
                <c:pt idx="16">
                  <c:v>71</c:v>
                </c:pt>
                <c:pt idx="17">
                  <c:v>43</c:v>
                </c:pt>
                <c:pt idx="18">
                  <c:v>47</c:v>
                </c:pt>
                <c:pt idx="19">
                  <c:v>39</c:v>
                </c:pt>
                <c:pt idx="20">
                  <c:v>29</c:v>
                </c:pt>
                <c:pt idx="21">
                  <c:v>24</c:v>
                </c:pt>
                <c:pt idx="22">
                  <c:v>22</c:v>
                </c:pt>
                <c:pt idx="23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 MUBENDE-MITYANA-24h'!$C$9:$N$9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 MUBENDE-MITYANA-24h'!$C$107:$N$107</c:f>
              <c:numCache>
                <c:formatCode>0.0%</c:formatCode>
                <c:ptCount val="12"/>
                <c:pt idx="0">
                  <c:v>0.12240243284338571</c:v>
                </c:pt>
                <c:pt idx="1">
                  <c:v>4.8403446528129751E-2</c:v>
                </c:pt>
                <c:pt idx="2">
                  <c:v>2.7116066903193108E-2</c:v>
                </c:pt>
                <c:pt idx="3">
                  <c:v>0.11201216421692854</c:v>
                </c:pt>
                <c:pt idx="4">
                  <c:v>3.8013177901672578E-3</c:v>
                </c:pt>
                <c:pt idx="5">
                  <c:v>7.3492143943233654E-3</c:v>
                </c:pt>
                <c:pt idx="6">
                  <c:v>5.5499239736441969E-2</c:v>
                </c:pt>
                <c:pt idx="7">
                  <c:v>4.6629498226051697E-2</c:v>
                </c:pt>
                <c:pt idx="8">
                  <c:v>1.8499746578813987E-2</c:v>
                </c:pt>
                <c:pt idx="9">
                  <c:v>1.7992904206791688E-2</c:v>
                </c:pt>
                <c:pt idx="10">
                  <c:v>0.54004054738976182</c:v>
                </c:pt>
                <c:pt idx="11">
                  <c:v>2.5342118601115053E-4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 MUBENDE-MITYANA-24h'!$C$9:$N$9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 MUBENDE-MITYANA-24h'!$C$108:$N$108</c:f>
              <c:numCache>
                <c:formatCode>0.00%</c:formatCode>
                <c:ptCount val="12"/>
                <c:pt idx="0">
                  <c:v>0.26611570247933886</c:v>
                </c:pt>
                <c:pt idx="1">
                  <c:v>0.10523415977961433</c:v>
                </c:pt>
                <c:pt idx="2">
                  <c:v>5.8953168044077138E-2</c:v>
                </c:pt>
                <c:pt idx="3">
                  <c:v>0.24352617079889807</c:v>
                </c:pt>
                <c:pt idx="4">
                  <c:v>8.2644628099173556E-3</c:v>
                </c:pt>
                <c:pt idx="5">
                  <c:v>1.5977961432506887E-2</c:v>
                </c:pt>
                <c:pt idx="6">
                  <c:v>0.12066115702479339</c:v>
                </c:pt>
                <c:pt idx="7">
                  <c:v>0.10137741046831956</c:v>
                </c:pt>
                <c:pt idx="8">
                  <c:v>4.0220385674931129E-2</c:v>
                </c:pt>
                <c:pt idx="9">
                  <c:v>3.911845730027548E-2</c:v>
                </c:pt>
                <c:pt idx="11">
                  <c:v>5.5096418732782364E-4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MITYANA-MUBENDE-24h'!$AE$9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MITYANA-MUBENDE-24h'!$R$10:$R$33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MITYANA-MUBENDE-24h'!$AE$10:$AE$33</c:f>
              <c:numCache>
                <c:formatCode>0</c:formatCode>
                <c:ptCount val="24"/>
                <c:pt idx="0">
                  <c:v>97</c:v>
                </c:pt>
                <c:pt idx="1">
                  <c:v>103</c:v>
                </c:pt>
                <c:pt idx="2">
                  <c:v>125</c:v>
                </c:pt>
                <c:pt idx="3">
                  <c:v>167</c:v>
                </c:pt>
                <c:pt idx="4">
                  <c:v>180</c:v>
                </c:pt>
                <c:pt idx="5">
                  <c:v>123</c:v>
                </c:pt>
                <c:pt idx="6">
                  <c:v>106</c:v>
                </c:pt>
                <c:pt idx="7">
                  <c:v>136</c:v>
                </c:pt>
                <c:pt idx="8">
                  <c:v>224</c:v>
                </c:pt>
                <c:pt idx="9">
                  <c:v>188</c:v>
                </c:pt>
                <c:pt idx="10">
                  <c:v>140</c:v>
                </c:pt>
                <c:pt idx="11">
                  <c:v>194</c:v>
                </c:pt>
                <c:pt idx="12">
                  <c:v>153</c:v>
                </c:pt>
                <c:pt idx="13">
                  <c:v>94</c:v>
                </c:pt>
                <c:pt idx="14">
                  <c:v>59</c:v>
                </c:pt>
                <c:pt idx="15">
                  <c:v>68</c:v>
                </c:pt>
                <c:pt idx="16">
                  <c:v>44</c:v>
                </c:pt>
                <c:pt idx="17">
                  <c:v>30</c:v>
                </c:pt>
                <c:pt idx="18">
                  <c:v>22</c:v>
                </c:pt>
                <c:pt idx="19">
                  <c:v>12</c:v>
                </c:pt>
                <c:pt idx="20">
                  <c:v>11</c:v>
                </c:pt>
                <c:pt idx="21">
                  <c:v>12</c:v>
                </c:pt>
                <c:pt idx="22">
                  <c:v>12</c:v>
                </c:pt>
                <c:pt idx="23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'19.10 MITYANA-MUBENDE-24h'!$AF$9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MITYANA-MUBENDE-24h'!$R$10:$R$33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MITYANA-MUBENDE-24h'!$AF$10:$AF$33</c:f>
              <c:numCache>
                <c:formatCode>0</c:formatCode>
                <c:ptCount val="24"/>
                <c:pt idx="0">
                  <c:v>217</c:v>
                </c:pt>
                <c:pt idx="1">
                  <c:v>220</c:v>
                </c:pt>
                <c:pt idx="2">
                  <c:v>250</c:v>
                </c:pt>
                <c:pt idx="3">
                  <c:v>287</c:v>
                </c:pt>
                <c:pt idx="4">
                  <c:v>334</c:v>
                </c:pt>
                <c:pt idx="5">
                  <c:v>234</c:v>
                </c:pt>
                <c:pt idx="6">
                  <c:v>232</c:v>
                </c:pt>
                <c:pt idx="7">
                  <c:v>297</c:v>
                </c:pt>
                <c:pt idx="8">
                  <c:v>351</c:v>
                </c:pt>
                <c:pt idx="9">
                  <c:v>320</c:v>
                </c:pt>
                <c:pt idx="10">
                  <c:v>221</c:v>
                </c:pt>
                <c:pt idx="11">
                  <c:v>372</c:v>
                </c:pt>
                <c:pt idx="12">
                  <c:v>281</c:v>
                </c:pt>
                <c:pt idx="13">
                  <c:v>219</c:v>
                </c:pt>
                <c:pt idx="14">
                  <c:v>124</c:v>
                </c:pt>
                <c:pt idx="15">
                  <c:v>121</c:v>
                </c:pt>
                <c:pt idx="16">
                  <c:v>71</c:v>
                </c:pt>
                <c:pt idx="17">
                  <c:v>44</c:v>
                </c:pt>
                <c:pt idx="18">
                  <c:v>28</c:v>
                </c:pt>
                <c:pt idx="19">
                  <c:v>17</c:v>
                </c:pt>
                <c:pt idx="20">
                  <c:v>21</c:v>
                </c:pt>
                <c:pt idx="21">
                  <c:v>13</c:v>
                </c:pt>
                <c:pt idx="22">
                  <c:v>14</c:v>
                </c:pt>
                <c:pt idx="23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MITYANA-MUBENDE-24h'!$C$9:$N$9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MITYANA-MUBENDE-24h'!$C$107:$N$107</c:f>
              <c:numCache>
                <c:formatCode>0.0%</c:formatCode>
                <c:ptCount val="12"/>
                <c:pt idx="0">
                  <c:v>0.1460310113399676</c:v>
                </c:pt>
                <c:pt idx="1">
                  <c:v>5.4616986808609116E-2</c:v>
                </c:pt>
                <c:pt idx="2">
                  <c:v>4.0499884286044896E-2</c:v>
                </c:pt>
                <c:pt idx="3">
                  <c:v>0.11571395510298542</c:v>
                </c:pt>
                <c:pt idx="4">
                  <c:v>3.9342744735015043E-3</c:v>
                </c:pt>
                <c:pt idx="5">
                  <c:v>8.0999768572089792E-3</c:v>
                </c:pt>
                <c:pt idx="6">
                  <c:v>5.3922703077991206E-2</c:v>
                </c:pt>
                <c:pt idx="7">
                  <c:v>6.3411247396436013E-2</c:v>
                </c:pt>
                <c:pt idx="8">
                  <c:v>2.6382781763480675E-2</c:v>
                </c:pt>
                <c:pt idx="9">
                  <c:v>2.3142791020597082E-2</c:v>
                </c:pt>
                <c:pt idx="10">
                  <c:v>0.46378153205276557</c:v>
                </c:pt>
                <c:pt idx="11">
                  <c:v>4.628558204119417E-4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MITYANA-MUBENDE-24h'!$C$9:$N$9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MITYANA-MUBENDE-24h'!$C$108:$N$108</c:f>
              <c:numCache>
                <c:formatCode>0.00%</c:formatCode>
                <c:ptCount val="12"/>
                <c:pt idx="0">
                  <c:v>0.27233491583944758</c:v>
                </c:pt>
                <c:pt idx="1">
                  <c:v>0.10185584807941303</c:v>
                </c:pt>
                <c:pt idx="2">
                  <c:v>7.5528700906344406E-2</c:v>
                </c:pt>
                <c:pt idx="3">
                  <c:v>0.21579628830384118</c:v>
                </c:pt>
                <c:pt idx="4">
                  <c:v>7.3370738023305999E-3</c:v>
                </c:pt>
                <c:pt idx="5">
                  <c:v>1.5105740181268883E-2</c:v>
                </c:pt>
                <c:pt idx="6">
                  <c:v>0.10056107034958998</c:v>
                </c:pt>
                <c:pt idx="7">
                  <c:v>0.11825636599050496</c:v>
                </c:pt>
                <c:pt idx="8">
                  <c:v>4.9201553733275789E-2</c:v>
                </c:pt>
                <c:pt idx="9">
                  <c:v>4.3159257660768238E-2</c:v>
                </c:pt>
                <c:pt idx="11">
                  <c:v>8.6318515321536469E-4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MUBENDE-MITYANA'!$AE$9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MUBENDE-MITYANA'!$AE$10:$AE$21</c:f>
              <c:numCache>
                <c:formatCode>0</c:formatCode>
                <c:ptCount val="12"/>
                <c:pt idx="0">
                  <c:v>28</c:v>
                </c:pt>
                <c:pt idx="1">
                  <c:v>61</c:v>
                </c:pt>
                <c:pt idx="2">
                  <c:v>57</c:v>
                </c:pt>
                <c:pt idx="3">
                  <c:v>78</c:v>
                </c:pt>
                <c:pt idx="4">
                  <c:v>89</c:v>
                </c:pt>
                <c:pt idx="5">
                  <c:v>116</c:v>
                </c:pt>
                <c:pt idx="6">
                  <c:v>124</c:v>
                </c:pt>
                <c:pt idx="7">
                  <c:v>126</c:v>
                </c:pt>
                <c:pt idx="8">
                  <c:v>141</c:v>
                </c:pt>
                <c:pt idx="9">
                  <c:v>135</c:v>
                </c:pt>
                <c:pt idx="10">
                  <c:v>148</c:v>
                </c:pt>
                <c:pt idx="11">
                  <c:v>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'20.10 MUBENDE-MITYANA'!$AF$9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MUBENDE-MITYANA'!$AF$10:$AF$21</c:f>
              <c:numCache>
                <c:formatCode>0</c:formatCode>
                <c:ptCount val="12"/>
                <c:pt idx="0">
                  <c:v>143</c:v>
                </c:pt>
                <c:pt idx="1">
                  <c:v>233</c:v>
                </c:pt>
                <c:pt idx="2">
                  <c:v>235</c:v>
                </c:pt>
                <c:pt idx="3">
                  <c:v>255</c:v>
                </c:pt>
                <c:pt idx="4">
                  <c:v>283</c:v>
                </c:pt>
                <c:pt idx="5">
                  <c:v>293</c:v>
                </c:pt>
                <c:pt idx="6">
                  <c:v>323</c:v>
                </c:pt>
                <c:pt idx="7">
                  <c:v>277</c:v>
                </c:pt>
                <c:pt idx="8">
                  <c:v>305</c:v>
                </c:pt>
                <c:pt idx="9">
                  <c:v>401</c:v>
                </c:pt>
                <c:pt idx="10">
                  <c:v>383</c:v>
                </c:pt>
                <c:pt idx="11">
                  <c:v>376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MUBENDE-MITYANA'!$C$59:$N$59</c:f>
              <c:numCache>
                <c:formatCode>0.0%</c:formatCode>
                <c:ptCount val="12"/>
                <c:pt idx="0">
                  <c:v>0.12917023096663816</c:v>
                </c:pt>
                <c:pt idx="1">
                  <c:v>5.5317935557456517E-2</c:v>
                </c:pt>
                <c:pt idx="2">
                  <c:v>2.1670943826632448E-2</c:v>
                </c:pt>
                <c:pt idx="3">
                  <c:v>9.0675791274593673E-2</c:v>
                </c:pt>
                <c:pt idx="4">
                  <c:v>4.2771599657827203E-3</c:v>
                </c:pt>
                <c:pt idx="5">
                  <c:v>5.1325919589392645E-3</c:v>
                </c:pt>
                <c:pt idx="6">
                  <c:v>2.6803535785571715E-2</c:v>
                </c:pt>
                <c:pt idx="7">
                  <c:v>1.6538351867693184E-2</c:v>
                </c:pt>
                <c:pt idx="8">
                  <c:v>3.4217279726261761E-3</c:v>
                </c:pt>
                <c:pt idx="9">
                  <c:v>1.0550327915597377E-2</c:v>
                </c:pt>
                <c:pt idx="10">
                  <c:v>0.63644140290846873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MUBENDE-MITYANA'!$S$9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MUBENDE-MITYANA'!$S$10:$S$21</c:f>
              <c:numCache>
                <c:formatCode>0</c:formatCode>
                <c:ptCount val="12"/>
                <c:pt idx="0">
                  <c:v>9</c:v>
                </c:pt>
                <c:pt idx="1">
                  <c:v>25</c:v>
                </c:pt>
                <c:pt idx="2">
                  <c:v>16</c:v>
                </c:pt>
                <c:pt idx="3">
                  <c:v>21</c:v>
                </c:pt>
                <c:pt idx="4">
                  <c:v>27</c:v>
                </c:pt>
                <c:pt idx="5">
                  <c:v>46</c:v>
                </c:pt>
                <c:pt idx="6">
                  <c:v>44</c:v>
                </c:pt>
                <c:pt idx="7">
                  <c:v>52</c:v>
                </c:pt>
                <c:pt idx="8">
                  <c:v>50</c:v>
                </c:pt>
                <c:pt idx="9">
                  <c:v>47</c:v>
                </c:pt>
                <c:pt idx="10">
                  <c:v>51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'20.10 MUBENDE-MITYANA'!$T$9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MUBENDE-MITYANA'!$T$10:$T$21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16</c:v>
                </c:pt>
                <c:pt idx="7">
                  <c:v>16</c:v>
                </c:pt>
                <c:pt idx="8">
                  <c:v>27</c:v>
                </c:pt>
                <c:pt idx="9">
                  <c:v>30</c:v>
                </c:pt>
                <c:pt idx="10">
                  <c:v>40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'20.10 MUBENDE-MITYANA'!$U$9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MUBENDE-MITYANA'!$U$10:$U$21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2</c:v>
                </c:pt>
                <c:pt idx="4">
                  <c:v>7</c:v>
                </c:pt>
                <c:pt idx="5">
                  <c:v>12</c:v>
                </c:pt>
                <c:pt idx="6">
                  <c:v>9</c:v>
                </c:pt>
                <c:pt idx="7">
                  <c:v>10</c:v>
                </c:pt>
                <c:pt idx="8">
                  <c:v>10</c:v>
                </c:pt>
                <c:pt idx="9">
                  <c:v>4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'20.10 MUBENDE-MITYANA'!$V$9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MUBENDE-MITYANA'!$V$10:$V$21</c:f>
              <c:numCache>
                <c:formatCode>0</c:formatCode>
                <c:ptCount val="12"/>
                <c:pt idx="0">
                  <c:v>10</c:v>
                </c:pt>
                <c:pt idx="1">
                  <c:v>17</c:v>
                </c:pt>
                <c:pt idx="2">
                  <c:v>18</c:v>
                </c:pt>
                <c:pt idx="3">
                  <c:v>27</c:v>
                </c:pt>
                <c:pt idx="4">
                  <c:v>25</c:v>
                </c:pt>
                <c:pt idx="5">
                  <c:v>32</c:v>
                </c:pt>
                <c:pt idx="6">
                  <c:v>29</c:v>
                </c:pt>
                <c:pt idx="7">
                  <c:v>26</c:v>
                </c:pt>
                <c:pt idx="8">
                  <c:v>28</c:v>
                </c:pt>
                <c:pt idx="9">
                  <c:v>31</c:v>
                </c:pt>
                <c:pt idx="10">
                  <c:v>31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'20.10 MUBENDE-MITYANA'!$W$9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'20.10 MUBENDE-MITYANA'!$X$9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'20.10 MUBENDE-MITYANA'!$Y$9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MUBENDE-MITYANA'!$Y$10:$Y$21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13</c:v>
                </c:pt>
                <c:pt idx="4">
                  <c:v>11</c:v>
                </c:pt>
                <c:pt idx="5">
                  <c:v>2</c:v>
                </c:pt>
                <c:pt idx="6">
                  <c:v>10</c:v>
                </c:pt>
                <c:pt idx="7">
                  <c:v>8</c:v>
                </c:pt>
                <c:pt idx="8">
                  <c:v>13</c:v>
                </c:pt>
                <c:pt idx="9">
                  <c:v>6</c:v>
                </c:pt>
                <c:pt idx="10">
                  <c:v>8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'20.10 MUBENDE-MITYANA'!$Z$9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MUBENDE-MITYANA'!$Z$10:$Z$21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4</c:v>
                </c:pt>
                <c:pt idx="10">
                  <c:v>7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'20.10 MUBENDE-MITYANA'!$AA$9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'20.10 MUBENDE-MITYANA'!$AB$9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MUBENDE-MITYANA'!$AB$10:$AB$21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'20.10 MUBENDE-MITYANA'!$AC$9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MUBENDE-MITYANA'!$AC$10:$AC$21</c:f>
              <c:numCache>
                <c:formatCode>0</c:formatCode>
                <c:ptCount val="12"/>
                <c:pt idx="0">
                  <c:v>115</c:v>
                </c:pt>
                <c:pt idx="1">
                  <c:v>172</c:v>
                </c:pt>
                <c:pt idx="2">
                  <c:v>178</c:v>
                </c:pt>
                <c:pt idx="3">
                  <c:v>177</c:v>
                </c:pt>
                <c:pt idx="4">
                  <c:v>194</c:v>
                </c:pt>
                <c:pt idx="5">
                  <c:v>177</c:v>
                </c:pt>
                <c:pt idx="6">
                  <c:v>199</c:v>
                </c:pt>
                <c:pt idx="7">
                  <c:v>151</c:v>
                </c:pt>
                <c:pt idx="8">
                  <c:v>164</c:v>
                </c:pt>
                <c:pt idx="9">
                  <c:v>266</c:v>
                </c:pt>
                <c:pt idx="10">
                  <c:v>235</c:v>
                </c:pt>
                <c:pt idx="11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'20.10 MUBENDE-MITYANA'!$AD$9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MUBENDE-MITYANA'!$AD$10:$AD$21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MUBENDE-MITYANA'!$C$60:$N$60</c:f>
              <c:numCache>
                <c:formatCode>0.00%</c:formatCode>
                <c:ptCount val="12"/>
                <c:pt idx="0">
                  <c:v>0.35529411764705882</c:v>
                </c:pt>
                <c:pt idx="1">
                  <c:v>0.15215686274509804</c:v>
                </c:pt>
                <c:pt idx="2">
                  <c:v>5.9607843137254903E-2</c:v>
                </c:pt>
                <c:pt idx="3">
                  <c:v>0.24941176470588236</c:v>
                </c:pt>
                <c:pt idx="4">
                  <c:v>1.1764705882352941E-2</c:v>
                </c:pt>
                <c:pt idx="5">
                  <c:v>1.411764705882353E-2</c:v>
                </c:pt>
                <c:pt idx="6">
                  <c:v>7.3725490196078436E-2</c:v>
                </c:pt>
                <c:pt idx="7">
                  <c:v>4.5490196078431369E-2</c:v>
                </c:pt>
                <c:pt idx="8">
                  <c:v>9.4117647058823521E-3</c:v>
                </c:pt>
                <c:pt idx="9">
                  <c:v>2.9019607843137254E-2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MITYANA-MUBENDE'!$AE$9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MITYANA-MUBENDE'!$AE$10:$AE$21</c:f>
              <c:numCache>
                <c:formatCode>0</c:formatCode>
                <c:ptCount val="12"/>
                <c:pt idx="0">
                  <c:v>57</c:v>
                </c:pt>
                <c:pt idx="1">
                  <c:v>83</c:v>
                </c:pt>
                <c:pt idx="2">
                  <c:v>88</c:v>
                </c:pt>
                <c:pt idx="3">
                  <c:v>120</c:v>
                </c:pt>
                <c:pt idx="4">
                  <c:v>129</c:v>
                </c:pt>
                <c:pt idx="5">
                  <c:v>119</c:v>
                </c:pt>
                <c:pt idx="6">
                  <c:v>113</c:v>
                </c:pt>
                <c:pt idx="7">
                  <c:v>121</c:v>
                </c:pt>
                <c:pt idx="8">
                  <c:v>135</c:v>
                </c:pt>
                <c:pt idx="9">
                  <c:v>124</c:v>
                </c:pt>
                <c:pt idx="10">
                  <c:v>148</c:v>
                </c:pt>
                <c:pt idx="11">
                  <c:v>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'20.10 MITYANA-MUBENDE'!$AF$9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MITYANA-MUBENDE'!$AF$10:$AF$21</c:f>
              <c:numCache>
                <c:formatCode>0</c:formatCode>
                <c:ptCount val="12"/>
                <c:pt idx="0">
                  <c:v>138</c:v>
                </c:pt>
                <c:pt idx="1">
                  <c:v>220</c:v>
                </c:pt>
                <c:pt idx="2">
                  <c:v>265</c:v>
                </c:pt>
                <c:pt idx="3">
                  <c:v>272</c:v>
                </c:pt>
                <c:pt idx="4">
                  <c:v>289</c:v>
                </c:pt>
                <c:pt idx="5">
                  <c:v>296</c:v>
                </c:pt>
                <c:pt idx="6">
                  <c:v>305</c:v>
                </c:pt>
                <c:pt idx="7">
                  <c:v>269</c:v>
                </c:pt>
                <c:pt idx="8">
                  <c:v>313</c:v>
                </c:pt>
                <c:pt idx="9">
                  <c:v>345</c:v>
                </c:pt>
                <c:pt idx="10">
                  <c:v>376</c:v>
                </c:pt>
                <c:pt idx="11">
                  <c:v>355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MITYANA-MUBENDE'!$C$59:$N$59</c:f>
              <c:numCache>
                <c:formatCode>0.0%</c:formatCode>
                <c:ptCount val="12"/>
                <c:pt idx="0">
                  <c:v>0.12837641591635202</c:v>
                </c:pt>
                <c:pt idx="1">
                  <c:v>4.6471100784199824E-2</c:v>
                </c:pt>
                <c:pt idx="2">
                  <c:v>3.1948881789137379E-2</c:v>
                </c:pt>
                <c:pt idx="3">
                  <c:v>0.10020331106593088</c:v>
                </c:pt>
                <c:pt idx="4">
                  <c:v>2.6139994191112402E-3</c:v>
                </c:pt>
                <c:pt idx="5">
                  <c:v>6.0993319779262273E-3</c:v>
                </c:pt>
                <c:pt idx="6">
                  <c:v>4.0081324426372349E-2</c:v>
                </c:pt>
                <c:pt idx="7">
                  <c:v>1.9750217833284928E-2</c:v>
                </c:pt>
                <c:pt idx="8">
                  <c:v>4.9375544583212319E-3</c:v>
                </c:pt>
                <c:pt idx="9">
                  <c:v>1.4812663374963694E-2</c:v>
                </c:pt>
                <c:pt idx="10">
                  <c:v>0.604414754574499</c:v>
                </c:pt>
                <c:pt idx="11">
                  <c:v>2.9044437990124891E-4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MITYANA-MUBENDE'!$S$9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MITYANA-MUBENDE'!$S$10:$S$21</c:f>
              <c:numCache>
                <c:formatCode>0</c:formatCode>
                <c:ptCount val="12"/>
                <c:pt idx="0">
                  <c:v>18</c:v>
                </c:pt>
                <c:pt idx="1">
                  <c:v>26</c:v>
                </c:pt>
                <c:pt idx="2">
                  <c:v>21</c:v>
                </c:pt>
                <c:pt idx="3">
                  <c:v>38</c:v>
                </c:pt>
                <c:pt idx="4">
                  <c:v>41</c:v>
                </c:pt>
                <c:pt idx="5">
                  <c:v>40</c:v>
                </c:pt>
                <c:pt idx="6">
                  <c:v>36</c:v>
                </c:pt>
                <c:pt idx="7">
                  <c:v>32</c:v>
                </c:pt>
                <c:pt idx="8">
                  <c:v>43</c:v>
                </c:pt>
                <c:pt idx="9">
                  <c:v>44</c:v>
                </c:pt>
                <c:pt idx="10">
                  <c:v>55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'20.10 MITYANA-MUBENDE'!$T$9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MITYANA-MUBENDE'!$T$10:$T$21</c:f>
              <c:numCache>
                <c:formatCode>0</c:formatCode>
                <c:ptCount val="12"/>
                <c:pt idx="0">
                  <c:v>4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13</c:v>
                </c:pt>
                <c:pt idx="5">
                  <c:v>15</c:v>
                </c:pt>
                <c:pt idx="6">
                  <c:v>16</c:v>
                </c:pt>
                <c:pt idx="7">
                  <c:v>11</c:v>
                </c:pt>
                <c:pt idx="8">
                  <c:v>18</c:v>
                </c:pt>
                <c:pt idx="9">
                  <c:v>22</c:v>
                </c:pt>
                <c:pt idx="10">
                  <c:v>18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'20.10 MITYANA-MUBENDE'!$U$9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MITYANA-MUBENDE'!$U$10:$U$21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13</c:v>
                </c:pt>
                <c:pt idx="3">
                  <c:v>7</c:v>
                </c:pt>
                <c:pt idx="4">
                  <c:v>17</c:v>
                </c:pt>
                <c:pt idx="5">
                  <c:v>13</c:v>
                </c:pt>
                <c:pt idx="6">
                  <c:v>5</c:v>
                </c:pt>
                <c:pt idx="7">
                  <c:v>15</c:v>
                </c:pt>
                <c:pt idx="8">
                  <c:v>12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'20.10 MITYANA-MUBENDE'!$V$9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MITYANA-MUBENDE'!$V$10:$V$21</c:f>
              <c:numCache>
                <c:formatCode>0</c:formatCode>
                <c:ptCount val="12"/>
                <c:pt idx="0">
                  <c:v>11</c:v>
                </c:pt>
                <c:pt idx="1">
                  <c:v>19</c:v>
                </c:pt>
                <c:pt idx="2">
                  <c:v>24</c:v>
                </c:pt>
                <c:pt idx="3">
                  <c:v>31</c:v>
                </c:pt>
                <c:pt idx="4">
                  <c:v>30</c:v>
                </c:pt>
                <c:pt idx="5">
                  <c:v>30</c:v>
                </c:pt>
                <c:pt idx="6">
                  <c:v>32</c:v>
                </c:pt>
                <c:pt idx="7">
                  <c:v>42</c:v>
                </c:pt>
                <c:pt idx="8">
                  <c:v>30</c:v>
                </c:pt>
                <c:pt idx="9">
                  <c:v>29</c:v>
                </c:pt>
                <c:pt idx="10">
                  <c:v>37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'20.10 MITYANA-MUBENDE'!$W$9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'20.10 MITYANA-MUBENDE'!$X$9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'20.10 MITYANA-MUBENDE'!$Y$9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MITYANA-MUBENDE'!$Y$10:$Y$21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19</c:v>
                </c:pt>
                <c:pt idx="4">
                  <c:v>10</c:v>
                </c:pt>
                <c:pt idx="5">
                  <c:v>10</c:v>
                </c:pt>
                <c:pt idx="6">
                  <c:v>12</c:v>
                </c:pt>
                <c:pt idx="7">
                  <c:v>7</c:v>
                </c:pt>
                <c:pt idx="8">
                  <c:v>16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'20.10 MITYANA-MUBENDE'!$Z$9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MITYANA-MUBENDE'!$Z$10:$Z$21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5</c:v>
                </c:pt>
                <c:pt idx="7">
                  <c:v>9</c:v>
                </c:pt>
                <c:pt idx="8">
                  <c:v>6</c:v>
                </c:pt>
                <c:pt idx="9">
                  <c:v>6</c:v>
                </c:pt>
                <c:pt idx="10">
                  <c:v>11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'20.10 MITYANA-MUBENDE'!$AA$9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MITYANA-MUBENDE'!$AA$10:$AA$21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'20.10 MITYANA-MUBENDE'!$AB$9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MITYANA-MUBENDE'!$AB$10:$AB$21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7</c:v>
                </c:pt>
                <c:pt idx="4">
                  <c:v>11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5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'20.10 MITYANA-MUBENDE'!$AC$9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MITYANA-MUBENDE'!$AC$10:$AC$21</c:f>
              <c:numCache>
                <c:formatCode>0</c:formatCode>
                <c:ptCount val="12"/>
                <c:pt idx="0">
                  <c:v>81</c:v>
                </c:pt>
                <c:pt idx="1">
                  <c:v>137</c:v>
                </c:pt>
                <c:pt idx="2">
                  <c:v>177</c:v>
                </c:pt>
                <c:pt idx="3">
                  <c:v>152</c:v>
                </c:pt>
                <c:pt idx="4">
                  <c:v>160</c:v>
                </c:pt>
                <c:pt idx="5">
                  <c:v>177</c:v>
                </c:pt>
                <c:pt idx="6">
                  <c:v>192</c:v>
                </c:pt>
                <c:pt idx="7">
                  <c:v>148</c:v>
                </c:pt>
                <c:pt idx="8">
                  <c:v>178</c:v>
                </c:pt>
                <c:pt idx="9">
                  <c:v>221</c:v>
                </c:pt>
                <c:pt idx="10">
                  <c:v>228</c:v>
                </c:pt>
                <c:pt idx="11">
                  <c:v>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'20.10 MITYANA-MUBENDE'!$AD$9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MITYANA-MUBENDE'!$AD$10:$AD$21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MITYANA-MUBENDE'!$C$60:$N$60</c:f>
              <c:numCache>
                <c:formatCode>0.00%</c:formatCode>
                <c:ptCount val="12"/>
                <c:pt idx="0">
                  <c:v>0.32452276064610869</c:v>
                </c:pt>
                <c:pt idx="1">
                  <c:v>0.11747430249632893</c:v>
                </c:pt>
                <c:pt idx="2">
                  <c:v>8.0763582966226141E-2</c:v>
                </c:pt>
                <c:pt idx="3">
                  <c:v>0.25330396475770928</c:v>
                </c:pt>
                <c:pt idx="4">
                  <c:v>6.6079295154185024E-3</c:v>
                </c:pt>
                <c:pt idx="5">
                  <c:v>1.5418502202643172E-2</c:v>
                </c:pt>
                <c:pt idx="6">
                  <c:v>0.1013215859030837</c:v>
                </c:pt>
                <c:pt idx="7">
                  <c:v>4.9926578560939794E-2</c:v>
                </c:pt>
                <c:pt idx="8">
                  <c:v>1.2481644640234948E-2</c:v>
                </c:pt>
                <c:pt idx="9">
                  <c:v>3.7444933920704845E-2</c:v>
                </c:pt>
                <c:pt idx="11">
                  <c:v>7.3421439060205576E-4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MUBENDE-MITYANA'!$AE$9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MUBENDE-MITYANA'!$AE$10:$AE$21</c:f>
              <c:numCache>
                <c:formatCode>0</c:formatCode>
                <c:ptCount val="12"/>
                <c:pt idx="0">
                  <c:v>72</c:v>
                </c:pt>
                <c:pt idx="1">
                  <c:v>86</c:v>
                </c:pt>
                <c:pt idx="2">
                  <c:v>79</c:v>
                </c:pt>
                <c:pt idx="3">
                  <c:v>92</c:v>
                </c:pt>
                <c:pt idx="4">
                  <c:v>66</c:v>
                </c:pt>
                <c:pt idx="5">
                  <c:v>86</c:v>
                </c:pt>
                <c:pt idx="6">
                  <c:v>77</c:v>
                </c:pt>
                <c:pt idx="7">
                  <c:v>86</c:v>
                </c:pt>
                <c:pt idx="8">
                  <c:v>90</c:v>
                </c:pt>
                <c:pt idx="9">
                  <c:v>124</c:v>
                </c:pt>
                <c:pt idx="10">
                  <c:v>123</c:v>
                </c:pt>
                <c:pt idx="11">
                  <c:v>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'21.10 MUBENDE-MITYANA'!$AF$9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MUBENDE-MITYANA'!$AF$10:$AF$21</c:f>
              <c:numCache>
                <c:formatCode>0</c:formatCode>
                <c:ptCount val="12"/>
                <c:pt idx="0">
                  <c:v>294</c:v>
                </c:pt>
                <c:pt idx="1">
                  <c:v>285</c:v>
                </c:pt>
                <c:pt idx="2">
                  <c:v>233</c:v>
                </c:pt>
                <c:pt idx="3">
                  <c:v>239</c:v>
                </c:pt>
                <c:pt idx="4">
                  <c:v>203</c:v>
                </c:pt>
                <c:pt idx="5">
                  <c:v>229</c:v>
                </c:pt>
                <c:pt idx="6">
                  <c:v>235</c:v>
                </c:pt>
                <c:pt idx="7">
                  <c:v>267</c:v>
                </c:pt>
                <c:pt idx="8">
                  <c:v>277</c:v>
                </c:pt>
                <c:pt idx="9">
                  <c:v>320</c:v>
                </c:pt>
                <c:pt idx="10">
                  <c:v>353</c:v>
                </c:pt>
                <c:pt idx="11">
                  <c:v>320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MUBENDE-MITYANA'!$C$59:$N$59</c:f>
              <c:numCache>
                <c:formatCode>0.0%</c:formatCode>
                <c:ptCount val="12"/>
                <c:pt idx="0">
                  <c:v>9.9231950844854075E-2</c:v>
                </c:pt>
                <c:pt idx="1">
                  <c:v>4.3010752688172046E-2</c:v>
                </c:pt>
                <c:pt idx="2">
                  <c:v>1.5668202764976959E-2</c:v>
                </c:pt>
                <c:pt idx="3">
                  <c:v>0.10814132104454685</c:v>
                </c:pt>
                <c:pt idx="4">
                  <c:v>2.7649769585253456E-3</c:v>
                </c:pt>
                <c:pt idx="5">
                  <c:v>4.608294930875576E-3</c:v>
                </c:pt>
                <c:pt idx="6">
                  <c:v>2.6420890937019971E-2</c:v>
                </c:pt>
                <c:pt idx="7">
                  <c:v>1.7204301075268817E-2</c:v>
                </c:pt>
                <c:pt idx="8">
                  <c:v>5.5299539170506912E-3</c:v>
                </c:pt>
                <c:pt idx="9">
                  <c:v>9.8310291858678955E-3</c:v>
                </c:pt>
                <c:pt idx="10">
                  <c:v>0.66758832565284176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MUBENDE-MITYANA'!$S$9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MUBENDE-MITYANA'!$S$10:$S$21</c:f>
              <c:numCache>
                <c:formatCode>0</c:formatCode>
                <c:ptCount val="12"/>
                <c:pt idx="0">
                  <c:v>27</c:v>
                </c:pt>
                <c:pt idx="1">
                  <c:v>26</c:v>
                </c:pt>
                <c:pt idx="2">
                  <c:v>28</c:v>
                </c:pt>
                <c:pt idx="3">
                  <c:v>27</c:v>
                </c:pt>
                <c:pt idx="4">
                  <c:v>22</c:v>
                </c:pt>
                <c:pt idx="5">
                  <c:v>23</c:v>
                </c:pt>
                <c:pt idx="6">
                  <c:v>19</c:v>
                </c:pt>
                <c:pt idx="7">
                  <c:v>19</c:v>
                </c:pt>
                <c:pt idx="8">
                  <c:v>28</c:v>
                </c:pt>
                <c:pt idx="9">
                  <c:v>28</c:v>
                </c:pt>
                <c:pt idx="10">
                  <c:v>48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'21.10 MUBENDE-MITYANA'!$T$9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MUBENDE-MITYANA'!$T$10:$T$21</c:f>
              <c:numCache>
                <c:formatCode>0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14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  <c:pt idx="6">
                  <c:v>3</c:v>
                </c:pt>
                <c:pt idx="7">
                  <c:v>11</c:v>
                </c:pt>
                <c:pt idx="8">
                  <c:v>11</c:v>
                </c:pt>
                <c:pt idx="9">
                  <c:v>25</c:v>
                </c:pt>
                <c:pt idx="10">
                  <c:v>17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'21.10 MUBENDE-MITYANA'!$U$9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MUBENDE-MITYANA'!$U$10:$U$21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6</c:v>
                </c:pt>
                <c:pt idx="8">
                  <c:v>5</c:v>
                </c:pt>
                <c:pt idx="9">
                  <c:v>7</c:v>
                </c:pt>
                <c:pt idx="10">
                  <c:v>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'21.10 MUBENDE-MITYANA'!$V$9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MUBENDE-MITYANA'!$V$10:$V$21</c:f>
              <c:numCache>
                <c:formatCode>0</c:formatCode>
                <c:ptCount val="12"/>
                <c:pt idx="0">
                  <c:v>26</c:v>
                </c:pt>
                <c:pt idx="1">
                  <c:v>34</c:v>
                </c:pt>
                <c:pt idx="2">
                  <c:v>26</c:v>
                </c:pt>
                <c:pt idx="3">
                  <c:v>33</c:v>
                </c:pt>
                <c:pt idx="4">
                  <c:v>24</c:v>
                </c:pt>
                <c:pt idx="5">
                  <c:v>28</c:v>
                </c:pt>
                <c:pt idx="6">
                  <c:v>36</c:v>
                </c:pt>
                <c:pt idx="7">
                  <c:v>27</c:v>
                </c:pt>
                <c:pt idx="8">
                  <c:v>22</c:v>
                </c:pt>
                <c:pt idx="9">
                  <c:v>41</c:v>
                </c:pt>
                <c:pt idx="10">
                  <c:v>30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'21.10 MUBENDE-MITYANA'!$W$9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'21.10 MUBENDE-MITYANA'!$X$9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'21.10 MUBENDE-MITYANA'!$Y$9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MUBENDE-MITYANA'!$Y$10:$Y$21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9</c:v>
                </c:pt>
                <c:pt idx="4">
                  <c:v>3</c:v>
                </c:pt>
                <c:pt idx="5">
                  <c:v>6</c:v>
                </c:pt>
                <c:pt idx="6">
                  <c:v>5</c:v>
                </c:pt>
                <c:pt idx="7">
                  <c:v>9</c:v>
                </c:pt>
                <c:pt idx="8">
                  <c:v>9</c:v>
                </c:pt>
                <c:pt idx="9">
                  <c:v>13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'21.10 MUBENDE-MITYANA'!$Z$9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MUBENDE-MITYANA'!$Z$10:$Z$21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'21.10 MUBENDE-MITYANA'!$AA$9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'21.10 MUBENDE-MITYANA'!$AB$9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MUBENDE-MITYANA'!$AB$10:$AB$21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0</c:v>
                </c:pt>
                <c:pt idx="7">
                  <c:v>3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'21.10 MUBENDE-MITYANA'!$AC$9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MUBENDE-MITYANA'!$AC$10:$AC$21</c:f>
              <c:numCache>
                <c:formatCode>0</c:formatCode>
                <c:ptCount val="12"/>
                <c:pt idx="0">
                  <c:v>222</c:v>
                </c:pt>
                <c:pt idx="1">
                  <c:v>199</c:v>
                </c:pt>
                <c:pt idx="2">
                  <c:v>154</c:v>
                </c:pt>
                <c:pt idx="3">
                  <c:v>147</c:v>
                </c:pt>
                <c:pt idx="4">
                  <c:v>137</c:v>
                </c:pt>
                <c:pt idx="5">
                  <c:v>143</c:v>
                </c:pt>
                <c:pt idx="6">
                  <c:v>158</c:v>
                </c:pt>
                <c:pt idx="7">
                  <c:v>181</c:v>
                </c:pt>
                <c:pt idx="8">
                  <c:v>187</c:v>
                </c:pt>
                <c:pt idx="9">
                  <c:v>196</c:v>
                </c:pt>
                <c:pt idx="10">
                  <c:v>230</c:v>
                </c:pt>
                <c:pt idx="11">
                  <c:v>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'21.10 MUBENDE-MITYANA'!$AD$9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MUBENDE-MITYANA'!$AD$10:$AD$21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MUBENDE-MITYANA'!$C$60:$N$60</c:f>
              <c:numCache>
                <c:formatCode>0.00%</c:formatCode>
                <c:ptCount val="12"/>
                <c:pt idx="0">
                  <c:v>0.29852125693160814</c:v>
                </c:pt>
                <c:pt idx="1">
                  <c:v>0.12939001848428835</c:v>
                </c:pt>
                <c:pt idx="2">
                  <c:v>4.7134935304990758E-2</c:v>
                </c:pt>
                <c:pt idx="3">
                  <c:v>0.32532347504621073</c:v>
                </c:pt>
                <c:pt idx="4">
                  <c:v>8.3179297597042508E-3</c:v>
                </c:pt>
                <c:pt idx="5">
                  <c:v>1.3863216266173753E-2</c:v>
                </c:pt>
                <c:pt idx="6">
                  <c:v>7.9482439926062853E-2</c:v>
                </c:pt>
                <c:pt idx="7">
                  <c:v>5.1756007393715345E-2</c:v>
                </c:pt>
                <c:pt idx="8">
                  <c:v>1.6635859519408502E-2</c:v>
                </c:pt>
                <c:pt idx="9">
                  <c:v>2.9574861367837338E-2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MITYANA-MUBENDE'!$AE$9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MITYANA-MUBENDE'!$AE$10:$AE$21</c:f>
              <c:numCache>
                <c:formatCode>0</c:formatCode>
                <c:ptCount val="12"/>
                <c:pt idx="0">
                  <c:v>65</c:v>
                </c:pt>
                <c:pt idx="1">
                  <c:v>82</c:v>
                </c:pt>
                <c:pt idx="2">
                  <c:v>107</c:v>
                </c:pt>
                <c:pt idx="3">
                  <c:v>86</c:v>
                </c:pt>
                <c:pt idx="4">
                  <c:v>116</c:v>
                </c:pt>
                <c:pt idx="5">
                  <c:v>123</c:v>
                </c:pt>
                <c:pt idx="6">
                  <c:v>117</c:v>
                </c:pt>
                <c:pt idx="7">
                  <c:v>131</c:v>
                </c:pt>
                <c:pt idx="8">
                  <c:v>127</c:v>
                </c:pt>
                <c:pt idx="9">
                  <c:v>138</c:v>
                </c:pt>
                <c:pt idx="10">
                  <c:v>133</c:v>
                </c:pt>
                <c:pt idx="11">
                  <c:v>115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'21.10 MITYANA-MUBENDE'!$AF$9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MITYANA-MUBENDE'!$AF$10:$AF$21</c:f>
              <c:numCache>
                <c:formatCode>0</c:formatCode>
                <c:ptCount val="12"/>
                <c:pt idx="0">
                  <c:v>236</c:v>
                </c:pt>
                <c:pt idx="1">
                  <c:v>265</c:v>
                </c:pt>
                <c:pt idx="2">
                  <c:v>282</c:v>
                </c:pt>
                <c:pt idx="3">
                  <c:v>225</c:v>
                </c:pt>
                <c:pt idx="4">
                  <c:v>282</c:v>
                </c:pt>
                <c:pt idx="5">
                  <c:v>267</c:v>
                </c:pt>
                <c:pt idx="6">
                  <c:v>275</c:v>
                </c:pt>
                <c:pt idx="7">
                  <c:v>314</c:v>
                </c:pt>
                <c:pt idx="8">
                  <c:v>295</c:v>
                </c:pt>
                <c:pt idx="9">
                  <c:v>348</c:v>
                </c:pt>
                <c:pt idx="10">
                  <c:v>341</c:v>
                </c:pt>
                <c:pt idx="11">
                  <c:v>323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MITYANA-MUBENDE'!$C$59:$N$59</c:f>
              <c:numCache>
                <c:formatCode>0.0%</c:formatCode>
                <c:ptCount val="12"/>
                <c:pt idx="0">
                  <c:v>0.10975962930784824</c:v>
                </c:pt>
                <c:pt idx="1">
                  <c:v>5.4445409788589631E-2</c:v>
                </c:pt>
                <c:pt idx="2">
                  <c:v>2.28786562409499E-2</c:v>
                </c:pt>
                <c:pt idx="3">
                  <c:v>0.10831161309006661</c:v>
                </c:pt>
                <c:pt idx="4">
                  <c:v>8.6880973066898344E-4</c:v>
                </c:pt>
                <c:pt idx="5">
                  <c:v>7.5296843324645238E-3</c:v>
                </c:pt>
                <c:pt idx="6">
                  <c:v>3.7938024905878949E-2</c:v>
                </c:pt>
                <c:pt idx="7">
                  <c:v>2.9829134086301768E-2</c:v>
                </c:pt>
                <c:pt idx="8">
                  <c:v>8.9777005502461628E-3</c:v>
                </c:pt>
                <c:pt idx="9">
                  <c:v>7.5296843324645238E-3</c:v>
                </c:pt>
                <c:pt idx="10">
                  <c:v>0.61193165363452073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MITYANA-MUBENDE'!$S$9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MITYANA-MUBENDE'!$S$10:$S$21</c:f>
              <c:numCache>
                <c:formatCode>0</c:formatCode>
                <c:ptCount val="12"/>
                <c:pt idx="0">
                  <c:v>22</c:v>
                </c:pt>
                <c:pt idx="1">
                  <c:v>23</c:v>
                </c:pt>
                <c:pt idx="2">
                  <c:v>38</c:v>
                </c:pt>
                <c:pt idx="3">
                  <c:v>24</c:v>
                </c:pt>
                <c:pt idx="4">
                  <c:v>41</c:v>
                </c:pt>
                <c:pt idx="5">
                  <c:v>31</c:v>
                </c:pt>
                <c:pt idx="6">
                  <c:v>23</c:v>
                </c:pt>
                <c:pt idx="7">
                  <c:v>32</c:v>
                </c:pt>
                <c:pt idx="8">
                  <c:v>42</c:v>
                </c:pt>
                <c:pt idx="9">
                  <c:v>38</c:v>
                </c:pt>
                <c:pt idx="10">
                  <c:v>33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'21.10 MITYANA-MUBENDE'!$T$9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MITYANA-MUBENDE'!$T$10:$T$21</c:f>
              <c:numCache>
                <c:formatCode>0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16</c:v>
                </c:pt>
                <c:pt idx="5">
                  <c:v>22</c:v>
                </c:pt>
                <c:pt idx="6">
                  <c:v>17</c:v>
                </c:pt>
                <c:pt idx="7">
                  <c:v>16</c:v>
                </c:pt>
                <c:pt idx="8">
                  <c:v>15</c:v>
                </c:pt>
                <c:pt idx="9">
                  <c:v>17</c:v>
                </c:pt>
                <c:pt idx="10">
                  <c:v>22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'21.10 MITYANA-MUBENDE'!$U$9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MITYANA-MUBENDE'!$U$10:$U$21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  <c:pt idx="4">
                  <c:v>6</c:v>
                </c:pt>
                <c:pt idx="5">
                  <c:v>4</c:v>
                </c:pt>
                <c:pt idx="6">
                  <c:v>12</c:v>
                </c:pt>
                <c:pt idx="7">
                  <c:v>10</c:v>
                </c:pt>
                <c:pt idx="8">
                  <c:v>14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'21.10 MITYANA-MUBENDE'!$V$9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MITYANA-MUBENDE'!$V$10:$V$21</c:f>
              <c:numCache>
                <c:formatCode>0</c:formatCode>
                <c:ptCount val="12"/>
                <c:pt idx="0">
                  <c:v>14</c:v>
                </c:pt>
                <c:pt idx="1">
                  <c:v>22</c:v>
                </c:pt>
                <c:pt idx="2">
                  <c:v>24</c:v>
                </c:pt>
                <c:pt idx="3">
                  <c:v>22</c:v>
                </c:pt>
                <c:pt idx="4">
                  <c:v>29</c:v>
                </c:pt>
                <c:pt idx="5">
                  <c:v>37</c:v>
                </c:pt>
                <c:pt idx="6">
                  <c:v>42</c:v>
                </c:pt>
                <c:pt idx="7">
                  <c:v>38</c:v>
                </c:pt>
                <c:pt idx="8">
                  <c:v>33</c:v>
                </c:pt>
                <c:pt idx="9">
                  <c:v>45</c:v>
                </c:pt>
                <c:pt idx="10">
                  <c:v>40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'21.10 MITYANA-MUBENDE'!$W$9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'21.10 MITYANA-MUBENDE'!$X$9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'21.10 MITYANA-MUBENDE'!$Y$9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MITYANA-MUBENDE'!$Y$10:$Y$21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14</c:v>
                </c:pt>
                <c:pt idx="4">
                  <c:v>8</c:v>
                </c:pt>
                <c:pt idx="5">
                  <c:v>12</c:v>
                </c:pt>
                <c:pt idx="6">
                  <c:v>11</c:v>
                </c:pt>
                <c:pt idx="7">
                  <c:v>15</c:v>
                </c:pt>
                <c:pt idx="8">
                  <c:v>11</c:v>
                </c:pt>
                <c:pt idx="9">
                  <c:v>12</c:v>
                </c:pt>
                <c:pt idx="10">
                  <c:v>12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'21.10 MITYANA-MUBENDE'!$Z$9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MITYANA-MUBENDE'!$Z$10:$Z$21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15</c:v>
                </c:pt>
                <c:pt idx="3">
                  <c:v>4</c:v>
                </c:pt>
                <c:pt idx="4">
                  <c:v>10</c:v>
                </c:pt>
                <c:pt idx="5">
                  <c:v>8</c:v>
                </c:pt>
                <c:pt idx="6">
                  <c:v>6</c:v>
                </c:pt>
                <c:pt idx="7">
                  <c:v>9</c:v>
                </c:pt>
                <c:pt idx="8">
                  <c:v>8</c:v>
                </c:pt>
                <c:pt idx="9">
                  <c:v>9</c:v>
                </c:pt>
                <c:pt idx="10">
                  <c:v>13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'21.10 MITYANA-MUBENDE'!$AA$9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MITYANA-MUBENDE'!$AA$10:$AA$21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'21.10 MITYANA-MUBENDE'!$AB$9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MITYANA-MUBENDE'!$AB$10:$AB$21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5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'21.10 MITYANA-MUBENDE'!$AC$9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MITYANA-MUBENDE'!$AC$10:$AC$21</c:f>
              <c:numCache>
                <c:formatCode>0</c:formatCode>
                <c:ptCount val="12"/>
                <c:pt idx="0">
                  <c:v>171</c:v>
                </c:pt>
                <c:pt idx="1">
                  <c:v>183</c:v>
                </c:pt>
                <c:pt idx="2">
                  <c:v>175</c:v>
                </c:pt>
                <c:pt idx="3">
                  <c:v>139</c:v>
                </c:pt>
                <c:pt idx="4">
                  <c:v>166</c:v>
                </c:pt>
                <c:pt idx="5">
                  <c:v>144</c:v>
                </c:pt>
                <c:pt idx="6">
                  <c:v>158</c:v>
                </c:pt>
                <c:pt idx="7">
                  <c:v>183</c:v>
                </c:pt>
                <c:pt idx="8">
                  <c:v>168</c:v>
                </c:pt>
                <c:pt idx="9">
                  <c:v>210</c:v>
                </c:pt>
                <c:pt idx="10">
                  <c:v>208</c:v>
                </c:pt>
                <c:pt idx="11">
                  <c:v>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'21.10 MITYANA-MUBENDE'!$AD$9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MITYANA-MUBENDE'!$AD$10:$AD$21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MITYANA-MUBENDE'!$C$60:$N$60</c:f>
              <c:numCache>
                <c:formatCode>0.00%</c:formatCode>
                <c:ptCount val="12"/>
                <c:pt idx="0">
                  <c:v>0.28283582089552239</c:v>
                </c:pt>
                <c:pt idx="1">
                  <c:v>0.14029850746268657</c:v>
                </c:pt>
                <c:pt idx="2">
                  <c:v>5.8955223880597013E-2</c:v>
                </c:pt>
                <c:pt idx="3">
                  <c:v>0.27910447761194029</c:v>
                </c:pt>
                <c:pt idx="4">
                  <c:v>2.2388059701492539E-3</c:v>
                </c:pt>
                <c:pt idx="5">
                  <c:v>1.9402985074626865E-2</c:v>
                </c:pt>
                <c:pt idx="6">
                  <c:v>9.7761194029850743E-2</c:v>
                </c:pt>
                <c:pt idx="7">
                  <c:v>7.6865671641791047E-2</c:v>
                </c:pt>
                <c:pt idx="8">
                  <c:v>2.3134328358208955E-2</c:v>
                </c:pt>
                <c:pt idx="9">
                  <c:v>1.9402985074626865E-2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MUBENDE-MITYANA'!$AE$9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MUBENDE-MITYANA'!$AE$10:$AE$21</c:f>
              <c:numCache>
                <c:formatCode>0</c:formatCode>
                <c:ptCount val="12"/>
                <c:pt idx="0">
                  <c:v>71</c:v>
                </c:pt>
                <c:pt idx="1">
                  <c:v>65</c:v>
                </c:pt>
                <c:pt idx="2">
                  <c:v>78</c:v>
                </c:pt>
                <c:pt idx="3">
                  <c:v>70</c:v>
                </c:pt>
                <c:pt idx="4">
                  <c:v>73</c:v>
                </c:pt>
                <c:pt idx="5">
                  <c:v>81</c:v>
                </c:pt>
                <c:pt idx="6">
                  <c:v>90</c:v>
                </c:pt>
                <c:pt idx="7">
                  <c:v>86</c:v>
                </c:pt>
                <c:pt idx="8">
                  <c:v>91</c:v>
                </c:pt>
                <c:pt idx="9">
                  <c:v>92</c:v>
                </c:pt>
                <c:pt idx="10">
                  <c:v>140</c:v>
                </c:pt>
                <c:pt idx="11">
                  <c:v>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'22.10 MUBENDE-MITYANA'!$AF$9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MUBENDE-MITYANA'!$AF$10:$AF$21</c:f>
              <c:numCache>
                <c:formatCode>0</c:formatCode>
                <c:ptCount val="12"/>
                <c:pt idx="0">
                  <c:v>244</c:v>
                </c:pt>
                <c:pt idx="1">
                  <c:v>246</c:v>
                </c:pt>
                <c:pt idx="2">
                  <c:v>248</c:v>
                </c:pt>
                <c:pt idx="3">
                  <c:v>212</c:v>
                </c:pt>
                <c:pt idx="4">
                  <c:v>224</c:v>
                </c:pt>
                <c:pt idx="5">
                  <c:v>253</c:v>
                </c:pt>
                <c:pt idx="6">
                  <c:v>262</c:v>
                </c:pt>
                <c:pt idx="7">
                  <c:v>270</c:v>
                </c:pt>
                <c:pt idx="8">
                  <c:v>235</c:v>
                </c:pt>
                <c:pt idx="9">
                  <c:v>281</c:v>
                </c:pt>
                <c:pt idx="10">
                  <c:v>367</c:v>
                </c:pt>
                <c:pt idx="11">
                  <c:v>355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MUBENDE-MITYANA'!$C$59:$N$59</c:f>
              <c:numCache>
                <c:formatCode>0.0%</c:formatCode>
                <c:ptCount val="12"/>
                <c:pt idx="0">
                  <c:v>0.1079136690647482</c:v>
                </c:pt>
                <c:pt idx="1">
                  <c:v>3.9411948701908041E-2</c:v>
                </c:pt>
                <c:pt idx="2">
                  <c:v>1.8142008132624336E-2</c:v>
                </c:pt>
                <c:pt idx="3">
                  <c:v>9.7278698780106351E-2</c:v>
                </c:pt>
                <c:pt idx="4">
                  <c:v>1.5639662183296842E-3</c:v>
                </c:pt>
                <c:pt idx="5">
                  <c:v>5.0046918986549893E-3</c:v>
                </c:pt>
                <c:pt idx="6">
                  <c:v>2.7525805442602441E-2</c:v>
                </c:pt>
                <c:pt idx="7">
                  <c:v>2.0957147325617768E-2</c:v>
                </c:pt>
                <c:pt idx="8">
                  <c:v>6.2558648733187366E-3</c:v>
                </c:pt>
                <c:pt idx="9">
                  <c:v>1.5639662183296842E-2</c:v>
                </c:pt>
                <c:pt idx="10">
                  <c:v>0.66030653737879264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MUBENDE-MITYANA'!$C$60:$N$60</c:f>
              <c:numCache>
                <c:formatCode>0.00%</c:formatCode>
                <c:ptCount val="12"/>
                <c:pt idx="0">
                  <c:v>0.31767955801104975</c:v>
                </c:pt>
                <c:pt idx="1">
                  <c:v>0.11602209944751381</c:v>
                </c:pt>
                <c:pt idx="2">
                  <c:v>5.3406998158379376E-2</c:v>
                </c:pt>
                <c:pt idx="3">
                  <c:v>0.28637200736648249</c:v>
                </c:pt>
                <c:pt idx="4">
                  <c:v>4.6040515653775326E-3</c:v>
                </c:pt>
                <c:pt idx="5">
                  <c:v>1.4732965009208104E-2</c:v>
                </c:pt>
                <c:pt idx="6">
                  <c:v>8.1031307550644568E-2</c:v>
                </c:pt>
                <c:pt idx="7">
                  <c:v>6.1694290976058934E-2</c:v>
                </c:pt>
                <c:pt idx="8">
                  <c:v>1.841620626151013E-2</c:v>
                </c:pt>
                <c:pt idx="9">
                  <c:v>4.6040515653775323E-2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MITYANA-MUBENDE'!$AE$9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MITYANA-MUBENDE'!$AE$10:$AE$21</c:f>
              <c:numCache>
                <c:formatCode>0</c:formatCode>
                <c:ptCount val="12"/>
                <c:pt idx="0">
                  <c:v>104</c:v>
                </c:pt>
                <c:pt idx="1">
                  <c:v>91</c:v>
                </c:pt>
                <c:pt idx="2">
                  <c:v>115</c:v>
                </c:pt>
                <c:pt idx="3">
                  <c:v>111</c:v>
                </c:pt>
                <c:pt idx="4">
                  <c:v>107</c:v>
                </c:pt>
                <c:pt idx="5">
                  <c:v>118</c:v>
                </c:pt>
                <c:pt idx="6">
                  <c:v>135</c:v>
                </c:pt>
                <c:pt idx="7">
                  <c:v>109</c:v>
                </c:pt>
                <c:pt idx="8">
                  <c:v>115</c:v>
                </c:pt>
                <c:pt idx="9">
                  <c:v>118</c:v>
                </c:pt>
                <c:pt idx="10">
                  <c:v>110</c:v>
                </c:pt>
                <c:pt idx="11">
                  <c:v>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'22.10 MITYANA-MUBENDE'!$AF$9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MITYANA-MUBENDE'!$AF$10:$AF$21</c:f>
              <c:numCache>
                <c:formatCode>0</c:formatCode>
                <c:ptCount val="12"/>
                <c:pt idx="0">
                  <c:v>265</c:v>
                </c:pt>
                <c:pt idx="1">
                  <c:v>285</c:v>
                </c:pt>
                <c:pt idx="2">
                  <c:v>267</c:v>
                </c:pt>
                <c:pt idx="3">
                  <c:v>249</c:v>
                </c:pt>
                <c:pt idx="4">
                  <c:v>264</c:v>
                </c:pt>
                <c:pt idx="5">
                  <c:v>298</c:v>
                </c:pt>
                <c:pt idx="6">
                  <c:v>300</c:v>
                </c:pt>
                <c:pt idx="7">
                  <c:v>303</c:v>
                </c:pt>
                <c:pt idx="8">
                  <c:v>285</c:v>
                </c:pt>
                <c:pt idx="9">
                  <c:v>287</c:v>
                </c:pt>
                <c:pt idx="10">
                  <c:v>323</c:v>
                </c:pt>
                <c:pt idx="11">
                  <c:v>322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MITYANA-MUBENDE'!$C$59:$N$59</c:f>
              <c:numCache>
                <c:formatCode>0.0%</c:formatCode>
                <c:ptCount val="12"/>
                <c:pt idx="0">
                  <c:v>0.12470997679814386</c:v>
                </c:pt>
                <c:pt idx="1">
                  <c:v>4.2343387470997682E-2</c:v>
                </c:pt>
                <c:pt idx="2">
                  <c:v>2.3781902552204175E-2</c:v>
                </c:pt>
                <c:pt idx="3">
                  <c:v>8.9037122969837582E-2</c:v>
                </c:pt>
                <c:pt idx="4">
                  <c:v>1.7401392111368909E-3</c:v>
                </c:pt>
                <c:pt idx="5">
                  <c:v>6.0904872389791181E-3</c:v>
                </c:pt>
                <c:pt idx="6">
                  <c:v>4.7273781902552207E-2</c:v>
                </c:pt>
                <c:pt idx="7">
                  <c:v>2.5812064965197216E-2</c:v>
                </c:pt>
                <c:pt idx="8">
                  <c:v>1.1890951276102088E-2</c:v>
                </c:pt>
                <c:pt idx="9">
                  <c:v>1.334106728538283E-2</c:v>
                </c:pt>
                <c:pt idx="10">
                  <c:v>0.61397911832946639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MITYANA-MUBENDE'!$S$9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MITYANA-MUBENDE'!$S$10:$S$21</c:f>
              <c:numCache>
                <c:formatCode>0</c:formatCode>
                <c:ptCount val="12"/>
                <c:pt idx="0">
                  <c:v>35</c:v>
                </c:pt>
                <c:pt idx="1">
                  <c:v>31</c:v>
                </c:pt>
                <c:pt idx="2">
                  <c:v>42</c:v>
                </c:pt>
                <c:pt idx="3">
                  <c:v>33</c:v>
                </c:pt>
                <c:pt idx="4">
                  <c:v>18</c:v>
                </c:pt>
                <c:pt idx="5">
                  <c:v>37</c:v>
                </c:pt>
                <c:pt idx="6">
                  <c:v>47</c:v>
                </c:pt>
                <c:pt idx="7">
                  <c:v>38</c:v>
                </c:pt>
                <c:pt idx="8">
                  <c:v>35</c:v>
                </c:pt>
                <c:pt idx="9">
                  <c:v>37</c:v>
                </c:pt>
                <c:pt idx="10">
                  <c:v>36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'22.10 MITYANA-MUBENDE'!$T$9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MITYANA-MUBENDE'!$T$10:$T$21</c:f>
              <c:numCache>
                <c:formatCode>0</c:formatCode>
                <c:ptCount val="12"/>
                <c:pt idx="0">
                  <c:v>18</c:v>
                </c:pt>
                <c:pt idx="1">
                  <c:v>16</c:v>
                </c:pt>
                <c:pt idx="2">
                  <c:v>19</c:v>
                </c:pt>
                <c:pt idx="3">
                  <c:v>16</c:v>
                </c:pt>
                <c:pt idx="4">
                  <c:v>10</c:v>
                </c:pt>
                <c:pt idx="5">
                  <c:v>13</c:v>
                </c:pt>
                <c:pt idx="6">
                  <c:v>9</c:v>
                </c:pt>
                <c:pt idx="7">
                  <c:v>9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'22.10 MITYANA-MUBENDE'!$U$9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MITYANA-MUBENDE'!$U$10:$U$21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7</c:v>
                </c:pt>
                <c:pt idx="6">
                  <c:v>8</c:v>
                </c:pt>
                <c:pt idx="7">
                  <c:v>8</c:v>
                </c:pt>
                <c:pt idx="8">
                  <c:v>3</c:v>
                </c:pt>
                <c:pt idx="9">
                  <c:v>5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'22.10 MITYANA-MUBENDE'!$V$9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MITYANA-MUBENDE'!$V$10:$V$21</c:f>
              <c:numCache>
                <c:formatCode>0</c:formatCode>
                <c:ptCount val="12"/>
                <c:pt idx="0">
                  <c:v>10</c:v>
                </c:pt>
                <c:pt idx="1">
                  <c:v>18</c:v>
                </c:pt>
                <c:pt idx="2">
                  <c:v>24</c:v>
                </c:pt>
                <c:pt idx="3">
                  <c:v>30</c:v>
                </c:pt>
                <c:pt idx="4">
                  <c:v>31</c:v>
                </c:pt>
                <c:pt idx="5">
                  <c:v>34</c:v>
                </c:pt>
                <c:pt idx="6">
                  <c:v>24</c:v>
                </c:pt>
                <c:pt idx="7">
                  <c:v>29</c:v>
                </c:pt>
                <c:pt idx="8">
                  <c:v>32</c:v>
                </c:pt>
                <c:pt idx="9">
                  <c:v>23</c:v>
                </c:pt>
                <c:pt idx="10">
                  <c:v>26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'22.10 MITYANA-MUBENDE'!$W$9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'22.10 MITYANA-MUBENDE'!$X$9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'22.10 MITYANA-MUBENDE'!$Y$9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MITYANA-MUBENDE'!$Y$10:$Y$21</c:f>
              <c:numCache>
                <c:formatCode>0</c:formatCode>
                <c:ptCount val="12"/>
                <c:pt idx="0">
                  <c:v>9</c:v>
                </c:pt>
                <c:pt idx="1">
                  <c:v>7</c:v>
                </c:pt>
                <c:pt idx="2">
                  <c:v>14</c:v>
                </c:pt>
                <c:pt idx="3">
                  <c:v>15</c:v>
                </c:pt>
                <c:pt idx="4">
                  <c:v>19</c:v>
                </c:pt>
                <c:pt idx="5">
                  <c:v>12</c:v>
                </c:pt>
                <c:pt idx="6">
                  <c:v>21</c:v>
                </c:pt>
                <c:pt idx="7">
                  <c:v>11</c:v>
                </c:pt>
                <c:pt idx="8">
                  <c:v>17</c:v>
                </c:pt>
                <c:pt idx="9">
                  <c:v>18</c:v>
                </c:pt>
                <c:pt idx="10">
                  <c:v>16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'22.10 MITYANA-MUBENDE'!$Z$9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MITYANA-MUBENDE'!$Z$10:$Z$21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7</c:v>
                </c:pt>
                <c:pt idx="4">
                  <c:v>9</c:v>
                </c:pt>
                <c:pt idx="5">
                  <c:v>5</c:v>
                </c:pt>
                <c:pt idx="6">
                  <c:v>10</c:v>
                </c:pt>
                <c:pt idx="7">
                  <c:v>6</c:v>
                </c:pt>
                <c:pt idx="8">
                  <c:v>11</c:v>
                </c:pt>
                <c:pt idx="9">
                  <c:v>11</c:v>
                </c:pt>
                <c:pt idx="10">
                  <c:v>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'22.10 MITYANA-MUBENDE'!$AA$9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MITYANA-MUBENDE'!$AA$10:$AA$21</c:f>
              <c:numCache>
                <c:formatCode>0</c:formatCode>
                <c:ptCount val="12"/>
                <c:pt idx="0">
                  <c:v>13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'22.10 MITYANA-MUBENDE'!$AB$9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MITYANA-MUBENDE'!$AB$10:$AB$21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8</c:v>
                </c:pt>
                <c:pt idx="7">
                  <c:v>2</c:v>
                </c:pt>
                <c:pt idx="8">
                  <c:v>7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'22.10 MITYANA-MUBENDE'!$AC$9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MITYANA-MUBENDE'!$AC$10:$AC$21</c:f>
              <c:numCache>
                <c:formatCode>0</c:formatCode>
                <c:ptCount val="12"/>
                <c:pt idx="0">
                  <c:v>161</c:v>
                </c:pt>
                <c:pt idx="1">
                  <c:v>194</c:v>
                </c:pt>
                <c:pt idx="2">
                  <c:v>152</c:v>
                </c:pt>
                <c:pt idx="3">
                  <c:v>138</c:v>
                </c:pt>
                <c:pt idx="4">
                  <c:v>157</c:v>
                </c:pt>
                <c:pt idx="5">
                  <c:v>180</c:v>
                </c:pt>
                <c:pt idx="6">
                  <c:v>165</c:v>
                </c:pt>
                <c:pt idx="7">
                  <c:v>194</c:v>
                </c:pt>
                <c:pt idx="8">
                  <c:v>170</c:v>
                </c:pt>
                <c:pt idx="9">
                  <c:v>169</c:v>
                </c:pt>
                <c:pt idx="10">
                  <c:v>213</c:v>
                </c:pt>
                <c:pt idx="11">
                  <c:v>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'22.10 MITYANA-MUBENDE'!$AD$9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MITYANA-MUBENDE'!$AD$10:$AD$21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MITYANA-MUBENDE'!$C$60:$N$60</c:f>
              <c:numCache>
                <c:formatCode>0.00%</c:formatCode>
                <c:ptCount val="12"/>
                <c:pt idx="0">
                  <c:v>0.32306536438767841</c:v>
                </c:pt>
                <c:pt idx="1">
                  <c:v>0.10969196093163035</c:v>
                </c:pt>
                <c:pt idx="2">
                  <c:v>6.1607813673929375E-2</c:v>
                </c:pt>
                <c:pt idx="3">
                  <c:v>0.23065364387678436</c:v>
                </c:pt>
                <c:pt idx="4">
                  <c:v>4.5078888054094664E-3</c:v>
                </c:pt>
                <c:pt idx="5">
                  <c:v>1.5777610818933134E-2</c:v>
                </c:pt>
                <c:pt idx="6">
                  <c:v>0.12246431254695718</c:v>
                </c:pt>
                <c:pt idx="7">
                  <c:v>6.6867017280240415E-2</c:v>
                </c:pt>
                <c:pt idx="8">
                  <c:v>3.0803906836964687E-2</c:v>
                </c:pt>
                <c:pt idx="9">
                  <c:v>3.4560480841472577E-2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MUBENDE-MITYANA'!$AE$9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MUBENDE-MITYANA'!$AE$10:$AE$21</c:f>
              <c:numCache>
                <c:formatCode>0</c:formatCode>
                <c:ptCount val="12"/>
                <c:pt idx="0">
                  <c:v>69</c:v>
                </c:pt>
                <c:pt idx="1">
                  <c:v>60</c:v>
                </c:pt>
                <c:pt idx="2">
                  <c:v>53</c:v>
                </c:pt>
                <c:pt idx="3">
                  <c:v>86</c:v>
                </c:pt>
                <c:pt idx="4">
                  <c:v>76</c:v>
                </c:pt>
                <c:pt idx="5">
                  <c:v>84</c:v>
                </c:pt>
                <c:pt idx="6">
                  <c:v>105</c:v>
                </c:pt>
                <c:pt idx="7">
                  <c:v>78</c:v>
                </c:pt>
                <c:pt idx="8">
                  <c:v>113</c:v>
                </c:pt>
                <c:pt idx="9">
                  <c:v>178</c:v>
                </c:pt>
                <c:pt idx="10">
                  <c:v>175</c:v>
                </c:pt>
                <c:pt idx="11">
                  <c:v>180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04-4DEF-9FDE-3D617090294B}"/>
            </c:ext>
          </c:extLst>
        </c:ser>
        <c:ser>
          <c:idx val="1"/>
          <c:order val="1"/>
          <c:tx>
            <c:strRef>
              <c:f>'23.10 MUBENDE-MITYANA'!$AF$9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MUBENDE-MITYANA'!$AF$10:$AF$21</c:f>
              <c:numCache>
                <c:formatCode>0</c:formatCode>
                <c:ptCount val="12"/>
                <c:pt idx="0">
                  <c:v>242</c:v>
                </c:pt>
                <c:pt idx="1">
                  <c:v>248</c:v>
                </c:pt>
                <c:pt idx="2">
                  <c:v>229</c:v>
                </c:pt>
                <c:pt idx="3">
                  <c:v>240</c:v>
                </c:pt>
                <c:pt idx="4">
                  <c:v>228</c:v>
                </c:pt>
                <c:pt idx="5">
                  <c:v>259</c:v>
                </c:pt>
                <c:pt idx="6">
                  <c:v>256</c:v>
                </c:pt>
                <c:pt idx="7">
                  <c:v>255</c:v>
                </c:pt>
                <c:pt idx="8">
                  <c:v>237</c:v>
                </c:pt>
                <c:pt idx="9">
                  <c:v>413</c:v>
                </c:pt>
                <c:pt idx="10">
                  <c:v>364</c:v>
                </c:pt>
                <c:pt idx="11">
                  <c:v>381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04-4DEF-9FDE-3D6170902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CAA-4EF3-8B11-6BF55B1DDE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CAA-4EF3-8B11-6BF55B1DDE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CAA-4EF3-8B11-6BF55B1DDE6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CAA-4EF3-8B11-6BF55B1DDE6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CAA-4EF3-8B11-6BF55B1DDE6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CAA-4EF3-8B11-6BF55B1DDE6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CAA-4EF3-8B11-6BF55B1DDE6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CAA-4EF3-8B11-6BF55B1DDE6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CAA-4EF3-8B11-6BF55B1DDE6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CAA-4EF3-8B11-6BF55B1DDE6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CAA-4EF3-8B11-6BF55B1DDE6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CAA-4EF3-8B11-6BF55B1DDE6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CAA-4EF3-8B11-6BF55B1DDE6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MUBENDE-MITYANA'!$C$59:$N$59</c:f>
              <c:numCache>
                <c:formatCode>0.0%</c:formatCode>
                <c:ptCount val="12"/>
                <c:pt idx="0">
                  <c:v>0.13484486873508353</c:v>
                </c:pt>
                <c:pt idx="1">
                  <c:v>5.0715990453460619E-2</c:v>
                </c:pt>
                <c:pt idx="2">
                  <c:v>1.9689737470167064E-2</c:v>
                </c:pt>
                <c:pt idx="3">
                  <c:v>9.3078758949880672E-2</c:v>
                </c:pt>
                <c:pt idx="4">
                  <c:v>1.4916467780429594E-3</c:v>
                </c:pt>
                <c:pt idx="5">
                  <c:v>5.0715990453460624E-3</c:v>
                </c:pt>
                <c:pt idx="6">
                  <c:v>2.9236276849642005E-2</c:v>
                </c:pt>
                <c:pt idx="7">
                  <c:v>1.9689737470167064E-2</c:v>
                </c:pt>
                <c:pt idx="8">
                  <c:v>7.1599045346062056E-3</c:v>
                </c:pt>
                <c:pt idx="9">
                  <c:v>1.3723150357995227E-2</c:v>
                </c:pt>
                <c:pt idx="10">
                  <c:v>0.625</c:v>
                </c:pt>
                <c:pt idx="11">
                  <c:v>2.983293556085919E-4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CAA-4EF3-8B11-6BF55B1DD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MUBENDE-MITYANA'!$S$9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MUBENDE-MITYANA'!$S$10:$S$21</c:f>
              <c:numCache>
                <c:formatCode>0</c:formatCode>
                <c:ptCount val="12"/>
                <c:pt idx="0">
                  <c:v>25</c:v>
                </c:pt>
                <c:pt idx="1">
                  <c:v>14</c:v>
                </c:pt>
                <c:pt idx="2">
                  <c:v>16</c:v>
                </c:pt>
                <c:pt idx="3">
                  <c:v>29</c:v>
                </c:pt>
                <c:pt idx="4">
                  <c:v>29</c:v>
                </c:pt>
                <c:pt idx="5">
                  <c:v>22</c:v>
                </c:pt>
                <c:pt idx="6">
                  <c:v>43</c:v>
                </c:pt>
                <c:pt idx="7">
                  <c:v>22</c:v>
                </c:pt>
                <c:pt idx="8">
                  <c:v>30</c:v>
                </c:pt>
                <c:pt idx="9">
                  <c:v>89</c:v>
                </c:pt>
                <c:pt idx="10">
                  <c:v>70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E5-4D32-9F53-0ECC07BE13AB}"/>
            </c:ext>
          </c:extLst>
        </c:ser>
        <c:ser>
          <c:idx val="1"/>
          <c:order val="1"/>
          <c:tx>
            <c:strRef>
              <c:f>'23.10 MUBENDE-MITYANA'!$T$9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MUBENDE-MITYANA'!$R$10:$R$21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MUBENDE-MITYANA'!$T$10:$T$21</c:f>
              <c:numCache>
                <c:formatCode>0</c:formatCode>
                <c:ptCount val="12"/>
                <c:pt idx="0">
                  <c:v>6</c:v>
                </c:pt>
                <c:pt idx="1">
                  <c:v>11</c:v>
                </c:pt>
                <c:pt idx="2">
                  <c:v>7</c:v>
                </c:pt>
                <c:pt idx="3">
                  <c:v>4</c:v>
                </c:pt>
                <c:pt idx="4">
                  <c:v>3</c:v>
                </c:pt>
                <c:pt idx="5">
                  <c:v>12</c:v>
                </c:pt>
                <c:pt idx="6">
                  <c:v>9</c:v>
                </c:pt>
                <c:pt idx="7">
                  <c:v>8</c:v>
                </c:pt>
                <c:pt idx="8">
                  <c:v>23</c:v>
                </c:pt>
                <c:pt idx="9">
                  <c:v>24</c:v>
                </c:pt>
                <c:pt idx="10">
                  <c:v>29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E5-4D32-9F53-0ECC07BE13AB}"/>
            </c:ext>
          </c:extLst>
        </c:ser>
        <c:ser>
          <c:idx val="2"/>
          <c:order val="2"/>
          <c:tx>
            <c:strRef>
              <c:f>'23.10 MUBENDE-MITYANA'!$U$9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MUBENDE-MITYANA'!$U$10:$U$21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9</c:v>
                </c:pt>
                <c:pt idx="10">
                  <c:v>14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E5-4D32-9F53-0ECC07BE13AB}"/>
            </c:ext>
          </c:extLst>
        </c:ser>
        <c:ser>
          <c:idx val="3"/>
          <c:order val="3"/>
          <c:tx>
            <c:strRef>
              <c:f>'23.10 MUBENDE-MITYANA'!$V$9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MUBENDE-MITYANA'!$V$10:$V$21</c:f>
              <c:numCache>
                <c:formatCode>0</c:formatCode>
                <c:ptCount val="12"/>
                <c:pt idx="0">
                  <c:v>23</c:v>
                </c:pt>
                <c:pt idx="1">
                  <c:v>24</c:v>
                </c:pt>
                <c:pt idx="2">
                  <c:v>17</c:v>
                </c:pt>
                <c:pt idx="3">
                  <c:v>32</c:v>
                </c:pt>
                <c:pt idx="4">
                  <c:v>23</c:v>
                </c:pt>
                <c:pt idx="5">
                  <c:v>27</c:v>
                </c:pt>
                <c:pt idx="6">
                  <c:v>21</c:v>
                </c:pt>
                <c:pt idx="7">
                  <c:v>23</c:v>
                </c:pt>
                <c:pt idx="8">
                  <c:v>25</c:v>
                </c:pt>
                <c:pt idx="9">
                  <c:v>28</c:v>
                </c:pt>
                <c:pt idx="10">
                  <c:v>35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E5-4D32-9F53-0ECC07BE13AB}"/>
            </c:ext>
          </c:extLst>
        </c:ser>
        <c:ser>
          <c:idx val="4"/>
          <c:order val="4"/>
          <c:tx>
            <c:strRef>
              <c:f>'23.10 MUBENDE-MITYANA'!$W$9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E5-4D32-9F53-0ECC07BE13AB}"/>
            </c:ext>
          </c:extLst>
        </c:ser>
        <c:ser>
          <c:idx val="5"/>
          <c:order val="5"/>
          <c:tx>
            <c:strRef>
              <c:f>'23.10 MUBENDE-MITYANA'!$X$9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E5-4D32-9F53-0ECC07BE13AB}"/>
            </c:ext>
          </c:extLst>
        </c:ser>
        <c:ser>
          <c:idx val="6"/>
          <c:order val="6"/>
          <c:tx>
            <c:strRef>
              <c:f>'23.10 MUBENDE-MITYANA'!$Y$9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MUBENDE-MITYANA'!$Y$10:$Y$21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5</c:v>
                </c:pt>
                <c:pt idx="5">
                  <c:v>8</c:v>
                </c:pt>
                <c:pt idx="6">
                  <c:v>15</c:v>
                </c:pt>
                <c:pt idx="7">
                  <c:v>7</c:v>
                </c:pt>
                <c:pt idx="8">
                  <c:v>10</c:v>
                </c:pt>
                <c:pt idx="9">
                  <c:v>7</c:v>
                </c:pt>
                <c:pt idx="10">
                  <c:v>13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1E5-4D32-9F53-0ECC07BE13AB}"/>
            </c:ext>
          </c:extLst>
        </c:ser>
        <c:ser>
          <c:idx val="7"/>
          <c:order val="7"/>
          <c:tx>
            <c:strRef>
              <c:f>'23.10 MUBENDE-MITYANA'!$Z$9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MUBENDE-MITYANA'!$Z$10:$Z$21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  <c:pt idx="7">
                  <c:v>5</c:v>
                </c:pt>
                <c:pt idx="8">
                  <c:v>10</c:v>
                </c:pt>
                <c:pt idx="9">
                  <c:v>7</c:v>
                </c:pt>
                <c:pt idx="10">
                  <c:v>8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E5-4D32-9F53-0ECC07BE13AB}"/>
            </c:ext>
          </c:extLst>
        </c:ser>
        <c:ser>
          <c:idx val="8"/>
          <c:order val="8"/>
          <c:tx>
            <c:strRef>
              <c:f>'23.10 MUBENDE-MITYANA'!$AA$9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1E5-4D32-9F53-0ECC07BE13AB}"/>
            </c:ext>
          </c:extLst>
        </c:ser>
        <c:ser>
          <c:idx val="9"/>
          <c:order val="9"/>
          <c:tx>
            <c:strRef>
              <c:f>'23.10 MUBENDE-MITYANA'!$AB$9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MUBENDE-MITYANA'!$AB$10:$AB$21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1E5-4D32-9F53-0ECC07BE13AB}"/>
            </c:ext>
          </c:extLst>
        </c:ser>
        <c:ser>
          <c:idx val="10"/>
          <c:order val="10"/>
          <c:tx>
            <c:strRef>
              <c:f>'23.10 MUBENDE-MITYANA'!$AC$9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MUBENDE-MITYANA'!$AC$10:$AC$21</c:f>
              <c:numCache>
                <c:formatCode>0</c:formatCode>
                <c:ptCount val="12"/>
                <c:pt idx="0">
                  <c:v>173</c:v>
                </c:pt>
                <c:pt idx="1">
                  <c:v>188</c:v>
                </c:pt>
                <c:pt idx="2">
                  <c:v>176</c:v>
                </c:pt>
                <c:pt idx="3">
                  <c:v>154</c:v>
                </c:pt>
                <c:pt idx="4">
                  <c:v>152</c:v>
                </c:pt>
                <c:pt idx="5">
                  <c:v>175</c:v>
                </c:pt>
                <c:pt idx="6">
                  <c:v>151</c:v>
                </c:pt>
                <c:pt idx="7">
                  <c:v>177</c:v>
                </c:pt>
                <c:pt idx="8">
                  <c:v>124</c:v>
                </c:pt>
                <c:pt idx="9">
                  <c:v>235</c:v>
                </c:pt>
                <c:pt idx="10">
                  <c:v>189</c:v>
                </c:pt>
                <c:pt idx="11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E5-4D32-9F53-0ECC07BE13AB}"/>
            </c:ext>
          </c:extLst>
        </c:ser>
        <c:ser>
          <c:idx val="11"/>
          <c:order val="11"/>
          <c:tx>
            <c:strRef>
              <c:f>'23.10 MUBENDE-MITYANA'!$AD$9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MUBENDE-MITYANA'!$AD$10:$AD$21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1E5-4D32-9F53-0ECC07BE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D0-47B9-A4F4-B34A3E3CAE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D0-47B9-A4F4-B34A3E3CAE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D0-47B9-A4F4-B34A3E3CAE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D0-47B9-A4F4-B34A3E3CAE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D0-47B9-A4F4-B34A3E3CAE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D0-47B9-A4F4-B34A3E3CAE6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D0-47B9-A4F4-B34A3E3CAE6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D0-47B9-A4F4-B34A3E3CAE6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D0-47B9-A4F4-B34A3E3CAE6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D0-47B9-A4F4-B34A3E3CAE6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D0-47B9-A4F4-B34A3E3CAE6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D0-47B9-A4F4-B34A3E3CAE6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D0-47B9-A4F4-B34A3E3CAE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MUBENDE-MITYANA'!$C$60:$N$60</c:f>
              <c:numCache>
                <c:formatCode>0.00%</c:formatCode>
                <c:ptCount val="12"/>
                <c:pt idx="0">
                  <c:v>0.35958631662688945</c:v>
                </c:pt>
                <c:pt idx="1">
                  <c:v>0.13524264120922833</c:v>
                </c:pt>
                <c:pt idx="2">
                  <c:v>5.2505966587112173E-2</c:v>
                </c:pt>
                <c:pt idx="3">
                  <c:v>0.24821002386634844</c:v>
                </c:pt>
                <c:pt idx="4">
                  <c:v>3.977724741447892E-3</c:v>
                </c:pt>
                <c:pt idx="5">
                  <c:v>1.3524264120922832E-2</c:v>
                </c:pt>
                <c:pt idx="6">
                  <c:v>7.7963404932378674E-2</c:v>
                </c:pt>
                <c:pt idx="7">
                  <c:v>5.2505966587112173E-2</c:v>
                </c:pt>
                <c:pt idx="8">
                  <c:v>1.9093078758949882E-2</c:v>
                </c:pt>
                <c:pt idx="9">
                  <c:v>3.6595067621320608E-2</c:v>
                </c:pt>
                <c:pt idx="11">
                  <c:v>7.955449482895784E-4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D0-47B9-A4F4-B34A3E3CA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MITYANA-MUBENDE'!$AE$9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MITYANA-MUBENDE'!$AE$10:$AE$21</c:f>
              <c:numCache>
                <c:formatCode>0</c:formatCode>
                <c:ptCount val="12"/>
                <c:pt idx="0">
                  <c:v>95</c:v>
                </c:pt>
                <c:pt idx="1">
                  <c:v>113</c:v>
                </c:pt>
                <c:pt idx="2">
                  <c:v>132</c:v>
                </c:pt>
                <c:pt idx="3">
                  <c:v>127</c:v>
                </c:pt>
                <c:pt idx="4">
                  <c:v>110</c:v>
                </c:pt>
                <c:pt idx="5">
                  <c:v>106</c:v>
                </c:pt>
                <c:pt idx="6">
                  <c:v>161</c:v>
                </c:pt>
                <c:pt idx="7">
                  <c:v>153</c:v>
                </c:pt>
                <c:pt idx="8">
                  <c:v>108</c:v>
                </c:pt>
                <c:pt idx="9">
                  <c:v>103</c:v>
                </c:pt>
                <c:pt idx="10">
                  <c:v>123</c:v>
                </c:pt>
                <c:pt idx="11">
                  <c:v>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'23.10 MITYANA-MUBENDE'!$AF$9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MITYANA-MUBENDE'!$R$10:$R$21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MITYANA-MUBENDE'!$AF$10:$AF$21</c:f>
              <c:numCache>
                <c:formatCode>0</c:formatCode>
                <c:ptCount val="12"/>
                <c:pt idx="0">
                  <c:v>260</c:v>
                </c:pt>
                <c:pt idx="1">
                  <c:v>289</c:v>
                </c:pt>
                <c:pt idx="2">
                  <c:v>316</c:v>
                </c:pt>
                <c:pt idx="3">
                  <c:v>315</c:v>
                </c:pt>
                <c:pt idx="4">
                  <c:v>281</c:v>
                </c:pt>
                <c:pt idx="5">
                  <c:v>298</c:v>
                </c:pt>
                <c:pt idx="6">
                  <c:v>333</c:v>
                </c:pt>
                <c:pt idx="7">
                  <c:v>342</c:v>
                </c:pt>
                <c:pt idx="8">
                  <c:v>245</c:v>
                </c:pt>
                <c:pt idx="9">
                  <c:v>249</c:v>
                </c:pt>
                <c:pt idx="10">
                  <c:v>300</c:v>
                </c:pt>
                <c:pt idx="11">
                  <c:v>296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MITYANA-MUBENDE'!$C$59:$N$59</c:f>
              <c:numCache>
                <c:formatCode>0.0%</c:formatCode>
                <c:ptCount val="12"/>
                <c:pt idx="0">
                  <c:v>0.12797956867196367</c:v>
                </c:pt>
                <c:pt idx="1">
                  <c:v>4.9659477866061293E-2</c:v>
                </c:pt>
                <c:pt idx="2">
                  <c:v>3.1498297389330306E-2</c:v>
                </c:pt>
                <c:pt idx="3">
                  <c:v>9.562996594778661E-2</c:v>
                </c:pt>
                <c:pt idx="4">
                  <c:v>1.70261066969353E-3</c:v>
                </c:pt>
                <c:pt idx="5">
                  <c:v>5.3916004540295118E-3</c:v>
                </c:pt>
                <c:pt idx="6">
                  <c:v>4.3132803632236094E-2</c:v>
                </c:pt>
                <c:pt idx="7">
                  <c:v>3.1214528944381384E-2</c:v>
                </c:pt>
                <c:pt idx="8">
                  <c:v>9.0805902383654935E-3</c:v>
                </c:pt>
                <c:pt idx="9">
                  <c:v>1.5891032917139614E-2</c:v>
                </c:pt>
                <c:pt idx="10">
                  <c:v>0.58881952326901243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MITYANA-MUBENDE'!$C$60:$N$60</c:f>
              <c:numCache>
                <c:formatCode>0.00%</c:formatCode>
                <c:ptCount val="12"/>
                <c:pt idx="0">
                  <c:v>0.31124913733609388</c:v>
                </c:pt>
                <c:pt idx="1">
                  <c:v>0.12077294685990338</c:v>
                </c:pt>
                <c:pt idx="2">
                  <c:v>7.6604554865424432E-2</c:v>
                </c:pt>
                <c:pt idx="3">
                  <c:v>0.23257418909592822</c:v>
                </c:pt>
                <c:pt idx="4">
                  <c:v>4.140786749482402E-3</c:v>
                </c:pt>
                <c:pt idx="5">
                  <c:v>1.3112491373360938E-2</c:v>
                </c:pt>
                <c:pt idx="6">
                  <c:v>0.1048999309868875</c:v>
                </c:pt>
                <c:pt idx="7">
                  <c:v>7.5914423740510703E-2</c:v>
                </c:pt>
                <c:pt idx="8">
                  <c:v>2.2084195997239476E-2</c:v>
                </c:pt>
                <c:pt idx="9">
                  <c:v>3.864734299516908E-2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MUBENDE-MITYANA'!$AE$9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MUBENDE-MITYANA'!$R$10:$R$33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MUBENDE-MITYANA'!$AE$10:$AE$33</c:f>
              <c:numCache>
                <c:formatCode>0</c:formatCode>
                <c:ptCount val="24"/>
                <c:pt idx="0">
                  <c:v>60.571428571428569</c:v>
                </c:pt>
                <c:pt idx="1">
                  <c:v>66.285714285714278</c:v>
                </c:pt>
                <c:pt idx="2">
                  <c:v>67</c:v>
                </c:pt>
                <c:pt idx="3">
                  <c:v>78.857142857142861</c:v>
                </c:pt>
                <c:pt idx="4">
                  <c:v>85.571428571428569</c:v>
                </c:pt>
                <c:pt idx="5">
                  <c:v>91.571428571428584</c:v>
                </c:pt>
                <c:pt idx="6">
                  <c:v>95.714285714285708</c:v>
                </c:pt>
                <c:pt idx="7">
                  <c:v>95.285714285714278</c:v>
                </c:pt>
                <c:pt idx="8">
                  <c:v>106.71428571428571</c:v>
                </c:pt>
                <c:pt idx="9">
                  <c:v>126</c:v>
                </c:pt>
                <c:pt idx="10">
                  <c:v>146.28571428571428</c:v>
                </c:pt>
                <c:pt idx="11">
                  <c:v>152.85714285714283</c:v>
                </c:pt>
                <c:pt idx="12">
                  <c:v>120</c:v>
                </c:pt>
                <c:pt idx="13">
                  <c:v>123.5</c:v>
                </c:pt>
                <c:pt idx="14">
                  <c:v>113</c:v>
                </c:pt>
                <c:pt idx="15">
                  <c:v>77.5</c:v>
                </c:pt>
                <c:pt idx="16">
                  <c:v>55.5</c:v>
                </c:pt>
                <c:pt idx="17">
                  <c:v>36</c:v>
                </c:pt>
                <c:pt idx="18">
                  <c:v>38</c:v>
                </c:pt>
                <c:pt idx="19">
                  <c:v>30.5</c:v>
                </c:pt>
                <c:pt idx="20">
                  <c:v>26.5</c:v>
                </c:pt>
                <c:pt idx="21">
                  <c:v>20</c:v>
                </c:pt>
                <c:pt idx="22">
                  <c:v>23.5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MUBENDE-MITYANA'!$AF$9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MUBENDE-MITYANA'!$R$10:$R$33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MUBENDE-MITYANA'!$AF$10:$AF$33</c:f>
              <c:numCache>
                <c:formatCode>0</c:formatCode>
                <c:ptCount val="24"/>
                <c:pt idx="0">
                  <c:v>225.28571428571428</c:v>
                </c:pt>
                <c:pt idx="1">
                  <c:v>238</c:v>
                </c:pt>
                <c:pt idx="2">
                  <c:v>230.42857142857144</c:v>
                </c:pt>
                <c:pt idx="3">
                  <c:v>227.42857142857144</c:v>
                </c:pt>
                <c:pt idx="4">
                  <c:v>244.85714285714286</c:v>
                </c:pt>
                <c:pt idx="5">
                  <c:v>248</c:v>
                </c:pt>
                <c:pt idx="6">
                  <c:v>254.71428571428569</c:v>
                </c:pt>
                <c:pt idx="7">
                  <c:v>257.28571428571428</c:v>
                </c:pt>
                <c:pt idx="8">
                  <c:v>269.85714285714289</c:v>
                </c:pt>
                <c:pt idx="9">
                  <c:v>322.14285714285717</c:v>
                </c:pt>
                <c:pt idx="10">
                  <c:v>341.28571428571428</c:v>
                </c:pt>
                <c:pt idx="11">
                  <c:v>367.42857142857144</c:v>
                </c:pt>
                <c:pt idx="12">
                  <c:v>272</c:v>
                </c:pt>
                <c:pt idx="13">
                  <c:v>215.5</c:v>
                </c:pt>
                <c:pt idx="14">
                  <c:v>184</c:v>
                </c:pt>
                <c:pt idx="15">
                  <c:v>110</c:v>
                </c:pt>
                <c:pt idx="16">
                  <c:v>73</c:v>
                </c:pt>
                <c:pt idx="17">
                  <c:v>43</c:v>
                </c:pt>
                <c:pt idx="18">
                  <c:v>41.5</c:v>
                </c:pt>
                <c:pt idx="19">
                  <c:v>37.5</c:v>
                </c:pt>
                <c:pt idx="20">
                  <c:v>32</c:v>
                </c:pt>
                <c:pt idx="21">
                  <c:v>23.5</c:v>
                </c:pt>
                <c:pt idx="22">
                  <c:v>29</c:v>
                </c:pt>
                <c:pt idx="23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MUBENDE-MITYANA'!$C$107:$N$107</c:f>
              <c:numCache>
                <c:formatCode>0.0%</c:formatCode>
                <c:ptCount val="12"/>
                <c:pt idx="0">
                  <c:v>0.11854043392504932</c:v>
                </c:pt>
                <c:pt idx="1">
                  <c:v>4.5825115055884297E-2</c:v>
                </c:pt>
                <c:pt idx="2">
                  <c:v>2.910913872452334E-2</c:v>
                </c:pt>
                <c:pt idx="3">
                  <c:v>0.10037804076265615</c:v>
                </c:pt>
                <c:pt idx="4">
                  <c:v>3.5338593030900716E-3</c:v>
                </c:pt>
                <c:pt idx="5">
                  <c:v>6.8376068376068359E-3</c:v>
                </c:pt>
                <c:pt idx="6">
                  <c:v>4.7633136094674546E-2</c:v>
                </c:pt>
                <c:pt idx="7">
                  <c:v>4.1600920447074287E-2</c:v>
                </c:pt>
                <c:pt idx="8">
                  <c:v>1.673241288625904E-2</c:v>
                </c:pt>
                <c:pt idx="9">
                  <c:v>1.8803418803418803E-2</c:v>
                </c:pt>
                <c:pt idx="10">
                  <c:v>0.57090729783037475</c:v>
                </c:pt>
                <c:pt idx="11">
                  <c:v>9.8619329388560141E-5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MUBENDE-MITYANA'!$C$9:$N$9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MUBENDE-MITYANA'!$C$108:$N$108</c:f>
              <c:numCache>
                <c:formatCode>0.00%</c:formatCode>
                <c:ptCount val="12"/>
                <c:pt idx="0">
                  <c:v>0.27625833141806488</c:v>
                </c:pt>
                <c:pt idx="1">
                  <c:v>0.10679537271125415</c:v>
                </c:pt>
                <c:pt idx="2">
                  <c:v>6.7838811001302401E-2</c:v>
                </c:pt>
                <c:pt idx="3">
                  <c:v>0.23393089711177512</c:v>
                </c:pt>
                <c:pt idx="4">
                  <c:v>8.235654638780357E-3</c:v>
                </c:pt>
                <c:pt idx="5">
                  <c:v>1.5935034091779668E-2</c:v>
                </c:pt>
                <c:pt idx="6">
                  <c:v>0.11100896345667662</c:v>
                </c:pt>
                <c:pt idx="7">
                  <c:v>9.6950892515130629E-2</c:v>
                </c:pt>
                <c:pt idx="8">
                  <c:v>3.8994867080364676E-2</c:v>
                </c:pt>
                <c:pt idx="9">
                  <c:v>4.3821343752394097E-2</c:v>
                </c:pt>
                <c:pt idx="11">
                  <c:v>2.2983222247759135E-4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MITYANA-MUBENDE'!$AE$9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MITYANA-MUBENDE'!$R$10:$R$33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MITYANA-MUBENDE'!$AE$10:$AE$33</c:f>
              <c:numCache>
                <c:formatCode>0</c:formatCode>
                <c:ptCount val="24"/>
                <c:pt idx="0">
                  <c:v>82.571428571428569</c:v>
                </c:pt>
                <c:pt idx="1">
                  <c:v>93.428571428571416</c:v>
                </c:pt>
                <c:pt idx="2">
                  <c:v>110.28571428571428</c:v>
                </c:pt>
                <c:pt idx="3">
                  <c:v>118</c:v>
                </c:pt>
                <c:pt idx="4">
                  <c:v>121.14285714285714</c:v>
                </c:pt>
                <c:pt idx="5">
                  <c:v>113.28571428571429</c:v>
                </c:pt>
                <c:pt idx="6">
                  <c:v>127.57142857142858</c:v>
                </c:pt>
                <c:pt idx="7">
                  <c:v>122.71428571428574</c:v>
                </c:pt>
                <c:pt idx="8">
                  <c:v>128.85714285714286</c:v>
                </c:pt>
                <c:pt idx="9">
                  <c:v>136.57142857142858</c:v>
                </c:pt>
                <c:pt idx="10">
                  <c:v>125.14285714285715</c:v>
                </c:pt>
                <c:pt idx="11">
                  <c:v>123.14285714285714</c:v>
                </c:pt>
                <c:pt idx="12">
                  <c:v>118.5</c:v>
                </c:pt>
                <c:pt idx="13">
                  <c:v>86.5</c:v>
                </c:pt>
                <c:pt idx="14">
                  <c:v>65.5</c:v>
                </c:pt>
                <c:pt idx="15">
                  <c:v>67</c:v>
                </c:pt>
                <c:pt idx="16">
                  <c:v>52</c:v>
                </c:pt>
                <c:pt idx="17">
                  <c:v>31</c:v>
                </c:pt>
                <c:pt idx="18">
                  <c:v>24.5</c:v>
                </c:pt>
                <c:pt idx="19">
                  <c:v>13.5</c:v>
                </c:pt>
                <c:pt idx="20">
                  <c:v>13</c:v>
                </c:pt>
                <c:pt idx="21">
                  <c:v>12</c:v>
                </c:pt>
                <c:pt idx="22">
                  <c:v>18.5</c:v>
                </c:pt>
                <c:pt idx="23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MITYANA-MUBENDE'!$AF$9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MITYANA-MUBENDE'!$R$10:$R$33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MITYANA-MUBENDE'!$AF$10:$AF$33</c:f>
              <c:numCache>
                <c:formatCode>0</c:formatCode>
                <c:ptCount val="24"/>
                <c:pt idx="0">
                  <c:v>223.14285714285714</c:v>
                </c:pt>
                <c:pt idx="1">
                  <c:v>251</c:v>
                </c:pt>
                <c:pt idx="2">
                  <c:v>267.85714285714289</c:v>
                </c:pt>
                <c:pt idx="3">
                  <c:v>266.85714285714283</c:v>
                </c:pt>
                <c:pt idx="4">
                  <c:v>274</c:v>
                </c:pt>
                <c:pt idx="5">
                  <c:v>265.57142857142856</c:v>
                </c:pt>
                <c:pt idx="6">
                  <c:v>289</c:v>
                </c:pt>
                <c:pt idx="7">
                  <c:v>285.28571428571428</c:v>
                </c:pt>
                <c:pt idx="8">
                  <c:v>280.28571428571422</c:v>
                </c:pt>
                <c:pt idx="9">
                  <c:v>302.71428571428572</c:v>
                </c:pt>
                <c:pt idx="10">
                  <c:v>313.28571428571428</c:v>
                </c:pt>
                <c:pt idx="11">
                  <c:v>327.42857142857144</c:v>
                </c:pt>
                <c:pt idx="12">
                  <c:v>247.5</c:v>
                </c:pt>
                <c:pt idx="13">
                  <c:v>204.5</c:v>
                </c:pt>
                <c:pt idx="14">
                  <c:v>145.5</c:v>
                </c:pt>
                <c:pt idx="15">
                  <c:v>113.5</c:v>
                </c:pt>
                <c:pt idx="16">
                  <c:v>77.5</c:v>
                </c:pt>
                <c:pt idx="17">
                  <c:v>43</c:v>
                </c:pt>
                <c:pt idx="18">
                  <c:v>29.5</c:v>
                </c:pt>
                <c:pt idx="19">
                  <c:v>17</c:v>
                </c:pt>
                <c:pt idx="20">
                  <c:v>20.5</c:v>
                </c:pt>
                <c:pt idx="21">
                  <c:v>14</c:v>
                </c:pt>
                <c:pt idx="22">
                  <c:v>27.5</c:v>
                </c:pt>
                <c:pt idx="23">
                  <c:v>81.5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MITYANA-MUBENDE'!$C$107:$N$107</c:f>
              <c:numCache>
                <c:formatCode>0.0%</c:formatCode>
                <c:ptCount val="12"/>
                <c:pt idx="0">
                  <c:v>0.12436427858906644</c:v>
                </c:pt>
                <c:pt idx="1">
                  <c:v>4.712923746136613E-2</c:v>
                </c:pt>
                <c:pt idx="2">
                  <c:v>2.8813919641543072E-2</c:v>
                </c:pt>
                <c:pt idx="3">
                  <c:v>0.1004235417245834</c:v>
                </c:pt>
                <c:pt idx="4">
                  <c:v>2.8290624846690985E-3</c:v>
                </c:pt>
                <c:pt idx="5">
                  <c:v>6.9173030694510314E-3</c:v>
                </c:pt>
                <c:pt idx="6">
                  <c:v>5.2149596899478345E-2</c:v>
                </c:pt>
                <c:pt idx="7">
                  <c:v>4.6720413402887948E-2</c:v>
                </c:pt>
                <c:pt idx="8">
                  <c:v>1.8397082631518704E-2</c:v>
                </c:pt>
                <c:pt idx="9">
                  <c:v>1.8037317460057895E-2</c:v>
                </c:pt>
                <c:pt idx="10">
                  <c:v>0.55408742293666513</c:v>
                </c:pt>
                <c:pt idx="11">
                  <c:v>1.3082369871302189E-4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MITYANA-MUBENDE'!$C$9:$N$9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MITYANA-MUBENDE'!$C$108:$N$108</c:f>
              <c:numCache>
                <c:formatCode>0.00%</c:formatCode>
                <c:ptCount val="12"/>
                <c:pt idx="0">
                  <c:v>0.2788983423793458</c:v>
                </c:pt>
                <c:pt idx="1">
                  <c:v>0.10569165321989145</c:v>
                </c:pt>
                <c:pt idx="2">
                  <c:v>6.4617867096963474E-2</c:v>
                </c:pt>
                <c:pt idx="3">
                  <c:v>0.225209036232947</c:v>
                </c:pt>
                <c:pt idx="4">
                  <c:v>6.3444330350594111E-3</c:v>
                </c:pt>
                <c:pt idx="5">
                  <c:v>1.5512688866070119E-2</c:v>
                </c:pt>
                <c:pt idx="6">
                  <c:v>0.1169502713803726</c:v>
                </c:pt>
                <c:pt idx="7">
                  <c:v>0.10477482763679039</c:v>
                </c:pt>
                <c:pt idx="8">
                  <c:v>4.1257151239548193E-2</c:v>
                </c:pt>
                <c:pt idx="9">
                  <c:v>4.045034472641925E-2</c:v>
                </c:pt>
                <c:pt idx="11">
                  <c:v>2.933841865923427E-4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MUBENDE-MITYANA-2Dir'!$C$9:$N$9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MUBENDE-MITYANA-2Dir'!$C$107:$N$107</c:f>
              <c:numCache>
                <c:formatCode>0.0%</c:formatCode>
                <c:ptCount val="12"/>
                <c:pt idx="0">
                  <c:v>0.12145977981982273</c:v>
                </c:pt>
                <c:pt idx="1">
                  <c:v>4.6478838602847752E-2</c:v>
                </c:pt>
                <c:pt idx="2">
                  <c:v>2.8961152871933172E-2</c:v>
                </c:pt>
                <c:pt idx="3">
                  <c:v>0.1004008492429769</c:v>
                </c:pt>
                <c:pt idx="4">
                  <c:v>3.1805625005123326E-3</c:v>
                </c:pt>
                <c:pt idx="5">
                  <c:v>6.8775565410563056E-3</c:v>
                </c:pt>
                <c:pt idx="6">
                  <c:v>4.9897123558295273E-2</c:v>
                </c:pt>
                <c:pt idx="7">
                  <c:v>4.4167192661753729E-2</c:v>
                </c:pt>
                <c:pt idx="8">
                  <c:v>1.756686968710806E-2</c:v>
                </c:pt>
                <c:pt idx="9">
                  <c:v>1.8419391594461883E-2</c:v>
                </c:pt>
                <c:pt idx="10">
                  <c:v>0.56247592035478022</c:v>
                </c:pt>
                <c:pt idx="11">
                  <c:v>1.1476256445147589E-4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MUBENDE-MITYANA-2Dir'!$C$9:$N$9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MUBENDE-MITYANA-2Dir'!$C$108:$N$108</c:f>
              <c:numCache>
                <c:formatCode>0.00%</c:formatCode>
                <c:ptCount val="12"/>
                <c:pt idx="0">
                  <c:v>0.27760707460561318</c:v>
                </c:pt>
                <c:pt idx="1">
                  <c:v>0.10623149848240719</c:v>
                </c:pt>
                <c:pt idx="2">
                  <c:v>6.6193277625810315E-2</c:v>
                </c:pt>
                <c:pt idx="3">
                  <c:v>0.22947502529321387</c:v>
                </c:pt>
                <c:pt idx="4">
                  <c:v>7.2694570390077562E-3</c:v>
                </c:pt>
                <c:pt idx="5">
                  <c:v>1.5719264061153367E-2</c:v>
                </c:pt>
                <c:pt idx="6">
                  <c:v>0.11404429122793869</c:v>
                </c:pt>
                <c:pt idx="7">
                  <c:v>0.1009480271293139</c:v>
                </c:pt>
                <c:pt idx="8">
                  <c:v>4.0150635140705208E-2</c:v>
                </c:pt>
                <c:pt idx="9">
                  <c:v>4.2099149398583578E-2</c:v>
                </c:pt>
                <c:pt idx="11">
                  <c:v>2.6229999625285714E-4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MUBENDE-MITYANA-2Dir'!$AE$9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MUBENDE-MITYANA-2Dir'!$R$10:$R$33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MUBENDE-MITYANA-2Dir'!$AE$10:$AE$33</c:f>
              <c:numCache>
                <c:formatCode>0</c:formatCode>
                <c:ptCount val="24"/>
                <c:pt idx="0">
                  <c:v>143.14285714285717</c:v>
                </c:pt>
                <c:pt idx="1">
                  <c:v>159.71428571428572</c:v>
                </c:pt>
                <c:pt idx="2">
                  <c:v>177.28571428571428</c:v>
                </c:pt>
                <c:pt idx="3">
                  <c:v>196.85714285714286</c:v>
                </c:pt>
                <c:pt idx="4">
                  <c:v>206.71428571428569</c:v>
                </c:pt>
                <c:pt idx="5">
                  <c:v>204.85714285714283</c:v>
                </c:pt>
                <c:pt idx="6">
                  <c:v>223.28571428571428</c:v>
                </c:pt>
                <c:pt idx="7">
                  <c:v>218</c:v>
                </c:pt>
                <c:pt idx="8">
                  <c:v>235.57142857142858</c:v>
                </c:pt>
                <c:pt idx="9">
                  <c:v>262.57142857142856</c:v>
                </c:pt>
                <c:pt idx="10">
                  <c:v>271.42857142857144</c:v>
                </c:pt>
                <c:pt idx="11">
                  <c:v>276</c:v>
                </c:pt>
                <c:pt idx="12">
                  <c:v>238.5</c:v>
                </c:pt>
                <c:pt idx="13">
                  <c:v>210</c:v>
                </c:pt>
                <c:pt idx="14">
                  <c:v>178.5</c:v>
                </c:pt>
                <c:pt idx="15">
                  <c:v>144.5</c:v>
                </c:pt>
                <c:pt idx="16">
                  <c:v>107.5</c:v>
                </c:pt>
                <c:pt idx="17">
                  <c:v>67</c:v>
                </c:pt>
                <c:pt idx="18">
                  <c:v>62.5</c:v>
                </c:pt>
                <c:pt idx="19">
                  <c:v>44</c:v>
                </c:pt>
                <c:pt idx="20">
                  <c:v>39.5</c:v>
                </c:pt>
                <c:pt idx="21">
                  <c:v>32</c:v>
                </c:pt>
                <c:pt idx="22">
                  <c:v>42</c:v>
                </c:pt>
                <c:pt idx="23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9B-4309-BA01-F75EA78E22DB}"/>
            </c:ext>
          </c:extLst>
        </c:ser>
        <c:ser>
          <c:idx val="1"/>
          <c:order val="1"/>
          <c:tx>
            <c:strRef>
              <c:f>'Avg Week MUBENDE-MITYANA-2Dir'!$AF$9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MUBENDE-MITYANA-2Dir'!$R$10:$R$33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MUBENDE-MITYANA-2Dir'!$AF$10:$AF$33</c:f>
              <c:numCache>
                <c:formatCode>0</c:formatCode>
                <c:ptCount val="24"/>
                <c:pt idx="0">
                  <c:v>448.42857142857144</c:v>
                </c:pt>
                <c:pt idx="1">
                  <c:v>489</c:v>
                </c:pt>
                <c:pt idx="2">
                  <c:v>498.28571428571428</c:v>
                </c:pt>
                <c:pt idx="3">
                  <c:v>494.28571428571422</c:v>
                </c:pt>
                <c:pt idx="4">
                  <c:v>518.85714285714289</c:v>
                </c:pt>
                <c:pt idx="5">
                  <c:v>513.57142857142856</c:v>
                </c:pt>
                <c:pt idx="6">
                  <c:v>543.71428571428578</c:v>
                </c:pt>
                <c:pt idx="7">
                  <c:v>542.57142857142856</c:v>
                </c:pt>
                <c:pt idx="8">
                  <c:v>550.14285714285711</c:v>
                </c:pt>
                <c:pt idx="9">
                  <c:v>624.85714285714289</c:v>
                </c:pt>
                <c:pt idx="10">
                  <c:v>654.57142857142867</c:v>
                </c:pt>
                <c:pt idx="11">
                  <c:v>694.85714285714278</c:v>
                </c:pt>
                <c:pt idx="12">
                  <c:v>519.5</c:v>
                </c:pt>
                <c:pt idx="13">
                  <c:v>420</c:v>
                </c:pt>
                <c:pt idx="14">
                  <c:v>329.5</c:v>
                </c:pt>
                <c:pt idx="15">
                  <c:v>223.5</c:v>
                </c:pt>
                <c:pt idx="16">
                  <c:v>150.5</c:v>
                </c:pt>
                <c:pt idx="17">
                  <c:v>86</c:v>
                </c:pt>
                <c:pt idx="18">
                  <c:v>71</c:v>
                </c:pt>
                <c:pt idx="19">
                  <c:v>54.5</c:v>
                </c:pt>
                <c:pt idx="20">
                  <c:v>52.5</c:v>
                </c:pt>
                <c:pt idx="21">
                  <c:v>37.5</c:v>
                </c:pt>
                <c:pt idx="22">
                  <c:v>56.5</c:v>
                </c:pt>
                <c:pt idx="23">
                  <c:v>139.5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9B-4309-BA01-F75EA78E22DB}"/>
            </c:ext>
          </c:extLst>
        </c:ser>
        <c:ser>
          <c:idx val="5"/>
          <c:order val="2"/>
          <c:tx>
            <c:strRef>
              <c:f>'Avg Week MUBENDE-MITYANA-2Dir'!$AC$9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MUBENDE-MITYANA-2Dir'!$R$10:$R$33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MUBENDE-MITYANA-2Dir'!$AC$10:$AC$33</c:f>
              <c:numCache>
                <c:formatCode>0</c:formatCode>
                <c:ptCount val="24"/>
                <c:pt idx="0">
                  <c:v>305.28571428571428</c:v>
                </c:pt>
                <c:pt idx="1">
                  <c:v>329.28571428571428</c:v>
                </c:pt>
                <c:pt idx="2">
                  <c:v>321</c:v>
                </c:pt>
                <c:pt idx="3">
                  <c:v>297.42857142857144</c:v>
                </c:pt>
                <c:pt idx="4">
                  <c:v>312.14285714285711</c:v>
                </c:pt>
                <c:pt idx="5">
                  <c:v>308.71428571428567</c:v>
                </c:pt>
                <c:pt idx="6">
                  <c:v>320.42857142857144</c:v>
                </c:pt>
                <c:pt idx="7">
                  <c:v>324.57142857142856</c:v>
                </c:pt>
                <c:pt idx="8">
                  <c:v>314.57142857142856</c:v>
                </c:pt>
                <c:pt idx="9">
                  <c:v>362.28571428571428</c:v>
                </c:pt>
                <c:pt idx="10">
                  <c:v>383.14285714285711</c:v>
                </c:pt>
                <c:pt idx="11">
                  <c:v>418.85714285714283</c:v>
                </c:pt>
                <c:pt idx="12">
                  <c:v>281</c:v>
                </c:pt>
                <c:pt idx="13">
                  <c:v>210</c:v>
                </c:pt>
                <c:pt idx="14">
                  <c:v>151</c:v>
                </c:pt>
                <c:pt idx="15">
                  <c:v>79</c:v>
                </c:pt>
                <c:pt idx="16">
                  <c:v>43</c:v>
                </c:pt>
                <c:pt idx="17">
                  <c:v>19</c:v>
                </c:pt>
                <c:pt idx="18">
                  <c:v>8.5</c:v>
                </c:pt>
                <c:pt idx="19">
                  <c:v>10.5</c:v>
                </c:pt>
                <c:pt idx="20">
                  <c:v>13</c:v>
                </c:pt>
                <c:pt idx="21">
                  <c:v>5.5</c:v>
                </c:pt>
                <c:pt idx="22">
                  <c:v>14.5</c:v>
                </c:pt>
                <c:pt idx="23">
                  <c:v>68.5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9B-4309-BA01-F75EA78E2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MUBENDE-MITYANA-2Dir'!$S$9:$AF$9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MUBENDE-MITYANA-2Dir'!$S$41:$AF$41</c:f>
              <c:numCache>
                <c:formatCode>_(* #,##0_);_(* \(#,##0\);_(* "-"_);_(@_)</c:formatCode>
                <c:ptCount val="14"/>
                <c:pt idx="0">
                  <c:v>1058.3571428571427</c:v>
                </c:pt>
                <c:pt idx="1">
                  <c:v>405</c:v>
                </c:pt>
                <c:pt idx="2">
                  <c:v>252.35714285714283</c:v>
                </c:pt>
                <c:pt idx="3">
                  <c:v>874.85714285714289</c:v>
                </c:pt>
                <c:pt idx="4">
                  <c:v>27.714285714285708</c:v>
                </c:pt>
                <c:pt idx="5">
                  <c:v>59.928571428571423</c:v>
                </c:pt>
                <c:pt idx="6">
                  <c:v>434.78571428571428</c:v>
                </c:pt>
                <c:pt idx="7">
                  <c:v>384.85714285714289</c:v>
                </c:pt>
                <c:pt idx="8">
                  <c:v>153.07142857142858</c:v>
                </c:pt>
                <c:pt idx="9">
                  <c:v>160.5</c:v>
                </c:pt>
                <c:pt idx="10">
                  <c:v>4901.2142857142844</c:v>
                </c:pt>
                <c:pt idx="11">
                  <c:v>0.99999999999999978</c:v>
                </c:pt>
                <c:pt idx="12">
                  <c:v>3812.4285714285716</c:v>
                </c:pt>
                <c:pt idx="13">
                  <c:v>8713.6428571428587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3-469D-BCF3-09A6F74E11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MUBENDE-MITYANA-2Dir'!$S$9:$AF$9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MUBENDE-MITYANA-2Dir'!$S$42:$AF$42</c:f>
              <c:numCache>
                <c:formatCode>0.000</c:formatCode>
                <c:ptCount val="14"/>
                <c:pt idx="0">
                  <c:v>1.3484710593374589</c:v>
                </c:pt>
                <c:pt idx="1">
                  <c:v>1.2980769230769231</c:v>
                </c:pt>
                <c:pt idx="2">
                  <c:v>1.3725718725718725</c:v>
                </c:pt>
                <c:pt idx="3">
                  <c:v>1.309946524064171</c:v>
                </c:pt>
                <c:pt idx="4">
                  <c:v>1.6581196581196584</c:v>
                </c:pt>
                <c:pt idx="5">
                  <c:v>1.519927536231884</c:v>
                </c:pt>
                <c:pt idx="6">
                  <c:v>1.7233861834654587</c:v>
                </c:pt>
                <c:pt idx="7">
                  <c:v>2.2136400986031224</c:v>
                </c:pt>
                <c:pt idx="8">
                  <c:v>2.9116847826086958</c:v>
                </c:pt>
                <c:pt idx="9">
                  <c:v>1.7637362637362637</c:v>
                </c:pt>
                <c:pt idx="10">
                  <c:v>1.2260041452258432</c:v>
                </c:pt>
                <c:pt idx="11">
                  <c:v>1</c:v>
                </c:pt>
                <c:pt idx="12">
                  <c:v>1.4803084091413357</c:v>
                </c:pt>
                <c:pt idx="13">
                  <c:v>1.3256433104407548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62-4B16-BA1E-3AAC49554A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.xml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8.xml"/><Relationship Id="rId1" Type="http://schemas.openxmlformats.org/officeDocument/2006/relationships/chart" Target="../charts/chart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1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5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7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9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1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0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24.xml"/><Relationship Id="rId1" Type="http://schemas.openxmlformats.org/officeDocument/2006/relationships/chart" Target="../charts/chart2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3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8.xml"/><Relationship Id="rId1" Type="http://schemas.openxmlformats.org/officeDocument/2006/relationships/chart" Target="../charts/chart2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7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6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9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3.xml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7.xml"/><Relationship Id="rId1" Type="http://schemas.openxmlformats.org/officeDocument/2006/relationships/chart" Target="../charts/chart4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5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8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50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9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13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73AAB8-1F54-414D-B918-36C4E7A2A3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3CDCD92-DCC0-497E-AE2A-7FC9A9793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EF9E458-9687-4E52-801D-F3A4B75359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DC183C0-B6A8-441A-9F42-901BE7E210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D18820F-CBC6-402A-BBAB-8034DB2E29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64EDE8C-DB6E-44E1-8D53-5F73F8D4FA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170720-F43C-4932-9C51-47C1EAD2B9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2B6436D-5BCE-4795-A25D-6B8E9B2AE9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4CBB652-A5B6-4065-85E0-21E140B410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B004EA1-AFF9-4F61-847A-605EC115E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66A0F07-1AE2-4171-A2C3-98897D2F2A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116C5D76-2766-457C-88C5-70D1AA66A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C17014-51BC-404D-ABD4-C90B332E2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9256D65-F787-4AE9-BAE9-9C1CABE26E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48C7A0A-540F-4FB9-9040-5DF58A0BC6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64D4747-B477-45AE-9CA5-E018AB8619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F2FB5D-71C7-4E15-ABD4-41BF2CAAA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C42AAD-BA13-4D82-8444-923417D9A3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E5908C8-196A-4C34-9332-1C7EC1DC9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1D2545D-B1DD-45DC-A459-4321CEBEE0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5730B2B-8DF6-4849-8280-A6E116B67B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631689D-3DE3-47A1-AF65-91B793DDE5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C95D16E-D45E-4BAB-A2A7-6AB26C9CD9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334B39C-9152-4D14-A217-A2122201CB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BF3CC17-656C-48F1-9D3A-5022AF276F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D806C65-5633-4783-A707-50E52504A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979C70F-CA03-48C9-8174-F2562113D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1C2B8BA-6CB2-4332-9E1A-04490EF36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9C6497-53DB-48DB-ABF4-403966F77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903CA05-5A0D-414B-8717-5F28D4536B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A377BF5-7AEB-4844-B77F-18DC28B9BF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3EB27DE-2655-4709-81A0-4DED60F11B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22224</xdr:rowOff>
    </xdr:from>
    <xdr:to>
      <xdr:col>27</xdr:col>
      <xdr:colOff>714374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15876</xdr:colOff>
      <xdr:row>60</xdr:row>
      <xdr:rowOff>9525</xdr:rowOff>
    </xdr:from>
    <xdr:to>
      <xdr:col>22</xdr:col>
      <xdr:colOff>698501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698501</xdr:colOff>
      <xdr:row>60</xdr:row>
      <xdr:rowOff>0</xdr:rowOff>
    </xdr:from>
    <xdr:to>
      <xdr:col>31</xdr:col>
      <xdr:colOff>1</xdr:colOff>
      <xdr:row>74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22224</xdr:rowOff>
    </xdr:from>
    <xdr:to>
      <xdr:col>27</xdr:col>
      <xdr:colOff>698500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59</xdr:row>
      <xdr:rowOff>279400</xdr:rowOff>
    </xdr:from>
    <xdr:to>
      <xdr:col>23</xdr:col>
      <xdr:colOff>15875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60</xdr:row>
      <xdr:rowOff>15876</xdr:rowOff>
    </xdr:from>
    <xdr:to>
      <xdr:col>31</xdr:col>
      <xdr:colOff>0</xdr:colOff>
      <xdr:row>74</xdr:row>
      <xdr:rowOff>15876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279400</xdr:rowOff>
    </xdr:from>
    <xdr:to>
      <xdr:col>23</xdr:col>
      <xdr:colOff>650874</xdr:colOff>
      <xdr:row>75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75</xdr:row>
      <xdr:rowOff>15875</xdr:rowOff>
    </xdr:from>
    <xdr:to>
      <xdr:col>23</xdr:col>
      <xdr:colOff>650874</xdr:colOff>
      <xdr:row>91</xdr:row>
      <xdr:rowOff>47625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31751</xdr:colOff>
      <xdr:row>43</xdr:row>
      <xdr:rowOff>15875</xdr:rowOff>
    </xdr:from>
    <xdr:to>
      <xdr:col>28</xdr:col>
      <xdr:colOff>47626</xdr:colOff>
      <xdr:row>58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B18FB48-4123-45E5-ADE5-65D27C5CBD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666750</xdr:colOff>
      <xdr:row>58</xdr:row>
      <xdr:rowOff>238125</xdr:rowOff>
    </xdr:from>
    <xdr:to>
      <xdr:col>30</xdr:col>
      <xdr:colOff>650875</xdr:colOff>
      <xdr:row>74</xdr:row>
      <xdr:rowOff>254000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803700F-BBCB-431E-8588-3CFCE0AF08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666750</xdr:colOff>
      <xdr:row>74</xdr:row>
      <xdr:rowOff>269875</xdr:rowOff>
    </xdr:from>
    <xdr:to>
      <xdr:col>30</xdr:col>
      <xdr:colOff>650875</xdr:colOff>
      <xdr:row>91</xdr:row>
      <xdr:rowOff>47625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EB38F79-0049-4EDA-A6DD-B529860EF2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169</v>
      </c>
      <c r="E5" s="3"/>
      <c r="F5" s="41" t="s">
        <v>1</v>
      </c>
      <c r="G5" s="60" t="s">
        <v>166</v>
      </c>
      <c r="H5" s="61"/>
      <c r="I5" s="14"/>
      <c r="J5" s="2" t="s">
        <v>5</v>
      </c>
      <c r="K5" s="60" t="s">
        <v>170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167</v>
      </c>
      <c r="E6" s="61"/>
      <c r="F6" s="2" t="s">
        <v>2</v>
      </c>
      <c r="G6" s="60" t="s">
        <v>165</v>
      </c>
      <c r="H6" s="61"/>
      <c r="J6" s="2" t="s">
        <v>21</v>
      </c>
      <c r="K6" s="60" t="str">
        <f>'23.10 MITYANA-MUBENDE'!K6:L6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2</v>
      </c>
      <c r="E10" s="50">
        <v>3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27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38</v>
      </c>
      <c r="R10" s="1" t="s">
        <v>6</v>
      </c>
      <c r="S10" s="17">
        <f t="shared" ref="S10:AF10" si="2">SUM(C10:C13)</f>
        <v>24</v>
      </c>
      <c r="T10" s="17">
        <f t="shared" si="2"/>
        <v>4</v>
      </c>
      <c r="U10" s="17">
        <f t="shared" si="2"/>
        <v>8</v>
      </c>
      <c r="V10" s="17">
        <f t="shared" si="2"/>
        <v>18</v>
      </c>
      <c r="W10" s="17">
        <f t="shared" si="2"/>
        <v>1</v>
      </c>
      <c r="X10" s="17">
        <f t="shared" si="2"/>
        <v>0</v>
      </c>
      <c r="Y10" s="17">
        <f t="shared" si="2"/>
        <v>5</v>
      </c>
      <c r="Z10" s="17">
        <f t="shared" si="2"/>
        <v>6</v>
      </c>
      <c r="AA10" s="17">
        <f t="shared" si="2"/>
        <v>0</v>
      </c>
      <c r="AB10" s="17">
        <f t="shared" si="2"/>
        <v>2</v>
      </c>
      <c r="AC10" s="17">
        <f t="shared" si="2"/>
        <v>161</v>
      </c>
      <c r="AD10" s="17">
        <f t="shared" si="2"/>
        <v>0</v>
      </c>
      <c r="AE10" s="31">
        <f t="shared" si="2"/>
        <v>68</v>
      </c>
      <c r="AF10" s="31">
        <f t="shared" si="2"/>
        <v>229</v>
      </c>
    </row>
    <row r="11" spans="2:32" s="6" customFormat="1" ht="23.1" customHeight="1" x14ac:dyDescent="0.25">
      <c r="B11" s="23" t="s">
        <v>38</v>
      </c>
      <c r="C11" s="50">
        <v>8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2</v>
      </c>
      <c r="K11" s="50">
        <v>0</v>
      </c>
      <c r="L11" s="50">
        <v>1</v>
      </c>
      <c r="M11" s="50">
        <v>56</v>
      </c>
      <c r="N11" s="50">
        <v>0</v>
      </c>
      <c r="O11" s="15">
        <f t="shared" si="0"/>
        <v>15</v>
      </c>
      <c r="P11" s="15">
        <f t="shared" si="1"/>
        <v>71</v>
      </c>
      <c r="R11" s="1" t="s">
        <v>7</v>
      </c>
      <c r="S11" s="17">
        <f t="shared" ref="S11:AF11" si="3">SUM(C14:C17)</f>
        <v>12</v>
      </c>
      <c r="T11" s="17">
        <f t="shared" si="3"/>
        <v>10</v>
      </c>
      <c r="U11" s="17">
        <f t="shared" si="3"/>
        <v>4</v>
      </c>
      <c r="V11" s="17">
        <f t="shared" si="3"/>
        <v>26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3</v>
      </c>
      <c r="AA11" s="17">
        <f t="shared" si="3"/>
        <v>3</v>
      </c>
      <c r="AB11" s="17">
        <f t="shared" si="3"/>
        <v>3</v>
      </c>
      <c r="AC11" s="17">
        <f t="shared" si="3"/>
        <v>177</v>
      </c>
      <c r="AD11" s="17">
        <f t="shared" si="3"/>
        <v>0</v>
      </c>
      <c r="AE11" s="31">
        <f t="shared" si="3"/>
        <v>63</v>
      </c>
      <c r="AF11" s="31">
        <f t="shared" si="3"/>
        <v>240</v>
      </c>
    </row>
    <row r="12" spans="2:32" ht="23.1" customHeight="1" x14ac:dyDescent="0.25">
      <c r="B12" s="23" t="s">
        <v>39</v>
      </c>
      <c r="C12" s="50">
        <v>8</v>
      </c>
      <c r="D12" s="50">
        <v>2</v>
      </c>
      <c r="E12" s="50">
        <v>1</v>
      </c>
      <c r="F12" s="50">
        <v>7</v>
      </c>
      <c r="G12" s="50">
        <v>1</v>
      </c>
      <c r="H12" s="50">
        <v>0</v>
      </c>
      <c r="I12" s="50">
        <v>3</v>
      </c>
      <c r="J12" s="50">
        <v>2</v>
      </c>
      <c r="K12" s="50">
        <v>0</v>
      </c>
      <c r="L12" s="50">
        <v>0</v>
      </c>
      <c r="M12" s="50">
        <v>40</v>
      </c>
      <c r="N12" s="50">
        <v>0</v>
      </c>
      <c r="O12" s="15">
        <f t="shared" si="0"/>
        <v>24</v>
      </c>
      <c r="P12" s="15">
        <f t="shared" si="1"/>
        <v>64</v>
      </c>
      <c r="R12" s="1" t="s">
        <v>8</v>
      </c>
      <c r="S12" s="17">
        <f t="shared" ref="S12:AF12" si="4">SUM(C18:C21)</f>
        <v>15</v>
      </c>
      <c r="T12" s="17">
        <f t="shared" si="4"/>
        <v>12</v>
      </c>
      <c r="U12" s="17">
        <f t="shared" si="4"/>
        <v>7</v>
      </c>
      <c r="V12" s="17">
        <f t="shared" si="4"/>
        <v>26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2</v>
      </c>
      <c r="AA12" s="17">
        <f t="shared" si="4"/>
        <v>0</v>
      </c>
      <c r="AB12" s="17">
        <f t="shared" si="4"/>
        <v>4</v>
      </c>
      <c r="AC12" s="17">
        <f t="shared" si="4"/>
        <v>164</v>
      </c>
      <c r="AD12" s="17">
        <f t="shared" si="4"/>
        <v>0</v>
      </c>
      <c r="AE12" s="31">
        <f t="shared" si="4"/>
        <v>69</v>
      </c>
      <c r="AF12" s="31">
        <f t="shared" si="4"/>
        <v>233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3</v>
      </c>
      <c r="F13" s="50">
        <v>7</v>
      </c>
      <c r="G13" s="50">
        <v>0</v>
      </c>
      <c r="H13" s="50">
        <v>0</v>
      </c>
      <c r="I13" s="50">
        <v>1</v>
      </c>
      <c r="J13" s="50">
        <v>2</v>
      </c>
      <c r="K13" s="50">
        <v>0</v>
      </c>
      <c r="L13" s="50">
        <v>0</v>
      </c>
      <c r="M13" s="50">
        <v>38</v>
      </c>
      <c r="N13" s="50">
        <v>0</v>
      </c>
      <c r="O13" s="15">
        <f t="shared" si="0"/>
        <v>18</v>
      </c>
      <c r="P13" s="15">
        <f t="shared" si="1"/>
        <v>56</v>
      </c>
      <c r="R13" s="1" t="s">
        <v>9</v>
      </c>
      <c r="S13" s="17">
        <f t="shared" ref="S13:AF13" si="5">SUM(C22:C25)</f>
        <v>22</v>
      </c>
      <c r="T13" s="17">
        <f t="shared" si="5"/>
        <v>7</v>
      </c>
      <c r="U13" s="17">
        <f t="shared" si="5"/>
        <v>6</v>
      </c>
      <c r="V13" s="17">
        <f t="shared" si="5"/>
        <v>25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1</v>
      </c>
      <c r="AA13" s="17">
        <f t="shared" si="5"/>
        <v>0</v>
      </c>
      <c r="AB13" s="17">
        <f t="shared" si="5"/>
        <v>1</v>
      </c>
      <c r="AC13" s="17">
        <f t="shared" si="5"/>
        <v>161</v>
      </c>
      <c r="AD13" s="17">
        <f t="shared" si="5"/>
        <v>0</v>
      </c>
      <c r="AE13" s="31">
        <f t="shared" si="5"/>
        <v>70</v>
      </c>
      <c r="AF13" s="31">
        <f t="shared" si="5"/>
        <v>231</v>
      </c>
    </row>
    <row r="14" spans="2:32" ht="23.1" customHeight="1" x14ac:dyDescent="0.25">
      <c r="B14" s="23" t="s">
        <v>41</v>
      </c>
      <c r="C14" s="50">
        <v>3</v>
      </c>
      <c r="D14" s="50">
        <v>1</v>
      </c>
      <c r="E14" s="50">
        <v>0</v>
      </c>
      <c r="F14" s="50">
        <v>7</v>
      </c>
      <c r="G14" s="50">
        <v>0</v>
      </c>
      <c r="H14" s="50">
        <v>0</v>
      </c>
      <c r="I14" s="50">
        <v>1</v>
      </c>
      <c r="J14" s="50">
        <v>1</v>
      </c>
      <c r="K14" s="50">
        <v>1</v>
      </c>
      <c r="L14" s="50">
        <v>0</v>
      </c>
      <c r="M14" s="50">
        <v>48</v>
      </c>
      <c r="N14" s="50">
        <v>0</v>
      </c>
      <c r="O14" s="15">
        <f t="shared" si="0"/>
        <v>14</v>
      </c>
      <c r="P14" s="15">
        <f t="shared" si="1"/>
        <v>62</v>
      </c>
      <c r="R14" s="1" t="s">
        <v>10</v>
      </c>
      <c r="S14" s="17">
        <f t="shared" ref="S14:AF14" si="6">SUM(C26:C29)</f>
        <v>33</v>
      </c>
      <c r="T14" s="17">
        <f t="shared" si="6"/>
        <v>14</v>
      </c>
      <c r="U14" s="17">
        <f t="shared" si="6"/>
        <v>12</v>
      </c>
      <c r="V14" s="17">
        <f t="shared" si="6"/>
        <v>29</v>
      </c>
      <c r="W14" s="17">
        <f t="shared" si="6"/>
        <v>0</v>
      </c>
      <c r="X14" s="17">
        <f t="shared" si="6"/>
        <v>2</v>
      </c>
      <c r="Y14" s="17">
        <f t="shared" si="6"/>
        <v>9</v>
      </c>
      <c r="Z14" s="17">
        <f t="shared" si="6"/>
        <v>10</v>
      </c>
      <c r="AA14" s="17">
        <f t="shared" si="6"/>
        <v>0</v>
      </c>
      <c r="AB14" s="17">
        <f t="shared" si="6"/>
        <v>2</v>
      </c>
      <c r="AC14" s="17">
        <f t="shared" si="6"/>
        <v>160</v>
      </c>
      <c r="AD14" s="17">
        <f t="shared" si="6"/>
        <v>0</v>
      </c>
      <c r="AE14" s="31">
        <f t="shared" si="6"/>
        <v>111</v>
      </c>
      <c r="AF14" s="31">
        <f t="shared" si="6"/>
        <v>271</v>
      </c>
    </row>
    <row r="15" spans="2:32" ht="23.1" customHeight="1" x14ac:dyDescent="0.25">
      <c r="B15" s="23" t="s">
        <v>42</v>
      </c>
      <c r="C15" s="50">
        <v>3</v>
      </c>
      <c r="D15" s="50">
        <v>2</v>
      </c>
      <c r="E15" s="50">
        <v>1</v>
      </c>
      <c r="F15" s="50">
        <v>7</v>
      </c>
      <c r="G15" s="50">
        <v>0</v>
      </c>
      <c r="H15" s="50">
        <v>0</v>
      </c>
      <c r="I15" s="50">
        <v>0</v>
      </c>
      <c r="J15" s="50">
        <v>1</v>
      </c>
      <c r="K15" s="50">
        <v>2</v>
      </c>
      <c r="L15" s="50">
        <v>1</v>
      </c>
      <c r="M15" s="50">
        <v>31</v>
      </c>
      <c r="N15" s="50">
        <v>0</v>
      </c>
      <c r="O15" s="15">
        <f t="shared" si="0"/>
        <v>17</v>
      </c>
      <c r="P15" s="15">
        <f t="shared" si="1"/>
        <v>48</v>
      </c>
      <c r="R15" s="1" t="s">
        <v>11</v>
      </c>
      <c r="S15" s="17">
        <f t="shared" ref="S15:AF15" si="7">SUM(C30:C33)</f>
        <v>28</v>
      </c>
      <c r="T15" s="17">
        <f t="shared" si="7"/>
        <v>6</v>
      </c>
      <c r="U15" s="17">
        <f t="shared" si="7"/>
        <v>6</v>
      </c>
      <c r="V15" s="17">
        <f t="shared" si="7"/>
        <v>21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153</v>
      </c>
      <c r="AD15" s="17">
        <f t="shared" si="7"/>
        <v>0</v>
      </c>
      <c r="AE15" s="31">
        <f t="shared" si="7"/>
        <v>76</v>
      </c>
      <c r="AF15" s="31">
        <f t="shared" si="7"/>
        <v>229</v>
      </c>
    </row>
    <row r="16" spans="2:32" ht="23.1" customHeight="1" x14ac:dyDescent="0.25">
      <c r="B16" s="23" t="s">
        <v>43</v>
      </c>
      <c r="C16" s="50">
        <v>4</v>
      </c>
      <c r="D16" s="50">
        <v>6</v>
      </c>
      <c r="E16" s="50">
        <v>1</v>
      </c>
      <c r="F16" s="50">
        <v>8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1</v>
      </c>
      <c r="M16" s="50">
        <v>54</v>
      </c>
      <c r="N16" s="50">
        <v>0</v>
      </c>
      <c r="O16" s="15">
        <f t="shared" si="0"/>
        <v>22</v>
      </c>
      <c r="P16" s="15">
        <f t="shared" si="1"/>
        <v>76</v>
      </c>
      <c r="R16" s="1" t="s">
        <v>12</v>
      </c>
      <c r="S16" s="17">
        <f t="shared" ref="S16:AF16" si="8">SUM(C34:C37)</f>
        <v>17</v>
      </c>
      <c r="T16" s="17">
        <f t="shared" si="8"/>
        <v>14</v>
      </c>
      <c r="U16" s="17">
        <f t="shared" si="8"/>
        <v>8</v>
      </c>
      <c r="V16" s="17">
        <f t="shared" si="8"/>
        <v>35</v>
      </c>
      <c r="W16" s="17">
        <f t="shared" si="8"/>
        <v>0</v>
      </c>
      <c r="X16" s="17">
        <f t="shared" si="8"/>
        <v>2</v>
      </c>
      <c r="Y16" s="17">
        <f t="shared" si="8"/>
        <v>4</v>
      </c>
      <c r="Z16" s="17">
        <f t="shared" si="8"/>
        <v>8</v>
      </c>
      <c r="AA16" s="17">
        <f t="shared" si="8"/>
        <v>1</v>
      </c>
      <c r="AB16" s="17">
        <f t="shared" si="8"/>
        <v>4</v>
      </c>
      <c r="AC16" s="17">
        <f t="shared" si="8"/>
        <v>168</v>
      </c>
      <c r="AD16" s="17">
        <f t="shared" si="8"/>
        <v>0</v>
      </c>
      <c r="AE16" s="31">
        <f t="shared" si="8"/>
        <v>93</v>
      </c>
      <c r="AF16" s="31">
        <f t="shared" si="8"/>
        <v>261</v>
      </c>
    </row>
    <row r="17" spans="2:32" ht="23.1" customHeight="1" x14ac:dyDescent="0.25">
      <c r="B17" s="23" t="s">
        <v>44</v>
      </c>
      <c r="C17" s="50">
        <v>2</v>
      </c>
      <c r="D17" s="50">
        <v>1</v>
      </c>
      <c r="E17" s="50">
        <v>2</v>
      </c>
      <c r="F17" s="50">
        <v>4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44</v>
      </c>
      <c r="N17" s="50">
        <v>0</v>
      </c>
      <c r="O17" s="15">
        <f t="shared" si="0"/>
        <v>10</v>
      </c>
      <c r="P17" s="15">
        <f t="shared" si="1"/>
        <v>54</v>
      </c>
      <c r="R17" s="1" t="s">
        <v>13</v>
      </c>
      <c r="S17" s="17">
        <f t="shared" ref="S17:AF17" si="9">SUM(C38:C41)</f>
        <v>28</v>
      </c>
      <c r="T17" s="17">
        <f t="shared" si="9"/>
        <v>16</v>
      </c>
      <c r="U17" s="17">
        <f t="shared" si="9"/>
        <v>8</v>
      </c>
      <c r="V17" s="17">
        <f t="shared" si="9"/>
        <v>31</v>
      </c>
      <c r="W17" s="17">
        <f t="shared" si="9"/>
        <v>1</v>
      </c>
      <c r="X17" s="17">
        <f t="shared" si="9"/>
        <v>3</v>
      </c>
      <c r="Y17" s="17">
        <f t="shared" si="9"/>
        <v>6</v>
      </c>
      <c r="Z17" s="17">
        <f t="shared" si="9"/>
        <v>8</v>
      </c>
      <c r="AA17" s="17">
        <f t="shared" si="9"/>
        <v>3</v>
      </c>
      <c r="AB17" s="17">
        <f t="shared" si="9"/>
        <v>2</v>
      </c>
      <c r="AC17" s="17">
        <f t="shared" si="9"/>
        <v>158</v>
      </c>
      <c r="AD17" s="17">
        <f t="shared" si="9"/>
        <v>0</v>
      </c>
      <c r="AE17" s="31">
        <f t="shared" si="9"/>
        <v>106</v>
      </c>
      <c r="AF17" s="31">
        <f t="shared" si="9"/>
        <v>264</v>
      </c>
    </row>
    <row r="18" spans="2:32" ht="23.1" customHeight="1" x14ac:dyDescent="0.25">
      <c r="B18" s="23" t="s">
        <v>45</v>
      </c>
      <c r="C18" s="50">
        <v>7</v>
      </c>
      <c r="D18" s="50">
        <v>3</v>
      </c>
      <c r="E18" s="50">
        <v>1</v>
      </c>
      <c r="F18" s="50">
        <v>5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3</v>
      </c>
      <c r="M18" s="50">
        <v>40</v>
      </c>
      <c r="N18" s="50">
        <v>0</v>
      </c>
      <c r="O18" s="15">
        <f t="shared" si="0"/>
        <v>21</v>
      </c>
      <c r="P18" s="15">
        <f t="shared" si="1"/>
        <v>61</v>
      </c>
      <c r="R18" s="1" t="s">
        <v>14</v>
      </c>
      <c r="S18" s="17">
        <f t="shared" ref="S18:AF18" si="10">SUM(C42:C45)</f>
        <v>23</v>
      </c>
      <c r="T18" s="17">
        <f t="shared" si="10"/>
        <v>8</v>
      </c>
      <c r="U18" s="17">
        <f t="shared" si="10"/>
        <v>8</v>
      </c>
      <c r="V18" s="17">
        <f t="shared" si="10"/>
        <v>23</v>
      </c>
      <c r="W18" s="17">
        <f t="shared" si="10"/>
        <v>1</v>
      </c>
      <c r="X18" s="17">
        <f t="shared" si="10"/>
        <v>1</v>
      </c>
      <c r="Y18" s="17">
        <f t="shared" si="10"/>
        <v>16</v>
      </c>
      <c r="Z18" s="17">
        <f t="shared" si="10"/>
        <v>6</v>
      </c>
      <c r="AA18" s="17">
        <f t="shared" si="10"/>
        <v>0</v>
      </c>
      <c r="AB18" s="17">
        <f t="shared" si="10"/>
        <v>8</v>
      </c>
      <c r="AC18" s="17">
        <f t="shared" si="10"/>
        <v>177</v>
      </c>
      <c r="AD18" s="17">
        <f t="shared" si="10"/>
        <v>0</v>
      </c>
      <c r="AE18" s="31">
        <f t="shared" si="10"/>
        <v>94</v>
      </c>
      <c r="AF18" s="31">
        <f t="shared" si="10"/>
        <v>271</v>
      </c>
    </row>
    <row r="19" spans="2:32" ht="23.1" customHeight="1" x14ac:dyDescent="0.25">
      <c r="B19" s="23" t="s">
        <v>46</v>
      </c>
      <c r="C19" s="50">
        <v>2</v>
      </c>
      <c r="D19" s="50">
        <v>4</v>
      </c>
      <c r="E19" s="50">
        <v>1</v>
      </c>
      <c r="F19" s="50">
        <v>6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40</v>
      </c>
      <c r="N19" s="50">
        <v>0</v>
      </c>
      <c r="O19" s="15">
        <f t="shared" si="0"/>
        <v>13</v>
      </c>
      <c r="P19" s="15">
        <f t="shared" si="1"/>
        <v>53</v>
      </c>
      <c r="R19" s="1" t="s">
        <v>15</v>
      </c>
      <c r="S19" s="17">
        <f t="shared" ref="S19:AF19" si="11">SUM(C46:C49)</f>
        <v>34</v>
      </c>
      <c r="T19" s="17">
        <f t="shared" si="11"/>
        <v>15</v>
      </c>
      <c r="U19" s="17">
        <f t="shared" si="11"/>
        <v>12</v>
      </c>
      <c r="V19" s="17">
        <f t="shared" si="11"/>
        <v>27</v>
      </c>
      <c r="W19" s="17">
        <f t="shared" si="11"/>
        <v>0</v>
      </c>
      <c r="X19" s="17">
        <f t="shared" si="11"/>
        <v>2</v>
      </c>
      <c r="Y19" s="17">
        <f t="shared" si="11"/>
        <v>11</v>
      </c>
      <c r="Z19" s="17">
        <f t="shared" si="11"/>
        <v>14</v>
      </c>
      <c r="AA19" s="17">
        <f t="shared" si="11"/>
        <v>4</v>
      </c>
      <c r="AB19" s="17">
        <f t="shared" si="11"/>
        <v>4</v>
      </c>
      <c r="AC19" s="17">
        <f t="shared" si="11"/>
        <v>169</v>
      </c>
      <c r="AD19" s="17">
        <f t="shared" si="11"/>
        <v>0</v>
      </c>
      <c r="AE19" s="31">
        <f t="shared" si="11"/>
        <v>123</v>
      </c>
      <c r="AF19" s="31">
        <f t="shared" si="11"/>
        <v>292</v>
      </c>
    </row>
    <row r="20" spans="2:32" ht="23.1" customHeight="1" x14ac:dyDescent="0.25">
      <c r="B20" s="23" t="s">
        <v>47</v>
      </c>
      <c r="C20" s="50">
        <v>4</v>
      </c>
      <c r="D20" s="50">
        <v>4</v>
      </c>
      <c r="E20" s="50">
        <v>4</v>
      </c>
      <c r="F20" s="50">
        <v>7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34</v>
      </c>
      <c r="N20" s="50">
        <v>0</v>
      </c>
      <c r="O20" s="15">
        <f t="shared" si="0"/>
        <v>20</v>
      </c>
      <c r="P20" s="15">
        <f t="shared" si="1"/>
        <v>54</v>
      </c>
      <c r="R20" s="1" t="s">
        <v>16</v>
      </c>
      <c r="S20" s="17">
        <f t="shared" ref="S20:AF20" si="12">SUM(C50:C53)</f>
        <v>46</v>
      </c>
      <c r="T20" s="17">
        <f t="shared" si="12"/>
        <v>12</v>
      </c>
      <c r="U20" s="17">
        <f t="shared" si="12"/>
        <v>7</v>
      </c>
      <c r="V20" s="17">
        <f t="shared" si="12"/>
        <v>30</v>
      </c>
      <c r="W20" s="17">
        <f t="shared" si="12"/>
        <v>1</v>
      </c>
      <c r="X20" s="17">
        <f t="shared" si="12"/>
        <v>1</v>
      </c>
      <c r="Y20" s="17">
        <f t="shared" si="12"/>
        <v>14</v>
      </c>
      <c r="Z20" s="17">
        <f t="shared" si="12"/>
        <v>7</v>
      </c>
      <c r="AA20" s="17">
        <f t="shared" si="12"/>
        <v>1</v>
      </c>
      <c r="AB20" s="17">
        <f t="shared" si="12"/>
        <v>6</v>
      </c>
      <c r="AC20" s="17">
        <f t="shared" si="12"/>
        <v>215</v>
      </c>
      <c r="AD20" s="17">
        <f t="shared" si="12"/>
        <v>0</v>
      </c>
      <c r="AE20" s="31">
        <f t="shared" si="12"/>
        <v>125</v>
      </c>
      <c r="AF20" s="31">
        <f t="shared" si="12"/>
        <v>340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1</v>
      </c>
      <c r="F21" s="50">
        <v>8</v>
      </c>
      <c r="G21" s="50">
        <v>0</v>
      </c>
      <c r="H21" s="50">
        <v>1</v>
      </c>
      <c r="I21" s="50">
        <v>0</v>
      </c>
      <c r="J21" s="50">
        <v>1</v>
      </c>
      <c r="K21" s="50">
        <v>0</v>
      </c>
      <c r="L21" s="50">
        <v>1</v>
      </c>
      <c r="M21" s="50">
        <v>50</v>
      </c>
      <c r="N21" s="50">
        <v>0</v>
      </c>
      <c r="O21" s="15">
        <f t="shared" si="0"/>
        <v>15</v>
      </c>
      <c r="P21" s="15">
        <f t="shared" si="1"/>
        <v>65</v>
      </c>
      <c r="R21" s="36" t="s">
        <v>20</v>
      </c>
      <c r="S21" s="34">
        <f t="shared" ref="S21:AF21" si="13">SUM(C54:C57)</f>
        <v>45</v>
      </c>
      <c r="T21" s="17">
        <f t="shared" si="13"/>
        <v>15</v>
      </c>
      <c r="U21" s="17">
        <f t="shared" si="13"/>
        <v>16</v>
      </c>
      <c r="V21" s="17">
        <f t="shared" si="13"/>
        <v>32</v>
      </c>
      <c r="W21" s="17">
        <f t="shared" si="13"/>
        <v>1</v>
      </c>
      <c r="X21" s="17">
        <f t="shared" si="13"/>
        <v>3</v>
      </c>
      <c r="Y21" s="17">
        <f t="shared" si="13"/>
        <v>13</v>
      </c>
      <c r="Z21" s="17">
        <f t="shared" si="13"/>
        <v>9</v>
      </c>
      <c r="AA21" s="17">
        <f t="shared" si="13"/>
        <v>0</v>
      </c>
      <c r="AB21" s="17">
        <f t="shared" si="13"/>
        <v>5</v>
      </c>
      <c r="AC21" s="17">
        <f t="shared" si="13"/>
        <v>269</v>
      </c>
      <c r="AD21" s="17">
        <f t="shared" si="13"/>
        <v>0</v>
      </c>
      <c r="AE21" s="31">
        <f t="shared" si="13"/>
        <v>139</v>
      </c>
      <c r="AF21" s="31">
        <f t="shared" si="13"/>
        <v>408</v>
      </c>
    </row>
    <row r="22" spans="2:32" ht="23.1" customHeight="1" x14ac:dyDescent="0.25">
      <c r="B22" s="23" t="s">
        <v>49</v>
      </c>
      <c r="C22" s="50">
        <v>10</v>
      </c>
      <c r="D22" s="50">
        <v>4</v>
      </c>
      <c r="E22" s="50">
        <v>1</v>
      </c>
      <c r="F22" s="50">
        <v>6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37</v>
      </c>
      <c r="N22" s="50">
        <v>0</v>
      </c>
      <c r="O22" s="15">
        <f t="shared" si="0"/>
        <v>23</v>
      </c>
      <c r="P22" s="15">
        <f t="shared" si="1"/>
        <v>60</v>
      </c>
      <c r="R22" s="38" t="s">
        <v>90</v>
      </c>
      <c r="S22" s="39">
        <f>MAX(S10:S12)</f>
        <v>24</v>
      </c>
      <c r="T22" s="39">
        <f t="shared" ref="T22:AF22" si="14">MAX(T10:T12)</f>
        <v>12</v>
      </c>
      <c r="U22" s="39">
        <f t="shared" si="14"/>
        <v>8</v>
      </c>
      <c r="V22" s="39">
        <f t="shared" si="14"/>
        <v>26</v>
      </c>
      <c r="W22" s="39">
        <f t="shared" si="14"/>
        <v>1</v>
      </c>
      <c r="X22" s="39">
        <f t="shared" si="14"/>
        <v>1</v>
      </c>
      <c r="Y22" s="39">
        <f t="shared" si="14"/>
        <v>5</v>
      </c>
      <c r="Z22" s="39">
        <f t="shared" si="14"/>
        <v>6</v>
      </c>
      <c r="AA22" s="39">
        <f t="shared" si="14"/>
        <v>3</v>
      </c>
      <c r="AB22" s="39">
        <f t="shared" si="14"/>
        <v>4</v>
      </c>
      <c r="AC22" s="39">
        <f t="shared" si="14"/>
        <v>177</v>
      </c>
      <c r="AD22" s="39">
        <f t="shared" si="14"/>
        <v>0</v>
      </c>
      <c r="AE22" s="40">
        <f t="shared" si="14"/>
        <v>69</v>
      </c>
      <c r="AF22" s="40">
        <f t="shared" si="14"/>
        <v>240</v>
      </c>
    </row>
    <row r="23" spans="2:32" ht="23.1" customHeight="1" x14ac:dyDescent="0.25">
      <c r="B23" s="23" t="s">
        <v>50</v>
      </c>
      <c r="C23" s="50">
        <v>7</v>
      </c>
      <c r="D23" s="50">
        <v>0</v>
      </c>
      <c r="E23" s="50">
        <v>3</v>
      </c>
      <c r="F23" s="50">
        <v>5</v>
      </c>
      <c r="G23" s="50">
        <v>0</v>
      </c>
      <c r="H23" s="50">
        <v>0</v>
      </c>
      <c r="I23" s="50">
        <v>3</v>
      </c>
      <c r="J23" s="50">
        <v>1</v>
      </c>
      <c r="K23" s="50">
        <v>0</v>
      </c>
      <c r="L23" s="50">
        <v>0</v>
      </c>
      <c r="M23" s="50">
        <v>48</v>
      </c>
      <c r="N23" s="50">
        <v>0</v>
      </c>
      <c r="O23" s="15">
        <f t="shared" si="0"/>
        <v>19</v>
      </c>
      <c r="P23" s="15">
        <f t="shared" si="1"/>
        <v>67</v>
      </c>
      <c r="R23" s="38" t="s">
        <v>91</v>
      </c>
      <c r="S23" s="39">
        <f>MAX(S13:S18)</f>
        <v>33</v>
      </c>
      <c r="T23" s="39">
        <f t="shared" ref="T23:AF23" si="15">MAX(T13:T18)</f>
        <v>16</v>
      </c>
      <c r="U23" s="39">
        <f t="shared" si="15"/>
        <v>12</v>
      </c>
      <c r="V23" s="39">
        <f t="shared" si="15"/>
        <v>35</v>
      </c>
      <c r="W23" s="39">
        <f t="shared" si="15"/>
        <v>1</v>
      </c>
      <c r="X23" s="39">
        <f t="shared" si="15"/>
        <v>3</v>
      </c>
      <c r="Y23" s="39">
        <f t="shared" si="15"/>
        <v>16</v>
      </c>
      <c r="Z23" s="39">
        <f t="shared" si="15"/>
        <v>10</v>
      </c>
      <c r="AA23" s="39">
        <f t="shared" si="15"/>
        <v>3</v>
      </c>
      <c r="AB23" s="39">
        <f t="shared" si="15"/>
        <v>8</v>
      </c>
      <c r="AC23" s="39">
        <f t="shared" si="15"/>
        <v>177</v>
      </c>
      <c r="AD23" s="39">
        <f t="shared" si="15"/>
        <v>0</v>
      </c>
      <c r="AE23" s="40">
        <f t="shared" si="15"/>
        <v>111</v>
      </c>
      <c r="AF23" s="40">
        <f t="shared" si="15"/>
        <v>271</v>
      </c>
    </row>
    <row r="24" spans="2:32" ht="23.1" customHeight="1" x14ac:dyDescent="0.25">
      <c r="B24" s="23" t="s">
        <v>51</v>
      </c>
      <c r="C24" s="50">
        <v>4</v>
      </c>
      <c r="D24" s="50">
        <v>2</v>
      </c>
      <c r="E24" s="50">
        <v>0</v>
      </c>
      <c r="F24" s="50">
        <v>7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39</v>
      </c>
      <c r="N24" s="50">
        <v>0</v>
      </c>
      <c r="O24" s="15">
        <f t="shared" si="0"/>
        <v>16</v>
      </c>
      <c r="P24" s="15">
        <f t="shared" si="1"/>
        <v>55</v>
      </c>
      <c r="R24" s="38" t="s">
        <v>92</v>
      </c>
      <c r="S24" s="39">
        <f>MAX(S19:S21)</f>
        <v>46</v>
      </c>
      <c r="T24" s="39">
        <f t="shared" ref="T24:AF24" si="16">MAX(T19:T21)</f>
        <v>15</v>
      </c>
      <c r="U24" s="39">
        <f t="shared" si="16"/>
        <v>16</v>
      </c>
      <c r="V24" s="39">
        <f t="shared" si="16"/>
        <v>32</v>
      </c>
      <c r="W24" s="39">
        <f t="shared" si="16"/>
        <v>1</v>
      </c>
      <c r="X24" s="39">
        <f t="shared" si="16"/>
        <v>3</v>
      </c>
      <c r="Y24" s="39">
        <f t="shared" si="16"/>
        <v>14</v>
      </c>
      <c r="Z24" s="39">
        <f t="shared" si="16"/>
        <v>14</v>
      </c>
      <c r="AA24" s="39">
        <f t="shared" si="16"/>
        <v>4</v>
      </c>
      <c r="AB24" s="39">
        <f t="shared" si="16"/>
        <v>6</v>
      </c>
      <c r="AC24" s="39">
        <f t="shared" si="16"/>
        <v>269</v>
      </c>
      <c r="AD24" s="39">
        <f t="shared" si="16"/>
        <v>0</v>
      </c>
      <c r="AE24" s="40">
        <f t="shared" si="16"/>
        <v>139</v>
      </c>
      <c r="AF24" s="40">
        <f t="shared" si="16"/>
        <v>408</v>
      </c>
    </row>
    <row r="25" spans="2:32" ht="23.1" customHeight="1" x14ac:dyDescent="0.25">
      <c r="B25" s="23" t="s">
        <v>52</v>
      </c>
      <c r="C25" s="50">
        <v>1</v>
      </c>
      <c r="D25" s="50">
        <v>1</v>
      </c>
      <c r="E25" s="50">
        <v>2</v>
      </c>
      <c r="F25" s="50">
        <v>7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37</v>
      </c>
      <c r="N25" s="50">
        <v>0</v>
      </c>
      <c r="O25" s="15">
        <f t="shared" si="0"/>
        <v>12</v>
      </c>
      <c r="P25" s="15">
        <f t="shared" si="1"/>
        <v>49</v>
      </c>
      <c r="R25" s="37" t="s">
        <v>85</v>
      </c>
      <c r="S25" s="35">
        <f t="shared" ref="S25:AF25" si="17">SUM(S10:S12)</f>
        <v>51</v>
      </c>
      <c r="T25" s="16">
        <f t="shared" si="17"/>
        <v>26</v>
      </c>
      <c r="U25" s="16">
        <f t="shared" si="17"/>
        <v>19</v>
      </c>
      <c r="V25" s="16">
        <f t="shared" si="17"/>
        <v>70</v>
      </c>
      <c r="W25" s="16">
        <f t="shared" si="17"/>
        <v>1</v>
      </c>
      <c r="X25" s="16">
        <f t="shared" si="17"/>
        <v>1</v>
      </c>
      <c r="Y25" s="16">
        <f t="shared" si="17"/>
        <v>9</v>
      </c>
      <c r="Z25" s="16">
        <f t="shared" si="17"/>
        <v>11</v>
      </c>
      <c r="AA25" s="16">
        <f t="shared" si="17"/>
        <v>3</v>
      </c>
      <c r="AB25" s="16">
        <f t="shared" si="17"/>
        <v>9</v>
      </c>
      <c r="AC25" s="16">
        <f t="shared" si="17"/>
        <v>502</v>
      </c>
      <c r="AD25" s="16">
        <f t="shared" si="17"/>
        <v>0</v>
      </c>
      <c r="AE25" s="32">
        <f t="shared" si="17"/>
        <v>200</v>
      </c>
      <c r="AF25" s="32">
        <f t="shared" si="17"/>
        <v>702</v>
      </c>
    </row>
    <row r="26" spans="2:32" ht="23.1" customHeight="1" x14ac:dyDescent="0.25">
      <c r="B26" s="23" t="s">
        <v>53</v>
      </c>
      <c r="C26" s="50">
        <v>6</v>
      </c>
      <c r="D26" s="50">
        <v>2</v>
      </c>
      <c r="E26" s="50">
        <v>4</v>
      </c>
      <c r="F26" s="50">
        <v>10</v>
      </c>
      <c r="G26" s="50">
        <v>0</v>
      </c>
      <c r="H26" s="50">
        <v>0</v>
      </c>
      <c r="I26" s="50">
        <v>4</v>
      </c>
      <c r="J26" s="50">
        <v>4</v>
      </c>
      <c r="K26" s="50">
        <v>0</v>
      </c>
      <c r="L26" s="50">
        <v>0</v>
      </c>
      <c r="M26" s="50">
        <v>50</v>
      </c>
      <c r="N26" s="50">
        <v>0</v>
      </c>
      <c r="O26" s="15">
        <f t="shared" si="0"/>
        <v>30</v>
      </c>
      <c r="P26" s="15">
        <f t="shared" si="1"/>
        <v>80</v>
      </c>
      <c r="R26" s="28" t="s">
        <v>86</v>
      </c>
      <c r="S26" s="16">
        <f t="shared" ref="S26:AF26" si="18">SUM(S13:S18)</f>
        <v>151</v>
      </c>
      <c r="T26" s="16">
        <f t="shared" si="18"/>
        <v>65</v>
      </c>
      <c r="U26" s="16">
        <f t="shared" si="18"/>
        <v>48</v>
      </c>
      <c r="V26" s="16">
        <f t="shared" si="18"/>
        <v>164</v>
      </c>
      <c r="W26" s="16">
        <f t="shared" si="18"/>
        <v>2</v>
      </c>
      <c r="X26" s="16">
        <f t="shared" si="18"/>
        <v>8</v>
      </c>
      <c r="Y26" s="16">
        <f t="shared" si="18"/>
        <v>53</v>
      </c>
      <c r="Z26" s="16">
        <f t="shared" si="18"/>
        <v>34</v>
      </c>
      <c r="AA26" s="16">
        <f t="shared" si="18"/>
        <v>4</v>
      </c>
      <c r="AB26" s="16">
        <f t="shared" si="18"/>
        <v>21</v>
      </c>
      <c r="AC26" s="16">
        <f t="shared" si="18"/>
        <v>977</v>
      </c>
      <c r="AD26" s="16">
        <f t="shared" si="18"/>
        <v>0</v>
      </c>
      <c r="AE26" s="32">
        <f t="shared" si="18"/>
        <v>550</v>
      </c>
      <c r="AF26" s="32">
        <f t="shared" si="18"/>
        <v>1527</v>
      </c>
    </row>
    <row r="27" spans="2:32" ht="23.1" customHeight="1" x14ac:dyDescent="0.25">
      <c r="B27" s="23" t="s">
        <v>54</v>
      </c>
      <c r="C27" s="50">
        <v>8</v>
      </c>
      <c r="D27" s="50">
        <v>3</v>
      </c>
      <c r="E27" s="50">
        <v>3</v>
      </c>
      <c r="F27" s="50">
        <v>7</v>
      </c>
      <c r="G27" s="50">
        <v>0</v>
      </c>
      <c r="H27" s="50">
        <v>0</v>
      </c>
      <c r="I27" s="50">
        <v>1</v>
      </c>
      <c r="J27" s="50">
        <v>4</v>
      </c>
      <c r="K27" s="50">
        <v>0</v>
      </c>
      <c r="L27" s="50">
        <v>0</v>
      </c>
      <c r="M27" s="50">
        <v>31</v>
      </c>
      <c r="N27" s="50">
        <v>0</v>
      </c>
      <c r="O27" s="15">
        <f t="shared" si="0"/>
        <v>26</v>
      </c>
      <c r="P27" s="15">
        <f t="shared" si="1"/>
        <v>57</v>
      </c>
      <c r="R27" s="29" t="s">
        <v>87</v>
      </c>
      <c r="S27" s="16">
        <f t="shared" ref="S27:AF27" si="19">SUM(S19:S21)</f>
        <v>125</v>
      </c>
      <c r="T27" s="16">
        <f t="shared" si="19"/>
        <v>42</v>
      </c>
      <c r="U27" s="16">
        <f t="shared" si="19"/>
        <v>35</v>
      </c>
      <c r="V27" s="16">
        <f t="shared" si="19"/>
        <v>89</v>
      </c>
      <c r="W27" s="16">
        <f t="shared" si="19"/>
        <v>2</v>
      </c>
      <c r="X27" s="16">
        <f t="shared" si="19"/>
        <v>6</v>
      </c>
      <c r="Y27" s="16">
        <f t="shared" si="19"/>
        <v>38</v>
      </c>
      <c r="Z27" s="16">
        <f t="shared" si="19"/>
        <v>30</v>
      </c>
      <c r="AA27" s="16">
        <f t="shared" si="19"/>
        <v>5</v>
      </c>
      <c r="AB27" s="16">
        <f t="shared" si="19"/>
        <v>15</v>
      </c>
      <c r="AC27" s="16">
        <f t="shared" si="19"/>
        <v>653</v>
      </c>
      <c r="AD27" s="16">
        <f t="shared" si="19"/>
        <v>0</v>
      </c>
      <c r="AE27" s="32">
        <f t="shared" si="19"/>
        <v>387</v>
      </c>
      <c r="AF27" s="32">
        <f t="shared" si="19"/>
        <v>1040</v>
      </c>
    </row>
    <row r="28" spans="2:32" ht="23.1" customHeight="1" x14ac:dyDescent="0.25">
      <c r="B28" s="23" t="s">
        <v>55</v>
      </c>
      <c r="C28" s="50">
        <v>7</v>
      </c>
      <c r="D28" s="50">
        <v>6</v>
      </c>
      <c r="E28" s="50">
        <v>2</v>
      </c>
      <c r="F28" s="50">
        <v>8</v>
      </c>
      <c r="G28" s="50">
        <v>0</v>
      </c>
      <c r="H28" s="50">
        <v>1</v>
      </c>
      <c r="I28" s="50">
        <v>1</v>
      </c>
      <c r="J28" s="50">
        <v>1</v>
      </c>
      <c r="K28" s="50">
        <v>0</v>
      </c>
      <c r="L28" s="50">
        <v>0</v>
      </c>
      <c r="M28" s="50">
        <v>32</v>
      </c>
      <c r="N28" s="50">
        <v>0</v>
      </c>
      <c r="O28" s="15">
        <f t="shared" si="0"/>
        <v>26</v>
      </c>
      <c r="P28" s="15">
        <f t="shared" si="1"/>
        <v>58</v>
      </c>
      <c r="R28" s="5" t="s">
        <v>17</v>
      </c>
      <c r="S28" s="16">
        <f t="shared" ref="S28:AF28" si="20">SUM(S10:S21)</f>
        <v>327</v>
      </c>
      <c r="T28" s="16">
        <f t="shared" si="20"/>
        <v>133</v>
      </c>
      <c r="U28" s="16">
        <f t="shared" si="20"/>
        <v>102</v>
      </c>
      <c r="V28" s="16">
        <f t="shared" si="20"/>
        <v>323</v>
      </c>
      <c r="W28" s="16">
        <f t="shared" si="20"/>
        <v>5</v>
      </c>
      <c r="X28" s="16">
        <f t="shared" si="20"/>
        <v>15</v>
      </c>
      <c r="Y28" s="16">
        <f t="shared" si="20"/>
        <v>100</v>
      </c>
      <c r="Z28" s="16">
        <f t="shared" si="20"/>
        <v>75</v>
      </c>
      <c r="AA28" s="16">
        <f t="shared" si="20"/>
        <v>12</v>
      </c>
      <c r="AB28" s="16">
        <f t="shared" si="20"/>
        <v>45</v>
      </c>
      <c r="AC28" s="16">
        <f t="shared" si="20"/>
        <v>2132</v>
      </c>
      <c r="AD28" s="16">
        <f t="shared" si="20"/>
        <v>0</v>
      </c>
      <c r="AE28" s="32">
        <f t="shared" si="20"/>
        <v>1137</v>
      </c>
      <c r="AF28" s="32">
        <f t="shared" si="20"/>
        <v>3269</v>
      </c>
    </row>
    <row r="29" spans="2:32" ht="23.1" customHeight="1" x14ac:dyDescent="0.25">
      <c r="B29" s="23" t="s">
        <v>56</v>
      </c>
      <c r="C29" s="50">
        <v>12</v>
      </c>
      <c r="D29" s="50">
        <v>3</v>
      </c>
      <c r="E29" s="50">
        <v>3</v>
      </c>
      <c r="F29" s="50">
        <v>4</v>
      </c>
      <c r="G29" s="50">
        <v>0</v>
      </c>
      <c r="H29" s="50">
        <v>1</v>
      </c>
      <c r="I29" s="50">
        <v>3</v>
      </c>
      <c r="J29" s="50">
        <v>1</v>
      </c>
      <c r="K29" s="50">
        <v>0</v>
      </c>
      <c r="L29" s="50">
        <v>2</v>
      </c>
      <c r="M29" s="50">
        <v>47</v>
      </c>
      <c r="N29" s="50">
        <v>0</v>
      </c>
      <c r="O29" s="15">
        <f t="shared" si="0"/>
        <v>29</v>
      </c>
      <c r="P29" s="15">
        <f t="shared" si="1"/>
        <v>76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3</v>
      </c>
      <c r="E30" s="50">
        <v>2</v>
      </c>
      <c r="F30" s="50">
        <v>9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39</v>
      </c>
      <c r="N30" s="50">
        <v>0</v>
      </c>
      <c r="O30" s="15">
        <f t="shared" si="0"/>
        <v>25</v>
      </c>
      <c r="P30" s="15">
        <f t="shared" si="1"/>
        <v>64</v>
      </c>
    </row>
    <row r="31" spans="2:32" ht="23.1" customHeight="1" x14ac:dyDescent="0.25">
      <c r="B31" s="24" t="s">
        <v>58</v>
      </c>
      <c r="C31" s="50">
        <v>10</v>
      </c>
      <c r="D31" s="50">
        <v>1</v>
      </c>
      <c r="E31" s="50">
        <v>2</v>
      </c>
      <c r="F31" s="50">
        <v>3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2</v>
      </c>
      <c r="M31" s="50">
        <v>37</v>
      </c>
      <c r="N31" s="50">
        <v>0</v>
      </c>
      <c r="O31" s="15">
        <f t="shared" si="0"/>
        <v>20</v>
      </c>
      <c r="P31" s="15">
        <f t="shared" si="1"/>
        <v>57</v>
      </c>
    </row>
    <row r="32" spans="2:32" ht="23.1" customHeight="1" x14ac:dyDescent="0.25">
      <c r="B32" s="24" t="s">
        <v>59</v>
      </c>
      <c r="C32" s="50">
        <v>5</v>
      </c>
      <c r="D32" s="50">
        <v>1</v>
      </c>
      <c r="E32" s="50">
        <v>1</v>
      </c>
      <c r="F32" s="50">
        <v>4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46</v>
      </c>
      <c r="N32" s="50">
        <v>0</v>
      </c>
      <c r="O32" s="15">
        <f t="shared" si="0"/>
        <v>15</v>
      </c>
      <c r="P32" s="15">
        <f t="shared" si="1"/>
        <v>61</v>
      </c>
    </row>
    <row r="33" spans="2:20" ht="23.1" customHeight="1" x14ac:dyDescent="0.25">
      <c r="B33" s="23" t="s">
        <v>60</v>
      </c>
      <c r="C33" s="50">
        <v>3</v>
      </c>
      <c r="D33" s="50">
        <v>1</v>
      </c>
      <c r="E33" s="50">
        <v>1</v>
      </c>
      <c r="F33" s="50">
        <v>5</v>
      </c>
      <c r="G33" s="50">
        <v>0</v>
      </c>
      <c r="H33" s="50">
        <v>0</v>
      </c>
      <c r="I33" s="50">
        <v>4</v>
      </c>
      <c r="J33" s="50">
        <v>0</v>
      </c>
      <c r="K33" s="50">
        <v>0</v>
      </c>
      <c r="L33" s="50">
        <v>2</v>
      </c>
      <c r="M33" s="50">
        <v>31</v>
      </c>
      <c r="N33" s="50">
        <v>0</v>
      </c>
      <c r="O33" s="15">
        <f t="shared" si="0"/>
        <v>16</v>
      </c>
      <c r="P33" s="15">
        <f t="shared" si="1"/>
        <v>47</v>
      </c>
    </row>
    <row r="34" spans="2:20" ht="23.1" customHeight="1" x14ac:dyDescent="0.25">
      <c r="B34" s="24" t="s">
        <v>61</v>
      </c>
      <c r="C34" s="50">
        <v>4</v>
      </c>
      <c r="D34" s="50">
        <v>5</v>
      </c>
      <c r="E34" s="50">
        <v>0</v>
      </c>
      <c r="F34" s="50">
        <v>11</v>
      </c>
      <c r="G34" s="50">
        <v>0</v>
      </c>
      <c r="H34" s="50">
        <v>1</v>
      </c>
      <c r="I34" s="50">
        <v>1</v>
      </c>
      <c r="J34" s="50">
        <v>0</v>
      </c>
      <c r="K34" s="50">
        <v>0</v>
      </c>
      <c r="L34" s="50">
        <v>1</v>
      </c>
      <c r="M34" s="50">
        <v>41</v>
      </c>
      <c r="N34" s="50">
        <v>0</v>
      </c>
      <c r="O34" s="15">
        <f t="shared" si="0"/>
        <v>23</v>
      </c>
      <c r="P34" s="15">
        <f t="shared" si="1"/>
        <v>64</v>
      </c>
    </row>
    <row r="35" spans="2:20" ht="23.1" customHeight="1" x14ac:dyDescent="0.25">
      <c r="B35" s="24" t="s">
        <v>62</v>
      </c>
      <c r="C35" s="50">
        <v>3</v>
      </c>
      <c r="D35" s="50">
        <v>3</v>
      </c>
      <c r="E35" s="50">
        <v>4</v>
      </c>
      <c r="F35" s="50">
        <v>8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3</v>
      </c>
      <c r="M35" s="50">
        <v>42</v>
      </c>
      <c r="N35" s="50">
        <v>0</v>
      </c>
      <c r="O35" s="15">
        <f t="shared" si="0"/>
        <v>22</v>
      </c>
      <c r="P35" s="15">
        <f t="shared" si="1"/>
        <v>64</v>
      </c>
    </row>
    <row r="36" spans="2:20" ht="23.1" customHeight="1" x14ac:dyDescent="0.25">
      <c r="B36" s="24" t="s">
        <v>63</v>
      </c>
      <c r="C36" s="50">
        <v>4</v>
      </c>
      <c r="D36" s="50">
        <v>3</v>
      </c>
      <c r="E36" s="50">
        <v>0</v>
      </c>
      <c r="F36" s="50">
        <v>6</v>
      </c>
      <c r="G36" s="50">
        <v>0</v>
      </c>
      <c r="H36" s="50">
        <v>1</v>
      </c>
      <c r="I36" s="50">
        <v>2</v>
      </c>
      <c r="J36" s="50">
        <v>4</v>
      </c>
      <c r="K36" s="50">
        <v>1</v>
      </c>
      <c r="L36" s="50">
        <v>0</v>
      </c>
      <c r="M36" s="50">
        <v>42</v>
      </c>
      <c r="N36" s="50">
        <v>0</v>
      </c>
      <c r="O36" s="15">
        <f t="shared" si="0"/>
        <v>21</v>
      </c>
      <c r="P36" s="15">
        <f t="shared" si="1"/>
        <v>63</v>
      </c>
    </row>
    <row r="37" spans="2:20" ht="23.1" customHeight="1" x14ac:dyDescent="0.25">
      <c r="B37" s="23" t="s">
        <v>64</v>
      </c>
      <c r="C37" s="50">
        <v>6</v>
      </c>
      <c r="D37" s="50">
        <v>3</v>
      </c>
      <c r="E37" s="50">
        <v>4</v>
      </c>
      <c r="F37" s="50">
        <v>10</v>
      </c>
      <c r="G37" s="50">
        <v>0</v>
      </c>
      <c r="H37" s="50">
        <v>0</v>
      </c>
      <c r="I37" s="50">
        <v>1</v>
      </c>
      <c r="J37" s="50">
        <v>3</v>
      </c>
      <c r="K37" s="50">
        <v>0</v>
      </c>
      <c r="L37" s="50">
        <v>0</v>
      </c>
      <c r="M37" s="50">
        <v>43</v>
      </c>
      <c r="N37" s="50">
        <v>0</v>
      </c>
      <c r="O37" s="15">
        <f t="shared" si="0"/>
        <v>27</v>
      </c>
      <c r="P37" s="15">
        <f t="shared" si="1"/>
        <v>70</v>
      </c>
    </row>
    <row r="38" spans="2:20" ht="23.1" customHeight="1" x14ac:dyDescent="0.25">
      <c r="B38" s="24" t="s">
        <v>65</v>
      </c>
      <c r="C38" s="50">
        <v>7</v>
      </c>
      <c r="D38" s="50">
        <v>8</v>
      </c>
      <c r="E38" s="50">
        <v>1</v>
      </c>
      <c r="F38" s="50">
        <v>7</v>
      </c>
      <c r="G38" s="50">
        <v>0</v>
      </c>
      <c r="H38" s="50">
        <v>0</v>
      </c>
      <c r="I38" s="50">
        <v>2</v>
      </c>
      <c r="J38" s="50">
        <v>2</v>
      </c>
      <c r="K38" s="50">
        <v>0</v>
      </c>
      <c r="L38" s="50">
        <v>1</v>
      </c>
      <c r="M38" s="50">
        <v>35</v>
      </c>
      <c r="N38" s="50">
        <v>0</v>
      </c>
      <c r="O38" s="15">
        <f t="shared" si="0"/>
        <v>28</v>
      </c>
      <c r="P38" s="15">
        <f t="shared" si="1"/>
        <v>63</v>
      </c>
    </row>
    <row r="39" spans="2:20" ht="23.1" customHeight="1" x14ac:dyDescent="0.25">
      <c r="B39" s="24" t="s">
        <v>66</v>
      </c>
      <c r="C39" s="50">
        <v>7</v>
      </c>
      <c r="D39" s="50">
        <v>1</v>
      </c>
      <c r="E39" s="50">
        <v>2</v>
      </c>
      <c r="F39" s="50">
        <v>7</v>
      </c>
      <c r="G39" s="50">
        <v>0</v>
      </c>
      <c r="H39" s="50">
        <v>0</v>
      </c>
      <c r="I39" s="50">
        <v>2</v>
      </c>
      <c r="J39" s="50">
        <v>0</v>
      </c>
      <c r="K39" s="50">
        <v>2</v>
      </c>
      <c r="L39" s="50">
        <v>0</v>
      </c>
      <c r="M39" s="50">
        <v>35</v>
      </c>
      <c r="N39" s="50">
        <v>0</v>
      </c>
      <c r="O39" s="15">
        <f t="shared" si="0"/>
        <v>21</v>
      </c>
      <c r="P39" s="15">
        <f t="shared" si="1"/>
        <v>56</v>
      </c>
    </row>
    <row r="40" spans="2:20" ht="23.1" customHeight="1" x14ac:dyDescent="0.25">
      <c r="B40" s="24" t="s">
        <v>67</v>
      </c>
      <c r="C40" s="50">
        <v>3</v>
      </c>
      <c r="D40" s="50">
        <v>3</v>
      </c>
      <c r="E40" s="50">
        <v>1</v>
      </c>
      <c r="F40" s="50">
        <v>7</v>
      </c>
      <c r="G40" s="50">
        <v>1</v>
      </c>
      <c r="H40" s="50">
        <v>2</v>
      </c>
      <c r="I40" s="50">
        <v>0</v>
      </c>
      <c r="J40" s="50">
        <v>4</v>
      </c>
      <c r="K40" s="50">
        <v>1</v>
      </c>
      <c r="L40" s="50">
        <v>1</v>
      </c>
      <c r="M40" s="50">
        <v>43</v>
      </c>
      <c r="N40" s="50">
        <v>0</v>
      </c>
      <c r="O40" s="15">
        <f t="shared" si="0"/>
        <v>23</v>
      </c>
      <c r="P40" s="15">
        <f t="shared" si="1"/>
        <v>66</v>
      </c>
    </row>
    <row r="41" spans="2:20" ht="23.1" customHeight="1" x14ac:dyDescent="0.25">
      <c r="B41" s="23" t="s">
        <v>68</v>
      </c>
      <c r="C41" s="50">
        <v>11</v>
      </c>
      <c r="D41" s="50">
        <v>4</v>
      </c>
      <c r="E41" s="50">
        <v>4</v>
      </c>
      <c r="F41" s="50">
        <v>10</v>
      </c>
      <c r="G41" s="50">
        <v>0</v>
      </c>
      <c r="H41" s="50">
        <v>1</v>
      </c>
      <c r="I41" s="50">
        <v>2</v>
      </c>
      <c r="J41" s="50">
        <v>2</v>
      </c>
      <c r="K41" s="50">
        <v>0</v>
      </c>
      <c r="L41" s="50">
        <v>0</v>
      </c>
      <c r="M41" s="50">
        <v>45</v>
      </c>
      <c r="N41" s="50">
        <v>0</v>
      </c>
      <c r="O41" s="15">
        <f t="shared" si="0"/>
        <v>34</v>
      </c>
      <c r="P41" s="15">
        <f t="shared" si="1"/>
        <v>79</v>
      </c>
    </row>
    <row r="42" spans="2:20" ht="23.1" customHeight="1" x14ac:dyDescent="0.25">
      <c r="B42" s="24" t="s">
        <v>69</v>
      </c>
      <c r="C42" s="50">
        <v>3</v>
      </c>
      <c r="D42" s="50">
        <v>2</v>
      </c>
      <c r="E42" s="50">
        <v>3</v>
      </c>
      <c r="F42" s="50">
        <v>5</v>
      </c>
      <c r="G42" s="50">
        <v>1</v>
      </c>
      <c r="H42" s="50">
        <v>1</v>
      </c>
      <c r="I42" s="50">
        <v>7</v>
      </c>
      <c r="J42" s="50">
        <v>2</v>
      </c>
      <c r="K42" s="50">
        <v>0</v>
      </c>
      <c r="L42" s="50">
        <v>2</v>
      </c>
      <c r="M42" s="50">
        <v>49</v>
      </c>
      <c r="N42" s="50">
        <v>0</v>
      </c>
      <c r="O42" s="15">
        <f t="shared" si="0"/>
        <v>26</v>
      </c>
      <c r="P42" s="15">
        <f t="shared" si="1"/>
        <v>75</v>
      </c>
    </row>
    <row r="43" spans="2:20" ht="23.1" customHeight="1" x14ac:dyDescent="0.25">
      <c r="B43" s="23" t="s">
        <v>70</v>
      </c>
      <c r="C43" s="50">
        <v>7</v>
      </c>
      <c r="D43" s="50">
        <v>3</v>
      </c>
      <c r="E43" s="50">
        <v>3</v>
      </c>
      <c r="F43" s="50">
        <v>6</v>
      </c>
      <c r="G43" s="50">
        <v>0</v>
      </c>
      <c r="H43" s="50">
        <v>0</v>
      </c>
      <c r="I43" s="50">
        <v>3</v>
      </c>
      <c r="J43" s="50">
        <v>2</v>
      </c>
      <c r="K43" s="50">
        <v>0</v>
      </c>
      <c r="L43" s="50">
        <v>1</v>
      </c>
      <c r="M43" s="50">
        <v>34</v>
      </c>
      <c r="N43" s="50">
        <v>0</v>
      </c>
      <c r="O43" s="15">
        <f t="shared" si="0"/>
        <v>25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5</v>
      </c>
      <c r="D44" s="50">
        <v>2</v>
      </c>
      <c r="E44" s="50">
        <v>0</v>
      </c>
      <c r="F44" s="50">
        <v>8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3</v>
      </c>
      <c r="M44" s="50">
        <v>52</v>
      </c>
      <c r="N44" s="50">
        <v>0</v>
      </c>
      <c r="O44" s="15">
        <f t="shared" si="0"/>
        <v>21</v>
      </c>
      <c r="P44" s="15">
        <f t="shared" si="1"/>
        <v>73</v>
      </c>
    </row>
    <row r="45" spans="2:20" ht="23.1" customHeight="1" x14ac:dyDescent="0.25">
      <c r="B45" s="23" t="s">
        <v>72</v>
      </c>
      <c r="C45" s="50">
        <v>8</v>
      </c>
      <c r="D45" s="50">
        <v>1</v>
      </c>
      <c r="E45" s="50">
        <v>2</v>
      </c>
      <c r="F45" s="50">
        <v>4</v>
      </c>
      <c r="G45" s="50">
        <v>0</v>
      </c>
      <c r="H45" s="50">
        <v>0</v>
      </c>
      <c r="I45" s="50">
        <v>4</v>
      </c>
      <c r="J45" s="50">
        <v>1</v>
      </c>
      <c r="K45" s="50">
        <v>0</v>
      </c>
      <c r="L45" s="50">
        <v>2</v>
      </c>
      <c r="M45" s="50">
        <v>42</v>
      </c>
      <c r="N45" s="50">
        <v>0</v>
      </c>
      <c r="O45" s="15">
        <f t="shared" si="0"/>
        <v>22</v>
      </c>
      <c r="P45" s="15">
        <f t="shared" si="1"/>
        <v>64</v>
      </c>
    </row>
    <row r="46" spans="2:20" ht="23.1" customHeight="1" x14ac:dyDescent="0.25">
      <c r="B46" s="24" t="s">
        <v>73</v>
      </c>
      <c r="C46" s="50">
        <v>5</v>
      </c>
      <c r="D46" s="50">
        <v>5</v>
      </c>
      <c r="E46" s="50">
        <v>4</v>
      </c>
      <c r="F46" s="50">
        <v>7</v>
      </c>
      <c r="G46" s="50">
        <v>0</v>
      </c>
      <c r="H46" s="50">
        <v>0</v>
      </c>
      <c r="I46" s="50">
        <v>3</v>
      </c>
      <c r="J46" s="50">
        <v>3</v>
      </c>
      <c r="K46" s="50">
        <v>1</v>
      </c>
      <c r="L46" s="50">
        <v>3</v>
      </c>
      <c r="M46" s="50">
        <v>48</v>
      </c>
      <c r="N46" s="50">
        <v>0</v>
      </c>
      <c r="O46" s="15">
        <f t="shared" si="0"/>
        <v>31</v>
      </c>
      <c r="P46" s="15">
        <f t="shared" si="1"/>
        <v>79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3</v>
      </c>
      <c r="E47" s="50">
        <v>0</v>
      </c>
      <c r="F47" s="50">
        <v>7</v>
      </c>
      <c r="G47" s="50">
        <v>0</v>
      </c>
      <c r="H47" s="50">
        <v>1</v>
      </c>
      <c r="I47" s="50">
        <v>3</v>
      </c>
      <c r="J47" s="50">
        <v>5</v>
      </c>
      <c r="K47" s="50">
        <v>1</v>
      </c>
      <c r="L47" s="50">
        <v>0</v>
      </c>
      <c r="M47" s="50">
        <v>40</v>
      </c>
      <c r="N47" s="50">
        <v>0</v>
      </c>
      <c r="O47" s="15">
        <f t="shared" si="0"/>
        <v>25</v>
      </c>
      <c r="P47" s="15">
        <f t="shared" si="1"/>
        <v>65</v>
      </c>
      <c r="R47" s="8"/>
      <c r="T47"/>
    </row>
    <row r="48" spans="2:20" ht="23.1" customHeight="1" x14ac:dyDescent="0.25">
      <c r="B48" s="24" t="s">
        <v>75</v>
      </c>
      <c r="C48" s="50">
        <v>14</v>
      </c>
      <c r="D48" s="50">
        <v>3</v>
      </c>
      <c r="E48" s="50">
        <v>2</v>
      </c>
      <c r="F48" s="50">
        <v>5</v>
      </c>
      <c r="G48" s="50">
        <v>0</v>
      </c>
      <c r="H48" s="50">
        <v>0</v>
      </c>
      <c r="I48" s="50">
        <v>2</v>
      </c>
      <c r="J48" s="50">
        <v>2</v>
      </c>
      <c r="K48" s="50">
        <v>1</v>
      </c>
      <c r="L48" s="50">
        <v>0</v>
      </c>
      <c r="M48" s="50">
        <v>46</v>
      </c>
      <c r="N48" s="50">
        <v>0</v>
      </c>
      <c r="O48" s="15">
        <f t="shared" si="0"/>
        <v>29</v>
      </c>
      <c r="P48" s="15">
        <f t="shared" si="1"/>
        <v>75</v>
      </c>
      <c r="R48" s="8"/>
      <c r="T48"/>
    </row>
    <row r="49" spans="2:20" ht="23.1" customHeight="1" x14ac:dyDescent="0.25">
      <c r="B49" s="23" t="s">
        <v>76</v>
      </c>
      <c r="C49" s="50">
        <v>10</v>
      </c>
      <c r="D49" s="50">
        <v>4</v>
      </c>
      <c r="E49" s="50">
        <v>6</v>
      </c>
      <c r="F49" s="50">
        <v>8</v>
      </c>
      <c r="G49" s="50">
        <v>0</v>
      </c>
      <c r="H49" s="50">
        <v>1</v>
      </c>
      <c r="I49" s="50">
        <v>3</v>
      </c>
      <c r="J49" s="50">
        <v>4</v>
      </c>
      <c r="K49" s="50">
        <v>1</v>
      </c>
      <c r="L49" s="50">
        <v>1</v>
      </c>
      <c r="M49" s="50">
        <v>35</v>
      </c>
      <c r="N49" s="50">
        <v>0</v>
      </c>
      <c r="O49" s="15">
        <f t="shared" si="0"/>
        <v>38</v>
      </c>
      <c r="P49" s="15">
        <f t="shared" si="1"/>
        <v>73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5</v>
      </c>
      <c r="E50" s="50">
        <v>1</v>
      </c>
      <c r="F50" s="50">
        <v>8</v>
      </c>
      <c r="G50" s="50">
        <v>0</v>
      </c>
      <c r="H50" s="50">
        <v>1</v>
      </c>
      <c r="I50" s="50">
        <v>4</v>
      </c>
      <c r="J50" s="50">
        <v>1</v>
      </c>
      <c r="K50" s="50">
        <v>0</v>
      </c>
      <c r="L50" s="50">
        <v>3</v>
      </c>
      <c r="M50" s="50">
        <v>43</v>
      </c>
      <c r="N50" s="50">
        <v>0</v>
      </c>
      <c r="O50" s="15">
        <f t="shared" si="0"/>
        <v>32</v>
      </c>
      <c r="P50" s="15">
        <f t="shared" si="1"/>
        <v>75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4</v>
      </c>
      <c r="E51" s="50">
        <v>2</v>
      </c>
      <c r="F51" s="50">
        <v>3</v>
      </c>
      <c r="G51" s="50">
        <v>1</v>
      </c>
      <c r="H51" s="50">
        <v>0</v>
      </c>
      <c r="I51" s="50">
        <v>4</v>
      </c>
      <c r="J51" s="50">
        <v>4</v>
      </c>
      <c r="K51" s="50">
        <v>0</v>
      </c>
      <c r="L51" s="50">
        <v>1</v>
      </c>
      <c r="M51" s="50">
        <v>47</v>
      </c>
      <c r="N51" s="50">
        <v>0</v>
      </c>
      <c r="O51" s="15">
        <f t="shared" si="0"/>
        <v>31</v>
      </c>
      <c r="P51" s="15">
        <f t="shared" si="1"/>
        <v>78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1</v>
      </c>
      <c r="E52" s="50">
        <v>2</v>
      </c>
      <c r="F52" s="50">
        <v>13</v>
      </c>
      <c r="G52" s="50">
        <v>0</v>
      </c>
      <c r="H52" s="50">
        <v>0</v>
      </c>
      <c r="I52" s="50">
        <v>4</v>
      </c>
      <c r="J52" s="50">
        <v>1</v>
      </c>
      <c r="K52" s="50">
        <v>1</v>
      </c>
      <c r="L52" s="50">
        <v>0</v>
      </c>
      <c r="M52" s="50">
        <v>60</v>
      </c>
      <c r="N52" s="50">
        <v>0</v>
      </c>
      <c r="O52" s="15">
        <f t="shared" si="0"/>
        <v>34</v>
      </c>
      <c r="P52" s="15">
        <f t="shared" si="1"/>
        <v>94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2</v>
      </c>
      <c r="E53" s="50">
        <v>2</v>
      </c>
      <c r="F53" s="50">
        <v>6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2</v>
      </c>
      <c r="M53" s="50">
        <v>65</v>
      </c>
      <c r="N53" s="50">
        <v>0</v>
      </c>
      <c r="O53" s="15">
        <f t="shared" si="0"/>
        <v>28</v>
      </c>
      <c r="P53" s="15">
        <f t="shared" si="1"/>
        <v>93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3</v>
      </c>
      <c r="E54" s="50">
        <v>1</v>
      </c>
      <c r="F54" s="50">
        <v>9</v>
      </c>
      <c r="G54" s="50">
        <v>0</v>
      </c>
      <c r="H54" s="50">
        <v>0</v>
      </c>
      <c r="I54" s="50">
        <v>4</v>
      </c>
      <c r="J54" s="50">
        <v>3</v>
      </c>
      <c r="K54" s="50">
        <v>0</v>
      </c>
      <c r="L54" s="50">
        <v>1</v>
      </c>
      <c r="M54" s="50">
        <v>55</v>
      </c>
      <c r="N54" s="50">
        <v>0</v>
      </c>
      <c r="O54" s="15">
        <f t="shared" si="0"/>
        <v>34</v>
      </c>
      <c r="P54" s="15">
        <f t="shared" si="1"/>
        <v>89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7</v>
      </c>
      <c r="E55" s="50">
        <v>7</v>
      </c>
      <c r="F55" s="50">
        <v>10</v>
      </c>
      <c r="G55" s="50">
        <v>1</v>
      </c>
      <c r="H55" s="50">
        <v>2</v>
      </c>
      <c r="I55" s="50">
        <v>3</v>
      </c>
      <c r="J55" s="50">
        <v>3</v>
      </c>
      <c r="K55" s="50">
        <v>0</v>
      </c>
      <c r="L55" s="50">
        <v>1</v>
      </c>
      <c r="M55" s="50">
        <v>74</v>
      </c>
      <c r="N55" s="50">
        <v>0</v>
      </c>
      <c r="O55" s="15">
        <f t="shared" si="0"/>
        <v>45</v>
      </c>
      <c r="P55" s="15">
        <f t="shared" si="1"/>
        <v>119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2</v>
      </c>
      <c r="E56" s="50">
        <v>3</v>
      </c>
      <c r="F56" s="50">
        <v>7</v>
      </c>
      <c r="G56" s="50">
        <v>0</v>
      </c>
      <c r="H56" s="50">
        <v>1</v>
      </c>
      <c r="I56" s="50">
        <v>2</v>
      </c>
      <c r="J56" s="50">
        <v>1</v>
      </c>
      <c r="K56" s="50">
        <v>0</v>
      </c>
      <c r="L56" s="50">
        <v>2</v>
      </c>
      <c r="M56" s="50">
        <v>69</v>
      </c>
      <c r="N56" s="50">
        <v>0</v>
      </c>
      <c r="O56" s="15">
        <f t="shared" si="0"/>
        <v>26</v>
      </c>
      <c r="P56" s="15">
        <f t="shared" si="1"/>
        <v>95</v>
      </c>
      <c r="R56" s="8"/>
      <c r="T56"/>
    </row>
    <row r="57" spans="2:20" ht="23.1" customHeight="1" x14ac:dyDescent="0.25">
      <c r="B57" s="23" t="s">
        <v>84</v>
      </c>
      <c r="C57" s="50">
        <v>13</v>
      </c>
      <c r="D57" s="50">
        <v>3</v>
      </c>
      <c r="E57" s="50">
        <v>5</v>
      </c>
      <c r="F57" s="50">
        <v>6</v>
      </c>
      <c r="G57" s="50">
        <v>0</v>
      </c>
      <c r="H57" s="50">
        <v>0</v>
      </c>
      <c r="I57" s="50">
        <v>4</v>
      </c>
      <c r="J57" s="50">
        <v>2</v>
      </c>
      <c r="K57" s="50">
        <v>0</v>
      </c>
      <c r="L57" s="50">
        <v>1</v>
      </c>
      <c r="M57" s="50">
        <v>71</v>
      </c>
      <c r="N57" s="50">
        <v>0</v>
      </c>
      <c r="O57" s="15">
        <f t="shared" si="0"/>
        <v>34</v>
      </c>
      <c r="P57" s="15">
        <f t="shared" si="1"/>
        <v>105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327</v>
      </c>
      <c r="D58" s="16">
        <f t="shared" si="21"/>
        <v>133</v>
      </c>
      <c r="E58" s="16">
        <f t="shared" si="21"/>
        <v>102</v>
      </c>
      <c r="F58" s="16">
        <f t="shared" si="21"/>
        <v>323</v>
      </c>
      <c r="G58" s="16">
        <f t="shared" si="21"/>
        <v>5</v>
      </c>
      <c r="H58" s="16">
        <f t="shared" si="21"/>
        <v>15</v>
      </c>
      <c r="I58" s="16">
        <f t="shared" si="21"/>
        <v>100</v>
      </c>
      <c r="J58" s="16">
        <f t="shared" si="21"/>
        <v>75</v>
      </c>
      <c r="K58" s="16">
        <f t="shared" si="21"/>
        <v>12</v>
      </c>
      <c r="L58" s="16">
        <f t="shared" si="21"/>
        <v>45</v>
      </c>
      <c r="M58" s="16">
        <f t="shared" si="21"/>
        <v>2132</v>
      </c>
      <c r="N58" s="16">
        <f t="shared" si="21"/>
        <v>0</v>
      </c>
      <c r="O58" s="16">
        <f t="shared" si="21"/>
        <v>1137</v>
      </c>
      <c r="P58" s="16">
        <f t="shared" si="21"/>
        <v>3269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0.10003059039461609</v>
      </c>
      <c r="D59" s="43">
        <f t="shared" si="22"/>
        <v>4.068522483940043E-2</v>
      </c>
      <c r="E59" s="43">
        <f t="shared" si="22"/>
        <v>3.1202202508412359E-2</v>
      </c>
      <c r="F59" s="43">
        <f t="shared" si="22"/>
        <v>9.8806974609972467E-2</v>
      </c>
      <c r="G59" s="43">
        <f t="shared" si="22"/>
        <v>1.5295197308045274E-3</v>
      </c>
      <c r="H59" s="43">
        <f t="shared" si="22"/>
        <v>4.5885591924135823E-3</v>
      </c>
      <c r="I59" s="43">
        <f t="shared" si="22"/>
        <v>3.0590394616090547E-2</v>
      </c>
      <c r="J59" s="43">
        <f t="shared" si="22"/>
        <v>2.294279596206791E-2</v>
      </c>
      <c r="K59" s="43">
        <f t="shared" si="22"/>
        <v>3.6708473539308656E-3</v>
      </c>
      <c r="L59" s="43">
        <f t="shared" si="22"/>
        <v>1.3765677577240747E-2</v>
      </c>
      <c r="M59" s="43">
        <f t="shared" si="22"/>
        <v>0.65218721321505047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0.28759894459102903</v>
      </c>
      <c r="D60" s="44">
        <f t="shared" ref="D60:N60" si="23">D58/$O$58</f>
        <v>0.11697449428320141</v>
      </c>
      <c r="E60" s="44">
        <f t="shared" si="23"/>
        <v>8.9709762532981532E-2</v>
      </c>
      <c r="F60" s="44">
        <f t="shared" si="23"/>
        <v>0.28408091468777485</v>
      </c>
      <c r="G60" s="44">
        <f t="shared" si="23"/>
        <v>4.3975373790677225E-3</v>
      </c>
      <c r="H60" s="44">
        <f t="shared" si="23"/>
        <v>1.3192612137203167E-2</v>
      </c>
      <c r="I60" s="44">
        <f t="shared" si="23"/>
        <v>8.7950747581354446E-2</v>
      </c>
      <c r="J60" s="44">
        <f t="shared" si="23"/>
        <v>6.5963060686015831E-2</v>
      </c>
      <c r="K60" s="44">
        <f t="shared" si="23"/>
        <v>1.0554089709762533E-2</v>
      </c>
      <c r="L60" s="44">
        <f t="shared" si="23"/>
        <v>3.9577836411609502E-2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169</v>
      </c>
      <c r="E5" s="3"/>
      <c r="F5" s="41" t="s">
        <v>1</v>
      </c>
      <c r="G5" s="60" t="str">
        <f>'23.10 MITYANA-MUBENDE'!G5:H5</f>
        <v>MITYANA COLLEGE KIKUMBI</v>
      </c>
      <c r="H5" s="61"/>
      <c r="I5" s="14"/>
      <c r="J5" s="2" t="s">
        <v>5</v>
      </c>
      <c r="K5" s="60" t="str">
        <f>'23.10 MITYANA-MUBENDE'!K5:L5</f>
        <v>STEVEN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'23.10 MITYANA-MUBENDE'!D6:E6</f>
        <v>MITYANA</v>
      </c>
      <c r="E6" s="61"/>
      <c r="F6" s="2" t="s">
        <v>2</v>
      </c>
      <c r="G6" s="60" t="str">
        <f>'23.10 MITYANA-MUBENDE'!G6:H6</f>
        <v>MUBENDE</v>
      </c>
      <c r="H6" s="61"/>
      <c r="J6" s="2" t="s">
        <v>21</v>
      </c>
      <c r="K6" s="60" t="str">
        <f>'23.10 MITYANA-MUBENDE'!K6:L6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2</v>
      </c>
      <c r="E10" s="50">
        <v>4</v>
      </c>
      <c r="F10" s="50">
        <v>3</v>
      </c>
      <c r="G10" s="50">
        <v>1</v>
      </c>
      <c r="H10" s="50">
        <v>0</v>
      </c>
      <c r="I10" s="50">
        <v>1</v>
      </c>
      <c r="J10" s="50">
        <v>0</v>
      </c>
      <c r="K10" s="50">
        <v>0</v>
      </c>
      <c r="L10" s="50">
        <v>1</v>
      </c>
      <c r="M10" s="50">
        <v>23</v>
      </c>
      <c r="N10" s="50">
        <v>0</v>
      </c>
      <c r="O10" s="15">
        <f t="shared" ref="O10:O57" si="0">SUM(C10:L10,N10)</f>
        <v>18</v>
      </c>
      <c r="P10" s="15">
        <f t="shared" ref="P10:P57" si="1">SUM(C10:N10)</f>
        <v>41</v>
      </c>
      <c r="R10" s="1" t="s">
        <v>6</v>
      </c>
      <c r="S10" s="17">
        <f t="shared" ref="S10:AF10" si="2">SUM(C10:C13)</f>
        <v>17</v>
      </c>
      <c r="T10" s="17">
        <f t="shared" si="2"/>
        <v>7</v>
      </c>
      <c r="U10" s="17">
        <f t="shared" si="2"/>
        <v>16</v>
      </c>
      <c r="V10" s="17">
        <f t="shared" si="2"/>
        <v>17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6</v>
      </c>
      <c r="AA10" s="17">
        <f t="shared" si="2"/>
        <v>2</v>
      </c>
      <c r="AB10" s="17">
        <f t="shared" si="2"/>
        <v>5</v>
      </c>
      <c r="AC10" s="17">
        <f t="shared" si="2"/>
        <v>151</v>
      </c>
      <c r="AD10" s="17">
        <f t="shared" si="2"/>
        <v>0</v>
      </c>
      <c r="AE10" s="31">
        <f t="shared" si="2"/>
        <v>75</v>
      </c>
      <c r="AF10" s="31">
        <f t="shared" si="2"/>
        <v>226</v>
      </c>
    </row>
    <row r="11" spans="2:32" s="6" customFormat="1" ht="23.1" customHeight="1" x14ac:dyDescent="0.25">
      <c r="B11" s="23" t="s">
        <v>38</v>
      </c>
      <c r="C11" s="50">
        <v>4</v>
      </c>
      <c r="D11" s="50">
        <v>1</v>
      </c>
      <c r="E11" s="50">
        <v>4</v>
      </c>
      <c r="F11" s="50">
        <v>3</v>
      </c>
      <c r="G11" s="50">
        <v>0</v>
      </c>
      <c r="H11" s="50">
        <v>0</v>
      </c>
      <c r="I11" s="50">
        <v>3</v>
      </c>
      <c r="J11" s="50">
        <v>1</v>
      </c>
      <c r="K11" s="50">
        <v>0</v>
      </c>
      <c r="L11" s="50">
        <v>1</v>
      </c>
      <c r="M11" s="50">
        <v>40</v>
      </c>
      <c r="N11" s="50">
        <v>0</v>
      </c>
      <c r="O11" s="15">
        <f t="shared" si="0"/>
        <v>17</v>
      </c>
      <c r="P11" s="15">
        <f t="shared" si="1"/>
        <v>57</v>
      </c>
      <c r="R11" s="1" t="s">
        <v>7</v>
      </c>
      <c r="S11" s="17">
        <f t="shared" ref="S11:AF11" si="3">SUM(C14:C17)</f>
        <v>24</v>
      </c>
      <c r="T11" s="17">
        <f t="shared" si="3"/>
        <v>18</v>
      </c>
      <c r="U11" s="17">
        <f t="shared" si="3"/>
        <v>9</v>
      </c>
      <c r="V11" s="17">
        <f t="shared" si="3"/>
        <v>20</v>
      </c>
      <c r="W11" s="17">
        <f t="shared" si="3"/>
        <v>1</v>
      </c>
      <c r="X11" s="17">
        <f t="shared" si="3"/>
        <v>1</v>
      </c>
      <c r="Y11" s="17">
        <f t="shared" si="3"/>
        <v>13</v>
      </c>
      <c r="Z11" s="17">
        <f t="shared" si="3"/>
        <v>2</v>
      </c>
      <c r="AA11" s="17">
        <f t="shared" si="3"/>
        <v>2</v>
      </c>
      <c r="AB11" s="17">
        <f t="shared" si="3"/>
        <v>6</v>
      </c>
      <c r="AC11" s="17">
        <f t="shared" si="3"/>
        <v>157</v>
      </c>
      <c r="AD11" s="17">
        <f t="shared" si="3"/>
        <v>0</v>
      </c>
      <c r="AE11" s="31">
        <f t="shared" si="3"/>
        <v>96</v>
      </c>
      <c r="AF11" s="31">
        <f t="shared" si="3"/>
        <v>253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5</v>
      </c>
      <c r="F12" s="50">
        <v>3</v>
      </c>
      <c r="G12" s="50">
        <v>0</v>
      </c>
      <c r="H12" s="50">
        <v>0</v>
      </c>
      <c r="I12" s="50">
        <v>0</v>
      </c>
      <c r="J12" s="50">
        <v>2</v>
      </c>
      <c r="K12" s="50">
        <v>1</v>
      </c>
      <c r="L12" s="50">
        <v>0</v>
      </c>
      <c r="M12" s="50">
        <v>37</v>
      </c>
      <c r="N12" s="50">
        <v>0</v>
      </c>
      <c r="O12" s="15">
        <f t="shared" si="0"/>
        <v>15</v>
      </c>
      <c r="P12" s="15">
        <f t="shared" si="1"/>
        <v>52</v>
      </c>
      <c r="R12" s="1" t="s">
        <v>8</v>
      </c>
      <c r="S12" s="17">
        <f t="shared" ref="S12:AF12" si="4">SUM(C18:C21)</f>
        <v>28</v>
      </c>
      <c r="T12" s="17">
        <f t="shared" si="4"/>
        <v>9</v>
      </c>
      <c r="U12" s="17">
        <f t="shared" si="4"/>
        <v>7</v>
      </c>
      <c r="V12" s="17">
        <f t="shared" si="4"/>
        <v>22</v>
      </c>
      <c r="W12" s="17">
        <f t="shared" si="4"/>
        <v>0</v>
      </c>
      <c r="X12" s="17">
        <f t="shared" si="4"/>
        <v>1</v>
      </c>
      <c r="Y12" s="17">
        <f t="shared" si="4"/>
        <v>14</v>
      </c>
      <c r="Z12" s="17">
        <f t="shared" si="4"/>
        <v>2</v>
      </c>
      <c r="AA12" s="17">
        <f t="shared" si="4"/>
        <v>1</v>
      </c>
      <c r="AB12" s="17">
        <f t="shared" si="4"/>
        <v>2</v>
      </c>
      <c r="AC12" s="17">
        <f t="shared" si="4"/>
        <v>166</v>
      </c>
      <c r="AD12" s="17">
        <f t="shared" si="4"/>
        <v>0</v>
      </c>
      <c r="AE12" s="31">
        <f t="shared" si="4"/>
        <v>86</v>
      </c>
      <c r="AF12" s="31">
        <f t="shared" si="4"/>
        <v>252</v>
      </c>
    </row>
    <row r="13" spans="2:32" ht="23.1" customHeight="1" x14ac:dyDescent="0.25">
      <c r="B13" s="23" t="s">
        <v>40</v>
      </c>
      <c r="C13" s="50">
        <v>4</v>
      </c>
      <c r="D13" s="50">
        <v>3</v>
      </c>
      <c r="E13" s="50">
        <v>3</v>
      </c>
      <c r="F13" s="50">
        <v>8</v>
      </c>
      <c r="G13" s="50">
        <v>0</v>
      </c>
      <c r="H13" s="50">
        <v>0</v>
      </c>
      <c r="I13" s="50">
        <v>0</v>
      </c>
      <c r="J13" s="50">
        <v>3</v>
      </c>
      <c r="K13" s="50">
        <v>1</v>
      </c>
      <c r="L13" s="50">
        <v>3</v>
      </c>
      <c r="M13" s="50">
        <v>51</v>
      </c>
      <c r="N13" s="50">
        <v>0</v>
      </c>
      <c r="O13" s="15">
        <f t="shared" si="0"/>
        <v>25</v>
      </c>
      <c r="P13" s="15">
        <f t="shared" si="1"/>
        <v>76</v>
      </c>
      <c r="R13" s="1" t="s">
        <v>9</v>
      </c>
      <c r="S13" s="17">
        <f t="shared" ref="S13:AF13" si="5">SUM(C22:C25)</f>
        <v>35</v>
      </c>
      <c r="T13" s="17">
        <f t="shared" si="5"/>
        <v>10</v>
      </c>
      <c r="U13" s="17">
        <f t="shared" si="5"/>
        <v>10</v>
      </c>
      <c r="V13" s="17">
        <f t="shared" si="5"/>
        <v>29</v>
      </c>
      <c r="W13" s="17">
        <f t="shared" si="5"/>
        <v>1</v>
      </c>
      <c r="X13" s="17">
        <f t="shared" si="5"/>
        <v>1</v>
      </c>
      <c r="Y13" s="17">
        <f t="shared" si="5"/>
        <v>12</v>
      </c>
      <c r="Z13" s="17">
        <f t="shared" si="5"/>
        <v>6</v>
      </c>
      <c r="AA13" s="17">
        <f t="shared" si="5"/>
        <v>3</v>
      </c>
      <c r="AB13" s="17">
        <f t="shared" si="5"/>
        <v>2</v>
      </c>
      <c r="AC13" s="17">
        <f t="shared" si="5"/>
        <v>191</v>
      </c>
      <c r="AD13" s="17">
        <f t="shared" si="5"/>
        <v>0</v>
      </c>
      <c r="AE13" s="31">
        <f t="shared" si="5"/>
        <v>109</v>
      </c>
      <c r="AF13" s="31">
        <f t="shared" si="5"/>
        <v>300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1</v>
      </c>
      <c r="F14" s="50">
        <v>2</v>
      </c>
      <c r="G14" s="50">
        <v>0</v>
      </c>
      <c r="H14" s="50">
        <v>1</v>
      </c>
      <c r="I14" s="50">
        <v>2</v>
      </c>
      <c r="J14" s="50">
        <v>1</v>
      </c>
      <c r="K14" s="50">
        <v>0</v>
      </c>
      <c r="L14" s="50">
        <v>3</v>
      </c>
      <c r="M14" s="50">
        <v>36</v>
      </c>
      <c r="N14" s="50">
        <v>0</v>
      </c>
      <c r="O14" s="15">
        <f t="shared" si="0"/>
        <v>12</v>
      </c>
      <c r="P14" s="15">
        <f t="shared" si="1"/>
        <v>48</v>
      </c>
      <c r="R14" s="1" t="s">
        <v>10</v>
      </c>
      <c r="S14" s="17">
        <f t="shared" ref="S14:AF14" si="6">SUM(C26:C29)</f>
        <v>35</v>
      </c>
      <c r="T14" s="17">
        <f t="shared" si="6"/>
        <v>9</v>
      </c>
      <c r="U14" s="17">
        <f t="shared" si="6"/>
        <v>13</v>
      </c>
      <c r="V14" s="17">
        <f t="shared" si="6"/>
        <v>28</v>
      </c>
      <c r="W14" s="17">
        <f t="shared" si="6"/>
        <v>0</v>
      </c>
      <c r="X14" s="17">
        <f t="shared" si="6"/>
        <v>1</v>
      </c>
      <c r="Y14" s="17">
        <f t="shared" si="6"/>
        <v>18</v>
      </c>
      <c r="Z14" s="17">
        <f t="shared" si="6"/>
        <v>9</v>
      </c>
      <c r="AA14" s="17">
        <f t="shared" si="6"/>
        <v>0</v>
      </c>
      <c r="AB14" s="17">
        <f t="shared" si="6"/>
        <v>2</v>
      </c>
      <c r="AC14" s="17">
        <f t="shared" si="6"/>
        <v>153</v>
      </c>
      <c r="AD14" s="17">
        <f t="shared" si="6"/>
        <v>0</v>
      </c>
      <c r="AE14" s="31">
        <f t="shared" si="6"/>
        <v>115</v>
      </c>
      <c r="AF14" s="31">
        <f t="shared" si="6"/>
        <v>268</v>
      </c>
    </row>
    <row r="15" spans="2:32" ht="23.1" customHeight="1" x14ac:dyDescent="0.25">
      <c r="B15" s="23" t="s">
        <v>42</v>
      </c>
      <c r="C15" s="50">
        <v>6</v>
      </c>
      <c r="D15" s="50">
        <v>8</v>
      </c>
      <c r="E15" s="50">
        <v>3</v>
      </c>
      <c r="F15" s="50">
        <v>3</v>
      </c>
      <c r="G15" s="50">
        <v>1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38</v>
      </c>
      <c r="N15" s="50">
        <v>0</v>
      </c>
      <c r="O15" s="15">
        <f t="shared" si="0"/>
        <v>24</v>
      </c>
      <c r="P15" s="15">
        <f t="shared" si="1"/>
        <v>62</v>
      </c>
      <c r="R15" s="1" t="s">
        <v>11</v>
      </c>
      <c r="S15" s="17">
        <f t="shared" ref="S15:AF15" si="7">SUM(C30:C33)</f>
        <v>30</v>
      </c>
      <c r="T15" s="17">
        <f t="shared" si="7"/>
        <v>16</v>
      </c>
      <c r="U15" s="17">
        <f t="shared" si="7"/>
        <v>7</v>
      </c>
      <c r="V15" s="17">
        <f t="shared" si="7"/>
        <v>33</v>
      </c>
      <c r="W15" s="17">
        <f t="shared" si="7"/>
        <v>0</v>
      </c>
      <c r="X15" s="17">
        <f t="shared" si="7"/>
        <v>3</v>
      </c>
      <c r="Y15" s="17">
        <f t="shared" si="7"/>
        <v>17</v>
      </c>
      <c r="Z15" s="17">
        <f t="shared" si="7"/>
        <v>8</v>
      </c>
      <c r="AA15" s="17">
        <f t="shared" si="7"/>
        <v>2</v>
      </c>
      <c r="AB15" s="17">
        <f t="shared" si="7"/>
        <v>2</v>
      </c>
      <c r="AC15" s="17">
        <f t="shared" si="7"/>
        <v>152</v>
      </c>
      <c r="AD15" s="17">
        <f t="shared" si="7"/>
        <v>0</v>
      </c>
      <c r="AE15" s="31">
        <f t="shared" si="7"/>
        <v>118</v>
      </c>
      <c r="AF15" s="31">
        <f t="shared" si="7"/>
        <v>270</v>
      </c>
    </row>
    <row r="16" spans="2:32" ht="23.1" customHeight="1" x14ac:dyDescent="0.25">
      <c r="B16" s="23" t="s">
        <v>43</v>
      </c>
      <c r="C16" s="50">
        <v>8</v>
      </c>
      <c r="D16" s="50">
        <v>4</v>
      </c>
      <c r="E16" s="50">
        <v>3</v>
      </c>
      <c r="F16" s="50">
        <v>8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2</v>
      </c>
      <c r="M16" s="50">
        <v>25</v>
      </c>
      <c r="N16" s="50">
        <v>0</v>
      </c>
      <c r="O16" s="15">
        <f t="shared" si="0"/>
        <v>28</v>
      </c>
      <c r="P16" s="15">
        <f t="shared" si="1"/>
        <v>53</v>
      </c>
      <c r="R16" s="1" t="s">
        <v>12</v>
      </c>
      <c r="S16" s="17">
        <f t="shared" ref="S16:AF16" si="8">SUM(C34:C37)</f>
        <v>36</v>
      </c>
      <c r="T16" s="17">
        <f t="shared" si="8"/>
        <v>8</v>
      </c>
      <c r="U16" s="17">
        <f t="shared" si="8"/>
        <v>7</v>
      </c>
      <c r="V16" s="17">
        <f t="shared" si="8"/>
        <v>30</v>
      </c>
      <c r="W16" s="17">
        <f t="shared" si="8"/>
        <v>1</v>
      </c>
      <c r="X16" s="17">
        <f t="shared" si="8"/>
        <v>3</v>
      </c>
      <c r="Y16" s="17">
        <f t="shared" si="8"/>
        <v>19</v>
      </c>
      <c r="Z16" s="17">
        <f t="shared" si="8"/>
        <v>8</v>
      </c>
      <c r="AA16" s="17">
        <f t="shared" si="8"/>
        <v>0</v>
      </c>
      <c r="AB16" s="17">
        <f t="shared" si="8"/>
        <v>3</v>
      </c>
      <c r="AC16" s="17">
        <f t="shared" si="8"/>
        <v>160</v>
      </c>
      <c r="AD16" s="17">
        <f t="shared" si="8"/>
        <v>0</v>
      </c>
      <c r="AE16" s="31">
        <f t="shared" si="8"/>
        <v>115</v>
      </c>
      <c r="AF16" s="31">
        <f t="shared" si="8"/>
        <v>275</v>
      </c>
    </row>
    <row r="17" spans="2:32" ht="23.1" customHeight="1" x14ac:dyDescent="0.25">
      <c r="B17" s="23" t="s">
        <v>44</v>
      </c>
      <c r="C17" s="50">
        <v>8</v>
      </c>
      <c r="D17" s="50">
        <v>6</v>
      </c>
      <c r="E17" s="50">
        <v>2</v>
      </c>
      <c r="F17" s="50">
        <v>7</v>
      </c>
      <c r="G17" s="50">
        <v>0</v>
      </c>
      <c r="H17" s="50">
        <v>0</v>
      </c>
      <c r="I17" s="50">
        <v>7</v>
      </c>
      <c r="J17" s="50">
        <v>0</v>
      </c>
      <c r="K17" s="50">
        <v>1</v>
      </c>
      <c r="L17" s="50">
        <v>1</v>
      </c>
      <c r="M17" s="50">
        <v>58</v>
      </c>
      <c r="N17" s="50">
        <v>0</v>
      </c>
      <c r="O17" s="15">
        <f t="shared" si="0"/>
        <v>32</v>
      </c>
      <c r="P17" s="15">
        <f t="shared" si="1"/>
        <v>90</v>
      </c>
      <c r="R17" s="1" t="s">
        <v>13</v>
      </c>
      <c r="S17" s="17">
        <f t="shared" ref="S17:AF17" si="9">SUM(C38:C41)</f>
        <v>21</v>
      </c>
      <c r="T17" s="17">
        <f t="shared" si="9"/>
        <v>14</v>
      </c>
      <c r="U17" s="17">
        <f t="shared" si="9"/>
        <v>8</v>
      </c>
      <c r="V17" s="17">
        <f t="shared" si="9"/>
        <v>31</v>
      </c>
      <c r="W17" s="17">
        <f t="shared" si="9"/>
        <v>0</v>
      </c>
      <c r="X17" s="17">
        <f t="shared" si="9"/>
        <v>2</v>
      </c>
      <c r="Y17" s="17">
        <f t="shared" si="9"/>
        <v>23</v>
      </c>
      <c r="Z17" s="17">
        <f t="shared" si="9"/>
        <v>6</v>
      </c>
      <c r="AA17" s="17">
        <f t="shared" si="9"/>
        <v>3</v>
      </c>
      <c r="AB17" s="17">
        <f t="shared" si="9"/>
        <v>2</v>
      </c>
      <c r="AC17" s="17">
        <f t="shared" si="9"/>
        <v>150</v>
      </c>
      <c r="AD17" s="17">
        <f t="shared" si="9"/>
        <v>0</v>
      </c>
      <c r="AE17" s="31">
        <f t="shared" si="9"/>
        <v>110</v>
      </c>
      <c r="AF17" s="31">
        <f t="shared" si="9"/>
        <v>260</v>
      </c>
    </row>
    <row r="18" spans="2:32" ht="23.1" customHeight="1" x14ac:dyDescent="0.25">
      <c r="B18" s="23" t="s">
        <v>45</v>
      </c>
      <c r="C18" s="50">
        <v>9</v>
      </c>
      <c r="D18" s="50">
        <v>3</v>
      </c>
      <c r="E18" s="50">
        <v>3</v>
      </c>
      <c r="F18" s="50">
        <v>8</v>
      </c>
      <c r="G18" s="50">
        <v>0</v>
      </c>
      <c r="H18" s="50">
        <v>0</v>
      </c>
      <c r="I18" s="50">
        <v>4</v>
      </c>
      <c r="J18" s="50">
        <v>0</v>
      </c>
      <c r="K18" s="50">
        <v>0</v>
      </c>
      <c r="L18" s="50">
        <v>0</v>
      </c>
      <c r="M18" s="50">
        <v>42</v>
      </c>
      <c r="N18" s="50">
        <v>0</v>
      </c>
      <c r="O18" s="15">
        <f t="shared" si="0"/>
        <v>27</v>
      </c>
      <c r="P18" s="15">
        <f t="shared" si="1"/>
        <v>69</v>
      </c>
      <c r="R18" s="1" t="s">
        <v>14</v>
      </c>
      <c r="S18" s="17">
        <f t="shared" ref="S18:AF18" si="10">SUM(C42:C45)</f>
        <v>25</v>
      </c>
      <c r="T18" s="17">
        <f t="shared" si="10"/>
        <v>8</v>
      </c>
      <c r="U18" s="17">
        <f t="shared" si="10"/>
        <v>3</v>
      </c>
      <c r="V18" s="17">
        <f t="shared" si="10"/>
        <v>24</v>
      </c>
      <c r="W18" s="17">
        <f t="shared" si="10"/>
        <v>0</v>
      </c>
      <c r="X18" s="17">
        <f t="shared" si="10"/>
        <v>2</v>
      </c>
      <c r="Y18" s="17">
        <f t="shared" si="10"/>
        <v>13</v>
      </c>
      <c r="Z18" s="17">
        <f t="shared" si="10"/>
        <v>6</v>
      </c>
      <c r="AA18" s="17">
        <f t="shared" si="10"/>
        <v>2</v>
      </c>
      <c r="AB18" s="17">
        <f t="shared" si="10"/>
        <v>1</v>
      </c>
      <c r="AC18" s="17">
        <f t="shared" si="10"/>
        <v>145</v>
      </c>
      <c r="AD18" s="17">
        <f t="shared" si="10"/>
        <v>0</v>
      </c>
      <c r="AE18" s="31">
        <f t="shared" si="10"/>
        <v>84</v>
      </c>
      <c r="AF18" s="31">
        <f t="shared" si="10"/>
        <v>229</v>
      </c>
    </row>
    <row r="19" spans="2:32" ht="23.1" customHeight="1" x14ac:dyDescent="0.25">
      <c r="B19" s="23" t="s">
        <v>46</v>
      </c>
      <c r="C19" s="50">
        <v>7</v>
      </c>
      <c r="D19" s="50">
        <v>2</v>
      </c>
      <c r="E19" s="50">
        <v>0</v>
      </c>
      <c r="F19" s="50">
        <v>3</v>
      </c>
      <c r="G19" s="50">
        <v>0</v>
      </c>
      <c r="H19" s="50">
        <v>1</v>
      </c>
      <c r="I19" s="50">
        <v>3</v>
      </c>
      <c r="J19" s="50">
        <v>1</v>
      </c>
      <c r="K19" s="50">
        <v>0</v>
      </c>
      <c r="L19" s="50">
        <v>0</v>
      </c>
      <c r="M19" s="50">
        <v>33</v>
      </c>
      <c r="N19" s="50">
        <v>0</v>
      </c>
      <c r="O19" s="15">
        <f t="shared" si="0"/>
        <v>17</v>
      </c>
      <c r="P19" s="15">
        <f t="shared" si="1"/>
        <v>50</v>
      </c>
      <c r="R19" s="1" t="s">
        <v>15</v>
      </c>
      <c r="S19" s="17">
        <f t="shared" ref="S19:AF19" si="11">SUM(C46:C49)</f>
        <v>21</v>
      </c>
      <c r="T19" s="17">
        <f t="shared" si="11"/>
        <v>8</v>
      </c>
      <c r="U19" s="17">
        <f t="shared" si="11"/>
        <v>4</v>
      </c>
      <c r="V19" s="17">
        <f t="shared" si="11"/>
        <v>30</v>
      </c>
      <c r="W19" s="17">
        <f t="shared" si="11"/>
        <v>1</v>
      </c>
      <c r="X19" s="17">
        <f t="shared" si="11"/>
        <v>4</v>
      </c>
      <c r="Y19" s="17">
        <f t="shared" si="11"/>
        <v>17</v>
      </c>
      <c r="Z19" s="17">
        <f t="shared" si="11"/>
        <v>10</v>
      </c>
      <c r="AA19" s="17">
        <f t="shared" si="11"/>
        <v>3</v>
      </c>
      <c r="AB19" s="17">
        <f t="shared" si="11"/>
        <v>0</v>
      </c>
      <c r="AC19" s="17">
        <f t="shared" si="11"/>
        <v>141</v>
      </c>
      <c r="AD19" s="17">
        <f t="shared" si="11"/>
        <v>0</v>
      </c>
      <c r="AE19" s="31">
        <f t="shared" si="11"/>
        <v>98</v>
      </c>
      <c r="AF19" s="31">
        <f t="shared" si="11"/>
        <v>239</v>
      </c>
    </row>
    <row r="20" spans="2:32" ht="23.1" customHeight="1" x14ac:dyDescent="0.25">
      <c r="B20" s="23" t="s">
        <v>47</v>
      </c>
      <c r="C20" s="50">
        <v>7</v>
      </c>
      <c r="D20" s="50">
        <v>2</v>
      </c>
      <c r="E20" s="50">
        <v>2</v>
      </c>
      <c r="F20" s="50">
        <v>5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2</v>
      </c>
      <c r="M20" s="50">
        <v>50</v>
      </c>
      <c r="N20" s="50">
        <v>0</v>
      </c>
      <c r="O20" s="15">
        <f t="shared" si="0"/>
        <v>20</v>
      </c>
      <c r="P20" s="15">
        <f t="shared" si="1"/>
        <v>70</v>
      </c>
      <c r="R20" s="1" t="s">
        <v>16</v>
      </c>
      <c r="S20" s="17">
        <f t="shared" ref="S20:AF20" si="12">SUM(C50:C53)</f>
        <v>27</v>
      </c>
      <c r="T20" s="17">
        <f t="shared" si="12"/>
        <v>13</v>
      </c>
      <c r="U20" s="17">
        <f t="shared" si="12"/>
        <v>5</v>
      </c>
      <c r="V20" s="17">
        <f t="shared" si="12"/>
        <v>24</v>
      </c>
      <c r="W20" s="17">
        <f t="shared" si="12"/>
        <v>0</v>
      </c>
      <c r="X20" s="17">
        <f t="shared" si="12"/>
        <v>1</v>
      </c>
      <c r="Y20" s="17">
        <f t="shared" si="12"/>
        <v>10</v>
      </c>
      <c r="Z20" s="17">
        <f t="shared" si="12"/>
        <v>10</v>
      </c>
      <c r="AA20" s="17">
        <f t="shared" si="12"/>
        <v>0</v>
      </c>
      <c r="AB20" s="17">
        <f t="shared" si="12"/>
        <v>7</v>
      </c>
      <c r="AC20" s="17">
        <f t="shared" si="12"/>
        <v>190</v>
      </c>
      <c r="AD20" s="17">
        <f t="shared" si="12"/>
        <v>0</v>
      </c>
      <c r="AE20" s="31">
        <f t="shared" si="12"/>
        <v>97</v>
      </c>
      <c r="AF20" s="31">
        <f t="shared" si="12"/>
        <v>287</v>
      </c>
    </row>
    <row r="21" spans="2:32" ht="23.1" customHeight="1" x14ac:dyDescent="0.25">
      <c r="B21" s="23" t="s">
        <v>48</v>
      </c>
      <c r="C21" s="50">
        <v>5</v>
      </c>
      <c r="D21" s="50">
        <v>2</v>
      </c>
      <c r="E21" s="50">
        <v>2</v>
      </c>
      <c r="F21" s="50">
        <v>6</v>
      </c>
      <c r="G21" s="50">
        <v>0</v>
      </c>
      <c r="H21" s="50">
        <v>0</v>
      </c>
      <c r="I21" s="50">
        <v>5</v>
      </c>
      <c r="J21" s="50">
        <v>1</v>
      </c>
      <c r="K21" s="50">
        <v>1</v>
      </c>
      <c r="L21" s="50">
        <v>0</v>
      </c>
      <c r="M21" s="50">
        <v>41</v>
      </c>
      <c r="N21" s="50">
        <v>0</v>
      </c>
      <c r="O21" s="15">
        <f t="shared" si="0"/>
        <v>22</v>
      </c>
      <c r="P21" s="15">
        <f t="shared" si="1"/>
        <v>63</v>
      </c>
      <c r="R21" s="36" t="s">
        <v>20</v>
      </c>
      <c r="S21" s="34">
        <f t="shared" ref="S21:AF21" si="13">SUM(C54:C57)</f>
        <v>19</v>
      </c>
      <c r="T21" s="17">
        <f t="shared" si="13"/>
        <v>12</v>
      </c>
      <c r="U21" s="17">
        <f t="shared" si="13"/>
        <v>4</v>
      </c>
      <c r="V21" s="17">
        <f t="shared" si="13"/>
        <v>34</v>
      </c>
      <c r="W21" s="17">
        <f t="shared" si="13"/>
        <v>0</v>
      </c>
      <c r="X21" s="17">
        <f t="shared" si="13"/>
        <v>3</v>
      </c>
      <c r="Y21" s="17">
        <f t="shared" si="13"/>
        <v>14</v>
      </c>
      <c r="Z21" s="17">
        <f t="shared" si="13"/>
        <v>8</v>
      </c>
      <c r="AA21" s="17">
        <f t="shared" si="13"/>
        <v>3</v>
      </c>
      <c r="AB21" s="17">
        <f t="shared" si="13"/>
        <v>5</v>
      </c>
      <c r="AC21" s="17">
        <f t="shared" si="13"/>
        <v>214</v>
      </c>
      <c r="AD21" s="17">
        <f t="shared" si="13"/>
        <v>0</v>
      </c>
      <c r="AE21" s="31">
        <f t="shared" si="13"/>
        <v>102</v>
      </c>
      <c r="AF21" s="31">
        <f t="shared" si="13"/>
        <v>316</v>
      </c>
    </row>
    <row r="22" spans="2:32" ht="23.1" customHeight="1" x14ac:dyDescent="0.25">
      <c r="B22" s="23" t="s">
        <v>49</v>
      </c>
      <c r="C22" s="50">
        <v>12</v>
      </c>
      <c r="D22" s="50">
        <v>0</v>
      </c>
      <c r="E22" s="50">
        <v>3</v>
      </c>
      <c r="F22" s="50">
        <v>9</v>
      </c>
      <c r="G22" s="50">
        <v>0</v>
      </c>
      <c r="H22" s="50">
        <v>1</v>
      </c>
      <c r="I22" s="50">
        <v>4</v>
      </c>
      <c r="J22" s="50">
        <v>2</v>
      </c>
      <c r="K22" s="50">
        <v>1</v>
      </c>
      <c r="L22" s="50">
        <v>0</v>
      </c>
      <c r="M22" s="50">
        <v>45</v>
      </c>
      <c r="N22" s="50">
        <v>0</v>
      </c>
      <c r="O22" s="15">
        <f t="shared" si="0"/>
        <v>32</v>
      </c>
      <c r="P22" s="15">
        <f t="shared" si="1"/>
        <v>77</v>
      </c>
      <c r="R22" s="38" t="s">
        <v>90</v>
      </c>
      <c r="S22" s="39">
        <f>MAX(S10:S12)</f>
        <v>28</v>
      </c>
      <c r="T22" s="39">
        <f t="shared" ref="T22:AF22" si="14">MAX(T10:T12)</f>
        <v>18</v>
      </c>
      <c r="U22" s="39">
        <f t="shared" si="14"/>
        <v>16</v>
      </c>
      <c r="V22" s="39">
        <f t="shared" si="14"/>
        <v>22</v>
      </c>
      <c r="W22" s="39">
        <f t="shared" si="14"/>
        <v>1</v>
      </c>
      <c r="X22" s="39">
        <f t="shared" si="14"/>
        <v>1</v>
      </c>
      <c r="Y22" s="39">
        <f t="shared" si="14"/>
        <v>14</v>
      </c>
      <c r="Z22" s="39">
        <f t="shared" si="14"/>
        <v>6</v>
      </c>
      <c r="AA22" s="39">
        <f t="shared" si="14"/>
        <v>2</v>
      </c>
      <c r="AB22" s="39">
        <f t="shared" si="14"/>
        <v>6</v>
      </c>
      <c r="AC22" s="39">
        <f t="shared" si="14"/>
        <v>166</v>
      </c>
      <c r="AD22" s="39">
        <f t="shared" si="14"/>
        <v>0</v>
      </c>
      <c r="AE22" s="40">
        <f t="shared" si="14"/>
        <v>96</v>
      </c>
      <c r="AF22" s="40">
        <f t="shared" si="14"/>
        <v>253</v>
      </c>
    </row>
    <row r="23" spans="2:32" ht="23.1" customHeight="1" x14ac:dyDescent="0.25">
      <c r="B23" s="23" t="s">
        <v>50</v>
      </c>
      <c r="C23" s="50">
        <v>3</v>
      </c>
      <c r="D23" s="50">
        <v>2</v>
      </c>
      <c r="E23" s="50">
        <v>1</v>
      </c>
      <c r="F23" s="50">
        <v>7</v>
      </c>
      <c r="G23" s="50">
        <v>1</v>
      </c>
      <c r="H23" s="50">
        <v>0</v>
      </c>
      <c r="I23" s="50">
        <v>1</v>
      </c>
      <c r="J23" s="50">
        <v>2</v>
      </c>
      <c r="K23" s="50">
        <v>0</v>
      </c>
      <c r="L23" s="50">
        <v>1</v>
      </c>
      <c r="M23" s="50">
        <v>47</v>
      </c>
      <c r="N23" s="50">
        <v>0</v>
      </c>
      <c r="O23" s="15">
        <f t="shared" si="0"/>
        <v>18</v>
      </c>
      <c r="P23" s="15">
        <f t="shared" si="1"/>
        <v>65</v>
      </c>
      <c r="R23" s="38" t="s">
        <v>91</v>
      </c>
      <c r="S23" s="39">
        <f>MAX(S13:S18)</f>
        <v>36</v>
      </c>
      <c r="T23" s="39">
        <f t="shared" ref="T23:AF23" si="15">MAX(T13:T18)</f>
        <v>16</v>
      </c>
      <c r="U23" s="39">
        <f t="shared" si="15"/>
        <v>13</v>
      </c>
      <c r="V23" s="39">
        <f t="shared" si="15"/>
        <v>33</v>
      </c>
      <c r="W23" s="39">
        <f t="shared" si="15"/>
        <v>1</v>
      </c>
      <c r="X23" s="39">
        <f t="shared" si="15"/>
        <v>3</v>
      </c>
      <c r="Y23" s="39">
        <f t="shared" si="15"/>
        <v>23</v>
      </c>
      <c r="Z23" s="39">
        <f t="shared" si="15"/>
        <v>9</v>
      </c>
      <c r="AA23" s="39">
        <f t="shared" si="15"/>
        <v>3</v>
      </c>
      <c r="AB23" s="39">
        <f t="shared" si="15"/>
        <v>3</v>
      </c>
      <c r="AC23" s="39">
        <f t="shared" si="15"/>
        <v>191</v>
      </c>
      <c r="AD23" s="39">
        <f t="shared" si="15"/>
        <v>0</v>
      </c>
      <c r="AE23" s="40">
        <f t="shared" si="15"/>
        <v>118</v>
      </c>
      <c r="AF23" s="40">
        <f t="shared" si="15"/>
        <v>300</v>
      </c>
    </row>
    <row r="24" spans="2:32" ht="23.1" customHeight="1" x14ac:dyDescent="0.25">
      <c r="B24" s="23" t="s">
        <v>51</v>
      </c>
      <c r="C24" s="50">
        <v>12</v>
      </c>
      <c r="D24" s="50">
        <v>3</v>
      </c>
      <c r="E24" s="50">
        <v>3</v>
      </c>
      <c r="F24" s="50">
        <v>8</v>
      </c>
      <c r="G24" s="50">
        <v>0</v>
      </c>
      <c r="H24" s="50">
        <v>0</v>
      </c>
      <c r="I24" s="50">
        <v>3</v>
      </c>
      <c r="J24" s="50">
        <v>1</v>
      </c>
      <c r="K24" s="50">
        <v>1</v>
      </c>
      <c r="L24" s="50">
        <v>0</v>
      </c>
      <c r="M24" s="50">
        <v>51</v>
      </c>
      <c r="N24" s="50">
        <v>0</v>
      </c>
      <c r="O24" s="15">
        <f t="shared" si="0"/>
        <v>31</v>
      </c>
      <c r="P24" s="15">
        <f t="shared" si="1"/>
        <v>82</v>
      </c>
      <c r="R24" s="38" t="s">
        <v>92</v>
      </c>
      <c r="S24" s="39">
        <f>MAX(S19:S21)</f>
        <v>27</v>
      </c>
      <c r="T24" s="39">
        <f t="shared" ref="T24:AF24" si="16">MAX(T19:T21)</f>
        <v>13</v>
      </c>
      <c r="U24" s="39">
        <f t="shared" si="16"/>
        <v>5</v>
      </c>
      <c r="V24" s="39">
        <f t="shared" si="16"/>
        <v>34</v>
      </c>
      <c r="W24" s="39">
        <f t="shared" si="16"/>
        <v>1</v>
      </c>
      <c r="X24" s="39">
        <f t="shared" si="16"/>
        <v>4</v>
      </c>
      <c r="Y24" s="39">
        <f t="shared" si="16"/>
        <v>17</v>
      </c>
      <c r="Z24" s="39">
        <f t="shared" si="16"/>
        <v>10</v>
      </c>
      <c r="AA24" s="39">
        <f t="shared" si="16"/>
        <v>3</v>
      </c>
      <c r="AB24" s="39">
        <f t="shared" si="16"/>
        <v>7</v>
      </c>
      <c r="AC24" s="39">
        <f t="shared" si="16"/>
        <v>214</v>
      </c>
      <c r="AD24" s="39">
        <f t="shared" si="16"/>
        <v>0</v>
      </c>
      <c r="AE24" s="40">
        <f t="shared" si="16"/>
        <v>102</v>
      </c>
      <c r="AF24" s="40">
        <f t="shared" si="16"/>
        <v>316</v>
      </c>
    </row>
    <row r="25" spans="2:32" ht="23.1" customHeight="1" x14ac:dyDescent="0.25">
      <c r="B25" s="23" t="s">
        <v>52</v>
      </c>
      <c r="C25" s="50">
        <v>8</v>
      </c>
      <c r="D25" s="50">
        <v>5</v>
      </c>
      <c r="E25" s="50">
        <v>3</v>
      </c>
      <c r="F25" s="50">
        <v>5</v>
      </c>
      <c r="G25" s="50">
        <v>0</v>
      </c>
      <c r="H25" s="50">
        <v>0</v>
      </c>
      <c r="I25" s="50">
        <v>4</v>
      </c>
      <c r="J25" s="50">
        <v>1</v>
      </c>
      <c r="K25" s="50">
        <v>1</v>
      </c>
      <c r="L25" s="50">
        <v>1</v>
      </c>
      <c r="M25" s="50">
        <v>48</v>
      </c>
      <c r="N25" s="50">
        <v>0</v>
      </c>
      <c r="O25" s="15">
        <f t="shared" si="0"/>
        <v>28</v>
      </c>
      <c r="P25" s="15">
        <f t="shared" si="1"/>
        <v>76</v>
      </c>
      <c r="R25" s="37" t="s">
        <v>85</v>
      </c>
      <c r="S25" s="35">
        <f t="shared" ref="S25:AF25" si="17">SUM(S10:S12)</f>
        <v>69</v>
      </c>
      <c r="T25" s="16">
        <f t="shared" si="17"/>
        <v>34</v>
      </c>
      <c r="U25" s="16">
        <f t="shared" si="17"/>
        <v>32</v>
      </c>
      <c r="V25" s="16">
        <f t="shared" si="17"/>
        <v>59</v>
      </c>
      <c r="W25" s="16">
        <f t="shared" si="17"/>
        <v>2</v>
      </c>
      <c r="X25" s="16">
        <f t="shared" si="17"/>
        <v>2</v>
      </c>
      <c r="Y25" s="16">
        <f t="shared" si="17"/>
        <v>31</v>
      </c>
      <c r="Z25" s="16">
        <f t="shared" si="17"/>
        <v>10</v>
      </c>
      <c r="AA25" s="16">
        <f t="shared" si="17"/>
        <v>5</v>
      </c>
      <c r="AB25" s="16">
        <f t="shared" si="17"/>
        <v>13</v>
      </c>
      <c r="AC25" s="16">
        <f t="shared" si="17"/>
        <v>474</v>
      </c>
      <c r="AD25" s="16">
        <f t="shared" si="17"/>
        <v>0</v>
      </c>
      <c r="AE25" s="32">
        <f t="shared" si="17"/>
        <v>257</v>
      </c>
      <c r="AF25" s="32">
        <f t="shared" si="17"/>
        <v>731</v>
      </c>
    </row>
    <row r="26" spans="2:32" ht="23.1" customHeight="1" x14ac:dyDescent="0.25">
      <c r="B26" s="23" t="s">
        <v>53</v>
      </c>
      <c r="C26" s="50">
        <v>11</v>
      </c>
      <c r="D26" s="50">
        <v>4</v>
      </c>
      <c r="E26" s="50">
        <v>5</v>
      </c>
      <c r="F26" s="50">
        <v>10</v>
      </c>
      <c r="G26" s="50">
        <v>0</v>
      </c>
      <c r="H26" s="50">
        <v>1</v>
      </c>
      <c r="I26" s="50">
        <v>3</v>
      </c>
      <c r="J26" s="50">
        <v>3</v>
      </c>
      <c r="K26" s="50">
        <v>0</v>
      </c>
      <c r="L26" s="50">
        <v>1</v>
      </c>
      <c r="M26" s="50">
        <v>31</v>
      </c>
      <c r="N26" s="50">
        <v>0</v>
      </c>
      <c r="O26" s="15">
        <f t="shared" si="0"/>
        <v>38</v>
      </c>
      <c r="P26" s="15">
        <f t="shared" si="1"/>
        <v>69</v>
      </c>
      <c r="R26" s="28" t="s">
        <v>86</v>
      </c>
      <c r="S26" s="16">
        <f t="shared" ref="S26:AF26" si="18">SUM(S13:S18)</f>
        <v>182</v>
      </c>
      <c r="T26" s="16">
        <f t="shared" si="18"/>
        <v>65</v>
      </c>
      <c r="U26" s="16">
        <f t="shared" si="18"/>
        <v>48</v>
      </c>
      <c r="V26" s="16">
        <f t="shared" si="18"/>
        <v>175</v>
      </c>
      <c r="W26" s="16">
        <f t="shared" si="18"/>
        <v>2</v>
      </c>
      <c r="X26" s="16">
        <f t="shared" si="18"/>
        <v>12</v>
      </c>
      <c r="Y26" s="16">
        <f t="shared" si="18"/>
        <v>102</v>
      </c>
      <c r="Z26" s="16">
        <f t="shared" si="18"/>
        <v>43</v>
      </c>
      <c r="AA26" s="16">
        <f t="shared" si="18"/>
        <v>10</v>
      </c>
      <c r="AB26" s="16">
        <f t="shared" si="18"/>
        <v>12</v>
      </c>
      <c r="AC26" s="16">
        <f t="shared" si="18"/>
        <v>951</v>
      </c>
      <c r="AD26" s="16">
        <f t="shared" si="18"/>
        <v>0</v>
      </c>
      <c r="AE26" s="32">
        <f t="shared" si="18"/>
        <v>651</v>
      </c>
      <c r="AF26" s="32">
        <f t="shared" si="18"/>
        <v>1602</v>
      </c>
    </row>
    <row r="27" spans="2:32" ht="23.1" customHeight="1" x14ac:dyDescent="0.25">
      <c r="B27" s="23" t="s">
        <v>54</v>
      </c>
      <c r="C27" s="50">
        <v>7</v>
      </c>
      <c r="D27" s="50">
        <v>1</v>
      </c>
      <c r="E27" s="50">
        <v>3</v>
      </c>
      <c r="F27" s="50">
        <v>9</v>
      </c>
      <c r="G27" s="50">
        <v>0</v>
      </c>
      <c r="H27" s="50">
        <v>0</v>
      </c>
      <c r="I27" s="50">
        <v>6</v>
      </c>
      <c r="J27" s="50">
        <v>3</v>
      </c>
      <c r="K27" s="50">
        <v>0</v>
      </c>
      <c r="L27" s="50">
        <v>1</v>
      </c>
      <c r="M27" s="50">
        <v>35</v>
      </c>
      <c r="N27" s="50">
        <v>0</v>
      </c>
      <c r="O27" s="15">
        <f t="shared" si="0"/>
        <v>30</v>
      </c>
      <c r="P27" s="15">
        <f t="shared" si="1"/>
        <v>65</v>
      </c>
      <c r="R27" s="29" t="s">
        <v>87</v>
      </c>
      <c r="S27" s="16">
        <f t="shared" ref="S27:AF27" si="19">SUM(S19:S21)</f>
        <v>67</v>
      </c>
      <c r="T27" s="16">
        <f t="shared" si="19"/>
        <v>33</v>
      </c>
      <c r="U27" s="16">
        <f t="shared" si="19"/>
        <v>13</v>
      </c>
      <c r="V27" s="16">
        <f t="shared" si="19"/>
        <v>88</v>
      </c>
      <c r="W27" s="16">
        <f t="shared" si="19"/>
        <v>1</v>
      </c>
      <c r="X27" s="16">
        <f t="shared" si="19"/>
        <v>8</v>
      </c>
      <c r="Y27" s="16">
        <f t="shared" si="19"/>
        <v>41</v>
      </c>
      <c r="Z27" s="16">
        <f t="shared" si="19"/>
        <v>28</v>
      </c>
      <c r="AA27" s="16">
        <f t="shared" si="19"/>
        <v>6</v>
      </c>
      <c r="AB27" s="16">
        <f t="shared" si="19"/>
        <v>12</v>
      </c>
      <c r="AC27" s="16">
        <f t="shared" si="19"/>
        <v>545</v>
      </c>
      <c r="AD27" s="16">
        <f t="shared" si="19"/>
        <v>0</v>
      </c>
      <c r="AE27" s="32">
        <f t="shared" si="19"/>
        <v>297</v>
      </c>
      <c r="AF27" s="32">
        <f t="shared" si="19"/>
        <v>842</v>
      </c>
    </row>
    <row r="28" spans="2:32" ht="23.1" customHeight="1" x14ac:dyDescent="0.25">
      <c r="B28" s="23" t="s">
        <v>55</v>
      </c>
      <c r="C28" s="50">
        <v>5</v>
      </c>
      <c r="D28" s="50">
        <v>1</v>
      </c>
      <c r="E28" s="50">
        <v>3</v>
      </c>
      <c r="F28" s="50">
        <v>6</v>
      </c>
      <c r="G28" s="50">
        <v>0</v>
      </c>
      <c r="H28" s="50">
        <v>0</v>
      </c>
      <c r="I28" s="50">
        <v>5</v>
      </c>
      <c r="J28" s="50">
        <v>0</v>
      </c>
      <c r="K28" s="50">
        <v>0</v>
      </c>
      <c r="L28" s="50">
        <v>0</v>
      </c>
      <c r="M28" s="50">
        <v>58</v>
      </c>
      <c r="N28" s="50">
        <v>0</v>
      </c>
      <c r="O28" s="15">
        <f t="shared" si="0"/>
        <v>20</v>
      </c>
      <c r="P28" s="15">
        <f t="shared" si="1"/>
        <v>78</v>
      </c>
      <c r="R28" s="5" t="s">
        <v>17</v>
      </c>
      <c r="S28" s="16">
        <f t="shared" ref="S28:AF28" si="20">SUM(S10:S21)</f>
        <v>318</v>
      </c>
      <c r="T28" s="16">
        <f t="shared" si="20"/>
        <v>132</v>
      </c>
      <c r="U28" s="16">
        <f t="shared" si="20"/>
        <v>93</v>
      </c>
      <c r="V28" s="16">
        <f t="shared" si="20"/>
        <v>322</v>
      </c>
      <c r="W28" s="16">
        <f t="shared" si="20"/>
        <v>5</v>
      </c>
      <c r="X28" s="16">
        <f t="shared" si="20"/>
        <v>22</v>
      </c>
      <c r="Y28" s="16">
        <f t="shared" si="20"/>
        <v>174</v>
      </c>
      <c r="Z28" s="16">
        <f t="shared" si="20"/>
        <v>81</v>
      </c>
      <c r="AA28" s="16">
        <f t="shared" si="20"/>
        <v>21</v>
      </c>
      <c r="AB28" s="16">
        <f t="shared" si="20"/>
        <v>37</v>
      </c>
      <c r="AC28" s="16">
        <f t="shared" si="20"/>
        <v>1970</v>
      </c>
      <c r="AD28" s="16">
        <f t="shared" si="20"/>
        <v>0</v>
      </c>
      <c r="AE28" s="32">
        <f t="shared" si="20"/>
        <v>1205</v>
      </c>
      <c r="AF28" s="32">
        <f t="shared" si="20"/>
        <v>3175</v>
      </c>
    </row>
    <row r="29" spans="2:32" ht="23.1" customHeight="1" x14ac:dyDescent="0.25">
      <c r="B29" s="23" t="s">
        <v>56</v>
      </c>
      <c r="C29" s="50">
        <v>12</v>
      </c>
      <c r="D29" s="50">
        <v>3</v>
      </c>
      <c r="E29" s="50">
        <v>2</v>
      </c>
      <c r="F29" s="50">
        <v>3</v>
      </c>
      <c r="G29" s="50">
        <v>0</v>
      </c>
      <c r="H29" s="50">
        <v>0</v>
      </c>
      <c r="I29" s="50">
        <v>4</v>
      </c>
      <c r="J29" s="50">
        <v>3</v>
      </c>
      <c r="K29" s="50">
        <v>0</v>
      </c>
      <c r="L29" s="50">
        <v>0</v>
      </c>
      <c r="M29" s="50">
        <v>29</v>
      </c>
      <c r="N29" s="50">
        <v>0</v>
      </c>
      <c r="O29" s="15">
        <f t="shared" si="0"/>
        <v>27</v>
      </c>
      <c r="P29" s="15">
        <f t="shared" si="1"/>
        <v>56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2</v>
      </c>
      <c r="E30" s="50">
        <v>1</v>
      </c>
      <c r="F30" s="50">
        <v>5</v>
      </c>
      <c r="G30" s="50">
        <v>0</v>
      </c>
      <c r="H30" s="50">
        <v>1</v>
      </c>
      <c r="I30" s="50">
        <v>3</v>
      </c>
      <c r="J30" s="50">
        <v>0</v>
      </c>
      <c r="K30" s="50">
        <v>0</v>
      </c>
      <c r="L30" s="50">
        <v>2</v>
      </c>
      <c r="M30" s="50">
        <v>47</v>
      </c>
      <c r="N30" s="50">
        <v>0</v>
      </c>
      <c r="O30" s="15">
        <f t="shared" si="0"/>
        <v>23</v>
      </c>
      <c r="P30" s="15">
        <f t="shared" si="1"/>
        <v>70</v>
      </c>
    </row>
    <row r="31" spans="2:32" ht="23.1" customHeight="1" x14ac:dyDescent="0.25">
      <c r="B31" s="24" t="s">
        <v>58</v>
      </c>
      <c r="C31" s="50">
        <v>8</v>
      </c>
      <c r="D31" s="50">
        <v>3</v>
      </c>
      <c r="E31" s="50">
        <v>0</v>
      </c>
      <c r="F31" s="50">
        <v>11</v>
      </c>
      <c r="G31" s="50">
        <v>0</v>
      </c>
      <c r="H31" s="50">
        <v>0</v>
      </c>
      <c r="I31" s="50">
        <v>2</v>
      </c>
      <c r="J31" s="50">
        <v>1</v>
      </c>
      <c r="K31" s="50">
        <v>2</v>
      </c>
      <c r="L31" s="50">
        <v>0</v>
      </c>
      <c r="M31" s="50">
        <v>30</v>
      </c>
      <c r="N31" s="50">
        <v>0</v>
      </c>
      <c r="O31" s="15">
        <f t="shared" si="0"/>
        <v>27</v>
      </c>
      <c r="P31" s="15">
        <f t="shared" si="1"/>
        <v>57</v>
      </c>
    </row>
    <row r="32" spans="2:32" ht="23.1" customHeight="1" x14ac:dyDescent="0.25">
      <c r="B32" s="24" t="s">
        <v>59</v>
      </c>
      <c r="C32" s="50">
        <v>5</v>
      </c>
      <c r="D32" s="50">
        <v>4</v>
      </c>
      <c r="E32" s="50">
        <v>2</v>
      </c>
      <c r="F32" s="50">
        <v>8</v>
      </c>
      <c r="G32" s="50">
        <v>0</v>
      </c>
      <c r="H32" s="50">
        <v>2</v>
      </c>
      <c r="I32" s="50">
        <v>8</v>
      </c>
      <c r="J32" s="50">
        <v>1</v>
      </c>
      <c r="K32" s="50">
        <v>0</v>
      </c>
      <c r="L32" s="50">
        <v>0</v>
      </c>
      <c r="M32" s="50">
        <v>43</v>
      </c>
      <c r="N32" s="50">
        <v>0</v>
      </c>
      <c r="O32" s="15">
        <f t="shared" si="0"/>
        <v>30</v>
      </c>
      <c r="P32" s="15">
        <f t="shared" si="1"/>
        <v>73</v>
      </c>
    </row>
    <row r="33" spans="2:20" ht="23.1" customHeight="1" x14ac:dyDescent="0.25">
      <c r="B33" s="23" t="s">
        <v>60</v>
      </c>
      <c r="C33" s="50">
        <v>8</v>
      </c>
      <c r="D33" s="50">
        <v>7</v>
      </c>
      <c r="E33" s="50">
        <v>4</v>
      </c>
      <c r="F33" s="50">
        <v>9</v>
      </c>
      <c r="G33" s="50">
        <v>0</v>
      </c>
      <c r="H33" s="50">
        <v>0</v>
      </c>
      <c r="I33" s="50">
        <v>4</v>
      </c>
      <c r="J33" s="50">
        <v>6</v>
      </c>
      <c r="K33" s="50">
        <v>0</v>
      </c>
      <c r="L33" s="50">
        <v>0</v>
      </c>
      <c r="M33" s="50">
        <v>32</v>
      </c>
      <c r="N33" s="50">
        <v>0</v>
      </c>
      <c r="O33" s="15">
        <f t="shared" si="0"/>
        <v>38</v>
      </c>
      <c r="P33" s="15">
        <f t="shared" si="1"/>
        <v>70</v>
      </c>
    </row>
    <row r="34" spans="2:20" ht="23.1" customHeight="1" x14ac:dyDescent="0.25">
      <c r="B34" s="24" t="s">
        <v>61</v>
      </c>
      <c r="C34" s="50">
        <v>6</v>
      </c>
      <c r="D34" s="50">
        <v>3</v>
      </c>
      <c r="E34" s="50">
        <v>1</v>
      </c>
      <c r="F34" s="50">
        <v>9</v>
      </c>
      <c r="G34" s="50">
        <v>0</v>
      </c>
      <c r="H34" s="50">
        <v>2</v>
      </c>
      <c r="I34" s="50">
        <v>5</v>
      </c>
      <c r="J34" s="50">
        <v>0</v>
      </c>
      <c r="K34" s="50">
        <v>0</v>
      </c>
      <c r="L34" s="50">
        <v>1</v>
      </c>
      <c r="M34" s="50">
        <v>41</v>
      </c>
      <c r="N34" s="50">
        <v>0</v>
      </c>
      <c r="O34" s="15">
        <f t="shared" si="0"/>
        <v>27</v>
      </c>
      <c r="P34" s="15">
        <f t="shared" si="1"/>
        <v>68</v>
      </c>
    </row>
    <row r="35" spans="2:20" ht="23.1" customHeight="1" x14ac:dyDescent="0.25">
      <c r="B35" s="24" t="s">
        <v>62</v>
      </c>
      <c r="C35" s="50">
        <v>11</v>
      </c>
      <c r="D35" s="50">
        <v>2</v>
      </c>
      <c r="E35" s="50">
        <v>0</v>
      </c>
      <c r="F35" s="50">
        <v>7</v>
      </c>
      <c r="G35" s="50">
        <v>0</v>
      </c>
      <c r="H35" s="50">
        <v>0</v>
      </c>
      <c r="I35" s="50">
        <v>5</v>
      </c>
      <c r="J35" s="50">
        <v>3</v>
      </c>
      <c r="K35" s="50">
        <v>0</v>
      </c>
      <c r="L35" s="50">
        <v>0</v>
      </c>
      <c r="M35" s="50">
        <v>35</v>
      </c>
      <c r="N35" s="50">
        <v>0</v>
      </c>
      <c r="O35" s="15">
        <f t="shared" si="0"/>
        <v>28</v>
      </c>
      <c r="P35" s="15">
        <f t="shared" si="1"/>
        <v>63</v>
      </c>
    </row>
    <row r="36" spans="2:20" ht="23.1" customHeight="1" x14ac:dyDescent="0.25">
      <c r="B36" s="24" t="s">
        <v>63</v>
      </c>
      <c r="C36" s="50">
        <v>11</v>
      </c>
      <c r="D36" s="50">
        <v>2</v>
      </c>
      <c r="E36" s="50">
        <v>4</v>
      </c>
      <c r="F36" s="50">
        <v>7</v>
      </c>
      <c r="G36" s="50">
        <v>1</v>
      </c>
      <c r="H36" s="50">
        <v>1</v>
      </c>
      <c r="I36" s="50">
        <v>6</v>
      </c>
      <c r="J36" s="50">
        <v>3</v>
      </c>
      <c r="K36" s="50">
        <v>0</v>
      </c>
      <c r="L36" s="50">
        <v>1</v>
      </c>
      <c r="M36" s="50">
        <v>47</v>
      </c>
      <c r="N36" s="50">
        <v>0</v>
      </c>
      <c r="O36" s="15">
        <f t="shared" si="0"/>
        <v>36</v>
      </c>
      <c r="P36" s="15">
        <f t="shared" si="1"/>
        <v>83</v>
      </c>
    </row>
    <row r="37" spans="2:20" ht="23.1" customHeight="1" x14ac:dyDescent="0.25">
      <c r="B37" s="23" t="s">
        <v>64</v>
      </c>
      <c r="C37" s="50">
        <v>8</v>
      </c>
      <c r="D37" s="50">
        <v>1</v>
      </c>
      <c r="E37" s="50">
        <v>2</v>
      </c>
      <c r="F37" s="50">
        <v>7</v>
      </c>
      <c r="G37" s="50">
        <v>0</v>
      </c>
      <c r="H37" s="50">
        <v>0</v>
      </c>
      <c r="I37" s="50">
        <v>3</v>
      </c>
      <c r="J37" s="50">
        <v>2</v>
      </c>
      <c r="K37" s="50">
        <v>0</v>
      </c>
      <c r="L37" s="50">
        <v>1</v>
      </c>
      <c r="M37" s="50">
        <v>37</v>
      </c>
      <c r="N37" s="50">
        <v>0</v>
      </c>
      <c r="O37" s="15">
        <f t="shared" si="0"/>
        <v>24</v>
      </c>
      <c r="P37" s="15">
        <f t="shared" si="1"/>
        <v>61</v>
      </c>
    </row>
    <row r="38" spans="2:20" ht="23.1" customHeight="1" x14ac:dyDescent="0.25">
      <c r="B38" s="24" t="s">
        <v>65</v>
      </c>
      <c r="C38" s="50">
        <v>5</v>
      </c>
      <c r="D38" s="50">
        <v>2</v>
      </c>
      <c r="E38" s="50">
        <v>5</v>
      </c>
      <c r="F38" s="50">
        <v>7</v>
      </c>
      <c r="G38" s="50">
        <v>0</v>
      </c>
      <c r="H38" s="50">
        <v>1</v>
      </c>
      <c r="I38" s="50">
        <v>4</v>
      </c>
      <c r="J38" s="50">
        <v>4</v>
      </c>
      <c r="K38" s="50">
        <v>1</v>
      </c>
      <c r="L38" s="50">
        <v>0</v>
      </c>
      <c r="M38" s="50">
        <v>37</v>
      </c>
      <c r="N38" s="50">
        <v>0</v>
      </c>
      <c r="O38" s="15">
        <f t="shared" si="0"/>
        <v>29</v>
      </c>
      <c r="P38" s="15">
        <f t="shared" si="1"/>
        <v>66</v>
      </c>
    </row>
    <row r="39" spans="2:20" ht="23.1" customHeight="1" x14ac:dyDescent="0.25">
      <c r="B39" s="24" t="s">
        <v>66</v>
      </c>
      <c r="C39" s="50">
        <v>4</v>
      </c>
      <c r="D39" s="50">
        <v>6</v>
      </c>
      <c r="E39" s="50">
        <v>1</v>
      </c>
      <c r="F39" s="50">
        <v>8</v>
      </c>
      <c r="G39" s="50">
        <v>0</v>
      </c>
      <c r="H39" s="50">
        <v>0</v>
      </c>
      <c r="I39" s="50">
        <v>6</v>
      </c>
      <c r="J39" s="50">
        <v>1</v>
      </c>
      <c r="K39" s="50">
        <v>2</v>
      </c>
      <c r="L39" s="50">
        <v>0</v>
      </c>
      <c r="M39" s="50">
        <v>33</v>
      </c>
      <c r="N39" s="50">
        <v>0</v>
      </c>
      <c r="O39" s="15">
        <f t="shared" si="0"/>
        <v>28</v>
      </c>
      <c r="P39" s="15">
        <f t="shared" si="1"/>
        <v>61</v>
      </c>
    </row>
    <row r="40" spans="2:20" ht="23.1" customHeight="1" x14ac:dyDescent="0.25">
      <c r="B40" s="24" t="s">
        <v>67</v>
      </c>
      <c r="C40" s="50">
        <v>4</v>
      </c>
      <c r="D40" s="50">
        <v>5</v>
      </c>
      <c r="E40" s="50">
        <v>1</v>
      </c>
      <c r="F40" s="50">
        <v>6</v>
      </c>
      <c r="G40" s="50">
        <v>0</v>
      </c>
      <c r="H40" s="50">
        <v>0</v>
      </c>
      <c r="I40" s="50">
        <v>6</v>
      </c>
      <c r="J40" s="50">
        <v>1</v>
      </c>
      <c r="K40" s="50">
        <v>0</v>
      </c>
      <c r="L40" s="50">
        <v>1</v>
      </c>
      <c r="M40" s="50">
        <v>44</v>
      </c>
      <c r="N40" s="50">
        <v>0</v>
      </c>
      <c r="O40" s="15">
        <f t="shared" si="0"/>
        <v>24</v>
      </c>
      <c r="P40" s="15">
        <f t="shared" si="1"/>
        <v>68</v>
      </c>
    </row>
    <row r="41" spans="2:20" ht="23.1" customHeight="1" x14ac:dyDescent="0.25">
      <c r="B41" s="23" t="s">
        <v>68</v>
      </c>
      <c r="C41" s="50">
        <v>8</v>
      </c>
      <c r="D41" s="50">
        <v>1</v>
      </c>
      <c r="E41" s="50">
        <v>1</v>
      </c>
      <c r="F41" s="50">
        <v>10</v>
      </c>
      <c r="G41" s="50">
        <v>0</v>
      </c>
      <c r="H41" s="50">
        <v>1</v>
      </c>
      <c r="I41" s="50">
        <v>7</v>
      </c>
      <c r="J41" s="50">
        <v>0</v>
      </c>
      <c r="K41" s="50">
        <v>0</v>
      </c>
      <c r="L41" s="50">
        <v>1</v>
      </c>
      <c r="M41" s="50">
        <v>36</v>
      </c>
      <c r="N41" s="50">
        <v>0</v>
      </c>
      <c r="O41" s="15">
        <f t="shared" si="0"/>
        <v>29</v>
      </c>
      <c r="P41" s="15">
        <f t="shared" si="1"/>
        <v>65</v>
      </c>
    </row>
    <row r="42" spans="2:20" ht="23.1" customHeight="1" x14ac:dyDescent="0.25">
      <c r="B42" s="24" t="s">
        <v>69</v>
      </c>
      <c r="C42" s="50">
        <v>6</v>
      </c>
      <c r="D42" s="50">
        <v>1</v>
      </c>
      <c r="E42" s="50">
        <v>0</v>
      </c>
      <c r="F42" s="50">
        <v>7</v>
      </c>
      <c r="G42" s="50">
        <v>0</v>
      </c>
      <c r="H42" s="50">
        <v>0</v>
      </c>
      <c r="I42" s="50">
        <v>4</v>
      </c>
      <c r="J42" s="50">
        <v>2</v>
      </c>
      <c r="K42" s="50">
        <v>0</v>
      </c>
      <c r="L42" s="50">
        <v>0</v>
      </c>
      <c r="M42" s="50">
        <v>36</v>
      </c>
      <c r="N42" s="50">
        <v>0</v>
      </c>
      <c r="O42" s="15">
        <f t="shared" si="0"/>
        <v>20</v>
      </c>
      <c r="P42" s="15">
        <f t="shared" si="1"/>
        <v>56</v>
      </c>
    </row>
    <row r="43" spans="2:20" ht="23.1" customHeight="1" x14ac:dyDescent="0.25">
      <c r="B43" s="23" t="s">
        <v>70</v>
      </c>
      <c r="C43" s="50">
        <v>7</v>
      </c>
      <c r="D43" s="50">
        <v>0</v>
      </c>
      <c r="E43" s="50">
        <v>0</v>
      </c>
      <c r="F43" s="50">
        <v>7</v>
      </c>
      <c r="G43" s="50">
        <v>0</v>
      </c>
      <c r="H43" s="50">
        <v>1</v>
      </c>
      <c r="I43" s="50">
        <v>2</v>
      </c>
      <c r="J43" s="50">
        <v>2</v>
      </c>
      <c r="K43" s="50">
        <v>1</v>
      </c>
      <c r="L43" s="50">
        <v>0</v>
      </c>
      <c r="M43" s="50">
        <v>40</v>
      </c>
      <c r="N43" s="50">
        <v>0</v>
      </c>
      <c r="O43" s="15">
        <f t="shared" si="0"/>
        <v>20</v>
      </c>
      <c r="P43" s="15">
        <f t="shared" si="1"/>
        <v>60</v>
      </c>
    </row>
    <row r="44" spans="2:20" ht="23.1" customHeight="1" x14ac:dyDescent="0.25">
      <c r="B44" s="25" t="s">
        <v>71</v>
      </c>
      <c r="C44" s="50">
        <v>5</v>
      </c>
      <c r="D44" s="50">
        <v>3</v>
      </c>
      <c r="E44" s="50">
        <v>1</v>
      </c>
      <c r="F44" s="50">
        <v>3</v>
      </c>
      <c r="G44" s="50">
        <v>0</v>
      </c>
      <c r="H44" s="50">
        <v>1</v>
      </c>
      <c r="I44" s="50">
        <v>4</v>
      </c>
      <c r="J44" s="50">
        <v>1</v>
      </c>
      <c r="K44" s="50">
        <v>0</v>
      </c>
      <c r="L44" s="50">
        <v>1</v>
      </c>
      <c r="M44" s="50">
        <v>32</v>
      </c>
      <c r="N44" s="50">
        <v>0</v>
      </c>
      <c r="O44" s="15">
        <f t="shared" si="0"/>
        <v>19</v>
      </c>
      <c r="P44" s="15">
        <f t="shared" si="1"/>
        <v>51</v>
      </c>
    </row>
    <row r="45" spans="2:20" ht="23.1" customHeight="1" x14ac:dyDescent="0.25">
      <c r="B45" s="23" t="s">
        <v>72</v>
      </c>
      <c r="C45" s="50">
        <v>7</v>
      </c>
      <c r="D45" s="50">
        <v>4</v>
      </c>
      <c r="E45" s="50">
        <v>2</v>
      </c>
      <c r="F45" s="50">
        <v>7</v>
      </c>
      <c r="G45" s="50">
        <v>0</v>
      </c>
      <c r="H45" s="50">
        <v>0</v>
      </c>
      <c r="I45" s="50">
        <v>3</v>
      </c>
      <c r="J45" s="50">
        <v>1</v>
      </c>
      <c r="K45" s="50">
        <v>1</v>
      </c>
      <c r="L45" s="50">
        <v>0</v>
      </c>
      <c r="M45" s="50">
        <v>37</v>
      </c>
      <c r="N45" s="50">
        <v>0</v>
      </c>
      <c r="O45" s="15">
        <f t="shared" si="0"/>
        <v>25</v>
      </c>
      <c r="P45" s="15">
        <f t="shared" si="1"/>
        <v>62</v>
      </c>
    </row>
    <row r="46" spans="2:20" ht="23.1" customHeight="1" x14ac:dyDescent="0.25">
      <c r="B46" s="24" t="s">
        <v>73</v>
      </c>
      <c r="C46" s="50">
        <v>6</v>
      </c>
      <c r="D46" s="50">
        <v>1</v>
      </c>
      <c r="E46" s="50">
        <v>0</v>
      </c>
      <c r="F46" s="50">
        <v>9</v>
      </c>
      <c r="G46" s="50">
        <v>0</v>
      </c>
      <c r="H46" s="50">
        <v>1</v>
      </c>
      <c r="I46" s="50">
        <v>5</v>
      </c>
      <c r="J46" s="50">
        <v>4</v>
      </c>
      <c r="K46" s="50">
        <v>0</v>
      </c>
      <c r="L46" s="50">
        <v>0</v>
      </c>
      <c r="M46" s="50">
        <v>38</v>
      </c>
      <c r="N46" s="50">
        <v>0</v>
      </c>
      <c r="O46" s="15">
        <f t="shared" si="0"/>
        <v>26</v>
      </c>
      <c r="P46" s="15">
        <f t="shared" si="1"/>
        <v>64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1</v>
      </c>
      <c r="E47" s="50">
        <v>2</v>
      </c>
      <c r="F47" s="50">
        <v>7</v>
      </c>
      <c r="G47" s="50">
        <v>0</v>
      </c>
      <c r="H47" s="50">
        <v>1</v>
      </c>
      <c r="I47" s="50">
        <v>4</v>
      </c>
      <c r="J47" s="50">
        <v>2</v>
      </c>
      <c r="K47" s="50">
        <v>1</v>
      </c>
      <c r="L47" s="50">
        <v>0</v>
      </c>
      <c r="M47" s="50">
        <v>36</v>
      </c>
      <c r="N47" s="50">
        <v>0</v>
      </c>
      <c r="O47" s="15">
        <f t="shared" si="0"/>
        <v>22</v>
      </c>
      <c r="P47" s="15">
        <f t="shared" si="1"/>
        <v>58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2</v>
      </c>
      <c r="E48" s="50">
        <v>2</v>
      </c>
      <c r="F48" s="50">
        <v>7</v>
      </c>
      <c r="G48" s="50">
        <v>0</v>
      </c>
      <c r="H48" s="50">
        <v>0</v>
      </c>
      <c r="I48" s="50">
        <v>3</v>
      </c>
      <c r="J48" s="50">
        <v>1</v>
      </c>
      <c r="K48" s="50">
        <v>0</v>
      </c>
      <c r="L48" s="50">
        <v>0</v>
      </c>
      <c r="M48" s="50">
        <v>25</v>
      </c>
      <c r="N48" s="50">
        <v>0</v>
      </c>
      <c r="O48" s="15">
        <f t="shared" si="0"/>
        <v>18</v>
      </c>
      <c r="P48" s="15">
        <f t="shared" si="1"/>
        <v>43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4</v>
      </c>
      <c r="E49" s="50">
        <v>0</v>
      </c>
      <c r="F49" s="50">
        <v>7</v>
      </c>
      <c r="G49" s="50">
        <v>1</v>
      </c>
      <c r="H49" s="50">
        <v>2</v>
      </c>
      <c r="I49" s="50">
        <v>5</v>
      </c>
      <c r="J49" s="50">
        <v>3</v>
      </c>
      <c r="K49" s="50">
        <v>2</v>
      </c>
      <c r="L49" s="50">
        <v>0</v>
      </c>
      <c r="M49" s="50">
        <v>42</v>
      </c>
      <c r="N49" s="50">
        <v>0</v>
      </c>
      <c r="O49" s="15">
        <f t="shared" si="0"/>
        <v>32</v>
      </c>
      <c r="P49" s="15">
        <f t="shared" si="1"/>
        <v>74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2</v>
      </c>
      <c r="E50" s="50">
        <v>2</v>
      </c>
      <c r="F50" s="50">
        <v>4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4</v>
      </c>
      <c r="M50" s="50">
        <v>47</v>
      </c>
      <c r="N50" s="50">
        <v>0</v>
      </c>
      <c r="O50" s="15">
        <f t="shared" si="0"/>
        <v>21</v>
      </c>
      <c r="P50" s="15">
        <f t="shared" si="1"/>
        <v>68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2</v>
      </c>
      <c r="E51" s="50">
        <v>0</v>
      </c>
      <c r="F51" s="50">
        <v>6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1</v>
      </c>
      <c r="M51" s="50">
        <v>38</v>
      </c>
      <c r="N51" s="50">
        <v>0</v>
      </c>
      <c r="O51" s="15">
        <f t="shared" si="0"/>
        <v>20</v>
      </c>
      <c r="P51" s="15">
        <f t="shared" si="1"/>
        <v>58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7</v>
      </c>
      <c r="E52" s="50">
        <v>1</v>
      </c>
      <c r="F52" s="50">
        <v>8</v>
      </c>
      <c r="G52" s="50">
        <v>0</v>
      </c>
      <c r="H52" s="50">
        <v>1</v>
      </c>
      <c r="I52" s="50">
        <v>4</v>
      </c>
      <c r="J52" s="50">
        <v>3</v>
      </c>
      <c r="K52" s="50">
        <v>0</v>
      </c>
      <c r="L52" s="50">
        <v>2</v>
      </c>
      <c r="M52" s="50">
        <v>52</v>
      </c>
      <c r="N52" s="50">
        <v>0</v>
      </c>
      <c r="O52" s="15">
        <f t="shared" si="0"/>
        <v>30</v>
      </c>
      <c r="P52" s="15">
        <f t="shared" si="1"/>
        <v>82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2</v>
      </c>
      <c r="E53" s="50">
        <v>2</v>
      </c>
      <c r="F53" s="50">
        <v>6</v>
      </c>
      <c r="G53" s="50">
        <v>0</v>
      </c>
      <c r="H53" s="50">
        <v>0</v>
      </c>
      <c r="I53" s="50">
        <v>4</v>
      </c>
      <c r="J53" s="50">
        <v>6</v>
      </c>
      <c r="K53" s="50">
        <v>0</v>
      </c>
      <c r="L53" s="50">
        <v>0</v>
      </c>
      <c r="M53" s="50">
        <v>53</v>
      </c>
      <c r="N53" s="50">
        <v>0</v>
      </c>
      <c r="O53" s="15">
        <f t="shared" si="0"/>
        <v>26</v>
      </c>
      <c r="P53" s="15">
        <f t="shared" si="1"/>
        <v>79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2</v>
      </c>
      <c r="E54" s="50">
        <v>0</v>
      </c>
      <c r="F54" s="50">
        <v>15</v>
      </c>
      <c r="G54" s="50">
        <v>0</v>
      </c>
      <c r="H54" s="50">
        <v>2</v>
      </c>
      <c r="I54" s="50">
        <v>6</v>
      </c>
      <c r="J54" s="50">
        <v>3</v>
      </c>
      <c r="K54" s="50">
        <v>1</v>
      </c>
      <c r="L54" s="50">
        <v>2</v>
      </c>
      <c r="M54" s="50">
        <v>46</v>
      </c>
      <c r="N54" s="50">
        <v>0</v>
      </c>
      <c r="O54" s="15">
        <f t="shared" si="0"/>
        <v>36</v>
      </c>
      <c r="P54" s="15">
        <f t="shared" si="1"/>
        <v>82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2</v>
      </c>
      <c r="E55" s="50">
        <v>0</v>
      </c>
      <c r="F55" s="50">
        <v>4</v>
      </c>
      <c r="G55" s="50">
        <v>0</v>
      </c>
      <c r="H55" s="50">
        <v>0</v>
      </c>
      <c r="I55" s="50">
        <v>2</v>
      </c>
      <c r="J55" s="50">
        <v>2</v>
      </c>
      <c r="K55" s="50">
        <v>1</v>
      </c>
      <c r="L55" s="50">
        <v>3</v>
      </c>
      <c r="M55" s="50">
        <v>58</v>
      </c>
      <c r="N55" s="50">
        <v>0</v>
      </c>
      <c r="O55" s="15">
        <f t="shared" si="0"/>
        <v>16</v>
      </c>
      <c r="P55" s="15">
        <f t="shared" si="1"/>
        <v>74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2</v>
      </c>
      <c r="E56" s="50">
        <v>3</v>
      </c>
      <c r="F56" s="50">
        <v>10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0</v>
      </c>
      <c r="M56" s="50">
        <v>54</v>
      </c>
      <c r="N56" s="50">
        <v>0</v>
      </c>
      <c r="O56" s="15">
        <f t="shared" si="0"/>
        <v>27</v>
      </c>
      <c r="P56" s="15">
        <f t="shared" si="1"/>
        <v>81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6</v>
      </c>
      <c r="E57" s="50">
        <v>1</v>
      </c>
      <c r="F57" s="50">
        <v>5</v>
      </c>
      <c r="G57" s="50">
        <v>0</v>
      </c>
      <c r="H57" s="50">
        <v>1</v>
      </c>
      <c r="I57" s="50">
        <v>4</v>
      </c>
      <c r="J57" s="50">
        <v>1</v>
      </c>
      <c r="K57" s="50">
        <v>1</v>
      </c>
      <c r="L57" s="50">
        <v>0</v>
      </c>
      <c r="M57" s="50">
        <v>56</v>
      </c>
      <c r="N57" s="50">
        <v>0</v>
      </c>
      <c r="O57" s="15">
        <f t="shared" si="0"/>
        <v>23</v>
      </c>
      <c r="P57" s="15">
        <f t="shared" si="1"/>
        <v>79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318</v>
      </c>
      <c r="D58" s="16">
        <f t="shared" si="21"/>
        <v>132</v>
      </c>
      <c r="E58" s="16">
        <f t="shared" si="21"/>
        <v>93</v>
      </c>
      <c r="F58" s="16">
        <f t="shared" si="21"/>
        <v>322</v>
      </c>
      <c r="G58" s="16">
        <f t="shared" si="21"/>
        <v>5</v>
      </c>
      <c r="H58" s="16">
        <f t="shared" si="21"/>
        <v>22</v>
      </c>
      <c r="I58" s="16">
        <f t="shared" si="21"/>
        <v>174</v>
      </c>
      <c r="J58" s="16">
        <f t="shared" si="21"/>
        <v>81</v>
      </c>
      <c r="K58" s="16">
        <f t="shared" si="21"/>
        <v>21</v>
      </c>
      <c r="L58" s="16">
        <f t="shared" si="21"/>
        <v>37</v>
      </c>
      <c r="M58" s="16">
        <f t="shared" si="21"/>
        <v>1970</v>
      </c>
      <c r="N58" s="16">
        <f t="shared" si="21"/>
        <v>0</v>
      </c>
      <c r="O58" s="16">
        <f t="shared" si="21"/>
        <v>1205</v>
      </c>
      <c r="P58" s="16">
        <f t="shared" si="21"/>
        <v>3175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0.10015748031496063</v>
      </c>
      <c r="D59" s="43">
        <f t="shared" si="22"/>
        <v>4.15748031496063E-2</v>
      </c>
      <c r="E59" s="43">
        <f t="shared" si="22"/>
        <v>2.9291338582677167E-2</v>
      </c>
      <c r="F59" s="43">
        <f t="shared" si="22"/>
        <v>0.10141732283464568</v>
      </c>
      <c r="G59" s="43">
        <f t="shared" si="22"/>
        <v>1.5748031496062992E-3</v>
      </c>
      <c r="H59" s="43">
        <f t="shared" si="22"/>
        <v>6.929133858267717E-3</v>
      </c>
      <c r="I59" s="43">
        <f t="shared" si="22"/>
        <v>5.4803149606299215E-2</v>
      </c>
      <c r="J59" s="43">
        <f t="shared" si="22"/>
        <v>2.5511811023622048E-2</v>
      </c>
      <c r="K59" s="43">
        <f t="shared" si="22"/>
        <v>6.6141732283464564E-3</v>
      </c>
      <c r="L59" s="43">
        <f t="shared" si="22"/>
        <v>1.1653543307086614E-2</v>
      </c>
      <c r="M59" s="43">
        <f t="shared" si="22"/>
        <v>0.62047244094488185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0.26390041493775934</v>
      </c>
      <c r="D60" s="44">
        <f t="shared" ref="D60:N60" si="23">D58/$O$58</f>
        <v>0.10954356846473029</v>
      </c>
      <c r="E60" s="44">
        <f t="shared" si="23"/>
        <v>7.7178423236514526E-2</v>
      </c>
      <c r="F60" s="44">
        <f t="shared" si="23"/>
        <v>0.26721991701244813</v>
      </c>
      <c r="G60" s="44">
        <f t="shared" si="23"/>
        <v>4.1493775933609959E-3</v>
      </c>
      <c r="H60" s="44">
        <f t="shared" si="23"/>
        <v>1.8257261410788383E-2</v>
      </c>
      <c r="I60" s="44">
        <f t="shared" si="23"/>
        <v>0.14439834024896264</v>
      </c>
      <c r="J60" s="44">
        <f t="shared" si="23"/>
        <v>6.721991701244813E-2</v>
      </c>
      <c r="K60" s="44">
        <f t="shared" si="23"/>
        <v>1.7427385892116183E-2</v>
      </c>
      <c r="L60" s="44">
        <f t="shared" si="23"/>
        <v>3.0705394190871368E-2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'18.10  MITYANA-MUBENDE-24h'!D5</f>
        <v>18.10.19</v>
      </c>
      <c r="E5" s="3"/>
      <c r="F5" s="41" t="s">
        <v>1</v>
      </c>
      <c r="G5" s="60" t="str">
        <f>'18.10  MITYANA-MUBENDE-24h'!G5:H5</f>
        <v>MITYANA COLLEGE KIKUMBI</v>
      </c>
      <c r="H5" s="61"/>
      <c r="I5" s="14"/>
      <c r="J5" s="2" t="s">
        <v>5</v>
      </c>
      <c r="K5" s="60" t="s">
        <v>170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'17.10  MUBENDE-MITYANA'!D6:E6</f>
        <v>MUBENDE</v>
      </c>
      <c r="E6" s="61"/>
      <c r="F6" s="2" t="s">
        <v>2</v>
      </c>
      <c r="G6" s="60" t="str">
        <f>'17.10  MUBENDE-MITYANA'!G6:H6</f>
        <v>MITYANA</v>
      </c>
      <c r="H6" s="61"/>
      <c r="J6" s="2" t="s">
        <v>21</v>
      </c>
      <c r="K6" s="60" t="str">
        <f>'18.10  MITYANA-MUBENDE-24h'!K6:L6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1</v>
      </c>
      <c r="E10" s="50">
        <v>0</v>
      </c>
      <c r="F10" s="50">
        <v>4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1</v>
      </c>
      <c r="M10" s="50">
        <v>43</v>
      </c>
      <c r="N10" s="50">
        <v>0</v>
      </c>
      <c r="O10" s="15">
        <f t="shared" ref="O10:O73" si="0">SUM(C10:L10,N10)</f>
        <v>12</v>
      </c>
      <c r="P10" s="15">
        <f t="shared" ref="P10:P73" si="1">SUM(C10:N10)</f>
        <v>55</v>
      </c>
      <c r="R10" s="1" t="s">
        <v>6</v>
      </c>
      <c r="S10" s="17">
        <f t="shared" ref="S10:AF10" si="2">SUM(C10:C13)</f>
        <v>22</v>
      </c>
      <c r="T10" s="17">
        <f t="shared" si="2"/>
        <v>5</v>
      </c>
      <c r="U10" s="17">
        <f t="shared" si="2"/>
        <v>4</v>
      </c>
      <c r="V10" s="17">
        <f t="shared" si="2"/>
        <v>20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6</v>
      </c>
      <c r="AA10" s="17">
        <f t="shared" si="2"/>
        <v>2</v>
      </c>
      <c r="AB10" s="17">
        <f t="shared" si="2"/>
        <v>4</v>
      </c>
      <c r="AC10" s="17">
        <f t="shared" si="2"/>
        <v>176</v>
      </c>
      <c r="AD10" s="17">
        <f t="shared" si="2"/>
        <v>0</v>
      </c>
      <c r="AE10" s="31">
        <f t="shared" si="2"/>
        <v>68</v>
      </c>
      <c r="AF10" s="31">
        <f t="shared" si="2"/>
        <v>244</v>
      </c>
    </row>
    <row r="11" spans="2:32" s="6" customFormat="1" ht="23.1" customHeight="1" x14ac:dyDescent="0.25">
      <c r="B11" s="45" t="s">
        <v>38</v>
      </c>
      <c r="C11" s="50">
        <v>7</v>
      </c>
      <c r="D11" s="50">
        <v>1</v>
      </c>
      <c r="E11" s="50">
        <v>0</v>
      </c>
      <c r="F11" s="50">
        <v>8</v>
      </c>
      <c r="G11" s="50">
        <v>0</v>
      </c>
      <c r="H11" s="50">
        <v>0</v>
      </c>
      <c r="I11" s="50">
        <v>1</v>
      </c>
      <c r="J11" s="50">
        <v>3</v>
      </c>
      <c r="K11" s="50">
        <v>0</v>
      </c>
      <c r="L11" s="50">
        <v>1</v>
      </c>
      <c r="M11" s="50">
        <v>47</v>
      </c>
      <c r="N11" s="50">
        <v>0</v>
      </c>
      <c r="O11" s="15">
        <f t="shared" si="0"/>
        <v>21</v>
      </c>
      <c r="P11" s="15">
        <f t="shared" si="1"/>
        <v>68</v>
      </c>
      <c r="R11" s="1" t="s">
        <v>7</v>
      </c>
      <c r="S11" s="17">
        <f t="shared" ref="S11:AF11" si="3">SUM(C14:C17)</f>
        <v>13</v>
      </c>
      <c r="T11" s="17">
        <f t="shared" si="3"/>
        <v>5</v>
      </c>
      <c r="U11" s="17">
        <f t="shared" si="3"/>
        <v>5</v>
      </c>
      <c r="V11" s="17">
        <f t="shared" si="3"/>
        <v>25</v>
      </c>
      <c r="W11" s="17">
        <f t="shared" si="3"/>
        <v>2</v>
      </c>
      <c r="X11" s="17">
        <f t="shared" si="3"/>
        <v>0</v>
      </c>
      <c r="Y11" s="17">
        <f t="shared" si="3"/>
        <v>4</v>
      </c>
      <c r="Z11" s="17">
        <f t="shared" si="3"/>
        <v>2</v>
      </c>
      <c r="AA11" s="17">
        <f t="shared" si="3"/>
        <v>2</v>
      </c>
      <c r="AB11" s="17">
        <f t="shared" si="3"/>
        <v>1</v>
      </c>
      <c r="AC11" s="17">
        <f t="shared" si="3"/>
        <v>148</v>
      </c>
      <c r="AD11" s="17">
        <f t="shared" si="3"/>
        <v>0</v>
      </c>
      <c r="AE11" s="31">
        <f t="shared" si="3"/>
        <v>59</v>
      </c>
      <c r="AF11" s="31">
        <f t="shared" si="3"/>
        <v>207</v>
      </c>
    </row>
    <row r="12" spans="2:32" ht="23.1" customHeight="1" x14ac:dyDescent="0.25">
      <c r="B12" s="45" t="s">
        <v>39</v>
      </c>
      <c r="C12" s="50">
        <v>7</v>
      </c>
      <c r="D12" s="50">
        <v>2</v>
      </c>
      <c r="E12" s="50">
        <v>1</v>
      </c>
      <c r="F12" s="50">
        <v>0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1</v>
      </c>
      <c r="M12" s="50">
        <v>38</v>
      </c>
      <c r="N12" s="50">
        <v>0</v>
      </c>
      <c r="O12" s="15">
        <f t="shared" si="0"/>
        <v>14</v>
      </c>
      <c r="P12" s="15">
        <f t="shared" si="1"/>
        <v>52</v>
      </c>
      <c r="R12" s="1" t="s">
        <v>8</v>
      </c>
      <c r="S12" s="17">
        <f t="shared" ref="S12:AF12" si="4">SUM(C18:C21)</f>
        <v>20</v>
      </c>
      <c r="T12" s="17">
        <f t="shared" si="4"/>
        <v>6</v>
      </c>
      <c r="U12" s="17">
        <f t="shared" si="4"/>
        <v>7</v>
      </c>
      <c r="V12" s="17">
        <f t="shared" si="4"/>
        <v>15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5</v>
      </c>
      <c r="AA12" s="17">
        <f t="shared" si="4"/>
        <v>1</v>
      </c>
      <c r="AB12" s="17">
        <f t="shared" si="4"/>
        <v>2</v>
      </c>
      <c r="AC12" s="17">
        <f t="shared" si="4"/>
        <v>165</v>
      </c>
      <c r="AD12" s="17">
        <f t="shared" si="4"/>
        <v>0</v>
      </c>
      <c r="AE12" s="31">
        <f t="shared" si="4"/>
        <v>64</v>
      </c>
      <c r="AF12" s="31">
        <f t="shared" si="4"/>
        <v>229</v>
      </c>
    </row>
    <row r="13" spans="2:32" ht="23.1" customHeight="1" x14ac:dyDescent="0.25">
      <c r="B13" s="45" t="s">
        <v>40</v>
      </c>
      <c r="C13" s="50">
        <v>4</v>
      </c>
      <c r="D13" s="50">
        <v>1</v>
      </c>
      <c r="E13" s="50">
        <v>3</v>
      </c>
      <c r="F13" s="50">
        <v>8</v>
      </c>
      <c r="G13" s="50">
        <v>0</v>
      </c>
      <c r="H13" s="50">
        <v>0</v>
      </c>
      <c r="I13" s="50">
        <v>1</v>
      </c>
      <c r="J13" s="50">
        <v>1</v>
      </c>
      <c r="K13" s="50">
        <v>2</v>
      </c>
      <c r="L13" s="50">
        <v>1</v>
      </c>
      <c r="M13" s="50">
        <v>48</v>
      </c>
      <c r="N13" s="50">
        <v>0</v>
      </c>
      <c r="O13" s="15">
        <f t="shared" si="0"/>
        <v>21</v>
      </c>
      <c r="P13" s="15">
        <f t="shared" si="1"/>
        <v>69</v>
      </c>
      <c r="R13" s="1" t="s">
        <v>9</v>
      </c>
      <c r="S13" s="17">
        <f t="shared" ref="S13:AF13" si="5">SUM(C22:C25)</f>
        <v>27</v>
      </c>
      <c r="T13" s="17">
        <f t="shared" si="5"/>
        <v>10</v>
      </c>
      <c r="U13" s="17">
        <f t="shared" si="5"/>
        <v>10</v>
      </c>
      <c r="V13" s="17">
        <f t="shared" si="5"/>
        <v>26</v>
      </c>
      <c r="W13" s="17">
        <f t="shared" si="5"/>
        <v>0</v>
      </c>
      <c r="X13" s="17">
        <f t="shared" si="5"/>
        <v>1</v>
      </c>
      <c r="Y13" s="17">
        <f t="shared" si="5"/>
        <v>5</v>
      </c>
      <c r="Z13" s="17">
        <f t="shared" si="5"/>
        <v>2</v>
      </c>
      <c r="AA13" s="17">
        <f t="shared" si="5"/>
        <v>0</v>
      </c>
      <c r="AB13" s="17">
        <f t="shared" si="5"/>
        <v>3</v>
      </c>
      <c r="AC13" s="17">
        <f t="shared" si="5"/>
        <v>139</v>
      </c>
      <c r="AD13" s="17">
        <f t="shared" si="5"/>
        <v>0</v>
      </c>
      <c r="AE13" s="31">
        <f t="shared" si="5"/>
        <v>84</v>
      </c>
      <c r="AF13" s="31">
        <f t="shared" si="5"/>
        <v>223</v>
      </c>
    </row>
    <row r="14" spans="2:32" ht="23.1" customHeight="1" x14ac:dyDescent="0.25">
      <c r="B14" s="45" t="s">
        <v>41</v>
      </c>
      <c r="C14" s="50">
        <v>2</v>
      </c>
      <c r="D14" s="50">
        <v>1</v>
      </c>
      <c r="E14" s="50">
        <v>1</v>
      </c>
      <c r="F14" s="50">
        <v>6</v>
      </c>
      <c r="G14" s="50">
        <v>0</v>
      </c>
      <c r="H14" s="50">
        <v>0</v>
      </c>
      <c r="I14" s="50">
        <v>1</v>
      </c>
      <c r="J14" s="50">
        <v>0</v>
      </c>
      <c r="K14" s="50">
        <v>1</v>
      </c>
      <c r="L14" s="50">
        <v>0</v>
      </c>
      <c r="M14" s="50">
        <v>38</v>
      </c>
      <c r="N14" s="50">
        <v>0</v>
      </c>
      <c r="O14" s="15">
        <f t="shared" si="0"/>
        <v>12</v>
      </c>
      <c r="P14" s="15">
        <f t="shared" si="1"/>
        <v>50</v>
      </c>
      <c r="R14" s="1" t="s">
        <v>10</v>
      </c>
      <c r="S14" s="17">
        <f t="shared" ref="S14:AF14" si="6">SUM(C26:C29)</f>
        <v>28</v>
      </c>
      <c r="T14" s="17">
        <f t="shared" si="6"/>
        <v>13</v>
      </c>
      <c r="U14" s="17">
        <f t="shared" si="6"/>
        <v>9</v>
      </c>
      <c r="V14" s="17">
        <f t="shared" si="6"/>
        <v>23</v>
      </c>
      <c r="W14" s="17">
        <f t="shared" si="6"/>
        <v>1</v>
      </c>
      <c r="X14" s="17">
        <f t="shared" si="6"/>
        <v>1</v>
      </c>
      <c r="Y14" s="17">
        <f t="shared" si="6"/>
        <v>3</v>
      </c>
      <c r="Z14" s="17">
        <f t="shared" si="6"/>
        <v>2</v>
      </c>
      <c r="AA14" s="17">
        <f t="shared" si="6"/>
        <v>0</v>
      </c>
      <c r="AB14" s="17">
        <f t="shared" si="6"/>
        <v>2</v>
      </c>
      <c r="AC14" s="17">
        <f t="shared" si="6"/>
        <v>148</v>
      </c>
      <c r="AD14" s="17">
        <f t="shared" si="6"/>
        <v>0</v>
      </c>
      <c r="AE14" s="31">
        <f t="shared" si="6"/>
        <v>82</v>
      </c>
      <c r="AF14" s="31">
        <f t="shared" si="6"/>
        <v>230</v>
      </c>
    </row>
    <row r="15" spans="2:32" ht="23.1" customHeight="1" x14ac:dyDescent="0.25">
      <c r="B15" s="45" t="s">
        <v>42</v>
      </c>
      <c r="C15" s="50">
        <v>3</v>
      </c>
      <c r="D15" s="50">
        <v>2</v>
      </c>
      <c r="E15" s="50">
        <v>1</v>
      </c>
      <c r="F15" s="50">
        <v>6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1</v>
      </c>
      <c r="M15" s="50">
        <v>36</v>
      </c>
      <c r="N15" s="50">
        <v>0</v>
      </c>
      <c r="O15" s="15">
        <f t="shared" si="0"/>
        <v>15</v>
      </c>
      <c r="P15" s="15">
        <f t="shared" si="1"/>
        <v>51</v>
      </c>
      <c r="R15" s="1" t="s">
        <v>11</v>
      </c>
      <c r="S15" s="17">
        <f t="shared" ref="S15:AF15" si="7">SUM(C30:C33)</f>
        <v>30</v>
      </c>
      <c r="T15" s="17">
        <f t="shared" si="7"/>
        <v>13</v>
      </c>
      <c r="U15" s="17">
        <f t="shared" si="7"/>
        <v>12</v>
      </c>
      <c r="V15" s="17">
        <f t="shared" si="7"/>
        <v>27</v>
      </c>
      <c r="W15" s="17">
        <f t="shared" si="7"/>
        <v>0</v>
      </c>
      <c r="X15" s="17">
        <f t="shared" si="7"/>
        <v>2</v>
      </c>
      <c r="Y15" s="17">
        <f t="shared" si="7"/>
        <v>5</v>
      </c>
      <c r="Z15" s="17">
        <f t="shared" si="7"/>
        <v>6</v>
      </c>
      <c r="AA15" s="17">
        <f t="shared" si="7"/>
        <v>0</v>
      </c>
      <c r="AB15" s="17">
        <f t="shared" si="7"/>
        <v>1</v>
      </c>
      <c r="AC15" s="17">
        <f t="shared" si="7"/>
        <v>145</v>
      </c>
      <c r="AD15" s="17">
        <f t="shared" si="7"/>
        <v>0</v>
      </c>
      <c r="AE15" s="31">
        <f t="shared" si="7"/>
        <v>96</v>
      </c>
      <c r="AF15" s="31">
        <f t="shared" si="7"/>
        <v>241</v>
      </c>
    </row>
    <row r="16" spans="2:32" ht="23.1" customHeight="1" x14ac:dyDescent="0.25">
      <c r="B16" s="45" t="s">
        <v>43</v>
      </c>
      <c r="C16" s="50">
        <v>6</v>
      </c>
      <c r="D16" s="50">
        <v>2</v>
      </c>
      <c r="E16" s="50">
        <v>1</v>
      </c>
      <c r="F16" s="50">
        <v>5</v>
      </c>
      <c r="G16" s="50">
        <v>2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38</v>
      </c>
      <c r="N16" s="50">
        <v>0</v>
      </c>
      <c r="O16" s="15">
        <f t="shared" si="0"/>
        <v>17</v>
      </c>
      <c r="P16" s="15">
        <f t="shared" si="1"/>
        <v>55</v>
      </c>
      <c r="R16" s="1" t="s">
        <v>12</v>
      </c>
      <c r="S16" s="17">
        <f t="shared" ref="S16:AF16" si="8">SUM(C34:C37)</f>
        <v>31</v>
      </c>
      <c r="T16" s="17">
        <f t="shared" si="8"/>
        <v>11</v>
      </c>
      <c r="U16" s="17">
        <f t="shared" si="8"/>
        <v>9</v>
      </c>
      <c r="V16" s="17">
        <f t="shared" si="8"/>
        <v>23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7</v>
      </c>
      <c r="AA16" s="17">
        <f t="shared" si="8"/>
        <v>1</v>
      </c>
      <c r="AB16" s="17">
        <f t="shared" si="8"/>
        <v>3</v>
      </c>
      <c r="AC16" s="17">
        <f t="shared" si="8"/>
        <v>146</v>
      </c>
      <c r="AD16" s="17">
        <f t="shared" si="8"/>
        <v>0</v>
      </c>
      <c r="AE16" s="31">
        <f t="shared" si="8"/>
        <v>87</v>
      </c>
      <c r="AF16" s="31">
        <f t="shared" si="8"/>
        <v>233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2</v>
      </c>
      <c r="F17" s="50">
        <v>8</v>
      </c>
      <c r="G17" s="50">
        <v>0</v>
      </c>
      <c r="H17" s="50">
        <v>0</v>
      </c>
      <c r="I17" s="50">
        <v>1</v>
      </c>
      <c r="J17" s="50">
        <v>1</v>
      </c>
      <c r="K17" s="50">
        <v>1</v>
      </c>
      <c r="L17" s="50">
        <v>0</v>
      </c>
      <c r="M17" s="50">
        <v>36</v>
      </c>
      <c r="N17" s="50">
        <v>0</v>
      </c>
      <c r="O17" s="15">
        <f t="shared" si="0"/>
        <v>15</v>
      </c>
      <c r="P17" s="15">
        <f t="shared" si="1"/>
        <v>51</v>
      </c>
      <c r="R17" s="1" t="s">
        <v>13</v>
      </c>
      <c r="S17" s="17">
        <f t="shared" ref="S17:AF17" si="9">SUM(C38:C41)</f>
        <v>29</v>
      </c>
      <c r="T17" s="17">
        <f t="shared" si="9"/>
        <v>9</v>
      </c>
      <c r="U17" s="17">
        <f t="shared" si="9"/>
        <v>8</v>
      </c>
      <c r="V17" s="17">
        <f t="shared" si="9"/>
        <v>26</v>
      </c>
      <c r="W17" s="17">
        <f t="shared" si="9"/>
        <v>0</v>
      </c>
      <c r="X17" s="17">
        <f t="shared" si="9"/>
        <v>2</v>
      </c>
      <c r="Y17" s="17">
        <f t="shared" si="9"/>
        <v>7</v>
      </c>
      <c r="Z17" s="17">
        <f t="shared" si="9"/>
        <v>7</v>
      </c>
      <c r="AA17" s="17">
        <f t="shared" si="9"/>
        <v>1</v>
      </c>
      <c r="AB17" s="17">
        <f t="shared" si="9"/>
        <v>1</v>
      </c>
      <c r="AC17" s="17">
        <f t="shared" si="9"/>
        <v>168</v>
      </c>
      <c r="AD17" s="17">
        <f t="shared" si="9"/>
        <v>0</v>
      </c>
      <c r="AE17" s="31">
        <f t="shared" si="9"/>
        <v>90</v>
      </c>
      <c r="AF17" s="31">
        <f t="shared" si="9"/>
        <v>258</v>
      </c>
    </row>
    <row r="18" spans="2:32" ht="23.1" customHeight="1" x14ac:dyDescent="0.25">
      <c r="B18" s="45" t="s">
        <v>45</v>
      </c>
      <c r="C18" s="50">
        <v>3</v>
      </c>
      <c r="D18" s="50">
        <v>3</v>
      </c>
      <c r="E18" s="50">
        <v>1</v>
      </c>
      <c r="F18" s="50">
        <v>4</v>
      </c>
      <c r="G18" s="50">
        <v>0</v>
      </c>
      <c r="H18" s="50">
        <v>0</v>
      </c>
      <c r="I18" s="50">
        <v>1</v>
      </c>
      <c r="J18" s="50">
        <v>1</v>
      </c>
      <c r="K18" s="50">
        <v>1</v>
      </c>
      <c r="L18" s="50">
        <v>1</v>
      </c>
      <c r="M18" s="50">
        <v>49</v>
      </c>
      <c r="N18" s="50">
        <v>0</v>
      </c>
      <c r="O18" s="15">
        <f t="shared" si="0"/>
        <v>15</v>
      </c>
      <c r="P18" s="15">
        <f t="shared" si="1"/>
        <v>64</v>
      </c>
      <c r="R18" s="1" t="s">
        <v>14</v>
      </c>
      <c r="S18" s="17">
        <f t="shared" ref="S18:AF18" si="10">SUM(C42:C45)</f>
        <v>37</v>
      </c>
      <c r="T18" s="17">
        <f t="shared" si="10"/>
        <v>10</v>
      </c>
      <c r="U18" s="17">
        <f t="shared" si="10"/>
        <v>12</v>
      </c>
      <c r="V18" s="17">
        <f t="shared" si="10"/>
        <v>20</v>
      </c>
      <c r="W18" s="17">
        <f t="shared" si="10"/>
        <v>1</v>
      </c>
      <c r="X18" s="17">
        <f t="shared" si="10"/>
        <v>3</v>
      </c>
      <c r="Y18" s="17">
        <f t="shared" si="10"/>
        <v>6</v>
      </c>
      <c r="Z18" s="17">
        <f t="shared" si="10"/>
        <v>5</v>
      </c>
      <c r="AA18" s="17">
        <f t="shared" si="10"/>
        <v>4</v>
      </c>
      <c r="AB18" s="17">
        <f t="shared" si="10"/>
        <v>5</v>
      </c>
      <c r="AC18" s="17">
        <f t="shared" si="10"/>
        <v>160</v>
      </c>
      <c r="AD18" s="17">
        <f t="shared" si="10"/>
        <v>0</v>
      </c>
      <c r="AE18" s="31">
        <f t="shared" si="10"/>
        <v>103</v>
      </c>
      <c r="AF18" s="31">
        <f t="shared" si="10"/>
        <v>263</v>
      </c>
    </row>
    <row r="19" spans="2:32" ht="23.1" customHeight="1" x14ac:dyDescent="0.25">
      <c r="B19" s="45" t="s">
        <v>46</v>
      </c>
      <c r="C19" s="50">
        <v>7</v>
      </c>
      <c r="D19" s="50">
        <v>2</v>
      </c>
      <c r="E19" s="50">
        <v>1</v>
      </c>
      <c r="F19" s="50">
        <v>0</v>
      </c>
      <c r="G19" s="50">
        <v>0</v>
      </c>
      <c r="H19" s="50">
        <v>0</v>
      </c>
      <c r="I19" s="50">
        <v>5</v>
      </c>
      <c r="J19" s="50">
        <v>0</v>
      </c>
      <c r="K19" s="50">
        <v>0</v>
      </c>
      <c r="L19" s="50">
        <v>0</v>
      </c>
      <c r="M19" s="50">
        <v>45</v>
      </c>
      <c r="N19" s="50">
        <v>0</v>
      </c>
      <c r="O19" s="15">
        <f t="shared" si="0"/>
        <v>15</v>
      </c>
      <c r="P19" s="15">
        <f t="shared" si="1"/>
        <v>60</v>
      </c>
      <c r="R19" s="1" t="s">
        <v>15</v>
      </c>
      <c r="S19" s="17">
        <f t="shared" ref="S19:AF19" si="11">SUM(C46:C49)</f>
        <v>30</v>
      </c>
      <c r="T19" s="17">
        <f t="shared" si="11"/>
        <v>16</v>
      </c>
      <c r="U19" s="17">
        <f t="shared" si="11"/>
        <v>15</v>
      </c>
      <c r="V19" s="17">
        <f t="shared" si="11"/>
        <v>24</v>
      </c>
      <c r="W19" s="17">
        <f t="shared" si="11"/>
        <v>3</v>
      </c>
      <c r="X19" s="17">
        <f t="shared" si="11"/>
        <v>3</v>
      </c>
      <c r="Y19" s="17">
        <f t="shared" si="11"/>
        <v>11</v>
      </c>
      <c r="Z19" s="17">
        <f t="shared" si="11"/>
        <v>10</v>
      </c>
      <c r="AA19" s="17">
        <f t="shared" si="11"/>
        <v>0</v>
      </c>
      <c r="AB19" s="17">
        <f t="shared" si="11"/>
        <v>5</v>
      </c>
      <c r="AC19" s="17">
        <f t="shared" si="11"/>
        <v>181</v>
      </c>
      <c r="AD19" s="17">
        <f t="shared" si="11"/>
        <v>1</v>
      </c>
      <c r="AE19" s="31">
        <f t="shared" si="11"/>
        <v>118</v>
      </c>
      <c r="AF19" s="31">
        <f t="shared" si="11"/>
        <v>299</v>
      </c>
    </row>
    <row r="20" spans="2:32" ht="23.1" customHeight="1" x14ac:dyDescent="0.25">
      <c r="B20" s="45" t="s">
        <v>47</v>
      </c>
      <c r="C20" s="50">
        <v>7</v>
      </c>
      <c r="D20" s="50">
        <v>0</v>
      </c>
      <c r="E20" s="50">
        <v>1</v>
      </c>
      <c r="F20" s="50">
        <v>5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1</v>
      </c>
      <c r="M20" s="50">
        <v>43</v>
      </c>
      <c r="N20" s="50">
        <v>0</v>
      </c>
      <c r="O20" s="15">
        <f t="shared" si="0"/>
        <v>17</v>
      </c>
      <c r="P20" s="15">
        <f t="shared" si="1"/>
        <v>60</v>
      </c>
      <c r="R20" s="1" t="s">
        <v>16</v>
      </c>
      <c r="S20" s="17">
        <f t="shared" ref="S20:AF20" si="12">SUM(C50:C53)</f>
        <v>50</v>
      </c>
      <c r="T20" s="17">
        <f t="shared" si="12"/>
        <v>23</v>
      </c>
      <c r="U20" s="17">
        <f t="shared" si="12"/>
        <v>20</v>
      </c>
      <c r="V20" s="17">
        <f t="shared" si="12"/>
        <v>47</v>
      </c>
      <c r="W20" s="17">
        <f t="shared" si="12"/>
        <v>0</v>
      </c>
      <c r="X20" s="17">
        <f t="shared" si="12"/>
        <v>3</v>
      </c>
      <c r="Y20" s="17">
        <f t="shared" si="12"/>
        <v>13</v>
      </c>
      <c r="Z20" s="17">
        <f t="shared" si="12"/>
        <v>16</v>
      </c>
      <c r="AA20" s="17">
        <f t="shared" si="12"/>
        <v>3</v>
      </c>
      <c r="AB20" s="17">
        <f t="shared" si="12"/>
        <v>8</v>
      </c>
      <c r="AC20" s="17">
        <f t="shared" si="12"/>
        <v>183</v>
      </c>
      <c r="AD20" s="17">
        <f t="shared" si="12"/>
        <v>0</v>
      </c>
      <c r="AE20" s="31">
        <f t="shared" si="12"/>
        <v>183</v>
      </c>
      <c r="AF20" s="31">
        <f t="shared" si="12"/>
        <v>366</v>
      </c>
    </row>
    <row r="21" spans="2:32" ht="23.1" customHeight="1" x14ac:dyDescent="0.25">
      <c r="B21" s="45" t="s">
        <v>48</v>
      </c>
      <c r="C21" s="50">
        <v>3</v>
      </c>
      <c r="D21" s="50">
        <v>1</v>
      </c>
      <c r="E21" s="50">
        <v>4</v>
      </c>
      <c r="F21" s="50">
        <v>6</v>
      </c>
      <c r="G21" s="50">
        <v>0</v>
      </c>
      <c r="H21" s="50">
        <v>0</v>
      </c>
      <c r="I21" s="50">
        <v>0</v>
      </c>
      <c r="J21" s="50">
        <v>3</v>
      </c>
      <c r="K21" s="50">
        <v>0</v>
      </c>
      <c r="L21" s="50">
        <v>0</v>
      </c>
      <c r="M21" s="50">
        <v>28</v>
      </c>
      <c r="N21" s="50">
        <v>0</v>
      </c>
      <c r="O21" s="15">
        <f t="shared" si="0"/>
        <v>17</v>
      </c>
      <c r="P21" s="15">
        <f t="shared" si="1"/>
        <v>45</v>
      </c>
      <c r="R21" s="36" t="s">
        <v>20</v>
      </c>
      <c r="S21" s="34">
        <f t="shared" ref="S21:AF21" si="13">SUM(C54:C57)</f>
        <v>51</v>
      </c>
      <c r="T21" s="17">
        <f t="shared" si="13"/>
        <v>38</v>
      </c>
      <c r="U21" s="17">
        <f t="shared" si="13"/>
        <v>31</v>
      </c>
      <c r="V21" s="17">
        <f t="shared" si="13"/>
        <v>45</v>
      </c>
      <c r="W21" s="17">
        <f t="shared" si="13"/>
        <v>9</v>
      </c>
      <c r="X21" s="17">
        <f t="shared" si="13"/>
        <v>3</v>
      </c>
      <c r="Y21" s="17">
        <f t="shared" si="13"/>
        <v>16</v>
      </c>
      <c r="Z21" s="17">
        <f t="shared" si="13"/>
        <v>10</v>
      </c>
      <c r="AA21" s="17">
        <f t="shared" si="13"/>
        <v>7</v>
      </c>
      <c r="AB21" s="17">
        <f t="shared" si="13"/>
        <v>9</v>
      </c>
      <c r="AC21" s="17">
        <f t="shared" si="13"/>
        <v>194</v>
      </c>
      <c r="AD21" s="17">
        <f t="shared" si="13"/>
        <v>0</v>
      </c>
      <c r="AE21" s="31">
        <f t="shared" si="13"/>
        <v>219</v>
      </c>
      <c r="AF21" s="31">
        <f t="shared" si="13"/>
        <v>413</v>
      </c>
    </row>
    <row r="22" spans="2:32" ht="23.1" customHeight="1" x14ac:dyDescent="0.25">
      <c r="B22" s="45" t="s">
        <v>49</v>
      </c>
      <c r="C22" s="50">
        <v>6</v>
      </c>
      <c r="D22" s="50">
        <v>2</v>
      </c>
      <c r="E22" s="50">
        <v>3</v>
      </c>
      <c r="F22" s="50">
        <v>10</v>
      </c>
      <c r="G22" s="50">
        <v>0</v>
      </c>
      <c r="H22" s="50">
        <v>0</v>
      </c>
      <c r="I22" s="50">
        <v>5</v>
      </c>
      <c r="J22" s="50">
        <v>0</v>
      </c>
      <c r="K22" s="50">
        <v>0</v>
      </c>
      <c r="L22" s="50">
        <v>0</v>
      </c>
      <c r="M22" s="50">
        <v>37</v>
      </c>
      <c r="N22" s="50">
        <v>0</v>
      </c>
      <c r="O22" s="15">
        <f t="shared" si="0"/>
        <v>26</v>
      </c>
      <c r="P22" s="15">
        <f t="shared" si="1"/>
        <v>63</v>
      </c>
      <c r="R22" s="36" t="s">
        <v>146</v>
      </c>
      <c r="S22" s="34">
        <f>SUM(C58:C61)</f>
        <v>43</v>
      </c>
      <c r="T22" s="34">
        <f t="shared" ref="T22:AF22" si="14">SUM(D58:D61)</f>
        <v>16</v>
      </c>
      <c r="U22" s="34">
        <f t="shared" si="14"/>
        <v>18</v>
      </c>
      <c r="V22" s="34">
        <f t="shared" si="14"/>
        <v>25</v>
      </c>
      <c r="W22" s="34">
        <f t="shared" si="14"/>
        <v>0</v>
      </c>
      <c r="X22" s="34">
        <f t="shared" si="14"/>
        <v>1</v>
      </c>
      <c r="Y22" s="34">
        <f t="shared" si="14"/>
        <v>10</v>
      </c>
      <c r="Z22" s="34">
        <f t="shared" si="14"/>
        <v>9</v>
      </c>
      <c r="AA22" s="34">
        <f t="shared" si="14"/>
        <v>3</v>
      </c>
      <c r="AB22" s="34">
        <f t="shared" si="14"/>
        <v>0</v>
      </c>
      <c r="AC22" s="34">
        <f t="shared" si="14"/>
        <v>140</v>
      </c>
      <c r="AD22" s="34">
        <f t="shared" si="14"/>
        <v>0</v>
      </c>
      <c r="AE22" s="31">
        <f t="shared" si="14"/>
        <v>125</v>
      </c>
      <c r="AF22" s="31">
        <f t="shared" si="14"/>
        <v>265</v>
      </c>
    </row>
    <row r="23" spans="2:32" ht="23.1" customHeight="1" x14ac:dyDescent="0.25">
      <c r="B23" s="45" t="s">
        <v>50</v>
      </c>
      <c r="C23" s="50">
        <v>6</v>
      </c>
      <c r="D23" s="50">
        <v>1</v>
      </c>
      <c r="E23" s="50">
        <v>0</v>
      </c>
      <c r="F23" s="50">
        <v>9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41</v>
      </c>
      <c r="N23" s="50">
        <v>0</v>
      </c>
      <c r="O23" s="15">
        <f t="shared" si="0"/>
        <v>16</v>
      </c>
      <c r="P23" s="15">
        <f t="shared" si="1"/>
        <v>57</v>
      </c>
      <c r="R23" s="36" t="s">
        <v>147</v>
      </c>
      <c r="S23" s="34">
        <f>SUM(C62:C65)</f>
        <v>23</v>
      </c>
      <c r="T23" s="34">
        <f t="shared" ref="T23:AF23" si="15">SUM(D62:D65)</f>
        <v>16</v>
      </c>
      <c r="U23" s="34">
        <f t="shared" si="15"/>
        <v>11</v>
      </c>
      <c r="V23" s="34">
        <f t="shared" si="15"/>
        <v>21</v>
      </c>
      <c r="W23" s="34">
        <f t="shared" si="15"/>
        <v>1</v>
      </c>
      <c r="X23" s="34">
        <f t="shared" si="15"/>
        <v>2</v>
      </c>
      <c r="Y23" s="34">
        <f t="shared" si="15"/>
        <v>17</v>
      </c>
      <c r="Z23" s="34">
        <f t="shared" si="15"/>
        <v>14</v>
      </c>
      <c r="AA23" s="34">
        <f t="shared" si="15"/>
        <v>4</v>
      </c>
      <c r="AB23" s="34">
        <f t="shared" si="15"/>
        <v>8</v>
      </c>
      <c r="AC23" s="34">
        <f t="shared" si="15"/>
        <v>84</v>
      </c>
      <c r="AD23" s="34">
        <f t="shared" si="15"/>
        <v>0</v>
      </c>
      <c r="AE23" s="31">
        <f t="shared" si="15"/>
        <v>117</v>
      </c>
      <c r="AF23" s="31">
        <f t="shared" si="15"/>
        <v>201</v>
      </c>
    </row>
    <row r="24" spans="2:32" ht="23.1" customHeight="1" x14ac:dyDescent="0.25">
      <c r="B24" s="45" t="s">
        <v>51</v>
      </c>
      <c r="C24" s="50">
        <v>8</v>
      </c>
      <c r="D24" s="50">
        <v>4</v>
      </c>
      <c r="E24" s="50">
        <v>5</v>
      </c>
      <c r="F24" s="50">
        <v>4</v>
      </c>
      <c r="G24" s="50">
        <v>0</v>
      </c>
      <c r="H24" s="50">
        <v>1</v>
      </c>
      <c r="I24" s="50">
        <v>0</v>
      </c>
      <c r="J24" s="50">
        <v>2</v>
      </c>
      <c r="K24" s="50">
        <v>0</v>
      </c>
      <c r="L24" s="50">
        <v>2</v>
      </c>
      <c r="M24" s="50">
        <v>36</v>
      </c>
      <c r="N24" s="50">
        <v>0</v>
      </c>
      <c r="O24" s="15">
        <f t="shared" si="0"/>
        <v>26</v>
      </c>
      <c r="P24" s="15">
        <f t="shared" si="1"/>
        <v>62</v>
      </c>
      <c r="R24" s="36" t="s">
        <v>148</v>
      </c>
      <c r="S24" s="34">
        <f>SUM(C66:C69)</f>
        <v>15</v>
      </c>
      <c r="T24" s="34">
        <f t="shared" ref="T24:AF24" si="16">SUM(D66:D69)</f>
        <v>5</v>
      </c>
      <c r="U24" s="34">
        <f t="shared" si="16"/>
        <v>11</v>
      </c>
      <c r="V24" s="34">
        <f t="shared" si="16"/>
        <v>15</v>
      </c>
      <c r="W24" s="34">
        <f t="shared" si="16"/>
        <v>0</v>
      </c>
      <c r="X24" s="34">
        <f t="shared" si="16"/>
        <v>0</v>
      </c>
      <c r="Y24" s="34">
        <f t="shared" si="16"/>
        <v>20</v>
      </c>
      <c r="Z24" s="34">
        <f t="shared" si="16"/>
        <v>11</v>
      </c>
      <c r="AA24" s="34">
        <f t="shared" si="16"/>
        <v>11</v>
      </c>
      <c r="AB24" s="34">
        <f t="shared" si="16"/>
        <v>4</v>
      </c>
      <c r="AC24" s="34">
        <f t="shared" si="16"/>
        <v>64</v>
      </c>
      <c r="AD24" s="34">
        <f t="shared" si="16"/>
        <v>0</v>
      </c>
      <c r="AE24" s="31">
        <f t="shared" si="16"/>
        <v>92</v>
      </c>
      <c r="AF24" s="31">
        <f t="shared" si="16"/>
        <v>156</v>
      </c>
    </row>
    <row r="25" spans="2:32" ht="23.1" customHeight="1" x14ac:dyDescent="0.25">
      <c r="B25" s="45" t="s">
        <v>52</v>
      </c>
      <c r="C25" s="50">
        <v>7</v>
      </c>
      <c r="D25" s="50">
        <v>3</v>
      </c>
      <c r="E25" s="50">
        <v>2</v>
      </c>
      <c r="F25" s="50">
        <v>3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25</v>
      </c>
      <c r="N25" s="50">
        <v>0</v>
      </c>
      <c r="O25" s="15">
        <f t="shared" si="0"/>
        <v>16</v>
      </c>
      <c r="P25" s="15">
        <f t="shared" si="1"/>
        <v>41</v>
      </c>
      <c r="R25" s="36" t="s">
        <v>149</v>
      </c>
      <c r="S25" s="34">
        <f>SUM(C70:C73)</f>
        <v>15</v>
      </c>
      <c r="T25" s="34">
        <f t="shared" ref="T25:AF25" si="17">SUM(D70:D73)</f>
        <v>11</v>
      </c>
      <c r="U25" s="34">
        <f t="shared" si="17"/>
        <v>5</v>
      </c>
      <c r="V25" s="34">
        <f t="shared" si="17"/>
        <v>16</v>
      </c>
      <c r="W25" s="34">
        <f t="shared" si="17"/>
        <v>0</v>
      </c>
      <c r="X25" s="34">
        <f t="shared" si="17"/>
        <v>0</v>
      </c>
      <c r="Y25" s="34">
        <f t="shared" si="17"/>
        <v>14</v>
      </c>
      <c r="Z25" s="34">
        <f t="shared" si="17"/>
        <v>14</v>
      </c>
      <c r="AA25" s="34">
        <f t="shared" si="17"/>
        <v>5</v>
      </c>
      <c r="AB25" s="34">
        <f t="shared" si="17"/>
        <v>5</v>
      </c>
      <c r="AC25" s="34">
        <f t="shared" si="17"/>
        <v>33</v>
      </c>
      <c r="AD25" s="34">
        <f t="shared" si="17"/>
        <v>0</v>
      </c>
      <c r="AE25" s="31">
        <f t="shared" si="17"/>
        <v>85</v>
      </c>
      <c r="AF25" s="31">
        <f t="shared" si="17"/>
        <v>118</v>
      </c>
    </row>
    <row r="26" spans="2:32" ht="23.1" customHeight="1" x14ac:dyDescent="0.25">
      <c r="B26" s="45" t="s">
        <v>53</v>
      </c>
      <c r="C26" s="50">
        <v>10</v>
      </c>
      <c r="D26" s="50">
        <v>4</v>
      </c>
      <c r="E26" s="50">
        <v>2</v>
      </c>
      <c r="F26" s="50">
        <v>6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37</v>
      </c>
      <c r="N26" s="50">
        <v>0</v>
      </c>
      <c r="O26" s="15">
        <f t="shared" si="0"/>
        <v>22</v>
      </c>
      <c r="P26" s="15">
        <f t="shared" si="1"/>
        <v>59</v>
      </c>
      <c r="R26" s="36" t="s">
        <v>150</v>
      </c>
      <c r="S26" s="34">
        <f>SUM(C74:C77)</f>
        <v>9</v>
      </c>
      <c r="T26" s="34">
        <f t="shared" ref="T26:AF26" si="18">SUM(D74:D77)</f>
        <v>1</v>
      </c>
      <c r="U26" s="34">
        <f t="shared" si="18"/>
        <v>4</v>
      </c>
      <c r="V26" s="34">
        <f t="shared" si="18"/>
        <v>4</v>
      </c>
      <c r="W26" s="34">
        <f t="shared" si="18"/>
        <v>2</v>
      </c>
      <c r="X26" s="34">
        <f t="shared" si="18"/>
        <v>2</v>
      </c>
      <c r="Y26" s="34">
        <f t="shared" si="18"/>
        <v>13</v>
      </c>
      <c r="Z26" s="34">
        <f t="shared" si="18"/>
        <v>9</v>
      </c>
      <c r="AA26" s="34">
        <f t="shared" si="18"/>
        <v>9</v>
      </c>
      <c r="AB26" s="34">
        <f t="shared" si="18"/>
        <v>6</v>
      </c>
      <c r="AC26" s="34">
        <f t="shared" si="18"/>
        <v>16</v>
      </c>
      <c r="AD26" s="34">
        <f t="shared" si="18"/>
        <v>0</v>
      </c>
      <c r="AE26" s="31">
        <f t="shared" si="18"/>
        <v>59</v>
      </c>
      <c r="AF26" s="31">
        <f t="shared" si="18"/>
        <v>75</v>
      </c>
    </row>
    <row r="27" spans="2:32" ht="23.1" customHeight="1" x14ac:dyDescent="0.25">
      <c r="B27" s="45" t="s">
        <v>54</v>
      </c>
      <c r="C27" s="50">
        <v>6</v>
      </c>
      <c r="D27" s="50">
        <v>1</v>
      </c>
      <c r="E27" s="50">
        <v>2</v>
      </c>
      <c r="F27" s="50">
        <v>4</v>
      </c>
      <c r="G27" s="50">
        <v>0</v>
      </c>
      <c r="H27" s="50">
        <v>1</v>
      </c>
      <c r="I27" s="50">
        <v>2</v>
      </c>
      <c r="J27" s="50">
        <v>0</v>
      </c>
      <c r="K27" s="50">
        <v>0</v>
      </c>
      <c r="L27" s="50">
        <v>0</v>
      </c>
      <c r="M27" s="50">
        <v>35</v>
      </c>
      <c r="N27" s="50">
        <v>0</v>
      </c>
      <c r="O27" s="15">
        <f t="shared" si="0"/>
        <v>16</v>
      </c>
      <c r="P27" s="15">
        <f t="shared" si="1"/>
        <v>51</v>
      </c>
      <c r="R27" s="36" t="s">
        <v>151</v>
      </c>
      <c r="S27" s="34">
        <f>SUM(C78:C81)</f>
        <v>5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6</v>
      </c>
      <c r="W27" s="34">
        <f t="shared" si="19"/>
        <v>0</v>
      </c>
      <c r="X27" s="34">
        <f t="shared" si="19"/>
        <v>0</v>
      </c>
      <c r="Y27" s="34">
        <f t="shared" si="19"/>
        <v>7</v>
      </c>
      <c r="Z27" s="34">
        <f t="shared" si="19"/>
        <v>12</v>
      </c>
      <c r="AA27" s="34">
        <f t="shared" si="19"/>
        <v>4</v>
      </c>
      <c r="AB27" s="34">
        <f t="shared" si="19"/>
        <v>2</v>
      </c>
      <c r="AC27" s="34">
        <f t="shared" si="19"/>
        <v>6</v>
      </c>
      <c r="AD27" s="34">
        <f t="shared" si="19"/>
        <v>0</v>
      </c>
      <c r="AE27" s="31">
        <f t="shared" si="19"/>
        <v>37</v>
      </c>
      <c r="AF27" s="31">
        <f t="shared" si="19"/>
        <v>43</v>
      </c>
    </row>
    <row r="28" spans="2:32" ht="23.1" customHeight="1" x14ac:dyDescent="0.25">
      <c r="B28" s="45" t="s">
        <v>55</v>
      </c>
      <c r="C28" s="50">
        <v>6</v>
      </c>
      <c r="D28" s="50">
        <v>4</v>
      </c>
      <c r="E28" s="50">
        <v>3</v>
      </c>
      <c r="F28" s="50">
        <v>8</v>
      </c>
      <c r="G28" s="50">
        <v>1</v>
      </c>
      <c r="H28" s="50">
        <v>0</v>
      </c>
      <c r="I28" s="50">
        <v>1</v>
      </c>
      <c r="J28" s="50">
        <v>1</v>
      </c>
      <c r="K28" s="50">
        <v>0</v>
      </c>
      <c r="L28" s="50">
        <v>1</v>
      </c>
      <c r="M28" s="50">
        <v>40</v>
      </c>
      <c r="N28" s="50">
        <v>0</v>
      </c>
      <c r="O28" s="15">
        <f t="shared" si="0"/>
        <v>25</v>
      </c>
      <c r="P28" s="15">
        <f t="shared" si="1"/>
        <v>65</v>
      </c>
      <c r="R28" s="36" t="s">
        <v>152</v>
      </c>
      <c r="S28" s="34">
        <f>SUM(C82:C85)</f>
        <v>1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2</v>
      </c>
      <c r="Y28" s="34">
        <f t="shared" si="20"/>
        <v>8</v>
      </c>
      <c r="Z28" s="34">
        <f t="shared" si="20"/>
        <v>11</v>
      </c>
      <c r="AA28" s="34">
        <f t="shared" si="20"/>
        <v>2</v>
      </c>
      <c r="AB28" s="34">
        <f t="shared" si="20"/>
        <v>5</v>
      </c>
      <c r="AC28" s="34">
        <f t="shared" si="20"/>
        <v>3</v>
      </c>
      <c r="AD28" s="34">
        <f t="shared" si="20"/>
        <v>0</v>
      </c>
      <c r="AE28" s="31">
        <f t="shared" si="20"/>
        <v>33</v>
      </c>
      <c r="AF28" s="31">
        <f t="shared" si="20"/>
        <v>36</v>
      </c>
    </row>
    <row r="29" spans="2:32" ht="23.1" customHeight="1" x14ac:dyDescent="0.25">
      <c r="B29" s="45" t="s">
        <v>56</v>
      </c>
      <c r="C29" s="50">
        <v>6</v>
      </c>
      <c r="D29" s="50">
        <v>4</v>
      </c>
      <c r="E29" s="50">
        <v>2</v>
      </c>
      <c r="F29" s="50">
        <v>5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1</v>
      </c>
      <c r="M29" s="50">
        <v>36</v>
      </c>
      <c r="N29" s="50">
        <v>0</v>
      </c>
      <c r="O29" s="15">
        <f t="shared" si="0"/>
        <v>19</v>
      </c>
      <c r="P29" s="15">
        <f t="shared" si="1"/>
        <v>55</v>
      </c>
      <c r="R29" s="36" t="s">
        <v>153</v>
      </c>
      <c r="S29" s="34">
        <f>SUM(C86:C89)</f>
        <v>0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3</v>
      </c>
      <c r="W29" s="34">
        <f t="shared" si="21"/>
        <v>1</v>
      </c>
      <c r="X29" s="34">
        <f t="shared" si="21"/>
        <v>2</v>
      </c>
      <c r="Y29" s="34">
        <f t="shared" si="21"/>
        <v>9</v>
      </c>
      <c r="Z29" s="34">
        <f t="shared" si="21"/>
        <v>9</v>
      </c>
      <c r="AA29" s="34">
        <f t="shared" si="21"/>
        <v>4</v>
      </c>
      <c r="AB29" s="34">
        <f t="shared" si="21"/>
        <v>4</v>
      </c>
      <c r="AC29" s="34">
        <f t="shared" si="21"/>
        <v>2</v>
      </c>
      <c r="AD29" s="34">
        <f t="shared" si="21"/>
        <v>0</v>
      </c>
      <c r="AE29" s="31">
        <f t="shared" si="21"/>
        <v>34</v>
      </c>
      <c r="AF29" s="31">
        <f t="shared" si="21"/>
        <v>36</v>
      </c>
    </row>
    <row r="30" spans="2:32" ht="23.1" customHeight="1" x14ac:dyDescent="0.25">
      <c r="B30" s="45" t="s">
        <v>57</v>
      </c>
      <c r="C30" s="50">
        <v>8</v>
      </c>
      <c r="D30" s="50">
        <v>3</v>
      </c>
      <c r="E30" s="50">
        <v>4</v>
      </c>
      <c r="F30" s="50">
        <v>7</v>
      </c>
      <c r="G30" s="50">
        <v>0</v>
      </c>
      <c r="H30" s="50">
        <v>1</v>
      </c>
      <c r="I30" s="50">
        <v>1</v>
      </c>
      <c r="J30" s="50">
        <v>0</v>
      </c>
      <c r="K30" s="50">
        <v>0</v>
      </c>
      <c r="L30" s="50">
        <v>0</v>
      </c>
      <c r="M30" s="50">
        <v>38</v>
      </c>
      <c r="N30" s="50">
        <v>0</v>
      </c>
      <c r="O30" s="15">
        <f t="shared" si="0"/>
        <v>24</v>
      </c>
      <c r="P30" s="15">
        <f t="shared" si="1"/>
        <v>62</v>
      </c>
      <c r="R30" s="36" t="s">
        <v>154</v>
      </c>
      <c r="S30" s="34">
        <f>SUM(C90:C93)</f>
        <v>4</v>
      </c>
      <c r="T30" s="34">
        <f t="shared" ref="T30:AF30" si="22">SUM(D90:D93)</f>
        <v>3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3</v>
      </c>
      <c r="Y30" s="34">
        <f t="shared" si="22"/>
        <v>6</v>
      </c>
      <c r="Z30" s="34">
        <f t="shared" si="22"/>
        <v>7</v>
      </c>
      <c r="AA30" s="34">
        <f t="shared" si="22"/>
        <v>5</v>
      </c>
      <c r="AB30" s="34">
        <f t="shared" si="22"/>
        <v>4</v>
      </c>
      <c r="AC30" s="34">
        <f t="shared" si="22"/>
        <v>2</v>
      </c>
      <c r="AD30" s="34">
        <f t="shared" si="22"/>
        <v>0</v>
      </c>
      <c r="AE30" s="31">
        <f t="shared" si="22"/>
        <v>33</v>
      </c>
      <c r="AF30" s="31">
        <f t="shared" si="22"/>
        <v>35</v>
      </c>
    </row>
    <row r="31" spans="2:32" ht="23.1" customHeight="1" x14ac:dyDescent="0.25">
      <c r="B31" s="46" t="s">
        <v>58</v>
      </c>
      <c r="C31" s="50">
        <v>5</v>
      </c>
      <c r="D31" s="50">
        <v>7</v>
      </c>
      <c r="E31" s="50">
        <v>2</v>
      </c>
      <c r="F31" s="50">
        <v>5</v>
      </c>
      <c r="G31" s="50">
        <v>0</v>
      </c>
      <c r="H31" s="50">
        <v>0</v>
      </c>
      <c r="I31" s="50">
        <v>1</v>
      </c>
      <c r="J31" s="50">
        <v>3</v>
      </c>
      <c r="K31" s="50">
        <v>0</v>
      </c>
      <c r="L31" s="50">
        <v>0</v>
      </c>
      <c r="M31" s="50">
        <v>34</v>
      </c>
      <c r="N31" s="50">
        <v>0</v>
      </c>
      <c r="O31" s="15">
        <f t="shared" si="0"/>
        <v>23</v>
      </c>
      <c r="P31" s="15">
        <f t="shared" si="1"/>
        <v>57</v>
      </c>
      <c r="R31" s="36" t="s">
        <v>155</v>
      </c>
      <c r="S31" s="34">
        <f>SUM(C94:C97)</f>
        <v>2</v>
      </c>
      <c r="T31" s="34">
        <f t="shared" ref="T31:AF31" si="23">SUM(D94:D97)</f>
        <v>1</v>
      </c>
      <c r="U31" s="34">
        <f t="shared" si="23"/>
        <v>1</v>
      </c>
      <c r="V31" s="34">
        <f t="shared" si="23"/>
        <v>1</v>
      </c>
      <c r="W31" s="34">
        <f t="shared" si="23"/>
        <v>0</v>
      </c>
      <c r="X31" s="34">
        <f t="shared" si="23"/>
        <v>1</v>
      </c>
      <c r="Y31" s="34">
        <f t="shared" si="23"/>
        <v>2</v>
      </c>
      <c r="Z31" s="34">
        <f t="shared" si="23"/>
        <v>4</v>
      </c>
      <c r="AA31" s="34">
        <f t="shared" si="23"/>
        <v>4</v>
      </c>
      <c r="AB31" s="34">
        <f t="shared" si="23"/>
        <v>2</v>
      </c>
      <c r="AC31" s="34">
        <f t="shared" si="23"/>
        <v>5</v>
      </c>
      <c r="AD31" s="34">
        <f t="shared" si="23"/>
        <v>0</v>
      </c>
      <c r="AE31" s="31">
        <f t="shared" si="23"/>
        <v>18</v>
      </c>
      <c r="AF31" s="31">
        <f t="shared" si="23"/>
        <v>23</v>
      </c>
    </row>
    <row r="32" spans="2:32" ht="23.1" customHeight="1" x14ac:dyDescent="0.25">
      <c r="B32" s="46" t="s">
        <v>59</v>
      </c>
      <c r="C32" s="50">
        <v>7</v>
      </c>
      <c r="D32" s="50">
        <v>1</v>
      </c>
      <c r="E32" s="50">
        <v>4</v>
      </c>
      <c r="F32" s="50">
        <v>7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39</v>
      </c>
      <c r="N32" s="50">
        <v>0</v>
      </c>
      <c r="O32" s="15">
        <f t="shared" si="0"/>
        <v>22</v>
      </c>
      <c r="P32" s="15">
        <f t="shared" si="1"/>
        <v>61</v>
      </c>
      <c r="R32" s="33" t="s">
        <v>156</v>
      </c>
      <c r="S32" s="34">
        <f>SUM(C98:C101)</f>
        <v>1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8</v>
      </c>
      <c r="W32" s="34">
        <f t="shared" si="24"/>
        <v>1</v>
      </c>
      <c r="X32" s="34">
        <f t="shared" si="24"/>
        <v>1</v>
      </c>
      <c r="Y32" s="34">
        <f t="shared" si="24"/>
        <v>5</v>
      </c>
      <c r="Z32" s="34">
        <f t="shared" si="24"/>
        <v>4</v>
      </c>
      <c r="AA32" s="34">
        <f t="shared" si="24"/>
        <v>2</v>
      </c>
      <c r="AB32" s="34">
        <f t="shared" si="24"/>
        <v>3</v>
      </c>
      <c r="AC32" s="34">
        <f t="shared" si="24"/>
        <v>9</v>
      </c>
      <c r="AD32" s="34">
        <f t="shared" si="24"/>
        <v>0</v>
      </c>
      <c r="AE32" s="31">
        <f t="shared" si="24"/>
        <v>27</v>
      </c>
      <c r="AF32" s="31">
        <f t="shared" si="24"/>
        <v>36</v>
      </c>
    </row>
    <row r="33" spans="2:32" ht="23.1" customHeight="1" x14ac:dyDescent="0.25">
      <c r="B33" s="45" t="s">
        <v>60</v>
      </c>
      <c r="C33" s="50">
        <v>10</v>
      </c>
      <c r="D33" s="50">
        <v>2</v>
      </c>
      <c r="E33" s="50">
        <v>2</v>
      </c>
      <c r="F33" s="50">
        <v>8</v>
      </c>
      <c r="G33" s="50">
        <v>0</v>
      </c>
      <c r="H33" s="50">
        <v>1</v>
      </c>
      <c r="I33" s="50">
        <v>1</v>
      </c>
      <c r="J33" s="50">
        <v>2</v>
      </c>
      <c r="K33" s="50">
        <v>0</v>
      </c>
      <c r="L33" s="50">
        <v>1</v>
      </c>
      <c r="M33" s="50">
        <v>34</v>
      </c>
      <c r="N33" s="50">
        <v>0</v>
      </c>
      <c r="O33" s="15">
        <f t="shared" si="0"/>
        <v>27</v>
      </c>
      <c r="P33" s="15">
        <f t="shared" si="1"/>
        <v>61</v>
      </c>
      <c r="R33" s="33" t="s">
        <v>157</v>
      </c>
      <c r="S33" s="34">
        <f>SUM(C102:C105)</f>
        <v>7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6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5</v>
      </c>
      <c r="AA33" s="34">
        <f t="shared" si="25"/>
        <v>1</v>
      </c>
      <c r="AB33" s="34">
        <f t="shared" si="25"/>
        <v>4</v>
      </c>
      <c r="AC33" s="34">
        <f t="shared" si="25"/>
        <v>41</v>
      </c>
      <c r="AD33" s="34">
        <f t="shared" si="25"/>
        <v>0</v>
      </c>
      <c r="AE33" s="31">
        <f t="shared" si="25"/>
        <v>28</v>
      </c>
      <c r="AF33" s="31">
        <f t="shared" si="25"/>
        <v>69</v>
      </c>
    </row>
    <row r="34" spans="2:32" ht="23.1" customHeight="1" x14ac:dyDescent="0.25">
      <c r="B34" s="46" t="s">
        <v>61</v>
      </c>
      <c r="C34" s="50">
        <v>6</v>
      </c>
      <c r="D34" s="50">
        <v>3</v>
      </c>
      <c r="E34" s="50">
        <v>3</v>
      </c>
      <c r="F34" s="50">
        <v>6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33</v>
      </c>
      <c r="N34" s="50">
        <v>0</v>
      </c>
      <c r="O34" s="15">
        <f t="shared" si="0"/>
        <v>18</v>
      </c>
      <c r="P34" s="15">
        <f t="shared" si="1"/>
        <v>51</v>
      </c>
      <c r="R34" s="38" t="s">
        <v>90</v>
      </c>
      <c r="S34" s="39">
        <f t="shared" ref="S34:AF34" si="26">MAX(S10:S12)</f>
        <v>22</v>
      </c>
      <c r="T34" s="39">
        <f t="shared" si="26"/>
        <v>6</v>
      </c>
      <c r="U34" s="39">
        <f t="shared" si="26"/>
        <v>7</v>
      </c>
      <c r="V34" s="39">
        <f t="shared" si="26"/>
        <v>25</v>
      </c>
      <c r="W34" s="39">
        <f t="shared" si="26"/>
        <v>2</v>
      </c>
      <c r="X34" s="39">
        <f t="shared" si="26"/>
        <v>0</v>
      </c>
      <c r="Y34" s="39">
        <f t="shared" si="26"/>
        <v>8</v>
      </c>
      <c r="Z34" s="39">
        <f t="shared" si="26"/>
        <v>6</v>
      </c>
      <c r="AA34" s="39">
        <f t="shared" si="26"/>
        <v>2</v>
      </c>
      <c r="AB34" s="39">
        <f t="shared" si="26"/>
        <v>4</v>
      </c>
      <c r="AC34" s="39">
        <f t="shared" si="26"/>
        <v>176</v>
      </c>
      <c r="AD34" s="39">
        <f t="shared" si="26"/>
        <v>0</v>
      </c>
      <c r="AE34" s="40">
        <f t="shared" si="26"/>
        <v>68</v>
      </c>
      <c r="AF34" s="40">
        <f t="shared" si="26"/>
        <v>244</v>
      </c>
    </row>
    <row r="35" spans="2:32" ht="23.1" customHeight="1" x14ac:dyDescent="0.25">
      <c r="B35" s="46" t="s">
        <v>62</v>
      </c>
      <c r="C35" s="50">
        <v>7</v>
      </c>
      <c r="D35" s="50">
        <v>1</v>
      </c>
      <c r="E35" s="50">
        <v>2</v>
      </c>
      <c r="F35" s="50">
        <v>5</v>
      </c>
      <c r="G35" s="50">
        <v>0</v>
      </c>
      <c r="H35" s="50">
        <v>0</v>
      </c>
      <c r="I35" s="50">
        <v>0</v>
      </c>
      <c r="J35" s="50">
        <v>2</v>
      </c>
      <c r="K35" s="50">
        <v>0</v>
      </c>
      <c r="L35" s="50">
        <v>1</v>
      </c>
      <c r="M35" s="50">
        <v>40</v>
      </c>
      <c r="N35" s="50">
        <v>0</v>
      </c>
      <c r="O35" s="15">
        <f t="shared" si="0"/>
        <v>18</v>
      </c>
      <c r="P35" s="15">
        <f t="shared" si="1"/>
        <v>58</v>
      </c>
      <c r="R35" s="38" t="s">
        <v>91</v>
      </c>
      <c r="S35" s="39">
        <f t="shared" ref="S35:AF35" si="27">MAX(S13:S18)</f>
        <v>37</v>
      </c>
      <c r="T35" s="39">
        <f t="shared" si="27"/>
        <v>13</v>
      </c>
      <c r="U35" s="39">
        <f t="shared" si="27"/>
        <v>12</v>
      </c>
      <c r="V35" s="39">
        <f t="shared" si="27"/>
        <v>27</v>
      </c>
      <c r="W35" s="39">
        <f t="shared" si="27"/>
        <v>1</v>
      </c>
      <c r="X35" s="39">
        <f t="shared" si="27"/>
        <v>3</v>
      </c>
      <c r="Y35" s="39">
        <f t="shared" si="27"/>
        <v>7</v>
      </c>
      <c r="Z35" s="39">
        <f t="shared" si="27"/>
        <v>7</v>
      </c>
      <c r="AA35" s="39">
        <f t="shared" si="27"/>
        <v>4</v>
      </c>
      <c r="AB35" s="39">
        <f t="shared" si="27"/>
        <v>5</v>
      </c>
      <c r="AC35" s="39">
        <f t="shared" si="27"/>
        <v>168</v>
      </c>
      <c r="AD35" s="39">
        <f t="shared" si="27"/>
        <v>0</v>
      </c>
      <c r="AE35" s="40">
        <f t="shared" si="27"/>
        <v>103</v>
      </c>
      <c r="AF35" s="40">
        <f t="shared" si="27"/>
        <v>263</v>
      </c>
    </row>
    <row r="36" spans="2:32" ht="23.1" customHeight="1" x14ac:dyDescent="0.25">
      <c r="B36" s="46" t="s">
        <v>63</v>
      </c>
      <c r="C36" s="50">
        <v>10</v>
      </c>
      <c r="D36" s="50">
        <v>6</v>
      </c>
      <c r="E36" s="50">
        <v>3</v>
      </c>
      <c r="F36" s="50">
        <v>7</v>
      </c>
      <c r="G36" s="50">
        <v>0</v>
      </c>
      <c r="H36" s="50">
        <v>0</v>
      </c>
      <c r="I36" s="50">
        <v>0</v>
      </c>
      <c r="J36" s="50">
        <v>4</v>
      </c>
      <c r="K36" s="50">
        <v>1</v>
      </c>
      <c r="L36" s="50">
        <v>2</v>
      </c>
      <c r="M36" s="50">
        <v>37</v>
      </c>
      <c r="N36" s="50">
        <v>0</v>
      </c>
      <c r="O36" s="15">
        <f t="shared" si="0"/>
        <v>33</v>
      </c>
      <c r="P36" s="15">
        <f t="shared" si="1"/>
        <v>70</v>
      </c>
      <c r="R36" s="38" t="s">
        <v>92</v>
      </c>
      <c r="S36" s="39">
        <f t="shared" ref="S36:AF36" si="28">MAX(S19:S21)</f>
        <v>51</v>
      </c>
      <c r="T36" s="39">
        <f t="shared" si="28"/>
        <v>38</v>
      </c>
      <c r="U36" s="39">
        <f t="shared" si="28"/>
        <v>31</v>
      </c>
      <c r="V36" s="39">
        <f t="shared" si="28"/>
        <v>47</v>
      </c>
      <c r="W36" s="39">
        <f t="shared" si="28"/>
        <v>9</v>
      </c>
      <c r="X36" s="39">
        <f t="shared" si="28"/>
        <v>3</v>
      </c>
      <c r="Y36" s="39">
        <f t="shared" si="28"/>
        <v>16</v>
      </c>
      <c r="Z36" s="39">
        <f t="shared" si="28"/>
        <v>16</v>
      </c>
      <c r="AA36" s="39">
        <f t="shared" si="28"/>
        <v>7</v>
      </c>
      <c r="AB36" s="39">
        <f t="shared" si="28"/>
        <v>9</v>
      </c>
      <c r="AC36" s="39">
        <f t="shared" si="28"/>
        <v>194</v>
      </c>
      <c r="AD36" s="39">
        <f t="shared" si="28"/>
        <v>1</v>
      </c>
      <c r="AE36" s="40">
        <f t="shared" si="28"/>
        <v>219</v>
      </c>
      <c r="AF36" s="40">
        <f t="shared" si="28"/>
        <v>413</v>
      </c>
    </row>
    <row r="37" spans="2:32" ht="23.1" customHeight="1" x14ac:dyDescent="0.25">
      <c r="B37" s="45" t="s">
        <v>64</v>
      </c>
      <c r="C37" s="50">
        <v>8</v>
      </c>
      <c r="D37" s="50">
        <v>1</v>
      </c>
      <c r="E37" s="50">
        <v>1</v>
      </c>
      <c r="F37" s="50">
        <v>5</v>
      </c>
      <c r="G37" s="50">
        <v>0</v>
      </c>
      <c r="H37" s="50">
        <v>1</v>
      </c>
      <c r="I37" s="50">
        <v>1</v>
      </c>
      <c r="J37" s="50">
        <v>1</v>
      </c>
      <c r="K37" s="50">
        <v>0</v>
      </c>
      <c r="L37" s="50">
        <v>0</v>
      </c>
      <c r="M37" s="50">
        <v>36</v>
      </c>
      <c r="N37" s="50">
        <v>0</v>
      </c>
      <c r="O37" s="15">
        <f t="shared" si="0"/>
        <v>18</v>
      </c>
      <c r="P37" s="15">
        <f t="shared" si="1"/>
        <v>54</v>
      </c>
      <c r="R37" s="37" t="s">
        <v>85</v>
      </c>
      <c r="S37" s="35">
        <f t="shared" ref="S37:AF37" si="29">SUM(S10:S12)</f>
        <v>55</v>
      </c>
      <c r="T37" s="16">
        <f t="shared" si="29"/>
        <v>16</v>
      </c>
      <c r="U37" s="16">
        <f t="shared" si="29"/>
        <v>16</v>
      </c>
      <c r="V37" s="16">
        <f t="shared" si="29"/>
        <v>60</v>
      </c>
      <c r="W37" s="16">
        <f t="shared" si="29"/>
        <v>2</v>
      </c>
      <c r="X37" s="16">
        <f t="shared" si="29"/>
        <v>0</v>
      </c>
      <c r="Y37" s="16">
        <f t="shared" si="29"/>
        <v>17</v>
      </c>
      <c r="Z37" s="16">
        <f t="shared" si="29"/>
        <v>13</v>
      </c>
      <c r="AA37" s="16">
        <f t="shared" si="29"/>
        <v>5</v>
      </c>
      <c r="AB37" s="16">
        <f t="shared" si="29"/>
        <v>7</v>
      </c>
      <c r="AC37" s="16">
        <f t="shared" si="29"/>
        <v>489</v>
      </c>
      <c r="AD37" s="16">
        <f t="shared" si="29"/>
        <v>0</v>
      </c>
      <c r="AE37" s="32">
        <f t="shared" si="29"/>
        <v>191</v>
      </c>
      <c r="AF37" s="32">
        <f t="shared" si="29"/>
        <v>680</v>
      </c>
    </row>
    <row r="38" spans="2:32" ht="23.1" customHeight="1" x14ac:dyDescent="0.25">
      <c r="B38" s="46" t="s">
        <v>65</v>
      </c>
      <c r="C38" s="50">
        <v>6</v>
      </c>
      <c r="D38" s="50">
        <v>1</v>
      </c>
      <c r="E38" s="50">
        <v>2</v>
      </c>
      <c r="F38" s="50">
        <v>2</v>
      </c>
      <c r="G38" s="50">
        <v>0</v>
      </c>
      <c r="H38" s="50">
        <v>0</v>
      </c>
      <c r="I38" s="50">
        <v>1</v>
      </c>
      <c r="J38" s="50">
        <v>5</v>
      </c>
      <c r="K38" s="50">
        <v>0</v>
      </c>
      <c r="L38" s="50">
        <v>0</v>
      </c>
      <c r="M38" s="50">
        <v>45</v>
      </c>
      <c r="N38" s="50">
        <v>0</v>
      </c>
      <c r="O38" s="15">
        <f t="shared" si="0"/>
        <v>17</v>
      </c>
      <c r="P38" s="15">
        <f t="shared" si="1"/>
        <v>62</v>
      </c>
      <c r="R38" s="28" t="s">
        <v>86</v>
      </c>
      <c r="S38" s="16">
        <f t="shared" ref="S38:AF38" si="30">SUM(S13:S18)</f>
        <v>182</v>
      </c>
      <c r="T38" s="16">
        <f t="shared" si="30"/>
        <v>66</v>
      </c>
      <c r="U38" s="16">
        <f t="shared" si="30"/>
        <v>60</v>
      </c>
      <c r="V38" s="16">
        <f t="shared" si="30"/>
        <v>145</v>
      </c>
      <c r="W38" s="16">
        <f t="shared" si="30"/>
        <v>2</v>
      </c>
      <c r="X38" s="16">
        <f t="shared" si="30"/>
        <v>10</v>
      </c>
      <c r="Y38" s="16">
        <f t="shared" si="30"/>
        <v>27</v>
      </c>
      <c r="Z38" s="16">
        <f t="shared" si="30"/>
        <v>29</v>
      </c>
      <c r="AA38" s="16">
        <f t="shared" si="30"/>
        <v>6</v>
      </c>
      <c r="AB38" s="16">
        <f t="shared" si="30"/>
        <v>15</v>
      </c>
      <c r="AC38" s="16">
        <f t="shared" si="30"/>
        <v>906</v>
      </c>
      <c r="AD38" s="16">
        <f t="shared" si="30"/>
        <v>0</v>
      </c>
      <c r="AE38" s="32">
        <f t="shared" si="30"/>
        <v>542</v>
      </c>
      <c r="AF38" s="32">
        <f t="shared" si="30"/>
        <v>1448</v>
      </c>
    </row>
    <row r="39" spans="2:32" ht="23.1" customHeight="1" x14ac:dyDescent="0.25">
      <c r="B39" s="46" t="s">
        <v>66</v>
      </c>
      <c r="C39" s="50">
        <v>10</v>
      </c>
      <c r="D39" s="50">
        <v>3</v>
      </c>
      <c r="E39" s="50">
        <v>3</v>
      </c>
      <c r="F39" s="50">
        <v>12</v>
      </c>
      <c r="G39" s="50">
        <v>0</v>
      </c>
      <c r="H39" s="50">
        <v>1</v>
      </c>
      <c r="I39" s="50">
        <v>3</v>
      </c>
      <c r="J39" s="50">
        <v>0</v>
      </c>
      <c r="K39" s="50">
        <v>0</v>
      </c>
      <c r="L39" s="50">
        <v>0</v>
      </c>
      <c r="M39" s="50">
        <v>35</v>
      </c>
      <c r="N39" s="50">
        <v>0</v>
      </c>
      <c r="O39" s="15">
        <f t="shared" si="0"/>
        <v>32</v>
      </c>
      <c r="P39" s="15">
        <f t="shared" si="1"/>
        <v>67</v>
      </c>
      <c r="R39" s="29" t="s">
        <v>87</v>
      </c>
      <c r="S39" s="16">
        <f t="shared" ref="S39:AF39" si="31">SUM(S19:S21)</f>
        <v>131</v>
      </c>
      <c r="T39" s="16">
        <f t="shared" si="31"/>
        <v>77</v>
      </c>
      <c r="U39" s="16">
        <f t="shared" si="31"/>
        <v>66</v>
      </c>
      <c r="V39" s="16">
        <f t="shared" si="31"/>
        <v>116</v>
      </c>
      <c r="W39" s="16">
        <f t="shared" si="31"/>
        <v>12</v>
      </c>
      <c r="X39" s="16">
        <f t="shared" si="31"/>
        <v>9</v>
      </c>
      <c r="Y39" s="16">
        <f t="shared" si="31"/>
        <v>40</v>
      </c>
      <c r="Z39" s="16">
        <f t="shared" si="31"/>
        <v>36</v>
      </c>
      <c r="AA39" s="16">
        <f t="shared" si="31"/>
        <v>10</v>
      </c>
      <c r="AB39" s="16">
        <f t="shared" si="31"/>
        <v>22</v>
      </c>
      <c r="AC39" s="16">
        <f t="shared" si="31"/>
        <v>558</v>
      </c>
      <c r="AD39" s="16">
        <f t="shared" si="31"/>
        <v>1</v>
      </c>
      <c r="AE39" s="32">
        <f t="shared" si="31"/>
        <v>520</v>
      </c>
      <c r="AF39" s="32">
        <f t="shared" si="31"/>
        <v>1078</v>
      </c>
    </row>
    <row r="40" spans="2:32" ht="23.1" customHeight="1" x14ac:dyDescent="0.25">
      <c r="B40" s="46" t="s">
        <v>67</v>
      </c>
      <c r="C40" s="50">
        <v>9</v>
      </c>
      <c r="D40" s="50">
        <v>1</v>
      </c>
      <c r="E40" s="50">
        <v>2</v>
      </c>
      <c r="F40" s="50">
        <v>7</v>
      </c>
      <c r="G40" s="50">
        <v>0</v>
      </c>
      <c r="H40" s="50">
        <v>0</v>
      </c>
      <c r="I40" s="50">
        <v>1</v>
      </c>
      <c r="J40" s="50">
        <v>1</v>
      </c>
      <c r="K40" s="50">
        <v>1</v>
      </c>
      <c r="L40" s="50">
        <v>1</v>
      </c>
      <c r="M40" s="50">
        <v>35</v>
      </c>
      <c r="N40" s="50">
        <v>0</v>
      </c>
      <c r="O40" s="15">
        <f t="shared" si="0"/>
        <v>23</v>
      </c>
      <c r="P40" s="15">
        <f t="shared" si="1"/>
        <v>58</v>
      </c>
      <c r="R40" s="5" t="s">
        <v>17</v>
      </c>
      <c r="S40" s="16">
        <f t="shared" ref="S40:AF40" si="32">SUM(S10:S21)</f>
        <v>368</v>
      </c>
      <c r="T40" s="16">
        <f t="shared" si="32"/>
        <v>159</v>
      </c>
      <c r="U40" s="16">
        <f t="shared" si="32"/>
        <v>142</v>
      </c>
      <c r="V40" s="16">
        <f t="shared" si="32"/>
        <v>321</v>
      </c>
      <c r="W40" s="16">
        <f t="shared" si="32"/>
        <v>16</v>
      </c>
      <c r="X40" s="16">
        <f t="shared" si="32"/>
        <v>19</v>
      </c>
      <c r="Y40" s="16">
        <f t="shared" si="32"/>
        <v>84</v>
      </c>
      <c r="Z40" s="16">
        <f t="shared" si="32"/>
        <v>78</v>
      </c>
      <c r="AA40" s="16">
        <f t="shared" si="32"/>
        <v>21</v>
      </c>
      <c r="AB40" s="16">
        <f t="shared" si="32"/>
        <v>44</v>
      </c>
      <c r="AC40" s="16">
        <f t="shared" si="32"/>
        <v>1953</v>
      </c>
      <c r="AD40" s="16">
        <f t="shared" si="32"/>
        <v>1</v>
      </c>
      <c r="AE40" s="32">
        <f t="shared" si="32"/>
        <v>1253</v>
      </c>
      <c r="AF40" s="32">
        <f t="shared" si="32"/>
        <v>3206</v>
      </c>
    </row>
    <row r="41" spans="2:32" ht="23.1" customHeight="1" x14ac:dyDescent="0.25">
      <c r="B41" s="45" t="s">
        <v>68</v>
      </c>
      <c r="C41" s="50">
        <v>4</v>
      </c>
      <c r="D41" s="50">
        <v>4</v>
      </c>
      <c r="E41" s="50">
        <v>1</v>
      </c>
      <c r="F41" s="50">
        <v>5</v>
      </c>
      <c r="G41" s="50">
        <v>0</v>
      </c>
      <c r="H41" s="50">
        <v>1</v>
      </c>
      <c r="I41" s="50">
        <v>2</v>
      </c>
      <c r="J41" s="50">
        <v>1</v>
      </c>
      <c r="K41" s="50">
        <v>0</v>
      </c>
      <c r="L41" s="50">
        <v>0</v>
      </c>
      <c r="M41" s="50">
        <v>53</v>
      </c>
      <c r="N41" s="50">
        <v>0</v>
      </c>
      <c r="O41" s="15">
        <f t="shared" si="0"/>
        <v>18</v>
      </c>
      <c r="P41" s="15">
        <f t="shared" si="1"/>
        <v>71</v>
      </c>
      <c r="R41" s="5" t="s">
        <v>159</v>
      </c>
      <c r="S41" s="16">
        <f>SUM(S10:S33)</f>
        <v>493</v>
      </c>
      <c r="T41" s="16">
        <f t="shared" ref="T41:AF41" si="33">SUM(T10:T33)</f>
        <v>215</v>
      </c>
      <c r="U41" s="16">
        <f t="shared" si="33"/>
        <v>198</v>
      </c>
      <c r="V41" s="16">
        <f t="shared" si="33"/>
        <v>428</v>
      </c>
      <c r="W41" s="16">
        <f t="shared" si="33"/>
        <v>21</v>
      </c>
      <c r="X41" s="16">
        <f t="shared" si="33"/>
        <v>33</v>
      </c>
      <c r="Y41" s="16">
        <f t="shared" si="33"/>
        <v>199</v>
      </c>
      <c r="Z41" s="16">
        <f t="shared" si="33"/>
        <v>187</v>
      </c>
      <c r="AA41" s="16">
        <f t="shared" si="33"/>
        <v>75</v>
      </c>
      <c r="AB41" s="16">
        <f t="shared" si="33"/>
        <v>91</v>
      </c>
      <c r="AC41" s="16">
        <f t="shared" si="33"/>
        <v>2358</v>
      </c>
      <c r="AD41" s="16">
        <f t="shared" si="33"/>
        <v>1</v>
      </c>
      <c r="AE41" s="32">
        <f t="shared" si="33"/>
        <v>1941</v>
      </c>
      <c r="AF41" s="32">
        <f t="shared" si="33"/>
        <v>4299</v>
      </c>
    </row>
    <row r="42" spans="2:32" ht="23.1" customHeight="1" x14ac:dyDescent="0.25">
      <c r="B42" s="46" t="s">
        <v>69</v>
      </c>
      <c r="C42" s="50">
        <v>15</v>
      </c>
      <c r="D42" s="50">
        <v>2</v>
      </c>
      <c r="E42" s="50">
        <v>2</v>
      </c>
      <c r="F42" s="50">
        <v>4</v>
      </c>
      <c r="G42" s="50">
        <v>0</v>
      </c>
      <c r="H42" s="50">
        <v>0</v>
      </c>
      <c r="I42" s="50">
        <v>3</v>
      </c>
      <c r="J42" s="50">
        <v>2</v>
      </c>
      <c r="K42" s="50">
        <v>1</v>
      </c>
      <c r="L42" s="50">
        <v>1</v>
      </c>
      <c r="M42" s="50">
        <v>37</v>
      </c>
      <c r="N42" s="50">
        <v>0</v>
      </c>
      <c r="O42" s="15">
        <f t="shared" si="0"/>
        <v>30</v>
      </c>
      <c r="P42" s="15">
        <f t="shared" si="1"/>
        <v>67</v>
      </c>
      <c r="R42" s="5" t="s">
        <v>160</v>
      </c>
      <c r="S42" s="48">
        <f>S41/S40</f>
        <v>1.3396739130434783</v>
      </c>
      <c r="T42" s="48">
        <f t="shared" ref="T42:AF42" si="34">T41/T40</f>
        <v>1.3522012578616351</v>
      </c>
      <c r="U42" s="48">
        <f t="shared" si="34"/>
        <v>1.3943661971830985</v>
      </c>
      <c r="V42" s="48">
        <f t="shared" si="34"/>
        <v>1.3333333333333333</v>
      </c>
      <c r="W42" s="48">
        <f t="shared" si="34"/>
        <v>1.3125</v>
      </c>
      <c r="X42" s="48">
        <f t="shared" si="34"/>
        <v>1.736842105263158</v>
      </c>
      <c r="Y42" s="48">
        <f t="shared" si="34"/>
        <v>2.3690476190476191</v>
      </c>
      <c r="Z42" s="48">
        <f t="shared" si="34"/>
        <v>2.3974358974358974</v>
      </c>
      <c r="AA42" s="48">
        <f t="shared" si="34"/>
        <v>3.5714285714285716</v>
      </c>
      <c r="AB42" s="48">
        <f t="shared" si="34"/>
        <v>2.0681818181818183</v>
      </c>
      <c r="AC42" s="48">
        <f t="shared" si="34"/>
        <v>1.207373271889401</v>
      </c>
      <c r="AD42" s="48">
        <f t="shared" si="34"/>
        <v>1</v>
      </c>
      <c r="AE42" s="48">
        <f t="shared" si="34"/>
        <v>1.5490822027134876</v>
      </c>
      <c r="AF42" s="48">
        <f t="shared" si="34"/>
        <v>1.3409232688708672</v>
      </c>
    </row>
    <row r="43" spans="2:32" ht="23.1" customHeight="1" x14ac:dyDescent="0.25">
      <c r="B43" s="45" t="s">
        <v>70</v>
      </c>
      <c r="C43" s="50">
        <v>5</v>
      </c>
      <c r="D43" s="50">
        <v>4</v>
      </c>
      <c r="E43" s="50">
        <v>3</v>
      </c>
      <c r="F43" s="50">
        <v>7</v>
      </c>
      <c r="G43" s="50">
        <v>0</v>
      </c>
      <c r="H43" s="50">
        <v>0</v>
      </c>
      <c r="I43" s="50">
        <v>1</v>
      </c>
      <c r="J43" s="50">
        <v>0</v>
      </c>
      <c r="K43" s="50">
        <v>3</v>
      </c>
      <c r="L43" s="50">
        <v>2</v>
      </c>
      <c r="M43" s="50">
        <v>42</v>
      </c>
      <c r="N43" s="50">
        <v>0</v>
      </c>
      <c r="O43" s="15">
        <f t="shared" si="0"/>
        <v>25</v>
      </c>
      <c r="P43" s="15">
        <f t="shared" si="1"/>
        <v>67</v>
      </c>
    </row>
    <row r="44" spans="2:32" ht="23.1" customHeight="1" x14ac:dyDescent="0.25">
      <c r="B44" s="47" t="s">
        <v>71</v>
      </c>
      <c r="C44" s="50">
        <v>14</v>
      </c>
      <c r="D44" s="50">
        <v>1</v>
      </c>
      <c r="E44" s="50">
        <v>5</v>
      </c>
      <c r="F44" s="50">
        <v>6</v>
      </c>
      <c r="G44" s="50">
        <v>0</v>
      </c>
      <c r="H44" s="50">
        <v>1</v>
      </c>
      <c r="I44" s="50">
        <v>2</v>
      </c>
      <c r="J44" s="50">
        <v>2</v>
      </c>
      <c r="K44" s="50">
        <v>0</v>
      </c>
      <c r="L44" s="50">
        <v>1</v>
      </c>
      <c r="M44" s="50">
        <v>37</v>
      </c>
      <c r="N44" s="50">
        <v>0</v>
      </c>
      <c r="O44" s="15">
        <f t="shared" si="0"/>
        <v>32</v>
      </c>
      <c r="P44" s="15">
        <f t="shared" si="1"/>
        <v>69</v>
      </c>
    </row>
    <row r="45" spans="2:32" ht="23.1" customHeight="1" x14ac:dyDescent="0.25">
      <c r="B45" s="45" t="s">
        <v>72</v>
      </c>
      <c r="C45" s="50">
        <v>3</v>
      </c>
      <c r="D45" s="50">
        <v>3</v>
      </c>
      <c r="E45" s="50">
        <v>2</v>
      </c>
      <c r="F45" s="50">
        <v>3</v>
      </c>
      <c r="G45" s="50">
        <v>1</v>
      </c>
      <c r="H45" s="50">
        <v>2</v>
      </c>
      <c r="I45" s="50">
        <v>0</v>
      </c>
      <c r="J45" s="50">
        <v>1</v>
      </c>
      <c r="K45" s="50">
        <v>0</v>
      </c>
      <c r="L45" s="50">
        <v>1</v>
      </c>
      <c r="M45" s="50">
        <v>44</v>
      </c>
      <c r="N45" s="50">
        <v>0</v>
      </c>
      <c r="O45" s="15">
        <f t="shared" si="0"/>
        <v>16</v>
      </c>
      <c r="P45" s="15">
        <f t="shared" si="1"/>
        <v>60</v>
      </c>
    </row>
    <row r="46" spans="2:32" ht="23.1" customHeight="1" x14ac:dyDescent="0.25">
      <c r="B46" s="46" t="s">
        <v>73</v>
      </c>
      <c r="C46" s="50">
        <v>5</v>
      </c>
      <c r="D46" s="50">
        <v>5</v>
      </c>
      <c r="E46" s="50">
        <v>2</v>
      </c>
      <c r="F46" s="50">
        <v>5</v>
      </c>
      <c r="G46" s="50">
        <v>1</v>
      </c>
      <c r="H46" s="50">
        <v>1</v>
      </c>
      <c r="I46" s="50">
        <v>1</v>
      </c>
      <c r="J46" s="50">
        <v>3</v>
      </c>
      <c r="K46" s="50">
        <v>0</v>
      </c>
      <c r="L46" s="50">
        <v>0</v>
      </c>
      <c r="M46" s="50">
        <v>44</v>
      </c>
      <c r="N46" s="50">
        <v>1</v>
      </c>
      <c r="O46" s="15">
        <f t="shared" si="0"/>
        <v>24</v>
      </c>
      <c r="P46" s="15">
        <f t="shared" si="1"/>
        <v>68</v>
      </c>
      <c r="R46" s="8"/>
      <c r="T46"/>
    </row>
    <row r="47" spans="2:32" ht="23.1" customHeight="1" x14ac:dyDescent="0.25">
      <c r="B47" s="46" t="s">
        <v>74</v>
      </c>
      <c r="C47" s="50">
        <v>12</v>
      </c>
      <c r="D47" s="50">
        <v>4</v>
      </c>
      <c r="E47" s="50">
        <v>6</v>
      </c>
      <c r="F47" s="50">
        <v>3</v>
      </c>
      <c r="G47" s="50">
        <v>0</v>
      </c>
      <c r="H47" s="50">
        <v>1</v>
      </c>
      <c r="I47" s="50">
        <v>5</v>
      </c>
      <c r="J47" s="50">
        <v>2</v>
      </c>
      <c r="K47" s="50">
        <v>0</v>
      </c>
      <c r="L47" s="50">
        <v>3</v>
      </c>
      <c r="M47" s="50">
        <v>51</v>
      </c>
      <c r="N47" s="50">
        <v>0</v>
      </c>
      <c r="O47" s="15">
        <f t="shared" si="0"/>
        <v>36</v>
      </c>
      <c r="P47" s="15">
        <f t="shared" si="1"/>
        <v>87</v>
      </c>
      <c r="R47" s="8"/>
      <c r="T47"/>
    </row>
    <row r="48" spans="2:32" ht="23.1" customHeight="1" x14ac:dyDescent="0.25">
      <c r="B48" s="46" t="s">
        <v>75</v>
      </c>
      <c r="C48" s="50">
        <v>9</v>
      </c>
      <c r="D48" s="50">
        <v>3</v>
      </c>
      <c r="E48" s="50">
        <v>6</v>
      </c>
      <c r="F48" s="50">
        <v>9</v>
      </c>
      <c r="G48" s="50">
        <v>1</v>
      </c>
      <c r="H48" s="50">
        <v>1</v>
      </c>
      <c r="I48" s="50">
        <v>2</v>
      </c>
      <c r="J48" s="50">
        <v>2</v>
      </c>
      <c r="K48" s="50">
        <v>0</v>
      </c>
      <c r="L48" s="50">
        <v>2</v>
      </c>
      <c r="M48" s="50">
        <v>40</v>
      </c>
      <c r="N48" s="50">
        <v>0</v>
      </c>
      <c r="O48" s="15">
        <f t="shared" si="0"/>
        <v>35</v>
      </c>
      <c r="P48" s="15">
        <f t="shared" si="1"/>
        <v>75</v>
      </c>
      <c r="R48" s="8"/>
      <c r="T48"/>
    </row>
    <row r="49" spans="2:20" ht="23.1" customHeight="1" x14ac:dyDescent="0.25">
      <c r="B49" s="45" t="s">
        <v>76</v>
      </c>
      <c r="C49" s="50">
        <v>4</v>
      </c>
      <c r="D49" s="50">
        <v>4</v>
      </c>
      <c r="E49" s="50">
        <v>1</v>
      </c>
      <c r="F49" s="50">
        <v>7</v>
      </c>
      <c r="G49" s="50">
        <v>1</v>
      </c>
      <c r="H49" s="50">
        <v>0</v>
      </c>
      <c r="I49" s="50">
        <v>3</v>
      </c>
      <c r="J49" s="50">
        <v>3</v>
      </c>
      <c r="K49" s="50">
        <v>0</v>
      </c>
      <c r="L49" s="50">
        <v>0</v>
      </c>
      <c r="M49" s="50">
        <v>46</v>
      </c>
      <c r="N49" s="50">
        <v>0</v>
      </c>
      <c r="O49" s="15">
        <f t="shared" si="0"/>
        <v>23</v>
      </c>
      <c r="P49" s="15">
        <f t="shared" si="1"/>
        <v>69</v>
      </c>
      <c r="R49" s="8"/>
      <c r="T49"/>
    </row>
    <row r="50" spans="2:20" ht="23.1" customHeight="1" x14ac:dyDescent="0.25">
      <c r="B50" s="46" t="s">
        <v>77</v>
      </c>
      <c r="C50" s="50">
        <v>15</v>
      </c>
      <c r="D50" s="50">
        <v>8</v>
      </c>
      <c r="E50" s="50">
        <v>3</v>
      </c>
      <c r="F50" s="50">
        <v>7</v>
      </c>
      <c r="G50" s="50">
        <v>0</v>
      </c>
      <c r="H50" s="50">
        <v>1</v>
      </c>
      <c r="I50" s="50">
        <v>5</v>
      </c>
      <c r="J50" s="50">
        <v>4</v>
      </c>
      <c r="K50" s="50">
        <v>1</v>
      </c>
      <c r="L50" s="50">
        <v>0</v>
      </c>
      <c r="M50" s="50">
        <v>44</v>
      </c>
      <c r="N50" s="50">
        <v>0</v>
      </c>
      <c r="O50" s="15">
        <f t="shared" si="0"/>
        <v>44</v>
      </c>
      <c r="P50" s="15">
        <f t="shared" si="1"/>
        <v>88</v>
      </c>
      <c r="R50" s="8"/>
      <c r="T50"/>
    </row>
    <row r="51" spans="2:20" ht="23.1" customHeight="1" x14ac:dyDescent="0.25">
      <c r="B51" s="46" t="s">
        <v>78</v>
      </c>
      <c r="C51" s="50">
        <v>10</v>
      </c>
      <c r="D51" s="50">
        <v>5</v>
      </c>
      <c r="E51" s="50">
        <v>3</v>
      </c>
      <c r="F51" s="50">
        <v>14</v>
      </c>
      <c r="G51" s="50">
        <v>0</v>
      </c>
      <c r="H51" s="50">
        <v>1</v>
      </c>
      <c r="I51" s="50">
        <v>4</v>
      </c>
      <c r="J51" s="50">
        <v>6</v>
      </c>
      <c r="K51" s="50">
        <v>0</v>
      </c>
      <c r="L51" s="50">
        <v>2</v>
      </c>
      <c r="M51" s="50">
        <v>54</v>
      </c>
      <c r="N51" s="50">
        <v>0</v>
      </c>
      <c r="O51" s="15">
        <f t="shared" si="0"/>
        <v>45</v>
      </c>
      <c r="P51" s="15">
        <f t="shared" si="1"/>
        <v>99</v>
      </c>
      <c r="R51" s="8"/>
      <c r="T51"/>
    </row>
    <row r="52" spans="2:20" ht="23.1" customHeight="1" x14ac:dyDescent="0.25">
      <c r="B52" s="46" t="s">
        <v>79</v>
      </c>
      <c r="C52" s="50">
        <v>10</v>
      </c>
      <c r="D52" s="50">
        <v>5</v>
      </c>
      <c r="E52" s="50">
        <v>4</v>
      </c>
      <c r="F52" s="50">
        <v>10</v>
      </c>
      <c r="G52" s="50">
        <v>0</v>
      </c>
      <c r="H52" s="50">
        <v>0</v>
      </c>
      <c r="I52" s="50">
        <v>0</v>
      </c>
      <c r="J52" s="50">
        <v>2</v>
      </c>
      <c r="K52" s="50">
        <v>1</v>
      </c>
      <c r="L52" s="50">
        <v>2</v>
      </c>
      <c r="M52" s="50">
        <v>38</v>
      </c>
      <c r="N52" s="50">
        <v>0</v>
      </c>
      <c r="O52" s="15">
        <f t="shared" si="0"/>
        <v>34</v>
      </c>
      <c r="P52" s="15">
        <f t="shared" si="1"/>
        <v>72</v>
      </c>
      <c r="R52" s="8"/>
      <c r="T52"/>
    </row>
    <row r="53" spans="2:20" ht="23.1" customHeight="1" x14ac:dyDescent="0.25">
      <c r="B53" s="45" t="s">
        <v>80</v>
      </c>
      <c r="C53" s="50">
        <v>15</v>
      </c>
      <c r="D53" s="50">
        <v>5</v>
      </c>
      <c r="E53" s="50">
        <v>10</v>
      </c>
      <c r="F53" s="50">
        <v>16</v>
      </c>
      <c r="G53" s="50">
        <v>0</v>
      </c>
      <c r="H53" s="50">
        <v>1</v>
      </c>
      <c r="I53" s="50">
        <v>4</v>
      </c>
      <c r="J53" s="50">
        <v>4</v>
      </c>
      <c r="K53" s="50">
        <v>1</v>
      </c>
      <c r="L53" s="50">
        <v>4</v>
      </c>
      <c r="M53" s="50">
        <v>47</v>
      </c>
      <c r="N53" s="50">
        <v>0</v>
      </c>
      <c r="O53" s="15">
        <f t="shared" si="0"/>
        <v>60</v>
      </c>
      <c r="P53" s="15">
        <f t="shared" si="1"/>
        <v>107</v>
      </c>
      <c r="R53" s="8"/>
      <c r="T53"/>
    </row>
    <row r="54" spans="2:20" ht="23.1" customHeight="1" x14ac:dyDescent="0.25">
      <c r="B54" s="45" t="s">
        <v>81</v>
      </c>
      <c r="C54" s="50">
        <v>10</v>
      </c>
      <c r="D54" s="50">
        <v>11</v>
      </c>
      <c r="E54" s="50">
        <v>9</v>
      </c>
      <c r="F54" s="50">
        <v>15</v>
      </c>
      <c r="G54" s="50">
        <v>3</v>
      </c>
      <c r="H54" s="50">
        <v>1</v>
      </c>
      <c r="I54" s="50">
        <v>5</v>
      </c>
      <c r="J54" s="50">
        <v>3</v>
      </c>
      <c r="K54" s="50">
        <v>1</v>
      </c>
      <c r="L54" s="50">
        <v>4</v>
      </c>
      <c r="M54" s="50">
        <v>45</v>
      </c>
      <c r="N54" s="50">
        <v>0</v>
      </c>
      <c r="O54" s="15">
        <f t="shared" si="0"/>
        <v>62</v>
      </c>
      <c r="P54" s="15">
        <f t="shared" si="1"/>
        <v>107</v>
      </c>
      <c r="R54" s="8"/>
      <c r="T54"/>
    </row>
    <row r="55" spans="2:20" ht="23.1" customHeight="1" x14ac:dyDescent="0.25">
      <c r="B55" s="45" t="s">
        <v>82</v>
      </c>
      <c r="C55" s="50">
        <v>9</v>
      </c>
      <c r="D55" s="50">
        <v>6</v>
      </c>
      <c r="E55" s="50">
        <v>8</v>
      </c>
      <c r="F55" s="50">
        <v>10</v>
      </c>
      <c r="G55" s="50">
        <v>2</v>
      </c>
      <c r="H55" s="50">
        <v>0</v>
      </c>
      <c r="I55" s="50">
        <v>6</v>
      </c>
      <c r="J55" s="50">
        <v>4</v>
      </c>
      <c r="K55" s="50">
        <v>2</v>
      </c>
      <c r="L55" s="50">
        <v>3</v>
      </c>
      <c r="M55" s="50">
        <v>50</v>
      </c>
      <c r="N55" s="50">
        <v>0</v>
      </c>
      <c r="O55" s="15">
        <f t="shared" si="0"/>
        <v>50</v>
      </c>
      <c r="P55" s="15">
        <f t="shared" si="1"/>
        <v>100</v>
      </c>
      <c r="R55" s="8"/>
      <c r="T55"/>
    </row>
    <row r="56" spans="2:20" ht="23.1" customHeight="1" x14ac:dyDescent="0.25">
      <c r="B56" s="45" t="s">
        <v>83</v>
      </c>
      <c r="C56" s="50">
        <v>15</v>
      </c>
      <c r="D56" s="50">
        <v>9</v>
      </c>
      <c r="E56" s="50">
        <v>9</v>
      </c>
      <c r="F56" s="50">
        <v>12</v>
      </c>
      <c r="G56" s="50">
        <v>3</v>
      </c>
      <c r="H56" s="50">
        <v>1</v>
      </c>
      <c r="I56" s="50">
        <v>3</v>
      </c>
      <c r="J56" s="50">
        <v>2</v>
      </c>
      <c r="K56" s="50">
        <v>3</v>
      </c>
      <c r="L56" s="50">
        <v>1</v>
      </c>
      <c r="M56" s="50">
        <v>43</v>
      </c>
      <c r="N56" s="50">
        <v>0</v>
      </c>
      <c r="O56" s="15">
        <f t="shared" si="0"/>
        <v>58</v>
      </c>
      <c r="P56" s="15">
        <f t="shared" si="1"/>
        <v>101</v>
      </c>
      <c r="R56" s="8"/>
      <c r="T56"/>
    </row>
    <row r="57" spans="2:20" ht="23.1" customHeight="1" x14ac:dyDescent="0.25">
      <c r="B57" s="45" t="s">
        <v>84</v>
      </c>
      <c r="C57" s="50">
        <v>17</v>
      </c>
      <c r="D57" s="50">
        <v>12</v>
      </c>
      <c r="E57" s="50">
        <v>5</v>
      </c>
      <c r="F57" s="50">
        <v>8</v>
      </c>
      <c r="G57" s="50">
        <v>1</v>
      </c>
      <c r="H57" s="50">
        <v>1</v>
      </c>
      <c r="I57" s="50">
        <v>2</v>
      </c>
      <c r="J57" s="50">
        <v>1</v>
      </c>
      <c r="K57" s="50">
        <v>1</v>
      </c>
      <c r="L57" s="50">
        <v>1</v>
      </c>
      <c r="M57" s="50">
        <v>56</v>
      </c>
      <c r="N57" s="50">
        <v>0</v>
      </c>
      <c r="O57" s="15">
        <f t="shared" si="0"/>
        <v>49</v>
      </c>
      <c r="P57" s="15">
        <f t="shared" si="1"/>
        <v>105</v>
      </c>
      <c r="R57" s="8"/>
      <c r="T57"/>
    </row>
    <row r="58" spans="2:20" ht="23.1" customHeight="1" x14ac:dyDescent="0.25">
      <c r="B58" s="45" t="s">
        <v>99</v>
      </c>
      <c r="C58" s="50">
        <v>17</v>
      </c>
      <c r="D58" s="50">
        <v>3</v>
      </c>
      <c r="E58" s="50">
        <v>6</v>
      </c>
      <c r="F58" s="50">
        <v>5</v>
      </c>
      <c r="G58" s="50">
        <v>0</v>
      </c>
      <c r="H58" s="50">
        <v>0</v>
      </c>
      <c r="I58" s="50">
        <v>4</v>
      </c>
      <c r="J58" s="50">
        <v>4</v>
      </c>
      <c r="K58" s="50">
        <v>0</v>
      </c>
      <c r="L58" s="50">
        <v>0</v>
      </c>
      <c r="M58" s="50">
        <v>53</v>
      </c>
      <c r="N58" s="50">
        <v>0</v>
      </c>
      <c r="O58" s="15">
        <f t="shared" si="0"/>
        <v>39</v>
      </c>
      <c r="P58" s="15">
        <f t="shared" si="1"/>
        <v>92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6</v>
      </c>
      <c r="E59" s="50">
        <v>3</v>
      </c>
      <c r="F59" s="50">
        <v>9</v>
      </c>
      <c r="G59" s="50">
        <v>0</v>
      </c>
      <c r="H59" s="50">
        <v>0</v>
      </c>
      <c r="I59" s="50">
        <v>2</v>
      </c>
      <c r="J59" s="50">
        <v>2</v>
      </c>
      <c r="K59" s="50">
        <v>1</v>
      </c>
      <c r="L59" s="50">
        <v>0</v>
      </c>
      <c r="M59" s="50">
        <v>33</v>
      </c>
      <c r="N59" s="50">
        <v>0</v>
      </c>
      <c r="O59" s="15">
        <f t="shared" si="0"/>
        <v>31</v>
      </c>
      <c r="P59" s="15">
        <f t="shared" si="1"/>
        <v>64</v>
      </c>
      <c r="R59" s="8"/>
      <c r="T59"/>
    </row>
    <row r="60" spans="2:20" ht="23.1" customHeight="1" x14ac:dyDescent="0.25">
      <c r="B60" s="45" t="s">
        <v>101</v>
      </c>
      <c r="C60" s="50">
        <v>10</v>
      </c>
      <c r="D60" s="50">
        <v>2</v>
      </c>
      <c r="E60" s="50">
        <v>3</v>
      </c>
      <c r="F60" s="50">
        <v>4</v>
      </c>
      <c r="G60" s="50">
        <v>0</v>
      </c>
      <c r="H60" s="50">
        <v>0</v>
      </c>
      <c r="I60" s="50">
        <v>2</v>
      </c>
      <c r="J60" s="50">
        <v>1</v>
      </c>
      <c r="K60" s="50">
        <v>2</v>
      </c>
      <c r="L60" s="50">
        <v>0</v>
      </c>
      <c r="M60" s="50">
        <v>32</v>
      </c>
      <c r="N60" s="50">
        <v>0</v>
      </c>
      <c r="O60" s="15">
        <f t="shared" si="0"/>
        <v>24</v>
      </c>
      <c r="P60" s="15">
        <f t="shared" si="1"/>
        <v>56</v>
      </c>
      <c r="R60" s="8"/>
      <c r="T60"/>
    </row>
    <row r="61" spans="2:20" ht="23.1" customHeight="1" x14ac:dyDescent="0.25">
      <c r="B61" s="45" t="s">
        <v>102</v>
      </c>
      <c r="C61" s="50">
        <v>8</v>
      </c>
      <c r="D61" s="50">
        <v>5</v>
      </c>
      <c r="E61" s="50">
        <v>6</v>
      </c>
      <c r="F61" s="50">
        <v>7</v>
      </c>
      <c r="G61" s="50">
        <v>0</v>
      </c>
      <c r="H61" s="50">
        <v>1</v>
      </c>
      <c r="I61" s="50">
        <v>2</v>
      </c>
      <c r="J61" s="50">
        <v>2</v>
      </c>
      <c r="K61" s="50">
        <v>0</v>
      </c>
      <c r="L61" s="50">
        <v>0</v>
      </c>
      <c r="M61" s="50">
        <v>22</v>
      </c>
      <c r="N61" s="50">
        <v>0</v>
      </c>
      <c r="O61" s="15">
        <f t="shared" si="0"/>
        <v>31</v>
      </c>
      <c r="P61" s="15">
        <f t="shared" si="1"/>
        <v>53</v>
      </c>
      <c r="R61" s="8"/>
      <c r="T61"/>
    </row>
    <row r="62" spans="2:20" ht="23.1" customHeight="1" x14ac:dyDescent="0.25">
      <c r="B62" s="45" t="s">
        <v>107</v>
      </c>
      <c r="C62" s="50">
        <v>11</v>
      </c>
      <c r="D62" s="50">
        <v>4</v>
      </c>
      <c r="E62" s="50">
        <v>4</v>
      </c>
      <c r="F62" s="50">
        <v>6</v>
      </c>
      <c r="G62" s="50">
        <v>0</v>
      </c>
      <c r="H62" s="50">
        <v>1</v>
      </c>
      <c r="I62" s="50">
        <v>3</v>
      </c>
      <c r="J62" s="50">
        <v>7</v>
      </c>
      <c r="K62" s="50">
        <v>2</v>
      </c>
      <c r="L62" s="50">
        <v>0</v>
      </c>
      <c r="M62" s="50">
        <v>22</v>
      </c>
      <c r="N62" s="50">
        <v>0</v>
      </c>
      <c r="O62" s="15">
        <f t="shared" si="0"/>
        <v>38</v>
      </c>
      <c r="P62" s="15">
        <f t="shared" si="1"/>
        <v>60</v>
      </c>
      <c r="R62" s="8"/>
      <c r="T62"/>
    </row>
    <row r="63" spans="2:20" ht="23.1" customHeight="1" x14ac:dyDescent="0.25">
      <c r="B63" s="45" t="s">
        <v>108</v>
      </c>
      <c r="C63" s="50">
        <v>7</v>
      </c>
      <c r="D63" s="50">
        <v>4</v>
      </c>
      <c r="E63" s="50">
        <v>4</v>
      </c>
      <c r="F63" s="50">
        <v>8</v>
      </c>
      <c r="G63" s="50">
        <v>1</v>
      </c>
      <c r="H63" s="50">
        <v>0</v>
      </c>
      <c r="I63" s="50">
        <v>5</v>
      </c>
      <c r="J63" s="50">
        <v>3</v>
      </c>
      <c r="K63" s="50">
        <v>0</v>
      </c>
      <c r="L63" s="50">
        <v>3</v>
      </c>
      <c r="M63" s="50">
        <v>31</v>
      </c>
      <c r="N63" s="50">
        <v>0</v>
      </c>
      <c r="O63" s="15">
        <f t="shared" si="0"/>
        <v>35</v>
      </c>
      <c r="P63" s="15">
        <f t="shared" si="1"/>
        <v>66</v>
      </c>
      <c r="R63" s="8"/>
      <c r="T63"/>
    </row>
    <row r="64" spans="2:20" ht="23.1" customHeight="1" x14ac:dyDescent="0.25">
      <c r="B64" s="45" t="s">
        <v>109</v>
      </c>
      <c r="C64" s="50">
        <v>4</v>
      </c>
      <c r="D64" s="50">
        <v>6</v>
      </c>
      <c r="E64" s="50">
        <v>2</v>
      </c>
      <c r="F64" s="50">
        <v>4</v>
      </c>
      <c r="G64" s="50">
        <v>0</v>
      </c>
      <c r="H64" s="50">
        <v>0</v>
      </c>
      <c r="I64" s="50">
        <v>4</v>
      </c>
      <c r="J64" s="50">
        <v>1</v>
      </c>
      <c r="K64" s="50">
        <v>1</v>
      </c>
      <c r="L64" s="50">
        <v>2</v>
      </c>
      <c r="M64" s="50">
        <v>16</v>
      </c>
      <c r="N64" s="50">
        <v>0</v>
      </c>
      <c r="O64" s="15">
        <f t="shared" si="0"/>
        <v>24</v>
      </c>
      <c r="P64" s="15">
        <f t="shared" si="1"/>
        <v>40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2</v>
      </c>
      <c r="E65" s="50">
        <v>1</v>
      </c>
      <c r="F65" s="50">
        <v>3</v>
      </c>
      <c r="G65" s="50">
        <v>0</v>
      </c>
      <c r="H65" s="50">
        <v>1</v>
      </c>
      <c r="I65" s="50">
        <v>5</v>
      </c>
      <c r="J65" s="50">
        <v>3</v>
      </c>
      <c r="K65" s="50">
        <v>1</v>
      </c>
      <c r="L65" s="50">
        <v>3</v>
      </c>
      <c r="M65" s="50">
        <v>15</v>
      </c>
      <c r="N65" s="50">
        <v>0</v>
      </c>
      <c r="O65" s="15">
        <f t="shared" si="0"/>
        <v>20</v>
      </c>
      <c r="P65" s="15">
        <f t="shared" si="1"/>
        <v>35</v>
      </c>
      <c r="R65" s="8"/>
      <c r="T65"/>
    </row>
    <row r="66" spans="2:20" ht="23.1" customHeight="1" x14ac:dyDescent="0.25">
      <c r="B66" s="45" t="s">
        <v>103</v>
      </c>
      <c r="C66" s="50">
        <v>6</v>
      </c>
      <c r="D66" s="50">
        <v>2</v>
      </c>
      <c r="E66" s="50">
        <v>3</v>
      </c>
      <c r="F66" s="50">
        <v>4</v>
      </c>
      <c r="G66" s="50">
        <v>0</v>
      </c>
      <c r="H66" s="50">
        <v>0</v>
      </c>
      <c r="I66" s="50">
        <v>5</v>
      </c>
      <c r="J66" s="50">
        <v>4</v>
      </c>
      <c r="K66" s="50">
        <v>2</v>
      </c>
      <c r="L66" s="50">
        <v>1</v>
      </c>
      <c r="M66" s="50">
        <v>22</v>
      </c>
      <c r="N66" s="50">
        <v>0</v>
      </c>
      <c r="O66" s="15">
        <f t="shared" si="0"/>
        <v>27</v>
      </c>
      <c r="P66" s="15">
        <f t="shared" si="1"/>
        <v>49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3</v>
      </c>
      <c r="F67" s="50">
        <v>7</v>
      </c>
      <c r="G67" s="50">
        <v>0</v>
      </c>
      <c r="H67" s="50">
        <v>0</v>
      </c>
      <c r="I67" s="50">
        <v>8</v>
      </c>
      <c r="J67" s="50">
        <v>4</v>
      </c>
      <c r="K67" s="50">
        <v>2</v>
      </c>
      <c r="L67" s="50">
        <v>0</v>
      </c>
      <c r="M67" s="50">
        <v>20</v>
      </c>
      <c r="N67" s="50">
        <v>0</v>
      </c>
      <c r="O67" s="15">
        <f t="shared" si="0"/>
        <v>25</v>
      </c>
      <c r="P67" s="15">
        <f t="shared" si="1"/>
        <v>45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1</v>
      </c>
      <c r="E68" s="50">
        <v>1</v>
      </c>
      <c r="F68" s="50">
        <v>3</v>
      </c>
      <c r="G68" s="50">
        <v>0</v>
      </c>
      <c r="H68" s="50">
        <v>0</v>
      </c>
      <c r="I68" s="50">
        <v>4</v>
      </c>
      <c r="J68" s="50">
        <v>1</v>
      </c>
      <c r="K68" s="50">
        <v>4</v>
      </c>
      <c r="L68" s="50">
        <v>2</v>
      </c>
      <c r="M68" s="50">
        <v>11</v>
      </c>
      <c r="N68" s="50">
        <v>0</v>
      </c>
      <c r="O68" s="15">
        <f t="shared" si="0"/>
        <v>21</v>
      </c>
      <c r="P68" s="15">
        <f t="shared" si="1"/>
        <v>32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2</v>
      </c>
      <c r="E69" s="50">
        <v>4</v>
      </c>
      <c r="F69" s="50">
        <v>1</v>
      </c>
      <c r="G69" s="50">
        <v>0</v>
      </c>
      <c r="H69" s="50">
        <v>0</v>
      </c>
      <c r="I69" s="50">
        <v>3</v>
      </c>
      <c r="J69" s="50">
        <v>2</v>
      </c>
      <c r="K69" s="50">
        <v>3</v>
      </c>
      <c r="L69" s="50">
        <v>1</v>
      </c>
      <c r="M69" s="50">
        <v>11</v>
      </c>
      <c r="N69" s="50">
        <v>0</v>
      </c>
      <c r="O69" s="15">
        <f t="shared" si="0"/>
        <v>19</v>
      </c>
      <c r="P69" s="15">
        <f t="shared" si="1"/>
        <v>30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3</v>
      </c>
      <c r="E70" s="50">
        <v>1</v>
      </c>
      <c r="F70" s="50">
        <v>4</v>
      </c>
      <c r="G70" s="50">
        <v>0</v>
      </c>
      <c r="H70" s="50">
        <v>0</v>
      </c>
      <c r="I70" s="50">
        <v>1</v>
      </c>
      <c r="J70" s="50">
        <v>1</v>
      </c>
      <c r="K70" s="50">
        <v>1</v>
      </c>
      <c r="L70" s="50">
        <v>1</v>
      </c>
      <c r="M70" s="50">
        <v>6</v>
      </c>
      <c r="N70" s="50">
        <v>0</v>
      </c>
      <c r="O70" s="15">
        <f t="shared" si="0"/>
        <v>14</v>
      </c>
      <c r="P70" s="15">
        <f t="shared" si="1"/>
        <v>20</v>
      </c>
      <c r="R70" s="8"/>
      <c r="T70"/>
    </row>
    <row r="71" spans="2:20" ht="23.1" customHeight="1" x14ac:dyDescent="0.25">
      <c r="B71" s="45" t="s">
        <v>111</v>
      </c>
      <c r="C71" s="50">
        <v>6</v>
      </c>
      <c r="D71" s="50">
        <v>4</v>
      </c>
      <c r="E71" s="50">
        <v>2</v>
      </c>
      <c r="F71" s="50">
        <v>2</v>
      </c>
      <c r="G71" s="50">
        <v>0</v>
      </c>
      <c r="H71" s="50">
        <v>0</v>
      </c>
      <c r="I71" s="50">
        <v>6</v>
      </c>
      <c r="J71" s="50">
        <v>7</v>
      </c>
      <c r="K71" s="50">
        <v>2</v>
      </c>
      <c r="L71" s="50">
        <v>1</v>
      </c>
      <c r="M71" s="50">
        <v>10</v>
      </c>
      <c r="N71" s="50">
        <v>0</v>
      </c>
      <c r="O71" s="15">
        <f t="shared" si="0"/>
        <v>30</v>
      </c>
      <c r="P71" s="15">
        <f t="shared" si="1"/>
        <v>40</v>
      </c>
      <c r="R71" s="8"/>
      <c r="T71"/>
    </row>
    <row r="72" spans="2:20" ht="23.1" customHeight="1" x14ac:dyDescent="0.25">
      <c r="B72" s="45" t="s">
        <v>112</v>
      </c>
      <c r="C72" s="50">
        <v>5</v>
      </c>
      <c r="D72" s="50">
        <v>2</v>
      </c>
      <c r="E72" s="50">
        <v>1</v>
      </c>
      <c r="F72" s="50">
        <v>5</v>
      </c>
      <c r="G72" s="50">
        <v>0</v>
      </c>
      <c r="H72" s="50">
        <v>0</v>
      </c>
      <c r="I72" s="50">
        <v>3</v>
      </c>
      <c r="J72" s="50">
        <v>3</v>
      </c>
      <c r="K72" s="50">
        <v>1</v>
      </c>
      <c r="L72" s="50">
        <v>0</v>
      </c>
      <c r="M72" s="50">
        <v>11</v>
      </c>
      <c r="N72" s="50">
        <v>0</v>
      </c>
      <c r="O72" s="15">
        <f t="shared" si="0"/>
        <v>20</v>
      </c>
      <c r="P72" s="15">
        <f t="shared" si="1"/>
        <v>31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2</v>
      </c>
      <c r="E73" s="50">
        <v>1</v>
      </c>
      <c r="F73" s="50">
        <v>5</v>
      </c>
      <c r="G73" s="50">
        <v>0</v>
      </c>
      <c r="H73" s="50">
        <v>0</v>
      </c>
      <c r="I73" s="50">
        <v>4</v>
      </c>
      <c r="J73" s="50">
        <v>3</v>
      </c>
      <c r="K73" s="50">
        <v>1</v>
      </c>
      <c r="L73" s="50">
        <v>3</v>
      </c>
      <c r="M73" s="50">
        <v>6</v>
      </c>
      <c r="N73" s="50">
        <v>0</v>
      </c>
      <c r="O73" s="15">
        <f t="shared" si="0"/>
        <v>21</v>
      </c>
      <c r="P73" s="15">
        <f t="shared" si="1"/>
        <v>27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1</v>
      </c>
      <c r="F74" s="50">
        <v>1</v>
      </c>
      <c r="G74" s="50">
        <v>0</v>
      </c>
      <c r="H74" s="50">
        <v>0</v>
      </c>
      <c r="I74" s="50">
        <v>7</v>
      </c>
      <c r="J74" s="50">
        <v>1</v>
      </c>
      <c r="K74" s="50">
        <v>2</v>
      </c>
      <c r="L74" s="50">
        <v>0</v>
      </c>
      <c r="M74" s="50">
        <v>9</v>
      </c>
      <c r="N74" s="50">
        <v>0</v>
      </c>
      <c r="O74" s="15">
        <f t="shared" ref="O74:O105" si="35">SUM(C74:L74,N74)</f>
        <v>13</v>
      </c>
      <c r="P74" s="15">
        <f t="shared" ref="P74:P105" si="36">SUM(C74:N74)</f>
        <v>22</v>
      </c>
      <c r="R74" s="8"/>
      <c r="T74"/>
    </row>
    <row r="75" spans="2:20" ht="23.1" customHeight="1" x14ac:dyDescent="0.25">
      <c r="B75" s="45" t="s">
        <v>115</v>
      </c>
      <c r="C75" s="50">
        <v>4</v>
      </c>
      <c r="D75" s="50">
        <v>0</v>
      </c>
      <c r="E75" s="50">
        <v>1</v>
      </c>
      <c r="F75" s="50">
        <v>2</v>
      </c>
      <c r="G75" s="50">
        <v>0</v>
      </c>
      <c r="H75" s="50">
        <v>1</v>
      </c>
      <c r="I75" s="50">
        <v>2</v>
      </c>
      <c r="J75" s="50">
        <v>3</v>
      </c>
      <c r="K75" s="50">
        <v>4</v>
      </c>
      <c r="L75" s="50">
        <v>2</v>
      </c>
      <c r="M75" s="50">
        <v>3</v>
      </c>
      <c r="N75" s="50">
        <v>0</v>
      </c>
      <c r="O75" s="15">
        <f t="shared" si="35"/>
        <v>19</v>
      </c>
      <c r="P75" s="15">
        <f t="shared" si="36"/>
        <v>22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3</v>
      </c>
      <c r="K76" s="50">
        <v>3</v>
      </c>
      <c r="L76" s="50">
        <v>0</v>
      </c>
      <c r="M76" s="50">
        <v>0</v>
      </c>
      <c r="N76" s="50">
        <v>0</v>
      </c>
      <c r="O76" s="15">
        <f t="shared" si="35"/>
        <v>10</v>
      </c>
      <c r="P76" s="15">
        <f t="shared" si="36"/>
        <v>10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1</v>
      </c>
      <c r="E77" s="50">
        <v>2</v>
      </c>
      <c r="F77" s="50">
        <v>1</v>
      </c>
      <c r="G77" s="50">
        <v>2</v>
      </c>
      <c r="H77" s="50">
        <v>1</v>
      </c>
      <c r="I77" s="50">
        <v>3</v>
      </c>
      <c r="J77" s="50">
        <v>2</v>
      </c>
      <c r="K77" s="50">
        <v>0</v>
      </c>
      <c r="L77" s="50">
        <v>4</v>
      </c>
      <c r="M77" s="50">
        <v>4</v>
      </c>
      <c r="N77" s="50">
        <v>0</v>
      </c>
      <c r="O77" s="15">
        <f t="shared" si="35"/>
        <v>17</v>
      </c>
      <c r="P77" s="15">
        <f t="shared" si="36"/>
        <v>21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0</v>
      </c>
      <c r="E78" s="50">
        <v>0</v>
      </c>
      <c r="F78" s="50">
        <v>4</v>
      </c>
      <c r="G78" s="50">
        <v>0</v>
      </c>
      <c r="H78" s="50">
        <v>0</v>
      </c>
      <c r="I78" s="50">
        <v>1</v>
      </c>
      <c r="J78" s="50">
        <v>5</v>
      </c>
      <c r="K78" s="50">
        <v>0</v>
      </c>
      <c r="L78" s="50">
        <v>1</v>
      </c>
      <c r="M78" s="50">
        <v>1</v>
      </c>
      <c r="N78" s="50">
        <v>0</v>
      </c>
      <c r="O78" s="15">
        <f t="shared" si="35"/>
        <v>14</v>
      </c>
      <c r="P78" s="15">
        <f t="shared" si="36"/>
        <v>15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1</v>
      </c>
      <c r="G79" s="50">
        <v>0</v>
      </c>
      <c r="H79" s="50">
        <v>0</v>
      </c>
      <c r="I79" s="50">
        <v>3</v>
      </c>
      <c r="J79" s="50">
        <v>6</v>
      </c>
      <c r="K79" s="50">
        <v>1</v>
      </c>
      <c r="L79" s="50">
        <v>0</v>
      </c>
      <c r="M79" s="50">
        <v>3</v>
      </c>
      <c r="N79" s="50">
        <v>0</v>
      </c>
      <c r="O79" s="15">
        <f t="shared" si="35"/>
        <v>12</v>
      </c>
      <c r="P79" s="15">
        <f t="shared" si="36"/>
        <v>15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1</v>
      </c>
      <c r="G80" s="50">
        <v>0</v>
      </c>
      <c r="H80" s="50">
        <v>0</v>
      </c>
      <c r="I80" s="50">
        <v>1</v>
      </c>
      <c r="J80" s="50">
        <v>1</v>
      </c>
      <c r="K80" s="50">
        <v>1</v>
      </c>
      <c r="L80" s="50">
        <v>1</v>
      </c>
      <c r="M80" s="50">
        <v>2</v>
      </c>
      <c r="N80" s="50">
        <v>0</v>
      </c>
      <c r="O80" s="15">
        <f t="shared" si="35"/>
        <v>6</v>
      </c>
      <c r="P80" s="15">
        <f t="shared" si="36"/>
        <v>8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2</v>
      </c>
      <c r="J81" s="50">
        <v>0</v>
      </c>
      <c r="K81" s="50">
        <v>2</v>
      </c>
      <c r="L81" s="50">
        <v>0</v>
      </c>
      <c r="M81" s="50">
        <v>0</v>
      </c>
      <c r="N81" s="50">
        <v>0</v>
      </c>
      <c r="O81" s="15">
        <f t="shared" si="35"/>
        <v>5</v>
      </c>
      <c r="P81" s="15">
        <f t="shared" si="36"/>
        <v>5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1</v>
      </c>
      <c r="K82" s="50">
        <v>1</v>
      </c>
      <c r="L82" s="50">
        <v>0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3</v>
      </c>
      <c r="J83" s="50">
        <v>6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9</v>
      </c>
      <c r="P83" s="15">
        <f t="shared" si="36"/>
        <v>10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1</v>
      </c>
      <c r="F84" s="50">
        <v>1</v>
      </c>
      <c r="G84" s="50">
        <v>0</v>
      </c>
      <c r="H84" s="50">
        <v>1</v>
      </c>
      <c r="I84" s="50">
        <v>2</v>
      </c>
      <c r="J84" s="50">
        <v>3</v>
      </c>
      <c r="K84" s="50">
        <v>1</v>
      </c>
      <c r="L84" s="50">
        <v>3</v>
      </c>
      <c r="M84" s="50">
        <v>1</v>
      </c>
      <c r="N84" s="50">
        <v>0</v>
      </c>
      <c r="O84" s="15">
        <f t="shared" si="35"/>
        <v>13</v>
      </c>
      <c r="P84" s="15">
        <f t="shared" si="36"/>
        <v>14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1</v>
      </c>
      <c r="G85" s="50">
        <v>0</v>
      </c>
      <c r="H85" s="50">
        <v>1</v>
      </c>
      <c r="I85" s="50">
        <v>2</v>
      </c>
      <c r="J85" s="50">
        <v>1</v>
      </c>
      <c r="K85" s="50">
        <v>0</v>
      </c>
      <c r="L85" s="50">
        <v>2</v>
      </c>
      <c r="M85" s="50">
        <v>1</v>
      </c>
      <c r="N85" s="50">
        <v>0</v>
      </c>
      <c r="O85" s="15">
        <f t="shared" si="35"/>
        <v>7</v>
      </c>
      <c r="P85" s="15">
        <f t="shared" si="36"/>
        <v>8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1</v>
      </c>
      <c r="H86" s="50">
        <v>0</v>
      </c>
      <c r="I86" s="50">
        <v>2</v>
      </c>
      <c r="J86" s="50">
        <v>4</v>
      </c>
      <c r="K86" s="50">
        <v>2</v>
      </c>
      <c r="L86" s="50">
        <v>0</v>
      </c>
      <c r="M86" s="50">
        <v>0</v>
      </c>
      <c r="N86" s="50">
        <v>0</v>
      </c>
      <c r="O86" s="15">
        <f t="shared" si="35"/>
        <v>10</v>
      </c>
      <c r="P86" s="15">
        <f t="shared" si="36"/>
        <v>10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4</v>
      </c>
      <c r="J87" s="50">
        <v>3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8</v>
      </c>
      <c r="P87" s="15">
        <f t="shared" si="36"/>
        <v>9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1</v>
      </c>
      <c r="G88" s="50">
        <v>0</v>
      </c>
      <c r="H88" s="50">
        <v>1</v>
      </c>
      <c r="I88" s="50">
        <v>1</v>
      </c>
      <c r="J88" s="50">
        <v>1</v>
      </c>
      <c r="K88" s="50">
        <v>0</v>
      </c>
      <c r="L88" s="50">
        <v>1</v>
      </c>
      <c r="M88" s="50">
        <v>1</v>
      </c>
      <c r="N88" s="50">
        <v>0</v>
      </c>
      <c r="O88" s="15">
        <f t="shared" si="35"/>
        <v>6</v>
      </c>
      <c r="P88" s="15">
        <f t="shared" si="36"/>
        <v>7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1</v>
      </c>
      <c r="G89" s="50">
        <v>0</v>
      </c>
      <c r="H89" s="50">
        <v>1</v>
      </c>
      <c r="I89" s="50">
        <v>2</v>
      </c>
      <c r="J89" s="50">
        <v>1</v>
      </c>
      <c r="K89" s="50">
        <v>2</v>
      </c>
      <c r="L89" s="50">
        <v>3</v>
      </c>
      <c r="M89" s="50">
        <v>0</v>
      </c>
      <c r="N89" s="50">
        <v>0</v>
      </c>
      <c r="O89" s="15">
        <f t="shared" si="35"/>
        <v>10</v>
      </c>
      <c r="P89" s="15">
        <f t="shared" si="36"/>
        <v>10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1</v>
      </c>
      <c r="E90" s="50">
        <v>1</v>
      </c>
      <c r="F90" s="50">
        <v>0</v>
      </c>
      <c r="G90" s="50">
        <v>0</v>
      </c>
      <c r="H90" s="50">
        <v>1</v>
      </c>
      <c r="I90" s="50">
        <v>2</v>
      </c>
      <c r="J90" s="50">
        <v>0</v>
      </c>
      <c r="K90" s="50">
        <v>0</v>
      </c>
      <c r="L90" s="50">
        <v>2</v>
      </c>
      <c r="M90" s="50">
        <v>0</v>
      </c>
      <c r="N90" s="50">
        <v>0</v>
      </c>
      <c r="O90" s="15">
        <f t="shared" si="35"/>
        <v>8</v>
      </c>
      <c r="P90" s="15">
        <f t="shared" si="36"/>
        <v>8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1</v>
      </c>
      <c r="K91" s="50">
        <v>2</v>
      </c>
      <c r="L91" s="50">
        <v>0</v>
      </c>
      <c r="M91" s="50">
        <v>0</v>
      </c>
      <c r="N91" s="50">
        <v>0</v>
      </c>
      <c r="O91" s="15">
        <f t="shared" si="35"/>
        <v>6</v>
      </c>
      <c r="P91" s="15">
        <f t="shared" si="36"/>
        <v>6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2</v>
      </c>
      <c r="J92" s="50">
        <v>3</v>
      </c>
      <c r="K92" s="50">
        <v>2</v>
      </c>
      <c r="L92" s="50">
        <v>2</v>
      </c>
      <c r="M92" s="50">
        <v>0</v>
      </c>
      <c r="N92" s="50">
        <v>0</v>
      </c>
      <c r="O92" s="15">
        <f t="shared" si="35"/>
        <v>10</v>
      </c>
      <c r="P92" s="15">
        <f t="shared" si="36"/>
        <v>10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1</v>
      </c>
      <c r="E93" s="50">
        <v>0</v>
      </c>
      <c r="F93" s="50">
        <v>0</v>
      </c>
      <c r="G93" s="50">
        <v>0</v>
      </c>
      <c r="H93" s="50">
        <v>2</v>
      </c>
      <c r="I93" s="50">
        <v>1</v>
      </c>
      <c r="J93" s="50">
        <v>3</v>
      </c>
      <c r="K93" s="50">
        <v>1</v>
      </c>
      <c r="L93" s="50">
        <v>0</v>
      </c>
      <c r="M93" s="50">
        <v>2</v>
      </c>
      <c r="N93" s="50">
        <v>0</v>
      </c>
      <c r="O93" s="15">
        <f t="shared" si="35"/>
        <v>9</v>
      </c>
      <c r="P93" s="15">
        <f t="shared" si="36"/>
        <v>11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1</v>
      </c>
      <c r="E94" s="50">
        <v>0</v>
      </c>
      <c r="F94" s="50">
        <v>0</v>
      </c>
      <c r="G94" s="50">
        <v>0</v>
      </c>
      <c r="H94" s="50">
        <v>1</v>
      </c>
      <c r="I94" s="50">
        <v>1</v>
      </c>
      <c r="J94" s="50">
        <v>1</v>
      </c>
      <c r="K94" s="50">
        <v>2</v>
      </c>
      <c r="L94" s="50">
        <v>0</v>
      </c>
      <c r="M94" s="50">
        <v>0</v>
      </c>
      <c r="N94" s="50">
        <v>0</v>
      </c>
      <c r="O94" s="15">
        <f t="shared" si="35"/>
        <v>8</v>
      </c>
      <c r="P94" s="15">
        <f t="shared" si="36"/>
        <v>8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1</v>
      </c>
      <c r="L95" s="50">
        <v>0</v>
      </c>
      <c r="M95" s="50">
        <v>1</v>
      </c>
      <c r="N95" s="50">
        <v>0</v>
      </c>
      <c r="O95" s="15">
        <f t="shared" si="35"/>
        <v>2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1</v>
      </c>
      <c r="K96" s="50">
        <v>1</v>
      </c>
      <c r="L96" s="50">
        <v>1</v>
      </c>
      <c r="M96" s="50">
        <v>3</v>
      </c>
      <c r="N96" s="50">
        <v>0</v>
      </c>
      <c r="O96" s="15">
        <f t="shared" si="35"/>
        <v>4</v>
      </c>
      <c r="P96" s="15">
        <f t="shared" si="36"/>
        <v>7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1</v>
      </c>
      <c r="J97" s="50">
        <v>1</v>
      </c>
      <c r="K97" s="50">
        <v>0</v>
      </c>
      <c r="L97" s="50">
        <v>1</v>
      </c>
      <c r="M97" s="50">
        <v>1</v>
      </c>
      <c r="N97" s="50">
        <v>0</v>
      </c>
      <c r="O97" s="15">
        <f t="shared" si="35"/>
        <v>4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1</v>
      </c>
      <c r="E98" s="50">
        <v>0</v>
      </c>
      <c r="F98" s="50">
        <v>2</v>
      </c>
      <c r="G98" s="50">
        <v>0</v>
      </c>
      <c r="H98" s="50">
        <v>0</v>
      </c>
      <c r="I98" s="50">
        <v>2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5</v>
      </c>
      <c r="P98" s="15">
        <f t="shared" si="36"/>
        <v>7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3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4</v>
      </c>
      <c r="P99" s="15">
        <f t="shared" si="36"/>
        <v>6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1</v>
      </c>
      <c r="G100" s="50">
        <v>0</v>
      </c>
      <c r="H100" s="50">
        <v>1</v>
      </c>
      <c r="I100" s="50">
        <v>1</v>
      </c>
      <c r="J100" s="50">
        <v>1</v>
      </c>
      <c r="K100" s="50">
        <v>1</v>
      </c>
      <c r="L100" s="50">
        <v>1</v>
      </c>
      <c r="M100" s="50">
        <v>2</v>
      </c>
      <c r="N100" s="50">
        <v>0</v>
      </c>
      <c r="O100" s="15">
        <f t="shared" si="35"/>
        <v>7</v>
      </c>
      <c r="P100" s="15">
        <f t="shared" si="36"/>
        <v>9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1</v>
      </c>
      <c r="F101" s="50">
        <v>2</v>
      </c>
      <c r="G101" s="50">
        <v>1</v>
      </c>
      <c r="H101" s="50">
        <v>0</v>
      </c>
      <c r="I101" s="50">
        <v>2</v>
      </c>
      <c r="J101" s="50">
        <v>2</v>
      </c>
      <c r="K101" s="50">
        <v>1</v>
      </c>
      <c r="L101" s="50">
        <v>2</v>
      </c>
      <c r="M101" s="50">
        <v>3</v>
      </c>
      <c r="N101" s="50">
        <v>0</v>
      </c>
      <c r="O101" s="15">
        <f t="shared" si="35"/>
        <v>11</v>
      </c>
      <c r="P101" s="15">
        <f t="shared" si="36"/>
        <v>14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0</v>
      </c>
      <c r="J102" s="50">
        <v>0</v>
      </c>
      <c r="K102" s="50">
        <v>1</v>
      </c>
      <c r="L102" s="50">
        <v>0</v>
      </c>
      <c r="M102" s="50">
        <v>3</v>
      </c>
      <c r="N102" s="50">
        <v>0</v>
      </c>
      <c r="O102" s="15">
        <f t="shared" si="35"/>
        <v>3</v>
      </c>
      <c r="P102" s="15">
        <f t="shared" si="36"/>
        <v>6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2</v>
      </c>
      <c r="J103" s="50">
        <v>3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8</v>
      </c>
      <c r="P103" s="15">
        <f t="shared" si="36"/>
        <v>13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1</v>
      </c>
      <c r="F104" s="50">
        <v>1</v>
      </c>
      <c r="G104" s="50">
        <v>0</v>
      </c>
      <c r="H104" s="50">
        <v>0</v>
      </c>
      <c r="I104" s="50">
        <v>2</v>
      </c>
      <c r="J104" s="50">
        <v>1</v>
      </c>
      <c r="K104" s="50">
        <v>0</v>
      </c>
      <c r="L104" s="50">
        <v>4</v>
      </c>
      <c r="M104" s="50">
        <v>19</v>
      </c>
      <c r="N104" s="50">
        <v>0</v>
      </c>
      <c r="O104" s="15">
        <f t="shared" si="35"/>
        <v>12</v>
      </c>
      <c r="P104" s="15">
        <f t="shared" si="36"/>
        <v>31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0</v>
      </c>
      <c r="F105" s="50">
        <v>2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14</v>
      </c>
      <c r="N105" s="50">
        <v>0</v>
      </c>
      <c r="O105" s="15">
        <f t="shared" si="35"/>
        <v>5</v>
      </c>
      <c r="P105" s="15">
        <f t="shared" si="36"/>
        <v>19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493</v>
      </c>
      <c r="D106" s="16">
        <f t="shared" ref="D106:P106" si="37">SUM(D10:D105)</f>
        <v>215</v>
      </c>
      <c r="E106" s="16">
        <f t="shared" si="37"/>
        <v>198</v>
      </c>
      <c r="F106" s="16">
        <f t="shared" si="37"/>
        <v>428</v>
      </c>
      <c r="G106" s="16">
        <f t="shared" si="37"/>
        <v>21</v>
      </c>
      <c r="H106" s="16">
        <f t="shared" si="37"/>
        <v>33</v>
      </c>
      <c r="I106" s="16">
        <f t="shared" si="37"/>
        <v>199</v>
      </c>
      <c r="J106" s="16">
        <f t="shared" si="37"/>
        <v>187</v>
      </c>
      <c r="K106" s="16">
        <f t="shared" si="37"/>
        <v>75</v>
      </c>
      <c r="L106" s="16">
        <f t="shared" si="37"/>
        <v>91</v>
      </c>
      <c r="M106" s="16">
        <f t="shared" si="37"/>
        <v>2358</v>
      </c>
      <c r="N106" s="16">
        <f t="shared" si="37"/>
        <v>1</v>
      </c>
      <c r="O106" s="16">
        <f t="shared" si="37"/>
        <v>1941</v>
      </c>
      <c r="P106" s="16">
        <f t="shared" si="37"/>
        <v>4299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0.11467783205396603</v>
      </c>
      <c r="D107" s="43">
        <f t="shared" si="38"/>
        <v>5.0011630611770178E-2</v>
      </c>
      <c r="E107" s="43">
        <f t="shared" si="38"/>
        <v>4.6057222609909285E-2</v>
      </c>
      <c r="F107" s="43">
        <f t="shared" si="38"/>
        <v>9.9558036752733198E-2</v>
      </c>
      <c r="G107" s="43">
        <f t="shared" si="38"/>
        <v>4.8848569434752267E-3</v>
      </c>
      <c r="H107" s="43">
        <f t="shared" si="38"/>
        <v>7.6762037683182132E-3</v>
      </c>
      <c r="I107" s="43">
        <f t="shared" si="38"/>
        <v>4.6289834845312863E-2</v>
      </c>
      <c r="J107" s="43">
        <f t="shared" si="38"/>
        <v>4.3498488020469878E-2</v>
      </c>
      <c r="K107" s="43">
        <f t="shared" si="38"/>
        <v>1.7445917655268667E-2</v>
      </c>
      <c r="L107" s="43">
        <f t="shared" si="38"/>
        <v>2.1167713421725982E-2</v>
      </c>
      <c r="M107" s="43">
        <f t="shared" si="38"/>
        <v>0.54849965108164689</v>
      </c>
      <c r="N107" s="43">
        <f t="shared" si="38"/>
        <v>2.3261223540358222E-4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0.25399278722308088</v>
      </c>
      <c r="D108" s="44">
        <f t="shared" ref="D108:N108" si="39">D106/$O$106</f>
        <v>0.11076764554353426</v>
      </c>
      <c r="E108" s="44">
        <f t="shared" si="39"/>
        <v>0.10200927357032458</v>
      </c>
      <c r="F108" s="44">
        <f t="shared" si="39"/>
        <v>0.22050489438433796</v>
      </c>
      <c r="G108" s="44">
        <f t="shared" si="39"/>
        <v>1.0819165378670788E-2</v>
      </c>
      <c r="H108" s="44">
        <f t="shared" si="39"/>
        <v>1.7001545595054096E-2</v>
      </c>
      <c r="I108" s="44">
        <f t="shared" si="39"/>
        <v>0.10252447192168986</v>
      </c>
      <c r="J108" s="44">
        <f t="shared" si="39"/>
        <v>9.634209170530654E-2</v>
      </c>
      <c r="K108" s="44">
        <f t="shared" si="39"/>
        <v>3.8639876352395672E-2</v>
      </c>
      <c r="L108" s="44">
        <f t="shared" si="39"/>
        <v>4.6883049974240081E-2</v>
      </c>
      <c r="M108" s="44"/>
      <c r="N108" s="44">
        <f t="shared" si="39"/>
        <v>5.1519835136527566E-4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177</v>
      </c>
      <c r="E5" s="3"/>
      <c r="F5" s="41" t="s">
        <v>1</v>
      </c>
      <c r="G5" s="60" t="str">
        <f>'19.10  MUBENDE-MITYANA-24h'!G5:H5</f>
        <v>MITYANA COLLEGE KIKUMBI</v>
      </c>
      <c r="H5" s="61"/>
      <c r="I5" s="14"/>
      <c r="J5" s="2" t="s">
        <v>5</v>
      </c>
      <c r="K5" s="60" t="s">
        <v>175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'23.10 MITYANA-MUBENDE'!D6:E6</f>
        <v>MITYANA</v>
      </c>
      <c r="E6" s="61"/>
      <c r="F6" s="2" t="s">
        <v>2</v>
      </c>
      <c r="G6" s="60" t="str">
        <f>'23.10 MITYANA-MUBENDE'!G6:H6</f>
        <v>MUBENDE</v>
      </c>
      <c r="H6" s="61"/>
      <c r="J6" s="2" t="s">
        <v>21</v>
      </c>
      <c r="K6" s="60" t="str">
        <f>'19.10  MUBENDE-MITYANA-24h'!K6:L6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8</v>
      </c>
      <c r="D10" s="50">
        <v>2</v>
      </c>
      <c r="E10" s="50">
        <v>2</v>
      </c>
      <c r="F10" s="50">
        <v>7</v>
      </c>
      <c r="G10" s="50">
        <v>0</v>
      </c>
      <c r="H10" s="50">
        <v>0</v>
      </c>
      <c r="I10" s="50">
        <v>2</v>
      </c>
      <c r="J10" s="50">
        <v>2</v>
      </c>
      <c r="K10" s="50">
        <v>1</v>
      </c>
      <c r="L10" s="50">
        <v>2</v>
      </c>
      <c r="M10" s="50">
        <v>32</v>
      </c>
      <c r="N10" s="50">
        <v>0</v>
      </c>
      <c r="O10" s="15">
        <f t="shared" ref="O10:O73" si="0">SUM(C10:L10,N10)</f>
        <v>26</v>
      </c>
      <c r="P10" s="15">
        <f t="shared" ref="P10:P73" si="1">SUM(C10:N10)</f>
        <v>58</v>
      </c>
      <c r="R10" s="1" t="s">
        <v>6</v>
      </c>
      <c r="S10" s="17">
        <f t="shared" ref="S10:AF10" si="2">SUM(C10:C13)</f>
        <v>29</v>
      </c>
      <c r="T10" s="17">
        <f t="shared" si="2"/>
        <v>5</v>
      </c>
      <c r="U10" s="17">
        <f t="shared" si="2"/>
        <v>7</v>
      </c>
      <c r="V10" s="17">
        <f t="shared" si="2"/>
        <v>19</v>
      </c>
      <c r="W10" s="17">
        <f t="shared" si="2"/>
        <v>0</v>
      </c>
      <c r="X10" s="17">
        <f t="shared" si="2"/>
        <v>0</v>
      </c>
      <c r="Y10" s="17">
        <f t="shared" si="2"/>
        <v>11</v>
      </c>
      <c r="Z10" s="17">
        <f t="shared" si="2"/>
        <v>4</v>
      </c>
      <c r="AA10" s="17">
        <f t="shared" si="2"/>
        <v>4</v>
      </c>
      <c r="AB10" s="17">
        <f t="shared" si="2"/>
        <v>6</v>
      </c>
      <c r="AC10" s="17">
        <f t="shared" si="2"/>
        <v>135</v>
      </c>
      <c r="AD10" s="17">
        <f t="shared" si="2"/>
        <v>0</v>
      </c>
      <c r="AE10" s="31">
        <f t="shared" si="2"/>
        <v>85</v>
      </c>
      <c r="AF10" s="31">
        <f t="shared" si="2"/>
        <v>220</v>
      </c>
    </row>
    <row r="11" spans="2:32" s="6" customFormat="1" ht="23.1" customHeight="1" x14ac:dyDescent="0.25">
      <c r="B11" s="45" t="s">
        <v>38</v>
      </c>
      <c r="C11" s="50">
        <v>3</v>
      </c>
      <c r="D11" s="50">
        <v>2</v>
      </c>
      <c r="E11" s="50">
        <v>1</v>
      </c>
      <c r="F11" s="50">
        <v>3</v>
      </c>
      <c r="G11" s="50">
        <v>0</v>
      </c>
      <c r="H11" s="50">
        <v>0</v>
      </c>
      <c r="I11" s="50">
        <v>1</v>
      </c>
      <c r="J11" s="50">
        <v>2</v>
      </c>
      <c r="K11" s="50">
        <v>2</v>
      </c>
      <c r="L11" s="50">
        <v>2</v>
      </c>
      <c r="M11" s="50">
        <v>33</v>
      </c>
      <c r="N11" s="50">
        <v>0</v>
      </c>
      <c r="O11" s="15">
        <f t="shared" si="0"/>
        <v>16</v>
      </c>
      <c r="P11" s="15">
        <f t="shared" si="1"/>
        <v>49</v>
      </c>
      <c r="R11" s="1" t="s">
        <v>7</v>
      </c>
      <c r="S11" s="17">
        <f t="shared" ref="S11:AF11" si="3">SUM(C14:C17)</f>
        <v>26</v>
      </c>
      <c r="T11" s="17">
        <f t="shared" si="3"/>
        <v>10</v>
      </c>
      <c r="U11" s="17">
        <f t="shared" si="3"/>
        <v>10</v>
      </c>
      <c r="V11" s="17">
        <f t="shared" si="3"/>
        <v>17</v>
      </c>
      <c r="W11" s="17">
        <f t="shared" si="3"/>
        <v>0</v>
      </c>
      <c r="X11" s="17">
        <f t="shared" si="3"/>
        <v>1</v>
      </c>
      <c r="Y11" s="17">
        <f t="shared" si="3"/>
        <v>8</v>
      </c>
      <c r="Z11" s="17">
        <f t="shared" si="3"/>
        <v>8</v>
      </c>
      <c r="AA11" s="17">
        <f t="shared" si="3"/>
        <v>1</v>
      </c>
      <c r="AB11" s="17">
        <f t="shared" si="3"/>
        <v>4</v>
      </c>
      <c r="AC11" s="17">
        <f t="shared" si="3"/>
        <v>139</v>
      </c>
      <c r="AD11" s="17">
        <f t="shared" si="3"/>
        <v>1</v>
      </c>
      <c r="AE11" s="31">
        <f t="shared" si="3"/>
        <v>86</v>
      </c>
      <c r="AF11" s="31">
        <f t="shared" si="3"/>
        <v>225</v>
      </c>
    </row>
    <row r="12" spans="2:32" ht="23.1" customHeight="1" x14ac:dyDescent="0.25">
      <c r="B12" s="45" t="s">
        <v>39</v>
      </c>
      <c r="C12" s="50">
        <v>6</v>
      </c>
      <c r="D12" s="50">
        <v>0</v>
      </c>
      <c r="E12" s="50">
        <v>1</v>
      </c>
      <c r="F12" s="50">
        <v>4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1</v>
      </c>
      <c r="M12" s="50">
        <v>33</v>
      </c>
      <c r="N12" s="50">
        <v>0</v>
      </c>
      <c r="O12" s="15">
        <f t="shared" si="0"/>
        <v>14</v>
      </c>
      <c r="P12" s="15">
        <f t="shared" si="1"/>
        <v>47</v>
      </c>
      <c r="R12" s="1" t="s">
        <v>8</v>
      </c>
      <c r="S12" s="17">
        <f t="shared" ref="S12:AF12" si="4">SUM(C18:C21)</f>
        <v>39</v>
      </c>
      <c r="T12" s="17">
        <f t="shared" si="4"/>
        <v>17</v>
      </c>
      <c r="U12" s="17">
        <f t="shared" si="4"/>
        <v>9</v>
      </c>
      <c r="V12" s="17">
        <f t="shared" si="4"/>
        <v>20</v>
      </c>
      <c r="W12" s="17">
        <f t="shared" si="4"/>
        <v>3</v>
      </c>
      <c r="X12" s="17">
        <f t="shared" si="4"/>
        <v>0</v>
      </c>
      <c r="Y12" s="17">
        <f t="shared" si="4"/>
        <v>14</v>
      </c>
      <c r="Z12" s="17">
        <f t="shared" si="4"/>
        <v>8</v>
      </c>
      <c r="AA12" s="17">
        <f t="shared" si="4"/>
        <v>3</v>
      </c>
      <c r="AB12" s="17">
        <f t="shared" si="4"/>
        <v>6</v>
      </c>
      <c r="AC12" s="17">
        <f t="shared" si="4"/>
        <v>124</v>
      </c>
      <c r="AD12" s="17">
        <f t="shared" si="4"/>
        <v>0</v>
      </c>
      <c r="AE12" s="31">
        <f t="shared" si="4"/>
        <v>119</v>
      </c>
      <c r="AF12" s="31">
        <f t="shared" si="4"/>
        <v>243</v>
      </c>
    </row>
    <row r="13" spans="2:32" ht="23.1" customHeight="1" x14ac:dyDescent="0.25">
      <c r="B13" s="45" t="s">
        <v>40</v>
      </c>
      <c r="C13" s="50">
        <v>12</v>
      </c>
      <c r="D13" s="50">
        <v>1</v>
      </c>
      <c r="E13" s="50">
        <v>3</v>
      </c>
      <c r="F13" s="50">
        <v>5</v>
      </c>
      <c r="G13" s="50">
        <v>0</v>
      </c>
      <c r="H13" s="50">
        <v>0</v>
      </c>
      <c r="I13" s="50">
        <v>7</v>
      </c>
      <c r="J13" s="50">
        <v>0</v>
      </c>
      <c r="K13" s="50">
        <v>0</v>
      </c>
      <c r="L13" s="50">
        <v>1</v>
      </c>
      <c r="M13" s="50">
        <v>37</v>
      </c>
      <c r="N13" s="50">
        <v>0</v>
      </c>
      <c r="O13" s="15">
        <f t="shared" si="0"/>
        <v>29</v>
      </c>
      <c r="P13" s="15">
        <f t="shared" si="1"/>
        <v>66</v>
      </c>
      <c r="R13" s="1" t="s">
        <v>9</v>
      </c>
      <c r="S13" s="17">
        <f t="shared" ref="S13:AF13" si="5">SUM(C22:C25)</f>
        <v>31</v>
      </c>
      <c r="T13" s="17">
        <f t="shared" si="5"/>
        <v>6</v>
      </c>
      <c r="U13" s="17">
        <f t="shared" si="5"/>
        <v>10</v>
      </c>
      <c r="V13" s="17">
        <f t="shared" si="5"/>
        <v>27</v>
      </c>
      <c r="W13" s="17">
        <f t="shared" si="5"/>
        <v>0</v>
      </c>
      <c r="X13" s="17">
        <f t="shared" si="5"/>
        <v>2</v>
      </c>
      <c r="Y13" s="17">
        <f t="shared" si="5"/>
        <v>9</v>
      </c>
      <c r="Z13" s="17">
        <f t="shared" si="5"/>
        <v>14</v>
      </c>
      <c r="AA13" s="17">
        <f t="shared" si="5"/>
        <v>0</v>
      </c>
      <c r="AB13" s="17">
        <f t="shared" si="5"/>
        <v>7</v>
      </c>
      <c r="AC13" s="17">
        <f t="shared" si="5"/>
        <v>114</v>
      </c>
      <c r="AD13" s="17">
        <f t="shared" si="5"/>
        <v>0</v>
      </c>
      <c r="AE13" s="31">
        <f t="shared" si="5"/>
        <v>106</v>
      </c>
      <c r="AF13" s="31">
        <f t="shared" si="5"/>
        <v>220</v>
      </c>
    </row>
    <row r="14" spans="2:32" ht="23.1" customHeight="1" x14ac:dyDescent="0.25">
      <c r="B14" s="45" t="s">
        <v>41</v>
      </c>
      <c r="C14" s="50">
        <v>7</v>
      </c>
      <c r="D14" s="50">
        <v>3</v>
      </c>
      <c r="E14" s="50">
        <v>4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32</v>
      </c>
      <c r="N14" s="50">
        <v>1</v>
      </c>
      <c r="O14" s="15">
        <f t="shared" si="0"/>
        <v>19</v>
      </c>
      <c r="P14" s="15">
        <f t="shared" si="1"/>
        <v>51</v>
      </c>
      <c r="R14" s="1" t="s">
        <v>10</v>
      </c>
      <c r="S14" s="17">
        <f t="shared" ref="S14:AF14" si="6">SUM(C26:C29)</f>
        <v>24</v>
      </c>
      <c r="T14" s="17">
        <f t="shared" si="6"/>
        <v>13</v>
      </c>
      <c r="U14" s="17">
        <f t="shared" si="6"/>
        <v>8</v>
      </c>
      <c r="V14" s="17">
        <f t="shared" si="6"/>
        <v>21</v>
      </c>
      <c r="W14" s="17">
        <f t="shared" si="6"/>
        <v>0</v>
      </c>
      <c r="X14" s="17">
        <f t="shared" si="6"/>
        <v>3</v>
      </c>
      <c r="Y14" s="17">
        <f t="shared" si="6"/>
        <v>8</v>
      </c>
      <c r="Z14" s="17">
        <f t="shared" si="6"/>
        <v>8</v>
      </c>
      <c r="AA14" s="17">
        <f t="shared" si="6"/>
        <v>3</v>
      </c>
      <c r="AB14" s="17">
        <f t="shared" si="6"/>
        <v>3</v>
      </c>
      <c r="AC14" s="17">
        <f t="shared" si="6"/>
        <v>109</v>
      </c>
      <c r="AD14" s="17">
        <f t="shared" si="6"/>
        <v>0</v>
      </c>
      <c r="AE14" s="31">
        <f t="shared" si="6"/>
        <v>91</v>
      </c>
      <c r="AF14" s="31">
        <f t="shared" si="6"/>
        <v>200</v>
      </c>
    </row>
    <row r="15" spans="2:32" ht="23.1" customHeight="1" x14ac:dyDescent="0.25">
      <c r="B15" s="45" t="s">
        <v>42</v>
      </c>
      <c r="C15" s="50">
        <v>6</v>
      </c>
      <c r="D15" s="50">
        <v>2</v>
      </c>
      <c r="E15" s="50">
        <v>2</v>
      </c>
      <c r="F15" s="50">
        <v>6</v>
      </c>
      <c r="G15" s="50">
        <v>0</v>
      </c>
      <c r="H15" s="50">
        <v>1</v>
      </c>
      <c r="I15" s="50">
        <v>2</v>
      </c>
      <c r="J15" s="50">
        <v>4</v>
      </c>
      <c r="K15" s="50">
        <v>0</v>
      </c>
      <c r="L15" s="50">
        <v>0</v>
      </c>
      <c r="M15" s="50">
        <v>35</v>
      </c>
      <c r="N15" s="50">
        <v>0</v>
      </c>
      <c r="O15" s="15">
        <f t="shared" si="0"/>
        <v>23</v>
      </c>
      <c r="P15" s="15">
        <f t="shared" si="1"/>
        <v>58</v>
      </c>
      <c r="R15" s="1" t="s">
        <v>11</v>
      </c>
      <c r="S15" s="17">
        <f t="shared" ref="S15:AF15" si="7">SUM(C30:C33)</f>
        <v>29</v>
      </c>
      <c r="T15" s="17">
        <f t="shared" si="7"/>
        <v>7</v>
      </c>
      <c r="U15" s="17">
        <f t="shared" si="7"/>
        <v>5</v>
      </c>
      <c r="V15" s="17">
        <f t="shared" si="7"/>
        <v>18</v>
      </c>
      <c r="W15" s="17">
        <f t="shared" si="7"/>
        <v>1</v>
      </c>
      <c r="X15" s="17">
        <f t="shared" si="7"/>
        <v>1</v>
      </c>
      <c r="Y15" s="17">
        <f t="shared" si="7"/>
        <v>12</v>
      </c>
      <c r="Z15" s="17">
        <f t="shared" si="7"/>
        <v>7</v>
      </c>
      <c r="AA15" s="17">
        <f t="shared" si="7"/>
        <v>3</v>
      </c>
      <c r="AB15" s="17">
        <f t="shared" si="7"/>
        <v>3</v>
      </c>
      <c r="AC15" s="17">
        <f t="shared" si="7"/>
        <v>110</v>
      </c>
      <c r="AD15" s="17">
        <f t="shared" si="7"/>
        <v>0</v>
      </c>
      <c r="AE15" s="31">
        <f t="shared" si="7"/>
        <v>86</v>
      </c>
      <c r="AF15" s="31">
        <f t="shared" si="7"/>
        <v>196</v>
      </c>
    </row>
    <row r="16" spans="2:32" ht="23.1" customHeight="1" x14ac:dyDescent="0.25">
      <c r="B16" s="45" t="s">
        <v>43</v>
      </c>
      <c r="C16" s="50">
        <v>8</v>
      </c>
      <c r="D16" s="50">
        <v>2</v>
      </c>
      <c r="E16" s="50">
        <v>2</v>
      </c>
      <c r="F16" s="50">
        <v>4</v>
      </c>
      <c r="G16" s="50">
        <v>0</v>
      </c>
      <c r="H16" s="50">
        <v>0</v>
      </c>
      <c r="I16" s="50">
        <v>3</v>
      </c>
      <c r="J16" s="50">
        <v>2</v>
      </c>
      <c r="K16" s="50">
        <v>0</v>
      </c>
      <c r="L16" s="50">
        <v>3</v>
      </c>
      <c r="M16" s="50">
        <v>39</v>
      </c>
      <c r="N16" s="50">
        <v>0</v>
      </c>
      <c r="O16" s="15">
        <f t="shared" si="0"/>
        <v>24</v>
      </c>
      <c r="P16" s="15">
        <f t="shared" si="1"/>
        <v>63</v>
      </c>
      <c r="R16" s="1" t="s">
        <v>12</v>
      </c>
      <c r="S16" s="17">
        <f t="shared" ref="S16:AF16" si="8">SUM(C34:C37)</f>
        <v>47</v>
      </c>
      <c r="T16" s="17">
        <f t="shared" si="8"/>
        <v>9</v>
      </c>
      <c r="U16" s="17">
        <f t="shared" si="8"/>
        <v>6</v>
      </c>
      <c r="V16" s="17">
        <f t="shared" si="8"/>
        <v>42</v>
      </c>
      <c r="W16" s="17">
        <f t="shared" si="8"/>
        <v>3</v>
      </c>
      <c r="X16" s="17">
        <f t="shared" si="8"/>
        <v>5</v>
      </c>
      <c r="Y16" s="17">
        <f t="shared" si="8"/>
        <v>11</v>
      </c>
      <c r="Z16" s="17">
        <f t="shared" si="8"/>
        <v>10</v>
      </c>
      <c r="AA16" s="17">
        <f t="shared" si="8"/>
        <v>6</v>
      </c>
      <c r="AB16" s="17">
        <f t="shared" si="8"/>
        <v>7</v>
      </c>
      <c r="AC16" s="17">
        <f t="shared" si="8"/>
        <v>157</v>
      </c>
      <c r="AD16" s="17">
        <f t="shared" si="8"/>
        <v>0</v>
      </c>
      <c r="AE16" s="31">
        <f t="shared" si="8"/>
        <v>146</v>
      </c>
      <c r="AF16" s="31">
        <f t="shared" si="8"/>
        <v>303</v>
      </c>
    </row>
    <row r="17" spans="2:32" ht="23.1" customHeight="1" x14ac:dyDescent="0.25">
      <c r="B17" s="45" t="s">
        <v>44</v>
      </c>
      <c r="C17" s="50">
        <v>5</v>
      </c>
      <c r="D17" s="50">
        <v>3</v>
      </c>
      <c r="E17" s="50">
        <v>2</v>
      </c>
      <c r="F17" s="50">
        <v>4</v>
      </c>
      <c r="G17" s="50">
        <v>0</v>
      </c>
      <c r="H17" s="50">
        <v>0</v>
      </c>
      <c r="I17" s="50">
        <v>2</v>
      </c>
      <c r="J17" s="50">
        <v>2</v>
      </c>
      <c r="K17" s="50">
        <v>1</v>
      </c>
      <c r="L17" s="50">
        <v>1</v>
      </c>
      <c r="M17" s="50">
        <v>33</v>
      </c>
      <c r="N17" s="50">
        <v>0</v>
      </c>
      <c r="O17" s="15">
        <f t="shared" si="0"/>
        <v>20</v>
      </c>
      <c r="P17" s="15">
        <f t="shared" si="1"/>
        <v>53</v>
      </c>
      <c r="R17" s="1" t="s">
        <v>13</v>
      </c>
      <c r="S17" s="17">
        <f t="shared" ref="S17:AF17" si="9">SUM(C38:C41)</f>
        <v>28</v>
      </c>
      <c r="T17" s="17">
        <f t="shared" si="9"/>
        <v>10</v>
      </c>
      <c r="U17" s="17">
        <f t="shared" si="9"/>
        <v>9</v>
      </c>
      <c r="V17" s="17">
        <f t="shared" si="9"/>
        <v>23</v>
      </c>
      <c r="W17" s="17">
        <f t="shared" si="9"/>
        <v>1</v>
      </c>
      <c r="X17" s="17">
        <f t="shared" si="9"/>
        <v>0</v>
      </c>
      <c r="Y17" s="17">
        <f t="shared" si="9"/>
        <v>15</v>
      </c>
      <c r="Z17" s="17">
        <f t="shared" si="9"/>
        <v>7</v>
      </c>
      <c r="AA17" s="17">
        <f t="shared" si="9"/>
        <v>3</v>
      </c>
      <c r="AB17" s="17">
        <f t="shared" si="9"/>
        <v>3</v>
      </c>
      <c r="AC17" s="17">
        <f t="shared" si="9"/>
        <v>113</v>
      </c>
      <c r="AD17" s="17">
        <f t="shared" si="9"/>
        <v>0</v>
      </c>
      <c r="AE17" s="31">
        <f t="shared" si="9"/>
        <v>99</v>
      </c>
      <c r="AF17" s="31">
        <f t="shared" si="9"/>
        <v>212</v>
      </c>
    </row>
    <row r="18" spans="2:32" ht="23.1" customHeight="1" x14ac:dyDescent="0.25">
      <c r="B18" s="45" t="s">
        <v>45</v>
      </c>
      <c r="C18" s="50">
        <v>12</v>
      </c>
      <c r="D18" s="50">
        <v>2</v>
      </c>
      <c r="E18" s="50">
        <v>0</v>
      </c>
      <c r="F18" s="50">
        <v>3</v>
      </c>
      <c r="G18" s="50">
        <v>0</v>
      </c>
      <c r="H18" s="50">
        <v>0</v>
      </c>
      <c r="I18" s="50">
        <v>4</v>
      </c>
      <c r="J18" s="50">
        <v>1</v>
      </c>
      <c r="K18" s="50">
        <v>0</v>
      </c>
      <c r="L18" s="50">
        <v>3</v>
      </c>
      <c r="M18" s="50">
        <v>21</v>
      </c>
      <c r="N18" s="50">
        <v>0</v>
      </c>
      <c r="O18" s="15">
        <f t="shared" si="0"/>
        <v>25</v>
      </c>
      <c r="P18" s="15">
        <f t="shared" si="1"/>
        <v>46</v>
      </c>
      <c r="R18" s="1" t="s">
        <v>14</v>
      </c>
      <c r="S18" s="17">
        <f t="shared" ref="S18:AF18" si="10">SUM(C42:C45)</f>
        <v>30</v>
      </c>
      <c r="T18" s="17">
        <f t="shared" si="10"/>
        <v>4</v>
      </c>
      <c r="U18" s="17">
        <f t="shared" si="10"/>
        <v>7</v>
      </c>
      <c r="V18" s="17">
        <f t="shared" si="10"/>
        <v>30</v>
      </c>
      <c r="W18" s="17">
        <f t="shared" si="10"/>
        <v>0</v>
      </c>
      <c r="X18" s="17">
        <f t="shared" si="10"/>
        <v>3</v>
      </c>
      <c r="Y18" s="17">
        <f t="shared" si="10"/>
        <v>16</v>
      </c>
      <c r="Z18" s="17">
        <f t="shared" si="10"/>
        <v>12</v>
      </c>
      <c r="AA18" s="17">
        <f t="shared" si="10"/>
        <v>1</v>
      </c>
      <c r="AB18" s="17">
        <f t="shared" si="10"/>
        <v>6</v>
      </c>
      <c r="AC18" s="17">
        <f t="shared" si="10"/>
        <v>135</v>
      </c>
      <c r="AD18" s="17">
        <f t="shared" si="10"/>
        <v>0</v>
      </c>
      <c r="AE18" s="31">
        <f t="shared" si="10"/>
        <v>109</v>
      </c>
      <c r="AF18" s="31">
        <f t="shared" si="10"/>
        <v>244</v>
      </c>
    </row>
    <row r="19" spans="2:32" ht="23.1" customHeight="1" x14ac:dyDescent="0.25">
      <c r="B19" s="45" t="s">
        <v>46</v>
      </c>
      <c r="C19" s="50">
        <v>13</v>
      </c>
      <c r="D19" s="50">
        <v>7</v>
      </c>
      <c r="E19" s="50">
        <v>4</v>
      </c>
      <c r="F19" s="50">
        <v>6</v>
      </c>
      <c r="G19" s="50">
        <v>2</v>
      </c>
      <c r="H19" s="50">
        <v>0</v>
      </c>
      <c r="I19" s="50">
        <v>2</v>
      </c>
      <c r="J19" s="50">
        <v>1</v>
      </c>
      <c r="K19" s="50">
        <v>1</v>
      </c>
      <c r="L19" s="50">
        <v>1</v>
      </c>
      <c r="M19" s="50">
        <v>35</v>
      </c>
      <c r="N19" s="50">
        <v>0</v>
      </c>
      <c r="O19" s="15">
        <f t="shared" si="0"/>
        <v>37</v>
      </c>
      <c r="P19" s="15">
        <f t="shared" si="1"/>
        <v>72</v>
      </c>
      <c r="R19" s="1" t="s">
        <v>15</v>
      </c>
      <c r="S19" s="17">
        <f t="shared" ref="S19:AF19" si="11">SUM(C46:C49)</f>
        <v>53</v>
      </c>
      <c r="T19" s="17">
        <f t="shared" si="11"/>
        <v>14</v>
      </c>
      <c r="U19" s="17">
        <f t="shared" si="11"/>
        <v>11</v>
      </c>
      <c r="V19" s="17">
        <f t="shared" si="11"/>
        <v>44</v>
      </c>
      <c r="W19" s="17">
        <f t="shared" si="11"/>
        <v>5</v>
      </c>
      <c r="X19" s="17">
        <f t="shared" si="11"/>
        <v>3</v>
      </c>
      <c r="Y19" s="17">
        <f t="shared" si="11"/>
        <v>28</v>
      </c>
      <c r="Z19" s="17">
        <f t="shared" si="11"/>
        <v>21</v>
      </c>
      <c r="AA19" s="17">
        <f t="shared" si="11"/>
        <v>7</v>
      </c>
      <c r="AB19" s="17">
        <f t="shared" si="11"/>
        <v>1</v>
      </c>
      <c r="AC19" s="17">
        <f t="shared" si="11"/>
        <v>144</v>
      </c>
      <c r="AD19" s="17">
        <f t="shared" si="11"/>
        <v>0</v>
      </c>
      <c r="AE19" s="31">
        <f t="shared" si="11"/>
        <v>187</v>
      </c>
      <c r="AF19" s="31">
        <f t="shared" si="11"/>
        <v>331</v>
      </c>
    </row>
    <row r="20" spans="2:32" ht="23.1" customHeight="1" x14ac:dyDescent="0.25">
      <c r="B20" s="45" t="s">
        <v>47</v>
      </c>
      <c r="C20" s="50">
        <v>9</v>
      </c>
      <c r="D20" s="50">
        <v>3</v>
      </c>
      <c r="E20" s="50">
        <v>4</v>
      </c>
      <c r="F20" s="50">
        <v>3</v>
      </c>
      <c r="G20" s="50">
        <v>0</v>
      </c>
      <c r="H20" s="50">
        <v>0</v>
      </c>
      <c r="I20" s="50">
        <v>5</v>
      </c>
      <c r="J20" s="50">
        <v>4</v>
      </c>
      <c r="K20" s="50">
        <v>1</v>
      </c>
      <c r="L20" s="50">
        <v>0</v>
      </c>
      <c r="M20" s="50">
        <v>26</v>
      </c>
      <c r="N20" s="50">
        <v>0</v>
      </c>
      <c r="O20" s="15">
        <f t="shared" si="0"/>
        <v>29</v>
      </c>
      <c r="P20" s="15">
        <f t="shared" si="1"/>
        <v>55</v>
      </c>
      <c r="R20" s="1" t="s">
        <v>16</v>
      </c>
      <c r="S20" s="17">
        <f t="shared" ref="S20:AF20" si="12">SUM(C50:C53)</f>
        <v>32</v>
      </c>
      <c r="T20" s="17">
        <f t="shared" si="12"/>
        <v>9</v>
      </c>
      <c r="U20" s="17">
        <f t="shared" si="12"/>
        <v>7</v>
      </c>
      <c r="V20" s="17">
        <f t="shared" si="12"/>
        <v>33</v>
      </c>
      <c r="W20" s="17">
        <f t="shared" si="12"/>
        <v>0</v>
      </c>
      <c r="X20" s="17">
        <f t="shared" si="12"/>
        <v>2</v>
      </c>
      <c r="Y20" s="17">
        <f t="shared" si="12"/>
        <v>17</v>
      </c>
      <c r="Z20" s="17">
        <f t="shared" si="12"/>
        <v>19</v>
      </c>
      <c r="AA20" s="17">
        <f t="shared" si="12"/>
        <v>4</v>
      </c>
      <c r="AB20" s="17">
        <f t="shared" si="12"/>
        <v>2</v>
      </c>
      <c r="AC20" s="17">
        <f t="shared" si="12"/>
        <v>220</v>
      </c>
      <c r="AD20" s="17">
        <f t="shared" si="12"/>
        <v>0</v>
      </c>
      <c r="AE20" s="31">
        <f t="shared" si="12"/>
        <v>125</v>
      </c>
      <c r="AF20" s="31">
        <f t="shared" si="12"/>
        <v>345</v>
      </c>
    </row>
    <row r="21" spans="2:32" ht="23.1" customHeight="1" x14ac:dyDescent="0.25">
      <c r="B21" s="45" t="s">
        <v>48</v>
      </c>
      <c r="C21" s="50">
        <v>5</v>
      </c>
      <c r="D21" s="50">
        <v>5</v>
      </c>
      <c r="E21" s="50">
        <v>1</v>
      </c>
      <c r="F21" s="50">
        <v>8</v>
      </c>
      <c r="G21" s="50">
        <v>1</v>
      </c>
      <c r="H21" s="50">
        <v>0</v>
      </c>
      <c r="I21" s="50">
        <v>3</v>
      </c>
      <c r="J21" s="50">
        <v>2</v>
      </c>
      <c r="K21" s="50">
        <v>1</v>
      </c>
      <c r="L21" s="50">
        <v>2</v>
      </c>
      <c r="M21" s="50">
        <v>42</v>
      </c>
      <c r="N21" s="50">
        <v>0</v>
      </c>
      <c r="O21" s="15">
        <f t="shared" si="0"/>
        <v>28</v>
      </c>
      <c r="P21" s="15">
        <f t="shared" si="1"/>
        <v>70</v>
      </c>
      <c r="R21" s="36" t="s">
        <v>20</v>
      </c>
      <c r="S21" s="34">
        <f t="shared" ref="S21:AF21" si="13">SUM(C54:C57)</f>
        <v>26</v>
      </c>
      <c r="T21" s="17">
        <f t="shared" si="13"/>
        <v>12</v>
      </c>
      <c r="U21" s="17">
        <f t="shared" si="13"/>
        <v>7</v>
      </c>
      <c r="V21" s="17">
        <f t="shared" si="13"/>
        <v>26</v>
      </c>
      <c r="W21" s="17">
        <f t="shared" si="13"/>
        <v>0</v>
      </c>
      <c r="X21" s="17">
        <f t="shared" si="13"/>
        <v>0</v>
      </c>
      <c r="Y21" s="17">
        <f t="shared" si="13"/>
        <v>20</v>
      </c>
      <c r="Z21" s="17">
        <f t="shared" si="13"/>
        <v>15</v>
      </c>
      <c r="AA21" s="17">
        <f t="shared" si="13"/>
        <v>1</v>
      </c>
      <c r="AB21" s="17">
        <f t="shared" si="13"/>
        <v>3</v>
      </c>
      <c r="AC21" s="17">
        <f t="shared" si="13"/>
        <v>198</v>
      </c>
      <c r="AD21" s="17">
        <f t="shared" si="13"/>
        <v>0</v>
      </c>
      <c r="AE21" s="31">
        <f t="shared" si="13"/>
        <v>110</v>
      </c>
      <c r="AF21" s="31">
        <f t="shared" si="13"/>
        <v>308</v>
      </c>
    </row>
    <row r="22" spans="2:32" ht="23.1" customHeight="1" x14ac:dyDescent="0.25">
      <c r="B22" s="45" t="s">
        <v>49</v>
      </c>
      <c r="C22" s="50">
        <v>10</v>
      </c>
      <c r="D22" s="50">
        <v>1</v>
      </c>
      <c r="E22" s="50">
        <v>0</v>
      </c>
      <c r="F22" s="50">
        <v>7</v>
      </c>
      <c r="G22" s="50">
        <v>0</v>
      </c>
      <c r="H22" s="50">
        <v>2</v>
      </c>
      <c r="I22" s="50">
        <v>2</v>
      </c>
      <c r="J22" s="50">
        <v>1</v>
      </c>
      <c r="K22" s="50">
        <v>0</v>
      </c>
      <c r="L22" s="50">
        <v>1</v>
      </c>
      <c r="M22" s="50">
        <v>17</v>
      </c>
      <c r="N22" s="50">
        <v>0</v>
      </c>
      <c r="O22" s="15">
        <f t="shared" si="0"/>
        <v>24</v>
      </c>
      <c r="P22" s="15">
        <f t="shared" si="1"/>
        <v>41</v>
      </c>
      <c r="R22" s="36" t="s">
        <v>146</v>
      </c>
      <c r="S22" s="34">
        <f>SUM(C58:C61)</f>
        <v>22</v>
      </c>
      <c r="T22" s="34">
        <f t="shared" ref="T22:AF22" si="14">SUM(D58:D61)</f>
        <v>6</v>
      </c>
      <c r="U22" s="34">
        <f t="shared" si="14"/>
        <v>6</v>
      </c>
      <c r="V22" s="34">
        <f t="shared" si="14"/>
        <v>13</v>
      </c>
      <c r="W22" s="34">
        <f t="shared" si="14"/>
        <v>0</v>
      </c>
      <c r="X22" s="34">
        <f t="shared" si="14"/>
        <v>0</v>
      </c>
      <c r="Y22" s="34">
        <f t="shared" si="14"/>
        <v>20</v>
      </c>
      <c r="Z22" s="34">
        <f t="shared" si="14"/>
        <v>12</v>
      </c>
      <c r="AA22" s="34">
        <f t="shared" si="14"/>
        <v>1</v>
      </c>
      <c r="AB22" s="34">
        <f t="shared" si="14"/>
        <v>4</v>
      </c>
      <c r="AC22" s="34">
        <f t="shared" si="14"/>
        <v>130</v>
      </c>
      <c r="AD22" s="34">
        <f t="shared" si="14"/>
        <v>0</v>
      </c>
      <c r="AE22" s="31">
        <f t="shared" si="14"/>
        <v>84</v>
      </c>
      <c r="AF22" s="31">
        <f t="shared" si="14"/>
        <v>214</v>
      </c>
    </row>
    <row r="23" spans="2:32" ht="23.1" customHeight="1" x14ac:dyDescent="0.25">
      <c r="B23" s="45" t="s">
        <v>50</v>
      </c>
      <c r="C23" s="50">
        <v>5</v>
      </c>
      <c r="D23" s="50">
        <v>1</v>
      </c>
      <c r="E23" s="50">
        <v>5</v>
      </c>
      <c r="F23" s="50">
        <v>5</v>
      </c>
      <c r="G23" s="50">
        <v>0</v>
      </c>
      <c r="H23" s="50">
        <v>0</v>
      </c>
      <c r="I23" s="50">
        <v>4</v>
      </c>
      <c r="J23" s="50">
        <v>7</v>
      </c>
      <c r="K23" s="50">
        <v>0</v>
      </c>
      <c r="L23" s="50">
        <v>2</v>
      </c>
      <c r="M23" s="50">
        <v>37</v>
      </c>
      <c r="N23" s="50">
        <v>0</v>
      </c>
      <c r="O23" s="15">
        <f t="shared" si="0"/>
        <v>29</v>
      </c>
      <c r="P23" s="15">
        <f t="shared" si="1"/>
        <v>66</v>
      </c>
      <c r="R23" s="36" t="s">
        <v>147</v>
      </c>
      <c r="S23" s="34">
        <f>SUM(C62:C65)</f>
        <v>20</v>
      </c>
      <c r="T23" s="34">
        <f t="shared" ref="T23:AF23" si="15">SUM(D62:D65)</f>
        <v>11</v>
      </c>
      <c r="U23" s="34">
        <f t="shared" si="15"/>
        <v>3</v>
      </c>
      <c r="V23" s="34">
        <f t="shared" si="15"/>
        <v>19</v>
      </c>
      <c r="W23" s="34">
        <f t="shared" si="15"/>
        <v>1</v>
      </c>
      <c r="X23" s="34">
        <f t="shared" si="15"/>
        <v>1</v>
      </c>
      <c r="Y23" s="34">
        <f t="shared" si="15"/>
        <v>5</v>
      </c>
      <c r="Z23" s="34">
        <f t="shared" si="15"/>
        <v>13</v>
      </c>
      <c r="AA23" s="34">
        <f t="shared" si="15"/>
        <v>1</v>
      </c>
      <c r="AB23" s="34">
        <f t="shared" si="15"/>
        <v>5</v>
      </c>
      <c r="AC23" s="34">
        <f t="shared" si="15"/>
        <v>111</v>
      </c>
      <c r="AD23" s="34">
        <f t="shared" si="15"/>
        <v>0</v>
      </c>
      <c r="AE23" s="31">
        <f t="shared" si="15"/>
        <v>79</v>
      </c>
      <c r="AF23" s="31">
        <f t="shared" si="15"/>
        <v>190</v>
      </c>
    </row>
    <row r="24" spans="2:32" ht="23.1" customHeight="1" x14ac:dyDescent="0.25">
      <c r="B24" s="45" t="s">
        <v>51</v>
      </c>
      <c r="C24" s="50">
        <v>8</v>
      </c>
      <c r="D24" s="50">
        <v>2</v>
      </c>
      <c r="E24" s="50">
        <v>2</v>
      </c>
      <c r="F24" s="50">
        <v>5</v>
      </c>
      <c r="G24" s="50">
        <v>0</v>
      </c>
      <c r="H24" s="50">
        <v>0</v>
      </c>
      <c r="I24" s="50">
        <v>1</v>
      </c>
      <c r="J24" s="50">
        <v>3</v>
      </c>
      <c r="K24" s="50">
        <v>0</v>
      </c>
      <c r="L24" s="50">
        <v>3</v>
      </c>
      <c r="M24" s="50">
        <v>30</v>
      </c>
      <c r="N24" s="50">
        <v>0</v>
      </c>
      <c r="O24" s="15">
        <f t="shared" si="0"/>
        <v>24</v>
      </c>
      <c r="P24" s="15">
        <f t="shared" si="1"/>
        <v>54</v>
      </c>
      <c r="R24" s="36" t="s">
        <v>148</v>
      </c>
      <c r="S24" s="34">
        <f>SUM(C66:C69)</f>
        <v>18</v>
      </c>
      <c r="T24" s="34">
        <f t="shared" ref="T24:AF24" si="16">SUM(D66:D69)</f>
        <v>7</v>
      </c>
      <c r="U24" s="34">
        <f t="shared" si="16"/>
        <v>2</v>
      </c>
      <c r="V24" s="34">
        <f t="shared" si="16"/>
        <v>14</v>
      </c>
      <c r="W24" s="34">
        <f t="shared" si="16"/>
        <v>0</v>
      </c>
      <c r="X24" s="34">
        <f t="shared" si="16"/>
        <v>2</v>
      </c>
      <c r="Y24" s="34">
        <f t="shared" si="16"/>
        <v>12</v>
      </c>
      <c r="Z24" s="34">
        <f t="shared" si="16"/>
        <v>10</v>
      </c>
      <c r="AA24" s="34">
        <f t="shared" si="16"/>
        <v>5</v>
      </c>
      <c r="AB24" s="34">
        <f t="shared" si="16"/>
        <v>2</v>
      </c>
      <c r="AC24" s="34">
        <f t="shared" si="16"/>
        <v>95</v>
      </c>
      <c r="AD24" s="34">
        <f t="shared" si="16"/>
        <v>0</v>
      </c>
      <c r="AE24" s="31">
        <f t="shared" si="16"/>
        <v>72</v>
      </c>
      <c r="AF24" s="31">
        <f t="shared" si="16"/>
        <v>167</v>
      </c>
    </row>
    <row r="25" spans="2:32" ht="23.1" customHeight="1" x14ac:dyDescent="0.25">
      <c r="B25" s="45" t="s">
        <v>52</v>
      </c>
      <c r="C25" s="50">
        <v>8</v>
      </c>
      <c r="D25" s="50">
        <v>2</v>
      </c>
      <c r="E25" s="50">
        <v>3</v>
      </c>
      <c r="F25" s="50">
        <v>10</v>
      </c>
      <c r="G25" s="50">
        <v>0</v>
      </c>
      <c r="H25" s="50">
        <v>0</v>
      </c>
      <c r="I25" s="50">
        <v>2</v>
      </c>
      <c r="J25" s="50">
        <v>3</v>
      </c>
      <c r="K25" s="50">
        <v>0</v>
      </c>
      <c r="L25" s="50">
        <v>1</v>
      </c>
      <c r="M25" s="50">
        <v>30</v>
      </c>
      <c r="N25" s="50">
        <v>0</v>
      </c>
      <c r="O25" s="15">
        <f t="shared" si="0"/>
        <v>29</v>
      </c>
      <c r="P25" s="15">
        <f t="shared" si="1"/>
        <v>59</v>
      </c>
      <c r="R25" s="36" t="s">
        <v>149</v>
      </c>
      <c r="S25" s="34">
        <f>SUM(C70:C73)</f>
        <v>17</v>
      </c>
      <c r="T25" s="34">
        <f t="shared" ref="T25:AF25" si="17">SUM(D70:D73)</f>
        <v>3</v>
      </c>
      <c r="U25" s="34">
        <f t="shared" si="17"/>
        <v>2</v>
      </c>
      <c r="V25" s="34">
        <f t="shared" si="17"/>
        <v>16</v>
      </c>
      <c r="W25" s="34">
        <f t="shared" si="17"/>
        <v>0</v>
      </c>
      <c r="X25" s="34">
        <f t="shared" si="17"/>
        <v>1</v>
      </c>
      <c r="Y25" s="34">
        <f t="shared" si="17"/>
        <v>8</v>
      </c>
      <c r="Z25" s="34">
        <f t="shared" si="17"/>
        <v>11</v>
      </c>
      <c r="AA25" s="34">
        <f t="shared" si="17"/>
        <v>5</v>
      </c>
      <c r="AB25" s="34">
        <f t="shared" si="17"/>
        <v>3</v>
      </c>
      <c r="AC25" s="34">
        <f t="shared" si="17"/>
        <v>40</v>
      </c>
      <c r="AD25" s="34">
        <f t="shared" si="17"/>
        <v>0</v>
      </c>
      <c r="AE25" s="31">
        <f t="shared" si="17"/>
        <v>66</v>
      </c>
      <c r="AF25" s="31">
        <f t="shared" si="17"/>
        <v>106</v>
      </c>
    </row>
    <row r="26" spans="2:32" ht="23.1" customHeight="1" x14ac:dyDescent="0.25">
      <c r="B26" s="45" t="s">
        <v>53</v>
      </c>
      <c r="C26" s="50">
        <v>6</v>
      </c>
      <c r="D26" s="50">
        <v>3</v>
      </c>
      <c r="E26" s="50">
        <v>0</v>
      </c>
      <c r="F26" s="50">
        <v>3</v>
      </c>
      <c r="G26" s="50">
        <v>0</v>
      </c>
      <c r="H26" s="50">
        <v>1</v>
      </c>
      <c r="I26" s="50">
        <v>0</v>
      </c>
      <c r="J26" s="50">
        <v>2</v>
      </c>
      <c r="K26" s="50">
        <v>0</v>
      </c>
      <c r="L26" s="50">
        <v>2</v>
      </c>
      <c r="M26" s="50">
        <v>17</v>
      </c>
      <c r="N26" s="50">
        <v>0</v>
      </c>
      <c r="O26" s="15">
        <f t="shared" si="0"/>
        <v>17</v>
      </c>
      <c r="P26" s="15">
        <f t="shared" si="1"/>
        <v>34</v>
      </c>
      <c r="R26" s="36" t="s">
        <v>150</v>
      </c>
      <c r="S26" s="34">
        <f>SUM(C74:C77)</f>
        <v>12</v>
      </c>
      <c r="T26" s="34">
        <f t="shared" ref="T26:AF26" si="18">SUM(D74:D77)</f>
        <v>6</v>
      </c>
      <c r="U26" s="34">
        <f t="shared" si="18"/>
        <v>0</v>
      </c>
      <c r="V26" s="34">
        <f t="shared" si="18"/>
        <v>10</v>
      </c>
      <c r="W26" s="34">
        <f t="shared" si="18"/>
        <v>2</v>
      </c>
      <c r="X26" s="34">
        <f t="shared" si="18"/>
        <v>4</v>
      </c>
      <c r="Y26" s="34">
        <f t="shared" si="18"/>
        <v>8</v>
      </c>
      <c r="Z26" s="34">
        <f t="shared" si="18"/>
        <v>8</v>
      </c>
      <c r="AA26" s="34">
        <f t="shared" si="18"/>
        <v>7</v>
      </c>
      <c r="AB26" s="34">
        <f t="shared" si="18"/>
        <v>3</v>
      </c>
      <c r="AC26" s="34">
        <f t="shared" si="18"/>
        <v>24</v>
      </c>
      <c r="AD26" s="34">
        <f t="shared" si="18"/>
        <v>0</v>
      </c>
      <c r="AE26" s="31">
        <f t="shared" si="18"/>
        <v>60</v>
      </c>
      <c r="AF26" s="31">
        <f t="shared" si="18"/>
        <v>84</v>
      </c>
    </row>
    <row r="27" spans="2:32" ht="23.1" customHeight="1" x14ac:dyDescent="0.25">
      <c r="B27" s="45" t="s">
        <v>54</v>
      </c>
      <c r="C27" s="50">
        <v>5</v>
      </c>
      <c r="D27" s="50">
        <v>0</v>
      </c>
      <c r="E27" s="50">
        <v>3</v>
      </c>
      <c r="F27" s="50">
        <v>2</v>
      </c>
      <c r="G27" s="50">
        <v>0</v>
      </c>
      <c r="H27" s="50">
        <v>1</v>
      </c>
      <c r="I27" s="50">
        <v>4</v>
      </c>
      <c r="J27" s="50">
        <v>2</v>
      </c>
      <c r="K27" s="50">
        <v>2</v>
      </c>
      <c r="L27" s="50">
        <v>0</v>
      </c>
      <c r="M27" s="50">
        <v>34</v>
      </c>
      <c r="N27" s="50">
        <v>0</v>
      </c>
      <c r="O27" s="15">
        <f t="shared" si="0"/>
        <v>19</v>
      </c>
      <c r="P27" s="15">
        <f t="shared" si="1"/>
        <v>53</v>
      </c>
      <c r="R27" s="36" t="s">
        <v>151</v>
      </c>
      <c r="S27" s="34">
        <f>SUM(C78:C81)</f>
        <v>3</v>
      </c>
      <c r="T27" s="34">
        <f t="shared" ref="T27:AF27" si="19">SUM(D78:D81)</f>
        <v>5</v>
      </c>
      <c r="U27" s="34">
        <f t="shared" si="19"/>
        <v>1</v>
      </c>
      <c r="V27" s="34">
        <f t="shared" si="19"/>
        <v>3</v>
      </c>
      <c r="W27" s="34">
        <f t="shared" si="19"/>
        <v>1</v>
      </c>
      <c r="X27" s="34">
        <f t="shared" si="19"/>
        <v>0</v>
      </c>
      <c r="Y27" s="34">
        <f t="shared" si="19"/>
        <v>3</v>
      </c>
      <c r="Z27" s="34">
        <f t="shared" si="19"/>
        <v>5</v>
      </c>
      <c r="AA27" s="34">
        <f t="shared" si="19"/>
        <v>11</v>
      </c>
      <c r="AB27" s="34">
        <f t="shared" si="19"/>
        <v>0</v>
      </c>
      <c r="AC27" s="34">
        <f t="shared" si="19"/>
        <v>10</v>
      </c>
      <c r="AD27" s="34">
        <f t="shared" si="19"/>
        <v>0</v>
      </c>
      <c r="AE27" s="31">
        <f t="shared" si="19"/>
        <v>32</v>
      </c>
      <c r="AF27" s="31">
        <f t="shared" si="19"/>
        <v>42</v>
      </c>
    </row>
    <row r="28" spans="2:32" ht="23.1" customHeight="1" x14ac:dyDescent="0.25">
      <c r="B28" s="45" t="s">
        <v>55</v>
      </c>
      <c r="C28" s="50">
        <v>8</v>
      </c>
      <c r="D28" s="50">
        <v>8</v>
      </c>
      <c r="E28" s="50">
        <v>3</v>
      </c>
      <c r="F28" s="50">
        <v>8</v>
      </c>
      <c r="G28" s="50">
        <v>0</v>
      </c>
      <c r="H28" s="50">
        <v>1</v>
      </c>
      <c r="I28" s="50">
        <v>2</v>
      </c>
      <c r="J28" s="50">
        <v>2</v>
      </c>
      <c r="K28" s="50">
        <v>1</v>
      </c>
      <c r="L28" s="50">
        <v>1</v>
      </c>
      <c r="M28" s="50">
        <v>35</v>
      </c>
      <c r="N28" s="50">
        <v>0</v>
      </c>
      <c r="O28" s="15">
        <f t="shared" si="0"/>
        <v>34</v>
      </c>
      <c r="P28" s="15">
        <f t="shared" si="1"/>
        <v>69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4</v>
      </c>
      <c r="W28" s="34">
        <f t="shared" si="20"/>
        <v>1</v>
      </c>
      <c r="X28" s="34">
        <f t="shared" si="20"/>
        <v>1</v>
      </c>
      <c r="Y28" s="34">
        <f t="shared" si="20"/>
        <v>9</v>
      </c>
      <c r="Z28" s="34">
        <f t="shared" si="20"/>
        <v>8</v>
      </c>
      <c r="AA28" s="34">
        <f t="shared" si="20"/>
        <v>0</v>
      </c>
      <c r="AB28" s="34">
        <f t="shared" si="20"/>
        <v>2</v>
      </c>
      <c r="AC28" s="34">
        <f t="shared" si="20"/>
        <v>4</v>
      </c>
      <c r="AD28" s="34">
        <f t="shared" si="20"/>
        <v>0</v>
      </c>
      <c r="AE28" s="31">
        <f t="shared" si="20"/>
        <v>27</v>
      </c>
      <c r="AF28" s="31">
        <f t="shared" si="20"/>
        <v>31</v>
      </c>
    </row>
    <row r="29" spans="2:32" ht="23.1" customHeight="1" x14ac:dyDescent="0.25">
      <c r="B29" s="45" t="s">
        <v>56</v>
      </c>
      <c r="C29" s="50">
        <v>5</v>
      </c>
      <c r="D29" s="50">
        <v>2</v>
      </c>
      <c r="E29" s="50">
        <v>2</v>
      </c>
      <c r="F29" s="50">
        <v>8</v>
      </c>
      <c r="G29" s="50">
        <v>0</v>
      </c>
      <c r="H29" s="50">
        <v>0</v>
      </c>
      <c r="I29" s="50">
        <v>2</v>
      </c>
      <c r="J29" s="50">
        <v>2</v>
      </c>
      <c r="K29" s="50">
        <v>0</v>
      </c>
      <c r="L29" s="50">
        <v>0</v>
      </c>
      <c r="M29" s="50">
        <v>23</v>
      </c>
      <c r="N29" s="50">
        <v>0</v>
      </c>
      <c r="O29" s="15">
        <f t="shared" si="0"/>
        <v>21</v>
      </c>
      <c r="P29" s="15">
        <f t="shared" si="1"/>
        <v>44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5</v>
      </c>
      <c r="AA29" s="34">
        <f t="shared" si="21"/>
        <v>2</v>
      </c>
      <c r="AB29" s="34">
        <f t="shared" si="21"/>
        <v>4</v>
      </c>
      <c r="AC29" s="34">
        <f t="shared" si="21"/>
        <v>2</v>
      </c>
      <c r="AD29" s="34">
        <f t="shared" si="21"/>
        <v>0</v>
      </c>
      <c r="AE29" s="31">
        <f t="shared" si="21"/>
        <v>15</v>
      </c>
      <c r="AF29" s="31">
        <f t="shared" si="21"/>
        <v>17</v>
      </c>
    </row>
    <row r="30" spans="2:32" ht="23.1" customHeight="1" x14ac:dyDescent="0.25">
      <c r="B30" s="45" t="s">
        <v>57</v>
      </c>
      <c r="C30" s="50">
        <v>6</v>
      </c>
      <c r="D30" s="50">
        <v>2</v>
      </c>
      <c r="E30" s="50">
        <v>2</v>
      </c>
      <c r="F30" s="50">
        <v>4</v>
      </c>
      <c r="G30" s="50">
        <v>1</v>
      </c>
      <c r="H30" s="50">
        <v>0</v>
      </c>
      <c r="I30" s="50">
        <v>3</v>
      </c>
      <c r="J30" s="50">
        <v>3</v>
      </c>
      <c r="K30" s="50">
        <v>0</v>
      </c>
      <c r="L30" s="50">
        <v>2</v>
      </c>
      <c r="M30" s="50">
        <v>16</v>
      </c>
      <c r="N30" s="50">
        <v>0</v>
      </c>
      <c r="O30" s="15">
        <f t="shared" si="0"/>
        <v>23</v>
      </c>
      <c r="P30" s="15">
        <f t="shared" si="1"/>
        <v>39</v>
      </c>
      <c r="R30" s="36" t="s">
        <v>154</v>
      </c>
      <c r="S30" s="34">
        <f>SUM(C90:C93)</f>
        <v>2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6</v>
      </c>
      <c r="AA30" s="34">
        <f t="shared" si="22"/>
        <v>1</v>
      </c>
      <c r="AB30" s="34">
        <f t="shared" si="22"/>
        <v>2</v>
      </c>
      <c r="AC30" s="34">
        <f t="shared" si="22"/>
        <v>5</v>
      </c>
      <c r="AD30" s="34">
        <f t="shared" si="22"/>
        <v>0</v>
      </c>
      <c r="AE30" s="31">
        <f t="shared" si="22"/>
        <v>15</v>
      </c>
      <c r="AF30" s="31">
        <f t="shared" si="22"/>
        <v>20</v>
      </c>
    </row>
    <row r="31" spans="2:32" ht="23.1" customHeight="1" x14ac:dyDescent="0.25">
      <c r="B31" s="46" t="s">
        <v>58</v>
      </c>
      <c r="C31" s="50">
        <v>9</v>
      </c>
      <c r="D31" s="50">
        <v>4</v>
      </c>
      <c r="E31" s="50">
        <v>2</v>
      </c>
      <c r="F31" s="50">
        <v>6</v>
      </c>
      <c r="G31" s="50">
        <v>0</v>
      </c>
      <c r="H31" s="50">
        <v>0</v>
      </c>
      <c r="I31" s="50">
        <v>4</v>
      </c>
      <c r="J31" s="50">
        <v>2</v>
      </c>
      <c r="K31" s="50">
        <v>0</v>
      </c>
      <c r="L31" s="50">
        <v>0</v>
      </c>
      <c r="M31" s="50">
        <v>31</v>
      </c>
      <c r="N31" s="50">
        <v>0</v>
      </c>
      <c r="O31" s="15">
        <f t="shared" si="0"/>
        <v>27</v>
      </c>
      <c r="P31" s="15">
        <f t="shared" si="1"/>
        <v>58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3</v>
      </c>
      <c r="AA31" s="34">
        <f t="shared" si="23"/>
        <v>1</v>
      </c>
      <c r="AB31" s="34">
        <f t="shared" si="23"/>
        <v>3</v>
      </c>
      <c r="AC31" s="34">
        <f t="shared" si="23"/>
        <v>3</v>
      </c>
      <c r="AD31" s="34">
        <f t="shared" si="23"/>
        <v>0</v>
      </c>
      <c r="AE31" s="31">
        <f t="shared" si="23"/>
        <v>12</v>
      </c>
      <c r="AF31" s="31">
        <f t="shared" si="23"/>
        <v>15</v>
      </c>
    </row>
    <row r="32" spans="2:32" ht="23.1" customHeight="1" x14ac:dyDescent="0.25">
      <c r="B32" s="46" t="s">
        <v>59</v>
      </c>
      <c r="C32" s="50">
        <v>8</v>
      </c>
      <c r="D32" s="50">
        <v>0</v>
      </c>
      <c r="E32" s="50">
        <v>0</v>
      </c>
      <c r="F32" s="50">
        <v>3</v>
      </c>
      <c r="G32" s="50">
        <v>0</v>
      </c>
      <c r="H32" s="50">
        <v>0</v>
      </c>
      <c r="I32" s="50">
        <v>1</v>
      </c>
      <c r="J32" s="50">
        <v>1</v>
      </c>
      <c r="K32" s="50">
        <v>2</v>
      </c>
      <c r="L32" s="50">
        <v>0</v>
      </c>
      <c r="M32" s="50">
        <v>43</v>
      </c>
      <c r="N32" s="50">
        <v>0</v>
      </c>
      <c r="O32" s="15">
        <f t="shared" si="0"/>
        <v>15</v>
      </c>
      <c r="P32" s="15">
        <f t="shared" si="1"/>
        <v>58</v>
      </c>
      <c r="R32" s="33" t="s">
        <v>156</v>
      </c>
      <c r="S32" s="34">
        <f>SUM(C98:C101)</f>
        <v>3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6</v>
      </c>
      <c r="W32" s="34">
        <f t="shared" si="24"/>
        <v>0</v>
      </c>
      <c r="X32" s="34">
        <f t="shared" si="24"/>
        <v>0</v>
      </c>
      <c r="Y32" s="34">
        <f t="shared" si="24"/>
        <v>4</v>
      </c>
      <c r="Z32" s="34">
        <f t="shared" si="24"/>
        <v>3</v>
      </c>
      <c r="AA32" s="34">
        <f t="shared" si="24"/>
        <v>1</v>
      </c>
      <c r="AB32" s="34">
        <f t="shared" si="24"/>
        <v>6</v>
      </c>
      <c r="AC32" s="34">
        <f t="shared" si="24"/>
        <v>16</v>
      </c>
      <c r="AD32" s="34">
        <f t="shared" si="24"/>
        <v>0</v>
      </c>
      <c r="AE32" s="31">
        <f t="shared" si="24"/>
        <v>25</v>
      </c>
      <c r="AF32" s="31">
        <f t="shared" si="24"/>
        <v>41</v>
      </c>
    </row>
    <row r="33" spans="2:32" ht="23.1" customHeight="1" x14ac:dyDescent="0.25">
      <c r="B33" s="45" t="s">
        <v>60</v>
      </c>
      <c r="C33" s="50">
        <v>6</v>
      </c>
      <c r="D33" s="50">
        <v>1</v>
      </c>
      <c r="E33" s="50">
        <v>1</v>
      </c>
      <c r="F33" s="50">
        <v>5</v>
      </c>
      <c r="G33" s="50">
        <v>0</v>
      </c>
      <c r="H33" s="50">
        <v>1</v>
      </c>
      <c r="I33" s="50">
        <v>4</v>
      </c>
      <c r="J33" s="50">
        <v>1</v>
      </c>
      <c r="K33" s="50">
        <v>1</v>
      </c>
      <c r="L33" s="50">
        <v>1</v>
      </c>
      <c r="M33" s="50">
        <v>20</v>
      </c>
      <c r="N33" s="50">
        <v>0</v>
      </c>
      <c r="O33" s="15">
        <f t="shared" si="0"/>
        <v>21</v>
      </c>
      <c r="P33" s="15">
        <f t="shared" si="1"/>
        <v>41</v>
      </c>
      <c r="R33" s="33" t="s">
        <v>157</v>
      </c>
      <c r="S33" s="34">
        <f>SUM(C102:C105)</f>
        <v>18</v>
      </c>
      <c r="T33" s="34">
        <f t="shared" ref="T33:AF33" si="25">SUM(D102:D105)</f>
        <v>7</v>
      </c>
      <c r="U33" s="34">
        <f t="shared" si="25"/>
        <v>4</v>
      </c>
      <c r="V33" s="34">
        <f t="shared" si="25"/>
        <v>10</v>
      </c>
      <c r="W33" s="34">
        <f t="shared" si="25"/>
        <v>0</v>
      </c>
      <c r="X33" s="34">
        <f t="shared" si="25"/>
        <v>1</v>
      </c>
      <c r="Y33" s="34">
        <f t="shared" si="25"/>
        <v>14</v>
      </c>
      <c r="Z33" s="34">
        <f t="shared" si="25"/>
        <v>4</v>
      </c>
      <c r="AA33" s="34">
        <f t="shared" si="25"/>
        <v>8</v>
      </c>
      <c r="AB33" s="34">
        <f t="shared" si="25"/>
        <v>3</v>
      </c>
      <c r="AC33" s="34">
        <f t="shared" si="25"/>
        <v>61</v>
      </c>
      <c r="AD33" s="34">
        <f t="shared" si="25"/>
        <v>0</v>
      </c>
      <c r="AE33" s="31">
        <f t="shared" si="25"/>
        <v>69</v>
      </c>
      <c r="AF33" s="31">
        <f t="shared" si="25"/>
        <v>130</v>
      </c>
    </row>
    <row r="34" spans="2:32" ht="23.1" customHeight="1" x14ac:dyDescent="0.25">
      <c r="B34" s="46" t="s">
        <v>61</v>
      </c>
      <c r="C34" s="50">
        <v>22</v>
      </c>
      <c r="D34" s="50">
        <v>2</v>
      </c>
      <c r="E34" s="50">
        <v>2</v>
      </c>
      <c r="F34" s="50">
        <v>21</v>
      </c>
      <c r="G34" s="50">
        <v>1</v>
      </c>
      <c r="H34" s="50">
        <v>3</v>
      </c>
      <c r="I34" s="50">
        <v>2</v>
      </c>
      <c r="J34" s="50">
        <v>5</v>
      </c>
      <c r="K34" s="50">
        <v>2</v>
      </c>
      <c r="L34" s="50">
        <v>3</v>
      </c>
      <c r="M34" s="50">
        <v>40</v>
      </c>
      <c r="N34" s="50">
        <v>0</v>
      </c>
      <c r="O34" s="15">
        <f t="shared" si="0"/>
        <v>63</v>
      </c>
      <c r="P34" s="15">
        <f t="shared" si="1"/>
        <v>103</v>
      </c>
      <c r="R34" s="38" t="s">
        <v>90</v>
      </c>
      <c r="S34" s="39">
        <f t="shared" ref="S34:AF34" si="26">MAX(S10:S12)</f>
        <v>39</v>
      </c>
      <c r="T34" s="39">
        <f t="shared" si="26"/>
        <v>17</v>
      </c>
      <c r="U34" s="39">
        <f t="shared" si="26"/>
        <v>10</v>
      </c>
      <c r="V34" s="39">
        <f t="shared" si="26"/>
        <v>20</v>
      </c>
      <c r="W34" s="39">
        <f t="shared" si="26"/>
        <v>3</v>
      </c>
      <c r="X34" s="39">
        <f t="shared" si="26"/>
        <v>1</v>
      </c>
      <c r="Y34" s="39">
        <f t="shared" si="26"/>
        <v>14</v>
      </c>
      <c r="Z34" s="39">
        <f t="shared" si="26"/>
        <v>8</v>
      </c>
      <c r="AA34" s="39">
        <f t="shared" si="26"/>
        <v>4</v>
      </c>
      <c r="AB34" s="39">
        <f t="shared" si="26"/>
        <v>6</v>
      </c>
      <c r="AC34" s="39">
        <f t="shared" si="26"/>
        <v>139</v>
      </c>
      <c r="AD34" s="39">
        <f t="shared" si="26"/>
        <v>1</v>
      </c>
      <c r="AE34" s="40">
        <f t="shared" si="26"/>
        <v>119</v>
      </c>
      <c r="AF34" s="40">
        <f t="shared" si="26"/>
        <v>243</v>
      </c>
    </row>
    <row r="35" spans="2:32" ht="23.1" customHeight="1" x14ac:dyDescent="0.25">
      <c r="B35" s="46" t="s">
        <v>62</v>
      </c>
      <c r="C35" s="50">
        <v>12</v>
      </c>
      <c r="D35" s="50">
        <v>1</v>
      </c>
      <c r="E35" s="50">
        <v>2</v>
      </c>
      <c r="F35" s="50">
        <v>6</v>
      </c>
      <c r="G35" s="50">
        <v>0</v>
      </c>
      <c r="H35" s="50">
        <v>1</v>
      </c>
      <c r="I35" s="50">
        <v>2</v>
      </c>
      <c r="J35" s="50">
        <v>2</v>
      </c>
      <c r="K35" s="50">
        <v>0</v>
      </c>
      <c r="L35" s="50">
        <v>1</v>
      </c>
      <c r="M35" s="50">
        <v>46</v>
      </c>
      <c r="N35" s="50">
        <v>0</v>
      </c>
      <c r="O35" s="15">
        <f t="shared" si="0"/>
        <v>27</v>
      </c>
      <c r="P35" s="15">
        <f t="shared" si="1"/>
        <v>73</v>
      </c>
      <c r="R35" s="38" t="s">
        <v>91</v>
      </c>
      <c r="S35" s="39">
        <f t="shared" ref="S35:AF35" si="27">MAX(S13:S18)</f>
        <v>47</v>
      </c>
      <c r="T35" s="39">
        <f t="shared" si="27"/>
        <v>13</v>
      </c>
      <c r="U35" s="39">
        <f t="shared" si="27"/>
        <v>10</v>
      </c>
      <c r="V35" s="39">
        <f t="shared" si="27"/>
        <v>42</v>
      </c>
      <c r="W35" s="39">
        <f t="shared" si="27"/>
        <v>3</v>
      </c>
      <c r="X35" s="39">
        <f t="shared" si="27"/>
        <v>5</v>
      </c>
      <c r="Y35" s="39">
        <f t="shared" si="27"/>
        <v>16</v>
      </c>
      <c r="Z35" s="39">
        <f t="shared" si="27"/>
        <v>14</v>
      </c>
      <c r="AA35" s="39">
        <f t="shared" si="27"/>
        <v>6</v>
      </c>
      <c r="AB35" s="39">
        <f t="shared" si="27"/>
        <v>7</v>
      </c>
      <c r="AC35" s="39">
        <f t="shared" si="27"/>
        <v>157</v>
      </c>
      <c r="AD35" s="39">
        <f t="shared" si="27"/>
        <v>0</v>
      </c>
      <c r="AE35" s="40">
        <f t="shared" si="27"/>
        <v>146</v>
      </c>
      <c r="AF35" s="40">
        <f t="shared" si="27"/>
        <v>303</v>
      </c>
    </row>
    <row r="36" spans="2:32" ht="23.1" customHeight="1" x14ac:dyDescent="0.25">
      <c r="B36" s="46" t="s">
        <v>63</v>
      </c>
      <c r="C36" s="50">
        <v>8</v>
      </c>
      <c r="D36" s="50">
        <v>4</v>
      </c>
      <c r="E36" s="50">
        <v>1</v>
      </c>
      <c r="F36" s="50">
        <v>8</v>
      </c>
      <c r="G36" s="50">
        <v>1</v>
      </c>
      <c r="H36" s="50">
        <v>0</v>
      </c>
      <c r="I36" s="50">
        <v>3</v>
      </c>
      <c r="J36" s="50">
        <v>3</v>
      </c>
      <c r="K36" s="50">
        <v>2</v>
      </c>
      <c r="L36" s="50">
        <v>1</v>
      </c>
      <c r="M36" s="50">
        <v>30</v>
      </c>
      <c r="N36" s="50">
        <v>0</v>
      </c>
      <c r="O36" s="15">
        <f t="shared" si="0"/>
        <v>31</v>
      </c>
      <c r="P36" s="15">
        <f t="shared" si="1"/>
        <v>61</v>
      </c>
      <c r="R36" s="38" t="s">
        <v>92</v>
      </c>
      <c r="S36" s="39">
        <f t="shared" ref="S36:AF36" si="28">MAX(S19:S21)</f>
        <v>53</v>
      </c>
      <c r="T36" s="39">
        <f t="shared" si="28"/>
        <v>14</v>
      </c>
      <c r="U36" s="39">
        <f t="shared" si="28"/>
        <v>11</v>
      </c>
      <c r="V36" s="39">
        <f t="shared" si="28"/>
        <v>44</v>
      </c>
      <c r="W36" s="39">
        <f t="shared" si="28"/>
        <v>5</v>
      </c>
      <c r="X36" s="39">
        <f t="shared" si="28"/>
        <v>3</v>
      </c>
      <c r="Y36" s="39">
        <f t="shared" si="28"/>
        <v>28</v>
      </c>
      <c r="Z36" s="39">
        <f t="shared" si="28"/>
        <v>21</v>
      </c>
      <c r="AA36" s="39">
        <f t="shared" si="28"/>
        <v>7</v>
      </c>
      <c r="AB36" s="39">
        <f t="shared" si="28"/>
        <v>3</v>
      </c>
      <c r="AC36" s="39">
        <f t="shared" si="28"/>
        <v>220</v>
      </c>
      <c r="AD36" s="39">
        <f t="shared" si="28"/>
        <v>0</v>
      </c>
      <c r="AE36" s="40">
        <f t="shared" si="28"/>
        <v>187</v>
      </c>
      <c r="AF36" s="40">
        <f t="shared" si="28"/>
        <v>345</v>
      </c>
    </row>
    <row r="37" spans="2:32" ht="23.1" customHeight="1" x14ac:dyDescent="0.25">
      <c r="B37" s="45" t="s">
        <v>64</v>
      </c>
      <c r="C37" s="50">
        <v>5</v>
      </c>
      <c r="D37" s="50">
        <v>2</v>
      </c>
      <c r="E37" s="50">
        <v>1</v>
      </c>
      <c r="F37" s="50">
        <v>7</v>
      </c>
      <c r="G37" s="50">
        <v>1</v>
      </c>
      <c r="H37" s="50">
        <v>1</v>
      </c>
      <c r="I37" s="50">
        <v>4</v>
      </c>
      <c r="J37" s="50">
        <v>0</v>
      </c>
      <c r="K37" s="50">
        <v>2</v>
      </c>
      <c r="L37" s="50">
        <v>2</v>
      </c>
      <c r="M37" s="50">
        <v>41</v>
      </c>
      <c r="N37" s="50">
        <v>0</v>
      </c>
      <c r="O37" s="15">
        <f t="shared" si="0"/>
        <v>25</v>
      </c>
      <c r="P37" s="15">
        <f t="shared" si="1"/>
        <v>66</v>
      </c>
      <c r="R37" s="37" t="s">
        <v>85</v>
      </c>
      <c r="S37" s="35">
        <f t="shared" ref="S37:AF37" si="29">SUM(S10:S12)</f>
        <v>94</v>
      </c>
      <c r="T37" s="16">
        <f t="shared" si="29"/>
        <v>32</v>
      </c>
      <c r="U37" s="16">
        <f t="shared" si="29"/>
        <v>26</v>
      </c>
      <c r="V37" s="16">
        <f t="shared" si="29"/>
        <v>56</v>
      </c>
      <c r="W37" s="16">
        <f t="shared" si="29"/>
        <v>3</v>
      </c>
      <c r="X37" s="16">
        <f t="shared" si="29"/>
        <v>1</v>
      </c>
      <c r="Y37" s="16">
        <f t="shared" si="29"/>
        <v>33</v>
      </c>
      <c r="Z37" s="16">
        <f t="shared" si="29"/>
        <v>20</v>
      </c>
      <c r="AA37" s="16">
        <f t="shared" si="29"/>
        <v>8</v>
      </c>
      <c r="AB37" s="16">
        <f t="shared" si="29"/>
        <v>16</v>
      </c>
      <c r="AC37" s="16">
        <f t="shared" si="29"/>
        <v>398</v>
      </c>
      <c r="AD37" s="16">
        <f t="shared" si="29"/>
        <v>1</v>
      </c>
      <c r="AE37" s="32">
        <f t="shared" si="29"/>
        <v>290</v>
      </c>
      <c r="AF37" s="32">
        <f t="shared" si="29"/>
        <v>688</v>
      </c>
    </row>
    <row r="38" spans="2:32" ht="23.1" customHeight="1" x14ac:dyDescent="0.25">
      <c r="B38" s="46" t="s">
        <v>65</v>
      </c>
      <c r="C38" s="50">
        <v>7</v>
      </c>
      <c r="D38" s="50">
        <v>1</v>
      </c>
      <c r="E38" s="50">
        <v>0</v>
      </c>
      <c r="F38" s="50">
        <v>8</v>
      </c>
      <c r="G38" s="50">
        <v>0</v>
      </c>
      <c r="H38" s="50">
        <v>0</v>
      </c>
      <c r="I38" s="50">
        <v>7</v>
      </c>
      <c r="J38" s="50">
        <v>3</v>
      </c>
      <c r="K38" s="50">
        <v>1</v>
      </c>
      <c r="L38" s="50">
        <v>0</v>
      </c>
      <c r="M38" s="50">
        <v>22</v>
      </c>
      <c r="N38" s="50">
        <v>0</v>
      </c>
      <c r="O38" s="15">
        <f t="shared" si="0"/>
        <v>27</v>
      </c>
      <c r="P38" s="15">
        <f t="shared" si="1"/>
        <v>49</v>
      </c>
      <c r="R38" s="28" t="s">
        <v>86</v>
      </c>
      <c r="S38" s="16">
        <f t="shared" ref="S38:AF38" si="30">SUM(S13:S18)</f>
        <v>189</v>
      </c>
      <c r="T38" s="16">
        <f t="shared" si="30"/>
        <v>49</v>
      </c>
      <c r="U38" s="16">
        <f t="shared" si="30"/>
        <v>45</v>
      </c>
      <c r="V38" s="16">
        <f t="shared" si="30"/>
        <v>161</v>
      </c>
      <c r="W38" s="16">
        <f t="shared" si="30"/>
        <v>5</v>
      </c>
      <c r="X38" s="16">
        <f t="shared" si="30"/>
        <v>14</v>
      </c>
      <c r="Y38" s="16">
        <f t="shared" si="30"/>
        <v>71</v>
      </c>
      <c r="Z38" s="16">
        <f t="shared" si="30"/>
        <v>58</v>
      </c>
      <c r="AA38" s="16">
        <f t="shared" si="30"/>
        <v>16</v>
      </c>
      <c r="AB38" s="16">
        <f t="shared" si="30"/>
        <v>29</v>
      </c>
      <c r="AC38" s="16">
        <f t="shared" si="30"/>
        <v>738</v>
      </c>
      <c r="AD38" s="16">
        <f t="shared" si="30"/>
        <v>0</v>
      </c>
      <c r="AE38" s="32">
        <f t="shared" si="30"/>
        <v>637</v>
      </c>
      <c r="AF38" s="32">
        <f t="shared" si="30"/>
        <v>1375</v>
      </c>
    </row>
    <row r="39" spans="2:32" ht="23.1" customHeight="1" x14ac:dyDescent="0.25">
      <c r="B39" s="46" t="s">
        <v>66</v>
      </c>
      <c r="C39" s="50">
        <v>7</v>
      </c>
      <c r="D39" s="50">
        <v>5</v>
      </c>
      <c r="E39" s="50">
        <v>0</v>
      </c>
      <c r="F39" s="50">
        <v>4</v>
      </c>
      <c r="G39" s="50">
        <v>1</v>
      </c>
      <c r="H39" s="50">
        <v>0</v>
      </c>
      <c r="I39" s="50">
        <v>3</v>
      </c>
      <c r="J39" s="50">
        <v>1</v>
      </c>
      <c r="K39" s="50">
        <v>1</v>
      </c>
      <c r="L39" s="50">
        <v>2</v>
      </c>
      <c r="M39" s="50">
        <v>36</v>
      </c>
      <c r="N39" s="50">
        <v>0</v>
      </c>
      <c r="O39" s="15">
        <f t="shared" si="0"/>
        <v>24</v>
      </c>
      <c r="P39" s="15">
        <f t="shared" si="1"/>
        <v>60</v>
      </c>
      <c r="R39" s="29" t="s">
        <v>87</v>
      </c>
      <c r="S39" s="16">
        <f t="shared" ref="S39:AF39" si="31">SUM(S19:S21)</f>
        <v>111</v>
      </c>
      <c r="T39" s="16">
        <f t="shared" si="31"/>
        <v>35</v>
      </c>
      <c r="U39" s="16">
        <f t="shared" si="31"/>
        <v>25</v>
      </c>
      <c r="V39" s="16">
        <f t="shared" si="31"/>
        <v>103</v>
      </c>
      <c r="W39" s="16">
        <f t="shared" si="31"/>
        <v>5</v>
      </c>
      <c r="X39" s="16">
        <f t="shared" si="31"/>
        <v>5</v>
      </c>
      <c r="Y39" s="16">
        <f t="shared" si="31"/>
        <v>65</v>
      </c>
      <c r="Z39" s="16">
        <f t="shared" si="31"/>
        <v>55</v>
      </c>
      <c r="AA39" s="16">
        <f t="shared" si="31"/>
        <v>12</v>
      </c>
      <c r="AB39" s="16">
        <f t="shared" si="31"/>
        <v>6</v>
      </c>
      <c r="AC39" s="16">
        <f t="shared" si="31"/>
        <v>562</v>
      </c>
      <c r="AD39" s="16">
        <f t="shared" si="31"/>
        <v>0</v>
      </c>
      <c r="AE39" s="32">
        <f t="shared" si="31"/>
        <v>422</v>
      </c>
      <c r="AF39" s="32">
        <f t="shared" si="31"/>
        <v>984</v>
      </c>
    </row>
    <row r="40" spans="2:32" ht="23.1" customHeight="1" x14ac:dyDescent="0.25">
      <c r="B40" s="46" t="s">
        <v>67</v>
      </c>
      <c r="C40" s="50">
        <v>4</v>
      </c>
      <c r="D40" s="50">
        <v>4</v>
      </c>
      <c r="E40" s="50">
        <v>4</v>
      </c>
      <c r="F40" s="50">
        <v>10</v>
      </c>
      <c r="G40" s="50">
        <v>0</v>
      </c>
      <c r="H40" s="50">
        <v>0</v>
      </c>
      <c r="I40" s="50">
        <v>4</v>
      </c>
      <c r="J40" s="50">
        <v>3</v>
      </c>
      <c r="K40" s="50">
        <v>0</v>
      </c>
      <c r="L40" s="50">
        <v>1</v>
      </c>
      <c r="M40" s="50">
        <v>45</v>
      </c>
      <c r="N40" s="50">
        <v>0</v>
      </c>
      <c r="O40" s="15">
        <f t="shared" si="0"/>
        <v>30</v>
      </c>
      <c r="P40" s="15">
        <f t="shared" si="1"/>
        <v>75</v>
      </c>
      <c r="R40" s="5" t="s">
        <v>17</v>
      </c>
      <c r="S40" s="16">
        <f t="shared" ref="S40:AF40" si="32">SUM(S10:S21)</f>
        <v>394</v>
      </c>
      <c r="T40" s="16">
        <f t="shared" si="32"/>
        <v>116</v>
      </c>
      <c r="U40" s="16">
        <f t="shared" si="32"/>
        <v>96</v>
      </c>
      <c r="V40" s="16">
        <f t="shared" si="32"/>
        <v>320</v>
      </c>
      <c r="W40" s="16">
        <f t="shared" si="32"/>
        <v>13</v>
      </c>
      <c r="X40" s="16">
        <f t="shared" si="32"/>
        <v>20</v>
      </c>
      <c r="Y40" s="16">
        <f t="shared" si="32"/>
        <v>169</v>
      </c>
      <c r="Z40" s="16">
        <f t="shared" si="32"/>
        <v>133</v>
      </c>
      <c r="AA40" s="16">
        <f t="shared" si="32"/>
        <v>36</v>
      </c>
      <c r="AB40" s="16">
        <f t="shared" si="32"/>
        <v>51</v>
      </c>
      <c r="AC40" s="16">
        <f t="shared" si="32"/>
        <v>1698</v>
      </c>
      <c r="AD40" s="16">
        <f t="shared" si="32"/>
        <v>1</v>
      </c>
      <c r="AE40" s="32">
        <f t="shared" si="32"/>
        <v>1349</v>
      </c>
      <c r="AF40" s="32">
        <f t="shared" si="32"/>
        <v>3047</v>
      </c>
    </row>
    <row r="41" spans="2:32" ht="23.1" customHeight="1" x14ac:dyDescent="0.25">
      <c r="B41" s="45" t="s">
        <v>68</v>
      </c>
      <c r="C41" s="50">
        <v>10</v>
      </c>
      <c r="D41" s="50">
        <v>0</v>
      </c>
      <c r="E41" s="50">
        <v>5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1</v>
      </c>
      <c r="L41" s="50">
        <v>0</v>
      </c>
      <c r="M41" s="50">
        <v>10</v>
      </c>
      <c r="N41" s="50">
        <v>0</v>
      </c>
      <c r="O41" s="15">
        <f t="shared" si="0"/>
        <v>18</v>
      </c>
      <c r="P41" s="15">
        <f t="shared" si="1"/>
        <v>28</v>
      </c>
      <c r="R41" s="5" t="s">
        <v>159</v>
      </c>
      <c r="S41" s="16">
        <f>SUM(S10:S33)</f>
        <v>514</v>
      </c>
      <c r="T41" s="16">
        <f t="shared" ref="T41:AF41" si="33">SUM(T10:T33)</f>
        <v>164</v>
      </c>
      <c r="U41" s="16">
        <f t="shared" si="33"/>
        <v>116</v>
      </c>
      <c r="V41" s="16">
        <f t="shared" si="33"/>
        <v>418</v>
      </c>
      <c r="W41" s="16">
        <f t="shared" si="33"/>
        <v>18</v>
      </c>
      <c r="X41" s="16">
        <f t="shared" si="33"/>
        <v>30</v>
      </c>
      <c r="Y41" s="16">
        <f t="shared" si="33"/>
        <v>256</v>
      </c>
      <c r="Z41" s="16">
        <f t="shared" si="33"/>
        <v>221</v>
      </c>
      <c r="AA41" s="16">
        <f t="shared" si="33"/>
        <v>79</v>
      </c>
      <c r="AB41" s="16">
        <f t="shared" si="33"/>
        <v>88</v>
      </c>
      <c r="AC41" s="16">
        <f t="shared" si="33"/>
        <v>2199</v>
      </c>
      <c r="AD41" s="16">
        <f t="shared" si="33"/>
        <v>1</v>
      </c>
      <c r="AE41" s="32">
        <f t="shared" si="33"/>
        <v>1905</v>
      </c>
      <c r="AF41" s="32">
        <f t="shared" si="33"/>
        <v>4104</v>
      </c>
    </row>
    <row r="42" spans="2:32" ht="23.1" customHeight="1" x14ac:dyDescent="0.25">
      <c r="B42" s="46" t="s">
        <v>69</v>
      </c>
      <c r="C42" s="50">
        <v>7</v>
      </c>
      <c r="D42" s="50">
        <v>1</v>
      </c>
      <c r="E42" s="50">
        <v>2</v>
      </c>
      <c r="F42" s="50">
        <v>5</v>
      </c>
      <c r="G42" s="50">
        <v>0</v>
      </c>
      <c r="H42" s="50">
        <v>0</v>
      </c>
      <c r="I42" s="50">
        <v>6</v>
      </c>
      <c r="J42" s="50">
        <v>2</v>
      </c>
      <c r="K42" s="50">
        <v>0</v>
      </c>
      <c r="L42" s="50">
        <v>1</v>
      </c>
      <c r="M42" s="50">
        <v>30</v>
      </c>
      <c r="N42" s="50">
        <v>0</v>
      </c>
      <c r="O42" s="15">
        <f t="shared" si="0"/>
        <v>24</v>
      </c>
      <c r="P42" s="15">
        <f t="shared" si="1"/>
        <v>54</v>
      </c>
      <c r="R42" s="5" t="s">
        <v>160</v>
      </c>
      <c r="S42" s="48">
        <f>S41/S40</f>
        <v>1.3045685279187818</v>
      </c>
      <c r="T42" s="48">
        <f t="shared" ref="T42:AF42" si="34">T41/T40</f>
        <v>1.4137931034482758</v>
      </c>
      <c r="U42" s="48">
        <f t="shared" si="34"/>
        <v>1.2083333333333333</v>
      </c>
      <c r="V42" s="48">
        <f t="shared" si="34"/>
        <v>1.3062499999999999</v>
      </c>
      <c r="W42" s="48">
        <f t="shared" si="34"/>
        <v>1.3846153846153846</v>
      </c>
      <c r="X42" s="48">
        <f t="shared" si="34"/>
        <v>1.5</v>
      </c>
      <c r="Y42" s="48">
        <f t="shared" si="34"/>
        <v>1.514792899408284</v>
      </c>
      <c r="Z42" s="48">
        <f t="shared" si="34"/>
        <v>1.6616541353383458</v>
      </c>
      <c r="AA42" s="48">
        <f t="shared" si="34"/>
        <v>2.1944444444444446</v>
      </c>
      <c r="AB42" s="48">
        <f t="shared" si="34"/>
        <v>1.7254901960784315</v>
      </c>
      <c r="AC42" s="48">
        <f t="shared" si="34"/>
        <v>1.295053003533569</v>
      </c>
      <c r="AD42" s="48">
        <f t="shared" si="34"/>
        <v>1</v>
      </c>
      <c r="AE42" s="48">
        <f t="shared" si="34"/>
        <v>1.4121571534469979</v>
      </c>
      <c r="AF42" s="48">
        <f t="shared" si="34"/>
        <v>1.3468985887758451</v>
      </c>
    </row>
    <row r="43" spans="2:32" ht="23.1" customHeight="1" x14ac:dyDescent="0.25">
      <c r="B43" s="45" t="s">
        <v>70</v>
      </c>
      <c r="C43" s="50">
        <v>8</v>
      </c>
      <c r="D43" s="50">
        <v>1</v>
      </c>
      <c r="E43" s="50">
        <v>0</v>
      </c>
      <c r="F43" s="50">
        <v>11</v>
      </c>
      <c r="G43" s="50">
        <v>0</v>
      </c>
      <c r="H43" s="50">
        <v>1</v>
      </c>
      <c r="I43" s="50">
        <v>4</v>
      </c>
      <c r="J43" s="50">
        <v>6</v>
      </c>
      <c r="K43" s="50">
        <v>0</v>
      </c>
      <c r="L43" s="50">
        <v>1</v>
      </c>
      <c r="M43" s="50">
        <v>54</v>
      </c>
      <c r="N43" s="50">
        <v>0</v>
      </c>
      <c r="O43" s="15">
        <f t="shared" si="0"/>
        <v>32</v>
      </c>
      <c r="P43" s="15">
        <f t="shared" si="1"/>
        <v>86</v>
      </c>
    </row>
    <row r="44" spans="2:32" ht="23.1" customHeight="1" x14ac:dyDescent="0.25">
      <c r="B44" s="47" t="s">
        <v>71</v>
      </c>
      <c r="C44" s="50">
        <v>8</v>
      </c>
      <c r="D44" s="50">
        <v>2</v>
      </c>
      <c r="E44" s="50">
        <v>2</v>
      </c>
      <c r="F44" s="50">
        <v>9</v>
      </c>
      <c r="G44" s="50">
        <v>0</v>
      </c>
      <c r="H44" s="50">
        <v>2</v>
      </c>
      <c r="I44" s="50">
        <v>4</v>
      </c>
      <c r="J44" s="50">
        <v>3</v>
      </c>
      <c r="K44" s="50">
        <v>0</v>
      </c>
      <c r="L44" s="50">
        <v>4</v>
      </c>
      <c r="M44" s="50">
        <v>31</v>
      </c>
      <c r="N44" s="50">
        <v>0</v>
      </c>
      <c r="O44" s="15">
        <f t="shared" si="0"/>
        <v>34</v>
      </c>
      <c r="P44" s="15">
        <f t="shared" si="1"/>
        <v>65</v>
      </c>
    </row>
    <row r="45" spans="2:32" ht="23.1" customHeight="1" x14ac:dyDescent="0.25">
      <c r="B45" s="45" t="s">
        <v>72</v>
      </c>
      <c r="C45" s="50">
        <v>7</v>
      </c>
      <c r="D45" s="50">
        <v>0</v>
      </c>
      <c r="E45" s="50">
        <v>3</v>
      </c>
      <c r="F45" s="50">
        <v>5</v>
      </c>
      <c r="G45" s="50">
        <v>0</v>
      </c>
      <c r="H45" s="50">
        <v>0</v>
      </c>
      <c r="I45" s="50">
        <v>2</v>
      </c>
      <c r="J45" s="50">
        <v>1</v>
      </c>
      <c r="K45" s="50">
        <v>1</v>
      </c>
      <c r="L45" s="50">
        <v>0</v>
      </c>
      <c r="M45" s="50">
        <v>20</v>
      </c>
      <c r="N45" s="50">
        <v>0</v>
      </c>
      <c r="O45" s="15">
        <f t="shared" si="0"/>
        <v>19</v>
      </c>
      <c r="P45" s="15">
        <f t="shared" si="1"/>
        <v>39</v>
      </c>
    </row>
    <row r="46" spans="2:32" ht="23.1" customHeight="1" x14ac:dyDescent="0.25">
      <c r="B46" s="46" t="s">
        <v>73</v>
      </c>
      <c r="C46" s="50">
        <v>14</v>
      </c>
      <c r="D46" s="50">
        <v>4</v>
      </c>
      <c r="E46" s="50">
        <v>2</v>
      </c>
      <c r="F46" s="50">
        <v>8</v>
      </c>
      <c r="G46" s="50">
        <v>0</v>
      </c>
      <c r="H46" s="50">
        <v>0</v>
      </c>
      <c r="I46" s="50">
        <v>8</v>
      </c>
      <c r="J46" s="50">
        <v>8</v>
      </c>
      <c r="K46" s="50">
        <v>1</v>
      </c>
      <c r="L46" s="50">
        <v>0</v>
      </c>
      <c r="M46" s="50">
        <v>31</v>
      </c>
      <c r="N46" s="50">
        <v>0</v>
      </c>
      <c r="O46" s="15">
        <f t="shared" si="0"/>
        <v>45</v>
      </c>
      <c r="P46" s="15">
        <f t="shared" si="1"/>
        <v>76</v>
      </c>
      <c r="R46" s="8"/>
      <c r="T46"/>
    </row>
    <row r="47" spans="2:32" ht="23.1" customHeight="1" x14ac:dyDescent="0.25">
      <c r="B47" s="46" t="s">
        <v>74</v>
      </c>
      <c r="C47" s="50">
        <v>11</v>
      </c>
      <c r="D47" s="50">
        <v>2</v>
      </c>
      <c r="E47" s="50">
        <v>3</v>
      </c>
      <c r="F47" s="50">
        <v>14</v>
      </c>
      <c r="G47" s="50">
        <v>0</v>
      </c>
      <c r="H47" s="50">
        <v>3</v>
      </c>
      <c r="I47" s="50">
        <v>7</v>
      </c>
      <c r="J47" s="50">
        <v>5</v>
      </c>
      <c r="K47" s="50">
        <v>0</v>
      </c>
      <c r="L47" s="50">
        <v>1</v>
      </c>
      <c r="M47" s="50">
        <v>45</v>
      </c>
      <c r="N47" s="50">
        <v>0</v>
      </c>
      <c r="O47" s="15">
        <f t="shared" si="0"/>
        <v>46</v>
      </c>
      <c r="P47" s="15">
        <f t="shared" si="1"/>
        <v>91</v>
      </c>
      <c r="R47" s="8"/>
      <c r="T47"/>
    </row>
    <row r="48" spans="2:32" ht="23.1" customHeight="1" x14ac:dyDescent="0.25">
      <c r="B48" s="46" t="s">
        <v>75</v>
      </c>
      <c r="C48" s="50">
        <v>13</v>
      </c>
      <c r="D48" s="50">
        <v>4</v>
      </c>
      <c r="E48" s="50">
        <v>4</v>
      </c>
      <c r="F48" s="50">
        <v>10</v>
      </c>
      <c r="G48" s="50">
        <v>0</v>
      </c>
      <c r="H48" s="50">
        <v>0</v>
      </c>
      <c r="I48" s="50">
        <v>0</v>
      </c>
      <c r="J48" s="50">
        <v>6</v>
      </c>
      <c r="K48" s="50">
        <v>1</v>
      </c>
      <c r="L48" s="50">
        <v>0</v>
      </c>
      <c r="M48" s="50">
        <v>16</v>
      </c>
      <c r="N48" s="50">
        <v>0</v>
      </c>
      <c r="O48" s="15">
        <f t="shared" si="0"/>
        <v>38</v>
      </c>
      <c r="P48" s="15">
        <f t="shared" si="1"/>
        <v>54</v>
      </c>
      <c r="R48" s="8"/>
      <c r="T48"/>
    </row>
    <row r="49" spans="2:20" ht="23.1" customHeight="1" x14ac:dyDescent="0.25">
      <c r="B49" s="45" t="s">
        <v>76</v>
      </c>
      <c r="C49" s="50">
        <v>15</v>
      </c>
      <c r="D49" s="50">
        <v>4</v>
      </c>
      <c r="E49" s="50">
        <v>2</v>
      </c>
      <c r="F49" s="50">
        <v>12</v>
      </c>
      <c r="G49" s="50">
        <v>5</v>
      </c>
      <c r="H49" s="50">
        <v>0</v>
      </c>
      <c r="I49" s="50">
        <v>13</v>
      </c>
      <c r="J49" s="50">
        <v>2</v>
      </c>
      <c r="K49" s="50">
        <v>5</v>
      </c>
      <c r="L49" s="50">
        <v>0</v>
      </c>
      <c r="M49" s="50">
        <v>52</v>
      </c>
      <c r="N49" s="50">
        <v>0</v>
      </c>
      <c r="O49" s="15">
        <f t="shared" si="0"/>
        <v>58</v>
      </c>
      <c r="P49" s="15">
        <f t="shared" si="1"/>
        <v>110</v>
      </c>
      <c r="R49" s="8"/>
      <c r="T49"/>
    </row>
    <row r="50" spans="2:20" ht="23.1" customHeight="1" x14ac:dyDescent="0.25">
      <c r="B50" s="46" t="s">
        <v>77</v>
      </c>
      <c r="C50" s="50">
        <v>7</v>
      </c>
      <c r="D50" s="50">
        <v>2</v>
      </c>
      <c r="E50" s="50">
        <v>2</v>
      </c>
      <c r="F50" s="50">
        <v>15</v>
      </c>
      <c r="G50" s="50">
        <v>0</v>
      </c>
      <c r="H50" s="50">
        <v>0</v>
      </c>
      <c r="I50" s="50">
        <v>4</v>
      </c>
      <c r="J50" s="50">
        <v>5</v>
      </c>
      <c r="K50" s="50">
        <v>0</v>
      </c>
      <c r="L50" s="50">
        <v>0</v>
      </c>
      <c r="M50" s="50">
        <v>42</v>
      </c>
      <c r="N50" s="50">
        <v>0</v>
      </c>
      <c r="O50" s="15">
        <f t="shared" si="0"/>
        <v>35</v>
      </c>
      <c r="P50" s="15">
        <f t="shared" si="1"/>
        <v>77</v>
      </c>
      <c r="R50" s="8"/>
      <c r="T50"/>
    </row>
    <row r="51" spans="2:20" ht="23.1" customHeight="1" x14ac:dyDescent="0.25">
      <c r="B51" s="46" t="s">
        <v>78</v>
      </c>
      <c r="C51" s="50">
        <v>7</v>
      </c>
      <c r="D51" s="50">
        <v>2</v>
      </c>
      <c r="E51" s="50">
        <v>1</v>
      </c>
      <c r="F51" s="50">
        <v>6</v>
      </c>
      <c r="G51" s="50">
        <v>0</v>
      </c>
      <c r="H51" s="50">
        <v>1</v>
      </c>
      <c r="I51" s="50">
        <v>4</v>
      </c>
      <c r="J51" s="50">
        <v>1</v>
      </c>
      <c r="K51" s="50">
        <v>2</v>
      </c>
      <c r="L51" s="50">
        <v>1</v>
      </c>
      <c r="M51" s="50">
        <v>59</v>
      </c>
      <c r="N51" s="50">
        <v>0</v>
      </c>
      <c r="O51" s="15">
        <f t="shared" si="0"/>
        <v>25</v>
      </c>
      <c r="P51" s="15">
        <f t="shared" si="1"/>
        <v>84</v>
      </c>
      <c r="R51" s="8"/>
      <c r="T51"/>
    </row>
    <row r="52" spans="2:20" ht="23.1" customHeight="1" x14ac:dyDescent="0.25">
      <c r="B52" s="46" t="s">
        <v>79</v>
      </c>
      <c r="C52" s="50">
        <v>5</v>
      </c>
      <c r="D52" s="50">
        <v>2</v>
      </c>
      <c r="E52" s="50">
        <v>3</v>
      </c>
      <c r="F52" s="50">
        <v>1</v>
      </c>
      <c r="G52" s="50">
        <v>0</v>
      </c>
      <c r="H52" s="50">
        <v>0</v>
      </c>
      <c r="I52" s="50">
        <v>5</v>
      </c>
      <c r="J52" s="50">
        <v>8</v>
      </c>
      <c r="K52" s="50">
        <v>1</v>
      </c>
      <c r="L52" s="50">
        <v>0</v>
      </c>
      <c r="M52" s="50">
        <v>55</v>
      </c>
      <c r="N52" s="50">
        <v>0</v>
      </c>
      <c r="O52" s="15">
        <f t="shared" si="0"/>
        <v>25</v>
      </c>
      <c r="P52" s="15">
        <f t="shared" si="1"/>
        <v>80</v>
      </c>
      <c r="R52" s="8"/>
      <c r="T52"/>
    </row>
    <row r="53" spans="2:20" ht="23.1" customHeight="1" x14ac:dyDescent="0.25">
      <c r="B53" s="45" t="s">
        <v>80</v>
      </c>
      <c r="C53" s="50">
        <v>13</v>
      </c>
      <c r="D53" s="50">
        <v>3</v>
      </c>
      <c r="E53" s="50">
        <v>1</v>
      </c>
      <c r="F53" s="50">
        <v>11</v>
      </c>
      <c r="G53" s="50">
        <v>0</v>
      </c>
      <c r="H53" s="50">
        <v>1</v>
      </c>
      <c r="I53" s="50">
        <v>4</v>
      </c>
      <c r="J53" s="50">
        <v>5</v>
      </c>
      <c r="K53" s="50">
        <v>1</v>
      </c>
      <c r="L53" s="50">
        <v>1</v>
      </c>
      <c r="M53" s="50">
        <v>64</v>
      </c>
      <c r="N53" s="50">
        <v>0</v>
      </c>
      <c r="O53" s="15">
        <f t="shared" si="0"/>
        <v>40</v>
      </c>
      <c r="P53" s="15">
        <f t="shared" si="1"/>
        <v>104</v>
      </c>
      <c r="R53" s="8"/>
      <c r="T53"/>
    </row>
    <row r="54" spans="2:20" ht="23.1" customHeight="1" x14ac:dyDescent="0.25">
      <c r="B54" s="45" t="s">
        <v>81</v>
      </c>
      <c r="C54" s="50">
        <v>5</v>
      </c>
      <c r="D54" s="50">
        <v>3</v>
      </c>
      <c r="E54" s="50">
        <v>4</v>
      </c>
      <c r="F54" s="50">
        <v>8</v>
      </c>
      <c r="G54" s="50">
        <v>0</v>
      </c>
      <c r="H54" s="50">
        <v>0</v>
      </c>
      <c r="I54" s="50">
        <v>6</v>
      </c>
      <c r="J54" s="50">
        <v>4</v>
      </c>
      <c r="K54" s="50">
        <v>0</v>
      </c>
      <c r="L54" s="50">
        <v>2</v>
      </c>
      <c r="M54" s="50">
        <v>65</v>
      </c>
      <c r="N54" s="50">
        <v>0</v>
      </c>
      <c r="O54" s="15">
        <f t="shared" si="0"/>
        <v>32</v>
      </c>
      <c r="P54" s="15">
        <f t="shared" si="1"/>
        <v>97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1</v>
      </c>
      <c r="E55" s="50">
        <v>0</v>
      </c>
      <c r="F55" s="50">
        <v>7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46</v>
      </c>
      <c r="N55" s="50">
        <v>0</v>
      </c>
      <c r="O55" s="15">
        <f t="shared" si="0"/>
        <v>15</v>
      </c>
      <c r="P55" s="15">
        <f t="shared" si="1"/>
        <v>61</v>
      </c>
      <c r="R55" s="8"/>
      <c r="T55"/>
    </row>
    <row r="56" spans="2:20" ht="23.1" customHeight="1" x14ac:dyDescent="0.25">
      <c r="B56" s="45" t="s">
        <v>83</v>
      </c>
      <c r="C56" s="50">
        <v>12</v>
      </c>
      <c r="D56" s="50">
        <v>6</v>
      </c>
      <c r="E56" s="50">
        <v>3</v>
      </c>
      <c r="F56" s="50">
        <v>9</v>
      </c>
      <c r="G56" s="50">
        <v>0</v>
      </c>
      <c r="H56" s="50">
        <v>0</v>
      </c>
      <c r="I56" s="50">
        <v>5</v>
      </c>
      <c r="J56" s="50">
        <v>6</v>
      </c>
      <c r="K56" s="50">
        <v>1</v>
      </c>
      <c r="L56" s="50">
        <v>0</v>
      </c>
      <c r="M56" s="50">
        <v>53</v>
      </c>
      <c r="N56" s="50">
        <v>0</v>
      </c>
      <c r="O56" s="15">
        <f t="shared" si="0"/>
        <v>42</v>
      </c>
      <c r="P56" s="15">
        <f t="shared" si="1"/>
        <v>95</v>
      </c>
      <c r="R56" s="8"/>
      <c r="T56"/>
    </row>
    <row r="57" spans="2:20" ht="23.1" customHeight="1" x14ac:dyDescent="0.25">
      <c r="B57" s="45" t="s">
        <v>84</v>
      </c>
      <c r="C57" s="50">
        <v>6</v>
      </c>
      <c r="D57" s="50">
        <v>2</v>
      </c>
      <c r="E57" s="50">
        <v>0</v>
      </c>
      <c r="F57" s="50">
        <v>2</v>
      </c>
      <c r="G57" s="50">
        <v>0</v>
      </c>
      <c r="H57" s="50">
        <v>0</v>
      </c>
      <c r="I57" s="50">
        <v>5</v>
      </c>
      <c r="J57" s="50">
        <v>5</v>
      </c>
      <c r="K57" s="50">
        <v>0</v>
      </c>
      <c r="L57" s="50">
        <v>1</v>
      </c>
      <c r="M57" s="50">
        <v>34</v>
      </c>
      <c r="N57" s="50">
        <v>0</v>
      </c>
      <c r="O57" s="15">
        <f t="shared" si="0"/>
        <v>21</v>
      </c>
      <c r="P57" s="15">
        <f t="shared" si="1"/>
        <v>55</v>
      </c>
      <c r="R57" s="8"/>
      <c r="T57"/>
    </row>
    <row r="58" spans="2:20" ht="23.1" customHeight="1" x14ac:dyDescent="0.25">
      <c r="B58" s="45" t="s">
        <v>99</v>
      </c>
      <c r="C58" s="50">
        <v>8</v>
      </c>
      <c r="D58" s="50">
        <v>2</v>
      </c>
      <c r="E58" s="50">
        <v>1</v>
      </c>
      <c r="F58" s="50">
        <v>3</v>
      </c>
      <c r="G58" s="50">
        <v>0</v>
      </c>
      <c r="H58" s="50">
        <v>0</v>
      </c>
      <c r="I58" s="50">
        <v>2</v>
      </c>
      <c r="J58" s="50">
        <v>1</v>
      </c>
      <c r="K58" s="50">
        <v>1</v>
      </c>
      <c r="L58" s="50">
        <v>1</v>
      </c>
      <c r="M58" s="50">
        <v>37</v>
      </c>
      <c r="N58" s="50">
        <v>0</v>
      </c>
      <c r="O58" s="15">
        <f t="shared" si="0"/>
        <v>19</v>
      </c>
      <c r="P58" s="15">
        <f t="shared" si="1"/>
        <v>56</v>
      </c>
      <c r="R58" s="8"/>
      <c r="T58"/>
    </row>
    <row r="59" spans="2:20" ht="23.1" customHeight="1" x14ac:dyDescent="0.25">
      <c r="B59" s="45" t="s">
        <v>100</v>
      </c>
      <c r="C59" s="50">
        <v>11</v>
      </c>
      <c r="D59" s="50">
        <v>2</v>
      </c>
      <c r="E59" s="50">
        <v>3</v>
      </c>
      <c r="F59" s="50">
        <v>8</v>
      </c>
      <c r="G59" s="50">
        <v>0</v>
      </c>
      <c r="H59" s="50">
        <v>0</v>
      </c>
      <c r="I59" s="50">
        <v>12</v>
      </c>
      <c r="J59" s="50">
        <v>4</v>
      </c>
      <c r="K59" s="50">
        <v>0</v>
      </c>
      <c r="L59" s="50">
        <v>3</v>
      </c>
      <c r="M59" s="50">
        <v>39</v>
      </c>
      <c r="N59" s="50">
        <v>0</v>
      </c>
      <c r="O59" s="15">
        <f t="shared" si="0"/>
        <v>43</v>
      </c>
      <c r="P59" s="15">
        <f t="shared" si="1"/>
        <v>82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0</v>
      </c>
      <c r="F60" s="50">
        <v>2</v>
      </c>
      <c r="G60" s="50">
        <v>0</v>
      </c>
      <c r="H60" s="50">
        <v>0</v>
      </c>
      <c r="I60" s="50">
        <v>4</v>
      </c>
      <c r="J60" s="50">
        <v>3</v>
      </c>
      <c r="K60" s="50">
        <v>0</v>
      </c>
      <c r="L60" s="50">
        <v>0</v>
      </c>
      <c r="M60" s="50">
        <v>32</v>
      </c>
      <c r="N60" s="50">
        <v>0</v>
      </c>
      <c r="O60" s="15">
        <f t="shared" si="0"/>
        <v>11</v>
      </c>
      <c r="P60" s="15">
        <f t="shared" si="1"/>
        <v>43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2</v>
      </c>
      <c r="E61" s="50">
        <v>2</v>
      </c>
      <c r="F61" s="50">
        <v>0</v>
      </c>
      <c r="G61" s="50">
        <v>0</v>
      </c>
      <c r="H61" s="50">
        <v>0</v>
      </c>
      <c r="I61" s="50">
        <v>2</v>
      </c>
      <c r="J61" s="50">
        <v>4</v>
      </c>
      <c r="K61" s="50">
        <v>0</v>
      </c>
      <c r="L61" s="50">
        <v>0</v>
      </c>
      <c r="M61" s="50">
        <v>22</v>
      </c>
      <c r="N61" s="50">
        <v>0</v>
      </c>
      <c r="O61" s="15">
        <f t="shared" si="0"/>
        <v>11</v>
      </c>
      <c r="P61" s="15">
        <f t="shared" si="1"/>
        <v>33</v>
      </c>
      <c r="R61" s="8"/>
      <c r="T61"/>
    </row>
    <row r="62" spans="2:20" ht="23.1" customHeight="1" x14ac:dyDescent="0.25">
      <c r="B62" s="45" t="s">
        <v>107</v>
      </c>
      <c r="C62" s="50">
        <v>3</v>
      </c>
      <c r="D62" s="50">
        <v>4</v>
      </c>
      <c r="E62" s="50">
        <v>1</v>
      </c>
      <c r="F62" s="50">
        <v>3</v>
      </c>
      <c r="G62" s="50">
        <v>0</v>
      </c>
      <c r="H62" s="50">
        <v>0</v>
      </c>
      <c r="I62" s="50">
        <v>3</v>
      </c>
      <c r="J62" s="50">
        <v>3</v>
      </c>
      <c r="K62" s="50">
        <v>0</v>
      </c>
      <c r="L62" s="50">
        <v>0</v>
      </c>
      <c r="M62" s="50">
        <v>32</v>
      </c>
      <c r="N62" s="50">
        <v>0</v>
      </c>
      <c r="O62" s="15">
        <f t="shared" si="0"/>
        <v>17</v>
      </c>
      <c r="P62" s="15">
        <f t="shared" si="1"/>
        <v>49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2</v>
      </c>
      <c r="E63" s="50">
        <v>0</v>
      </c>
      <c r="F63" s="50">
        <v>4</v>
      </c>
      <c r="G63" s="50">
        <v>0</v>
      </c>
      <c r="H63" s="50">
        <v>1</v>
      </c>
      <c r="I63" s="50">
        <v>0</v>
      </c>
      <c r="J63" s="50">
        <v>7</v>
      </c>
      <c r="K63" s="50">
        <v>0</v>
      </c>
      <c r="L63" s="50">
        <v>2</v>
      </c>
      <c r="M63" s="50">
        <v>30</v>
      </c>
      <c r="N63" s="50">
        <v>0</v>
      </c>
      <c r="O63" s="15">
        <f t="shared" si="0"/>
        <v>21</v>
      </c>
      <c r="P63" s="15">
        <f t="shared" si="1"/>
        <v>51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1</v>
      </c>
      <c r="E64" s="50">
        <v>0</v>
      </c>
      <c r="F64" s="50">
        <v>5</v>
      </c>
      <c r="G64" s="50">
        <v>0</v>
      </c>
      <c r="H64" s="50">
        <v>0</v>
      </c>
      <c r="I64" s="50">
        <v>0</v>
      </c>
      <c r="J64" s="50">
        <v>2</v>
      </c>
      <c r="K64" s="50">
        <v>1</v>
      </c>
      <c r="L64" s="50">
        <v>1</v>
      </c>
      <c r="M64" s="50">
        <v>27</v>
      </c>
      <c r="N64" s="50">
        <v>0</v>
      </c>
      <c r="O64" s="15">
        <f t="shared" si="0"/>
        <v>13</v>
      </c>
      <c r="P64" s="15">
        <f t="shared" si="1"/>
        <v>40</v>
      </c>
      <c r="R64" s="8"/>
      <c r="T64"/>
    </row>
    <row r="65" spans="2:20" ht="23.1" customHeight="1" x14ac:dyDescent="0.25">
      <c r="B65" s="45" t="s">
        <v>158</v>
      </c>
      <c r="C65" s="50">
        <v>9</v>
      </c>
      <c r="D65" s="50">
        <v>4</v>
      </c>
      <c r="E65" s="50">
        <v>2</v>
      </c>
      <c r="F65" s="50">
        <v>7</v>
      </c>
      <c r="G65" s="50">
        <v>1</v>
      </c>
      <c r="H65" s="50">
        <v>0</v>
      </c>
      <c r="I65" s="50">
        <v>2</v>
      </c>
      <c r="J65" s="50">
        <v>1</v>
      </c>
      <c r="K65" s="50">
        <v>0</v>
      </c>
      <c r="L65" s="50">
        <v>2</v>
      </c>
      <c r="M65" s="50">
        <v>22</v>
      </c>
      <c r="N65" s="50">
        <v>0</v>
      </c>
      <c r="O65" s="15">
        <f t="shared" si="0"/>
        <v>28</v>
      </c>
      <c r="P65" s="15">
        <f t="shared" si="1"/>
        <v>50</v>
      </c>
      <c r="R65" s="8"/>
      <c r="T65"/>
    </row>
    <row r="66" spans="2:20" ht="23.1" customHeight="1" x14ac:dyDescent="0.25">
      <c r="B66" s="45" t="s">
        <v>103</v>
      </c>
      <c r="C66" s="50">
        <v>5</v>
      </c>
      <c r="D66" s="50">
        <v>1</v>
      </c>
      <c r="E66" s="50">
        <v>1</v>
      </c>
      <c r="F66" s="50">
        <v>2</v>
      </c>
      <c r="G66" s="50">
        <v>0</v>
      </c>
      <c r="H66" s="50">
        <v>0</v>
      </c>
      <c r="I66" s="50">
        <v>4</v>
      </c>
      <c r="J66" s="50">
        <v>4</v>
      </c>
      <c r="K66" s="50">
        <v>0</v>
      </c>
      <c r="L66" s="50">
        <v>0</v>
      </c>
      <c r="M66" s="50">
        <v>25</v>
      </c>
      <c r="N66" s="50">
        <v>0</v>
      </c>
      <c r="O66" s="15">
        <f t="shared" si="0"/>
        <v>17</v>
      </c>
      <c r="P66" s="15">
        <f t="shared" si="1"/>
        <v>42</v>
      </c>
      <c r="R66" s="8"/>
      <c r="T66"/>
    </row>
    <row r="67" spans="2:20" ht="23.1" customHeight="1" x14ac:dyDescent="0.25">
      <c r="B67" s="45" t="s">
        <v>104</v>
      </c>
      <c r="C67" s="50">
        <v>6</v>
      </c>
      <c r="D67" s="50">
        <v>1</v>
      </c>
      <c r="E67" s="50">
        <v>0</v>
      </c>
      <c r="F67" s="50">
        <v>1</v>
      </c>
      <c r="G67" s="50">
        <v>0</v>
      </c>
      <c r="H67" s="50">
        <v>0</v>
      </c>
      <c r="I67" s="50">
        <v>3</v>
      </c>
      <c r="J67" s="50">
        <v>1</v>
      </c>
      <c r="K67" s="50">
        <v>2</v>
      </c>
      <c r="L67" s="50">
        <v>0</v>
      </c>
      <c r="M67" s="50">
        <v>28</v>
      </c>
      <c r="N67" s="50">
        <v>0</v>
      </c>
      <c r="O67" s="15">
        <f t="shared" si="0"/>
        <v>14</v>
      </c>
      <c r="P67" s="15">
        <f t="shared" si="1"/>
        <v>42</v>
      </c>
      <c r="R67" s="8"/>
      <c r="T67"/>
    </row>
    <row r="68" spans="2:20" ht="23.1" customHeight="1" x14ac:dyDescent="0.25">
      <c r="B68" s="45" t="s">
        <v>105</v>
      </c>
      <c r="C68" s="50">
        <v>4</v>
      </c>
      <c r="D68" s="50">
        <v>1</v>
      </c>
      <c r="E68" s="50">
        <v>1</v>
      </c>
      <c r="F68" s="50">
        <v>11</v>
      </c>
      <c r="G68" s="50">
        <v>0</v>
      </c>
      <c r="H68" s="50">
        <v>1</v>
      </c>
      <c r="I68" s="50">
        <v>2</v>
      </c>
      <c r="J68" s="50">
        <v>3</v>
      </c>
      <c r="K68" s="50">
        <v>0</v>
      </c>
      <c r="L68" s="50">
        <v>0</v>
      </c>
      <c r="M68" s="50">
        <v>23</v>
      </c>
      <c r="N68" s="50">
        <v>0</v>
      </c>
      <c r="O68" s="15">
        <f t="shared" si="0"/>
        <v>23</v>
      </c>
      <c r="P68" s="15">
        <f t="shared" si="1"/>
        <v>46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4</v>
      </c>
      <c r="E69" s="50">
        <v>0</v>
      </c>
      <c r="F69" s="50">
        <v>0</v>
      </c>
      <c r="G69" s="50">
        <v>0</v>
      </c>
      <c r="H69" s="50">
        <v>1</v>
      </c>
      <c r="I69" s="50">
        <v>3</v>
      </c>
      <c r="J69" s="50">
        <v>2</v>
      </c>
      <c r="K69" s="50">
        <v>3</v>
      </c>
      <c r="L69" s="50">
        <v>2</v>
      </c>
      <c r="M69" s="50">
        <v>19</v>
      </c>
      <c r="N69" s="50">
        <v>0</v>
      </c>
      <c r="O69" s="15">
        <f t="shared" si="0"/>
        <v>18</v>
      </c>
      <c r="P69" s="15">
        <f t="shared" si="1"/>
        <v>37</v>
      </c>
      <c r="R69" s="8"/>
      <c r="T69"/>
    </row>
    <row r="70" spans="2:20" ht="23.1" customHeight="1" x14ac:dyDescent="0.25">
      <c r="B70" s="45" t="s">
        <v>110</v>
      </c>
      <c r="C70" s="50">
        <v>5</v>
      </c>
      <c r="D70" s="50">
        <v>0</v>
      </c>
      <c r="E70" s="50">
        <v>0</v>
      </c>
      <c r="F70" s="50">
        <v>6</v>
      </c>
      <c r="G70" s="50">
        <v>0</v>
      </c>
      <c r="H70" s="50">
        <v>1</v>
      </c>
      <c r="I70" s="50">
        <v>2</v>
      </c>
      <c r="J70" s="50">
        <v>2</v>
      </c>
      <c r="K70" s="50">
        <v>2</v>
      </c>
      <c r="L70" s="50">
        <v>0</v>
      </c>
      <c r="M70" s="50">
        <v>11</v>
      </c>
      <c r="N70" s="50">
        <v>0</v>
      </c>
      <c r="O70" s="15">
        <f t="shared" si="0"/>
        <v>18</v>
      </c>
      <c r="P70" s="15">
        <f t="shared" si="1"/>
        <v>29</v>
      </c>
      <c r="R70" s="8"/>
      <c r="T70"/>
    </row>
    <row r="71" spans="2:20" ht="23.1" customHeight="1" x14ac:dyDescent="0.25">
      <c r="B71" s="45" t="s">
        <v>111</v>
      </c>
      <c r="C71" s="50">
        <v>9</v>
      </c>
      <c r="D71" s="50">
        <v>1</v>
      </c>
      <c r="E71" s="50">
        <v>1</v>
      </c>
      <c r="F71" s="50">
        <v>5</v>
      </c>
      <c r="G71" s="50">
        <v>0</v>
      </c>
      <c r="H71" s="50">
        <v>0</v>
      </c>
      <c r="I71" s="50">
        <v>3</v>
      </c>
      <c r="J71" s="50">
        <v>1</v>
      </c>
      <c r="K71" s="50">
        <v>1</v>
      </c>
      <c r="L71" s="50">
        <v>3</v>
      </c>
      <c r="M71" s="50">
        <v>13</v>
      </c>
      <c r="N71" s="50">
        <v>0</v>
      </c>
      <c r="O71" s="15">
        <f t="shared" si="0"/>
        <v>24</v>
      </c>
      <c r="P71" s="15">
        <f t="shared" si="1"/>
        <v>37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2</v>
      </c>
      <c r="G72" s="50">
        <v>0</v>
      </c>
      <c r="H72" s="50">
        <v>0</v>
      </c>
      <c r="I72" s="50">
        <v>2</v>
      </c>
      <c r="J72" s="50">
        <v>4</v>
      </c>
      <c r="K72" s="50">
        <v>1</v>
      </c>
      <c r="L72" s="50">
        <v>0</v>
      </c>
      <c r="M72" s="50">
        <v>10</v>
      </c>
      <c r="N72" s="50">
        <v>0</v>
      </c>
      <c r="O72" s="15">
        <f t="shared" si="0"/>
        <v>10</v>
      </c>
      <c r="P72" s="15">
        <f t="shared" si="1"/>
        <v>20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2</v>
      </c>
      <c r="E73" s="50">
        <v>1</v>
      </c>
      <c r="F73" s="50">
        <v>3</v>
      </c>
      <c r="G73" s="50">
        <v>0</v>
      </c>
      <c r="H73" s="50">
        <v>0</v>
      </c>
      <c r="I73" s="50">
        <v>1</v>
      </c>
      <c r="J73" s="50">
        <v>4</v>
      </c>
      <c r="K73" s="50">
        <v>1</v>
      </c>
      <c r="L73" s="50">
        <v>0</v>
      </c>
      <c r="M73" s="50">
        <v>6</v>
      </c>
      <c r="N73" s="50">
        <v>0</v>
      </c>
      <c r="O73" s="15">
        <f t="shared" si="0"/>
        <v>14</v>
      </c>
      <c r="P73" s="15">
        <f t="shared" si="1"/>
        <v>20</v>
      </c>
      <c r="R73" s="8"/>
      <c r="T73"/>
    </row>
    <row r="74" spans="2:20" ht="23.1" customHeight="1" x14ac:dyDescent="0.25">
      <c r="B74" s="45" t="s">
        <v>114</v>
      </c>
      <c r="C74" s="50">
        <v>5</v>
      </c>
      <c r="D74" s="50">
        <v>1</v>
      </c>
      <c r="E74" s="50">
        <v>0</v>
      </c>
      <c r="F74" s="50">
        <v>5</v>
      </c>
      <c r="G74" s="50">
        <v>1</v>
      </c>
      <c r="H74" s="50">
        <v>1</v>
      </c>
      <c r="I74" s="50">
        <v>2</v>
      </c>
      <c r="J74" s="50">
        <v>1</v>
      </c>
      <c r="K74" s="50">
        <v>3</v>
      </c>
      <c r="L74" s="50">
        <v>2</v>
      </c>
      <c r="M74" s="50">
        <v>9</v>
      </c>
      <c r="N74" s="50">
        <v>0</v>
      </c>
      <c r="O74" s="15">
        <f t="shared" ref="O74:O105" si="35">SUM(C74:L74,N74)</f>
        <v>21</v>
      </c>
      <c r="P74" s="15">
        <f t="shared" ref="P74:P105" si="36">SUM(C74:N74)</f>
        <v>30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3</v>
      </c>
      <c r="E75" s="50">
        <v>0</v>
      </c>
      <c r="F75" s="50">
        <v>2</v>
      </c>
      <c r="G75" s="50">
        <v>0</v>
      </c>
      <c r="H75" s="50">
        <v>3</v>
      </c>
      <c r="I75" s="50">
        <v>4</v>
      </c>
      <c r="J75" s="50">
        <v>0</v>
      </c>
      <c r="K75" s="50">
        <v>1</v>
      </c>
      <c r="L75" s="50">
        <v>0</v>
      </c>
      <c r="M75" s="50">
        <v>3</v>
      </c>
      <c r="N75" s="50">
        <v>0</v>
      </c>
      <c r="O75" s="15">
        <f t="shared" si="35"/>
        <v>16</v>
      </c>
      <c r="P75" s="15">
        <f t="shared" si="36"/>
        <v>19</v>
      </c>
      <c r="R75" s="8"/>
      <c r="T75"/>
    </row>
    <row r="76" spans="2:20" ht="23.1" customHeight="1" x14ac:dyDescent="0.25">
      <c r="B76" s="45" t="s">
        <v>116</v>
      </c>
      <c r="C76" s="50">
        <v>4</v>
      </c>
      <c r="D76" s="50">
        <v>1</v>
      </c>
      <c r="E76" s="50">
        <v>0</v>
      </c>
      <c r="F76" s="50">
        <v>1</v>
      </c>
      <c r="G76" s="50">
        <v>1</v>
      </c>
      <c r="H76" s="50">
        <v>0</v>
      </c>
      <c r="I76" s="50">
        <v>2</v>
      </c>
      <c r="J76" s="50">
        <v>0</v>
      </c>
      <c r="K76" s="50">
        <v>3</v>
      </c>
      <c r="L76" s="50">
        <v>0</v>
      </c>
      <c r="M76" s="50">
        <v>5</v>
      </c>
      <c r="N76" s="50">
        <v>0</v>
      </c>
      <c r="O76" s="15">
        <f t="shared" si="35"/>
        <v>12</v>
      </c>
      <c r="P76" s="15">
        <f t="shared" si="36"/>
        <v>17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2</v>
      </c>
      <c r="G77" s="50">
        <v>0</v>
      </c>
      <c r="H77" s="50">
        <v>0</v>
      </c>
      <c r="I77" s="50">
        <v>0</v>
      </c>
      <c r="J77" s="50">
        <v>7</v>
      </c>
      <c r="K77" s="50">
        <v>0</v>
      </c>
      <c r="L77" s="50">
        <v>1</v>
      </c>
      <c r="M77" s="50">
        <v>7</v>
      </c>
      <c r="N77" s="50">
        <v>0</v>
      </c>
      <c r="O77" s="15">
        <f t="shared" si="35"/>
        <v>11</v>
      </c>
      <c r="P77" s="15">
        <f t="shared" si="36"/>
        <v>18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2</v>
      </c>
      <c r="E78" s="50">
        <v>0</v>
      </c>
      <c r="F78" s="50">
        <v>1</v>
      </c>
      <c r="G78" s="50">
        <v>0</v>
      </c>
      <c r="H78" s="50">
        <v>0</v>
      </c>
      <c r="I78" s="50">
        <v>2</v>
      </c>
      <c r="J78" s="50">
        <v>1</v>
      </c>
      <c r="K78" s="50">
        <v>3</v>
      </c>
      <c r="L78" s="50">
        <v>0</v>
      </c>
      <c r="M78" s="50">
        <v>3</v>
      </c>
      <c r="N78" s="50">
        <v>0</v>
      </c>
      <c r="O78" s="15">
        <f t="shared" si="35"/>
        <v>12</v>
      </c>
      <c r="P78" s="15">
        <f t="shared" si="36"/>
        <v>15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2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1</v>
      </c>
      <c r="K79" s="50">
        <v>4</v>
      </c>
      <c r="L79" s="50">
        <v>0</v>
      </c>
      <c r="M79" s="50">
        <v>5</v>
      </c>
      <c r="N79" s="50">
        <v>0</v>
      </c>
      <c r="O79" s="15">
        <f t="shared" si="35"/>
        <v>8</v>
      </c>
      <c r="P79" s="15">
        <f t="shared" si="36"/>
        <v>13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1</v>
      </c>
      <c r="E80" s="50">
        <v>0</v>
      </c>
      <c r="F80" s="50">
        <v>1</v>
      </c>
      <c r="G80" s="50">
        <v>0</v>
      </c>
      <c r="H80" s="50">
        <v>0</v>
      </c>
      <c r="I80" s="50">
        <v>1</v>
      </c>
      <c r="J80" s="50">
        <v>2</v>
      </c>
      <c r="K80" s="50">
        <v>3</v>
      </c>
      <c r="L80" s="50">
        <v>0</v>
      </c>
      <c r="M80" s="50">
        <v>2</v>
      </c>
      <c r="N80" s="50">
        <v>0</v>
      </c>
      <c r="O80" s="15">
        <f t="shared" si="35"/>
        <v>8</v>
      </c>
      <c r="P80" s="15">
        <f t="shared" si="36"/>
        <v>10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1</v>
      </c>
      <c r="H81" s="50">
        <v>0</v>
      </c>
      <c r="I81" s="50">
        <v>0</v>
      </c>
      <c r="J81" s="50">
        <v>1</v>
      </c>
      <c r="K81" s="50">
        <v>1</v>
      </c>
      <c r="L81" s="50">
        <v>0</v>
      </c>
      <c r="M81" s="50">
        <v>0</v>
      </c>
      <c r="N81" s="50"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4</v>
      </c>
      <c r="J82" s="50">
        <v>0</v>
      </c>
      <c r="K82" s="50">
        <v>0</v>
      </c>
      <c r="L82" s="50">
        <v>1</v>
      </c>
      <c r="M82" s="50">
        <v>0</v>
      </c>
      <c r="N82" s="50">
        <v>0</v>
      </c>
      <c r="O82" s="15">
        <f t="shared" si="35"/>
        <v>6</v>
      </c>
      <c r="P82" s="15">
        <f t="shared" si="36"/>
        <v>6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2</v>
      </c>
      <c r="G83" s="50">
        <v>1</v>
      </c>
      <c r="H83" s="50">
        <v>0</v>
      </c>
      <c r="I83" s="50">
        <v>2</v>
      </c>
      <c r="J83" s="50">
        <v>1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5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7</v>
      </c>
      <c r="P84" s="15">
        <f t="shared" si="36"/>
        <v>8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1</v>
      </c>
      <c r="G85" s="50">
        <v>0</v>
      </c>
      <c r="H85" s="50">
        <v>1</v>
      </c>
      <c r="I85" s="50">
        <v>3</v>
      </c>
      <c r="J85" s="50">
        <v>2</v>
      </c>
      <c r="K85" s="50">
        <v>0</v>
      </c>
      <c r="L85" s="50">
        <v>1</v>
      </c>
      <c r="M85" s="50">
        <v>2</v>
      </c>
      <c r="N85" s="50">
        <v>0</v>
      </c>
      <c r="O85" s="15">
        <f t="shared" si="35"/>
        <v>8</v>
      </c>
      <c r="P85" s="15">
        <f t="shared" si="36"/>
        <v>10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3</v>
      </c>
      <c r="K86" s="50">
        <v>0</v>
      </c>
      <c r="L86" s="50">
        <v>1</v>
      </c>
      <c r="M86" s="50">
        <v>2</v>
      </c>
      <c r="N86" s="50">
        <v>0</v>
      </c>
      <c r="O86" s="15">
        <f t="shared" si="35"/>
        <v>4</v>
      </c>
      <c r="P86" s="15">
        <f t="shared" si="36"/>
        <v>6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1</v>
      </c>
      <c r="K88" s="50">
        <v>1</v>
      </c>
      <c r="L88" s="50">
        <v>2</v>
      </c>
      <c r="M88" s="50">
        <v>0</v>
      </c>
      <c r="N88" s="50">
        <v>0</v>
      </c>
      <c r="O88" s="15">
        <f t="shared" si="35"/>
        <v>7</v>
      </c>
      <c r="P88" s="15">
        <f t="shared" si="36"/>
        <v>7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1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1</v>
      </c>
      <c r="L90" s="50">
        <v>1</v>
      </c>
      <c r="M90" s="50">
        <v>2</v>
      </c>
      <c r="N90" s="50">
        <v>0</v>
      </c>
      <c r="O90" s="15">
        <f t="shared" si="35"/>
        <v>4</v>
      </c>
      <c r="P90" s="15">
        <f t="shared" si="36"/>
        <v>6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2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3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1</v>
      </c>
      <c r="K92" s="50">
        <v>0</v>
      </c>
      <c r="L92" s="50">
        <v>1</v>
      </c>
      <c r="M92" s="50">
        <v>2</v>
      </c>
      <c r="N92" s="50">
        <v>0</v>
      </c>
      <c r="O92" s="15">
        <f t="shared" si="35"/>
        <v>3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2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5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1</v>
      </c>
      <c r="F94" s="50">
        <v>1</v>
      </c>
      <c r="G94" s="50">
        <v>0</v>
      </c>
      <c r="H94" s="50">
        <v>0</v>
      </c>
      <c r="I94" s="50">
        <v>0</v>
      </c>
      <c r="J94" s="50">
        <v>1</v>
      </c>
      <c r="K94" s="50">
        <v>1</v>
      </c>
      <c r="L94" s="50">
        <v>0</v>
      </c>
      <c r="M94" s="50">
        <v>1</v>
      </c>
      <c r="N94" s="50">
        <v>0</v>
      </c>
      <c r="O94" s="15">
        <f t="shared" si="35"/>
        <v>4</v>
      </c>
      <c r="P94" s="15">
        <f t="shared" si="36"/>
        <v>5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1</v>
      </c>
      <c r="M95" s="50">
        <v>0</v>
      </c>
      <c r="N95" s="50"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1</v>
      </c>
      <c r="K96" s="50">
        <v>0</v>
      </c>
      <c r="L96" s="50">
        <v>1</v>
      </c>
      <c r="M96" s="50">
        <v>1</v>
      </c>
      <c r="N96" s="50">
        <v>0</v>
      </c>
      <c r="O96" s="15">
        <f t="shared" si="35"/>
        <v>3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1</v>
      </c>
      <c r="M97" s="50">
        <v>1</v>
      </c>
      <c r="N97" s="50">
        <v>0</v>
      </c>
      <c r="O97" s="15">
        <f t="shared" si="35"/>
        <v>2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1</v>
      </c>
      <c r="E98" s="50">
        <v>0</v>
      </c>
      <c r="F98" s="50">
        <v>0</v>
      </c>
      <c r="G98" s="50">
        <v>0</v>
      </c>
      <c r="H98" s="50">
        <v>0</v>
      </c>
      <c r="I98" s="50">
        <v>2</v>
      </c>
      <c r="J98" s="50">
        <v>0</v>
      </c>
      <c r="K98" s="50">
        <v>0</v>
      </c>
      <c r="L98" s="50">
        <v>1</v>
      </c>
      <c r="M98" s="50">
        <v>0</v>
      </c>
      <c r="N98" s="50">
        <v>0</v>
      </c>
      <c r="O98" s="15">
        <f t="shared" si="35"/>
        <v>4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1</v>
      </c>
      <c r="J99" s="50">
        <v>1</v>
      </c>
      <c r="K99" s="50">
        <v>0</v>
      </c>
      <c r="L99" s="50">
        <v>1</v>
      </c>
      <c r="M99" s="50">
        <v>1</v>
      </c>
      <c r="N99" s="50">
        <v>0</v>
      </c>
      <c r="O99" s="15">
        <f t="shared" si="35"/>
        <v>4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1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1</v>
      </c>
      <c r="M100" s="50">
        <v>8</v>
      </c>
      <c r="N100" s="50">
        <v>0</v>
      </c>
      <c r="O100" s="15">
        <f t="shared" si="35"/>
        <v>3</v>
      </c>
      <c r="P100" s="15">
        <f t="shared" si="36"/>
        <v>11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1</v>
      </c>
      <c r="E101" s="50">
        <v>0</v>
      </c>
      <c r="F101" s="50">
        <v>4</v>
      </c>
      <c r="G101" s="50">
        <v>0</v>
      </c>
      <c r="H101" s="50">
        <v>0</v>
      </c>
      <c r="I101" s="50">
        <v>1</v>
      </c>
      <c r="J101" s="50">
        <v>2</v>
      </c>
      <c r="K101" s="50">
        <v>1</v>
      </c>
      <c r="L101" s="50">
        <v>3</v>
      </c>
      <c r="M101" s="50">
        <v>7</v>
      </c>
      <c r="N101" s="50">
        <v>0</v>
      </c>
      <c r="O101" s="15">
        <f t="shared" si="35"/>
        <v>14</v>
      </c>
      <c r="P101" s="15">
        <f t="shared" si="36"/>
        <v>21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0</v>
      </c>
      <c r="J102" s="50">
        <v>3</v>
      </c>
      <c r="K102" s="50">
        <v>1</v>
      </c>
      <c r="L102" s="50">
        <v>0</v>
      </c>
      <c r="M102" s="50">
        <v>9</v>
      </c>
      <c r="N102" s="50">
        <v>0</v>
      </c>
      <c r="O102" s="15">
        <f t="shared" si="35"/>
        <v>6</v>
      </c>
      <c r="P102" s="15">
        <f t="shared" si="36"/>
        <v>15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1</v>
      </c>
      <c r="E103" s="50">
        <v>0</v>
      </c>
      <c r="F103" s="50">
        <v>3</v>
      </c>
      <c r="G103" s="50">
        <v>0</v>
      </c>
      <c r="H103" s="50">
        <v>0</v>
      </c>
      <c r="I103" s="50">
        <v>5</v>
      </c>
      <c r="J103" s="50">
        <v>0</v>
      </c>
      <c r="K103" s="50">
        <v>5</v>
      </c>
      <c r="L103" s="50">
        <v>1</v>
      </c>
      <c r="M103" s="50">
        <v>20</v>
      </c>
      <c r="N103" s="50">
        <v>0</v>
      </c>
      <c r="O103" s="15">
        <f t="shared" si="35"/>
        <v>21</v>
      </c>
      <c r="P103" s="15">
        <f t="shared" si="36"/>
        <v>41</v>
      </c>
      <c r="R103" s="8"/>
      <c r="T103"/>
    </row>
    <row r="104" spans="2:20" ht="23.1" customHeight="1" x14ac:dyDescent="0.25">
      <c r="B104" s="47" t="s">
        <v>144</v>
      </c>
      <c r="C104" s="50">
        <v>8</v>
      </c>
      <c r="D104" s="50">
        <v>2</v>
      </c>
      <c r="E104" s="50">
        <v>1</v>
      </c>
      <c r="F104" s="50">
        <v>4</v>
      </c>
      <c r="G104" s="50">
        <v>0</v>
      </c>
      <c r="H104" s="50">
        <v>0</v>
      </c>
      <c r="I104" s="50">
        <v>2</v>
      </c>
      <c r="J104" s="50">
        <v>1</v>
      </c>
      <c r="K104" s="50">
        <v>0</v>
      </c>
      <c r="L104" s="50">
        <v>1</v>
      </c>
      <c r="M104" s="50">
        <v>18</v>
      </c>
      <c r="N104" s="50">
        <v>0</v>
      </c>
      <c r="O104" s="15">
        <f t="shared" si="35"/>
        <v>19</v>
      </c>
      <c r="P104" s="15">
        <f t="shared" si="36"/>
        <v>37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4</v>
      </c>
      <c r="E105" s="50">
        <v>3</v>
      </c>
      <c r="F105" s="50">
        <v>1</v>
      </c>
      <c r="G105" s="50">
        <v>0</v>
      </c>
      <c r="H105" s="50">
        <v>1</v>
      </c>
      <c r="I105" s="50">
        <v>7</v>
      </c>
      <c r="J105" s="50">
        <v>0</v>
      </c>
      <c r="K105" s="50">
        <v>2</v>
      </c>
      <c r="L105" s="50">
        <v>1</v>
      </c>
      <c r="M105" s="50">
        <v>14</v>
      </c>
      <c r="N105" s="50">
        <v>0</v>
      </c>
      <c r="O105" s="15">
        <f t="shared" si="35"/>
        <v>23</v>
      </c>
      <c r="P105" s="15">
        <f t="shared" si="36"/>
        <v>37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514</v>
      </c>
      <c r="D106" s="16">
        <f t="shared" ref="D106:P106" si="37">SUM(D10:D105)</f>
        <v>164</v>
      </c>
      <c r="E106" s="16">
        <f t="shared" si="37"/>
        <v>116</v>
      </c>
      <c r="F106" s="16">
        <f t="shared" si="37"/>
        <v>418</v>
      </c>
      <c r="G106" s="16">
        <f t="shared" si="37"/>
        <v>18</v>
      </c>
      <c r="H106" s="16">
        <f t="shared" si="37"/>
        <v>30</v>
      </c>
      <c r="I106" s="16">
        <f t="shared" si="37"/>
        <v>256</v>
      </c>
      <c r="J106" s="16">
        <f t="shared" si="37"/>
        <v>221</v>
      </c>
      <c r="K106" s="16">
        <f t="shared" si="37"/>
        <v>79</v>
      </c>
      <c r="L106" s="16">
        <f t="shared" si="37"/>
        <v>88</v>
      </c>
      <c r="M106" s="16">
        <f t="shared" si="37"/>
        <v>2199</v>
      </c>
      <c r="N106" s="16">
        <f t="shared" si="37"/>
        <v>1</v>
      </c>
      <c r="O106" s="16">
        <f t="shared" si="37"/>
        <v>1905</v>
      </c>
      <c r="P106" s="16">
        <f t="shared" si="37"/>
        <v>4104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0.12524366471734893</v>
      </c>
      <c r="D107" s="43">
        <f t="shared" si="38"/>
        <v>3.9961013645224169E-2</v>
      </c>
      <c r="E107" s="43">
        <f t="shared" si="38"/>
        <v>2.8265107212475632E-2</v>
      </c>
      <c r="F107" s="43">
        <f t="shared" si="38"/>
        <v>0.10185185185185185</v>
      </c>
      <c r="G107" s="43">
        <f t="shared" si="38"/>
        <v>4.3859649122807015E-3</v>
      </c>
      <c r="H107" s="43">
        <f t="shared" si="38"/>
        <v>7.3099415204678359E-3</v>
      </c>
      <c r="I107" s="43">
        <f t="shared" si="38"/>
        <v>6.2378167641325533E-2</v>
      </c>
      <c r="J107" s="43">
        <f t="shared" si="38"/>
        <v>5.3849902534113057E-2</v>
      </c>
      <c r="K107" s="43">
        <f t="shared" si="38"/>
        <v>1.9249512670565301E-2</v>
      </c>
      <c r="L107" s="43">
        <f t="shared" si="38"/>
        <v>2.1442495126705652E-2</v>
      </c>
      <c r="M107" s="43">
        <f t="shared" si="38"/>
        <v>0.53581871345029242</v>
      </c>
      <c r="N107" s="43">
        <f t="shared" si="38"/>
        <v>2.4366471734892786E-4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0.26981627296587929</v>
      </c>
      <c r="D108" s="44">
        <f t="shared" ref="D108:N108" si="39">D106/$O$106</f>
        <v>8.6089238845144356E-2</v>
      </c>
      <c r="E108" s="44">
        <f t="shared" si="39"/>
        <v>6.0892388451443569E-2</v>
      </c>
      <c r="F108" s="44">
        <f t="shared" si="39"/>
        <v>0.21942257217847769</v>
      </c>
      <c r="G108" s="44">
        <f t="shared" si="39"/>
        <v>9.4488188976377951E-3</v>
      </c>
      <c r="H108" s="44">
        <f t="shared" si="39"/>
        <v>1.5748031496062992E-2</v>
      </c>
      <c r="I108" s="44">
        <f t="shared" si="39"/>
        <v>0.13438320209973753</v>
      </c>
      <c r="J108" s="44">
        <f t="shared" si="39"/>
        <v>0.11601049868766404</v>
      </c>
      <c r="K108" s="44">
        <f t="shared" si="39"/>
        <v>4.1469816272965879E-2</v>
      </c>
      <c r="L108" s="44">
        <f t="shared" si="39"/>
        <v>4.6194225721784776E-2</v>
      </c>
      <c r="M108" s="44"/>
      <c r="N108" s="44">
        <f t="shared" si="39"/>
        <v>5.2493438320209973E-4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'19.10 MITYANA-MUBENDE-24h'!D5</f>
        <v>19.10.19</v>
      </c>
      <c r="E5" s="3"/>
      <c r="F5" s="41" t="s">
        <v>1</v>
      </c>
      <c r="G5" s="60" t="str">
        <f>'19.10 MITYANA-MUBENDE-24h'!G5:H5</f>
        <v>MITYANA COLLEGE KIKUMBI</v>
      </c>
      <c r="H5" s="61"/>
      <c r="I5" s="14"/>
      <c r="J5" s="2" t="s">
        <v>5</v>
      </c>
      <c r="K5" s="60" t="s">
        <v>176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'17.10  MUBENDE-MITYANA'!D6:E6</f>
        <v>MUBENDE</v>
      </c>
      <c r="E6" s="61"/>
      <c r="F6" s="2" t="s">
        <v>2</v>
      </c>
      <c r="G6" s="60" t="str">
        <f>'21.10 MUBENDE-MITYANA'!G6:H6</f>
        <v>MITYANA</v>
      </c>
      <c r="H6" s="61"/>
      <c r="J6" s="2" t="s">
        <v>21</v>
      </c>
      <c r="K6" s="60" t="str">
        <f>'19.10 MITYANA-MUBENDE-24h'!K6:L6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</v>
      </c>
      <c r="D10" s="50">
        <v>1</v>
      </c>
      <c r="E10" s="50">
        <v>0</v>
      </c>
      <c r="F10" s="50">
        <v>5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26</v>
      </c>
      <c r="N10" s="50">
        <v>0</v>
      </c>
      <c r="O10" s="15">
        <f t="shared" ref="O10:O73" si="0">SUM(C10:L10,N10)</f>
        <v>14</v>
      </c>
      <c r="P10" s="15">
        <f t="shared" ref="P10:P73" si="1">SUM(C10:N10)</f>
        <v>40</v>
      </c>
      <c r="R10" s="1" t="s">
        <v>6</v>
      </c>
      <c r="S10" s="17">
        <f t="shared" ref="S10:AF10" si="2">SUM(C10:C13)</f>
        <v>14</v>
      </c>
      <c r="T10" s="17">
        <f t="shared" si="2"/>
        <v>8</v>
      </c>
      <c r="U10" s="17">
        <f t="shared" si="2"/>
        <v>1</v>
      </c>
      <c r="V10" s="17">
        <f t="shared" si="2"/>
        <v>16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4</v>
      </c>
      <c r="AA10" s="17">
        <f t="shared" si="2"/>
        <v>0</v>
      </c>
      <c r="AB10" s="17">
        <f t="shared" si="2"/>
        <v>2</v>
      </c>
      <c r="AC10" s="17">
        <f t="shared" si="2"/>
        <v>133</v>
      </c>
      <c r="AD10" s="17">
        <f t="shared" si="2"/>
        <v>0</v>
      </c>
      <c r="AE10" s="31">
        <f t="shared" si="2"/>
        <v>48</v>
      </c>
      <c r="AF10" s="31">
        <f t="shared" si="2"/>
        <v>181</v>
      </c>
    </row>
    <row r="11" spans="2:32" s="6" customFormat="1" ht="23.1" customHeight="1" x14ac:dyDescent="0.25">
      <c r="B11" s="45" t="s">
        <v>38</v>
      </c>
      <c r="C11" s="50">
        <v>3</v>
      </c>
      <c r="D11" s="50">
        <v>3</v>
      </c>
      <c r="E11" s="50">
        <v>0</v>
      </c>
      <c r="F11" s="50">
        <v>7</v>
      </c>
      <c r="G11" s="50">
        <v>0</v>
      </c>
      <c r="H11" s="50">
        <v>0</v>
      </c>
      <c r="I11" s="50">
        <v>2</v>
      </c>
      <c r="J11" s="50">
        <v>2</v>
      </c>
      <c r="K11" s="50">
        <v>0</v>
      </c>
      <c r="L11" s="50">
        <v>2</v>
      </c>
      <c r="M11" s="50">
        <v>31</v>
      </c>
      <c r="N11" s="50">
        <v>0</v>
      </c>
      <c r="O11" s="15">
        <f t="shared" si="0"/>
        <v>19</v>
      </c>
      <c r="P11" s="15">
        <f t="shared" si="1"/>
        <v>50</v>
      </c>
      <c r="R11" s="1" t="s">
        <v>7</v>
      </c>
      <c r="S11" s="17">
        <f t="shared" ref="S11:AF11" si="3">SUM(C14:C17)</f>
        <v>21</v>
      </c>
      <c r="T11" s="17">
        <f t="shared" si="3"/>
        <v>8</v>
      </c>
      <c r="U11" s="17">
        <f t="shared" si="3"/>
        <v>2</v>
      </c>
      <c r="V11" s="17">
        <f t="shared" si="3"/>
        <v>25</v>
      </c>
      <c r="W11" s="17">
        <f t="shared" si="3"/>
        <v>0</v>
      </c>
      <c r="X11" s="17">
        <f t="shared" si="3"/>
        <v>1</v>
      </c>
      <c r="Y11" s="17">
        <f t="shared" si="3"/>
        <v>4</v>
      </c>
      <c r="Z11" s="17">
        <f t="shared" si="3"/>
        <v>6</v>
      </c>
      <c r="AA11" s="17">
        <f t="shared" si="3"/>
        <v>0</v>
      </c>
      <c r="AB11" s="17">
        <f t="shared" si="3"/>
        <v>3</v>
      </c>
      <c r="AC11" s="17">
        <f t="shared" si="3"/>
        <v>137</v>
      </c>
      <c r="AD11" s="17">
        <f t="shared" si="3"/>
        <v>0</v>
      </c>
      <c r="AE11" s="31">
        <f t="shared" si="3"/>
        <v>70</v>
      </c>
      <c r="AF11" s="31">
        <f t="shared" si="3"/>
        <v>207</v>
      </c>
    </row>
    <row r="12" spans="2:32" ht="23.1" customHeight="1" x14ac:dyDescent="0.25">
      <c r="B12" s="45" t="s">
        <v>39</v>
      </c>
      <c r="C12" s="50">
        <v>4</v>
      </c>
      <c r="D12" s="50">
        <v>4</v>
      </c>
      <c r="E12" s="50">
        <v>0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35</v>
      </c>
      <c r="N12" s="50">
        <v>0</v>
      </c>
      <c r="O12" s="15">
        <f t="shared" si="0"/>
        <v>12</v>
      </c>
      <c r="P12" s="15">
        <f t="shared" si="1"/>
        <v>47</v>
      </c>
      <c r="R12" s="1" t="s">
        <v>8</v>
      </c>
      <c r="S12" s="17">
        <f t="shared" ref="S12:AF12" si="4">SUM(C18:C21)</f>
        <v>20</v>
      </c>
      <c r="T12" s="17">
        <f t="shared" si="4"/>
        <v>6</v>
      </c>
      <c r="U12" s="17">
        <f t="shared" si="4"/>
        <v>3</v>
      </c>
      <c r="V12" s="17">
        <f t="shared" si="4"/>
        <v>22</v>
      </c>
      <c r="W12" s="17">
        <f t="shared" si="4"/>
        <v>0</v>
      </c>
      <c r="X12" s="17">
        <f t="shared" si="4"/>
        <v>0</v>
      </c>
      <c r="Y12" s="17">
        <f t="shared" si="4"/>
        <v>11</v>
      </c>
      <c r="Z12" s="17">
        <f t="shared" si="4"/>
        <v>1</v>
      </c>
      <c r="AA12" s="17">
        <f t="shared" si="4"/>
        <v>2</v>
      </c>
      <c r="AB12" s="17">
        <f t="shared" si="4"/>
        <v>3</v>
      </c>
      <c r="AC12" s="17">
        <f t="shared" si="4"/>
        <v>137</v>
      </c>
      <c r="AD12" s="17">
        <f t="shared" si="4"/>
        <v>1</v>
      </c>
      <c r="AE12" s="31">
        <f t="shared" si="4"/>
        <v>69</v>
      </c>
      <c r="AF12" s="31">
        <f t="shared" si="4"/>
        <v>206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41</v>
      </c>
      <c r="N13" s="50">
        <v>0</v>
      </c>
      <c r="O13" s="15">
        <f t="shared" si="0"/>
        <v>3</v>
      </c>
      <c r="P13" s="15">
        <f t="shared" si="1"/>
        <v>44</v>
      </c>
      <c r="R13" s="1" t="s">
        <v>9</v>
      </c>
      <c r="S13" s="17">
        <f t="shared" ref="S13:AF13" si="5">SUM(C22:C25)</f>
        <v>19</v>
      </c>
      <c r="T13" s="17">
        <f t="shared" si="5"/>
        <v>10</v>
      </c>
      <c r="U13" s="17">
        <f t="shared" si="5"/>
        <v>5</v>
      </c>
      <c r="V13" s="17">
        <f t="shared" si="5"/>
        <v>21</v>
      </c>
      <c r="W13" s="17">
        <f t="shared" si="5"/>
        <v>3</v>
      </c>
      <c r="X13" s="17">
        <f t="shared" si="5"/>
        <v>1</v>
      </c>
      <c r="Y13" s="17">
        <f t="shared" si="5"/>
        <v>4</v>
      </c>
      <c r="Z13" s="17">
        <f t="shared" si="5"/>
        <v>2</v>
      </c>
      <c r="AA13" s="17">
        <f t="shared" si="5"/>
        <v>3</v>
      </c>
      <c r="AB13" s="17">
        <f t="shared" si="5"/>
        <v>4</v>
      </c>
      <c r="AC13" s="17">
        <f t="shared" si="5"/>
        <v>120</v>
      </c>
      <c r="AD13" s="17">
        <f t="shared" si="5"/>
        <v>0</v>
      </c>
      <c r="AE13" s="31">
        <f t="shared" si="5"/>
        <v>72</v>
      </c>
      <c r="AF13" s="31">
        <f t="shared" si="5"/>
        <v>192</v>
      </c>
    </row>
    <row r="14" spans="2:32" ht="23.1" customHeight="1" x14ac:dyDescent="0.25">
      <c r="B14" s="45" t="s">
        <v>41</v>
      </c>
      <c r="C14" s="50">
        <v>5</v>
      </c>
      <c r="D14" s="50">
        <v>2</v>
      </c>
      <c r="E14" s="50">
        <v>0</v>
      </c>
      <c r="F14" s="50">
        <v>9</v>
      </c>
      <c r="G14" s="50">
        <v>0</v>
      </c>
      <c r="H14" s="50">
        <v>0</v>
      </c>
      <c r="I14" s="50">
        <v>2</v>
      </c>
      <c r="J14" s="50">
        <v>3</v>
      </c>
      <c r="K14" s="50">
        <v>0</v>
      </c>
      <c r="L14" s="50">
        <v>1</v>
      </c>
      <c r="M14" s="50">
        <v>33</v>
      </c>
      <c r="N14" s="50">
        <v>0</v>
      </c>
      <c r="O14" s="15">
        <f t="shared" si="0"/>
        <v>22</v>
      </c>
      <c r="P14" s="15">
        <f t="shared" si="1"/>
        <v>55</v>
      </c>
      <c r="R14" s="1" t="s">
        <v>10</v>
      </c>
      <c r="S14" s="17">
        <f t="shared" ref="S14:AF14" si="6">SUM(C26:C29)</f>
        <v>44</v>
      </c>
      <c r="T14" s="17">
        <f t="shared" si="6"/>
        <v>14</v>
      </c>
      <c r="U14" s="17">
        <f t="shared" si="6"/>
        <v>7</v>
      </c>
      <c r="V14" s="17">
        <f t="shared" si="6"/>
        <v>29</v>
      </c>
      <c r="W14" s="17">
        <f t="shared" si="6"/>
        <v>0</v>
      </c>
      <c r="X14" s="17">
        <f t="shared" si="6"/>
        <v>1</v>
      </c>
      <c r="Y14" s="17">
        <f t="shared" si="6"/>
        <v>5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173</v>
      </c>
      <c r="AD14" s="17">
        <f t="shared" si="6"/>
        <v>0</v>
      </c>
      <c r="AE14" s="31">
        <f t="shared" si="6"/>
        <v>102</v>
      </c>
      <c r="AF14" s="31">
        <f t="shared" si="6"/>
        <v>275</v>
      </c>
    </row>
    <row r="15" spans="2:32" ht="23.1" customHeight="1" x14ac:dyDescent="0.25">
      <c r="B15" s="45" t="s">
        <v>42</v>
      </c>
      <c r="C15" s="50">
        <v>9</v>
      </c>
      <c r="D15" s="50">
        <v>2</v>
      </c>
      <c r="E15" s="50">
        <v>0</v>
      </c>
      <c r="F15" s="50">
        <v>6</v>
      </c>
      <c r="G15" s="50">
        <v>0</v>
      </c>
      <c r="H15" s="50">
        <v>0</v>
      </c>
      <c r="I15" s="50">
        <v>0</v>
      </c>
      <c r="J15" s="50">
        <v>2</v>
      </c>
      <c r="K15" s="50">
        <v>0</v>
      </c>
      <c r="L15" s="50">
        <v>1</v>
      </c>
      <c r="M15" s="50">
        <v>25</v>
      </c>
      <c r="N15" s="50">
        <v>0</v>
      </c>
      <c r="O15" s="15">
        <f t="shared" si="0"/>
        <v>20</v>
      </c>
      <c r="P15" s="15">
        <f t="shared" si="1"/>
        <v>45</v>
      </c>
      <c r="R15" s="1" t="s">
        <v>11</v>
      </c>
      <c r="S15" s="17">
        <f t="shared" ref="S15:AF15" si="7">SUM(C30:C33)</f>
        <v>23</v>
      </c>
      <c r="T15" s="17">
        <f t="shared" si="7"/>
        <v>17</v>
      </c>
      <c r="U15" s="17">
        <f t="shared" si="7"/>
        <v>10</v>
      </c>
      <c r="V15" s="17">
        <f t="shared" si="7"/>
        <v>27</v>
      </c>
      <c r="W15" s="17">
        <f t="shared" si="7"/>
        <v>0</v>
      </c>
      <c r="X15" s="17">
        <f t="shared" si="7"/>
        <v>1</v>
      </c>
      <c r="Y15" s="17">
        <f t="shared" si="7"/>
        <v>10</v>
      </c>
      <c r="Z15" s="17">
        <f t="shared" si="7"/>
        <v>9</v>
      </c>
      <c r="AA15" s="17">
        <f t="shared" si="7"/>
        <v>1</v>
      </c>
      <c r="AB15" s="17">
        <f t="shared" si="7"/>
        <v>4</v>
      </c>
      <c r="AC15" s="17">
        <f t="shared" si="7"/>
        <v>130</v>
      </c>
      <c r="AD15" s="17">
        <f t="shared" si="7"/>
        <v>0</v>
      </c>
      <c r="AE15" s="31">
        <f t="shared" si="7"/>
        <v>102</v>
      </c>
      <c r="AF15" s="31">
        <f t="shared" si="7"/>
        <v>232</v>
      </c>
    </row>
    <row r="16" spans="2:32" ht="23.1" customHeight="1" x14ac:dyDescent="0.25">
      <c r="B16" s="45" t="s">
        <v>43</v>
      </c>
      <c r="C16" s="50">
        <v>3</v>
      </c>
      <c r="D16" s="50">
        <v>2</v>
      </c>
      <c r="E16" s="50">
        <v>0</v>
      </c>
      <c r="F16" s="50">
        <v>4</v>
      </c>
      <c r="G16" s="50">
        <v>0</v>
      </c>
      <c r="H16" s="50">
        <v>1</v>
      </c>
      <c r="I16" s="50">
        <v>1</v>
      </c>
      <c r="J16" s="50">
        <v>1</v>
      </c>
      <c r="K16" s="50">
        <v>0</v>
      </c>
      <c r="L16" s="50">
        <v>0</v>
      </c>
      <c r="M16" s="50">
        <v>36</v>
      </c>
      <c r="N16" s="50">
        <v>0</v>
      </c>
      <c r="O16" s="15">
        <f t="shared" si="0"/>
        <v>12</v>
      </c>
      <c r="P16" s="15">
        <f t="shared" si="1"/>
        <v>48</v>
      </c>
      <c r="R16" s="1" t="s">
        <v>12</v>
      </c>
      <c r="S16" s="17">
        <f t="shared" ref="S16:AF16" si="8">SUM(C34:C37)</f>
        <v>27</v>
      </c>
      <c r="T16" s="17">
        <f t="shared" si="8"/>
        <v>13</v>
      </c>
      <c r="U16" s="17">
        <f t="shared" si="8"/>
        <v>4</v>
      </c>
      <c r="V16" s="17">
        <f t="shared" si="8"/>
        <v>28</v>
      </c>
      <c r="W16" s="17">
        <f t="shared" si="8"/>
        <v>0</v>
      </c>
      <c r="X16" s="17">
        <f t="shared" si="8"/>
        <v>2</v>
      </c>
      <c r="Y16" s="17">
        <f t="shared" si="8"/>
        <v>11</v>
      </c>
      <c r="Z16" s="17">
        <f t="shared" si="8"/>
        <v>3</v>
      </c>
      <c r="AA16" s="17">
        <f t="shared" si="8"/>
        <v>2</v>
      </c>
      <c r="AB16" s="17">
        <f t="shared" si="8"/>
        <v>4</v>
      </c>
      <c r="AC16" s="17">
        <f t="shared" si="8"/>
        <v>119</v>
      </c>
      <c r="AD16" s="17">
        <f t="shared" si="8"/>
        <v>0</v>
      </c>
      <c r="AE16" s="31">
        <f t="shared" si="8"/>
        <v>94</v>
      </c>
      <c r="AF16" s="31">
        <f t="shared" si="8"/>
        <v>213</v>
      </c>
    </row>
    <row r="17" spans="2:32" ht="23.1" customHeight="1" x14ac:dyDescent="0.25">
      <c r="B17" s="45" t="s">
        <v>44</v>
      </c>
      <c r="C17" s="50">
        <v>4</v>
      </c>
      <c r="D17" s="50">
        <v>2</v>
      </c>
      <c r="E17" s="50">
        <v>2</v>
      </c>
      <c r="F17" s="50">
        <v>6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43</v>
      </c>
      <c r="N17" s="50">
        <v>0</v>
      </c>
      <c r="O17" s="15">
        <f t="shared" si="0"/>
        <v>16</v>
      </c>
      <c r="P17" s="15">
        <f t="shared" si="1"/>
        <v>59</v>
      </c>
      <c r="R17" s="1" t="s">
        <v>13</v>
      </c>
      <c r="S17" s="17">
        <f t="shared" ref="S17:AF17" si="9">SUM(C38:C41)</f>
        <v>19</v>
      </c>
      <c r="T17" s="17">
        <f t="shared" si="9"/>
        <v>11</v>
      </c>
      <c r="U17" s="17">
        <f t="shared" si="9"/>
        <v>8</v>
      </c>
      <c r="V17" s="17">
        <f t="shared" si="9"/>
        <v>27</v>
      </c>
      <c r="W17" s="17">
        <f t="shared" si="9"/>
        <v>0</v>
      </c>
      <c r="X17" s="17">
        <f t="shared" si="9"/>
        <v>2</v>
      </c>
      <c r="Y17" s="17">
        <f t="shared" si="9"/>
        <v>13</v>
      </c>
      <c r="Z17" s="17">
        <f t="shared" si="9"/>
        <v>9</v>
      </c>
      <c r="AA17" s="17">
        <f t="shared" si="9"/>
        <v>5</v>
      </c>
      <c r="AB17" s="17">
        <f t="shared" si="9"/>
        <v>1</v>
      </c>
      <c r="AC17" s="17">
        <f t="shared" si="9"/>
        <v>115</v>
      </c>
      <c r="AD17" s="17">
        <f t="shared" si="9"/>
        <v>0</v>
      </c>
      <c r="AE17" s="31">
        <f t="shared" si="9"/>
        <v>95</v>
      </c>
      <c r="AF17" s="31">
        <f t="shared" si="9"/>
        <v>210</v>
      </c>
    </row>
    <row r="18" spans="2:32" ht="23.1" customHeight="1" x14ac:dyDescent="0.25">
      <c r="B18" s="45" t="s">
        <v>45</v>
      </c>
      <c r="C18" s="50">
        <v>5</v>
      </c>
      <c r="D18" s="50">
        <v>1</v>
      </c>
      <c r="E18" s="50">
        <v>1</v>
      </c>
      <c r="F18" s="50">
        <v>7</v>
      </c>
      <c r="G18" s="50">
        <v>0</v>
      </c>
      <c r="H18" s="50">
        <v>0</v>
      </c>
      <c r="I18" s="50">
        <v>1</v>
      </c>
      <c r="J18" s="50">
        <v>0</v>
      </c>
      <c r="K18" s="50">
        <v>1</v>
      </c>
      <c r="L18" s="50">
        <v>0</v>
      </c>
      <c r="M18" s="50">
        <v>40</v>
      </c>
      <c r="N18" s="50">
        <v>1</v>
      </c>
      <c r="O18" s="15">
        <f t="shared" si="0"/>
        <v>17</v>
      </c>
      <c r="P18" s="15">
        <f t="shared" si="1"/>
        <v>57</v>
      </c>
      <c r="R18" s="1" t="s">
        <v>14</v>
      </c>
      <c r="S18" s="17">
        <f t="shared" ref="S18:AF18" si="10">SUM(C42:C45)</f>
        <v>33</v>
      </c>
      <c r="T18" s="17">
        <f t="shared" si="10"/>
        <v>17</v>
      </c>
      <c r="U18" s="17">
        <f t="shared" si="10"/>
        <v>11</v>
      </c>
      <c r="V18" s="17">
        <f t="shared" si="10"/>
        <v>30</v>
      </c>
      <c r="W18" s="17">
        <f t="shared" si="10"/>
        <v>3</v>
      </c>
      <c r="X18" s="17">
        <f t="shared" si="10"/>
        <v>3</v>
      </c>
      <c r="Y18" s="17">
        <f t="shared" si="10"/>
        <v>10</v>
      </c>
      <c r="Z18" s="17">
        <f t="shared" si="10"/>
        <v>3</v>
      </c>
      <c r="AA18" s="17">
        <f t="shared" si="10"/>
        <v>0</v>
      </c>
      <c r="AB18" s="17">
        <f t="shared" si="10"/>
        <v>5</v>
      </c>
      <c r="AC18" s="17">
        <f t="shared" si="10"/>
        <v>186</v>
      </c>
      <c r="AD18" s="17">
        <f t="shared" si="10"/>
        <v>0</v>
      </c>
      <c r="AE18" s="31">
        <f t="shared" si="10"/>
        <v>115</v>
      </c>
      <c r="AF18" s="31">
        <f t="shared" si="10"/>
        <v>301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1</v>
      </c>
      <c r="F19" s="50">
        <v>3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3</v>
      </c>
      <c r="M19" s="50">
        <v>39</v>
      </c>
      <c r="N19" s="50">
        <v>0</v>
      </c>
      <c r="O19" s="15">
        <f t="shared" si="0"/>
        <v>12</v>
      </c>
      <c r="P19" s="15">
        <f t="shared" si="1"/>
        <v>51</v>
      </c>
      <c r="R19" s="1" t="s">
        <v>15</v>
      </c>
      <c r="S19" s="17">
        <f t="shared" ref="S19:AF19" si="11">SUM(C46:C49)</f>
        <v>33</v>
      </c>
      <c r="T19" s="17">
        <f t="shared" si="11"/>
        <v>12</v>
      </c>
      <c r="U19" s="17">
        <f t="shared" si="11"/>
        <v>9</v>
      </c>
      <c r="V19" s="17">
        <f t="shared" si="11"/>
        <v>26</v>
      </c>
      <c r="W19" s="17">
        <f t="shared" si="11"/>
        <v>1</v>
      </c>
      <c r="X19" s="17">
        <f t="shared" si="11"/>
        <v>3</v>
      </c>
      <c r="Y19" s="17">
        <f t="shared" si="11"/>
        <v>18</v>
      </c>
      <c r="Z19" s="17">
        <f t="shared" si="11"/>
        <v>7</v>
      </c>
      <c r="AA19" s="17">
        <f t="shared" si="11"/>
        <v>2</v>
      </c>
      <c r="AB19" s="17">
        <f t="shared" si="11"/>
        <v>1</v>
      </c>
      <c r="AC19" s="17">
        <f t="shared" si="11"/>
        <v>137</v>
      </c>
      <c r="AD19" s="17">
        <f t="shared" si="11"/>
        <v>0</v>
      </c>
      <c r="AE19" s="31">
        <f t="shared" si="11"/>
        <v>112</v>
      </c>
      <c r="AF19" s="31">
        <f t="shared" si="11"/>
        <v>249</v>
      </c>
    </row>
    <row r="20" spans="2:32" ht="23.1" customHeight="1" x14ac:dyDescent="0.25">
      <c r="B20" s="45" t="s">
        <v>47</v>
      </c>
      <c r="C20" s="50">
        <v>6</v>
      </c>
      <c r="D20" s="50">
        <v>0</v>
      </c>
      <c r="E20" s="50">
        <v>1</v>
      </c>
      <c r="F20" s="50">
        <v>3</v>
      </c>
      <c r="G20" s="50">
        <v>0</v>
      </c>
      <c r="H20" s="50">
        <v>0</v>
      </c>
      <c r="I20" s="50">
        <v>5</v>
      </c>
      <c r="J20" s="50">
        <v>0</v>
      </c>
      <c r="K20" s="50">
        <v>1</v>
      </c>
      <c r="L20" s="50">
        <v>0</v>
      </c>
      <c r="M20" s="50">
        <v>31</v>
      </c>
      <c r="N20" s="50">
        <v>0</v>
      </c>
      <c r="O20" s="15">
        <f t="shared" si="0"/>
        <v>16</v>
      </c>
      <c r="P20" s="15">
        <f t="shared" si="1"/>
        <v>47</v>
      </c>
      <c r="R20" s="1" t="s">
        <v>16</v>
      </c>
      <c r="S20" s="17">
        <f t="shared" ref="S20:AF20" si="12">SUM(C50:C53)</f>
        <v>35</v>
      </c>
      <c r="T20" s="17">
        <f t="shared" si="12"/>
        <v>23</v>
      </c>
      <c r="U20" s="17">
        <f t="shared" si="12"/>
        <v>9</v>
      </c>
      <c r="V20" s="17">
        <f t="shared" si="12"/>
        <v>38</v>
      </c>
      <c r="W20" s="17">
        <f t="shared" si="12"/>
        <v>0</v>
      </c>
      <c r="X20" s="17">
        <f t="shared" si="12"/>
        <v>2</v>
      </c>
      <c r="Y20" s="17">
        <f t="shared" si="12"/>
        <v>10</v>
      </c>
      <c r="Z20" s="17">
        <f t="shared" si="12"/>
        <v>7</v>
      </c>
      <c r="AA20" s="17">
        <f t="shared" si="12"/>
        <v>1</v>
      </c>
      <c r="AB20" s="17">
        <f t="shared" si="12"/>
        <v>5</v>
      </c>
      <c r="AC20" s="17">
        <f t="shared" si="12"/>
        <v>86</v>
      </c>
      <c r="AD20" s="17">
        <f t="shared" si="12"/>
        <v>0</v>
      </c>
      <c r="AE20" s="31">
        <f t="shared" si="12"/>
        <v>130</v>
      </c>
      <c r="AF20" s="31">
        <f t="shared" si="12"/>
        <v>216</v>
      </c>
    </row>
    <row r="21" spans="2:32" ht="23.1" customHeight="1" x14ac:dyDescent="0.25">
      <c r="B21" s="45" t="s">
        <v>48</v>
      </c>
      <c r="C21" s="50">
        <v>7</v>
      </c>
      <c r="D21" s="50">
        <v>5</v>
      </c>
      <c r="E21" s="50">
        <v>0</v>
      </c>
      <c r="F21" s="50">
        <v>9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27</v>
      </c>
      <c r="N21" s="50">
        <v>0</v>
      </c>
      <c r="O21" s="15">
        <f t="shared" si="0"/>
        <v>24</v>
      </c>
      <c r="P21" s="15">
        <f t="shared" si="1"/>
        <v>51</v>
      </c>
      <c r="R21" s="36" t="s">
        <v>20</v>
      </c>
      <c r="S21" s="34">
        <f t="shared" ref="S21:AF21" si="13">SUM(C54:C57)</f>
        <v>28</v>
      </c>
      <c r="T21" s="17">
        <f t="shared" si="13"/>
        <v>18</v>
      </c>
      <c r="U21" s="17">
        <f t="shared" si="13"/>
        <v>3</v>
      </c>
      <c r="V21" s="17">
        <f t="shared" si="13"/>
        <v>33</v>
      </c>
      <c r="W21" s="17">
        <f t="shared" si="13"/>
        <v>0</v>
      </c>
      <c r="X21" s="17">
        <f t="shared" si="13"/>
        <v>1</v>
      </c>
      <c r="Y21" s="17">
        <f t="shared" si="13"/>
        <v>9</v>
      </c>
      <c r="Z21" s="17">
        <f t="shared" si="13"/>
        <v>11</v>
      </c>
      <c r="AA21" s="17">
        <f t="shared" si="13"/>
        <v>1</v>
      </c>
      <c r="AB21" s="17">
        <f t="shared" si="13"/>
        <v>6</v>
      </c>
      <c r="AC21" s="17">
        <f t="shared" si="13"/>
        <v>209</v>
      </c>
      <c r="AD21" s="17">
        <f t="shared" si="13"/>
        <v>0</v>
      </c>
      <c r="AE21" s="31">
        <f t="shared" si="13"/>
        <v>110</v>
      </c>
      <c r="AF21" s="31">
        <f t="shared" si="13"/>
        <v>319</v>
      </c>
    </row>
    <row r="22" spans="2:32" ht="23.1" customHeight="1" x14ac:dyDescent="0.25">
      <c r="B22" s="45" t="s">
        <v>49</v>
      </c>
      <c r="C22" s="50">
        <v>4</v>
      </c>
      <c r="D22" s="50">
        <v>1</v>
      </c>
      <c r="E22" s="50">
        <v>1</v>
      </c>
      <c r="F22" s="50">
        <v>4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1</v>
      </c>
      <c r="M22" s="50">
        <v>25</v>
      </c>
      <c r="N22" s="50">
        <v>0</v>
      </c>
      <c r="O22" s="15">
        <f t="shared" si="0"/>
        <v>12</v>
      </c>
      <c r="P22" s="15">
        <f t="shared" si="1"/>
        <v>37</v>
      </c>
      <c r="R22" s="36" t="s">
        <v>146</v>
      </c>
      <c r="S22" s="34">
        <f>SUM(C58:C61)</f>
        <v>43</v>
      </c>
      <c r="T22" s="34">
        <f t="shared" ref="T22:AF22" si="14">SUM(D58:D61)</f>
        <v>9</v>
      </c>
      <c r="U22" s="34">
        <f t="shared" si="14"/>
        <v>8</v>
      </c>
      <c r="V22" s="34">
        <f t="shared" si="14"/>
        <v>27</v>
      </c>
      <c r="W22" s="34">
        <f t="shared" si="14"/>
        <v>0</v>
      </c>
      <c r="X22" s="34">
        <f t="shared" si="14"/>
        <v>3</v>
      </c>
      <c r="Y22" s="34">
        <f t="shared" si="14"/>
        <v>15</v>
      </c>
      <c r="Z22" s="34">
        <f t="shared" si="14"/>
        <v>3</v>
      </c>
      <c r="AA22" s="34">
        <f t="shared" si="14"/>
        <v>4</v>
      </c>
      <c r="AB22" s="34">
        <f t="shared" si="14"/>
        <v>3</v>
      </c>
      <c r="AC22" s="34">
        <f t="shared" si="14"/>
        <v>164</v>
      </c>
      <c r="AD22" s="34">
        <f t="shared" si="14"/>
        <v>0</v>
      </c>
      <c r="AE22" s="31">
        <f t="shared" si="14"/>
        <v>115</v>
      </c>
      <c r="AF22" s="31">
        <f t="shared" si="14"/>
        <v>279</v>
      </c>
    </row>
    <row r="23" spans="2:32" ht="23.1" customHeight="1" x14ac:dyDescent="0.25">
      <c r="B23" s="45" t="s">
        <v>50</v>
      </c>
      <c r="C23" s="50">
        <v>3</v>
      </c>
      <c r="D23" s="50">
        <v>4</v>
      </c>
      <c r="E23" s="50">
        <v>1</v>
      </c>
      <c r="F23" s="50">
        <v>5</v>
      </c>
      <c r="G23" s="50">
        <v>2</v>
      </c>
      <c r="H23" s="50">
        <v>1</v>
      </c>
      <c r="I23" s="50">
        <v>0</v>
      </c>
      <c r="J23" s="50">
        <v>2</v>
      </c>
      <c r="K23" s="50">
        <v>1</v>
      </c>
      <c r="L23" s="50">
        <v>1</v>
      </c>
      <c r="M23" s="50">
        <v>35</v>
      </c>
      <c r="N23" s="50">
        <v>0</v>
      </c>
      <c r="O23" s="15">
        <f t="shared" si="0"/>
        <v>20</v>
      </c>
      <c r="P23" s="15">
        <f t="shared" si="1"/>
        <v>55</v>
      </c>
      <c r="R23" s="36" t="s">
        <v>147</v>
      </c>
      <c r="S23" s="34">
        <f>SUM(C62:C65)</f>
        <v>34</v>
      </c>
      <c r="T23" s="34">
        <f t="shared" ref="T23:AF23" si="15">SUM(D62:D65)</f>
        <v>11</v>
      </c>
      <c r="U23" s="34">
        <f t="shared" si="15"/>
        <v>7</v>
      </c>
      <c r="V23" s="34">
        <f t="shared" si="15"/>
        <v>25</v>
      </c>
      <c r="W23" s="34">
        <f t="shared" si="15"/>
        <v>2</v>
      </c>
      <c r="X23" s="34">
        <f t="shared" si="15"/>
        <v>2</v>
      </c>
      <c r="Y23" s="34">
        <f t="shared" si="15"/>
        <v>20</v>
      </c>
      <c r="Z23" s="34">
        <f t="shared" si="15"/>
        <v>9</v>
      </c>
      <c r="AA23" s="34">
        <f t="shared" si="15"/>
        <v>16</v>
      </c>
      <c r="AB23" s="34">
        <f t="shared" si="15"/>
        <v>4</v>
      </c>
      <c r="AC23" s="34">
        <f t="shared" si="15"/>
        <v>100</v>
      </c>
      <c r="AD23" s="34">
        <f t="shared" si="15"/>
        <v>0</v>
      </c>
      <c r="AE23" s="31">
        <f t="shared" si="15"/>
        <v>130</v>
      </c>
      <c r="AF23" s="31">
        <f t="shared" si="15"/>
        <v>230</v>
      </c>
    </row>
    <row r="24" spans="2:32" ht="23.1" customHeight="1" x14ac:dyDescent="0.25">
      <c r="B24" s="45" t="s">
        <v>51</v>
      </c>
      <c r="C24" s="50">
        <v>8</v>
      </c>
      <c r="D24" s="50">
        <v>5</v>
      </c>
      <c r="E24" s="50">
        <v>2</v>
      </c>
      <c r="F24" s="50">
        <v>8</v>
      </c>
      <c r="G24" s="50">
        <v>0</v>
      </c>
      <c r="H24" s="50">
        <v>0</v>
      </c>
      <c r="I24" s="50">
        <v>4</v>
      </c>
      <c r="J24" s="50">
        <v>0</v>
      </c>
      <c r="K24" s="50">
        <v>1</v>
      </c>
      <c r="L24" s="50">
        <v>2</v>
      </c>
      <c r="M24" s="50">
        <v>35</v>
      </c>
      <c r="N24" s="50">
        <v>0</v>
      </c>
      <c r="O24" s="15">
        <f t="shared" si="0"/>
        <v>30</v>
      </c>
      <c r="P24" s="15">
        <f t="shared" si="1"/>
        <v>65</v>
      </c>
      <c r="R24" s="36" t="s">
        <v>148</v>
      </c>
      <c r="S24" s="34">
        <f>SUM(C66:C69)</f>
        <v>36</v>
      </c>
      <c r="T24" s="34">
        <f t="shared" ref="T24:AF24" si="16">SUM(D66:D69)</f>
        <v>5</v>
      </c>
      <c r="U24" s="34">
        <f t="shared" si="16"/>
        <v>8</v>
      </c>
      <c r="V24" s="34">
        <f t="shared" si="16"/>
        <v>31</v>
      </c>
      <c r="W24" s="34">
        <f t="shared" si="16"/>
        <v>0</v>
      </c>
      <c r="X24" s="34">
        <f t="shared" si="16"/>
        <v>0</v>
      </c>
      <c r="Y24" s="34">
        <f t="shared" si="16"/>
        <v>16</v>
      </c>
      <c r="Z24" s="34">
        <f t="shared" si="16"/>
        <v>22</v>
      </c>
      <c r="AA24" s="34">
        <f t="shared" si="16"/>
        <v>10</v>
      </c>
      <c r="AB24" s="34">
        <f t="shared" si="16"/>
        <v>6</v>
      </c>
      <c r="AC24" s="34">
        <f t="shared" si="16"/>
        <v>78</v>
      </c>
      <c r="AD24" s="34">
        <f t="shared" si="16"/>
        <v>0</v>
      </c>
      <c r="AE24" s="31">
        <f t="shared" si="16"/>
        <v>134</v>
      </c>
      <c r="AF24" s="31">
        <f t="shared" si="16"/>
        <v>212</v>
      </c>
    </row>
    <row r="25" spans="2:32" ht="23.1" customHeight="1" x14ac:dyDescent="0.25">
      <c r="B25" s="45" t="s">
        <v>52</v>
      </c>
      <c r="C25" s="50">
        <v>4</v>
      </c>
      <c r="D25" s="50">
        <v>0</v>
      </c>
      <c r="E25" s="50">
        <v>1</v>
      </c>
      <c r="F25" s="50">
        <v>4</v>
      </c>
      <c r="G25" s="50">
        <v>1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25</v>
      </c>
      <c r="N25" s="50">
        <v>0</v>
      </c>
      <c r="O25" s="15">
        <f t="shared" si="0"/>
        <v>10</v>
      </c>
      <c r="P25" s="15">
        <f t="shared" si="1"/>
        <v>35</v>
      </c>
      <c r="R25" s="36" t="s">
        <v>149</v>
      </c>
      <c r="S25" s="34">
        <f>SUM(C70:C73)</f>
        <v>16</v>
      </c>
      <c r="T25" s="34">
        <f t="shared" ref="T25:AF25" si="17">SUM(D70:D73)</f>
        <v>4</v>
      </c>
      <c r="U25" s="34">
        <f t="shared" si="17"/>
        <v>3</v>
      </c>
      <c r="V25" s="34">
        <f t="shared" si="17"/>
        <v>13</v>
      </c>
      <c r="W25" s="34">
        <f t="shared" si="17"/>
        <v>2</v>
      </c>
      <c r="X25" s="34">
        <f t="shared" si="17"/>
        <v>1</v>
      </c>
      <c r="Y25" s="34">
        <f t="shared" si="17"/>
        <v>15</v>
      </c>
      <c r="Z25" s="34">
        <f t="shared" si="17"/>
        <v>11</v>
      </c>
      <c r="AA25" s="34">
        <f t="shared" si="17"/>
        <v>3</v>
      </c>
      <c r="AB25" s="34">
        <f t="shared" si="17"/>
        <v>2</v>
      </c>
      <c r="AC25" s="34">
        <f t="shared" si="17"/>
        <v>32</v>
      </c>
      <c r="AD25" s="34">
        <f t="shared" si="17"/>
        <v>0</v>
      </c>
      <c r="AE25" s="31">
        <f t="shared" si="17"/>
        <v>70</v>
      </c>
      <c r="AF25" s="31">
        <f t="shared" si="17"/>
        <v>102</v>
      </c>
    </row>
    <row r="26" spans="2:32" ht="23.1" customHeight="1" x14ac:dyDescent="0.25">
      <c r="B26" s="45" t="s">
        <v>53</v>
      </c>
      <c r="C26" s="50">
        <v>12</v>
      </c>
      <c r="D26" s="50">
        <v>3</v>
      </c>
      <c r="E26" s="50">
        <v>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51</v>
      </c>
      <c r="N26" s="50">
        <v>0</v>
      </c>
      <c r="O26" s="15">
        <f t="shared" si="0"/>
        <v>25</v>
      </c>
      <c r="P26" s="15">
        <f t="shared" si="1"/>
        <v>76</v>
      </c>
      <c r="R26" s="36" t="s">
        <v>150</v>
      </c>
      <c r="S26" s="34">
        <f>SUM(C74:C77)</f>
        <v>16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6</v>
      </c>
      <c r="W26" s="34">
        <f t="shared" si="18"/>
        <v>0</v>
      </c>
      <c r="X26" s="34">
        <f t="shared" si="18"/>
        <v>0</v>
      </c>
      <c r="Y26" s="34">
        <f t="shared" si="18"/>
        <v>11</v>
      </c>
      <c r="Z26" s="34">
        <f t="shared" si="18"/>
        <v>7</v>
      </c>
      <c r="AA26" s="34">
        <f t="shared" si="18"/>
        <v>4</v>
      </c>
      <c r="AB26" s="34">
        <f t="shared" si="18"/>
        <v>6</v>
      </c>
      <c r="AC26" s="34">
        <f t="shared" si="18"/>
        <v>19</v>
      </c>
      <c r="AD26" s="34">
        <f t="shared" si="18"/>
        <v>0</v>
      </c>
      <c r="AE26" s="31">
        <f t="shared" si="18"/>
        <v>52</v>
      </c>
      <c r="AF26" s="31">
        <f t="shared" si="18"/>
        <v>71</v>
      </c>
    </row>
    <row r="27" spans="2:32" ht="23.1" customHeight="1" x14ac:dyDescent="0.25">
      <c r="B27" s="45" t="s">
        <v>54</v>
      </c>
      <c r="C27" s="50">
        <v>9</v>
      </c>
      <c r="D27" s="50">
        <v>3</v>
      </c>
      <c r="E27" s="50">
        <v>2</v>
      </c>
      <c r="F27" s="50">
        <v>8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32</v>
      </c>
      <c r="N27" s="50">
        <v>0</v>
      </c>
      <c r="O27" s="15">
        <f t="shared" si="0"/>
        <v>23</v>
      </c>
      <c r="P27" s="15">
        <f t="shared" si="1"/>
        <v>55</v>
      </c>
      <c r="R27" s="36" t="s">
        <v>151</v>
      </c>
      <c r="S27" s="34">
        <f>SUM(C78:C81)</f>
        <v>7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1</v>
      </c>
      <c r="W27" s="34">
        <f t="shared" si="19"/>
        <v>1</v>
      </c>
      <c r="X27" s="34">
        <f t="shared" si="19"/>
        <v>1</v>
      </c>
      <c r="Y27" s="34">
        <f t="shared" si="19"/>
        <v>9</v>
      </c>
      <c r="Z27" s="34">
        <f t="shared" si="19"/>
        <v>11</v>
      </c>
      <c r="AA27" s="34">
        <f t="shared" si="19"/>
        <v>4</v>
      </c>
      <c r="AB27" s="34">
        <f t="shared" si="19"/>
        <v>0</v>
      </c>
      <c r="AC27" s="34">
        <f t="shared" si="19"/>
        <v>8</v>
      </c>
      <c r="AD27" s="34">
        <f t="shared" si="19"/>
        <v>0</v>
      </c>
      <c r="AE27" s="31">
        <f t="shared" si="19"/>
        <v>35</v>
      </c>
      <c r="AF27" s="31">
        <f t="shared" si="19"/>
        <v>43</v>
      </c>
    </row>
    <row r="28" spans="2:32" ht="23.1" customHeight="1" x14ac:dyDescent="0.25">
      <c r="B28" s="45" t="s">
        <v>55</v>
      </c>
      <c r="C28" s="50">
        <v>11</v>
      </c>
      <c r="D28" s="50">
        <v>3</v>
      </c>
      <c r="E28" s="50">
        <v>4</v>
      </c>
      <c r="F28" s="50">
        <v>10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40</v>
      </c>
      <c r="N28" s="50">
        <v>0</v>
      </c>
      <c r="O28" s="15">
        <f t="shared" si="0"/>
        <v>30</v>
      </c>
      <c r="P28" s="15">
        <f t="shared" si="1"/>
        <v>70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2</v>
      </c>
      <c r="W28" s="34">
        <f t="shared" si="20"/>
        <v>1</v>
      </c>
      <c r="X28" s="34">
        <f t="shared" si="20"/>
        <v>1</v>
      </c>
      <c r="Y28" s="34">
        <f t="shared" si="20"/>
        <v>12</v>
      </c>
      <c r="Z28" s="34">
        <f t="shared" si="20"/>
        <v>12</v>
      </c>
      <c r="AA28" s="34">
        <f t="shared" si="20"/>
        <v>5</v>
      </c>
      <c r="AB28" s="34">
        <f t="shared" si="20"/>
        <v>8</v>
      </c>
      <c r="AC28" s="34">
        <f t="shared" si="20"/>
        <v>4</v>
      </c>
      <c r="AD28" s="34">
        <f t="shared" si="20"/>
        <v>0</v>
      </c>
      <c r="AE28" s="31">
        <f t="shared" si="20"/>
        <v>43</v>
      </c>
      <c r="AF28" s="31">
        <f t="shared" si="20"/>
        <v>47</v>
      </c>
    </row>
    <row r="29" spans="2:32" ht="23.1" customHeight="1" x14ac:dyDescent="0.25">
      <c r="B29" s="45" t="s">
        <v>56</v>
      </c>
      <c r="C29" s="50">
        <v>12</v>
      </c>
      <c r="D29" s="50">
        <v>5</v>
      </c>
      <c r="E29" s="50">
        <v>1</v>
      </c>
      <c r="F29" s="50">
        <v>1</v>
      </c>
      <c r="G29" s="50">
        <v>0</v>
      </c>
      <c r="H29" s="50">
        <v>1</v>
      </c>
      <c r="I29" s="50">
        <v>3</v>
      </c>
      <c r="J29" s="50">
        <v>1</v>
      </c>
      <c r="K29" s="50">
        <v>0</v>
      </c>
      <c r="L29" s="50">
        <v>0</v>
      </c>
      <c r="M29" s="50">
        <v>50</v>
      </c>
      <c r="N29" s="50">
        <v>0</v>
      </c>
      <c r="O29" s="15">
        <f t="shared" si="0"/>
        <v>24</v>
      </c>
      <c r="P29" s="15">
        <f t="shared" si="1"/>
        <v>74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1</v>
      </c>
      <c r="Y29" s="34">
        <f t="shared" si="21"/>
        <v>4</v>
      </c>
      <c r="Z29" s="34">
        <f t="shared" si="21"/>
        <v>17</v>
      </c>
      <c r="AA29" s="34">
        <f t="shared" si="21"/>
        <v>2</v>
      </c>
      <c r="AB29" s="34">
        <f t="shared" si="21"/>
        <v>1</v>
      </c>
      <c r="AC29" s="34">
        <f t="shared" si="21"/>
        <v>12</v>
      </c>
      <c r="AD29" s="34">
        <f t="shared" si="21"/>
        <v>0</v>
      </c>
      <c r="AE29" s="31">
        <f t="shared" si="21"/>
        <v>27</v>
      </c>
      <c r="AF29" s="31">
        <f t="shared" si="21"/>
        <v>39</v>
      </c>
    </row>
    <row r="30" spans="2:32" ht="23.1" customHeight="1" x14ac:dyDescent="0.25">
      <c r="B30" s="45" t="s">
        <v>57</v>
      </c>
      <c r="C30" s="50">
        <v>4</v>
      </c>
      <c r="D30" s="50">
        <v>7</v>
      </c>
      <c r="E30" s="50">
        <v>2</v>
      </c>
      <c r="F30" s="50">
        <v>8</v>
      </c>
      <c r="G30" s="50">
        <v>0</v>
      </c>
      <c r="H30" s="50">
        <v>0</v>
      </c>
      <c r="I30" s="50">
        <v>4</v>
      </c>
      <c r="J30" s="50">
        <v>2</v>
      </c>
      <c r="K30" s="50">
        <v>0</v>
      </c>
      <c r="L30" s="50">
        <v>1</v>
      </c>
      <c r="M30" s="50">
        <v>34</v>
      </c>
      <c r="N30" s="50">
        <v>0</v>
      </c>
      <c r="O30" s="15">
        <f t="shared" si="0"/>
        <v>28</v>
      </c>
      <c r="P30" s="15">
        <f t="shared" si="1"/>
        <v>62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1</v>
      </c>
      <c r="X30" s="34">
        <f t="shared" si="22"/>
        <v>3</v>
      </c>
      <c r="Y30" s="34">
        <f t="shared" si="22"/>
        <v>3</v>
      </c>
      <c r="Z30" s="34">
        <f t="shared" si="22"/>
        <v>8</v>
      </c>
      <c r="AA30" s="34">
        <f t="shared" si="22"/>
        <v>3</v>
      </c>
      <c r="AB30" s="34">
        <f t="shared" si="22"/>
        <v>0</v>
      </c>
      <c r="AC30" s="34">
        <f t="shared" si="22"/>
        <v>9</v>
      </c>
      <c r="AD30" s="34">
        <f t="shared" si="22"/>
        <v>0</v>
      </c>
      <c r="AE30" s="31">
        <f t="shared" si="22"/>
        <v>20</v>
      </c>
      <c r="AF30" s="31">
        <f t="shared" si="22"/>
        <v>29</v>
      </c>
    </row>
    <row r="31" spans="2:32" ht="23.1" customHeight="1" x14ac:dyDescent="0.25">
      <c r="B31" s="46" t="s">
        <v>58</v>
      </c>
      <c r="C31" s="50">
        <v>6</v>
      </c>
      <c r="D31" s="50">
        <v>2</v>
      </c>
      <c r="E31" s="50">
        <v>3</v>
      </c>
      <c r="F31" s="50">
        <v>5</v>
      </c>
      <c r="G31" s="50">
        <v>0</v>
      </c>
      <c r="H31" s="50">
        <v>1</v>
      </c>
      <c r="I31" s="50">
        <v>1</v>
      </c>
      <c r="J31" s="50">
        <v>3</v>
      </c>
      <c r="K31" s="50">
        <v>0</v>
      </c>
      <c r="L31" s="50">
        <v>3</v>
      </c>
      <c r="M31" s="50">
        <v>40</v>
      </c>
      <c r="N31" s="50">
        <v>0</v>
      </c>
      <c r="O31" s="15">
        <f t="shared" si="0"/>
        <v>24</v>
      </c>
      <c r="P31" s="15">
        <f t="shared" si="1"/>
        <v>64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2</v>
      </c>
      <c r="W31" s="34">
        <f t="shared" si="23"/>
        <v>1</v>
      </c>
      <c r="X31" s="34">
        <f t="shared" si="23"/>
        <v>0</v>
      </c>
      <c r="Y31" s="34">
        <f t="shared" si="23"/>
        <v>3</v>
      </c>
      <c r="Z31" s="34">
        <f t="shared" si="23"/>
        <v>12</v>
      </c>
      <c r="AA31" s="34">
        <f t="shared" si="23"/>
        <v>1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22</v>
      </c>
      <c r="AF31" s="31">
        <f t="shared" si="23"/>
        <v>24</v>
      </c>
    </row>
    <row r="32" spans="2:32" ht="23.1" customHeight="1" x14ac:dyDescent="0.25">
      <c r="B32" s="46" t="s">
        <v>59</v>
      </c>
      <c r="C32" s="50">
        <v>3</v>
      </c>
      <c r="D32" s="50">
        <v>4</v>
      </c>
      <c r="E32" s="50">
        <v>0</v>
      </c>
      <c r="F32" s="50">
        <v>9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26</v>
      </c>
      <c r="N32" s="50">
        <v>0</v>
      </c>
      <c r="O32" s="15">
        <f t="shared" si="0"/>
        <v>19</v>
      </c>
      <c r="P32" s="15">
        <f t="shared" si="1"/>
        <v>45</v>
      </c>
      <c r="R32" s="33" t="s">
        <v>156</v>
      </c>
      <c r="S32" s="34">
        <f>SUM(C98:C101)</f>
        <v>2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4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4</v>
      </c>
      <c r="AA32" s="34">
        <f t="shared" si="24"/>
        <v>2</v>
      </c>
      <c r="AB32" s="34">
        <f t="shared" si="24"/>
        <v>3</v>
      </c>
      <c r="AC32" s="34">
        <f t="shared" si="24"/>
        <v>2</v>
      </c>
      <c r="AD32" s="34">
        <f t="shared" si="24"/>
        <v>0</v>
      </c>
      <c r="AE32" s="31">
        <f t="shared" si="24"/>
        <v>20</v>
      </c>
      <c r="AF32" s="31">
        <f t="shared" si="24"/>
        <v>22</v>
      </c>
    </row>
    <row r="33" spans="2:32" ht="23.1" customHeight="1" x14ac:dyDescent="0.25">
      <c r="B33" s="45" t="s">
        <v>60</v>
      </c>
      <c r="C33" s="50">
        <v>10</v>
      </c>
      <c r="D33" s="50">
        <v>4</v>
      </c>
      <c r="E33" s="50">
        <v>5</v>
      </c>
      <c r="F33" s="50">
        <v>5</v>
      </c>
      <c r="G33" s="50">
        <v>0</v>
      </c>
      <c r="H33" s="50">
        <v>0</v>
      </c>
      <c r="I33" s="50">
        <v>3</v>
      </c>
      <c r="J33" s="50">
        <v>3</v>
      </c>
      <c r="K33" s="50">
        <v>1</v>
      </c>
      <c r="L33" s="50">
        <v>0</v>
      </c>
      <c r="M33" s="50">
        <v>30</v>
      </c>
      <c r="N33" s="50">
        <v>0</v>
      </c>
      <c r="O33" s="15">
        <f t="shared" si="0"/>
        <v>31</v>
      </c>
      <c r="P33" s="15">
        <f t="shared" si="1"/>
        <v>61</v>
      </c>
      <c r="R33" s="33" t="s">
        <v>157</v>
      </c>
      <c r="S33" s="34">
        <f>SUM(C102:C105)</f>
        <v>7</v>
      </c>
      <c r="T33" s="34">
        <f t="shared" ref="T33:AF33" si="25">SUM(D102:D105)</f>
        <v>1</v>
      </c>
      <c r="U33" s="34">
        <f t="shared" si="25"/>
        <v>5</v>
      </c>
      <c r="V33" s="34">
        <f t="shared" si="25"/>
        <v>9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4</v>
      </c>
      <c r="AA33" s="34">
        <f t="shared" si="25"/>
        <v>2</v>
      </c>
      <c r="AB33" s="34">
        <f t="shared" si="25"/>
        <v>0</v>
      </c>
      <c r="AC33" s="34">
        <f t="shared" si="25"/>
        <v>19</v>
      </c>
      <c r="AD33" s="34">
        <f t="shared" si="25"/>
        <v>0</v>
      </c>
      <c r="AE33" s="31">
        <f t="shared" si="25"/>
        <v>28</v>
      </c>
      <c r="AF33" s="31">
        <f t="shared" si="25"/>
        <v>47</v>
      </c>
    </row>
    <row r="34" spans="2:32" ht="23.1" customHeight="1" x14ac:dyDescent="0.25">
      <c r="B34" s="46" t="s">
        <v>61</v>
      </c>
      <c r="C34" s="50">
        <v>2</v>
      </c>
      <c r="D34" s="50">
        <v>3</v>
      </c>
      <c r="E34" s="50">
        <v>0</v>
      </c>
      <c r="F34" s="50">
        <v>4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24</v>
      </c>
      <c r="N34" s="50">
        <v>0</v>
      </c>
      <c r="O34" s="15">
        <f t="shared" si="0"/>
        <v>13</v>
      </c>
      <c r="P34" s="15">
        <f t="shared" si="1"/>
        <v>37</v>
      </c>
      <c r="R34" s="38" t="s">
        <v>90</v>
      </c>
      <c r="S34" s="39">
        <f t="shared" ref="S34:AF34" si="26">MAX(S10:S12)</f>
        <v>21</v>
      </c>
      <c r="T34" s="39">
        <f t="shared" si="26"/>
        <v>8</v>
      </c>
      <c r="U34" s="39">
        <f t="shared" si="26"/>
        <v>3</v>
      </c>
      <c r="V34" s="39">
        <f t="shared" si="26"/>
        <v>25</v>
      </c>
      <c r="W34" s="39">
        <f t="shared" si="26"/>
        <v>0</v>
      </c>
      <c r="X34" s="39">
        <f t="shared" si="26"/>
        <v>1</v>
      </c>
      <c r="Y34" s="39">
        <f t="shared" si="26"/>
        <v>11</v>
      </c>
      <c r="Z34" s="39">
        <f t="shared" si="26"/>
        <v>6</v>
      </c>
      <c r="AA34" s="39">
        <f t="shared" si="26"/>
        <v>2</v>
      </c>
      <c r="AB34" s="39">
        <f t="shared" si="26"/>
        <v>3</v>
      </c>
      <c r="AC34" s="39">
        <f t="shared" si="26"/>
        <v>137</v>
      </c>
      <c r="AD34" s="39">
        <f t="shared" si="26"/>
        <v>1</v>
      </c>
      <c r="AE34" s="40">
        <f t="shared" si="26"/>
        <v>70</v>
      </c>
      <c r="AF34" s="40">
        <f t="shared" si="26"/>
        <v>207</v>
      </c>
    </row>
    <row r="35" spans="2:32" ht="23.1" customHeight="1" x14ac:dyDescent="0.25">
      <c r="B35" s="46" t="s">
        <v>62</v>
      </c>
      <c r="C35" s="50">
        <v>8</v>
      </c>
      <c r="D35" s="50">
        <v>7</v>
      </c>
      <c r="E35" s="50">
        <v>1</v>
      </c>
      <c r="F35" s="50">
        <v>12</v>
      </c>
      <c r="G35" s="50">
        <v>0</v>
      </c>
      <c r="H35" s="50">
        <v>1</v>
      </c>
      <c r="I35" s="50">
        <v>4</v>
      </c>
      <c r="J35" s="50">
        <v>0</v>
      </c>
      <c r="K35" s="50">
        <v>0</v>
      </c>
      <c r="L35" s="50">
        <v>0</v>
      </c>
      <c r="M35" s="50">
        <v>21</v>
      </c>
      <c r="N35" s="50">
        <v>0</v>
      </c>
      <c r="O35" s="15">
        <f t="shared" si="0"/>
        <v>33</v>
      </c>
      <c r="P35" s="15">
        <f t="shared" si="1"/>
        <v>54</v>
      </c>
      <c r="R35" s="38" t="s">
        <v>91</v>
      </c>
      <c r="S35" s="39">
        <f t="shared" ref="S35:AF35" si="27">MAX(S13:S18)</f>
        <v>44</v>
      </c>
      <c r="T35" s="39">
        <f t="shared" si="27"/>
        <v>17</v>
      </c>
      <c r="U35" s="39">
        <f t="shared" si="27"/>
        <v>11</v>
      </c>
      <c r="V35" s="39">
        <f t="shared" si="27"/>
        <v>30</v>
      </c>
      <c r="W35" s="39">
        <f t="shared" si="27"/>
        <v>3</v>
      </c>
      <c r="X35" s="39">
        <f t="shared" si="27"/>
        <v>3</v>
      </c>
      <c r="Y35" s="39">
        <f t="shared" si="27"/>
        <v>13</v>
      </c>
      <c r="Z35" s="39">
        <f t="shared" si="27"/>
        <v>9</v>
      </c>
      <c r="AA35" s="39">
        <f t="shared" si="27"/>
        <v>5</v>
      </c>
      <c r="AB35" s="39">
        <f t="shared" si="27"/>
        <v>5</v>
      </c>
      <c r="AC35" s="39">
        <f t="shared" si="27"/>
        <v>186</v>
      </c>
      <c r="AD35" s="39">
        <f t="shared" si="27"/>
        <v>0</v>
      </c>
      <c r="AE35" s="40">
        <f t="shared" si="27"/>
        <v>115</v>
      </c>
      <c r="AF35" s="40">
        <f t="shared" si="27"/>
        <v>301</v>
      </c>
    </row>
    <row r="36" spans="2:32" ht="23.1" customHeight="1" x14ac:dyDescent="0.25">
      <c r="B36" s="46" t="s">
        <v>63</v>
      </c>
      <c r="C36" s="50">
        <v>9</v>
      </c>
      <c r="D36" s="50">
        <v>2</v>
      </c>
      <c r="E36" s="50">
        <v>1</v>
      </c>
      <c r="F36" s="50">
        <v>8</v>
      </c>
      <c r="G36" s="50">
        <v>0</v>
      </c>
      <c r="H36" s="50">
        <v>1</v>
      </c>
      <c r="I36" s="50">
        <v>3</v>
      </c>
      <c r="J36" s="50">
        <v>0</v>
      </c>
      <c r="K36" s="50">
        <v>2</v>
      </c>
      <c r="L36" s="50">
        <v>4</v>
      </c>
      <c r="M36" s="50">
        <v>38</v>
      </c>
      <c r="N36" s="50">
        <v>0</v>
      </c>
      <c r="O36" s="15">
        <f t="shared" si="0"/>
        <v>30</v>
      </c>
      <c r="P36" s="15">
        <f t="shared" si="1"/>
        <v>68</v>
      </c>
      <c r="R36" s="38" t="s">
        <v>92</v>
      </c>
      <c r="S36" s="39">
        <f t="shared" ref="S36:AF36" si="28">MAX(S19:S21)</f>
        <v>35</v>
      </c>
      <c r="T36" s="39">
        <f t="shared" si="28"/>
        <v>23</v>
      </c>
      <c r="U36" s="39">
        <f t="shared" si="28"/>
        <v>9</v>
      </c>
      <c r="V36" s="39">
        <f t="shared" si="28"/>
        <v>38</v>
      </c>
      <c r="W36" s="39">
        <f t="shared" si="28"/>
        <v>1</v>
      </c>
      <c r="X36" s="39">
        <f t="shared" si="28"/>
        <v>3</v>
      </c>
      <c r="Y36" s="39">
        <f t="shared" si="28"/>
        <v>18</v>
      </c>
      <c r="Z36" s="39">
        <f t="shared" si="28"/>
        <v>11</v>
      </c>
      <c r="AA36" s="39">
        <f t="shared" si="28"/>
        <v>2</v>
      </c>
      <c r="AB36" s="39">
        <f t="shared" si="28"/>
        <v>6</v>
      </c>
      <c r="AC36" s="39">
        <f t="shared" si="28"/>
        <v>209</v>
      </c>
      <c r="AD36" s="39">
        <f t="shared" si="28"/>
        <v>0</v>
      </c>
      <c r="AE36" s="40">
        <f t="shared" si="28"/>
        <v>130</v>
      </c>
      <c r="AF36" s="40">
        <f t="shared" si="28"/>
        <v>319</v>
      </c>
    </row>
    <row r="37" spans="2:32" ht="23.1" customHeight="1" x14ac:dyDescent="0.25">
      <c r="B37" s="45" t="s">
        <v>64</v>
      </c>
      <c r="C37" s="50">
        <v>8</v>
      </c>
      <c r="D37" s="50">
        <v>1</v>
      </c>
      <c r="E37" s="50">
        <v>2</v>
      </c>
      <c r="F37" s="50">
        <v>4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0</v>
      </c>
      <c r="M37" s="50">
        <v>36</v>
      </c>
      <c r="N37" s="50">
        <v>0</v>
      </c>
      <c r="O37" s="15">
        <f t="shared" si="0"/>
        <v>18</v>
      </c>
      <c r="P37" s="15">
        <f t="shared" si="1"/>
        <v>54</v>
      </c>
      <c r="R37" s="37" t="s">
        <v>85</v>
      </c>
      <c r="S37" s="35">
        <f t="shared" ref="S37:AF37" si="29">SUM(S10:S12)</f>
        <v>55</v>
      </c>
      <c r="T37" s="16">
        <f t="shared" si="29"/>
        <v>22</v>
      </c>
      <c r="U37" s="16">
        <f t="shared" si="29"/>
        <v>6</v>
      </c>
      <c r="V37" s="16">
        <f t="shared" si="29"/>
        <v>63</v>
      </c>
      <c r="W37" s="16">
        <f t="shared" si="29"/>
        <v>0</v>
      </c>
      <c r="X37" s="16">
        <f t="shared" si="29"/>
        <v>1</v>
      </c>
      <c r="Y37" s="16">
        <f t="shared" si="29"/>
        <v>18</v>
      </c>
      <c r="Z37" s="16">
        <f t="shared" si="29"/>
        <v>11</v>
      </c>
      <c r="AA37" s="16">
        <f t="shared" si="29"/>
        <v>2</v>
      </c>
      <c r="AB37" s="16">
        <f t="shared" si="29"/>
        <v>8</v>
      </c>
      <c r="AC37" s="16">
        <f t="shared" si="29"/>
        <v>407</v>
      </c>
      <c r="AD37" s="16">
        <f t="shared" si="29"/>
        <v>1</v>
      </c>
      <c r="AE37" s="32">
        <f t="shared" si="29"/>
        <v>187</v>
      </c>
      <c r="AF37" s="32">
        <f t="shared" si="29"/>
        <v>594</v>
      </c>
    </row>
    <row r="38" spans="2:32" ht="23.1" customHeight="1" x14ac:dyDescent="0.25">
      <c r="B38" s="46" t="s">
        <v>65</v>
      </c>
      <c r="C38" s="50">
        <v>5</v>
      </c>
      <c r="D38" s="50">
        <v>3</v>
      </c>
      <c r="E38" s="50">
        <v>3</v>
      </c>
      <c r="F38" s="50">
        <v>7</v>
      </c>
      <c r="G38" s="50">
        <v>0</v>
      </c>
      <c r="H38" s="50">
        <v>0</v>
      </c>
      <c r="I38" s="50">
        <v>3</v>
      </c>
      <c r="J38" s="50">
        <v>1</v>
      </c>
      <c r="K38" s="50">
        <v>2</v>
      </c>
      <c r="L38" s="50">
        <v>0</v>
      </c>
      <c r="M38" s="50">
        <v>19</v>
      </c>
      <c r="N38" s="50">
        <v>0</v>
      </c>
      <c r="O38" s="15">
        <f t="shared" si="0"/>
        <v>24</v>
      </c>
      <c r="P38" s="15">
        <f t="shared" si="1"/>
        <v>43</v>
      </c>
      <c r="R38" s="28" t="s">
        <v>86</v>
      </c>
      <c r="S38" s="16">
        <f t="shared" ref="S38:AF38" si="30">SUM(S13:S18)</f>
        <v>165</v>
      </c>
      <c r="T38" s="16">
        <f t="shared" si="30"/>
        <v>82</v>
      </c>
      <c r="U38" s="16">
        <f t="shared" si="30"/>
        <v>45</v>
      </c>
      <c r="V38" s="16">
        <f t="shared" si="30"/>
        <v>162</v>
      </c>
      <c r="W38" s="16">
        <f t="shared" si="30"/>
        <v>6</v>
      </c>
      <c r="X38" s="16">
        <f t="shared" si="30"/>
        <v>10</v>
      </c>
      <c r="Y38" s="16">
        <f t="shared" si="30"/>
        <v>53</v>
      </c>
      <c r="Z38" s="16">
        <f t="shared" si="30"/>
        <v>28</v>
      </c>
      <c r="AA38" s="16">
        <f t="shared" si="30"/>
        <v>11</v>
      </c>
      <c r="AB38" s="16">
        <f t="shared" si="30"/>
        <v>18</v>
      </c>
      <c r="AC38" s="16">
        <f t="shared" si="30"/>
        <v>843</v>
      </c>
      <c r="AD38" s="16">
        <f t="shared" si="30"/>
        <v>0</v>
      </c>
      <c r="AE38" s="32">
        <f t="shared" si="30"/>
        <v>580</v>
      </c>
      <c r="AF38" s="32">
        <f t="shared" si="30"/>
        <v>1423</v>
      </c>
    </row>
    <row r="39" spans="2:32" ht="23.1" customHeight="1" x14ac:dyDescent="0.25">
      <c r="B39" s="46" t="s">
        <v>66</v>
      </c>
      <c r="C39" s="50">
        <v>6</v>
      </c>
      <c r="D39" s="50">
        <v>3</v>
      </c>
      <c r="E39" s="50">
        <v>1</v>
      </c>
      <c r="F39" s="50">
        <v>10</v>
      </c>
      <c r="G39" s="50">
        <v>0</v>
      </c>
      <c r="H39" s="50">
        <v>2</v>
      </c>
      <c r="I39" s="50">
        <v>3</v>
      </c>
      <c r="J39" s="50">
        <v>4</v>
      </c>
      <c r="K39" s="50">
        <v>1</v>
      </c>
      <c r="L39" s="50">
        <v>0</v>
      </c>
      <c r="M39" s="50">
        <v>38</v>
      </c>
      <c r="N39" s="50">
        <v>0</v>
      </c>
      <c r="O39" s="15">
        <f t="shared" si="0"/>
        <v>30</v>
      </c>
      <c r="P39" s="15">
        <f t="shared" si="1"/>
        <v>68</v>
      </c>
      <c r="R39" s="29" t="s">
        <v>87</v>
      </c>
      <c r="S39" s="16">
        <f t="shared" ref="S39:AF39" si="31">SUM(S19:S21)</f>
        <v>96</v>
      </c>
      <c r="T39" s="16">
        <f t="shared" si="31"/>
        <v>53</v>
      </c>
      <c r="U39" s="16">
        <f t="shared" si="31"/>
        <v>21</v>
      </c>
      <c r="V39" s="16">
        <f t="shared" si="31"/>
        <v>97</v>
      </c>
      <c r="W39" s="16">
        <f t="shared" si="31"/>
        <v>1</v>
      </c>
      <c r="X39" s="16">
        <f t="shared" si="31"/>
        <v>6</v>
      </c>
      <c r="Y39" s="16">
        <f t="shared" si="31"/>
        <v>37</v>
      </c>
      <c r="Z39" s="16">
        <f t="shared" si="31"/>
        <v>25</v>
      </c>
      <c r="AA39" s="16">
        <f t="shared" si="31"/>
        <v>4</v>
      </c>
      <c r="AB39" s="16">
        <f t="shared" si="31"/>
        <v>12</v>
      </c>
      <c r="AC39" s="16">
        <f t="shared" si="31"/>
        <v>432</v>
      </c>
      <c r="AD39" s="16">
        <f t="shared" si="31"/>
        <v>0</v>
      </c>
      <c r="AE39" s="32">
        <f t="shared" si="31"/>
        <v>352</v>
      </c>
      <c r="AF39" s="32">
        <f t="shared" si="31"/>
        <v>784</v>
      </c>
    </row>
    <row r="40" spans="2:32" ht="23.1" customHeight="1" x14ac:dyDescent="0.25">
      <c r="B40" s="46" t="s">
        <v>67</v>
      </c>
      <c r="C40" s="50">
        <v>3</v>
      </c>
      <c r="D40" s="50">
        <v>3</v>
      </c>
      <c r="E40" s="50">
        <v>1</v>
      </c>
      <c r="F40" s="50">
        <v>4</v>
      </c>
      <c r="G40" s="50">
        <v>0</v>
      </c>
      <c r="H40" s="50">
        <v>0</v>
      </c>
      <c r="I40" s="50">
        <v>1</v>
      </c>
      <c r="J40" s="50">
        <v>0</v>
      </c>
      <c r="K40" s="50">
        <v>1</v>
      </c>
      <c r="L40" s="50">
        <v>0</v>
      </c>
      <c r="M40" s="50">
        <v>16</v>
      </c>
      <c r="N40" s="50">
        <v>0</v>
      </c>
      <c r="O40" s="15">
        <f t="shared" si="0"/>
        <v>13</v>
      </c>
      <c r="P40" s="15">
        <f t="shared" si="1"/>
        <v>29</v>
      </c>
      <c r="R40" s="5" t="s">
        <v>17</v>
      </c>
      <c r="S40" s="16">
        <f t="shared" ref="S40:AF40" si="32">SUM(S10:S21)</f>
        <v>316</v>
      </c>
      <c r="T40" s="16">
        <f t="shared" si="32"/>
        <v>157</v>
      </c>
      <c r="U40" s="16">
        <f t="shared" si="32"/>
        <v>72</v>
      </c>
      <c r="V40" s="16">
        <f t="shared" si="32"/>
        <v>322</v>
      </c>
      <c r="W40" s="16">
        <f t="shared" si="32"/>
        <v>7</v>
      </c>
      <c r="X40" s="16">
        <f t="shared" si="32"/>
        <v>17</v>
      </c>
      <c r="Y40" s="16">
        <f t="shared" si="32"/>
        <v>108</v>
      </c>
      <c r="Z40" s="16">
        <f t="shared" si="32"/>
        <v>64</v>
      </c>
      <c r="AA40" s="16">
        <f t="shared" si="32"/>
        <v>17</v>
      </c>
      <c r="AB40" s="16">
        <f t="shared" si="32"/>
        <v>38</v>
      </c>
      <c r="AC40" s="16">
        <f t="shared" si="32"/>
        <v>1682</v>
      </c>
      <c r="AD40" s="16">
        <f t="shared" si="32"/>
        <v>1</v>
      </c>
      <c r="AE40" s="32">
        <f t="shared" si="32"/>
        <v>1119</v>
      </c>
      <c r="AF40" s="32">
        <f t="shared" si="32"/>
        <v>2801</v>
      </c>
    </row>
    <row r="41" spans="2:32" ht="23.1" customHeight="1" x14ac:dyDescent="0.25">
      <c r="B41" s="45" t="s">
        <v>68</v>
      </c>
      <c r="C41" s="50">
        <v>5</v>
      </c>
      <c r="D41" s="50">
        <v>2</v>
      </c>
      <c r="E41" s="50">
        <v>3</v>
      </c>
      <c r="F41" s="50">
        <v>6</v>
      </c>
      <c r="G41" s="50">
        <v>0</v>
      </c>
      <c r="H41" s="50">
        <v>0</v>
      </c>
      <c r="I41" s="50">
        <v>6</v>
      </c>
      <c r="J41" s="50">
        <v>4</v>
      </c>
      <c r="K41" s="50">
        <v>1</v>
      </c>
      <c r="L41" s="50">
        <v>1</v>
      </c>
      <c r="M41" s="50">
        <v>42</v>
      </c>
      <c r="N41" s="50">
        <v>0</v>
      </c>
      <c r="O41" s="15">
        <f t="shared" si="0"/>
        <v>28</v>
      </c>
      <c r="P41" s="15">
        <f t="shared" si="1"/>
        <v>70</v>
      </c>
      <c r="R41" s="5" t="s">
        <v>159</v>
      </c>
      <c r="S41" s="16">
        <f>SUM(S10:S33)</f>
        <v>483</v>
      </c>
      <c r="T41" s="16">
        <f t="shared" ref="T41:AF41" si="33">SUM(T10:T33)</f>
        <v>191</v>
      </c>
      <c r="U41" s="16">
        <f t="shared" si="33"/>
        <v>107</v>
      </c>
      <c r="V41" s="16">
        <f t="shared" si="33"/>
        <v>442</v>
      </c>
      <c r="W41" s="16">
        <f t="shared" si="33"/>
        <v>15</v>
      </c>
      <c r="X41" s="16">
        <f t="shared" si="33"/>
        <v>29</v>
      </c>
      <c r="Y41" s="16">
        <f t="shared" si="33"/>
        <v>219</v>
      </c>
      <c r="Z41" s="16">
        <f t="shared" si="33"/>
        <v>184</v>
      </c>
      <c r="AA41" s="16">
        <f t="shared" si="33"/>
        <v>73</v>
      </c>
      <c r="AB41" s="16">
        <f t="shared" si="33"/>
        <v>71</v>
      </c>
      <c r="AC41" s="16">
        <f t="shared" si="33"/>
        <v>2131</v>
      </c>
      <c r="AD41" s="16">
        <f t="shared" si="33"/>
        <v>1</v>
      </c>
      <c r="AE41" s="32">
        <f t="shared" si="33"/>
        <v>1815</v>
      </c>
      <c r="AF41" s="32">
        <f t="shared" si="33"/>
        <v>3946</v>
      </c>
    </row>
    <row r="42" spans="2:32" ht="23.1" customHeight="1" x14ac:dyDescent="0.25">
      <c r="B42" s="46" t="s">
        <v>69</v>
      </c>
      <c r="C42" s="50">
        <v>10</v>
      </c>
      <c r="D42" s="50">
        <v>6</v>
      </c>
      <c r="E42" s="50">
        <v>3</v>
      </c>
      <c r="F42" s="50">
        <v>8</v>
      </c>
      <c r="G42" s="50">
        <v>1</v>
      </c>
      <c r="H42" s="50">
        <v>1</v>
      </c>
      <c r="I42" s="50">
        <v>2</v>
      </c>
      <c r="J42" s="50">
        <v>1</v>
      </c>
      <c r="K42" s="50">
        <v>0</v>
      </c>
      <c r="L42" s="50">
        <v>2</v>
      </c>
      <c r="M42" s="50">
        <v>39</v>
      </c>
      <c r="N42" s="50">
        <v>0</v>
      </c>
      <c r="O42" s="15">
        <f t="shared" si="0"/>
        <v>34</v>
      </c>
      <c r="P42" s="15">
        <f t="shared" si="1"/>
        <v>73</v>
      </c>
      <c r="R42" s="5" t="s">
        <v>160</v>
      </c>
      <c r="S42" s="48">
        <f>S41/S40</f>
        <v>1.5284810126582278</v>
      </c>
      <c r="T42" s="48">
        <f t="shared" ref="T42:AF42" si="34">T41/T40</f>
        <v>1.2165605095541401</v>
      </c>
      <c r="U42" s="48">
        <f t="shared" si="34"/>
        <v>1.4861111111111112</v>
      </c>
      <c r="V42" s="48">
        <f t="shared" si="34"/>
        <v>1.3726708074534162</v>
      </c>
      <c r="W42" s="48">
        <f t="shared" si="34"/>
        <v>2.1428571428571428</v>
      </c>
      <c r="X42" s="48">
        <f t="shared" si="34"/>
        <v>1.7058823529411764</v>
      </c>
      <c r="Y42" s="48">
        <f t="shared" si="34"/>
        <v>2.0277777777777777</v>
      </c>
      <c r="Z42" s="48">
        <f t="shared" si="34"/>
        <v>2.875</v>
      </c>
      <c r="AA42" s="48">
        <f t="shared" si="34"/>
        <v>4.2941176470588234</v>
      </c>
      <c r="AB42" s="48">
        <f t="shared" si="34"/>
        <v>1.868421052631579</v>
      </c>
      <c r="AC42" s="48">
        <f t="shared" si="34"/>
        <v>1.2669441141498217</v>
      </c>
      <c r="AD42" s="48">
        <f t="shared" si="34"/>
        <v>1</v>
      </c>
      <c r="AE42" s="48">
        <f t="shared" si="34"/>
        <v>1.6219839142091153</v>
      </c>
      <c r="AF42" s="48">
        <f t="shared" si="34"/>
        <v>1.4087825776508389</v>
      </c>
    </row>
    <row r="43" spans="2:32" ht="23.1" customHeight="1" x14ac:dyDescent="0.25">
      <c r="B43" s="45" t="s">
        <v>70</v>
      </c>
      <c r="C43" s="50">
        <v>6</v>
      </c>
      <c r="D43" s="50">
        <v>2</v>
      </c>
      <c r="E43" s="50">
        <v>2</v>
      </c>
      <c r="F43" s="50">
        <v>8</v>
      </c>
      <c r="G43" s="50">
        <v>2</v>
      </c>
      <c r="H43" s="50">
        <v>2</v>
      </c>
      <c r="I43" s="50">
        <v>1</v>
      </c>
      <c r="J43" s="50">
        <v>0</v>
      </c>
      <c r="K43" s="50">
        <v>0</v>
      </c>
      <c r="L43" s="50">
        <v>1</v>
      </c>
      <c r="M43" s="50">
        <v>31</v>
      </c>
      <c r="N43" s="50">
        <v>0</v>
      </c>
      <c r="O43" s="15">
        <f t="shared" si="0"/>
        <v>24</v>
      </c>
      <c r="P43" s="15">
        <f t="shared" si="1"/>
        <v>55</v>
      </c>
    </row>
    <row r="44" spans="2:32" ht="23.1" customHeight="1" x14ac:dyDescent="0.25">
      <c r="B44" s="47" t="s">
        <v>71</v>
      </c>
      <c r="C44" s="50">
        <v>9</v>
      </c>
      <c r="D44" s="50">
        <v>4</v>
      </c>
      <c r="E44" s="50">
        <v>5</v>
      </c>
      <c r="F44" s="50">
        <v>3</v>
      </c>
      <c r="G44" s="50">
        <v>0</v>
      </c>
      <c r="H44" s="50">
        <v>0</v>
      </c>
      <c r="I44" s="50">
        <v>6</v>
      </c>
      <c r="J44" s="50">
        <v>2</v>
      </c>
      <c r="K44" s="50">
        <v>0</v>
      </c>
      <c r="L44" s="50">
        <v>0</v>
      </c>
      <c r="M44" s="50">
        <v>55</v>
      </c>
      <c r="N44" s="50">
        <v>0</v>
      </c>
      <c r="O44" s="15">
        <f t="shared" si="0"/>
        <v>29</v>
      </c>
      <c r="P44" s="15">
        <f t="shared" si="1"/>
        <v>84</v>
      </c>
    </row>
    <row r="45" spans="2:32" ht="23.1" customHeight="1" x14ac:dyDescent="0.25">
      <c r="B45" s="45" t="s">
        <v>72</v>
      </c>
      <c r="C45" s="50">
        <v>8</v>
      </c>
      <c r="D45" s="50">
        <v>5</v>
      </c>
      <c r="E45" s="50">
        <v>1</v>
      </c>
      <c r="F45" s="50">
        <v>11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2</v>
      </c>
      <c r="M45" s="50">
        <v>61</v>
      </c>
      <c r="N45" s="50">
        <v>0</v>
      </c>
      <c r="O45" s="15">
        <f t="shared" si="0"/>
        <v>28</v>
      </c>
      <c r="P45" s="15">
        <f t="shared" si="1"/>
        <v>89</v>
      </c>
    </row>
    <row r="46" spans="2:32" ht="23.1" customHeight="1" x14ac:dyDescent="0.25">
      <c r="B46" s="46" t="s">
        <v>73</v>
      </c>
      <c r="C46" s="50">
        <v>14</v>
      </c>
      <c r="D46" s="50">
        <v>6</v>
      </c>
      <c r="E46" s="50">
        <v>1</v>
      </c>
      <c r="F46" s="50">
        <v>10</v>
      </c>
      <c r="G46" s="50">
        <v>0</v>
      </c>
      <c r="H46" s="50">
        <v>1</v>
      </c>
      <c r="I46" s="50">
        <v>4</v>
      </c>
      <c r="J46" s="50">
        <v>2</v>
      </c>
      <c r="K46" s="50">
        <v>1</v>
      </c>
      <c r="L46" s="50">
        <v>0</v>
      </c>
      <c r="M46" s="50">
        <v>50</v>
      </c>
      <c r="N46" s="50">
        <v>0</v>
      </c>
      <c r="O46" s="15">
        <f t="shared" si="0"/>
        <v>39</v>
      </c>
      <c r="P46" s="15">
        <f t="shared" si="1"/>
        <v>89</v>
      </c>
      <c r="R46" s="8"/>
      <c r="T46"/>
    </row>
    <row r="47" spans="2:32" ht="23.1" customHeight="1" x14ac:dyDescent="0.25">
      <c r="B47" s="46" t="s">
        <v>74</v>
      </c>
      <c r="C47" s="50">
        <v>4</v>
      </c>
      <c r="D47" s="50">
        <v>0</v>
      </c>
      <c r="E47" s="50">
        <v>2</v>
      </c>
      <c r="F47" s="50">
        <v>6</v>
      </c>
      <c r="G47" s="50">
        <v>0</v>
      </c>
      <c r="H47" s="50">
        <v>0</v>
      </c>
      <c r="I47" s="50">
        <v>5</v>
      </c>
      <c r="J47" s="50">
        <v>3</v>
      </c>
      <c r="K47" s="50">
        <v>0</v>
      </c>
      <c r="L47" s="50">
        <v>1</v>
      </c>
      <c r="M47" s="50">
        <v>32</v>
      </c>
      <c r="N47" s="50">
        <v>0</v>
      </c>
      <c r="O47" s="15">
        <f t="shared" si="0"/>
        <v>21</v>
      </c>
      <c r="P47" s="15">
        <f t="shared" si="1"/>
        <v>53</v>
      </c>
      <c r="R47" s="8"/>
      <c r="T47"/>
    </row>
    <row r="48" spans="2:32" ht="23.1" customHeight="1" x14ac:dyDescent="0.25">
      <c r="B48" s="46" t="s">
        <v>75</v>
      </c>
      <c r="C48" s="50">
        <v>10</v>
      </c>
      <c r="D48" s="50">
        <v>4</v>
      </c>
      <c r="E48" s="50">
        <v>3</v>
      </c>
      <c r="F48" s="50">
        <v>3</v>
      </c>
      <c r="G48" s="50">
        <v>1</v>
      </c>
      <c r="H48" s="50">
        <v>1</v>
      </c>
      <c r="I48" s="50">
        <v>1</v>
      </c>
      <c r="J48" s="50">
        <v>2</v>
      </c>
      <c r="K48" s="50">
        <v>1</v>
      </c>
      <c r="L48" s="50">
        <v>0</v>
      </c>
      <c r="M48" s="50">
        <v>26</v>
      </c>
      <c r="N48" s="50">
        <v>0</v>
      </c>
      <c r="O48" s="15">
        <f t="shared" si="0"/>
        <v>26</v>
      </c>
      <c r="P48" s="15">
        <f t="shared" si="1"/>
        <v>52</v>
      </c>
      <c r="R48" s="8"/>
      <c r="T48"/>
    </row>
    <row r="49" spans="2:20" ht="23.1" customHeight="1" x14ac:dyDescent="0.25">
      <c r="B49" s="45" t="s">
        <v>76</v>
      </c>
      <c r="C49" s="50">
        <v>5</v>
      </c>
      <c r="D49" s="50">
        <v>2</v>
      </c>
      <c r="E49" s="50">
        <v>3</v>
      </c>
      <c r="F49" s="50">
        <v>7</v>
      </c>
      <c r="G49" s="50">
        <v>0</v>
      </c>
      <c r="H49" s="50">
        <v>1</v>
      </c>
      <c r="I49" s="50">
        <v>8</v>
      </c>
      <c r="J49" s="50">
        <v>0</v>
      </c>
      <c r="K49" s="50">
        <v>0</v>
      </c>
      <c r="L49" s="50">
        <v>0</v>
      </c>
      <c r="M49" s="50">
        <v>29</v>
      </c>
      <c r="N49" s="50">
        <v>0</v>
      </c>
      <c r="O49" s="15">
        <f t="shared" si="0"/>
        <v>26</v>
      </c>
      <c r="P49" s="15">
        <f t="shared" si="1"/>
        <v>55</v>
      </c>
      <c r="R49" s="8"/>
      <c r="T49"/>
    </row>
    <row r="50" spans="2:20" ht="23.1" customHeight="1" x14ac:dyDescent="0.25">
      <c r="B50" s="46" t="s">
        <v>77</v>
      </c>
      <c r="C50" s="50">
        <v>6</v>
      </c>
      <c r="D50" s="50">
        <v>9</v>
      </c>
      <c r="E50" s="50">
        <v>3</v>
      </c>
      <c r="F50" s="50">
        <v>11</v>
      </c>
      <c r="G50" s="50">
        <v>0</v>
      </c>
      <c r="H50" s="50">
        <v>1</v>
      </c>
      <c r="I50" s="50">
        <v>7</v>
      </c>
      <c r="J50" s="50">
        <v>1</v>
      </c>
      <c r="K50" s="50">
        <v>0</v>
      </c>
      <c r="L50" s="50">
        <v>0</v>
      </c>
      <c r="M50" s="50">
        <v>5</v>
      </c>
      <c r="N50" s="50">
        <v>0</v>
      </c>
      <c r="O50" s="15">
        <f t="shared" si="0"/>
        <v>38</v>
      </c>
      <c r="P50" s="15">
        <f t="shared" si="1"/>
        <v>43</v>
      </c>
      <c r="R50" s="8"/>
      <c r="T50"/>
    </row>
    <row r="51" spans="2:20" ht="23.1" customHeight="1" x14ac:dyDescent="0.25">
      <c r="B51" s="46" t="s">
        <v>78</v>
      </c>
      <c r="C51" s="50">
        <v>11</v>
      </c>
      <c r="D51" s="50">
        <v>5</v>
      </c>
      <c r="E51" s="50">
        <v>3</v>
      </c>
      <c r="F51" s="50">
        <v>8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28</v>
      </c>
      <c r="P51" s="15">
        <f t="shared" si="1"/>
        <v>33</v>
      </c>
      <c r="R51" s="8"/>
      <c r="T51"/>
    </row>
    <row r="52" spans="2:20" ht="23.1" customHeight="1" x14ac:dyDescent="0.25">
      <c r="B52" s="46" t="s">
        <v>79</v>
      </c>
      <c r="C52" s="50">
        <v>14</v>
      </c>
      <c r="D52" s="50">
        <v>5</v>
      </c>
      <c r="E52" s="50">
        <v>2</v>
      </c>
      <c r="F52" s="50">
        <v>10</v>
      </c>
      <c r="G52" s="50">
        <v>0</v>
      </c>
      <c r="H52" s="50">
        <v>0</v>
      </c>
      <c r="I52" s="50">
        <v>1</v>
      </c>
      <c r="J52" s="50">
        <v>3</v>
      </c>
      <c r="K52" s="50">
        <v>0</v>
      </c>
      <c r="L52" s="50">
        <v>3</v>
      </c>
      <c r="M52" s="50">
        <v>34</v>
      </c>
      <c r="N52" s="50">
        <v>0</v>
      </c>
      <c r="O52" s="15">
        <f t="shared" si="0"/>
        <v>38</v>
      </c>
      <c r="P52" s="15">
        <f t="shared" si="1"/>
        <v>72</v>
      </c>
      <c r="R52" s="8"/>
      <c r="T52"/>
    </row>
    <row r="53" spans="2:20" ht="23.1" customHeight="1" x14ac:dyDescent="0.25">
      <c r="B53" s="45" t="s">
        <v>80</v>
      </c>
      <c r="C53" s="50">
        <v>4</v>
      </c>
      <c r="D53" s="50">
        <v>4</v>
      </c>
      <c r="E53" s="50">
        <v>1</v>
      </c>
      <c r="F53" s="50">
        <v>9</v>
      </c>
      <c r="G53" s="50">
        <v>0</v>
      </c>
      <c r="H53" s="50">
        <v>1</v>
      </c>
      <c r="I53" s="50">
        <v>2</v>
      </c>
      <c r="J53" s="50">
        <v>2</v>
      </c>
      <c r="K53" s="50">
        <v>1</v>
      </c>
      <c r="L53" s="50">
        <v>2</v>
      </c>
      <c r="M53" s="50">
        <v>42</v>
      </c>
      <c r="N53" s="50">
        <v>0</v>
      </c>
      <c r="O53" s="15">
        <f t="shared" si="0"/>
        <v>26</v>
      </c>
      <c r="P53" s="15">
        <f t="shared" si="1"/>
        <v>68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2</v>
      </c>
      <c r="E54" s="50">
        <v>1</v>
      </c>
      <c r="F54" s="50">
        <v>4</v>
      </c>
      <c r="G54" s="50">
        <v>0</v>
      </c>
      <c r="H54" s="50">
        <v>1</v>
      </c>
      <c r="I54" s="50">
        <v>3</v>
      </c>
      <c r="J54" s="50">
        <v>1</v>
      </c>
      <c r="K54" s="50">
        <v>0</v>
      </c>
      <c r="L54" s="50">
        <v>3</v>
      </c>
      <c r="M54" s="50">
        <v>66</v>
      </c>
      <c r="N54" s="50">
        <v>0</v>
      </c>
      <c r="O54" s="15">
        <f t="shared" si="0"/>
        <v>21</v>
      </c>
      <c r="P54" s="15">
        <f t="shared" si="1"/>
        <v>87</v>
      </c>
      <c r="R54" s="8"/>
      <c r="T54"/>
    </row>
    <row r="55" spans="2:20" ht="23.1" customHeight="1" x14ac:dyDescent="0.25">
      <c r="B55" s="45" t="s">
        <v>82</v>
      </c>
      <c r="C55" s="50">
        <v>5</v>
      </c>
      <c r="D55" s="50">
        <v>5</v>
      </c>
      <c r="E55" s="50">
        <v>0</v>
      </c>
      <c r="F55" s="50">
        <v>15</v>
      </c>
      <c r="G55" s="50">
        <v>0</v>
      </c>
      <c r="H55" s="50">
        <v>0</v>
      </c>
      <c r="I55" s="50">
        <v>1</v>
      </c>
      <c r="J55" s="50">
        <v>4</v>
      </c>
      <c r="K55" s="50">
        <v>0</v>
      </c>
      <c r="L55" s="50">
        <v>1</v>
      </c>
      <c r="M55" s="50">
        <v>47</v>
      </c>
      <c r="N55" s="50">
        <v>0</v>
      </c>
      <c r="O55" s="15">
        <f t="shared" si="0"/>
        <v>31</v>
      </c>
      <c r="P55" s="15">
        <f t="shared" si="1"/>
        <v>78</v>
      </c>
      <c r="R55" s="8"/>
      <c r="T55"/>
    </row>
    <row r="56" spans="2:20" ht="23.1" customHeight="1" x14ac:dyDescent="0.25">
      <c r="B56" s="45" t="s">
        <v>83</v>
      </c>
      <c r="C56" s="50">
        <v>8</v>
      </c>
      <c r="D56" s="50">
        <v>3</v>
      </c>
      <c r="E56" s="50">
        <v>0</v>
      </c>
      <c r="F56" s="50">
        <v>5</v>
      </c>
      <c r="G56" s="50">
        <v>0</v>
      </c>
      <c r="H56" s="50">
        <v>0</v>
      </c>
      <c r="I56" s="50">
        <v>1</v>
      </c>
      <c r="J56" s="50">
        <v>1</v>
      </c>
      <c r="K56" s="50">
        <v>1</v>
      </c>
      <c r="L56" s="50">
        <v>1</v>
      </c>
      <c r="M56" s="50">
        <v>42</v>
      </c>
      <c r="N56" s="50">
        <v>0</v>
      </c>
      <c r="O56" s="15">
        <f t="shared" si="0"/>
        <v>20</v>
      </c>
      <c r="P56" s="15">
        <f t="shared" si="1"/>
        <v>62</v>
      </c>
      <c r="R56" s="8"/>
      <c r="T56"/>
    </row>
    <row r="57" spans="2:20" ht="23.1" customHeight="1" x14ac:dyDescent="0.25">
      <c r="B57" s="45" t="s">
        <v>84</v>
      </c>
      <c r="C57" s="50">
        <v>9</v>
      </c>
      <c r="D57" s="50">
        <v>8</v>
      </c>
      <c r="E57" s="50">
        <v>2</v>
      </c>
      <c r="F57" s="50">
        <v>9</v>
      </c>
      <c r="G57" s="50">
        <v>0</v>
      </c>
      <c r="H57" s="50">
        <v>0</v>
      </c>
      <c r="I57" s="50">
        <v>4</v>
      </c>
      <c r="J57" s="50">
        <v>5</v>
      </c>
      <c r="K57" s="50">
        <v>0</v>
      </c>
      <c r="L57" s="50">
        <v>1</v>
      </c>
      <c r="M57" s="50">
        <v>54</v>
      </c>
      <c r="N57" s="50">
        <v>0</v>
      </c>
      <c r="O57" s="15">
        <f t="shared" si="0"/>
        <v>38</v>
      </c>
      <c r="P57" s="15">
        <f t="shared" si="1"/>
        <v>92</v>
      </c>
      <c r="R57" s="8"/>
      <c r="T57"/>
    </row>
    <row r="58" spans="2:20" ht="23.1" customHeight="1" x14ac:dyDescent="0.25">
      <c r="B58" s="45" t="s">
        <v>99</v>
      </c>
      <c r="C58" s="50">
        <v>5</v>
      </c>
      <c r="D58" s="50">
        <v>6</v>
      </c>
      <c r="E58" s="50">
        <v>3</v>
      </c>
      <c r="F58" s="50">
        <v>6</v>
      </c>
      <c r="G58" s="50">
        <v>0</v>
      </c>
      <c r="H58" s="50">
        <v>0</v>
      </c>
      <c r="I58" s="50">
        <v>3</v>
      </c>
      <c r="J58" s="50">
        <v>1</v>
      </c>
      <c r="K58" s="50">
        <v>0</v>
      </c>
      <c r="L58" s="50">
        <v>1</v>
      </c>
      <c r="M58" s="50">
        <v>44</v>
      </c>
      <c r="N58" s="50">
        <v>0</v>
      </c>
      <c r="O58" s="15">
        <f t="shared" si="0"/>
        <v>25</v>
      </c>
      <c r="P58" s="15">
        <f t="shared" si="1"/>
        <v>69</v>
      </c>
      <c r="R58" s="8"/>
      <c r="T58"/>
    </row>
    <row r="59" spans="2:20" ht="23.1" customHeight="1" x14ac:dyDescent="0.25">
      <c r="B59" s="45" t="s">
        <v>100</v>
      </c>
      <c r="C59" s="50">
        <v>16</v>
      </c>
      <c r="D59" s="50">
        <v>1</v>
      </c>
      <c r="E59" s="50">
        <v>2</v>
      </c>
      <c r="F59" s="50">
        <v>8</v>
      </c>
      <c r="G59" s="50">
        <v>0</v>
      </c>
      <c r="H59" s="50">
        <v>2</v>
      </c>
      <c r="I59" s="50">
        <v>3</v>
      </c>
      <c r="J59" s="50">
        <v>0</v>
      </c>
      <c r="K59" s="50">
        <v>2</v>
      </c>
      <c r="L59" s="50">
        <v>0</v>
      </c>
      <c r="M59" s="50">
        <v>44</v>
      </c>
      <c r="N59" s="50">
        <v>0</v>
      </c>
      <c r="O59" s="15">
        <f t="shared" si="0"/>
        <v>34</v>
      </c>
      <c r="P59" s="15">
        <f t="shared" si="1"/>
        <v>78</v>
      </c>
      <c r="R59" s="8"/>
      <c r="T59"/>
    </row>
    <row r="60" spans="2:20" ht="23.1" customHeight="1" x14ac:dyDescent="0.25">
      <c r="B60" s="45" t="s">
        <v>101</v>
      </c>
      <c r="C60" s="50">
        <v>12</v>
      </c>
      <c r="D60" s="50">
        <v>0</v>
      </c>
      <c r="E60" s="50">
        <v>2</v>
      </c>
      <c r="F60" s="50">
        <v>8</v>
      </c>
      <c r="G60" s="50">
        <v>0</v>
      </c>
      <c r="H60" s="50">
        <v>1</v>
      </c>
      <c r="I60" s="50">
        <v>4</v>
      </c>
      <c r="J60" s="50">
        <v>2</v>
      </c>
      <c r="K60" s="50">
        <v>1</v>
      </c>
      <c r="L60" s="50">
        <v>2</v>
      </c>
      <c r="M60" s="50">
        <v>43</v>
      </c>
      <c r="N60" s="50">
        <v>0</v>
      </c>
      <c r="O60" s="15">
        <f t="shared" si="0"/>
        <v>32</v>
      </c>
      <c r="P60" s="15">
        <f t="shared" si="1"/>
        <v>75</v>
      </c>
      <c r="R60" s="8"/>
      <c r="T60"/>
    </row>
    <row r="61" spans="2:20" ht="23.1" customHeight="1" x14ac:dyDescent="0.25">
      <c r="B61" s="45" t="s">
        <v>102</v>
      </c>
      <c r="C61" s="50">
        <v>10</v>
      </c>
      <c r="D61" s="50">
        <v>2</v>
      </c>
      <c r="E61" s="50">
        <v>1</v>
      </c>
      <c r="F61" s="50">
        <v>5</v>
      </c>
      <c r="G61" s="50">
        <v>0</v>
      </c>
      <c r="H61" s="50">
        <v>0</v>
      </c>
      <c r="I61" s="50">
        <v>5</v>
      </c>
      <c r="J61" s="50">
        <v>0</v>
      </c>
      <c r="K61" s="50">
        <v>1</v>
      </c>
      <c r="L61" s="50">
        <v>0</v>
      </c>
      <c r="M61" s="50">
        <v>33</v>
      </c>
      <c r="N61" s="50">
        <v>0</v>
      </c>
      <c r="O61" s="15">
        <f t="shared" si="0"/>
        <v>24</v>
      </c>
      <c r="P61" s="15">
        <f t="shared" si="1"/>
        <v>57</v>
      </c>
      <c r="R61" s="8"/>
      <c r="T61"/>
    </row>
    <row r="62" spans="2:20" ht="23.1" customHeight="1" x14ac:dyDescent="0.25">
      <c r="B62" s="45" t="s">
        <v>107</v>
      </c>
      <c r="C62" s="50">
        <v>7</v>
      </c>
      <c r="D62" s="50">
        <v>4</v>
      </c>
      <c r="E62" s="50">
        <v>2</v>
      </c>
      <c r="F62" s="50">
        <v>8</v>
      </c>
      <c r="G62" s="50">
        <v>0</v>
      </c>
      <c r="H62" s="50">
        <v>1</v>
      </c>
      <c r="I62" s="50">
        <v>4</v>
      </c>
      <c r="J62" s="50">
        <v>1</v>
      </c>
      <c r="K62" s="50">
        <v>5</v>
      </c>
      <c r="L62" s="50">
        <v>1</v>
      </c>
      <c r="M62" s="50">
        <v>27</v>
      </c>
      <c r="N62" s="50">
        <v>0</v>
      </c>
      <c r="O62" s="15">
        <f t="shared" si="0"/>
        <v>33</v>
      </c>
      <c r="P62" s="15">
        <f t="shared" si="1"/>
        <v>60</v>
      </c>
      <c r="R62" s="8"/>
      <c r="T62"/>
    </row>
    <row r="63" spans="2:20" ht="23.1" customHeight="1" x14ac:dyDescent="0.25">
      <c r="B63" s="45" t="s">
        <v>108</v>
      </c>
      <c r="C63" s="50">
        <v>9</v>
      </c>
      <c r="D63" s="50">
        <v>2</v>
      </c>
      <c r="E63" s="50">
        <v>0</v>
      </c>
      <c r="F63" s="50">
        <v>6</v>
      </c>
      <c r="G63" s="50">
        <v>1</v>
      </c>
      <c r="H63" s="50">
        <v>0</v>
      </c>
      <c r="I63" s="50">
        <v>5</v>
      </c>
      <c r="J63" s="50">
        <v>4</v>
      </c>
      <c r="K63" s="50">
        <v>6</v>
      </c>
      <c r="L63" s="50">
        <v>0</v>
      </c>
      <c r="M63" s="50">
        <v>35</v>
      </c>
      <c r="N63" s="50">
        <v>0</v>
      </c>
      <c r="O63" s="15">
        <f t="shared" si="0"/>
        <v>33</v>
      </c>
      <c r="P63" s="15">
        <f t="shared" si="1"/>
        <v>68</v>
      </c>
      <c r="R63" s="8"/>
      <c r="T63"/>
    </row>
    <row r="64" spans="2:20" ht="23.1" customHeight="1" x14ac:dyDescent="0.25">
      <c r="B64" s="45" t="s">
        <v>109</v>
      </c>
      <c r="C64" s="50">
        <v>9</v>
      </c>
      <c r="D64" s="50">
        <v>3</v>
      </c>
      <c r="E64" s="50">
        <v>3</v>
      </c>
      <c r="F64" s="50">
        <v>6</v>
      </c>
      <c r="G64" s="50">
        <v>0</v>
      </c>
      <c r="H64" s="50">
        <v>1</v>
      </c>
      <c r="I64" s="50">
        <v>1</v>
      </c>
      <c r="J64" s="50">
        <v>1</v>
      </c>
      <c r="K64" s="50">
        <v>4</v>
      </c>
      <c r="L64" s="50">
        <v>1</v>
      </c>
      <c r="M64" s="50">
        <v>25</v>
      </c>
      <c r="N64" s="50">
        <v>0</v>
      </c>
      <c r="O64" s="15">
        <f t="shared" si="0"/>
        <v>29</v>
      </c>
      <c r="P64" s="15">
        <f t="shared" si="1"/>
        <v>54</v>
      </c>
      <c r="R64" s="8"/>
      <c r="T64"/>
    </row>
    <row r="65" spans="2:20" ht="23.1" customHeight="1" x14ac:dyDescent="0.25">
      <c r="B65" s="45" t="s">
        <v>158</v>
      </c>
      <c r="C65" s="50">
        <v>9</v>
      </c>
      <c r="D65" s="50">
        <v>2</v>
      </c>
      <c r="E65" s="50">
        <v>2</v>
      </c>
      <c r="F65" s="50">
        <v>5</v>
      </c>
      <c r="G65" s="50">
        <v>1</v>
      </c>
      <c r="H65" s="50">
        <v>0</v>
      </c>
      <c r="I65" s="50">
        <v>10</v>
      </c>
      <c r="J65" s="50">
        <v>3</v>
      </c>
      <c r="K65" s="50">
        <v>1</v>
      </c>
      <c r="L65" s="50">
        <v>2</v>
      </c>
      <c r="M65" s="50">
        <v>13</v>
      </c>
      <c r="N65" s="50">
        <v>0</v>
      </c>
      <c r="O65" s="15">
        <f t="shared" si="0"/>
        <v>35</v>
      </c>
      <c r="P65" s="15">
        <f t="shared" si="1"/>
        <v>48</v>
      </c>
      <c r="R65" s="8"/>
      <c r="T65"/>
    </row>
    <row r="66" spans="2:20" ht="23.1" customHeight="1" x14ac:dyDescent="0.25">
      <c r="B66" s="45" t="s">
        <v>103</v>
      </c>
      <c r="C66" s="50">
        <v>9</v>
      </c>
      <c r="D66" s="50">
        <v>2</v>
      </c>
      <c r="E66" s="50">
        <v>1</v>
      </c>
      <c r="F66" s="50">
        <v>4</v>
      </c>
      <c r="G66" s="50">
        <v>0</v>
      </c>
      <c r="H66" s="50">
        <v>0</v>
      </c>
      <c r="I66" s="50">
        <v>4</v>
      </c>
      <c r="J66" s="50">
        <v>9</v>
      </c>
      <c r="K66" s="50">
        <v>0</v>
      </c>
      <c r="L66" s="50">
        <v>0</v>
      </c>
      <c r="M66" s="50">
        <v>17</v>
      </c>
      <c r="N66" s="50">
        <v>0</v>
      </c>
      <c r="O66" s="15">
        <f t="shared" si="0"/>
        <v>29</v>
      </c>
      <c r="P66" s="15">
        <f t="shared" si="1"/>
        <v>46</v>
      </c>
      <c r="R66" s="8"/>
      <c r="T66"/>
    </row>
    <row r="67" spans="2:20" ht="23.1" customHeight="1" x14ac:dyDescent="0.25">
      <c r="B67" s="45" t="s">
        <v>104</v>
      </c>
      <c r="C67" s="50">
        <v>15</v>
      </c>
      <c r="D67" s="50">
        <v>2</v>
      </c>
      <c r="E67" s="50">
        <v>3</v>
      </c>
      <c r="F67" s="50">
        <v>17</v>
      </c>
      <c r="G67" s="50">
        <v>0</v>
      </c>
      <c r="H67" s="50">
        <v>0</v>
      </c>
      <c r="I67" s="50">
        <v>3</v>
      </c>
      <c r="J67" s="50">
        <v>2</v>
      </c>
      <c r="K67" s="50">
        <v>5</v>
      </c>
      <c r="L67" s="50">
        <v>0</v>
      </c>
      <c r="M67" s="50">
        <v>23</v>
      </c>
      <c r="N67" s="50">
        <v>0</v>
      </c>
      <c r="O67" s="15">
        <f t="shared" si="0"/>
        <v>47</v>
      </c>
      <c r="P67" s="15">
        <f t="shared" si="1"/>
        <v>70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1</v>
      </c>
      <c r="E68" s="50">
        <v>2</v>
      </c>
      <c r="F68" s="50">
        <v>2</v>
      </c>
      <c r="G68" s="50">
        <v>0</v>
      </c>
      <c r="H68" s="50">
        <v>0</v>
      </c>
      <c r="I68" s="50">
        <v>3</v>
      </c>
      <c r="J68" s="50">
        <v>0</v>
      </c>
      <c r="K68" s="50">
        <v>0</v>
      </c>
      <c r="L68" s="50">
        <v>2</v>
      </c>
      <c r="M68" s="50">
        <v>11</v>
      </c>
      <c r="N68" s="50">
        <v>0</v>
      </c>
      <c r="O68" s="15">
        <f t="shared" si="0"/>
        <v>13</v>
      </c>
      <c r="P68" s="15">
        <f t="shared" si="1"/>
        <v>24</v>
      </c>
      <c r="R68" s="8"/>
      <c r="T68"/>
    </row>
    <row r="69" spans="2:20" ht="23.1" customHeight="1" x14ac:dyDescent="0.25">
      <c r="B69" s="45" t="s">
        <v>106</v>
      </c>
      <c r="C69" s="50">
        <v>9</v>
      </c>
      <c r="D69" s="50">
        <v>0</v>
      </c>
      <c r="E69" s="50">
        <v>2</v>
      </c>
      <c r="F69" s="50">
        <v>8</v>
      </c>
      <c r="G69" s="50">
        <v>0</v>
      </c>
      <c r="H69" s="50">
        <v>0</v>
      </c>
      <c r="I69" s="50">
        <v>6</v>
      </c>
      <c r="J69" s="50">
        <v>11</v>
      </c>
      <c r="K69" s="50">
        <v>5</v>
      </c>
      <c r="L69" s="50">
        <v>4</v>
      </c>
      <c r="M69" s="50">
        <v>27</v>
      </c>
      <c r="N69" s="50">
        <v>0</v>
      </c>
      <c r="O69" s="15">
        <f t="shared" si="0"/>
        <v>45</v>
      </c>
      <c r="P69" s="15">
        <f t="shared" si="1"/>
        <v>72</v>
      </c>
      <c r="R69" s="8"/>
      <c r="T69"/>
    </row>
    <row r="70" spans="2:20" ht="23.1" customHeight="1" x14ac:dyDescent="0.25">
      <c r="B70" s="45" t="s">
        <v>110</v>
      </c>
      <c r="C70" s="50">
        <v>7</v>
      </c>
      <c r="D70" s="50">
        <v>3</v>
      </c>
      <c r="E70" s="50">
        <v>1</v>
      </c>
      <c r="F70" s="50">
        <v>5</v>
      </c>
      <c r="G70" s="50">
        <v>1</v>
      </c>
      <c r="H70" s="50">
        <v>0</v>
      </c>
      <c r="I70" s="50">
        <v>6</v>
      </c>
      <c r="J70" s="50">
        <v>3</v>
      </c>
      <c r="K70" s="50">
        <v>1</v>
      </c>
      <c r="L70" s="50">
        <v>0</v>
      </c>
      <c r="M70" s="50">
        <v>10</v>
      </c>
      <c r="N70" s="50">
        <v>0</v>
      </c>
      <c r="O70" s="15">
        <f t="shared" si="0"/>
        <v>27</v>
      </c>
      <c r="P70" s="15">
        <f t="shared" si="1"/>
        <v>37</v>
      </c>
      <c r="R70" s="8"/>
      <c r="T70"/>
    </row>
    <row r="71" spans="2:20" ht="23.1" customHeight="1" x14ac:dyDescent="0.25">
      <c r="B71" s="45" t="s">
        <v>111</v>
      </c>
      <c r="C71" s="50">
        <v>4</v>
      </c>
      <c r="D71" s="50">
        <v>1</v>
      </c>
      <c r="E71" s="50">
        <v>2</v>
      </c>
      <c r="F71" s="50">
        <v>2</v>
      </c>
      <c r="G71" s="50">
        <v>0</v>
      </c>
      <c r="H71" s="50">
        <v>1</v>
      </c>
      <c r="I71" s="50">
        <v>5</v>
      </c>
      <c r="J71" s="50">
        <v>4</v>
      </c>
      <c r="K71" s="50">
        <v>1</v>
      </c>
      <c r="L71" s="50">
        <v>0</v>
      </c>
      <c r="M71" s="50">
        <v>7</v>
      </c>
      <c r="N71" s="50">
        <v>0</v>
      </c>
      <c r="O71" s="15">
        <f t="shared" si="0"/>
        <v>20</v>
      </c>
      <c r="P71" s="15">
        <f t="shared" si="1"/>
        <v>27</v>
      </c>
      <c r="R71" s="8"/>
      <c r="T71"/>
    </row>
    <row r="72" spans="2:20" ht="23.1" customHeight="1" x14ac:dyDescent="0.25">
      <c r="B72" s="45" t="s">
        <v>112</v>
      </c>
      <c r="C72" s="50">
        <v>4</v>
      </c>
      <c r="D72" s="50">
        <v>0</v>
      </c>
      <c r="E72" s="50">
        <v>0</v>
      </c>
      <c r="F72" s="50">
        <v>1</v>
      </c>
      <c r="G72" s="50">
        <v>1</v>
      </c>
      <c r="H72" s="50">
        <v>0</v>
      </c>
      <c r="I72" s="50">
        <v>1</v>
      </c>
      <c r="J72" s="50">
        <v>0</v>
      </c>
      <c r="K72" s="50">
        <v>1</v>
      </c>
      <c r="L72" s="50">
        <v>2</v>
      </c>
      <c r="M72" s="50">
        <v>8</v>
      </c>
      <c r="N72" s="50">
        <v>0</v>
      </c>
      <c r="O72" s="15">
        <f t="shared" si="0"/>
        <v>10</v>
      </c>
      <c r="P72" s="15">
        <f t="shared" si="1"/>
        <v>18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5</v>
      </c>
      <c r="G73" s="50">
        <v>0</v>
      </c>
      <c r="H73" s="50">
        <v>0</v>
      </c>
      <c r="I73" s="50">
        <v>3</v>
      </c>
      <c r="J73" s="50">
        <v>4</v>
      </c>
      <c r="K73" s="50">
        <v>0</v>
      </c>
      <c r="L73" s="50">
        <v>0</v>
      </c>
      <c r="M73" s="50">
        <v>7</v>
      </c>
      <c r="N73" s="50">
        <v>0</v>
      </c>
      <c r="O73" s="15">
        <f t="shared" si="0"/>
        <v>13</v>
      </c>
      <c r="P73" s="15">
        <f t="shared" si="1"/>
        <v>20</v>
      </c>
      <c r="R73" s="8"/>
      <c r="T73"/>
    </row>
    <row r="74" spans="2:20" ht="23.1" customHeight="1" x14ac:dyDescent="0.25">
      <c r="B74" s="45" t="s">
        <v>114</v>
      </c>
      <c r="C74" s="50">
        <v>6</v>
      </c>
      <c r="D74" s="50">
        <v>0</v>
      </c>
      <c r="E74" s="50">
        <v>0</v>
      </c>
      <c r="F74" s="50">
        <v>3</v>
      </c>
      <c r="G74" s="50">
        <v>0</v>
      </c>
      <c r="H74" s="50">
        <v>0</v>
      </c>
      <c r="I74" s="50">
        <v>2</v>
      </c>
      <c r="J74" s="50">
        <v>1</v>
      </c>
      <c r="K74" s="50">
        <v>0</v>
      </c>
      <c r="L74" s="50">
        <v>3</v>
      </c>
      <c r="M74" s="50">
        <v>11</v>
      </c>
      <c r="N74" s="50">
        <v>0</v>
      </c>
      <c r="O74" s="15">
        <f t="shared" ref="O74:O105" si="35">SUM(C74:L74,N74)</f>
        <v>15</v>
      </c>
      <c r="P74" s="15">
        <f t="shared" ref="P74:P105" si="36">SUM(C74:N74)</f>
        <v>26</v>
      </c>
      <c r="R74" s="8"/>
      <c r="T74"/>
    </row>
    <row r="75" spans="2:20" ht="23.1" customHeight="1" x14ac:dyDescent="0.25">
      <c r="B75" s="45" t="s">
        <v>115</v>
      </c>
      <c r="C75" s="50">
        <v>4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5</v>
      </c>
      <c r="J75" s="50">
        <v>2</v>
      </c>
      <c r="K75" s="50">
        <v>2</v>
      </c>
      <c r="L75" s="50">
        <v>1</v>
      </c>
      <c r="M75" s="50">
        <v>6</v>
      </c>
      <c r="N75" s="50">
        <v>0</v>
      </c>
      <c r="O75" s="15">
        <f t="shared" si="35"/>
        <v>14</v>
      </c>
      <c r="P75" s="15">
        <f t="shared" si="36"/>
        <v>20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1</v>
      </c>
      <c r="E76" s="50">
        <v>0</v>
      </c>
      <c r="F76" s="50">
        <v>2</v>
      </c>
      <c r="G76" s="50">
        <v>0</v>
      </c>
      <c r="H76" s="50">
        <v>0</v>
      </c>
      <c r="I76" s="50">
        <v>2</v>
      </c>
      <c r="J76" s="50">
        <v>1</v>
      </c>
      <c r="K76" s="50">
        <v>1</v>
      </c>
      <c r="L76" s="50">
        <v>1</v>
      </c>
      <c r="M76" s="50">
        <v>1</v>
      </c>
      <c r="N76" s="50">
        <v>0</v>
      </c>
      <c r="O76" s="15">
        <f t="shared" si="35"/>
        <v>11</v>
      </c>
      <c r="P76" s="15">
        <f t="shared" si="36"/>
        <v>12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1</v>
      </c>
      <c r="E77" s="50">
        <v>0</v>
      </c>
      <c r="F77" s="50">
        <v>1</v>
      </c>
      <c r="G77" s="50">
        <v>0</v>
      </c>
      <c r="H77" s="50">
        <v>0</v>
      </c>
      <c r="I77" s="50">
        <v>2</v>
      </c>
      <c r="J77" s="50">
        <v>3</v>
      </c>
      <c r="K77" s="50">
        <v>1</v>
      </c>
      <c r="L77" s="50">
        <v>1</v>
      </c>
      <c r="M77" s="50">
        <v>1</v>
      </c>
      <c r="N77" s="50">
        <v>0</v>
      </c>
      <c r="O77" s="15">
        <f t="shared" si="35"/>
        <v>12</v>
      </c>
      <c r="P77" s="15">
        <f t="shared" si="36"/>
        <v>13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2</v>
      </c>
      <c r="J78" s="50">
        <v>5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9</v>
      </c>
      <c r="P78" s="15">
        <f t="shared" si="36"/>
        <v>11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1</v>
      </c>
      <c r="G79" s="50">
        <v>0</v>
      </c>
      <c r="H79" s="50">
        <v>1</v>
      </c>
      <c r="I79" s="50">
        <v>0</v>
      </c>
      <c r="J79" s="50">
        <v>2</v>
      </c>
      <c r="K79" s="50">
        <v>2</v>
      </c>
      <c r="L79" s="50">
        <v>0</v>
      </c>
      <c r="M79" s="50">
        <v>2</v>
      </c>
      <c r="N79" s="50">
        <v>0</v>
      </c>
      <c r="O79" s="15">
        <f t="shared" si="35"/>
        <v>6</v>
      </c>
      <c r="P79" s="15">
        <f t="shared" si="36"/>
        <v>8</v>
      </c>
      <c r="R79" s="8"/>
      <c r="T79"/>
    </row>
    <row r="80" spans="2:20" ht="23.1" customHeight="1" x14ac:dyDescent="0.25">
      <c r="B80" s="47" t="s">
        <v>120</v>
      </c>
      <c r="C80" s="50">
        <v>4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4</v>
      </c>
      <c r="J80" s="50">
        <v>2</v>
      </c>
      <c r="K80" s="50">
        <v>1</v>
      </c>
      <c r="L80" s="50">
        <v>0</v>
      </c>
      <c r="M80" s="50">
        <v>4</v>
      </c>
      <c r="N80" s="50">
        <v>0</v>
      </c>
      <c r="O80" s="15">
        <f t="shared" si="35"/>
        <v>11</v>
      </c>
      <c r="P80" s="15">
        <f t="shared" si="36"/>
        <v>15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1</v>
      </c>
      <c r="F81" s="50">
        <v>0</v>
      </c>
      <c r="G81" s="50">
        <v>1</v>
      </c>
      <c r="H81" s="50">
        <v>0</v>
      </c>
      <c r="I81" s="50">
        <v>3</v>
      </c>
      <c r="J81" s="50">
        <v>2</v>
      </c>
      <c r="K81" s="50">
        <v>1</v>
      </c>
      <c r="L81" s="50">
        <v>0</v>
      </c>
      <c r="M81" s="50">
        <v>0</v>
      </c>
      <c r="N81" s="50">
        <v>0</v>
      </c>
      <c r="O81" s="15">
        <f t="shared" si="35"/>
        <v>9</v>
      </c>
      <c r="P81" s="15">
        <f t="shared" si="36"/>
        <v>9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0</v>
      </c>
      <c r="H82" s="50">
        <v>1</v>
      </c>
      <c r="I82" s="50">
        <v>4</v>
      </c>
      <c r="J82" s="50">
        <v>3</v>
      </c>
      <c r="K82" s="50">
        <v>3</v>
      </c>
      <c r="L82" s="50">
        <v>3</v>
      </c>
      <c r="M82" s="50">
        <v>0</v>
      </c>
      <c r="N82" s="50">
        <v>0</v>
      </c>
      <c r="O82" s="15">
        <f t="shared" si="35"/>
        <v>15</v>
      </c>
      <c r="P82" s="15">
        <f t="shared" si="36"/>
        <v>15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3</v>
      </c>
      <c r="J83" s="50">
        <v>1</v>
      </c>
      <c r="K83" s="50">
        <v>0</v>
      </c>
      <c r="L83" s="50">
        <v>3</v>
      </c>
      <c r="M83" s="50">
        <v>2</v>
      </c>
      <c r="N83" s="50">
        <v>0</v>
      </c>
      <c r="O83" s="15">
        <f t="shared" si="35"/>
        <v>9</v>
      </c>
      <c r="P83" s="15">
        <f t="shared" si="36"/>
        <v>11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1</v>
      </c>
      <c r="F84" s="50">
        <v>0</v>
      </c>
      <c r="G84" s="50">
        <v>1</v>
      </c>
      <c r="H84" s="50">
        <v>0</v>
      </c>
      <c r="I84" s="50">
        <v>1</v>
      </c>
      <c r="J84" s="50">
        <v>5</v>
      </c>
      <c r="K84" s="50">
        <v>0</v>
      </c>
      <c r="L84" s="50">
        <v>2</v>
      </c>
      <c r="M84" s="50">
        <v>1</v>
      </c>
      <c r="N84" s="50">
        <v>0</v>
      </c>
      <c r="O84" s="15">
        <f t="shared" si="35"/>
        <v>10</v>
      </c>
      <c r="P84" s="15">
        <f t="shared" si="36"/>
        <v>11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4</v>
      </c>
      <c r="J85" s="50">
        <v>3</v>
      </c>
      <c r="K85" s="50">
        <v>2</v>
      </c>
      <c r="L85" s="50">
        <v>0</v>
      </c>
      <c r="M85" s="50">
        <v>1</v>
      </c>
      <c r="N85" s="50">
        <v>0</v>
      </c>
      <c r="O85" s="15">
        <f t="shared" si="35"/>
        <v>9</v>
      </c>
      <c r="P85" s="15">
        <f t="shared" si="36"/>
        <v>10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6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9</v>
      </c>
      <c r="P86" s="15">
        <f t="shared" si="36"/>
        <v>9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2</v>
      </c>
      <c r="J87" s="50">
        <v>8</v>
      </c>
      <c r="K87" s="50">
        <v>1</v>
      </c>
      <c r="L87" s="50">
        <v>1</v>
      </c>
      <c r="M87" s="50">
        <v>11</v>
      </c>
      <c r="N87" s="50">
        <v>0</v>
      </c>
      <c r="O87" s="15">
        <f t="shared" si="35"/>
        <v>12</v>
      </c>
      <c r="P87" s="15">
        <f t="shared" si="36"/>
        <v>23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3</v>
      </c>
      <c r="K88" s="50">
        <v>1</v>
      </c>
      <c r="L88" s="50">
        <v>0</v>
      </c>
      <c r="M88" s="50">
        <v>1</v>
      </c>
      <c r="N88" s="50">
        <v>0</v>
      </c>
      <c r="O88" s="15">
        <f t="shared" si="35"/>
        <v>5</v>
      </c>
      <c r="P88" s="15">
        <f t="shared" si="36"/>
        <v>6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1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1</v>
      </c>
      <c r="F90" s="50">
        <v>0</v>
      </c>
      <c r="G90" s="50">
        <v>0</v>
      </c>
      <c r="H90" s="50">
        <v>1</v>
      </c>
      <c r="I90" s="50">
        <v>1</v>
      </c>
      <c r="J90" s="50">
        <v>1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5</v>
      </c>
      <c r="P90" s="15">
        <f t="shared" si="36"/>
        <v>6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1</v>
      </c>
      <c r="H91" s="50">
        <v>1</v>
      </c>
      <c r="I91" s="50">
        <v>0</v>
      </c>
      <c r="J91" s="50">
        <v>2</v>
      </c>
      <c r="K91" s="50">
        <v>1</v>
      </c>
      <c r="L91" s="50">
        <v>0</v>
      </c>
      <c r="M91" s="50">
        <v>4</v>
      </c>
      <c r="N91" s="50">
        <v>0</v>
      </c>
      <c r="O91" s="15">
        <f t="shared" si="35"/>
        <v>5</v>
      </c>
      <c r="P91" s="15">
        <f t="shared" si="36"/>
        <v>9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1</v>
      </c>
      <c r="I92" s="50">
        <v>1</v>
      </c>
      <c r="J92" s="50">
        <v>3</v>
      </c>
      <c r="K92" s="50">
        <v>2</v>
      </c>
      <c r="L92" s="50">
        <v>0</v>
      </c>
      <c r="M92" s="50">
        <v>4</v>
      </c>
      <c r="N92" s="50">
        <v>0</v>
      </c>
      <c r="O92" s="15">
        <f t="shared" si="35"/>
        <v>7</v>
      </c>
      <c r="P92" s="15">
        <f t="shared" si="36"/>
        <v>11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2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2</v>
      </c>
      <c r="K94" s="50">
        <v>1</v>
      </c>
      <c r="L94" s="50">
        <v>0</v>
      </c>
      <c r="M94" s="50">
        <v>0</v>
      </c>
      <c r="N94" s="50">
        <v>0</v>
      </c>
      <c r="O94" s="15">
        <f t="shared" si="35"/>
        <v>4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1</v>
      </c>
      <c r="H95" s="50">
        <v>0</v>
      </c>
      <c r="I95" s="50">
        <v>1</v>
      </c>
      <c r="J95" s="50">
        <v>1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4</v>
      </c>
      <c r="P95" s="15">
        <f t="shared" si="36"/>
        <v>5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1</v>
      </c>
      <c r="J96" s="50">
        <v>4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7</v>
      </c>
      <c r="P96" s="15">
        <f t="shared" si="36"/>
        <v>7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5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7</v>
      </c>
      <c r="P97" s="15">
        <f t="shared" si="36"/>
        <v>8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1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3</v>
      </c>
      <c r="K99" s="50">
        <v>0</v>
      </c>
      <c r="L99" s="50">
        <v>3</v>
      </c>
      <c r="M99" s="50">
        <v>0</v>
      </c>
      <c r="N99" s="50">
        <v>0</v>
      </c>
      <c r="O99" s="15">
        <f t="shared" si="35"/>
        <v>7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1</v>
      </c>
      <c r="G100" s="50">
        <v>0</v>
      </c>
      <c r="H100" s="50">
        <v>0</v>
      </c>
      <c r="I100" s="50">
        <v>2</v>
      </c>
      <c r="J100" s="50">
        <v>1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5</v>
      </c>
      <c r="P100" s="15">
        <f t="shared" si="36"/>
        <v>5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2</v>
      </c>
      <c r="E101" s="50">
        <v>0</v>
      </c>
      <c r="F101" s="50">
        <v>2</v>
      </c>
      <c r="G101" s="50">
        <v>0</v>
      </c>
      <c r="H101" s="50">
        <v>0</v>
      </c>
      <c r="I101" s="50">
        <v>0</v>
      </c>
      <c r="J101" s="50">
        <v>0</v>
      </c>
      <c r="K101" s="50">
        <v>1</v>
      </c>
      <c r="L101" s="50">
        <v>0</v>
      </c>
      <c r="M101" s="50">
        <v>2</v>
      </c>
      <c r="N101" s="50">
        <v>0</v>
      </c>
      <c r="O101" s="15">
        <f t="shared" si="35"/>
        <v>6</v>
      </c>
      <c r="P101" s="15">
        <f t="shared" si="36"/>
        <v>8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2</v>
      </c>
      <c r="L102" s="50">
        <v>0</v>
      </c>
      <c r="M102" s="50">
        <v>0</v>
      </c>
      <c r="N102" s="50">
        <v>0</v>
      </c>
      <c r="O102" s="15">
        <f t="shared" si="35"/>
        <v>4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2</v>
      </c>
      <c r="F103" s="50">
        <v>2</v>
      </c>
      <c r="G103" s="50">
        <v>0</v>
      </c>
      <c r="H103" s="50">
        <v>0</v>
      </c>
      <c r="I103" s="50">
        <v>0</v>
      </c>
      <c r="J103" s="50">
        <v>2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8</v>
      </c>
      <c r="P103" s="15">
        <f t="shared" si="36"/>
        <v>13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1</v>
      </c>
      <c r="F104" s="50">
        <v>4</v>
      </c>
      <c r="G104" s="50">
        <v>0</v>
      </c>
      <c r="H104" s="50">
        <v>0</v>
      </c>
      <c r="I104" s="50">
        <v>0</v>
      </c>
      <c r="J104" s="50">
        <v>1</v>
      </c>
      <c r="K104" s="50">
        <v>0</v>
      </c>
      <c r="L104" s="50">
        <v>0</v>
      </c>
      <c r="M104" s="50">
        <v>8</v>
      </c>
      <c r="N104" s="50">
        <v>0</v>
      </c>
      <c r="O104" s="15">
        <f t="shared" si="35"/>
        <v>8</v>
      </c>
      <c r="P104" s="15">
        <f t="shared" si="36"/>
        <v>16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1</v>
      </c>
      <c r="E105" s="50">
        <v>2</v>
      </c>
      <c r="F105" s="50">
        <v>2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6</v>
      </c>
      <c r="N105" s="50">
        <v>0</v>
      </c>
      <c r="O105" s="15">
        <f t="shared" si="35"/>
        <v>8</v>
      </c>
      <c r="P105" s="15">
        <f t="shared" si="36"/>
        <v>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483</v>
      </c>
      <c r="D106" s="16">
        <f t="shared" ref="D106:P106" si="37">SUM(D10:D105)</f>
        <v>191</v>
      </c>
      <c r="E106" s="16">
        <f t="shared" si="37"/>
        <v>107</v>
      </c>
      <c r="F106" s="16">
        <f t="shared" si="37"/>
        <v>442</v>
      </c>
      <c r="G106" s="16">
        <f t="shared" si="37"/>
        <v>15</v>
      </c>
      <c r="H106" s="16">
        <f t="shared" si="37"/>
        <v>29</v>
      </c>
      <c r="I106" s="16">
        <f t="shared" si="37"/>
        <v>219</v>
      </c>
      <c r="J106" s="16">
        <f t="shared" si="37"/>
        <v>184</v>
      </c>
      <c r="K106" s="16">
        <f t="shared" si="37"/>
        <v>73</v>
      </c>
      <c r="L106" s="16">
        <f t="shared" si="37"/>
        <v>71</v>
      </c>
      <c r="M106" s="16">
        <f t="shared" si="37"/>
        <v>2131</v>
      </c>
      <c r="N106" s="16">
        <f t="shared" si="37"/>
        <v>1</v>
      </c>
      <c r="O106" s="16">
        <f t="shared" si="37"/>
        <v>1815</v>
      </c>
      <c r="P106" s="16">
        <f t="shared" si="37"/>
        <v>3946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0.12240243284338571</v>
      </c>
      <c r="D107" s="43">
        <f t="shared" si="38"/>
        <v>4.8403446528129751E-2</v>
      </c>
      <c r="E107" s="43">
        <f t="shared" si="38"/>
        <v>2.7116066903193108E-2</v>
      </c>
      <c r="F107" s="43">
        <f t="shared" si="38"/>
        <v>0.11201216421692854</v>
      </c>
      <c r="G107" s="43">
        <f t="shared" si="38"/>
        <v>3.8013177901672578E-3</v>
      </c>
      <c r="H107" s="43">
        <f t="shared" si="38"/>
        <v>7.3492143943233654E-3</v>
      </c>
      <c r="I107" s="43">
        <f t="shared" si="38"/>
        <v>5.5499239736441969E-2</v>
      </c>
      <c r="J107" s="43">
        <f t="shared" si="38"/>
        <v>4.6629498226051697E-2</v>
      </c>
      <c r="K107" s="43">
        <f t="shared" si="38"/>
        <v>1.8499746578813987E-2</v>
      </c>
      <c r="L107" s="43">
        <f t="shared" si="38"/>
        <v>1.7992904206791688E-2</v>
      </c>
      <c r="M107" s="43">
        <f t="shared" si="38"/>
        <v>0.54004054738976182</v>
      </c>
      <c r="N107" s="43">
        <f t="shared" si="38"/>
        <v>2.5342118601115053E-4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0.26611570247933886</v>
      </c>
      <c r="D108" s="44">
        <f t="shared" ref="D108:N108" si="39">D106/$O$106</f>
        <v>0.10523415977961433</v>
      </c>
      <c r="E108" s="44">
        <f t="shared" si="39"/>
        <v>5.8953168044077138E-2</v>
      </c>
      <c r="F108" s="44">
        <f t="shared" si="39"/>
        <v>0.24352617079889807</v>
      </c>
      <c r="G108" s="44">
        <f t="shared" si="39"/>
        <v>8.2644628099173556E-3</v>
      </c>
      <c r="H108" s="44">
        <f t="shared" si="39"/>
        <v>1.5977961432506887E-2</v>
      </c>
      <c r="I108" s="44">
        <f t="shared" si="39"/>
        <v>0.12066115702479339</v>
      </c>
      <c r="J108" s="44">
        <f t="shared" si="39"/>
        <v>0.10137741046831956</v>
      </c>
      <c r="K108" s="44">
        <f t="shared" si="39"/>
        <v>4.0220385674931129E-2</v>
      </c>
      <c r="L108" s="44">
        <f t="shared" si="39"/>
        <v>3.911845730027548E-2</v>
      </c>
      <c r="M108" s="44"/>
      <c r="N108" s="44">
        <f t="shared" si="39"/>
        <v>5.5096418732782364E-4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4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174</v>
      </c>
      <c r="E5" s="3"/>
      <c r="F5" s="41" t="s">
        <v>1</v>
      </c>
      <c r="G5" s="60" t="str">
        <f>'20.10 MUBENDE-MITYANA'!G5:H5</f>
        <v>MITYANA COLLEGE KIKUMBI</v>
      </c>
      <c r="H5" s="61"/>
      <c r="I5" s="14"/>
      <c r="J5" s="2" t="s">
        <v>5</v>
      </c>
      <c r="K5" s="60" t="s">
        <v>175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'23.10 MITYANA-MUBENDE'!D6:E6</f>
        <v>MITYANA</v>
      </c>
      <c r="E6" s="61"/>
      <c r="F6" s="2" t="s">
        <v>2</v>
      </c>
      <c r="G6" s="60" t="str">
        <f>'23.10 MITYANA-MUBENDE'!G6:H6</f>
        <v>MUBENDE</v>
      </c>
      <c r="H6" s="61"/>
      <c r="J6" s="2" t="s">
        <v>21</v>
      </c>
      <c r="K6" s="60" t="str">
        <f>'20.10 MUBENDE-MITYANA'!K6:L6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5</v>
      </c>
      <c r="D10" s="50">
        <v>3</v>
      </c>
      <c r="E10" s="50">
        <v>5</v>
      </c>
      <c r="F10" s="50">
        <v>7</v>
      </c>
      <c r="G10" s="50">
        <v>1</v>
      </c>
      <c r="H10" s="50">
        <v>0</v>
      </c>
      <c r="I10" s="50">
        <v>4</v>
      </c>
      <c r="J10" s="50">
        <v>3</v>
      </c>
      <c r="K10" s="50">
        <v>0</v>
      </c>
      <c r="L10" s="50">
        <v>3</v>
      </c>
      <c r="M10" s="50">
        <v>31</v>
      </c>
      <c r="N10" s="50">
        <v>0</v>
      </c>
      <c r="O10" s="15">
        <f t="shared" ref="O10:O57" si="0">SUM(C10:L10,N10)</f>
        <v>31</v>
      </c>
      <c r="P10" s="15">
        <f t="shared" ref="P10:P57" si="1">SUM(C10:N10)</f>
        <v>62</v>
      </c>
      <c r="R10" s="1" t="s">
        <v>6</v>
      </c>
      <c r="S10" s="17">
        <f t="shared" ref="S10:AF10" si="2">SUM(C10:C13)</f>
        <v>29</v>
      </c>
      <c r="T10" s="17">
        <f t="shared" si="2"/>
        <v>12</v>
      </c>
      <c r="U10" s="17">
        <f t="shared" si="2"/>
        <v>15</v>
      </c>
      <c r="V10" s="17">
        <f t="shared" si="2"/>
        <v>18</v>
      </c>
      <c r="W10" s="17">
        <f t="shared" si="2"/>
        <v>2</v>
      </c>
      <c r="X10" s="17">
        <f t="shared" si="2"/>
        <v>1</v>
      </c>
      <c r="Y10" s="17">
        <f t="shared" si="2"/>
        <v>8</v>
      </c>
      <c r="Z10" s="17">
        <f t="shared" si="2"/>
        <v>7</v>
      </c>
      <c r="AA10" s="17">
        <f t="shared" si="2"/>
        <v>2</v>
      </c>
      <c r="AB10" s="17">
        <f t="shared" si="2"/>
        <v>3</v>
      </c>
      <c r="AC10" s="17">
        <f t="shared" si="2"/>
        <v>120</v>
      </c>
      <c r="AD10" s="17">
        <f t="shared" si="2"/>
        <v>0</v>
      </c>
      <c r="AE10" s="31">
        <f t="shared" si="2"/>
        <v>97</v>
      </c>
      <c r="AF10" s="31">
        <f t="shared" si="2"/>
        <v>217</v>
      </c>
    </row>
    <row r="11" spans="2:32" s="6" customFormat="1" ht="23.1" customHeight="1" x14ac:dyDescent="0.25">
      <c r="B11" s="45" t="s">
        <v>38</v>
      </c>
      <c r="C11" s="50">
        <v>6</v>
      </c>
      <c r="D11" s="50">
        <v>2</v>
      </c>
      <c r="E11" s="50">
        <v>1</v>
      </c>
      <c r="F11" s="50">
        <v>3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26</v>
      </c>
      <c r="N11" s="50">
        <v>0</v>
      </c>
      <c r="O11" s="15">
        <f t="shared" si="0"/>
        <v>13</v>
      </c>
      <c r="P11" s="15">
        <f t="shared" si="1"/>
        <v>39</v>
      </c>
      <c r="R11" s="1" t="s">
        <v>7</v>
      </c>
      <c r="S11" s="17">
        <f t="shared" ref="S11:AF11" si="3">SUM(C14:C17)</f>
        <v>30</v>
      </c>
      <c r="T11" s="17">
        <f t="shared" si="3"/>
        <v>14</v>
      </c>
      <c r="U11" s="17">
        <f t="shared" si="3"/>
        <v>10</v>
      </c>
      <c r="V11" s="17">
        <f t="shared" si="3"/>
        <v>17</v>
      </c>
      <c r="W11" s="17">
        <f t="shared" si="3"/>
        <v>0</v>
      </c>
      <c r="X11" s="17">
        <f t="shared" si="3"/>
        <v>0</v>
      </c>
      <c r="Y11" s="17">
        <f t="shared" si="3"/>
        <v>19</v>
      </c>
      <c r="Z11" s="17">
        <f t="shared" si="3"/>
        <v>11</v>
      </c>
      <c r="AA11" s="17">
        <f t="shared" si="3"/>
        <v>0</v>
      </c>
      <c r="AB11" s="17">
        <f t="shared" si="3"/>
        <v>2</v>
      </c>
      <c r="AC11" s="17">
        <f t="shared" si="3"/>
        <v>117</v>
      </c>
      <c r="AD11" s="17">
        <f t="shared" si="3"/>
        <v>0</v>
      </c>
      <c r="AE11" s="31">
        <f t="shared" si="3"/>
        <v>103</v>
      </c>
      <c r="AF11" s="31">
        <f t="shared" si="3"/>
        <v>220</v>
      </c>
    </row>
    <row r="12" spans="2:32" ht="23.1" customHeight="1" x14ac:dyDescent="0.25">
      <c r="B12" s="45" t="s">
        <v>39</v>
      </c>
      <c r="C12" s="50">
        <v>9</v>
      </c>
      <c r="D12" s="50">
        <v>4</v>
      </c>
      <c r="E12" s="50">
        <v>3</v>
      </c>
      <c r="F12" s="50">
        <v>4</v>
      </c>
      <c r="G12" s="50">
        <v>0</v>
      </c>
      <c r="H12" s="50">
        <v>0</v>
      </c>
      <c r="I12" s="50">
        <v>0</v>
      </c>
      <c r="J12" s="50">
        <v>4</v>
      </c>
      <c r="K12" s="50">
        <v>0</v>
      </c>
      <c r="L12" s="50">
        <v>0</v>
      </c>
      <c r="M12" s="50">
        <v>30</v>
      </c>
      <c r="N12" s="50">
        <v>0</v>
      </c>
      <c r="O12" s="15">
        <f t="shared" si="0"/>
        <v>24</v>
      </c>
      <c r="P12" s="15">
        <f t="shared" si="1"/>
        <v>54</v>
      </c>
      <c r="R12" s="1" t="s">
        <v>8</v>
      </c>
      <c r="S12" s="17">
        <f t="shared" ref="S12:AF12" si="4">SUM(C18:C21)</f>
        <v>33</v>
      </c>
      <c r="T12" s="17">
        <f t="shared" si="4"/>
        <v>24</v>
      </c>
      <c r="U12" s="17">
        <f t="shared" si="4"/>
        <v>9</v>
      </c>
      <c r="V12" s="17">
        <f t="shared" si="4"/>
        <v>31</v>
      </c>
      <c r="W12" s="17">
        <f t="shared" si="4"/>
        <v>0</v>
      </c>
      <c r="X12" s="17">
        <f t="shared" si="4"/>
        <v>1</v>
      </c>
      <c r="Y12" s="17">
        <f t="shared" si="4"/>
        <v>7</v>
      </c>
      <c r="Z12" s="17">
        <f t="shared" si="4"/>
        <v>9</v>
      </c>
      <c r="AA12" s="17">
        <f t="shared" si="4"/>
        <v>9</v>
      </c>
      <c r="AB12" s="17">
        <f t="shared" si="4"/>
        <v>2</v>
      </c>
      <c r="AC12" s="17">
        <f t="shared" si="4"/>
        <v>125</v>
      </c>
      <c r="AD12" s="17">
        <f t="shared" si="4"/>
        <v>0</v>
      </c>
      <c r="AE12" s="31">
        <f t="shared" si="4"/>
        <v>125</v>
      </c>
      <c r="AF12" s="31">
        <f t="shared" si="4"/>
        <v>250</v>
      </c>
    </row>
    <row r="13" spans="2:32" ht="23.1" customHeight="1" x14ac:dyDescent="0.25">
      <c r="B13" s="45" t="s">
        <v>40</v>
      </c>
      <c r="C13" s="50">
        <v>9</v>
      </c>
      <c r="D13" s="50">
        <v>3</v>
      </c>
      <c r="E13" s="50">
        <v>6</v>
      </c>
      <c r="F13" s="50">
        <v>4</v>
      </c>
      <c r="G13" s="50">
        <v>1</v>
      </c>
      <c r="H13" s="50">
        <v>1</v>
      </c>
      <c r="I13" s="50">
        <v>3</v>
      </c>
      <c r="J13" s="50">
        <v>0</v>
      </c>
      <c r="K13" s="50">
        <v>2</v>
      </c>
      <c r="L13" s="50">
        <v>0</v>
      </c>
      <c r="M13" s="50">
        <v>33</v>
      </c>
      <c r="N13" s="50">
        <v>0</v>
      </c>
      <c r="O13" s="15">
        <f t="shared" si="0"/>
        <v>29</v>
      </c>
      <c r="P13" s="15">
        <f t="shared" si="1"/>
        <v>62</v>
      </c>
      <c r="R13" s="1" t="s">
        <v>9</v>
      </c>
      <c r="S13" s="17">
        <f t="shared" ref="S13:AF13" si="5">SUM(C22:C25)</f>
        <v>42</v>
      </c>
      <c r="T13" s="17">
        <f t="shared" si="5"/>
        <v>14</v>
      </c>
      <c r="U13" s="17">
        <f t="shared" si="5"/>
        <v>11</v>
      </c>
      <c r="V13" s="17">
        <f t="shared" si="5"/>
        <v>47</v>
      </c>
      <c r="W13" s="17">
        <f t="shared" si="5"/>
        <v>1</v>
      </c>
      <c r="X13" s="17">
        <f t="shared" si="5"/>
        <v>9</v>
      </c>
      <c r="Y13" s="17">
        <f t="shared" si="5"/>
        <v>11</v>
      </c>
      <c r="Z13" s="17">
        <f t="shared" si="5"/>
        <v>15</v>
      </c>
      <c r="AA13" s="17">
        <f t="shared" si="5"/>
        <v>9</v>
      </c>
      <c r="AB13" s="17">
        <f t="shared" si="5"/>
        <v>7</v>
      </c>
      <c r="AC13" s="17">
        <f t="shared" si="5"/>
        <v>120</v>
      </c>
      <c r="AD13" s="17">
        <f t="shared" si="5"/>
        <v>1</v>
      </c>
      <c r="AE13" s="31">
        <f t="shared" si="5"/>
        <v>167</v>
      </c>
      <c r="AF13" s="31">
        <f t="shared" si="5"/>
        <v>287</v>
      </c>
    </row>
    <row r="14" spans="2:32" ht="23.1" customHeight="1" x14ac:dyDescent="0.25">
      <c r="B14" s="45" t="s">
        <v>41</v>
      </c>
      <c r="C14" s="50">
        <v>6</v>
      </c>
      <c r="D14" s="50">
        <v>3</v>
      </c>
      <c r="E14" s="50">
        <v>2</v>
      </c>
      <c r="F14" s="50">
        <v>6</v>
      </c>
      <c r="G14" s="50">
        <v>0</v>
      </c>
      <c r="H14" s="50">
        <v>0</v>
      </c>
      <c r="I14" s="50">
        <v>9</v>
      </c>
      <c r="J14" s="50">
        <v>3</v>
      </c>
      <c r="K14" s="50">
        <v>0</v>
      </c>
      <c r="L14" s="50">
        <v>2</v>
      </c>
      <c r="M14" s="50">
        <v>27</v>
      </c>
      <c r="N14" s="50">
        <v>0</v>
      </c>
      <c r="O14" s="15">
        <f t="shared" si="0"/>
        <v>31</v>
      </c>
      <c r="P14" s="15">
        <f t="shared" si="1"/>
        <v>58</v>
      </c>
      <c r="R14" s="1" t="s">
        <v>10</v>
      </c>
      <c r="S14" s="17">
        <f t="shared" ref="S14:AF14" si="6">SUM(C26:C29)</f>
        <v>67</v>
      </c>
      <c r="T14" s="17">
        <f t="shared" si="6"/>
        <v>20</v>
      </c>
      <c r="U14" s="17">
        <f t="shared" si="6"/>
        <v>13</v>
      </c>
      <c r="V14" s="17">
        <f t="shared" si="6"/>
        <v>38</v>
      </c>
      <c r="W14" s="17">
        <f t="shared" si="6"/>
        <v>0</v>
      </c>
      <c r="X14" s="17">
        <f t="shared" si="6"/>
        <v>1</v>
      </c>
      <c r="Y14" s="17">
        <f t="shared" si="6"/>
        <v>15</v>
      </c>
      <c r="Z14" s="17">
        <f t="shared" si="6"/>
        <v>10</v>
      </c>
      <c r="AA14" s="17">
        <f t="shared" si="6"/>
        <v>6</v>
      </c>
      <c r="AB14" s="17">
        <f t="shared" si="6"/>
        <v>10</v>
      </c>
      <c r="AC14" s="17">
        <f t="shared" si="6"/>
        <v>154</v>
      </c>
      <c r="AD14" s="17">
        <f t="shared" si="6"/>
        <v>0</v>
      </c>
      <c r="AE14" s="31">
        <f t="shared" si="6"/>
        <v>180</v>
      </c>
      <c r="AF14" s="31">
        <f t="shared" si="6"/>
        <v>334</v>
      </c>
    </row>
    <row r="15" spans="2:32" ht="23.1" customHeight="1" x14ac:dyDescent="0.25">
      <c r="B15" s="45" t="s">
        <v>42</v>
      </c>
      <c r="C15" s="50">
        <v>6</v>
      </c>
      <c r="D15" s="50">
        <v>6</v>
      </c>
      <c r="E15" s="50">
        <v>1</v>
      </c>
      <c r="F15" s="50">
        <v>3</v>
      </c>
      <c r="G15" s="50">
        <v>0</v>
      </c>
      <c r="H15" s="50">
        <v>0</v>
      </c>
      <c r="I15" s="50">
        <v>3</v>
      </c>
      <c r="J15" s="50">
        <v>2</v>
      </c>
      <c r="K15" s="50">
        <v>0</v>
      </c>
      <c r="L15" s="50">
        <v>0</v>
      </c>
      <c r="M15" s="50">
        <v>25</v>
      </c>
      <c r="N15" s="50">
        <v>0</v>
      </c>
      <c r="O15" s="15">
        <f t="shared" si="0"/>
        <v>21</v>
      </c>
      <c r="P15" s="15">
        <f t="shared" si="1"/>
        <v>46</v>
      </c>
      <c r="R15" s="1" t="s">
        <v>11</v>
      </c>
      <c r="S15" s="17">
        <f t="shared" ref="S15:AF15" si="7">SUM(C30:C33)</f>
        <v>28</v>
      </c>
      <c r="T15" s="17">
        <f t="shared" si="7"/>
        <v>12</v>
      </c>
      <c r="U15" s="17">
        <f t="shared" si="7"/>
        <v>7</v>
      </c>
      <c r="V15" s="17">
        <f t="shared" si="7"/>
        <v>32</v>
      </c>
      <c r="W15" s="17">
        <f t="shared" si="7"/>
        <v>0</v>
      </c>
      <c r="X15" s="17">
        <f t="shared" si="7"/>
        <v>5</v>
      </c>
      <c r="Y15" s="17">
        <f t="shared" si="7"/>
        <v>12</v>
      </c>
      <c r="Z15" s="17">
        <f t="shared" si="7"/>
        <v>16</v>
      </c>
      <c r="AA15" s="17">
        <f t="shared" si="7"/>
        <v>3</v>
      </c>
      <c r="AB15" s="17">
        <f t="shared" si="7"/>
        <v>7</v>
      </c>
      <c r="AC15" s="17">
        <f t="shared" si="7"/>
        <v>111</v>
      </c>
      <c r="AD15" s="17">
        <f t="shared" si="7"/>
        <v>1</v>
      </c>
      <c r="AE15" s="31">
        <f t="shared" si="7"/>
        <v>123</v>
      </c>
      <c r="AF15" s="31">
        <f t="shared" si="7"/>
        <v>234</v>
      </c>
    </row>
    <row r="16" spans="2:32" ht="23.1" customHeight="1" x14ac:dyDescent="0.25">
      <c r="B16" s="45" t="s">
        <v>43</v>
      </c>
      <c r="C16" s="50">
        <v>7</v>
      </c>
      <c r="D16" s="50">
        <v>3</v>
      </c>
      <c r="E16" s="50">
        <v>2</v>
      </c>
      <c r="F16" s="50">
        <v>4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25</v>
      </c>
      <c r="N16" s="50">
        <v>0</v>
      </c>
      <c r="O16" s="15">
        <f t="shared" si="0"/>
        <v>19</v>
      </c>
      <c r="P16" s="15">
        <f t="shared" si="1"/>
        <v>44</v>
      </c>
      <c r="R16" s="1" t="s">
        <v>12</v>
      </c>
      <c r="S16" s="17">
        <f t="shared" ref="S16:AF16" si="8">SUM(C34:C37)</f>
        <v>31</v>
      </c>
      <c r="T16" s="17">
        <f t="shared" si="8"/>
        <v>15</v>
      </c>
      <c r="U16" s="17">
        <f t="shared" si="8"/>
        <v>4</v>
      </c>
      <c r="V16" s="17">
        <f t="shared" si="8"/>
        <v>30</v>
      </c>
      <c r="W16" s="17">
        <f t="shared" si="8"/>
        <v>1</v>
      </c>
      <c r="X16" s="17">
        <f t="shared" si="8"/>
        <v>3</v>
      </c>
      <c r="Y16" s="17">
        <f t="shared" si="8"/>
        <v>12</v>
      </c>
      <c r="Z16" s="17">
        <f t="shared" si="8"/>
        <v>6</v>
      </c>
      <c r="AA16" s="17">
        <f t="shared" si="8"/>
        <v>3</v>
      </c>
      <c r="AB16" s="17">
        <f t="shared" si="8"/>
        <v>1</v>
      </c>
      <c r="AC16" s="17">
        <f t="shared" si="8"/>
        <v>126</v>
      </c>
      <c r="AD16" s="17">
        <f t="shared" si="8"/>
        <v>0</v>
      </c>
      <c r="AE16" s="31">
        <f t="shared" si="8"/>
        <v>106</v>
      </c>
      <c r="AF16" s="31">
        <f t="shared" si="8"/>
        <v>232</v>
      </c>
    </row>
    <row r="17" spans="2:32" ht="23.1" customHeight="1" x14ac:dyDescent="0.25">
      <c r="B17" s="45" t="s">
        <v>44</v>
      </c>
      <c r="C17" s="50">
        <v>11</v>
      </c>
      <c r="D17" s="50">
        <v>2</v>
      </c>
      <c r="E17" s="50">
        <v>5</v>
      </c>
      <c r="F17" s="50">
        <v>4</v>
      </c>
      <c r="G17" s="50">
        <v>0</v>
      </c>
      <c r="H17" s="50">
        <v>0</v>
      </c>
      <c r="I17" s="50">
        <v>6</v>
      </c>
      <c r="J17" s="50">
        <v>4</v>
      </c>
      <c r="K17" s="50">
        <v>0</v>
      </c>
      <c r="L17" s="50">
        <v>0</v>
      </c>
      <c r="M17" s="50">
        <v>40</v>
      </c>
      <c r="N17" s="50">
        <v>0</v>
      </c>
      <c r="O17" s="15">
        <f t="shared" si="0"/>
        <v>32</v>
      </c>
      <c r="P17" s="15">
        <f t="shared" si="1"/>
        <v>72</v>
      </c>
      <c r="R17" s="1" t="s">
        <v>13</v>
      </c>
      <c r="S17" s="17">
        <f t="shared" ref="S17:AF17" si="9">SUM(C38:C41)</f>
        <v>32</v>
      </c>
      <c r="T17" s="17">
        <f t="shared" si="9"/>
        <v>17</v>
      </c>
      <c r="U17" s="17">
        <f t="shared" si="9"/>
        <v>12</v>
      </c>
      <c r="V17" s="17">
        <f t="shared" si="9"/>
        <v>39</v>
      </c>
      <c r="W17" s="17">
        <f t="shared" si="9"/>
        <v>0</v>
      </c>
      <c r="X17" s="17">
        <f t="shared" si="9"/>
        <v>2</v>
      </c>
      <c r="Y17" s="17">
        <f t="shared" si="9"/>
        <v>14</v>
      </c>
      <c r="Z17" s="17">
        <f t="shared" si="9"/>
        <v>13</v>
      </c>
      <c r="AA17" s="17">
        <f t="shared" si="9"/>
        <v>5</v>
      </c>
      <c r="AB17" s="17">
        <f t="shared" si="9"/>
        <v>2</v>
      </c>
      <c r="AC17" s="17">
        <f t="shared" si="9"/>
        <v>161</v>
      </c>
      <c r="AD17" s="17">
        <f t="shared" si="9"/>
        <v>0</v>
      </c>
      <c r="AE17" s="31">
        <f t="shared" si="9"/>
        <v>136</v>
      </c>
      <c r="AF17" s="31">
        <f t="shared" si="9"/>
        <v>297</v>
      </c>
    </row>
    <row r="18" spans="2:32" ht="23.1" customHeight="1" x14ac:dyDescent="0.25">
      <c r="B18" s="45" t="s">
        <v>45</v>
      </c>
      <c r="C18" s="50">
        <v>9</v>
      </c>
      <c r="D18" s="50">
        <v>4</v>
      </c>
      <c r="E18" s="50">
        <v>1</v>
      </c>
      <c r="F18" s="50">
        <v>6</v>
      </c>
      <c r="G18" s="50">
        <v>0</v>
      </c>
      <c r="H18" s="50">
        <v>1</v>
      </c>
      <c r="I18" s="50">
        <v>3</v>
      </c>
      <c r="J18" s="50">
        <v>4</v>
      </c>
      <c r="K18" s="50">
        <v>1</v>
      </c>
      <c r="L18" s="50">
        <v>2</v>
      </c>
      <c r="M18" s="50">
        <v>23</v>
      </c>
      <c r="N18" s="50">
        <v>0</v>
      </c>
      <c r="O18" s="15">
        <f t="shared" si="0"/>
        <v>31</v>
      </c>
      <c r="P18" s="15">
        <f t="shared" si="1"/>
        <v>54</v>
      </c>
      <c r="R18" s="1" t="s">
        <v>14</v>
      </c>
      <c r="S18" s="17">
        <f t="shared" ref="S18:AF18" si="10">SUM(C42:C45)</f>
        <v>62</v>
      </c>
      <c r="T18" s="17">
        <f t="shared" si="10"/>
        <v>27</v>
      </c>
      <c r="U18" s="17">
        <f t="shared" si="10"/>
        <v>15</v>
      </c>
      <c r="V18" s="17">
        <f t="shared" si="10"/>
        <v>48</v>
      </c>
      <c r="W18" s="17">
        <f t="shared" si="10"/>
        <v>3</v>
      </c>
      <c r="X18" s="17">
        <f t="shared" si="10"/>
        <v>2</v>
      </c>
      <c r="Y18" s="17">
        <f t="shared" si="10"/>
        <v>27</v>
      </c>
      <c r="Z18" s="17">
        <f t="shared" si="10"/>
        <v>14</v>
      </c>
      <c r="AA18" s="17">
        <f t="shared" si="10"/>
        <v>16</v>
      </c>
      <c r="AB18" s="17">
        <f t="shared" si="10"/>
        <v>10</v>
      </c>
      <c r="AC18" s="17">
        <f t="shared" si="10"/>
        <v>127</v>
      </c>
      <c r="AD18" s="17">
        <f t="shared" si="10"/>
        <v>0</v>
      </c>
      <c r="AE18" s="31">
        <f t="shared" si="10"/>
        <v>224</v>
      </c>
      <c r="AF18" s="31">
        <f t="shared" si="10"/>
        <v>351</v>
      </c>
    </row>
    <row r="19" spans="2:32" ht="23.1" customHeight="1" x14ac:dyDescent="0.25">
      <c r="B19" s="45" t="s">
        <v>46</v>
      </c>
      <c r="C19" s="50">
        <v>1</v>
      </c>
      <c r="D19" s="50">
        <v>5</v>
      </c>
      <c r="E19" s="50">
        <v>3</v>
      </c>
      <c r="F19" s="50">
        <v>5</v>
      </c>
      <c r="G19" s="50">
        <v>0</v>
      </c>
      <c r="H19" s="50">
        <v>0</v>
      </c>
      <c r="I19" s="50">
        <v>0</v>
      </c>
      <c r="J19" s="50">
        <v>2</v>
      </c>
      <c r="K19" s="50">
        <v>5</v>
      </c>
      <c r="L19" s="50">
        <v>0</v>
      </c>
      <c r="M19" s="50">
        <v>26</v>
      </c>
      <c r="N19" s="50">
        <v>0</v>
      </c>
      <c r="O19" s="15">
        <f t="shared" si="0"/>
        <v>21</v>
      </c>
      <c r="P19" s="15">
        <f t="shared" si="1"/>
        <v>47</v>
      </c>
      <c r="R19" s="1" t="s">
        <v>15</v>
      </c>
      <c r="S19" s="17">
        <f t="shared" ref="S19:AF19" si="11">SUM(C46:C49)</f>
        <v>54</v>
      </c>
      <c r="T19" s="17">
        <f t="shared" si="11"/>
        <v>11</v>
      </c>
      <c r="U19" s="17">
        <f t="shared" si="11"/>
        <v>19</v>
      </c>
      <c r="V19" s="17">
        <f t="shared" si="11"/>
        <v>45</v>
      </c>
      <c r="W19" s="17">
        <f t="shared" si="11"/>
        <v>0</v>
      </c>
      <c r="X19" s="17">
        <f t="shared" si="11"/>
        <v>1</v>
      </c>
      <c r="Y19" s="17">
        <f t="shared" si="11"/>
        <v>22</v>
      </c>
      <c r="Z19" s="17">
        <f t="shared" si="11"/>
        <v>24</v>
      </c>
      <c r="AA19" s="17">
        <f t="shared" si="11"/>
        <v>0</v>
      </c>
      <c r="AB19" s="17">
        <f t="shared" si="11"/>
        <v>12</v>
      </c>
      <c r="AC19" s="17">
        <f t="shared" si="11"/>
        <v>132</v>
      </c>
      <c r="AD19" s="17">
        <f t="shared" si="11"/>
        <v>0</v>
      </c>
      <c r="AE19" s="31">
        <f t="shared" si="11"/>
        <v>188</v>
      </c>
      <c r="AF19" s="31">
        <f t="shared" si="11"/>
        <v>320</v>
      </c>
    </row>
    <row r="20" spans="2:32" ht="23.1" customHeight="1" x14ac:dyDescent="0.25">
      <c r="B20" s="45" t="s">
        <v>47</v>
      </c>
      <c r="C20" s="50">
        <v>13</v>
      </c>
      <c r="D20" s="50">
        <v>6</v>
      </c>
      <c r="E20" s="50">
        <v>2</v>
      </c>
      <c r="F20" s="50">
        <v>10</v>
      </c>
      <c r="G20" s="50">
        <v>0</v>
      </c>
      <c r="H20" s="50">
        <v>0</v>
      </c>
      <c r="I20" s="50">
        <v>2</v>
      </c>
      <c r="J20" s="50">
        <v>3</v>
      </c>
      <c r="K20" s="50">
        <v>0</v>
      </c>
      <c r="L20" s="50">
        <v>0</v>
      </c>
      <c r="M20" s="50">
        <v>41</v>
      </c>
      <c r="N20" s="50">
        <v>0</v>
      </c>
      <c r="O20" s="15">
        <f t="shared" si="0"/>
        <v>36</v>
      </c>
      <c r="P20" s="15">
        <f t="shared" si="1"/>
        <v>77</v>
      </c>
      <c r="R20" s="1" t="s">
        <v>16</v>
      </c>
      <c r="S20" s="17">
        <f t="shared" ref="S20:AF20" si="12">SUM(C50:C53)</f>
        <v>37</v>
      </c>
      <c r="T20" s="17">
        <f t="shared" si="12"/>
        <v>11</v>
      </c>
      <c r="U20" s="17">
        <f t="shared" si="12"/>
        <v>14</v>
      </c>
      <c r="V20" s="17">
        <f t="shared" si="12"/>
        <v>23</v>
      </c>
      <c r="W20" s="17">
        <f t="shared" si="12"/>
        <v>1</v>
      </c>
      <c r="X20" s="17">
        <f t="shared" si="12"/>
        <v>3</v>
      </c>
      <c r="Y20" s="17">
        <f t="shared" si="12"/>
        <v>11</v>
      </c>
      <c r="Z20" s="17">
        <f t="shared" si="12"/>
        <v>25</v>
      </c>
      <c r="AA20" s="17">
        <f t="shared" si="12"/>
        <v>7</v>
      </c>
      <c r="AB20" s="17">
        <f t="shared" si="12"/>
        <v>8</v>
      </c>
      <c r="AC20" s="17">
        <f t="shared" si="12"/>
        <v>81</v>
      </c>
      <c r="AD20" s="17">
        <f t="shared" si="12"/>
        <v>0</v>
      </c>
      <c r="AE20" s="31">
        <f t="shared" si="12"/>
        <v>140</v>
      </c>
      <c r="AF20" s="31">
        <f t="shared" si="12"/>
        <v>221</v>
      </c>
    </row>
    <row r="21" spans="2:32" ht="23.1" customHeight="1" x14ac:dyDescent="0.25">
      <c r="B21" s="45" t="s">
        <v>48</v>
      </c>
      <c r="C21" s="50">
        <v>10</v>
      </c>
      <c r="D21" s="50">
        <v>9</v>
      </c>
      <c r="E21" s="50">
        <v>3</v>
      </c>
      <c r="F21" s="50">
        <v>10</v>
      </c>
      <c r="G21" s="50">
        <v>0</v>
      </c>
      <c r="H21" s="50">
        <v>0</v>
      </c>
      <c r="I21" s="50">
        <v>2</v>
      </c>
      <c r="J21" s="50">
        <v>0</v>
      </c>
      <c r="K21" s="50">
        <v>3</v>
      </c>
      <c r="L21" s="50">
        <v>0</v>
      </c>
      <c r="M21" s="50">
        <v>35</v>
      </c>
      <c r="N21" s="50">
        <v>0</v>
      </c>
      <c r="O21" s="15">
        <f t="shared" si="0"/>
        <v>37</v>
      </c>
      <c r="P21" s="15">
        <f t="shared" si="1"/>
        <v>72</v>
      </c>
      <c r="R21" s="36" t="s">
        <v>20</v>
      </c>
      <c r="S21" s="34">
        <f t="shared" ref="S21:AF21" si="13">SUM(C54:C57)</f>
        <v>51</v>
      </c>
      <c r="T21" s="17">
        <f t="shared" si="13"/>
        <v>11</v>
      </c>
      <c r="U21" s="17">
        <f t="shared" si="13"/>
        <v>20</v>
      </c>
      <c r="V21" s="17">
        <f t="shared" si="13"/>
        <v>43</v>
      </c>
      <c r="W21" s="17">
        <f t="shared" si="13"/>
        <v>5</v>
      </c>
      <c r="X21" s="17">
        <f t="shared" si="13"/>
        <v>2</v>
      </c>
      <c r="Y21" s="17">
        <f t="shared" si="13"/>
        <v>23</v>
      </c>
      <c r="Z21" s="17">
        <f t="shared" si="13"/>
        <v>19</v>
      </c>
      <c r="AA21" s="17">
        <f t="shared" si="13"/>
        <v>6</v>
      </c>
      <c r="AB21" s="17">
        <f t="shared" si="13"/>
        <v>14</v>
      </c>
      <c r="AC21" s="17">
        <f t="shared" si="13"/>
        <v>178</v>
      </c>
      <c r="AD21" s="17">
        <f t="shared" si="13"/>
        <v>0</v>
      </c>
      <c r="AE21" s="31">
        <f t="shared" si="13"/>
        <v>194</v>
      </c>
      <c r="AF21" s="31">
        <f t="shared" si="13"/>
        <v>372</v>
      </c>
    </row>
    <row r="22" spans="2:32" ht="23.1" customHeight="1" x14ac:dyDescent="0.25">
      <c r="B22" s="45" t="s">
        <v>49</v>
      </c>
      <c r="C22" s="50">
        <v>23</v>
      </c>
      <c r="D22" s="50">
        <v>8</v>
      </c>
      <c r="E22" s="50">
        <v>3</v>
      </c>
      <c r="F22" s="50">
        <v>5</v>
      </c>
      <c r="G22" s="50">
        <v>0</v>
      </c>
      <c r="H22" s="50">
        <v>1</v>
      </c>
      <c r="I22" s="50">
        <v>1</v>
      </c>
      <c r="J22" s="50">
        <v>6</v>
      </c>
      <c r="K22" s="50">
        <v>0</v>
      </c>
      <c r="L22" s="50">
        <v>2</v>
      </c>
      <c r="M22" s="50">
        <v>20</v>
      </c>
      <c r="N22" s="50">
        <v>0</v>
      </c>
      <c r="O22" s="15">
        <f t="shared" si="0"/>
        <v>49</v>
      </c>
      <c r="P22" s="15">
        <f t="shared" si="1"/>
        <v>69</v>
      </c>
      <c r="R22" s="36" t="s">
        <v>146</v>
      </c>
      <c r="S22" s="34">
        <f>SUM(C58:C61)</f>
        <v>48</v>
      </c>
      <c r="T22" s="34">
        <f t="shared" ref="T22:AF22" si="14">SUM(D58:D61)</f>
        <v>23</v>
      </c>
      <c r="U22" s="34">
        <f t="shared" si="14"/>
        <v>5</v>
      </c>
      <c r="V22" s="34">
        <f t="shared" si="14"/>
        <v>37</v>
      </c>
      <c r="W22" s="34">
        <f t="shared" si="14"/>
        <v>0</v>
      </c>
      <c r="X22" s="34">
        <f t="shared" si="14"/>
        <v>0</v>
      </c>
      <c r="Y22" s="34">
        <f t="shared" si="14"/>
        <v>12</v>
      </c>
      <c r="Z22" s="34">
        <f t="shared" si="14"/>
        <v>10</v>
      </c>
      <c r="AA22" s="34">
        <f t="shared" si="14"/>
        <v>16</v>
      </c>
      <c r="AB22" s="34">
        <f t="shared" si="14"/>
        <v>2</v>
      </c>
      <c r="AC22" s="34">
        <f t="shared" si="14"/>
        <v>128</v>
      </c>
      <c r="AD22" s="34">
        <f t="shared" si="14"/>
        <v>0</v>
      </c>
      <c r="AE22" s="31">
        <f t="shared" si="14"/>
        <v>153</v>
      </c>
      <c r="AF22" s="31">
        <f t="shared" si="14"/>
        <v>281</v>
      </c>
    </row>
    <row r="23" spans="2:32" ht="23.1" customHeight="1" x14ac:dyDescent="0.25">
      <c r="B23" s="45" t="s">
        <v>50</v>
      </c>
      <c r="C23" s="50">
        <v>12</v>
      </c>
      <c r="D23" s="50">
        <v>1</v>
      </c>
      <c r="E23" s="50">
        <v>2</v>
      </c>
      <c r="F23" s="50">
        <v>20</v>
      </c>
      <c r="G23" s="50">
        <v>0</v>
      </c>
      <c r="H23" s="50">
        <v>8</v>
      </c>
      <c r="I23" s="50">
        <v>8</v>
      </c>
      <c r="J23" s="50">
        <v>5</v>
      </c>
      <c r="K23" s="50">
        <v>3</v>
      </c>
      <c r="L23" s="50">
        <v>3</v>
      </c>
      <c r="M23" s="50">
        <v>25</v>
      </c>
      <c r="N23" s="50">
        <v>0</v>
      </c>
      <c r="O23" s="15">
        <f t="shared" si="0"/>
        <v>62</v>
      </c>
      <c r="P23" s="15">
        <f t="shared" si="1"/>
        <v>87</v>
      </c>
      <c r="R23" s="36" t="s">
        <v>147</v>
      </c>
      <c r="S23" s="34">
        <f>SUM(C62:C65)</f>
        <v>25</v>
      </c>
      <c r="T23" s="34">
        <f t="shared" ref="T23:AF23" si="15">SUM(D62:D65)</f>
        <v>5</v>
      </c>
      <c r="U23" s="34">
        <f t="shared" si="15"/>
        <v>9</v>
      </c>
      <c r="V23" s="34">
        <f t="shared" si="15"/>
        <v>14</v>
      </c>
      <c r="W23" s="34">
        <f t="shared" si="15"/>
        <v>0</v>
      </c>
      <c r="X23" s="34">
        <f t="shared" si="15"/>
        <v>1</v>
      </c>
      <c r="Y23" s="34">
        <f t="shared" si="15"/>
        <v>11</v>
      </c>
      <c r="Z23" s="34">
        <f t="shared" si="15"/>
        <v>19</v>
      </c>
      <c r="AA23" s="34">
        <f t="shared" si="15"/>
        <v>4</v>
      </c>
      <c r="AB23" s="34">
        <f t="shared" si="15"/>
        <v>6</v>
      </c>
      <c r="AC23" s="34">
        <f t="shared" si="15"/>
        <v>125</v>
      </c>
      <c r="AD23" s="34">
        <f t="shared" si="15"/>
        <v>0</v>
      </c>
      <c r="AE23" s="31">
        <f t="shared" si="15"/>
        <v>94</v>
      </c>
      <c r="AF23" s="31">
        <f t="shared" si="15"/>
        <v>219</v>
      </c>
    </row>
    <row r="24" spans="2:32" ht="23.1" customHeight="1" x14ac:dyDescent="0.25">
      <c r="B24" s="45" t="s">
        <v>51</v>
      </c>
      <c r="C24" s="50">
        <v>4</v>
      </c>
      <c r="D24" s="50">
        <v>4</v>
      </c>
      <c r="E24" s="50">
        <v>5</v>
      </c>
      <c r="F24" s="50">
        <v>20</v>
      </c>
      <c r="G24" s="50">
        <v>1</v>
      </c>
      <c r="H24" s="50">
        <v>0</v>
      </c>
      <c r="I24" s="50">
        <v>2</v>
      </c>
      <c r="J24" s="50">
        <v>4</v>
      </c>
      <c r="K24" s="50">
        <v>3</v>
      </c>
      <c r="L24" s="50">
        <v>0</v>
      </c>
      <c r="M24" s="50">
        <v>42</v>
      </c>
      <c r="N24" s="50">
        <v>0</v>
      </c>
      <c r="O24" s="15">
        <f t="shared" si="0"/>
        <v>43</v>
      </c>
      <c r="P24" s="15">
        <f t="shared" si="1"/>
        <v>85</v>
      </c>
      <c r="R24" s="36" t="s">
        <v>148</v>
      </c>
      <c r="S24" s="34">
        <f>SUM(C66:C69)</f>
        <v>14</v>
      </c>
      <c r="T24" s="34">
        <f t="shared" ref="T24:AF24" si="16">SUM(D66:D69)</f>
        <v>2</v>
      </c>
      <c r="U24" s="34">
        <f t="shared" si="16"/>
        <v>3</v>
      </c>
      <c r="V24" s="34">
        <f t="shared" si="16"/>
        <v>14</v>
      </c>
      <c r="W24" s="34">
        <f t="shared" si="16"/>
        <v>1</v>
      </c>
      <c r="X24" s="34">
        <f t="shared" si="16"/>
        <v>0</v>
      </c>
      <c r="Y24" s="34">
        <f t="shared" si="16"/>
        <v>3</v>
      </c>
      <c r="Z24" s="34">
        <f t="shared" si="16"/>
        <v>17</v>
      </c>
      <c r="AA24" s="34">
        <f t="shared" si="16"/>
        <v>4</v>
      </c>
      <c r="AB24" s="34">
        <f t="shared" si="16"/>
        <v>1</v>
      </c>
      <c r="AC24" s="34">
        <f t="shared" si="16"/>
        <v>65</v>
      </c>
      <c r="AD24" s="34">
        <f t="shared" si="16"/>
        <v>0</v>
      </c>
      <c r="AE24" s="31">
        <f t="shared" si="16"/>
        <v>59</v>
      </c>
      <c r="AF24" s="31">
        <f t="shared" si="16"/>
        <v>124</v>
      </c>
    </row>
    <row r="25" spans="2:32" ht="23.1" customHeight="1" x14ac:dyDescent="0.25">
      <c r="B25" s="45" t="s">
        <v>52</v>
      </c>
      <c r="C25" s="50">
        <v>3</v>
      </c>
      <c r="D25" s="50">
        <v>1</v>
      </c>
      <c r="E25" s="50">
        <v>1</v>
      </c>
      <c r="F25" s="50">
        <v>2</v>
      </c>
      <c r="G25" s="50">
        <v>0</v>
      </c>
      <c r="H25" s="50">
        <v>0</v>
      </c>
      <c r="I25" s="50">
        <v>0</v>
      </c>
      <c r="J25" s="50">
        <v>0</v>
      </c>
      <c r="K25" s="50">
        <v>3</v>
      </c>
      <c r="L25" s="50">
        <v>2</v>
      </c>
      <c r="M25" s="50">
        <v>33</v>
      </c>
      <c r="N25" s="50">
        <v>1</v>
      </c>
      <c r="O25" s="15">
        <f t="shared" si="0"/>
        <v>13</v>
      </c>
      <c r="P25" s="15">
        <f t="shared" si="1"/>
        <v>46</v>
      </c>
      <c r="R25" s="36" t="s">
        <v>149</v>
      </c>
      <c r="S25" s="34">
        <f>SUM(C70:C73)</f>
        <v>15</v>
      </c>
      <c r="T25" s="34">
        <f t="shared" ref="T25:AF25" si="17">SUM(D70:D73)</f>
        <v>9</v>
      </c>
      <c r="U25" s="34">
        <f t="shared" si="17"/>
        <v>3</v>
      </c>
      <c r="V25" s="34">
        <f t="shared" si="17"/>
        <v>9</v>
      </c>
      <c r="W25" s="34">
        <f t="shared" si="17"/>
        <v>0</v>
      </c>
      <c r="X25" s="34">
        <f t="shared" si="17"/>
        <v>3</v>
      </c>
      <c r="Y25" s="34">
        <f t="shared" si="17"/>
        <v>7</v>
      </c>
      <c r="Z25" s="34">
        <f t="shared" si="17"/>
        <v>14</v>
      </c>
      <c r="AA25" s="34">
        <f t="shared" si="17"/>
        <v>6</v>
      </c>
      <c r="AB25" s="34">
        <f t="shared" si="17"/>
        <v>2</v>
      </c>
      <c r="AC25" s="34">
        <f t="shared" si="17"/>
        <v>53</v>
      </c>
      <c r="AD25" s="34">
        <f t="shared" si="17"/>
        <v>0</v>
      </c>
      <c r="AE25" s="31">
        <f t="shared" si="17"/>
        <v>68</v>
      </c>
      <c r="AF25" s="31">
        <f t="shared" si="17"/>
        <v>121</v>
      </c>
    </row>
    <row r="26" spans="2:32" ht="23.1" customHeight="1" x14ac:dyDescent="0.25">
      <c r="B26" s="45" t="s">
        <v>53</v>
      </c>
      <c r="C26" s="50">
        <v>23</v>
      </c>
      <c r="D26" s="50">
        <v>4</v>
      </c>
      <c r="E26" s="50">
        <v>3</v>
      </c>
      <c r="F26" s="50">
        <v>15</v>
      </c>
      <c r="G26" s="50">
        <v>0</v>
      </c>
      <c r="H26" s="50">
        <v>0</v>
      </c>
      <c r="I26" s="50">
        <v>4</v>
      </c>
      <c r="J26" s="50">
        <v>4</v>
      </c>
      <c r="K26" s="50">
        <v>0</v>
      </c>
      <c r="L26" s="50">
        <v>1</v>
      </c>
      <c r="M26" s="50">
        <v>35</v>
      </c>
      <c r="N26" s="50">
        <v>0</v>
      </c>
      <c r="O26" s="15">
        <f t="shared" si="0"/>
        <v>54</v>
      </c>
      <c r="P26" s="15">
        <f t="shared" si="1"/>
        <v>89</v>
      </c>
      <c r="R26" s="36" t="s">
        <v>150</v>
      </c>
      <c r="S26" s="34">
        <f>SUM(C74:C77)</f>
        <v>10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4</v>
      </c>
      <c r="W26" s="34">
        <f t="shared" si="18"/>
        <v>1</v>
      </c>
      <c r="X26" s="34">
        <f t="shared" si="18"/>
        <v>1</v>
      </c>
      <c r="Y26" s="34">
        <f t="shared" si="18"/>
        <v>3</v>
      </c>
      <c r="Z26" s="34">
        <f t="shared" si="18"/>
        <v>15</v>
      </c>
      <c r="AA26" s="34">
        <f t="shared" si="18"/>
        <v>5</v>
      </c>
      <c r="AB26" s="34">
        <f t="shared" si="18"/>
        <v>3</v>
      </c>
      <c r="AC26" s="34">
        <f t="shared" si="18"/>
        <v>27</v>
      </c>
      <c r="AD26" s="34">
        <f t="shared" si="18"/>
        <v>0</v>
      </c>
      <c r="AE26" s="31">
        <f t="shared" si="18"/>
        <v>44</v>
      </c>
      <c r="AF26" s="31">
        <f t="shared" si="18"/>
        <v>71</v>
      </c>
    </row>
    <row r="27" spans="2:32" ht="23.1" customHeight="1" x14ac:dyDescent="0.25">
      <c r="B27" s="45" t="s">
        <v>54</v>
      </c>
      <c r="C27" s="50">
        <v>17</v>
      </c>
      <c r="D27" s="50">
        <v>2</v>
      </c>
      <c r="E27" s="50">
        <v>1</v>
      </c>
      <c r="F27" s="50">
        <v>11</v>
      </c>
      <c r="G27" s="50">
        <v>0</v>
      </c>
      <c r="H27" s="50">
        <v>1</v>
      </c>
      <c r="I27" s="50">
        <v>1</v>
      </c>
      <c r="J27" s="50">
        <v>0</v>
      </c>
      <c r="K27" s="50">
        <v>0</v>
      </c>
      <c r="L27" s="50">
        <v>0</v>
      </c>
      <c r="M27" s="50">
        <v>26</v>
      </c>
      <c r="N27" s="50">
        <v>0</v>
      </c>
      <c r="O27" s="15">
        <f t="shared" si="0"/>
        <v>33</v>
      </c>
      <c r="P27" s="15">
        <f t="shared" si="1"/>
        <v>59</v>
      </c>
      <c r="R27" s="36" t="s">
        <v>151</v>
      </c>
      <c r="S27" s="34">
        <f>SUM(C78:C81)</f>
        <v>6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5</v>
      </c>
      <c r="W27" s="34">
        <f t="shared" si="19"/>
        <v>0</v>
      </c>
      <c r="X27" s="34">
        <f t="shared" si="19"/>
        <v>0</v>
      </c>
      <c r="Y27" s="34">
        <f t="shared" si="19"/>
        <v>6</v>
      </c>
      <c r="Z27" s="34">
        <f t="shared" si="19"/>
        <v>8</v>
      </c>
      <c r="AA27" s="34">
        <f t="shared" si="19"/>
        <v>4</v>
      </c>
      <c r="AB27" s="34">
        <f t="shared" si="19"/>
        <v>0</v>
      </c>
      <c r="AC27" s="34">
        <f t="shared" si="19"/>
        <v>14</v>
      </c>
      <c r="AD27" s="34">
        <f t="shared" si="19"/>
        <v>0</v>
      </c>
      <c r="AE27" s="31">
        <f t="shared" si="19"/>
        <v>30</v>
      </c>
      <c r="AF27" s="31">
        <f t="shared" si="19"/>
        <v>44</v>
      </c>
    </row>
    <row r="28" spans="2:32" ht="23.1" customHeight="1" x14ac:dyDescent="0.25">
      <c r="B28" s="45" t="s">
        <v>55</v>
      </c>
      <c r="C28" s="50">
        <v>9</v>
      </c>
      <c r="D28" s="50">
        <v>7</v>
      </c>
      <c r="E28" s="50">
        <v>3</v>
      </c>
      <c r="F28" s="50">
        <v>9</v>
      </c>
      <c r="G28" s="50">
        <v>0</v>
      </c>
      <c r="H28" s="50">
        <v>0</v>
      </c>
      <c r="I28" s="50">
        <v>5</v>
      </c>
      <c r="J28" s="50">
        <v>4</v>
      </c>
      <c r="K28" s="50">
        <v>3</v>
      </c>
      <c r="L28" s="50">
        <v>4</v>
      </c>
      <c r="M28" s="50">
        <v>33</v>
      </c>
      <c r="N28" s="50">
        <v>0</v>
      </c>
      <c r="O28" s="15">
        <f t="shared" si="0"/>
        <v>44</v>
      </c>
      <c r="P28" s="15">
        <f t="shared" si="1"/>
        <v>77</v>
      </c>
      <c r="R28" s="36" t="s">
        <v>152</v>
      </c>
      <c r="S28" s="34">
        <f>SUM(C82:C85)</f>
        <v>4</v>
      </c>
      <c r="T28" s="34">
        <f t="shared" ref="T28:AF28" si="20">SUM(D82:D85)</f>
        <v>3</v>
      </c>
      <c r="U28" s="34">
        <f t="shared" si="20"/>
        <v>2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4</v>
      </c>
      <c r="AA28" s="34">
        <f t="shared" si="20"/>
        <v>3</v>
      </c>
      <c r="AB28" s="34">
        <f t="shared" si="20"/>
        <v>1</v>
      </c>
      <c r="AC28" s="34">
        <f t="shared" si="20"/>
        <v>6</v>
      </c>
      <c r="AD28" s="34">
        <f t="shared" si="20"/>
        <v>0</v>
      </c>
      <c r="AE28" s="31">
        <f t="shared" si="20"/>
        <v>22</v>
      </c>
      <c r="AF28" s="31">
        <f t="shared" si="20"/>
        <v>28</v>
      </c>
    </row>
    <row r="29" spans="2:32" ht="23.1" customHeight="1" x14ac:dyDescent="0.25">
      <c r="B29" s="45" t="s">
        <v>56</v>
      </c>
      <c r="C29" s="50">
        <v>18</v>
      </c>
      <c r="D29" s="50">
        <v>7</v>
      </c>
      <c r="E29" s="50">
        <v>6</v>
      </c>
      <c r="F29" s="50">
        <v>3</v>
      </c>
      <c r="G29" s="50">
        <v>0</v>
      </c>
      <c r="H29" s="50">
        <v>0</v>
      </c>
      <c r="I29" s="50">
        <v>5</v>
      </c>
      <c r="J29" s="50">
        <v>2</v>
      </c>
      <c r="K29" s="50">
        <v>3</v>
      </c>
      <c r="L29" s="50">
        <v>5</v>
      </c>
      <c r="M29" s="50">
        <v>60</v>
      </c>
      <c r="N29" s="50">
        <v>0</v>
      </c>
      <c r="O29" s="15">
        <f t="shared" si="0"/>
        <v>49</v>
      </c>
      <c r="P29" s="15">
        <f t="shared" si="1"/>
        <v>109</v>
      </c>
      <c r="R29" s="36" t="s">
        <v>153</v>
      </c>
      <c r="S29" s="34">
        <f>SUM(C86:C89)</f>
        <v>0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2</v>
      </c>
      <c r="W29" s="34">
        <f t="shared" si="21"/>
        <v>1</v>
      </c>
      <c r="X29" s="34">
        <f t="shared" si="21"/>
        <v>0</v>
      </c>
      <c r="Y29" s="34">
        <f t="shared" si="21"/>
        <v>3</v>
      </c>
      <c r="Z29" s="34">
        <f t="shared" si="21"/>
        <v>4</v>
      </c>
      <c r="AA29" s="34">
        <f t="shared" si="21"/>
        <v>0</v>
      </c>
      <c r="AB29" s="34">
        <f t="shared" si="21"/>
        <v>1</v>
      </c>
      <c r="AC29" s="34">
        <f t="shared" si="21"/>
        <v>5</v>
      </c>
      <c r="AD29" s="34">
        <f t="shared" si="21"/>
        <v>0</v>
      </c>
      <c r="AE29" s="31">
        <f t="shared" si="21"/>
        <v>12</v>
      </c>
      <c r="AF29" s="31">
        <f t="shared" si="21"/>
        <v>17</v>
      </c>
    </row>
    <row r="30" spans="2:32" ht="23.1" customHeight="1" x14ac:dyDescent="0.25">
      <c r="B30" s="45" t="s">
        <v>57</v>
      </c>
      <c r="C30" s="50">
        <v>6</v>
      </c>
      <c r="D30" s="50">
        <v>0</v>
      </c>
      <c r="E30" s="50">
        <v>1</v>
      </c>
      <c r="F30" s="50">
        <v>8</v>
      </c>
      <c r="G30" s="50">
        <v>0</v>
      </c>
      <c r="H30" s="50">
        <v>3</v>
      </c>
      <c r="I30" s="50">
        <v>0</v>
      </c>
      <c r="J30" s="50">
        <v>12</v>
      </c>
      <c r="K30" s="50">
        <v>0</v>
      </c>
      <c r="L30" s="50">
        <v>1</v>
      </c>
      <c r="M30" s="50">
        <v>20</v>
      </c>
      <c r="N30" s="50">
        <v>1</v>
      </c>
      <c r="O30" s="15">
        <f t="shared" si="0"/>
        <v>32</v>
      </c>
      <c r="P30" s="15">
        <f t="shared" si="1"/>
        <v>52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5</v>
      </c>
      <c r="AA30" s="34">
        <f t="shared" si="22"/>
        <v>4</v>
      </c>
      <c r="AB30" s="34">
        <f t="shared" si="22"/>
        <v>0</v>
      </c>
      <c r="AC30" s="34">
        <f t="shared" si="22"/>
        <v>10</v>
      </c>
      <c r="AD30" s="34">
        <f t="shared" si="22"/>
        <v>0</v>
      </c>
      <c r="AE30" s="31">
        <f t="shared" si="22"/>
        <v>11</v>
      </c>
      <c r="AF30" s="31">
        <f t="shared" si="22"/>
        <v>21</v>
      </c>
    </row>
    <row r="31" spans="2:32" ht="23.1" customHeight="1" x14ac:dyDescent="0.25">
      <c r="B31" s="46" t="s">
        <v>58</v>
      </c>
      <c r="C31" s="50">
        <v>8</v>
      </c>
      <c r="D31" s="50">
        <v>3</v>
      </c>
      <c r="E31" s="50">
        <v>1</v>
      </c>
      <c r="F31" s="50">
        <v>6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21</v>
      </c>
      <c r="N31" s="50">
        <v>0</v>
      </c>
      <c r="O31" s="15">
        <f t="shared" si="0"/>
        <v>20</v>
      </c>
      <c r="P31" s="15">
        <f t="shared" si="1"/>
        <v>41</v>
      </c>
      <c r="R31" s="36" t="s">
        <v>155</v>
      </c>
      <c r="S31" s="34">
        <f>SUM(C94:C97)</f>
        <v>5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4</v>
      </c>
      <c r="AA31" s="34">
        <f t="shared" si="23"/>
        <v>0</v>
      </c>
      <c r="AB31" s="34">
        <f t="shared" si="23"/>
        <v>2</v>
      </c>
      <c r="AC31" s="34">
        <f t="shared" si="23"/>
        <v>1</v>
      </c>
      <c r="AD31" s="34">
        <f t="shared" si="23"/>
        <v>0</v>
      </c>
      <c r="AE31" s="31">
        <f t="shared" si="23"/>
        <v>12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10</v>
      </c>
      <c r="D32" s="50">
        <v>6</v>
      </c>
      <c r="E32" s="50">
        <v>3</v>
      </c>
      <c r="F32" s="50">
        <v>13</v>
      </c>
      <c r="G32" s="50">
        <v>0</v>
      </c>
      <c r="H32" s="50">
        <v>0</v>
      </c>
      <c r="I32" s="50">
        <v>10</v>
      </c>
      <c r="J32" s="50">
        <v>3</v>
      </c>
      <c r="K32" s="50">
        <v>3</v>
      </c>
      <c r="L32" s="50">
        <v>3</v>
      </c>
      <c r="M32" s="50">
        <v>45</v>
      </c>
      <c r="N32" s="50">
        <v>0</v>
      </c>
      <c r="O32" s="15">
        <f t="shared" si="0"/>
        <v>51</v>
      </c>
      <c r="P32" s="15">
        <f t="shared" si="1"/>
        <v>96</v>
      </c>
      <c r="R32" s="33" t="s">
        <v>156</v>
      </c>
      <c r="S32" s="34">
        <f>SUM(C98:C101)</f>
        <v>3</v>
      </c>
      <c r="T32" s="34">
        <f t="shared" ref="T32:AF32" si="24">SUM(D98:D101)</f>
        <v>2</v>
      </c>
      <c r="U32" s="34">
        <f t="shared" si="24"/>
        <v>1</v>
      </c>
      <c r="V32" s="34">
        <f t="shared" si="24"/>
        <v>0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3</v>
      </c>
      <c r="AA32" s="34">
        <f t="shared" si="24"/>
        <v>1</v>
      </c>
      <c r="AB32" s="34">
        <f t="shared" si="24"/>
        <v>1</v>
      </c>
      <c r="AC32" s="34">
        <f t="shared" si="24"/>
        <v>2</v>
      </c>
      <c r="AD32" s="34">
        <f t="shared" si="24"/>
        <v>0</v>
      </c>
      <c r="AE32" s="31">
        <f t="shared" si="24"/>
        <v>12</v>
      </c>
      <c r="AF32" s="31">
        <f t="shared" si="24"/>
        <v>14</v>
      </c>
    </row>
    <row r="33" spans="2:32" ht="23.1" customHeight="1" x14ac:dyDescent="0.25">
      <c r="B33" s="45" t="s">
        <v>60</v>
      </c>
      <c r="C33" s="50">
        <v>4</v>
      </c>
      <c r="D33" s="50">
        <v>3</v>
      </c>
      <c r="E33" s="50">
        <v>2</v>
      </c>
      <c r="F33" s="50">
        <v>5</v>
      </c>
      <c r="G33" s="50">
        <v>0</v>
      </c>
      <c r="H33" s="50">
        <v>2</v>
      </c>
      <c r="I33" s="50">
        <v>1</v>
      </c>
      <c r="J33" s="50">
        <v>1</v>
      </c>
      <c r="K33" s="50">
        <v>0</v>
      </c>
      <c r="L33" s="50">
        <v>2</v>
      </c>
      <c r="M33" s="50">
        <v>25</v>
      </c>
      <c r="N33" s="50">
        <v>0</v>
      </c>
      <c r="O33" s="15">
        <f t="shared" si="0"/>
        <v>20</v>
      </c>
      <c r="P33" s="15">
        <f t="shared" si="1"/>
        <v>45</v>
      </c>
      <c r="R33" s="33" t="s">
        <v>157</v>
      </c>
      <c r="S33" s="34">
        <f>SUM(C102:C105)</f>
        <v>4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2</v>
      </c>
      <c r="AA33" s="34">
        <f t="shared" si="25"/>
        <v>1</v>
      </c>
      <c r="AB33" s="34">
        <f t="shared" si="25"/>
        <v>3</v>
      </c>
      <c r="AC33" s="34">
        <f t="shared" si="25"/>
        <v>16</v>
      </c>
      <c r="AD33" s="34">
        <f t="shared" si="25"/>
        <v>0</v>
      </c>
      <c r="AE33" s="31">
        <f t="shared" si="25"/>
        <v>17</v>
      </c>
      <c r="AF33" s="31">
        <f t="shared" si="25"/>
        <v>33</v>
      </c>
    </row>
    <row r="34" spans="2:32" ht="23.1" customHeight="1" x14ac:dyDescent="0.25">
      <c r="B34" s="46" t="s">
        <v>61</v>
      </c>
      <c r="C34" s="50">
        <v>8</v>
      </c>
      <c r="D34" s="50">
        <v>5</v>
      </c>
      <c r="E34" s="50">
        <v>2</v>
      </c>
      <c r="F34" s="50">
        <v>15</v>
      </c>
      <c r="G34" s="50">
        <v>1</v>
      </c>
      <c r="H34" s="50">
        <v>1</v>
      </c>
      <c r="I34" s="50">
        <v>5</v>
      </c>
      <c r="J34" s="50">
        <v>6</v>
      </c>
      <c r="K34" s="50">
        <v>1</v>
      </c>
      <c r="L34" s="50">
        <v>0</v>
      </c>
      <c r="M34" s="50">
        <v>38</v>
      </c>
      <c r="N34" s="50">
        <v>0</v>
      </c>
      <c r="O34" s="15">
        <f t="shared" si="0"/>
        <v>44</v>
      </c>
      <c r="P34" s="15">
        <f t="shared" si="1"/>
        <v>82</v>
      </c>
      <c r="R34" s="38" t="s">
        <v>90</v>
      </c>
      <c r="S34" s="39">
        <f t="shared" ref="S34:AF34" si="26">MAX(S10:S12)</f>
        <v>33</v>
      </c>
      <c r="T34" s="39">
        <f t="shared" si="26"/>
        <v>24</v>
      </c>
      <c r="U34" s="39">
        <f t="shared" si="26"/>
        <v>15</v>
      </c>
      <c r="V34" s="39">
        <f t="shared" si="26"/>
        <v>31</v>
      </c>
      <c r="W34" s="39">
        <f t="shared" si="26"/>
        <v>2</v>
      </c>
      <c r="X34" s="39">
        <f t="shared" si="26"/>
        <v>1</v>
      </c>
      <c r="Y34" s="39">
        <f t="shared" si="26"/>
        <v>19</v>
      </c>
      <c r="Z34" s="39">
        <f t="shared" si="26"/>
        <v>11</v>
      </c>
      <c r="AA34" s="39">
        <f t="shared" si="26"/>
        <v>9</v>
      </c>
      <c r="AB34" s="39">
        <f t="shared" si="26"/>
        <v>3</v>
      </c>
      <c r="AC34" s="39">
        <f t="shared" si="26"/>
        <v>125</v>
      </c>
      <c r="AD34" s="39">
        <f t="shared" si="26"/>
        <v>0</v>
      </c>
      <c r="AE34" s="40">
        <f t="shared" si="26"/>
        <v>125</v>
      </c>
      <c r="AF34" s="40">
        <f t="shared" si="26"/>
        <v>250</v>
      </c>
    </row>
    <row r="35" spans="2:32" ht="23.1" customHeight="1" x14ac:dyDescent="0.25">
      <c r="B35" s="46" t="s">
        <v>62</v>
      </c>
      <c r="C35" s="50">
        <v>3</v>
      </c>
      <c r="D35" s="50">
        <v>1</v>
      </c>
      <c r="E35" s="50">
        <v>0</v>
      </c>
      <c r="F35" s="50">
        <v>5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13</v>
      </c>
      <c r="N35" s="50">
        <v>0</v>
      </c>
      <c r="O35" s="15">
        <f t="shared" si="0"/>
        <v>9</v>
      </c>
      <c r="P35" s="15">
        <f t="shared" si="1"/>
        <v>22</v>
      </c>
      <c r="R35" s="38" t="s">
        <v>91</v>
      </c>
      <c r="S35" s="39">
        <f t="shared" ref="S35:AF35" si="27">MAX(S13:S18)</f>
        <v>67</v>
      </c>
      <c r="T35" s="39">
        <f t="shared" si="27"/>
        <v>27</v>
      </c>
      <c r="U35" s="39">
        <f t="shared" si="27"/>
        <v>15</v>
      </c>
      <c r="V35" s="39">
        <f t="shared" si="27"/>
        <v>48</v>
      </c>
      <c r="W35" s="39">
        <f t="shared" si="27"/>
        <v>3</v>
      </c>
      <c r="X35" s="39">
        <f t="shared" si="27"/>
        <v>9</v>
      </c>
      <c r="Y35" s="39">
        <f t="shared" si="27"/>
        <v>27</v>
      </c>
      <c r="Z35" s="39">
        <f t="shared" si="27"/>
        <v>16</v>
      </c>
      <c r="AA35" s="39">
        <f t="shared" si="27"/>
        <v>16</v>
      </c>
      <c r="AB35" s="39">
        <f t="shared" si="27"/>
        <v>10</v>
      </c>
      <c r="AC35" s="39">
        <f t="shared" si="27"/>
        <v>161</v>
      </c>
      <c r="AD35" s="39">
        <f t="shared" si="27"/>
        <v>1</v>
      </c>
      <c r="AE35" s="40">
        <f t="shared" si="27"/>
        <v>224</v>
      </c>
      <c r="AF35" s="40">
        <f t="shared" si="27"/>
        <v>351</v>
      </c>
    </row>
    <row r="36" spans="2:32" ht="23.1" customHeight="1" x14ac:dyDescent="0.25">
      <c r="B36" s="46" t="s">
        <v>63</v>
      </c>
      <c r="C36" s="50">
        <v>9</v>
      </c>
      <c r="D36" s="50">
        <v>5</v>
      </c>
      <c r="E36" s="50">
        <v>1</v>
      </c>
      <c r="F36" s="50">
        <v>7</v>
      </c>
      <c r="G36" s="50">
        <v>0</v>
      </c>
      <c r="H36" s="50">
        <v>0</v>
      </c>
      <c r="I36" s="50">
        <v>3</v>
      </c>
      <c r="J36" s="50">
        <v>0</v>
      </c>
      <c r="K36" s="50">
        <v>2</v>
      </c>
      <c r="L36" s="50">
        <v>1</v>
      </c>
      <c r="M36" s="50">
        <v>35</v>
      </c>
      <c r="N36" s="50">
        <v>0</v>
      </c>
      <c r="O36" s="15">
        <f t="shared" si="0"/>
        <v>28</v>
      </c>
      <c r="P36" s="15">
        <f t="shared" si="1"/>
        <v>63</v>
      </c>
      <c r="R36" s="38" t="s">
        <v>92</v>
      </c>
      <c r="S36" s="39">
        <f t="shared" ref="S36:AF36" si="28">MAX(S19:S21)</f>
        <v>54</v>
      </c>
      <c r="T36" s="39">
        <f t="shared" si="28"/>
        <v>11</v>
      </c>
      <c r="U36" s="39">
        <f t="shared" si="28"/>
        <v>20</v>
      </c>
      <c r="V36" s="39">
        <f t="shared" si="28"/>
        <v>45</v>
      </c>
      <c r="W36" s="39">
        <f t="shared" si="28"/>
        <v>5</v>
      </c>
      <c r="X36" s="39">
        <f t="shared" si="28"/>
        <v>3</v>
      </c>
      <c r="Y36" s="39">
        <f t="shared" si="28"/>
        <v>23</v>
      </c>
      <c r="Z36" s="39">
        <f t="shared" si="28"/>
        <v>25</v>
      </c>
      <c r="AA36" s="39">
        <f t="shared" si="28"/>
        <v>7</v>
      </c>
      <c r="AB36" s="39">
        <f t="shared" si="28"/>
        <v>14</v>
      </c>
      <c r="AC36" s="39">
        <f t="shared" si="28"/>
        <v>178</v>
      </c>
      <c r="AD36" s="39">
        <f t="shared" si="28"/>
        <v>0</v>
      </c>
      <c r="AE36" s="40">
        <f t="shared" si="28"/>
        <v>194</v>
      </c>
      <c r="AF36" s="40">
        <f t="shared" si="28"/>
        <v>372</v>
      </c>
    </row>
    <row r="37" spans="2:32" ht="23.1" customHeight="1" x14ac:dyDescent="0.25">
      <c r="B37" s="45" t="s">
        <v>64</v>
      </c>
      <c r="C37" s="50">
        <v>11</v>
      </c>
      <c r="D37" s="50">
        <v>4</v>
      </c>
      <c r="E37" s="50">
        <v>1</v>
      </c>
      <c r="F37" s="50">
        <v>3</v>
      </c>
      <c r="G37" s="50">
        <v>0</v>
      </c>
      <c r="H37" s="50">
        <v>2</v>
      </c>
      <c r="I37" s="50">
        <v>4</v>
      </c>
      <c r="J37" s="50">
        <v>0</v>
      </c>
      <c r="K37" s="50">
        <v>0</v>
      </c>
      <c r="L37" s="50">
        <v>0</v>
      </c>
      <c r="M37" s="50">
        <v>40</v>
      </c>
      <c r="N37" s="50">
        <v>0</v>
      </c>
      <c r="O37" s="15">
        <f t="shared" si="0"/>
        <v>25</v>
      </c>
      <c r="P37" s="15">
        <f t="shared" si="1"/>
        <v>65</v>
      </c>
      <c r="R37" s="37" t="s">
        <v>85</v>
      </c>
      <c r="S37" s="35">
        <f t="shared" ref="S37:AF37" si="29">SUM(S10:S12)</f>
        <v>92</v>
      </c>
      <c r="T37" s="16">
        <f t="shared" si="29"/>
        <v>50</v>
      </c>
      <c r="U37" s="16">
        <f t="shared" si="29"/>
        <v>34</v>
      </c>
      <c r="V37" s="16">
        <f t="shared" si="29"/>
        <v>66</v>
      </c>
      <c r="W37" s="16">
        <f t="shared" si="29"/>
        <v>2</v>
      </c>
      <c r="X37" s="16">
        <f t="shared" si="29"/>
        <v>2</v>
      </c>
      <c r="Y37" s="16">
        <f t="shared" si="29"/>
        <v>34</v>
      </c>
      <c r="Z37" s="16">
        <f t="shared" si="29"/>
        <v>27</v>
      </c>
      <c r="AA37" s="16">
        <f t="shared" si="29"/>
        <v>11</v>
      </c>
      <c r="AB37" s="16">
        <f t="shared" si="29"/>
        <v>7</v>
      </c>
      <c r="AC37" s="16">
        <f t="shared" si="29"/>
        <v>362</v>
      </c>
      <c r="AD37" s="16">
        <f t="shared" si="29"/>
        <v>0</v>
      </c>
      <c r="AE37" s="32">
        <f t="shared" si="29"/>
        <v>325</v>
      </c>
      <c r="AF37" s="32">
        <f t="shared" si="29"/>
        <v>687</v>
      </c>
    </row>
    <row r="38" spans="2:32" ht="23.1" customHeight="1" x14ac:dyDescent="0.25">
      <c r="B38" s="46" t="s">
        <v>65</v>
      </c>
      <c r="C38" s="50">
        <v>11</v>
      </c>
      <c r="D38" s="50">
        <v>2</v>
      </c>
      <c r="E38" s="50">
        <v>2</v>
      </c>
      <c r="F38" s="50">
        <v>10</v>
      </c>
      <c r="G38" s="50">
        <v>0</v>
      </c>
      <c r="H38" s="50">
        <v>0</v>
      </c>
      <c r="I38" s="50">
        <v>3</v>
      </c>
      <c r="J38" s="50">
        <v>3</v>
      </c>
      <c r="K38" s="50">
        <v>0</v>
      </c>
      <c r="L38" s="50">
        <v>2</v>
      </c>
      <c r="M38" s="50">
        <v>35</v>
      </c>
      <c r="N38" s="50">
        <v>0</v>
      </c>
      <c r="O38" s="15">
        <f t="shared" si="0"/>
        <v>33</v>
      </c>
      <c r="P38" s="15">
        <f t="shared" si="1"/>
        <v>68</v>
      </c>
      <c r="R38" s="28" t="s">
        <v>86</v>
      </c>
      <c r="S38" s="16">
        <f t="shared" ref="S38:AF38" si="30">SUM(S13:S18)</f>
        <v>262</v>
      </c>
      <c r="T38" s="16">
        <f t="shared" si="30"/>
        <v>105</v>
      </c>
      <c r="U38" s="16">
        <f t="shared" si="30"/>
        <v>62</v>
      </c>
      <c r="V38" s="16">
        <f t="shared" si="30"/>
        <v>234</v>
      </c>
      <c r="W38" s="16">
        <f t="shared" si="30"/>
        <v>5</v>
      </c>
      <c r="X38" s="16">
        <f t="shared" si="30"/>
        <v>22</v>
      </c>
      <c r="Y38" s="16">
        <f t="shared" si="30"/>
        <v>91</v>
      </c>
      <c r="Z38" s="16">
        <f t="shared" si="30"/>
        <v>74</v>
      </c>
      <c r="AA38" s="16">
        <f t="shared" si="30"/>
        <v>42</v>
      </c>
      <c r="AB38" s="16">
        <f t="shared" si="30"/>
        <v>37</v>
      </c>
      <c r="AC38" s="16">
        <f t="shared" si="30"/>
        <v>799</v>
      </c>
      <c r="AD38" s="16">
        <f t="shared" si="30"/>
        <v>2</v>
      </c>
      <c r="AE38" s="32">
        <f t="shared" si="30"/>
        <v>936</v>
      </c>
      <c r="AF38" s="32">
        <f t="shared" si="30"/>
        <v>1735</v>
      </c>
    </row>
    <row r="39" spans="2:32" ht="23.1" customHeight="1" x14ac:dyDescent="0.25">
      <c r="B39" s="46" t="s">
        <v>66</v>
      </c>
      <c r="C39" s="50">
        <v>12</v>
      </c>
      <c r="D39" s="50">
        <v>3</v>
      </c>
      <c r="E39" s="50">
        <v>4</v>
      </c>
      <c r="F39" s="50">
        <v>9</v>
      </c>
      <c r="G39" s="50">
        <v>0</v>
      </c>
      <c r="H39" s="50">
        <v>1</v>
      </c>
      <c r="I39" s="50">
        <v>5</v>
      </c>
      <c r="J39" s="50">
        <v>0</v>
      </c>
      <c r="K39" s="50">
        <v>0</v>
      </c>
      <c r="L39" s="50">
        <v>0</v>
      </c>
      <c r="M39" s="50">
        <v>56</v>
      </c>
      <c r="N39" s="50">
        <v>0</v>
      </c>
      <c r="O39" s="15">
        <f t="shared" si="0"/>
        <v>34</v>
      </c>
      <c r="P39" s="15">
        <f t="shared" si="1"/>
        <v>90</v>
      </c>
      <c r="R39" s="29" t="s">
        <v>87</v>
      </c>
      <c r="S39" s="16">
        <f t="shared" ref="S39:AF39" si="31">SUM(S19:S21)</f>
        <v>142</v>
      </c>
      <c r="T39" s="16">
        <f t="shared" si="31"/>
        <v>33</v>
      </c>
      <c r="U39" s="16">
        <f t="shared" si="31"/>
        <v>53</v>
      </c>
      <c r="V39" s="16">
        <f t="shared" si="31"/>
        <v>111</v>
      </c>
      <c r="W39" s="16">
        <f t="shared" si="31"/>
        <v>6</v>
      </c>
      <c r="X39" s="16">
        <f t="shared" si="31"/>
        <v>6</v>
      </c>
      <c r="Y39" s="16">
        <f t="shared" si="31"/>
        <v>56</v>
      </c>
      <c r="Z39" s="16">
        <f t="shared" si="31"/>
        <v>68</v>
      </c>
      <c r="AA39" s="16">
        <f t="shared" si="31"/>
        <v>13</v>
      </c>
      <c r="AB39" s="16">
        <f t="shared" si="31"/>
        <v>34</v>
      </c>
      <c r="AC39" s="16">
        <f t="shared" si="31"/>
        <v>391</v>
      </c>
      <c r="AD39" s="16">
        <f t="shared" si="31"/>
        <v>0</v>
      </c>
      <c r="AE39" s="32">
        <f t="shared" si="31"/>
        <v>522</v>
      </c>
      <c r="AF39" s="32">
        <f t="shared" si="31"/>
        <v>913</v>
      </c>
    </row>
    <row r="40" spans="2:32" ht="23.1" customHeight="1" x14ac:dyDescent="0.25">
      <c r="B40" s="46" t="s">
        <v>67</v>
      </c>
      <c r="C40" s="50">
        <v>3</v>
      </c>
      <c r="D40" s="50">
        <v>0</v>
      </c>
      <c r="E40" s="50">
        <v>3</v>
      </c>
      <c r="F40" s="50">
        <v>12</v>
      </c>
      <c r="G40" s="50">
        <v>0</v>
      </c>
      <c r="H40" s="50">
        <v>1</v>
      </c>
      <c r="I40" s="50">
        <v>4</v>
      </c>
      <c r="J40" s="50">
        <v>2</v>
      </c>
      <c r="K40" s="50">
        <v>0</v>
      </c>
      <c r="L40" s="50">
        <v>0</v>
      </c>
      <c r="M40" s="50">
        <v>30</v>
      </c>
      <c r="N40" s="50">
        <v>0</v>
      </c>
      <c r="O40" s="15">
        <f t="shared" si="0"/>
        <v>25</v>
      </c>
      <c r="P40" s="15">
        <f t="shared" si="1"/>
        <v>55</v>
      </c>
      <c r="R40" s="5" t="s">
        <v>17</v>
      </c>
      <c r="S40" s="16">
        <f t="shared" ref="S40:AF40" si="32">SUM(S10:S21)</f>
        <v>496</v>
      </c>
      <c r="T40" s="16">
        <f t="shared" si="32"/>
        <v>188</v>
      </c>
      <c r="U40" s="16">
        <f t="shared" si="32"/>
        <v>149</v>
      </c>
      <c r="V40" s="16">
        <f t="shared" si="32"/>
        <v>411</v>
      </c>
      <c r="W40" s="16">
        <f t="shared" si="32"/>
        <v>13</v>
      </c>
      <c r="X40" s="16">
        <f t="shared" si="32"/>
        <v>30</v>
      </c>
      <c r="Y40" s="16">
        <f t="shared" si="32"/>
        <v>181</v>
      </c>
      <c r="Z40" s="16">
        <f t="shared" si="32"/>
        <v>169</v>
      </c>
      <c r="AA40" s="16">
        <f t="shared" si="32"/>
        <v>66</v>
      </c>
      <c r="AB40" s="16">
        <f t="shared" si="32"/>
        <v>78</v>
      </c>
      <c r="AC40" s="16">
        <f t="shared" si="32"/>
        <v>1552</v>
      </c>
      <c r="AD40" s="16">
        <f t="shared" si="32"/>
        <v>2</v>
      </c>
      <c r="AE40" s="32">
        <f t="shared" si="32"/>
        <v>1783</v>
      </c>
      <c r="AF40" s="32">
        <f t="shared" si="32"/>
        <v>3335</v>
      </c>
    </row>
    <row r="41" spans="2:32" ht="23.1" customHeight="1" x14ac:dyDescent="0.25">
      <c r="B41" s="45" t="s">
        <v>68</v>
      </c>
      <c r="C41" s="50">
        <v>6</v>
      </c>
      <c r="D41" s="50">
        <v>12</v>
      </c>
      <c r="E41" s="50">
        <v>3</v>
      </c>
      <c r="F41" s="50">
        <v>8</v>
      </c>
      <c r="G41" s="50">
        <v>0</v>
      </c>
      <c r="H41" s="50">
        <v>0</v>
      </c>
      <c r="I41" s="50">
        <v>2</v>
      </c>
      <c r="J41" s="50">
        <v>8</v>
      </c>
      <c r="K41" s="50">
        <v>5</v>
      </c>
      <c r="L41" s="50">
        <v>0</v>
      </c>
      <c r="M41" s="50">
        <v>40</v>
      </c>
      <c r="N41" s="50">
        <v>0</v>
      </c>
      <c r="O41" s="15">
        <f t="shared" si="0"/>
        <v>44</v>
      </c>
      <c r="P41" s="15">
        <f t="shared" si="1"/>
        <v>84</v>
      </c>
      <c r="R41" s="5" t="s">
        <v>159</v>
      </c>
      <c r="S41" s="16">
        <f>SUM(S10:S33)</f>
        <v>631</v>
      </c>
      <c r="T41" s="16">
        <f t="shared" ref="T41:AF41" si="33">SUM(T10:T33)</f>
        <v>236</v>
      </c>
      <c r="U41" s="16">
        <f t="shared" si="33"/>
        <v>175</v>
      </c>
      <c r="V41" s="16">
        <f t="shared" si="33"/>
        <v>500</v>
      </c>
      <c r="W41" s="16">
        <f t="shared" si="33"/>
        <v>17</v>
      </c>
      <c r="X41" s="16">
        <f t="shared" si="33"/>
        <v>35</v>
      </c>
      <c r="Y41" s="16">
        <f t="shared" si="33"/>
        <v>233</v>
      </c>
      <c r="Z41" s="16">
        <f t="shared" si="33"/>
        <v>274</v>
      </c>
      <c r="AA41" s="16">
        <f t="shared" si="33"/>
        <v>114</v>
      </c>
      <c r="AB41" s="16">
        <f t="shared" si="33"/>
        <v>100</v>
      </c>
      <c r="AC41" s="16">
        <f t="shared" si="33"/>
        <v>2004</v>
      </c>
      <c r="AD41" s="16">
        <f t="shared" si="33"/>
        <v>2</v>
      </c>
      <c r="AE41" s="32">
        <f t="shared" si="33"/>
        <v>2317</v>
      </c>
      <c r="AF41" s="32">
        <f t="shared" si="33"/>
        <v>4321</v>
      </c>
    </row>
    <row r="42" spans="2:32" ht="23.1" customHeight="1" x14ac:dyDescent="0.25">
      <c r="B42" s="46" t="s">
        <v>69</v>
      </c>
      <c r="C42" s="50">
        <v>12</v>
      </c>
      <c r="D42" s="50">
        <v>6</v>
      </c>
      <c r="E42" s="50">
        <v>1</v>
      </c>
      <c r="F42" s="50">
        <v>21</v>
      </c>
      <c r="G42" s="50">
        <v>2</v>
      </c>
      <c r="H42" s="50">
        <v>0</v>
      </c>
      <c r="I42" s="50">
        <v>3</v>
      </c>
      <c r="J42" s="50">
        <v>2</v>
      </c>
      <c r="K42" s="50">
        <v>1</v>
      </c>
      <c r="L42" s="50">
        <v>0</v>
      </c>
      <c r="M42" s="50">
        <v>37</v>
      </c>
      <c r="N42" s="50">
        <v>0</v>
      </c>
      <c r="O42" s="15">
        <f t="shared" si="0"/>
        <v>48</v>
      </c>
      <c r="P42" s="15">
        <f t="shared" si="1"/>
        <v>85</v>
      </c>
      <c r="R42" s="5" t="s">
        <v>160</v>
      </c>
      <c r="S42" s="48">
        <f>S41/S40</f>
        <v>1.2721774193548387</v>
      </c>
      <c r="T42" s="48">
        <f t="shared" ref="T42:AF42" si="34">T41/T40</f>
        <v>1.2553191489361701</v>
      </c>
      <c r="U42" s="48">
        <f t="shared" si="34"/>
        <v>1.174496644295302</v>
      </c>
      <c r="V42" s="48">
        <f t="shared" si="34"/>
        <v>1.2165450121654502</v>
      </c>
      <c r="W42" s="48">
        <f t="shared" si="34"/>
        <v>1.3076923076923077</v>
      </c>
      <c r="X42" s="48">
        <f t="shared" si="34"/>
        <v>1.1666666666666667</v>
      </c>
      <c r="Y42" s="48">
        <f t="shared" si="34"/>
        <v>1.2872928176795579</v>
      </c>
      <c r="Z42" s="48">
        <f t="shared" si="34"/>
        <v>1.6213017751479291</v>
      </c>
      <c r="AA42" s="48">
        <f t="shared" si="34"/>
        <v>1.7272727272727273</v>
      </c>
      <c r="AB42" s="48">
        <f t="shared" si="34"/>
        <v>1.2820512820512822</v>
      </c>
      <c r="AC42" s="48">
        <f t="shared" si="34"/>
        <v>1.2912371134020619</v>
      </c>
      <c r="AD42" s="48">
        <f t="shared" si="34"/>
        <v>1</v>
      </c>
      <c r="AE42" s="48">
        <f t="shared" si="34"/>
        <v>1.2994952327537856</v>
      </c>
      <c r="AF42" s="48">
        <f t="shared" si="34"/>
        <v>1.2956521739130435</v>
      </c>
    </row>
    <row r="43" spans="2:32" ht="23.1" customHeight="1" x14ac:dyDescent="0.25">
      <c r="B43" s="45" t="s">
        <v>70</v>
      </c>
      <c r="C43" s="50">
        <v>4</v>
      </c>
      <c r="D43" s="50">
        <v>12</v>
      </c>
      <c r="E43" s="50">
        <v>4</v>
      </c>
      <c r="F43" s="50">
        <v>10</v>
      </c>
      <c r="G43" s="50">
        <v>0</v>
      </c>
      <c r="H43" s="50">
        <v>0</v>
      </c>
      <c r="I43" s="50">
        <v>3</v>
      </c>
      <c r="J43" s="50">
        <v>8</v>
      </c>
      <c r="K43" s="50">
        <v>1</v>
      </c>
      <c r="L43" s="50">
        <v>3</v>
      </c>
      <c r="M43" s="50">
        <v>30</v>
      </c>
      <c r="N43" s="50">
        <v>0</v>
      </c>
      <c r="O43" s="15">
        <f t="shared" si="0"/>
        <v>45</v>
      </c>
      <c r="P43" s="15">
        <f t="shared" si="1"/>
        <v>75</v>
      </c>
    </row>
    <row r="44" spans="2:32" ht="23.1" customHeight="1" x14ac:dyDescent="0.25">
      <c r="B44" s="47" t="s">
        <v>71</v>
      </c>
      <c r="C44" s="50">
        <v>21</v>
      </c>
      <c r="D44" s="50">
        <v>7</v>
      </c>
      <c r="E44" s="50">
        <v>3</v>
      </c>
      <c r="F44" s="50">
        <v>4</v>
      </c>
      <c r="G44" s="50">
        <v>1</v>
      </c>
      <c r="H44" s="50">
        <v>2</v>
      </c>
      <c r="I44" s="50">
        <v>4</v>
      </c>
      <c r="J44" s="50">
        <v>1</v>
      </c>
      <c r="K44" s="50">
        <v>0</v>
      </c>
      <c r="L44" s="50">
        <v>2</v>
      </c>
      <c r="M44" s="50">
        <v>25</v>
      </c>
      <c r="N44" s="50">
        <v>0</v>
      </c>
      <c r="O44" s="15">
        <f t="shared" si="0"/>
        <v>45</v>
      </c>
      <c r="P44" s="15">
        <f t="shared" si="1"/>
        <v>70</v>
      </c>
    </row>
    <row r="45" spans="2:32" ht="23.1" customHeight="1" x14ac:dyDescent="0.25">
      <c r="B45" s="45" t="s">
        <v>72</v>
      </c>
      <c r="C45" s="50">
        <v>25</v>
      </c>
      <c r="D45" s="50">
        <v>2</v>
      </c>
      <c r="E45" s="50">
        <v>7</v>
      </c>
      <c r="F45" s="50">
        <v>13</v>
      </c>
      <c r="G45" s="50">
        <v>0</v>
      </c>
      <c r="H45" s="50">
        <v>0</v>
      </c>
      <c r="I45" s="50">
        <v>17</v>
      </c>
      <c r="J45" s="50">
        <v>3</v>
      </c>
      <c r="K45" s="50">
        <v>14</v>
      </c>
      <c r="L45" s="50">
        <v>5</v>
      </c>
      <c r="M45" s="50">
        <v>35</v>
      </c>
      <c r="N45" s="50">
        <v>0</v>
      </c>
      <c r="O45" s="15">
        <f t="shared" si="0"/>
        <v>86</v>
      </c>
      <c r="P45" s="15">
        <f t="shared" si="1"/>
        <v>121</v>
      </c>
    </row>
    <row r="46" spans="2:32" ht="23.1" customHeight="1" x14ac:dyDescent="0.25">
      <c r="B46" s="46" t="s">
        <v>73</v>
      </c>
      <c r="C46" s="50">
        <v>15</v>
      </c>
      <c r="D46" s="50">
        <v>0</v>
      </c>
      <c r="E46" s="50">
        <v>8</v>
      </c>
      <c r="F46" s="50">
        <v>8</v>
      </c>
      <c r="G46" s="50">
        <v>0</v>
      </c>
      <c r="H46" s="50">
        <v>1</v>
      </c>
      <c r="I46" s="50">
        <v>5</v>
      </c>
      <c r="J46" s="50">
        <v>6</v>
      </c>
      <c r="K46" s="50">
        <v>0</v>
      </c>
      <c r="L46" s="50">
        <v>8</v>
      </c>
      <c r="M46" s="50">
        <v>32</v>
      </c>
      <c r="N46" s="50">
        <v>0</v>
      </c>
      <c r="O46" s="15">
        <f t="shared" si="0"/>
        <v>51</v>
      </c>
      <c r="P46" s="15">
        <f t="shared" si="1"/>
        <v>83</v>
      </c>
      <c r="R46" s="8"/>
      <c r="T46"/>
    </row>
    <row r="47" spans="2:32" ht="23.1" customHeight="1" x14ac:dyDescent="0.25">
      <c r="B47" s="46" t="s">
        <v>74</v>
      </c>
      <c r="C47" s="50">
        <v>10</v>
      </c>
      <c r="D47" s="50">
        <v>2</v>
      </c>
      <c r="E47" s="50">
        <v>3</v>
      </c>
      <c r="F47" s="50">
        <v>13</v>
      </c>
      <c r="G47" s="50">
        <v>0</v>
      </c>
      <c r="H47" s="50">
        <v>0</v>
      </c>
      <c r="I47" s="50">
        <v>2</v>
      </c>
      <c r="J47" s="50">
        <v>4</v>
      </c>
      <c r="K47" s="50">
        <v>0</v>
      </c>
      <c r="L47" s="50">
        <v>0</v>
      </c>
      <c r="M47" s="50">
        <v>40</v>
      </c>
      <c r="N47" s="50">
        <v>0</v>
      </c>
      <c r="O47" s="15">
        <f t="shared" si="0"/>
        <v>34</v>
      </c>
      <c r="P47" s="15">
        <f t="shared" si="1"/>
        <v>74</v>
      </c>
      <c r="R47" s="8"/>
      <c r="T47"/>
    </row>
    <row r="48" spans="2:32" ht="23.1" customHeight="1" x14ac:dyDescent="0.25">
      <c r="B48" s="46" t="s">
        <v>75</v>
      </c>
      <c r="C48" s="50">
        <v>14</v>
      </c>
      <c r="D48" s="50">
        <v>4</v>
      </c>
      <c r="E48" s="50">
        <v>5</v>
      </c>
      <c r="F48" s="50">
        <v>15</v>
      </c>
      <c r="G48" s="50">
        <v>0</v>
      </c>
      <c r="H48" s="50">
        <v>0</v>
      </c>
      <c r="I48" s="50">
        <v>5</v>
      </c>
      <c r="J48" s="50">
        <v>1</v>
      </c>
      <c r="K48" s="50">
        <v>0</v>
      </c>
      <c r="L48" s="50">
        <v>0</v>
      </c>
      <c r="M48" s="50">
        <v>30</v>
      </c>
      <c r="N48" s="50">
        <v>0</v>
      </c>
      <c r="O48" s="15">
        <f t="shared" si="0"/>
        <v>44</v>
      </c>
      <c r="P48" s="15">
        <f t="shared" si="1"/>
        <v>74</v>
      </c>
      <c r="R48" s="8"/>
      <c r="T48"/>
    </row>
    <row r="49" spans="2:20" ht="23.1" customHeight="1" x14ac:dyDescent="0.25">
      <c r="B49" s="45" t="s">
        <v>76</v>
      </c>
      <c r="C49" s="50">
        <v>15</v>
      </c>
      <c r="D49" s="50">
        <v>5</v>
      </c>
      <c r="E49" s="50">
        <v>3</v>
      </c>
      <c r="F49" s="50">
        <v>9</v>
      </c>
      <c r="G49" s="50">
        <v>0</v>
      </c>
      <c r="H49" s="50">
        <v>0</v>
      </c>
      <c r="I49" s="50">
        <v>10</v>
      </c>
      <c r="J49" s="50">
        <v>13</v>
      </c>
      <c r="K49" s="50">
        <v>0</v>
      </c>
      <c r="L49" s="50">
        <v>4</v>
      </c>
      <c r="M49" s="50">
        <v>30</v>
      </c>
      <c r="N49" s="50">
        <v>0</v>
      </c>
      <c r="O49" s="15">
        <f t="shared" si="0"/>
        <v>59</v>
      </c>
      <c r="P49" s="15">
        <f t="shared" si="1"/>
        <v>89</v>
      </c>
      <c r="R49" s="8"/>
      <c r="T49"/>
    </row>
    <row r="50" spans="2:20" ht="23.1" customHeight="1" x14ac:dyDescent="0.25">
      <c r="B50" s="46" t="s">
        <v>77</v>
      </c>
      <c r="C50" s="50">
        <v>12</v>
      </c>
      <c r="D50" s="50">
        <v>4</v>
      </c>
      <c r="E50" s="50">
        <v>2</v>
      </c>
      <c r="F50" s="50">
        <v>3</v>
      </c>
      <c r="G50" s="50">
        <v>1</v>
      </c>
      <c r="H50" s="50">
        <v>1</v>
      </c>
      <c r="I50" s="50">
        <v>3</v>
      </c>
      <c r="J50" s="50">
        <v>4</v>
      </c>
      <c r="K50" s="50">
        <v>0</v>
      </c>
      <c r="L50" s="50">
        <v>1</v>
      </c>
      <c r="M50" s="50">
        <v>4</v>
      </c>
      <c r="N50" s="50">
        <v>0</v>
      </c>
      <c r="O50" s="15">
        <f t="shared" si="0"/>
        <v>31</v>
      </c>
      <c r="P50" s="15">
        <f t="shared" si="1"/>
        <v>35</v>
      </c>
      <c r="R50" s="8"/>
      <c r="T50"/>
    </row>
    <row r="51" spans="2:20" ht="23.1" customHeight="1" x14ac:dyDescent="0.25">
      <c r="B51" s="46" t="s">
        <v>78</v>
      </c>
      <c r="C51" s="50">
        <v>9</v>
      </c>
      <c r="D51" s="50">
        <v>0</v>
      </c>
      <c r="E51" s="50">
        <v>2</v>
      </c>
      <c r="F51" s="50">
        <v>7</v>
      </c>
      <c r="G51" s="50">
        <v>0</v>
      </c>
      <c r="H51" s="50">
        <v>0</v>
      </c>
      <c r="I51" s="50">
        <v>0</v>
      </c>
      <c r="J51" s="50">
        <v>9</v>
      </c>
      <c r="K51" s="50">
        <v>3</v>
      </c>
      <c r="L51" s="50">
        <v>4</v>
      </c>
      <c r="M51" s="50">
        <v>0</v>
      </c>
      <c r="N51" s="50">
        <v>0</v>
      </c>
      <c r="O51" s="15">
        <f t="shared" si="0"/>
        <v>34</v>
      </c>
      <c r="P51" s="15">
        <f t="shared" si="1"/>
        <v>34</v>
      </c>
      <c r="R51" s="8"/>
      <c r="T51"/>
    </row>
    <row r="52" spans="2:20" ht="23.1" customHeight="1" x14ac:dyDescent="0.25">
      <c r="B52" s="46" t="s">
        <v>79</v>
      </c>
      <c r="C52" s="50">
        <v>6</v>
      </c>
      <c r="D52" s="50">
        <v>4</v>
      </c>
      <c r="E52" s="50">
        <v>8</v>
      </c>
      <c r="F52" s="50">
        <v>10</v>
      </c>
      <c r="G52" s="50">
        <v>0</v>
      </c>
      <c r="H52" s="50">
        <v>1</v>
      </c>
      <c r="I52" s="50">
        <v>4</v>
      </c>
      <c r="J52" s="50">
        <v>9</v>
      </c>
      <c r="K52" s="50">
        <v>3</v>
      </c>
      <c r="L52" s="50">
        <v>0</v>
      </c>
      <c r="M52" s="50">
        <v>40</v>
      </c>
      <c r="N52" s="50">
        <v>0</v>
      </c>
      <c r="O52" s="15">
        <f t="shared" si="0"/>
        <v>45</v>
      </c>
      <c r="P52" s="15">
        <f t="shared" si="1"/>
        <v>85</v>
      </c>
      <c r="R52" s="8"/>
      <c r="T52"/>
    </row>
    <row r="53" spans="2:20" ht="23.1" customHeight="1" x14ac:dyDescent="0.25">
      <c r="B53" s="45" t="s">
        <v>80</v>
      </c>
      <c r="C53" s="50">
        <v>10</v>
      </c>
      <c r="D53" s="50">
        <v>3</v>
      </c>
      <c r="E53" s="50">
        <v>2</v>
      </c>
      <c r="F53" s="50">
        <v>3</v>
      </c>
      <c r="G53" s="50">
        <v>0</v>
      </c>
      <c r="H53" s="50">
        <v>1</v>
      </c>
      <c r="I53" s="50">
        <v>4</v>
      </c>
      <c r="J53" s="50">
        <v>3</v>
      </c>
      <c r="K53" s="50">
        <v>1</v>
      </c>
      <c r="L53" s="50">
        <v>3</v>
      </c>
      <c r="M53" s="50">
        <v>37</v>
      </c>
      <c r="N53" s="50">
        <v>0</v>
      </c>
      <c r="O53" s="15">
        <f t="shared" si="0"/>
        <v>30</v>
      </c>
      <c r="P53" s="15">
        <f t="shared" si="1"/>
        <v>67</v>
      </c>
      <c r="R53" s="8"/>
      <c r="T53"/>
    </row>
    <row r="54" spans="2:20" ht="23.1" customHeight="1" x14ac:dyDescent="0.25">
      <c r="B54" s="45" t="s">
        <v>81</v>
      </c>
      <c r="C54" s="50">
        <v>17</v>
      </c>
      <c r="D54" s="50">
        <v>4</v>
      </c>
      <c r="E54" s="50">
        <v>3</v>
      </c>
      <c r="F54" s="50">
        <v>13</v>
      </c>
      <c r="G54" s="50">
        <v>0</v>
      </c>
      <c r="H54" s="50">
        <v>0</v>
      </c>
      <c r="I54" s="50">
        <v>0</v>
      </c>
      <c r="J54" s="50">
        <v>8</v>
      </c>
      <c r="K54" s="50">
        <v>4</v>
      </c>
      <c r="L54" s="50">
        <v>2</v>
      </c>
      <c r="M54" s="50">
        <v>35</v>
      </c>
      <c r="N54" s="50">
        <v>0</v>
      </c>
      <c r="O54" s="15">
        <f t="shared" si="0"/>
        <v>51</v>
      </c>
      <c r="P54" s="15">
        <f t="shared" si="1"/>
        <v>86</v>
      </c>
      <c r="R54" s="8"/>
      <c r="T54"/>
    </row>
    <row r="55" spans="2:20" ht="23.1" customHeight="1" x14ac:dyDescent="0.25">
      <c r="B55" s="45" t="s">
        <v>82</v>
      </c>
      <c r="C55" s="50">
        <v>7</v>
      </c>
      <c r="D55" s="50">
        <v>1</v>
      </c>
      <c r="E55" s="50">
        <v>6</v>
      </c>
      <c r="F55" s="50">
        <v>11</v>
      </c>
      <c r="G55" s="50">
        <v>0</v>
      </c>
      <c r="H55" s="50">
        <v>2</v>
      </c>
      <c r="I55" s="50">
        <v>8</v>
      </c>
      <c r="J55" s="50">
        <v>5</v>
      </c>
      <c r="K55" s="50">
        <v>1</v>
      </c>
      <c r="L55" s="50">
        <v>5</v>
      </c>
      <c r="M55" s="50">
        <v>48</v>
      </c>
      <c r="N55" s="50">
        <v>0</v>
      </c>
      <c r="O55" s="15">
        <f t="shared" si="0"/>
        <v>46</v>
      </c>
      <c r="P55" s="15">
        <f t="shared" si="1"/>
        <v>94</v>
      </c>
      <c r="R55" s="8"/>
      <c r="T55"/>
    </row>
    <row r="56" spans="2:20" ht="23.1" customHeight="1" x14ac:dyDescent="0.25">
      <c r="B56" s="45" t="s">
        <v>83</v>
      </c>
      <c r="C56" s="50">
        <v>12</v>
      </c>
      <c r="D56" s="50">
        <v>0</v>
      </c>
      <c r="E56" s="50">
        <v>7</v>
      </c>
      <c r="F56" s="50">
        <v>12</v>
      </c>
      <c r="G56" s="50">
        <v>0</v>
      </c>
      <c r="H56" s="50">
        <v>0</v>
      </c>
      <c r="I56" s="50">
        <v>4</v>
      </c>
      <c r="J56" s="50">
        <v>6</v>
      </c>
      <c r="K56" s="50">
        <v>0</v>
      </c>
      <c r="L56" s="50">
        <v>3</v>
      </c>
      <c r="M56" s="50">
        <v>35</v>
      </c>
      <c r="N56" s="50">
        <v>0</v>
      </c>
      <c r="O56" s="15">
        <f t="shared" si="0"/>
        <v>44</v>
      </c>
      <c r="P56" s="15">
        <f t="shared" si="1"/>
        <v>79</v>
      </c>
      <c r="R56" s="8"/>
      <c r="T56"/>
    </row>
    <row r="57" spans="2:20" ht="23.1" customHeight="1" x14ac:dyDescent="0.25">
      <c r="B57" s="45" t="s">
        <v>84</v>
      </c>
      <c r="C57" s="50">
        <v>15</v>
      </c>
      <c r="D57" s="50">
        <v>6</v>
      </c>
      <c r="E57" s="50">
        <v>4</v>
      </c>
      <c r="F57" s="50">
        <v>7</v>
      </c>
      <c r="G57" s="50">
        <v>5</v>
      </c>
      <c r="H57" s="50">
        <v>0</v>
      </c>
      <c r="I57" s="50">
        <v>11</v>
      </c>
      <c r="J57" s="50">
        <v>0</v>
      </c>
      <c r="K57" s="50">
        <v>1</v>
      </c>
      <c r="L57" s="50">
        <v>4</v>
      </c>
      <c r="M57" s="50">
        <v>60</v>
      </c>
      <c r="N57" s="50">
        <v>0</v>
      </c>
      <c r="O57" s="15">
        <f t="shared" si="0"/>
        <v>53</v>
      </c>
      <c r="P57" s="15">
        <f t="shared" si="1"/>
        <v>113</v>
      </c>
      <c r="R57" s="8"/>
      <c r="T57"/>
    </row>
    <row r="58" spans="2:20" ht="23.1" customHeight="1" x14ac:dyDescent="0.25">
      <c r="B58" s="45" t="s">
        <v>99</v>
      </c>
      <c r="C58" s="50">
        <v>18</v>
      </c>
      <c r="D58" s="50">
        <v>14</v>
      </c>
      <c r="E58" s="50">
        <v>2</v>
      </c>
      <c r="F58" s="50">
        <v>17</v>
      </c>
      <c r="G58" s="50">
        <v>0</v>
      </c>
      <c r="H58" s="50">
        <v>0</v>
      </c>
      <c r="I58" s="50">
        <v>7</v>
      </c>
      <c r="J58" s="50">
        <v>4</v>
      </c>
      <c r="K58" s="50">
        <v>1</v>
      </c>
      <c r="L58" s="50">
        <v>0</v>
      </c>
      <c r="M58" s="50">
        <v>40</v>
      </c>
      <c r="N58" s="50">
        <v>0</v>
      </c>
      <c r="O58" s="15">
        <f t="shared" ref="O58:O105" si="35">SUM(C58:L58,N58)</f>
        <v>63</v>
      </c>
      <c r="P58" s="15">
        <f t="shared" ref="P58:P105" si="36">SUM(C58:N58)</f>
        <v>103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3</v>
      </c>
      <c r="E59" s="50">
        <v>2</v>
      </c>
      <c r="F59" s="50">
        <v>3</v>
      </c>
      <c r="G59" s="50">
        <v>0</v>
      </c>
      <c r="H59" s="50">
        <v>0</v>
      </c>
      <c r="I59" s="50">
        <v>1</v>
      </c>
      <c r="J59" s="50">
        <v>2</v>
      </c>
      <c r="K59" s="50">
        <v>4</v>
      </c>
      <c r="L59" s="50">
        <v>1</v>
      </c>
      <c r="M59" s="50">
        <v>18</v>
      </c>
      <c r="N59" s="50">
        <v>0</v>
      </c>
      <c r="O59" s="15">
        <f t="shared" si="35"/>
        <v>24</v>
      </c>
      <c r="P59" s="15">
        <f t="shared" si="36"/>
        <v>42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2</v>
      </c>
      <c r="E60" s="50">
        <v>0</v>
      </c>
      <c r="F60" s="50">
        <v>13</v>
      </c>
      <c r="G60" s="50">
        <v>0</v>
      </c>
      <c r="H60" s="50">
        <v>0</v>
      </c>
      <c r="I60" s="50">
        <v>3</v>
      </c>
      <c r="J60" s="50">
        <v>4</v>
      </c>
      <c r="K60" s="50">
        <v>1</v>
      </c>
      <c r="L60" s="50">
        <v>0</v>
      </c>
      <c r="M60" s="50">
        <v>33</v>
      </c>
      <c r="N60" s="50">
        <v>0</v>
      </c>
      <c r="O60" s="15">
        <f t="shared" si="35"/>
        <v>27</v>
      </c>
      <c r="P60" s="15">
        <f t="shared" si="36"/>
        <v>60</v>
      </c>
      <c r="R60" s="8"/>
      <c r="T60"/>
    </row>
    <row r="61" spans="2:20" ht="23.1" customHeight="1" x14ac:dyDescent="0.25">
      <c r="B61" s="45" t="s">
        <v>102</v>
      </c>
      <c r="C61" s="50">
        <v>18</v>
      </c>
      <c r="D61" s="50">
        <v>4</v>
      </c>
      <c r="E61" s="50">
        <v>1</v>
      </c>
      <c r="F61" s="50">
        <v>4</v>
      </c>
      <c r="G61" s="50">
        <v>0</v>
      </c>
      <c r="H61" s="50">
        <v>0</v>
      </c>
      <c r="I61" s="50">
        <v>1</v>
      </c>
      <c r="J61" s="50">
        <v>0</v>
      </c>
      <c r="K61" s="50">
        <v>10</v>
      </c>
      <c r="L61" s="50">
        <v>1</v>
      </c>
      <c r="M61" s="50">
        <v>37</v>
      </c>
      <c r="N61" s="50">
        <v>0</v>
      </c>
      <c r="O61" s="15">
        <f t="shared" si="35"/>
        <v>39</v>
      </c>
      <c r="P61" s="15">
        <f t="shared" si="36"/>
        <v>76</v>
      </c>
      <c r="R61" s="8"/>
      <c r="T61"/>
    </row>
    <row r="62" spans="2:20" ht="23.1" customHeight="1" x14ac:dyDescent="0.25">
      <c r="B62" s="45" t="s">
        <v>107</v>
      </c>
      <c r="C62" s="50">
        <v>8</v>
      </c>
      <c r="D62" s="50">
        <v>2</v>
      </c>
      <c r="E62" s="50">
        <v>4</v>
      </c>
      <c r="F62" s="50">
        <v>4</v>
      </c>
      <c r="G62" s="50">
        <v>0</v>
      </c>
      <c r="H62" s="50">
        <v>1</v>
      </c>
      <c r="I62" s="50">
        <v>5</v>
      </c>
      <c r="J62" s="50">
        <v>3</v>
      </c>
      <c r="K62" s="50">
        <v>2</v>
      </c>
      <c r="L62" s="50">
        <v>1</v>
      </c>
      <c r="M62" s="50">
        <v>30</v>
      </c>
      <c r="N62" s="50">
        <v>0</v>
      </c>
      <c r="O62" s="15">
        <f t="shared" si="35"/>
        <v>30</v>
      </c>
      <c r="P62" s="15">
        <f t="shared" si="36"/>
        <v>60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1</v>
      </c>
      <c r="E63" s="50">
        <v>3</v>
      </c>
      <c r="F63" s="50">
        <v>4</v>
      </c>
      <c r="G63" s="50">
        <v>0</v>
      </c>
      <c r="H63" s="50">
        <v>0</v>
      </c>
      <c r="I63" s="50">
        <v>3</v>
      </c>
      <c r="J63" s="50">
        <v>5</v>
      </c>
      <c r="K63" s="50">
        <v>1</v>
      </c>
      <c r="L63" s="50">
        <v>1</v>
      </c>
      <c r="M63" s="50">
        <v>34</v>
      </c>
      <c r="N63" s="50">
        <v>0</v>
      </c>
      <c r="O63" s="15">
        <f t="shared" si="35"/>
        <v>23</v>
      </c>
      <c r="P63" s="15">
        <f t="shared" si="36"/>
        <v>57</v>
      </c>
      <c r="R63" s="8"/>
      <c r="T63"/>
    </row>
    <row r="64" spans="2:20" ht="23.1" customHeight="1" x14ac:dyDescent="0.25">
      <c r="B64" s="45" t="s">
        <v>109</v>
      </c>
      <c r="C64" s="50">
        <v>8</v>
      </c>
      <c r="D64" s="50">
        <v>1</v>
      </c>
      <c r="E64" s="50">
        <v>1</v>
      </c>
      <c r="F64" s="50">
        <v>2</v>
      </c>
      <c r="G64" s="50">
        <v>0</v>
      </c>
      <c r="H64" s="50">
        <v>0</v>
      </c>
      <c r="I64" s="50">
        <v>1</v>
      </c>
      <c r="J64" s="50">
        <v>2</v>
      </c>
      <c r="K64" s="50">
        <v>1</v>
      </c>
      <c r="L64" s="50">
        <v>3</v>
      </c>
      <c r="M64" s="50">
        <v>34</v>
      </c>
      <c r="N64" s="50">
        <v>0</v>
      </c>
      <c r="O64" s="15">
        <f t="shared" si="35"/>
        <v>19</v>
      </c>
      <c r="P64" s="15">
        <f t="shared" si="36"/>
        <v>53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1</v>
      </c>
      <c r="E65" s="50">
        <v>1</v>
      </c>
      <c r="F65" s="50">
        <v>4</v>
      </c>
      <c r="G65" s="50">
        <v>0</v>
      </c>
      <c r="H65" s="50">
        <v>0</v>
      </c>
      <c r="I65" s="50">
        <v>2</v>
      </c>
      <c r="J65" s="50">
        <v>9</v>
      </c>
      <c r="K65" s="50">
        <v>0</v>
      </c>
      <c r="L65" s="50">
        <v>1</v>
      </c>
      <c r="M65" s="50">
        <v>27</v>
      </c>
      <c r="N65" s="50">
        <v>0</v>
      </c>
      <c r="O65" s="15">
        <f t="shared" si="35"/>
        <v>22</v>
      </c>
      <c r="P65" s="15">
        <f t="shared" si="36"/>
        <v>49</v>
      </c>
      <c r="R65" s="8"/>
      <c r="T65"/>
    </row>
    <row r="66" spans="2:20" ht="23.1" customHeight="1" x14ac:dyDescent="0.25">
      <c r="B66" s="45" t="s">
        <v>103</v>
      </c>
      <c r="C66" s="50">
        <v>4</v>
      </c>
      <c r="D66" s="50">
        <v>0</v>
      </c>
      <c r="E66" s="50">
        <v>0</v>
      </c>
      <c r="F66" s="50">
        <v>1</v>
      </c>
      <c r="G66" s="50">
        <v>0</v>
      </c>
      <c r="H66" s="50">
        <v>0</v>
      </c>
      <c r="I66" s="50">
        <v>0</v>
      </c>
      <c r="J66" s="50">
        <v>6</v>
      </c>
      <c r="K66" s="50">
        <v>0</v>
      </c>
      <c r="L66" s="50">
        <v>0</v>
      </c>
      <c r="M66" s="50">
        <v>20</v>
      </c>
      <c r="N66" s="50">
        <v>0</v>
      </c>
      <c r="O66" s="15">
        <f t="shared" si="35"/>
        <v>11</v>
      </c>
      <c r="P66" s="15">
        <f t="shared" si="36"/>
        <v>31</v>
      </c>
      <c r="R66" s="8"/>
      <c r="T66"/>
    </row>
    <row r="67" spans="2:20" ht="23.1" customHeight="1" x14ac:dyDescent="0.25">
      <c r="B67" s="45" t="s">
        <v>104</v>
      </c>
      <c r="C67" s="50">
        <v>8</v>
      </c>
      <c r="D67" s="50">
        <v>0</v>
      </c>
      <c r="E67" s="50">
        <v>2</v>
      </c>
      <c r="F67" s="50">
        <v>7</v>
      </c>
      <c r="G67" s="50">
        <v>0</v>
      </c>
      <c r="H67" s="50">
        <v>0</v>
      </c>
      <c r="I67" s="50">
        <v>2</v>
      </c>
      <c r="J67" s="50">
        <v>8</v>
      </c>
      <c r="K67" s="50">
        <v>2</v>
      </c>
      <c r="L67" s="50">
        <v>1</v>
      </c>
      <c r="M67" s="50">
        <v>16</v>
      </c>
      <c r="N67" s="50">
        <v>0</v>
      </c>
      <c r="O67" s="15">
        <f t="shared" si="35"/>
        <v>30</v>
      </c>
      <c r="P67" s="15">
        <f t="shared" si="36"/>
        <v>46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2</v>
      </c>
      <c r="E68" s="50">
        <v>1</v>
      </c>
      <c r="F68" s="50">
        <v>4</v>
      </c>
      <c r="G68" s="50">
        <v>0</v>
      </c>
      <c r="H68" s="50">
        <v>0</v>
      </c>
      <c r="I68" s="50">
        <v>0</v>
      </c>
      <c r="J68" s="50">
        <v>1</v>
      </c>
      <c r="K68" s="50">
        <v>1</v>
      </c>
      <c r="L68" s="50">
        <v>0</v>
      </c>
      <c r="M68" s="50">
        <v>18</v>
      </c>
      <c r="N68" s="50">
        <v>0</v>
      </c>
      <c r="O68" s="15">
        <f t="shared" si="35"/>
        <v>9</v>
      </c>
      <c r="P68" s="15">
        <f t="shared" si="36"/>
        <v>27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0</v>
      </c>
      <c r="F69" s="50">
        <v>2</v>
      </c>
      <c r="G69" s="50">
        <v>1</v>
      </c>
      <c r="H69" s="50">
        <v>0</v>
      </c>
      <c r="I69" s="50">
        <v>1</v>
      </c>
      <c r="J69" s="50">
        <v>2</v>
      </c>
      <c r="K69" s="50">
        <v>1</v>
      </c>
      <c r="L69" s="50">
        <v>0</v>
      </c>
      <c r="M69" s="50">
        <v>11</v>
      </c>
      <c r="N69" s="50">
        <v>0</v>
      </c>
      <c r="O69" s="15">
        <f t="shared" si="35"/>
        <v>9</v>
      </c>
      <c r="P69" s="15">
        <f t="shared" si="36"/>
        <v>20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5</v>
      </c>
      <c r="E70" s="50">
        <v>0</v>
      </c>
      <c r="F70" s="50">
        <v>2</v>
      </c>
      <c r="G70" s="50">
        <v>0</v>
      </c>
      <c r="H70" s="50">
        <v>1</v>
      </c>
      <c r="I70" s="50">
        <v>0</v>
      </c>
      <c r="J70" s="50">
        <v>5</v>
      </c>
      <c r="K70" s="50">
        <v>1</v>
      </c>
      <c r="L70" s="50">
        <v>0</v>
      </c>
      <c r="M70" s="50">
        <v>15</v>
      </c>
      <c r="N70" s="50">
        <v>0</v>
      </c>
      <c r="O70" s="15">
        <f t="shared" si="35"/>
        <v>17</v>
      </c>
      <c r="P70" s="15">
        <f t="shared" si="36"/>
        <v>32</v>
      </c>
      <c r="R70" s="8"/>
      <c r="T70"/>
    </row>
    <row r="71" spans="2:20" ht="23.1" customHeight="1" x14ac:dyDescent="0.25">
      <c r="B71" s="45" t="s">
        <v>111</v>
      </c>
      <c r="C71" s="50">
        <v>8</v>
      </c>
      <c r="D71" s="50">
        <v>1</v>
      </c>
      <c r="E71" s="50">
        <v>1</v>
      </c>
      <c r="F71" s="50">
        <v>0</v>
      </c>
      <c r="G71" s="50">
        <v>0</v>
      </c>
      <c r="H71" s="50">
        <v>0</v>
      </c>
      <c r="I71" s="50">
        <v>1</v>
      </c>
      <c r="J71" s="50">
        <v>5</v>
      </c>
      <c r="K71" s="50">
        <v>1</v>
      </c>
      <c r="L71" s="50">
        <v>1</v>
      </c>
      <c r="M71" s="50">
        <v>9</v>
      </c>
      <c r="N71" s="50">
        <v>0</v>
      </c>
      <c r="O71" s="15">
        <f t="shared" si="35"/>
        <v>18</v>
      </c>
      <c r="P71" s="15">
        <f t="shared" si="36"/>
        <v>27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1</v>
      </c>
      <c r="E72" s="50">
        <v>1</v>
      </c>
      <c r="F72" s="50">
        <v>6</v>
      </c>
      <c r="G72" s="50">
        <v>0</v>
      </c>
      <c r="H72" s="50">
        <v>1</v>
      </c>
      <c r="I72" s="50">
        <v>4</v>
      </c>
      <c r="J72" s="50">
        <v>2</v>
      </c>
      <c r="K72" s="50">
        <v>1</v>
      </c>
      <c r="L72" s="50">
        <v>0</v>
      </c>
      <c r="M72" s="50">
        <v>19</v>
      </c>
      <c r="N72" s="50">
        <v>0</v>
      </c>
      <c r="O72" s="15">
        <f t="shared" si="35"/>
        <v>17</v>
      </c>
      <c r="P72" s="15">
        <f t="shared" si="36"/>
        <v>36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2</v>
      </c>
      <c r="E73" s="50">
        <v>1</v>
      </c>
      <c r="F73" s="50">
        <v>1</v>
      </c>
      <c r="G73" s="50">
        <v>0</v>
      </c>
      <c r="H73" s="50">
        <v>1</v>
      </c>
      <c r="I73" s="50">
        <v>2</v>
      </c>
      <c r="J73" s="50">
        <v>2</v>
      </c>
      <c r="K73" s="50">
        <v>3</v>
      </c>
      <c r="L73" s="50">
        <v>1</v>
      </c>
      <c r="M73" s="50">
        <v>10</v>
      </c>
      <c r="N73" s="50">
        <v>0</v>
      </c>
      <c r="O73" s="15">
        <f t="shared" si="35"/>
        <v>16</v>
      </c>
      <c r="P73" s="15">
        <f t="shared" si="36"/>
        <v>26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1</v>
      </c>
      <c r="E74" s="50">
        <v>0</v>
      </c>
      <c r="F74" s="50">
        <v>1</v>
      </c>
      <c r="G74" s="50">
        <v>0</v>
      </c>
      <c r="H74" s="50">
        <v>0</v>
      </c>
      <c r="I74" s="50">
        <v>0</v>
      </c>
      <c r="J74" s="50">
        <v>2</v>
      </c>
      <c r="K74" s="50">
        <v>2</v>
      </c>
      <c r="L74" s="50">
        <v>1</v>
      </c>
      <c r="M74" s="50">
        <v>13</v>
      </c>
      <c r="N74" s="50">
        <v>0</v>
      </c>
      <c r="O74" s="15">
        <f t="shared" si="35"/>
        <v>10</v>
      </c>
      <c r="P74" s="15">
        <f t="shared" si="36"/>
        <v>23</v>
      </c>
      <c r="R74" s="8"/>
      <c r="T74"/>
    </row>
    <row r="75" spans="2:20" ht="23.1" customHeight="1" x14ac:dyDescent="0.25">
      <c r="B75" s="45" t="s">
        <v>115</v>
      </c>
      <c r="C75" s="50">
        <v>4</v>
      </c>
      <c r="D75" s="50">
        <v>1</v>
      </c>
      <c r="E75" s="50">
        <v>0</v>
      </c>
      <c r="F75" s="50">
        <v>2</v>
      </c>
      <c r="G75" s="50">
        <v>1</v>
      </c>
      <c r="H75" s="50">
        <v>1</v>
      </c>
      <c r="I75" s="50">
        <v>1</v>
      </c>
      <c r="J75" s="50">
        <v>5</v>
      </c>
      <c r="K75" s="50">
        <v>2</v>
      </c>
      <c r="L75" s="50">
        <v>2</v>
      </c>
      <c r="M75" s="50">
        <v>6</v>
      </c>
      <c r="N75" s="50">
        <v>0</v>
      </c>
      <c r="O75" s="15">
        <f t="shared" si="35"/>
        <v>19</v>
      </c>
      <c r="P75" s="15">
        <f t="shared" si="36"/>
        <v>25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5</v>
      </c>
      <c r="K76" s="50">
        <v>0</v>
      </c>
      <c r="L76" s="50">
        <v>0</v>
      </c>
      <c r="M76" s="50">
        <v>6</v>
      </c>
      <c r="N76" s="50">
        <v>0</v>
      </c>
      <c r="O76" s="15">
        <f t="shared" si="35"/>
        <v>6</v>
      </c>
      <c r="P76" s="15">
        <f t="shared" si="36"/>
        <v>12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2</v>
      </c>
      <c r="J77" s="50">
        <v>3</v>
      </c>
      <c r="K77" s="50">
        <v>1</v>
      </c>
      <c r="L77" s="50">
        <v>0</v>
      </c>
      <c r="M77" s="50">
        <v>2</v>
      </c>
      <c r="N77" s="50">
        <v>0</v>
      </c>
      <c r="O77" s="15">
        <f t="shared" si="35"/>
        <v>9</v>
      </c>
      <c r="P77" s="15">
        <f t="shared" si="36"/>
        <v>11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1</v>
      </c>
      <c r="E78" s="50">
        <v>0</v>
      </c>
      <c r="F78" s="50">
        <v>1</v>
      </c>
      <c r="G78" s="50">
        <v>0</v>
      </c>
      <c r="H78" s="50">
        <v>0</v>
      </c>
      <c r="I78" s="50">
        <v>2</v>
      </c>
      <c r="J78" s="50">
        <v>2</v>
      </c>
      <c r="K78" s="50">
        <v>1</v>
      </c>
      <c r="L78" s="50">
        <v>0</v>
      </c>
      <c r="M78" s="50">
        <v>4</v>
      </c>
      <c r="N78" s="50">
        <v>0</v>
      </c>
      <c r="O78" s="15">
        <f t="shared" si="35"/>
        <v>10</v>
      </c>
      <c r="P78" s="15">
        <f t="shared" si="36"/>
        <v>14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4</v>
      </c>
      <c r="G79" s="50">
        <v>0</v>
      </c>
      <c r="H79" s="50">
        <v>0</v>
      </c>
      <c r="I79" s="50">
        <v>0</v>
      </c>
      <c r="J79" s="50">
        <v>4</v>
      </c>
      <c r="K79" s="50">
        <v>1</v>
      </c>
      <c r="L79" s="50">
        <v>0</v>
      </c>
      <c r="M79" s="50">
        <v>4</v>
      </c>
      <c r="N79" s="50">
        <v>0</v>
      </c>
      <c r="O79" s="15">
        <f t="shared" si="35"/>
        <v>10</v>
      </c>
      <c r="P79" s="15">
        <f t="shared" si="36"/>
        <v>14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2</v>
      </c>
      <c r="J80" s="50">
        <v>2</v>
      </c>
      <c r="K80" s="50">
        <v>1</v>
      </c>
      <c r="L80" s="50">
        <v>0</v>
      </c>
      <c r="M80" s="50">
        <v>5</v>
      </c>
      <c r="N80" s="50">
        <v>0</v>
      </c>
      <c r="O80" s="15">
        <f t="shared" si="35"/>
        <v>6</v>
      </c>
      <c r="P80" s="15">
        <f t="shared" si="36"/>
        <v>11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2</v>
      </c>
      <c r="J81" s="50">
        <v>0</v>
      </c>
      <c r="K81" s="50">
        <v>1</v>
      </c>
      <c r="L81" s="50">
        <v>0</v>
      </c>
      <c r="M81" s="50">
        <v>1</v>
      </c>
      <c r="N81" s="50">
        <v>0</v>
      </c>
      <c r="O81" s="15">
        <f t="shared" si="35"/>
        <v>4</v>
      </c>
      <c r="P81" s="15">
        <f t="shared" si="36"/>
        <v>5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1</v>
      </c>
      <c r="E82" s="50">
        <v>1</v>
      </c>
      <c r="F82" s="50">
        <v>1</v>
      </c>
      <c r="G82" s="50">
        <v>0</v>
      </c>
      <c r="H82" s="50">
        <v>0</v>
      </c>
      <c r="I82" s="50">
        <v>1</v>
      </c>
      <c r="J82" s="50">
        <v>1</v>
      </c>
      <c r="K82" s="50">
        <v>0</v>
      </c>
      <c r="L82" s="50">
        <v>1</v>
      </c>
      <c r="M82" s="50">
        <v>0</v>
      </c>
      <c r="N82" s="50">
        <v>0</v>
      </c>
      <c r="O82" s="15">
        <f t="shared" si="35"/>
        <v>8</v>
      </c>
      <c r="P82" s="15">
        <f t="shared" si="36"/>
        <v>8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1</v>
      </c>
      <c r="F83" s="50">
        <v>1</v>
      </c>
      <c r="G83" s="50">
        <v>0</v>
      </c>
      <c r="H83" s="50">
        <v>0</v>
      </c>
      <c r="I83" s="50">
        <v>0</v>
      </c>
      <c r="J83" s="50">
        <v>1</v>
      </c>
      <c r="K83" s="50">
        <v>3</v>
      </c>
      <c r="L83" s="50">
        <v>0</v>
      </c>
      <c r="M83" s="50">
        <v>0</v>
      </c>
      <c r="N83" s="50">
        <v>0</v>
      </c>
      <c r="O83" s="15">
        <f t="shared" si="35"/>
        <v>7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2</v>
      </c>
      <c r="K84" s="50">
        <v>0</v>
      </c>
      <c r="L84" s="50">
        <v>0</v>
      </c>
      <c r="M84" s="50">
        <v>4</v>
      </c>
      <c r="N84" s="50">
        <v>0</v>
      </c>
      <c r="O84" s="15">
        <f t="shared" si="35"/>
        <v>4</v>
      </c>
      <c r="P84" s="15">
        <f t="shared" si="36"/>
        <v>8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2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3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1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1</v>
      </c>
      <c r="G87" s="50">
        <v>1</v>
      </c>
      <c r="H87" s="50">
        <v>0</v>
      </c>
      <c r="I87" s="50">
        <v>2</v>
      </c>
      <c r="J87" s="50">
        <v>1</v>
      </c>
      <c r="K87" s="50">
        <v>0</v>
      </c>
      <c r="L87" s="50">
        <v>1</v>
      </c>
      <c r="M87" s="50">
        <v>5</v>
      </c>
      <c r="N87" s="50">
        <v>0</v>
      </c>
      <c r="O87" s="15">
        <f t="shared" si="35"/>
        <v>6</v>
      </c>
      <c r="P87" s="15">
        <f t="shared" si="36"/>
        <v>11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1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1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2</v>
      </c>
      <c r="K90" s="50">
        <v>1</v>
      </c>
      <c r="L90" s="50">
        <v>0</v>
      </c>
      <c r="M90" s="50">
        <v>2</v>
      </c>
      <c r="N90" s="50">
        <v>0</v>
      </c>
      <c r="O90" s="15">
        <f t="shared" si="35"/>
        <v>3</v>
      </c>
      <c r="P90" s="15">
        <f t="shared" si="36"/>
        <v>5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1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4</v>
      </c>
      <c r="N92" s="50">
        <v>0</v>
      </c>
      <c r="O92" s="15">
        <f t="shared" si="35"/>
        <v>3</v>
      </c>
      <c r="P92" s="15">
        <f t="shared" si="36"/>
        <v>7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3</v>
      </c>
      <c r="L93" s="50">
        <v>0</v>
      </c>
      <c r="M93" s="50">
        <v>3</v>
      </c>
      <c r="N93" s="50">
        <v>0</v>
      </c>
      <c r="O93" s="15">
        <f t="shared" si="35"/>
        <v>4</v>
      </c>
      <c r="P93" s="15">
        <f t="shared" si="36"/>
        <v>7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2</v>
      </c>
      <c r="M96" s="50">
        <v>0</v>
      </c>
      <c r="N96" s="50">
        <v>0</v>
      </c>
      <c r="O96" s="15">
        <f t="shared" si="35"/>
        <v>4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2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3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1</v>
      </c>
      <c r="K98" s="50">
        <v>1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0</v>
      </c>
      <c r="N99" s="50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2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2</v>
      </c>
      <c r="N100" s="50">
        <v>0</v>
      </c>
      <c r="O100" s="15">
        <f t="shared" si="35"/>
        <v>4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0</v>
      </c>
      <c r="F101" s="50">
        <v>0</v>
      </c>
      <c r="G101" s="50">
        <v>1</v>
      </c>
      <c r="H101" s="50">
        <v>0</v>
      </c>
      <c r="I101" s="50">
        <v>0</v>
      </c>
      <c r="J101" s="50">
        <v>1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4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1</v>
      </c>
      <c r="M102" s="50">
        <v>0</v>
      </c>
      <c r="N102" s="50">
        <v>0</v>
      </c>
      <c r="O102" s="15">
        <f t="shared" si="35"/>
        <v>3</v>
      </c>
      <c r="P102" s="15">
        <f t="shared" si="36"/>
        <v>3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2</v>
      </c>
      <c r="K103" s="50">
        <v>1</v>
      </c>
      <c r="L103" s="50">
        <v>1</v>
      </c>
      <c r="M103" s="50">
        <v>2</v>
      </c>
      <c r="N103" s="50">
        <v>0</v>
      </c>
      <c r="O103" s="15">
        <f t="shared" si="35"/>
        <v>4</v>
      </c>
      <c r="P103" s="15">
        <f t="shared" si="36"/>
        <v>6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0</v>
      </c>
      <c r="F104" s="50">
        <v>1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2</v>
      </c>
      <c r="N104" s="50">
        <v>0</v>
      </c>
      <c r="O104" s="15">
        <f t="shared" si="35"/>
        <v>4</v>
      </c>
      <c r="P104" s="15">
        <f t="shared" si="36"/>
        <v>6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2</v>
      </c>
      <c r="F105" s="50">
        <v>0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1</v>
      </c>
      <c r="M105" s="50">
        <v>12</v>
      </c>
      <c r="N105" s="50">
        <v>0</v>
      </c>
      <c r="O105" s="15">
        <f t="shared" si="35"/>
        <v>6</v>
      </c>
      <c r="P105" s="15">
        <f t="shared" si="36"/>
        <v>18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631</v>
      </c>
      <c r="D106" s="16">
        <f t="shared" ref="D106:P106" si="37">SUM(D10:D105)</f>
        <v>236</v>
      </c>
      <c r="E106" s="16">
        <f t="shared" si="37"/>
        <v>175</v>
      </c>
      <c r="F106" s="16">
        <f t="shared" si="37"/>
        <v>500</v>
      </c>
      <c r="G106" s="16">
        <f t="shared" si="37"/>
        <v>17</v>
      </c>
      <c r="H106" s="16">
        <f t="shared" si="37"/>
        <v>35</v>
      </c>
      <c r="I106" s="16">
        <f t="shared" si="37"/>
        <v>233</v>
      </c>
      <c r="J106" s="16">
        <f t="shared" si="37"/>
        <v>274</v>
      </c>
      <c r="K106" s="16">
        <f t="shared" si="37"/>
        <v>114</v>
      </c>
      <c r="L106" s="16">
        <f t="shared" si="37"/>
        <v>100</v>
      </c>
      <c r="M106" s="16">
        <f t="shared" si="37"/>
        <v>2004</v>
      </c>
      <c r="N106" s="16">
        <f t="shared" si="37"/>
        <v>2</v>
      </c>
      <c r="O106" s="16">
        <f t="shared" si="37"/>
        <v>2317</v>
      </c>
      <c r="P106" s="16">
        <f t="shared" si="37"/>
        <v>4321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0.1460310113399676</v>
      </c>
      <c r="D107" s="43">
        <f t="shared" si="38"/>
        <v>5.4616986808609116E-2</v>
      </c>
      <c r="E107" s="43">
        <f t="shared" si="38"/>
        <v>4.0499884286044896E-2</v>
      </c>
      <c r="F107" s="43">
        <f t="shared" si="38"/>
        <v>0.11571395510298542</v>
      </c>
      <c r="G107" s="43">
        <f t="shared" si="38"/>
        <v>3.9342744735015043E-3</v>
      </c>
      <c r="H107" s="43">
        <f t="shared" si="38"/>
        <v>8.0999768572089792E-3</v>
      </c>
      <c r="I107" s="43">
        <f t="shared" si="38"/>
        <v>5.3922703077991206E-2</v>
      </c>
      <c r="J107" s="43">
        <f t="shared" si="38"/>
        <v>6.3411247396436013E-2</v>
      </c>
      <c r="K107" s="43">
        <f t="shared" si="38"/>
        <v>2.6382781763480675E-2</v>
      </c>
      <c r="L107" s="43">
        <f t="shared" si="38"/>
        <v>2.3142791020597082E-2</v>
      </c>
      <c r="M107" s="43">
        <f t="shared" si="38"/>
        <v>0.46378153205276557</v>
      </c>
      <c r="N107" s="43">
        <f t="shared" si="38"/>
        <v>4.628558204119417E-4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0.27233491583944758</v>
      </c>
      <c r="D108" s="44">
        <f t="shared" ref="D108:N108" si="39">D106/$O$106</f>
        <v>0.10185584807941303</v>
      </c>
      <c r="E108" s="44">
        <f t="shared" si="39"/>
        <v>7.5528700906344406E-2</v>
      </c>
      <c r="F108" s="44">
        <f t="shared" si="39"/>
        <v>0.21579628830384118</v>
      </c>
      <c r="G108" s="44">
        <f t="shared" si="39"/>
        <v>7.3370738023305999E-3</v>
      </c>
      <c r="H108" s="44">
        <f t="shared" si="39"/>
        <v>1.5105740181268883E-2</v>
      </c>
      <c r="I108" s="44">
        <f t="shared" si="39"/>
        <v>0.10056107034958998</v>
      </c>
      <c r="J108" s="44">
        <f t="shared" si="39"/>
        <v>0.11825636599050496</v>
      </c>
      <c r="K108" s="44">
        <f t="shared" si="39"/>
        <v>4.9201553733275789E-2</v>
      </c>
      <c r="L108" s="44">
        <f t="shared" si="39"/>
        <v>4.3159257660768238E-2</v>
      </c>
      <c r="M108" s="44"/>
      <c r="N108" s="44">
        <f t="shared" si="39"/>
        <v>8.6318515321536469E-4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'17.10  MUBENDE-MITYANA'!C3:G3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'20.10 MITYANA-MUBENDE'!D5</f>
        <v>20.10.19</v>
      </c>
      <c r="E5" s="3"/>
      <c r="F5" s="41" t="s">
        <v>1</v>
      </c>
      <c r="G5" s="60" t="str">
        <f>'20.10 MITYANA-MUBENDE'!G5:H5</f>
        <v>MITYANA COLLEGE KIKUMBI</v>
      </c>
      <c r="H5" s="61"/>
      <c r="I5" s="14"/>
      <c r="J5" s="2" t="s">
        <v>5</v>
      </c>
      <c r="K5" s="60" t="s">
        <v>170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'17.10  MUBENDE-MITYANA'!D6:E6</f>
        <v>MUBENDE</v>
      </c>
      <c r="E6" s="61"/>
      <c r="F6" s="2" t="s">
        <v>2</v>
      </c>
      <c r="G6" s="60" t="str">
        <f>'17.10  MUBENDE-MITYANA'!G6:H6</f>
        <v>MITYANA</v>
      </c>
      <c r="H6" s="61"/>
      <c r="J6" s="2" t="s">
        <v>21</v>
      </c>
      <c r="K6" s="60" t="str">
        <f>'20.10 MITYANA-MUBENDE'!K6:L6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1</v>
      </c>
      <c r="F10" s="50">
        <v>5</v>
      </c>
      <c r="G10" s="50">
        <v>1</v>
      </c>
      <c r="H10" s="50">
        <v>0</v>
      </c>
      <c r="I10" s="50">
        <v>1</v>
      </c>
      <c r="J10" s="50">
        <v>0</v>
      </c>
      <c r="K10" s="50">
        <v>0</v>
      </c>
      <c r="L10" s="50">
        <v>1</v>
      </c>
      <c r="M10" s="50">
        <v>16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27</v>
      </c>
      <c r="R10" s="1" t="s">
        <v>6</v>
      </c>
      <c r="S10" s="17">
        <f t="shared" ref="S10:AF10" si="2">SUM(C10:C13)</f>
        <v>9</v>
      </c>
      <c r="T10" s="17">
        <f t="shared" si="2"/>
        <v>1</v>
      </c>
      <c r="U10" s="17">
        <f t="shared" si="2"/>
        <v>3</v>
      </c>
      <c r="V10" s="17">
        <f t="shared" si="2"/>
        <v>10</v>
      </c>
      <c r="W10" s="17">
        <f t="shared" si="2"/>
        <v>1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115</v>
      </c>
      <c r="AD10" s="17">
        <f t="shared" si="2"/>
        <v>0</v>
      </c>
      <c r="AE10" s="31">
        <f t="shared" si="2"/>
        <v>28</v>
      </c>
      <c r="AF10" s="31">
        <f t="shared" si="2"/>
        <v>143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24</v>
      </c>
      <c r="N11" s="50">
        <v>0</v>
      </c>
      <c r="O11" s="15">
        <f t="shared" si="0"/>
        <v>2</v>
      </c>
      <c r="P11" s="15">
        <f t="shared" si="1"/>
        <v>26</v>
      </c>
      <c r="R11" s="1" t="s">
        <v>7</v>
      </c>
      <c r="S11" s="17">
        <f t="shared" ref="S11:AF11" si="3">SUM(C14:C17)</f>
        <v>25</v>
      </c>
      <c r="T11" s="17">
        <f t="shared" si="3"/>
        <v>3</v>
      </c>
      <c r="U11" s="17">
        <f t="shared" si="3"/>
        <v>5</v>
      </c>
      <c r="V11" s="17">
        <f t="shared" si="3"/>
        <v>17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4</v>
      </c>
      <c r="AA11" s="17">
        <f t="shared" si="3"/>
        <v>0</v>
      </c>
      <c r="AB11" s="17">
        <f t="shared" si="3"/>
        <v>2</v>
      </c>
      <c r="AC11" s="17">
        <f t="shared" si="3"/>
        <v>172</v>
      </c>
      <c r="AD11" s="17">
        <f t="shared" si="3"/>
        <v>0</v>
      </c>
      <c r="AE11" s="31">
        <f t="shared" si="3"/>
        <v>61</v>
      </c>
      <c r="AF11" s="31">
        <f t="shared" si="3"/>
        <v>233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2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36</v>
      </c>
      <c r="N12" s="50">
        <v>0</v>
      </c>
      <c r="O12" s="15">
        <f t="shared" si="0"/>
        <v>9</v>
      </c>
      <c r="P12" s="15">
        <f t="shared" si="1"/>
        <v>45</v>
      </c>
      <c r="R12" s="1" t="s">
        <v>8</v>
      </c>
      <c r="S12" s="17">
        <f t="shared" ref="S12:AF12" si="4">SUM(C18:C21)</f>
        <v>16</v>
      </c>
      <c r="T12" s="17">
        <f t="shared" si="4"/>
        <v>5</v>
      </c>
      <c r="U12" s="17">
        <f t="shared" si="4"/>
        <v>6</v>
      </c>
      <c r="V12" s="17">
        <f t="shared" si="4"/>
        <v>18</v>
      </c>
      <c r="W12" s="17">
        <f t="shared" si="4"/>
        <v>1</v>
      </c>
      <c r="X12" s="17">
        <f t="shared" si="4"/>
        <v>1</v>
      </c>
      <c r="Y12" s="17">
        <f t="shared" si="4"/>
        <v>6</v>
      </c>
      <c r="Z12" s="17">
        <f t="shared" si="4"/>
        <v>1</v>
      </c>
      <c r="AA12" s="17">
        <f t="shared" si="4"/>
        <v>0</v>
      </c>
      <c r="AB12" s="17">
        <f t="shared" si="4"/>
        <v>3</v>
      </c>
      <c r="AC12" s="17">
        <f t="shared" si="4"/>
        <v>178</v>
      </c>
      <c r="AD12" s="17">
        <f t="shared" si="4"/>
        <v>0</v>
      </c>
      <c r="AE12" s="31">
        <f t="shared" si="4"/>
        <v>57</v>
      </c>
      <c r="AF12" s="31">
        <f t="shared" si="4"/>
        <v>235</v>
      </c>
    </row>
    <row r="13" spans="2:32" ht="23.1" customHeight="1" x14ac:dyDescent="0.25">
      <c r="B13" s="23" t="s">
        <v>40</v>
      </c>
      <c r="C13" s="50">
        <v>4</v>
      </c>
      <c r="D13" s="50">
        <v>0</v>
      </c>
      <c r="E13" s="50">
        <v>0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39</v>
      </c>
      <c r="N13" s="50">
        <v>0</v>
      </c>
      <c r="O13" s="15">
        <f t="shared" si="0"/>
        <v>6</v>
      </c>
      <c r="P13" s="15">
        <f t="shared" si="1"/>
        <v>45</v>
      </c>
      <c r="R13" s="1" t="s">
        <v>9</v>
      </c>
      <c r="S13" s="17">
        <f t="shared" ref="S13:AF13" si="5">SUM(C22:C25)</f>
        <v>21</v>
      </c>
      <c r="T13" s="17">
        <f t="shared" si="5"/>
        <v>9</v>
      </c>
      <c r="U13" s="17">
        <f t="shared" si="5"/>
        <v>2</v>
      </c>
      <c r="V13" s="17">
        <f t="shared" si="5"/>
        <v>27</v>
      </c>
      <c r="W13" s="17">
        <f t="shared" si="5"/>
        <v>1</v>
      </c>
      <c r="X13" s="17">
        <f t="shared" si="5"/>
        <v>0</v>
      </c>
      <c r="Y13" s="17">
        <f t="shared" si="5"/>
        <v>13</v>
      </c>
      <c r="Z13" s="17">
        <f t="shared" si="5"/>
        <v>2</v>
      </c>
      <c r="AA13" s="17">
        <f t="shared" si="5"/>
        <v>1</v>
      </c>
      <c r="AB13" s="17">
        <f t="shared" si="5"/>
        <v>2</v>
      </c>
      <c r="AC13" s="17">
        <f t="shared" si="5"/>
        <v>177</v>
      </c>
      <c r="AD13" s="17">
        <f t="shared" si="5"/>
        <v>0</v>
      </c>
      <c r="AE13" s="31">
        <f t="shared" si="5"/>
        <v>78</v>
      </c>
      <c r="AF13" s="31">
        <f t="shared" si="5"/>
        <v>255</v>
      </c>
    </row>
    <row r="14" spans="2:32" ht="23.1" customHeight="1" x14ac:dyDescent="0.25">
      <c r="B14" s="23" t="s">
        <v>41</v>
      </c>
      <c r="C14" s="50">
        <v>3</v>
      </c>
      <c r="D14" s="50">
        <v>1</v>
      </c>
      <c r="E14" s="50">
        <v>0</v>
      </c>
      <c r="F14" s="50">
        <v>5</v>
      </c>
      <c r="G14" s="50">
        <v>0</v>
      </c>
      <c r="H14" s="50">
        <v>0</v>
      </c>
      <c r="I14" s="50">
        <v>2</v>
      </c>
      <c r="J14" s="50">
        <v>1</v>
      </c>
      <c r="K14" s="50">
        <v>0</v>
      </c>
      <c r="L14" s="50">
        <v>0</v>
      </c>
      <c r="M14" s="50">
        <v>35</v>
      </c>
      <c r="N14" s="50">
        <v>0</v>
      </c>
      <c r="O14" s="15">
        <f t="shared" si="0"/>
        <v>12</v>
      </c>
      <c r="P14" s="15">
        <f t="shared" si="1"/>
        <v>47</v>
      </c>
      <c r="R14" s="1" t="s">
        <v>10</v>
      </c>
      <c r="S14" s="17">
        <f t="shared" ref="S14:AF14" si="6">SUM(C26:C29)</f>
        <v>27</v>
      </c>
      <c r="T14" s="17">
        <f t="shared" si="6"/>
        <v>10</v>
      </c>
      <c r="U14" s="17">
        <f t="shared" si="6"/>
        <v>7</v>
      </c>
      <c r="V14" s="17">
        <f t="shared" si="6"/>
        <v>25</v>
      </c>
      <c r="W14" s="17">
        <f t="shared" si="6"/>
        <v>1</v>
      </c>
      <c r="X14" s="17">
        <f t="shared" si="6"/>
        <v>2</v>
      </c>
      <c r="Y14" s="17">
        <f t="shared" si="6"/>
        <v>11</v>
      </c>
      <c r="Z14" s="17">
        <f t="shared" si="6"/>
        <v>2</v>
      </c>
      <c r="AA14" s="17">
        <f t="shared" si="6"/>
        <v>0</v>
      </c>
      <c r="AB14" s="17">
        <f t="shared" si="6"/>
        <v>4</v>
      </c>
      <c r="AC14" s="17">
        <f t="shared" si="6"/>
        <v>194</v>
      </c>
      <c r="AD14" s="17">
        <f t="shared" si="6"/>
        <v>0</v>
      </c>
      <c r="AE14" s="31">
        <f t="shared" si="6"/>
        <v>89</v>
      </c>
      <c r="AF14" s="31">
        <f t="shared" si="6"/>
        <v>283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2</v>
      </c>
      <c r="F15" s="50">
        <v>4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1</v>
      </c>
      <c r="M15" s="50">
        <v>44</v>
      </c>
      <c r="N15" s="50">
        <v>0</v>
      </c>
      <c r="O15" s="15">
        <f t="shared" si="0"/>
        <v>13</v>
      </c>
      <c r="P15" s="15">
        <f t="shared" si="1"/>
        <v>57</v>
      </c>
      <c r="R15" s="1" t="s">
        <v>11</v>
      </c>
      <c r="S15" s="17">
        <f t="shared" ref="S15:AF15" si="7">SUM(C30:C33)</f>
        <v>46</v>
      </c>
      <c r="T15" s="17">
        <f t="shared" si="7"/>
        <v>15</v>
      </c>
      <c r="U15" s="17">
        <f t="shared" si="7"/>
        <v>12</v>
      </c>
      <c r="V15" s="17">
        <f t="shared" si="7"/>
        <v>32</v>
      </c>
      <c r="W15" s="17">
        <f t="shared" si="7"/>
        <v>1</v>
      </c>
      <c r="X15" s="17">
        <f t="shared" si="7"/>
        <v>2</v>
      </c>
      <c r="Y15" s="17">
        <f t="shared" si="7"/>
        <v>2</v>
      </c>
      <c r="Z15" s="17">
        <f t="shared" si="7"/>
        <v>2</v>
      </c>
      <c r="AA15" s="17">
        <f t="shared" si="7"/>
        <v>1</v>
      </c>
      <c r="AB15" s="17">
        <f t="shared" si="7"/>
        <v>3</v>
      </c>
      <c r="AC15" s="17">
        <f t="shared" si="7"/>
        <v>177</v>
      </c>
      <c r="AD15" s="17">
        <f t="shared" si="7"/>
        <v>0</v>
      </c>
      <c r="AE15" s="31">
        <f t="shared" si="7"/>
        <v>116</v>
      </c>
      <c r="AF15" s="31">
        <f t="shared" si="7"/>
        <v>293</v>
      </c>
    </row>
    <row r="16" spans="2:32" ht="23.1" customHeight="1" x14ac:dyDescent="0.25">
      <c r="B16" s="23" t="s">
        <v>43</v>
      </c>
      <c r="C16" s="50">
        <v>10</v>
      </c>
      <c r="D16" s="50">
        <v>1</v>
      </c>
      <c r="E16" s="50">
        <v>1</v>
      </c>
      <c r="F16" s="50">
        <v>3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1</v>
      </c>
      <c r="M16" s="50">
        <v>41</v>
      </c>
      <c r="N16" s="50">
        <v>0</v>
      </c>
      <c r="O16" s="15">
        <f t="shared" si="0"/>
        <v>18</v>
      </c>
      <c r="P16" s="15">
        <f t="shared" si="1"/>
        <v>59</v>
      </c>
      <c r="R16" s="1" t="s">
        <v>12</v>
      </c>
      <c r="S16" s="17">
        <f t="shared" ref="S16:AF16" si="8">SUM(C34:C37)</f>
        <v>44</v>
      </c>
      <c r="T16" s="17">
        <f t="shared" si="8"/>
        <v>16</v>
      </c>
      <c r="U16" s="17">
        <f t="shared" si="8"/>
        <v>9</v>
      </c>
      <c r="V16" s="17">
        <f t="shared" si="8"/>
        <v>29</v>
      </c>
      <c r="W16" s="17">
        <f t="shared" si="8"/>
        <v>2</v>
      </c>
      <c r="X16" s="17">
        <f t="shared" si="8"/>
        <v>2</v>
      </c>
      <c r="Y16" s="17">
        <f t="shared" si="8"/>
        <v>10</v>
      </c>
      <c r="Z16" s="17">
        <f t="shared" si="8"/>
        <v>8</v>
      </c>
      <c r="AA16" s="17">
        <f t="shared" si="8"/>
        <v>0</v>
      </c>
      <c r="AB16" s="17">
        <f t="shared" si="8"/>
        <v>4</v>
      </c>
      <c r="AC16" s="17">
        <f t="shared" si="8"/>
        <v>199</v>
      </c>
      <c r="AD16" s="17">
        <f t="shared" si="8"/>
        <v>0</v>
      </c>
      <c r="AE16" s="31">
        <f t="shared" si="8"/>
        <v>124</v>
      </c>
      <c r="AF16" s="31">
        <f t="shared" si="8"/>
        <v>323</v>
      </c>
    </row>
    <row r="17" spans="2:32" ht="23.1" customHeight="1" x14ac:dyDescent="0.25">
      <c r="B17" s="23" t="s">
        <v>44</v>
      </c>
      <c r="C17" s="50">
        <v>8</v>
      </c>
      <c r="D17" s="50">
        <v>1</v>
      </c>
      <c r="E17" s="50">
        <v>2</v>
      </c>
      <c r="F17" s="50">
        <v>5</v>
      </c>
      <c r="G17" s="50">
        <v>0</v>
      </c>
      <c r="H17" s="50">
        <v>0</v>
      </c>
      <c r="I17" s="50">
        <v>0</v>
      </c>
      <c r="J17" s="50">
        <v>2</v>
      </c>
      <c r="K17" s="50">
        <v>0</v>
      </c>
      <c r="L17" s="50">
        <v>0</v>
      </c>
      <c r="M17" s="50">
        <v>52</v>
      </c>
      <c r="N17" s="50">
        <v>0</v>
      </c>
      <c r="O17" s="15">
        <f t="shared" si="0"/>
        <v>18</v>
      </c>
      <c r="P17" s="15">
        <f t="shared" si="1"/>
        <v>70</v>
      </c>
      <c r="R17" s="1" t="s">
        <v>13</v>
      </c>
      <c r="S17" s="17">
        <f t="shared" ref="S17:AF17" si="9">SUM(C38:C41)</f>
        <v>52</v>
      </c>
      <c r="T17" s="17">
        <f t="shared" si="9"/>
        <v>16</v>
      </c>
      <c r="U17" s="17">
        <f t="shared" si="9"/>
        <v>10</v>
      </c>
      <c r="V17" s="17">
        <f t="shared" si="9"/>
        <v>26</v>
      </c>
      <c r="W17" s="17">
        <f t="shared" si="9"/>
        <v>2</v>
      </c>
      <c r="X17" s="17">
        <f t="shared" si="9"/>
        <v>2</v>
      </c>
      <c r="Y17" s="17">
        <f t="shared" si="9"/>
        <v>8</v>
      </c>
      <c r="Z17" s="17">
        <f t="shared" si="9"/>
        <v>6</v>
      </c>
      <c r="AA17" s="17">
        <f t="shared" si="9"/>
        <v>3</v>
      </c>
      <c r="AB17" s="17">
        <f t="shared" si="9"/>
        <v>1</v>
      </c>
      <c r="AC17" s="17">
        <f t="shared" si="9"/>
        <v>151</v>
      </c>
      <c r="AD17" s="17">
        <f t="shared" si="9"/>
        <v>0</v>
      </c>
      <c r="AE17" s="31">
        <f t="shared" si="9"/>
        <v>126</v>
      </c>
      <c r="AF17" s="31">
        <f t="shared" si="9"/>
        <v>277</v>
      </c>
    </row>
    <row r="18" spans="2:32" ht="23.1" customHeight="1" x14ac:dyDescent="0.25">
      <c r="B18" s="23" t="s">
        <v>45</v>
      </c>
      <c r="C18" s="50">
        <v>1</v>
      </c>
      <c r="D18" s="50">
        <v>1</v>
      </c>
      <c r="E18" s="50">
        <v>2</v>
      </c>
      <c r="F18" s="50">
        <v>6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48</v>
      </c>
      <c r="N18" s="50">
        <v>0</v>
      </c>
      <c r="O18" s="15">
        <f t="shared" si="0"/>
        <v>10</v>
      </c>
      <c r="P18" s="15">
        <f t="shared" si="1"/>
        <v>58</v>
      </c>
      <c r="R18" s="1" t="s">
        <v>14</v>
      </c>
      <c r="S18" s="17">
        <f t="shared" ref="S18:AF18" si="10">SUM(C42:C45)</f>
        <v>50</v>
      </c>
      <c r="T18" s="17">
        <f t="shared" si="10"/>
        <v>27</v>
      </c>
      <c r="U18" s="17">
        <f t="shared" si="10"/>
        <v>10</v>
      </c>
      <c r="V18" s="17">
        <f t="shared" si="10"/>
        <v>28</v>
      </c>
      <c r="W18" s="17">
        <f t="shared" si="10"/>
        <v>0</v>
      </c>
      <c r="X18" s="17">
        <f t="shared" si="10"/>
        <v>3</v>
      </c>
      <c r="Y18" s="17">
        <f t="shared" si="10"/>
        <v>13</v>
      </c>
      <c r="Z18" s="17">
        <f t="shared" si="10"/>
        <v>7</v>
      </c>
      <c r="AA18" s="17">
        <f t="shared" si="10"/>
        <v>1</v>
      </c>
      <c r="AB18" s="17">
        <f t="shared" si="10"/>
        <v>2</v>
      </c>
      <c r="AC18" s="17">
        <f t="shared" si="10"/>
        <v>164</v>
      </c>
      <c r="AD18" s="17">
        <f t="shared" si="10"/>
        <v>0</v>
      </c>
      <c r="AE18" s="31">
        <f t="shared" si="10"/>
        <v>141</v>
      </c>
      <c r="AF18" s="31">
        <f t="shared" si="10"/>
        <v>305</v>
      </c>
    </row>
    <row r="19" spans="2:32" ht="23.1" customHeight="1" x14ac:dyDescent="0.25">
      <c r="B19" s="23" t="s">
        <v>46</v>
      </c>
      <c r="C19" s="50">
        <v>4</v>
      </c>
      <c r="D19" s="50">
        <v>1</v>
      </c>
      <c r="E19" s="50">
        <v>1</v>
      </c>
      <c r="F19" s="50">
        <v>6</v>
      </c>
      <c r="G19" s="50">
        <v>1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44</v>
      </c>
      <c r="N19" s="50">
        <v>0</v>
      </c>
      <c r="O19" s="15">
        <f t="shared" si="0"/>
        <v>16</v>
      </c>
      <c r="P19" s="15">
        <f t="shared" si="1"/>
        <v>60</v>
      </c>
      <c r="R19" s="1" t="s">
        <v>15</v>
      </c>
      <c r="S19" s="17">
        <f t="shared" ref="S19:AF19" si="11">SUM(C46:C49)</f>
        <v>47</v>
      </c>
      <c r="T19" s="17">
        <f t="shared" si="11"/>
        <v>30</v>
      </c>
      <c r="U19" s="17">
        <f t="shared" si="11"/>
        <v>4</v>
      </c>
      <c r="V19" s="17">
        <f t="shared" si="11"/>
        <v>31</v>
      </c>
      <c r="W19" s="17">
        <f t="shared" si="11"/>
        <v>4</v>
      </c>
      <c r="X19" s="17">
        <f t="shared" si="11"/>
        <v>2</v>
      </c>
      <c r="Y19" s="17">
        <f t="shared" si="11"/>
        <v>6</v>
      </c>
      <c r="Z19" s="17">
        <f t="shared" si="11"/>
        <v>4</v>
      </c>
      <c r="AA19" s="17">
        <f t="shared" si="11"/>
        <v>3</v>
      </c>
      <c r="AB19" s="17">
        <f t="shared" si="11"/>
        <v>4</v>
      </c>
      <c r="AC19" s="17">
        <f t="shared" si="11"/>
        <v>266</v>
      </c>
      <c r="AD19" s="17">
        <f t="shared" si="11"/>
        <v>0</v>
      </c>
      <c r="AE19" s="31">
        <f t="shared" si="11"/>
        <v>135</v>
      </c>
      <c r="AF19" s="31">
        <f t="shared" si="11"/>
        <v>401</v>
      </c>
    </row>
    <row r="20" spans="2:32" ht="23.1" customHeight="1" x14ac:dyDescent="0.25">
      <c r="B20" s="23" t="s">
        <v>47</v>
      </c>
      <c r="C20" s="50">
        <v>4</v>
      </c>
      <c r="D20" s="50">
        <v>2</v>
      </c>
      <c r="E20" s="50">
        <v>0</v>
      </c>
      <c r="F20" s="50">
        <v>3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2</v>
      </c>
      <c r="M20" s="50">
        <v>45</v>
      </c>
      <c r="N20" s="50">
        <v>0</v>
      </c>
      <c r="O20" s="15">
        <f t="shared" si="0"/>
        <v>13</v>
      </c>
      <c r="P20" s="15">
        <f t="shared" si="1"/>
        <v>58</v>
      </c>
      <c r="R20" s="1" t="s">
        <v>16</v>
      </c>
      <c r="S20" s="17">
        <f t="shared" ref="S20:AF20" si="12">SUM(C50:C53)</f>
        <v>51</v>
      </c>
      <c r="T20" s="17">
        <f t="shared" si="12"/>
        <v>40</v>
      </c>
      <c r="U20" s="17">
        <f t="shared" si="12"/>
        <v>2</v>
      </c>
      <c r="V20" s="17">
        <f t="shared" si="12"/>
        <v>31</v>
      </c>
      <c r="W20" s="17">
        <f t="shared" si="12"/>
        <v>1</v>
      </c>
      <c r="X20" s="17">
        <f t="shared" si="12"/>
        <v>3</v>
      </c>
      <c r="Y20" s="17">
        <f t="shared" si="12"/>
        <v>8</v>
      </c>
      <c r="Z20" s="17">
        <f t="shared" si="12"/>
        <v>7</v>
      </c>
      <c r="AA20" s="17">
        <f t="shared" si="12"/>
        <v>1</v>
      </c>
      <c r="AB20" s="17">
        <f t="shared" si="12"/>
        <v>4</v>
      </c>
      <c r="AC20" s="17">
        <f t="shared" si="12"/>
        <v>235</v>
      </c>
      <c r="AD20" s="17">
        <f t="shared" si="12"/>
        <v>0</v>
      </c>
      <c r="AE20" s="31">
        <f t="shared" si="12"/>
        <v>148</v>
      </c>
      <c r="AF20" s="31">
        <f t="shared" si="12"/>
        <v>383</v>
      </c>
    </row>
    <row r="21" spans="2:32" ht="23.1" customHeight="1" x14ac:dyDescent="0.25">
      <c r="B21" s="23" t="s">
        <v>48</v>
      </c>
      <c r="C21" s="50">
        <v>7</v>
      </c>
      <c r="D21" s="50">
        <v>1</v>
      </c>
      <c r="E21" s="50">
        <v>3</v>
      </c>
      <c r="F21" s="50">
        <v>3</v>
      </c>
      <c r="G21" s="50">
        <v>0</v>
      </c>
      <c r="H21" s="50">
        <v>1</v>
      </c>
      <c r="I21" s="50">
        <v>2</v>
      </c>
      <c r="J21" s="50">
        <v>0</v>
      </c>
      <c r="K21" s="50">
        <v>0</v>
      </c>
      <c r="L21" s="50">
        <v>1</v>
      </c>
      <c r="M21" s="50">
        <v>41</v>
      </c>
      <c r="N21" s="50">
        <v>0</v>
      </c>
      <c r="O21" s="15">
        <f t="shared" si="0"/>
        <v>18</v>
      </c>
      <c r="P21" s="15">
        <f t="shared" si="1"/>
        <v>59</v>
      </c>
      <c r="R21" s="36" t="s">
        <v>20</v>
      </c>
      <c r="S21" s="34">
        <f t="shared" ref="S21:AF21" si="13">SUM(C54:C57)</f>
        <v>65</v>
      </c>
      <c r="T21" s="17">
        <f t="shared" si="13"/>
        <v>22</v>
      </c>
      <c r="U21" s="17">
        <f t="shared" si="13"/>
        <v>6</v>
      </c>
      <c r="V21" s="17">
        <f t="shared" si="13"/>
        <v>44</v>
      </c>
      <c r="W21" s="17">
        <f t="shared" si="13"/>
        <v>1</v>
      </c>
      <c r="X21" s="17">
        <f t="shared" si="13"/>
        <v>1</v>
      </c>
      <c r="Y21" s="17">
        <f t="shared" si="13"/>
        <v>11</v>
      </c>
      <c r="Z21" s="17">
        <f t="shared" si="13"/>
        <v>14</v>
      </c>
      <c r="AA21" s="17">
        <f t="shared" si="13"/>
        <v>2</v>
      </c>
      <c r="AB21" s="17">
        <f t="shared" si="13"/>
        <v>6</v>
      </c>
      <c r="AC21" s="17">
        <f t="shared" si="13"/>
        <v>204</v>
      </c>
      <c r="AD21" s="17">
        <f t="shared" si="13"/>
        <v>0</v>
      </c>
      <c r="AE21" s="31">
        <f t="shared" si="13"/>
        <v>172</v>
      </c>
      <c r="AF21" s="31">
        <f t="shared" si="13"/>
        <v>376</v>
      </c>
    </row>
    <row r="22" spans="2:32" ht="23.1" customHeight="1" x14ac:dyDescent="0.25">
      <c r="B22" s="23" t="s">
        <v>49</v>
      </c>
      <c r="C22" s="50">
        <v>7</v>
      </c>
      <c r="D22" s="50">
        <v>3</v>
      </c>
      <c r="E22" s="50">
        <v>1</v>
      </c>
      <c r="F22" s="50">
        <v>7</v>
      </c>
      <c r="G22" s="50">
        <v>1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47</v>
      </c>
      <c r="N22" s="50">
        <v>0</v>
      </c>
      <c r="O22" s="15">
        <f t="shared" si="0"/>
        <v>22</v>
      </c>
      <c r="P22" s="15">
        <f t="shared" si="1"/>
        <v>69</v>
      </c>
      <c r="R22" s="38" t="s">
        <v>90</v>
      </c>
      <c r="S22" s="39">
        <f>MAX(S10:S12)</f>
        <v>25</v>
      </c>
      <c r="T22" s="39">
        <f t="shared" ref="T22:AF22" si="14">MAX(T10:T12)</f>
        <v>5</v>
      </c>
      <c r="U22" s="39">
        <f t="shared" si="14"/>
        <v>6</v>
      </c>
      <c r="V22" s="39">
        <f t="shared" si="14"/>
        <v>18</v>
      </c>
      <c r="W22" s="39">
        <f t="shared" si="14"/>
        <v>1</v>
      </c>
      <c r="X22" s="39">
        <f t="shared" si="14"/>
        <v>1</v>
      </c>
      <c r="Y22" s="39">
        <f t="shared" si="14"/>
        <v>6</v>
      </c>
      <c r="Z22" s="39">
        <f t="shared" si="14"/>
        <v>4</v>
      </c>
      <c r="AA22" s="39">
        <f t="shared" si="14"/>
        <v>0</v>
      </c>
      <c r="AB22" s="39">
        <f t="shared" si="14"/>
        <v>3</v>
      </c>
      <c r="AC22" s="39">
        <f t="shared" si="14"/>
        <v>178</v>
      </c>
      <c r="AD22" s="39">
        <f t="shared" si="14"/>
        <v>0</v>
      </c>
      <c r="AE22" s="40">
        <f t="shared" si="14"/>
        <v>61</v>
      </c>
      <c r="AF22" s="40">
        <f t="shared" si="14"/>
        <v>235</v>
      </c>
    </row>
    <row r="23" spans="2:32" ht="23.1" customHeight="1" x14ac:dyDescent="0.25">
      <c r="B23" s="23" t="s">
        <v>50</v>
      </c>
      <c r="C23" s="50">
        <v>4</v>
      </c>
      <c r="D23" s="50">
        <v>2</v>
      </c>
      <c r="E23" s="50">
        <v>1</v>
      </c>
      <c r="F23" s="50">
        <v>8</v>
      </c>
      <c r="G23" s="50">
        <v>0</v>
      </c>
      <c r="H23" s="50">
        <v>0</v>
      </c>
      <c r="I23" s="50">
        <v>5</v>
      </c>
      <c r="J23" s="50">
        <v>1</v>
      </c>
      <c r="K23" s="50">
        <v>1</v>
      </c>
      <c r="L23" s="50">
        <v>0</v>
      </c>
      <c r="M23" s="50">
        <v>60</v>
      </c>
      <c r="N23" s="50">
        <v>0</v>
      </c>
      <c r="O23" s="15">
        <f t="shared" si="0"/>
        <v>22</v>
      </c>
      <c r="P23" s="15">
        <f t="shared" si="1"/>
        <v>82</v>
      </c>
      <c r="R23" s="38" t="s">
        <v>91</v>
      </c>
      <c r="S23" s="39">
        <f>MAX(S13:S18)</f>
        <v>52</v>
      </c>
      <c r="T23" s="39">
        <f t="shared" ref="T23:AF23" si="15">MAX(T13:T18)</f>
        <v>27</v>
      </c>
      <c r="U23" s="39">
        <f t="shared" si="15"/>
        <v>12</v>
      </c>
      <c r="V23" s="39">
        <f t="shared" si="15"/>
        <v>32</v>
      </c>
      <c r="W23" s="39">
        <f t="shared" si="15"/>
        <v>2</v>
      </c>
      <c r="X23" s="39">
        <f t="shared" si="15"/>
        <v>3</v>
      </c>
      <c r="Y23" s="39">
        <f t="shared" si="15"/>
        <v>13</v>
      </c>
      <c r="Z23" s="39">
        <f t="shared" si="15"/>
        <v>8</v>
      </c>
      <c r="AA23" s="39">
        <f t="shared" si="15"/>
        <v>3</v>
      </c>
      <c r="AB23" s="39">
        <f t="shared" si="15"/>
        <v>4</v>
      </c>
      <c r="AC23" s="39">
        <f t="shared" si="15"/>
        <v>199</v>
      </c>
      <c r="AD23" s="39">
        <f t="shared" si="15"/>
        <v>0</v>
      </c>
      <c r="AE23" s="40">
        <f t="shared" si="15"/>
        <v>141</v>
      </c>
      <c r="AF23" s="40">
        <f t="shared" si="15"/>
        <v>323</v>
      </c>
    </row>
    <row r="24" spans="2:32" ht="23.1" customHeight="1" x14ac:dyDescent="0.25">
      <c r="B24" s="23" t="s">
        <v>51</v>
      </c>
      <c r="C24" s="50">
        <v>3</v>
      </c>
      <c r="D24" s="50">
        <v>3</v>
      </c>
      <c r="E24" s="50">
        <v>0</v>
      </c>
      <c r="F24" s="50">
        <v>6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1</v>
      </c>
      <c r="M24" s="50">
        <v>30</v>
      </c>
      <c r="N24" s="50">
        <v>0</v>
      </c>
      <c r="O24" s="15">
        <f t="shared" si="0"/>
        <v>16</v>
      </c>
      <c r="P24" s="15">
        <f t="shared" si="1"/>
        <v>46</v>
      </c>
      <c r="R24" s="38" t="s">
        <v>92</v>
      </c>
      <c r="S24" s="39">
        <f>MAX(S19:S21)</f>
        <v>65</v>
      </c>
      <c r="T24" s="39">
        <f t="shared" ref="T24:AF24" si="16">MAX(T19:T21)</f>
        <v>40</v>
      </c>
      <c r="U24" s="39">
        <f t="shared" si="16"/>
        <v>6</v>
      </c>
      <c r="V24" s="39">
        <f t="shared" si="16"/>
        <v>44</v>
      </c>
      <c r="W24" s="39">
        <f t="shared" si="16"/>
        <v>4</v>
      </c>
      <c r="X24" s="39">
        <f t="shared" si="16"/>
        <v>3</v>
      </c>
      <c r="Y24" s="39">
        <f t="shared" si="16"/>
        <v>11</v>
      </c>
      <c r="Z24" s="39">
        <f t="shared" si="16"/>
        <v>14</v>
      </c>
      <c r="AA24" s="39">
        <f t="shared" si="16"/>
        <v>3</v>
      </c>
      <c r="AB24" s="39">
        <f t="shared" si="16"/>
        <v>6</v>
      </c>
      <c r="AC24" s="39">
        <f t="shared" si="16"/>
        <v>266</v>
      </c>
      <c r="AD24" s="39">
        <f t="shared" si="16"/>
        <v>0</v>
      </c>
      <c r="AE24" s="40">
        <f t="shared" si="16"/>
        <v>172</v>
      </c>
      <c r="AF24" s="40">
        <f t="shared" si="16"/>
        <v>401</v>
      </c>
    </row>
    <row r="25" spans="2:32" ht="23.1" customHeight="1" x14ac:dyDescent="0.25">
      <c r="B25" s="23" t="s">
        <v>52</v>
      </c>
      <c r="C25" s="50">
        <v>7</v>
      </c>
      <c r="D25" s="50">
        <v>1</v>
      </c>
      <c r="E25" s="50">
        <v>0</v>
      </c>
      <c r="F25" s="50">
        <v>6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1</v>
      </c>
      <c r="M25" s="50">
        <v>40</v>
      </c>
      <c r="N25" s="50">
        <v>0</v>
      </c>
      <c r="O25" s="15">
        <f t="shared" si="0"/>
        <v>18</v>
      </c>
      <c r="P25" s="15">
        <f t="shared" si="1"/>
        <v>58</v>
      </c>
      <c r="R25" s="37" t="s">
        <v>85</v>
      </c>
      <c r="S25" s="35">
        <f t="shared" ref="S25:AF25" si="17">SUM(S10:S12)</f>
        <v>50</v>
      </c>
      <c r="T25" s="16">
        <f t="shared" si="17"/>
        <v>9</v>
      </c>
      <c r="U25" s="16">
        <f t="shared" si="17"/>
        <v>14</v>
      </c>
      <c r="V25" s="16">
        <f t="shared" si="17"/>
        <v>45</v>
      </c>
      <c r="W25" s="16">
        <f t="shared" si="17"/>
        <v>2</v>
      </c>
      <c r="X25" s="16">
        <f t="shared" si="17"/>
        <v>1</v>
      </c>
      <c r="Y25" s="16">
        <f t="shared" si="17"/>
        <v>12</v>
      </c>
      <c r="Z25" s="16">
        <f t="shared" si="17"/>
        <v>6</v>
      </c>
      <c r="AA25" s="16">
        <f t="shared" si="17"/>
        <v>0</v>
      </c>
      <c r="AB25" s="16">
        <f t="shared" si="17"/>
        <v>7</v>
      </c>
      <c r="AC25" s="16">
        <f t="shared" si="17"/>
        <v>465</v>
      </c>
      <c r="AD25" s="16">
        <f t="shared" si="17"/>
        <v>0</v>
      </c>
      <c r="AE25" s="32">
        <f t="shared" si="17"/>
        <v>146</v>
      </c>
      <c r="AF25" s="32">
        <f t="shared" si="17"/>
        <v>611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1</v>
      </c>
      <c r="F26" s="50">
        <v>5</v>
      </c>
      <c r="G26" s="50">
        <v>0</v>
      </c>
      <c r="H26" s="50">
        <v>1</v>
      </c>
      <c r="I26" s="50">
        <v>6</v>
      </c>
      <c r="J26" s="50">
        <v>1</v>
      </c>
      <c r="K26" s="50">
        <v>0</v>
      </c>
      <c r="L26" s="50">
        <v>1</v>
      </c>
      <c r="M26" s="50">
        <v>61</v>
      </c>
      <c r="N26" s="50">
        <v>0</v>
      </c>
      <c r="O26" s="15">
        <f t="shared" si="0"/>
        <v>21</v>
      </c>
      <c r="P26" s="15">
        <f t="shared" si="1"/>
        <v>82</v>
      </c>
      <c r="R26" s="28" t="s">
        <v>86</v>
      </c>
      <c r="S26" s="16">
        <f t="shared" ref="S26:AF26" si="18">SUM(S13:S18)</f>
        <v>240</v>
      </c>
      <c r="T26" s="16">
        <f t="shared" si="18"/>
        <v>93</v>
      </c>
      <c r="U26" s="16">
        <f t="shared" si="18"/>
        <v>50</v>
      </c>
      <c r="V26" s="16">
        <f t="shared" si="18"/>
        <v>167</v>
      </c>
      <c r="W26" s="16">
        <f t="shared" si="18"/>
        <v>7</v>
      </c>
      <c r="X26" s="16">
        <f t="shared" si="18"/>
        <v>11</v>
      </c>
      <c r="Y26" s="16">
        <f t="shared" si="18"/>
        <v>57</v>
      </c>
      <c r="Z26" s="16">
        <f t="shared" si="18"/>
        <v>27</v>
      </c>
      <c r="AA26" s="16">
        <f t="shared" si="18"/>
        <v>6</v>
      </c>
      <c r="AB26" s="16">
        <f t="shared" si="18"/>
        <v>16</v>
      </c>
      <c r="AC26" s="16">
        <f t="shared" si="18"/>
        <v>1062</v>
      </c>
      <c r="AD26" s="16">
        <f t="shared" si="18"/>
        <v>0</v>
      </c>
      <c r="AE26" s="32">
        <f t="shared" si="18"/>
        <v>674</v>
      </c>
      <c r="AF26" s="32">
        <f t="shared" si="18"/>
        <v>1736</v>
      </c>
    </row>
    <row r="27" spans="2:32" ht="23.1" customHeight="1" x14ac:dyDescent="0.25">
      <c r="B27" s="23" t="s">
        <v>54</v>
      </c>
      <c r="C27" s="50">
        <v>9</v>
      </c>
      <c r="D27" s="50">
        <v>2</v>
      </c>
      <c r="E27" s="50">
        <v>1</v>
      </c>
      <c r="F27" s="50">
        <v>9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1</v>
      </c>
      <c r="M27" s="50">
        <v>40</v>
      </c>
      <c r="N27" s="50">
        <v>0</v>
      </c>
      <c r="O27" s="15">
        <f t="shared" si="0"/>
        <v>25</v>
      </c>
      <c r="P27" s="15">
        <f t="shared" si="1"/>
        <v>65</v>
      </c>
      <c r="R27" s="29" t="s">
        <v>87</v>
      </c>
      <c r="S27" s="16">
        <f t="shared" ref="S27:AF27" si="19">SUM(S19:S21)</f>
        <v>163</v>
      </c>
      <c r="T27" s="16">
        <f t="shared" si="19"/>
        <v>92</v>
      </c>
      <c r="U27" s="16">
        <f t="shared" si="19"/>
        <v>12</v>
      </c>
      <c r="V27" s="16">
        <f t="shared" si="19"/>
        <v>106</v>
      </c>
      <c r="W27" s="16">
        <f t="shared" si="19"/>
        <v>6</v>
      </c>
      <c r="X27" s="16">
        <f t="shared" si="19"/>
        <v>6</v>
      </c>
      <c r="Y27" s="16">
        <f t="shared" si="19"/>
        <v>25</v>
      </c>
      <c r="Z27" s="16">
        <f t="shared" si="19"/>
        <v>25</v>
      </c>
      <c r="AA27" s="16">
        <f t="shared" si="19"/>
        <v>6</v>
      </c>
      <c r="AB27" s="16">
        <f t="shared" si="19"/>
        <v>14</v>
      </c>
      <c r="AC27" s="16">
        <f t="shared" si="19"/>
        <v>705</v>
      </c>
      <c r="AD27" s="16">
        <f t="shared" si="19"/>
        <v>0</v>
      </c>
      <c r="AE27" s="32">
        <f t="shared" si="19"/>
        <v>455</v>
      </c>
      <c r="AF27" s="32">
        <f t="shared" si="19"/>
        <v>1160</v>
      </c>
    </row>
    <row r="28" spans="2:32" ht="23.1" customHeight="1" x14ac:dyDescent="0.25">
      <c r="B28" s="23" t="s">
        <v>55</v>
      </c>
      <c r="C28" s="50">
        <v>4</v>
      </c>
      <c r="D28" s="50">
        <v>4</v>
      </c>
      <c r="E28" s="50">
        <v>3</v>
      </c>
      <c r="F28" s="50">
        <v>7</v>
      </c>
      <c r="G28" s="50">
        <v>1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42</v>
      </c>
      <c r="N28" s="50">
        <v>0</v>
      </c>
      <c r="O28" s="15">
        <f t="shared" si="0"/>
        <v>20</v>
      </c>
      <c r="P28" s="15">
        <f t="shared" si="1"/>
        <v>62</v>
      </c>
      <c r="R28" s="5" t="s">
        <v>17</v>
      </c>
      <c r="S28" s="16">
        <f t="shared" ref="S28:AF28" si="20">SUM(S10:S21)</f>
        <v>453</v>
      </c>
      <c r="T28" s="16">
        <f t="shared" si="20"/>
        <v>194</v>
      </c>
      <c r="U28" s="16">
        <f t="shared" si="20"/>
        <v>76</v>
      </c>
      <c r="V28" s="16">
        <f t="shared" si="20"/>
        <v>318</v>
      </c>
      <c r="W28" s="16">
        <f t="shared" si="20"/>
        <v>15</v>
      </c>
      <c r="X28" s="16">
        <f t="shared" si="20"/>
        <v>18</v>
      </c>
      <c r="Y28" s="16">
        <f t="shared" si="20"/>
        <v>94</v>
      </c>
      <c r="Z28" s="16">
        <f t="shared" si="20"/>
        <v>58</v>
      </c>
      <c r="AA28" s="16">
        <f t="shared" si="20"/>
        <v>12</v>
      </c>
      <c r="AB28" s="16">
        <f t="shared" si="20"/>
        <v>37</v>
      </c>
      <c r="AC28" s="16">
        <f t="shared" si="20"/>
        <v>2232</v>
      </c>
      <c r="AD28" s="16">
        <f t="shared" si="20"/>
        <v>0</v>
      </c>
      <c r="AE28" s="32">
        <f t="shared" si="20"/>
        <v>1275</v>
      </c>
      <c r="AF28" s="32">
        <f t="shared" si="20"/>
        <v>3507</v>
      </c>
    </row>
    <row r="29" spans="2:32" ht="23.1" customHeight="1" x14ac:dyDescent="0.25">
      <c r="B29" s="23" t="s">
        <v>56</v>
      </c>
      <c r="C29" s="50">
        <v>8</v>
      </c>
      <c r="D29" s="50">
        <v>4</v>
      </c>
      <c r="E29" s="50">
        <v>2</v>
      </c>
      <c r="F29" s="50">
        <v>4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2</v>
      </c>
      <c r="M29" s="50">
        <v>51</v>
      </c>
      <c r="N29" s="50">
        <v>0</v>
      </c>
      <c r="O29" s="15">
        <f t="shared" si="0"/>
        <v>23</v>
      </c>
      <c r="P29" s="15">
        <f t="shared" si="1"/>
        <v>74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5</v>
      </c>
      <c r="E30" s="50">
        <v>3</v>
      </c>
      <c r="F30" s="50">
        <v>6</v>
      </c>
      <c r="G30" s="50">
        <v>1</v>
      </c>
      <c r="H30" s="50">
        <v>1</v>
      </c>
      <c r="I30" s="50">
        <v>0</v>
      </c>
      <c r="J30" s="50">
        <v>0</v>
      </c>
      <c r="K30" s="50">
        <v>0</v>
      </c>
      <c r="L30" s="50">
        <v>0</v>
      </c>
      <c r="M30" s="50">
        <v>61</v>
      </c>
      <c r="N30" s="50">
        <v>0</v>
      </c>
      <c r="O30" s="15">
        <f t="shared" si="0"/>
        <v>29</v>
      </c>
      <c r="P30" s="15">
        <f t="shared" si="1"/>
        <v>90</v>
      </c>
    </row>
    <row r="31" spans="2:32" ht="23.1" customHeight="1" x14ac:dyDescent="0.25">
      <c r="B31" s="24" t="s">
        <v>58</v>
      </c>
      <c r="C31" s="50">
        <v>14</v>
      </c>
      <c r="D31" s="50">
        <v>3</v>
      </c>
      <c r="E31" s="50">
        <v>3</v>
      </c>
      <c r="F31" s="50">
        <v>10</v>
      </c>
      <c r="G31" s="50">
        <v>0</v>
      </c>
      <c r="H31" s="50">
        <v>1</v>
      </c>
      <c r="I31" s="50">
        <v>0</v>
      </c>
      <c r="J31" s="50">
        <v>0</v>
      </c>
      <c r="K31" s="50">
        <v>0</v>
      </c>
      <c r="L31" s="50">
        <v>3</v>
      </c>
      <c r="M31" s="50">
        <v>43</v>
      </c>
      <c r="N31" s="50">
        <v>0</v>
      </c>
      <c r="O31" s="15">
        <f t="shared" si="0"/>
        <v>34</v>
      </c>
      <c r="P31" s="15">
        <f t="shared" si="1"/>
        <v>77</v>
      </c>
    </row>
    <row r="32" spans="2:32" ht="23.1" customHeight="1" x14ac:dyDescent="0.25">
      <c r="B32" s="24" t="s">
        <v>59</v>
      </c>
      <c r="C32" s="50">
        <v>10</v>
      </c>
      <c r="D32" s="50">
        <v>3</v>
      </c>
      <c r="E32" s="50">
        <v>2</v>
      </c>
      <c r="F32" s="50">
        <v>10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26</v>
      </c>
      <c r="P32" s="15">
        <f t="shared" si="1"/>
        <v>43</v>
      </c>
    </row>
    <row r="33" spans="2:20" ht="23.1" customHeight="1" x14ac:dyDescent="0.25">
      <c r="B33" s="23" t="s">
        <v>60</v>
      </c>
      <c r="C33" s="50">
        <v>9</v>
      </c>
      <c r="D33" s="50">
        <v>4</v>
      </c>
      <c r="E33" s="50">
        <v>4</v>
      </c>
      <c r="F33" s="50">
        <v>6</v>
      </c>
      <c r="G33" s="50">
        <v>0</v>
      </c>
      <c r="H33" s="50">
        <v>0</v>
      </c>
      <c r="I33" s="50">
        <v>1</v>
      </c>
      <c r="J33" s="50">
        <v>2</v>
      </c>
      <c r="K33" s="50">
        <v>1</v>
      </c>
      <c r="L33" s="50">
        <v>0</v>
      </c>
      <c r="M33" s="50">
        <v>56</v>
      </c>
      <c r="N33" s="50">
        <v>0</v>
      </c>
      <c r="O33" s="15">
        <f t="shared" si="0"/>
        <v>27</v>
      </c>
      <c r="P33" s="15">
        <f t="shared" si="1"/>
        <v>83</v>
      </c>
    </row>
    <row r="34" spans="2:20" ht="23.1" customHeight="1" x14ac:dyDescent="0.25">
      <c r="B34" s="24" t="s">
        <v>61</v>
      </c>
      <c r="C34" s="50">
        <v>12</v>
      </c>
      <c r="D34" s="50">
        <v>2</v>
      </c>
      <c r="E34" s="50">
        <v>1</v>
      </c>
      <c r="F34" s="50">
        <v>10</v>
      </c>
      <c r="G34" s="50">
        <v>0</v>
      </c>
      <c r="H34" s="50">
        <v>1</v>
      </c>
      <c r="I34" s="50">
        <v>6</v>
      </c>
      <c r="J34" s="50">
        <v>0</v>
      </c>
      <c r="K34" s="50">
        <v>0</v>
      </c>
      <c r="L34" s="50">
        <v>0</v>
      </c>
      <c r="M34" s="50">
        <v>51</v>
      </c>
      <c r="N34" s="50">
        <v>0</v>
      </c>
      <c r="O34" s="15">
        <f t="shared" si="0"/>
        <v>32</v>
      </c>
      <c r="P34" s="15">
        <f t="shared" si="1"/>
        <v>83</v>
      </c>
    </row>
    <row r="35" spans="2:20" ht="23.1" customHeight="1" x14ac:dyDescent="0.25">
      <c r="B35" s="24" t="s">
        <v>62</v>
      </c>
      <c r="C35" s="50">
        <v>10</v>
      </c>
      <c r="D35" s="50">
        <v>7</v>
      </c>
      <c r="E35" s="50">
        <v>5</v>
      </c>
      <c r="F35" s="50">
        <v>8</v>
      </c>
      <c r="G35" s="50">
        <v>1</v>
      </c>
      <c r="H35" s="50">
        <v>0</v>
      </c>
      <c r="I35" s="50">
        <v>1</v>
      </c>
      <c r="J35" s="50">
        <v>4</v>
      </c>
      <c r="K35" s="50">
        <v>0</v>
      </c>
      <c r="L35" s="50">
        <v>2</v>
      </c>
      <c r="M35" s="50">
        <v>45</v>
      </c>
      <c r="N35" s="50">
        <v>0</v>
      </c>
      <c r="O35" s="15">
        <f t="shared" si="0"/>
        <v>38</v>
      </c>
      <c r="P35" s="15">
        <f t="shared" si="1"/>
        <v>83</v>
      </c>
    </row>
    <row r="36" spans="2:20" ht="23.1" customHeight="1" x14ac:dyDescent="0.25">
      <c r="B36" s="24" t="s">
        <v>63</v>
      </c>
      <c r="C36" s="50">
        <v>15</v>
      </c>
      <c r="D36" s="50">
        <v>5</v>
      </c>
      <c r="E36" s="50">
        <v>1</v>
      </c>
      <c r="F36" s="50">
        <v>8</v>
      </c>
      <c r="G36" s="50">
        <v>1</v>
      </c>
      <c r="H36" s="50">
        <v>0</v>
      </c>
      <c r="I36" s="50">
        <v>2</v>
      </c>
      <c r="J36" s="50">
        <v>2</v>
      </c>
      <c r="K36" s="50">
        <v>0</v>
      </c>
      <c r="L36" s="50">
        <v>1</v>
      </c>
      <c r="M36" s="50">
        <v>54</v>
      </c>
      <c r="N36" s="50">
        <v>0</v>
      </c>
      <c r="O36" s="15">
        <f t="shared" si="0"/>
        <v>35</v>
      </c>
      <c r="P36" s="15">
        <f t="shared" si="1"/>
        <v>89</v>
      </c>
    </row>
    <row r="37" spans="2:20" ht="23.1" customHeight="1" x14ac:dyDescent="0.25">
      <c r="B37" s="23" t="s">
        <v>64</v>
      </c>
      <c r="C37" s="50">
        <v>7</v>
      </c>
      <c r="D37" s="50">
        <v>2</v>
      </c>
      <c r="E37" s="50">
        <v>2</v>
      </c>
      <c r="F37" s="50">
        <v>3</v>
      </c>
      <c r="G37" s="50">
        <v>0</v>
      </c>
      <c r="H37" s="50">
        <v>1</v>
      </c>
      <c r="I37" s="50">
        <v>1</v>
      </c>
      <c r="J37" s="50">
        <v>2</v>
      </c>
      <c r="K37" s="50">
        <v>0</v>
      </c>
      <c r="L37" s="50">
        <v>1</v>
      </c>
      <c r="M37" s="50">
        <v>49</v>
      </c>
      <c r="N37" s="50">
        <v>0</v>
      </c>
      <c r="O37" s="15">
        <f t="shared" si="0"/>
        <v>19</v>
      </c>
      <c r="P37" s="15">
        <f t="shared" si="1"/>
        <v>68</v>
      </c>
    </row>
    <row r="38" spans="2:20" ht="23.1" customHeight="1" x14ac:dyDescent="0.25">
      <c r="B38" s="24" t="s">
        <v>65</v>
      </c>
      <c r="C38" s="50">
        <v>10</v>
      </c>
      <c r="D38" s="50">
        <v>4</v>
      </c>
      <c r="E38" s="50">
        <v>3</v>
      </c>
      <c r="F38" s="50">
        <v>10</v>
      </c>
      <c r="G38" s="50">
        <v>0</v>
      </c>
      <c r="H38" s="50">
        <v>1</v>
      </c>
      <c r="I38" s="50">
        <v>1</v>
      </c>
      <c r="J38" s="50">
        <v>4</v>
      </c>
      <c r="K38" s="50">
        <v>1</v>
      </c>
      <c r="L38" s="50">
        <v>0</v>
      </c>
      <c r="M38" s="50">
        <v>30</v>
      </c>
      <c r="N38" s="50">
        <v>0</v>
      </c>
      <c r="O38" s="15">
        <f t="shared" si="0"/>
        <v>34</v>
      </c>
      <c r="P38" s="15">
        <f t="shared" si="1"/>
        <v>64</v>
      </c>
    </row>
    <row r="39" spans="2:20" ht="23.1" customHeight="1" x14ac:dyDescent="0.25">
      <c r="B39" s="24" t="s">
        <v>66</v>
      </c>
      <c r="C39" s="50">
        <v>17</v>
      </c>
      <c r="D39" s="50">
        <v>3</v>
      </c>
      <c r="E39" s="50">
        <v>4</v>
      </c>
      <c r="F39" s="50">
        <v>4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45</v>
      </c>
      <c r="N39" s="50">
        <v>0</v>
      </c>
      <c r="O39" s="15">
        <f t="shared" si="0"/>
        <v>30</v>
      </c>
      <c r="P39" s="15">
        <f t="shared" si="1"/>
        <v>75</v>
      </c>
    </row>
    <row r="40" spans="2:20" ht="23.1" customHeight="1" x14ac:dyDescent="0.25">
      <c r="B40" s="24" t="s">
        <v>67</v>
      </c>
      <c r="C40" s="50">
        <v>11</v>
      </c>
      <c r="D40" s="50">
        <v>4</v>
      </c>
      <c r="E40" s="50">
        <v>1</v>
      </c>
      <c r="F40" s="50">
        <v>5</v>
      </c>
      <c r="G40" s="50">
        <v>0</v>
      </c>
      <c r="H40" s="50">
        <v>1</v>
      </c>
      <c r="I40" s="50">
        <v>3</v>
      </c>
      <c r="J40" s="50">
        <v>0</v>
      </c>
      <c r="K40" s="50">
        <v>0</v>
      </c>
      <c r="L40" s="50">
        <v>0</v>
      </c>
      <c r="M40" s="50">
        <v>32</v>
      </c>
      <c r="N40" s="50">
        <v>0</v>
      </c>
      <c r="O40" s="15">
        <f t="shared" si="0"/>
        <v>25</v>
      </c>
      <c r="P40" s="15">
        <f t="shared" si="1"/>
        <v>57</v>
      </c>
    </row>
    <row r="41" spans="2:20" ht="23.1" customHeight="1" x14ac:dyDescent="0.25">
      <c r="B41" s="23" t="s">
        <v>68</v>
      </c>
      <c r="C41" s="50">
        <v>14</v>
      </c>
      <c r="D41" s="50">
        <v>5</v>
      </c>
      <c r="E41" s="50">
        <v>2</v>
      </c>
      <c r="F41" s="50">
        <v>7</v>
      </c>
      <c r="G41" s="50">
        <v>2</v>
      </c>
      <c r="H41" s="50">
        <v>0</v>
      </c>
      <c r="I41" s="50">
        <v>3</v>
      </c>
      <c r="J41" s="50">
        <v>1</v>
      </c>
      <c r="K41" s="50">
        <v>2</v>
      </c>
      <c r="L41" s="50">
        <v>1</v>
      </c>
      <c r="M41" s="50">
        <v>44</v>
      </c>
      <c r="N41" s="50">
        <v>0</v>
      </c>
      <c r="O41" s="15">
        <f t="shared" si="0"/>
        <v>37</v>
      </c>
      <c r="P41" s="15">
        <f t="shared" si="1"/>
        <v>81</v>
      </c>
    </row>
    <row r="42" spans="2:20" ht="23.1" customHeight="1" x14ac:dyDescent="0.25">
      <c r="B42" s="24" t="s">
        <v>69</v>
      </c>
      <c r="C42" s="50">
        <v>14</v>
      </c>
      <c r="D42" s="50">
        <v>5</v>
      </c>
      <c r="E42" s="50">
        <v>2</v>
      </c>
      <c r="F42" s="50">
        <v>8</v>
      </c>
      <c r="G42" s="50">
        <v>0</v>
      </c>
      <c r="H42" s="50">
        <v>2</v>
      </c>
      <c r="I42" s="50">
        <v>7</v>
      </c>
      <c r="J42" s="50">
        <v>0</v>
      </c>
      <c r="K42" s="50">
        <v>1</v>
      </c>
      <c r="L42" s="50">
        <v>1</v>
      </c>
      <c r="M42" s="50">
        <v>43</v>
      </c>
      <c r="N42" s="50">
        <v>0</v>
      </c>
      <c r="O42" s="15">
        <f t="shared" si="0"/>
        <v>40</v>
      </c>
      <c r="P42" s="15">
        <f t="shared" si="1"/>
        <v>83</v>
      </c>
    </row>
    <row r="43" spans="2:20" ht="23.1" customHeight="1" x14ac:dyDescent="0.25">
      <c r="B43" s="23" t="s">
        <v>70</v>
      </c>
      <c r="C43" s="50">
        <v>15</v>
      </c>
      <c r="D43" s="50">
        <v>5</v>
      </c>
      <c r="E43" s="50">
        <v>1</v>
      </c>
      <c r="F43" s="50">
        <v>5</v>
      </c>
      <c r="G43" s="50">
        <v>0</v>
      </c>
      <c r="H43" s="50">
        <v>1</v>
      </c>
      <c r="I43" s="50">
        <v>2</v>
      </c>
      <c r="J43" s="50">
        <v>3</v>
      </c>
      <c r="K43" s="50">
        <v>0</v>
      </c>
      <c r="L43" s="50">
        <v>1</v>
      </c>
      <c r="M43" s="50">
        <v>42</v>
      </c>
      <c r="N43" s="50">
        <v>0</v>
      </c>
      <c r="O43" s="15">
        <f t="shared" si="0"/>
        <v>33</v>
      </c>
      <c r="P43" s="15">
        <f t="shared" si="1"/>
        <v>75</v>
      </c>
    </row>
    <row r="44" spans="2:20" ht="23.1" customHeight="1" x14ac:dyDescent="0.25">
      <c r="B44" s="25" t="s">
        <v>71</v>
      </c>
      <c r="C44" s="50">
        <v>12</v>
      </c>
      <c r="D44" s="50">
        <v>7</v>
      </c>
      <c r="E44" s="50">
        <v>4</v>
      </c>
      <c r="F44" s="50">
        <v>7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39</v>
      </c>
      <c r="N44" s="50">
        <v>0</v>
      </c>
      <c r="O44" s="15">
        <f t="shared" si="0"/>
        <v>32</v>
      </c>
      <c r="P44" s="15">
        <f t="shared" si="1"/>
        <v>71</v>
      </c>
    </row>
    <row r="45" spans="2:20" ht="23.1" customHeight="1" x14ac:dyDescent="0.25">
      <c r="B45" s="23" t="s">
        <v>72</v>
      </c>
      <c r="C45" s="50">
        <v>9</v>
      </c>
      <c r="D45" s="50">
        <v>10</v>
      </c>
      <c r="E45" s="50">
        <v>3</v>
      </c>
      <c r="F45" s="50">
        <v>8</v>
      </c>
      <c r="G45" s="50">
        <v>0</v>
      </c>
      <c r="H45" s="50">
        <v>0</v>
      </c>
      <c r="I45" s="50">
        <v>2</v>
      </c>
      <c r="J45" s="50">
        <v>4</v>
      </c>
      <c r="K45" s="50">
        <v>0</v>
      </c>
      <c r="L45" s="50">
        <v>0</v>
      </c>
      <c r="M45" s="50">
        <v>40</v>
      </c>
      <c r="N45" s="50">
        <v>0</v>
      </c>
      <c r="O45" s="15">
        <f t="shared" si="0"/>
        <v>36</v>
      </c>
      <c r="P45" s="15">
        <f t="shared" si="1"/>
        <v>76</v>
      </c>
    </row>
    <row r="46" spans="2:20" ht="23.1" customHeight="1" x14ac:dyDescent="0.25">
      <c r="B46" s="24" t="s">
        <v>73</v>
      </c>
      <c r="C46" s="50">
        <v>7</v>
      </c>
      <c r="D46" s="50">
        <v>9</v>
      </c>
      <c r="E46" s="50">
        <v>2</v>
      </c>
      <c r="F46" s="50">
        <v>7</v>
      </c>
      <c r="G46" s="50">
        <v>1</v>
      </c>
      <c r="H46" s="50">
        <v>1</v>
      </c>
      <c r="I46" s="50">
        <v>2</v>
      </c>
      <c r="J46" s="50">
        <v>0</v>
      </c>
      <c r="K46" s="50">
        <v>1</v>
      </c>
      <c r="L46" s="50">
        <v>1</v>
      </c>
      <c r="M46" s="50">
        <v>50</v>
      </c>
      <c r="N46" s="50">
        <v>0</v>
      </c>
      <c r="O46" s="15">
        <f t="shared" si="0"/>
        <v>31</v>
      </c>
      <c r="P46" s="15">
        <f t="shared" si="1"/>
        <v>81</v>
      </c>
      <c r="R46" s="8"/>
      <c r="T46"/>
    </row>
    <row r="47" spans="2:20" ht="23.1" customHeight="1" x14ac:dyDescent="0.25">
      <c r="B47" s="24" t="s">
        <v>74</v>
      </c>
      <c r="C47" s="50">
        <v>22</v>
      </c>
      <c r="D47" s="50">
        <v>8</v>
      </c>
      <c r="E47" s="50">
        <v>1</v>
      </c>
      <c r="F47" s="50">
        <v>9</v>
      </c>
      <c r="G47" s="50">
        <v>0</v>
      </c>
      <c r="H47" s="50">
        <v>0</v>
      </c>
      <c r="I47" s="50">
        <v>1</v>
      </c>
      <c r="J47" s="50">
        <v>2</v>
      </c>
      <c r="K47" s="50">
        <v>1</v>
      </c>
      <c r="L47" s="50">
        <v>1</v>
      </c>
      <c r="M47" s="50">
        <v>60</v>
      </c>
      <c r="N47" s="50">
        <v>0</v>
      </c>
      <c r="O47" s="15">
        <f t="shared" si="0"/>
        <v>45</v>
      </c>
      <c r="P47" s="15">
        <f t="shared" si="1"/>
        <v>105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10</v>
      </c>
      <c r="E48" s="50">
        <v>0</v>
      </c>
      <c r="F48" s="50">
        <v>6</v>
      </c>
      <c r="G48" s="50">
        <v>1</v>
      </c>
      <c r="H48" s="50">
        <v>1</v>
      </c>
      <c r="I48" s="50">
        <v>1</v>
      </c>
      <c r="J48" s="50">
        <v>2</v>
      </c>
      <c r="K48" s="50">
        <v>0</v>
      </c>
      <c r="L48" s="50">
        <v>1</v>
      </c>
      <c r="M48" s="50">
        <v>73</v>
      </c>
      <c r="N48" s="50">
        <v>0</v>
      </c>
      <c r="O48" s="15">
        <f t="shared" si="0"/>
        <v>33</v>
      </c>
      <c r="P48" s="15">
        <f t="shared" si="1"/>
        <v>106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3</v>
      </c>
      <c r="E49" s="50">
        <v>1</v>
      </c>
      <c r="F49" s="50">
        <v>9</v>
      </c>
      <c r="G49" s="50">
        <v>2</v>
      </c>
      <c r="H49" s="50">
        <v>0</v>
      </c>
      <c r="I49" s="50">
        <v>2</v>
      </c>
      <c r="J49" s="50">
        <v>0</v>
      </c>
      <c r="K49" s="50">
        <v>1</v>
      </c>
      <c r="L49" s="50">
        <v>1</v>
      </c>
      <c r="M49" s="50">
        <v>83</v>
      </c>
      <c r="N49" s="50">
        <v>0</v>
      </c>
      <c r="O49" s="15">
        <f t="shared" si="0"/>
        <v>26</v>
      </c>
      <c r="P49" s="15">
        <f t="shared" si="1"/>
        <v>109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10</v>
      </c>
      <c r="E50" s="50">
        <v>2</v>
      </c>
      <c r="F50" s="50">
        <v>10</v>
      </c>
      <c r="G50" s="50">
        <v>0</v>
      </c>
      <c r="H50" s="50">
        <v>1</v>
      </c>
      <c r="I50" s="50">
        <v>2</v>
      </c>
      <c r="J50" s="50">
        <v>3</v>
      </c>
      <c r="K50" s="50">
        <v>0</v>
      </c>
      <c r="L50" s="50">
        <v>1</v>
      </c>
      <c r="M50" s="50">
        <v>70</v>
      </c>
      <c r="N50" s="50">
        <v>0</v>
      </c>
      <c r="O50" s="15">
        <f t="shared" si="0"/>
        <v>38</v>
      </c>
      <c r="P50" s="15">
        <f t="shared" si="1"/>
        <v>108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13</v>
      </c>
      <c r="E51" s="50">
        <v>0</v>
      </c>
      <c r="F51" s="50">
        <v>9</v>
      </c>
      <c r="G51" s="50">
        <v>0</v>
      </c>
      <c r="H51" s="50">
        <v>1</v>
      </c>
      <c r="I51" s="50">
        <v>5</v>
      </c>
      <c r="J51" s="50">
        <v>2</v>
      </c>
      <c r="K51" s="50">
        <v>0</v>
      </c>
      <c r="L51" s="50">
        <v>1</v>
      </c>
      <c r="M51" s="50">
        <v>45</v>
      </c>
      <c r="N51" s="50">
        <v>0</v>
      </c>
      <c r="O51" s="15">
        <f t="shared" si="0"/>
        <v>37</v>
      </c>
      <c r="P51" s="15">
        <f t="shared" si="1"/>
        <v>82</v>
      </c>
      <c r="R51" s="8"/>
      <c r="T51"/>
    </row>
    <row r="52" spans="2:20" ht="23.1" customHeight="1" x14ac:dyDescent="0.25">
      <c r="B52" s="24" t="s">
        <v>79</v>
      </c>
      <c r="C52" s="50">
        <v>17</v>
      </c>
      <c r="D52" s="50">
        <v>4</v>
      </c>
      <c r="E52" s="50">
        <v>0</v>
      </c>
      <c r="F52" s="50">
        <v>6</v>
      </c>
      <c r="G52" s="50">
        <v>1</v>
      </c>
      <c r="H52" s="50">
        <v>0</v>
      </c>
      <c r="I52" s="50">
        <v>1</v>
      </c>
      <c r="J52" s="50">
        <v>1</v>
      </c>
      <c r="K52" s="50">
        <v>0</v>
      </c>
      <c r="L52" s="50">
        <v>2</v>
      </c>
      <c r="M52" s="50">
        <v>57</v>
      </c>
      <c r="N52" s="50">
        <v>0</v>
      </c>
      <c r="O52" s="15">
        <f t="shared" si="0"/>
        <v>32</v>
      </c>
      <c r="P52" s="15">
        <f t="shared" si="1"/>
        <v>89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13</v>
      </c>
      <c r="E53" s="50">
        <v>0</v>
      </c>
      <c r="F53" s="50">
        <v>6</v>
      </c>
      <c r="G53" s="50">
        <v>0</v>
      </c>
      <c r="H53" s="50">
        <v>1</v>
      </c>
      <c r="I53" s="50">
        <v>0</v>
      </c>
      <c r="J53" s="50">
        <v>1</v>
      </c>
      <c r="K53" s="50">
        <v>1</v>
      </c>
      <c r="L53" s="50">
        <v>0</v>
      </c>
      <c r="M53" s="50">
        <v>63</v>
      </c>
      <c r="N53" s="50">
        <v>0</v>
      </c>
      <c r="O53" s="15">
        <f t="shared" si="0"/>
        <v>41</v>
      </c>
      <c r="P53" s="15">
        <f t="shared" si="1"/>
        <v>104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4</v>
      </c>
      <c r="E54" s="50">
        <v>0</v>
      </c>
      <c r="F54" s="50">
        <v>13</v>
      </c>
      <c r="G54" s="50">
        <v>0</v>
      </c>
      <c r="H54" s="50">
        <v>1</v>
      </c>
      <c r="I54" s="50">
        <v>3</v>
      </c>
      <c r="J54" s="50">
        <v>2</v>
      </c>
      <c r="K54" s="50">
        <v>0</v>
      </c>
      <c r="L54" s="50">
        <v>2</v>
      </c>
      <c r="M54" s="50">
        <v>46</v>
      </c>
      <c r="N54" s="50">
        <v>0</v>
      </c>
      <c r="O54" s="15">
        <f t="shared" si="0"/>
        <v>38</v>
      </c>
      <c r="P54" s="15">
        <f t="shared" si="1"/>
        <v>84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8</v>
      </c>
      <c r="E55" s="50">
        <v>4</v>
      </c>
      <c r="F55" s="50">
        <v>6</v>
      </c>
      <c r="G55" s="50">
        <v>0</v>
      </c>
      <c r="H55" s="50">
        <v>0</v>
      </c>
      <c r="I55" s="50">
        <v>2</v>
      </c>
      <c r="J55" s="50">
        <v>6</v>
      </c>
      <c r="K55" s="50">
        <v>2</v>
      </c>
      <c r="L55" s="50">
        <v>3</v>
      </c>
      <c r="M55" s="50">
        <v>40</v>
      </c>
      <c r="N55" s="50">
        <v>0</v>
      </c>
      <c r="O55" s="15">
        <f t="shared" si="0"/>
        <v>49</v>
      </c>
      <c r="P55" s="15">
        <f t="shared" si="1"/>
        <v>89</v>
      </c>
      <c r="R55" s="8"/>
      <c r="T55"/>
    </row>
    <row r="56" spans="2:20" ht="23.1" customHeight="1" x14ac:dyDescent="0.25">
      <c r="B56" s="23" t="s">
        <v>83</v>
      </c>
      <c r="C56" s="50">
        <v>18</v>
      </c>
      <c r="D56" s="50">
        <v>6</v>
      </c>
      <c r="E56" s="50">
        <v>1</v>
      </c>
      <c r="F56" s="50">
        <v>14</v>
      </c>
      <c r="G56" s="50">
        <v>0</v>
      </c>
      <c r="H56" s="50">
        <v>0</v>
      </c>
      <c r="I56" s="50">
        <v>3</v>
      </c>
      <c r="J56" s="50">
        <v>5</v>
      </c>
      <c r="K56" s="50">
        <v>0</v>
      </c>
      <c r="L56" s="50">
        <v>1</v>
      </c>
      <c r="M56" s="50">
        <v>52</v>
      </c>
      <c r="N56" s="50">
        <v>0</v>
      </c>
      <c r="O56" s="15">
        <f t="shared" si="0"/>
        <v>48</v>
      </c>
      <c r="P56" s="15">
        <f t="shared" si="1"/>
        <v>100</v>
      </c>
      <c r="R56" s="8"/>
      <c r="T56"/>
    </row>
    <row r="57" spans="2:20" ht="23.1" customHeight="1" x14ac:dyDescent="0.25">
      <c r="B57" s="23" t="s">
        <v>84</v>
      </c>
      <c r="C57" s="50">
        <v>16</v>
      </c>
      <c r="D57" s="50">
        <v>4</v>
      </c>
      <c r="E57" s="50">
        <v>1</v>
      </c>
      <c r="F57" s="50">
        <v>11</v>
      </c>
      <c r="G57" s="50">
        <v>1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66</v>
      </c>
      <c r="N57" s="50">
        <v>0</v>
      </c>
      <c r="O57" s="15">
        <f t="shared" si="0"/>
        <v>37</v>
      </c>
      <c r="P57" s="15">
        <f t="shared" si="1"/>
        <v>103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453</v>
      </c>
      <c r="D58" s="16">
        <f t="shared" si="21"/>
        <v>194</v>
      </c>
      <c r="E58" s="16">
        <f t="shared" si="21"/>
        <v>76</v>
      </c>
      <c r="F58" s="16">
        <f t="shared" si="21"/>
        <v>318</v>
      </c>
      <c r="G58" s="16">
        <f t="shared" si="21"/>
        <v>15</v>
      </c>
      <c r="H58" s="16">
        <f t="shared" si="21"/>
        <v>18</v>
      </c>
      <c r="I58" s="16">
        <f t="shared" si="21"/>
        <v>94</v>
      </c>
      <c r="J58" s="16">
        <f t="shared" si="21"/>
        <v>58</v>
      </c>
      <c r="K58" s="16">
        <f t="shared" si="21"/>
        <v>12</v>
      </c>
      <c r="L58" s="16">
        <f t="shared" si="21"/>
        <v>37</v>
      </c>
      <c r="M58" s="16">
        <f t="shared" si="21"/>
        <v>2232</v>
      </c>
      <c r="N58" s="16">
        <f t="shared" si="21"/>
        <v>0</v>
      </c>
      <c r="O58" s="16">
        <f t="shared" si="21"/>
        <v>1275</v>
      </c>
      <c r="P58" s="16">
        <f t="shared" si="21"/>
        <v>3507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0.12917023096663816</v>
      </c>
      <c r="D59" s="43">
        <f t="shared" si="22"/>
        <v>5.5317935557456517E-2</v>
      </c>
      <c r="E59" s="43">
        <f t="shared" si="22"/>
        <v>2.1670943826632448E-2</v>
      </c>
      <c r="F59" s="43">
        <f t="shared" si="22"/>
        <v>9.0675791274593673E-2</v>
      </c>
      <c r="G59" s="43">
        <f t="shared" si="22"/>
        <v>4.2771599657827203E-3</v>
      </c>
      <c r="H59" s="43">
        <f t="shared" si="22"/>
        <v>5.1325919589392645E-3</v>
      </c>
      <c r="I59" s="43">
        <f t="shared" si="22"/>
        <v>2.6803535785571715E-2</v>
      </c>
      <c r="J59" s="43">
        <f t="shared" si="22"/>
        <v>1.6538351867693184E-2</v>
      </c>
      <c r="K59" s="43">
        <f t="shared" si="22"/>
        <v>3.4217279726261761E-3</v>
      </c>
      <c r="L59" s="43">
        <f t="shared" si="22"/>
        <v>1.0550327915597377E-2</v>
      </c>
      <c r="M59" s="43">
        <f t="shared" si="22"/>
        <v>0.63644140290846873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0.35529411764705882</v>
      </c>
      <c r="D60" s="44">
        <f t="shared" ref="D60:N60" si="23">D58/$O$58</f>
        <v>0.15215686274509804</v>
      </c>
      <c r="E60" s="44">
        <f t="shared" si="23"/>
        <v>5.9607843137254903E-2</v>
      </c>
      <c r="F60" s="44">
        <f t="shared" si="23"/>
        <v>0.24941176470588236</v>
      </c>
      <c r="G60" s="44">
        <f t="shared" si="23"/>
        <v>1.1764705882352941E-2</v>
      </c>
      <c r="H60" s="44">
        <f t="shared" si="23"/>
        <v>1.411764705882353E-2</v>
      </c>
      <c r="I60" s="44">
        <f t="shared" si="23"/>
        <v>7.3725490196078436E-2</v>
      </c>
      <c r="J60" s="44">
        <f t="shared" si="23"/>
        <v>4.5490196078431369E-2</v>
      </c>
      <c r="K60" s="44">
        <f t="shared" si="23"/>
        <v>9.4117647058823521E-3</v>
      </c>
      <c r="L60" s="44">
        <f t="shared" si="23"/>
        <v>2.9019607843137254E-2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173</v>
      </c>
      <c r="E5" s="3"/>
      <c r="F5" s="41" t="s">
        <v>1</v>
      </c>
      <c r="G5" s="60" t="str">
        <f>'22.10 MUBENDE-MITYANA'!G5:H5</f>
        <v>MITYANA COLLEGE KIKUMBI</v>
      </c>
      <c r="H5" s="61"/>
      <c r="I5" s="14"/>
      <c r="J5" s="2" t="s">
        <v>5</v>
      </c>
      <c r="K5" s="60" t="s">
        <v>168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'23.10 MITYANA-MUBENDE'!D6:E6</f>
        <v>MITYANA</v>
      </c>
      <c r="E6" s="61"/>
      <c r="F6" s="2" t="s">
        <v>2</v>
      </c>
      <c r="G6" s="60" t="str">
        <f>'23.10 MITYANA-MUBENDE'!G6:H6</f>
        <v>MUBENDE</v>
      </c>
      <c r="H6" s="61"/>
      <c r="J6" s="2" t="s">
        <v>21</v>
      </c>
      <c r="K6" s="60" t="str">
        <f>'22.10 MUBENDE-MITYANA'!K6:L6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1</v>
      </c>
      <c r="F10" s="50">
        <v>2</v>
      </c>
      <c r="G10" s="50">
        <v>0</v>
      </c>
      <c r="H10" s="50">
        <v>1</v>
      </c>
      <c r="I10" s="50">
        <v>0</v>
      </c>
      <c r="J10" s="50">
        <v>0</v>
      </c>
      <c r="K10" s="50">
        <v>1</v>
      </c>
      <c r="L10" s="50">
        <v>2</v>
      </c>
      <c r="M10" s="50">
        <v>6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18</v>
      </c>
      <c r="T10" s="17">
        <f t="shared" si="2"/>
        <v>4</v>
      </c>
      <c r="U10" s="17">
        <f t="shared" si="2"/>
        <v>4</v>
      </c>
      <c r="V10" s="17">
        <f t="shared" si="2"/>
        <v>11</v>
      </c>
      <c r="W10" s="17">
        <f t="shared" si="2"/>
        <v>1</v>
      </c>
      <c r="X10" s="17">
        <f t="shared" si="2"/>
        <v>2</v>
      </c>
      <c r="Y10" s="17">
        <f t="shared" si="2"/>
        <v>6</v>
      </c>
      <c r="Z10" s="17">
        <f t="shared" si="2"/>
        <v>2</v>
      </c>
      <c r="AA10" s="17">
        <f t="shared" si="2"/>
        <v>3</v>
      </c>
      <c r="AB10" s="17">
        <f t="shared" si="2"/>
        <v>6</v>
      </c>
      <c r="AC10" s="17">
        <f t="shared" si="2"/>
        <v>81</v>
      </c>
      <c r="AD10" s="17">
        <f t="shared" si="2"/>
        <v>0</v>
      </c>
      <c r="AE10" s="31">
        <f t="shared" si="2"/>
        <v>57</v>
      </c>
      <c r="AF10" s="31">
        <f t="shared" si="2"/>
        <v>138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3</v>
      </c>
      <c r="J11" s="50">
        <v>1</v>
      </c>
      <c r="K11" s="50">
        <v>2</v>
      </c>
      <c r="L11" s="50">
        <v>1</v>
      </c>
      <c r="M11" s="50">
        <v>16</v>
      </c>
      <c r="N11" s="50">
        <v>0</v>
      </c>
      <c r="O11" s="15">
        <f t="shared" si="0"/>
        <v>14</v>
      </c>
      <c r="P11" s="15">
        <f t="shared" si="1"/>
        <v>30</v>
      </c>
      <c r="R11" s="1" t="s">
        <v>7</v>
      </c>
      <c r="S11" s="17">
        <f t="shared" ref="S11:AF11" si="3">SUM(C14:C17)</f>
        <v>26</v>
      </c>
      <c r="T11" s="17">
        <f t="shared" si="3"/>
        <v>10</v>
      </c>
      <c r="U11" s="17">
        <f t="shared" si="3"/>
        <v>7</v>
      </c>
      <c r="V11" s="17">
        <f t="shared" si="3"/>
        <v>19</v>
      </c>
      <c r="W11" s="17">
        <f t="shared" si="3"/>
        <v>1</v>
      </c>
      <c r="X11" s="17">
        <f t="shared" si="3"/>
        <v>0</v>
      </c>
      <c r="Y11" s="17">
        <f t="shared" si="3"/>
        <v>8</v>
      </c>
      <c r="Z11" s="17">
        <f t="shared" si="3"/>
        <v>6</v>
      </c>
      <c r="AA11" s="17">
        <f t="shared" si="3"/>
        <v>1</v>
      </c>
      <c r="AB11" s="17">
        <f t="shared" si="3"/>
        <v>5</v>
      </c>
      <c r="AC11" s="17">
        <f t="shared" si="3"/>
        <v>137</v>
      </c>
      <c r="AD11" s="17">
        <f t="shared" si="3"/>
        <v>0</v>
      </c>
      <c r="AE11" s="31">
        <f t="shared" si="3"/>
        <v>83</v>
      </c>
      <c r="AF11" s="31">
        <f t="shared" si="3"/>
        <v>220</v>
      </c>
    </row>
    <row r="12" spans="2:32" ht="23.1" customHeight="1" x14ac:dyDescent="0.25">
      <c r="B12" s="23" t="s">
        <v>39</v>
      </c>
      <c r="C12" s="50">
        <v>6</v>
      </c>
      <c r="D12" s="50">
        <v>2</v>
      </c>
      <c r="E12" s="50">
        <v>1</v>
      </c>
      <c r="F12" s="50">
        <v>2</v>
      </c>
      <c r="G12" s="50">
        <v>1</v>
      </c>
      <c r="H12" s="50">
        <v>0</v>
      </c>
      <c r="I12" s="50">
        <v>2</v>
      </c>
      <c r="J12" s="50">
        <v>1</v>
      </c>
      <c r="K12" s="50">
        <v>0</v>
      </c>
      <c r="L12" s="50">
        <v>1</v>
      </c>
      <c r="M12" s="50">
        <v>31</v>
      </c>
      <c r="N12" s="50">
        <v>0</v>
      </c>
      <c r="O12" s="15">
        <f t="shared" si="0"/>
        <v>16</v>
      </c>
      <c r="P12" s="15">
        <f t="shared" si="1"/>
        <v>47</v>
      </c>
      <c r="R12" s="1" t="s">
        <v>8</v>
      </c>
      <c r="S12" s="17">
        <f t="shared" ref="S12:AF12" si="4">SUM(C18:C21)</f>
        <v>21</v>
      </c>
      <c r="T12" s="17">
        <f t="shared" si="4"/>
        <v>10</v>
      </c>
      <c r="U12" s="17">
        <f t="shared" si="4"/>
        <v>13</v>
      </c>
      <c r="V12" s="17">
        <f t="shared" si="4"/>
        <v>24</v>
      </c>
      <c r="W12" s="17">
        <f t="shared" si="4"/>
        <v>1</v>
      </c>
      <c r="X12" s="17">
        <f t="shared" si="4"/>
        <v>2</v>
      </c>
      <c r="Y12" s="17">
        <f t="shared" si="4"/>
        <v>10</v>
      </c>
      <c r="Z12" s="17">
        <f t="shared" si="4"/>
        <v>2</v>
      </c>
      <c r="AA12" s="17">
        <f t="shared" si="4"/>
        <v>0</v>
      </c>
      <c r="AB12" s="17">
        <f t="shared" si="4"/>
        <v>5</v>
      </c>
      <c r="AC12" s="17">
        <f t="shared" si="4"/>
        <v>177</v>
      </c>
      <c r="AD12" s="17">
        <f t="shared" si="4"/>
        <v>0</v>
      </c>
      <c r="AE12" s="31">
        <f t="shared" si="4"/>
        <v>88</v>
      </c>
      <c r="AF12" s="31">
        <f t="shared" si="4"/>
        <v>265</v>
      </c>
    </row>
    <row r="13" spans="2:32" ht="23.1" customHeight="1" x14ac:dyDescent="0.25">
      <c r="B13" s="23" t="s">
        <v>40</v>
      </c>
      <c r="C13" s="50">
        <v>5</v>
      </c>
      <c r="D13" s="50">
        <v>1</v>
      </c>
      <c r="E13" s="50">
        <v>1</v>
      </c>
      <c r="F13" s="50">
        <v>5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2</v>
      </c>
      <c r="M13" s="50">
        <v>28</v>
      </c>
      <c r="N13" s="50">
        <v>0</v>
      </c>
      <c r="O13" s="15">
        <f t="shared" si="0"/>
        <v>16</v>
      </c>
      <c r="P13" s="15">
        <f t="shared" si="1"/>
        <v>44</v>
      </c>
      <c r="R13" s="1" t="s">
        <v>9</v>
      </c>
      <c r="S13" s="17">
        <f t="shared" ref="S13:AF13" si="5">SUM(C22:C25)</f>
        <v>38</v>
      </c>
      <c r="T13" s="17">
        <f t="shared" si="5"/>
        <v>10</v>
      </c>
      <c r="U13" s="17">
        <f t="shared" si="5"/>
        <v>7</v>
      </c>
      <c r="V13" s="17">
        <f t="shared" si="5"/>
        <v>31</v>
      </c>
      <c r="W13" s="17">
        <f t="shared" si="5"/>
        <v>1</v>
      </c>
      <c r="X13" s="17">
        <f t="shared" si="5"/>
        <v>1</v>
      </c>
      <c r="Y13" s="17">
        <f t="shared" si="5"/>
        <v>19</v>
      </c>
      <c r="Z13" s="17">
        <f t="shared" si="5"/>
        <v>5</v>
      </c>
      <c r="AA13" s="17">
        <f t="shared" si="5"/>
        <v>0</v>
      </c>
      <c r="AB13" s="17">
        <f t="shared" si="5"/>
        <v>7</v>
      </c>
      <c r="AC13" s="17">
        <f t="shared" si="5"/>
        <v>152</v>
      </c>
      <c r="AD13" s="17">
        <f t="shared" si="5"/>
        <v>1</v>
      </c>
      <c r="AE13" s="31">
        <f t="shared" si="5"/>
        <v>120</v>
      </c>
      <c r="AF13" s="31">
        <f t="shared" si="5"/>
        <v>272</v>
      </c>
    </row>
    <row r="14" spans="2:32" ht="23.1" customHeight="1" x14ac:dyDescent="0.25">
      <c r="B14" s="23" t="s">
        <v>41</v>
      </c>
      <c r="C14" s="50">
        <v>3</v>
      </c>
      <c r="D14" s="50">
        <v>3</v>
      </c>
      <c r="E14" s="50">
        <v>0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1</v>
      </c>
      <c r="M14" s="50">
        <v>26</v>
      </c>
      <c r="N14" s="50">
        <v>0</v>
      </c>
      <c r="O14" s="15">
        <f t="shared" si="0"/>
        <v>10</v>
      </c>
      <c r="P14" s="15">
        <f t="shared" si="1"/>
        <v>36</v>
      </c>
      <c r="R14" s="1" t="s">
        <v>10</v>
      </c>
      <c r="S14" s="17">
        <f t="shared" ref="S14:AF14" si="6">SUM(C26:C29)</f>
        <v>41</v>
      </c>
      <c r="T14" s="17">
        <f t="shared" si="6"/>
        <v>13</v>
      </c>
      <c r="U14" s="17">
        <f t="shared" si="6"/>
        <v>17</v>
      </c>
      <c r="V14" s="17">
        <f t="shared" si="6"/>
        <v>30</v>
      </c>
      <c r="W14" s="17">
        <f t="shared" si="6"/>
        <v>0</v>
      </c>
      <c r="X14" s="17">
        <f t="shared" si="6"/>
        <v>2</v>
      </c>
      <c r="Y14" s="17">
        <f t="shared" si="6"/>
        <v>10</v>
      </c>
      <c r="Z14" s="17">
        <f t="shared" si="6"/>
        <v>5</v>
      </c>
      <c r="AA14" s="17">
        <f t="shared" si="6"/>
        <v>0</v>
      </c>
      <c r="AB14" s="17">
        <f t="shared" si="6"/>
        <v>11</v>
      </c>
      <c r="AC14" s="17">
        <f t="shared" si="6"/>
        <v>160</v>
      </c>
      <c r="AD14" s="17">
        <f t="shared" si="6"/>
        <v>0</v>
      </c>
      <c r="AE14" s="31">
        <f t="shared" si="6"/>
        <v>129</v>
      </c>
      <c r="AF14" s="31">
        <f t="shared" si="6"/>
        <v>289</v>
      </c>
    </row>
    <row r="15" spans="2:32" ht="23.1" customHeight="1" x14ac:dyDescent="0.25">
      <c r="B15" s="23" t="s">
        <v>42</v>
      </c>
      <c r="C15" s="50">
        <v>8</v>
      </c>
      <c r="D15" s="50">
        <v>5</v>
      </c>
      <c r="E15" s="50">
        <v>1</v>
      </c>
      <c r="F15" s="50">
        <v>5</v>
      </c>
      <c r="G15" s="50">
        <v>0</v>
      </c>
      <c r="H15" s="50">
        <v>0</v>
      </c>
      <c r="I15" s="50">
        <v>3</v>
      </c>
      <c r="J15" s="50">
        <v>3</v>
      </c>
      <c r="K15" s="50">
        <v>0</v>
      </c>
      <c r="L15" s="50">
        <v>1</v>
      </c>
      <c r="M15" s="50">
        <v>36</v>
      </c>
      <c r="N15" s="50">
        <v>0</v>
      </c>
      <c r="O15" s="15">
        <f t="shared" si="0"/>
        <v>26</v>
      </c>
      <c r="P15" s="15">
        <f t="shared" si="1"/>
        <v>62</v>
      </c>
      <c r="R15" s="1" t="s">
        <v>11</v>
      </c>
      <c r="S15" s="17">
        <f t="shared" ref="S15:AF15" si="7">SUM(C30:C33)</f>
        <v>40</v>
      </c>
      <c r="T15" s="17">
        <f t="shared" si="7"/>
        <v>15</v>
      </c>
      <c r="U15" s="17">
        <f t="shared" si="7"/>
        <v>13</v>
      </c>
      <c r="V15" s="17">
        <f t="shared" si="7"/>
        <v>30</v>
      </c>
      <c r="W15" s="17">
        <f t="shared" si="7"/>
        <v>2</v>
      </c>
      <c r="X15" s="17">
        <f t="shared" si="7"/>
        <v>2</v>
      </c>
      <c r="Y15" s="17">
        <f t="shared" si="7"/>
        <v>10</v>
      </c>
      <c r="Z15" s="17">
        <f t="shared" si="7"/>
        <v>4</v>
      </c>
      <c r="AA15" s="17">
        <f t="shared" si="7"/>
        <v>2</v>
      </c>
      <c r="AB15" s="17">
        <f t="shared" si="7"/>
        <v>1</v>
      </c>
      <c r="AC15" s="17">
        <f t="shared" si="7"/>
        <v>177</v>
      </c>
      <c r="AD15" s="17">
        <f t="shared" si="7"/>
        <v>0</v>
      </c>
      <c r="AE15" s="31">
        <f t="shared" si="7"/>
        <v>119</v>
      </c>
      <c r="AF15" s="31">
        <f t="shared" si="7"/>
        <v>296</v>
      </c>
    </row>
    <row r="16" spans="2:32" ht="23.1" customHeight="1" x14ac:dyDescent="0.25">
      <c r="B16" s="23" t="s">
        <v>43</v>
      </c>
      <c r="C16" s="50">
        <v>5</v>
      </c>
      <c r="D16" s="50">
        <v>2</v>
      </c>
      <c r="E16" s="50">
        <v>4</v>
      </c>
      <c r="F16" s="50">
        <v>2</v>
      </c>
      <c r="G16" s="50">
        <v>1</v>
      </c>
      <c r="H16" s="50">
        <v>0</v>
      </c>
      <c r="I16" s="50">
        <v>1</v>
      </c>
      <c r="J16" s="50">
        <v>2</v>
      </c>
      <c r="K16" s="50">
        <v>1</v>
      </c>
      <c r="L16" s="50">
        <v>2</v>
      </c>
      <c r="M16" s="50">
        <v>37</v>
      </c>
      <c r="N16" s="50">
        <v>0</v>
      </c>
      <c r="O16" s="15">
        <f t="shared" si="0"/>
        <v>20</v>
      </c>
      <c r="P16" s="15">
        <f t="shared" si="1"/>
        <v>57</v>
      </c>
      <c r="R16" s="1" t="s">
        <v>12</v>
      </c>
      <c r="S16" s="17">
        <f t="shared" ref="S16:AF16" si="8">SUM(C34:C37)</f>
        <v>36</v>
      </c>
      <c r="T16" s="17">
        <f t="shared" si="8"/>
        <v>16</v>
      </c>
      <c r="U16" s="17">
        <f t="shared" si="8"/>
        <v>5</v>
      </c>
      <c r="V16" s="17">
        <f t="shared" si="8"/>
        <v>32</v>
      </c>
      <c r="W16" s="17">
        <f t="shared" si="8"/>
        <v>1</v>
      </c>
      <c r="X16" s="17">
        <f t="shared" si="8"/>
        <v>2</v>
      </c>
      <c r="Y16" s="17">
        <f t="shared" si="8"/>
        <v>12</v>
      </c>
      <c r="Z16" s="17">
        <f t="shared" si="8"/>
        <v>5</v>
      </c>
      <c r="AA16" s="17">
        <f t="shared" si="8"/>
        <v>3</v>
      </c>
      <c r="AB16" s="17">
        <f t="shared" si="8"/>
        <v>1</v>
      </c>
      <c r="AC16" s="17">
        <f t="shared" si="8"/>
        <v>192</v>
      </c>
      <c r="AD16" s="17">
        <f t="shared" si="8"/>
        <v>0</v>
      </c>
      <c r="AE16" s="31">
        <f t="shared" si="8"/>
        <v>113</v>
      </c>
      <c r="AF16" s="31">
        <f t="shared" si="8"/>
        <v>305</v>
      </c>
    </row>
    <row r="17" spans="2:32" ht="23.1" customHeight="1" x14ac:dyDescent="0.25">
      <c r="B17" s="23" t="s">
        <v>44</v>
      </c>
      <c r="C17" s="50">
        <v>10</v>
      </c>
      <c r="D17" s="50">
        <v>0</v>
      </c>
      <c r="E17" s="50">
        <v>2</v>
      </c>
      <c r="F17" s="50">
        <v>11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1</v>
      </c>
      <c r="M17" s="50">
        <v>38</v>
      </c>
      <c r="N17" s="50">
        <v>0</v>
      </c>
      <c r="O17" s="15">
        <f t="shared" si="0"/>
        <v>27</v>
      </c>
      <c r="P17" s="15">
        <f t="shared" si="1"/>
        <v>65</v>
      </c>
      <c r="R17" s="1" t="s">
        <v>13</v>
      </c>
      <c r="S17" s="17">
        <f t="shared" ref="S17:AF17" si="9">SUM(C38:C41)</f>
        <v>32</v>
      </c>
      <c r="T17" s="17">
        <f t="shared" si="9"/>
        <v>11</v>
      </c>
      <c r="U17" s="17">
        <f t="shared" si="9"/>
        <v>15</v>
      </c>
      <c r="V17" s="17">
        <f t="shared" si="9"/>
        <v>42</v>
      </c>
      <c r="W17" s="17">
        <f t="shared" si="9"/>
        <v>1</v>
      </c>
      <c r="X17" s="17">
        <f t="shared" si="9"/>
        <v>1</v>
      </c>
      <c r="Y17" s="17">
        <f t="shared" si="9"/>
        <v>7</v>
      </c>
      <c r="Z17" s="17">
        <f t="shared" si="9"/>
        <v>9</v>
      </c>
      <c r="AA17" s="17">
        <f t="shared" si="9"/>
        <v>0</v>
      </c>
      <c r="AB17" s="17">
        <f t="shared" si="9"/>
        <v>3</v>
      </c>
      <c r="AC17" s="17">
        <f t="shared" si="9"/>
        <v>148</v>
      </c>
      <c r="AD17" s="17">
        <f t="shared" si="9"/>
        <v>0</v>
      </c>
      <c r="AE17" s="31">
        <f t="shared" si="9"/>
        <v>121</v>
      </c>
      <c r="AF17" s="31">
        <f t="shared" si="9"/>
        <v>269</v>
      </c>
    </row>
    <row r="18" spans="2:32" ht="23.1" customHeight="1" x14ac:dyDescent="0.25">
      <c r="B18" s="23" t="s">
        <v>45</v>
      </c>
      <c r="C18" s="50">
        <v>3</v>
      </c>
      <c r="D18" s="50">
        <v>3</v>
      </c>
      <c r="E18" s="50">
        <v>6</v>
      </c>
      <c r="F18" s="50">
        <v>8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2</v>
      </c>
      <c r="M18" s="50">
        <v>45</v>
      </c>
      <c r="N18" s="50">
        <v>0</v>
      </c>
      <c r="O18" s="15">
        <f t="shared" si="0"/>
        <v>25</v>
      </c>
      <c r="P18" s="15">
        <f t="shared" si="1"/>
        <v>70</v>
      </c>
      <c r="R18" s="1" t="s">
        <v>14</v>
      </c>
      <c r="S18" s="17">
        <f t="shared" ref="S18:AF18" si="10">SUM(C42:C45)</f>
        <v>43</v>
      </c>
      <c r="T18" s="17">
        <f t="shared" si="10"/>
        <v>18</v>
      </c>
      <c r="U18" s="17">
        <f t="shared" si="10"/>
        <v>12</v>
      </c>
      <c r="V18" s="17">
        <f t="shared" si="10"/>
        <v>30</v>
      </c>
      <c r="W18" s="17">
        <f t="shared" si="10"/>
        <v>0</v>
      </c>
      <c r="X18" s="17">
        <f t="shared" si="10"/>
        <v>3</v>
      </c>
      <c r="Y18" s="17">
        <f t="shared" si="10"/>
        <v>16</v>
      </c>
      <c r="Z18" s="17">
        <f t="shared" si="10"/>
        <v>6</v>
      </c>
      <c r="AA18" s="17">
        <f t="shared" si="10"/>
        <v>2</v>
      </c>
      <c r="AB18" s="17">
        <f t="shared" si="10"/>
        <v>5</v>
      </c>
      <c r="AC18" s="17">
        <f t="shared" si="10"/>
        <v>178</v>
      </c>
      <c r="AD18" s="17">
        <f t="shared" si="10"/>
        <v>0</v>
      </c>
      <c r="AE18" s="31">
        <f t="shared" si="10"/>
        <v>135</v>
      </c>
      <c r="AF18" s="31">
        <f t="shared" si="10"/>
        <v>313</v>
      </c>
    </row>
    <row r="19" spans="2:32" ht="23.1" customHeight="1" x14ac:dyDescent="0.25">
      <c r="B19" s="23" t="s">
        <v>46</v>
      </c>
      <c r="C19" s="50">
        <v>4</v>
      </c>
      <c r="D19" s="50">
        <v>2</v>
      </c>
      <c r="E19" s="50">
        <v>3</v>
      </c>
      <c r="F19" s="50">
        <v>6</v>
      </c>
      <c r="G19" s="50">
        <v>0</v>
      </c>
      <c r="H19" s="50">
        <v>1</v>
      </c>
      <c r="I19" s="50">
        <v>2</v>
      </c>
      <c r="J19" s="50">
        <v>0</v>
      </c>
      <c r="K19" s="50">
        <v>0</v>
      </c>
      <c r="L19" s="50">
        <v>1</v>
      </c>
      <c r="M19" s="50">
        <v>41</v>
      </c>
      <c r="N19" s="50">
        <v>0</v>
      </c>
      <c r="O19" s="15">
        <f t="shared" si="0"/>
        <v>19</v>
      </c>
      <c r="P19" s="15">
        <f t="shared" si="1"/>
        <v>60</v>
      </c>
      <c r="R19" s="1" t="s">
        <v>15</v>
      </c>
      <c r="S19" s="17">
        <f t="shared" ref="S19:AF19" si="11">SUM(C46:C49)</f>
        <v>44</v>
      </c>
      <c r="T19" s="17">
        <f t="shared" si="11"/>
        <v>22</v>
      </c>
      <c r="U19" s="17">
        <f t="shared" si="11"/>
        <v>6</v>
      </c>
      <c r="V19" s="17">
        <f t="shared" si="11"/>
        <v>29</v>
      </c>
      <c r="W19" s="17">
        <f t="shared" si="11"/>
        <v>0</v>
      </c>
      <c r="X19" s="17">
        <f t="shared" si="11"/>
        <v>3</v>
      </c>
      <c r="Y19" s="17">
        <f t="shared" si="11"/>
        <v>12</v>
      </c>
      <c r="Z19" s="17">
        <f t="shared" si="11"/>
        <v>6</v>
      </c>
      <c r="AA19" s="17">
        <f t="shared" si="11"/>
        <v>1</v>
      </c>
      <c r="AB19" s="17">
        <f t="shared" si="11"/>
        <v>1</v>
      </c>
      <c r="AC19" s="17">
        <f t="shared" si="11"/>
        <v>221</v>
      </c>
      <c r="AD19" s="17">
        <f t="shared" si="11"/>
        <v>0</v>
      </c>
      <c r="AE19" s="31">
        <f t="shared" si="11"/>
        <v>124</v>
      </c>
      <c r="AF19" s="31">
        <f t="shared" si="11"/>
        <v>345</v>
      </c>
    </row>
    <row r="20" spans="2:32" ht="23.1" customHeight="1" x14ac:dyDescent="0.25">
      <c r="B20" s="23" t="s">
        <v>47</v>
      </c>
      <c r="C20" s="50">
        <v>6</v>
      </c>
      <c r="D20" s="50">
        <v>1</v>
      </c>
      <c r="E20" s="50">
        <v>4</v>
      </c>
      <c r="F20" s="50">
        <v>3</v>
      </c>
      <c r="G20" s="50">
        <v>0</v>
      </c>
      <c r="H20" s="50">
        <v>0</v>
      </c>
      <c r="I20" s="50">
        <v>3</v>
      </c>
      <c r="J20" s="50">
        <v>2</v>
      </c>
      <c r="K20" s="50">
        <v>0</v>
      </c>
      <c r="L20" s="50">
        <v>1</v>
      </c>
      <c r="M20" s="50">
        <v>40</v>
      </c>
      <c r="N20" s="50">
        <v>0</v>
      </c>
      <c r="O20" s="15">
        <f t="shared" si="0"/>
        <v>20</v>
      </c>
      <c r="P20" s="15">
        <f t="shared" si="1"/>
        <v>60</v>
      </c>
      <c r="R20" s="1" t="s">
        <v>16</v>
      </c>
      <c r="S20" s="17">
        <f t="shared" ref="S20:AF20" si="12">SUM(C50:C53)</f>
        <v>55</v>
      </c>
      <c r="T20" s="17">
        <f t="shared" si="12"/>
        <v>18</v>
      </c>
      <c r="U20" s="17">
        <f t="shared" si="12"/>
        <v>6</v>
      </c>
      <c r="V20" s="17">
        <f t="shared" si="12"/>
        <v>37</v>
      </c>
      <c r="W20" s="17">
        <f t="shared" si="12"/>
        <v>0</v>
      </c>
      <c r="X20" s="17">
        <f t="shared" si="12"/>
        <v>2</v>
      </c>
      <c r="Y20" s="17">
        <f t="shared" si="12"/>
        <v>13</v>
      </c>
      <c r="Z20" s="17">
        <f t="shared" si="12"/>
        <v>11</v>
      </c>
      <c r="AA20" s="17">
        <f t="shared" si="12"/>
        <v>3</v>
      </c>
      <c r="AB20" s="17">
        <f t="shared" si="12"/>
        <v>3</v>
      </c>
      <c r="AC20" s="17">
        <f t="shared" si="12"/>
        <v>228</v>
      </c>
      <c r="AD20" s="17">
        <f t="shared" si="12"/>
        <v>0</v>
      </c>
      <c r="AE20" s="31">
        <f t="shared" si="12"/>
        <v>148</v>
      </c>
      <c r="AF20" s="31">
        <f t="shared" si="12"/>
        <v>376</v>
      </c>
    </row>
    <row r="21" spans="2:32" ht="23.1" customHeight="1" x14ac:dyDescent="0.25">
      <c r="B21" s="23" t="s">
        <v>48</v>
      </c>
      <c r="C21" s="50">
        <v>8</v>
      </c>
      <c r="D21" s="50">
        <v>4</v>
      </c>
      <c r="E21" s="50">
        <v>0</v>
      </c>
      <c r="F21" s="50">
        <v>7</v>
      </c>
      <c r="G21" s="50">
        <v>1</v>
      </c>
      <c r="H21" s="50">
        <v>1</v>
      </c>
      <c r="I21" s="50">
        <v>2</v>
      </c>
      <c r="J21" s="50">
        <v>0</v>
      </c>
      <c r="K21" s="50">
        <v>0</v>
      </c>
      <c r="L21" s="50">
        <v>1</v>
      </c>
      <c r="M21" s="50">
        <v>51</v>
      </c>
      <c r="N21" s="50">
        <v>0</v>
      </c>
      <c r="O21" s="15">
        <f t="shared" si="0"/>
        <v>24</v>
      </c>
      <c r="P21" s="15">
        <f t="shared" si="1"/>
        <v>75</v>
      </c>
      <c r="R21" s="36" t="s">
        <v>20</v>
      </c>
      <c r="S21" s="34">
        <f t="shared" ref="S21:AF21" si="13">SUM(C54:C57)</f>
        <v>48</v>
      </c>
      <c r="T21" s="17">
        <f t="shared" si="13"/>
        <v>13</v>
      </c>
      <c r="U21" s="17">
        <f t="shared" si="13"/>
        <v>5</v>
      </c>
      <c r="V21" s="17">
        <f t="shared" si="13"/>
        <v>30</v>
      </c>
      <c r="W21" s="17">
        <f t="shared" si="13"/>
        <v>1</v>
      </c>
      <c r="X21" s="17">
        <f t="shared" si="13"/>
        <v>1</v>
      </c>
      <c r="Y21" s="17">
        <f t="shared" si="13"/>
        <v>15</v>
      </c>
      <c r="Z21" s="17">
        <f t="shared" si="13"/>
        <v>7</v>
      </c>
      <c r="AA21" s="17">
        <f t="shared" si="13"/>
        <v>2</v>
      </c>
      <c r="AB21" s="17">
        <f t="shared" si="13"/>
        <v>3</v>
      </c>
      <c r="AC21" s="17">
        <f t="shared" si="13"/>
        <v>230</v>
      </c>
      <c r="AD21" s="17">
        <f t="shared" si="13"/>
        <v>0</v>
      </c>
      <c r="AE21" s="31">
        <f t="shared" si="13"/>
        <v>125</v>
      </c>
      <c r="AF21" s="31">
        <f t="shared" si="13"/>
        <v>355</v>
      </c>
    </row>
    <row r="22" spans="2:32" ht="23.1" customHeight="1" x14ac:dyDescent="0.25">
      <c r="B22" s="23" t="s">
        <v>49</v>
      </c>
      <c r="C22" s="50">
        <v>7</v>
      </c>
      <c r="D22" s="50">
        <v>3</v>
      </c>
      <c r="E22" s="50">
        <v>2</v>
      </c>
      <c r="F22" s="50">
        <v>6</v>
      </c>
      <c r="G22" s="50">
        <v>0</v>
      </c>
      <c r="H22" s="50">
        <v>0</v>
      </c>
      <c r="I22" s="50">
        <v>3</v>
      </c>
      <c r="J22" s="50">
        <v>3</v>
      </c>
      <c r="K22" s="50">
        <v>0</v>
      </c>
      <c r="L22" s="50">
        <v>2</v>
      </c>
      <c r="M22" s="50">
        <v>46</v>
      </c>
      <c r="N22" s="50">
        <v>0</v>
      </c>
      <c r="O22" s="15">
        <f t="shared" si="0"/>
        <v>26</v>
      </c>
      <c r="P22" s="15">
        <f t="shared" si="1"/>
        <v>72</v>
      </c>
      <c r="R22" s="38" t="s">
        <v>90</v>
      </c>
      <c r="S22" s="39">
        <f>MAX(S10:S12)</f>
        <v>26</v>
      </c>
      <c r="T22" s="39">
        <f t="shared" ref="T22:AF22" si="14">MAX(T10:T12)</f>
        <v>10</v>
      </c>
      <c r="U22" s="39">
        <f t="shared" si="14"/>
        <v>13</v>
      </c>
      <c r="V22" s="39">
        <f t="shared" si="14"/>
        <v>24</v>
      </c>
      <c r="W22" s="39">
        <f t="shared" si="14"/>
        <v>1</v>
      </c>
      <c r="X22" s="39">
        <f t="shared" si="14"/>
        <v>2</v>
      </c>
      <c r="Y22" s="39">
        <f t="shared" si="14"/>
        <v>10</v>
      </c>
      <c r="Z22" s="39">
        <f t="shared" si="14"/>
        <v>6</v>
      </c>
      <c r="AA22" s="39">
        <f t="shared" si="14"/>
        <v>3</v>
      </c>
      <c r="AB22" s="39">
        <f t="shared" si="14"/>
        <v>6</v>
      </c>
      <c r="AC22" s="39">
        <f t="shared" si="14"/>
        <v>177</v>
      </c>
      <c r="AD22" s="39">
        <f t="shared" si="14"/>
        <v>0</v>
      </c>
      <c r="AE22" s="40">
        <f t="shared" si="14"/>
        <v>88</v>
      </c>
      <c r="AF22" s="40">
        <f t="shared" si="14"/>
        <v>265</v>
      </c>
    </row>
    <row r="23" spans="2:32" ht="23.1" customHeight="1" x14ac:dyDescent="0.25">
      <c r="B23" s="23" t="s">
        <v>50</v>
      </c>
      <c r="C23" s="50">
        <v>14</v>
      </c>
      <c r="D23" s="50">
        <v>3</v>
      </c>
      <c r="E23" s="50">
        <v>0</v>
      </c>
      <c r="F23" s="50">
        <v>7</v>
      </c>
      <c r="G23" s="50">
        <v>0</v>
      </c>
      <c r="H23" s="50">
        <v>0</v>
      </c>
      <c r="I23" s="50">
        <v>10</v>
      </c>
      <c r="J23" s="50">
        <v>0</v>
      </c>
      <c r="K23" s="50">
        <v>0</v>
      </c>
      <c r="L23" s="50">
        <v>2</v>
      </c>
      <c r="M23" s="50">
        <v>30</v>
      </c>
      <c r="N23" s="50">
        <v>0</v>
      </c>
      <c r="O23" s="15">
        <f t="shared" si="0"/>
        <v>36</v>
      </c>
      <c r="P23" s="15">
        <f t="shared" si="1"/>
        <v>66</v>
      </c>
      <c r="R23" s="38" t="s">
        <v>91</v>
      </c>
      <c r="S23" s="39">
        <f>MAX(S13:S18)</f>
        <v>43</v>
      </c>
      <c r="T23" s="39">
        <f t="shared" ref="T23:AF23" si="15">MAX(T13:T18)</f>
        <v>18</v>
      </c>
      <c r="U23" s="39">
        <f t="shared" si="15"/>
        <v>17</v>
      </c>
      <c r="V23" s="39">
        <f t="shared" si="15"/>
        <v>42</v>
      </c>
      <c r="W23" s="39">
        <f t="shared" si="15"/>
        <v>2</v>
      </c>
      <c r="X23" s="39">
        <f t="shared" si="15"/>
        <v>3</v>
      </c>
      <c r="Y23" s="39">
        <f t="shared" si="15"/>
        <v>19</v>
      </c>
      <c r="Z23" s="39">
        <f t="shared" si="15"/>
        <v>9</v>
      </c>
      <c r="AA23" s="39">
        <f t="shared" si="15"/>
        <v>3</v>
      </c>
      <c r="AB23" s="39">
        <f t="shared" si="15"/>
        <v>11</v>
      </c>
      <c r="AC23" s="39">
        <f t="shared" si="15"/>
        <v>192</v>
      </c>
      <c r="AD23" s="39">
        <f t="shared" si="15"/>
        <v>1</v>
      </c>
      <c r="AE23" s="40">
        <f t="shared" si="15"/>
        <v>135</v>
      </c>
      <c r="AF23" s="40">
        <f t="shared" si="15"/>
        <v>313</v>
      </c>
    </row>
    <row r="24" spans="2:32" ht="23.1" customHeight="1" x14ac:dyDescent="0.25">
      <c r="B24" s="23" t="s">
        <v>51</v>
      </c>
      <c r="C24" s="50">
        <v>9</v>
      </c>
      <c r="D24" s="50">
        <v>1</v>
      </c>
      <c r="E24" s="50">
        <v>2</v>
      </c>
      <c r="F24" s="50">
        <v>9</v>
      </c>
      <c r="G24" s="50">
        <v>1</v>
      </c>
      <c r="H24" s="50">
        <v>0</v>
      </c>
      <c r="I24" s="50">
        <v>3</v>
      </c>
      <c r="J24" s="50">
        <v>2</v>
      </c>
      <c r="K24" s="50">
        <v>0</v>
      </c>
      <c r="L24" s="50">
        <v>0</v>
      </c>
      <c r="M24" s="50">
        <v>33</v>
      </c>
      <c r="N24" s="50">
        <v>1</v>
      </c>
      <c r="O24" s="15">
        <f t="shared" si="0"/>
        <v>28</v>
      </c>
      <c r="P24" s="15">
        <f t="shared" si="1"/>
        <v>61</v>
      </c>
      <c r="R24" s="38" t="s">
        <v>92</v>
      </c>
      <c r="S24" s="39">
        <f>MAX(S19:S21)</f>
        <v>55</v>
      </c>
      <c r="T24" s="39">
        <f t="shared" ref="T24:AF24" si="16">MAX(T19:T21)</f>
        <v>22</v>
      </c>
      <c r="U24" s="39">
        <f t="shared" si="16"/>
        <v>6</v>
      </c>
      <c r="V24" s="39">
        <f t="shared" si="16"/>
        <v>37</v>
      </c>
      <c r="W24" s="39">
        <f t="shared" si="16"/>
        <v>1</v>
      </c>
      <c r="X24" s="39">
        <f t="shared" si="16"/>
        <v>3</v>
      </c>
      <c r="Y24" s="39">
        <f t="shared" si="16"/>
        <v>15</v>
      </c>
      <c r="Z24" s="39">
        <f t="shared" si="16"/>
        <v>11</v>
      </c>
      <c r="AA24" s="39">
        <f t="shared" si="16"/>
        <v>3</v>
      </c>
      <c r="AB24" s="39">
        <f t="shared" si="16"/>
        <v>3</v>
      </c>
      <c r="AC24" s="39">
        <f t="shared" si="16"/>
        <v>230</v>
      </c>
      <c r="AD24" s="39">
        <f t="shared" si="16"/>
        <v>0</v>
      </c>
      <c r="AE24" s="40">
        <f t="shared" si="16"/>
        <v>148</v>
      </c>
      <c r="AF24" s="40">
        <f t="shared" si="16"/>
        <v>376</v>
      </c>
    </row>
    <row r="25" spans="2:32" ht="23.1" customHeight="1" x14ac:dyDescent="0.25">
      <c r="B25" s="23" t="s">
        <v>52</v>
      </c>
      <c r="C25" s="50">
        <v>8</v>
      </c>
      <c r="D25" s="50">
        <v>3</v>
      </c>
      <c r="E25" s="50">
        <v>3</v>
      </c>
      <c r="F25" s="50">
        <v>9</v>
      </c>
      <c r="G25" s="50">
        <v>0</v>
      </c>
      <c r="H25" s="50">
        <v>1</v>
      </c>
      <c r="I25" s="50">
        <v>3</v>
      </c>
      <c r="J25" s="50">
        <v>0</v>
      </c>
      <c r="K25" s="50">
        <v>0</v>
      </c>
      <c r="L25" s="50">
        <v>3</v>
      </c>
      <c r="M25" s="50">
        <v>43</v>
      </c>
      <c r="N25" s="50">
        <v>0</v>
      </c>
      <c r="O25" s="15">
        <f t="shared" si="0"/>
        <v>30</v>
      </c>
      <c r="P25" s="15">
        <f t="shared" si="1"/>
        <v>73</v>
      </c>
      <c r="R25" s="37" t="s">
        <v>85</v>
      </c>
      <c r="S25" s="35">
        <f t="shared" ref="S25:AF25" si="17">SUM(S10:S12)</f>
        <v>65</v>
      </c>
      <c r="T25" s="16">
        <f t="shared" si="17"/>
        <v>24</v>
      </c>
      <c r="U25" s="16">
        <f t="shared" si="17"/>
        <v>24</v>
      </c>
      <c r="V25" s="16">
        <f t="shared" si="17"/>
        <v>54</v>
      </c>
      <c r="W25" s="16">
        <f t="shared" si="17"/>
        <v>3</v>
      </c>
      <c r="X25" s="16">
        <f t="shared" si="17"/>
        <v>4</v>
      </c>
      <c r="Y25" s="16">
        <f t="shared" si="17"/>
        <v>24</v>
      </c>
      <c r="Z25" s="16">
        <f t="shared" si="17"/>
        <v>10</v>
      </c>
      <c r="AA25" s="16">
        <f t="shared" si="17"/>
        <v>4</v>
      </c>
      <c r="AB25" s="16">
        <f t="shared" si="17"/>
        <v>16</v>
      </c>
      <c r="AC25" s="16">
        <f t="shared" si="17"/>
        <v>395</v>
      </c>
      <c r="AD25" s="16">
        <f t="shared" si="17"/>
        <v>0</v>
      </c>
      <c r="AE25" s="32">
        <f t="shared" si="17"/>
        <v>228</v>
      </c>
      <c r="AF25" s="32">
        <f t="shared" si="17"/>
        <v>623</v>
      </c>
    </row>
    <row r="26" spans="2:32" ht="23.1" customHeight="1" x14ac:dyDescent="0.25">
      <c r="B26" s="23" t="s">
        <v>53</v>
      </c>
      <c r="C26" s="50">
        <v>8</v>
      </c>
      <c r="D26" s="50">
        <v>4</v>
      </c>
      <c r="E26" s="50">
        <v>5</v>
      </c>
      <c r="F26" s="50">
        <v>7</v>
      </c>
      <c r="G26" s="50">
        <v>0</v>
      </c>
      <c r="H26" s="50">
        <v>2</v>
      </c>
      <c r="I26" s="50">
        <v>2</v>
      </c>
      <c r="J26" s="50">
        <v>1</v>
      </c>
      <c r="K26" s="50">
        <v>0</v>
      </c>
      <c r="L26" s="50">
        <v>1</v>
      </c>
      <c r="M26" s="50">
        <v>52</v>
      </c>
      <c r="N26" s="50">
        <v>0</v>
      </c>
      <c r="O26" s="15">
        <f t="shared" si="0"/>
        <v>30</v>
      </c>
      <c r="P26" s="15">
        <f t="shared" si="1"/>
        <v>82</v>
      </c>
      <c r="R26" s="28" t="s">
        <v>86</v>
      </c>
      <c r="S26" s="16">
        <f t="shared" ref="S26:AF26" si="18">SUM(S13:S18)</f>
        <v>230</v>
      </c>
      <c r="T26" s="16">
        <f t="shared" si="18"/>
        <v>83</v>
      </c>
      <c r="U26" s="16">
        <f t="shared" si="18"/>
        <v>69</v>
      </c>
      <c r="V26" s="16">
        <f t="shared" si="18"/>
        <v>195</v>
      </c>
      <c r="W26" s="16">
        <f t="shared" si="18"/>
        <v>5</v>
      </c>
      <c r="X26" s="16">
        <f t="shared" si="18"/>
        <v>11</v>
      </c>
      <c r="Y26" s="16">
        <f t="shared" si="18"/>
        <v>74</v>
      </c>
      <c r="Z26" s="16">
        <f t="shared" si="18"/>
        <v>34</v>
      </c>
      <c r="AA26" s="16">
        <f t="shared" si="18"/>
        <v>7</v>
      </c>
      <c r="AB26" s="16">
        <f t="shared" si="18"/>
        <v>28</v>
      </c>
      <c r="AC26" s="16">
        <f t="shared" si="18"/>
        <v>1007</v>
      </c>
      <c r="AD26" s="16">
        <f t="shared" si="18"/>
        <v>1</v>
      </c>
      <c r="AE26" s="32">
        <f t="shared" si="18"/>
        <v>737</v>
      </c>
      <c r="AF26" s="32">
        <f t="shared" si="18"/>
        <v>1744</v>
      </c>
    </row>
    <row r="27" spans="2:32" ht="23.1" customHeight="1" x14ac:dyDescent="0.25">
      <c r="B27" s="23" t="s">
        <v>54</v>
      </c>
      <c r="C27" s="50">
        <v>11</v>
      </c>
      <c r="D27" s="50">
        <v>3</v>
      </c>
      <c r="E27" s="50">
        <v>3</v>
      </c>
      <c r="F27" s="50">
        <v>8</v>
      </c>
      <c r="G27" s="50">
        <v>0</v>
      </c>
      <c r="H27" s="50">
        <v>0</v>
      </c>
      <c r="I27" s="50">
        <v>1</v>
      </c>
      <c r="J27" s="50">
        <v>3</v>
      </c>
      <c r="K27" s="50">
        <v>0</v>
      </c>
      <c r="L27" s="50">
        <v>3</v>
      </c>
      <c r="M27" s="50">
        <v>34</v>
      </c>
      <c r="N27" s="50">
        <v>0</v>
      </c>
      <c r="O27" s="15">
        <f t="shared" si="0"/>
        <v>32</v>
      </c>
      <c r="P27" s="15">
        <f t="shared" si="1"/>
        <v>66</v>
      </c>
      <c r="R27" s="29" t="s">
        <v>87</v>
      </c>
      <c r="S27" s="16">
        <f t="shared" ref="S27:AF27" si="19">SUM(S19:S21)</f>
        <v>147</v>
      </c>
      <c r="T27" s="16">
        <f t="shared" si="19"/>
        <v>53</v>
      </c>
      <c r="U27" s="16">
        <f t="shared" si="19"/>
        <v>17</v>
      </c>
      <c r="V27" s="16">
        <f t="shared" si="19"/>
        <v>96</v>
      </c>
      <c r="W27" s="16">
        <f t="shared" si="19"/>
        <v>1</v>
      </c>
      <c r="X27" s="16">
        <f t="shared" si="19"/>
        <v>6</v>
      </c>
      <c r="Y27" s="16">
        <f t="shared" si="19"/>
        <v>40</v>
      </c>
      <c r="Z27" s="16">
        <f t="shared" si="19"/>
        <v>24</v>
      </c>
      <c r="AA27" s="16">
        <f t="shared" si="19"/>
        <v>6</v>
      </c>
      <c r="AB27" s="16">
        <f t="shared" si="19"/>
        <v>7</v>
      </c>
      <c r="AC27" s="16">
        <f t="shared" si="19"/>
        <v>679</v>
      </c>
      <c r="AD27" s="16">
        <f t="shared" si="19"/>
        <v>0</v>
      </c>
      <c r="AE27" s="32">
        <f t="shared" si="19"/>
        <v>397</v>
      </c>
      <c r="AF27" s="32">
        <f t="shared" si="19"/>
        <v>1076</v>
      </c>
    </row>
    <row r="28" spans="2:32" ht="23.1" customHeight="1" x14ac:dyDescent="0.25">
      <c r="B28" s="23" t="s">
        <v>55</v>
      </c>
      <c r="C28" s="50">
        <v>17</v>
      </c>
      <c r="D28" s="50">
        <v>2</v>
      </c>
      <c r="E28" s="50">
        <v>5</v>
      </c>
      <c r="F28" s="50">
        <v>5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33</v>
      </c>
      <c r="N28" s="50">
        <v>0</v>
      </c>
      <c r="O28" s="15">
        <f t="shared" si="0"/>
        <v>33</v>
      </c>
      <c r="P28" s="15">
        <f t="shared" si="1"/>
        <v>66</v>
      </c>
      <c r="R28" s="5" t="s">
        <v>17</v>
      </c>
      <c r="S28" s="16">
        <f t="shared" ref="S28:AF28" si="20">SUM(S10:S21)</f>
        <v>442</v>
      </c>
      <c r="T28" s="16">
        <f t="shared" si="20"/>
        <v>160</v>
      </c>
      <c r="U28" s="16">
        <f t="shared" si="20"/>
        <v>110</v>
      </c>
      <c r="V28" s="16">
        <f t="shared" si="20"/>
        <v>345</v>
      </c>
      <c r="W28" s="16">
        <f t="shared" si="20"/>
        <v>9</v>
      </c>
      <c r="X28" s="16">
        <f t="shared" si="20"/>
        <v>21</v>
      </c>
      <c r="Y28" s="16">
        <f t="shared" si="20"/>
        <v>138</v>
      </c>
      <c r="Z28" s="16">
        <f t="shared" si="20"/>
        <v>68</v>
      </c>
      <c r="AA28" s="16">
        <f t="shared" si="20"/>
        <v>17</v>
      </c>
      <c r="AB28" s="16">
        <f t="shared" si="20"/>
        <v>51</v>
      </c>
      <c r="AC28" s="16">
        <f t="shared" si="20"/>
        <v>2081</v>
      </c>
      <c r="AD28" s="16">
        <f t="shared" si="20"/>
        <v>1</v>
      </c>
      <c r="AE28" s="32">
        <f t="shared" si="20"/>
        <v>1362</v>
      </c>
      <c r="AF28" s="32">
        <f t="shared" si="20"/>
        <v>3443</v>
      </c>
    </row>
    <row r="29" spans="2:32" ht="23.1" customHeight="1" x14ac:dyDescent="0.25">
      <c r="B29" s="23" t="s">
        <v>56</v>
      </c>
      <c r="C29" s="50">
        <v>5</v>
      </c>
      <c r="D29" s="50">
        <v>4</v>
      </c>
      <c r="E29" s="50">
        <v>4</v>
      </c>
      <c r="F29" s="50">
        <v>10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7</v>
      </c>
      <c r="M29" s="50">
        <v>41</v>
      </c>
      <c r="N29" s="50">
        <v>0</v>
      </c>
      <c r="O29" s="15">
        <f t="shared" si="0"/>
        <v>34</v>
      </c>
      <c r="P29" s="15">
        <f t="shared" si="1"/>
        <v>75</v>
      </c>
      <c r="R29"/>
      <c r="S29" s="20"/>
      <c r="T29" s="19"/>
    </row>
    <row r="30" spans="2:32" ht="23.1" customHeight="1" x14ac:dyDescent="0.25">
      <c r="B30" s="23" t="s">
        <v>57</v>
      </c>
      <c r="C30" s="50">
        <v>20</v>
      </c>
      <c r="D30" s="50">
        <v>4</v>
      </c>
      <c r="E30" s="50">
        <v>4</v>
      </c>
      <c r="F30" s="50">
        <v>9</v>
      </c>
      <c r="G30" s="50">
        <v>0</v>
      </c>
      <c r="H30" s="50">
        <v>0</v>
      </c>
      <c r="I30" s="50">
        <v>4</v>
      </c>
      <c r="J30" s="50">
        <v>0</v>
      </c>
      <c r="K30" s="50">
        <v>1</v>
      </c>
      <c r="L30" s="50">
        <v>0</v>
      </c>
      <c r="M30" s="50">
        <v>42</v>
      </c>
      <c r="N30" s="50">
        <v>0</v>
      </c>
      <c r="O30" s="15">
        <f t="shared" si="0"/>
        <v>42</v>
      </c>
      <c r="P30" s="15">
        <f t="shared" si="1"/>
        <v>84</v>
      </c>
    </row>
    <row r="31" spans="2:32" ht="23.1" customHeight="1" x14ac:dyDescent="0.25">
      <c r="B31" s="24" t="s">
        <v>58</v>
      </c>
      <c r="C31" s="50">
        <v>9</v>
      </c>
      <c r="D31" s="50">
        <v>6</v>
      </c>
      <c r="E31" s="50">
        <v>3</v>
      </c>
      <c r="F31" s="50">
        <v>6</v>
      </c>
      <c r="G31" s="50">
        <v>2</v>
      </c>
      <c r="H31" s="50">
        <v>0</v>
      </c>
      <c r="I31" s="50">
        <v>2</v>
      </c>
      <c r="J31" s="50">
        <v>2</v>
      </c>
      <c r="K31" s="50">
        <v>1</v>
      </c>
      <c r="L31" s="50">
        <v>0</v>
      </c>
      <c r="M31" s="50">
        <v>66</v>
      </c>
      <c r="N31" s="50">
        <v>0</v>
      </c>
      <c r="O31" s="15">
        <f t="shared" si="0"/>
        <v>31</v>
      </c>
      <c r="P31" s="15">
        <f t="shared" si="1"/>
        <v>97</v>
      </c>
    </row>
    <row r="32" spans="2:32" ht="23.1" customHeight="1" x14ac:dyDescent="0.25">
      <c r="B32" s="24" t="s">
        <v>59</v>
      </c>
      <c r="C32" s="50">
        <v>5</v>
      </c>
      <c r="D32" s="50">
        <v>2</v>
      </c>
      <c r="E32" s="50">
        <v>4</v>
      </c>
      <c r="F32" s="50">
        <v>6</v>
      </c>
      <c r="G32" s="50">
        <v>0</v>
      </c>
      <c r="H32" s="50">
        <v>1</v>
      </c>
      <c r="I32" s="50">
        <v>2</v>
      </c>
      <c r="J32" s="50">
        <v>1</v>
      </c>
      <c r="K32" s="50">
        <v>0</v>
      </c>
      <c r="L32" s="50">
        <v>0</v>
      </c>
      <c r="M32" s="50">
        <v>31</v>
      </c>
      <c r="N32" s="50">
        <v>0</v>
      </c>
      <c r="O32" s="15">
        <f t="shared" si="0"/>
        <v>21</v>
      </c>
      <c r="P32" s="15">
        <f t="shared" si="1"/>
        <v>52</v>
      </c>
    </row>
    <row r="33" spans="2:20" ht="23.1" customHeight="1" x14ac:dyDescent="0.25">
      <c r="B33" s="23" t="s">
        <v>60</v>
      </c>
      <c r="C33" s="50">
        <v>6</v>
      </c>
      <c r="D33" s="50">
        <v>3</v>
      </c>
      <c r="E33" s="50">
        <v>2</v>
      </c>
      <c r="F33" s="50">
        <v>9</v>
      </c>
      <c r="G33" s="50">
        <v>0</v>
      </c>
      <c r="H33" s="50">
        <v>1</v>
      </c>
      <c r="I33" s="50">
        <v>2</v>
      </c>
      <c r="J33" s="50">
        <v>1</v>
      </c>
      <c r="K33" s="50">
        <v>0</v>
      </c>
      <c r="L33" s="50">
        <v>1</v>
      </c>
      <c r="M33" s="50">
        <v>38</v>
      </c>
      <c r="N33" s="50">
        <v>0</v>
      </c>
      <c r="O33" s="15">
        <f t="shared" si="0"/>
        <v>25</v>
      </c>
      <c r="P33" s="15">
        <f t="shared" si="1"/>
        <v>63</v>
      </c>
    </row>
    <row r="34" spans="2:20" ht="23.1" customHeight="1" x14ac:dyDescent="0.25">
      <c r="B34" s="24" t="s">
        <v>61</v>
      </c>
      <c r="C34" s="50">
        <v>10</v>
      </c>
      <c r="D34" s="50">
        <v>5</v>
      </c>
      <c r="E34" s="50">
        <v>0</v>
      </c>
      <c r="F34" s="50">
        <v>8</v>
      </c>
      <c r="G34" s="50">
        <v>0</v>
      </c>
      <c r="H34" s="50">
        <v>0</v>
      </c>
      <c r="I34" s="50">
        <v>5</v>
      </c>
      <c r="J34" s="50">
        <v>1</v>
      </c>
      <c r="K34" s="50">
        <v>2</v>
      </c>
      <c r="L34" s="50">
        <v>0</v>
      </c>
      <c r="M34" s="50">
        <v>48</v>
      </c>
      <c r="N34" s="50">
        <v>0</v>
      </c>
      <c r="O34" s="15">
        <f t="shared" si="0"/>
        <v>31</v>
      </c>
      <c r="P34" s="15">
        <f t="shared" si="1"/>
        <v>79</v>
      </c>
    </row>
    <row r="35" spans="2:20" ht="23.1" customHeight="1" x14ac:dyDescent="0.25">
      <c r="B35" s="24" t="s">
        <v>62</v>
      </c>
      <c r="C35" s="50">
        <v>10</v>
      </c>
      <c r="D35" s="50">
        <v>4</v>
      </c>
      <c r="E35" s="50">
        <v>2</v>
      </c>
      <c r="F35" s="50">
        <v>10</v>
      </c>
      <c r="G35" s="50">
        <v>1</v>
      </c>
      <c r="H35" s="50">
        <v>0</v>
      </c>
      <c r="I35" s="50">
        <v>2</v>
      </c>
      <c r="J35" s="50">
        <v>3</v>
      </c>
      <c r="K35" s="50">
        <v>0</v>
      </c>
      <c r="L35" s="50">
        <v>0</v>
      </c>
      <c r="M35" s="50">
        <v>44</v>
      </c>
      <c r="N35" s="50">
        <v>0</v>
      </c>
      <c r="O35" s="15">
        <f t="shared" si="0"/>
        <v>32</v>
      </c>
      <c r="P35" s="15">
        <f t="shared" si="1"/>
        <v>76</v>
      </c>
    </row>
    <row r="36" spans="2:20" ht="23.1" customHeight="1" x14ac:dyDescent="0.25">
      <c r="B36" s="24" t="s">
        <v>63</v>
      </c>
      <c r="C36" s="50">
        <v>10</v>
      </c>
      <c r="D36" s="50">
        <v>4</v>
      </c>
      <c r="E36" s="50">
        <v>1</v>
      </c>
      <c r="F36" s="50">
        <v>7</v>
      </c>
      <c r="G36" s="50">
        <v>0</v>
      </c>
      <c r="H36" s="50">
        <v>1</v>
      </c>
      <c r="I36" s="50">
        <v>4</v>
      </c>
      <c r="J36" s="50">
        <v>0</v>
      </c>
      <c r="K36" s="50">
        <v>1</v>
      </c>
      <c r="L36" s="50">
        <v>1</v>
      </c>
      <c r="M36" s="50">
        <v>49</v>
      </c>
      <c r="N36" s="50">
        <v>0</v>
      </c>
      <c r="O36" s="15">
        <f t="shared" si="0"/>
        <v>29</v>
      </c>
      <c r="P36" s="15">
        <f t="shared" si="1"/>
        <v>78</v>
      </c>
    </row>
    <row r="37" spans="2:20" ht="23.1" customHeight="1" x14ac:dyDescent="0.25">
      <c r="B37" s="23" t="s">
        <v>64</v>
      </c>
      <c r="C37" s="50">
        <v>6</v>
      </c>
      <c r="D37" s="50">
        <v>3</v>
      </c>
      <c r="E37" s="50">
        <v>2</v>
      </c>
      <c r="F37" s="50">
        <v>7</v>
      </c>
      <c r="G37" s="50">
        <v>0</v>
      </c>
      <c r="H37" s="50">
        <v>1</v>
      </c>
      <c r="I37" s="50">
        <v>1</v>
      </c>
      <c r="J37" s="50">
        <v>1</v>
      </c>
      <c r="K37" s="50">
        <v>0</v>
      </c>
      <c r="L37" s="50">
        <v>0</v>
      </c>
      <c r="M37" s="50">
        <v>51</v>
      </c>
      <c r="N37" s="50">
        <v>0</v>
      </c>
      <c r="O37" s="15">
        <f t="shared" si="0"/>
        <v>21</v>
      </c>
      <c r="P37" s="15">
        <f t="shared" si="1"/>
        <v>72</v>
      </c>
    </row>
    <row r="38" spans="2:20" ht="23.1" customHeight="1" x14ac:dyDescent="0.25">
      <c r="B38" s="24" t="s">
        <v>65</v>
      </c>
      <c r="C38" s="50">
        <v>8</v>
      </c>
      <c r="D38" s="50">
        <v>4</v>
      </c>
      <c r="E38" s="50">
        <v>1</v>
      </c>
      <c r="F38" s="50">
        <v>11</v>
      </c>
      <c r="G38" s="50">
        <v>1</v>
      </c>
      <c r="H38" s="50">
        <v>1</v>
      </c>
      <c r="I38" s="50">
        <v>3</v>
      </c>
      <c r="J38" s="50">
        <v>4</v>
      </c>
      <c r="K38" s="50">
        <v>0</v>
      </c>
      <c r="L38" s="50">
        <v>1</v>
      </c>
      <c r="M38" s="50">
        <v>38</v>
      </c>
      <c r="N38" s="50">
        <v>0</v>
      </c>
      <c r="O38" s="15">
        <f t="shared" si="0"/>
        <v>34</v>
      </c>
      <c r="P38" s="15">
        <f t="shared" si="1"/>
        <v>72</v>
      </c>
    </row>
    <row r="39" spans="2:20" ht="23.1" customHeight="1" x14ac:dyDescent="0.25">
      <c r="B39" s="24" t="s">
        <v>66</v>
      </c>
      <c r="C39" s="50">
        <v>9</v>
      </c>
      <c r="D39" s="50">
        <v>2</v>
      </c>
      <c r="E39" s="50">
        <v>4</v>
      </c>
      <c r="F39" s="50">
        <v>14</v>
      </c>
      <c r="G39" s="50">
        <v>0</v>
      </c>
      <c r="H39" s="50">
        <v>0</v>
      </c>
      <c r="I39" s="50">
        <v>2</v>
      </c>
      <c r="J39" s="50">
        <v>2</v>
      </c>
      <c r="K39" s="50">
        <v>0</v>
      </c>
      <c r="L39" s="50">
        <v>1</v>
      </c>
      <c r="M39" s="50">
        <v>37</v>
      </c>
      <c r="N39" s="50">
        <v>0</v>
      </c>
      <c r="O39" s="15">
        <f t="shared" si="0"/>
        <v>34</v>
      </c>
      <c r="P39" s="15">
        <f t="shared" si="1"/>
        <v>71</v>
      </c>
    </row>
    <row r="40" spans="2:20" ht="23.1" customHeight="1" x14ac:dyDescent="0.25">
      <c r="B40" s="24" t="s">
        <v>67</v>
      </c>
      <c r="C40" s="50">
        <v>9</v>
      </c>
      <c r="D40" s="50">
        <v>1</v>
      </c>
      <c r="E40" s="50">
        <v>2</v>
      </c>
      <c r="F40" s="50">
        <v>9</v>
      </c>
      <c r="G40" s="50">
        <v>0</v>
      </c>
      <c r="H40" s="50">
        <v>0</v>
      </c>
      <c r="I40" s="50">
        <v>1</v>
      </c>
      <c r="J40" s="50">
        <v>2</v>
      </c>
      <c r="K40" s="50">
        <v>0</v>
      </c>
      <c r="L40" s="50">
        <v>1</v>
      </c>
      <c r="M40" s="50">
        <v>37</v>
      </c>
      <c r="N40" s="50">
        <v>0</v>
      </c>
      <c r="O40" s="15">
        <f t="shared" si="0"/>
        <v>25</v>
      </c>
      <c r="P40" s="15">
        <f t="shared" si="1"/>
        <v>62</v>
      </c>
    </row>
    <row r="41" spans="2:20" ht="23.1" customHeight="1" x14ac:dyDescent="0.25">
      <c r="B41" s="23" t="s">
        <v>68</v>
      </c>
      <c r="C41" s="50">
        <v>6</v>
      </c>
      <c r="D41" s="50">
        <v>4</v>
      </c>
      <c r="E41" s="50">
        <v>8</v>
      </c>
      <c r="F41" s="50">
        <v>8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36</v>
      </c>
      <c r="N41" s="50">
        <v>0</v>
      </c>
      <c r="O41" s="15">
        <f t="shared" si="0"/>
        <v>28</v>
      </c>
      <c r="P41" s="15">
        <f t="shared" si="1"/>
        <v>64</v>
      </c>
    </row>
    <row r="42" spans="2:20" ht="23.1" customHeight="1" x14ac:dyDescent="0.25">
      <c r="B42" s="24" t="s">
        <v>69</v>
      </c>
      <c r="C42" s="50">
        <v>13</v>
      </c>
      <c r="D42" s="50">
        <v>5</v>
      </c>
      <c r="E42" s="50">
        <v>3</v>
      </c>
      <c r="F42" s="50">
        <v>5</v>
      </c>
      <c r="G42" s="50">
        <v>0</v>
      </c>
      <c r="H42" s="50">
        <v>1</v>
      </c>
      <c r="I42" s="50">
        <v>5</v>
      </c>
      <c r="J42" s="50">
        <v>1</v>
      </c>
      <c r="K42" s="50">
        <v>1</v>
      </c>
      <c r="L42" s="50">
        <v>2</v>
      </c>
      <c r="M42" s="50">
        <v>47</v>
      </c>
      <c r="N42" s="50">
        <v>0</v>
      </c>
      <c r="O42" s="15">
        <f t="shared" si="0"/>
        <v>36</v>
      </c>
      <c r="P42" s="15">
        <f t="shared" si="1"/>
        <v>83</v>
      </c>
    </row>
    <row r="43" spans="2:20" ht="23.1" customHeight="1" x14ac:dyDescent="0.25">
      <c r="B43" s="23" t="s">
        <v>70</v>
      </c>
      <c r="C43" s="50">
        <v>8</v>
      </c>
      <c r="D43" s="50">
        <v>3</v>
      </c>
      <c r="E43" s="50">
        <v>3</v>
      </c>
      <c r="F43" s="50">
        <v>8</v>
      </c>
      <c r="G43" s="50">
        <v>0</v>
      </c>
      <c r="H43" s="50">
        <v>0</v>
      </c>
      <c r="I43" s="50">
        <v>4</v>
      </c>
      <c r="J43" s="50">
        <v>2</v>
      </c>
      <c r="K43" s="50">
        <v>0</v>
      </c>
      <c r="L43" s="50">
        <v>0</v>
      </c>
      <c r="M43" s="50">
        <v>45</v>
      </c>
      <c r="N43" s="50">
        <v>0</v>
      </c>
      <c r="O43" s="15">
        <f t="shared" si="0"/>
        <v>28</v>
      </c>
      <c r="P43" s="15">
        <f t="shared" si="1"/>
        <v>73</v>
      </c>
    </row>
    <row r="44" spans="2:20" ht="23.1" customHeight="1" x14ac:dyDescent="0.25">
      <c r="B44" s="25" t="s">
        <v>71</v>
      </c>
      <c r="C44" s="50">
        <v>11</v>
      </c>
      <c r="D44" s="50">
        <v>5</v>
      </c>
      <c r="E44" s="50">
        <v>3</v>
      </c>
      <c r="F44" s="50">
        <v>10</v>
      </c>
      <c r="G44" s="50">
        <v>0</v>
      </c>
      <c r="H44" s="50">
        <v>0</v>
      </c>
      <c r="I44" s="50">
        <v>1</v>
      </c>
      <c r="J44" s="50">
        <v>1</v>
      </c>
      <c r="K44" s="50">
        <v>1</v>
      </c>
      <c r="L44" s="50">
        <v>2</v>
      </c>
      <c r="M44" s="50">
        <v>47</v>
      </c>
      <c r="N44" s="50">
        <v>0</v>
      </c>
      <c r="O44" s="15">
        <f t="shared" si="0"/>
        <v>34</v>
      </c>
      <c r="P44" s="15">
        <f t="shared" si="1"/>
        <v>81</v>
      </c>
    </row>
    <row r="45" spans="2:20" ht="23.1" customHeight="1" x14ac:dyDescent="0.25">
      <c r="B45" s="23" t="s">
        <v>72</v>
      </c>
      <c r="C45" s="50">
        <v>11</v>
      </c>
      <c r="D45" s="50">
        <v>5</v>
      </c>
      <c r="E45" s="50">
        <v>3</v>
      </c>
      <c r="F45" s="50">
        <v>7</v>
      </c>
      <c r="G45" s="50">
        <v>0</v>
      </c>
      <c r="H45" s="50">
        <v>2</v>
      </c>
      <c r="I45" s="50">
        <v>6</v>
      </c>
      <c r="J45" s="50">
        <v>2</v>
      </c>
      <c r="K45" s="50">
        <v>0</v>
      </c>
      <c r="L45" s="50">
        <v>1</v>
      </c>
      <c r="M45" s="50">
        <v>39</v>
      </c>
      <c r="N45" s="50">
        <v>0</v>
      </c>
      <c r="O45" s="15">
        <f t="shared" si="0"/>
        <v>37</v>
      </c>
      <c r="P45" s="15">
        <f t="shared" si="1"/>
        <v>76</v>
      </c>
    </row>
    <row r="46" spans="2:20" ht="23.1" customHeight="1" x14ac:dyDescent="0.25">
      <c r="B46" s="24" t="s">
        <v>73</v>
      </c>
      <c r="C46" s="50">
        <v>15</v>
      </c>
      <c r="D46" s="50">
        <v>13</v>
      </c>
      <c r="E46" s="50">
        <v>2</v>
      </c>
      <c r="F46" s="50">
        <v>8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54</v>
      </c>
      <c r="N46" s="50">
        <v>0</v>
      </c>
      <c r="O46" s="15">
        <f t="shared" si="0"/>
        <v>42</v>
      </c>
      <c r="P46" s="15">
        <f t="shared" si="1"/>
        <v>96</v>
      </c>
      <c r="R46" s="8"/>
      <c r="T46"/>
    </row>
    <row r="47" spans="2:20" ht="23.1" customHeight="1" x14ac:dyDescent="0.25">
      <c r="B47" s="24" t="s">
        <v>74</v>
      </c>
      <c r="C47" s="50">
        <v>11</v>
      </c>
      <c r="D47" s="50">
        <v>6</v>
      </c>
      <c r="E47" s="50">
        <v>3</v>
      </c>
      <c r="F47" s="50">
        <v>10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1</v>
      </c>
      <c r="M47" s="50">
        <v>47</v>
      </c>
      <c r="N47" s="50">
        <v>0</v>
      </c>
      <c r="O47" s="15">
        <f t="shared" si="0"/>
        <v>34</v>
      </c>
      <c r="P47" s="15">
        <f t="shared" si="1"/>
        <v>81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2</v>
      </c>
      <c r="E48" s="50">
        <v>1</v>
      </c>
      <c r="F48" s="50">
        <v>6</v>
      </c>
      <c r="G48" s="50">
        <v>0</v>
      </c>
      <c r="H48" s="50">
        <v>2</v>
      </c>
      <c r="I48" s="50">
        <v>1</v>
      </c>
      <c r="J48" s="50">
        <v>3</v>
      </c>
      <c r="K48" s="50">
        <v>1</v>
      </c>
      <c r="L48" s="50">
        <v>0</v>
      </c>
      <c r="M48" s="50">
        <v>58</v>
      </c>
      <c r="N48" s="50">
        <v>0</v>
      </c>
      <c r="O48" s="15">
        <f t="shared" si="0"/>
        <v>25</v>
      </c>
      <c r="P48" s="15">
        <f t="shared" si="1"/>
        <v>83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1</v>
      </c>
      <c r="E49" s="50">
        <v>0</v>
      </c>
      <c r="F49" s="50">
        <v>5</v>
      </c>
      <c r="G49" s="50">
        <v>0</v>
      </c>
      <c r="H49" s="50">
        <v>1</v>
      </c>
      <c r="I49" s="50">
        <v>6</v>
      </c>
      <c r="J49" s="50">
        <v>1</v>
      </c>
      <c r="K49" s="50">
        <v>0</v>
      </c>
      <c r="L49" s="50">
        <v>0</v>
      </c>
      <c r="M49" s="50">
        <v>62</v>
      </c>
      <c r="N49" s="50">
        <v>0</v>
      </c>
      <c r="O49" s="15">
        <f t="shared" si="0"/>
        <v>23</v>
      </c>
      <c r="P49" s="15">
        <f t="shared" si="1"/>
        <v>85</v>
      </c>
      <c r="R49" s="8"/>
      <c r="T49"/>
    </row>
    <row r="50" spans="2:20" ht="23.1" customHeight="1" x14ac:dyDescent="0.25">
      <c r="B50" s="24" t="s">
        <v>77</v>
      </c>
      <c r="C50" s="50">
        <v>16</v>
      </c>
      <c r="D50" s="50">
        <v>7</v>
      </c>
      <c r="E50" s="50">
        <v>2</v>
      </c>
      <c r="F50" s="50">
        <v>11</v>
      </c>
      <c r="G50" s="50">
        <v>0</v>
      </c>
      <c r="H50" s="50">
        <v>1</v>
      </c>
      <c r="I50" s="50">
        <v>4</v>
      </c>
      <c r="J50" s="50">
        <v>4</v>
      </c>
      <c r="K50" s="50">
        <v>2</v>
      </c>
      <c r="L50" s="50">
        <v>1</v>
      </c>
      <c r="M50" s="50">
        <v>65</v>
      </c>
      <c r="N50" s="50">
        <v>0</v>
      </c>
      <c r="O50" s="15">
        <f t="shared" si="0"/>
        <v>48</v>
      </c>
      <c r="P50" s="15">
        <f t="shared" si="1"/>
        <v>113</v>
      </c>
      <c r="R50" s="8"/>
      <c r="T50"/>
    </row>
    <row r="51" spans="2:20" ht="23.1" customHeight="1" x14ac:dyDescent="0.25">
      <c r="B51" s="24" t="s">
        <v>78</v>
      </c>
      <c r="C51" s="50">
        <v>18</v>
      </c>
      <c r="D51" s="50">
        <v>3</v>
      </c>
      <c r="E51" s="50">
        <v>1</v>
      </c>
      <c r="F51" s="50">
        <v>9</v>
      </c>
      <c r="G51" s="50">
        <v>0</v>
      </c>
      <c r="H51" s="50">
        <v>0</v>
      </c>
      <c r="I51" s="50">
        <v>4</v>
      </c>
      <c r="J51" s="50">
        <v>1</v>
      </c>
      <c r="K51" s="50">
        <v>0</v>
      </c>
      <c r="L51" s="50">
        <v>2</v>
      </c>
      <c r="M51" s="50">
        <v>50</v>
      </c>
      <c r="N51" s="50">
        <v>0</v>
      </c>
      <c r="O51" s="15">
        <f t="shared" si="0"/>
        <v>38</v>
      </c>
      <c r="P51" s="15">
        <f t="shared" si="1"/>
        <v>88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4</v>
      </c>
      <c r="E52" s="50">
        <v>2</v>
      </c>
      <c r="F52" s="50">
        <v>7</v>
      </c>
      <c r="G52" s="50">
        <v>0</v>
      </c>
      <c r="H52" s="50">
        <v>1</v>
      </c>
      <c r="I52" s="50">
        <v>2</v>
      </c>
      <c r="J52" s="50">
        <v>3</v>
      </c>
      <c r="K52" s="50">
        <v>1</v>
      </c>
      <c r="L52" s="50">
        <v>0</v>
      </c>
      <c r="M52" s="50">
        <v>71</v>
      </c>
      <c r="N52" s="50">
        <v>0</v>
      </c>
      <c r="O52" s="15">
        <f t="shared" si="0"/>
        <v>28</v>
      </c>
      <c r="P52" s="15">
        <f t="shared" si="1"/>
        <v>99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4</v>
      </c>
      <c r="E53" s="50">
        <v>1</v>
      </c>
      <c r="F53" s="50">
        <v>10</v>
      </c>
      <c r="G53" s="50">
        <v>0</v>
      </c>
      <c r="H53" s="50">
        <v>0</v>
      </c>
      <c r="I53" s="50">
        <v>3</v>
      </c>
      <c r="J53" s="50">
        <v>3</v>
      </c>
      <c r="K53" s="50">
        <v>0</v>
      </c>
      <c r="L53" s="50">
        <v>0</v>
      </c>
      <c r="M53" s="50">
        <v>42</v>
      </c>
      <c r="N53" s="50">
        <v>0</v>
      </c>
      <c r="O53" s="15">
        <f t="shared" si="0"/>
        <v>34</v>
      </c>
      <c r="P53" s="15">
        <f t="shared" si="1"/>
        <v>76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1</v>
      </c>
      <c r="E54" s="50">
        <v>1</v>
      </c>
      <c r="F54" s="50">
        <v>8</v>
      </c>
      <c r="G54" s="50">
        <v>0</v>
      </c>
      <c r="H54" s="50">
        <v>1</v>
      </c>
      <c r="I54" s="50">
        <v>9</v>
      </c>
      <c r="J54" s="50">
        <v>4</v>
      </c>
      <c r="K54" s="50">
        <v>0</v>
      </c>
      <c r="L54" s="50">
        <v>2</v>
      </c>
      <c r="M54" s="50">
        <v>61</v>
      </c>
      <c r="N54" s="50">
        <v>0</v>
      </c>
      <c r="O54" s="15">
        <f t="shared" si="0"/>
        <v>37</v>
      </c>
      <c r="P54" s="15">
        <f t="shared" si="1"/>
        <v>98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2</v>
      </c>
      <c r="E55" s="50">
        <v>1</v>
      </c>
      <c r="F55" s="50">
        <v>7</v>
      </c>
      <c r="G55" s="50">
        <v>0</v>
      </c>
      <c r="H55" s="50">
        <v>0</v>
      </c>
      <c r="I55" s="50">
        <v>1</v>
      </c>
      <c r="J55" s="50">
        <v>2</v>
      </c>
      <c r="K55" s="50">
        <v>2</v>
      </c>
      <c r="L55" s="50">
        <v>1</v>
      </c>
      <c r="M55" s="50">
        <v>52</v>
      </c>
      <c r="N55" s="50">
        <v>0</v>
      </c>
      <c r="O55" s="15">
        <f t="shared" si="0"/>
        <v>24</v>
      </c>
      <c r="P55" s="15">
        <f t="shared" si="1"/>
        <v>76</v>
      </c>
      <c r="R55" s="8"/>
      <c r="T55"/>
    </row>
    <row r="56" spans="2:20" ht="23.1" customHeight="1" x14ac:dyDescent="0.25">
      <c r="B56" s="23" t="s">
        <v>83</v>
      </c>
      <c r="C56" s="50">
        <v>16</v>
      </c>
      <c r="D56" s="50">
        <v>6</v>
      </c>
      <c r="E56" s="50">
        <v>1</v>
      </c>
      <c r="F56" s="50">
        <v>5</v>
      </c>
      <c r="G56" s="50">
        <v>1</v>
      </c>
      <c r="H56" s="50">
        <v>0</v>
      </c>
      <c r="I56" s="50">
        <v>4</v>
      </c>
      <c r="J56" s="50">
        <v>1</v>
      </c>
      <c r="K56" s="50">
        <v>0</v>
      </c>
      <c r="L56" s="50">
        <v>0</v>
      </c>
      <c r="M56" s="50">
        <v>66</v>
      </c>
      <c r="N56" s="50">
        <v>0</v>
      </c>
      <c r="O56" s="15">
        <f t="shared" si="0"/>
        <v>34</v>
      </c>
      <c r="P56" s="15">
        <f t="shared" si="1"/>
        <v>100</v>
      </c>
      <c r="R56" s="8"/>
      <c r="T56"/>
    </row>
    <row r="57" spans="2:20" ht="23.1" customHeight="1" x14ac:dyDescent="0.25">
      <c r="B57" s="23" t="s">
        <v>84</v>
      </c>
      <c r="C57" s="50">
        <v>13</v>
      </c>
      <c r="D57" s="50">
        <v>4</v>
      </c>
      <c r="E57" s="50">
        <v>2</v>
      </c>
      <c r="F57" s="50">
        <v>10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51</v>
      </c>
      <c r="N57" s="50">
        <v>0</v>
      </c>
      <c r="O57" s="15">
        <f t="shared" si="0"/>
        <v>30</v>
      </c>
      <c r="P57" s="15">
        <f t="shared" si="1"/>
        <v>81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442</v>
      </c>
      <c r="D58" s="16">
        <f t="shared" si="21"/>
        <v>160</v>
      </c>
      <c r="E58" s="16">
        <f t="shared" si="21"/>
        <v>110</v>
      </c>
      <c r="F58" s="16">
        <f t="shared" si="21"/>
        <v>345</v>
      </c>
      <c r="G58" s="16">
        <f t="shared" si="21"/>
        <v>9</v>
      </c>
      <c r="H58" s="16">
        <f t="shared" si="21"/>
        <v>21</v>
      </c>
      <c r="I58" s="16">
        <f t="shared" si="21"/>
        <v>138</v>
      </c>
      <c r="J58" s="16">
        <f t="shared" si="21"/>
        <v>68</v>
      </c>
      <c r="K58" s="16">
        <f t="shared" si="21"/>
        <v>17</v>
      </c>
      <c r="L58" s="16">
        <f t="shared" si="21"/>
        <v>51</v>
      </c>
      <c r="M58" s="16">
        <f t="shared" si="21"/>
        <v>2081</v>
      </c>
      <c r="N58" s="16">
        <f t="shared" si="21"/>
        <v>1</v>
      </c>
      <c r="O58" s="16">
        <f t="shared" si="21"/>
        <v>1362</v>
      </c>
      <c r="P58" s="16">
        <f t="shared" si="21"/>
        <v>3443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0.12837641591635202</v>
      </c>
      <c r="D59" s="43">
        <f t="shared" si="22"/>
        <v>4.6471100784199824E-2</v>
      </c>
      <c r="E59" s="43">
        <f t="shared" si="22"/>
        <v>3.1948881789137379E-2</v>
      </c>
      <c r="F59" s="43">
        <f t="shared" si="22"/>
        <v>0.10020331106593088</v>
      </c>
      <c r="G59" s="43">
        <f t="shared" si="22"/>
        <v>2.6139994191112402E-3</v>
      </c>
      <c r="H59" s="43">
        <f t="shared" si="22"/>
        <v>6.0993319779262273E-3</v>
      </c>
      <c r="I59" s="43">
        <f t="shared" si="22"/>
        <v>4.0081324426372349E-2</v>
      </c>
      <c r="J59" s="43">
        <f t="shared" si="22"/>
        <v>1.9750217833284928E-2</v>
      </c>
      <c r="K59" s="43">
        <f t="shared" si="22"/>
        <v>4.9375544583212319E-3</v>
      </c>
      <c r="L59" s="43">
        <f t="shared" si="22"/>
        <v>1.4812663374963694E-2</v>
      </c>
      <c r="M59" s="43">
        <f t="shared" si="22"/>
        <v>0.604414754574499</v>
      </c>
      <c r="N59" s="43">
        <f t="shared" si="22"/>
        <v>2.9044437990124891E-4</v>
      </c>
      <c r="R59" s="8"/>
      <c r="T59"/>
    </row>
    <row r="60" spans="2:20" ht="23.1" customHeight="1" x14ac:dyDescent="0.25">
      <c r="B60" s="42" t="s">
        <v>94</v>
      </c>
      <c r="C60" s="44">
        <f>C58/$O$58</f>
        <v>0.32452276064610869</v>
      </c>
      <c r="D60" s="44">
        <f t="shared" ref="D60:N60" si="23">D58/$O$58</f>
        <v>0.11747430249632893</v>
      </c>
      <c r="E60" s="44">
        <f t="shared" si="23"/>
        <v>8.0763582966226141E-2</v>
      </c>
      <c r="F60" s="44">
        <f t="shared" si="23"/>
        <v>0.25330396475770928</v>
      </c>
      <c r="G60" s="44">
        <f t="shared" si="23"/>
        <v>6.6079295154185024E-3</v>
      </c>
      <c r="H60" s="44">
        <f t="shared" si="23"/>
        <v>1.5418502202643172E-2</v>
      </c>
      <c r="I60" s="44">
        <f t="shared" si="23"/>
        <v>0.1013215859030837</v>
      </c>
      <c r="J60" s="44">
        <f t="shared" si="23"/>
        <v>4.9926578560939794E-2</v>
      </c>
      <c r="K60" s="44">
        <f t="shared" si="23"/>
        <v>1.2481644640234948E-2</v>
      </c>
      <c r="L60" s="44">
        <f t="shared" si="23"/>
        <v>3.7444933920704845E-2</v>
      </c>
      <c r="M60" s="44"/>
      <c r="N60" s="44">
        <f t="shared" si="23"/>
        <v>7.3421439060205576E-4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'17.10  MUBENDE-MITYANA'!C3:G3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'21.10 MITYANA-MUBENDE'!D5</f>
        <v>21.10.19</v>
      </c>
      <c r="E5" s="3"/>
      <c r="F5" s="41" t="s">
        <v>1</v>
      </c>
      <c r="G5" s="60" t="str">
        <f>'23.10 MITYANA-MUBENDE'!G5:H5</f>
        <v>MITYANA COLLEGE KIKUMBI</v>
      </c>
      <c r="H5" s="61"/>
      <c r="I5" s="14"/>
      <c r="J5" s="2" t="s">
        <v>5</v>
      </c>
      <c r="K5" s="60" t="s">
        <v>170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'17.10  MUBENDE-MITYANA'!D6:E6</f>
        <v>MUBENDE</v>
      </c>
      <c r="E6" s="61"/>
      <c r="F6" s="2" t="s">
        <v>2</v>
      </c>
      <c r="G6" s="60" t="str">
        <f>'17.10  MUBENDE-MITYANA'!G6:H6</f>
        <v>MITYANA</v>
      </c>
      <c r="H6" s="61"/>
      <c r="J6" s="2" t="s">
        <v>21</v>
      </c>
      <c r="K6" s="60" t="str">
        <f>'23.10 MITYANA-MUBENDE'!K6:L6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0</v>
      </c>
      <c r="F10" s="50">
        <v>6</v>
      </c>
      <c r="G10" s="50">
        <v>0</v>
      </c>
      <c r="H10" s="50">
        <v>0</v>
      </c>
      <c r="I10" s="50">
        <v>0</v>
      </c>
      <c r="J10" s="50">
        <v>3</v>
      </c>
      <c r="K10" s="50">
        <v>0</v>
      </c>
      <c r="L10" s="50">
        <v>1</v>
      </c>
      <c r="M10" s="50">
        <v>43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56</v>
      </c>
      <c r="R10" s="1" t="s">
        <v>6</v>
      </c>
      <c r="S10" s="17">
        <f t="shared" ref="S10:AF10" si="2">SUM(C10:C13)</f>
        <v>27</v>
      </c>
      <c r="T10" s="17">
        <f t="shared" si="2"/>
        <v>8</v>
      </c>
      <c r="U10" s="17">
        <f t="shared" si="2"/>
        <v>1</v>
      </c>
      <c r="V10" s="17">
        <f t="shared" si="2"/>
        <v>26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4</v>
      </c>
      <c r="AA10" s="17">
        <f t="shared" si="2"/>
        <v>0</v>
      </c>
      <c r="AB10" s="17">
        <f t="shared" si="2"/>
        <v>2</v>
      </c>
      <c r="AC10" s="17">
        <f t="shared" si="2"/>
        <v>222</v>
      </c>
      <c r="AD10" s="17">
        <f t="shared" si="2"/>
        <v>0</v>
      </c>
      <c r="AE10" s="31">
        <f t="shared" si="2"/>
        <v>72</v>
      </c>
      <c r="AF10" s="31">
        <f t="shared" si="2"/>
        <v>294</v>
      </c>
    </row>
    <row r="11" spans="2:32" s="6" customFormat="1" ht="23.1" customHeight="1" x14ac:dyDescent="0.25">
      <c r="B11" s="23" t="s">
        <v>38</v>
      </c>
      <c r="C11" s="50">
        <v>6</v>
      </c>
      <c r="D11" s="50">
        <v>3</v>
      </c>
      <c r="E11" s="50">
        <v>0</v>
      </c>
      <c r="F11" s="50">
        <v>5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1</v>
      </c>
      <c r="M11" s="50">
        <v>56</v>
      </c>
      <c r="N11" s="50">
        <v>0</v>
      </c>
      <c r="O11" s="15">
        <f t="shared" si="0"/>
        <v>17</v>
      </c>
      <c r="P11" s="15">
        <f t="shared" si="1"/>
        <v>73</v>
      </c>
      <c r="R11" s="1" t="s">
        <v>7</v>
      </c>
      <c r="S11" s="17">
        <f t="shared" ref="S11:AF11" si="3">SUM(C14:C17)</f>
        <v>26</v>
      </c>
      <c r="T11" s="17">
        <f t="shared" si="3"/>
        <v>9</v>
      </c>
      <c r="U11" s="17">
        <f t="shared" si="3"/>
        <v>4</v>
      </c>
      <c r="V11" s="17">
        <f t="shared" si="3"/>
        <v>34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4</v>
      </c>
      <c r="AA11" s="17">
        <f t="shared" si="3"/>
        <v>1</v>
      </c>
      <c r="AB11" s="17">
        <f t="shared" si="3"/>
        <v>4</v>
      </c>
      <c r="AC11" s="17">
        <f t="shared" si="3"/>
        <v>199</v>
      </c>
      <c r="AD11" s="17">
        <f t="shared" si="3"/>
        <v>0</v>
      </c>
      <c r="AE11" s="31">
        <f t="shared" si="3"/>
        <v>86</v>
      </c>
      <c r="AF11" s="31">
        <f t="shared" si="3"/>
        <v>285</v>
      </c>
    </row>
    <row r="12" spans="2:32" ht="23.1" customHeight="1" x14ac:dyDescent="0.25">
      <c r="B12" s="23" t="s">
        <v>39</v>
      </c>
      <c r="C12" s="50">
        <v>11</v>
      </c>
      <c r="D12" s="50">
        <v>3</v>
      </c>
      <c r="E12" s="50">
        <v>1</v>
      </c>
      <c r="F12" s="50">
        <v>9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57</v>
      </c>
      <c r="N12" s="50">
        <v>0</v>
      </c>
      <c r="O12" s="15">
        <f t="shared" si="0"/>
        <v>25</v>
      </c>
      <c r="P12" s="15">
        <f t="shared" si="1"/>
        <v>82</v>
      </c>
      <c r="R12" s="1" t="s">
        <v>8</v>
      </c>
      <c r="S12" s="17">
        <f t="shared" ref="S12:AF12" si="4">SUM(C18:C21)</f>
        <v>28</v>
      </c>
      <c r="T12" s="17">
        <f t="shared" si="4"/>
        <v>14</v>
      </c>
      <c r="U12" s="17">
        <f t="shared" si="4"/>
        <v>2</v>
      </c>
      <c r="V12" s="17">
        <f t="shared" si="4"/>
        <v>26</v>
      </c>
      <c r="W12" s="17">
        <f t="shared" si="4"/>
        <v>1</v>
      </c>
      <c r="X12" s="17">
        <f t="shared" si="4"/>
        <v>0</v>
      </c>
      <c r="Y12" s="17">
        <f t="shared" si="4"/>
        <v>5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154</v>
      </c>
      <c r="AD12" s="17">
        <f t="shared" si="4"/>
        <v>0</v>
      </c>
      <c r="AE12" s="31">
        <f t="shared" si="4"/>
        <v>79</v>
      </c>
      <c r="AF12" s="31">
        <f t="shared" si="4"/>
        <v>233</v>
      </c>
    </row>
    <row r="13" spans="2:32" ht="23.1" customHeight="1" x14ac:dyDescent="0.25">
      <c r="B13" s="23" t="s">
        <v>40</v>
      </c>
      <c r="C13" s="50">
        <v>8</v>
      </c>
      <c r="D13" s="50">
        <v>1</v>
      </c>
      <c r="E13" s="50">
        <v>0</v>
      </c>
      <c r="F13" s="50">
        <v>6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66</v>
      </c>
      <c r="N13" s="50">
        <v>0</v>
      </c>
      <c r="O13" s="15">
        <f t="shared" si="0"/>
        <v>17</v>
      </c>
      <c r="P13" s="15">
        <f t="shared" si="1"/>
        <v>83</v>
      </c>
      <c r="R13" s="1" t="s">
        <v>9</v>
      </c>
      <c r="S13" s="17">
        <f t="shared" ref="S13:AF13" si="5">SUM(C22:C25)</f>
        <v>27</v>
      </c>
      <c r="T13" s="17">
        <f t="shared" si="5"/>
        <v>13</v>
      </c>
      <c r="U13" s="17">
        <f t="shared" si="5"/>
        <v>3</v>
      </c>
      <c r="V13" s="17">
        <f t="shared" si="5"/>
        <v>33</v>
      </c>
      <c r="W13" s="17">
        <f t="shared" si="5"/>
        <v>1</v>
      </c>
      <c r="X13" s="17">
        <f t="shared" si="5"/>
        <v>1</v>
      </c>
      <c r="Y13" s="17">
        <f t="shared" si="5"/>
        <v>9</v>
      </c>
      <c r="Z13" s="17">
        <f t="shared" si="5"/>
        <v>2</v>
      </c>
      <c r="AA13" s="17">
        <f t="shared" si="5"/>
        <v>2</v>
      </c>
      <c r="AB13" s="17">
        <f t="shared" si="5"/>
        <v>1</v>
      </c>
      <c r="AC13" s="17">
        <f t="shared" si="5"/>
        <v>147</v>
      </c>
      <c r="AD13" s="17">
        <f t="shared" si="5"/>
        <v>0</v>
      </c>
      <c r="AE13" s="31">
        <f t="shared" si="5"/>
        <v>92</v>
      </c>
      <c r="AF13" s="31">
        <f t="shared" si="5"/>
        <v>239</v>
      </c>
    </row>
    <row r="14" spans="2:32" ht="23.1" customHeight="1" x14ac:dyDescent="0.25">
      <c r="B14" s="23" t="s">
        <v>41</v>
      </c>
      <c r="C14" s="50">
        <v>8</v>
      </c>
      <c r="D14" s="50">
        <v>5</v>
      </c>
      <c r="E14" s="50">
        <v>1</v>
      </c>
      <c r="F14" s="50">
        <v>12</v>
      </c>
      <c r="G14" s="50">
        <v>0</v>
      </c>
      <c r="H14" s="50">
        <v>0</v>
      </c>
      <c r="I14" s="50">
        <v>0</v>
      </c>
      <c r="J14" s="50">
        <v>1</v>
      </c>
      <c r="K14" s="50">
        <v>1</v>
      </c>
      <c r="L14" s="50">
        <v>3</v>
      </c>
      <c r="M14" s="50">
        <v>51</v>
      </c>
      <c r="N14" s="50">
        <v>0</v>
      </c>
      <c r="O14" s="15">
        <f t="shared" si="0"/>
        <v>31</v>
      </c>
      <c r="P14" s="15">
        <f t="shared" si="1"/>
        <v>82</v>
      </c>
      <c r="R14" s="1" t="s">
        <v>10</v>
      </c>
      <c r="S14" s="17">
        <f t="shared" ref="S14:AF14" si="6">SUM(C26:C29)</f>
        <v>22</v>
      </c>
      <c r="T14" s="17">
        <f t="shared" si="6"/>
        <v>7</v>
      </c>
      <c r="U14" s="17">
        <f t="shared" si="6"/>
        <v>3</v>
      </c>
      <c r="V14" s="17">
        <f t="shared" si="6"/>
        <v>24</v>
      </c>
      <c r="W14" s="17">
        <f t="shared" si="6"/>
        <v>0</v>
      </c>
      <c r="X14" s="17">
        <f t="shared" si="6"/>
        <v>2</v>
      </c>
      <c r="Y14" s="17">
        <f t="shared" si="6"/>
        <v>3</v>
      </c>
      <c r="Z14" s="17">
        <f t="shared" si="6"/>
        <v>3</v>
      </c>
      <c r="AA14" s="17">
        <f t="shared" si="6"/>
        <v>1</v>
      </c>
      <c r="AB14" s="17">
        <f t="shared" si="6"/>
        <v>1</v>
      </c>
      <c r="AC14" s="17">
        <f t="shared" si="6"/>
        <v>137</v>
      </c>
      <c r="AD14" s="17">
        <f t="shared" si="6"/>
        <v>0</v>
      </c>
      <c r="AE14" s="31">
        <f t="shared" si="6"/>
        <v>66</v>
      </c>
      <c r="AF14" s="31">
        <f t="shared" si="6"/>
        <v>203</v>
      </c>
    </row>
    <row r="15" spans="2:32" ht="23.1" customHeight="1" x14ac:dyDescent="0.25">
      <c r="B15" s="23" t="s">
        <v>42</v>
      </c>
      <c r="C15" s="50">
        <v>5</v>
      </c>
      <c r="D15" s="50">
        <v>2</v>
      </c>
      <c r="E15" s="50">
        <v>2</v>
      </c>
      <c r="F15" s="50">
        <v>9</v>
      </c>
      <c r="G15" s="50">
        <v>0</v>
      </c>
      <c r="H15" s="50">
        <v>0</v>
      </c>
      <c r="I15" s="50">
        <v>1</v>
      </c>
      <c r="J15" s="50">
        <v>2</v>
      </c>
      <c r="K15" s="50">
        <v>0</v>
      </c>
      <c r="L15" s="50">
        <v>0</v>
      </c>
      <c r="M15" s="50">
        <v>47</v>
      </c>
      <c r="N15" s="50">
        <v>0</v>
      </c>
      <c r="O15" s="15">
        <f t="shared" si="0"/>
        <v>21</v>
      </c>
      <c r="P15" s="15">
        <f t="shared" si="1"/>
        <v>68</v>
      </c>
      <c r="R15" s="1" t="s">
        <v>11</v>
      </c>
      <c r="S15" s="17">
        <f t="shared" ref="S15:AF15" si="7">SUM(C30:C33)</f>
        <v>23</v>
      </c>
      <c r="T15" s="17">
        <f t="shared" si="7"/>
        <v>11</v>
      </c>
      <c r="U15" s="17">
        <f t="shared" si="7"/>
        <v>3</v>
      </c>
      <c r="V15" s="17">
        <f t="shared" si="7"/>
        <v>28</v>
      </c>
      <c r="W15" s="17">
        <f t="shared" si="7"/>
        <v>2</v>
      </c>
      <c r="X15" s="17">
        <f t="shared" si="7"/>
        <v>0</v>
      </c>
      <c r="Y15" s="17">
        <f t="shared" si="7"/>
        <v>6</v>
      </c>
      <c r="Z15" s="17">
        <f t="shared" si="7"/>
        <v>4</v>
      </c>
      <c r="AA15" s="17">
        <f t="shared" si="7"/>
        <v>2</v>
      </c>
      <c r="AB15" s="17">
        <f t="shared" si="7"/>
        <v>7</v>
      </c>
      <c r="AC15" s="17">
        <f t="shared" si="7"/>
        <v>143</v>
      </c>
      <c r="AD15" s="17">
        <f t="shared" si="7"/>
        <v>0</v>
      </c>
      <c r="AE15" s="31">
        <f t="shared" si="7"/>
        <v>86</v>
      </c>
      <c r="AF15" s="31">
        <f t="shared" si="7"/>
        <v>229</v>
      </c>
    </row>
    <row r="16" spans="2:32" ht="23.1" customHeight="1" x14ac:dyDescent="0.25">
      <c r="B16" s="23" t="s">
        <v>43</v>
      </c>
      <c r="C16" s="50">
        <v>8</v>
      </c>
      <c r="D16" s="50">
        <v>2</v>
      </c>
      <c r="E16" s="50">
        <v>0</v>
      </c>
      <c r="F16" s="50">
        <v>7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1</v>
      </c>
      <c r="M16" s="50">
        <v>51</v>
      </c>
      <c r="N16" s="50">
        <v>0</v>
      </c>
      <c r="O16" s="15">
        <f t="shared" si="0"/>
        <v>20</v>
      </c>
      <c r="P16" s="15">
        <f t="shared" si="1"/>
        <v>71</v>
      </c>
      <c r="R16" s="1" t="s">
        <v>12</v>
      </c>
      <c r="S16" s="17">
        <f t="shared" ref="S16:AF16" si="8">SUM(C34:C37)</f>
        <v>19</v>
      </c>
      <c r="T16" s="17">
        <f t="shared" si="8"/>
        <v>3</v>
      </c>
      <c r="U16" s="17">
        <f t="shared" si="8"/>
        <v>1</v>
      </c>
      <c r="V16" s="17">
        <f t="shared" si="8"/>
        <v>36</v>
      </c>
      <c r="W16" s="17">
        <f t="shared" si="8"/>
        <v>0</v>
      </c>
      <c r="X16" s="17">
        <f t="shared" si="8"/>
        <v>4</v>
      </c>
      <c r="Y16" s="17">
        <f t="shared" si="8"/>
        <v>5</v>
      </c>
      <c r="Z16" s="17">
        <f t="shared" si="8"/>
        <v>7</v>
      </c>
      <c r="AA16" s="17">
        <f t="shared" si="8"/>
        <v>2</v>
      </c>
      <c r="AB16" s="17">
        <f t="shared" si="8"/>
        <v>0</v>
      </c>
      <c r="AC16" s="17">
        <f t="shared" si="8"/>
        <v>158</v>
      </c>
      <c r="AD16" s="17">
        <f t="shared" si="8"/>
        <v>0</v>
      </c>
      <c r="AE16" s="31">
        <f t="shared" si="8"/>
        <v>77</v>
      </c>
      <c r="AF16" s="31">
        <f t="shared" si="8"/>
        <v>235</v>
      </c>
    </row>
    <row r="17" spans="2:32" ht="23.1" customHeight="1" x14ac:dyDescent="0.25">
      <c r="B17" s="23" t="s">
        <v>44</v>
      </c>
      <c r="C17" s="50">
        <v>5</v>
      </c>
      <c r="D17" s="50">
        <v>0</v>
      </c>
      <c r="E17" s="50">
        <v>1</v>
      </c>
      <c r="F17" s="50">
        <v>6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50</v>
      </c>
      <c r="N17" s="50">
        <v>0</v>
      </c>
      <c r="O17" s="15">
        <f t="shared" si="0"/>
        <v>14</v>
      </c>
      <c r="P17" s="15">
        <f t="shared" si="1"/>
        <v>64</v>
      </c>
      <c r="R17" s="1" t="s">
        <v>13</v>
      </c>
      <c r="S17" s="17">
        <f t="shared" ref="S17:AF17" si="9">SUM(C38:C41)</f>
        <v>19</v>
      </c>
      <c r="T17" s="17">
        <f t="shared" si="9"/>
        <v>11</v>
      </c>
      <c r="U17" s="17">
        <f t="shared" si="9"/>
        <v>6</v>
      </c>
      <c r="V17" s="17">
        <f t="shared" si="9"/>
        <v>27</v>
      </c>
      <c r="W17" s="17">
        <f t="shared" si="9"/>
        <v>0</v>
      </c>
      <c r="X17" s="17">
        <f t="shared" si="9"/>
        <v>1</v>
      </c>
      <c r="Y17" s="17">
        <f t="shared" si="9"/>
        <v>9</v>
      </c>
      <c r="Z17" s="17">
        <f t="shared" si="9"/>
        <v>7</v>
      </c>
      <c r="AA17" s="17">
        <f t="shared" si="9"/>
        <v>3</v>
      </c>
      <c r="AB17" s="17">
        <f t="shared" si="9"/>
        <v>3</v>
      </c>
      <c r="AC17" s="17">
        <f t="shared" si="9"/>
        <v>181</v>
      </c>
      <c r="AD17" s="17">
        <f t="shared" si="9"/>
        <v>0</v>
      </c>
      <c r="AE17" s="31">
        <f t="shared" si="9"/>
        <v>86</v>
      </c>
      <c r="AF17" s="31">
        <f t="shared" si="9"/>
        <v>267</v>
      </c>
    </row>
    <row r="18" spans="2:32" ht="23.1" customHeight="1" x14ac:dyDescent="0.25">
      <c r="B18" s="23" t="s">
        <v>45</v>
      </c>
      <c r="C18" s="50">
        <v>7</v>
      </c>
      <c r="D18" s="50">
        <v>5</v>
      </c>
      <c r="E18" s="50">
        <v>1</v>
      </c>
      <c r="F18" s="50">
        <v>4</v>
      </c>
      <c r="G18" s="50">
        <v>0</v>
      </c>
      <c r="H18" s="50">
        <v>0</v>
      </c>
      <c r="I18" s="50">
        <v>3</v>
      </c>
      <c r="J18" s="50">
        <v>1</v>
      </c>
      <c r="K18" s="50">
        <v>0</v>
      </c>
      <c r="L18" s="50">
        <v>0</v>
      </c>
      <c r="M18" s="50">
        <v>40</v>
      </c>
      <c r="N18" s="50">
        <v>0</v>
      </c>
      <c r="O18" s="15">
        <f t="shared" si="0"/>
        <v>21</v>
      </c>
      <c r="P18" s="15">
        <f t="shared" si="1"/>
        <v>61</v>
      </c>
      <c r="R18" s="1" t="s">
        <v>14</v>
      </c>
      <c r="S18" s="17">
        <f t="shared" ref="S18:AF18" si="10">SUM(C42:C45)</f>
        <v>28</v>
      </c>
      <c r="T18" s="17">
        <f t="shared" si="10"/>
        <v>11</v>
      </c>
      <c r="U18" s="17">
        <f t="shared" si="10"/>
        <v>5</v>
      </c>
      <c r="V18" s="17">
        <f t="shared" si="10"/>
        <v>22</v>
      </c>
      <c r="W18" s="17">
        <f t="shared" si="10"/>
        <v>0</v>
      </c>
      <c r="X18" s="17">
        <f t="shared" si="10"/>
        <v>2</v>
      </c>
      <c r="Y18" s="17">
        <f t="shared" si="10"/>
        <v>9</v>
      </c>
      <c r="Z18" s="17">
        <f t="shared" si="10"/>
        <v>6</v>
      </c>
      <c r="AA18" s="17">
        <f t="shared" si="10"/>
        <v>1</v>
      </c>
      <c r="AB18" s="17">
        <f t="shared" si="10"/>
        <v>6</v>
      </c>
      <c r="AC18" s="17">
        <f t="shared" si="10"/>
        <v>187</v>
      </c>
      <c r="AD18" s="17">
        <f t="shared" si="10"/>
        <v>0</v>
      </c>
      <c r="AE18" s="31">
        <f t="shared" si="10"/>
        <v>90</v>
      </c>
      <c r="AF18" s="31">
        <f t="shared" si="10"/>
        <v>277</v>
      </c>
    </row>
    <row r="19" spans="2:32" ht="23.1" customHeight="1" x14ac:dyDescent="0.25">
      <c r="B19" s="23" t="s">
        <v>46</v>
      </c>
      <c r="C19" s="50">
        <v>4</v>
      </c>
      <c r="D19" s="50">
        <v>3</v>
      </c>
      <c r="E19" s="50">
        <v>0</v>
      </c>
      <c r="F19" s="50">
        <v>10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43</v>
      </c>
      <c r="N19" s="50">
        <v>0</v>
      </c>
      <c r="O19" s="15">
        <f t="shared" si="0"/>
        <v>20</v>
      </c>
      <c r="P19" s="15">
        <f t="shared" si="1"/>
        <v>63</v>
      </c>
      <c r="R19" s="1" t="s">
        <v>15</v>
      </c>
      <c r="S19" s="17">
        <f t="shared" ref="S19:AF19" si="11">SUM(C46:C49)</f>
        <v>28</v>
      </c>
      <c r="T19" s="17">
        <f t="shared" si="11"/>
        <v>25</v>
      </c>
      <c r="U19" s="17">
        <f t="shared" si="11"/>
        <v>7</v>
      </c>
      <c r="V19" s="17">
        <f t="shared" si="11"/>
        <v>41</v>
      </c>
      <c r="W19" s="17">
        <f t="shared" si="11"/>
        <v>0</v>
      </c>
      <c r="X19" s="17">
        <f t="shared" si="11"/>
        <v>2</v>
      </c>
      <c r="Y19" s="17">
        <f t="shared" si="11"/>
        <v>13</v>
      </c>
      <c r="Z19" s="17">
        <f t="shared" si="11"/>
        <v>6</v>
      </c>
      <c r="AA19" s="17">
        <f t="shared" si="11"/>
        <v>1</v>
      </c>
      <c r="AB19" s="17">
        <f t="shared" si="11"/>
        <v>1</v>
      </c>
      <c r="AC19" s="17">
        <f t="shared" si="11"/>
        <v>196</v>
      </c>
      <c r="AD19" s="17">
        <f t="shared" si="11"/>
        <v>0</v>
      </c>
      <c r="AE19" s="31">
        <f t="shared" si="11"/>
        <v>124</v>
      </c>
      <c r="AF19" s="31">
        <f t="shared" si="11"/>
        <v>320</v>
      </c>
    </row>
    <row r="20" spans="2:32" ht="23.1" customHeight="1" x14ac:dyDescent="0.25">
      <c r="B20" s="23" t="s">
        <v>47</v>
      </c>
      <c r="C20" s="50">
        <v>4</v>
      </c>
      <c r="D20" s="50">
        <v>1</v>
      </c>
      <c r="E20" s="50">
        <v>0</v>
      </c>
      <c r="F20" s="50">
        <v>4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31</v>
      </c>
      <c r="N20" s="50">
        <v>0</v>
      </c>
      <c r="O20" s="15">
        <f t="shared" si="0"/>
        <v>11</v>
      </c>
      <c r="P20" s="15">
        <f t="shared" si="1"/>
        <v>42</v>
      </c>
      <c r="R20" s="1" t="s">
        <v>16</v>
      </c>
      <c r="S20" s="17">
        <f t="shared" ref="S20:AF20" si="12">SUM(C50:C53)</f>
        <v>48</v>
      </c>
      <c r="T20" s="17">
        <f t="shared" si="12"/>
        <v>17</v>
      </c>
      <c r="U20" s="17">
        <f t="shared" si="12"/>
        <v>5</v>
      </c>
      <c r="V20" s="17">
        <f t="shared" si="12"/>
        <v>30</v>
      </c>
      <c r="W20" s="17">
        <f t="shared" si="12"/>
        <v>2</v>
      </c>
      <c r="X20" s="17">
        <f t="shared" si="12"/>
        <v>0</v>
      </c>
      <c r="Y20" s="17">
        <f t="shared" si="12"/>
        <v>9</v>
      </c>
      <c r="Z20" s="17">
        <f t="shared" si="12"/>
        <v>5</v>
      </c>
      <c r="AA20" s="17">
        <f t="shared" si="12"/>
        <v>4</v>
      </c>
      <c r="AB20" s="17">
        <f t="shared" si="12"/>
        <v>3</v>
      </c>
      <c r="AC20" s="17">
        <f t="shared" si="12"/>
        <v>230</v>
      </c>
      <c r="AD20" s="17">
        <f t="shared" si="12"/>
        <v>0</v>
      </c>
      <c r="AE20" s="31">
        <f t="shared" si="12"/>
        <v>123</v>
      </c>
      <c r="AF20" s="31">
        <f t="shared" si="12"/>
        <v>353</v>
      </c>
    </row>
    <row r="21" spans="2:32" ht="23.1" customHeight="1" x14ac:dyDescent="0.25">
      <c r="B21" s="23" t="s">
        <v>48</v>
      </c>
      <c r="C21" s="50">
        <v>13</v>
      </c>
      <c r="D21" s="50">
        <v>5</v>
      </c>
      <c r="E21" s="50">
        <v>1</v>
      </c>
      <c r="F21" s="50">
        <v>8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40</v>
      </c>
      <c r="N21" s="50">
        <v>0</v>
      </c>
      <c r="O21" s="15">
        <f t="shared" si="0"/>
        <v>27</v>
      </c>
      <c r="P21" s="15">
        <f t="shared" si="1"/>
        <v>67</v>
      </c>
      <c r="R21" s="36" t="s">
        <v>20</v>
      </c>
      <c r="S21" s="34">
        <f t="shared" ref="S21:AF21" si="13">SUM(C54:C57)</f>
        <v>28</v>
      </c>
      <c r="T21" s="17">
        <f t="shared" si="13"/>
        <v>11</v>
      </c>
      <c r="U21" s="17">
        <f t="shared" si="13"/>
        <v>11</v>
      </c>
      <c r="V21" s="17">
        <f t="shared" si="13"/>
        <v>25</v>
      </c>
      <c r="W21" s="17">
        <f t="shared" si="13"/>
        <v>3</v>
      </c>
      <c r="X21" s="17">
        <f t="shared" si="13"/>
        <v>3</v>
      </c>
      <c r="Y21" s="17">
        <f t="shared" si="13"/>
        <v>10</v>
      </c>
      <c r="Z21" s="17">
        <f t="shared" si="13"/>
        <v>6</v>
      </c>
      <c r="AA21" s="17">
        <f t="shared" si="13"/>
        <v>1</v>
      </c>
      <c r="AB21" s="17">
        <f t="shared" si="13"/>
        <v>3</v>
      </c>
      <c r="AC21" s="17">
        <f t="shared" si="13"/>
        <v>219</v>
      </c>
      <c r="AD21" s="17">
        <f t="shared" si="13"/>
        <v>0</v>
      </c>
      <c r="AE21" s="31">
        <f t="shared" si="13"/>
        <v>101</v>
      </c>
      <c r="AF21" s="31">
        <f t="shared" si="13"/>
        <v>320</v>
      </c>
    </row>
    <row r="22" spans="2:32" ht="23.1" customHeight="1" x14ac:dyDescent="0.25">
      <c r="B22" s="23" t="s">
        <v>49</v>
      </c>
      <c r="C22" s="50">
        <v>7</v>
      </c>
      <c r="D22" s="50">
        <v>3</v>
      </c>
      <c r="E22" s="50">
        <v>0</v>
      </c>
      <c r="F22" s="50">
        <v>11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48</v>
      </c>
      <c r="N22" s="50">
        <v>0</v>
      </c>
      <c r="O22" s="15">
        <f t="shared" si="0"/>
        <v>23</v>
      </c>
      <c r="P22" s="15">
        <f t="shared" si="1"/>
        <v>71</v>
      </c>
      <c r="R22" s="38" t="s">
        <v>90</v>
      </c>
      <c r="S22" s="39">
        <f>MAX(S10:S12)</f>
        <v>28</v>
      </c>
      <c r="T22" s="39">
        <f t="shared" ref="T22:AF22" si="14">MAX(T10:T12)</f>
        <v>14</v>
      </c>
      <c r="U22" s="39">
        <f t="shared" si="14"/>
        <v>4</v>
      </c>
      <c r="V22" s="39">
        <f t="shared" si="14"/>
        <v>34</v>
      </c>
      <c r="W22" s="39">
        <f t="shared" si="14"/>
        <v>1</v>
      </c>
      <c r="X22" s="39">
        <f t="shared" si="14"/>
        <v>0</v>
      </c>
      <c r="Y22" s="39">
        <f t="shared" si="14"/>
        <v>5</v>
      </c>
      <c r="Z22" s="39">
        <f t="shared" si="14"/>
        <v>4</v>
      </c>
      <c r="AA22" s="39">
        <f t="shared" si="14"/>
        <v>1</v>
      </c>
      <c r="AB22" s="39">
        <f t="shared" si="14"/>
        <v>4</v>
      </c>
      <c r="AC22" s="39">
        <f t="shared" si="14"/>
        <v>222</v>
      </c>
      <c r="AD22" s="39">
        <f t="shared" si="14"/>
        <v>0</v>
      </c>
      <c r="AE22" s="40">
        <f t="shared" si="14"/>
        <v>86</v>
      </c>
      <c r="AF22" s="40">
        <f t="shared" si="14"/>
        <v>294</v>
      </c>
    </row>
    <row r="23" spans="2:32" ht="23.1" customHeight="1" x14ac:dyDescent="0.25">
      <c r="B23" s="23" t="s">
        <v>50</v>
      </c>
      <c r="C23" s="50">
        <v>6</v>
      </c>
      <c r="D23" s="50">
        <v>5</v>
      </c>
      <c r="E23" s="50">
        <v>2</v>
      </c>
      <c r="F23" s="50">
        <v>9</v>
      </c>
      <c r="G23" s="50">
        <v>0</v>
      </c>
      <c r="H23" s="50">
        <v>1</v>
      </c>
      <c r="I23" s="50">
        <v>2</v>
      </c>
      <c r="J23" s="50">
        <v>0</v>
      </c>
      <c r="K23" s="50">
        <v>0</v>
      </c>
      <c r="L23" s="50">
        <v>0</v>
      </c>
      <c r="M23" s="50">
        <v>27</v>
      </c>
      <c r="N23" s="50">
        <v>0</v>
      </c>
      <c r="O23" s="15">
        <f t="shared" si="0"/>
        <v>25</v>
      </c>
      <c r="P23" s="15">
        <f t="shared" si="1"/>
        <v>52</v>
      </c>
      <c r="R23" s="38" t="s">
        <v>91</v>
      </c>
      <c r="S23" s="39">
        <f>MAX(S13:S18)</f>
        <v>28</v>
      </c>
      <c r="T23" s="39">
        <f t="shared" ref="T23:AF23" si="15">MAX(T13:T18)</f>
        <v>13</v>
      </c>
      <c r="U23" s="39">
        <f t="shared" si="15"/>
        <v>6</v>
      </c>
      <c r="V23" s="39">
        <f t="shared" si="15"/>
        <v>36</v>
      </c>
      <c r="W23" s="39">
        <f t="shared" si="15"/>
        <v>2</v>
      </c>
      <c r="X23" s="39">
        <f t="shared" si="15"/>
        <v>4</v>
      </c>
      <c r="Y23" s="39">
        <f t="shared" si="15"/>
        <v>9</v>
      </c>
      <c r="Z23" s="39">
        <f t="shared" si="15"/>
        <v>7</v>
      </c>
      <c r="AA23" s="39">
        <f t="shared" si="15"/>
        <v>3</v>
      </c>
      <c r="AB23" s="39">
        <f t="shared" si="15"/>
        <v>7</v>
      </c>
      <c r="AC23" s="39">
        <f t="shared" si="15"/>
        <v>187</v>
      </c>
      <c r="AD23" s="39">
        <f t="shared" si="15"/>
        <v>0</v>
      </c>
      <c r="AE23" s="40">
        <f t="shared" si="15"/>
        <v>92</v>
      </c>
      <c r="AF23" s="40">
        <f t="shared" si="15"/>
        <v>277</v>
      </c>
    </row>
    <row r="24" spans="2:32" ht="23.1" customHeight="1" x14ac:dyDescent="0.25">
      <c r="B24" s="23" t="s">
        <v>51</v>
      </c>
      <c r="C24" s="50">
        <v>8</v>
      </c>
      <c r="D24" s="50">
        <v>3</v>
      </c>
      <c r="E24" s="50">
        <v>1</v>
      </c>
      <c r="F24" s="50">
        <v>8</v>
      </c>
      <c r="G24" s="50">
        <v>1</v>
      </c>
      <c r="H24" s="50">
        <v>0</v>
      </c>
      <c r="I24" s="50">
        <v>5</v>
      </c>
      <c r="J24" s="50">
        <v>1</v>
      </c>
      <c r="K24" s="50">
        <v>1</v>
      </c>
      <c r="L24" s="50">
        <v>1</v>
      </c>
      <c r="M24" s="50">
        <v>33</v>
      </c>
      <c r="N24" s="50">
        <v>0</v>
      </c>
      <c r="O24" s="15">
        <f t="shared" si="0"/>
        <v>29</v>
      </c>
      <c r="P24" s="15">
        <f t="shared" si="1"/>
        <v>62</v>
      </c>
      <c r="R24" s="38" t="s">
        <v>92</v>
      </c>
      <c r="S24" s="39">
        <f>MAX(S19:S21)</f>
        <v>48</v>
      </c>
      <c r="T24" s="39">
        <f t="shared" ref="T24:AF24" si="16">MAX(T19:T21)</f>
        <v>25</v>
      </c>
      <c r="U24" s="39">
        <f t="shared" si="16"/>
        <v>11</v>
      </c>
      <c r="V24" s="39">
        <f t="shared" si="16"/>
        <v>41</v>
      </c>
      <c r="W24" s="39">
        <f t="shared" si="16"/>
        <v>3</v>
      </c>
      <c r="X24" s="39">
        <f t="shared" si="16"/>
        <v>3</v>
      </c>
      <c r="Y24" s="39">
        <f t="shared" si="16"/>
        <v>13</v>
      </c>
      <c r="Z24" s="39">
        <f t="shared" si="16"/>
        <v>6</v>
      </c>
      <c r="AA24" s="39">
        <f t="shared" si="16"/>
        <v>4</v>
      </c>
      <c r="AB24" s="39">
        <f t="shared" si="16"/>
        <v>3</v>
      </c>
      <c r="AC24" s="39">
        <f t="shared" si="16"/>
        <v>230</v>
      </c>
      <c r="AD24" s="39">
        <f t="shared" si="16"/>
        <v>0</v>
      </c>
      <c r="AE24" s="40">
        <f t="shared" si="16"/>
        <v>124</v>
      </c>
      <c r="AF24" s="40">
        <f t="shared" si="16"/>
        <v>353</v>
      </c>
    </row>
    <row r="25" spans="2:32" ht="23.1" customHeight="1" x14ac:dyDescent="0.25">
      <c r="B25" s="23" t="s">
        <v>52</v>
      </c>
      <c r="C25" s="50">
        <v>6</v>
      </c>
      <c r="D25" s="50">
        <v>2</v>
      </c>
      <c r="E25" s="50">
        <v>0</v>
      </c>
      <c r="F25" s="50">
        <v>5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0</v>
      </c>
      <c r="M25" s="50">
        <v>39</v>
      </c>
      <c r="N25" s="50">
        <v>0</v>
      </c>
      <c r="O25" s="15">
        <f t="shared" si="0"/>
        <v>15</v>
      </c>
      <c r="P25" s="15">
        <f t="shared" si="1"/>
        <v>54</v>
      </c>
      <c r="R25" s="37" t="s">
        <v>85</v>
      </c>
      <c r="S25" s="35">
        <f t="shared" ref="S25:AF25" si="17">SUM(S10:S12)</f>
        <v>81</v>
      </c>
      <c r="T25" s="16">
        <f t="shared" si="17"/>
        <v>31</v>
      </c>
      <c r="U25" s="16">
        <f t="shared" si="17"/>
        <v>7</v>
      </c>
      <c r="V25" s="16">
        <f t="shared" si="17"/>
        <v>86</v>
      </c>
      <c r="W25" s="16">
        <f t="shared" si="17"/>
        <v>1</v>
      </c>
      <c r="X25" s="16">
        <f t="shared" si="17"/>
        <v>0</v>
      </c>
      <c r="Y25" s="16">
        <f t="shared" si="17"/>
        <v>13</v>
      </c>
      <c r="Z25" s="16">
        <f t="shared" si="17"/>
        <v>10</v>
      </c>
      <c r="AA25" s="16">
        <f t="shared" si="17"/>
        <v>1</v>
      </c>
      <c r="AB25" s="16">
        <f t="shared" si="17"/>
        <v>7</v>
      </c>
      <c r="AC25" s="16">
        <f t="shared" si="17"/>
        <v>575</v>
      </c>
      <c r="AD25" s="16">
        <f t="shared" si="17"/>
        <v>0</v>
      </c>
      <c r="AE25" s="32">
        <f t="shared" si="17"/>
        <v>237</v>
      </c>
      <c r="AF25" s="32">
        <f t="shared" si="17"/>
        <v>812</v>
      </c>
    </row>
    <row r="26" spans="2:32" ht="23.1" customHeight="1" x14ac:dyDescent="0.25">
      <c r="B26" s="23" t="s">
        <v>53</v>
      </c>
      <c r="C26" s="50">
        <v>5</v>
      </c>
      <c r="D26" s="50">
        <v>4</v>
      </c>
      <c r="E26" s="50">
        <v>1</v>
      </c>
      <c r="F26" s="50">
        <v>5</v>
      </c>
      <c r="G26" s="50">
        <v>0</v>
      </c>
      <c r="H26" s="50">
        <v>0</v>
      </c>
      <c r="I26" s="50">
        <v>0</v>
      </c>
      <c r="J26" s="50">
        <v>0</v>
      </c>
      <c r="K26" s="50">
        <v>1</v>
      </c>
      <c r="L26" s="50">
        <v>0</v>
      </c>
      <c r="M26" s="50">
        <v>24</v>
      </c>
      <c r="N26" s="50">
        <v>0</v>
      </c>
      <c r="O26" s="15">
        <f t="shared" si="0"/>
        <v>16</v>
      </c>
      <c r="P26" s="15">
        <f t="shared" si="1"/>
        <v>40</v>
      </c>
      <c r="R26" s="28" t="s">
        <v>86</v>
      </c>
      <c r="S26" s="16">
        <f t="shared" ref="S26:AF26" si="18">SUM(S13:S18)</f>
        <v>138</v>
      </c>
      <c r="T26" s="16">
        <f t="shared" si="18"/>
        <v>56</v>
      </c>
      <c r="U26" s="16">
        <f t="shared" si="18"/>
        <v>21</v>
      </c>
      <c r="V26" s="16">
        <f t="shared" si="18"/>
        <v>170</v>
      </c>
      <c r="W26" s="16">
        <f t="shared" si="18"/>
        <v>3</v>
      </c>
      <c r="X26" s="16">
        <f t="shared" si="18"/>
        <v>10</v>
      </c>
      <c r="Y26" s="16">
        <f t="shared" si="18"/>
        <v>41</v>
      </c>
      <c r="Z26" s="16">
        <f t="shared" si="18"/>
        <v>29</v>
      </c>
      <c r="AA26" s="16">
        <f t="shared" si="18"/>
        <v>11</v>
      </c>
      <c r="AB26" s="16">
        <f t="shared" si="18"/>
        <v>18</v>
      </c>
      <c r="AC26" s="16">
        <f t="shared" si="18"/>
        <v>953</v>
      </c>
      <c r="AD26" s="16">
        <f t="shared" si="18"/>
        <v>0</v>
      </c>
      <c r="AE26" s="32">
        <f t="shared" si="18"/>
        <v>497</v>
      </c>
      <c r="AF26" s="32">
        <f t="shared" si="18"/>
        <v>1450</v>
      </c>
    </row>
    <row r="27" spans="2:32" ht="23.1" customHeight="1" x14ac:dyDescent="0.25">
      <c r="B27" s="23" t="s">
        <v>54</v>
      </c>
      <c r="C27" s="50">
        <v>7</v>
      </c>
      <c r="D27" s="50">
        <v>2</v>
      </c>
      <c r="E27" s="50">
        <v>0</v>
      </c>
      <c r="F27" s="50">
        <v>8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43</v>
      </c>
      <c r="N27" s="50">
        <v>0</v>
      </c>
      <c r="O27" s="15">
        <f t="shared" si="0"/>
        <v>18</v>
      </c>
      <c r="P27" s="15">
        <f t="shared" si="1"/>
        <v>61</v>
      </c>
      <c r="R27" s="29" t="s">
        <v>87</v>
      </c>
      <c r="S27" s="16">
        <f t="shared" ref="S27:AF27" si="19">SUM(S19:S21)</f>
        <v>104</v>
      </c>
      <c r="T27" s="16">
        <f t="shared" si="19"/>
        <v>53</v>
      </c>
      <c r="U27" s="16">
        <f t="shared" si="19"/>
        <v>23</v>
      </c>
      <c r="V27" s="16">
        <f t="shared" si="19"/>
        <v>96</v>
      </c>
      <c r="W27" s="16">
        <f t="shared" si="19"/>
        <v>5</v>
      </c>
      <c r="X27" s="16">
        <f t="shared" si="19"/>
        <v>5</v>
      </c>
      <c r="Y27" s="16">
        <f t="shared" si="19"/>
        <v>32</v>
      </c>
      <c r="Z27" s="16">
        <f t="shared" si="19"/>
        <v>17</v>
      </c>
      <c r="AA27" s="16">
        <f t="shared" si="19"/>
        <v>6</v>
      </c>
      <c r="AB27" s="16">
        <f t="shared" si="19"/>
        <v>7</v>
      </c>
      <c r="AC27" s="16">
        <f t="shared" si="19"/>
        <v>645</v>
      </c>
      <c r="AD27" s="16">
        <f t="shared" si="19"/>
        <v>0</v>
      </c>
      <c r="AE27" s="32">
        <f t="shared" si="19"/>
        <v>348</v>
      </c>
      <c r="AF27" s="32">
        <f t="shared" si="19"/>
        <v>993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0</v>
      </c>
      <c r="F28" s="50">
        <v>5</v>
      </c>
      <c r="G28" s="50">
        <v>0</v>
      </c>
      <c r="H28" s="50">
        <v>1</v>
      </c>
      <c r="I28" s="50">
        <v>2</v>
      </c>
      <c r="J28" s="50">
        <v>2</v>
      </c>
      <c r="K28" s="50">
        <v>0</v>
      </c>
      <c r="L28" s="50">
        <v>1</v>
      </c>
      <c r="M28" s="50">
        <v>30</v>
      </c>
      <c r="N28" s="50">
        <v>0</v>
      </c>
      <c r="O28" s="15">
        <f t="shared" si="0"/>
        <v>14</v>
      </c>
      <c r="P28" s="15">
        <f t="shared" si="1"/>
        <v>44</v>
      </c>
      <c r="R28" s="5" t="s">
        <v>17</v>
      </c>
      <c r="S28" s="16">
        <f t="shared" ref="S28:AF28" si="20">SUM(S10:S21)</f>
        <v>323</v>
      </c>
      <c r="T28" s="16">
        <f t="shared" si="20"/>
        <v>140</v>
      </c>
      <c r="U28" s="16">
        <f t="shared" si="20"/>
        <v>51</v>
      </c>
      <c r="V28" s="16">
        <f t="shared" si="20"/>
        <v>352</v>
      </c>
      <c r="W28" s="16">
        <f t="shared" si="20"/>
        <v>9</v>
      </c>
      <c r="X28" s="16">
        <f t="shared" si="20"/>
        <v>15</v>
      </c>
      <c r="Y28" s="16">
        <f t="shared" si="20"/>
        <v>86</v>
      </c>
      <c r="Z28" s="16">
        <f t="shared" si="20"/>
        <v>56</v>
      </c>
      <c r="AA28" s="16">
        <f t="shared" si="20"/>
        <v>18</v>
      </c>
      <c r="AB28" s="16">
        <f t="shared" si="20"/>
        <v>32</v>
      </c>
      <c r="AC28" s="16">
        <f t="shared" si="20"/>
        <v>2173</v>
      </c>
      <c r="AD28" s="16">
        <f t="shared" si="20"/>
        <v>0</v>
      </c>
      <c r="AE28" s="32">
        <f t="shared" si="20"/>
        <v>1082</v>
      </c>
      <c r="AF28" s="32">
        <f t="shared" si="20"/>
        <v>3255</v>
      </c>
    </row>
    <row r="29" spans="2:32" ht="23.1" customHeight="1" x14ac:dyDescent="0.25">
      <c r="B29" s="23" t="s">
        <v>56</v>
      </c>
      <c r="C29" s="50">
        <v>7</v>
      </c>
      <c r="D29" s="50">
        <v>1</v>
      </c>
      <c r="E29" s="50">
        <v>2</v>
      </c>
      <c r="F29" s="50">
        <v>6</v>
      </c>
      <c r="G29" s="50">
        <v>0</v>
      </c>
      <c r="H29" s="50">
        <v>1</v>
      </c>
      <c r="I29" s="50">
        <v>1</v>
      </c>
      <c r="J29" s="50">
        <v>0</v>
      </c>
      <c r="K29" s="50">
        <v>0</v>
      </c>
      <c r="L29" s="50">
        <v>0</v>
      </c>
      <c r="M29" s="50">
        <v>40</v>
      </c>
      <c r="N29" s="50">
        <v>0</v>
      </c>
      <c r="O29" s="15">
        <f t="shared" si="0"/>
        <v>18</v>
      </c>
      <c r="P29" s="15">
        <f t="shared" si="1"/>
        <v>58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2</v>
      </c>
      <c r="E30" s="50">
        <v>1</v>
      </c>
      <c r="F30" s="50">
        <v>6</v>
      </c>
      <c r="G30" s="50">
        <v>2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35</v>
      </c>
      <c r="N30" s="50">
        <v>0</v>
      </c>
      <c r="O30" s="15">
        <f t="shared" si="0"/>
        <v>17</v>
      </c>
      <c r="P30" s="15">
        <f t="shared" si="1"/>
        <v>52</v>
      </c>
    </row>
    <row r="31" spans="2:32" ht="23.1" customHeight="1" x14ac:dyDescent="0.25">
      <c r="B31" s="24" t="s">
        <v>58</v>
      </c>
      <c r="C31" s="50">
        <v>5</v>
      </c>
      <c r="D31" s="50">
        <v>5</v>
      </c>
      <c r="E31" s="50">
        <v>0</v>
      </c>
      <c r="F31" s="50">
        <v>6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2</v>
      </c>
      <c r="M31" s="50">
        <v>31</v>
      </c>
      <c r="N31" s="50">
        <v>0</v>
      </c>
      <c r="O31" s="15">
        <f t="shared" si="0"/>
        <v>22</v>
      </c>
      <c r="P31" s="15">
        <f t="shared" si="1"/>
        <v>53</v>
      </c>
    </row>
    <row r="32" spans="2:32" ht="23.1" customHeight="1" x14ac:dyDescent="0.25">
      <c r="B32" s="24" t="s">
        <v>59</v>
      </c>
      <c r="C32" s="50">
        <v>8</v>
      </c>
      <c r="D32" s="50">
        <v>1</v>
      </c>
      <c r="E32" s="50">
        <v>0</v>
      </c>
      <c r="F32" s="50">
        <v>5</v>
      </c>
      <c r="G32" s="50">
        <v>0</v>
      </c>
      <c r="H32" s="50">
        <v>0</v>
      </c>
      <c r="I32" s="50">
        <v>0</v>
      </c>
      <c r="J32" s="50">
        <v>0</v>
      </c>
      <c r="K32" s="50">
        <v>1</v>
      </c>
      <c r="L32" s="50">
        <v>4</v>
      </c>
      <c r="M32" s="50">
        <v>27</v>
      </c>
      <c r="N32" s="50">
        <v>0</v>
      </c>
      <c r="O32" s="15">
        <f t="shared" si="0"/>
        <v>19</v>
      </c>
      <c r="P32" s="15">
        <f t="shared" si="1"/>
        <v>46</v>
      </c>
    </row>
    <row r="33" spans="2:20" ht="23.1" customHeight="1" x14ac:dyDescent="0.25">
      <c r="B33" s="23" t="s">
        <v>60</v>
      </c>
      <c r="C33" s="50">
        <v>6</v>
      </c>
      <c r="D33" s="50">
        <v>3</v>
      </c>
      <c r="E33" s="50">
        <v>2</v>
      </c>
      <c r="F33" s="50">
        <v>11</v>
      </c>
      <c r="G33" s="50">
        <v>0</v>
      </c>
      <c r="H33" s="50">
        <v>0</v>
      </c>
      <c r="I33" s="50">
        <v>2</v>
      </c>
      <c r="J33" s="50">
        <v>2</v>
      </c>
      <c r="K33" s="50">
        <v>1</v>
      </c>
      <c r="L33" s="50">
        <v>1</v>
      </c>
      <c r="M33" s="50">
        <v>50</v>
      </c>
      <c r="N33" s="50">
        <v>0</v>
      </c>
      <c r="O33" s="15">
        <f t="shared" si="0"/>
        <v>28</v>
      </c>
      <c r="P33" s="15">
        <f t="shared" si="1"/>
        <v>78</v>
      </c>
    </row>
    <row r="34" spans="2:20" ht="23.1" customHeight="1" x14ac:dyDescent="0.25">
      <c r="B34" s="24" t="s">
        <v>61</v>
      </c>
      <c r="C34" s="50">
        <v>5</v>
      </c>
      <c r="D34" s="50">
        <v>0</v>
      </c>
      <c r="E34" s="50">
        <v>0</v>
      </c>
      <c r="F34" s="50">
        <v>12</v>
      </c>
      <c r="G34" s="50">
        <v>0</v>
      </c>
      <c r="H34" s="50">
        <v>1</v>
      </c>
      <c r="I34" s="50">
        <v>0</v>
      </c>
      <c r="J34" s="50">
        <v>0</v>
      </c>
      <c r="K34" s="50">
        <v>1</v>
      </c>
      <c r="L34" s="50">
        <v>0</v>
      </c>
      <c r="M34" s="50">
        <v>42</v>
      </c>
      <c r="N34" s="50">
        <v>0</v>
      </c>
      <c r="O34" s="15">
        <f t="shared" si="0"/>
        <v>19</v>
      </c>
      <c r="P34" s="15">
        <f t="shared" si="1"/>
        <v>61</v>
      </c>
    </row>
    <row r="35" spans="2:20" ht="23.1" customHeight="1" x14ac:dyDescent="0.25">
      <c r="B35" s="24" t="s">
        <v>62</v>
      </c>
      <c r="C35" s="50">
        <v>6</v>
      </c>
      <c r="D35" s="50">
        <v>2</v>
      </c>
      <c r="E35" s="50">
        <v>0</v>
      </c>
      <c r="F35" s="50">
        <v>7</v>
      </c>
      <c r="G35" s="50">
        <v>0</v>
      </c>
      <c r="H35" s="50">
        <v>0</v>
      </c>
      <c r="I35" s="50">
        <v>2</v>
      </c>
      <c r="J35" s="50">
        <v>4</v>
      </c>
      <c r="K35" s="50">
        <v>0</v>
      </c>
      <c r="L35" s="50">
        <v>0</v>
      </c>
      <c r="M35" s="50">
        <v>45</v>
      </c>
      <c r="N35" s="50">
        <v>0</v>
      </c>
      <c r="O35" s="15">
        <f t="shared" si="0"/>
        <v>21</v>
      </c>
      <c r="P35" s="15">
        <f t="shared" si="1"/>
        <v>66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0</v>
      </c>
      <c r="F36" s="50">
        <v>11</v>
      </c>
      <c r="G36" s="50">
        <v>0</v>
      </c>
      <c r="H36" s="50">
        <v>2</v>
      </c>
      <c r="I36" s="50">
        <v>2</v>
      </c>
      <c r="J36" s="50">
        <v>1</v>
      </c>
      <c r="K36" s="50">
        <v>1</v>
      </c>
      <c r="L36" s="50">
        <v>0</v>
      </c>
      <c r="M36" s="50">
        <v>41</v>
      </c>
      <c r="N36" s="50">
        <v>0</v>
      </c>
      <c r="O36" s="15">
        <f t="shared" si="0"/>
        <v>20</v>
      </c>
      <c r="P36" s="15">
        <f t="shared" si="1"/>
        <v>61</v>
      </c>
    </row>
    <row r="37" spans="2:20" ht="23.1" customHeight="1" x14ac:dyDescent="0.25">
      <c r="B37" s="23" t="s">
        <v>64</v>
      </c>
      <c r="C37" s="50">
        <v>6</v>
      </c>
      <c r="D37" s="50">
        <v>0</v>
      </c>
      <c r="E37" s="50">
        <v>1</v>
      </c>
      <c r="F37" s="50">
        <v>6</v>
      </c>
      <c r="G37" s="50">
        <v>0</v>
      </c>
      <c r="H37" s="50">
        <v>1</v>
      </c>
      <c r="I37" s="50">
        <v>1</v>
      </c>
      <c r="J37" s="50">
        <v>2</v>
      </c>
      <c r="K37" s="50">
        <v>0</v>
      </c>
      <c r="L37" s="50">
        <v>0</v>
      </c>
      <c r="M37" s="50">
        <v>30</v>
      </c>
      <c r="N37" s="50">
        <v>0</v>
      </c>
      <c r="O37" s="15">
        <f t="shared" si="0"/>
        <v>17</v>
      </c>
      <c r="P37" s="15">
        <f t="shared" si="1"/>
        <v>47</v>
      </c>
    </row>
    <row r="38" spans="2:20" ht="23.1" customHeight="1" x14ac:dyDescent="0.25">
      <c r="B38" s="24" t="s">
        <v>65</v>
      </c>
      <c r="C38" s="50">
        <v>8</v>
      </c>
      <c r="D38" s="50">
        <v>1</v>
      </c>
      <c r="E38" s="50">
        <v>1</v>
      </c>
      <c r="F38" s="50">
        <v>2</v>
      </c>
      <c r="G38" s="50">
        <v>0</v>
      </c>
      <c r="H38" s="50">
        <v>0</v>
      </c>
      <c r="I38" s="50">
        <v>1</v>
      </c>
      <c r="J38" s="50">
        <v>3</v>
      </c>
      <c r="K38" s="50">
        <v>0</v>
      </c>
      <c r="L38" s="50">
        <v>0</v>
      </c>
      <c r="M38" s="50">
        <v>36</v>
      </c>
      <c r="N38" s="50">
        <v>0</v>
      </c>
      <c r="O38" s="15">
        <f t="shared" si="0"/>
        <v>16</v>
      </c>
      <c r="P38" s="15">
        <f t="shared" si="1"/>
        <v>52</v>
      </c>
    </row>
    <row r="39" spans="2:20" ht="23.1" customHeight="1" x14ac:dyDescent="0.25">
      <c r="B39" s="24" t="s">
        <v>66</v>
      </c>
      <c r="C39" s="50">
        <v>2</v>
      </c>
      <c r="D39" s="50">
        <v>7</v>
      </c>
      <c r="E39" s="50">
        <v>3</v>
      </c>
      <c r="F39" s="50">
        <v>9</v>
      </c>
      <c r="G39" s="50">
        <v>0</v>
      </c>
      <c r="H39" s="50">
        <v>0</v>
      </c>
      <c r="I39" s="50">
        <v>1</v>
      </c>
      <c r="J39" s="50">
        <v>2</v>
      </c>
      <c r="K39" s="50">
        <v>1</v>
      </c>
      <c r="L39" s="50">
        <v>0</v>
      </c>
      <c r="M39" s="50">
        <v>46</v>
      </c>
      <c r="N39" s="50">
        <v>0</v>
      </c>
      <c r="O39" s="15">
        <f t="shared" si="0"/>
        <v>25</v>
      </c>
      <c r="P39" s="15">
        <f t="shared" si="1"/>
        <v>71</v>
      </c>
    </row>
    <row r="40" spans="2:20" ht="23.1" customHeight="1" x14ac:dyDescent="0.25">
      <c r="B40" s="24" t="s">
        <v>67</v>
      </c>
      <c r="C40" s="50">
        <v>6</v>
      </c>
      <c r="D40" s="50">
        <v>2</v>
      </c>
      <c r="E40" s="50">
        <v>1</v>
      </c>
      <c r="F40" s="50">
        <v>6</v>
      </c>
      <c r="G40" s="50">
        <v>0</v>
      </c>
      <c r="H40" s="50">
        <v>1</v>
      </c>
      <c r="I40" s="50">
        <v>3</v>
      </c>
      <c r="J40" s="50">
        <v>1</v>
      </c>
      <c r="K40" s="50">
        <v>1</v>
      </c>
      <c r="L40" s="50">
        <v>3</v>
      </c>
      <c r="M40" s="50">
        <v>44</v>
      </c>
      <c r="N40" s="50">
        <v>0</v>
      </c>
      <c r="O40" s="15">
        <f t="shared" si="0"/>
        <v>24</v>
      </c>
      <c r="P40" s="15">
        <f t="shared" si="1"/>
        <v>68</v>
      </c>
    </row>
    <row r="41" spans="2:20" ht="23.1" customHeight="1" x14ac:dyDescent="0.25">
      <c r="B41" s="23" t="s">
        <v>68</v>
      </c>
      <c r="C41" s="50">
        <v>3</v>
      </c>
      <c r="D41" s="50">
        <v>1</v>
      </c>
      <c r="E41" s="50">
        <v>1</v>
      </c>
      <c r="F41" s="50">
        <v>10</v>
      </c>
      <c r="G41" s="50">
        <v>0</v>
      </c>
      <c r="H41" s="50">
        <v>0</v>
      </c>
      <c r="I41" s="50">
        <v>4</v>
      </c>
      <c r="J41" s="50">
        <v>1</v>
      </c>
      <c r="K41" s="50">
        <v>1</v>
      </c>
      <c r="L41" s="50">
        <v>0</v>
      </c>
      <c r="M41" s="50">
        <v>55</v>
      </c>
      <c r="N41" s="50">
        <v>0</v>
      </c>
      <c r="O41" s="15">
        <f t="shared" si="0"/>
        <v>21</v>
      </c>
      <c r="P41" s="15">
        <f t="shared" si="1"/>
        <v>76</v>
      </c>
    </row>
    <row r="42" spans="2:20" ht="23.1" customHeight="1" x14ac:dyDescent="0.25">
      <c r="B42" s="24" t="s">
        <v>69</v>
      </c>
      <c r="C42" s="50">
        <v>6</v>
      </c>
      <c r="D42" s="50">
        <v>1</v>
      </c>
      <c r="E42" s="50">
        <v>1</v>
      </c>
      <c r="F42" s="50">
        <v>4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2</v>
      </c>
      <c r="M42" s="50">
        <v>52</v>
      </c>
      <c r="N42" s="50">
        <v>0</v>
      </c>
      <c r="O42" s="15">
        <f t="shared" si="0"/>
        <v>15</v>
      </c>
      <c r="P42" s="15">
        <f t="shared" si="1"/>
        <v>67</v>
      </c>
    </row>
    <row r="43" spans="2:20" ht="23.1" customHeight="1" x14ac:dyDescent="0.25">
      <c r="B43" s="23" t="s">
        <v>70</v>
      </c>
      <c r="C43" s="50">
        <v>5</v>
      </c>
      <c r="D43" s="50">
        <v>5</v>
      </c>
      <c r="E43" s="50">
        <v>0</v>
      </c>
      <c r="F43" s="50">
        <v>6</v>
      </c>
      <c r="G43" s="50">
        <v>0</v>
      </c>
      <c r="H43" s="50">
        <v>2</v>
      </c>
      <c r="I43" s="50">
        <v>2</v>
      </c>
      <c r="J43" s="50">
        <v>3</v>
      </c>
      <c r="K43" s="50">
        <v>0</v>
      </c>
      <c r="L43" s="50">
        <v>0</v>
      </c>
      <c r="M43" s="50">
        <v>50</v>
      </c>
      <c r="N43" s="50">
        <v>0</v>
      </c>
      <c r="O43" s="15">
        <f t="shared" si="0"/>
        <v>23</v>
      </c>
      <c r="P43" s="15">
        <f t="shared" si="1"/>
        <v>73</v>
      </c>
    </row>
    <row r="44" spans="2:20" ht="23.1" customHeight="1" x14ac:dyDescent="0.25">
      <c r="B44" s="25" t="s">
        <v>71</v>
      </c>
      <c r="C44" s="50">
        <v>5</v>
      </c>
      <c r="D44" s="50">
        <v>1</v>
      </c>
      <c r="E44" s="50">
        <v>2</v>
      </c>
      <c r="F44" s="50">
        <v>7</v>
      </c>
      <c r="G44" s="50">
        <v>0</v>
      </c>
      <c r="H44" s="50">
        <v>0</v>
      </c>
      <c r="I44" s="50">
        <v>4</v>
      </c>
      <c r="J44" s="50">
        <v>1</v>
      </c>
      <c r="K44" s="50">
        <v>1</v>
      </c>
      <c r="L44" s="50">
        <v>3</v>
      </c>
      <c r="M44" s="50">
        <v>47</v>
      </c>
      <c r="N44" s="50">
        <v>0</v>
      </c>
      <c r="O44" s="15">
        <f t="shared" si="0"/>
        <v>24</v>
      </c>
      <c r="P44" s="15">
        <f t="shared" si="1"/>
        <v>71</v>
      </c>
    </row>
    <row r="45" spans="2:20" ht="23.1" customHeight="1" x14ac:dyDescent="0.25">
      <c r="B45" s="23" t="s">
        <v>72</v>
      </c>
      <c r="C45" s="50">
        <v>12</v>
      </c>
      <c r="D45" s="50">
        <v>4</v>
      </c>
      <c r="E45" s="50">
        <v>2</v>
      </c>
      <c r="F45" s="50">
        <v>5</v>
      </c>
      <c r="G45" s="50">
        <v>0</v>
      </c>
      <c r="H45" s="50">
        <v>0</v>
      </c>
      <c r="I45" s="50">
        <v>2</v>
      </c>
      <c r="J45" s="50">
        <v>2</v>
      </c>
      <c r="K45" s="50">
        <v>0</v>
      </c>
      <c r="L45" s="50">
        <v>1</v>
      </c>
      <c r="M45" s="50">
        <v>38</v>
      </c>
      <c r="N45" s="50">
        <v>0</v>
      </c>
      <c r="O45" s="15">
        <f t="shared" si="0"/>
        <v>28</v>
      </c>
      <c r="P45" s="15">
        <f t="shared" si="1"/>
        <v>66</v>
      </c>
    </row>
    <row r="46" spans="2:20" ht="23.1" customHeight="1" x14ac:dyDescent="0.25">
      <c r="B46" s="24" t="s">
        <v>73</v>
      </c>
      <c r="C46" s="50">
        <v>8</v>
      </c>
      <c r="D46" s="50">
        <v>7</v>
      </c>
      <c r="E46" s="50">
        <v>0</v>
      </c>
      <c r="F46" s="50">
        <v>8</v>
      </c>
      <c r="G46" s="50">
        <v>0</v>
      </c>
      <c r="H46" s="50">
        <v>0</v>
      </c>
      <c r="I46" s="50">
        <v>4</v>
      </c>
      <c r="J46" s="50">
        <v>3</v>
      </c>
      <c r="K46" s="50">
        <v>0</v>
      </c>
      <c r="L46" s="50">
        <v>0</v>
      </c>
      <c r="M46" s="50">
        <v>53</v>
      </c>
      <c r="N46" s="50">
        <v>0</v>
      </c>
      <c r="O46" s="15">
        <f t="shared" si="0"/>
        <v>30</v>
      </c>
      <c r="P46" s="15">
        <f t="shared" si="1"/>
        <v>83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4</v>
      </c>
      <c r="E47" s="50">
        <v>2</v>
      </c>
      <c r="F47" s="50">
        <v>15</v>
      </c>
      <c r="G47" s="50">
        <v>0</v>
      </c>
      <c r="H47" s="50">
        <v>1</v>
      </c>
      <c r="I47" s="50">
        <v>3</v>
      </c>
      <c r="J47" s="50">
        <v>0</v>
      </c>
      <c r="K47" s="50">
        <v>0</v>
      </c>
      <c r="L47" s="50">
        <v>0</v>
      </c>
      <c r="M47" s="50">
        <v>54</v>
      </c>
      <c r="N47" s="50">
        <v>0</v>
      </c>
      <c r="O47" s="15">
        <f t="shared" si="0"/>
        <v>32</v>
      </c>
      <c r="P47" s="15">
        <f t="shared" si="1"/>
        <v>86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7</v>
      </c>
      <c r="E48" s="50">
        <v>2</v>
      </c>
      <c r="F48" s="50">
        <v>6</v>
      </c>
      <c r="G48" s="50">
        <v>0</v>
      </c>
      <c r="H48" s="50">
        <v>1</v>
      </c>
      <c r="I48" s="50">
        <v>3</v>
      </c>
      <c r="J48" s="50">
        <v>0</v>
      </c>
      <c r="K48" s="50">
        <v>0</v>
      </c>
      <c r="L48" s="50">
        <v>1</v>
      </c>
      <c r="M48" s="50">
        <v>42</v>
      </c>
      <c r="N48" s="50">
        <v>0</v>
      </c>
      <c r="O48" s="15">
        <f t="shared" si="0"/>
        <v>28</v>
      </c>
      <c r="P48" s="15">
        <f t="shared" si="1"/>
        <v>70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7</v>
      </c>
      <c r="E49" s="50">
        <v>3</v>
      </c>
      <c r="F49" s="50">
        <v>12</v>
      </c>
      <c r="G49" s="50">
        <v>0</v>
      </c>
      <c r="H49" s="50">
        <v>0</v>
      </c>
      <c r="I49" s="50">
        <v>3</v>
      </c>
      <c r="J49" s="50">
        <v>3</v>
      </c>
      <c r="K49" s="50">
        <v>1</v>
      </c>
      <c r="L49" s="50">
        <v>0</v>
      </c>
      <c r="M49" s="50">
        <v>47</v>
      </c>
      <c r="N49" s="50">
        <v>0</v>
      </c>
      <c r="O49" s="15">
        <f t="shared" si="0"/>
        <v>34</v>
      </c>
      <c r="P49" s="15">
        <f t="shared" si="1"/>
        <v>81</v>
      </c>
      <c r="R49" s="8"/>
      <c r="T49"/>
    </row>
    <row r="50" spans="2:20" ht="23.1" customHeight="1" x14ac:dyDescent="0.25">
      <c r="B50" s="24" t="s">
        <v>77</v>
      </c>
      <c r="C50" s="50">
        <v>15</v>
      </c>
      <c r="D50" s="50">
        <v>5</v>
      </c>
      <c r="E50" s="50">
        <v>2</v>
      </c>
      <c r="F50" s="50">
        <v>4</v>
      </c>
      <c r="G50" s="50">
        <v>2</v>
      </c>
      <c r="H50" s="50">
        <v>0</v>
      </c>
      <c r="I50" s="50">
        <v>2</v>
      </c>
      <c r="J50" s="50">
        <v>1</v>
      </c>
      <c r="K50" s="50">
        <v>1</v>
      </c>
      <c r="L50" s="50">
        <v>2</v>
      </c>
      <c r="M50" s="50">
        <v>49</v>
      </c>
      <c r="N50" s="50">
        <v>0</v>
      </c>
      <c r="O50" s="15">
        <f t="shared" si="0"/>
        <v>34</v>
      </c>
      <c r="P50" s="15">
        <f t="shared" si="1"/>
        <v>83</v>
      </c>
      <c r="R50" s="8"/>
      <c r="T50"/>
    </row>
    <row r="51" spans="2:20" ht="23.1" customHeight="1" x14ac:dyDescent="0.25">
      <c r="B51" s="24" t="s">
        <v>78</v>
      </c>
      <c r="C51" s="50">
        <v>11</v>
      </c>
      <c r="D51" s="50">
        <v>6</v>
      </c>
      <c r="E51" s="50">
        <v>0</v>
      </c>
      <c r="F51" s="50">
        <v>9</v>
      </c>
      <c r="G51" s="50">
        <v>0</v>
      </c>
      <c r="H51" s="50">
        <v>0</v>
      </c>
      <c r="I51" s="50">
        <v>1</v>
      </c>
      <c r="J51" s="50">
        <v>2</v>
      </c>
      <c r="K51" s="50">
        <v>0</v>
      </c>
      <c r="L51" s="50">
        <v>0</v>
      </c>
      <c r="M51" s="50">
        <v>61</v>
      </c>
      <c r="N51" s="50">
        <v>0</v>
      </c>
      <c r="O51" s="15">
        <f t="shared" si="0"/>
        <v>29</v>
      </c>
      <c r="P51" s="15">
        <f t="shared" si="1"/>
        <v>90</v>
      </c>
      <c r="R51" s="8"/>
      <c r="T51"/>
    </row>
    <row r="52" spans="2:20" ht="23.1" customHeight="1" x14ac:dyDescent="0.25">
      <c r="B52" s="24" t="s">
        <v>79</v>
      </c>
      <c r="C52" s="50">
        <v>9</v>
      </c>
      <c r="D52" s="50">
        <v>5</v>
      </c>
      <c r="E52" s="50">
        <v>3</v>
      </c>
      <c r="F52" s="50">
        <v>3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70</v>
      </c>
      <c r="N52" s="50">
        <v>0</v>
      </c>
      <c r="O52" s="15">
        <f t="shared" si="0"/>
        <v>25</v>
      </c>
      <c r="P52" s="15">
        <f t="shared" si="1"/>
        <v>95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1</v>
      </c>
      <c r="E53" s="50">
        <v>0</v>
      </c>
      <c r="F53" s="50">
        <v>14</v>
      </c>
      <c r="G53" s="50">
        <v>0</v>
      </c>
      <c r="H53" s="50">
        <v>0</v>
      </c>
      <c r="I53" s="50">
        <v>2</v>
      </c>
      <c r="J53" s="50">
        <v>1</v>
      </c>
      <c r="K53" s="50">
        <v>3</v>
      </c>
      <c r="L53" s="50">
        <v>1</v>
      </c>
      <c r="M53" s="50">
        <v>50</v>
      </c>
      <c r="N53" s="50">
        <v>0</v>
      </c>
      <c r="O53" s="15">
        <f t="shared" si="0"/>
        <v>35</v>
      </c>
      <c r="P53" s="15">
        <f t="shared" si="1"/>
        <v>85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3</v>
      </c>
      <c r="E54" s="50">
        <v>4</v>
      </c>
      <c r="F54" s="50">
        <v>5</v>
      </c>
      <c r="G54" s="50">
        <v>0</v>
      </c>
      <c r="H54" s="50">
        <v>2</v>
      </c>
      <c r="I54" s="50">
        <v>2</v>
      </c>
      <c r="J54" s="50">
        <v>1</v>
      </c>
      <c r="K54" s="50">
        <v>0</v>
      </c>
      <c r="L54" s="50">
        <v>3</v>
      </c>
      <c r="M54" s="50">
        <v>46</v>
      </c>
      <c r="N54" s="50">
        <v>0</v>
      </c>
      <c r="O54" s="15">
        <f t="shared" si="0"/>
        <v>23</v>
      </c>
      <c r="P54" s="15">
        <f t="shared" si="1"/>
        <v>69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2</v>
      </c>
      <c r="E55" s="50">
        <v>0</v>
      </c>
      <c r="F55" s="50">
        <v>6</v>
      </c>
      <c r="G55" s="50">
        <v>2</v>
      </c>
      <c r="H55" s="50">
        <v>0</v>
      </c>
      <c r="I55" s="50">
        <v>4</v>
      </c>
      <c r="J55" s="50">
        <v>3</v>
      </c>
      <c r="K55" s="50">
        <v>0</v>
      </c>
      <c r="L55" s="50">
        <v>0</v>
      </c>
      <c r="M55" s="50">
        <v>64</v>
      </c>
      <c r="N55" s="50">
        <v>0</v>
      </c>
      <c r="O55" s="15">
        <f t="shared" si="0"/>
        <v>24</v>
      </c>
      <c r="P55" s="15">
        <f t="shared" si="1"/>
        <v>88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2</v>
      </c>
      <c r="E56" s="50">
        <v>4</v>
      </c>
      <c r="F56" s="50">
        <v>7</v>
      </c>
      <c r="G56" s="50">
        <v>1</v>
      </c>
      <c r="H56" s="50">
        <v>0</v>
      </c>
      <c r="I56" s="50">
        <v>3</v>
      </c>
      <c r="J56" s="50">
        <v>1</v>
      </c>
      <c r="K56" s="50">
        <v>1</v>
      </c>
      <c r="L56" s="50">
        <v>0</v>
      </c>
      <c r="M56" s="50">
        <v>55</v>
      </c>
      <c r="N56" s="50">
        <v>0</v>
      </c>
      <c r="O56" s="15">
        <f t="shared" si="0"/>
        <v>30</v>
      </c>
      <c r="P56" s="15">
        <f t="shared" si="1"/>
        <v>85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4</v>
      </c>
      <c r="E57" s="50">
        <v>3</v>
      </c>
      <c r="F57" s="50">
        <v>7</v>
      </c>
      <c r="G57" s="50">
        <v>0</v>
      </c>
      <c r="H57" s="50">
        <v>1</v>
      </c>
      <c r="I57" s="50">
        <v>1</v>
      </c>
      <c r="J57" s="50">
        <v>1</v>
      </c>
      <c r="K57" s="50">
        <v>0</v>
      </c>
      <c r="L57" s="50">
        <v>0</v>
      </c>
      <c r="M57" s="50">
        <v>54</v>
      </c>
      <c r="N57" s="50">
        <v>0</v>
      </c>
      <c r="O57" s="15">
        <f t="shared" si="0"/>
        <v>24</v>
      </c>
      <c r="P57" s="15">
        <f t="shared" si="1"/>
        <v>78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323</v>
      </c>
      <c r="D58" s="16">
        <f t="shared" si="21"/>
        <v>140</v>
      </c>
      <c r="E58" s="16">
        <f t="shared" si="21"/>
        <v>51</v>
      </c>
      <c r="F58" s="16">
        <f t="shared" si="21"/>
        <v>352</v>
      </c>
      <c r="G58" s="16">
        <f t="shared" si="21"/>
        <v>9</v>
      </c>
      <c r="H58" s="16">
        <f t="shared" si="21"/>
        <v>15</v>
      </c>
      <c r="I58" s="16">
        <f t="shared" si="21"/>
        <v>86</v>
      </c>
      <c r="J58" s="16">
        <f t="shared" si="21"/>
        <v>56</v>
      </c>
      <c r="K58" s="16">
        <f t="shared" si="21"/>
        <v>18</v>
      </c>
      <c r="L58" s="16">
        <f t="shared" si="21"/>
        <v>32</v>
      </c>
      <c r="M58" s="16">
        <f t="shared" si="21"/>
        <v>2173</v>
      </c>
      <c r="N58" s="16">
        <f t="shared" si="21"/>
        <v>0</v>
      </c>
      <c r="O58" s="16">
        <f t="shared" si="21"/>
        <v>1082</v>
      </c>
      <c r="P58" s="16">
        <f t="shared" si="21"/>
        <v>3255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9.9231950844854075E-2</v>
      </c>
      <c r="D59" s="43">
        <f t="shared" si="22"/>
        <v>4.3010752688172046E-2</v>
      </c>
      <c r="E59" s="43">
        <f t="shared" si="22"/>
        <v>1.5668202764976959E-2</v>
      </c>
      <c r="F59" s="43">
        <f t="shared" si="22"/>
        <v>0.10814132104454685</v>
      </c>
      <c r="G59" s="43">
        <f t="shared" si="22"/>
        <v>2.7649769585253456E-3</v>
      </c>
      <c r="H59" s="43">
        <f t="shared" si="22"/>
        <v>4.608294930875576E-3</v>
      </c>
      <c r="I59" s="43">
        <f t="shared" si="22"/>
        <v>2.6420890937019971E-2</v>
      </c>
      <c r="J59" s="43">
        <f t="shared" si="22"/>
        <v>1.7204301075268817E-2</v>
      </c>
      <c r="K59" s="43">
        <f t="shared" si="22"/>
        <v>5.5299539170506912E-3</v>
      </c>
      <c r="L59" s="43">
        <f t="shared" si="22"/>
        <v>9.8310291858678955E-3</v>
      </c>
      <c r="M59" s="43">
        <f t="shared" si="22"/>
        <v>0.66758832565284176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0.29852125693160814</v>
      </c>
      <c r="D60" s="44">
        <f t="shared" ref="D60:N60" si="23">D58/$O$58</f>
        <v>0.12939001848428835</v>
      </c>
      <c r="E60" s="44">
        <f t="shared" si="23"/>
        <v>4.7134935304990758E-2</v>
      </c>
      <c r="F60" s="44">
        <f t="shared" si="23"/>
        <v>0.32532347504621073</v>
      </c>
      <c r="G60" s="44">
        <f t="shared" si="23"/>
        <v>8.3179297597042508E-3</v>
      </c>
      <c r="H60" s="44">
        <f t="shared" si="23"/>
        <v>1.3863216266173753E-2</v>
      </c>
      <c r="I60" s="44">
        <f t="shared" si="23"/>
        <v>7.9482439926062853E-2</v>
      </c>
      <c r="J60" s="44">
        <f t="shared" si="23"/>
        <v>5.1756007393715345E-2</v>
      </c>
      <c r="K60" s="44">
        <f t="shared" si="23"/>
        <v>1.6635859519408502E-2</v>
      </c>
      <c r="L60" s="44">
        <f t="shared" si="23"/>
        <v>2.9574861367837338E-2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171</v>
      </c>
      <c r="E5" s="3"/>
      <c r="F5" s="41" t="s">
        <v>1</v>
      </c>
      <c r="G5" s="60" t="str">
        <f>'23.10 MITYANA-MUBENDE'!G5:H5</f>
        <v>MITYANA COLLEGE KIKUMBI</v>
      </c>
      <c r="H5" s="61"/>
      <c r="I5" s="14"/>
      <c r="J5" s="2" t="s">
        <v>5</v>
      </c>
      <c r="K5" s="60" t="str">
        <f>'23.10 MITYANA-MUBENDE'!K5:L5</f>
        <v>STEVEN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'23.10 MITYANA-MUBENDE'!D6:E6</f>
        <v>MITYANA</v>
      </c>
      <c r="E6" s="61"/>
      <c r="F6" s="2" t="s">
        <v>2</v>
      </c>
      <c r="G6" s="60" t="str">
        <f>'23.10 MITYANA-MUBENDE'!G6:H6</f>
        <v>MUBENDE</v>
      </c>
      <c r="H6" s="61"/>
      <c r="J6" s="2" t="s">
        <v>21</v>
      </c>
      <c r="K6" s="60" t="str">
        <f>'23.10 MITYANA-MUBENDE'!K6:L6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2</v>
      </c>
      <c r="E10" s="50">
        <v>0</v>
      </c>
      <c r="F10" s="50">
        <v>3</v>
      </c>
      <c r="G10" s="50">
        <v>0</v>
      </c>
      <c r="H10" s="50">
        <v>0</v>
      </c>
      <c r="I10" s="50">
        <v>2</v>
      </c>
      <c r="J10" s="50">
        <v>1</v>
      </c>
      <c r="K10" s="50">
        <v>1</v>
      </c>
      <c r="L10" s="50">
        <v>0</v>
      </c>
      <c r="M10" s="50">
        <v>35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44</v>
      </c>
      <c r="R10" s="1" t="s">
        <v>6</v>
      </c>
      <c r="S10" s="17">
        <f t="shared" ref="S10:AF10" si="2">SUM(C10:C13)</f>
        <v>22</v>
      </c>
      <c r="T10" s="17">
        <f t="shared" si="2"/>
        <v>9</v>
      </c>
      <c r="U10" s="17">
        <f t="shared" si="2"/>
        <v>8</v>
      </c>
      <c r="V10" s="17">
        <f t="shared" si="2"/>
        <v>14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2</v>
      </c>
      <c r="AA10" s="17">
        <f t="shared" si="2"/>
        <v>3</v>
      </c>
      <c r="AB10" s="17">
        <f t="shared" si="2"/>
        <v>1</v>
      </c>
      <c r="AC10" s="17">
        <f t="shared" si="2"/>
        <v>171</v>
      </c>
      <c r="AD10" s="17">
        <f t="shared" si="2"/>
        <v>0</v>
      </c>
      <c r="AE10" s="31">
        <f t="shared" si="2"/>
        <v>65</v>
      </c>
      <c r="AF10" s="31">
        <f t="shared" si="2"/>
        <v>236</v>
      </c>
    </row>
    <row r="11" spans="2:32" s="6" customFormat="1" ht="23.1" customHeight="1" x14ac:dyDescent="0.25">
      <c r="B11" s="23" t="s">
        <v>38</v>
      </c>
      <c r="C11" s="50">
        <v>3</v>
      </c>
      <c r="D11" s="50">
        <v>1</v>
      </c>
      <c r="E11" s="50">
        <v>0</v>
      </c>
      <c r="F11" s="50">
        <v>5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47</v>
      </c>
      <c r="N11" s="50">
        <v>0</v>
      </c>
      <c r="O11" s="15">
        <f t="shared" si="0"/>
        <v>12</v>
      </c>
      <c r="P11" s="15">
        <f t="shared" si="1"/>
        <v>59</v>
      </c>
      <c r="R11" s="1" t="s">
        <v>7</v>
      </c>
      <c r="S11" s="17">
        <f t="shared" ref="S11:AF11" si="3">SUM(C14:C17)</f>
        <v>23</v>
      </c>
      <c r="T11" s="17">
        <f t="shared" si="3"/>
        <v>12</v>
      </c>
      <c r="U11" s="17">
        <f t="shared" si="3"/>
        <v>4</v>
      </c>
      <c r="V11" s="17">
        <f t="shared" si="3"/>
        <v>22</v>
      </c>
      <c r="W11" s="17">
        <f t="shared" si="3"/>
        <v>0</v>
      </c>
      <c r="X11" s="17">
        <f t="shared" si="3"/>
        <v>2</v>
      </c>
      <c r="Y11" s="17">
        <f t="shared" si="3"/>
        <v>7</v>
      </c>
      <c r="Z11" s="17">
        <f t="shared" si="3"/>
        <v>9</v>
      </c>
      <c r="AA11" s="17">
        <f t="shared" si="3"/>
        <v>0</v>
      </c>
      <c r="AB11" s="17">
        <f t="shared" si="3"/>
        <v>3</v>
      </c>
      <c r="AC11" s="17">
        <f t="shared" si="3"/>
        <v>183</v>
      </c>
      <c r="AD11" s="17">
        <f t="shared" si="3"/>
        <v>0</v>
      </c>
      <c r="AE11" s="31">
        <f t="shared" si="3"/>
        <v>82</v>
      </c>
      <c r="AF11" s="31">
        <f t="shared" si="3"/>
        <v>265</v>
      </c>
    </row>
    <row r="12" spans="2:32" ht="23.1" customHeight="1" x14ac:dyDescent="0.25">
      <c r="B12" s="23" t="s">
        <v>39</v>
      </c>
      <c r="C12" s="50">
        <v>9</v>
      </c>
      <c r="D12" s="50">
        <v>3</v>
      </c>
      <c r="E12" s="50">
        <v>5</v>
      </c>
      <c r="F12" s="50">
        <v>2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1</v>
      </c>
      <c r="M12" s="50">
        <v>48</v>
      </c>
      <c r="N12" s="50">
        <v>0</v>
      </c>
      <c r="O12" s="15">
        <f t="shared" si="0"/>
        <v>22</v>
      </c>
      <c r="P12" s="15">
        <f t="shared" si="1"/>
        <v>70</v>
      </c>
      <c r="R12" s="1" t="s">
        <v>8</v>
      </c>
      <c r="S12" s="17">
        <f t="shared" ref="S12:AF12" si="4">SUM(C18:C21)</f>
        <v>38</v>
      </c>
      <c r="T12" s="17">
        <f t="shared" si="4"/>
        <v>13</v>
      </c>
      <c r="U12" s="17">
        <f t="shared" si="4"/>
        <v>6</v>
      </c>
      <c r="V12" s="17">
        <f t="shared" si="4"/>
        <v>24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15</v>
      </c>
      <c r="AA12" s="17">
        <f t="shared" si="4"/>
        <v>3</v>
      </c>
      <c r="AB12" s="17">
        <f t="shared" si="4"/>
        <v>1</v>
      </c>
      <c r="AC12" s="17">
        <f t="shared" si="4"/>
        <v>175</v>
      </c>
      <c r="AD12" s="17">
        <f t="shared" si="4"/>
        <v>0</v>
      </c>
      <c r="AE12" s="31">
        <f t="shared" si="4"/>
        <v>107</v>
      </c>
      <c r="AF12" s="31">
        <f t="shared" si="4"/>
        <v>282</v>
      </c>
    </row>
    <row r="13" spans="2:32" ht="23.1" customHeight="1" x14ac:dyDescent="0.25">
      <c r="B13" s="23" t="s">
        <v>40</v>
      </c>
      <c r="C13" s="50">
        <v>10</v>
      </c>
      <c r="D13" s="50">
        <v>3</v>
      </c>
      <c r="E13" s="50">
        <v>3</v>
      </c>
      <c r="F13" s="50">
        <v>4</v>
      </c>
      <c r="G13" s="50">
        <v>0</v>
      </c>
      <c r="H13" s="50">
        <v>0</v>
      </c>
      <c r="I13" s="50">
        <v>1</v>
      </c>
      <c r="J13" s="50">
        <v>0</v>
      </c>
      <c r="K13" s="50">
        <v>1</v>
      </c>
      <c r="L13" s="50">
        <v>0</v>
      </c>
      <c r="M13" s="50">
        <v>41</v>
      </c>
      <c r="N13" s="50">
        <v>0</v>
      </c>
      <c r="O13" s="15">
        <f t="shared" si="0"/>
        <v>22</v>
      </c>
      <c r="P13" s="15">
        <f t="shared" si="1"/>
        <v>63</v>
      </c>
      <c r="R13" s="1" t="s">
        <v>9</v>
      </c>
      <c r="S13" s="17">
        <f t="shared" ref="S13:AF13" si="5">SUM(C22:C25)</f>
        <v>24</v>
      </c>
      <c r="T13" s="17">
        <f t="shared" si="5"/>
        <v>14</v>
      </c>
      <c r="U13" s="17">
        <f t="shared" si="5"/>
        <v>4</v>
      </c>
      <c r="V13" s="17">
        <f t="shared" si="5"/>
        <v>22</v>
      </c>
      <c r="W13" s="17">
        <f t="shared" si="5"/>
        <v>0</v>
      </c>
      <c r="X13" s="17">
        <f t="shared" si="5"/>
        <v>1</v>
      </c>
      <c r="Y13" s="17">
        <f t="shared" si="5"/>
        <v>14</v>
      </c>
      <c r="Z13" s="17">
        <f t="shared" si="5"/>
        <v>4</v>
      </c>
      <c r="AA13" s="17">
        <f t="shared" si="5"/>
        <v>2</v>
      </c>
      <c r="AB13" s="17">
        <f t="shared" si="5"/>
        <v>1</v>
      </c>
      <c r="AC13" s="17">
        <f t="shared" si="5"/>
        <v>139</v>
      </c>
      <c r="AD13" s="17">
        <f t="shared" si="5"/>
        <v>0</v>
      </c>
      <c r="AE13" s="31">
        <f t="shared" si="5"/>
        <v>86</v>
      </c>
      <c r="AF13" s="31">
        <f t="shared" si="5"/>
        <v>225</v>
      </c>
    </row>
    <row r="14" spans="2:32" ht="23.1" customHeight="1" x14ac:dyDescent="0.25">
      <c r="B14" s="23" t="s">
        <v>41</v>
      </c>
      <c r="C14" s="50">
        <v>7</v>
      </c>
      <c r="D14" s="50">
        <v>2</v>
      </c>
      <c r="E14" s="50">
        <v>0</v>
      </c>
      <c r="F14" s="50">
        <v>4</v>
      </c>
      <c r="G14" s="50">
        <v>0</v>
      </c>
      <c r="H14" s="50">
        <v>0</v>
      </c>
      <c r="I14" s="50">
        <v>1</v>
      </c>
      <c r="J14" s="50">
        <v>3</v>
      </c>
      <c r="K14" s="50">
        <v>0</v>
      </c>
      <c r="L14" s="50">
        <v>1</v>
      </c>
      <c r="M14" s="50">
        <v>46</v>
      </c>
      <c r="N14" s="50">
        <v>0</v>
      </c>
      <c r="O14" s="15">
        <f t="shared" si="0"/>
        <v>18</v>
      </c>
      <c r="P14" s="15">
        <f t="shared" si="1"/>
        <v>64</v>
      </c>
      <c r="R14" s="1" t="s">
        <v>10</v>
      </c>
      <c r="S14" s="17">
        <f t="shared" ref="S14:AF14" si="6">SUM(C26:C29)</f>
        <v>41</v>
      </c>
      <c r="T14" s="17">
        <f t="shared" si="6"/>
        <v>16</v>
      </c>
      <c r="U14" s="17">
        <f t="shared" si="6"/>
        <v>6</v>
      </c>
      <c r="V14" s="17">
        <f t="shared" si="6"/>
        <v>29</v>
      </c>
      <c r="W14" s="17">
        <f t="shared" si="6"/>
        <v>0</v>
      </c>
      <c r="X14" s="17">
        <f t="shared" si="6"/>
        <v>2</v>
      </c>
      <c r="Y14" s="17">
        <f t="shared" si="6"/>
        <v>8</v>
      </c>
      <c r="Z14" s="17">
        <f t="shared" si="6"/>
        <v>10</v>
      </c>
      <c r="AA14" s="17">
        <f t="shared" si="6"/>
        <v>3</v>
      </c>
      <c r="AB14" s="17">
        <f t="shared" si="6"/>
        <v>1</v>
      </c>
      <c r="AC14" s="17">
        <f t="shared" si="6"/>
        <v>166</v>
      </c>
      <c r="AD14" s="17">
        <f t="shared" si="6"/>
        <v>0</v>
      </c>
      <c r="AE14" s="31">
        <f t="shared" si="6"/>
        <v>116</v>
      </c>
      <c r="AF14" s="31">
        <f t="shared" si="6"/>
        <v>282</v>
      </c>
    </row>
    <row r="15" spans="2:32" ht="23.1" customHeight="1" x14ac:dyDescent="0.25">
      <c r="B15" s="23" t="s">
        <v>42</v>
      </c>
      <c r="C15" s="50">
        <v>6</v>
      </c>
      <c r="D15" s="50">
        <v>1</v>
      </c>
      <c r="E15" s="50">
        <v>3</v>
      </c>
      <c r="F15" s="50">
        <v>3</v>
      </c>
      <c r="G15" s="50">
        <v>0</v>
      </c>
      <c r="H15" s="50">
        <v>1</v>
      </c>
      <c r="I15" s="50">
        <v>2</v>
      </c>
      <c r="J15" s="50">
        <v>3</v>
      </c>
      <c r="K15" s="50">
        <v>0</v>
      </c>
      <c r="L15" s="50">
        <v>2</v>
      </c>
      <c r="M15" s="50">
        <v>46</v>
      </c>
      <c r="N15" s="50">
        <v>0</v>
      </c>
      <c r="O15" s="15">
        <f t="shared" si="0"/>
        <v>21</v>
      </c>
      <c r="P15" s="15">
        <f t="shared" si="1"/>
        <v>67</v>
      </c>
      <c r="R15" s="1" t="s">
        <v>11</v>
      </c>
      <c r="S15" s="17">
        <f t="shared" ref="S15:AF15" si="7">SUM(C30:C33)</f>
        <v>31</v>
      </c>
      <c r="T15" s="17">
        <f t="shared" si="7"/>
        <v>22</v>
      </c>
      <c r="U15" s="17">
        <f t="shared" si="7"/>
        <v>4</v>
      </c>
      <c r="V15" s="17">
        <f t="shared" si="7"/>
        <v>37</v>
      </c>
      <c r="W15" s="17">
        <f t="shared" si="7"/>
        <v>0</v>
      </c>
      <c r="X15" s="17">
        <f t="shared" si="7"/>
        <v>4</v>
      </c>
      <c r="Y15" s="17">
        <f t="shared" si="7"/>
        <v>12</v>
      </c>
      <c r="Z15" s="17">
        <f t="shared" si="7"/>
        <v>8</v>
      </c>
      <c r="AA15" s="17">
        <f t="shared" si="7"/>
        <v>3</v>
      </c>
      <c r="AB15" s="17">
        <f t="shared" si="7"/>
        <v>2</v>
      </c>
      <c r="AC15" s="17">
        <f t="shared" si="7"/>
        <v>144</v>
      </c>
      <c r="AD15" s="17">
        <f t="shared" si="7"/>
        <v>0</v>
      </c>
      <c r="AE15" s="31">
        <f t="shared" si="7"/>
        <v>123</v>
      </c>
      <c r="AF15" s="31">
        <f t="shared" si="7"/>
        <v>267</v>
      </c>
    </row>
    <row r="16" spans="2:32" ht="23.1" customHeight="1" x14ac:dyDescent="0.25">
      <c r="B16" s="23" t="s">
        <v>43</v>
      </c>
      <c r="C16" s="50">
        <v>5</v>
      </c>
      <c r="D16" s="50">
        <v>7</v>
      </c>
      <c r="E16" s="50">
        <v>1</v>
      </c>
      <c r="F16" s="50">
        <v>7</v>
      </c>
      <c r="G16" s="50">
        <v>0</v>
      </c>
      <c r="H16" s="50">
        <v>0</v>
      </c>
      <c r="I16" s="50">
        <v>3</v>
      </c>
      <c r="J16" s="50">
        <v>2</v>
      </c>
      <c r="K16" s="50">
        <v>0</v>
      </c>
      <c r="L16" s="50">
        <v>0</v>
      </c>
      <c r="M16" s="50">
        <v>48</v>
      </c>
      <c r="N16" s="50">
        <v>0</v>
      </c>
      <c r="O16" s="15">
        <f t="shared" si="0"/>
        <v>25</v>
      </c>
      <c r="P16" s="15">
        <f t="shared" si="1"/>
        <v>73</v>
      </c>
      <c r="R16" s="1" t="s">
        <v>12</v>
      </c>
      <c r="S16" s="17">
        <f t="shared" ref="S16:AF16" si="8">SUM(C34:C37)</f>
        <v>23</v>
      </c>
      <c r="T16" s="17">
        <f t="shared" si="8"/>
        <v>17</v>
      </c>
      <c r="U16" s="17">
        <f t="shared" si="8"/>
        <v>12</v>
      </c>
      <c r="V16" s="17">
        <f t="shared" si="8"/>
        <v>42</v>
      </c>
      <c r="W16" s="17">
        <f t="shared" si="8"/>
        <v>0</v>
      </c>
      <c r="X16" s="17">
        <f t="shared" si="8"/>
        <v>1</v>
      </c>
      <c r="Y16" s="17">
        <f t="shared" si="8"/>
        <v>11</v>
      </c>
      <c r="Z16" s="17">
        <f t="shared" si="8"/>
        <v>6</v>
      </c>
      <c r="AA16" s="17">
        <f t="shared" si="8"/>
        <v>3</v>
      </c>
      <c r="AB16" s="17">
        <f t="shared" si="8"/>
        <v>2</v>
      </c>
      <c r="AC16" s="17">
        <f t="shared" si="8"/>
        <v>158</v>
      </c>
      <c r="AD16" s="17">
        <f t="shared" si="8"/>
        <v>0</v>
      </c>
      <c r="AE16" s="31">
        <f t="shared" si="8"/>
        <v>117</v>
      </c>
      <c r="AF16" s="31">
        <f t="shared" si="8"/>
        <v>275</v>
      </c>
    </row>
    <row r="17" spans="2:32" ht="23.1" customHeight="1" x14ac:dyDescent="0.25">
      <c r="B17" s="23" t="s">
        <v>44</v>
      </c>
      <c r="C17" s="50">
        <v>5</v>
      </c>
      <c r="D17" s="50">
        <v>2</v>
      </c>
      <c r="E17" s="50">
        <v>0</v>
      </c>
      <c r="F17" s="50">
        <v>8</v>
      </c>
      <c r="G17" s="50">
        <v>0</v>
      </c>
      <c r="H17" s="50">
        <v>1</v>
      </c>
      <c r="I17" s="50">
        <v>1</v>
      </c>
      <c r="J17" s="50">
        <v>1</v>
      </c>
      <c r="K17" s="50">
        <v>0</v>
      </c>
      <c r="L17" s="50">
        <v>0</v>
      </c>
      <c r="M17" s="50">
        <v>43</v>
      </c>
      <c r="N17" s="50">
        <v>0</v>
      </c>
      <c r="O17" s="15">
        <f t="shared" si="0"/>
        <v>18</v>
      </c>
      <c r="P17" s="15">
        <f t="shared" si="1"/>
        <v>61</v>
      </c>
      <c r="R17" s="1" t="s">
        <v>13</v>
      </c>
      <c r="S17" s="17">
        <f t="shared" ref="S17:AF17" si="9">SUM(C38:C41)</f>
        <v>32</v>
      </c>
      <c r="T17" s="17">
        <f t="shared" si="9"/>
        <v>16</v>
      </c>
      <c r="U17" s="17">
        <f t="shared" si="9"/>
        <v>10</v>
      </c>
      <c r="V17" s="17">
        <f t="shared" si="9"/>
        <v>38</v>
      </c>
      <c r="W17" s="17">
        <f t="shared" si="9"/>
        <v>2</v>
      </c>
      <c r="X17" s="17">
        <f t="shared" si="9"/>
        <v>5</v>
      </c>
      <c r="Y17" s="17">
        <f t="shared" si="9"/>
        <v>15</v>
      </c>
      <c r="Z17" s="17">
        <f t="shared" si="9"/>
        <v>9</v>
      </c>
      <c r="AA17" s="17">
        <f t="shared" si="9"/>
        <v>2</v>
      </c>
      <c r="AB17" s="17">
        <f t="shared" si="9"/>
        <v>2</v>
      </c>
      <c r="AC17" s="17">
        <f t="shared" si="9"/>
        <v>183</v>
      </c>
      <c r="AD17" s="17">
        <f t="shared" si="9"/>
        <v>0</v>
      </c>
      <c r="AE17" s="31">
        <f t="shared" si="9"/>
        <v>131</v>
      </c>
      <c r="AF17" s="31">
        <f t="shared" si="9"/>
        <v>314</v>
      </c>
    </row>
    <row r="18" spans="2:32" ht="23.1" customHeight="1" x14ac:dyDescent="0.25">
      <c r="B18" s="23" t="s">
        <v>45</v>
      </c>
      <c r="C18" s="50">
        <v>7</v>
      </c>
      <c r="D18" s="50">
        <v>6</v>
      </c>
      <c r="E18" s="50">
        <v>3</v>
      </c>
      <c r="F18" s="50">
        <v>6</v>
      </c>
      <c r="G18" s="50">
        <v>0</v>
      </c>
      <c r="H18" s="50">
        <v>0</v>
      </c>
      <c r="I18" s="50">
        <v>1</v>
      </c>
      <c r="J18" s="50">
        <v>1</v>
      </c>
      <c r="K18" s="50">
        <v>1</v>
      </c>
      <c r="L18" s="50">
        <v>0</v>
      </c>
      <c r="M18" s="50">
        <v>43</v>
      </c>
      <c r="N18" s="50">
        <v>0</v>
      </c>
      <c r="O18" s="15">
        <f t="shared" si="0"/>
        <v>25</v>
      </c>
      <c r="P18" s="15">
        <f t="shared" si="1"/>
        <v>68</v>
      </c>
      <c r="R18" s="1" t="s">
        <v>14</v>
      </c>
      <c r="S18" s="17">
        <f t="shared" ref="S18:AF18" si="10">SUM(C42:C45)</f>
        <v>42</v>
      </c>
      <c r="T18" s="17">
        <f t="shared" si="10"/>
        <v>15</v>
      </c>
      <c r="U18" s="17">
        <f t="shared" si="10"/>
        <v>14</v>
      </c>
      <c r="V18" s="17">
        <f t="shared" si="10"/>
        <v>33</v>
      </c>
      <c r="W18" s="17">
        <f t="shared" si="10"/>
        <v>0</v>
      </c>
      <c r="X18" s="17">
        <f t="shared" si="10"/>
        <v>3</v>
      </c>
      <c r="Y18" s="17">
        <f t="shared" si="10"/>
        <v>11</v>
      </c>
      <c r="Z18" s="17">
        <f t="shared" si="10"/>
        <v>8</v>
      </c>
      <c r="AA18" s="17">
        <f t="shared" si="10"/>
        <v>1</v>
      </c>
      <c r="AB18" s="17">
        <f t="shared" si="10"/>
        <v>0</v>
      </c>
      <c r="AC18" s="17">
        <f t="shared" si="10"/>
        <v>168</v>
      </c>
      <c r="AD18" s="17">
        <f t="shared" si="10"/>
        <v>0</v>
      </c>
      <c r="AE18" s="31">
        <f t="shared" si="10"/>
        <v>127</v>
      </c>
      <c r="AF18" s="31">
        <f t="shared" si="10"/>
        <v>295</v>
      </c>
    </row>
    <row r="19" spans="2:32" ht="23.1" customHeight="1" x14ac:dyDescent="0.25">
      <c r="B19" s="23" t="s">
        <v>46</v>
      </c>
      <c r="C19" s="50">
        <v>11</v>
      </c>
      <c r="D19" s="50">
        <v>3</v>
      </c>
      <c r="E19" s="50">
        <v>0</v>
      </c>
      <c r="F19" s="50">
        <v>7</v>
      </c>
      <c r="G19" s="50">
        <v>0</v>
      </c>
      <c r="H19" s="50">
        <v>0</v>
      </c>
      <c r="I19" s="50">
        <v>3</v>
      </c>
      <c r="J19" s="50">
        <v>3</v>
      </c>
      <c r="K19" s="50">
        <v>2</v>
      </c>
      <c r="L19" s="50">
        <v>0</v>
      </c>
      <c r="M19" s="50">
        <v>49</v>
      </c>
      <c r="N19" s="50">
        <v>0</v>
      </c>
      <c r="O19" s="15">
        <f t="shared" si="0"/>
        <v>29</v>
      </c>
      <c r="P19" s="15">
        <f t="shared" si="1"/>
        <v>78</v>
      </c>
      <c r="R19" s="1" t="s">
        <v>15</v>
      </c>
      <c r="S19" s="17">
        <f t="shared" ref="S19:AF19" si="11">SUM(C46:C49)</f>
        <v>38</v>
      </c>
      <c r="T19" s="17">
        <f t="shared" si="11"/>
        <v>17</v>
      </c>
      <c r="U19" s="17">
        <f t="shared" si="11"/>
        <v>5</v>
      </c>
      <c r="V19" s="17">
        <f t="shared" si="11"/>
        <v>45</v>
      </c>
      <c r="W19" s="17">
        <f t="shared" si="11"/>
        <v>0</v>
      </c>
      <c r="X19" s="17">
        <f t="shared" si="11"/>
        <v>3</v>
      </c>
      <c r="Y19" s="17">
        <f t="shared" si="11"/>
        <v>12</v>
      </c>
      <c r="Z19" s="17">
        <f t="shared" si="11"/>
        <v>9</v>
      </c>
      <c r="AA19" s="17">
        <f t="shared" si="11"/>
        <v>4</v>
      </c>
      <c r="AB19" s="17">
        <f t="shared" si="11"/>
        <v>5</v>
      </c>
      <c r="AC19" s="17">
        <f t="shared" si="11"/>
        <v>210</v>
      </c>
      <c r="AD19" s="17">
        <f t="shared" si="11"/>
        <v>0</v>
      </c>
      <c r="AE19" s="31">
        <f t="shared" si="11"/>
        <v>138</v>
      </c>
      <c r="AF19" s="31">
        <f t="shared" si="11"/>
        <v>348</v>
      </c>
    </row>
    <row r="20" spans="2:32" ht="23.1" customHeight="1" x14ac:dyDescent="0.25">
      <c r="B20" s="23" t="s">
        <v>47</v>
      </c>
      <c r="C20" s="50">
        <v>7</v>
      </c>
      <c r="D20" s="50">
        <v>3</v>
      </c>
      <c r="E20" s="50">
        <v>2</v>
      </c>
      <c r="F20" s="50">
        <v>6</v>
      </c>
      <c r="G20" s="50">
        <v>0</v>
      </c>
      <c r="H20" s="50">
        <v>0</v>
      </c>
      <c r="I20" s="50">
        <v>2</v>
      </c>
      <c r="J20" s="50">
        <v>5</v>
      </c>
      <c r="K20" s="50">
        <v>0</v>
      </c>
      <c r="L20" s="50">
        <v>0</v>
      </c>
      <c r="M20" s="50">
        <v>43</v>
      </c>
      <c r="N20" s="50">
        <v>0</v>
      </c>
      <c r="O20" s="15">
        <f t="shared" si="0"/>
        <v>25</v>
      </c>
      <c r="P20" s="15">
        <f t="shared" si="1"/>
        <v>68</v>
      </c>
      <c r="R20" s="1" t="s">
        <v>16</v>
      </c>
      <c r="S20" s="17">
        <f t="shared" ref="S20:AF20" si="12">SUM(C50:C53)</f>
        <v>33</v>
      </c>
      <c r="T20" s="17">
        <f t="shared" si="12"/>
        <v>22</v>
      </c>
      <c r="U20" s="17">
        <f t="shared" si="12"/>
        <v>4</v>
      </c>
      <c r="V20" s="17">
        <f t="shared" si="12"/>
        <v>40</v>
      </c>
      <c r="W20" s="17">
        <f t="shared" si="12"/>
        <v>1</v>
      </c>
      <c r="X20" s="17">
        <f t="shared" si="12"/>
        <v>3</v>
      </c>
      <c r="Y20" s="17">
        <f t="shared" si="12"/>
        <v>12</v>
      </c>
      <c r="Z20" s="17">
        <f t="shared" si="12"/>
        <v>13</v>
      </c>
      <c r="AA20" s="17">
        <f t="shared" si="12"/>
        <v>0</v>
      </c>
      <c r="AB20" s="17">
        <f t="shared" si="12"/>
        <v>5</v>
      </c>
      <c r="AC20" s="17">
        <f t="shared" si="12"/>
        <v>208</v>
      </c>
      <c r="AD20" s="17">
        <f t="shared" si="12"/>
        <v>0</v>
      </c>
      <c r="AE20" s="31">
        <f t="shared" si="12"/>
        <v>133</v>
      </c>
      <c r="AF20" s="31">
        <f t="shared" si="12"/>
        <v>341</v>
      </c>
    </row>
    <row r="21" spans="2:32" ht="23.1" customHeight="1" x14ac:dyDescent="0.25">
      <c r="B21" s="23" t="s">
        <v>48</v>
      </c>
      <c r="C21" s="50">
        <v>13</v>
      </c>
      <c r="D21" s="50">
        <v>1</v>
      </c>
      <c r="E21" s="50">
        <v>1</v>
      </c>
      <c r="F21" s="50">
        <v>5</v>
      </c>
      <c r="G21" s="50">
        <v>0</v>
      </c>
      <c r="H21" s="50">
        <v>0</v>
      </c>
      <c r="I21" s="50">
        <v>1</v>
      </c>
      <c r="J21" s="50">
        <v>6</v>
      </c>
      <c r="K21" s="50">
        <v>0</v>
      </c>
      <c r="L21" s="50">
        <v>1</v>
      </c>
      <c r="M21" s="50">
        <v>40</v>
      </c>
      <c r="N21" s="50">
        <v>0</v>
      </c>
      <c r="O21" s="15">
        <f t="shared" si="0"/>
        <v>28</v>
      </c>
      <c r="P21" s="15">
        <f t="shared" si="1"/>
        <v>68</v>
      </c>
      <c r="R21" s="36" t="s">
        <v>20</v>
      </c>
      <c r="S21" s="34">
        <f t="shared" ref="S21:AF21" si="13">SUM(C54:C57)</f>
        <v>32</v>
      </c>
      <c r="T21" s="17">
        <f t="shared" si="13"/>
        <v>15</v>
      </c>
      <c r="U21" s="17">
        <f t="shared" si="13"/>
        <v>2</v>
      </c>
      <c r="V21" s="17">
        <f t="shared" si="13"/>
        <v>28</v>
      </c>
      <c r="W21" s="17">
        <f t="shared" si="13"/>
        <v>0</v>
      </c>
      <c r="X21" s="17">
        <f t="shared" si="13"/>
        <v>2</v>
      </c>
      <c r="Y21" s="17">
        <f t="shared" si="13"/>
        <v>16</v>
      </c>
      <c r="Z21" s="17">
        <f t="shared" si="13"/>
        <v>10</v>
      </c>
      <c r="AA21" s="17">
        <f t="shared" si="13"/>
        <v>7</v>
      </c>
      <c r="AB21" s="17">
        <f t="shared" si="13"/>
        <v>3</v>
      </c>
      <c r="AC21" s="17">
        <f t="shared" si="13"/>
        <v>208</v>
      </c>
      <c r="AD21" s="17">
        <f t="shared" si="13"/>
        <v>0</v>
      </c>
      <c r="AE21" s="31">
        <f t="shared" si="13"/>
        <v>115</v>
      </c>
      <c r="AF21" s="31">
        <f t="shared" si="13"/>
        <v>323</v>
      </c>
    </row>
    <row r="22" spans="2:32" ht="23.1" customHeight="1" x14ac:dyDescent="0.25">
      <c r="B22" s="23" t="s">
        <v>49</v>
      </c>
      <c r="C22" s="50">
        <v>4</v>
      </c>
      <c r="D22" s="50">
        <v>1</v>
      </c>
      <c r="E22" s="50">
        <v>1</v>
      </c>
      <c r="F22" s="50">
        <v>4</v>
      </c>
      <c r="G22" s="50">
        <v>0</v>
      </c>
      <c r="H22" s="50">
        <v>1</v>
      </c>
      <c r="I22" s="50">
        <v>1</v>
      </c>
      <c r="J22" s="50">
        <v>0</v>
      </c>
      <c r="K22" s="50">
        <v>0</v>
      </c>
      <c r="L22" s="50">
        <v>0</v>
      </c>
      <c r="M22" s="50">
        <v>41</v>
      </c>
      <c r="N22" s="50">
        <v>0</v>
      </c>
      <c r="O22" s="15">
        <f t="shared" si="0"/>
        <v>12</v>
      </c>
      <c r="P22" s="15">
        <f t="shared" si="1"/>
        <v>53</v>
      </c>
      <c r="R22" s="38" t="s">
        <v>90</v>
      </c>
      <c r="S22" s="39">
        <f>MAX(S10:S12)</f>
        <v>38</v>
      </c>
      <c r="T22" s="39">
        <f t="shared" ref="T22:AF22" si="14">MAX(T10:T12)</f>
        <v>13</v>
      </c>
      <c r="U22" s="39">
        <f t="shared" si="14"/>
        <v>8</v>
      </c>
      <c r="V22" s="39">
        <f t="shared" si="14"/>
        <v>24</v>
      </c>
      <c r="W22" s="39">
        <f t="shared" si="14"/>
        <v>0</v>
      </c>
      <c r="X22" s="39">
        <f t="shared" si="14"/>
        <v>2</v>
      </c>
      <c r="Y22" s="39">
        <f t="shared" si="14"/>
        <v>7</v>
      </c>
      <c r="Z22" s="39">
        <f t="shared" si="14"/>
        <v>15</v>
      </c>
      <c r="AA22" s="39">
        <f t="shared" si="14"/>
        <v>3</v>
      </c>
      <c r="AB22" s="39">
        <f t="shared" si="14"/>
        <v>3</v>
      </c>
      <c r="AC22" s="39">
        <f t="shared" si="14"/>
        <v>183</v>
      </c>
      <c r="AD22" s="39">
        <f t="shared" si="14"/>
        <v>0</v>
      </c>
      <c r="AE22" s="40">
        <f t="shared" si="14"/>
        <v>107</v>
      </c>
      <c r="AF22" s="40">
        <f t="shared" si="14"/>
        <v>282</v>
      </c>
    </row>
    <row r="23" spans="2:32" ht="23.1" customHeight="1" x14ac:dyDescent="0.25">
      <c r="B23" s="23" t="s">
        <v>50</v>
      </c>
      <c r="C23" s="50">
        <v>6</v>
      </c>
      <c r="D23" s="50">
        <v>5</v>
      </c>
      <c r="E23" s="50">
        <v>0</v>
      </c>
      <c r="F23" s="50">
        <v>8</v>
      </c>
      <c r="G23" s="50">
        <v>0</v>
      </c>
      <c r="H23" s="50">
        <v>0</v>
      </c>
      <c r="I23" s="50">
        <v>6</v>
      </c>
      <c r="J23" s="50">
        <v>2</v>
      </c>
      <c r="K23" s="50">
        <v>1</v>
      </c>
      <c r="L23" s="50">
        <v>1</v>
      </c>
      <c r="M23" s="50">
        <v>38</v>
      </c>
      <c r="N23" s="50">
        <v>0</v>
      </c>
      <c r="O23" s="15">
        <f t="shared" si="0"/>
        <v>29</v>
      </c>
      <c r="P23" s="15">
        <f t="shared" si="1"/>
        <v>67</v>
      </c>
      <c r="R23" s="38" t="s">
        <v>91</v>
      </c>
      <c r="S23" s="39">
        <f>MAX(S13:S18)</f>
        <v>42</v>
      </c>
      <c r="T23" s="39">
        <f t="shared" ref="T23:AF23" si="15">MAX(T13:T18)</f>
        <v>22</v>
      </c>
      <c r="U23" s="39">
        <f t="shared" si="15"/>
        <v>14</v>
      </c>
      <c r="V23" s="39">
        <f t="shared" si="15"/>
        <v>42</v>
      </c>
      <c r="W23" s="39">
        <f t="shared" si="15"/>
        <v>2</v>
      </c>
      <c r="X23" s="39">
        <f t="shared" si="15"/>
        <v>5</v>
      </c>
      <c r="Y23" s="39">
        <f t="shared" si="15"/>
        <v>15</v>
      </c>
      <c r="Z23" s="39">
        <f t="shared" si="15"/>
        <v>10</v>
      </c>
      <c r="AA23" s="39">
        <f t="shared" si="15"/>
        <v>3</v>
      </c>
      <c r="AB23" s="39">
        <f t="shared" si="15"/>
        <v>2</v>
      </c>
      <c r="AC23" s="39">
        <f t="shared" si="15"/>
        <v>183</v>
      </c>
      <c r="AD23" s="39">
        <f t="shared" si="15"/>
        <v>0</v>
      </c>
      <c r="AE23" s="40">
        <f t="shared" si="15"/>
        <v>131</v>
      </c>
      <c r="AF23" s="40">
        <f t="shared" si="15"/>
        <v>314</v>
      </c>
    </row>
    <row r="24" spans="2:32" ht="23.1" customHeight="1" x14ac:dyDescent="0.25">
      <c r="B24" s="23" t="s">
        <v>51</v>
      </c>
      <c r="C24" s="50">
        <v>6</v>
      </c>
      <c r="D24" s="50">
        <v>6</v>
      </c>
      <c r="E24" s="50">
        <v>1</v>
      </c>
      <c r="F24" s="50">
        <v>4</v>
      </c>
      <c r="G24" s="50">
        <v>0</v>
      </c>
      <c r="H24" s="50">
        <v>0</v>
      </c>
      <c r="I24" s="50">
        <v>3</v>
      </c>
      <c r="J24" s="50">
        <v>1</v>
      </c>
      <c r="K24" s="50">
        <v>1</v>
      </c>
      <c r="L24" s="50">
        <v>0</v>
      </c>
      <c r="M24" s="50">
        <v>28</v>
      </c>
      <c r="N24" s="50">
        <v>0</v>
      </c>
      <c r="O24" s="15">
        <f t="shared" si="0"/>
        <v>22</v>
      </c>
      <c r="P24" s="15">
        <f t="shared" si="1"/>
        <v>50</v>
      </c>
      <c r="R24" s="38" t="s">
        <v>92</v>
      </c>
      <c r="S24" s="39">
        <f>MAX(S19:S21)</f>
        <v>38</v>
      </c>
      <c r="T24" s="39">
        <f t="shared" ref="T24:AF24" si="16">MAX(T19:T21)</f>
        <v>22</v>
      </c>
      <c r="U24" s="39">
        <f t="shared" si="16"/>
        <v>5</v>
      </c>
      <c r="V24" s="39">
        <f t="shared" si="16"/>
        <v>45</v>
      </c>
      <c r="W24" s="39">
        <f t="shared" si="16"/>
        <v>1</v>
      </c>
      <c r="X24" s="39">
        <f t="shared" si="16"/>
        <v>3</v>
      </c>
      <c r="Y24" s="39">
        <f t="shared" si="16"/>
        <v>16</v>
      </c>
      <c r="Z24" s="39">
        <f t="shared" si="16"/>
        <v>13</v>
      </c>
      <c r="AA24" s="39">
        <f t="shared" si="16"/>
        <v>7</v>
      </c>
      <c r="AB24" s="39">
        <f t="shared" si="16"/>
        <v>5</v>
      </c>
      <c r="AC24" s="39">
        <f t="shared" si="16"/>
        <v>210</v>
      </c>
      <c r="AD24" s="39">
        <f t="shared" si="16"/>
        <v>0</v>
      </c>
      <c r="AE24" s="40">
        <f t="shared" si="16"/>
        <v>138</v>
      </c>
      <c r="AF24" s="40">
        <f t="shared" si="16"/>
        <v>348</v>
      </c>
    </row>
    <row r="25" spans="2:32" ht="23.1" customHeight="1" x14ac:dyDescent="0.25">
      <c r="B25" s="23" t="s">
        <v>52</v>
      </c>
      <c r="C25" s="50">
        <v>8</v>
      </c>
      <c r="D25" s="50">
        <v>2</v>
      </c>
      <c r="E25" s="50">
        <v>2</v>
      </c>
      <c r="F25" s="50">
        <v>6</v>
      </c>
      <c r="G25" s="50">
        <v>0</v>
      </c>
      <c r="H25" s="50">
        <v>0</v>
      </c>
      <c r="I25" s="50">
        <v>4</v>
      </c>
      <c r="J25" s="50">
        <v>1</v>
      </c>
      <c r="K25" s="50">
        <v>0</v>
      </c>
      <c r="L25" s="50">
        <v>0</v>
      </c>
      <c r="M25" s="50">
        <v>32</v>
      </c>
      <c r="N25" s="50">
        <v>0</v>
      </c>
      <c r="O25" s="15">
        <f t="shared" si="0"/>
        <v>23</v>
      </c>
      <c r="P25" s="15">
        <f t="shared" si="1"/>
        <v>55</v>
      </c>
      <c r="R25" s="37" t="s">
        <v>85</v>
      </c>
      <c r="S25" s="35">
        <f t="shared" ref="S25:AF25" si="17">SUM(S10:S12)</f>
        <v>83</v>
      </c>
      <c r="T25" s="16">
        <f t="shared" si="17"/>
        <v>34</v>
      </c>
      <c r="U25" s="16">
        <f t="shared" si="17"/>
        <v>18</v>
      </c>
      <c r="V25" s="16">
        <f t="shared" si="17"/>
        <v>60</v>
      </c>
      <c r="W25" s="16">
        <f t="shared" si="17"/>
        <v>0</v>
      </c>
      <c r="X25" s="16">
        <f t="shared" si="17"/>
        <v>2</v>
      </c>
      <c r="Y25" s="16">
        <f t="shared" si="17"/>
        <v>20</v>
      </c>
      <c r="Z25" s="16">
        <f t="shared" si="17"/>
        <v>26</v>
      </c>
      <c r="AA25" s="16">
        <f t="shared" si="17"/>
        <v>6</v>
      </c>
      <c r="AB25" s="16">
        <f t="shared" si="17"/>
        <v>5</v>
      </c>
      <c r="AC25" s="16">
        <f t="shared" si="17"/>
        <v>529</v>
      </c>
      <c r="AD25" s="16">
        <f t="shared" si="17"/>
        <v>0</v>
      </c>
      <c r="AE25" s="32">
        <f t="shared" si="17"/>
        <v>254</v>
      </c>
      <c r="AF25" s="32">
        <f t="shared" si="17"/>
        <v>783</v>
      </c>
    </row>
    <row r="26" spans="2:32" ht="23.1" customHeight="1" x14ac:dyDescent="0.25">
      <c r="B26" s="23" t="s">
        <v>53</v>
      </c>
      <c r="C26" s="50">
        <v>9</v>
      </c>
      <c r="D26" s="50">
        <v>8</v>
      </c>
      <c r="E26" s="50">
        <v>2</v>
      </c>
      <c r="F26" s="50">
        <v>6</v>
      </c>
      <c r="G26" s="50">
        <v>0</v>
      </c>
      <c r="H26" s="50">
        <v>1</v>
      </c>
      <c r="I26" s="50">
        <v>3</v>
      </c>
      <c r="J26" s="50">
        <v>1</v>
      </c>
      <c r="K26" s="50">
        <v>1</v>
      </c>
      <c r="L26" s="50">
        <v>0</v>
      </c>
      <c r="M26" s="50">
        <v>30</v>
      </c>
      <c r="N26" s="50">
        <v>0</v>
      </c>
      <c r="O26" s="15">
        <f t="shared" si="0"/>
        <v>31</v>
      </c>
      <c r="P26" s="15">
        <f t="shared" si="1"/>
        <v>61</v>
      </c>
      <c r="R26" s="28" t="s">
        <v>86</v>
      </c>
      <c r="S26" s="16">
        <f t="shared" ref="S26:AF26" si="18">SUM(S13:S18)</f>
        <v>193</v>
      </c>
      <c r="T26" s="16">
        <f t="shared" si="18"/>
        <v>100</v>
      </c>
      <c r="U26" s="16">
        <f t="shared" si="18"/>
        <v>50</v>
      </c>
      <c r="V26" s="16">
        <f t="shared" si="18"/>
        <v>201</v>
      </c>
      <c r="W26" s="16">
        <f t="shared" si="18"/>
        <v>2</v>
      </c>
      <c r="X26" s="16">
        <f t="shared" si="18"/>
        <v>16</v>
      </c>
      <c r="Y26" s="16">
        <f t="shared" si="18"/>
        <v>71</v>
      </c>
      <c r="Z26" s="16">
        <f t="shared" si="18"/>
        <v>45</v>
      </c>
      <c r="AA26" s="16">
        <f t="shared" si="18"/>
        <v>14</v>
      </c>
      <c r="AB26" s="16">
        <f t="shared" si="18"/>
        <v>8</v>
      </c>
      <c r="AC26" s="16">
        <f t="shared" si="18"/>
        <v>958</v>
      </c>
      <c r="AD26" s="16">
        <f t="shared" si="18"/>
        <v>0</v>
      </c>
      <c r="AE26" s="32">
        <f t="shared" si="18"/>
        <v>700</v>
      </c>
      <c r="AF26" s="32">
        <f t="shared" si="18"/>
        <v>1658</v>
      </c>
    </row>
    <row r="27" spans="2:32" ht="23.1" customHeight="1" x14ac:dyDescent="0.25">
      <c r="B27" s="23" t="s">
        <v>54</v>
      </c>
      <c r="C27" s="50">
        <v>10</v>
      </c>
      <c r="D27" s="50">
        <v>2</v>
      </c>
      <c r="E27" s="50">
        <v>2</v>
      </c>
      <c r="F27" s="50">
        <v>8</v>
      </c>
      <c r="G27" s="50">
        <v>0</v>
      </c>
      <c r="H27" s="50">
        <v>1</v>
      </c>
      <c r="I27" s="50">
        <v>3</v>
      </c>
      <c r="J27" s="50">
        <v>2</v>
      </c>
      <c r="K27" s="50">
        <v>0</v>
      </c>
      <c r="L27" s="50">
        <v>0</v>
      </c>
      <c r="M27" s="50">
        <v>51</v>
      </c>
      <c r="N27" s="50">
        <v>0</v>
      </c>
      <c r="O27" s="15">
        <f t="shared" si="0"/>
        <v>28</v>
      </c>
      <c r="P27" s="15">
        <f t="shared" si="1"/>
        <v>79</v>
      </c>
      <c r="R27" s="29" t="s">
        <v>87</v>
      </c>
      <c r="S27" s="16">
        <f t="shared" ref="S27:AF27" si="19">SUM(S19:S21)</f>
        <v>103</v>
      </c>
      <c r="T27" s="16">
        <f t="shared" si="19"/>
        <v>54</v>
      </c>
      <c r="U27" s="16">
        <f t="shared" si="19"/>
        <v>11</v>
      </c>
      <c r="V27" s="16">
        <f t="shared" si="19"/>
        <v>113</v>
      </c>
      <c r="W27" s="16">
        <f t="shared" si="19"/>
        <v>1</v>
      </c>
      <c r="X27" s="16">
        <f t="shared" si="19"/>
        <v>8</v>
      </c>
      <c r="Y27" s="16">
        <f t="shared" si="19"/>
        <v>40</v>
      </c>
      <c r="Z27" s="16">
        <f t="shared" si="19"/>
        <v>32</v>
      </c>
      <c r="AA27" s="16">
        <f t="shared" si="19"/>
        <v>11</v>
      </c>
      <c r="AB27" s="16">
        <f t="shared" si="19"/>
        <v>13</v>
      </c>
      <c r="AC27" s="16">
        <f t="shared" si="19"/>
        <v>626</v>
      </c>
      <c r="AD27" s="16">
        <f t="shared" si="19"/>
        <v>0</v>
      </c>
      <c r="AE27" s="32">
        <f t="shared" si="19"/>
        <v>386</v>
      </c>
      <c r="AF27" s="32">
        <f t="shared" si="19"/>
        <v>1012</v>
      </c>
    </row>
    <row r="28" spans="2:32" ht="23.1" customHeight="1" x14ac:dyDescent="0.25">
      <c r="B28" s="23" t="s">
        <v>55</v>
      </c>
      <c r="C28" s="50">
        <v>9</v>
      </c>
      <c r="D28" s="50">
        <v>5</v>
      </c>
      <c r="E28" s="50">
        <v>1</v>
      </c>
      <c r="F28" s="50">
        <v>8</v>
      </c>
      <c r="G28" s="50">
        <v>0</v>
      </c>
      <c r="H28" s="50">
        <v>0</v>
      </c>
      <c r="I28" s="50">
        <v>1</v>
      </c>
      <c r="J28" s="50">
        <v>4</v>
      </c>
      <c r="K28" s="50">
        <v>0</v>
      </c>
      <c r="L28" s="50">
        <v>1</v>
      </c>
      <c r="M28" s="50">
        <v>39</v>
      </c>
      <c r="N28" s="50">
        <v>0</v>
      </c>
      <c r="O28" s="15">
        <f t="shared" si="0"/>
        <v>29</v>
      </c>
      <c r="P28" s="15">
        <f t="shared" si="1"/>
        <v>68</v>
      </c>
      <c r="R28" s="5" t="s">
        <v>17</v>
      </c>
      <c r="S28" s="16">
        <f t="shared" ref="S28:AF28" si="20">SUM(S10:S21)</f>
        <v>379</v>
      </c>
      <c r="T28" s="16">
        <f t="shared" si="20"/>
        <v>188</v>
      </c>
      <c r="U28" s="16">
        <f t="shared" si="20"/>
        <v>79</v>
      </c>
      <c r="V28" s="16">
        <f t="shared" si="20"/>
        <v>374</v>
      </c>
      <c r="W28" s="16">
        <f t="shared" si="20"/>
        <v>3</v>
      </c>
      <c r="X28" s="16">
        <f t="shared" si="20"/>
        <v>26</v>
      </c>
      <c r="Y28" s="16">
        <f t="shared" si="20"/>
        <v>131</v>
      </c>
      <c r="Z28" s="16">
        <f t="shared" si="20"/>
        <v>103</v>
      </c>
      <c r="AA28" s="16">
        <f t="shared" si="20"/>
        <v>31</v>
      </c>
      <c r="AB28" s="16">
        <f t="shared" si="20"/>
        <v>26</v>
      </c>
      <c r="AC28" s="16">
        <f t="shared" si="20"/>
        <v>2113</v>
      </c>
      <c r="AD28" s="16">
        <f t="shared" si="20"/>
        <v>0</v>
      </c>
      <c r="AE28" s="32">
        <f t="shared" si="20"/>
        <v>1340</v>
      </c>
      <c r="AF28" s="32">
        <f t="shared" si="20"/>
        <v>3453</v>
      </c>
    </row>
    <row r="29" spans="2:32" ht="23.1" customHeight="1" x14ac:dyDescent="0.25">
      <c r="B29" s="23" t="s">
        <v>56</v>
      </c>
      <c r="C29" s="50">
        <v>13</v>
      </c>
      <c r="D29" s="50">
        <v>1</v>
      </c>
      <c r="E29" s="50">
        <v>1</v>
      </c>
      <c r="F29" s="50">
        <v>7</v>
      </c>
      <c r="G29" s="50">
        <v>0</v>
      </c>
      <c r="H29" s="50">
        <v>0</v>
      </c>
      <c r="I29" s="50">
        <v>1</v>
      </c>
      <c r="J29" s="50">
        <v>3</v>
      </c>
      <c r="K29" s="50">
        <v>2</v>
      </c>
      <c r="L29" s="50">
        <v>0</v>
      </c>
      <c r="M29" s="50">
        <v>46</v>
      </c>
      <c r="N29" s="50">
        <v>0</v>
      </c>
      <c r="O29" s="15">
        <f t="shared" si="0"/>
        <v>28</v>
      </c>
      <c r="P29" s="15">
        <f t="shared" si="1"/>
        <v>74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3</v>
      </c>
      <c r="E30" s="50">
        <v>0</v>
      </c>
      <c r="F30" s="50">
        <v>9</v>
      </c>
      <c r="G30" s="50">
        <v>0</v>
      </c>
      <c r="H30" s="50">
        <v>0</v>
      </c>
      <c r="I30" s="50">
        <v>1</v>
      </c>
      <c r="J30" s="50">
        <v>0</v>
      </c>
      <c r="K30" s="50">
        <v>2</v>
      </c>
      <c r="L30" s="50">
        <v>1</v>
      </c>
      <c r="M30" s="50">
        <v>39</v>
      </c>
      <c r="N30" s="50">
        <v>0</v>
      </c>
      <c r="O30" s="15">
        <f t="shared" si="0"/>
        <v>22</v>
      </c>
      <c r="P30" s="15">
        <f t="shared" si="1"/>
        <v>61</v>
      </c>
    </row>
    <row r="31" spans="2:32" ht="23.1" customHeight="1" x14ac:dyDescent="0.25">
      <c r="B31" s="24" t="s">
        <v>58</v>
      </c>
      <c r="C31" s="50">
        <v>5</v>
      </c>
      <c r="D31" s="50">
        <v>12</v>
      </c>
      <c r="E31" s="50">
        <v>1</v>
      </c>
      <c r="F31" s="50">
        <v>7</v>
      </c>
      <c r="G31" s="50">
        <v>0</v>
      </c>
      <c r="H31" s="50">
        <v>2</v>
      </c>
      <c r="I31" s="50">
        <v>5</v>
      </c>
      <c r="J31" s="50">
        <v>3</v>
      </c>
      <c r="K31" s="50">
        <v>0</v>
      </c>
      <c r="L31" s="50">
        <v>0</v>
      </c>
      <c r="M31" s="50">
        <v>29</v>
      </c>
      <c r="N31" s="50">
        <v>0</v>
      </c>
      <c r="O31" s="15">
        <f t="shared" si="0"/>
        <v>35</v>
      </c>
      <c r="P31" s="15">
        <f t="shared" si="1"/>
        <v>64</v>
      </c>
    </row>
    <row r="32" spans="2:32" ht="23.1" customHeight="1" x14ac:dyDescent="0.25">
      <c r="B32" s="24" t="s">
        <v>59</v>
      </c>
      <c r="C32" s="50">
        <v>10</v>
      </c>
      <c r="D32" s="50">
        <v>3</v>
      </c>
      <c r="E32" s="50">
        <v>2</v>
      </c>
      <c r="F32" s="50">
        <v>9</v>
      </c>
      <c r="G32" s="50">
        <v>0</v>
      </c>
      <c r="H32" s="50">
        <v>1</v>
      </c>
      <c r="I32" s="50">
        <v>3</v>
      </c>
      <c r="J32" s="50">
        <v>2</v>
      </c>
      <c r="K32" s="50">
        <v>0</v>
      </c>
      <c r="L32" s="50">
        <v>0</v>
      </c>
      <c r="M32" s="50">
        <v>39</v>
      </c>
      <c r="N32" s="50">
        <v>0</v>
      </c>
      <c r="O32" s="15">
        <f t="shared" si="0"/>
        <v>30</v>
      </c>
      <c r="P32" s="15">
        <f t="shared" si="1"/>
        <v>69</v>
      </c>
    </row>
    <row r="33" spans="2:20" ht="23.1" customHeight="1" x14ac:dyDescent="0.25">
      <c r="B33" s="23" t="s">
        <v>60</v>
      </c>
      <c r="C33" s="50">
        <v>10</v>
      </c>
      <c r="D33" s="50">
        <v>4</v>
      </c>
      <c r="E33" s="50">
        <v>1</v>
      </c>
      <c r="F33" s="50">
        <v>12</v>
      </c>
      <c r="G33" s="50">
        <v>0</v>
      </c>
      <c r="H33" s="50">
        <v>1</v>
      </c>
      <c r="I33" s="50">
        <v>3</v>
      </c>
      <c r="J33" s="50">
        <v>3</v>
      </c>
      <c r="K33" s="50">
        <v>1</v>
      </c>
      <c r="L33" s="50">
        <v>1</v>
      </c>
      <c r="M33" s="50">
        <v>37</v>
      </c>
      <c r="N33" s="50">
        <v>0</v>
      </c>
      <c r="O33" s="15">
        <f t="shared" si="0"/>
        <v>36</v>
      </c>
      <c r="P33" s="15">
        <f t="shared" si="1"/>
        <v>73</v>
      </c>
    </row>
    <row r="34" spans="2:20" ht="23.1" customHeight="1" x14ac:dyDescent="0.25">
      <c r="B34" s="24" t="s">
        <v>61</v>
      </c>
      <c r="C34" s="50">
        <v>3</v>
      </c>
      <c r="D34" s="50">
        <v>4</v>
      </c>
      <c r="E34" s="50">
        <v>1</v>
      </c>
      <c r="F34" s="50">
        <v>18</v>
      </c>
      <c r="G34" s="50">
        <v>0</v>
      </c>
      <c r="H34" s="50">
        <v>0</v>
      </c>
      <c r="I34" s="50">
        <v>3</v>
      </c>
      <c r="J34" s="50">
        <v>3</v>
      </c>
      <c r="K34" s="50">
        <v>0</v>
      </c>
      <c r="L34" s="50">
        <v>0</v>
      </c>
      <c r="M34" s="50">
        <v>40</v>
      </c>
      <c r="N34" s="50">
        <v>0</v>
      </c>
      <c r="O34" s="15">
        <f t="shared" si="0"/>
        <v>32</v>
      </c>
      <c r="P34" s="15">
        <f t="shared" si="1"/>
        <v>72</v>
      </c>
    </row>
    <row r="35" spans="2:20" ht="23.1" customHeight="1" x14ac:dyDescent="0.25">
      <c r="B35" s="24" t="s">
        <v>62</v>
      </c>
      <c r="C35" s="50">
        <v>8</v>
      </c>
      <c r="D35" s="50">
        <v>4</v>
      </c>
      <c r="E35" s="50">
        <v>3</v>
      </c>
      <c r="F35" s="50">
        <v>9</v>
      </c>
      <c r="G35" s="50">
        <v>0</v>
      </c>
      <c r="H35" s="50">
        <v>0</v>
      </c>
      <c r="I35" s="50">
        <v>2</v>
      </c>
      <c r="J35" s="50">
        <v>1</v>
      </c>
      <c r="K35" s="50">
        <v>1</v>
      </c>
      <c r="L35" s="50">
        <v>1</v>
      </c>
      <c r="M35" s="50">
        <v>43</v>
      </c>
      <c r="N35" s="50">
        <v>0</v>
      </c>
      <c r="O35" s="15">
        <f t="shared" si="0"/>
        <v>29</v>
      </c>
      <c r="P35" s="15">
        <f t="shared" si="1"/>
        <v>72</v>
      </c>
    </row>
    <row r="36" spans="2:20" ht="23.1" customHeight="1" x14ac:dyDescent="0.25">
      <c r="B36" s="24" t="s">
        <v>63</v>
      </c>
      <c r="C36" s="50">
        <v>4</v>
      </c>
      <c r="D36" s="50">
        <v>6</v>
      </c>
      <c r="E36" s="50">
        <v>2</v>
      </c>
      <c r="F36" s="50">
        <v>8</v>
      </c>
      <c r="G36" s="50">
        <v>0</v>
      </c>
      <c r="H36" s="50">
        <v>1</v>
      </c>
      <c r="I36" s="50">
        <v>4</v>
      </c>
      <c r="J36" s="50">
        <v>1</v>
      </c>
      <c r="K36" s="50">
        <v>2</v>
      </c>
      <c r="L36" s="50">
        <v>1</v>
      </c>
      <c r="M36" s="50">
        <v>36</v>
      </c>
      <c r="N36" s="50">
        <v>0</v>
      </c>
      <c r="O36" s="15">
        <f t="shared" si="0"/>
        <v>29</v>
      </c>
      <c r="P36" s="15">
        <f t="shared" si="1"/>
        <v>65</v>
      </c>
    </row>
    <row r="37" spans="2:20" ht="23.1" customHeight="1" x14ac:dyDescent="0.25">
      <c r="B37" s="23" t="s">
        <v>64</v>
      </c>
      <c r="C37" s="50">
        <v>8</v>
      </c>
      <c r="D37" s="50">
        <v>3</v>
      </c>
      <c r="E37" s="50">
        <v>6</v>
      </c>
      <c r="F37" s="50">
        <v>7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39</v>
      </c>
      <c r="N37" s="50">
        <v>0</v>
      </c>
      <c r="O37" s="15">
        <f t="shared" si="0"/>
        <v>27</v>
      </c>
      <c r="P37" s="15">
        <f t="shared" si="1"/>
        <v>66</v>
      </c>
    </row>
    <row r="38" spans="2:20" ht="23.1" customHeight="1" x14ac:dyDescent="0.25">
      <c r="B38" s="24" t="s">
        <v>65</v>
      </c>
      <c r="C38" s="50">
        <v>6</v>
      </c>
      <c r="D38" s="50">
        <v>4</v>
      </c>
      <c r="E38" s="50">
        <v>3</v>
      </c>
      <c r="F38" s="50">
        <v>8</v>
      </c>
      <c r="G38" s="50">
        <v>0</v>
      </c>
      <c r="H38" s="50">
        <v>1</v>
      </c>
      <c r="I38" s="50">
        <v>5</v>
      </c>
      <c r="J38" s="50">
        <v>1</v>
      </c>
      <c r="K38" s="50">
        <v>0</v>
      </c>
      <c r="L38" s="50">
        <v>0</v>
      </c>
      <c r="M38" s="50">
        <v>41</v>
      </c>
      <c r="N38" s="50">
        <v>0</v>
      </c>
      <c r="O38" s="15">
        <f t="shared" si="0"/>
        <v>28</v>
      </c>
      <c r="P38" s="15">
        <f t="shared" si="1"/>
        <v>69</v>
      </c>
    </row>
    <row r="39" spans="2:20" ht="23.1" customHeight="1" x14ac:dyDescent="0.25">
      <c r="B39" s="24" t="s">
        <v>66</v>
      </c>
      <c r="C39" s="50">
        <v>7</v>
      </c>
      <c r="D39" s="50">
        <v>5</v>
      </c>
      <c r="E39" s="50">
        <v>2</v>
      </c>
      <c r="F39" s="50">
        <v>11</v>
      </c>
      <c r="G39" s="50">
        <v>1</v>
      </c>
      <c r="H39" s="50">
        <v>0</v>
      </c>
      <c r="I39" s="50">
        <v>4</v>
      </c>
      <c r="J39" s="50">
        <v>5</v>
      </c>
      <c r="K39" s="50">
        <v>0</v>
      </c>
      <c r="L39" s="50">
        <v>0</v>
      </c>
      <c r="M39" s="50">
        <v>50</v>
      </c>
      <c r="N39" s="50">
        <v>0</v>
      </c>
      <c r="O39" s="15">
        <f t="shared" si="0"/>
        <v>35</v>
      </c>
      <c r="P39" s="15">
        <f t="shared" si="1"/>
        <v>85</v>
      </c>
    </row>
    <row r="40" spans="2:20" ht="23.1" customHeight="1" x14ac:dyDescent="0.25">
      <c r="B40" s="24" t="s">
        <v>67</v>
      </c>
      <c r="C40" s="50">
        <v>12</v>
      </c>
      <c r="D40" s="50">
        <v>3</v>
      </c>
      <c r="E40" s="50">
        <v>2</v>
      </c>
      <c r="F40" s="50">
        <v>9</v>
      </c>
      <c r="G40" s="50">
        <v>0</v>
      </c>
      <c r="H40" s="50">
        <v>1</v>
      </c>
      <c r="I40" s="50">
        <v>4</v>
      </c>
      <c r="J40" s="50">
        <v>1</v>
      </c>
      <c r="K40" s="50">
        <v>1</v>
      </c>
      <c r="L40" s="50">
        <v>0</v>
      </c>
      <c r="M40" s="50">
        <v>41</v>
      </c>
      <c r="N40" s="50">
        <v>0</v>
      </c>
      <c r="O40" s="15">
        <f t="shared" si="0"/>
        <v>33</v>
      </c>
      <c r="P40" s="15">
        <f t="shared" si="1"/>
        <v>74</v>
      </c>
    </row>
    <row r="41" spans="2:20" ht="23.1" customHeight="1" x14ac:dyDescent="0.25">
      <c r="B41" s="23" t="s">
        <v>68</v>
      </c>
      <c r="C41" s="50">
        <v>7</v>
      </c>
      <c r="D41" s="50">
        <v>4</v>
      </c>
      <c r="E41" s="50">
        <v>3</v>
      </c>
      <c r="F41" s="50">
        <v>10</v>
      </c>
      <c r="G41" s="50">
        <v>1</v>
      </c>
      <c r="H41" s="50">
        <v>3</v>
      </c>
      <c r="I41" s="50">
        <v>2</v>
      </c>
      <c r="J41" s="50">
        <v>2</v>
      </c>
      <c r="K41" s="50">
        <v>1</v>
      </c>
      <c r="L41" s="50">
        <v>2</v>
      </c>
      <c r="M41" s="50">
        <v>51</v>
      </c>
      <c r="N41" s="50">
        <v>0</v>
      </c>
      <c r="O41" s="15">
        <f t="shared" si="0"/>
        <v>35</v>
      </c>
      <c r="P41" s="15">
        <f t="shared" si="1"/>
        <v>86</v>
      </c>
    </row>
    <row r="42" spans="2:20" ht="23.1" customHeight="1" x14ac:dyDescent="0.25">
      <c r="B42" s="24" t="s">
        <v>69</v>
      </c>
      <c r="C42" s="50">
        <v>12</v>
      </c>
      <c r="D42" s="50">
        <v>3</v>
      </c>
      <c r="E42" s="50">
        <v>3</v>
      </c>
      <c r="F42" s="50">
        <v>11</v>
      </c>
      <c r="G42" s="50">
        <v>0</v>
      </c>
      <c r="H42" s="50">
        <v>1</v>
      </c>
      <c r="I42" s="50">
        <v>3</v>
      </c>
      <c r="J42" s="50">
        <v>0</v>
      </c>
      <c r="K42" s="50">
        <v>1</v>
      </c>
      <c r="L42" s="50">
        <v>0</v>
      </c>
      <c r="M42" s="50">
        <v>40</v>
      </c>
      <c r="N42" s="50">
        <v>0</v>
      </c>
      <c r="O42" s="15">
        <f t="shared" si="0"/>
        <v>34</v>
      </c>
      <c r="P42" s="15">
        <f t="shared" si="1"/>
        <v>74</v>
      </c>
    </row>
    <row r="43" spans="2:20" ht="23.1" customHeight="1" x14ac:dyDescent="0.25">
      <c r="B43" s="23" t="s">
        <v>70</v>
      </c>
      <c r="C43" s="50">
        <v>7</v>
      </c>
      <c r="D43" s="50">
        <v>2</v>
      </c>
      <c r="E43" s="50">
        <v>3</v>
      </c>
      <c r="F43" s="50">
        <v>10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35</v>
      </c>
      <c r="N43" s="50">
        <v>0</v>
      </c>
      <c r="O43" s="15">
        <f t="shared" si="0"/>
        <v>24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10</v>
      </c>
      <c r="D44" s="50">
        <v>3</v>
      </c>
      <c r="E44" s="50">
        <v>3</v>
      </c>
      <c r="F44" s="50">
        <v>8</v>
      </c>
      <c r="G44" s="50">
        <v>0</v>
      </c>
      <c r="H44" s="50">
        <v>2</v>
      </c>
      <c r="I44" s="50">
        <v>4</v>
      </c>
      <c r="J44" s="50">
        <v>5</v>
      </c>
      <c r="K44" s="50">
        <v>0</v>
      </c>
      <c r="L44" s="50">
        <v>0</v>
      </c>
      <c r="M44" s="50">
        <v>39</v>
      </c>
      <c r="N44" s="50">
        <v>0</v>
      </c>
      <c r="O44" s="15">
        <f t="shared" si="0"/>
        <v>35</v>
      </c>
      <c r="P44" s="15">
        <f t="shared" si="1"/>
        <v>74</v>
      </c>
    </row>
    <row r="45" spans="2:20" ht="23.1" customHeight="1" x14ac:dyDescent="0.25">
      <c r="B45" s="23" t="s">
        <v>72</v>
      </c>
      <c r="C45" s="50">
        <v>13</v>
      </c>
      <c r="D45" s="50">
        <v>7</v>
      </c>
      <c r="E45" s="50">
        <v>5</v>
      </c>
      <c r="F45" s="50">
        <v>4</v>
      </c>
      <c r="G45" s="50">
        <v>0</v>
      </c>
      <c r="H45" s="50">
        <v>0</v>
      </c>
      <c r="I45" s="50">
        <v>2</v>
      </c>
      <c r="J45" s="50">
        <v>3</v>
      </c>
      <c r="K45" s="50">
        <v>0</v>
      </c>
      <c r="L45" s="50">
        <v>0</v>
      </c>
      <c r="M45" s="50">
        <v>54</v>
      </c>
      <c r="N45" s="50">
        <v>0</v>
      </c>
      <c r="O45" s="15">
        <f t="shared" si="0"/>
        <v>34</v>
      </c>
      <c r="P45" s="15">
        <f t="shared" si="1"/>
        <v>88</v>
      </c>
    </row>
    <row r="46" spans="2:20" ht="23.1" customHeight="1" x14ac:dyDescent="0.25">
      <c r="B46" s="24" t="s">
        <v>73</v>
      </c>
      <c r="C46" s="50">
        <v>10</v>
      </c>
      <c r="D46" s="50">
        <v>5</v>
      </c>
      <c r="E46" s="50">
        <v>2</v>
      </c>
      <c r="F46" s="50">
        <v>9</v>
      </c>
      <c r="G46" s="50">
        <v>0</v>
      </c>
      <c r="H46" s="50">
        <v>1</v>
      </c>
      <c r="I46" s="50">
        <v>5</v>
      </c>
      <c r="J46" s="50">
        <v>2</v>
      </c>
      <c r="K46" s="50">
        <v>1</v>
      </c>
      <c r="L46" s="50">
        <v>2</v>
      </c>
      <c r="M46" s="50">
        <v>58</v>
      </c>
      <c r="N46" s="50">
        <v>0</v>
      </c>
      <c r="O46" s="15">
        <f t="shared" si="0"/>
        <v>37</v>
      </c>
      <c r="P46" s="15">
        <f t="shared" si="1"/>
        <v>95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5</v>
      </c>
      <c r="E47" s="50">
        <v>2</v>
      </c>
      <c r="F47" s="50">
        <v>12</v>
      </c>
      <c r="G47" s="50">
        <v>0</v>
      </c>
      <c r="H47" s="50">
        <v>1</v>
      </c>
      <c r="I47" s="50">
        <v>2</v>
      </c>
      <c r="J47" s="50">
        <v>2</v>
      </c>
      <c r="K47" s="50">
        <v>0</v>
      </c>
      <c r="L47" s="50">
        <v>2</v>
      </c>
      <c r="M47" s="50">
        <v>50</v>
      </c>
      <c r="N47" s="50">
        <v>0</v>
      </c>
      <c r="O47" s="15">
        <f t="shared" si="0"/>
        <v>35</v>
      </c>
      <c r="P47" s="15">
        <f t="shared" si="1"/>
        <v>85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4</v>
      </c>
      <c r="E48" s="50">
        <v>1</v>
      </c>
      <c r="F48" s="50">
        <v>13</v>
      </c>
      <c r="G48" s="50">
        <v>0</v>
      </c>
      <c r="H48" s="50">
        <v>1</v>
      </c>
      <c r="I48" s="50">
        <v>3</v>
      </c>
      <c r="J48" s="50">
        <v>2</v>
      </c>
      <c r="K48" s="50">
        <v>3</v>
      </c>
      <c r="L48" s="50">
        <v>1</v>
      </c>
      <c r="M48" s="50">
        <v>42</v>
      </c>
      <c r="N48" s="50">
        <v>0</v>
      </c>
      <c r="O48" s="15">
        <f t="shared" si="0"/>
        <v>38</v>
      </c>
      <c r="P48" s="15">
        <f t="shared" si="1"/>
        <v>80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3</v>
      </c>
      <c r="E49" s="50">
        <v>0</v>
      </c>
      <c r="F49" s="50">
        <v>11</v>
      </c>
      <c r="G49" s="50">
        <v>0</v>
      </c>
      <c r="H49" s="50">
        <v>0</v>
      </c>
      <c r="I49" s="50">
        <v>2</v>
      </c>
      <c r="J49" s="50">
        <v>3</v>
      </c>
      <c r="K49" s="50">
        <v>0</v>
      </c>
      <c r="L49" s="50">
        <v>0</v>
      </c>
      <c r="M49" s="50">
        <v>60</v>
      </c>
      <c r="N49" s="50">
        <v>0</v>
      </c>
      <c r="O49" s="15">
        <f t="shared" si="0"/>
        <v>28</v>
      </c>
      <c r="P49" s="15">
        <f t="shared" si="1"/>
        <v>88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10</v>
      </c>
      <c r="E50" s="50">
        <v>3</v>
      </c>
      <c r="F50" s="50">
        <v>11</v>
      </c>
      <c r="G50" s="50">
        <v>1</v>
      </c>
      <c r="H50" s="50">
        <v>0</v>
      </c>
      <c r="I50" s="50">
        <v>3</v>
      </c>
      <c r="J50" s="50">
        <v>5</v>
      </c>
      <c r="K50" s="50">
        <v>0</v>
      </c>
      <c r="L50" s="50">
        <v>1</v>
      </c>
      <c r="M50" s="50">
        <v>47</v>
      </c>
      <c r="N50" s="50">
        <v>0</v>
      </c>
      <c r="O50" s="15">
        <f t="shared" si="0"/>
        <v>44</v>
      </c>
      <c r="P50" s="15">
        <f t="shared" si="1"/>
        <v>91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4</v>
      </c>
      <c r="E51" s="50">
        <v>0</v>
      </c>
      <c r="F51" s="50">
        <v>10</v>
      </c>
      <c r="G51" s="50">
        <v>0</v>
      </c>
      <c r="H51" s="50">
        <v>2</v>
      </c>
      <c r="I51" s="50">
        <v>4</v>
      </c>
      <c r="J51" s="50">
        <v>4</v>
      </c>
      <c r="K51" s="50">
        <v>0</v>
      </c>
      <c r="L51" s="50">
        <v>2</v>
      </c>
      <c r="M51" s="50">
        <v>46</v>
      </c>
      <c r="N51" s="50">
        <v>0</v>
      </c>
      <c r="O51" s="15">
        <f t="shared" si="0"/>
        <v>33</v>
      </c>
      <c r="P51" s="15">
        <f t="shared" si="1"/>
        <v>79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3</v>
      </c>
      <c r="E52" s="50">
        <v>0</v>
      </c>
      <c r="F52" s="50">
        <v>8</v>
      </c>
      <c r="G52" s="50">
        <v>0</v>
      </c>
      <c r="H52" s="50">
        <v>0</v>
      </c>
      <c r="I52" s="50">
        <v>3</v>
      </c>
      <c r="J52" s="50">
        <v>4</v>
      </c>
      <c r="K52" s="50">
        <v>0</v>
      </c>
      <c r="L52" s="50">
        <v>1</v>
      </c>
      <c r="M52" s="50">
        <v>60</v>
      </c>
      <c r="N52" s="50">
        <v>0</v>
      </c>
      <c r="O52" s="15">
        <f t="shared" si="0"/>
        <v>27</v>
      </c>
      <c r="P52" s="15">
        <f t="shared" si="1"/>
        <v>87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5</v>
      </c>
      <c r="E53" s="50">
        <v>1</v>
      </c>
      <c r="F53" s="50">
        <v>11</v>
      </c>
      <c r="G53" s="50">
        <v>0</v>
      </c>
      <c r="H53" s="50">
        <v>1</v>
      </c>
      <c r="I53" s="50">
        <v>2</v>
      </c>
      <c r="J53" s="50">
        <v>0</v>
      </c>
      <c r="K53" s="50">
        <v>0</v>
      </c>
      <c r="L53" s="50">
        <v>1</v>
      </c>
      <c r="M53" s="50">
        <v>55</v>
      </c>
      <c r="N53" s="50">
        <v>0</v>
      </c>
      <c r="O53" s="15">
        <f t="shared" si="0"/>
        <v>29</v>
      </c>
      <c r="P53" s="15">
        <f t="shared" si="1"/>
        <v>84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4</v>
      </c>
      <c r="E54" s="50">
        <v>0</v>
      </c>
      <c r="F54" s="50">
        <v>8</v>
      </c>
      <c r="G54" s="50">
        <v>0</v>
      </c>
      <c r="H54" s="50">
        <v>0</v>
      </c>
      <c r="I54" s="50">
        <v>3</v>
      </c>
      <c r="J54" s="50">
        <v>3</v>
      </c>
      <c r="K54" s="50">
        <v>2</v>
      </c>
      <c r="L54" s="50">
        <v>1</v>
      </c>
      <c r="M54" s="50">
        <v>51</v>
      </c>
      <c r="N54" s="50">
        <v>0</v>
      </c>
      <c r="O54" s="15">
        <f t="shared" si="0"/>
        <v>29</v>
      </c>
      <c r="P54" s="15">
        <f t="shared" si="1"/>
        <v>80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6</v>
      </c>
      <c r="E55" s="50">
        <v>0</v>
      </c>
      <c r="F55" s="50">
        <v>5</v>
      </c>
      <c r="G55" s="50">
        <v>0</v>
      </c>
      <c r="H55" s="50">
        <v>0</v>
      </c>
      <c r="I55" s="50">
        <v>4</v>
      </c>
      <c r="J55" s="50">
        <v>2</v>
      </c>
      <c r="K55" s="50">
        <v>3</v>
      </c>
      <c r="L55" s="50">
        <v>2</v>
      </c>
      <c r="M55" s="50">
        <v>51</v>
      </c>
      <c r="N55" s="50">
        <v>0</v>
      </c>
      <c r="O55" s="15">
        <f t="shared" si="0"/>
        <v>27</v>
      </c>
      <c r="P55" s="15">
        <f t="shared" si="1"/>
        <v>78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3</v>
      </c>
      <c r="E56" s="50">
        <v>2</v>
      </c>
      <c r="F56" s="50">
        <v>11</v>
      </c>
      <c r="G56" s="50">
        <v>0</v>
      </c>
      <c r="H56" s="50">
        <v>2</v>
      </c>
      <c r="I56" s="50">
        <v>4</v>
      </c>
      <c r="J56" s="50">
        <v>3</v>
      </c>
      <c r="K56" s="50">
        <v>2</v>
      </c>
      <c r="L56" s="50">
        <v>0</v>
      </c>
      <c r="M56" s="50">
        <v>53</v>
      </c>
      <c r="N56" s="50">
        <v>0</v>
      </c>
      <c r="O56" s="15">
        <f t="shared" si="0"/>
        <v>38</v>
      </c>
      <c r="P56" s="15">
        <f t="shared" si="1"/>
        <v>91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2</v>
      </c>
      <c r="E57" s="50">
        <v>0</v>
      </c>
      <c r="F57" s="50">
        <v>4</v>
      </c>
      <c r="G57" s="50">
        <v>0</v>
      </c>
      <c r="H57" s="50">
        <v>0</v>
      </c>
      <c r="I57" s="50">
        <v>5</v>
      </c>
      <c r="J57" s="50">
        <v>2</v>
      </c>
      <c r="K57" s="50">
        <v>0</v>
      </c>
      <c r="L57" s="50">
        <v>0</v>
      </c>
      <c r="M57" s="50">
        <v>53</v>
      </c>
      <c r="N57" s="50">
        <v>0</v>
      </c>
      <c r="O57" s="15">
        <f t="shared" si="0"/>
        <v>21</v>
      </c>
      <c r="P57" s="15">
        <f t="shared" si="1"/>
        <v>74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379</v>
      </c>
      <c r="D58" s="16">
        <f t="shared" si="21"/>
        <v>188</v>
      </c>
      <c r="E58" s="16">
        <f t="shared" si="21"/>
        <v>79</v>
      </c>
      <c r="F58" s="16">
        <f t="shared" si="21"/>
        <v>374</v>
      </c>
      <c r="G58" s="16">
        <f t="shared" si="21"/>
        <v>3</v>
      </c>
      <c r="H58" s="16">
        <f t="shared" si="21"/>
        <v>26</v>
      </c>
      <c r="I58" s="16">
        <f t="shared" si="21"/>
        <v>131</v>
      </c>
      <c r="J58" s="16">
        <f t="shared" si="21"/>
        <v>103</v>
      </c>
      <c r="K58" s="16">
        <f t="shared" si="21"/>
        <v>31</v>
      </c>
      <c r="L58" s="16">
        <f t="shared" si="21"/>
        <v>26</v>
      </c>
      <c r="M58" s="16">
        <f t="shared" si="21"/>
        <v>2113</v>
      </c>
      <c r="N58" s="16">
        <f t="shared" si="21"/>
        <v>0</v>
      </c>
      <c r="O58" s="16">
        <f t="shared" si="21"/>
        <v>1340</v>
      </c>
      <c r="P58" s="16">
        <f t="shared" si="21"/>
        <v>3453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0.10975962930784824</v>
      </c>
      <c r="D59" s="43">
        <f t="shared" si="22"/>
        <v>5.4445409788589631E-2</v>
      </c>
      <c r="E59" s="43">
        <f t="shared" si="22"/>
        <v>2.28786562409499E-2</v>
      </c>
      <c r="F59" s="43">
        <f t="shared" si="22"/>
        <v>0.10831161309006661</v>
      </c>
      <c r="G59" s="43">
        <f t="shared" si="22"/>
        <v>8.6880973066898344E-4</v>
      </c>
      <c r="H59" s="43">
        <f t="shared" si="22"/>
        <v>7.5296843324645238E-3</v>
      </c>
      <c r="I59" s="43">
        <f t="shared" si="22"/>
        <v>3.7938024905878949E-2</v>
      </c>
      <c r="J59" s="43">
        <f t="shared" si="22"/>
        <v>2.9829134086301768E-2</v>
      </c>
      <c r="K59" s="43">
        <f t="shared" si="22"/>
        <v>8.9777005502461628E-3</v>
      </c>
      <c r="L59" s="43">
        <f t="shared" si="22"/>
        <v>7.5296843324645238E-3</v>
      </c>
      <c r="M59" s="43">
        <f t="shared" si="22"/>
        <v>0.61193165363452073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0.28283582089552239</v>
      </c>
      <c r="D60" s="44">
        <f t="shared" ref="D60:N60" si="23">D58/$O$58</f>
        <v>0.14029850746268657</v>
      </c>
      <c r="E60" s="44">
        <f t="shared" si="23"/>
        <v>5.8955223880597013E-2</v>
      </c>
      <c r="F60" s="44">
        <f t="shared" si="23"/>
        <v>0.27910447761194029</v>
      </c>
      <c r="G60" s="44">
        <f t="shared" si="23"/>
        <v>2.2388059701492539E-3</v>
      </c>
      <c r="H60" s="44">
        <f t="shared" si="23"/>
        <v>1.9402985074626865E-2</v>
      </c>
      <c r="I60" s="44">
        <f t="shared" si="23"/>
        <v>9.7761194029850743E-2</v>
      </c>
      <c r="J60" s="44">
        <f t="shared" si="23"/>
        <v>7.6865671641791047E-2</v>
      </c>
      <c r="K60" s="44">
        <f t="shared" si="23"/>
        <v>2.3134328358208955E-2</v>
      </c>
      <c r="L60" s="44">
        <f t="shared" si="23"/>
        <v>1.9402985074626865E-2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'17.10  MUBENDE-MITYANA'!C3:G3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'22.10 MITYANA-MUBENDE'!D5</f>
        <v>22.10.19</v>
      </c>
      <c r="E5" s="3"/>
      <c r="F5" s="41" t="s">
        <v>1</v>
      </c>
      <c r="G5" s="60" t="s">
        <v>166</v>
      </c>
      <c r="H5" s="61"/>
      <c r="I5" s="14"/>
      <c r="J5" s="2" t="s">
        <v>5</v>
      </c>
      <c r="K5" s="60" t="s">
        <v>170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'17.10  MUBENDE-MITYANA'!D6:E6</f>
        <v>MUBENDE</v>
      </c>
      <c r="E6" s="61"/>
      <c r="F6" s="2" t="s">
        <v>2</v>
      </c>
      <c r="G6" s="60" t="str">
        <f>'17.10  MUBENDE-MITYANA'!G6:H6</f>
        <v>MITYANA</v>
      </c>
      <c r="H6" s="61"/>
      <c r="J6" s="2" t="s">
        <v>21</v>
      </c>
      <c r="K6" s="60" t="str">
        <f>'23.10 MITYANA-MUBENDE'!K6:L6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3</v>
      </c>
      <c r="E10" s="50">
        <v>1</v>
      </c>
      <c r="F10" s="50">
        <v>6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36</v>
      </c>
      <c r="N10" s="50">
        <v>0</v>
      </c>
      <c r="O10" s="15">
        <f t="shared" ref="O10:O57" si="0">SUM(C10:L10,N10)</f>
        <v>18</v>
      </c>
      <c r="P10" s="15">
        <f t="shared" ref="P10:P57" si="1">SUM(C10:N10)</f>
        <v>54</v>
      </c>
      <c r="R10" s="1" t="s">
        <v>6</v>
      </c>
      <c r="S10" s="17">
        <f t="shared" ref="S10:AF10" si="2">SUM(C10:C13)</f>
        <v>27</v>
      </c>
      <c r="T10" s="17">
        <f t="shared" si="2"/>
        <v>5</v>
      </c>
      <c r="U10" s="17">
        <f t="shared" si="2"/>
        <v>4</v>
      </c>
      <c r="V10" s="17">
        <f t="shared" si="2"/>
        <v>24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6</v>
      </c>
      <c r="AA10" s="17">
        <f t="shared" si="2"/>
        <v>0</v>
      </c>
      <c r="AB10" s="17">
        <f t="shared" si="2"/>
        <v>3</v>
      </c>
      <c r="AC10" s="17">
        <f t="shared" si="2"/>
        <v>173</v>
      </c>
      <c r="AD10" s="17">
        <f t="shared" si="2"/>
        <v>0</v>
      </c>
      <c r="AE10" s="31">
        <f t="shared" si="2"/>
        <v>71</v>
      </c>
      <c r="AF10" s="31">
        <f t="shared" si="2"/>
        <v>244</v>
      </c>
    </row>
    <row r="11" spans="2:32" s="6" customFormat="1" ht="23.1" customHeight="1" x14ac:dyDescent="0.25">
      <c r="B11" s="23" t="s">
        <v>38</v>
      </c>
      <c r="C11" s="50">
        <v>5</v>
      </c>
      <c r="D11" s="50">
        <v>0</v>
      </c>
      <c r="E11" s="50">
        <v>2</v>
      </c>
      <c r="F11" s="50">
        <v>4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1</v>
      </c>
      <c r="M11" s="50">
        <v>44</v>
      </c>
      <c r="N11" s="50">
        <v>0</v>
      </c>
      <c r="O11" s="15">
        <f t="shared" si="0"/>
        <v>14</v>
      </c>
      <c r="P11" s="15">
        <f t="shared" si="1"/>
        <v>58</v>
      </c>
      <c r="R11" s="1" t="s">
        <v>7</v>
      </c>
      <c r="S11" s="17">
        <f t="shared" ref="S11:AF11" si="3">SUM(C14:C17)</f>
        <v>19</v>
      </c>
      <c r="T11" s="17">
        <f t="shared" si="3"/>
        <v>9</v>
      </c>
      <c r="U11" s="17">
        <f t="shared" si="3"/>
        <v>1</v>
      </c>
      <c r="V11" s="17">
        <f t="shared" si="3"/>
        <v>27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3</v>
      </c>
      <c r="AA11" s="17">
        <f t="shared" si="3"/>
        <v>0</v>
      </c>
      <c r="AB11" s="17">
        <f t="shared" si="3"/>
        <v>3</v>
      </c>
      <c r="AC11" s="17">
        <f t="shared" si="3"/>
        <v>181</v>
      </c>
      <c r="AD11" s="17">
        <f t="shared" si="3"/>
        <v>0</v>
      </c>
      <c r="AE11" s="31">
        <f t="shared" si="3"/>
        <v>65</v>
      </c>
      <c r="AF11" s="31">
        <f t="shared" si="3"/>
        <v>246</v>
      </c>
    </row>
    <row r="12" spans="2:32" ht="23.1" customHeight="1" x14ac:dyDescent="0.25">
      <c r="B12" s="23" t="s">
        <v>39</v>
      </c>
      <c r="C12" s="50">
        <v>8</v>
      </c>
      <c r="D12" s="50">
        <v>1</v>
      </c>
      <c r="E12" s="50">
        <v>0</v>
      </c>
      <c r="F12" s="50">
        <v>11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1</v>
      </c>
      <c r="M12" s="50">
        <v>45</v>
      </c>
      <c r="N12" s="50">
        <v>0</v>
      </c>
      <c r="O12" s="15">
        <f t="shared" si="0"/>
        <v>23</v>
      </c>
      <c r="P12" s="15">
        <f t="shared" si="1"/>
        <v>68</v>
      </c>
      <c r="R12" s="1" t="s">
        <v>8</v>
      </c>
      <c r="S12" s="17">
        <f t="shared" ref="S12:AF12" si="4">SUM(C18:C21)</f>
        <v>31</v>
      </c>
      <c r="T12" s="17">
        <f t="shared" si="4"/>
        <v>8</v>
      </c>
      <c r="U12" s="17">
        <f t="shared" si="4"/>
        <v>1</v>
      </c>
      <c r="V12" s="17">
        <f t="shared" si="4"/>
        <v>25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2</v>
      </c>
      <c r="AA12" s="17">
        <f t="shared" si="4"/>
        <v>0</v>
      </c>
      <c r="AB12" s="17">
        <f t="shared" si="4"/>
        <v>3</v>
      </c>
      <c r="AC12" s="17">
        <f t="shared" si="4"/>
        <v>170</v>
      </c>
      <c r="AD12" s="17">
        <f t="shared" si="4"/>
        <v>0</v>
      </c>
      <c r="AE12" s="31">
        <f t="shared" si="4"/>
        <v>78</v>
      </c>
      <c r="AF12" s="31">
        <f t="shared" si="4"/>
        <v>248</v>
      </c>
    </row>
    <row r="13" spans="2:32" ht="23.1" customHeight="1" x14ac:dyDescent="0.25">
      <c r="B13" s="23" t="s">
        <v>40</v>
      </c>
      <c r="C13" s="50">
        <v>8</v>
      </c>
      <c r="D13" s="50">
        <v>1</v>
      </c>
      <c r="E13" s="50">
        <v>1</v>
      </c>
      <c r="F13" s="50">
        <v>3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1</v>
      </c>
      <c r="M13" s="50">
        <v>48</v>
      </c>
      <c r="N13" s="50">
        <v>0</v>
      </c>
      <c r="O13" s="15">
        <f t="shared" si="0"/>
        <v>16</v>
      </c>
      <c r="P13" s="15">
        <f t="shared" si="1"/>
        <v>64</v>
      </c>
      <c r="R13" s="1" t="s">
        <v>9</v>
      </c>
      <c r="S13" s="17">
        <f t="shared" ref="S13:AF13" si="5">SUM(C22:C25)</f>
        <v>20</v>
      </c>
      <c r="T13" s="17">
        <f t="shared" si="5"/>
        <v>5</v>
      </c>
      <c r="U13" s="17">
        <f t="shared" si="5"/>
        <v>6</v>
      </c>
      <c r="V13" s="17">
        <f t="shared" si="5"/>
        <v>28</v>
      </c>
      <c r="W13" s="17">
        <f t="shared" si="5"/>
        <v>1</v>
      </c>
      <c r="X13" s="17">
        <f t="shared" si="5"/>
        <v>0</v>
      </c>
      <c r="Y13" s="17">
        <f t="shared" si="5"/>
        <v>3</v>
      </c>
      <c r="Z13" s="17">
        <f t="shared" si="5"/>
        <v>3</v>
      </c>
      <c r="AA13" s="17">
        <f t="shared" si="5"/>
        <v>0</v>
      </c>
      <c r="AB13" s="17">
        <f t="shared" si="5"/>
        <v>4</v>
      </c>
      <c r="AC13" s="17">
        <f t="shared" si="5"/>
        <v>142</v>
      </c>
      <c r="AD13" s="17">
        <f t="shared" si="5"/>
        <v>0</v>
      </c>
      <c r="AE13" s="31">
        <f t="shared" si="5"/>
        <v>70</v>
      </c>
      <c r="AF13" s="31">
        <f t="shared" si="5"/>
        <v>212</v>
      </c>
    </row>
    <row r="14" spans="2:32" ht="23.1" customHeight="1" x14ac:dyDescent="0.25">
      <c r="B14" s="23" t="s">
        <v>41</v>
      </c>
      <c r="C14" s="50">
        <v>2</v>
      </c>
      <c r="D14" s="50">
        <v>2</v>
      </c>
      <c r="E14" s="50">
        <v>0</v>
      </c>
      <c r="F14" s="50">
        <v>8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45</v>
      </c>
      <c r="N14" s="50">
        <v>0</v>
      </c>
      <c r="O14" s="15">
        <f t="shared" si="0"/>
        <v>13</v>
      </c>
      <c r="P14" s="15">
        <f t="shared" si="1"/>
        <v>58</v>
      </c>
      <c r="R14" s="1" t="s">
        <v>10</v>
      </c>
      <c r="S14" s="17">
        <f t="shared" ref="S14:AF14" si="6">SUM(C26:C29)</f>
        <v>18</v>
      </c>
      <c r="T14" s="17">
        <f t="shared" si="6"/>
        <v>6</v>
      </c>
      <c r="U14" s="17">
        <f t="shared" si="6"/>
        <v>4</v>
      </c>
      <c r="V14" s="17">
        <f t="shared" si="6"/>
        <v>24</v>
      </c>
      <c r="W14" s="17">
        <f t="shared" si="6"/>
        <v>0</v>
      </c>
      <c r="X14" s="17">
        <f t="shared" si="6"/>
        <v>1</v>
      </c>
      <c r="Y14" s="17">
        <f t="shared" si="6"/>
        <v>7</v>
      </c>
      <c r="Z14" s="17">
        <f t="shared" si="6"/>
        <v>6</v>
      </c>
      <c r="AA14" s="17">
        <f t="shared" si="6"/>
        <v>2</v>
      </c>
      <c r="AB14" s="17">
        <f t="shared" si="6"/>
        <v>5</v>
      </c>
      <c r="AC14" s="17">
        <f t="shared" si="6"/>
        <v>151</v>
      </c>
      <c r="AD14" s="17">
        <f t="shared" si="6"/>
        <v>0</v>
      </c>
      <c r="AE14" s="31">
        <f t="shared" si="6"/>
        <v>73</v>
      </c>
      <c r="AF14" s="31">
        <f t="shared" si="6"/>
        <v>224</v>
      </c>
    </row>
    <row r="15" spans="2:32" ht="23.1" customHeight="1" x14ac:dyDescent="0.25">
      <c r="B15" s="23" t="s">
        <v>42</v>
      </c>
      <c r="C15" s="50">
        <v>9</v>
      </c>
      <c r="D15" s="50">
        <v>2</v>
      </c>
      <c r="E15" s="50">
        <v>0</v>
      </c>
      <c r="F15" s="50">
        <v>11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1</v>
      </c>
      <c r="M15" s="50">
        <v>44</v>
      </c>
      <c r="N15" s="50">
        <v>0</v>
      </c>
      <c r="O15" s="15">
        <f t="shared" si="0"/>
        <v>24</v>
      </c>
      <c r="P15" s="15">
        <f t="shared" si="1"/>
        <v>68</v>
      </c>
      <c r="R15" s="1" t="s">
        <v>11</v>
      </c>
      <c r="S15" s="17">
        <f t="shared" ref="S15:AF15" si="7">SUM(C30:C33)</f>
        <v>24</v>
      </c>
      <c r="T15" s="17">
        <f t="shared" si="7"/>
        <v>4</v>
      </c>
      <c r="U15" s="17">
        <f t="shared" si="7"/>
        <v>6</v>
      </c>
      <c r="V15" s="17">
        <f t="shared" si="7"/>
        <v>25</v>
      </c>
      <c r="W15" s="17">
        <f t="shared" si="7"/>
        <v>1</v>
      </c>
      <c r="X15" s="17">
        <f t="shared" si="7"/>
        <v>2</v>
      </c>
      <c r="Y15" s="17">
        <f t="shared" si="7"/>
        <v>9</v>
      </c>
      <c r="Z15" s="17">
        <f t="shared" si="7"/>
        <v>4</v>
      </c>
      <c r="AA15" s="17">
        <f t="shared" si="7"/>
        <v>3</v>
      </c>
      <c r="AB15" s="17">
        <f t="shared" si="7"/>
        <v>3</v>
      </c>
      <c r="AC15" s="17">
        <f t="shared" si="7"/>
        <v>172</v>
      </c>
      <c r="AD15" s="17">
        <f t="shared" si="7"/>
        <v>0</v>
      </c>
      <c r="AE15" s="31">
        <f t="shared" si="7"/>
        <v>81</v>
      </c>
      <c r="AF15" s="31">
        <f t="shared" si="7"/>
        <v>253</v>
      </c>
    </row>
    <row r="16" spans="2:32" ht="23.1" customHeight="1" x14ac:dyDescent="0.25">
      <c r="B16" s="23" t="s">
        <v>43</v>
      </c>
      <c r="C16" s="50">
        <v>5</v>
      </c>
      <c r="D16" s="50">
        <v>2</v>
      </c>
      <c r="E16" s="50">
        <v>1</v>
      </c>
      <c r="F16" s="50">
        <v>4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46</v>
      </c>
      <c r="N16" s="50">
        <v>0</v>
      </c>
      <c r="O16" s="15">
        <f t="shared" si="0"/>
        <v>15</v>
      </c>
      <c r="P16" s="15">
        <f t="shared" si="1"/>
        <v>61</v>
      </c>
      <c r="R16" s="1" t="s">
        <v>12</v>
      </c>
      <c r="S16" s="17">
        <f t="shared" ref="S16:AF16" si="8">SUM(C34:C37)</f>
        <v>19</v>
      </c>
      <c r="T16" s="17">
        <f t="shared" si="8"/>
        <v>14</v>
      </c>
      <c r="U16" s="17">
        <f t="shared" si="8"/>
        <v>1</v>
      </c>
      <c r="V16" s="17">
        <f t="shared" si="8"/>
        <v>26</v>
      </c>
      <c r="W16" s="17">
        <f t="shared" si="8"/>
        <v>0</v>
      </c>
      <c r="X16" s="17">
        <f t="shared" si="8"/>
        <v>1</v>
      </c>
      <c r="Y16" s="17">
        <f t="shared" si="8"/>
        <v>15</v>
      </c>
      <c r="Z16" s="17">
        <f t="shared" si="8"/>
        <v>6</v>
      </c>
      <c r="AA16" s="17">
        <f t="shared" si="8"/>
        <v>1</v>
      </c>
      <c r="AB16" s="17">
        <f t="shared" si="8"/>
        <v>7</v>
      </c>
      <c r="AC16" s="17">
        <f t="shared" si="8"/>
        <v>172</v>
      </c>
      <c r="AD16" s="17">
        <f t="shared" si="8"/>
        <v>0</v>
      </c>
      <c r="AE16" s="31">
        <f t="shared" si="8"/>
        <v>90</v>
      </c>
      <c r="AF16" s="31">
        <f t="shared" si="8"/>
        <v>262</v>
      </c>
    </row>
    <row r="17" spans="2:32" ht="23.1" customHeight="1" x14ac:dyDescent="0.25">
      <c r="B17" s="23" t="s">
        <v>44</v>
      </c>
      <c r="C17" s="50">
        <v>3</v>
      </c>
      <c r="D17" s="50">
        <v>3</v>
      </c>
      <c r="E17" s="50">
        <v>0</v>
      </c>
      <c r="F17" s="50">
        <v>4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1</v>
      </c>
      <c r="M17" s="50">
        <v>46</v>
      </c>
      <c r="N17" s="50">
        <v>0</v>
      </c>
      <c r="O17" s="15">
        <f t="shared" si="0"/>
        <v>13</v>
      </c>
      <c r="P17" s="15">
        <f t="shared" si="1"/>
        <v>59</v>
      </c>
      <c r="R17" s="1" t="s">
        <v>13</v>
      </c>
      <c r="S17" s="17">
        <f t="shared" ref="S17:AF17" si="9">SUM(C38:C41)</f>
        <v>28</v>
      </c>
      <c r="T17" s="17">
        <f t="shared" si="9"/>
        <v>10</v>
      </c>
      <c r="U17" s="17">
        <f t="shared" si="9"/>
        <v>7</v>
      </c>
      <c r="V17" s="17">
        <f t="shared" si="9"/>
        <v>19</v>
      </c>
      <c r="W17" s="17">
        <f t="shared" si="9"/>
        <v>0</v>
      </c>
      <c r="X17" s="17">
        <f t="shared" si="9"/>
        <v>3</v>
      </c>
      <c r="Y17" s="17">
        <f t="shared" si="9"/>
        <v>5</v>
      </c>
      <c r="Z17" s="17">
        <f t="shared" si="9"/>
        <v>5</v>
      </c>
      <c r="AA17" s="17">
        <f t="shared" si="9"/>
        <v>3</v>
      </c>
      <c r="AB17" s="17">
        <f t="shared" si="9"/>
        <v>6</v>
      </c>
      <c r="AC17" s="17">
        <f t="shared" si="9"/>
        <v>184</v>
      </c>
      <c r="AD17" s="17">
        <f t="shared" si="9"/>
        <v>0</v>
      </c>
      <c r="AE17" s="31">
        <f t="shared" si="9"/>
        <v>86</v>
      </c>
      <c r="AF17" s="31">
        <f t="shared" si="9"/>
        <v>270</v>
      </c>
    </row>
    <row r="18" spans="2:32" ht="23.1" customHeight="1" x14ac:dyDescent="0.25">
      <c r="B18" s="23" t="s">
        <v>45</v>
      </c>
      <c r="C18" s="50">
        <v>7</v>
      </c>
      <c r="D18" s="50">
        <v>2</v>
      </c>
      <c r="E18" s="50">
        <v>0</v>
      </c>
      <c r="F18" s="50">
        <v>6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2</v>
      </c>
      <c r="M18" s="50">
        <v>35</v>
      </c>
      <c r="N18" s="50">
        <v>0</v>
      </c>
      <c r="O18" s="15">
        <f t="shared" si="0"/>
        <v>17</v>
      </c>
      <c r="P18" s="15">
        <f t="shared" si="1"/>
        <v>52</v>
      </c>
      <c r="R18" s="1" t="s">
        <v>14</v>
      </c>
      <c r="S18" s="17">
        <f t="shared" ref="S18:AF18" si="10">SUM(C42:C45)</f>
        <v>26</v>
      </c>
      <c r="T18" s="17">
        <f t="shared" si="10"/>
        <v>20</v>
      </c>
      <c r="U18" s="17">
        <f t="shared" si="10"/>
        <v>5</v>
      </c>
      <c r="V18" s="17">
        <f t="shared" si="10"/>
        <v>21</v>
      </c>
      <c r="W18" s="17">
        <f t="shared" si="10"/>
        <v>0</v>
      </c>
      <c r="X18" s="17">
        <f t="shared" si="10"/>
        <v>2</v>
      </c>
      <c r="Y18" s="17">
        <f t="shared" si="10"/>
        <v>7</v>
      </c>
      <c r="Z18" s="17">
        <f t="shared" si="10"/>
        <v>5</v>
      </c>
      <c r="AA18" s="17">
        <f t="shared" si="10"/>
        <v>1</v>
      </c>
      <c r="AB18" s="17">
        <f t="shared" si="10"/>
        <v>4</v>
      </c>
      <c r="AC18" s="17">
        <f t="shared" si="10"/>
        <v>144</v>
      </c>
      <c r="AD18" s="17">
        <f t="shared" si="10"/>
        <v>0</v>
      </c>
      <c r="AE18" s="31">
        <f t="shared" si="10"/>
        <v>91</v>
      </c>
      <c r="AF18" s="31">
        <f t="shared" si="10"/>
        <v>235</v>
      </c>
    </row>
    <row r="19" spans="2:32" ht="23.1" customHeight="1" x14ac:dyDescent="0.25">
      <c r="B19" s="23" t="s">
        <v>46</v>
      </c>
      <c r="C19" s="50">
        <v>13</v>
      </c>
      <c r="D19" s="50">
        <v>1</v>
      </c>
      <c r="E19" s="50">
        <v>0</v>
      </c>
      <c r="F19" s="50">
        <v>7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1</v>
      </c>
      <c r="M19" s="50">
        <v>55</v>
      </c>
      <c r="N19" s="50">
        <v>0</v>
      </c>
      <c r="O19" s="15">
        <f t="shared" si="0"/>
        <v>26</v>
      </c>
      <c r="P19" s="15">
        <f t="shared" si="1"/>
        <v>81</v>
      </c>
      <c r="R19" s="1" t="s">
        <v>15</v>
      </c>
      <c r="S19" s="17">
        <f t="shared" ref="S19:AF19" si="11">SUM(C46:C49)</f>
        <v>24</v>
      </c>
      <c r="T19" s="17">
        <f t="shared" si="11"/>
        <v>14</v>
      </c>
      <c r="U19" s="17">
        <f t="shared" si="11"/>
        <v>4</v>
      </c>
      <c r="V19" s="17">
        <f t="shared" si="11"/>
        <v>30</v>
      </c>
      <c r="W19" s="17">
        <f t="shared" si="11"/>
        <v>0</v>
      </c>
      <c r="X19" s="17">
        <f t="shared" si="11"/>
        <v>4</v>
      </c>
      <c r="Y19" s="17">
        <f t="shared" si="11"/>
        <v>7</v>
      </c>
      <c r="Z19" s="17">
        <f t="shared" si="11"/>
        <v>4</v>
      </c>
      <c r="AA19" s="17">
        <f t="shared" si="11"/>
        <v>2</v>
      </c>
      <c r="AB19" s="17">
        <f t="shared" si="11"/>
        <v>3</v>
      </c>
      <c r="AC19" s="17">
        <f t="shared" si="11"/>
        <v>189</v>
      </c>
      <c r="AD19" s="17">
        <f t="shared" si="11"/>
        <v>0</v>
      </c>
      <c r="AE19" s="31">
        <f t="shared" si="11"/>
        <v>92</v>
      </c>
      <c r="AF19" s="31">
        <f t="shared" si="11"/>
        <v>281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4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43</v>
      </c>
      <c r="N20" s="50">
        <v>0</v>
      </c>
      <c r="O20" s="15">
        <f t="shared" si="0"/>
        <v>9</v>
      </c>
      <c r="P20" s="15">
        <f t="shared" si="1"/>
        <v>52</v>
      </c>
      <c r="R20" s="1" t="s">
        <v>16</v>
      </c>
      <c r="S20" s="17">
        <f t="shared" ref="S20:AF20" si="12">SUM(C50:C53)</f>
        <v>55</v>
      </c>
      <c r="T20" s="17">
        <f t="shared" si="12"/>
        <v>18</v>
      </c>
      <c r="U20" s="17">
        <f t="shared" si="12"/>
        <v>7</v>
      </c>
      <c r="V20" s="17">
        <f t="shared" si="12"/>
        <v>28</v>
      </c>
      <c r="W20" s="17">
        <f t="shared" si="12"/>
        <v>1</v>
      </c>
      <c r="X20" s="17">
        <f t="shared" si="12"/>
        <v>2</v>
      </c>
      <c r="Y20" s="17">
        <f t="shared" si="12"/>
        <v>14</v>
      </c>
      <c r="Z20" s="17">
        <f t="shared" si="12"/>
        <v>9</v>
      </c>
      <c r="AA20" s="17">
        <f t="shared" si="12"/>
        <v>3</v>
      </c>
      <c r="AB20" s="17">
        <f t="shared" si="12"/>
        <v>3</v>
      </c>
      <c r="AC20" s="17">
        <f t="shared" si="12"/>
        <v>227</v>
      </c>
      <c r="AD20" s="17">
        <f t="shared" si="12"/>
        <v>0</v>
      </c>
      <c r="AE20" s="31">
        <f t="shared" si="12"/>
        <v>140</v>
      </c>
      <c r="AF20" s="31">
        <f t="shared" si="12"/>
        <v>367</v>
      </c>
    </row>
    <row r="21" spans="2:32" ht="23.1" customHeight="1" x14ac:dyDescent="0.25">
      <c r="B21" s="23" t="s">
        <v>48</v>
      </c>
      <c r="C21" s="50">
        <v>8</v>
      </c>
      <c r="D21" s="50">
        <v>5</v>
      </c>
      <c r="E21" s="50">
        <v>1</v>
      </c>
      <c r="F21" s="50">
        <v>8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37</v>
      </c>
      <c r="N21" s="50">
        <v>0</v>
      </c>
      <c r="O21" s="15">
        <f t="shared" si="0"/>
        <v>26</v>
      </c>
      <c r="P21" s="15">
        <f t="shared" si="1"/>
        <v>63</v>
      </c>
      <c r="R21" s="36" t="s">
        <v>20</v>
      </c>
      <c r="S21" s="34">
        <f t="shared" ref="S21:AF21" si="13">SUM(C54:C57)</f>
        <v>54</v>
      </c>
      <c r="T21" s="17">
        <f t="shared" si="13"/>
        <v>13</v>
      </c>
      <c r="U21" s="17">
        <f t="shared" si="13"/>
        <v>12</v>
      </c>
      <c r="V21" s="17">
        <f t="shared" si="13"/>
        <v>34</v>
      </c>
      <c r="W21" s="17">
        <f t="shared" si="13"/>
        <v>2</v>
      </c>
      <c r="X21" s="17">
        <f t="shared" si="13"/>
        <v>1</v>
      </c>
      <c r="Y21" s="17">
        <f t="shared" si="13"/>
        <v>8</v>
      </c>
      <c r="Z21" s="17">
        <f t="shared" si="13"/>
        <v>14</v>
      </c>
      <c r="AA21" s="17">
        <f t="shared" si="13"/>
        <v>5</v>
      </c>
      <c r="AB21" s="17">
        <f t="shared" si="13"/>
        <v>6</v>
      </c>
      <c r="AC21" s="17">
        <f t="shared" si="13"/>
        <v>206</v>
      </c>
      <c r="AD21" s="17">
        <f t="shared" si="13"/>
        <v>0</v>
      </c>
      <c r="AE21" s="31">
        <f t="shared" si="13"/>
        <v>149</v>
      </c>
      <c r="AF21" s="31">
        <f t="shared" si="13"/>
        <v>355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1</v>
      </c>
      <c r="F22" s="50">
        <v>8</v>
      </c>
      <c r="G22" s="50">
        <v>1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37</v>
      </c>
      <c r="N22" s="50">
        <v>0</v>
      </c>
      <c r="O22" s="15">
        <f t="shared" si="0"/>
        <v>16</v>
      </c>
      <c r="P22" s="15">
        <f t="shared" si="1"/>
        <v>53</v>
      </c>
      <c r="R22" s="38" t="s">
        <v>90</v>
      </c>
      <c r="S22" s="39">
        <f>MAX(S10:S12)</f>
        <v>31</v>
      </c>
      <c r="T22" s="39">
        <f t="shared" ref="T22:AF22" si="14">MAX(T10:T12)</f>
        <v>9</v>
      </c>
      <c r="U22" s="39">
        <f t="shared" si="14"/>
        <v>4</v>
      </c>
      <c r="V22" s="39">
        <f t="shared" si="14"/>
        <v>27</v>
      </c>
      <c r="W22" s="39">
        <f t="shared" si="14"/>
        <v>0</v>
      </c>
      <c r="X22" s="39">
        <f t="shared" si="14"/>
        <v>0</v>
      </c>
      <c r="Y22" s="39">
        <f t="shared" si="14"/>
        <v>8</v>
      </c>
      <c r="Z22" s="39">
        <f t="shared" si="14"/>
        <v>6</v>
      </c>
      <c r="AA22" s="39">
        <f t="shared" si="14"/>
        <v>0</v>
      </c>
      <c r="AB22" s="39">
        <f t="shared" si="14"/>
        <v>3</v>
      </c>
      <c r="AC22" s="39">
        <f t="shared" si="14"/>
        <v>181</v>
      </c>
      <c r="AD22" s="39">
        <f t="shared" si="14"/>
        <v>0</v>
      </c>
      <c r="AE22" s="40">
        <f t="shared" si="14"/>
        <v>78</v>
      </c>
      <c r="AF22" s="40">
        <f t="shared" si="14"/>
        <v>248</v>
      </c>
    </row>
    <row r="23" spans="2:32" ht="23.1" customHeight="1" x14ac:dyDescent="0.25">
      <c r="B23" s="23" t="s">
        <v>50</v>
      </c>
      <c r="C23" s="50">
        <v>5</v>
      </c>
      <c r="D23" s="50">
        <v>2</v>
      </c>
      <c r="E23" s="50">
        <v>3</v>
      </c>
      <c r="F23" s="50">
        <v>10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1</v>
      </c>
      <c r="M23" s="50">
        <v>45</v>
      </c>
      <c r="N23" s="50">
        <v>0</v>
      </c>
      <c r="O23" s="15">
        <f t="shared" si="0"/>
        <v>22</v>
      </c>
      <c r="P23" s="15">
        <f t="shared" si="1"/>
        <v>67</v>
      </c>
      <c r="R23" s="38" t="s">
        <v>91</v>
      </c>
      <c r="S23" s="39">
        <f>MAX(S13:S18)</f>
        <v>28</v>
      </c>
      <c r="T23" s="39">
        <f t="shared" ref="T23:AF23" si="15">MAX(T13:T18)</f>
        <v>20</v>
      </c>
      <c r="U23" s="39">
        <f t="shared" si="15"/>
        <v>7</v>
      </c>
      <c r="V23" s="39">
        <f t="shared" si="15"/>
        <v>28</v>
      </c>
      <c r="W23" s="39">
        <f t="shared" si="15"/>
        <v>1</v>
      </c>
      <c r="X23" s="39">
        <f t="shared" si="15"/>
        <v>3</v>
      </c>
      <c r="Y23" s="39">
        <f t="shared" si="15"/>
        <v>15</v>
      </c>
      <c r="Z23" s="39">
        <f t="shared" si="15"/>
        <v>6</v>
      </c>
      <c r="AA23" s="39">
        <f t="shared" si="15"/>
        <v>3</v>
      </c>
      <c r="AB23" s="39">
        <f t="shared" si="15"/>
        <v>7</v>
      </c>
      <c r="AC23" s="39">
        <f t="shared" si="15"/>
        <v>184</v>
      </c>
      <c r="AD23" s="39">
        <f t="shared" si="15"/>
        <v>0</v>
      </c>
      <c r="AE23" s="40">
        <f t="shared" si="15"/>
        <v>91</v>
      </c>
      <c r="AF23" s="40">
        <f t="shared" si="15"/>
        <v>270</v>
      </c>
    </row>
    <row r="24" spans="2:32" ht="23.1" customHeight="1" x14ac:dyDescent="0.25">
      <c r="B24" s="23" t="s">
        <v>51</v>
      </c>
      <c r="C24" s="50">
        <v>3</v>
      </c>
      <c r="D24" s="50">
        <v>2</v>
      </c>
      <c r="E24" s="50">
        <v>1</v>
      </c>
      <c r="F24" s="50">
        <v>3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2</v>
      </c>
      <c r="M24" s="50">
        <v>30</v>
      </c>
      <c r="N24" s="50">
        <v>0</v>
      </c>
      <c r="O24" s="15">
        <f t="shared" si="0"/>
        <v>13</v>
      </c>
      <c r="P24" s="15">
        <f t="shared" si="1"/>
        <v>43</v>
      </c>
      <c r="R24" s="38" t="s">
        <v>92</v>
      </c>
      <c r="S24" s="39">
        <f>MAX(S19:S21)</f>
        <v>55</v>
      </c>
      <c r="T24" s="39">
        <f t="shared" ref="T24:AF24" si="16">MAX(T19:T21)</f>
        <v>18</v>
      </c>
      <c r="U24" s="39">
        <f t="shared" si="16"/>
        <v>12</v>
      </c>
      <c r="V24" s="39">
        <f t="shared" si="16"/>
        <v>34</v>
      </c>
      <c r="W24" s="39">
        <f t="shared" si="16"/>
        <v>2</v>
      </c>
      <c r="X24" s="39">
        <f t="shared" si="16"/>
        <v>4</v>
      </c>
      <c r="Y24" s="39">
        <f t="shared" si="16"/>
        <v>14</v>
      </c>
      <c r="Z24" s="39">
        <f t="shared" si="16"/>
        <v>14</v>
      </c>
      <c r="AA24" s="39">
        <f t="shared" si="16"/>
        <v>5</v>
      </c>
      <c r="AB24" s="39">
        <f t="shared" si="16"/>
        <v>6</v>
      </c>
      <c r="AC24" s="39">
        <f t="shared" si="16"/>
        <v>227</v>
      </c>
      <c r="AD24" s="39">
        <f t="shared" si="16"/>
        <v>0</v>
      </c>
      <c r="AE24" s="40">
        <f t="shared" si="16"/>
        <v>149</v>
      </c>
      <c r="AF24" s="40">
        <f t="shared" si="16"/>
        <v>367</v>
      </c>
    </row>
    <row r="25" spans="2:32" ht="23.1" customHeight="1" x14ac:dyDescent="0.25">
      <c r="B25" s="23" t="s">
        <v>52</v>
      </c>
      <c r="C25" s="50">
        <v>9</v>
      </c>
      <c r="D25" s="50">
        <v>0</v>
      </c>
      <c r="E25" s="50">
        <v>1</v>
      </c>
      <c r="F25" s="50">
        <v>7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1</v>
      </c>
      <c r="M25" s="50">
        <v>30</v>
      </c>
      <c r="N25" s="50">
        <v>0</v>
      </c>
      <c r="O25" s="15">
        <f t="shared" si="0"/>
        <v>19</v>
      </c>
      <c r="P25" s="15">
        <f t="shared" si="1"/>
        <v>49</v>
      </c>
      <c r="R25" s="37" t="s">
        <v>85</v>
      </c>
      <c r="S25" s="35">
        <f t="shared" ref="S25:AF25" si="17">SUM(S10:S12)</f>
        <v>77</v>
      </c>
      <c r="T25" s="16">
        <f t="shared" si="17"/>
        <v>22</v>
      </c>
      <c r="U25" s="16">
        <f t="shared" si="17"/>
        <v>6</v>
      </c>
      <c r="V25" s="16">
        <f t="shared" si="17"/>
        <v>76</v>
      </c>
      <c r="W25" s="16">
        <f t="shared" si="17"/>
        <v>0</v>
      </c>
      <c r="X25" s="16">
        <f t="shared" si="17"/>
        <v>0</v>
      </c>
      <c r="Y25" s="16">
        <f t="shared" si="17"/>
        <v>13</v>
      </c>
      <c r="Z25" s="16">
        <f t="shared" si="17"/>
        <v>11</v>
      </c>
      <c r="AA25" s="16">
        <f t="shared" si="17"/>
        <v>0</v>
      </c>
      <c r="AB25" s="16">
        <f t="shared" si="17"/>
        <v>9</v>
      </c>
      <c r="AC25" s="16">
        <f t="shared" si="17"/>
        <v>524</v>
      </c>
      <c r="AD25" s="16">
        <f t="shared" si="17"/>
        <v>0</v>
      </c>
      <c r="AE25" s="32">
        <f t="shared" si="17"/>
        <v>214</v>
      </c>
      <c r="AF25" s="32">
        <f t="shared" si="17"/>
        <v>738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1</v>
      </c>
      <c r="F26" s="50">
        <v>7</v>
      </c>
      <c r="G26" s="50">
        <v>0</v>
      </c>
      <c r="H26" s="50">
        <v>1</v>
      </c>
      <c r="I26" s="50">
        <v>1</v>
      </c>
      <c r="J26" s="50">
        <v>0</v>
      </c>
      <c r="K26" s="50">
        <v>0</v>
      </c>
      <c r="L26" s="50">
        <v>2</v>
      </c>
      <c r="M26" s="50">
        <v>36</v>
      </c>
      <c r="N26" s="50">
        <v>0</v>
      </c>
      <c r="O26" s="15">
        <f t="shared" si="0"/>
        <v>15</v>
      </c>
      <c r="P26" s="15">
        <f t="shared" si="1"/>
        <v>51</v>
      </c>
      <c r="R26" s="28" t="s">
        <v>86</v>
      </c>
      <c r="S26" s="16">
        <f t="shared" ref="S26:AF26" si="18">SUM(S13:S18)</f>
        <v>135</v>
      </c>
      <c r="T26" s="16">
        <f t="shared" si="18"/>
        <v>59</v>
      </c>
      <c r="U26" s="16">
        <f t="shared" si="18"/>
        <v>29</v>
      </c>
      <c r="V26" s="16">
        <f t="shared" si="18"/>
        <v>143</v>
      </c>
      <c r="W26" s="16">
        <f t="shared" si="18"/>
        <v>2</v>
      </c>
      <c r="X26" s="16">
        <f t="shared" si="18"/>
        <v>9</v>
      </c>
      <c r="Y26" s="16">
        <f t="shared" si="18"/>
        <v>46</v>
      </c>
      <c r="Z26" s="16">
        <f t="shared" si="18"/>
        <v>29</v>
      </c>
      <c r="AA26" s="16">
        <f t="shared" si="18"/>
        <v>10</v>
      </c>
      <c r="AB26" s="16">
        <f t="shared" si="18"/>
        <v>29</v>
      </c>
      <c r="AC26" s="16">
        <f t="shared" si="18"/>
        <v>965</v>
      </c>
      <c r="AD26" s="16">
        <f t="shared" si="18"/>
        <v>0</v>
      </c>
      <c r="AE26" s="32">
        <f t="shared" si="18"/>
        <v>491</v>
      </c>
      <c r="AF26" s="32">
        <f t="shared" si="18"/>
        <v>1456</v>
      </c>
    </row>
    <row r="27" spans="2:32" ht="23.1" customHeight="1" x14ac:dyDescent="0.25">
      <c r="B27" s="23" t="s">
        <v>54</v>
      </c>
      <c r="C27" s="50">
        <v>5</v>
      </c>
      <c r="D27" s="50">
        <v>1</v>
      </c>
      <c r="E27" s="50">
        <v>2</v>
      </c>
      <c r="F27" s="50">
        <v>6</v>
      </c>
      <c r="G27" s="50">
        <v>0</v>
      </c>
      <c r="H27" s="50">
        <v>0</v>
      </c>
      <c r="I27" s="50">
        <v>3</v>
      </c>
      <c r="J27" s="50">
        <v>2</v>
      </c>
      <c r="K27" s="50">
        <v>1</v>
      </c>
      <c r="L27" s="50">
        <v>1</v>
      </c>
      <c r="M27" s="50">
        <v>40</v>
      </c>
      <c r="N27" s="50">
        <v>0</v>
      </c>
      <c r="O27" s="15">
        <f t="shared" si="0"/>
        <v>21</v>
      </c>
      <c r="P27" s="15">
        <f t="shared" si="1"/>
        <v>61</v>
      </c>
      <c r="R27" s="29" t="s">
        <v>87</v>
      </c>
      <c r="S27" s="16">
        <f t="shared" ref="S27:AF27" si="19">SUM(S19:S21)</f>
        <v>133</v>
      </c>
      <c r="T27" s="16">
        <f t="shared" si="19"/>
        <v>45</v>
      </c>
      <c r="U27" s="16">
        <f t="shared" si="19"/>
        <v>23</v>
      </c>
      <c r="V27" s="16">
        <f t="shared" si="19"/>
        <v>92</v>
      </c>
      <c r="W27" s="16">
        <f t="shared" si="19"/>
        <v>3</v>
      </c>
      <c r="X27" s="16">
        <f t="shared" si="19"/>
        <v>7</v>
      </c>
      <c r="Y27" s="16">
        <f t="shared" si="19"/>
        <v>29</v>
      </c>
      <c r="Z27" s="16">
        <f t="shared" si="19"/>
        <v>27</v>
      </c>
      <c r="AA27" s="16">
        <f t="shared" si="19"/>
        <v>10</v>
      </c>
      <c r="AB27" s="16">
        <f t="shared" si="19"/>
        <v>12</v>
      </c>
      <c r="AC27" s="16">
        <f t="shared" si="19"/>
        <v>622</v>
      </c>
      <c r="AD27" s="16">
        <f t="shared" si="19"/>
        <v>0</v>
      </c>
      <c r="AE27" s="32">
        <f t="shared" si="19"/>
        <v>381</v>
      </c>
      <c r="AF27" s="32">
        <f t="shared" si="19"/>
        <v>1003</v>
      </c>
    </row>
    <row r="28" spans="2:32" ht="23.1" customHeight="1" x14ac:dyDescent="0.25">
      <c r="B28" s="23" t="s">
        <v>55</v>
      </c>
      <c r="C28" s="50">
        <v>4</v>
      </c>
      <c r="D28" s="50">
        <v>4</v>
      </c>
      <c r="E28" s="50">
        <v>1</v>
      </c>
      <c r="F28" s="50">
        <v>7</v>
      </c>
      <c r="G28" s="50">
        <v>0</v>
      </c>
      <c r="H28" s="50">
        <v>0</v>
      </c>
      <c r="I28" s="50">
        <v>1</v>
      </c>
      <c r="J28" s="50">
        <v>3</v>
      </c>
      <c r="K28" s="50">
        <v>1</v>
      </c>
      <c r="L28" s="50">
        <v>2</v>
      </c>
      <c r="M28" s="50">
        <v>42</v>
      </c>
      <c r="N28" s="50">
        <v>0</v>
      </c>
      <c r="O28" s="15">
        <f t="shared" si="0"/>
        <v>23</v>
      </c>
      <c r="P28" s="15">
        <f t="shared" si="1"/>
        <v>65</v>
      </c>
      <c r="R28" s="5" t="s">
        <v>17</v>
      </c>
      <c r="S28" s="16">
        <f t="shared" ref="S28:AF28" si="20">SUM(S10:S21)</f>
        <v>345</v>
      </c>
      <c r="T28" s="16">
        <f t="shared" si="20"/>
        <v>126</v>
      </c>
      <c r="U28" s="16">
        <f t="shared" si="20"/>
        <v>58</v>
      </c>
      <c r="V28" s="16">
        <f t="shared" si="20"/>
        <v>311</v>
      </c>
      <c r="W28" s="16">
        <f t="shared" si="20"/>
        <v>5</v>
      </c>
      <c r="X28" s="16">
        <f t="shared" si="20"/>
        <v>16</v>
      </c>
      <c r="Y28" s="16">
        <f t="shared" si="20"/>
        <v>88</v>
      </c>
      <c r="Z28" s="16">
        <f t="shared" si="20"/>
        <v>67</v>
      </c>
      <c r="AA28" s="16">
        <f t="shared" si="20"/>
        <v>20</v>
      </c>
      <c r="AB28" s="16">
        <f t="shared" si="20"/>
        <v>50</v>
      </c>
      <c r="AC28" s="16">
        <f t="shared" si="20"/>
        <v>2111</v>
      </c>
      <c r="AD28" s="16">
        <f t="shared" si="20"/>
        <v>0</v>
      </c>
      <c r="AE28" s="32">
        <f t="shared" si="20"/>
        <v>1086</v>
      </c>
      <c r="AF28" s="32">
        <f t="shared" si="20"/>
        <v>3197</v>
      </c>
    </row>
    <row r="29" spans="2:32" ht="23.1" customHeight="1" x14ac:dyDescent="0.25">
      <c r="B29" s="23" t="s">
        <v>56</v>
      </c>
      <c r="C29" s="50">
        <v>6</v>
      </c>
      <c r="D29" s="50">
        <v>1</v>
      </c>
      <c r="E29" s="50">
        <v>0</v>
      </c>
      <c r="F29" s="50">
        <v>4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33</v>
      </c>
      <c r="N29" s="50">
        <v>0</v>
      </c>
      <c r="O29" s="15">
        <f t="shared" si="0"/>
        <v>14</v>
      </c>
      <c r="P29" s="15">
        <f t="shared" si="1"/>
        <v>47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2</v>
      </c>
      <c r="F30" s="50">
        <v>8</v>
      </c>
      <c r="G30" s="50">
        <v>1</v>
      </c>
      <c r="H30" s="50">
        <v>1</v>
      </c>
      <c r="I30" s="50">
        <v>2</v>
      </c>
      <c r="J30" s="50">
        <v>2</v>
      </c>
      <c r="K30" s="50">
        <v>0</v>
      </c>
      <c r="L30" s="50">
        <v>1</v>
      </c>
      <c r="M30" s="50">
        <v>42</v>
      </c>
      <c r="N30" s="50">
        <v>0</v>
      </c>
      <c r="O30" s="15">
        <f t="shared" si="0"/>
        <v>23</v>
      </c>
      <c r="P30" s="15">
        <f t="shared" si="1"/>
        <v>65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1</v>
      </c>
      <c r="F31" s="50">
        <v>6</v>
      </c>
      <c r="G31" s="50">
        <v>0</v>
      </c>
      <c r="H31" s="50">
        <v>1</v>
      </c>
      <c r="I31" s="50">
        <v>2</v>
      </c>
      <c r="J31" s="50">
        <v>0</v>
      </c>
      <c r="K31" s="50">
        <v>0</v>
      </c>
      <c r="L31" s="50">
        <v>1</v>
      </c>
      <c r="M31" s="50">
        <v>41</v>
      </c>
      <c r="N31" s="50">
        <v>0</v>
      </c>
      <c r="O31" s="15">
        <f t="shared" si="0"/>
        <v>15</v>
      </c>
      <c r="P31" s="15">
        <f t="shared" si="1"/>
        <v>56</v>
      </c>
    </row>
    <row r="32" spans="2:32" ht="23.1" customHeight="1" x14ac:dyDescent="0.25">
      <c r="B32" s="24" t="s">
        <v>59</v>
      </c>
      <c r="C32" s="50">
        <v>4</v>
      </c>
      <c r="D32" s="50">
        <v>2</v>
      </c>
      <c r="E32" s="50">
        <v>1</v>
      </c>
      <c r="F32" s="50">
        <v>5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1</v>
      </c>
      <c r="M32" s="50">
        <v>51</v>
      </c>
      <c r="N32" s="50">
        <v>0</v>
      </c>
      <c r="O32" s="15">
        <f t="shared" si="0"/>
        <v>17</v>
      </c>
      <c r="P32" s="15">
        <f t="shared" si="1"/>
        <v>68</v>
      </c>
    </row>
    <row r="33" spans="2:20" ht="23.1" customHeight="1" x14ac:dyDescent="0.25">
      <c r="B33" s="23" t="s">
        <v>60</v>
      </c>
      <c r="C33" s="50">
        <v>10</v>
      </c>
      <c r="D33" s="50">
        <v>2</v>
      </c>
      <c r="E33" s="50">
        <v>2</v>
      </c>
      <c r="F33" s="50">
        <v>6</v>
      </c>
      <c r="G33" s="50">
        <v>0</v>
      </c>
      <c r="H33" s="50">
        <v>0</v>
      </c>
      <c r="I33" s="50">
        <v>2</v>
      </c>
      <c r="J33" s="50">
        <v>1</v>
      </c>
      <c r="K33" s="50">
        <v>3</v>
      </c>
      <c r="L33" s="50">
        <v>0</v>
      </c>
      <c r="M33" s="50">
        <v>38</v>
      </c>
      <c r="N33" s="50">
        <v>0</v>
      </c>
      <c r="O33" s="15">
        <f t="shared" si="0"/>
        <v>26</v>
      </c>
      <c r="P33" s="15">
        <f t="shared" si="1"/>
        <v>64</v>
      </c>
    </row>
    <row r="34" spans="2:20" ht="23.1" customHeight="1" x14ac:dyDescent="0.25">
      <c r="B34" s="24" t="s">
        <v>61</v>
      </c>
      <c r="C34" s="50">
        <v>6</v>
      </c>
      <c r="D34" s="50">
        <v>3</v>
      </c>
      <c r="E34" s="50">
        <v>0</v>
      </c>
      <c r="F34" s="50">
        <v>7</v>
      </c>
      <c r="G34" s="50">
        <v>0</v>
      </c>
      <c r="H34" s="50">
        <v>0</v>
      </c>
      <c r="I34" s="50">
        <v>3</v>
      </c>
      <c r="J34" s="50">
        <v>3</v>
      </c>
      <c r="K34" s="50">
        <v>0</v>
      </c>
      <c r="L34" s="50">
        <v>1</v>
      </c>
      <c r="M34" s="50">
        <v>45</v>
      </c>
      <c r="N34" s="50">
        <v>0</v>
      </c>
      <c r="O34" s="15">
        <f t="shared" si="0"/>
        <v>23</v>
      </c>
      <c r="P34" s="15">
        <f t="shared" si="1"/>
        <v>68</v>
      </c>
    </row>
    <row r="35" spans="2:20" ht="23.1" customHeight="1" x14ac:dyDescent="0.25">
      <c r="B35" s="24" t="s">
        <v>62</v>
      </c>
      <c r="C35" s="50">
        <v>6</v>
      </c>
      <c r="D35" s="50">
        <v>3</v>
      </c>
      <c r="E35" s="50">
        <v>1</v>
      </c>
      <c r="F35" s="50">
        <v>7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2</v>
      </c>
      <c r="M35" s="50">
        <v>37</v>
      </c>
      <c r="N35" s="50">
        <v>0</v>
      </c>
      <c r="O35" s="15">
        <f t="shared" si="0"/>
        <v>24</v>
      </c>
      <c r="P35" s="15">
        <f t="shared" si="1"/>
        <v>61</v>
      </c>
    </row>
    <row r="36" spans="2:20" ht="23.1" customHeight="1" x14ac:dyDescent="0.25">
      <c r="B36" s="24" t="s">
        <v>63</v>
      </c>
      <c r="C36" s="50">
        <v>3</v>
      </c>
      <c r="D36" s="50">
        <v>4</v>
      </c>
      <c r="E36" s="50">
        <v>0</v>
      </c>
      <c r="F36" s="50">
        <v>3</v>
      </c>
      <c r="G36" s="50">
        <v>0</v>
      </c>
      <c r="H36" s="50">
        <v>1</v>
      </c>
      <c r="I36" s="50">
        <v>5</v>
      </c>
      <c r="J36" s="50">
        <v>1</v>
      </c>
      <c r="K36" s="50">
        <v>1</v>
      </c>
      <c r="L36" s="50">
        <v>2</v>
      </c>
      <c r="M36" s="50">
        <v>42</v>
      </c>
      <c r="N36" s="50">
        <v>0</v>
      </c>
      <c r="O36" s="15">
        <f t="shared" si="0"/>
        <v>20</v>
      </c>
      <c r="P36" s="15">
        <f t="shared" si="1"/>
        <v>62</v>
      </c>
    </row>
    <row r="37" spans="2:20" ht="23.1" customHeight="1" x14ac:dyDescent="0.25">
      <c r="B37" s="23" t="s">
        <v>64</v>
      </c>
      <c r="C37" s="50">
        <v>4</v>
      </c>
      <c r="D37" s="50">
        <v>4</v>
      </c>
      <c r="E37" s="50">
        <v>0</v>
      </c>
      <c r="F37" s="50">
        <v>9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2</v>
      </c>
      <c r="M37" s="50">
        <v>48</v>
      </c>
      <c r="N37" s="50">
        <v>0</v>
      </c>
      <c r="O37" s="15">
        <f t="shared" si="0"/>
        <v>23</v>
      </c>
      <c r="P37" s="15">
        <f t="shared" si="1"/>
        <v>71</v>
      </c>
    </row>
    <row r="38" spans="2:20" ht="23.1" customHeight="1" x14ac:dyDescent="0.25">
      <c r="B38" s="24" t="s">
        <v>65</v>
      </c>
      <c r="C38" s="50">
        <v>9</v>
      </c>
      <c r="D38" s="50">
        <v>1</v>
      </c>
      <c r="E38" s="50">
        <v>2</v>
      </c>
      <c r="F38" s="50">
        <v>3</v>
      </c>
      <c r="G38" s="50">
        <v>0</v>
      </c>
      <c r="H38" s="50">
        <v>0</v>
      </c>
      <c r="I38" s="50">
        <v>1</v>
      </c>
      <c r="J38" s="50">
        <v>2</v>
      </c>
      <c r="K38" s="50">
        <v>0</v>
      </c>
      <c r="L38" s="50">
        <v>1</v>
      </c>
      <c r="M38" s="50">
        <v>55</v>
      </c>
      <c r="N38" s="50">
        <v>0</v>
      </c>
      <c r="O38" s="15">
        <f t="shared" si="0"/>
        <v>19</v>
      </c>
      <c r="P38" s="15">
        <f t="shared" si="1"/>
        <v>74</v>
      </c>
    </row>
    <row r="39" spans="2:20" ht="23.1" customHeight="1" x14ac:dyDescent="0.25">
      <c r="B39" s="24" t="s">
        <v>66</v>
      </c>
      <c r="C39" s="50">
        <v>8</v>
      </c>
      <c r="D39" s="50">
        <v>3</v>
      </c>
      <c r="E39" s="50">
        <v>1</v>
      </c>
      <c r="F39" s="50">
        <v>5</v>
      </c>
      <c r="G39" s="50">
        <v>0</v>
      </c>
      <c r="H39" s="50">
        <v>2</v>
      </c>
      <c r="I39" s="50">
        <v>0</v>
      </c>
      <c r="J39" s="50">
        <v>1</v>
      </c>
      <c r="K39" s="50">
        <v>2</v>
      </c>
      <c r="L39" s="50">
        <v>1</v>
      </c>
      <c r="M39" s="50">
        <v>47</v>
      </c>
      <c r="N39" s="50">
        <v>0</v>
      </c>
      <c r="O39" s="15">
        <f t="shared" si="0"/>
        <v>23</v>
      </c>
      <c r="P39" s="15">
        <f t="shared" si="1"/>
        <v>70</v>
      </c>
    </row>
    <row r="40" spans="2:20" ht="23.1" customHeight="1" x14ac:dyDescent="0.25">
      <c r="B40" s="24" t="s">
        <v>67</v>
      </c>
      <c r="C40" s="50">
        <v>6</v>
      </c>
      <c r="D40" s="50">
        <v>3</v>
      </c>
      <c r="E40" s="50">
        <v>1</v>
      </c>
      <c r="F40" s="50">
        <v>8</v>
      </c>
      <c r="G40" s="50">
        <v>0</v>
      </c>
      <c r="H40" s="50">
        <v>1</v>
      </c>
      <c r="I40" s="50">
        <v>3</v>
      </c>
      <c r="J40" s="50">
        <v>1</v>
      </c>
      <c r="K40" s="50">
        <v>1</v>
      </c>
      <c r="L40" s="50">
        <v>2</v>
      </c>
      <c r="M40" s="50">
        <v>44</v>
      </c>
      <c r="N40" s="50">
        <v>0</v>
      </c>
      <c r="O40" s="15">
        <f t="shared" si="0"/>
        <v>26</v>
      </c>
      <c r="P40" s="15">
        <f t="shared" si="1"/>
        <v>70</v>
      </c>
    </row>
    <row r="41" spans="2:20" ht="23.1" customHeight="1" x14ac:dyDescent="0.25">
      <c r="B41" s="23" t="s">
        <v>68</v>
      </c>
      <c r="C41" s="50">
        <v>5</v>
      </c>
      <c r="D41" s="50">
        <v>3</v>
      </c>
      <c r="E41" s="50">
        <v>3</v>
      </c>
      <c r="F41" s="50">
        <v>3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2</v>
      </c>
      <c r="M41" s="50">
        <v>38</v>
      </c>
      <c r="N41" s="50">
        <v>0</v>
      </c>
      <c r="O41" s="15">
        <f t="shared" si="0"/>
        <v>18</v>
      </c>
      <c r="P41" s="15">
        <f t="shared" si="1"/>
        <v>56</v>
      </c>
    </row>
    <row r="42" spans="2:20" ht="23.1" customHeight="1" x14ac:dyDescent="0.25">
      <c r="B42" s="24" t="s">
        <v>69</v>
      </c>
      <c r="C42" s="50">
        <v>8</v>
      </c>
      <c r="D42" s="50">
        <v>5</v>
      </c>
      <c r="E42" s="50">
        <v>0</v>
      </c>
      <c r="F42" s="50">
        <v>6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1</v>
      </c>
      <c r="M42" s="50">
        <v>38</v>
      </c>
      <c r="N42" s="50">
        <v>0</v>
      </c>
      <c r="O42" s="15">
        <f t="shared" si="0"/>
        <v>22</v>
      </c>
      <c r="P42" s="15">
        <f t="shared" si="1"/>
        <v>60</v>
      </c>
    </row>
    <row r="43" spans="2:20" ht="23.1" customHeight="1" x14ac:dyDescent="0.25">
      <c r="B43" s="23" t="s">
        <v>70</v>
      </c>
      <c r="C43" s="50">
        <v>6</v>
      </c>
      <c r="D43" s="50">
        <v>6</v>
      </c>
      <c r="E43" s="50">
        <v>2</v>
      </c>
      <c r="F43" s="50">
        <v>5</v>
      </c>
      <c r="G43" s="50">
        <v>0</v>
      </c>
      <c r="H43" s="50">
        <v>1</v>
      </c>
      <c r="I43" s="50">
        <v>3</v>
      </c>
      <c r="J43" s="50">
        <v>1</v>
      </c>
      <c r="K43" s="50">
        <v>0</v>
      </c>
      <c r="L43" s="50">
        <v>1</v>
      </c>
      <c r="M43" s="50">
        <v>47</v>
      </c>
      <c r="N43" s="50">
        <v>0</v>
      </c>
      <c r="O43" s="15">
        <f t="shared" si="0"/>
        <v>25</v>
      </c>
      <c r="P43" s="15">
        <f t="shared" si="1"/>
        <v>72</v>
      </c>
    </row>
    <row r="44" spans="2:20" ht="23.1" customHeight="1" x14ac:dyDescent="0.25">
      <c r="B44" s="25" t="s">
        <v>71</v>
      </c>
      <c r="C44" s="50">
        <v>5</v>
      </c>
      <c r="D44" s="50">
        <v>5</v>
      </c>
      <c r="E44" s="50">
        <v>1</v>
      </c>
      <c r="F44" s="50">
        <v>3</v>
      </c>
      <c r="G44" s="50">
        <v>0</v>
      </c>
      <c r="H44" s="50">
        <v>1</v>
      </c>
      <c r="I44" s="50">
        <v>2</v>
      </c>
      <c r="J44" s="50">
        <v>2</v>
      </c>
      <c r="K44" s="50">
        <v>0</v>
      </c>
      <c r="L44" s="50">
        <v>1</v>
      </c>
      <c r="M44" s="50">
        <v>30</v>
      </c>
      <c r="N44" s="50">
        <v>0</v>
      </c>
      <c r="O44" s="15">
        <f t="shared" si="0"/>
        <v>20</v>
      </c>
      <c r="P44" s="15">
        <f t="shared" si="1"/>
        <v>50</v>
      </c>
    </row>
    <row r="45" spans="2:20" ht="23.1" customHeight="1" x14ac:dyDescent="0.25">
      <c r="B45" s="23" t="s">
        <v>72</v>
      </c>
      <c r="C45" s="50">
        <v>7</v>
      </c>
      <c r="D45" s="50">
        <v>4</v>
      </c>
      <c r="E45" s="50">
        <v>2</v>
      </c>
      <c r="F45" s="50">
        <v>7</v>
      </c>
      <c r="G45" s="50">
        <v>0</v>
      </c>
      <c r="H45" s="50">
        <v>0</v>
      </c>
      <c r="I45" s="50">
        <v>2</v>
      </c>
      <c r="J45" s="50">
        <v>0</v>
      </c>
      <c r="K45" s="50">
        <v>1</v>
      </c>
      <c r="L45" s="50">
        <v>1</v>
      </c>
      <c r="M45" s="50">
        <v>29</v>
      </c>
      <c r="N45" s="50">
        <v>0</v>
      </c>
      <c r="O45" s="15">
        <f t="shared" si="0"/>
        <v>24</v>
      </c>
      <c r="P45" s="15">
        <f t="shared" si="1"/>
        <v>53</v>
      </c>
    </row>
    <row r="46" spans="2:20" ht="23.1" customHeight="1" x14ac:dyDescent="0.25">
      <c r="B46" s="24" t="s">
        <v>73</v>
      </c>
      <c r="C46" s="50">
        <v>3</v>
      </c>
      <c r="D46" s="50">
        <v>5</v>
      </c>
      <c r="E46" s="50">
        <v>2</v>
      </c>
      <c r="F46" s="50">
        <v>9</v>
      </c>
      <c r="G46" s="50">
        <v>0</v>
      </c>
      <c r="H46" s="50">
        <v>1</v>
      </c>
      <c r="I46" s="50">
        <v>2</v>
      </c>
      <c r="J46" s="50">
        <v>1</v>
      </c>
      <c r="K46" s="50">
        <v>2</v>
      </c>
      <c r="L46" s="50">
        <v>0</v>
      </c>
      <c r="M46" s="50">
        <v>41</v>
      </c>
      <c r="N46" s="50">
        <v>0</v>
      </c>
      <c r="O46" s="15">
        <f t="shared" si="0"/>
        <v>25</v>
      </c>
      <c r="P46" s="15">
        <f t="shared" si="1"/>
        <v>66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3</v>
      </c>
      <c r="E47" s="50">
        <v>2</v>
      </c>
      <c r="F47" s="50">
        <v>8</v>
      </c>
      <c r="G47" s="50">
        <v>0</v>
      </c>
      <c r="H47" s="50">
        <v>1</v>
      </c>
      <c r="I47" s="50">
        <v>2</v>
      </c>
      <c r="J47" s="50">
        <v>0</v>
      </c>
      <c r="K47" s="50">
        <v>0</v>
      </c>
      <c r="L47" s="50">
        <v>0</v>
      </c>
      <c r="M47" s="50">
        <v>34</v>
      </c>
      <c r="N47" s="50">
        <v>0</v>
      </c>
      <c r="O47" s="15">
        <f t="shared" si="0"/>
        <v>21</v>
      </c>
      <c r="P47" s="15">
        <f t="shared" si="1"/>
        <v>55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6</v>
      </c>
      <c r="E48" s="50">
        <v>0</v>
      </c>
      <c r="F48" s="50">
        <v>5</v>
      </c>
      <c r="G48" s="50">
        <v>0</v>
      </c>
      <c r="H48" s="50">
        <v>2</v>
      </c>
      <c r="I48" s="50">
        <v>2</v>
      </c>
      <c r="J48" s="50">
        <v>1</v>
      </c>
      <c r="K48" s="50">
        <v>0</v>
      </c>
      <c r="L48" s="50">
        <v>2</v>
      </c>
      <c r="M48" s="50">
        <v>53</v>
      </c>
      <c r="N48" s="50">
        <v>0</v>
      </c>
      <c r="O48" s="15">
        <f t="shared" si="0"/>
        <v>28</v>
      </c>
      <c r="P48" s="15">
        <f t="shared" si="1"/>
        <v>81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0</v>
      </c>
      <c r="E49" s="50">
        <v>0</v>
      </c>
      <c r="F49" s="50">
        <v>8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1</v>
      </c>
      <c r="M49" s="50">
        <v>61</v>
      </c>
      <c r="N49" s="50">
        <v>0</v>
      </c>
      <c r="O49" s="15">
        <f t="shared" si="0"/>
        <v>18</v>
      </c>
      <c r="P49" s="15">
        <f t="shared" si="1"/>
        <v>79</v>
      </c>
      <c r="R49" s="8"/>
      <c r="T49"/>
    </row>
    <row r="50" spans="2:20" ht="23.1" customHeight="1" x14ac:dyDescent="0.25">
      <c r="B50" s="24" t="s">
        <v>77</v>
      </c>
      <c r="C50" s="50">
        <v>21</v>
      </c>
      <c r="D50" s="50">
        <v>5</v>
      </c>
      <c r="E50" s="50">
        <v>3</v>
      </c>
      <c r="F50" s="50">
        <v>5</v>
      </c>
      <c r="G50" s="50">
        <v>0</v>
      </c>
      <c r="H50" s="50">
        <v>0</v>
      </c>
      <c r="I50" s="50">
        <v>4</v>
      </c>
      <c r="J50" s="50">
        <v>2</v>
      </c>
      <c r="K50" s="50">
        <v>0</v>
      </c>
      <c r="L50" s="50">
        <v>2</v>
      </c>
      <c r="M50" s="50">
        <v>40</v>
      </c>
      <c r="N50" s="50">
        <v>0</v>
      </c>
      <c r="O50" s="15">
        <f t="shared" si="0"/>
        <v>42</v>
      </c>
      <c r="P50" s="15">
        <f t="shared" si="1"/>
        <v>82</v>
      </c>
      <c r="R50" s="8"/>
      <c r="T50"/>
    </row>
    <row r="51" spans="2:20" ht="23.1" customHeight="1" x14ac:dyDescent="0.25">
      <c r="B51" s="24" t="s">
        <v>78</v>
      </c>
      <c r="C51" s="50">
        <v>15</v>
      </c>
      <c r="D51" s="50">
        <v>4</v>
      </c>
      <c r="E51" s="50">
        <v>2</v>
      </c>
      <c r="F51" s="50">
        <v>5</v>
      </c>
      <c r="G51" s="50">
        <v>1</v>
      </c>
      <c r="H51" s="50">
        <v>1</v>
      </c>
      <c r="I51" s="50">
        <v>3</v>
      </c>
      <c r="J51" s="50">
        <v>3</v>
      </c>
      <c r="K51" s="50">
        <v>2</v>
      </c>
      <c r="L51" s="50">
        <v>1</v>
      </c>
      <c r="M51" s="50">
        <v>58</v>
      </c>
      <c r="N51" s="50">
        <v>0</v>
      </c>
      <c r="O51" s="15">
        <f t="shared" si="0"/>
        <v>37</v>
      </c>
      <c r="P51" s="15">
        <f t="shared" si="1"/>
        <v>95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5</v>
      </c>
      <c r="E52" s="50">
        <v>0</v>
      </c>
      <c r="F52" s="50">
        <v>5</v>
      </c>
      <c r="G52" s="50">
        <v>0</v>
      </c>
      <c r="H52" s="50">
        <v>1</v>
      </c>
      <c r="I52" s="50">
        <v>2</v>
      </c>
      <c r="J52" s="50">
        <v>3</v>
      </c>
      <c r="K52" s="50">
        <v>0</v>
      </c>
      <c r="L52" s="50">
        <v>0</v>
      </c>
      <c r="M52" s="50">
        <v>65</v>
      </c>
      <c r="N52" s="50">
        <v>0</v>
      </c>
      <c r="O52" s="15">
        <f t="shared" si="0"/>
        <v>23</v>
      </c>
      <c r="P52" s="15">
        <f t="shared" si="1"/>
        <v>88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4</v>
      </c>
      <c r="E53" s="50">
        <v>2</v>
      </c>
      <c r="F53" s="50">
        <v>13</v>
      </c>
      <c r="G53" s="50">
        <v>0</v>
      </c>
      <c r="H53" s="50">
        <v>0</v>
      </c>
      <c r="I53" s="50">
        <v>5</v>
      </c>
      <c r="J53" s="50">
        <v>1</v>
      </c>
      <c r="K53" s="50">
        <v>1</v>
      </c>
      <c r="L53" s="50">
        <v>0</v>
      </c>
      <c r="M53" s="50">
        <v>64</v>
      </c>
      <c r="N53" s="50">
        <v>0</v>
      </c>
      <c r="O53" s="15">
        <f t="shared" si="0"/>
        <v>38</v>
      </c>
      <c r="P53" s="15">
        <f t="shared" si="1"/>
        <v>102</v>
      </c>
      <c r="R53" s="8"/>
      <c r="T53"/>
    </row>
    <row r="54" spans="2:20" ht="23.1" customHeight="1" x14ac:dyDescent="0.25">
      <c r="B54" s="23" t="s">
        <v>81</v>
      </c>
      <c r="C54" s="50">
        <v>14</v>
      </c>
      <c r="D54" s="50">
        <v>3</v>
      </c>
      <c r="E54" s="50">
        <v>3</v>
      </c>
      <c r="F54" s="50">
        <v>9</v>
      </c>
      <c r="G54" s="50">
        <v>1</v>
      </c>
      <c r="H54" s="50">
        <v>1</v>
      </c>
      <c r="I54" s="50">
        <v>1</v>
      </c>
      <c r="J54" s="50">
        <v>3</v>
      </c>
      <c r="K54" s="50">
        <v>2</v>
      </c>
      <c r="L54" s="50">
        <v>1</v>
      </c>
      <c r="M54" s="50">
        <v>63</v>
      </c>
      <c r="N54" s="50">
        <v>0</v>
      </c>
      <c r="O54" s="15">
        <f t="shared" si="0"/>
        <v>38</v>
      </c>
      <c r="P54" s="15">
        <f t="shared" si="1"/>
        <v>101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3</v>
      </c>
      <c r="E55" s="50">
        <v>2</v>
      </c>
      <c r="F55" s="50">
        <v>6</v>
      </c>
      <c r="G55" s="50">
        <v>1</v>
      </c>
      <c r="H55" s="50">
        <v>0</v>
      </c>
      <c r="I55" s="50">
        <v>1</v>
      </c>
      <c r="J55" s="50">
        <v>1</v>
      </c>
      <c r="K55" s="50">
        <v>2</v>
      </c>
      <c r="L55" s="50">
        <v>1</v>
      </c>
      <c r="M55" s="50">
        <v>46</v>
      </c>
      <c r="N55" s="50">
        <v>0</v>
      </c>
      <c r="O55" s="15">
        <f t="shared" si="0"/>
        <v>28</v>
      </c>
      <c r="P55" s="15">
        <f t="shared" si="1"/>
        <v>74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2</v>
      </c>
      <c r="E56" s="50">
        <v>5</v>
      </c>
      <c r="F56" s="50">
        <v>8</v>
      </c>
      <c r="G56" s="50">
        <v>0</v>
      </c>
      <c r="H56" s="50">
        <v>0</v>
      </c>
      <c r="I56" s="50">
        <v>5</v>
      </c>
      <c r="J56" s="50">
        <v>5</v>
      </c>
      <c r="K56" s="50">
        <v>1</v>
      </c>
      <c r="L56" s="50">
        <v>1</v>
      </c>
      <c r="M56" s="50">
        <v>32</v>
      </c>
      <c r="N56" s="50">
        <v>0</v>
      </c>
      <c r="O56" s="15">
        <f t="shared" si="0"/>
        <v>39</v>
      </c>
      <c r="P56" s="15">
        <f t="shared" si="1"/>
        <v>71</v>
      </c>
      <c r="R56" s="8"/>
      <c r="T56"/>
    </row>
    <row r="57" spans="2:20" ht="23.1" customHeight="1" x14ac:dyDescent="0.25">
      <c r="B57" s="23" t="s">
        <v>84</v>
      </c>
      <c r="C57" s="50">
        <v>17</v>
      </c>
      <c r="D57" s="50">
        <v>5</v>
      </c>
      <c r="E57" s="50">
        <v>2</v>
      </c>
      <c r="F57" s="50">
        <v>11</v>
      </c>
      <c r="G57" s="50">
        <v>0</v>
      </c>
      <c r="H57" s="50">
        <v>0</v>
      </c>
      <c r="I57" s="50">
        <v>1</v>
      </c>
      <c r="J57" s="50">
        <v>5</v>
      </c>
      <c r="K57" s="50">
        <v>0</v>
      </c>
      <c r="L57" s="50">
        <v>3</v>
      </c>
      <c r="M57" s="50">
        <v>65</v>
      </c>
      <c r="N57" s="50">
        <v>0</v>
      </c>
      <c r="O57" s="15">
        <f t="shared" si="0"/>
        <v>44</v>
      </c>
      <c r="P57" s="15">
        <f t="shared" si="1"/>
        <v>109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345</v>
      </c>
      <c r="D58" s="16">
        <f t="shared" si="21"/>
        <v>126</v>
      </c>
      <c r="E58" s="16">
        <f t="shared" si="21"/>
        <v>58</v>
      </c>
      <c r="F58" s="16">
        <f t="shared" si="21"/>
        <v>311</v>
      </c>
      <c r="G58" s="16">
        <f t="shared" si="21"/>
        <v>5</v>
      </c>
      <c r="H58" s="16">
        <f t="shared" si="21"/>
        <v>16</v>
      </c>
      <c r="I58" s="16">
        <f t="shared" si="21"/>
        <v>88</v>
      </c>
      <c r="J58" s="16">
        <f t="shared" si="21"/>
        <v>67</v>
      </c>
      <c r="K58" s="16">
        <f t="shared" si="21"/>
        <v>20</v>
      </c>
      <c r="L58" s="16">
        <f t="shared" si="21"/>
        <v>50</v>
      </c>
      <c r="M58" s="16">
        <f t="shared" si="21"/>
        <v>2111</v>
      </c>
      <c r="N58" s="16">
        <f t="shared" si="21"/>
        <v>0</v>
      </c>
      <c r="O58" s="16">
        <f t="shared" si="21"/>
        <v>1086</v>
      </c>
      <c r="P58" s="16">
        <f t="shared" si="21"/>
        <v>3197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0.1079136690647482</v>
      </c>
      <c r="D59" s="43">
        <f t="shared" si="22"/>
        <v>3.9411948701908041E-2</v>
      </c>
      <c r="E59" s="43">
        <f t="shared" si="22"/>
        <v>1.8142008132624336E-2</v>
      </c>
      <c r="F59" s="43">
        <f t="shared" si="22"/>
        <v>9.7278698780106351E-2</v>
      </c>
      <c r="G59" s="43">
        <f t="shared" si="22"/>
        <v>1.5639662183296842E-3</v>
      </c>
      <c r="H59" s="43">
        <f t="shared" si="22"/>
        <v>5.0046918986549893E-3</v>
      </c>
      <c r="I59" s="43">
        <f t="shared" si="22"/>
        <v>2.7525805442602441E-2</v>
      </c>
      <c r="J59" s="43">
        <f t="shared" si="22"/>
        <v>2.0957147325617768E-2</v>
      </c>
      <c r="K59" s="43">
        <f t="shared" si="22"/>
        <v>6.2558648733187366E-3</v>
      </c>
      <c r="L59" s="43">
        <f t="shared" si="22"/>
        <v>1.5639662183296842E-2</v>
      </c>
      <c r="M59" s="43">
        <f t="shared" si="22"/>
        <v>0.66030653737879264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0.31767955801104975</v>
      </c>
      <c r="D60" s="44">
        <f t="shared" ref="D60:N60" si="23">D58/$O$58</f>
        <v>0.11602209944751381</v>
      </c>
      <c r="E60" s="44">
        <f t="shared" si="23"/>
        <v>5.3406998158379376E-2</v>
      </c>
      <c r="F60" s="44">
        <f t="shared" si="23"/>
        <v>0.28637200736648249</v>
      </c>
      <c r="G60" s="44">
        <f t="shared" si="23"/>
        <v>4.6040515653775326E-3</v>
      </c>
      <c r="H60" s="44">
        <f t="shared" si="23"/>
        <v>1.4732965009208104E-2</v>
      </c>
      <c r="I60" s="44">
        <f t="shared" si="23"/>
        <v>8.1031307550644568E-2</v>
      </c>
      <c r="J60" s="44">
        <f t="shared" si="23"/>
        <v>6.1694290976058934E-2</v>
      </c>
      <c r="K60" s="44">
        <f t="shared" si="23"/>
        <v>1.841620626151013E-2</v>
      </c>
      <c r="L60" s="44">
        <f t="shared" si="23"/>
        <v>4.6040515653775323E-2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172</v>
      </c>
      <c r="E5" s="3"/>
      <c r="F5" s="41" t="s">
        <v>1</v>
      </c>
      <c r="G5" s="60" t="str">
        <f>'23.10 MITYANA-MUBENDE'!G5:H5</f>
        <v>MITYANA COLLEGE KIKUMBI</v>
      </c>
      <c r="H5" s="61"/>
      <c r="I5" s="14"/>
      <c r="J5" s="2" t="s">
        <v>5</v>
      </c>
      <c r="K5" s="60" t="str">
        <f>'23.10 MITYANA-MUBENDE'!K5:L5</f>
        <v>STEVEN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tr">
        <f>'23.10 MITYANA-MUBENDE'!D6:E6</f>
        <v>MITYANA</v>
      </c>
      <c r="E6" s="61"/>
      <c r="F6" s="2" t="s">
        <v>2</v>
      </c>
      <c r="G6" s="60" t="str">
        <f>'23.10 MITYANA-MUBENDE'!G6:H6</f>
        <v>MUBENDE</v>
      </c>
      <c r="H6" s="61"/>
      <c r="J6" s="2" t="s">
        <v>21</v>
      </c>
      <c r="K6" s="60" t="str">
        <f>'23.10 MITYANA-MUBENDE'!K6:L6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3</v>
      </c>
      <c r="E10" s="50">
        <v>3</v>
      </c>
      <c r="F10" s="50">
        <v>3</v>
      </c>
      <c r="G10" s="50">
        <v>0</v>
      </c>
      <c r="H10" s="50">
        <v>0</v>
      </c>
      <c r="I10" s="50">
        <v>3</v>
      </c>
      <c r="J10" s="50">
        <v>2</v>
      </c>
      <c r="K10" s="50">
        <v>2</v>
      </c>
      <c r="L10" s="50">
        <v>2</v>
      </c>
      <c r="M10" s="50">
        <v>35</v>
      </c>
      <c r="N10" s="50">
        <v>0</v>
      </c>
      <c r="O10" s="15">
        <f t="shared" ref="O10:O57" si="0">SUM(C10:L10,N10)</f>
        <v>26</v>
      </c>
      <c r="P10" s="15">
        <f t="shared" ref="P10:P57" si="1">SUM(C10:N10)</f>
        <v>61</v>
      </c>
      <c r="R10" s="1" t="s">
        <v>6</v>
      </c>
      <c r="S10" s="17">
        <f t="shared" ref="S10:AF10" si="2">SUM(C10:C13)</f>
        <v>35</v>
      </c>
      <c r="T10" s="17">
        <f t="shared" si="2"/>
        <v>18</v>
      </c>
      <c r="U10" s="17">
        <f t="shared" si="2"/>
        <v>8</v>
      </c>
      <c r="V10" s="17">
        <f t="shared" si="2"/>
        <v>10</v>
      </c>
      <c r="W10" s="17">
        <f t="shared" si="2"/>
        <v>0</v>
      </c>
      <c r="X10" s="17">
        <f t="shared" si="2"/>
        <v>1</v>
      </c>
      <c r="Y10" s="17">
        <f t="shared" si="2"/>
        <v>9</v>
      </c>
      <c r="Z10" s="17">
        <f t="shared" si="2"/>
        <v>5</v>
      </c>
      <c r="AA10" s="17">
        <f t="shared" si="2"/>
        <v>13</v>
      </c>
      <c r="AB10" s="17">
        <f t="shared" si="2"/>
        <v>5</v>
      </c>
      <c r="AC10" s="17">
        <f t="shared" si="2"/>
        <v>161</v>
      </c>
      <c r="AD10" s="17">
        <f t="shared" si="2"/>
        <v>0</v>
      </c>
      <c r="AE10" s="31">
        <f t="shared" si="2"/>
        <v>104</v>
      </c>
      <c r="AF10" s="31">
        <f t="shared" si="2"/>
        <v>265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5</v>
      </c>
      <c r="E11" s="50">
        <v>1</v>
      </c>
      <c r="F11" s="50">
        <v>2</v>
      </c>
      <c r="G11" s="50">
        <v>0</v>
      </c>
      <c r="H11" s="50">
        <v>0</v>
      </c>
      <c r="I11" s="50">
        <v>3</v>
      </c>
      <c r="J11" s="50">
        <v>1</v>
      </c>
      <c r="K11" s="50">
        <v>6</v>
      </c>
      <c r="L11" s="50">
        <v>1</v>
      </c>
      <c r="M11" s="50">
        <v>35</v>
      </c>
      <c r="N11" s="50">
        <v>0</v>
      </c>
      <c r="O11" s="15">
        <f t="shared" si="0"/>
        <v>29</v>
      </c>
      <c r="P11" s="15">
        <f t="shared" si="1"/>
        <v>64</v>
      </c>
      <c r="R11" s="1" t="s">
        <v>7</v>
      </c>
      <c r="S11" s="17">
        <f t="shared" ref="S11:AF11" si="3">SUM(C14:C17)</f>
        <v>31</v>
      </c>
      <c r="T11" s="17">
        <f t="shared" si="3"/>
        <v>16</v>
      </c>
      <c r="U11" s="17">
        <f t="shared" si="3"/>
        <v>7</v>
      </c>
      <c r="V11" s="17">
        <f t="shared" si="3"/>
        <v>18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6</v>
      </c>
      <c r="AA11" s="17">
        <f t="shared" si="3"/>
        <v>4</v>
      </c>
      <c r="AB11" s="17">
        <f t="shared" si="3"/>
        <v>2</v>
      </c>
      <c r="AC11" s="17">
        <f t="shared" si="3"/>
        <v>194</v>
      </c>
      <c r="AD11" s="17">
        <f t="shared" si="3"/>
        <v>0</v>
      </c>
      <c r="AE11" s="31">
        <f t="shared" si="3"/>
        <v>91</v>
      </c>
      <c r="AF11" s="31">
        <f t="shared" si="3"/>
        <v>285</v>
      </c>
    </row>
    <row r="12" spans="2:32" ht="23.1" customHeight="1" x14ac:dyDescent="0.25">
      <c r="B12" s="23" t="s">
        <v>39</v>
      </c>
      <c r="C12" s="50">
        <v>9</v>
      </c>
      <c r="D12" s="50">
        <v>5</v>
      </c>
      <c r="E12" s="50">
        <v>1</v>
      </c>
      <c r="F12" s="50">
        <v>4</v>
      </c>
      <c r="G12" s="50">
        <v>0</v>
      </c>
      <c r="H12" s="50">
        <v>0</v>
      </c>
      <c r="I12" s="50">
        <v>2</v>
      </c>
      <c r="J12" s="50">
        <v>2</v>
      </c>
      <c r="K12" s="50">
        <v>1</v>
      </c>
      <c r="L12" s="50">
        <v>1</v>
      </c>
      <c r="M12" s="50">
        <v>43</v>
      </c>
      <c r="N12" s="50">
        <v>0</v>
      </c>
      <c r="O12" s="15">
        <f t="shared" si="0"/>
        <v>25</v>
      </c>
      <c r="P12" s="15">
        <f t="shared" si="1"/>
        <v>68</v>
      </c>
      <c r="R12" s="1" t="s">
        <v>8</v>
      </c>
      <c r="S12" s="17">
        <f t="shared" ref="S12:AF12" si="4">SUM(C18:C21)</f>
        <v>42</v>
      </c>
      <c r="T12" s="17">
        <f t="shared" si="4"/>
        <v>19</v>
      </c>
      <c r="U12" s="17">
        <f t="shared" si="4"/>
        <v>5</v>
      </c>
      <c r="V12" s="17">
        <f t="shared" si="4"/>
        <v>24</v>
      </c>
      <c r="W12" s="17">
        <f t="shared" si="4"/>
        <v>1</v>
      </c>
      <c r="X12" s="17">
        <f t="shared" si="4"/>
        <v>1</v>
      </c>
      <c r="Y12" s="17">
        <f t="shared" si="4"/>
        <v>14</v>
      </c>
      <c r="Z12" s="17">
        <f t="shared" si="4"/>
        <v>6</v>
      </c>
      <c r="AA12" s="17">
        <f t="shared" si="4"/>
        <v>2</v>
      </c>
      <c r="AB12" s="17">
        <f t="shared" si="4"/>
        <v>1</v>
      </c>
      <c r="AC12" s="17">
        <f t="shared" si="4"/>
        <v>152</v>
      </c>
      <c r="AD12" s="17">
        <f t="shared" si="4"/>
        <v>0</v>
      </c>
      <c r="AE12" s="31">
        <f t="shared" si="4"/>
        <v>115</v>
      </c>
      <c r="AF12" s="31">
        <f t="shared" si="4"/>
        <v>267</v>
      </c>
    </row>
    <row r="13" spans="2:32" ht="23.1" customHeight="1" x14ac:dyDescent="0.25">
      <c r="B13" s="23" t="s">
        <v>40</v>
      </c>
      <c r="C13" s="50">
        <v>8</v>
      </c>
      <c r="D13" s="50">
        <v>5</v>
      </c>
      <c r="E13" s="50">
        <v>3</v>
      </c>
      <c r="F13" s="50">
        <v>1</v>
      </c>
      <c r="G13" s="50">
        <v>0</v>
      </c>
      <c r="H13" s="50">
        <v>1</v>
      </c>
      <c r="I13" s="50">
        <v>1</v>
      </c>
      <c r="J13" s="50">
        <v>0</v>
      </c>
      <c r="K13" s="50">
        <v>4</v>
      </c>
      <c r="L13" s="50">
        <v>1</v>
      </c>
      <c r="M13" s="50">
        <v>48</v>
      </c>
      <c r="N13" s="50">
        <v>0</v>
      </c>
      <c r="O13" s="15">
        <f t="shared" si="0"/>
        <v>24</v>
      </c>
      <c r="P13" s="15">
        <f t="shared" si="1"/>
        <v>72</v>
      </c>
      <c r="R13" s="1" t="s">
        <v>9</v>
      </c>
      <c r="S13" s="17">
        <f t="shared" ref="S13:AF13" si="5">SUM(C22:C25)</f>
        <v>33</v>
      </c>
      <c r="T13" s="17">
        <f t="shared" si="5"/>
        <v>16</v>
      </c>
      <c r="U13" s="17">
        <f t="shared" si="5"/>
        <v>7</v>
      </c>
      <c r="V13" s="17">
        <f t="shared" si="5"/>
        <v>30</v>
      </c>
      <c r="W13" s="17">
        <f t="shared" si="5"/>
        <v>1</v>
      </c>
      <c r="X13" s="17">
        <f t="shared" si="5"/>
        <v>1</v>
      </c>
      <c r="Y13" s="17">
        <f t="shared" si="5"/>
        <v>15</v>
      </c>
      <c r="Z13" s="17">
        <f t="shared" si="5"/>
        <v>7</v>
      </c>
      <c r="AA13" s="17">
        <f t="shared" si="5"/>
        <v>1</v>
      </c>
      <c r="AB13" s="17">
        <f t="shared" si="5"/>
        <v>0</v>
      </c>
      <c r="AC13" s="17">
        <f t="shared" si="5"/>
        <v>138</v>
      </c>
      <c r="AD13" s="17">
        <f t="shared" si="5"/>
        <v>0</v>
      </c>
      <c r="AE13" s="31">
        <f t="shared" si="5"/>
        <v>111</v>
      </c>
      <c r="AF13" s="31">
        <f t="shared" si="5"/>
        <v>249</v>
      </c>
    </row>
    <row r="14" spans="2:32" ht="23.1" customHeight="1" x14ac:dyDescent="0.25">
      <c r="B14" s="23" t="s">
        <v>41</v>
      </c>
      <c r="C14" s="50">
        <v>7</v>
      </c>
      <c r="D14" s="50">
        <v>3</v>
      </c>
      <c r="E14" s="50">
        <v>0</v>
      </c>
      <c r="F14" s="50">
        <v>6</v>
      </c>
      <c r="G14" s="50">
        <v>0</v>
      </c>
      <c r="H14" s="50">
        <v>0</v>
      </c>
      <c r="I14" s="50">
        <v>0</v>
      </c>
      <c r="J14" s="50">
        <v>1</v>
      </c>
      <c r="K14" s="50">
        <v>2</v>
      </c>
      <c r="L14" s="50">
        <v>1</v>
      </c>
      <c r="M14" s="50">
        <v>53</v>
      </c>
      <c r="N14" s="50">
        <v>0</v>
      </c>
      <c r="O14" s="15">
        <f t="shared" si="0"/>
        <v>20</v>
      </c>
      <c r="P14" s="15">
        <f t="shared" si="1"/>
        <v>73</v>
      </c>
      <c r="R14" s="1" t="s">
        <v>10</v>
      </c>
      <c r="S14" s="17">
        <f t="shared" ref="S14:AF14" si="6">SUM(C26:C29)</f>
        <v>18</v>
      </c>
      <c r="T14" s="17">
        <f t="shared" si="6"/>
        <v>10</v>
      </c>
      <c r="U14" s="17">
        <f t="shared" si="6"/>
        <v>10</v>
      </c>
      <c r="V14" s="17">
        <f t="shared" si="6"/>
        <v>31</v>
      </c>
      <c r="W14" s="17">
        <f t="shared" si="6"/>
        <v>2</v>
      </c>
      <c r="X14" s="17">
        <f t="shared" si="6"/>
        <v>3</v>
      </c>
      <c r="Y14" s="17">
        <f t="shared" si="6"/>
        <v>19</v>
      </c>
      <c r="Z14" s="17">
        <f t="shared" si="6"/>
        <v>9</v>
      </c>
      <c r="AA14" s="17">
        <f t="shared" si="6"/>
        <v>2</v>
      </c>
      <c r="AB14" s="17">
        <f t="shared" si="6"/>
        <v>3</v>
      </c>
      <c r="AC14" s="17">
        <f t="shared" si="6"/>
        <v>157</v>
      </c>
      <c r="AD14" s="17">
        <f t="shared" si="6"/>
        <v>0</v>
      </c>
      <c r="AE14" s="31">
        <f t="shared" si="6"/>
        <v>107</v>
      </c>
      <c r="AF14" s="31">
        <f t="shared" si="6"/>
        <v>264</v>
      </c>
    </row>
    <row r="15" spans="2:32" ht="23.1" customHeight="1" x14ac:dyDescent="0.25">
      <c r="B15" s="23" t="s">
        <v>42</v>
      </c>
      <c r="C15" s="50">
        <v>7</v>
      </c>
      <c r="D15" s="50">
        <v>3</v>
      </c>
      <c r="E15" s="50">
        <v>2</v>
      </c>
      <c r="F15" s="50">
        <v>5</v>
      </c>
      <c r="G15" s="50">
        <v>0</v>
      </c>
      <c r="H15" s="50">
        <v>0</v>
      </c>
      <c r="I15" s="50">
        <v>1</v>
      </c>
      <c r="J15" s="50">
        <v>3</v>
      </c>
      <c r="K15" s="50">
        <v>0</v>
      </c>
      <c r="L15" s="50">
        <v>0</v>
      </c>
      <c r="M15" s="50">
        <v>47</v>
      </c>
      <c r="N15" s="50">
        <v>0</v>
      </c>
      <c r="O15" s="15">
        <f t="shared" si="0"/>
        <v>21</v>
      </c>
      <c r="P15" s="15">
        <f t="shared" si="1"/>
        <v>68</v>
      </c>
      <c r="R15" s="1" t="s">
        <v>11</v>
      </c>
      <c r="S15" s="17">
        <f t="shared" ref="S15:AF15" si="7">SUM(C30:C33)</f>
        <v>37</v>
      </c>
      <c r="T15" s="17">
        <f t="shared" si="7"/>
        <v>13</v>
      </c>
      <c r="U15" s="17">
        <f t="shared" si="7"/>
        <v>7</v>
      </c>
      <c r="V15" s="17">
        <f t="shared" si="7"/>
        <v>34</v>
      </c>
      <c r="W15" s="17">
        <f t="shared" si="7"/>
        <v>0</v>
      </c>
      <c r="X15" s="17">
        <f t="shared" si="7"/>
        <v>2</v>
      </c>
      <c r="Y15" s="17">
        <f t="shared" si="7"/>
        <v>12</v>
      </c>
      <c r="Z15" s="17">
        <f t="shared" si="7"/>
        <v>5</v>
      </c>
      <c r="AA15" s="17">
        <f t="shared" si="7"/>
        <v>4</v>
      </c>
      <c r="AB15" s="17">
        <f t="shared" si="7"/>
        <v>4</v>
      </c>
      <c r="AC15" s="17">
        <f t="shared" si="7"/>
        <v>180</v>
      </c>
      <c r="AD15" s="17">
        <f t="shared" si="7"/>
        <v>0</v>
      </c>
      <c r="AE15" s="31">
        <f t="shared" si="7"/>
        <v>118</v>
      </c>
      <c r="AF15" s="31">
        <f t="shared" si="7"/>
        <v>298</v>
      </c>
    </row>
    <row r="16" spans="2:32" ht="23.1" customHeight="1" x14ac:dyDescent="0.25">
      <c r="B16" s="23" t="s">
        <v>43</v>
      </c>
      <c r="C16" s="50">
        <v>8</v>
      </c>
      <c r="D16" s="50">
        <v>6</v>
      </c>
      <c r="E16" s="50">
        <v>1</v>
      </c>
      <c r="F16" s="50">
        <v>3</v>
      </c>
      <c r="G16" s="50">
        <v>0</v>
      </c>
      <c r="H16" s="50">
        <v>0</v>
      </c>
      <c r="I16" s="50">
        <v>4</v>
      </c>
      <c r="J16" s="50">
        <v>1</v>
      </c>
      <c r="K16" s="50">
        <v>1</v>
      </c>
      <c r="L16" s="50">
        <v>1</v>
      </c>
      <c r="M16" s="50">
        <v>38</v>
      </c>
      <c r="N16" s="50">
        <v>0</v>
      </c>
      <c r="O16" s="15">
        <f t="shared" si="0"/>
        <v>25</v>
      </c>
      <c r="P16" s="15">
        <f t="shared" si="1"/>
        <v>63</v>
      </c>
      <c r="R16" s="1" t="s">
        <v>12</v>
      </c>
      <c r="S16" s="17">
        <f t="shared" ref="S16:AF16" si="8">SUM(C34:C37)</f>
        <v>47</v>
      </c>
      <c r="T16" s="17">
        <f t="shared" si="8"/>
        <v>9</v>
      </c>
      <c r="U16" s="17">
        <f t="shared" si="8"/>
        <v>8</v>
      </c>
      <c r="V16" s="17">
        <f t="shared" si="8"/>
        <v>24</v>
      </c>
      <c r="W16" s="17">
        <f t="shared" si="8"/>
        <v>1</v>
      </c>
      <c r="X16" s="17">
        <f t="shared" si="8"/>
        <v>3</v>
      </c>
      <c r="Y16" s="17">
        <f t="shared" si="8"/>
        <v>21</v>
      </c>
      <c r="Z16" s="17">
        <f t="shared" si="8"/>
        <v>10</v>
      </c>
      <c r="AA16" s="17">
        <f t="shared" si="8"/>
        <v>4</v>
      </c>
      <c r="AB16" s="17">
        <f t="shared" si="8"/>
        <v>8</v>
      </c>
      <c r="AC16" s="17">
        <f t="shared" si="8"/>
        <v>165</v>
      </c>
      <c r="AD16" s="17">
        <f t="shared" si="8"/>
        <v>0</v>
      </c>
      <c r="AE16" s="31">
        <f t="shared" si="8"/>
        <v>135</v>
      </c>
      <c r="AF16" s="31">
        <f t="shared" si="8"/>
        <v>300</v>
      </c>
    </row>
    <row r="17" spans="2:32" ht="23.1" customHeight="1" x14ac:dyDescent="0.25">
      <c r="B17" s="23" t="s">
        <v>44</v>
      </c>
      <c r="C17" s="50">
        <v>9</v>
      </c>
      <c r="D17" s="50">
        <v>4</v>
      </c>
      <c r="E17" s="50">
        <v>4</v>
      </c>
      <c r="F17" s="50">
        <v>4</v>
      </c>
      <c r="G17" s="50">
        <v>0</v>
      </c>
      <c r="H17" s="50">
        <v>0</v>
      </c>
      <c r="I17" s="50">
        <v>2</v>
      </c>
      <c r="J17" s="50">
        <v>1</v>
      </c>
      <c r="K17" s="50">
        <v>1</v>
      </c>
      <c r="L17" s="50">
        <v>0</v>
      </c>
      <c r="M17" s="50">
        <v>56</v>
      </c>
      <c r="N17" s="50">
        <v>0</v>
      </c>
      <c r="O17" s="15">
        <f t="shared" si="0"/>
        <v>25</v>
      </c>
      <c r="P17" s="15">
        <f t="shared" si="1"/>
        <v>81</v>
      </c>
      <c r="R17" s="1" t="s">
        <v>13</v>
      </c>
      <c r="S17" s="17">
        <f t="shared" ref="S17:AF17" si="9">SUM(C38:C41)</f>
        <v>38</v>
      </c>
      <c r="T17" s="17">
        <f t="shared" si="9"/>
        <v>9</v>
      </c>
      <c r="U17" s="17">
        <f t="shared" si="9"/>
        <v>8</v>
      </c>
      <c r="V17" s="17">
        <f t="shared" si="9"/>
        <v>29</v>
      </c>
      <c r="W17" s="17">
        <f t="shared" si="9"/>
        <v>0</v>
      </c>
      <c r="X17" s="17">
        <f t="shared" si="9"/>
        <v>2</v>
      </c>
      <c r="Y17" s="17">
        <f t="shared" si="9"/>
        <v>11</v>
      </c>
      <c r="Z17" s="17">
        <f t="shared" si="9"/>
        <v>6</v>
      </c>
      <c r="AA17" s="17">
        <f t="shared" si="9"/>
        <v>4</v>
      </c>
      <c r="AB17" s="17">
        <f t="shared" si="9"/>
        <v>2</v>
      </c>
      <c r="AC17" s="17">
        <f t="shared" si="9"/>
        <v>194</v>
      </c>
      <c r="AD17" s="17">
        <f t="shared" si="9"/>
        <v>0</v>
      </c>
      <c r="AE17" s="31">
        <f t="shared" si="9"/>
        <v>109</v>
      </c>
      <c r="AF17" s="31">
        <f t="shared" si="9"/>
        <v>303</v>
      </c>
    </row>
    <row r="18" spans="2:32" ht="23.1" customHeight="1" x14ac:dyDescent="0.25">
      <c r="B18" s="23" t="s">
        <v>45</v>
      </c>
      <c r="C18" s="50">
        <v>7</v>
      </c>
      <c r="D18" s="50">
        <v>7</v>
      </c>
      <c r="E18" s="50">
        <v>1</v>
      </c>
      <c r="F18" s="50">
        <v>7</v>
      </c>
      <c r="G18" s="50">
        <v>0</v>
      </c>
      <c r="H18" s="50">
        <v>1</v>
      </c>
      <c r="I18" s="50">
        <v>4</v>
      </c>
      <c r="J18" s="50">
        <v>2</v>
      </c>
      <c r="K18" s="50">
        <v>0</v>
      </c>
      <c r="L18" s="50">
        <v>0</v>
      </c>
      <c r="M18" s="50">
        <v>31</v>
      </c>
      <c r="N18" s="50">
        <v>0</v>
      </c>
      <c r="O18" s="15">
        <f t="shared" si="0"/>
        <v>29</v>
      </c>
      <c r="P18" s="15">
        <f t="shared" si="1"/>
        <v>60</v>
      </c>
      <c r="R18" s="1" t="s">
        <v>14</v>
      </c>
      <c r="S18" s="17">
        <f t="shared" ref="S18:AF18" si="10">SUM(C42:C45)</f>
        <v>35</v>
      </c>
      <c r="T18" s="17">
        <f t="shared" si="10"/>
        <v>6</v>
      </c>
      <c r="U18" s="17">
        <f t="shared" si="10"/>
        <v>3</v>
      </c>
      <c r="V18" s="17">
        <f t="shared" si="10"/>
        <v>32</v>
      </c>
      <c r="W18" s="17">
        <f t="shared" si="10"/>
        <v>1</v>
      </c>
      <c r="X18" s="17">
        <f t="shared" si="10"/>
        <v>1</v>
      </c>
      <c r="Y18" s="17">
        <f t="shared" si="10"/>
        <v>17</v>
      </c>
      <c r="Z18" s="17">
        <f t="shared" si="10"/>
        <v>11</v>
      </c>
      <c r="AA18" s="17">
        <f t="shared" si="10"/>
        <v>2</v>
      </c>
      <c r="AB18" s="17">
        <f t="shared" si="10"/>
        <v>7</v>
      </c>
      <c r="AC18" s="17">
        <f t="shared" si="10"/>
        <v>170</v>
      </c>
      <c r="AD18" s="17">
        <f t="shared" si="10"/>
        <v>0</v>
      </c>
      <c r="AE18" s="31">
        <f t="shared" si="10"/>
        <v>115</v>
      </c>
      <c r="AF18" s="31">
        <f t="shared" si="10"/>
        <v>285</v>
      </c>
    </row>
    <row r="19" spans="2:32" ht="23.1" customHeight="1" x14ac:dyDescent="0.25">
      <c r="B19" s="23" t="s">
        <v>46</v>
      </c>
      <c r="C19" s="50">
        <v>14</v>
      </c>
      <c r="D19" s="50">
        <v>3</v>
      </c>
      <c r="E19" s="50">
        <v>3</v>
      </c>
      <c r="F19" s="50">
        <v>2</v>
      </c>
      <c r="G19" s="50">
        <v>0</v>
      </c>
      <c r="H19" s="50">
        <v>0</v>
      </c>
      <c r="I19" s="50">
        <v>7</v>
      </c>
      <c r="J19" s="50">
        <v>2</v>
      </c>
      <c r="K19" s="50">
        <v>2</v>
      </c>
      <c r="L19" s="50">
        <v>0</v>
      </c>
      <c r="M19" s="50">
        <v>37</v>
      </c>
      <c r="N19" s="50">
        <v>0</v>
      </c>
      <c r="O19" s="15">
        <f t="shared" si="0"/>
        <v>33</v>
      </c>
      <c r="P19" s="15">
        <f t="shared" si="1"/>
        <v>70</v>
      </c>
      <c r="R19" s="1" t="s">
        <v>15</v>
      </c>
      <c r="S19" s="17">
        <f t="shared" ref="S19:AF19" si="11">SUM(C46:C49)</f>
        <v>37</v>
      </c>
      <c r="T19" s="17">
        <f t="shared" si="11"/>
        <v>15</v>
      </c>
      <c r="U19" s="17">
        <f t="shared" si="11"/>
        <v>5</v>
      </c>
      <c r="V19" s="17">
        <f t="shared" si="11"/>
        <v>23</v>
      </c>
      <c r="W19" s="17">
        <f t="shared" si="11"/>
        <v>0</v>
      </c>
      <c r="X19" s="17">
        <f t="shared" si="11"/>
        <v>3</v>
      </c>
      <c r="Y19" s="17">
        <f t="shared" si="11"/>
        <v>18</v>
      </c>
      <c r="Z19" s="17">
        <f t="shared" si="11"/>
        <v>11</v>
      </c>
      <c r="AA19" s="17">
        <f t="shared" si="11"/>
        <v>2</v>
      </c>
      <c r="AB19" s="17">
        <f t="shared" si="11"/>
        <v>4</v>
      </c>
      <c r="AC19" s="17">
        <f t="shared" si="11"/>
        <v>169</v>
      </c>
      <c r="AD19" s="17">
        <f t="shared" si="11"/>
        <v>0</v>
      </c>
      <c r="AE19" s="31">
        <f t="shared" si="11"/>
        <v>118</v>
      </c>
      <c r="AF19" s="31">
        <f t="shared" si="11"/>
        <v>287</v>
      </c>
    </row>
    <row r="20" spans="2:32" ht="23.1" customHeight="1" x14ac:dyDescent="0.25">
      <c r="B20" s="23" t="s">
        <v>47</v>
      </c>
      <c r="C20" s="50">
        <v>11</v>
      </c>
      <c r="D20" s="50">
        <v>3</v>
      </c>
      <c r="E20" s="50">
        <v>1</v>
      </c>
      <c r="F20" s="50">
        <v>8</v>
      </c>
      <c r="G20" s="50">
        <v>1</v>
      </c>
      <c r="H20" s="50">
        <v>0</v>
      </c>
      <c r="I20" s="50">
        <v>0</v>
      </c>
      <c r="J20" s="50">
        <v>2</v>
      </c>
      <c r="K20" s="50">
        <v>0</v>
      </c>
      <c r="L20" s="50">
        <v>1</v>
      </c>
      <c r="M20" s="50">
        <v>49</v>
      </c>
      <c r="N20" s="50">
        <v>0</v>
      </c>
      <c r="O20" s="15">
        <f t="shared" si="0"/>
        <v>27</v>
      </c>
      <c r="P20" s="15">
        <f t="shared" si="1"/>
        <v>76</v>
      </c>
      <c r="R20" s="1" t="s">
        <v>16</v>
      </c>
      <c r="S20" s="17">
        <f t="shared" ref="S20:AF20" si="12">SUM(C50:C53)</f>
        <v>36</v>
      </c>
      <c r="T20" s="17">
        <f t="shared" si="12"/>
        <v>10</v>
      </c>
      <c r="U20" s="17">
        <f t="shared" si="12"/>
        <v>9</v>
      </c>
      <c r="V20" s="17">
        <f t="shared" si="12"/>
        <v>26</v>
      </c>
      <c r="W20" s="17">
        <f t="shared" si="12"/>
        <v>0</v>
      </c>
      <c r="X20" s="17">
        <f t="shared" si="12"/>
        <v>3</v>
      </c>
      <c r="Y20" s="17">
        <f t="shared" si="12"/>
        <v>16</v>
      </c>
      <c r="Z20" s="17">
        <f t="shared" si="12"/>
        <v>4</v>
      </c>
      <c r="AA20" s="17">
        <f t="shared" si="12"/>
        <v>2</v>
      </c>
      <c r="AB20" s="17">
        <f t="shared" si="12"/>
        <v>4</v>
      </c>
      <c r="AC20" s="17">
        <f t="shared" si="12"/>
        <v>213</v>
      </c>
      <c r="AD20" s="17">
        <f t="shared" si="12"/>
        <v>0</v>
      </c>
      <c r="AE20" s="31">
        <f t="shared" si="12"/>
        <v>110</v>
      </c>
      <c r="AF20" s="31">
        <f t="shared" si="12"/>
        <v>323</v>
      </c>
    </row>
    <row r="21" spans="2:32" ht="23.1" customHeight="1" x14ac:dyDescent="0.25">
      <c r="B21" s="23" t="s">
        <v>48</v>
      </c>
      <c r="C21" s="50">
        <v>10</v>
      </c>
      <c r="D21" s="50">
        <v>6</v>
      </c>
      <c r="E21" s="50">
        <v>0</v>
      </c>
      <c r="F21" s="50">
        <v>7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35</v>
      </c>
      <c r="N21" s="50">
        <v>0</v>
      </c>
      <c r="O21" s="15">
        <f t="shared" si="0"/>
        <v>26</v>
      </c>
      <c r="P21" s="15">
        <f t="shared" si="1"/>
        <v>61</v>
      </c>
      <c r="R21" s="36" t="s">
        <v>20</v>
      </c>
      <c r="S21" s="34">
        <f t="shared" ref="S21:AF21" si="13">SUM(C54:C57)</f>
        <v>41</v>
      </c>
      <c r="T21" s="17">
        <f t="shared" si="13"/>
        <v>5</v>
      </c>
      <c r="U21" s="17">
        <f t="shared" si="13"/>
        <v>5</v>
      </c>
      <c r="V21" s="17">
        <f t="shared" si="13"/>
        <v>26</v>
      </c>
      <c r="W21" s="17">
        <f t="shared" si="13"/>
        <v>0</v>
      </c>
      <c r="X21" s="17">
        <f t="shared" si="13"/>
        <v>1</v>
      </c>
      <c r="Y21" s="17">
        <f t="shared" si="13"/>
        <v>4</v>
      </c>
      <c r="Z21" s="17">
        <f t="shared" si="13"/>
        <v>9</v>
      </c>
      <c r="AA21" s="17">
        <f t="shared" si="13"/>
        <v>1</v>
      </c>
      <c r="AB21" s="17">
        <f t="shared" si="13"/>
        <v>6</v>
      </c>
      <c r="AC21" s="17">
        <f t="shared" si="13"/>
        <v>224</v>
      </c>
      <c r="AD21" s="17">
        <f t="shared" si="13"/>
        <v>0</v>
      </c>
      <c r="AE21" s="31">
        <f t="shared" si="13"/>
        <v>98</v>
      </c>
      <c r="AF21" s="31">
        <f t="shared" si="13"/>
        <v>322</v>
      </c>
    </row>
    <row r="22" spans="2:32" ht="23.1" customHeight="1" x14ac:dyDescent="0.25">
      <c r="B22" s="23" t="s">
        <v>49</v>
      </c>
      <c r="C22" s="50">
        <v>7</v>
      </c>
      <c r="D22" s="50">
        <v>5</v>
      </c>
      <c r="E22" s="50">
        <v>0</v>
      </c>
      <c r="F22" s="50">
        <v>10</v>
      </c>
      <c r="G22" s="50">
        <v>0</v>
      </c>
      <c r="H22" s="50">
        <v>1</v>
      </c>
      <c r="I22" s="50">
        <v>6</v>
      </c>
      <c r="J22" s="50">
        <v>2</v>
      </c>
      <c r="K22" s="50">
        <v>0</v>
      </c>
      <c r="L22" s="50">
        <v>0</v>
      </c>
      <c r="M22" s="50">
        <v>44</v>
      </c>
      <c r="N22" s="50">
        <v>0</v>
      </c>
      <c r="O22" s="15">
        <f t="shared" si="0"/>
        <v>31</v>
      </c>
      <c r="P22" s="15">
        <f t="shared" si="1"/>
        <v>75</v>
      </c>
      <c r="R22" s="38" t="s">
        <v>90</v>
      </c>
      <c r="S22" s="39">
        <f>MAX(S10:S12)</f>
        <v>42</v>
      </c>
      <c r="T22" s="39">
        <f t="shared" ref="T22:AF22" si="14">MAX(T10:T12)</f>
        <v>19</v>
      </c>
      <c r="U22" s="39">
        <f t="shared" si="14"/>
        <v>8</v>
      </c>
      <c r="V22" s="39">
        <f t="shared" si="14"/>
        <v>24</v>
      </c>
      <c r="W22" s="39">
        <f t="shared" si="14"/>
        <v>1</v>
      </c>
      <c r="X22" s="39">
        <f t="shared" si="14"/>
        <v>1</v>
      </c>
      <c r="Y22" s="39">
        <f t="shared" si="14"/>
        <v>14</v>
      </c>
      <c r="Z22" s="39">
        <f t="shared" si="14"/>
        <v>6</v>
      </c>
      <c r="AA22" s="39">
        <f t="shared" si="14"/>
        <v>13</v>
      </c>
      <c r="AB22" s="39">
        <f t="shared" si="14"/>
        <v>5</v>
      </c>
      <c r="AC22" s="39">
        <f t="shared" si="14"/>
        <v>194</v>
      </c>
      <c r="AD22" s="39">
        <f t="shared" si="14"/>
        <v>0</v>
      </c>
      <c r="AE22" s="40">
        <f t="shared" si="14"/>
        <v>115</v>
      </c>
      <c r="AF22" s="40">
        <f t="shared" si="14"/>
        <v>285</v>
      </c>
    </row>
    <row r="23" spans="2:32" ht="23.1" customHeight="1" x14ac:dyDescent="0.25">
      <c r="B23" s="23" t="s">
        <v>50</v>
      </c>
      <c r="C23" s="50">
        <v>12</v>
      </c>
      <c r="D23" s="50">
        <v>3</v>
      </c>
      <c r="E23" s="50">
        <v>2</v>
      </c>
      <c r="F23" s="50">
        <v>3</v>
      </c>
      <c r="G23" s="50">
        <v>0</v>
      </c>
      <c r="H23" s="50">
        <v>0</v>
      </c>
      <c r="I23" s="50">
        <v>4</v>
      </c>
      <c r="J23" s="50">
        <v>3</v>
      </c>
      <c r="K23" s="50">
        <v>1</v>
      </c>
      <c r="L23" s="50">
        <v>0</v>
      </c>
      <c r="M23" s="50">
        <v>40</v>
      </c>
      <c r="N23" s="50">
        <v>0</v>
      </c>
      <c r="O23" s="15">
        <f t="shared" si="0"/>
        <v>28</v>
      </c>
      <c r="P23" s="15">
        <f t="shared" si="1"/>
        <v>68</v>
      </c>
      <c r="R23" s="38" t="s">
        <v>91</v>
      </c>
      <c r="S23" s="39">
        <f>MAX(S13:S18)</f>
        <v>47</v>
      </c>
      <c r="T23" s="39">
        <f t="shared" ref="T23:AF23" si="15">MAX(T13:T18)</f>
        <v>16</v>
      </c>
      <c r="U23" s="39">
        <f t="shared" si="15"/>
        <v>10</v>
      </c>
      <c r="V23" s="39">
        <f t="shared" si="15"/>
        <v>34</v>
      </c>
      <c r="W23" s="39">
        <f t="shared" si="15"/>
        <v>2</v>
      </c>
      <c r="X23" s="39">
        <f t="shared" si="15"/>
        <v>3</v>
      </c>
      <c r="Y23" s="39">
        <f t="shared" si="15"/>
        <v>21</v>
      </c>
      <c r="Z23" s="39">
        <f t="shared" si="15"/>
        <v>11</v>
      </c>
      <c r="AA23" s="39">
        <f t="shared" si="15"/>
        <v>4</v>
      </c>
      <c r="AB23" s="39">
        <f t="shared" si="15"/>
        <v>8</v>
      </c>
      <c r="AC23" s="39">
        <f t="shared" si="15"/>
        <v>194</v>
      </c>
      <c r="AD23" s="39">
        <f t="shared" si="15"/>
        <v>0</v>
      </c>
      <c r="AE23" s="40">
        <f t="shared" si="15"/>
        <v>135</v>
      </c>
      <c r="AF23" s="40">
        <f t="shared" si="15"/>
        <v>303</v>
      </c>
    </row>
    <row r="24" spans="2:32" ht="23.1" customHeight="1" x14ac:dyDescent="0.25">
      <c r="B24" s="23" t="s">
        <v>51</v>
      </c>
      <c r="C24" s="50">
        <v>8</v>
      </c>
      <c r="D24" s="50">
        <v>4</v>
      </c>
      <c r="E24" s="50">
        <v>3</v>
      </c>
      <c r="F24" s="50">
        <v>13</v>
      </c>
      <c r="G24" s="50">
        <v>1</v>
      </c>
      <c r="H24" s="50">
        <v>0</v>
      </c>
      <c r="I24" s="50">
        <v>3</v>
      </c>
      <c r="J24" s="50">
        <v>1</v>
      </c>
      <c r="K24" s="50">
        <v>0</v>
      </c>
      <c r="L24" s="50">
        <v>0</v>
      </c>
      <c r="M24" s="50">
        <v>30</v>
      </c>
      <c r="N24" s="50">
        <v>0</v>
      </c>
      <c r="O24" s="15">
        <f t="shared" si="0"/>
        <v>33</v>
      </c>
      <c r="P24" s="15">
        <f t="shared" si="1"/>
        <v>63</v>
      </c>
      <c r="R24" s="38" t="s">
        <v>92</v>
      </c>
      <c r="S24" s="39">
        <f>MAX(S19:S21)</f>
        <v>41</v>
      </c>
      <c r="T24" s="39">
        <f t="shared" ref="T24:AF24" si="16">MAX(T19:T21)</f>
        <v>15</v>
      </c>
      <c r="U24" s="39">
        <f t="shared" si="16"/>
        <v>9</v>
      </c>
      <c r="V24" s="39">
        <f t="shared" si="16"/>
        <v>26</v>
      </c>
      <c r="W24" s="39">
        <f t="shared" si="16"/>
        <v>0</v>
      </c>
      <c r="X24" s="39">
        <f t="shared" si="16"/>
        <v>3</v>
      </c>
      <c r="Y24" s="39">
        <f t="shared" si="16"/>
        <v>18</v>
      </c>
      <c r="Z24" s="39">
        <f t="shared" si="16"/>
        <v>11</v>
      </c>
      <c r="AA24" s="39">
        <f t="shared" si="16"/>
        <v>2</v>
      </c>
      <c r="AB24" s="39">
        <f t="shared" si="16"/>
        <v>6</v>
      </c>
      <c r="AC24" s="39">
        <f t="shared" si="16"/>
        <v>224</v>
      </c>
      <c r="AD24" s="39">
        <f t="shared" si="16"/>
        <v>0</v>
      </c>
      <c r="AE24" s="40">
        <f t="shared" si="16"/>
        <v>118</v>
      </c>
      <c r="AF24" s="40">
        <f t="shared" si="16"/>
        <v>323</v>
      </c>
    </row>
    <row r="25" spans="2:32" ht="23.1" customHeight="1" x14ac:dyDescent="0.25">
      <c r="B25" s="23" t="s">
        <v>52</v>
      </c>
      <c r="C25" s="50">
        <v>6</v>
      </c>
      <c r="D25" s="50">
        <v>4</v>
      </c>
      <c r="E25" s="50">
        <v>2</v>
      </c>
      <c r="F25" s="50">
        <v>4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24</v>
      </c>
      <c r="N25" s="50">
        <v>0</v>
      </c>
      <c r="O25" s="15">
        <f t="shared" si="0"/>
        <v>19</v>
      </c>
      <c r="P25" s="15">
        <f t="shared" si="1"/>
        <v>43</v>
      </c>
      <c r="R25" s="37" t="s">
        <v>85</v>
      </c>
      <c r="S25" s="35">
        <f t="shared" ref="S25:AF25" si="17">SUM(S10:S12)</f>
        <v>108</v>
      </c>
      <c r="T25" s="16">
        <f t="shared" si="17"/>
        <v>53</v>
      </c>
      <c r="U25" s="16">
        <f t="shared" si="17"/>
        <v>20</v>
      </c>
      <c r="V25" s="16">
        <f t="shared" si="17"/>
        <v>52</v>
      </c>
      <c r="W25" s="16">
        <f t="shared" si="17"/>
        <v>1</v>
      </c>
      <c r="X25" s="16">
        <f t="shared" si="17"/>
        <v>2</v>
      </c>
      <c r="Y25" s="16">
        <f t="shared" si="17"/>
        <v>30</v>
      </c>
      <c r="Z25" s="16">
        <f t="shared" si="17"/>
        <v>17</v>
      </c>
      <c r="AA25" s="16">
        <f t="shared" si="17"/>
        <v>19</v>
      </c>
      <c r="AB25" s="16">
        <f t="shared" si="17"/>
        <v>8</v>
      </c>
      <c r="AC25" s="16">
        <f t="shared" si="17"/>
        <v>507</v>
      </c>
      <c r="AD25" s="16">
        <f t="shared" si="17"/>
        <v>0</v>
      </c>
      <c r="AE25" s="32">
        <f t="shared" si="17"/>
        <v>310</v>
      </c>
      <c r="AF25" s="32">
        <f t="shared" si="17"/>
        <v>817</v>
      </c>
    </row>
    <row r="26" spans="2:32" ht="23.1" customHeight="1" x14ac:dyDescent="0.25">
      <c r="B26" s="23" t="s">
        <v>53</v>
      </c>
      <c r="C26" s="50">
        <v>5</v>
      </c>
      <c r="D26" s="50">
        <v>6</v>
      </c>
      <c r="E26" s="50">
        <v>3</v>
      </c>
      <c r="F26" s="50">
        <v>4</v>
      </c>
      <c r="G26" s="50">
        <v>0</v>
      </c>
      <c r="H26" s="50">
        <v>1</v>
      </c>
      <c r="I26" s="50">
        <v>8</v>
      </c>
      <c r="J26" s="50">
        <v>2</v>
      </c>
      <c r="K26" s="50">
        <v>0</v>
      </c>
      <c r="L26" s="50">
        <v>0</v>
      </c>
      <c r="M26" s="50">
        <v>37</v>
      </c>
      <c r="N26" s="50">
        <v>0</v>
      </c>
      <c r="O26" s="15">
        <f t="shared" si="0"/>
        <v>29</v>
      </c>
      <c r="P26" s="15">
        <f t="shared" si="1"/>
        <v>66</v>
      </c>
      <c r="R26" s="28" t="s">
        <v>86</v>
      </c>
      <c r="S26" s="16">
        <f t="shared" ref="S26:AF26" si="18">SUM(S13:S18)</f>
        <v>208</v>
      </c>
      <c r="T26" s="16">
        <f t="shared" si="18"/>
        <v>63</v>
      </c>
      <c r="U26" s="16">
        <f t="shared" si="18"/>
        <v>43</v>
      </c>
      <c r="V26" s="16">
        <f t="shared" si="18"/>
        <v>180</v>
      </c>
      <c r="W26" s="16">
        <f t="shared" si="18"/>
        <v>5</v>
      </c>
      <c r="X26" s="16">
        <f t="shared" si="18"/>
        <v>12</v>
      </c>
      <c r="Y26" s="16">
        <f t="shared" si="18"/>
        <v>95</v>
      </c>
      <c r="Z26" s="16">
        <f t="shared" si="18"/>
        <v>48</v>
      </c>
      <c r="AA26" s="16">
        <f t="shared" si="18"/>
        <v>17</v>
      </c>
      <c r="AB26" s="16">
        <f t="shared" si="18"/>
        <v>24</v>
      </c>
      <c r="AC26" s="16">
        <f t="shared" si="18"/>
        <v>1004</v>
      </c>
      <c r="AD26" s="16">
        <f t="shared" si="18"/>
        <v>0</v>
      </c>
      <c r="AE26" s="32">
        <f t="shared" si="18"/>
        <v>695</v>
      </c>
      <c r="AF26" s="32">
        <f t="shared" si="18"/>
        <v>1699</v>
      </c>
    </row>
    <row r="27" spans="2:32" ht="23.1" customHeight="1" x14ac:dyDescent="0.25">
      <c r="B27" s="23" t="s">
        <v>54</v>
      </c>
      <c r="C27" s="50">
        <v>3</v>
      </c>
      <c r="D27" s="50">
        <v>2</v>
      </c>
      <c r="E27" s="50">
        <v>2</v>
      </c>
      <c r="F27" s="50">
        <v>14</v>
      </c>
      <c r="G27" s="50">
        <v>2</v>
      </c>
      <c r="H27" s="50">
        <v>1</v>
      </c>
      <c r="I27" s="50">
        <v>2</v>
      </c>
      <c r="J27" s="50">
        <v>1</v>
      </c>
      <c r="K27" s="50">
        <v>0</v>
      </c>
      <c r="L27" s="50">
        <v>1</v>
      </c>
      <c r="M27" s="50">
        <v>31</v>
      </c>
      <c r="N27" s="50">
        <v>0</v>
      </c>
      <c r="O27" s="15">
        <f t="shared" si="0"/>
        <v>28</v>
      </c>
      <c r="P27" s="15">
        <f t="shared" si="1"/>
        <v>59</v>
      </c>
      <c r="R27" s="29" t="s">
        <v>87</v>
      </c>
      <c r="S27" s="16">
        <f t="shared" ref="S27:AF27" si="19">SUM(S19:S21)</f>
        <v>114</v>
      </c>
      <c r="T27" s="16">
        <f t="shared" si="19"/>
        <v>30</v>
      </c>
      <c r="U27" s="16">
        <f t="shared" si="19"/>
        <v>19</v>
      </c>
      <c r="V27" s="16">
        <f t="shared" si="19"/>
        <v>75</v>
      </c>
      <c r="W27" s="16">
        <f t="shared" si="19"/>
        <v>0</v>
      </c>
      <c r="X27" s="16">
        <f t="shared" si="19"/>
        <v>7</v>
      </c>
      <c r="Y27" s="16">
        <f t="shared" si="19"/>
        <v>38</v>
      </c>
      <c r="Z27" s="16">
        <f t="shared" si="19"/>
        <v>24</v>
      </c>
      <c r="AA27" s="16">
        <f t="shared" si="19"/>
        <v>5</v>
      </c>
      <c r="AB27" s="16">
        <f t="shared" si="19"/>
        <v>14</v>
      </c>
      <c r="AC27" s="16">
        <f t="shared" si="19"/>
        <v>606</v>
      </c>
      <c r="AD27" s="16">
        <f t="shared" si="19"/>
        <v>0</v>
      </c>
      <c r="AE27" s="32">
        <f t="shared" si="19"/>
        <v>326</v>
      </c>
      <c r="AF27" s="32">
        <f t="shared" si="19"/>
        <v>932</v>
      </c>
    </row>
    <row r="28" spans="2:32" ht="23.1" customHeight="1" x14ac:dyDescent="0.25">
      <c r="B28" s="23" t="s">
        <v>55</v>
      </c>
      <c r="C28" s="50">
        <v>4</v>
      </c>
      <c r="D28" s="50">
        <v>1</v>
      </c>
      <c r="E28" s="50">
        <v>2</v>
      </c>
      <c r="F28" s="50">
        <v>6</v>
      </c>
      <c r="G28" s="50">
        <v>0</v>
      </c>
      <c r="H28" s="50">
        <v>0</v>
      </c>
      <c r="I28" s="50">
        <v>3</v>
      </c>
      <c r="J28" s="50">
        <v>2</v>
      </c>
      <c r="K28" s="50">
        <v>0</v>
      </c>
      <c r="L28" s="50">
        <v>2</v>
      </c>
      <c r="M28" s="50">
        <v>51</v>
      </c>
      <c r="N28" s="50">
        <v>0</v>
      </c>
      <c r="O28" s="15">
        <f t="shared" si="0"/>
        <v>20</v>
      </c>
      <c r="P28" s="15">
        <f t="shared" si="1"/>
        <v>71</v>
      </c>
      <c r="R28" s="5" t="s">
        <v>17</v>
      </c>
      <c r="S28" s="16">
        <f t="shared" ref="S28:AF28" si="20">SUM(S10:S21)</f>
        <v>430</v>
      </c>
      <c r="T28" s="16">
        <f t="shared" si="20"/>
        <v>146</v>
      </c>
      <c r="U28" s="16">
        <f t="shared" si="20"/>
        <v>82</v>
      </c>
      <c r="V28" s="16">
        <f t="shared" si="20"/>
        <v>307</v>
      </c>
      <c r="W28" s="16">
        <f t="shared" si="20"/>
        <v>6</v>
      </c>
      <c r="X28" s="16">
        <f t="shared" si="20"/>
        <v>21</v>
      </c>
      <c r="Y28" s="16">
        <f t="shared" si="20"/>
        <v>163</v>
      </c>
      <c r="Z28" s="16">
        <f t="shared" si="20"/>
        <v>89</v>
      </c>
      <c r="AA28" s="16">
        <f t="shared" si="20"/>
        <v>41</v>
      </c>
      <c r="AB28" s="16">
        <f t="shared" si="20"/>
        <v>46</v>
      </c>
      <c r="AC28" s="16">
        <f t="shared" si="20"/>
        <v>2117</v>
      </c>
      <c r="AD28" s="16">
        <f t="shared" si="20"/>
        <v>0</v>
      </c>
      <c r="AE28" s="32">
        <f t="shared" si="20"/>
        <v>1331</v>
      </c>
      <c r="AF28" s="32">
        <f t="shared" si="20"/>
        <v>3448</v>
      </c>
    </row>
    <row r="29" spans="2:32" ht="23.1" customHeight="1" x14ac:dyDescent="0.25">
      <c r="B29" s="23" t="s">
        <v>56</v>
      </c>
      <c r="C29" s="50">
        <v>6</v>
      </c>
      <c r="D29" s="50">
        <v>1</v>
      </c>
      <c r="E29" s="50">
        <v>3</v>
      </c>
      <c r="F29" s="50">
        <v>7</v>
      </c>
      <c r="G29" s="50">
        <v>0</v>
      </c>
      <c r="H29" s="50">
        <v>1</v>
      </c>
      <c r="I29" s="50">
        <v>6</v>
      </c>
      <c r="J29" s="50">
        <v>4</v>
      </c>
      <c r="K29" s="50">
        <v>2</v>
      </c>
      <c r="L29" s="50">
        <v>0</v>
      </c>
      <c r="M29" s="50">
        <v>38</v>
      </c>
      <c r="N29" s="50">
        <v>0</v>
      </c>
      <c r="O29" s="15">
        <f t="shared" si="0"/>
        <v>30</v>
      </c>
      <c r="P29" s="15">
        <f t="shared" si="1"/>
        <v>68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2</v>
      </c>
      <c r="E30" s="50">
        <v>2</v>
      </c>
      <c r="F30" s="50">
        <v>9</v>
      </c>
      <c r="G30" s="50">
        <v>0</v>
      </c>
      <c r="H30" s="50">
        <v>1</v>
      </c>
      <c r="I30" s="50">
        <v>4</v>
      </c>
      <c r="J30" s="50">
        <v>1</v>
      </c>
      <c r="K30" s="50">
        <v>1</v>
      </c>
      <c r="L30" s="50">
        <v>1</v>
      </c>
      <c r="M30" s="50">
        <v>49</v>
      </c>
      <c r="N30" s="50">
        <v>0</v>
      </c>
      <c r="O30" s="15">
        <f t="shared" si="0"/>
        <v>27</v>
      </c>
      <c r="P30" s="15">
        <f t="shared" si="1"/>
        <v>76</v>
      </c>
    </row>
    <row r="31" spans="2:32" ht="23.1" customHeight="1" x14ac:dyDescent="0.25">
      <c r="B31" s="24" t="s">
        <v>58</v>
      </c>
      <c r="C31" s="50">
        <v>12</v>
      </c>
      <c r="D31" s="50">
        <v>3</v>
      </c>
      <c r="E31" s="50">
        <v>2</v>
      </c>
      <c r="F31" s="50">
        <v>11</v>
      </c>
      <c r="G31" s="50">
        <v>0</v>
      </c>
      <c r="H31" s="50">
        <v>1</v>
      </c>
      <c r="I31" s="50">
        <v>1</v>
      </c>
      <c r="J31" s="50">
        <v>1</v>
      </c>
      <c r="K31" s="50">
        <v>0</v>
      </c>
      <c r="L31" s="50">
        <v>1</v>
      </c>
      <c r="M31" s="50">
        <v>46</v>
      </c>
      <c r="N31" s="50">
        <v>0</v>
      </c>
      <c r="O31" s="15">
        <f t="shared" si="0"/>
        <v>32</v>
      </c>
      <c r="P31" s="15">
        <f t="shared" si="1"/>
        <v>78</v>
      </c>
    </row>
    <row r="32" spans="2:32" ht="23.1" customHeight="1" x14ac:dyDescent="0.25">
      <c r="B32" s="24" t="s">
        <v>59</v>
      </c>
      <c r="C32" s="50">
        <v>10</v>
      </c>
      <c r="D32" s="50">
        <v>4</v>
      </c>
      <c r="E32" s="50">
        <v>3</v>
      </c>
      <c r="F32" s="50">
        <v>8</v>
      </c>
      <c r="G32" s="50">
        <v>0</v>
      </c>
      <c r="H32" s="50">
        <v>0</v>
      </c>
      <c r="I32" s="50">
        <v>7</v>
      </c>
      <c r="J32" s="50">
        <v>1</v>
      </c>
      <c r="K32" s="50">
        <v>2</v>
      </c>
      <c r="L32" s="50">
        <v>1</v>
      </c>
      <c r="M32" s="50">
        <v>32</v>
      </c>
      <c r="N32" s="50">
        <v>0</v>
      </c>
      <c r="O32" s="15">
        <f t="shared" si="0"/>
        <v>36</v>
      </c>
      <c r="P32" s="15">
        <f t="shared" si="1"/>
        <v>68</v>
      </c>
    </row>
    <row r="33" spans="2:20" ht="23.1" customHeight="1" x14ac:dyDescent="0.25">
      <c r="B33" s="23" t="s">
        <v>60</v>
      </c>
      <c r="C33" s="50">
        <v>9</v>
      </c>
      <c r="D33" s="50">
        <v>4</v>
      </c>
      <c r="E33" s="50">
        <v>0</v>
      </c>
      <c r="F33" s="50">
        <v>6</v>
      </c>
      <c r="G33" s="50">
        <v>0</v>
      </c>
      <c r="H33" s="50">
        <v>0</v>
      </c>
      <c r="I33" s="50">
        <v>0</v>
      </c>
      <c r="J33" s="50">
        <v>2</v>
      </c>
      <c r="K33" s="50">
        <v>1</v>
      </c>
      <c r="L33" s="50">
        <v>1</v>
      </c>
      <c r="M33" s="50">
        <v>53</v>
      </c>
      <c r="N33" s="50">
        <v>0</v>
      </c>
      <c r="O33" s="15">
        <f t="shared" si="0"/>
        <v>23</v>
      </c>
      <c r="P33" s="15">
        <f t="shared" si="1"/>
        <v>76</v>
      </c>
    </row>
    <row r="34" spans="2:20" ht="23.1" customHeight="1" x14ac:dyDescent="0.25">
      <c r="B34" s="24" t="s">
        <v>61</v>
      </c>
      <c r="C34" s="50">
        <v>10</v>
      </c>
      <c r="D34" s="50">
        <v>1</v>
      </c>
      <c r="E34" s="50">
        <v>2</v>
      </c>
      <c r="F34" s="50">
        <v>7</v>
      </c>
      <c r="G34" s="50">
        <v>0</v>
      </c>
      <c r="H34" s="50">
        <v>0</v>
      </c>
      <c r="I34" s="50">
        <v>10</v>
      </c>
      <c r="J34" s="50">
        <v>3</v>
      </c>
      <c r="K34" s="50">
        <v>1</v>
      </c>
      <c r="L34" s="50">
        <v>1</v>
      </c>
      <c r="M34" s="50">
        <v>36</v>
      </c>
      <c r="N34" s="50">
        <v>0</v>
      </c>
      <c r="O34" s="15">
        <f t="shared" si="0"/>
        <v>35</v>
      </c>
      <c r="P34" s="15">
        <f t="shared" si="1"/>
        <v>71</v>
      </c>
    </row>
    <row r="35" spans="2:20" ht="23.1" customHeight="1" x14ac:dyDescent="0.25">
      <c r="B35" s="24" t="s">
        <v>62</v>
      </c>
      <c r="C35" s="50">
        <v>13</v>
      </c>
      <c r="D35" s="50">
        <v>3</v>
      </c>
      <c r="E35" s="50">
        <v>1</v>
      </c>
      <c r="F35" s="50">
        <v>5</v>
      </c>
      <c r="G35" s="50">
        <v>0</v>
      </c>
      <c r="H35" s="50">
        <v>1</v>
      </c>
      <c r="I35" s="50">
        <v>5</v>
      </c>
      <c r="J35" s="50">
        <v>3</v>
      </c>
      <c r="K35" s="50">
        <v>2</v>
      </c>
      <c r="L35" s="50">
        <v>3</v>
      </c>
      <c r="M35" s="50">
        <v>42</v>
      </c>
      <c r="N35" s="50">
        <v>0</v>
      </c>
      <c r="O35" s="15">
        <f t="shared" si="0"/>
        <v>36</v>
      </c>
      <c r="P35" s="15">
        <f t="shared" si="1"/>
        <v>78</v>
      </c>
    </row>
    <row r="36" spans="2:20" ht="23.1" customHeight="1" x14ac:dyDescent="0.25">
      <c r="B36" s="24" t="s">
        <v>63</v>
      </c>
      <c r="C36" s="50">
        <v>8</v>
      </c>
      <c r="D36" s="50">
        <v>1</v>
      </c>
      <c r="E36" s="50">
        <v>4</v>
      </c>
      <c r="F36" s="50">
        <v>7</v>
      </c>
      <c r="G36" s="50">
        <v>1</v>
      </c>
      <c r="H36" s="50">
        <v>2</v>
      </c>
      <c r="I36" s="50">
        <v>4</v>
      </c>
      <c r="J36" s="50">
        <v>2</v>
      </c>
      <c r="K36" s="50">
        <v>1</v>
      </c>
      <c r="L36" s="50">
        <v>4</v>
      </c>
      <c r="M36" s="50">
        <v>42</v>
      </c>
      <c r="N36" s="50">
        <v>0</v>
      </c>
      <c r="O36" s="15">
        <f t="shared" si="0"/>
        <v>34</v>
      </c>
      <c r="P36" s="15">
        <f t="shared" si="1"/>
        <v>76</v>
      </c>
    </row>
    <row r="37" spans="2:20" ht="23.1" customHeight="1" x14ac:dyDescent="0.25">
      <c r="B37" s="23" t="s">
        <v>64</v>
      </c>
      <c r="C37" s="50">
        <v>16</v>
      </c>
      <c r="D37" s="50">
        <v>4</v>
      </c>
      <c r="E37" s="50">
        <v>1</v>
      </c>
      <c r="F37" s="50">
        <v>5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0</v>
      </c>
      <c r="M37" s="50">
        <v>45</v>
      </c>
      <c r="N37" s="50">
        <v>0</v>
      </c>
      <c r="O37" s="15">
        <f t="shared" si="0"/>
        <v>30</v>
      </c>
      <c r="P37" s="15">
        <f t="shared" si="1"/>
        <v>75</v>
      </c>
    </row>
    <row r="38" spans="2:20" ht="23.1" customHeight="1" x14ac:dyDescent="0.25">
      <c r="B38" s="24" t="s">
        <v>65</v>
      </c>
      <c r="C38" s="50">
        <v>10</v>
      </c>
      <c r="D38" s="50">
        <v>0</v>
      </c>
      <c r="E38" s="50">
        <v>2</v>
      </c>
      <c r="F38" s="50">
        <v>9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1</v>
      </c>
      <c r="M38" s="50">
        <v>53</v>
      </c>
      <c r="N38" s="50">
        <v>0</v>
      </c>
      <c r="O38" s="15">
        <f t="shared" si="0"/>
        <v>25</v>
      </c>
      <c r="P38" s="15">
        <f t="shared" si="1"/>
        <v>78</v>
      </c>
    </row>
    <row r="39" spans="2:20" ht="23.1" customHeight="1" x14ac:dyDescent="0.25">
      <c r="B39" s="24" t="s">
        <v>66</v>
      </c>
      <c r="C39" s="50">
        <v>13</v>
      </c>
      <c r="D39" s="50">
        <v>5</v>
      </c>
      <c r="E39" s="50">
        <v>3</v>
      </c>
      <c r="F39" s="50">
        <v>7</v>
      </c>
      <c r="G39" s="50">
        <v>0</v>
      </c>
      <c r="H39" s="50">
        <v>1</v>
      </c>
      <c r="I39" s="50">
        <v>3</v>
      </c>
      <c r="J39" s="50">
        <v>3</v>
      </c>
      <c r="K39" s="50">
        <v>2</v>
      </c>
      <c r="L39" s="50">
        <v>0</v>
      </c>
      <c r="M39" s="50">
        <v>54</v>
      </c>
      <c r="N39" s="50">
        <v>0</v>
      </c>
      <c r="O39" s="15">
        <f t="shared" si="0"/>
        <v>37</v>
      </c>
      <c r="P39" s="15">
        <f t="shared" si="1"/>
        <v>91</v>
      </c>
    </row>
    <row r="40" spans="2:20" ht="23.1" customHeight="1" x14ac:dyDescent="0.25">
      <c r="B40" s="24" t="s">
        <v>67</v>
      </c>
      <c r="C40" s="50">
        <v>5</v>
      </c>
      <c r="D40" s="50">
        <v>3</v>
      </c>
      <c r="E40" s="50">
        <v>1</v>
      </c>
      <c r="F40" s="50">
        <v>5</v>
      </c>
      <c r="G40" s="50">
        <v>0</v>
      </c>
      <c r="H40" s="50">
        <v>1</v>
      </c>
      <c r="I40" s="50">
        <v>2</v>
      </c>
      <c r="J40" s="50">
        <v>1</v>
      </c>
      <c r="K40" s="50">
        <v>1</v>
      </c>
      <c r="L40" s="50">
        <v>1</v>
      </c>
      <c r="M40" s="50">
        <v>50</v>
      </c>
      <c r="N40" s="50">
        <v>0</v>
      </c>
      <c r="O40" s="15">
        <f t="shared" si="0"/>
        <v>20</v>
      </c>
      <c r="P40" s="15">
        <f t="shared" si="1"/>
        <v>70</v>
      </c>
    </row>
    <row r="41" spans="2:20" ht="23.1" customHeight="1" x14ac:dyDescent="0.25">
      <c r="B41" s="23" t="s">
        <v>68</v>
      </c>
      <c r="C41" s="50">
        <v>10</v>
      </c>
      <c r="D41" s="50">
        <v>1</v>
      </c>
      <c r="E41" s="50">
        <v>2</v>
      </c>
      <c r="F41" s="50">
        <v>8</v>
      </c>
      <c r="G41" s="50">
        <v>0</v>
      </c>
      <c r="H41" s="50">
        <v>0</v>
      </c>
      <c r="I41" s="50">
        <v>4</v>
      </c>
      <c r="J41" s="50">
        <v>1</v>
      </c>
      <c r="K41" s="50">
        <v>1</v>
      </c>
      <c r="L41" s="50">
        <v>0</v>
      </c>
      <c r="M41" s="50">
        <v>37</v>
      </c>
      <c r="N41" s="50">
        <v>0</v>
      </c>
      <c r="O41" s="15">
        <f t="shared" si="0"/>
        <v>27</v>
      </c>
      <c r="P41" s="15">
        <f t="shared" si="1"/>
        <v>64</v>
      </c>
    </row>
    <row r="42" spans="2:20" ht="23.1" customHeight="1" x14ac:dyDescent="0.25">
      <c r="B42" s="24" t="s">
        <v>69</v>
      </c>
      <c r="C42" s="50">
        <v>12</v>
      </c>
      <c r="D42" s="50">
        <v>1</v>
      </c>
      <c r="E42" s="50">
        <v>0</v>
      </c>
      <c r="F42" s="50">
        <v>7</v>
      </c>
      <c r="G42" s="50">
        <v>1</v>
      </c>
      <c r="H42" s="50">
        <v>1</v>
      </c>
      <c r="I42" s="50">
        <v>2</v>
      </c>
      <c r="J42" s="50">
        <v>5</v>
      </c>
      <c r="K42" s="50">
        <v>1</v>
      </c>
      <c r="L42" s="50">
        <v>3</v>
      </c>
      <c r="M42" s="50">
        <v>43</v>
      </c>
      <c r="N42" s="50">
        <v>0</v>
      </c>
      <c r="O42" s="15">
        <f t="shared" si="0"/>
        <v>33</v>
      </c>
      <c r="P42" s="15">
        <f t="shared" si="1"/>
        <v>76</v>
      </c>
    </row>
    <row r="43" spans="2:20" ht="23.1" customHeight="1" x14ac:dyDescent="0.25">
      <c r="B43" s="23" t="s">
        <v>70</v>
      </c>
      <c r="C43" s="50">
        <v>7</v>
      </c>
      <c r="D43" s="50">
        <v>3</v>
      </c>
      <c r="E43" s="50">
        <v>1</v>
      </c>
      <c r="F43" s="50">
        <v>5</v>
      </c>
      <c r="G43" s="50">
        <v>0</v>
      </c>
      <c r="H43" s="50">
        <v>0</v>
      </c>
      <c r="I43" s="50">
        <v>5</v>
      </c>
      <c r="J43" s="50">
        <v>3</v>
      </c>
      <c r="K43" s="50">
        <v>1</v>
      </c>
      <c r="L43" s="50">
        <v>1</v>
      </c>
      <c r="M43" s="50">
        <v>35</v>
      </c>
      <c r="N43" s="50">
        <v>0</v>
      </c>
      <c r="O43" s="15">
        <f t="shared" si="0"/>
        <v>26</v>
      </c>
      <c r="P43" s="15">
        <f t="shared" si="1"/>
        <v>61</v>
      </c>
    </row>
    <row r="44" spans="2:20" ht="23.1" customHeight="1" x14ac:dyDescent="0.25">
      <c r="B44" s="25" t="s">
        <v>71</v>
      </c>
      <c r="C44" s="50">
        <v>8</v>
      </c>
      <c r="D44" s="50">
        <v>1</v>
      </c>
      <c r="E44" s="50">
        <v>1</v>
      </c>
      <c r="F44" s="50">
        <v>7</v>
      </c>
      <c r="G44" s="50">
        <v>0</v>
      </c>
      <c r="H44" s="50">
        <v>0</v>
      </c>
      <c r="I44" s="50">
        <v>4</v>
      </c>
      <c r="J44" s="50">
        <v>2</v>
      </c>
      <c r="K44" s="50">
        <v>0</v>
      </c>
      <c r="L44" s="50">
        <v>1</v>
      </c>
      <c r="M44" s="50">
        <v>34</v>
      </c>
      <c r="N44" s="50">
        <v>0</v>
      </c>
      <c r="O44" s="15">
        <f t="shared" si="0"/>
        <v>24</v>
      </c>
      <c r="P44" s="15">
        <f t="shared" si="1"/>
        <v>58</v>
      </c>
    </row>
    <row r="45" spans="2:20" ht="23.1" customHeight="1" x14ac:dyDescent="0.25">
      <c r="B45" s="23" t="s">
        <v>72</v>
      </c>
      <c r="C45" s="50">
        <v>8</v>
      </c>
      <c r="D45" s="50">
        <v>1</v>
      </c>
      <c r="E45" s="50">
        <v>1</v>
      </c>
      <c r="F45" s="50">
        <v>13</v>
      </c>
      <c r="G45" s="50">
        <v>0</v>
      </c>
      <c r="H45" s="50">
        <v>0</v>
      </c>
      <c r="I45" s="50">
        <v>6</v>
      </c>
      <c r="J45" s="50">
        <v>1</v>
      </c>
      <c r="K45" s="50">
        <v>0</v>
      </c>
      <c r="L45" s="50">
        <v>2</v>
      </c>
      <c r="M45" s="50">
        <v>58</v>
      </c>
      <c r="N45" s="50">
        <v>0</v>
      </c>
      <c r="O45" s="15">
        <f t="shared" si="0"/>
        <v>32</v>
      </c>
      <c r="P45" s="15">
        <f t="shared" si="1"/>
        <v>90</v>
      </c>
    </row>
    <row r="46" spans="2:20" ht="23.1" customHeight="1" x14ac:dyDescent="0.25">
      <c r="B46" s="24" t="s">
        <v>73</v>
      </c>
      <c r="C46" s="50">
        <v>6</v>
      </c>
      <c r="D46" s="50">
        <v>5</v>
      </c>
      <c r="E46" s="50">
        <v>0</v>
      </c>
      <c r="F46" s="50">
        <v>4</v>
      </c>
      <c r="G46" s="50">
        <v>0</v>
      </c>
      <c r="H46" s="50">
        <v>0</v>
      </c>
      <c r="I46" s="50">
        <v>6</v>
      </c>
      <c r="J46" s="50">
        <v>3</v>
      </c>
      <c r="K46" s="50">
        <v>0</v>
      </c>
      <c r="L46" s="50">
        <v>2</v>
      </c>
      <c r="M46" s="50">
        <v>39</v>
      </c>
      <c r="N46" s="50">
        <v>0</v>
      </c>
      <c r="O46" s="15">
        <f t="shared" si="0"/>
        <v>26</v>
      </c>
      <c r="P46" s="15">
        <f t="shared" si="1"/>
        <v>65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2</v>
      </c>
      <c r="E47" s="50">
        <v>1</v>
      </c>
      <c r="F47" s="50">
        <v>4</v>
      </c>
      <c r="G47" s="50">
        <v>0</v>
      </c>
      <c r="H47" s="50">
        <v>0</v>
      </c>
      <c r="I47" s="50">
        <v>8</v>
      </c>
      <c r="J47" s="50">
        <v>5</v>
      </c>
      <c r="K47" s="50">
        <v>0</v>
      </c>
      <c r="L47" s="50">
        <v>0</v>
      </c>
      <c r="M47" s="50">
        <v>39</v>
      </c>
      <c r="N47" s="50">
        <v>0</v>
      </c>
      <c r="O47" s="15">
        <f t="shared" si="0"/>
        <v>29</v>
      </c>
      <c r="P47" s="15">
        <f t="shared" si="1"/>
        <v>68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2</v>
      </c>
      <c r="E48" s="50">
        <v>1</v>
      </c>
      <c r="F48" s="50">
        <v>8</v>
      </c>
      <c r="G48" s="50">
        <v>0</v>
      </c>
      <c r="H48" s="50">
        <v>1</v>
      </c>
      <c r="I48" s="50">
        <v>1</v>
      </c>
      <c r="J48" s="50">
        <v>2</v>
      </c>
      <c r="K48" s="50">
        <v>0</v>
      </c>
      <c r="L48" s="50">
        <v>1</v>
      </c>
      <c r="M48" s="50">
        <v>43</v>
      </c>
      <c r="N48" s="50">
        <v>0</v>
      </c>
      <c r="O48" s="15">
        <f t="shared" si="0"/>
        <v>24</v>
      </c>
      <c r="P48" s="15">
        <f t="shared" si="1"/>
        <v>67</v>
      </c>
      <c r="R48" s="8"/>
      <c r="T48"/>
    </row>
    <row r="49" spans="2:20" ht="23.1" customHeight="1" x14ac:dyDescent="0.25">
      <c r="B49" s="23" t="s">
        <v>76</v>
      </c>
      <c r="C49" s="50">
        <v>14</v>
      </c>
      <c r="D49" s="50">
        <v>6</v>
      </c>
      <c r="E49" s="50">
        <v>3</v>
      </c>
      <c r="F49" s="50">
        <v>7</v>
      </c>
      <c r="G49" s="50">
        <v>0</v>
      </c>
      <c r="H49" s="50">
        <v>2</v>
      </c>
      <c r="I49" s="50">
        <v>3</v>
      </c>
      <c r="J49" s="50">
        <v>1</v>
      </c>
      <c r="K49" s="50">
        <v>2</v>
      </c>
      <c r="L49" s="50">
        <v>1</v>
      </c>
      <c r="M49" s="50">
        <v>48</v>
      </c>
      <c r="N49" s="50">
        <v>0</v>
      </c>
      <c r="O49" s="15">
        <f t="shared" si="0"/>
        <v>39</v>
      </c>
      <c r="P49" s="15">
        <f t="shared" si="1"/>
        <v>87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3</v>
      </c>
      <c r="E50" s="50">
        <v>2</v>
      </c>
      <c r="F50" s="50">
        <v>8</v>
      </c>
      <c r="G50" s="50">
        <v>0</v>
      </c>
      <c r="H50" s="50">
        <v>1</v>
      </c>
      <c r="I50" s="50">
        <v>4</v>
      </c>
      <c r="J50" s="50">
        <v>1</v>
      </c>
      <c r="K50" s="50">
        <v>2</v>
      </c>
      <c r="L50" s="50">
        <v>1</v>
      </c>
      <c r="M50" s="50">
        <v>51</v>
      </c>
      <c r="N50" s="50">
        <v>0</v>
      </c>
      <c r="O50" s="15">
        <f t="shared" si="0"/>
        <v>35</v>
      </c>
      <c r="P50" s="15">
        <f t="shared" si="1"/>
        <v>86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3</v>
      </c>
      <c r="E51" s="50">
        <v>1</v>
      </c>
      <c r="F51" s="50">
        <v>9</v>
      </c>
      <c r="G51" s="50">
        <v>0</v>
      </c>
      <c r="H51" s="50">
        <v>1</v>
      </c>
      <c r="I51" s="50">
        <v>2</v>
      </c>
      <c r="J51" s="50">
        <v>1</v>
      </c>
      <c r="K51" s="50">
        <v>0</v>
      </c>
      <c r="L51" s="50">
        <v>2</v>
      </c>
      <c r="M51" s="50">
        <v>56</v>
      </c>
      <c r="N51" s="50">
        <v>0</v>
      </c>
      <c r="O51" s="15">
        <f t="shared" si="0"/>
        <v>24</v>
      </c>
      <c r="P51" s="15">
        <f t="shared" si="1"/>
        <v>80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2</v>
      </c>
      <c r="E52" s="50">
        <v>3</v>
      </c>
      <c r="F52" s="50">
        <v>6</v>
      </c>
      <c r="G52" s="50">
        <v>0</v>
      </c>
      <c r="H52" s="50">
        <v>0</v>
      </c>
      <c r="I52" s="50">
        <v>6</v>
      </c>
      <c r="J52" s="50">
        <v>1</v>
      </c>
      <c r="K52" s="50">
        <v>0</v>
      </c>
      <c r="L52" s="50">
        <v>0</v>
      </c>
      <c r="M52" s="50">
        <v>52</v>
      </c>
      <c r="N52" s="50">
        <v>0</v>
      </c>
      <c r="O52" s="15">
        <f t="shared" si="0"/>
        <v>33</v>
      </c>
      <c r="P52" s="15">
        <f t="shared" si="1"/>
        <v>85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2</v>
      </c>
      <c r="E53" s="50">
        <v>3</v>
      </c>
      <c r="F53" s="50">
        <v>3</v>
      </c>
      <c r="G53" s="50">
        <v>0</v>
      </c>
      <c r="H53" s="50">
        <v>1</v>
      </c>
      <c r="I53" s="50">
        <v>4</v>
      </c>
      <c r="J53" s="50">
        <v>1</v>
      </c>
      <c r="K53" s="50">
        <v>0</v>
      </c>
      <c r="L53" s="50">
        <v>1</v>
      </c>
      <c r="M53" s="50">
        <v>54</v>
      </c>
      <c r="N53" s="50">
        <v>0</v>
      </c>
      <c r="O53" s="15">
        <f t="shared" si="0"/>
        <v>18</v>
      </c>
      <c r="P53" s="15">
        <f t="shared" si="1"/>
        <v>72</v>
      </c>
      <c r="R53" s="8"/>
      <c r="T53"/>
    </row>
    <row r="54" spans="2:20" ht="23.1" customHeight="1" x14ac:dyDescent="0.25">
      <c r="B54" s="23" t="s">
        <v>81</v>
      </c>
      <c r="C54" s="50">
        <v>12</v>
      </c>
      <c r="D54" s="50">
        <v>2</v>
      </c>
      <c r="E54" s="50">
        <v>1</v>
      </c>
      <c r="F54" s="50">
        <v>8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1</v>
      </c>
      <c r="M54" s="50">
        <v>69</v>
      </c>
      <c r="N54" s="50">
        <v>0</v>
      </c>
      <c r="O54" s="15">
        <f t="shared" si="0"/>
        <v>24</v>
      </c>
      <c r="P54" s="15">
        <f t="shared" si="1"/>
        <v>93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1</v>
      </c>
      <c r="E55" s="50">
        <v>1</v>
      </c>
      <c r="F55" s="50">
        <v>10</v>
      </c>
      <c r="G55" s="50">
        <v>0</v>
      </c>
      <c r="H55" s="50">
        <v>0</v>
      </c>
      <c r="I55" s="50">
        <v>1</v>
      </c>
      <c r="J55" s="50">
        <v>4</v>
      </c>
      <c r="K55" s="50">
        <v>0</v>
      </c>
      <c r="L55" s="50">
        <v>2</v>
      </c>
      <c r="M55" s="50">
        <v>49</v>
      </c>
      <c r="N55" s="50">
        <v>0</v>
      </c>
      <c r="O55" s="15">
        <f t="shared" si="0"/>
        <v>24</v>
      </c>
      <c r="P55" s="15">
        <f t="shared" si="1"/>
        <v>73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0</v>
      </c>
      <c r="E56" s="50">
        <v>3</v>
      </c>
      <c r="F56" s="50">
        <v>1</v>
      </c>
      <c r="G56" s="50">
        <v>0</v>
      </c>
      <c r="H56" s="50">
        <v>0</v>
      </c>
      <c r="I56" s="50">
        <v>2</v>
      </c>
      <c r="J56" s="50">
        <v>3</v>
      </c>
      <c r="K56" s="50">
        <v>1</v>
      </c>
      <c r="L56" s="50">
        <v>2</v>
      </c>
      <c r="M56" s="50">
        <v>51</v>
      </c>
      <c r="N56" s="50">
        <v>0</v>
      </c>
      <c r="O56" s="15">
        <f t="shared" si="0"/>
        <v>25</v>
      </c>
      <c r="P56" s="15">
        <f t="shared" si="1"/>
        <v>76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2</v>
      </c>
      <c r="E57" s="50">
        <v>0</v>
      </c>
      <c r="F57" s="50">
        <v>7</v>
      </c>
      <c r="G57" s="50">
        <v>0</v>
      </c>
      <c r="H57" s="50">
        <v>1</v>
      </c>
      <c r="I57" s="50">
        <v>1</v>
      </c>
      <c r="J57" s="50">
        <v>2</v>
      </c>
      <c r="K57" s="50">
        <v>0</v>
      </c>
      <c r="L57" s="50">
        <v>1</v>
      </c>
      <c r="M57" s="50">
        <v>55</v>
      </c>
      <c r="N57" s="50">
        <v>0</v>
      </c>
      <c r="O57" s="15">
        <f t="shared" si="0"/>
        <v>25</v>
      </c>
      <c r="P57" s="15">
        <f t="shared" si="1"/>
        <v>80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430</v>
      </c>
      <c r="D58" s="16">
        <f t="shared" si="21"/>
        <v>146</v>
      </c>
      <c r="E58" s="16">
        <f t="shared" si="21"/>
        <v>82</v>
      </c>
      <c r="F58" s="16">
        <f t="shared" si="21"/>
        <v>307</v>
      </c>
      <c r="G58" s="16">
        <f t="shared" si="21"/>
        <v>6</v>
      </c>
      <c r="H58" s="16">
        <f t="shared" si="21"/>
        <v>21</v>
      </c>
      <c r="I58" s="16">
        <f t="shared" si="21"/>
        <v>163</v>
      </c>
      <c r="J58" s="16">
        <f t="shared" si="21"/>
        <v>89</v>
      </c>
      <c r="K58" s="16">
        <f t="shared" si="21"/>
        <v>41</v>
      </c>
      <c r="L58" s="16">
        <f t="shared" si="21"/>
        <v>46</v>
      </c>
      <c r="M58" s="16">
        <f t="shared" si="21"/>
        <v>2117</v>
      </c>
      <c r="N58" s="16">
        <f t="shared" si="21"/>
        <v>0</v>
      </c>
      <c r="O58" s="16">
        <f t="shared" si="21"/>
        <v>1331</v>
      </c>
      <c r="P58" s="16">
        <f t="shared" si="21"/>
        <v>3448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0.12470997679814386</v>
      </c>
      <c r="D59" s="43">
        <f t="shared" si="22"/>
        <v>4.2343387470997682E-2</v>
      </c>
      <c r="E59" s="43">
        <f t="shared" si="22"/>
        <v>2.3781902552204175E-2</v>
      </c>
      <c r="F59" s="43">
        <f t="shared" si="22"/>
        <v>8.9037122969837582E-2</v>
      </c>
      <c r="G59" s="43">
        <f t="shared" si="22"/>
        <v>1.7401392111368909E-3</v>
      </c>
      <c r="H59" s="43">
        <f t="shared" si="22"/>
        <v>6.0904872389791181E-3</v>
      </c>
      <c r="I59" s="43">
        <f t="shared" si="22"/>
        <v>4.7273781902552207E-2</v>
      </c>
      <c r="J59" s="43">
        <f t="shared" si="22"/>
        <v>2.5812064965197216E-2</v>
      </c>
      <c r="K59" s="43">
        <f t="shared" si="22"/>
        <v>1.1890951276102088E-2</v>
      </c>
      <c r="L59" s="43">
        <f t="shared" si="22"/>
        <v>1.334106728538283E-2</v>
      </c>
      <c r="M59" s="43">
        <f t="shared" si="22"/>
        <v>0.61397911832946639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0.32306536438767841</v>
      </c>
      <c r="D60" s="44">
        <f t="shared" ref="D60:N60" si="23">D58/$O$58</f>
        <v>0.10969196093163035</v>
      </c>
      <c r="E60" s="44">
        <f t="shared" si="23"/>
        <v>6.1607813673929375E-2</v>
      </c>
      <c r="F60" s="44">
        <f t="shared" si="23"/>
        <v>0.23065364387678436</v>
      </c>
      <c r="G60" s="44">
        <f t="shared" si="23"/>
        <v>4.5078888054094664E-3</v>
      </c>
      <c r="H60" s="44">
        <f t="shared" si="23"/>
        <v>1.5777610818933134E-2</v>
      </c>
      <c r="I60" s="44">
        <f t="shared" si="23"/>
        <v>0.12246431254695718</v>
      </c>
      <c r="J60" s="44">
        <f t="shared" si="23"/>
        <v>6.6867017280240415E-2</v>
      </c>
      <c r="K60" s="44">
        <f t="shared" si="23"/>
        <v>3.0803906836964687E-2</v>
      </c>
      <c r="L60" s="44">
        <f t="shared" si="23"/>
        <v>3.4560480841472577E-2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178</v>
      </c>
      <c r="E5" s="3"/>
      <c r="F5" s="41" t="s">
        <v>1</v>
      </c>
      <c r="G5" s="60" t="s">
        <v>166</v>
      </c>
      <c r="H5" s="61"/>
      <c r="I5" s="14"/>
      <c r="J5" s="2" t="s">
        <v>5</v>
      </c>
      <c r="K5" s="60" t="s">
        <v>170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5" t="s">
        <v>167</v>
      </c>
      <c r="E6" s="66"/>
      <c r="F6" s="2" t="s">
        <v>2</v>
      </c>
      <c r="G6" s="65" t="s">
        <v>165</v>
      </c>
      <c r="H6" s="66"/>
      <c r="J6" s="2" t="s">
        <v>21</v>
      </c>
      <c r="K6" s="60" t="str">
        <f>'23.10 MITYANA-MUBENDE'!K6:L6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0</v>
      </c>
      <c r="F10" s="50">
        <v>4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1</v>
      </c>
      <c r="M10" s="50">
        <v>37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49</v>
      </c>
      <c r="R10" s="1" t="s">
        <v>6</v>
      </c>
      <c r="S10" s="17">
        <f t="shared" ref="S10:AF10" si="2">SUM(C10:C13)</f>
        <v>25</v>
      </c>
      <c r="T10" s="17">
        <f t="shared" si="2"/>
        <v>6</v>
      </c>
      <c r="U10" s="17">
        <f t="shared" si="2"/>
        <v>1</v>
      </c>
      <c r="V10" s="17">
        <f t="shared" si="2"/>
        <v>23</v>
      </c>
      <c r="W10" s="17">
        <f t="shared" si="2"/>
        <v>1</v>
      </c>
      <c r="X10" s="17">
        <f t="shared" si="2"/>
        <v>0</v>
      </c>
      <c r="Y10" s="17">
        <f t="shared" si="2"/>
        <v>3</v>
      </c>
      <c r="Z10" s="17">
        <f t="shared" si="2"/>
        <v>5</v>
      </c>
      <c r="AA10" s="17">
        <f t="shared" si="2"/>
        <v>2</v>
      </c>
      <c r="AB10" s="17">
        <f t="shared" si="2"/>
        <v>3</v>
      </c>
      <c r="AC10" s="17">
        <f t="shared" si="2"/>
        <v>173</v>
      </c>
      <c r="AD10" s="17">
        <f t="shared" si="2"/>
        <v>0</v>
      </c>
      <c r="AE10" s="31">
        <f t="shared" si="2"/>
        <v>69</v>
      </c>
      <c r="AF10" s="31">
        <f t="shared" si="2"/>
        <v>242</v>
      </c>
    </row>
    <row r="11" spans="2:32" s="6" customFormat="1" ht="23.1" customHeight="1" x14ac:dyDescent="0.25">
      <c r="B11" s="23" t="s">
        <v>38</v>
      </c>
      <c r="C11" s="50">
        <v>7</v>
      </c>
      <c r="D11" s="50">
        <v>1</v>
      </c>
      <c r="E11" s="50">
        <v>0</v>
      </c>
      <c r="F11" s="50">
        <v>3</v>
      </c>
      <c r="G11" s="50">
        <v>0</v>
      </c>
      <c r="H11" s="50">
        <v>0</v>
      </c>
      <c r="I11" s="50">
        <v>0</v>
      </c>
      <c r="J11" s="50">
        <v>2</v>
      </c>
      <c r="K11" s="50">
        <v>1</v>
      </c>
      <c r="L11" s="50">
        <v>0</v>
      </c>
      <c r="M11" s="50">
        <v>37</v>
      </c>
      <c r="N11" s="50">
        <v>0</v>
      </c>
      <c r="O11" s="15">
        <f t="shared" si="0"/>
        <v>14</v>
      </c>
      <c r="P11" s="15">
        <f t="shared" si="1"/>
        <v>51</v>
      </c>
      <c r="R11" s="1" t="s">
        <v>7</v>
      </c>
      <c r="S11" s="17">
        <f t="shared" ref="S11:AF11" si="3">SUM(C14:C17)</f>
        <v>14</v>
      </c>
      <c r="T11" s="17">
        <f t="shared" si="3"/>
        <v>11</v>
      </c>
      <c r="U11" s="17">
        <f t="shared" si="3"/>
        <v>1</v>
      </c>
      <c r="V11" s="17">
        <f t="shared" si="3"/>
        <v>24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1</v>
      </c>
      <c r="AB11" s="17">
        <f t="shared" si="3"/>
        <v>4</v>
      </c>
      <c r="AC11" s="17">
        <f t="shared" si="3"/>
        <v>188</v>
      </c>
      <c r="AD11" s="17">
        <f t="shared" si="3"/>
        <v>0</v>
      </c>
      <c r="AE11" s="31">
        <f t="shared" si="3"/>
        <v>60</v>
      </c>
      <c r="AF11" s="31">
        <f t="shared" si="3"/>
        <v>248</v>
      </c>
    </row>
    <row r="12" spans="2:32" ht="23.1" customHeight="1" x14ac:dyDescent="0.25">
      <c r="B12" s="23" t="s">
        <v>39</v>
      </c>
      <c r="C12" s="50">
        <v>6</v>
      </c>
      <c r="D12" s="50">
        <v>3</v>
      </c>
      <c r="E12" s="50">
        <v>0</v>
      </c>
      <c r="F12" s="50">
        <v>8</v>
      </c>
      <c r="G12" s="50">
        <v>1</v>
      </c>
      <c r="H12" s="50">
        <v>0</v>
      </c>
      <c r="I12" s="50">
        <v>1</v>
      </c>
      <c r="J12" s="50">
        <v>1</v>
      </c>
      <c r="K12" s="50">
        <v>1</v>
      </c>
      <c r="L12" s="50">
        <v>1</v>
      </c>
      <c r="M12" s="50">
        <v>54</v>
      </c>
      <c r="N12" s="50">
        <v>0</v>
      </c>
      <c r="O12" s="15">
        <f t="shared" si="0"/>
        <v>22</v>
      </c>
      <c r="P12" s="15">
        <f t="shared" si="1"/>
        <v>76</v>
      </c>
      <c r="R12" s="1" t="s">
        <v>8</v>
      </c>
      <c r="S12" s="17">
        <f t="shared" ref="S12:AF12" si="4">SUM(C18:C21)</f>
        <v>16</v>
      </c>
      <c r="T12" s="17">
        <f t="shared" si="4"/>
        <v>7</v>
      </c>
      <c r="U12" s="17">
        <f t="shared" si="4"/>
        <v>2</v>
      </c>
      <c r="V12" s="17">
        <f t="shared" si="4"/>
        <v>17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0</v>
      </c>
      <c r="AA12" s="17">
        <f t="shared" si="4"/>
        <v>1</v>
      </c>
      <c r="AB12" s="17">
        <f t="shared" si="4"/>
        <v>4</v>
      </c>
      <c r="AC12" s="17">
        <f t="shared" si="4"/>
        <v>176</v>
      </c>
      <c r="AD12" s="17">
        <f t="shared" si="4"/>
        <v>0</v>
      </c>
      <c r="AE12" s="31">
        <f t="shared" si="4"/>
        <v>53</v>
      </c>
      <c r="AF12" s="31">
        <f t="shared" si="4"/>
        <v>229</v>
      </c>
    </row>
    <row r="13" spans="2:32" ht="23.1" customHeight="1" x14ac:dyDescent="0.25">
      <c r="B13" s="23" t="s">
        <v>40</v>
      </c>
      <c r="C13" s="50">
        <v>9</v>
      </c>
      <c r="D13" s="50">
        <v>1</v>
      </c>
      <c r="E13" s="50">
        <v>1</v>
      </c>
      <c r="F13" s="50">
        <v>8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45</v>
      </c>
      <c r="N13" s="50">
        <v>0</v>
      </c>
      <c r="O13" s="15">
        <f t="shared" si="0"/>
        <v>21</v>
      </c>
      <c r="P13" s="15">
        <f t="shared" si="1"/>
        <v>66</v>
      </c>
      <c r="R13" s="1" t="s">
        <v>9</v>
      </c>
      <c r="S13" s="17">
        <f t="shared" ref="S13:AF13" si="5">SUM(C22:C25)</f>
        <v>29</v>
      </c>
      <c r="T13" s="17">
        <f t="shared" si="5"/>
        <v>4</v>
      </c>
      <c r="U13" s="17">
        <f t="shared" si="5"/>
        <v>7</v>
      </c>
      <c r="V13" s="17">
        <f t="shared" si="5"/>
        <v>32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3</v>
      </c>
      <c r="AA13" s="17">
        <f t="shared" si="5"/>
        <v>0</v>
      </c>
      <c r="AB13" s="17">
        <f t="shared" si="5"/>
        <v>3</v>
      </c>
      <c r="AC13" s="17">
        <f t="shared" si="5"/>
        <v>154</v>
      </c>
      <c r="AD13" s="17">
        <f t="shared" si="5"/>
        <v>0</v>
      </c>
      <c r="AE13" s="31">
        <f t="shared" si="5"/>
        <v>86</v>
      </c>
      <c r="AF13" s="31">
        <f t="shared" si="5"/>
        <v>240</v>
      </c>
    </row>
    <row r="14" spans="2:32" ht="23.1" customHeight="1" x14ac:dyDescent="0.25">
      <c r="B14" s="23" t="s">
        <v>41</v>
      </c>
      <c r="C14" s="50">
        <v>2</v>
      </c>
      <c r="D14" s="50">
        <v>2</v>
      </c>
      <c r="E14" s="50">
        <v>0</v>
      </c>
      <c r="F14" s="50">
        <v>7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1</v>
      </c>
      <c r="M14" s="50">
        <v>52</v>
      </c>
      <c r="N14" s="50">
        <v>0</v>
      </c>
      <c r="O14" s="15">
        <f t="shared" si="0"/>
        <v>13</v>
      </c>
      <c r="P14" s="15">
        <f t="shared" si="1"/>
        <v>65</v>
      </c>
      <c r="R14" s="1" t="s">
        <v>10</v>
      </c>
      <c r="S14" s="17">
        <f t="shared" ref="S14:AF14" si="6">SUM(C26:C29)</f>
        <v>29</v>
      </c>
      <c r="T14" s="17">
        <f t="shared" si="6"/>
        <v>3</v>
      </c>
      <c r="U14" s="17">
        <f t="shared" si="6"/>
        <v>7</v>
      </c>
      <c r="V14" s="17">
        <f t="shared" si="6"/>
        <v>23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6</v>
      </c>
      <c r="AA14" s="17">
        <f t="shared" si="6"/>
        <v>2</v>
      </c>
      <c r="AB14" s="17">
        <f t="shared" si="6"/>
        <v>1</v>
      </c>
      <c r="AC14" s="17">
        <f t="shared" si="6"/>
        <v>152</v>
      </c>
      <c r="AD14" s="17">
        <f t="shared" si="6"/>
        <v>0</v>
      </c>
      <c r="AE14" s="31">
        <f t="shared" si="6"/>
        <v>76</v>
      </c>
      <c r="AF14" s="31">
        <f t="shared" si="6"/>
        <v>228</v>
      </c>
    </row>
    <row r="15" spans="2:32" ht="23.1" customHeight="1" x14ac:dyDescent="0.25">
      <c r="B15" s="23" t="s">
        <v>42</v>
      </c>
      <c r="C15" s="50">
        <v>2</v>
      </c>
      <c r="D15" s="50">
        <v>4</v>
      </c>
      <c r="E15" s="50">
        <v>0</v>
      </c>
      <c r="F15" s="50">
        <v>5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43</v>
      </c>
      <c r="N15" s="50">
        <v>0</v>
      </c>
      <c r="O15" s="15">
        <f t="shared" si="0"/>
        <v>12</v>
      </c>
      <c r="P15" s="15">
        <f t="shared" si="1"/>
        <v>55</v>
      </c>
      <c r="R15" s="1" t="s">
        <v>11</v>
      </c>
      <c r="S15" s="17">
        <f t="shared" ref="S15:AF15" si="7">SUM(C30:C33)</f>
        <v>22</v>
      </c>
      <c r="T15" s="17">
        <f t="shared" si="7"/>
        <v>12</v>
      </c>
      <c r="U15" s="17">
        <f t="shared" si="7"/>
        <v>4</v>
      </c>
      <c r="V15" s="17">
        <f t="shared" si="7"/>
        <v>27</v>
      </c>
      <c r="W15" s="17">
        <f t="shared" si="7"/>
        <v>0</v>
      </c>
      <c r="X15" s="17">
        <f t="shared" si="7"/>
        <v>5</v>
      </c>
      <c r="Y15" s="17">
        <f t="shared" si="7"/>
        <v>8</v>
      </c>
      <c r="Z15" s="17">
        <f t="shared" si="7"/>
        <v>4</v>
      </c>
      <c r="AA15" s="17">
        <f t="shared" si="7"/>
        <v>1</v>
      </c>
      <c r="AB15" s="17">
        <f t="shared" si="7"/>
        <v>1</v>
      </c>
      <c r="AC15" s="17">
        <f t="shared" si="7"/>
        <v>175</v>
      </c>
      <c r="AD15" s="17">
        <f t="shared" si="7"/>
        <v>0</v>
      </c>
      <c r="AE15" s="31">
        <f t="shared" si="7"/>
        <v>84</v>
      </c>
      <c r="AF15" s="31">
        <f t="shared" si="7"/>
        <v>259</v>
      </c>
    </row>
    <row r="16" spans="2:32" ht="23.1" customHeight="1" x14ac:dyDescent="0.25">
      <c r="B16" s="23" t="s">
        <v>43</v>
      </c>
      <c r="C16" s="50">
        <v>2</v>
      </c>
      <c r="D16" s="50">
        <v>4</v>
      </c>
      <c r="E16" s="50">
        <v>1</v>
      </c>
      <c r="F16" s="50">
        <v>4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2</v>
      </c>
      <c r="M16" s="50">
        <v>48</v>
      </c>
      <c r="N16" s="50">
        <v>0</v>
      </c>
      <c r="O16" s="15">
        <f t="shared" si="0"/>
        <v>15</v>
      </c>
      <c r="P16" s="15">
        <f t="shared" si="1"/>
        <v>63</v>
      </c>
      <c r="R16" s="1" t="s">
        <v>12</v>
      </c>
      <c r="S16" s="17">
        <f t="shared" ref="S16:AF16" si="8">SUM(C34:C37)</f>
        <v>43</v>
      </c>
      <c r="T16" s="17">
        <f t="shared" si="8"/>
        <v>9</v>
      </c>
      <c r="U16" s="17">
        <f t="shared" si="8"/>
        <v>3</v>
      </c>
      <c r="V16" s="17">
        <f t="shared" si="8"/>
        <v>21</v>
      </c>
      <c r="W16" s="17">
        <f t="shared" si="8"/>
        <v>0</v>
      </c>
      <c r="X16" s="17">
        <f t="shared" si="8"/>
        <v>0</v>
      </c>
      <c r="Y16" s="17">
        <f t="shared" si="8"/>
        <v>15</v>
      </c>
      <c r="Z16" s="17">
        <f t="shared" si="8"/>
        <v>6</v>
      </c>
      <c r="AA16" s="17">
        <f t="shared" si="8"/>
        <v>2</v>
      </c>
      <c r="AB16" s="17">
        <f t="shared" si="8"/>
        <v>6</v>
      </c>
      <c r="AC16" s="17">
        <f t="shared" si="8"/>
        <v>151</v>
      </c>
      <c r="AD16" s="17">
        <f t="shared" si="8"/>
        <v>0</v>
      </c>
      <c r="AE16" s="31">
        <f t="shared" si="8"/>
        <v>105</v>
      </c>
      <c r="AF16" s="31">
        <f t="shared" si="8"/>
        <v>256</v>
      </c>
    </row>
    <row r="17" spans="2:32" ht="23.1" customHeight="1" x14ac:dyDescent="0.25">
      <c r="B17" s="23" t="s">
        <v>44</v>
      </c>
      <c r="C17" s="50">
        <v>8</v>
      </c>
      <c r="D17" s="50">
        <v>1</v>
      </c>
      <c r="E17" s="50">
        <v>0</v>
      </c>
      <c r="F17" s="50">
        <v>8</v>
      </c>
      <c r="G17" s="50">
        <v>0</v>
      </c>
      <c r="H17" s="50">
        <v>0</v>
      </c>
      <c r="I17" s="50">
        <v>1</v>
      </c>
      <c r="J17" s="50">
        <v>0</v>
      </c>
      <c r="K17" s="50">
        <v>1</v>
      </c>
      <c r="L17" s="50">
        <v>1</v>
      </c>
      <c r="M17" s="50">
        <v>45</v>
      </c>
      <c r="N17" s="50">
        <v>0</v>
      </c>
      <c r="O17" s="15">
        <f t="shared" si="0"/>
        <v>20</v>
      </c>
      <c r="P17" s="15">
        <f t="shared" si="1"/>
        <v>65</v>
      </c>
      <c r="R17" s="1" t="s">
        <v>13</v>
      </c>
      <c r="S17" s="17">
        <f t="shared" ref="S17:AF17" si="9">SUM(C38:C41)</f>
        <v>22</v>
      </c>
      <c r="T17" s="17">
        <f t="shared" si="9"/>
        <v>8</v>
      </c>
      <c r="U17" s="17">
        <f t="shared" si="9"/>
        <v>4</v>
      </c>
      <c r="V17" s="17">
        <f t="shared" si="9"/>
        <v>23</v>
      </c>
      <c r="W17" s="17">
        <f t="shared" si="9"/>
        <v>0</v>
      </c>
      <c r="X17" s="17">
        <f t="shared" si="9"/>
        <v>2</v>
      </c>
      <c r="Y17" s="17">
        <f t="shared" si="9"/>
        <v>7</v>
      </c>
      <c r="Z17" s="17">
        <f t="shared" si="9"/>
        <v>5</v>
      </c>
      <c r="AA17" s="17">
        <f t="shared" si="9"/>
        <v>4</v>
      </c>
      <c r="AB17" s="17">
        <f t="shared" si="9"/>
        <v>3</v>
      </c>
      <c r="AC17" s="17">
        <f t="shared" si="9"/>
        <v>177</v>
      </c>
      <c r="AD17" s="17">
        <f t="shared" si="9"/>
        <v>0</v>
      </c>
      <c r="AE17" s="31">
        <f t="shared" si="9"/>
        <v>78</v>
      </c>
      <c r="AF17" s="31">
        <f t="shared" si="9"/>
        <v>255</v>
      </c>
    </row>
    <row r="18" spans="2:32" ht="23.1" customHeight="1" x14ac:dyDescent="0.25">
      <c r="B18" s="23" t="s">
        <v>45</v>
      </c>
      <c r="C18" s="50">
        <v>4</v>
      </c>
      <c r="D18" s="50">
        <v>2</v>
      </c>
      <c r="E18" s="50">
        <v>2</v>
      </c>
      <c r="F18" s="50">
        <v>2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45</v>
      </c>
      <c r="N18" s="50">
        <v>0</v>
      </c>
      <c r="O18" s="15">
        <f t="shared" si="0"/>
        <v>12</v>
      </c>
      <c r="P18" s="15">
        <f t="shared" si="1"/>
        <v>57</v>
      </c>
      <c r="R18" s="1" t="s">
        <v>14</v>
      </c>
      <c r="S18" s="17">
        <f t="shared" ref="S18:AF18" si="10">SUM(C42:C45)</f>
        <v>30</v>
      </c>
      <c r="T18" s="17">
        <f t="shared" si="10"/>
        <v>23</v>
      </c>
      <c r="U18" s="17">
        <f t="shared" si="10"/>
        <v>3</v>
      </c>
      <c r="V18" s="17">
        <f t="shared" si="10"/>
        <v>25</v>
      </c>
      <c r="W18" s="17">
        <f t="shared" si="10"/>
        <v>0</v>
      </c>
      <c r="X18" s="17">
        <f t="shared" si="10"/>
        <v>2</v>
      </c>
      <c r="Y18" s="17">
        <f t="shared" si="10"/>
        <v>10</v>
      </c>
      <c r="Z18" s="17">
        <f t="shared" si="10"/>
        <v>10</v>
      </c>
      <c r="AA18" s="17">
        <f t="shared" si="10"/>
        <v>4</v>
      </c>
      <c r="AB18" s="17">
        <f t="shared" si="10"/>
        <v>5</v>
      </c>
      <c r="AC18" s="17">
        <f t="shared" si="10"/>
        <v>124</v>
      </c>
      <c r="AD18" s="17">
        <f t="shared" si="10"/>
        <v>1</v>
      </c>
      <c r="AE18" s="31">
        <f t="shared" si="10"/>
        <v>113</v>
      </c>
      <c r="AF18" s="31">
        <f t="shared" si="10"/>
        <v>237</v>
      </c>
    </row>
    <row r="19" spans="2:32" ht="23.1" customHeight="1" x14ac:dyDescent="0.25">
      <c r="B19" s="23" t="s">
        <v>46</v>
      </c>
      <c r="C19" s="50">
        <v>3</v>
      </c>
      <c r="D19" s="50">
        <v>3</v>
      </c>
      <c r="E19" s="50">
        <v>0</v>
      </c>
      <c r="F19" s="50">
        <v>5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2</v>
      </c>
      <c r="M19" s="50">
        <v>39</v>
      </c>
      <c r="N19" s="50">
        <v>0</v>
      </c>
      <c r="O19" s="15">
        <f t="shared" si="0"/>
        <v>15</v>
      </c>
      <c r="P19" s="15">
        <f t="shared" si="1"/>
        <v>54</v>
      </c>
      <c r="R19" s="1" t="s">
        <v>15</v>
      </c>
      <c r="S19" s="17">
        <f t="shared" ref="S19:AF19" si="11">SUM(C46:C49)</f>
        <v>89</v>
      </c>
      <c r="T19" s="17">
        <f t="shared" si="11"/>
        <v>24</v>
      </c>
      <c r="U19" s="17">
        <f t="shared" si="11"/>
        <v>9</v>
      </c>
      <c r="V19" s="17">
        <f t="shared" si="11"/>
        <v>28</v>
      </c>
      <c r="W19" s="17">
        <f t="shared" si="11"/>
        <v>1</v>
      </c>
      <c r="X19" s="17">
        <f t="shared" si="11"/>
        <v>4</v>
      </c>
      <c r="Y19" s="17">
        <f t="shared" si="11"/>
        <v>7</v>
      </c>
      <c r="Z19" s="17">
        <f t="shared" si="11"/>
        <v>7</v>
      </c>
      <c r="AA19" s="17">
        <f t="shared" si="11"/>
        <v>3</v>
      </c>
      <c r="AB19" s="17">
        <f t="shared" si="11"/>
        <v>6</v>
      </c>
      <c r="AC19" s="17">
        <f t="shared" si="11"/>
        <v>235</v>
      </c>
      <c r="AD19" s="17">
        <f t="shared" si="11"/>
        <v>0</v>
      </c>
      <c r="AE19" s="31">
        <f t="shared" si="11"/>
        <v>178</v>
      </c>
      <c r="AF19" s="31">
        <f t="shared" si="11"/>
        <v>413</v>
      </c>
    </row>
    <row r="20" spans="2:32" ht="23.1" customHeight="1" x14ac:dyDescent="0.25">
      <c r="B20" s="23" t="s">
        <v>47</v>
      </c>
      <c r="C20" s="50">
        <v>7</v>
      </c>
      <c r="D20" s="50">
        <v>0</v>
      </c>
      <c r="E20" s="50">
        <v>0</v>
      </c>
      <c r="F20" s="50">
        <v>6</v>
      </c>
      <c r="G20" s="50">
        <v>0</v>
      </c>
      <c r="H20" s="50">
        <v>0</v>
      </c>
      <c r="I20" s="50">
        <v>1</v>
      </c>
      <c r="J20" s="50">
        <v>0</v>
      </c>
      <c r="K20" s="50">
        <v>1</v>
      </c>
      <c r="L20" s="50">
        <v>1</v>
      </c>
      <c r="M20" s="50">
        <v>40</v>
      </c>
      <c r="N20" s="50">
        <v>0</v>
      </c>
      <c r="O20" s="15">
        <f t="shared" si="0"/>
        <v>16</v>
      </c>
      <c r="P20" s="15">
        <f t="shared" si="1"/>
        <v>56</v>
      </c>
      <c r="R20" s="1" t="s">
        <v>16</v>
      </c>
      <c r="S20" s="17">
        <f t="shared" ref="S20:AF20" si="12">SUM(C50:C53)</f>
        <v>70</v>
      </c>
      <c r="T20" s="17">
        <f t="shared" si="12"/>
        <v>29</v>
      </c>
      <c r="U20" s="17">
        <f t="shared" si="12"/>
        <v>14</v>
      </c>
      <c r="V20" s="17">
        <f t="shared" si="12"/>
        <v>35</v>
      </c>
      <c r="W20" s="17">
        <f t="shared" si="12"/>
        <v>1</v>
      </c>
      <c r="X20" s="17">
        <f t="shared" si="12"/>
        <v>2</v>
      </c>
      <c r="Y20" s="17">
        <f t="shared" si="12"/>
        <v>13</v>
      </c>
      <c r="Z20" s="17">
        <f t="shared" si="12"/>
        <v>8</v>
      </c>
      <c r="AA20" s="17">
        <f t="shared" si="12"/>
        <v>0</v>
      </c>
      <c r="AB20" s="17">
        <f t="shared" si="12"/>
        <v>3</v>
      </c>
      <c r="AC20" s="17">
        <f t="shared" si="12"/>
        <v>189</v>
      </c>
      <c r="AD20" s="17">
        <f t="shared" si="12"/>
        <v>0</v>
      </c>
      <c r="AE20" s="31">
        <f t="shared" si="12"/>
        <v>175</v>
      </c>
      <c r="AF20" s="31">
        <f t="shared" si="12"/>
        <v>364</v>
      </c>
    </row>
    <row r="21" spans="2:32" ht="23.1" customHeight="1" x14ac:dyDescent="0.25">
      <c r="B21" s="23" t="s">
        <v>48</v>
      </c>
      <c r="C21" s="50">
        <v>2</v>
      </c>
      <c r="D21" s="50">
        <v>2</v>
      </c>
      <c r="E21" s="50">
        <v>0</v>
      </c>
      <c r="F21" s="50">
        <v>4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1</v>
      </c>
      <c r="M21" s="50">
        <v>52</v>
      </c>
      <c r="N21" s="50">
        <v>0</v>
      </c>
      <c r="O21" s="15">
        <f t="shared" si="0"/>
        <v>10</v>
      </c>
      <c r="P21" s="15">
        <f t="shared" si="1"/>
        <v>62</v>
      </c>
      <c r="R21" s="36" t="s">
        <v>20</v>
      </c>
      <c r="S21" s="34">
        <f t="shared" ref="S21:AF21" si="13">SUM(C54:C57)</f>
        <v>63</v>
      </c>
      <c r="T21" s="17">
        <f t="shared" si="13"/>
        <v>34</v>
      </c>
      <c r="U21" s="17">
        <f t="shared" si="13"/>
        <v>11</v>
      </c>
      <c r="V21" s="17">
        <f t="shared" si="13"/>
        <v>34</v>
      </c>
      <c r="W21" s="17">
        <f t="shared" si="13"/>
        <v>2</v>
      </c>
      <c r="X21" s="17">
        <f t="shared" si="13"/>
        <v>1</v>
      </c>
      <c r="Y21" s="17">
        <f t="shared" si="13"/>
        <v>13</v>
      </c>
      <c r="Z21" s="17">
        <f t="shared" si="13"/>
        <v>11</v>
      </c>
      <c r="AA21" s="17">
        <f t="shared" si="13"/>
        <v>4</v>
      </c>
      <c r="AB21" s="17">
        <f t="shared" si="13"/>
        <v>7</v>
      </c>
      <c r="AC21" s="17">
        <f t="shared" si="13"/>
        <v>201</v>
      </c>
      <c r="AD21" s="17">
        <f t="shared" si="13"/>
        <v>0</v>
      </c>
      <c r="AE21" s="31">
        <f t="shared" si="13"/>
        <v>180</v>
      </c>
      <c r="AF21" s="31">
        <f t="shared" si="13"/>
        <v>381</v>
      </c>
    </row>
    <row r="22" spans="2:32" ht="23.1" customHeight="1" x14ac:dyDescent="0.25">
      <c r="B22" s="23" t="s">
        <v>49</v>
      </c>
      <c r="C22" s="50">
        <v>7</v>
      </c>
      <c r="D22" s="50">
        <v>1</v>
      </c>
      <c r="E22" s="50">
        <v>4</v>
      </c>
      <c r="F22" s="50">
        <v>9</v>
      </c>
      <c r="G22" s="50">
        <v>0</v>
      </c>
      <c r="H22" s="50">
        <v>0</v>
      </c>
      <c r="I22" s="50">
        <v>3</v>
      </c>
      <c r="J22" s="50">
        <v>1</v>
      </c>
      <c r="K22" s="50">
        <v>0</v>
      </c>
      <c r="L22" s="50">
        <v>2</v>
      </c>
      <c r="M22" s="50">
        <v>54</v>
      </c>
      <c r="N22" s="50">
        <v>0</v>
      </c>
      <c r="O22" s="15">
        <f t="shared" si="0"/>
        <v>27</v>
      </c>
      <c r="P22" s="15">
        <f t="shared" si="1"/>
        <v>81</v>
      </c>
      <c r="R22" s="38" t="s">
        <v>90</v>
      </c>
      <c r="S22" s="39">
        <f>MAX(S10:S12)</f>
        <v>25</v>
      </c>
      <c r="T22" s="39">
        <f t="shared" ref="T22:AF22" si="14">MAX(T10:T12)</f>
        <v>11</v>
      </c>
      <c r="U22" s="39">
        <f t="shared" si="14"/>
        <v>2</v>
      </c>
      <c r="V22" s="39">
        <f t="shared" si="14"/>
        <v>24</v>
      </c>
      <c r="W22" s="39">
        <f t="shared" si="14"/>
        <v>1</v>
      </c>
      <c r="X22" s="39">
        <f t="shared" si="14"/>
        <v>1</v>
      </c>
      <c r="Y22" s="39">
        <f t="shared" si="14"/>
        <v>5</v>
      </c>
      <c r="Z22" s="39">
        <f t="shared" si="14"/>
        <v>5</v>
      </c>
      <c r="AA22" s="39">
        <f t="shared" si="14"/>
        <v>2</v>
      </c>
      <c r="AB22" s="39">
        <f t="shared" si="14"/>
        <v>4</v>
      </c>
      <c r="AC22" s="39">
        <f t="shared" si="14"/>
        <v>188</v>
      </c>
      <c r="AD22" s="39">
        <f t="shared" si="14"/>
        <v>0</v>
      </c>
      <c r="AE22" s="40">
        <f t="shared" si="14"/>
        <v>69</v>
      </c>
      <c r="AF22" s="40">
        <f t="shared" si="14"/>
        <v>248</v>
      </c>
    </row>
    <row r="23" spans="2:32" ht="23.1" customHeight="1" x14ac:dyDescent="0.25">
      <c r="B23" s="23" t="s">
        <v>50</v>
      </c>
      <c r="C23" s="50">
        <v>9</v>
      </c>
      <c r="D23" s="50">
        <v>2</v>
      </c>
      <c r="E23" s="50">
        <v>1</v>
      </c>
      <c r="F23" s="50">
        <v>7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1</v>
      </c>
      <c r="M23" s="50">
        <v>37</v>
      </c>
      <c r="N23" s="50">
        <v>0</v>
      </c>
      <c r="O23" s="15">
        <f t="shared" si="0"/>
        <v>21</v>
      </c>
      <c r="P23" s="15">
        <f t="shared" si="1"/>
        <v>58</v>
      </c>
      <c r="R23" s="38" t="s">
        <v>91</v>
      </c>
      <c r="S23" s="39">
        <f>MAX(S13:S18)</f>
        <v>43</v>
      </c>
      <c r="T23" s="39">
        <f t="shared" ref="T23:AF23" si="15">MAX(T13:T18)</f>
        <v>23</v>
      </c>
      <c r="U23" s="39">
        <f t="shared" si="15"/>
        <v>7</v>
      </c>
      <c r="V23" s="39">
        <f t="shared" si="15"/>
        <v>32</v>
      </c>
      <c r="W23" s="39">
        <f t="shared" si="15"/>
        <v>0</v>
      </c>
      <c r="X23" s="39">
        <f t="shared" si="15"/>
        <v>5</v>
      </c>
      <c r="Y23" s="39">
        <f t="shared" si="15"/>
        <v>15</v>
      </c>
      <c r="Z23" s="39">
        <f t="shared" si="15"/>
        <v>10</v>
      </c>
      <c r="AA23" s="39">
        <f t="shared" si="15"/>
        <v>4</v>
      </c>
      <c r="AB23" s="39">
        <f t="shared" si="15"/>
        <v>6</v>
      </c>
      <c r="AC23" s="39">
        <f t="shared" si="15"/>
        <v>177</v>
      </c>
      <c r="AD23" s="39">
        <f t="shared" si="15"/>
        <v>1</v>
      </c>
      <c r="AE23" s="40">
        <f t="shared" si="15"/>
        <v>113</v>
      </c>
      <c r="AF23" s="40">
        <f t="shared" si="15"/>
        <v>259</v>
      </c>
    </row>
    <row r="24" spans="2:32" ht="23.1" customHeight="1" x14ac:dyDescent="0.25">
      <c r="B24" s="23" t="s">
        <v>51</v>
      </c>
      <c r="C24" s="50">
        <v>8</v>
      </c>
      <c r="D24" s="50">
        <v>0</v>
      </c>
      <c r="E24" s="50">
        <v>0</v>
      </c>
      <c r="F24" s="50">
        <v>8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28</v>
      </c>
      <c r="N24" s="50">
        <v>0</v>
      </c>
      <c r="O24" s="15">
        <f t="shared" si="0"/>
        <v>18</v>
      </c>
      <c r="P24" s="15">
        <f t="shared" si="1"/>
        <v>46</v>
      </c>
      <c r="R24" s="38" t="s">
        <v>92</v>
      </c>
      <c r="S24" s="39">
        <f>MAX(S19:S21)</f>
        <v>89</v>
      </c>
      <c r="T24" s="39">
        <f t="shared" ref="T24:AF24" si="16">MAX(T19:T21)</f>
        <v>34</v>
      </c>
      <c r="U24" s="39">
        <f t="shared" si="16"/>
        <v>14</v>
      </c>
      <c r="V24" s="39">
        <f t="shared" si="16"/>
        <v>35</v>
      </c>
      <c r="W24" s="39">
        <f t="shared" si="16"/>
        <v>2</v>
      </c>
      <c r="X24" s="39">
        <f t="shared" si="16"/>
        <v>4</v>
      </c>
      <c r="Y24" s="39">
        <f t="shared" si="16"/>
        <v>13</v>
      </c>
      <c r="Z24" s="39">
        <f t="shared" si="16"/>
        <v>11</v>
      </c>
      <c r="AA24" s="39">
        <f t="shared" si="16"/>
        <v>4</v>
      </c>
      <c r="AB24" s="39">
        <f t="shared" si="16"/>
        <v>7</v>
      </c>
      <c r="AC24" s="39">
        <f t="shared" si="16"/>
        <v>235</v>
      </c>
      <c r="AD24" s="39">
        <f t="shared" si="16"/>
        <v>0</v>
      </c>
      <c r="AE24" s="40">
        <f t="shared" si="16"/>
        <v>180</v>
      </c>
      <c r="AF24" s="40">
        <f t="shared" si="16"/>
        <v>413</v>
      </c>
    </row>
    <row r="25" spans="2:32" ht="23.1" customHeight="1" x14ac:dyDescent="0.25">
      <c r="B25" s="23" t="s">
        <v>52</v>
      </c>
      <c r="C25" s="50">
        <v>5</v>
      </c>
      <c r="D25" s="50">
        <v>1</v>
      </c>
      <c r="E25" s="50">
        <v>2</v>
      </c>
      <c r="F25" s="50">
        <v>8</v>
      </c>
      <c r="G25" s="50">
        <v>0</v>
      </c>
      <c r="H25" s="50">
        <v>0</v>
      </c>
      <c r="I25" s="50">
        <v>2</v>
      </c>
      <c r="J25" s="50">
        <v>2</v>
      </c>
      <c r="K25" s="50">
        <v>0</v>
      </c>
      <c r="L25" s="50">
        <v>0</v>
      </c>
      <c r="M25" s="50">
        <v>35</v>
      </c>
      <c r="N25" s="50">
        <v>0</v>
      </c>
      <c r="O25" s="15">
        <f t="shared" si="0"/>
        <v>20</v>
      </c>
      <c r="P25" s="15">
        <f t="shared" si="1"/>
        <v>55</v>
      </c>
      <c r="R25" s="37" t="s">
        <v>85</v>
      </c>
      <c r="S25" s="35">
        <f t="shared" ref="S25:AF25" si="17">SUM(S10:S12)</f>
        <v>55</v>
      </c>
      <c r="T25" s="16">
        <f t="shared" si="17"/>
        <v>24</v>
      </c>
      <c r="U25" s="16">
        <f t="shared" si="17"/>
        <v>4</v>
      </c>
      <c r="V25" s="16">
        <f t="shared" si="17"/>
        <v>64</v>
      </c>
      <c r="W25" s="16">
        <f t="shared" si="17"/>
        <v>1</v>
      </c>
      <c r="X25" s="16">
        <f t="shared" si="17"/>
        <v>1</v>
      </c>
      <c r="Y25" s="16">
        <f t="shared" si="17"/>
        <v>12</v>
      </c>
      <c r="Z25" s="16">
        <f t="shared" si="17"/>
        <v>6</v>
      </c>
      <c r="AA25" s="16">
        <f t="shared" si="17"/>
        <v>4</v>
      </c>
      <c r="AB25" s="16">
        <f t="shared" si="17"/>
        <v>11</v>
      </c>
      <c r="AC25" s="16">
        <f t="shared" si="17"/>
        <v>537</v>
      </c>
      <c r="AD25" s="16">
        <f t="shared" si="17"/>
        <v>0</v>
      </c>
      <c r="AE25" s="32">
        <f t="shared" si="17"/>
        <v>182</v>
      </c>
      <c r="AF25" s="32">
        <f t="shared" si="17"/>
        <v>719</v>
      </c>
    </row>
    <row r="26" spans="2:32" ht="23.1" customHeight="1" x14ac:dyDescent="0.25">
      <c r="B26" s="23" t="s">
        <v>53</v>
      </c>
      <c r="C26" s="50">
        <v>10</v>
      </c>
      <c r="D26" s="50">
        <v>2</v>
      </c>
      <c r="E26" s="50">
        <v>0</v>
      </c>
      <c r="F26" s="50">
        <v>5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44</v>
      </c>
      <c r="N26" s="50">
        <v>0</v>
      </c>
      <c r="O26" s="15">
        <f t="shared" si="0"/>
        <v>20</v>
      </c>
      <c r="P26" s="15">
        <f t="shared" si="1"/>
        <v>64</v>
      </c>
      <c r="R26" s="28" t="s">
        <v>86</v>
      </c>
      <c r="S26" s="16">
        <f t="shared" ref="S26:AF26" si="18">SUM(S13:S18)</f>
        <v>175</v>
      </c>
      <c r="T26" s="16">
        <f t="shared" si="18"/>
        <v>59</v>
      </c>
      <c r="U26" s="16">
        <f t="shared" si="18"/>
        <v>28</v>
      </c>
      <c r="V26" s="16">
        <f t="shared" si="18"/>
        <v>151</v>
      </c>
      <c r="W26" s="16">
        <f t="shared" si="18"/>
        <v>0</v>
      </c>
      <c r="X26" s="16">
        <f t="shared" si="18"/>
        <v>9</v>
      </c>
      <c r="Y26" s="16">
        <f t="shared" si="18"/>
        <v>53</v>
      </c>
      <c r="Z26" s="16">
        <f t="shared" si="18"/>
        <v>34</v>
      </c>
      <c r="AA26" s="16">
        <f t="shared" si="18"/>
        <v>13</v>
      </c>
      <c r="AB26" s="16">
        <f t="shared" si="18"/>
        <v>19</v>
      </c>
      <c r="AC26" s="16">
        <f t="shared" si="18"/>
        <v>933</v>
      </c>
      <c r="AD26" s="16">
        <f t="shared" si="18"/>
        <v>1</v>
      </c>
      <c r="AE26" s="32">
        <f t="shared" si="18"/>
        <v>542</v>
      </c>
      <c r="AF26" s="32">
        <f t="shared" si="18"/>
        <v>1475</v>
      </c>
    </row>
    <row r="27" spans="2:32" ht="23.1" customHeight="1" x14ac:dyDescent="0.25">
      <c r="B27" s="23" t="s">
        <v>54</v>
      </c>
      <c r="C27" s="50">
        <v>9</v>
      </c>
      <c r="D27" s="50">
        <v>1</v>
      </c>
      <c r="E27" s="50">
        <v>0</v>
      </c>
      <c r="F27" s="50">
        <v>5</v>
      </c>
      <c r="G27" s="50">
        <v>0</v>
      </c>
      <c r="H27" s="50">
        <v>0</v>
      </c>
      <c r="I27" s="50">
        <v>1</v>
      </c>
      <c r="J27" s="50">
        <v>1</v>
      </c>
      <c r="K27" s="50">
        <v>2</v>
      </c>
      <c r="L27" s="50">
        <v>1</v>
      </c>
      <c r="M27" s="50">
        <v>33</v>
      </c>
      <c r="N27" s="50">
        <v>0</v>
      </c>
      <c r="O27" s="15">
        <f t="shared" si="0"/>
        <v>20</v>
      </c>
      <c r="P27" s="15">
        <f t="shared" si="1"/>
        <v>53</v>
      </c>
      <c r="R27" s="29" t="s">
        <v>87</v>
      </c>
      <c r="S27" s="16">
        <f t="shared" ref="S27:AF27" si="19">SUM(S19:S21)</f>
        <v>222</v>
      </c>
      <c r="T27" s="16">
        <f t="shared" si="19"/>
        <v>87</v>
      </c>
      <c r="U27" s="16">
        <f t="shared" si="19"/>
        <v>34</v>
      </c>
      <c r="V27" s="16">
        <f t="shared" si="19"/>
        <v>97</v>
      </c>
      <c r="W27" s="16">
        <f t="shared" si="19"/>
        <v>4</v>
      </c>
      <c r="X27" s="16">
        <f t="shared" si="19"/>
        <v>7</v>
      </c>
      <c r="Y27" s="16">
        <f t="shared" si="19"/>
        <v>33</v>
      </c>
      <c r="Z27" s="16">
        <f t="shared" si="19"/>
        <v>26</v>
      </c>
      <c r="AA27" s="16">
        <f t="shared" si="19"/>
        <v>7</v>
      </c>
      <c r="AB27" s="16">
        <f t="shared" si="19"/>
        <v>16</v>
      </c>
      <c r="AC27" s="16">
        <f t="shared" si="19"/>
        <v>625</v>
      </c>
      <c r="AD27" s="16">
        <f t="shared" si="19"/>
        <v>0</v>
      </c>
      <c r="AE27" s="32">
        <f t="shared" si="19"/>
        <v>533</v>
      </c>
      <c r="AF27" s="32">
        <f t="shared" si="19"/>
        <v>1158</v>
      </c>
    </row>
    <row r="28" spans="2:32" ht="23.1" customHeight="1" x14ac:dyDescent="0.25">
      <c r="B28" s="23" t="s">
        <v>55</v>
      </c>
      <c r="C28" s="50">
        <v>6</v>
      </c>
      <c r="D28" s="50">
        <v>0</v>
      </c>
      <c r="E28" s="50">
        <v>4</v>
      </c>
      <c r="F28" s="50">
        <v>8</v>
      </c>
      <c r="G28" s="50">
        <v>0</v>
      </c>
      <c r="H28" s="50">
        <v>0</v>
      </c>
      <c r="I28" s="50">
        <v>2</v>
      </c>
      <c r="J28" s="50">
        <v>4</v>
      </c>
      <c r="K28" s="50">
        <v>0</v>
      </c>
      <c r="L28" s="50">
        <v>0</v>
      </c>
      <c r="M28" s="50">
        <v>40</v>
      </c>
      <c r="N28" s="50">
        <v>0</v>
      </c>
      <c r="O28" s="15">
        <f t="shared" si="0"/>
        <v>24</v>
      </c>
      <c r="P28" s="15">
        <f t="shared" si="1"/>
        <v>64</v>
      </c>
      <c r="R28" s="5" t="s">
        <v>17</v>
      </c>
      <c r="S28" s="16">
        <f t="shared" ref="S28:AF28" si="20">SUM(S10:S21)</f>
        <v>452</v>
      </c>
      <c r="T28" s="16">
        <f t="shared" si="20"/>
        <v>170</v>
      </c>
      <c r="U28" s="16">
        <f t="shared" si="20"/>
        <v>66</v>
      </c>
      <c r="V28" s="16">
        <f t="shared" si="20"/>
        <v>312</v>
      </c>
      <c r="W28" s="16">
        <f t="shared" si="20"/>
        <v>5</v>
      </c>
      <c r="X28" s="16">
        <f t="shared" si="20"/>
        <v>17</v>
      </c>
      <c r="Y28" s="16">
        <f t="shared" si="20"/>
        <v>98</v>
      </c>
      <c r="Z28" s="16">
        <f t="shared" si="20"/>
        <v>66</v>
      </c>
      <c r="AA28" s="16">
        <f t="shared" si="20"/>
        <v>24</v>
      </c>
      <c r="AB28" s="16">
        <f t="shared" si="20"/>
        <v>46</v>
      </c>
      <c r="AC28" s="16">
        <f t="shared" si="20"/>
        <v>2095</v>
      </c>
      <c r="AD28" s="16">
        <f t="shared" si="20"/>
        <v>1</v>
      </c>
      <c r="AE28" s="32">
        <f t="shared" si="20"/>
        <v>1257</v>
      </c>
      <c r="AF28" s="32">
        <f t="shared" si="20"/>
        <v>3352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3</v>
      </c>
      <c r="F29" s="50">
        <v>5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35</v>
      </c>
      <c r="N29" s="50">
        <v>0</v>
      </c>
      <c r="O29" s="15">
        <f t="shared" si="0"/>
        <v>12</v>
      </c>
      <c r="P29" s="15">
        <f t="shared" si="1"/>
        <v>47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3</v>
      </c>
      <c r="E30" s="50">
        <v>0</v>
      </c>
      <c r="F30" s="50">
        <v>7</v>
      </c>
      <c r="G30" s="50">
        <v>0</v>
      </c>
      <c r="H30" s="50">
        <v>3</v>
      </c>
      <c r="I30" s="50">
        <v>2</v>
      </c>
      <c r="J30" s="50">
        <v>2</v>
      </c>
      <c r="K30" s="50">
        <v>0</v>
      </c>
      <c r="L30" s="50">
        <v>0</v>
      </c>
      <c r="M30" s="50">
        <v>46</v>
      </c>
      <c r="N30" s="50">
        <v>0</v>
      </c>
      <c r="O30" s="15">
        <f t="shared" si="0"/>
        <v>23</v>
      </c>
      <c r="P30" s="15">
        <f t="shared" si="1"/>
        <v>69</v>
      </c>
    </row>
    <row r="31" spans="2:32" ht="23.1" customHeight="1" x14ac:dyDescent="0.25">
      <c r="B31" s="24" t="s">
        <v>58</v>
      </c>
      <c r="C31" s="50">
        <v>5</v>
      </c>
      <c r="D31" s="50">
        <v>1</v>
      </c>
      <c r="E31" s="50">
        <v>1</v>
      </c>
      <c r="F31" s="50">
        <v>5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50</v>
      </c>
      <c r="N31" s="50">
        <v>0</v>
      </c>
      <c r="O31" s="15">
        <f t="shared" si="0"/>
        <v>16</v>
      </c>
      <c r="P31" s="15">
        <f t="shared" si="1"/>
        <v>66</v>
      </c>
    </row>
    <row r="32" spans="2:32" ht="23.1" customHeight="1" x14ac:dyDescent="0.25">
      <c r="B32" s="24" t="s">
        <v>59</v>
      </c>
      <c r="C32" s="50">
        <v>6</v>
      </c>
      <c r="D32" s="50">
        <v>3</v>
      </c>
      <c r="E32" s="50">
        <v>1</v>
      </c>
      <c r="F32" s="50">
        <v>9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41</v>
      </c>
      <c r="N32" s="50">
        <v>0</v>
      </c>
      <c r="O32" s="15">
        <f t="shared" si="0"/>
        <v>20</v>
      </c>
      <c r="P32" s="15">
        <f t="shared" si="1"/>
        <v>61</v>
      </c>
    </row>
    <row r="33" spans="2:20" ht="23.1" customHeight="1" x14ac:dyDescent="0.25">
      <c r="B33" s="23" t="s">
        <v>60</v>
      </c>
      <c r="C33" s="50">
        <v>5</v>
      </c>
      <c r="D33" s="50">
        <v>5</v>
      </c>
      <c r="E33" s="50">
        <v>2</v>
      </c>
      <c r="F33" s="50">
        <v>6</v>
      </c>
      <c r="G33" s="50">
        <v>0</v>
      </c>
      <c r="H33" s="50">
        <v>2</v>
      </c>
      <c r="I33" s="50">
        <v>2</v>
      </c>
      <c r="J33" s="50">
        <v>2</v>
      </c>
      <c r="K33" s="50">
        <v>1</v>
      </c>
      <c r="L33" s="50">
        <v>0</v>
      </c>
      <c r="M33" s="50">
        <v>38</v>
      </c>
      <c r="N33" s="50">
        <v>0</v>
      </c>
      <c r="O33" s="15">
        <f t="shared" si="0"/>
        <v>25</v>
      </c>
      <c r="P33" s="15">
        <f t="shared" si="1"/>
        <v>63</v>
      </c>
    </row>
    <row r="34" spans="2:20" ht="23.1" customHeight="1" x14ac:dyDescent="0.25">
      <c r="B34" s="24" t="s">
        <v>61</v>
      </c>
      <c r="C34" s="50">
        <v>7</v>
      </c>
      <c r="D34" s="50">
        <v>4</v>
      </c>
      <c r="E34" s="50">
        <v>1</v>
      </c>
      <c r="F34" s="50">
        <v>5</v>
      </c>
      <c r="G34" s="50">
        <v>0</v>
      </c>
      <c r="H34" s="50">
        <v>0</v>
      </c>
      <c r="I34" s="50">
        <v>3</v>
      </c>
      <c r="J34" s="50">
        <v>3</v>
      </c>
      <c r="K34" s="50">
        <v>1</v>
      </c>
      <c r="L34" s="50">
        <v>1</v>
      </c>
      <c r="M34" s="50">
        <v>36</v>
      </c>
      <c r="N34" s="50">
        <v>0</v>
      </c>
      <c r="O34" s="15">
        <f t="shared" si="0"/>
        <v>25</v>
      </c>
      <c r="P34" s="15">
        <f t="shared" si="1"/>
        <v>61</v>
      </c>
    </row>
    <row r="35" spans="2:20" ht="23.1" customHeight="1" x14ac:dyDescent="0.25">
      <c r="B35" s="24" t="s">
        <v>62</v>
      </c>
      <c r="C35" s="50">
        <v>14</v>
      </c>
      <c r="D35" s="50">
        <v>2</v>
      </c>
      <c r="E35" s="50">
        <v>1</v>
      </c>
      <c r="F35" s="50">
        <v>7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3</v>
      </c>
      <c r="M35" s="50">
        <v>47</v>
      </c>
      <c r="N35" s="50">
        <v>0</v>
      </c>
      <c r="O35" s="15">
        <f t="shared" si="0"/>
        <v>31</v>
      </c>
      <c r="P35" s="15">
        <f t="shared" si="1"/>
        <v>78</v>
      </c>
    </row>
    <row r="36" spans="2:20" ht="23.1" customHeight="1" x14ac:dyDescent="0.25">
      <c r="B36" s="24" t="s">
        <v>63</v>
      </c>
      <c r="C36" s="50">
        <v>12</v>
      </c>
      <c r="D36" s="50">
        <v>2</v>
      </c>
      <c r="E36" s="50">
        <v>1</v>
      </c>
      <c r="F36" s="50">
        <v>5</v>
      </c>
      <c r="G36" s="50">
        <v>0</v>
      </c>
      <c r="H36" s="50">
        <v>0</v>
      </c>
      <c r="I36" s="50">
        <v>4</v>
      </c>
      <c r="J36" s="50">
        <v>0</v>
      </c>
      <c r="K36" s="50">
        <v>1</v>
      </c>
      <c r="L36" s="50">
        <v>2</v>
      </c>
      <c r="M36" s="50">
        <v>33</v>
      </c>
      <c r="N36" s="50">
        <v>0</v>
      </c>
      <c r="O36" s="15">
        <f t="shared" si="0"/>
        <v>27</v>
      </c>
      <c r="P36" s="15">
        <f t="shared" si="1"/>
        <v>60</v>
      </c>
    </row>
    <row r="37" spans="2:20" ht="23.1" customHeight="1" x14ac:dyDescent="0.25">
      <c r="B37" s="23" t="s">
        <v>64</v>
      </c>
      <c r="C37" s="50">
        <v>10</v>
      </c>
      <c r="D37" s="50">
        <v>1</v>
      </c>
      <c r="E37" s="50">
        <v>0</v>
      </c>
      <c r="F37" s="50">
        <v>4</v>
      </c>
      <c r="G37" s="50">
        <v>0</v>
      </c>
      <c r="H37" s="50">
        <v>0</v>
      </c>
      <c r="I37" s="50">
        <v>4</v>
      </c>
      <c r="J37" s="50">
        <v>3</v>
      </c>
      <c r="K37" s="50">
        <v>0</v>
      </c>
      <c r="L37" s="50">
        <v>0</v>
      </c>
      <c r="M37" s="50">
        <v>35</v>
      </c>
      <c r="N37" s="50">
        <v>0</v>
      </c>
      <c r="O37" s="15">
        <f t="shared" si="0"/>
        <v>22</v>
      </c>
      <c r="P37" s="15">
        <f t="shared" si="1"/>
        <v>57</v>
      </c>
    </row>
    <row r="38" spans="2:20" ht="23.1" customHeight="1" x14ac:dyDescent="0.25">
      <c r="B38" s="24" t="s">
        <v>65</v>
      </c>
      <c r="C38" s="50">
        <v>3</v>
      </c>
      <c r="D38" s="50">
        <v>2</v>
      </c>
      <c r="E38" s="50">
        <v>0</v>
      </c>
      <c r="F38" s="50">
        <v>4</v>
      </c>
      <c r="G38" s="50">
        <v>0</v>
      </c>
      <c r="H38" s="50">
        <v>2</v>
      </c>
      <c r="I38" s="50">
        <v>1</v>
      </c>
      <c r="J38" s="50">
        <v>2</v>
      </c>
      <c r="K38" s="50">
        <v>0</v>
      </c>
      <c r="L38" s="50">
        <v>1</v>
      </c>
      <c r="M38" s="50">
        <v>43</v>
      </c>
      <c r="N38" s="50">
        <v>0</v>
      </c>
      <c r="O38" s="15">
        <f t="shared" si="0"/>
        <v>15</v>
      </c>
      <c r="P38" s="15">
        <f t="shared" si="1"/>
        <v>58</v>
      </c>
    </row>
    <row r="39" spans="2:20" ht="23.1" customHeight="1" x14ac:dyDescent="0.25">
      <c r="B39" s="24" t="s">
        <v>66</v>
      </c>
      <c r="C39" s="50">
        <v>7</v>
      </c>
      <c r="D39" s="50">
        <v>3</v>
      </c>
      <c r="E39" s="50">
        <v>2</v>
      </c>
      <c r="F39" s="50">
        <v>4</v>
      </c>
      <c r="G39" s="50">
        <v>0</v>
      </c>
      <c r="H39" s="50">
        <v>0</v>
      </c>
      <c r="I39" s="50">
        <v>1</v>
      </c>
      <c r="J39" s="50">
        <v>1</v>
      </c>
      <c r="K39" s="50">
        <v>1</v>
      </c>
      <c r="L39" s="50">
        <v>0</v>
      </c>
      <c r="M39" s="50">
        <v>39</v>
      </c>
      <c r="N39" s="50">
        <v>0</v>
      </c>
      <c r="O39" s="15">
        <f t="shared" si="0"/>
        <v>19</v>
      </c>
      <c r="P39" s="15">
        <f t="shared" si="1"/>
        <v>58</v>
      </c>
    </row>
    <row r="40" spans="2:20" ht="23.1" customHeight="1" x14ac:dyDescent="0.25">
      <c r="B40" s="24" t="s">
        <v>67</v>
      </c>
      <c r="C40" s="50">
        <v>6</v>
      </c>
      <c r="D40" s="50">
        <v>0</v>
      </c>
      <c r="E40" s="50">
        <v>1</v>
      </c>
      <c r="F40" s="50">
        <v>10</v>
      </c>
      <c r="G40" s="50">
        <v>0</v>
      </c>
      <c r="H40" s="50">
        <v>0</v>
      </c>
      <c r="I40" s="50">
        <v>0</v>
      </c>
      <c r="J40" s="50">
        <v>1</v>
      </c>
      <c r="K40" s="50">
        <v>3</v>
      </c>
      <c r="L40" s="50">
        <v>0</v>
      </c>
      <c r="M40" s="50">
        <v>50</v>
      </c>
      <c r="N40" s="50">
        <v>0</v>
      </c>
      <c r="O40" s="15">
        <f t="shared" si="0"/>
        <v>21</v>
      </c>
      <c r="P40" s="15">
        <f t="shared" si="1"/>
        <v>71</v>
      </c>
    </row>
    <row r="41" spans="2:20" ht="23.1" customHeight="1" x14ac:dyDescent="0.25">
      <c r="B41" s="23" t="s">
        <v>68</v>
      </c>
      <c r="C41" s="50">
        <v>6</v>
      </c>
      <c r="D41" s="50">
        <v>3</v>
      </c>
      <c r="E41" s="50">
        <v>1</v>
      </c>
      <c r="F41" s="50">
        <v>5</v>
      </c>
      <c r="G41" s="50">
        <v>0</v>
      </c>
      <c r="H41" s="50">
        <v>0</v>
      </c>
      <c r="I41" s="50">
        <v>5</v>
      </c>
      <c r="J41" s="50">
        <v>1</v>
      </c>
      <c r="K41" s="50">
        <v>0</v>
      </c>
      <c r="L41" s="50">
        <v>2</v>
      </c>
      <c r="M41" s="50">
        <v>45</v>
      </c>
      <c r="N41" s="50">
        <v>0</v>
      </c>
      <c r="O41" s="15">
        <f t="shared" si="0"/>
        <v>23</v>
      </c>
      <c r="P41" s="15">
        <f t="shared" si="1"/>
        <v>68</v>
      </c>
    </row>
    <row r="42" spans="2:20" ht="23.1" customHeight="1" x14ac:dyDescent="0.25">
      <c r="B42" s="24" t="s">
        <v>69</v>
      </c>
      <c r="C42" s="50">
        <v>6</v>
      </c>
      <c r="D42" s="50">
        <v>0</v>
      </c>
      <c r="E42" s="50">
        <v>0</v>
      </c>
      <c r="F42" s="50">
        <v>1</v>
      </c>
      <c r="G42" s="50">
        <v>0</v>
      </c>
      <c r="H42" s="50">
        <v>2</v>
      </c>
      <c r="I42" s="50">
        <v>0</v>
      </c>
      <c r="J42" s="50">
        <v>3</v>
      </c>
      <c r="K42" s="50">
        <v>0</v>
      </c>
      <c r="L42" s="50">
        <v>0</v>
      </c>
      <c r="M42" s="50">
        <v>36</v>
      </c>
      <c r="N42" s="50">
        <v>0</v>
      </c>
      <c r="O42" s="15">
        <f t="shared" si="0"/>
        <v>12</v>
      </c>
      <c r="P42" s="15">
        <f t="shared" si="1"/>
        <v>48</v>
      </c>
    </row>
    <row r="43" spans="2:20" ht="23.1" customHeight="1" x14ac:dyDescent="0.25">
      <c r="B43" s="23" t="s">
        <v>70</v>
      </c>
      <c r="C43" s="50">
        <v>13</v>
      </c>
      <c r="D43" s="50">
        <v>9</v>
      </c>
      <c r="E43" s="50">
        <v>2</v>
      </c>
      <c r="F43" s="50">
        <v>7</v>
      </c>
      <c r="G43" s="50">
        <v>0</v>
      </c>
      <c r="H43" s="50">
        <v>0</v>
      </c>
      <c r="I43" s="50">
        <v>4</v>
      </c>
      <c r="J43" s="50">
        <v>4</v>
      </c>
      <c r="K43" s="50">
        <v>2</v>
      </c>
      <c r="L43" s="50">
        <v>0</v>
      </c>
      <c r="M43" s="50">
        <v>35</v>
      </c>
      <c r="N43" s="50">
        <v>0</v>
      </c>
      <c r="O43" s="15">
        <f t="shared" si="0"/>
        <v>41</v>
      </c>
      <c r="P43" s="15">
        <f t="shared" si="1"/>
        <v>76</v>
      </c>
    </row>
    <row r="44" spans="2:20" ht="23.1" customHeight="1" x14ac:dyDescent="0.25">
      <c r="B44" s="25" t="s">
        <v>71</v>
      </c>
      <c r="C44" s="50">
        <v>7</v>
      </c>
      <c r="D44" s="50">
        <v>7</v>
      </c>
      <c r="E44" s="50">
        <v>0</v>
      </c>
      <c r="F44" s="50">
        <v>8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2</v>
      </c>
      <c r="M44" s="50">
        <v>14</v>
      </c>
      <c r="N44" s="50">
        <v>0</v>
      </c>
      <c r="O44" s="15">
        <f t="shared" si="0"/>
        <v>28</v>
      </c>
      <c r="P44" s="15">
        <f t="shared" si="1"/>
        <v>42</v>
      </c>
    </row>
    <row r="45" spans="2:20" ht="23.1" customHeight="1" x14ac:dyDescent="0.25">
      <c r="B45" s="23" t="s">
        <v>72</v>
      </c>
      <c r="C45" s="50">
        <v>4</v>
      </c>
      <c r="D45" s="50">
        <v>7</v>
      </c>
      <c r="E45" s="50">
        <v>1</v>
      </c>
      <c r="F45" s="50">
        <v>9</v>
      </c>
      <c r="G45" s="50">
        <v>0</v>
      </c>
      <c r="H45" s="50">
        <v>0</v>
      </c>
      <c r="I45" s="50">
        <v>3</v>
      </c>
      <c r="J45" s="50">
        <v>2</v>
      </c>
      <c r="K45" s="50">
        <v>2</v>
      </c>
      <c r="L45" s="50">
        <v>3</v>
      </c>
      <c r="M45" s="50">
        <v>39</v>
      </c>
      <c r="N45" s="50">
        <v>1</v>
      </c>
      <c r="O45" s="15">
        <f t="shared" si="0"/>
        <v>32</v>
      </c>
      <c r="P45" s="15">
        <f t="shared" si="1"/>
        <v>71</v>
      </c>
    </row>
    <row r="46" spans="2:20" ht="23.1" customHeight="1" x14ac:dyDescent="0.25">
      <c r="B46" s="24" t="s">
        <v>73</v>
      </c>
      <c r="C46" s="50">
        <v>29</v>
      </c>
      <c r="D46" s="50">
        <v>9</v>
      </c>
      <c r="E46" s="50">
        <v>1</v>
      </c>
      <c r="F46" s="50">
        <v>9</v>
      </c>
      <c r="G46" s="50">
        <v>1</v>
      </c>
      <c r="H46" s="50">
        <v>0</v>
      </c>
      <c r="I46" s="50">
        <v>2</v>
      </c>
      <c r="J46" s="50">
        <v>0</v>
      </c>
      <c r="K46" s="50">
        <v>1</v>
      </c>
      <c r="L46" s="50">
        <v>3</v>
      </c>
      <c r="M46" s="50">
        <v>51</v>
      </c>
      <c r="N46" s="50">
        <v>0</v>
      </c>
      <c r="O46" s="15">
        <f t="shared" si="0"/>
        <v>55</v>
      </c>
      <c r="P46" s="15">
        <f t="shared" si="1"/>
        <v>106</v>
      </c>
      <c r="R46" s="8"/>
      <c r="T46"/>
    </row>
    <row r="47" spans="2:20" ht="23.1" customHeight="1" x14ac:dyDescent="0.25">
      <c r="B47" s="24" t="s">
        <v>74</v>
      </c>
      <c r="C47" s="50">
        <v>14</v>
      </c>
      <c r="D47" s="50">
        <v>4</v>
      </c>
      <c r="E47" s="50">
        <v>2</v>
      </c>
      <c r="F47" s="50">
        <v>6</v>
      </c>
      <c r="G47" s="50">
        <v>0</v>
      </c>
      <c r="H47" s="50">
        <v>1</v>
      </c>
      <c r="I47" s="50">
        <v>0</v>
      </c>
      <c r="J47" s="50">
        <v>3</v>
      </c>
      <c r="K47" s="50">
        <v>0</v>
      </c>
      <c r="L47" s="50">
        <v>2</v>
      </c>
      <c r="M47" s="50">
        <v>71</v>
      </c>
      <c r="N47" s="50">
        <v>0</v>
      </c>
      <c r="O47" s="15">
        <f t="shared" si="0"/>
        <v>32</v>
      </c>
      <c r="P47" s="15">
        <f t="shared" si="1"/>
        <v>103</v>
      </c>
      <c r="R47" s="8"/>
      <c r="T47"/>
    </row>
    <row r="48" spans="2:20" ht="23.1" customHeight="1" x14ac:dyDescent="0.25">
      <c r="B48" s="24" t="s">
        <v>75</v>
      </c>
      <c r="C48" s="50">
        <v>17</v>
      </c>
      <c r="D48" s="50">
        <v>4</v>
      </c>
      <c r="E48" s="50">
        <v>1</v>
      </c>
      <c r="F48" s="50">
        <v>7</v>
      </c>
      <c r="G48" s="50">
        <v>0</v>
      </c>
      <c r="H48" s="50">
        <v>2</v>
      </c>
      <c r="I48" s="50">
        <v>1</v>
      </c>
      <c r="J48" s="50">
        <v>2</v>
      </c>
      <c r="K48" s="50">
        <v>1</v>
      </c>
      <c r="L48" s="50">
        <v>1</v>
      </c>
      <c r="M48" s="50">
        <v>70</v>
      </c>
      <c r="N48" s="50">
        <v>0</v>
      </c>
      <c r="O48" s="15">
        <f t="shared" si="0"/>
        <v>36</v>
      </c>
      <c r="P48" s="15">
        <f t="shared" si="1"/>
        <v>106</v>
      </c>
      <c r="R48" s="8"/>
      <c r="T48"/>
    </row>
    <row r="49" spans="2:20" ht="23.1" customHeight="1" x14ac:dyDescent="0.25">
      <c r="B49" s="23" t="s">
        <v>76</v>
      </c>
      <c r="C49" s="50">
        <v>29</v>
      </c>
      <c r="D49" s="50">
        <v>7</v>
      </c>
      <c r="E49" s="50">
        <v>5</v>
      </c>
      <c r="F49" s="50">
        <v>6</v>
      </c>
      <c r="G49" s="50">
        <v>0</v>
      </c>
      <c r="H49" s="50">
        <v>1</v>
      </c>
      <c r="I49" s="50">
        <v>4</v>
      </c>
      <c r="J49" s="50">
        <v>2</v>
      </c>
      <c r="K49" s="50">
        <v>1</v>
      </c>
      <c r="L49" s="50">
        <v>0</v>
      </c>
      <c r="M49" s="50">
        <v>43</v>
      </c>
      <c r="N49" s="50">
        <v>0</v>
      </c>
      <c r="O49" s="15">
        <f t="shared" si="0"/>
        <v>55</v>
      </c>
      <c r="P49" s="15">
        <f t="shared" si="1"/>
        <v>98</v>
      </c>
      <c r="R49" s="8"/>
      <c r="T49"/>
    </row>
    <row r="50" spans="2:20" ht="23.1" customHeight="1" x14ac:dyDescent="0.25">
      <c r="B50" s="24" t="s">
        <v>77</v>
      </c>
      <c r="C50" s="50">
        <v>22</v>
      </c>
      <c r="D50" s="50">
        <v>8</v>
      </c>
      <c r="E50" s="50">
        <v>5</v>
      </c>
      <c r="F50" s="50">
        <v>12</v>
      </c>
      <c r="G50" s="50">
        <v>0</v>
      </c>
      <c r="H50" s="50">
        <v>0</v>
      </c>
      <c r="I50" s="50">
        <v>4</v>
      </c>
      <c r="J50" s="50">
        <v>2</v>
      </c>
      <c r="K50" s="50">
        <v>0</v>
      </c>
      <c r="L50" s="50">
        <v>1</v>
      </c>
      <c r="M50" s="50">
        <v>38</v>
      </c>
      <c r="N50" s="50">
        <v>0</v>
      </c>
      <c r="O50" s="15">
        <f t="shared" si="0"/>
        <v>54</v>
      </c>
      <c r="P50" s="15">
        <f t="shared" si="1"/>
        <v>92</v>
      </c>
      <c r="R50" s="8"/>
      <c r="T50"/>
    </row>
    <row r="51" spans="2:20" ht="23.1" customHeight="1" x14ac:dyDescent="0.25">
      <c r="B51" s="24" t="s">
        <v>78</v>
      </c>
      <c r="C51" s="50">
        <v>17</v>
      </c>
      <c r="D51" s="50">
        <v>3</v>
      </c>
      <c r="E51" s="50">
        <v>2</v>
      </c>
      <c r="F51" s="50">
        <v>11</v>
      </c>
      <c r="G51" s="50">
        <v>0</v>
      </c>
      <c r="H51" s="50">
        <v>2</v>
      </c>
      <c r="I51" s="50">
        <v>2</v>
      </c>
      <c r="J51" s="50">
        <v>2</v>
      </c>
      <c r="K51" s="50">
        <v>0</v>
      </c>
      <c r="L51" s="50">
        <v>1</v>
      </c>
      <c r="M51" s="50">
        <v>50</v>
      </c>
      <c r="N51" s="50">
        <v>0</v>
      </c>
      <c r="O51" s="15">
        <f t="shared" si="0"/>
        <v>40</v>
      </c>
      <c r="P51" s="15">
        <f t="shared" si="1"/>
        <v>90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10</v>
      </c>
      <c r="E52" s="50">
        <v>5</v>
      </c>
      <c r="F52" s="50">
        <v>9</v>
      </c>
      <c r="G52" s="50">
        <v>1</v>
      </c>
      <c r="H52" s="50">
        <v>0</v>
      </c>
      <c r="I52" s="50">
        <v>3</v>
      </c>
      <c r="J52" s="50">
        <v>1</v>
      </c>
      <c r="K52" s="50">
        <v>0</v>
      </c>
      <c r="L52" s="50">
        <v>0</v>
      </c>
      <c r="M52" s="50">
        <v>50</v>
      </c>
      <c r="N52" s="50">
        <v>0</v>
      </c>
      <c r="O52" s="15">
        <f t="shared" si="0"/>
        <v>49</v>
      </c>
      <c r="P52" s="15">
        <f t="shared" si="1"/>
        <v>99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8</v>
      </c>
      <c r="E53" s="50">
        <v>2</v>
      </c>
      <c r="F53" s="50">
        <v>3</v>
      </c>
      <c r="G53" s="50">
        <v>0</v>
      </c>
      <c r="H53" s="50">
        <v>0</v>
      </c>
      <c r="I53" s="50">
        <v>4</v>
      </c>
      <c r="J53" s="50">
        <v>3</v>
      </c>
      <c r="K53" s="50">
        <v>0</v>
      </c>
      <c r="L53" s="50">
        <v>1</v>
      </c>
      <c r="M53" s="50">
        <v>51</v>
      </c>
      <c r="N53" s="50">
        <v>0</v>
      </c>
      <c r="O53" s="15">
        <f t="shared" si="0"/>
        <v>32</v>
      </c>
      <c r="P53" s="15">
        <f t="shared" si="1"/>
        <v>83</v>
      </c>
      <c r="R53" s="8"/>
      <c r="T53"/>
    </row>
    <row r="54" spans="2:20" ht="23.1" customHeight="1" x14ac:dyDescent="0.25">
      <c r="B54" s="23" t="s">
        <v>81</v>
      </c>
      <c r="C54" s="50">
        <v>16</v>
      </c>
      <c r="D54" s="50">
        <v>7</v>
      </c>
      <c r="E54" s="50">
        <v>3</v>
      </c>
      <c r="F54" s="50">
        <v>6</v>
      </c>
      <c r="G54" s="50">
        <v>2</v>
      </c>
      <c r="H54" s="50">
        <v>0</v>
      </c>
      <c r="I54" s="50">
        <v>5</v>
      </c>
      <c r="J54" s="50">
        <v>1</v>
      </c>
      <c r="K54" s="50">
        <v>0</v>
      </c>
      <c r="L54" s="50">
        <v>2</v>
      </c>
      <c r="M54" s="50">
        <v>53</v>
      </c>
      <c r="N54" s="50">
        <v>0</v>
      </c>
      <c r="O54" s="15">
        <f t="shared" si="0"/>
        <v>42</v>
      </c>
      <c r="P54" s="15">
        <f t="shared" si="1"/>
        <v>95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16</v>
      </c>
      <c r="E55" s="50">
        <v>4</v>
      </c>
      <c r="F55" s="50">
        <v>9</v>
      </c>
      <c r="G55" s="50">
        <v>0</v>
      </c>
      <c r="H55" s="50">
        <v>1</v>
      </c>
      <c r="I55" s="50">
        <v>2</v>
      </c>
      <c r="J55" s="50">
        <v>4</v>
      </c>
      <c r="K55" s="50">
        <v>0</v>
      </c>
      <c r="L55" s="50">
        <v>1</v>
      </c>
      <c r="M55" s="50">
        <v>54</v>
      </c>
      <c r="N55" s="50">
        <v>0</v>
      </c>
      <c r="O55" s="15">
        <f t="shared" si="0"/>
        <v>55</v>
      </c>
      <c r="P55" s="15">
        <f t="shared" si="1"/>
        <v>109</v>
      </c>
      <c r="R55" s="8"/>
      <c r="T55"/>
    </row>
    <row r="56" spans="2:20" ht="23.1" customHeight="1" x14ac:dyDescent="0.25">
      <c r="B56" s="23" t="s">
        <v>83</v>
      </c>
      <c r="C56" s="50">
        <v>15</v>
      </c>
      <c r="D56" s="50">
        <v>8</v>
      </c>
      <c r="E56" s="50">
        <v>2</v>
      </c>
      <c r="F56" s="50">
        <v>6</v>
      </c>
      <c r="G56" s="50">
        <v>0</v>
      </c>
      <c r="H56" s="50">
        <v>0</v>
      </c>
      <c r="I56" s="50">
        <v>3</v>
      </c>
      <c r="J56" s="50">
        <v>2</v>
      </c>
      <c r="K56" s="50">
        <v>1</v>
      </c>
      <c r="L56" s="50">
        <v>2</v>
      </c>
      <c r="M56" s="50">
        <v>51</v>
      </c>
      <c r="N56" s="50">
        <v>0</v>
      </c>
      <c r="O56" s="15">
        <f t="shared" si="0"/>
        <v>39</v>
      </c>
      <c r="P56" s="15">
        <f t="shared" si="1"/>
        <v>90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3</v>
      </c>
      <c r="E57" s="50">
        <v>2</v>
      </c>
      <c r="F57" s="50">
        <v>13</v>
      </c>
      <c r="G57" s="50">
        <v>0</v>
      </c>
      <c r="H57" s="50">
        <v>0</v>
      </c>
      <c r="I57" s="50">
        <v>3</v>
      </c>
      <c r="J57" s="50">
        <v>4</v>
      </c>
      <c r="K57" s="50">
        <v>3</v>
      </c>
      <c r="L57" s="50">
        <v>2</v>
      </c>
      <c r="M57" s="50">
        <v>43</v>
      </c>
      <c r="N57" s="50">
        <v>0</v>
      </c>
      <c r="O57" s="15">
        <f t="shared" si="0"/>
        <v>44</v>
      </c>
      <c r="P57" s="15">
        <f t="shared" si="1"/>
        <v>87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452</v>
      </c>
      <c r="D58" s="16">
        <f t="shared" si="21"/>
        <v>170</v>
      </c>
      <c r="E58" s="16">
        <f t="shared" si="21"/>
        <v>66</v>
      </c>
      <c r="F58" s="16">
        <f t="shared" si="21"/>
        <v>312</v>
      </c>
      <c r="G58" s="16">
        <f t="shared" si="21"/>
        <v>5</v>
      </c>
      <c r="H58" s="16">
        <f t="shared" si="21"/>
        <v>17</v>
      </c>
      <c r="I58" s="16">
        <f t="shared" si="21"/>
        <v>98</v>
      </c>
      <c r="J58" s="16">
        <f t="shared" si="21"/>
        <v>66</v>
      </c>
      <c r="K58" s="16">
        <f t="shared" si="21"/>
        <v>24</v>
      </c>
      <c r="L58" s="16">
        <f t="shared" si="21"/>
        <v>46</v>
      </c>
      <c r="M58" s="16">
        <f t="shared" si="21"/>
        <v>2095</v>
      </c>
      <c r="N58" s="16">
        <f t="shared" si="21"/>
        <v>1</v>
      </c>
      <c r="O58" s="16">
        <f t="shared" si="21"/>
        <v>1257</v>
      </c>
      <c r="P58" s="16">
        <f t="shared" si="21"/>
        <v>3352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0.13484486873508353</v>
      </c>
      <c r="D59" s="43">
        <f t="shared" si="22"/>
        <v>5.0715990453460619E-2</v>
      </c>
      <c r="E59" s="43">
        <f t="shared" si="22"/>
        <v>1.9689737470167064E-2</v>
      </c>
      <c r="F59" s="43">
        <f t="shared" si="22"/>
        <v>9.3078758949880672E-2</v>
      </c>
      <c r="G59" s="43">
        <f t="shared" si="22"/>
        <v>1.4916467780429594E-3</v>
      </c>
      <c r="H59" s="43">
        <f t="shared" si="22"/>
        <v>5.0715990453460624E-3</v>
      </c>
      <c r="I59" s="43">
        <f t="shared" si="22"/>
        <v>2.9236276849642005E-2</v>
      </c>
      <c r="J59" s="43">
        <f t="shared" si="22"/>
        <v>1.9689737470167064E-2</v>
      </c>
      <c r="K59" s="43">
        <f t="shared" si="22"/>
        <v>7.1599045346062056E-3</v>
      </c>
      <c r="L59" s="43">
        <f t="shared" si="22"/>
        <v>1.3723150357995227E-2</v>
      </c>
      <c r="M59" s="43">
        <f t="shared" si="22"/>
        <v>0.625</v>
      </c>
      <c r="N59" s="43">
        <f t="shared" si="22"/>
        <v>2.983293556085919E-4</v>
      </c>
      <c r="R59" s="8"/>
      <c r="T59"/>
    </row>
    <row r="60" spans="2:20" ht="23.1" customHeight="1" x14ac:dyDescent="0.25">
      <c r="B60" s="42" t="s">
        <v>94</v>
      </c>
      <c r="C60" s="44">
        <f>C58/$O$58</f>
        <v>0.35958631662688945</v>
      </c>
      <c r="D60" s="44">
        <f t="shared" ref="D60:N60" si="23">D58/$O$58</f>
        <v>0.13524264120922833</v>
      </c>
      <c r="E60" s="44">
        <f t="shared" si="23"/>
        <v>5.2505966587112173E-2</v>
      </c>
      <c r="F60" s="44">
        <f t="shared" si="23"/>
        <v>0.24821002386634844</v>
      </c>
      <c r="G60" s="44">
        <f t="shared" si="23"/>
        <v>3.977724741447892E-3</v>
      </c>
      <c r="H60" s="44">
        <f t="shared" si="23"/>
        <v>1.3524264120922832E-2</v>
      </c>
      <c r="I60" s="44">
        <f t="shared" si="23"/>
        <v>7.7963404932378674E-2</v>
      </c>
      <c r="J60" s="44">
        <f t="shared" si="23"/>
        <v>5.2505966587112173E-2</v>
      </c>
      <c r="K60" s="44">
        <f t="shared" si="23"/>
        <v>1.9093078758949882E-2</v>
      </c>
      <c r="L60" s="44">
        <f t="shared" si="23"/>
        <v>3.6595067621320608E-2</v>
      </c>
      <c r="M60" s="44"/>
      <c r="N60" s="44">
        <f t="shared" si="23"/>
        <v>7.955449482895784E-4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G5" sqref="G5:H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1" t="s">
        <v>96</v>
      </c>
      <c r="C3" s="67" t="s">
        <v>163</v>
      </c>
      <c r="D3" s="67"/>
      <c r="E3" s="67"/>
      <c r="F3" s="67"/>
      <c r="G3" s="6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164</v>
      </c>
      <c r="E5" s="3"/>
      <c r="F5" s="41" t="s">
        <v>1</v>
      </c>
      <c r="G5" s="65" t="s">
        <v>166</v>
      </c>
      <c r="H5" s="66"/>
      <c r="I5" s="14"/>
      <c r="J5" s="2" t="s">
        <v>5</v>
      </c>
      <c r="K5" s="65" t="s">
        <v>168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">
        <v>165</v>
      </c>
      <c r="E6" s="66"/>
      <c r="F6" s="2" t="s">
        <v>2</v>
      </c>
      <c r="G6" s="65" t="s">
        <v>167</v>
      </c>
      <c r="H6" s="66"/>
      <c r="J6" s="2" t="s">
        <v>21</v>
      </c>
      <c r="K6" s="65" t="s">
        <v>168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3</v>
      </c>
      <c r="E10" s="50">
        <v>3</v>
      </c>
      <c r="F10" s="50">
        <v>4</v>
      </c>
      <c r="G10" s="50">
        <v>0</v>
      </c>
      <c r="H10" s="50">
        <v>0</v>
      </c>
      <c r="I10" s="50">
        <v>3</v>
      </c>
      <c r="J10" s="50">
        <v>1</v>
      </c>
      <c r="K10" s="50">
        <v>1</v>
      </c>
      <c r="L10" s="50">
        <v>0</v>
      </c>
      <c r="M10" s="50">
        <v>32</v>
      </c>
      <c r="N10" s="50">
        <v>0</v>
      </c>
      <c r="O10" s="15">
        <f t="shared" ref="O10:O57" si="0">SUM(C10:L10,N10)</f>
        <v>22</v>
      </c>
      <c r="P10" s="15">
        <f t="shared" ref="P10:P57" si="1">SUM(C10:N10)</f>
        <v>54</v>
      </c>
      <c r="R10" s="1" t="s">
        <v>6</v>
      </c>
      <c r="S10" s="17">
        <f t="shared" ref="S10:AF10" si="2">SUM(C10:C13)</f>
        <v>22</v>
      </c>
      <c r="T10" s="17">
        <f t="shared" si="2"/>
        <v>16</v>
      </c>
      <c r="U10" s="17">
        <f t="shared" si="2"/>
        <v>9</v>
      </c>
      <c r="V10" s="17">
        <f t="shared" si="2"/>
        <v>19</v>
      </c>
      <c r="W10" s="17">
        <f t="shared" si="2"/>
        <v>1</v>
      </c>
      <c r="X10" s="17">
        <f t="shared" si="2"/>
        <v>0</v>
      </c>
      <c r="Y10" s="17">
        <f t="shared" si="2"/>
        <v>11</v>
      </c>
      <c r="Z10" s="17">
        <f t="shared" si="2"/>
        <v>14</v>
      </c>
      <c r="AA10" s="17">
        <f t="shared" si="2"/>
        <v>1</v>
      </c>
      <c r="AB10" s="17">
        <f t="shared" si="2"/>
        <v>2</v>
      </c>
      <c r="AC10" s="17">
        <f t="shared" si="2"/>
        <v>165</v>
      </c>
      <c r="AD10" s="17">
        <f t="shared" si="2"/>
        <v>0</v>
      </c>
      <c r="AE10" s="31">
        <f t="shared" si="2"/>
        <v>95</v>
      </c>
      <c r="AF10" s="31">
        <f t="shared" si="2"/>
        <v>260</v>
      </c>
    </row>
    <row r="11" spans="2:32" s="6" customFormat="1" ht="23.1" customHeight="1" x14ac:dyDescent="0.25">
      <c r="B11" s="23" t="s">
        <v>38</v>
      </c>
      <c r="C11" s="50">
        <v>2</v>
      </c>
      <c r="D11" s="50">
        <v>3</v>
      </c>
      <c r="E11" s="50">
        <v>2</v>
      </c>
      <c r="F11" s="50">
        <v>7</v>
      </c>
      <c r="G11" s="50">
        <v>0</v>
      </c>
      <c r="H11" s="50">
        <v>0</v>
      </c>
      <c r="I11" s="50">
        <v>1</v>
      </c>
      <c r="J11" s="50">
        <v>4</v>
      </c>
      <c r="K11" s="50">
        <v>0</v>
      </c>
      <c r="L11" s="50">
        <v>0</v>
      </c>
      <c r="M11" s="50">
        <v>39</v>
      </c>
      <c r="N11" s="50">
        <v>0</v>
      </c>
      <c r="O11" s="15">
        <f t="shared" si="0"/>
        <v>19</v>
      </c>
      <c r="P11" s="15">
        <f t="shared" si="1"/>
        <v>58</v>
      </c>
      <c r="R11" s="1" t="s">
        <v>7</v>
      </c>
      <c r="S11" s="17">
        <f t="shared" ref="S11:AF11" si="3">SUM(C14:C17)</f>
        <v>31</v>
      </c>
      <c r="T11" s="17">
        <f t="shared" si="3"/>
        <v>28</v>
      </c>
      <c r="U11" s="17">
        <f t="shared" si="3"/>
        <v>11</v>
      </c>
      <c r="V11" s="17">
        <f t="shared" si="3"/>
        <v>24</v>
      </c>
      <c r="W11" s="17">
        <f t="shared" si="3"/>
        <v>0</v>
      </c>
      <c r="X11" s="17">
        <f t="shared" si="3"/>
        <v>1</v>
      </c>
      <c r="Y11" s="17">
        <f t="shared" si="3"/>
        <v>9</v>
      </c>
      <c r="Z11" s="17">
        <f t="shared" si="3"/>
        <v>4</v>
      </c>
      <c r="AA11" s="17">
        <f t="shared" si="3"/>
        <v>2</v>
      </c>
      <c r="AB11" s="17">
        <f t="shared" si="3"/>
        <v>3</v>
      </c>
      <c r="AC11" s="17">
        <f t="shared" si="3"/>
        <v>176</v>
      </c>
      <c r="AD11" s="17">
        <f t="shared" si="3"/>
        <v>0</v>
      </c>
      <c r="AE11" s="31">
        <f t="shared" si="3"/>
        <v>113</v>
      </c>
      <c r="AF11" s="31">
        <f t="shared" si="3"/>
        <v>289</v>
      </c>
    </row>
    <row r="12" spans="2:32" ht="23.1" customHeight="1" x14ac:dyDescent="0.25">
      <c r="B12" s="23" t="s">
        <v>39</v>
      </c>
      <c r="C12" s="50">
        <v>5</v>
      </c>
      <c r="D12" s="50">
        <v>4</v>
      </c>
      <c r="E12" s="50">
        <v>0</v>
      </c>
      <c r="F12" s="50">
        <v>2</v>
      </c>
      <c r="G12" s="50">
        <v>0</v>
      </c>
      <c r="H12" s="50">
        <v>0</v>
      </c>
      <c r="I12" s="50">
        <v>1</v>
      </c>
      <c r="J12" s="50">
        <v>3</v>
      </c>
      <c r="K12" s="50">
        <v>0</v>
      </c>
      <c r="L12" s="50">
        <v>1</v>
      </c>
      <c r="M12" s="50">
        <v>40</v>
      </c>
      <c r="N12" s="50">
        <v>0</v>
      </c>
      <c r="O12" s="15">
        <f t="shared" si="0"/>
        <v>16</v>
      </c>
      <c r="P12" s="15">
        <f t="shared" si="1"/>
        <v>56</v>
      </c>
      <c r="R12" s="1" t="s">
        <v>8</v>
      </c>
      <c r="S12" s="17">
        <f t="shared" ref="S12:AF12" si="4">SUM(C18:C21)</f>
        <v>39</v>
      </c>
      <c r="T12" s="17">
        <f t="shared" si="4"/>
        <v>22</v>
      </c>
      <c r="U12" s="17">
        <f t="shared" si="4"/>
        <v>12</v>
      </c>
      <c r="V12" s="17">
        <f t="shared" si="4"/>
        <v>31</v>
      </c>
      <c r="W12" s="17">
        <f t="shared" si="4"/>
        <v>1</v>
      </c>
      <c r="X12" s="17">
        <f t="shared" si="4"/>
        <v>1</v>
      </c>
      <c r="Y12" s="17">
        <f t="shared" si="4"/>
        <v>12</v>
      </c>
      <c r="Z12" s="17">
        <f t="shared" si="4"/>
        <v>6</v>
      </c>
      <c r="AA12" s="17">
        <f t="shared" si="4"/>
        <v>4</v>
      </c>
      <c r="AB12" s="17">
        <f t="shared" si="4"/>
        <v>4</v>
      </c>
      <c r="AC12" s="17">
        <f t="shared" si="4"/>
        <v>184</v>
      </c>
      <c r="AD12" s="17">
        <f t="shared" si="4"/>
        <v>0</v>
      </c>
      <c r="AE12" s="31">
        <f t="shared" si="4"/>
        <v>132</v>
      </c>
      <c r="AF12" s="31">
        <f t="shared" si="4"/>
        <v>316</v>
      </c>
    </row>
    <row r="13" spans="2:32" ht="23.1" customHeight="1" x14ac:dyDescent="0.25">
      <c r="B13" s="23" t="s">
        <v>40</v>
      </c>
      <c r="C13" s="50">
        <v>8</v>
      </c>
      <c r="D13" s="50">
        <v>6</v>
      </c>
      <c r="E13" s="50">
        <v>4</v>
      </c>
      <c r="F13" s="50">
        <v>6</v>
      </c>
      <c r="G13" s="50">
        <v>1</v>
      </c>
      <c r="H13" s="50">
        <v>0</v>
      </c>
      <c r="I13" s="50">
        <v>6</v>
      </c>
      <c r="J13" s="50">
        <v>6</v>
      </c>
      <c r="K13" s="50">
        <v>0</v>
      </c>
      <c r="L13" s="50">
        <v>1</v>
      </c>
      <c r="M13" s="50">
        <v>54</v>
      </c>
      <c r="N13" s="50">
        <v>0</v>
      </c>
      <c r="O13" s="15">
        <f t="shared" si="0"/>
        <v>38</v>
      </c>
      <c r="P13" s="15">
        <f t="shared" si="1"/>
        <v>92</v>
      </c>
      <c r="R13" s="1" t="s">
        <v>9</v>
      </c>
      <c r="S13" s="17">
        <f t="shared" ref="S13:AF13" si="5">SUM(C22:C25)</f>
        <v>44</v>
      </c>
      <c r="T13" s="17">
        <f t="shared" si="5"/>
        <v>8</v>
      </c>
      <c r="U13" s="17">
        <f t="shared" si="5"/>
        <v>15</v>
      </c>
      <c r="V13" s="17">
        <f t="shared" si="5"/>
        <v>32</v>
      </c>
      <c r="W13" s="17">
        <f t="shared" si="5"/>
        <v>1</v>
      </c>
      <c r="X13" s="17">
        <f t="shared" si="5"/>
        <v>2</v>
      </c>
      <c r="Y13" s="17">
        <f t="shared" si="5"/>
        <v>13</v>
      </c>
      <c r="Z13" s="17">
        <f t="shared" si="5"/>
        <v>8</v>
      </c>
      <c r="AA13" s="17">
        <f t="shared" si="5"/>
        <v>4</v>
      </c>
      <c r="AB13" s="17">
        <f t="shared" si="5"/>
        <v>0</v>
      </c>
      <c r="AC13" s="17">
        <f t="shared" si="5"/>
        <v>188</v>
      </c>
      <c r="AD13" s="17">
        <f t="shared" si="5"/>
        <v>0</v>
      </c>
      <c r="AE13" s="31">
        <f t="shared" si="5"/>
        <v>127</v>
      </c>
      <c r="AF13" s="31">
        <f t="shared" si="5"/>
        <v>315</v>
      </c>
    </row>
    <row r="14" spans="2:32" ht="23.1" customHeight="1" x14ac:dyDescent="0.25">
      <c r="B14" s="23" t="s">
        <v>41</v>
      </c>
      <c r="C14" s="50">
        <v>10</v>
      </c>
      <c r="D14" s="50">
        <v>7</v>
      </c>
      <c r="E14" s="50">
        <v>5</v>
      </c>
      <c r="F14" s="50">
        <v>5</v>
      </c>
      <c r="G14" s="50">
        <v>0</v>
      </c>
      <c r="H14" s="50">
        <v>0</v>
      </c>
      <c r="I14" s="50">
        <v>2</v>
      </c>
      <c r="J14" s="50">
        <v>3</v>
      </c>
      <c r="K14" s="50">
        <v>0</v>
      </c>
      <c r="L14" s="50">
        <v>0</v>
      </c>
      <c r="M14" s="50">
        <v>47</v>
      </c>
      <c r="N14" s="50">
        <v>0</v>
      </c>
      <c r="O14" s="15">
        <f t="shared" si="0"/>
        <v>32</v>
      </c>
      <c r="P14" s="15">
        <f t="shared" si="1"/>
        <v>79</v>
      </c>
      <c r="R14" s="1" t="s">
        <v>10</v>
      </c>
      <c r="S14" s="17">
        <f t="shared" ref="S14:AF14" si="6">SUM(C26:C29)</f>
        <v>29</v>
      </c>
      <c r="T14" s="17">
        <f t="shared" si="6"/>
        <v>15</v>
      </c>
      <c r="U14" s="17">
        <f t="shared" si="6"/>
        <v>14</v>
      </c>
      <c r="V14" s="17">
        <f t="shared" si="6"/>
        <v>28</v>
      </c>
      <c r="W14" s="17">
        <f t="shared" si="6"/>
        <v>0</v>
      </c>
      <c r="X14" s="17">
        <f t="shared" si="6"/>
        <v>1</v>
      </c>
      <c r="Y14" s="17">
        <f t="shared" si="6"/>
        <v>5</v>
      </c>
      <c r="Z14" s="17">
        <f t="shared" si="6"/>
        <v>9</v>
      </c>
      <c r="AA14" s="17">
        <f t="shared" si="6"/>
        <v>3</v>
      </c>
      <c r="AB14" s="17">
        <f t="shared" si="6"/>
        <v>6</v>
      </c>
      <c r="AC14" s="17">
        <f t="shared" si="6"/>
        <v>171</v>
      </c>
      <c r="AD14" s="17">
        <f t="shared" si="6"/>
        <v>0</v>
      </c>
      <c r="AE14" s="31">
        <f t="shared" si="6"/>
        <v>110</v>
      </c>
      <c r="AF14" s="31">
        <f t="shared" si="6"/>
        <v>281</v>
      </c>
    </row>
    <row r="15" spans="2:32" ht="23.1" customHeight="1" x14ac:dyDescent="0.25">
      <c r="B15" s="23" t="s">
        <v>42</v>
      </c>
      <c r="C15" s="50">
        <v>8</v>
      </c>
      <c r="D15" s="50">
        <v>7</v>
      </c>
      <c r="E15" s="50">
        <v>3</v>
      </c>
      <c r="F15" s="50">
        <v>4</v>
      </c>
      <c r="G15" s="50">
        <v>0</v>
      </c>
      <c r="H15" s="50">
        <v>1</v>
      </c>
      <c r="I15" s="50">
        <v>3</v>
      </c>
      <c r="J15" s="50">
        <v>1</v>
      </c>
      <c r="K15" s="50">
        <v>0</v>
      </c>
      <c r="L15" s="50">
        <v>0</v>
      </c>
      <c r="M15" s="50">
        <v>39</v>
      </c>
      <c r="N15" s="50">
        <v>0</v>
      </c>
      <c r="O15" s="15">
        <f t="shared" si="0"/>
        <v>27</v>
      </c>
      <c r="P15" s="15">
        <f t="shared" si="1"/>
        <v>66</v>
      </c>
      <c r="R15" s="1" t="s">
        <v>11</v>
      </c>
      <c r="S15" s="17">
        <f t="shared" ref="S15:AF15" si="7">SUM(C30:C33)</f>
        <v>35</v>
      </c>
      <c r="T15" s="17">
        <f t="shared" si="7"/>
        <v>14</v>
      </c>
      <c r="U15" s="17">
        <f t="shared" si="7"/>
        <v>6</v>
      </c>
      <c r="V15" s="17">
        <f t="shared" si="7"/>
        <v>27</v>
      </c>
      <c r="W15" s="17">
        <f t="shared" si="7"/>
        <v>0</v>
      </c>
      <c r="X15" s="17">
        <f t="shared" si="7"/>
        <v>2</v>
      </c>
      <c r="Y15" s="17">
        <f t="shared" si="7"/>
        <v>8</v>
      </c>
      <c r="Z15" s="17">
        <f t="shared" si="7"/>
        <v>9</v>
      </c>
      <c r="AA15" s="17">
        <f t="shared" si="7"/>
        <v>3</v>
      </c>
      <c r="AB15" s="17">
        <f t="shared" si="7"/>
        <v>2</v>
      </c>
      <c r="AC15" s="17">
        <f t="shared" si="7"/>
        <v>192</v>
      </c>
      <c r="AD15" s="17">
        <f t="shared" si="7"/>
        <v>0</v>
      </c>
      <c r="AE15" s="31">
        <f t="shared" si="7"/>
        <v>106</v>
      </c>
      <c r="AF15" s="31">
        <f t="shared" si="7"/>
        <v>298</v>
      </c>
    </row>
    <row r="16" spans="2:32" ht="23.1" customHeight="1" x14ac:dyDescent="0.25">
      <c r="B16" s="23" t="s">
        <v>43</v>
      </c>
      <c r="C16" s="50">
        <v>5</v>
      </c>
      <c r="D16" s="50">
        <v>4</v>
      </c>
      <c r="E16" s="50">
        <v>1</v>
      </c>
      <c r="F16" s="50">
        <v>8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1</v>
      </c>
      <c r="M16" s="50">
        <v>46</v>
      </c>
      <c r="N16" s="50">
        <v>0</v>
      </c>
      <c r="O16" s="15">
        <f t="shared" si="0"/>
        <v>20</v>
      </c>
      <c r="P16" s="15">
        <f t="shared" si="1"/>
        <v>66</v>
      </c>
      <c r="R16" s="1" t="s">
        <v>12</v>
      </c>
      <c r="S16" s="17">
        <f t="shared" ref="S16:AF16" si="8">SUM(C34:C37)</f>
        <v>61</v>
      </c>
      <c r="T16" s="17">
        <f t="shared" si="8"/>
        <v>14</v>
      </c>
      <c r="U16" s="17">
        <f t="shared" si="8"/>
        <v>15</v>
      </c>
      <c r="V16" s="17">
        <f t="shared" si="8"/>
        <v>35</v>
      </c>
      <c r="W16" s="17">
        <f t="shared" si="8"/>
        <v>1</v>
      </c>
      <c r="X16" s="17">
        <f t="shared" si="8"/>
        <v>0</v>
      </c>
      <c r="Y16" s="17">
        <f t="shared" si="8"/>
        <v>15</v>
      </c>
      <c r="Z16" s="17">
        <f t="shared" si="8"/>
        <v>11</v>
      </c>
      <c r="AA16" s="17">
        <f t="shared" si="8"/>
        <v>4</v>
      </c>
      <c r="AB16" s="17">
        <f t="shared" si="8"/>
        <v>5</v>
      </c>
      <c r="AC16" s="17">
        <f t="shared" si="8"/>
        <v>172</v>
      </c>
      <c r="AD16" s="17">
        <f t="shared" si="8"/>
        <v>0</v>
      </c>
      <c r="AE16" s="31">
        <f t="shared" si="8"/>
        <v>161</v>
      </c>
      <c r="AF16" s="31">
        <f t="shared" si="8"/>
        <v>333</v>
      </c>
    </row>
    <row r="17" spans="2:32" ht="23.1" customHeight="1" x14ac:dyDescent="0.25">
      <c r="B17" s="23" t="s">
        <v>44</v>
      </c>
      <c r="C17" s="50">
        <v>8</v>
      </c>
      <c r="D17" s="50">
        <v>10</v>
      </c>
      <c r="E17" s="50">
        <v>2</v>
      </c>
      <c r="F17" s="50">
        <v>7</v>
      </c>
      <c r="G17" s="50">
        <v>0</v>
      </c>
      <c r="H17" s="50">
        <v>0</v>
      </c>
      <c r="I17" s="50">
        <v>4</v>
      </c>
      <c r="J17" s="50">
        <v>0</v>
      </c>
      <c r="K17" s="50">
        <v>1</v>
      </c>
      <c r="L17" s="50">
        <v>2</v>
      </c>
      <c r="M17" s="50">
        <v>44</v>
      </c>
      <c r="N17" s="50">
        <v>0</v>
      </c>
      <c r="O17" s="15">
        <f t="shared" si="0"/>
        <v>34</v>
      </c>
      <c r="P17" s="15">
        <f t="shared" si="1"/>
        <v>78</v>
      </c>
      <c r="R17" s="1" t="s">
        <v>13</v>
      </c>
      <c r="S17" s="17">
        <f t="shared" ref="S17:AF17" si="9">SUM(C38:C41)</f>
        <v>58</v>
      </c>
      <c r="T17" s="17">
        <f t="shared" si="9"/>
        <v>18</v>
      </c>
      <c r="U17" s="17">
        <f t="shared" si="9"/>
        <v>8</v>
      </c>
      <c r="V17" s="17">
        <f t="shared" si="9"/>
        <v>35</v>
      </c>
      <c r="W17" s="17">
        <f t="shared" si="9"/>
        <v>2</v>
      </c>
      <c r="X17" s="17">
        <f t="shared" si="9"/>
        <v>5</v>
      </c>
      <c r="Y17" s="17">
        <f t="shared" si="9"/>
        <v>11</v>
      </c>
      <c r="Z17" s="17">
        <f t="shared" si="9"/>
        <v>10</v>
      </c>
      <c r="AA17" s="17">
        <f t="shared" si="9"/>
        <v>1</v>
      </c>
      <c r="AB17" s="17">
        <f t="shared" si="9"/>
        <v>5</v>
      </c>
      <c r="AC17" s="17">
        <f t="shared" si="9"/>
        <v>189</v>
      </c>
      <c r="AD17" s="17">
        <f t="shared" si="9"/>
        <v>0</v>
      </c>
      <c r="AE17" s="31">
        <f t="shared" si="9"/>
        <v>153</v>
      </c>
      <c r="AF17" s="31">
        <f t="shared" si="9"/>
        <v>342</v>
      </c>
    </row>
    <row r="18" spans="2:32" ht="23.1" customHeight="1" x14ac:dyDescent="0.25">
      <c r="B18" s="23" t="s">
        <v>45</v>
      </c>
      <c r="C18" s="50">
        <v>7</v>
      </c>
      <c r="D18" s="50">
        <v>2</v>
      </c>
      <c r="E18" s="50">
        <v>2</v>
      </c>
      <c r="F18" s="50">
        <v>7</v>
      </c>
      <c r="G18" s="50">
        <v>0</v>
      </c>
      <c r="H18" s="50">
        <v>0</v>
      </c>
      <c r="I18" s="50">
        <v>4</v>
      </c>
      <c r="J18" s="50">
        <v>4</v>
      </c>
      <c r="K18" s="50">
        <v>1</v>
      </c>
      <c r="L18" s="50">
        <v>0</v>
      </c>
      <c r="M18" s="50">
        <v>52</v>
      </c>
      <c r="N18" s="50">
        <v>0</v>
      </c>
      <c r="O18" s="15">
        <f t="shared" si="0"/>
        <v>27</v>
      </c>
      <c r="P18" s="15">
        <f t="shared" si="1"/>
        <v>79</v>
      </c>
      <c r="R18" s="1" t="s">
        <v>14</v>
      </c>
      <c r="S18" s="17">
        <f t="shared" ref="S18:AF18" si="10">SUM(C42:C45)</f>
        <v>35</v>
      </c>
      <c r="T18" s="17">
        <f t="shared" si="10"/>
        <v>8</v>
      </c>
      <c r="U18" s="17">
        <f t="shared" si="10"/>
        <v>5</v>
      </c>
      <c r="V18" s="17">
        <f t="shared" si="10"/>
        <v>29</v>
      </c>
      <c r="W18" s="17">
        <f t="shared" si="10"/>
        <v>0</v>
      </c>
      <c r="X18" s="17">
        <f t="shared" si="10"/>
        <v>1</v>
      </c>
      <c r="Y18" s="17">
        <f t="shared" si="10"/>
        <v>16</v>
      </c>
      <c r="Z18" s="17">
        <f t="shared" si="10"/>
        <v>7</v>
      </c>
      <c r="AA18" s="17">
        <f t="shared" si="10"/>
        <v>1</v>
      </c>
      <c r="AB18" s="17">
        <f t="shared" si="10"/>
        <v>6</v>
      </c>
      <c r="AC18" s="17">
        <f t="shared" si="10"/>
        <v>137</v>
      </c>
      <c r="AD18" s="17">
        <f t="shared" si="10"/>
        <v>0</v>
      </c>
      <c r="AE18" s="31">
        <f t="shared" si="10"/>
        <v>108</v>
      </c>
      <c r="AF18" s="31">
        <f t="shared" si="10"/>
        <v>245</v>
      </c>
    </row>
    <row r="19" spans="2:32" ht="23.1" customHeight="1" x14ac:dyDescent="0.25">
      <c r="B19" s="23" t="s">
        <v>46</v>
      </c>
      <c r="C19" s="50">
        <v>11</v>
      </c>
      <c r="D19" s="50">
        <v>9</v>
      </c>
      <c r="E19" s="50">
        <v>6</v>
      </c>
      <c r="F19" s="50">
        <v>10</v>
      </c>
      <c r="G19" s="50">
        <v>1</v>
      </c>
      <c r="H19" s="50">
        <v>1</v>
      </c>
      <c r="I19" s="50">
        <v>0</v>
      </c>
      <c r="J19" s="50">
        <v>1</v>
      </c>
      <c r="K19" s="50">
        <v>1</v>
      </c>
      <c r="L19" s="50">
        <v>1</v>
      </c>
      <c r="M19" s="50">
        <v>48</v>
      </c>
      <c r="N19" s="50">
        <v>0</v>
      </c>
      <c r="O19" s="15">
        <f t="shared" si="0"/>
        <v>41</v>
      </c>
      <c r="P19" s="15">
        <f t="shared" si="1"/>
        <v>89</v>
      </c>
      <c r="R19" s="1" t="s">
        <v>15</v>
      </c>
      <c r="S19" s="17">
        <f t="shared" ref="S19:AF19" si="11">SUM(C46:C49)</f>
        <v>28</v>
      </c>
      <c r="T19" s="17">
        <f t="shared" si="11"/>
        <v>9</v>
      </c>
      <c r="U19" s="17">
        <f t="shared" si="11"/>
        <v>6</v>
      </c>
      <c r="V19" s="17">
        <f t="shared" si="11"/>
        <v>27</v>
      </c>
      <c r="W19" s="17">
        <f t="shared" si="11"/>
        <v>0</v>
      </c>
      <c r="X19" s="17">
        <f t="shared" si="11"/>
        <v>2</v>
      </c>
      <c r="Y19" s="17">
        <f t="shared" si="11"/>
        <v>16</v>
      </c>
      <c r="Z19" s="17">
        <f t="shared" si="11"/>
        <v>7</v>
      </c>
      <c r="AA19" s="17">
        <f t="shared" si="11"/>
        <v>3</v>
      </c>
      <c r="AB19" s="17">
        <f t="shared" si="11"/>
        <v>5</v>
      </c>
      <c r="AC19" s="17">
        <f t="shared" si="11"/>
        <v>146</v>
      </c>
      <c r="AD19" s="17">
        <f t="shared" si="11"/>
        <v>0</v>
      </c>
      <c r="AE19" s="31">
        <f t="shared" si="11"/>
        <v>103</v>
      </c>
      <c r="AF19" s="31">
        <f t="shared" si="11"/>
        <v>249</v>
      </c>
    </row>
    <row r="20" spans="2:32" ht="23.1" customHeight="1" x14ac:dyDescent="0.25">
      <c r="B20" s="23" t="s">
        <v>47</v>
      </c>
      <c r="C20" s="50">
        <v>9</v>
      </c>
      <c r="D20" s="50">
        <v>8</v>
      </c>
      <c r="E20" s="50">
        <v>2</v>
      </c>
      <c r="F20" s="50">
        <v>7</v>
      </c>
      <c r="G20" s="50">
        <v>0</v>
      </c>
      <c r="H20" s="50">
        <v>0</v>
      </c>
      <c r="I20" s="50">
        <v>4</v>
      </c>
      <c r="J20" s="50">
        <v>0</v>
      </c>
      <c r="K20" s="50">
        <v>1</v>
      </c>
      <c r="L20" s="50">
        <v>2</v>
      </c>
      <c r="M20" s="50">
        <v>40</v>
      </c>
      <c r="N20" s="50">
        <v>0</v>
      </c>
      <c r="O20" s="15">
        <f t="shared" si="0"/>
        <v>33</v>
      </c>
      <c r="P20" s="15">
        <f t="shared" si="1"/>
        <v>73</v>
      </c>
      <c r="R20" s="1" t="s">
        <v>16</v>
      </c>
      <c r="S20" s="17">
        <f t="shared" ref="S20:AF20" si="12">SUM(C50:C53)</f>
        <v>38</v>
      </c>
      <c r="T20" s="17">
        <f t="shared" si="12"/>
        <v>10</v>
      </c>
      <c r="U20" s="17">
        <f t="shared" si="12"/>
        <v>6</v>
      </c>
      <c r="V20" s="17">
        <f t="shared" si="12"/>
        <v>30</v>
      </c>
      <c r="W20" s="17">
        <f t="shared" si="12"/>
        <v>0</v>
      </c>
      <c r="X20" s="17">
        <f t="shared" si="12"/>
        <v>3</v>
      </c>
      <c r="Y20" s="17">
        <f t="shared" si="12"/>
        <v>12</v>
      </c>
      <c r="Z20" s="17">
        <f t="shared" si="12"/>
        <v>11</v>
      </c>
      <c r="AA20" s="17">
        <f t="shared" si="12"/>
        <v>4</v>
      </c>
      <c r="AB20" s="17">
        <f t="shared" si="12"/>
        <v>9</v>
      </c>
      <c r="AC20" s="17">
        <f t="shared" si="12"/>
        <v>177</v>
      </c>
      <c r="AD20" s="17">
        <f t="shared" si="12"/>
        <v>0</v>
      </c>
      <c r="AE20" s="31">
        <f t="shared" si="12"/>
        <v>123</v>
      </c>
      <c r="AF20" s="31">
        <f t="shared" si="12"/>
        <v>300</v>
      </c>
    </row>
    <row r="21" spans="2:32" ht="23.1" customHeight="1" x14ac:dyDescent="0.25">
      <c r="B21" s="23" t="s">
        <v>48</v>
      </c>
      <c r="C21" s="50">
        <v>12</v>
      </c>
      <c r="D21" s="50">
        <v>3</v>
      </c>
      <c r="E21" s="50">
        <v>2</v>
      </c>
      <c r="F21" s="50">
        <v>7</v>
      </c>
      <c r="G21" s="50">
        <v>0</v>
      </c>
      <c r="H21" s="50">
        <v>0</v>
      </c>
      <c r="I21" s="50">
        <v>4</v>
      </c>
      <c r="J21" s="50">
        <v>1</v>
      </c>
      <c r="K21" s="50">
        <v>1</v>
      </c>
      <c r="L21" s="50">
        <v>1</v>
      </c>
      <c r="M21" s="50">
        <v>44</v>
      </c>
      <c r="N21" s="50">
        <v>0</v>
      </c>
      <c r="O21" s="15">
        <f t="shared" si="0"/>
        <v>31</v>
      </c>
      <c r="P21" s="15">
        <f t="shared" si="1"/>
        <v>75</v>
      </c>
      <c r="R21" s="36" t="s">
        <v>20</v>
      </c>
      <c r="S21" s="34">
        <f t="shared" ref="S21:AF21" si="13">SUM(C54:C57)</f>
        <v>31</v>
      </c>
      <c r="T21" s="17">
        <f t="shared" si="13"/>
        <v>13</v>
      </c>
      <c r="U21" s="17">
        <f t="shared" si="13"/>
        <v>4</v>
      </c>
      <c r="V21" s="17">
        <f t="shared" si="13"/>
        <v>20</v>
      </c>
      <c r="W21" s="17">
        <f t="shared" si="13"/>
        <v>0</v>
      </c>
      <c r="X21" s="17">
        <f t="shared" si="13"/>
        <v>1</v>
      </c>
      <c r="Y21" s="17">
        <f t="shared" si="13"/>
        <v>24</v>
      </c>
      <c r="Z21" s="17">
        <f t="shared" si="13"/>
        <v>14</v>
      </c>
      <c r="AA21" s="17">
        <f t="shared" si="13"/>
        <v>2</v>
      </c>
      <c r="AB21" s="17">
        <f t="shared" si="13"/>
        <v>9</v>
      </c>
      <c r="AC21" s="17">
        <f t="shared" si="13"/>
        <v>178</v>
      </c>
      <c r="AD21" s="17">
        <f t="shared" si="13"/>
        <v>0</v>
      </c>
      <c r="AE21" s="31">
        <f t="shared" si="13"/>
        <v>118</v>
      </c>
      <c r="AF21" s="31">
        <f t="shared" si="13"/>
        <v>296</v>
      </c>
    </row>
    <row r="22" spans="2:32" ht="23.1" customHeight="1" x14ac:dyDescent="0.25">
      <c r="B22" s="23" t="s">
        <v>49</v>
      </c>
      <c r="C22" s="50">
        <v>6</v>
      </c>
      <c r="D22" s="50">
        <v>1</v>
      </c>
      <c r="E22" s="50">
        <v>3</v>
      </c>
      <c r="F22" s="50">
        <v>7</v>
      </c>
      <c r="G22" s="50">
        <v>0</v>
      </c>
      <c r="H22" s="50">
        <v>0</v>
      </c>
      <c r="I22" s="50">
        <v>1</v>
      </c>
      <c r="J22" s="50">
        <v>1</v>
      </c>
      <c r="K22" s="50">
        <v>1</v>
      </c>
      <c r="L22" s="50">
        <v>0</v>
      </c>
      <c r="M22" s="50">
        <v>38</v>
      </c>
      <c r="N22" s="50">
        <v>0</v>
      </c>
      <c r="O22" s="15">
        <f t="shared" si="0"/>
        <v>20</v>
      </c>
      <c r="P22" s="15">
        <f t="shared" si="1"/>
        <v>58</v>
      </c>
      <c r="R22" s="38" t="s">
        <v>90</v>
      </c>
      <c r="S22" s="39">
        <f>MAX(S10:S12)</f>
        <v>39</v>
      </c>
      <c r="T22" s="39">
        <f t="shared" ref="T22:AF22" si="14">MAX(T10:T12)</f>
        <v>28</v>
      </c>
      <c r="U22" s="39">
        <f t="shared" si="14"/>
        <v>12</v>
      </c>
      <c r="V22" s="39">
        <f t="shared" si="14"/>
        <v>31</v>
      </c>
      <c r="W22" s="39">
        <f t="shared" si="14"/>
        <v>1</v>
      </c>
      <c r="X22" s="39">
        <f t="shared" si="14"/>
        <v>1</v>
      </c>
      <c r="Y22" s="39">
        <f t="shared" si="14"/>
        <v>12</v>
      </c>
      <c r="Z22" s="39">
        <f t="shared" si="14"/>
        <v>14</v>
      </c>
      <c r="AA22" s="39">
        <f t="shared" si="14"/>
        <v>4</v>
      </c>
      <c r="AB22" s="39">
        <f t="shared" si="14"/>
        <v>4</v>
      </c>
      <c r="AC22" s="39">
        <f t="shared" si="14"/>
        <v>184</v>
      </c>
      <c r="AD22" s="39">
        <f t="shared" si="14"/>
        <v>0</v>
      </c>
      <c r="AE22" s="40">
        <f t="shared" si="14"/>
        <v>132</v>
      </c>
      <c r="AF22" s="40">
        <f t="shared" si="14"/>
        <v>316</v>
      </c>
    </row>
    <row r="23" spans="2:32" ht="23.1" customHeight="1" x14ac:dyDescent="0.25">
      <c r="B23" s="23" t="s">
        <v>50</v>
      </c>
      <c r="C23" s="50">
        <v>16</v>
      </c>
      <c r="D23" s="50">
        <v>3</v>
      </c>
      <c r="E23" s="50">
        <v>3</v>
      </c>
      <c r="F23" s="50">
        <v>8</v>
      </c>
      <c r="G23" s="50">
        <v>0</v>
      </c>
      <c r="H23" s="50">
        <v>1</v>
      </c>
      <c r="I23" s="50">
        <v>2</v>
      </c>
      <c r="J23" s="50">
        <v>1</v>
      </c>
      <c r="K23" s="50">
        <v>1</v>
      </c>
      <c r="L23" s="50">
        <v>0</v>
      </c>
      <c r="M23" s="50">
        <v>54</v>
      </c>
      <c r="N23" s="50">
        <v>0</v>
      </c>
      <c r="O23" s="15">
        <f t="shared" si="0"/>
        <v>35</v>
      </c>
      <c r="P23" s="15">
        <f t="shared" si="1"/>
        <v>89</v>
      </c>
      <c r="R23" s="38" t="s">
        <v>91</v>
      </c>
      <c r="S23" s="39">
        <f>MAX(S13:S18)</f>
        <v>61</v>
      </c>
      <c r="T23" s="39">
        <f t="shared" ref="T23:AF23" si="15">MAX(T13:T18)</f>
        <v>18</v>
      </c>
      <c r="U23" s="39">
        <f t="shared" si="15"/>
        <v>15</v>
      </c>
      <c r="V23" s="39">
        <f t="shared" si="15"/>
        <v>35</v>
      </c>
      <c r="W23" s="39">
        <f t="shared" si="15"/>
        <v>2</v>
      </c>
      <c r="X23" s="39">
        <f t="shared" si="15"/>
        <v>5</v>
      </c>
      <c r="Y23" s="39">
        <f t="shared" si="15"/>
        <v>16</v>
      </c>
      <c r="Z23" s="39">
        <f t="shared" si="15"/>
        <v>11</v>
      </c>
      <c r="AA23" s="39">
        <f t="shared" si="15"/>
        <v>4</v>
      </c>
      <c r="AB23" s="39">
        <f t="shared" si="15"/>
        <v>6</v>
      </c>
      <c r="AC23" s="39">
        <f t="shared" si="15"/>
        <v>192</v>
      </c>
      <c r="AD23" s="39">
        <f t="shared" si="15"/>
        <v>0</v>
      </c>
      <c r="AE23" s="40">
        <f t="shared" si="15"/>
        <v>161</v>
      </c>
      <c r="AF23" s="40">
        <f t="shared" si="15"/>
        <v>342</v>
      </c>
    </row>
    <row r="24" spans="2:32" ht="23.1" customHeight="1" x14ac:dyDescent="0.25">
      <c r="B24" s="23" t="s">
        <v>51</v>
      </c>
      <c r="C24" s="50">
        <v>11</v>
      </c>
      <c r="D24" s="50">
        <v>2</v>
      </c>
      <c r="E24" s="50">
        <v>3</v>
      </c>
      <c r="F24" s="50">
        <v>8</v>
      </c>
      <c r="G24" s="50">
        <v>1</v>
      </c>
      <c r="H24" s="50">
        <v>1</v>
      </c>
      <c r="I24" s="50">
        <v>4</v>
      </c>
      <c r="J24" s="50">
        <v>5</v>
      </c>
      <c r="K24" s="50">
        <v>1</v>
      </c>
      <c r="L24" s="50">
        <v>0</v>
      </c>
      <c r="M24" s="50">
        <v>47</v>
      </c>
      <c r="N24" s="50">
        <v>0</v>
      </c>
      <c r="O24" s="15">
        <f t="shared" si="0"/>
        <v>36</v>
      </c>
      <c r="P24" s="15">
        <f t="shared" si="1"/>
        <v>83</v>
      </c>
      <c r="R24" s="38" t="s">
        <v>92</v>
      </c>
      <c r="S24" s="39">
        <f>MAX(S19:S21)</f>
        <v>38</v>
      </c>
      <c r="T24" s="39">
        <f t="shared" ref="T24:AF24" si="16">MAX(T19:T21)</f>
        <v>13</v>
      </c>
      <c r="U24" s="39">
        <f t="shared" si="16"/>
        <v>6</v>
      </c>
      <c r="V24" s="39">
        <f t="shared" si="16"/>
        <v>30</v>
      </c>
      <c r="W24" s="39">
        <f t="shared" si="16"/>
        <v>0</v>
      </c>
      <c r="X24" s="39">
        <f t="shared" si="16"/>
        <v>3</v>
      </c>
      <c r="Y24" s="39">
        <f t="shared" si="16"/>
        <v>24</v>
      </c>
      <c r="Z24" s="39">
        <f t="shared" si="16"/>
        <v>14</v>
      </c>
      <c r="AA24" s="39">
        <f t="shared" si="16"/>
        <v>4</v>
      </c>
      <c r="AB24" s="39">
        <f t="shared" si="16"/>
        <v>9</v>
      </c>
      <c r="AC24" s="39">
        <f t="shared" si="16"/>
        <v>178</v>
      </c>
      <c r="AD24" s="39">
        <f t="shared" si="16"/>
        <v>0</v>
      </c>
      <c r="AE24" s="40">
        <f t="shared" si="16"/>
        <v>123</v>
      </c>
      <c r="AF24" s="40">
        <f t="shared" si="16"/>
        <v>300</v>
      </c>
    </row>
    <row r="25" spans="2:32" ht="23.1" customHeight="1" x14ac:dyDescent="0.25">
      <c r="B25" s="23" t="s">
        <v>52</v>
      </c>
      <c r="C25" s="50">
        <v>11</v>
      </c>
      <c r="D25" s="50">
        <v>2</v>
      </c>
      <c r="E25" s="50">
        <v>6</v>
      </c>
      <c r="F25" s="50">
        <v>9</v>
      </c>
      <c r="G25" s="50">
        <v>0</v>
      </c>
      <c r="H25" s="50">
        <v>0</v>
      </c>
      <c r="I25" s="50">
        <v>6</v>
      </c>
      <c r="J25" s="50">
        <v>1</v>
      </c>
      <c r="K25" s="50">
        <v>1</v>
      </c>
      <c r="L25" s="50">
        <v>0</v>
      </c>
      <c r="M25" s="50">
        <v>49</v>
      </c>
      <c r="N25" s="50">
        <v>0</v>
      </c>
      <c r="O25" s="15">
        <f t="shared" si="0"/>
        <v>36</v>
      </c>
      <c r="P25" s="15">
        <f t="shared" si="1"/>
        <v>85</v>
      </c>
      <c r="R25" s="37" t="s">
        <v>85</v>
      </c>
      <c r="S25" s="35">
        <f t="shared" ref="S25:AF25" si="17">SUM(S10:S12)</f>
        <v>92</v>
      </c>
      <c r="T25" s="16">
        <f t="shared" si="17"/>
        <v>66</v>
      </c>
      <c r="U25" s="16">
        <f t="shared" si="17"/>
        <v>32</v>
      </c>
      <c r="V25" s="16">
        <f t="shared" si="17"/>
        <v>74</v>
      </c>
      <c r="W25" s="16">
        <f t="shared" si="17"/>
        <v>2</v>
      </c>
      <c r="X25" s="16">
        <f t="shared" si="17"/>
        <v>2</v>
      </c>
      <c r="Y25" s="16">
        <f t="shared" si="17"/>
        <v>32</v>
      </c>
      <c r="Z25" s="16">
        <f t="shared" si="17"/>
        <v>24</v>
      </c>
      <c r="AA25" s="16">
        <f t="shared" si="17"/>
        <v>7</v>
      </c>
      <c r="AB25" s="16">
        <f t="shared" si="17"/>
        <v>9</v>
      </c>
      <c r="AC25" s="16">
        <f t="shared" si="17"/>
        <v>525</v>
      </c>
      <c r="AD25" s="16">
        <f t="shared" si="17"/>
        <v>0</v>
      </c>
      <c r="AE25" s="32">
        <f t="shared" si="17"/>
        <v>340</v>
      </c>
      <c r="AF25" s="32">
        <f t="shared" si="17"/>
        <v>865</v>
      </c>
    </row>
    <row r="26" spans="2:32" ht="23.1" customHeight="1" x14ac:dyDescent="0.25">
      <c r="B26" s="23" t="s">
        <v>53</v>
      </c>
      <c r="C26" s="50">
        <v>7</v>
      </c>
      <c r="D26" s="50">
        <v>4</v>
      </c>
      <c r="E26" s="50">
        <v>3</v>
      </c>
      <c r="F26" s="50">
        <v>8</v>
      </c>
      <c r="G26" s="50">
        <v>0</v>
      </c>
      <c r="H26" s="50">
        <v>1</v>
      </c>
      <c r="I26" s="50">
        <v>0</v>
      </c>
      <c r="J26" s="50">
        <v>4</v>
      </c>
      <c r="K26" s="50">
        <v>0</v>
      </c>
      <c r="L26" s="50">
        <v>3</v>
      </c>
      <c r="M26" s="50">
        <v>47</v>
      </c>
      <c r="N26" s="50">
        <v>0</v>
      </c>
      <c r="O26" s="15">
        <f t="shared" si="0"/>
        <v>30</v>
      </c>
      <c r="P26" s="15">
        <f t="shared" si="1"/>
        <v>77</v>
      </c>
      <c r="R26" s="28" t="s">
        <v>86</v>
      </c>
      <c r="S26" s="16">
        <f t="shared" ref="S26:AF26" si="18">SUM(S13:S18)</f>
        <v>262</v>
      </c>
      <c r="T26" s="16">
        <f t="shared" si="18"/>
        <v>77</v>
      </c>
      <c r="U26" s="16">
        <f t="shared" si="18"/>
        <v>63</v>
      </c>
      <c r="V26" s="16">
        <f t="shared" si="18"/>
        <v>186</v>
      </c>
      <c r="W26" s="16">
        <f t="shared" si="18"/>
        <v>4</v>
      </c>
      <c r="X26" s="16">
        <f t="shared" si="18"/>
        <v>11</v>
      </c>
      <c r="Y26" s="16">
        <f t="shared" si="18"/>
        <v>68</v>
      </c>
      <c r="Z26" s="16">
        <f t="shared" si="18"/>
        <v>54</v>
      </c>
      <c r="AA26" s="16">
        <f t="shared" si="18"/>
        <v>16</v>
      </c>
      <c r="AB26" s="16">
        <f t="shared" si="18"/>
        <v>24</v>
      </c>
      <c r="AC26" s="16">
        <f t="shared" si="18"/>
        <v>1049</v>
      </c>
      <c r="AD26" s="16">
        <f t="shared" si="18"/>
        <v>0</v>
      </c>
      <c r="AE26" s="32">
        <f t="shared" si="18"/>
        <v>765</v>
      </c>
      <c r="AF26" s="32">
        <f t="shared" si="18"/>
        <v>1814</v>
      </c>
    </row>
    <row r="27" spans="2:32" ht="23.1" customHeight="1" x14ac:dyDescent="0.25">
      <c r="B27" s="23" t="s">
        <v>54</v>
      </c>
      <c r="C27" s="50">
        <v>7</v>
      </c>
      <c r="D27" s="50">
        <v>4</v>
      </c>
      <c r="E27" s="50">
        <v>4</v>
      </c>
      <c r="F27" s="50">
        <v>8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41</v>
      </c>
      <c r="N27" s="50">
        <v>0</v>
      </c>
      <c r="O27" s="15">
        <f t="shared" si="0"/>
        <v>25</v>
      </c>
      <c r="P27" s="15">
        <f t="shared" si="1"/>
        <v>66</v>
      </c>
      <c r="R27" s="29" t="s">
        <v>87</v>
      </c>
      <c r="S27" s="16">
        <f t="shared" ref="S27:AF27" si="19">SUM(S19:S21)</f>
        <v>97</v>
      </c>
      <c r="T27" s="16">
        <f t="shared" si="19"/>
        <v>32</v>
      </c>
      <c r="U27" s="16">
        <f t="shared" si="19"/>
        <v>16</v>
      </c>
      <c r="V27" s="16">
        <f t="shared" si="19"/>
        <v>77</v>
      </c>
      <c r="W27" s="16">
        <f t="shared" si="19"/>
        <v>0</v>
      </c>
      <c r="X27" s="16">
        <f t="shared" si="19"/>
        <v>6</v>
      </c>
      <c r="Y27" s="16">
        <f t="shared" si="19"/>
        <v>52</v>
      </c>
      <c r="Z27" s="16">
        <f t="shared" si="19"/>
        <v>32</v>
      </c>
      <c r="AA27" s="16">
        <f t="shared" si="19"/>
        <v>9</v>
      </c>
      <c r="AB27" s="16">
        <f t="shared" si="19"/>
        <v>23</v>
      </c>
      <c r="AC27" s="16">
        <f t="shared" si="19"/>
        <v>501</v>
      </c>
      <c r="AD27" s="16">
        <f t="shared" si="19"/>
        <v>0</v>
      </c>
      <c r="AE27" s="32">
        <f t="shared" si="19"/>
        <v>344</v>
      </c>
      <c r="AF27" s="32">
        <f t="shared" si="19"/>
        <v>845</v>
      </c>
    </row>
    <row r="28" spans="2:32" ht="23.1" customHeight="1" x14ac:dyDescent="0.25">
      <c r="B28" s="23" t="s">
        <v>55</v>
      </c>
      <c r="C28" s="50">
        <v>8</v>
      </c>
      <c r="D28" s="50">
        <v>4</v>
      </c>
      <c r="E28" s="50">
        <v>5</v>
      </c>
      <c r="F28" s="50">
        <v>7</v>
      </c>
      <c r="G28" s="50">
        <v>0</v>
      </c>
      <c r="H28" s="50">
        <v>0</v>
      </c>
      <c r="I28" s="50">
        <v>3</v>
      </c>
      <c r="J28" s="50">
        <v>1</v>
      </c>
      <c r="K28" s="50">
        <v>2</v>
      </c>
      <c r="L28" s="50">
        <v>0</v>
      </c>
      <c r="M28" s="50">
        <v>41</v>
      </c>
      <c r="N28" s="50">
        <v>0</v>
      </c>
      <c r="O28" s="15">
        <f t="shared" si="0"/>
        <v>30</v>
      </c>
      <c r="P28" s="15">
        <f t="shared" si="1"/>
        <v>71</v>
      </c>
      <c r="R28" s="5" t="s">
        <v>17</v>
      </c>
      <c r="S28" s="16">
        <f t="shared" ref="S28:AF28" si="20">SUM(S10:S21)</f>
        <v>451</v>
      </c>
      <c r="T28" s="16">
        <f t="shared" si="20"/>
        <v>175</v>
      </c>
      <c r="U28" s="16">
        <f t="shared" si="20"/>
        <v>111</v>
      </c>
      <c r="V28" s="16">
        <f t="shared" si="20"/>
        <v>337</v>
      </c>
      <c r="W28" s="16">
        <f t="shared" si="20"/>
        <v>6</v>
      </c>
      <c r="X28" s="16">
        <f t="shared" si="20"/>
        <v>19</v>
      </c>
      <c r="Y28" s="16">
        <f t="shared" si="20"/>
        <v>152</v>
      </c>
      <c r="Z28" s="16">
        <f t="shared" si="20"/>
        <v>110</v>
      </c>
      <c r="AA28" s="16">
        <f t="shared" si="20"/>
        <v>32</v>
      </c>
      <c r="AB28" s="16">
        <f t="shared" si="20"/>
        <v>56</v>
      </c>
      <c r="AC28" s="16">
        <f t="shared" si="20"/>
        <v>2075</v>
      </c>
      <c r="AD28" s="16">
        <f t="shared" si="20"/>
        <v>0</v>
      </c>
      <c r="AE28" s="32">
        <f t="shared" si="20"/>
        <v>1449</v>
      </c>
      <c r="AF28" s="32">
        <f t="shared" si="20"/>
        <v>3524</v>
      </c>
    </row>
    <row r="29" spans="2:32" ht="23.1" customHeight="1" x14ac:dyDescent="0.25">
      <c r="B29" s="23" t="s">
        <v>56</v>
      </c>
      <c r="C29" s="50">
        <v>7</v>
      </c>
      <c r="D29" s="50">
        <v>3</v>
      </c>
      <c r="E29" s="50">
        <v>2</v>
      </c>
      <c r="F29" s="50">
        <v>5</v>
      </c>
      <c r="G29" s="50">
        <v>0</v>
      </c>
      <c r="H29" s="50">
        <v>0</v>
      </c>
      <c r="I29" s="50">
        <v>2</v>
      </c>
      <c r="J29" s="50">
        <v>2</v>
      </c>
      <c r="K29" s="50">
        <v>1</v>
      </c>
      <c r="L29" s="50">
        <v>3</v>
      </c>
      <c r="M29" s="50">
        <v>42</v>
      </c>
      <c r="N29" s="50">
        <v>0</v>
      </c>
      <c r="O29" s="15">
        <f t="shared" si="0"/>
        <v>25</v>
      </c>
      <c r="P29" s="15">
        <f t="shared" si="1"/>
        <v>67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1</v>
      </c>
      <c r="E30" s="50">
        <v>3</v>
      </c>
      <c r="F30" s="50">
        <v>6</v>
      </c>
      <c r="G30" s="50">
        <v>0</v>
      </c>
      <c r="H30" s="50">
        <v>0</v>
      </c>
      <c r="I30" s="50">
        <v>1</v>
      </c>
      <c r="J30" s="50">
        <v>2</v>
      </c>
      <c r="K30" s="50">
        <v>2</v>
      </c>
      <c r="L30" s="50">
        <v>0</v>
      </c>
      <c r="M30" s="50">
        <v>44</v>
      </c>
      <c r="N30" s="50">
        <v>0</v>
      </c>
      <c r="O30" s="15">
        <f t="shared" si="0"/>
        <v>25</v>
      </c>
      <c r="P30" s="15">
        <f t="shared" si="1"/>
        <v>69</v>
      </c>
    </row>
    <row r="31" spans="2:32" ht="23.1" customHeight="1" x14ac:dyDescent="0.25">
      <c r="B31" s="24" t="s">
        <v>58</v>
      </c>
      <c r="C31" s="50">
        <v>9</v>
      </c>
      <c r="D31" s="50">
        <v>5</v>
      </c>
      <c r="E31" s="50">
        <v>0</v>
      </c>
      <c r="F31" s="50">
        <v>8</v>
      </c>
      <c r="G31" s="50">
        <v>0</v>
      </c>
      <c r="H31" s="50">
        <v>2</v>
      </c>
      <c r="I31" s="50">
        <v>3</v>
      </c>
      <c r="J31" s="50">
        <v>2</v>
      </c>
      <c r="K31" s="50">
        <v>0</v>
      </c>
      <c r="L31" s="50">
        <v>1</v>
      </c>
      <c r="M31" s="50">
        <v>43</v>
      </c>
      <c r="N31" s="50">
        <v>0</v>
      </c>
      <c r="O31" s="15">
        <f t="shared" si="0"/>
        <v>30</v>
      </c>
      <c r="P31" s="15">
        <f t="shared" si="1"/>
        <v>73</v>
      </c>
    </row>
    <row r="32" spans="2:32" ht="23.1" customHeight="1" x14ac:dyDescent="0.25">
      <c r="B32" s="24" t="s">
        <v>59</v>
      </c>
      <c r="C32" s="50">
        <v>7</v>
      </c>
      <c r="D32" s="50">
        <v>5</v>
      </c>
      <c r="E32" s="50">
        <v>3</v>
      </c>
      <c r="F32" s="50">
        <v>6</v>
      </c>
      <c r="G32" s="50">
        <v>0</v>
      </c>
      <c r="H32" s="50">
        <v>0</v>
      </c>
      <c r="I32" s="50">
        <v>3</v>
      </c>
      <c r="J32" s="50">
        <v>2</v>
      </c>
      <c r="K32" s="50">
        <v>1</v>
      </c>
      <c r="L32" s="50">
        <v>1</v>
      </c>
      <c r="M32" s="50">
        <v>45</v>
      </c>
      <c r="N32" s="50">
        <v>0</v>
      </c>
      <c r="O32" s="15">
        <f t="shared" si="0"/>
        <v>28</v>
      </c>
      <c r="P32" s="15">
        <f t="shared" si="1"/>
        <v>73</v>
      </c>
    </row>
    <row r="33" spans="2:20" ht="23.1" customHeight="1" x14ac:dyDescent="0.25">
      <c r="B33" s="23" t="s">
        <v>60</v>
      </c>
      <c r="C33" s="50">
        <v>9</v>
      </c>
      <c r="D33" s="50">
        <v>3</v>
      </c>
      <c r="E33" s="50">
        <v>0</v>
      </c>
      <c r="F33" s="50">
        <v>7</v>
      </c>
      <c r="G33" s="50">
        <v>0</v>
      </c>
      <c r="H33" s="50">
        <v>0</v>
      </c>
      <c r="I33" s="50">
        <v>1</v>
      </c>
      <c r="J33" s="50">
        <v>3</v>
      </c>
      <c r="K33" s="50">
        <v>0</v>
      </c>
      <c r="L33" s="50">
        <v>0</v>
      </c>
      <c r="M33" s="50">
        <v>60</v>
      </c>
      <c r="N33" s="50">
        <v>0</v>
      </c>
      <c r="O33" s="15">
        <f t="shared" si="0"/>
        <v>23</v>
      </c>
      <c r="P33" s="15">
        <f t="shared" si="1"/>
        <v>83</v>
      </c>
    </row>
    <row r="34" spans="2:20" ht="23.1" customHeight="1" x14ac:dyDescent="0.25">
      <c r="B34" s="24" t="s">
        <v>61</v>
      </c>
      <c r="C34" s="50">
        <v>15</v>
      </c>
      <c r="D34" s="50">
        <v>4</v>
      </c>
      <c r="E34" s="50">
        <v>3</v>
      </c>
      <c r="F34" s="50">
        <v>8</v>
      </c>
      <c r="G34" s="50">
        <v>0</v>
      </c>
      <c r="H34" s="50">
        <v>0</v>
      </c>
      <c r="I34" s="50">
        <v>5</v>
      </c>
      <c r="J34" s="50">
        <v>1</v>
      </c>
      <c r="K34" s="50">
        <v>2</v>
      </c>
      <c r="L34" s="50">
        <v>1</v>
      </c>
      <c r="M34" s="50">
        <v>42</v>
      </c>
      <c r="N34" s="50">
        <v>0</v>
      </c>
      <c r="O34" s="15">
        <f t="shared" si="0"/>
        <v>39</v>
      </c>
      <c r="P34" s="15">
        <f t="shared" si="1"/>
        <v>81</v>
      </c>
    </row>
    <row r="35" spans="2:20" ht="23.1" customHeight="1" x14ac:dyDescent="0.25">
      <c r="B35" s="24" t="s">
        <v>62</v>
      </c>
      <c r="C35" s="50">
        <v>13</v>
      </c>
      <c r="D35" s="50">
        <v>3</v>
      </c>
      <c r="E35" s="50">
        <v>4</v>
      </c>
      <c r="F35" s="50">
        <v>8</v>
      </c>
      <c r="G35" s="50">
        <v>0</v>
      </c>
      <c r="H35" s="50">
        <v>0</v>
      </c>
      <c r="I35" s="50">
        <v>2</v>
      </c>
      <c r="J35" s="50">
        <v>3</v>
      </c>
      <c r="K35" s="50">
        <v>1</v>
      </c>
      <c r="L35" s="50">
        <v>1</v>
      </c>
      <c r="M35" s="50">
        <v>34</v>
      </c>
      <c r="N35" s="50">
        <v>0</v>
      </c>
      <c r="O35" s="15">
        <f t="shared" si="0"/>
        <v>35</v>
      </c>
      <c r="P35" s="15">
        <f t="shared" si="1"/>
        <v>69</v>
      </c>
    </row>
    <row r="36" spans="2:20" ht="23.1" customHeight="1" x14ac:dyDescent="0.25">
      <c r="B36" s="24" t="s">
        <v>63</v>
      </c>
      <c r="C36" s="50">
        <v>20</v>
      </c>
      <c r="D36" s="50">
        <v>3</v>
      </c>
      <c r="E36" s="50">
        <v>2</v>
      </c>
      <c r="F36" s="50">
        <v>12</v>
      </c>
      <c r="G36" s="50">
        <v>0</v>
      </c>
      <c r="H36" s="50">
        <v>0</v>
      </c>
      <c r="I36" s="50">
        <v>5</v>
      </c>
      <c r="J36" s="50">
        <v>3</v>
      </c>
      <c r="K36" s="50">
        <v>0</v>
      </c>
      <c r="L36" s="50">
        <v>2</v>
      </c>
      <c r="M36" s="50">
        <v>47</v>
      </c>
      <c r="N36" s="50">
        <v>0</v>
      </c>
      <c r="O36" s="15">
        <f t="shared" si="0"/>
        <v>47</v>
      </c>
      <c r="P36" s="15">
        <f t="shared" si="1"/>
        <v>94</v>
      </c>
    </row>
    <row r="37" spans="2:20" ht="23.1" customHeight="1" x14ac:dyDescent="0.25">
      <c r="B37" s="23" t="s">
        <v>64</v>
      </c>
      <c r="C37" s="50">
        <v>13</v>
      </c>
      <c r="D37" s="50">
        <v>4</v>
      </c>
      <c r="E37" s="50">
        <v>6</v>
      </c>
      <c r="F37" s="50">
        <v>7</v>
      </c>
      <c r="G37" s="50">
        <v>1</v>
      </c>
      <c r="H37" s="50">
        <v>0</v>
      </c>
      <c r="I37" s="50">
        <v>3</v>
      </c>
      <c r="J37" s="50">
        <v>4</v>
      </c>
      <c r="K37" s="50">
        <v>1</v>
      </c>
      <c r="L37" s="50">
        <v>1</v>
      </c>
      <c r="M37" s="50">
        <v>49</v>
      </c>
      <c r="N37" s="50">
        <v>0</v>
      </c>
      <c r="O37" s="15">
        <f t="shared" si="0"/>
        <v>40</v>
      </c>
      <c r="P37" s="15">
        <f t="shared" si="1"/>
        <v>89</v>
      </c>
    </row>
    <row r="38" spans="2:20" ht="23.1" customHeight="1" x14ac:dyDescent="0.25">
      <c r="B38" s="24" t="s">
        <v>65</v>
      </c>
      <c r="C38" s="50">
        <v>19</v>
      </c>
      <c r="D38" s="50">
        <v>4</v>
      </c>
      <c r="E38" s="50">
        <v>3</v>
      </c>
      <c r="F38" s="50">
        <v>12</v>
      </c>
      <c r="G38" s="50">
        <v>0</v>
      </c>
      <c r="H38" s="50">
        <v>0</v>
      </c>
      <c r="I38" s="50">
        <v>4</v>
      </c>
      <c r="J38" s="50">
        <v>5</v>
      </c>
      <c r="K38" s="50">
        <v>0</v>
      </c>
      <c r="L38" s="50">
        <v>2</v>
      </c>
      <c r="M38" s="50">
        <v>39</v>
      </c>
      <c r="N38" s="50">
        <v>0</v>
      </c>
      <c r="O38" s="15">
        <f t="shared" si="0"/>
        <v>49</v>
      </c>
      <c r="P38" s="15">
        <f t="shared" si="1"/>
        <v>88</v>
      </c>
    </row>
    <row r="39" spans="2:20" ht="23.1" customHeight="1" x14ac:dyDescent="0.25">
      <c r="B39" s="24" t="s">
        <v>66</v>
      </c>
      <c r="C39" s="50">
        <v>12</v>
      </c>
      <c r="D39" s="50">
        <v>7</v>
      </c>
      <c r="E39" s="50">
        <v>1</v>
      </c>
      <c r="F39" s="50">
        <v>6</v>
      </c>
      <c r="G39" s="50">
        <v>2</v>
      </c>
      <c r="H39" s="50">
        <v>2</v>
      </c>
      <c r="I39" s="50">
        <v>2</v>
      </c>
      <c r="J39" s="50">
        <v>1</v>
      </c>
      <c r="K39" s="50">
        <v>0</v>
      </c>
      <c r="L39" s="50">
        <v>2</v>
      </c>
      <c r="M39" s="50">
        <v>55</v>
      </c>
      <c r="N39" s="50">
        <v>0</v>
      </c>
      <c r="O39" s="15">
        <f t="shared" si="0"/>
        <v>35</v>
      </c>
      <c r="P39" s="15">
        <f t="shared" si="1"/>
        <v>90</v>
      </c>
    </row>
    <row r="40" spans="2:20" ht="23.1" customHeight="1" x14ac:dyDescent="0.25">
      <c r="B40" s="24" t="s">
        <v>67</v>
      </c>
      <c r="C40" s="50">
        <v>13</v>
      </c>
      <c r="D40" s="50">
        <v>1</v>
      </c>
      <c r="E40" s="50">
        <v>3</v>
      </c>
      <c r="F40" s="50">
        <v>6</v>
      </c>
      <c r="G40" s="50">
        <v>0</v>
      </c>
      <c r="H40" s="50">
        <v>2</v>
      </c>
      <c r="I40" s="50">
        <v>4</v>
      </c>
      <c r="J40" s="50">
        <v>1</v>
      </c>
      <c r="K40" s="50">
        <v>1</v>
      </c>
      <c r="L40" s="50">
        <v>0</v>
      </c>
      <c r="M40" s="50">
        <v>55</v>
      </c>
      <c r="N40" s="50">
        <v>0</v>
      </c>
      <c r="O40" s="15">
        <f t="shared" si="0"/>
        <v>31</v>
      </c>
      <c r="P40" s="15">
        <f t="shared" si="1"/>
        <v>86</v>
      </c>
    </row>
    <row r="41" spans="2:20" ht="23.1" customHeight="1" x14ac:dyDescent="0.25">
      <c r="B41" s="23" t="s">
        <v>68</v>
      </c>
      <c r="C41" s="50">
        <v>14</v>
      </c>
      <c r="D41" s="50">
        <v>6</v>
      </c>
      <c r="E41" s="50">
        <v>1</v>
      </c>
      <c r="F41" s="50">
        <v>11</v>
      </c>
      <c r="G41" s="50">
        <v>0</v>
      </c>
      <c r="H41" s="50">
        <v>1</v>
      </c>
      <c r="I41" s="50">
        <v>1</v>
      </c>
      <c r="J41" s="50">
        <v>3</v>
      </c>
      <c r="K41" s="50">
        <v>0</v>
      </c>
      <c r="L41" s="50">
        <v>1</v>
      </c>
      <c r="M41" s="50">
        <v>40</v>
      </c>
      <c r="N41" s="50">
        <v>0</v>
      </c>
      <c r="O41" s="15">
        <f t="shared" si="0"/>
        <v>38</v>
      </c>
      <c r="P41" s="15">
        <f t="shared" si="1"/>
        <v>78</v>
      </c>
    </row>
    <row r="42" spans="2:20" ht="23.1" customHeight="1" x14ac:dyDescent="0.25">
      <c r="B42" s="24" t="s">
        <v>69</v>
      </c>
      <c r="C42" s="50">
        <v>11</v>
      </c>
      <c r="D42" s="50">
        <v>2</v>
      </c>
      <c r="E42" s="50">
        <v>0</v>
      </c>
      <c r="F42" s="50">
        <v>7</v>
      </c>
      <c r="G42" s="50">
        <v>0</v>
      </c>
      <c r="H42" s="50">
        <v>0</v>
      </c>
      <c r="I42" s="50">
        <v>7</v>
      </c>
      <c r="J42" s="50">
        <v>1</v>
      </c>
      <c r="K42" s="50">
        <v>1</v>
      </c>
      <c r="L42" s="50">
        <v>1</v>
      </c>
      <c r="M42" s="50">
        <v>36</v>
      </c>
      <c r="N42" s="50">
        <v>0</v>
      </c>
      <c r="O42" s="15">
        <f t="shared" si="0"/>
        <v>30</v>
      </c>
      <c r="P42" s="15">
        <f t="shared" si="1"/>
        <v>66</v>
      </c>
    </row>
    <row r="43" spans="2:20" ht="23.1" customHeight="1" x14ac:dyDescent="0.25">
      <c r="B43" s="23" t="s">
        <v>70</v>
      </c>
      <c r="C43" s="50">
        <v>7</v>
      </c>
      <c r="D43" s="50">
        <v>5</v>
      </c>
      <c r="E43" s="50">
        <v>0</v>
      </c>
      <c r="F43" s="50">
        <v>9</v>
      </c>
      <c r="G43" s="50">
        <v>0</v>
      </c>
      <c r="H43" s="50">
        <v>0</v>
      </c>
      <c r="I43" s="50">
        <v>3</v>
      </c>
      <c r="J43" s="50">
        <v>3</v>
      </c>
      <c r="K43" s="50">
        <v>0</v>
      </c>
      <c r="L43" s="50">
        <v>2</v>
      </c>
      <c r="M43" s="50">
        <v>33</v>
      </c>
      <c r="N43" s="50">
        <v>0</v>
      </c>
      <c r="O43" s="15">
        <f t="shared" si="0"/>
        <v>29</v>
      </c>
      <c r="P43" s="15">
        <f t="shared" si="1"/>
        <v>62</v>
      </c>
    </row>
    <row r="44" spans="2:20" ht="23.1" customHeight="1" x14ac:dyDescent="0.25">
      <c r="B44" s="25" t="s">
        <v>71</v>
      </c>
      <c r="C44" s="50">
        <v>11</v>
      </c>
      <c r="D44" s="50">
        <v>1</v>
      </c>
      <c r="E44" s="50">
        <v>1</v>
      </c>
      <c r="F44" s="50">
        <v>4</v>
      </c>
      <c r="G44" s="50">
        <v>0</v>
      </c>
      <c r="H44" s="50">
        <v>1</v>
      </c>
      <c r="I44" s="50">
        <v>0</v>
      </c>
      <c r="J44" s="50">
        <v>1</v>
      </c>
      <c r="K44" s="50">
        <v>0</v>
      </c>
      <c r="L44" s="50">
        <v>3</v>
      </c>
      <c r="M44" s="50">
        <v>38</v>
      </c>
      <c r="N44" s="50">
        <v>0</v>
      </c>
      <c r="O44" s="15">
        <f t="shared" si="0"/>
        <v>22</v>
      </c>
      <c r="P44" s="15">
        <f t="shared" si="1"/>
        <v>60</v>
      </c>
    </row>
    <row r="45" spans="2:20" ht="23.1" customHeight="1" x14ac:dyDescent="0.25">
      <c r="B45" s="23" t="s">
        <v>72</v>
      </c>
      <c r="C45" s="50">
        <v>6</v>
      </c>
      <c r="D45" s="50">
        <v>0</v>
      </c>
      <c r="E45" s="50">
        <v>4</v>
      </c>
      <c r="F45" s="50">
        <v>9</v>
      </c>
      <c r="G45" s="50">
        <v>0</v>
      </c>
      <c r="H45" s="50">
        <v>0</v>
      </c>
      <c r="I45" s="50">
        <v>6</v>
      </c>
      <c r="J45" s="50">
        <v>2</v>
      </c>
      <c r="K45" s="50">
        <v>0</v>
      </c>
      <c r="L45" s="50">
        <v>0</v>
      </c>
      <c r="M45" s="50">
        <v>30</v>
      </c>
      <c r="N45" s="50">
        <v>0</v>
      </c>
      <c r="O45" s="15">
        <f t="shared" si="0"/>
        <v>27</v>
      </c>
      <c r="P45" s="15">
        <f t="shared" si="1"/>
        <v>57</v>
      </c>
    </row>
    <row r="46" spans="2:20" ht="23.1" customHeight="1" x14ac:dyDescent="0.25">
      <c r="B46" s="24" t="s">
        <v>73</v>
      </c>
      <c r="C46" s="50">
        <v>7</v>
      </c>
      <c r="D46" s="50">
        <v>1</v>
      </c>
      <c r="E46" s="50">
        <v>2</v>
      </c>
      <c r="F46" s="50">
        <v>3</v>
      </c>
      <c r="G46" s="50">
        <v>0</v>
      </c>
      <c r="H46" s="50">
        <v>0</v>
      </c>
      <c r="I46" s="50">
        <v>6</v>
      </c>
      <c r="J46" s="50">
        <v>2</v>
      </c>
      <c r="K46" s="50">
        <v>1</v>
      </c>
      <c r="L46" s="50">
        <v>0</v>
      </c>
      <c r="M46" s="50">
        <v>28</v>
      </c>
      <c r="N46" s="50">
        <v>0</v>
      </c>
      <c r="O46" s="15">
        <f t="shared" si="0"/>
        <v>22</v>
      </c>
      <c r="P46" s="15">
        <f t="shared" si="1"/>
        <v>50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5</v>
      </c>
      <c r="E47" s="50">
        <v>0</v>
      </c>
      <c r="F47" s="50">
        <v>9</v>
      </c>
      <c r="G47" s="50">
        <v>0</v>
      </c>
      <c r="H47" s="50">
        <v>0</v>
      </c>
      <c r="I47" s="50">
        <v>0</v>
      </c>
      <c r="J47" s="50">
        <v>1</v>
      </c>
      <c r="K47" s="50">
        <v>1</v>
      </c>
      <c r="L47" s="50">
        <v>2</v>
      </c>
      <c r="M47" s="50">
        <v>42</v>
      </c>
      <c r="N47" s="50">
        <v>0</v>
      </c>
      <c r="O47" s="15">
        <f t="shared" si="0"/>
        <v>27</v>
      </c>
      <c r="P47" s="15">
        <f t="shared" si="1"/>
        <v>69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1</v>
      </c>
      <c r="E48" s="50">
        <v>2</v>
      </c>
      <c r="F48" s="50">
        <v>8</v>
      </c>
      <c r="G48" s="50">
        <v>0</v>
      </c>
      <c r="H48" s="50">
        <v>2</v>
      </c>
      <c r="I48" s="50">
        <v>5</v>
      </c>
      <c r="J48" s="50">
        <v>3</v>
      </c>
      <c r="K48" s="50">
        <v>0</v>
      </c>
      <c r="L48" s="50">
        <v>1</v>
      </c>
      <c r="M48" s="50">
        <v>28</v>
      </c>
      <c r="N48" s="50">
        <v>0</v>
      </c>
      <c r="O48" s="15">
        <f t="shared" si="0"/>
        <v>28</v>
      </c>
      <c r="P48" s="15">
        <f t="shared" si="1"/>
        <v>56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2</v>
      </c>
      <c r="E49" s="50">
        <v>2</v>
      </c>
      <c r="F49" s="50">
        <v>7</v>
      </c>
      <c r="G49" s="50">
        <v>0</v>
      </c>
      <c r="H49" s="50">
        <v>0</v>
      </c>
      <c r="I49" s="50">
        <v>5</v>
      </c>
      <c r="J49" s="50">
        <v>1</v>
      </c>
      <c r="K49" s="50">
        <v>1</v>
      </c>
      <c r="L49" s="50">
        <v>2</v>
      </c>
      <c r="M49" s="50">
        <v>48</v>
      </c>
      <c r="N49" s="50">
        <v>0</v>
      </c>
      <c r="O49" s="15">
        <f t="shared" si="0"/>
        <v>26</v>
      </c>
      <c r="P49" s="15">
        <f t="shared" si="1"/>
        <v>74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3</v>
      </c>
      <c r="E50" s="50">
        <v>2</v>
      </c>
      <c r="F50" s="50">
        <v>8</v>
      </c>
      <c r="G50" s="50">
        <v>0</v>
      </c>
      <c r="H50" s="50">
        <v>1</v>
      </c>
      <c r="I50" s="50">
        <v>3</v>
      </c>
      <c r="J50" s="50">
        <v>2</v>
      </c>
      <c r="K50" s="50">
        <v>1</v>
      </c>
      <c r="L50" s="50">
        <v>2</v>
      </c>
      <c r="M50" s="50">
        <v>30</v>
      </c>
      <c r="N50" s="50">
        <v>0</v>
      </c>
      <c r="O50" s="15">
        <f t="shared" si="0"/>
        <v>31</v>
      </c>
      <c r="P50" s="15">
        <f t="shared" si="1"/>
        <v>61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5</v>
      </c>
      <c r="E51" s="50">
        <v>2</v>
      </c>
      <c r="F51" s="50">
        <v>7</v>
      </c>
      <c r="G51" s="50">
        <v>0</v>
      </c>
      <c r="H51" s="50">
        <v>1</v>
      </c>
      <c r="I51" s="50">
        <v>2</v>
      </c>
      <c r="J51" s="50">
        <v>3</v>
      </c>
      <c r="K51" s="50">
        <v>2</v>
      </c>
      <c r="L51" s="50">
        <v>5</v>
      </c>
      <c r="M51" s="50">
        <v>45</v>
      </c>
      <c r="N51" s="50">
        <v>0</v>
      </c>
      <c r="O51" s="15">
        <f t="shared" si="0"/>
        <v>37</v>
      </c>
      <c r="P51" s="15">
        <f t="shared" si="1"/>
        <v>82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1</v>
      </c>
      <c r="E52" s="50">
        <v>2</v>
      </c>
      <c r="F52" s="50">
        <v>8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2</v>
      </c>
      <c r="M52" s="50">
        <v>51</v>
      </c>
      <c r="N52" s="50">
        <v>0</v>
      </c>
      <c r="O52" s="15">
        <f t="shared" si="0"/>
        <v>28</v>
      </c>
      <c r="P52" s="15">
        <f t="shared" si="1"/>
        <v>79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1</v>
      </c>
      <c r="E53" s="50">
        <v>0</v>
      </c>
      <c r="F53" s="50">
        <v>7</v>
      </c>
      <c r="G53" s="50">
        <v>0</v>
      </c>
      <c r="H53" s="50">
        <v>1</v>
      </c>
      <c r="I53" s="50">
        <v>6</v>
      </c>
      <c r="J53" s="50">
        <v>4</v>
      </c>
      <c r="K53" s="50">
        <v>1</v>
      </c>
      <c r="L53" s="50">
        <v>0</v>
      </c>
      <c r="M53" s="50">
        <v>51</v>
      </c>
      <c r="N53" s="50">
        <v>0</v>
      </c>
      <c r="O53" s="15">
        <f t="shared" si="0"/>
        <v>27</v>
      </c>
      <c r="P53" s="15">
        <f t="shared" si="1"/>
        <v>78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1</v>
      </c>
      <c r="E54" s="50">
        <v>2</v>
      </c>
      <c r="F54" s="50">
        <v>3</v>
      </c>
      <c r="G54" s="50">
        <v>0</v>
      </c>
      <c r="H54" s="50">
        <v>0</v>
      </c>
      <c r="I54" s="50">
        <v>5</v>
      </c>
      <c r="J54" s="50">
        <v>3</v>
      </c>
      <c r="K54" s="50">
        <v>0</v>
      </c>
      <c r="L54" s="50">
        <v>0</v>
      </c>
      <c r="M54" s="50">
        <v>32</v>
      </c>
      <c r="N54" s="50">
        <v>0</v>
      </c>
      <c r="O54" s="15">
        <f t="shared" si="0"/>
        <v>25</v>
      </c>
      <c r="P54" s="15">
        <f t="shared" si="1"/>
        <v>57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2</v>
      </c>
      <c r="E55" s="50">
        <v>1</v>
      </c>
      <c r="F55" s="50">
        <v>4</v>
      </c>
      <c r="G55" s="50">
        <v>0</v>
      </c>
      <c r="H55" s="50">
        <v>0</v>
      </c>
      <c r="I55" s="50">
        <v>6</v>
      </c>
      <c r="J55" s="50">
        <v>2</v>
      </c>
      <c r="K55" s="50">
        <v>0</v>
      </c>
      <c r="L55" s="50">
        <v>3</v>
      </c>
      <c r="M55" s="50">
        <v>52</v>
      </c>
      <c r="N55" s="50">
        <v>0</v>
      </c>
      <c r="O55" s="15">
        <f t="shared" si="0"/>
        <v>24</v>
      </c>
      <c r="P55" s="15">
        <f t="shared" si="1"/>
        <v>76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3</v>
      </c>
      <c r="E56" s="50">
        <v>0</v>
      </c>
      <c r="F56" s="50">
        <v>8</v>
      </c>
      <c r="G56" s="50">
        <v>0</v>
      </c>
      <c r="H56" s="50">
        <v>0</v>
      </c>
      <c r="I56" s="50">
        <v>6</v>
      </c>
      <c r="J56" s="50">
        <v>2</v>
      </c>
      <c r="K56" s="50">
        <v>1</v>
      </c>
      <c r="L56" s="50">
        <v>1</v>
      </c>
      <c r="M56" s="50">
        <v>54</v>
      </c>
      <c r="N56" s="50">
        <v>0</v>
      </c>
      <c r="O56" s="15">
        <f t="shared" si="0"/>
        <v>27</v>
      </c>
      <c r="P56" s="15">
        <f t="shared" si="1"/>
        <v>81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7</v>
      </c>
      <c r="E57" s="50">
        <v>1</v>
      </c>
      <c r="F57" s="50">
        <v>5</v>
      </c>
      <c r="G57" s="50">
        <v>0</v>
      </c>
      <c r="H57" s="50">
        <v>1</v>
      </c>
      <c r="I57" s="50">
        <v>7</v>
      </c>
      <c r="J57" s="50">
        <v>7</v>
      </c>
      <c r="K57" s="50">
        <v>1</v>
      </c>
      <c r="L57" s="50">
        <v>5</v>
      </c>
      <c r="M57" s="50">
        <v>40</v>
      </c>
      <c r="N57" s="50">
        <v>0</v>
      </c>
      <c r="O57" s="15">
        <f t="shared" si="0"/>
        <v>42</v>
      </c>
      <c r="P57" s="15">
        <f t="shared" si="1"/>
        <v>82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451</v>
      </c>
      <c r="D58" s="16">
        <f t="shared" si="21"/>
        <v>175</v>
      </c>
      <c r="E58" s="16">
        <f t="shared" si="21"/>
        <v>111</v>
      </c>
      <c r="F58" s="16">
        <f t="shared" si="21"/>
        <v>337</v>
      </c>
      <c r="G58" s="16">
        <f t="shared" si="21"/>
        <v>6</v>
      </c>
      <c r="H58" s="16">
        <f t="shared" si="21"/>
        <v>19</v>
      </c>
      <c r="I58" s="16">
        <f t="shared" si="21"/>
        <v>152</v>
      </c>
      <c r="J58" s="16">
        <f t="shared" si="21"/>
        <v>110</v>
      </c>
      <c r="K58" s="16">
        <f t="shared" si="21"/>
        <v>32</v>
      </c>
      <c r="L58" s="16">
        <f t="shared" si="21"/>
        <v>56</v>
      </c>
      <c r="M58" s="16">
        <f t="shared" si="21"/>
        <v>2075</v>
      </c>
      <c r="N58" s="16">
        <f t="shared" si="21"/>
        <v>0</v>
      </c>
      <c r="O58" s="16">
        <f t="shared" si="21"/>
        <v>1449</v>
      </c>
      <c r="P58" s="16">
        <f t="shared" si="21"/>
        <v>3524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0.12797956867196367</v>
      </c>
      <c r="D59" s="43">
        <f t="shared" si="22"/>
        <v>4.9659477866061293E-2</v>
      </c>
      <c r="E59" s="43">
        <f t="shared" si="22"/>
        <v>3.1498297389330306E-2</v>
      </c>
      <c r="F59" s="43">
        <f t="shared" si="22"/>
        <v>9.562996594778661E-2</v>
      </c>
      <c r="G59" s="43">
        <f t="shared" si="22"/>
        <v>1.70261066969353E-3</v>
      </c>
      <c r="H59" s="43">
        <f t="shared" si="22"/>
        <v>5.3916004540295118E-3</v>
      </c>
      <c r="I59" s="43">
        <f t="shared" si="22"/>
        <v>4.3132803632236094E-2</v>
      </c>
      <c r="J59" s="43">
        <f t="shared" si="22"/>
        <v>3.1214528944381384E-2</v>
      </c>
      <c r="K59" s="43">
        <f t="shared" si="22"/>
        <v>9.0805902383654935E-3</v>
      </c>
      <c r="L59" s="43">
        <f t="shared" si="22"/>
        <v>1.5891032917139614E-2</v>
      </c>
      <c r="M59" s="43">
        <f t="shared" si="22"/>
        <v>0.58881952326901243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0.31124913733609388</v>
      </c>
      <c r="D60" s="44">
        <f t="shared" ref="D60:N60" si="23">D58/$O$58</f>
        <v>0.12077294685990338</v>
      </c>
      <c r="E60" s="44">
        <f t="shared" si="23"/>
        <v>7.6604554865424432E-2</v>
      </c>
      <c r="F60" s="44">
        <f t="shared" si="23"/>
        <v>0.23257418909592822</v>
      </c>
      <c r="G60" s="44">
        <f t="shared" si="23"/>
        <v>4.140786749482402E-3</v>
      </c>
      <c r="H60" s="44">
        <f t="shared" si="23"/>
        <v>1.3112491373360938E-2</v>
      </c>
      <c r="I60" s="44">
        <f t="shared" si="23"/>
        <v>0.1048999309868875</v>
      </c>
      <c r="J60" s="44">
        <f t="shared" si="23"/>
        <v>7.5914423740510703E-2</v>
      </c>
      <c r="K60" s="44">
        <f t="shared" si="23"/>
        <v>2.2084195997239476E-2</v>
      </c>
      <c r="L60" s="44">
        <f t="shared" si="23"/>
        <v>3.864734299516908E-2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A2" zoomScale="60" workbookViewId="0">
      <selection activeCell="U106" sqref="U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0" t="s">
        <v>162</v>
      </c>
      <c r="E5" s="71"/>
      <c r="F5" s="41" t="s">
        <v>1</v>
      </c>
      <c r="G5" s="68" t="str">
        <f>'23.10 MITYANA-MUBENDE'!G5:H5</f>
        <v>MITYANA COLLEGE KIKUMBI</v>
      </c>
      <c r="H5" s="69"/>
      <c r="I5" s="14"/>
      <c r="J5" s="2" t="s">
        <v>5</v>
      </c>
      <c r="K5" s="68" t="s">
        <v>179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'23.10 MUBENDE-MITYANA'!D6:E6</f>
        <v>MUBENDE</v>
      </c>
      <c r="E6" s="69"/>
      <c r="F6" s="2" t="s">
        <v>2</v>
      </c>
      <c r="G6" s="68" t="str">
        <f>'23.10 MUBENDE-MITYANA'!G6:H6</f>
        <v>MITYANA</v>
      </c>
      <c r="H6" s="69"/>
      <c r="J6" s="2" t="s">
        <v>21</v>
      </c>
      <c r="K6" s="68" t="str">
        <f>'23.10 MITYANA-MUBENDE'!K6:L6</f>
        <v>STEVEN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 MUBENDE-MITYANA'!C10,'18.10 MUBENDE-MITYANA-24h'!C10,'19.10  MUBENDE-MITYANA-24h'!C10,'20.10 MUBENDE-MITYANA'!C10,'21.10 MUBENDE-MITYANA'!C10,'22.10 MUBENDE-MITYANA'!C10,'23.10 MUBENDE-MITYANA'!C10)</f>
        <v>3.5714285714285716</v>
      </c>
      <c r="D10" s="49">
        <f>AVERAGE('17.10  MUBENDE-MITYANA'!D10,'18.10 MUBENDE-MITYANA-24h'!D10,'19.10  MUBENDE-MITYANA-24h'!D10,'20.10 MUBENDE-MITYANA'!D10,'21.10 MUBENDE-MITYANA'!D10,'22.10 MUBENDE-MITYANA'!D10,'23.10 MUBENDE-MITYANA'!D10)</f>
        <v>1.4285714285714286</v>
      </c>
      <c r="E10" s="49">
        <f>AVERAGE('17.10  MUBENDE-MITYANA'!E10,'18.10 MUBENDE-MITYANA-24h'!E10,'19.10  MUBENDE-MITYANA-24h'!E10,'20.10 MUBENDE-MITYANA'!E10,'21.10 MUBENDE-MITYANA'!E10,'22.10 MUBENDE-MITYANA'!E10,'23.10 MUBENDE-MITYANA'!E10)</f>
        <v>0.7142857142857143</v>
      </c>
      <c r="F10" s="49">
        <f>AVERAGE('17.10  MUBENDE-MITYANA'!F10,'18.10 MUBENDE-MITYANA-24h'!F10,'19.10  MUBENDE-MITYANA-24h'!F10,'20.10 MUBENDE-MITYANA'!F10,'21.10 MUBENDE-MITYANA'!F10,'22.10 MUBENDE-MITYANA'!F10,'23.10 MUBENDE-MITYANA'!F10)</f>
        <v>4.5714285714285712</v>
      </c>
      <c r="G10" s="49">
        <f>AVERAGE('17.10  MUBENDE-MITYANA'!G10,'18.10 MUBENDE-MITYANA-24h'!G10,'19.10  MUBENDE-MITYANA-24h'!G10,'20.10 MUBENDE-MITYANA'!G10,'21.10 MUBENDE-MITYANA'!G10,'22.10 MUBENDE-MITYANA'!G10,'23.10 MUBENDE-MITYANA'!G10)</f>
        <v>0.14285714285714285</v>
      </c>
      <c r="H10" s="49">
        <f>AVERAGE('17.10  MUBENDE-MITYANA'!H10,'18.10 MUBENDE-MITYANA-24h'!H10,'19.10  MUBENDE-MITYANA-24h'!H10,'20.10 MUBENDE-MITYANA'!H10,'21.10 MUBENDE-MITYANA'!H10,'22.10 MUBENDE-MITYANA'!H10,'23.10 MUBENDE-MITYANA'!H10)</f>
        <v>0</v>
      </c>
      <c r="I10" s="49">
        <f>AVERAGE('17.10  MUBENDE-MITYANA'!I10,'18.10 MUBENDE-MITYANA-24h'!I10,'19.10  MUBENDE-MITYANA-24h'!I10,'20.10 MUBENDE-MITYANA'!I10,'21.10 MUBENDE-MITYANA'!I10,'22.10 MUBENDE-MITYANA'!I10,'23.10 MUBENDE-MITYANA'!I10)</f>
        <v>0.42857142857142855</v>
      </c>
      <c r="J10" s="49">
        <f>AVERAGE('17.10  MUBENDE-MITYANA'!J10,'18.10 MUBENDE-MITYANA-24h'!J10,'19.10  MUBENDE-MITYANA-24h'!J10,'20.10 MUBENDE-MITYANA'!J10,'21.10 MUBENDE-MITYANA'!J10,'22.10 MUBENDE-MITYANA'!J10,'23.10 MUBENDE-MITYANA'!J10)</f>
        <v>1.4285714285714286</v>
      </c>
      <c r="K10" s="49">
        <f>AVERAGE('17.10  MUBENDE-MITYANA'!K10,'18.10 MUBENDE-MITYANA-24h'!K10,'19.10  MUBENDE-MITYANA-24h'!K10,'20.10 MUBENDE-MITYANA'!K10,'21.10 MUBENDE-MITYANA'!K10,'22.10 MUBENDE-MITYANA'!K10,'23.10 MUBENDE-MITYANA'!K10)</f>
        <v>0</v>
      </c>
      <c r="L10" s="49">
        <f>AVERAGE('17.10  MUBENDE-MITYANA'!L10,'18.10 MUBENDE-MITYANA-24h'!L10,'19.10  MUBENDE-MITYANA-24h'!L10,'20.10 MUBENDE-MITYANA'!L10,'21.10 MUBENDE-MITYANA'!L10,'22.10 MUBENDE-MITYANA'!L10,'23.10 MUBENDE-MITYANA'!L10)</f>
        <v>0.7142857142857143</v>
      </c>
      <c r="M10" s="49">
        <f>AVERAGE('17.10  MUBENDE-MITYANA'!M10,'18.10 MUBENDE-MITYANA-24h'!M10,'19.10  MUBENDE-MITYANA-24h'!M10,'20.10 MUBENDE-MITYANA'!M10,'21.10 MUBENDE-MITYANA'!M10,'22.10 MUBENDE-MITYANA'!M10,'23.10 MUBENDE-MITYANA'!M10)</f>
        <v>32.571428571428569</v>
      </c>
      <c r="N10" s="49">
        <f>AVERAGE('17.10  MUBENDE-MITYANA'!N10,'18.10 MUBENDE-MITYANA-24h'!N10,'19.10  MUBENDE-MITYANA-24h'!N10,'20.10 MUBENDE-MITYANA'!N10,'21.10 MUBENDE-MITYANA'!N10,'22.10 MUBENDE-MITYANA'!N10,'23.10 MUBENDE-MITYANA'!N10)</f>
        <v>0</v>
      </c>
      <c r="O10" s="15">
        <f t="shared" ref="O10:O73" si="0">SUM(C10:L10,N10)</f>
        <v>12.999999999999998</v>
      </c>
      <c r="P10" s="15">
        <f t="shared" ref="P10:P73" si="1">SUM(C10:N10)</f>
        <v>45.571428571428569</v>
      </c>
      <c r="R10" s="1" t="s">
        <v>6</v>
      </c>
      <c r="S10" s="17">
        <f t="shared" ref="S10:AF10" si="2">SUM(C10:C13)</f>
        <v>21.142857142857146</v>
      </c>
      <c r="T10" s="17">
        <f t="shared" si="2"/>
        <v>5.2857142857142847</v>
      </c>
      <c r="U10" s="17">
        <f t="shared" si="2"/>
        <v>3.1428571428571432</v>
      </c>
      <c r="V10" s="17">
        <f t="shared" si="2"/>
        <v>19.571428571428573</v>
      </c>
      <c r="W10" s="17">
        <f t="shared" si="2"/>
        <v>0.42857142857142855</v>
      </c>
      <c r="X10" s="17">
        <f t="shared" si="2"/>
        <v>0</v>
      </c>
      <c r="Y10" s="17">
        <f t="shared" si="2"/>
        <v>3.2857142857142856</v>
      </c>
      <c r="Z10" s="17">
        <f t="shared" si="2"/>
        <v>4.5714285714285712</v>
      </c>
      <c r="AA10" s="17">
        <f t="shared" si="2"/>
        <v>0.5714285714285714</v>
      </c>
      <c r="AB10" s="17">
        <f t="shared" si="2"/>
        <v>2.5714285714285712</v>
      </c>
      <c r="AC10" s="17">
        <f t="shared" si="2"/>
        <v>164.71428571428572</v>
      </c>
      <c r="AD10" s="17">
        <f t="shared" si="2"/>
        <v>0</v>
      </c>
      <c r="AE10" s="31">
        <f t="shared" si="2"/>
        <v>60.571428571428569</v>
      </c>
      <c r="AF10" s="31">
        <f t="shared" si="2"/>
        <v>225.28571428571428</v>
      </c>
    </row>
    <row r="11" spans="2:32" s="6" customFormat="1" ht="23.1" customHeight="1" x14ac:dyDescent="0.25">
      <c r="B11" s="23" t="s">
        <v>38</v>
      </c>
      <c r="C11" s="49">
        <f>AVERAGE('17.10  MUBENDE-MITYANA'!C11,'18.10 MUBENDE-MITYANA-24h'!C11,'19.10  MUBENDE-MITYANA-24h'!C11,'20.10 MUBENDE-MITYANA'!C11,'21.10 MUBENDE-MITYANA'!C11,'22.10 MUBENDE-MITYANA'!C11,'23.10 MUBENDE-MITYANA'!C11)</f>
        <v>5.2857142857142856</v>
      </c>
      <c r="D11" s="49">
        <f>AVERAGE('17.10  MUBENDE-MITYANA'!D11,'18.10 MUBENDE-MITYANA-24h'!D11,'19.10  MUBENDE-MITYANA-24h'!D11,'20.10 MUBENDE-MITYANA'!D11,'21.10 MUBENDE-MITYANA'!D11,'22.10 MUBENDE-MITYANA'!D11,'23.10 MUBENDE-MITYANA'!D11)</f>
        <v>1.1428571428571428</v>
      </c>
      <c r="E11" s="49">
        <f>AVERAGE('17.10  MUBENDE-MITYANA'!E11,'18.10 MUBENDE-MITYANA-24h'!E11,'19.10  MUBENDE-MITYANA-24h'!E11,'20.10 MUBENDE-MITYANA'!E11,'21.10 MUBENDE-MITYANA'!E11,'22.10 MUBENDE-MITYANA'!E11,'23.10 MUBENDE-MITYANA'!E11)</f>
        <v>0.42857142857142855</v>
      </c>
      <c r="F11" s="49">
        <f>AVERAGE('17.10  MUBENDE-MITYANA'!F11,'18.10 MUBENDE-MITYANA-24h'!F11,'19.10  MUBENDE-MITYANA-24h'!F11,'20.10 MUBENDE-MITYANA'!F11,'21.10 MUBENDE-MITYANA'!F11,'22.10 MUBENDE-MITYANA'!F11,'23.10 MUBENDE-MITYANA'!F11)</f>
        <v>4.1428571428571432</v>
      </c>
      <c r="G11" s="49">
        <f>AVERAGE('17.10  MUBENDE-MITYANA'!G11,'18.10 MUBENDE-MITYANA-24h'!G11,'19.10  MUBENDE-MITYANA-24h'!G11,'20.10 MUBENDE-MITYANA'!G11,'21.10 MUBENDE-MITYANA'!G11,'22.10 MUBENDE-MITYANA'!G11,'23.10 MUBENDE-MITYANA'!G11)</f>
        <v>0</v>
      </c>
      <c r="H11" s="49">
        <f>AVERAGE('17.10  MUBENDE-MITYANA'!H11,'18.10 MUBENDE-MITYANA-24h'!H11,'19.10  MUBENDE-MITYANA-24h'!H11,'20.10 MUBENDE-MITYANA'!H11,'21.10 MUBENDE-MITYANA'!H11,'22.10 MUBENDE-MITYANA'!H11,'23.10 MUBENDE-MITYANA'!H11)</f>
        <v>0</v>
      </c>
      <c r="I11" s="49">
        <f>AVERAGE('17.10  MUBENDE-MITYANA'!I11,'18.10 MUBENDE-MITYANA-24h'!I11,'19.10  MUBENDE-MITYANA-24h'!I11,'20.10 MUBENDE-MITYANA'!I11,'21.10 MUBENDE-MITYANA'!I11,'22.10 MUBENDE-MITYANA'!I11,'23.10 MUBENDE-MITYANA'!I11)</f>
        <v>1</v>
      </c>
      <c r="J11" s="49">
        <f>AVERAGE('17.10  MUBENDE-MITYANA'!J11,'18.10 MUBENDE-MITYANA-24h'!J11,'19.10  MUBENDE-MITYANA-24h'!J11,'20.10 MUBENDE-MITYANA'!J11,'21.10 MUBENDE-MITYANA'!J11,'22.10 MUBENDE-MITYANA'!J11,'23.10 MUBENDE-MITYANA'!J11)</f>
        <v>1.5714285714285714</v>
      </c>
      <c r="K11" s="49">
        <f>AVERAGE('17.10  MUBENDE-MITYANA'!K11,'18.10 MUBENDE-MITYANA-24h'!K11,'19.10  MUBENDE-MITYANA-24h'!K11,'20.10 MUBENDE-MITYANA'!K11,'21.10 MUBENDE-MITYANA'!K11,'22.10 MUBENDE-MITYANA'!K11,'23.10 MUBENDE-MITYANA'!K11)</f>
        <v>0.14285714285714285</v>
      </c>
      <c r="L11" s="49">
        <f>AVERAGE('17.10  MUBENDE-MITYANA'!L11,'18.10 MUBENDE-MITYANA-24h'!L11,'19.10  MUBENDE-MITYANA-24h'!L11,'20.10 MUBENDE-MITYANA'!L11,'21.10 MUBENDE-MITYANA'!L11,'22.10 MUBENDE-MITYANA'!L11,'23.10 MUBENDE-MITYANA'!L11)</f>
        <v>0.8571428571428571</v>
      </c>
      <c r="M11" s="49">
        <f>AVERAGE('17.10  MUBENDE-MITYANA'!M11,'18.10 MUBENDE-MITYANA-24h'!M11,'19.10  MUBENDE-MITYANA-24h'!M11,'20.10 MUBENDE-MITYANA'!M11,'21.10 MUBENDE-MITYANA'!M11,'22.10 MUBENDE-MITYANA'!M11,'23.10 MUBENDE-MITYANA'!M11)</f>
        <v>42.142857142857146</v>
      </c>
      <c r="N11" s="49">
        <f>AVERAGE('17.10  MUBENDE-MITYANA'!N11,'18.10 MUBENDE-MITYANA-24h'!N11,'19.10  MUBENDE-MITYANA-24h'!N11,'20.10 MUBENDE-MITYANA'!N11,'21.10 MUBENDE-MITYANA'!N11,'22.10 MUBENDE-MITYANA'!N11,'23.10 MUBENDE-MITYANA'!N11)</f>
        <v>0</v>
      </c>
      <c r="O11" s="15">
        <f t="shared" si="0"/>
        <v>14.571428571428571</v>
      </c>
      <c r="P11" s="15">
        <f t="shared" si="1"/>
        <v>56.714285714285715</v>
      </c>
      <c r="R11" s="1" t="s">
        <v>7</v>
      </c>
      <c r="S11" s="17">
        <f t="shared" ref="S11:AF11" si="3">SUM(C14:C17)</f>
        <v>18.571428571428569</v>
      </c>
      <c r="T11" s="17">
        <f t="shared" si="3"/>
        <v>7.8571428571428577</v>
      </c>
      <c r="U11" s="17">
        <f t="shared" si="3"/>
        <v>3.1428571428571432</v>
      </c>
      <c r="V11" s="17">
        <f t="shared" si="3"/>
        <v>25.428571428571427</v>
      </c>
      <c r="W11" s="17">
        <f t="shared" si="3"/>
        <v>0.2857142857142857</v>
      </c>
      <c r="X11" s="17">
        <f t="shared" si="3"/>
        <v>0.14285714285714285</v>
      </c>
      <c r="Y11" s="17">
        <f t="shared" si="3"/>
        <v>3.7142857142857144</v>
      </c>
      <c r="Z11" s="17">
        <f t="shared" si="3"/>
        <v>3.2857142857142856</v>
      </c>
      <c r="AA11" s="17">
        <f t="shared" si="3"/>
        <v>0.99999999999999989</v>
      </c>
      <c r="AB11" s="17">
        <f t="shared" si="3"/>
        <v>2.8571428571428568</v>
      </c>
      <c r="AC11" s="17">
        <f t="shared" si="3"/>
        <v>171.71428571428572</v>
      </c>
      <c r="AD11" s="17">
        <f t="shared" si="3"/>
        <v>0</v>
      </c>
      <c r="AE11" s="31">
        <f t="shared" si="3"/>
        <v>66.285714285714278</v>
      </c>
      <c r="AF11" s="31">
        <f t="shared" si="3"/>
        <v>238</v>
      </c>
    </row>
    <row r="12" spans="2:32" ht="23.1" customHeight="1" x14ac:dyDescent="0.25">
      <c r="B12" s="23" t="s">
        <v>39</v>
      </c>
      <c r="C12" s="49">
        <f>AVERAGE('17.10  MUBENDE-MITYANA'!C12,'18.10 MUBENDE-MITYANA-24h'!C12,'19.10  MUBENDE-MITYANA-24h'!C12,'20.10 MUBENDE-MITYANA'!C12,'21.10 MUBENDE-MITYANA'!C12,'22.10 MUBENDE-MITYANA'!C12,'23.10 MUBENDE-MITYANA'!C12)</f>
        <v>6.7142857142857144</v>
      </c>
      <c r="D12" s="49">
        <f>AVERAGE('17.10  MUBENDE-MITYANA'!D12,'18.10 MUBENDE-MITYANA-24h'!D12,'19.10  MUBENDE-MITYANA-24h'!D12,'20.10 MUBENDE-MITYANA'!D12,'21.10 MUBENDE-MITYANA'!D12,'22.10 MUBENDE-MITYANA'!D12,'23.10 MUBENDE-MITYANA'!D12)</f>
        <v>2.1428571428571428</v>
      </c>
      <c r="E12" s="49">
        <f>AVERAGE('17.10  MUBENDE-MITYANA'!E12,'18.10 MUBENDE-MITYANA-24h'!E12,'19.10  MUBENDE-MITYANA-24h'!E12,'20.10 MUBENDE-MITYANA'!E12,'21.10 MUBENDE-MITYANA'!E12,'22.10 MUBENDE-MITYANA'!E12,'23.10 MUBENDE-MITYANA'!E12)</f>
        <v>0.7142857142857143</v>
      </c>
      <c r="F12" s="49">
        <f>AVERAGE('17.10  MUBENDE-MITYANA'!F12,'18.10 MUBENDE-MITYANA-24h'!F12,'19.10  MUBENDE-MITYANA-24h'!F12,'20.10 MUBENDE-MITYANA'!F12,'21.10 MUBENDE-MITYANA'!F12,'22.10 MUBENDE-MITYANA'!F12,'23.10 MUBENDE-MITYANA'!F12)</f>
        <v>5.8571428571428568</v>
      </c>
      <c r="G12" s="49">
        <f>AVERAGE('17.10  MUBENDE-MITYANA'!G12,'18.10 MUBENDE-MITYANA-24h'!G12,'19.10  MUBENDE-MITYANA-24h'!G12,'20.10 MUBENDE-MITYANA'!G12,'21.10 MUBENDE-MITYANA'!G12,'22.10 MUBENDE-MITYANA'!G12,'23.10 MUBENDE-MITYANA'!G12)</f>
        <v>0.2857142857142857</v>
      </c>
      <c r="H12" s="49">
        <f>AVERAGE('17.10  MUBENDE-MITYANA'!H12,'18.10 MUBENDE-MITYANA-24h'!H12,'19.10  MUBENDE-MITYANA-24h'!H12,'20.10 MUBENDE-MITYANA'!H12,'21.10 MUBENDE-MITYANA'!H12,'22.10 MUBENDE-MITYANA'!H12,'23.10 MUBENDE-MITYANA'!H12)</f>
        <v>0</v>
      </c>
      <c r="I12" s="49">
        <f>AVERAGE('17.10  MUBENDE-MITYANA'!I12,'18.10 MUBENDE-MITYANA-24h'!I12,'19.10  MUBENDE-MITYANA-24h'!I12,'20.10 MUBENDE-MITYANA'!I12,'21.10 MUBENDE-MITYANA'!I12,'22.10 MUBENDE-MITYANA'!I12,'23.10 MUBENDE-MITYANA'!I12)</f>
        <v>1.1428571428571428</v>
      </c>
      <c r="J12" s="49">
        <f>AVERAGE('17.10  MUBENDE-MITYANA'!J12,'18.10 MUBENDE-MITYANA-24h'!J12,'19.10  MUBENDE-MITYANA-24h'!J12,'20.10 MUBENDE-MITYANA'!J12,'21.10 MUBENDE-MITYANA'!J12,'22.10 MUBENDE-MITYANA'!J12,'23.10 MUBENDE-MITYANA'!J12)</f>
        <v>0.8571428571428571</v>
      </c>
      <c r="K12" s="49">
        <f>AVERAGE('17.10  MUBENDE-MITYANA'!K12,'18.10 MUBENDE-MITYANA-24h'!K12,'19.10  MUBENDE-MITYANA-24h'!K12,'20.10 MUBENDE-MITYANA'!K12,'21.10 MUBENDE-MITYANA'!K12,'22.10 MUBENDE-MITYANA'!K12,'23.10 MUBENDE-MITYANA'!K12)</f>
        <v>0.14285714285714285</v>
      </c>
      <c r="L12" s="49">
        <f>AVERAGE('17.10  MUBENDE-MITYANA'!L12,'18.10 MUBENDE-MITYANA-24h'!L12,'19.10  MUBENDE-MITYANA-24h'!L12,'20.10 MUBENDE-MITYANA'!L12,'21.10 MUBENDE-MITYANA'!L12,'22.10 MUBENDE-MITYANA'!L12,'23.10 MUBENDE-MITYANA'!L12)</f>
        <v>0.5714285714285714</v>
      </c>
      <c r="M12" s="49">
        <f>AVERAGE('17.10  MUBENDE-MITYANA'!M12,'18.10 MUBENDE-MITYANA-24h'!M12,'19.10  MUBENDE-MITYANA-24h'!M12,'20.10 MUBENDE-MITYANA'!M12,'21.10 MUBENDE-MITYANA'!M12,'22.10 MUBENDE-MITYANA'!M12,'23.10 MUBENDE-MITYANA'!M12)</f>
        <v>43.571428571428569</v>
      </c>
      <c r="N12" s="49">
        <f>AVERAGE('17.10  MUBENDE-MITYANA'!N12,'18.10 MUBENDE-MITYANA-24h'!N12,'19.10  MUBENDE-MITYANA-24h'!N12,'20.10 MUBENDE-MITYANA'!N12,'21.10 MUBENDE-MITYANA'!N12,'22.10 MUBENDE-MITYANA'!N12,'23.10 MUBENDE-MITYANA'!N12)</f>
        <v>0</v>
      </c>
      <c r="O12" s="15">
        <f t="shared" si="0"/>
        <v>18.428571428571431</v>
      </c>
      <c r="P12" s="15">
        <f t="shared" si="1"/>
        <v>62</v>
      </c>
      <c r="R12" s="1" t="s">
        <v>8</v>
      </c>
      <c r="S12" s="17">
        <f t="shared" ref="S12:AF12" si="4">SUM(C18:C21)</f>
        <v>20.857142857142858</v>
      </c>
      <c r="T12" s="17">
        <f t="shared" si="4"/>
        <v>8.2857142857142865</v>
      </c>
      <c r="U12" s="17">
        <f t="shared" si="4"/>
        <v>4</v>
      </c>
      <c r="V12" s="17">
        <f t="shared" si="4"/>
        <v>21.285714285714285</v>
      </c>
      <c r="W12" s="17">
        <f t="shared" si="4"/>
        <v>0.2857142857142857</v>
      </c>
      <c r="X12" s="17">
        <f t="shared" si="4"/>
        <v>0.42857142857142855</v>
      </c>
      <c r="Y12" s="17">
        <f t="shared" si="4"/>
        <v>6.4285714285714279</v>
      </c>
      <c r="Z12" s="17">
        <f t="shared" si="4"/>
        <v>1.857142857142857</v>
      </c>
      <c r="AA12" s="17">
        <f t="shared" si="4"/>
        <v>0.5714285714285714</v>
      </c>
      <c r="AB12" s="17">
        <f t="shared" si="4"/>
        <v>2.8571428571428568</v>
      </c>
      <c r="AC12" s="17">
        <f t="shared" si="4"/>
        <v>163.42857142857142</v>
      </c>
      <c r="AD12" s="17">
        <f t="shared" si="4"/>
        <v>0.14285714285714285</v>
      </c>
      <c r="AE12" s="31">
        <f t="shared" si="4"/>
        <v>67</v>
      </c>
      <c r="AF12" s="31">
        <f t="shared" si="4"/>
        <v>230.42857142857144</v>
      </c>
    </row>
    <row r="13" spans="2:32" ht="23.1" customHeight="1" x14ac:dyDescent="0.25">
      <c r="B13" s="23" t="s">
        <v>40</v>
      </c>
      <c r="C13" s="49">
        <f>AVERAGE('17.10  MUBENDE-MITYANA'!C13,'18.10 MUBENDE-MITYANA-24h'!C13,'19.10  MUBENDE-MITYANA-24h'!C13,'20.10 MUBENDE-MITYANA'!C13,'21.10 MUBENDE-MITYANA'!C13,'22.10 MUBENDE-MITYANA'!C13,'23.10 MUBENDE-MITYANA'!C13)</f>
        <v>5.5714285714285712</v>
      </c>
      <c r="D13" s="49">
        <f>AVERAGE('17.10  MUBENDE-MITYANA'!D13,'18.10 MUBENDE-MITYANA-24h'!D13,'19.10  MUBENDE-MITYANA-24h'!D13,'20.10 MUBENDE-MITYANA'!D13,'21.10 MUBENDE-MITYANA'!D13,'22.10 MUBENDE-MITYANA'!D13,'23.10 MUBENDE-MITYANA'!D13)</f>
        <v>0.5714285714285714</v>
      </c>
      <c r="E13" s="49">
        <f>AVERAGE('17.10  MUBENDE-MITYANA'!E13,'18.10 MUBENDE-MITYANA-24h'!E13,'19.10  MUBENDE-MITYANA-24h'!E13,'20.10 MUBENDE-MITYANA'!E13,'21.10 MUBENDE-MITYANA'!E13,'22.10 MUBENDE-MITYANA'!E13,'23.10 MUBENDE-MITYANA'!E13)</f>
        <v>1.2857142857142858</v>
      </c>
      <c r="F13" s="49">
        <f>AVERAGE('17.10  MUBENDE-MITYANA'!F13,'18.10 MUBENDE-MITYANA-24h'!F13,'19.10  MUBENDE-MITYANA-24h'!F13,'20.10 MUBENDE-MITYANA'!F13,'21.10 MUBENDE-MITYANA'!F13,'22.10 MUBENDE-MITYANA'!F13,'23.10 MUBENDE-MITYANA'!F13)</f>
        <v>5</v>
      </c>
      <c r="G13" s="49">
        <f>AVERAGE('17.10  MUBENDE-MITYANA'!G13,'18.10 MUBENDE-MITYANA-24h'!G13,'19.10  MUBENDE-MITYANA-24h'!G13,'20.10 MUBENDE-MITYANA'!G13,'21.10 MUBENDE-MITYANA'!G13,'22.10 MUBENDE-MITYANA'!G13,'23.10 MUBENDE-MITYANA'!G13)</f>
        <v>0</v>
      </c>
      <c r="H13" s="49">
        <f>AVERAGE('17.10  MUBENDE-MITYANA'!H13,'18.10 MUBENDE-MITYANA-24h'!H13,'19.10  MUBENDE-MITYANA-24h'!H13,'20.10 MUBENDE-MITYANA'!H13,'21.10 MUBENDE-MITYANA'!H13,'22.10 MUBENDE-MITYANA'!H13,'23.10 MUBENDE-MITYANA'!H13)</f>
        <v>0</v>
      </c>
      <c r="I13" s="49">
        <f>AVERAGE('17.10  MUBENDE-MITYANA'!I13,'18.10 MUBENDE-MITYANA-24h'!I13,'19.10  MUBENDE-MITYANA-24h'!I13,'20.10 MUBENDE-MITYANA'!I13,'21.10 MUBENDE-MITYANA'!I13,'22.10 MUBENDE-MITYANA'!I13,'23.10 MUBENDE-MITYANA'!I13)</f>
        <v>0.7142857142857143</v>
      </c>
      <c r="J13" s="49">
        <f>AVERAGE('17.10  MUBENDE-MITYANA'!J13,'18.10 MUBENDE-MITYANA-24h'!J13,'19.10  MUBENDE-MITYANA-24h'!J13,'20.10 MUBENDE-MITYANA'!J13,'21.10 MUBENDE-MITYANA'!J13,'22.10 MUBENDE-MITYANA'!J13,'23.10 MUBENDE-MITYANA'!J13)</f>
        <v>0.7142857142857143</v>
      </c>
      <c r="K13" s="49">
        <f>AVERAGE('17.10  MUBENDE-MITYANA'!K13,'18.10 MUBENDE-MITYANA-24h'!K13,'19.10  MUBENDE-MITYANA-24h'!K13,'20.10 MUBENDE-MITYANA'!K13,'21.10 MUBENDE-MITYANA'!K13,'22.10 MUBENDE-MITYANA'!K13,'23.10 MUBENDE-MITYANA'!K13)</f>
        <v>0.2857142857142857</v>
      </c>
      <c r="L13" s="49">
        <f>AVERAGE('17.10  MUBENDE-MITYANA'!L13,'18.10 MUBENDE-MITYANA-24h'!L13,'19.10  MUBENDE-MITYANA-24h'!L13,'20.10 MUBENDE-MITYANA'!L13,'21.10 MUBENDE-MITYANA'!L13,'22.10 MUBENDE-MITYANA'!L13,'23.10 MUBENDE-MITYANA'!L13)</f>
        <v>0.42857142857142855</v>
      </c>
      <c r="M13" s="49">
        <f>AVERAGE('17.10  MUBENDE-MITYANA'!M13,'18.10 MUBENDE-MITYANA-24h'!M13,'19.10  MUBENDE-MITYANA-24h'!M13,'20.10 MUBENDE-MITYANA'!M13,'21.10 MUBENDE-MITYANA'!M13,'22.10 MUBENDE-MITYANA'!M13,'23.10 MUBENDE-MITYANA'!M13)</f>
        <v>46.428571428571431</v>
      </c>
      <c r="N13" s="49">
        <f>AVERAGE('17.10  MUBENDE-MITYANA'!N13,'18.10 MUBENDE-MITYANA-24h'!N13,'19.10  MUBENDE-MITYANA-24h'!N13,'20.10 MUBENDE-MITYANA'!N13,'21.10 MUBENDE-MITYANA'!N13,'22.10 MUBENDE-MITYANA'!N13,'23.10 MUBENDE-MITYANA'!N13)</f>
        <v>0</v>
      </c>
      <c r="O13" s="15">
        <f t="shared" si="0"/>
        <v>14.571428571428569</v>
      </c>
      <c r="P13" s="15">
        <f t="shared" si="1"/>
        <v>61</v>
      </c>
      <c r="R13" s="1" t="s">
        <v>9</v>
      </c>
      <c r="S13" s="17">
        <f t="shared" ref="S13:AF13" si="5">SUM(C22:C25)</f>
        <v>23.571428571428569</v>
      </c>
      <c r="T13" s="17">
        <f t="shared" si="5"/>
        <v>8.2857142857142865</v>
      </c>
      <c r="U13" s="17">
        <f t="shared" si="5"/>
        <v>5.5714285714285712</v>
      </c>
      <c r="V13" s="17">
        <f t="shared" si="5"/>
        <v>27.428571428571427</v>
      </c>
      <c r="W13" s="17">
        <f t="shared" si="5"/>
        <v>0.85714285714285698</v>
      </c>
      <c r="X13" s="17">
        <f t="shared" si="5"/>
        <v>0.42857142857142855</v>
      </c>
      <c r="Y13" s="17">
        <f t="shared" si="5"/>
        <v>7.1428571428571432</v>
      </c>
      <c r="Z13" s="17">
        <f t="shared" si="5"/>
        <v>2.1428571428571428</v>
      </c>
      <c r="AA13" s="17">
        <f t="shared" si="5"/>
        <v>0.85714285714285698</v>
      </c>
      <c r="AB13" s="17">
        <f t="shared" si="5"/>
        <v>2.5714285714285712</v>
      </c>
      <c r="AC13" s="17">
        <f t="shared" si="5"/>
        <v>148.57142857142856</v>
      </c>
      <c r="AD13" s="17">
        <f t="shared" si="5"/>
        <v>0</v>
      </c>
      <c r="AE13" s="31">
        <f t="shared" si="5"/>
        <v>78.857142857142861</v>
      </c>
      <c r="AF13" s="31">
        <f t="shared" si="5"/>
        <v>227.42857142857144</v>
      </c>
    </row>
    <row r="14" spans="2:32" ht="23.1" customHeight="1" x14ac:dyDescent="0.25">
      <c r="B14" s="23" t="s">
        <v>41</v>
      </c>
      <c r="C14" s="49">
        <f>AVERAGE('17.10  MUBENDE-MITYANA'!C14,'18.10 MUBENDE-MITYANA-24h'!C14,'19.10  MUBENDE-MITYANA-24h'!C14,'20.10 MUBENDE-MITYANA'!C14,'21.10 MUBENDE-MITYANA'!C14,'22.10 MUBENDE-MITYANA'!C14,'23.10 MUBENDE-MITYANA'!C14)</f>
        <v>3.5714285714285716</v>
      </c>
      <c r="D14" s="49">
        <f>AVERAGE('17.10  MUBENDE-MITYANA'!D14,'18.10 MUBENDE-MITYANA-24h'!D14,'19.10  MUBENDE-MITYANA-24h'!D14,'20.10 MUBENDE-MITYANA'!D14,'21.10 MUBENDE-MITYANA'!D14,'22.10 MUBENDE-MITYANA'!D14,'23.10 MUBENDE-MITYANA'!D14)</f>
        <v>2</v>
      </c>
      <c r="E14" s="49">
        <f>AVERAGE('17.10  MUBENDE-MITYANA'!E14,'18.10 MUBENDE-MITYANA-24h'!E14,'19.10  MUBENDE-MITYANA-24h'!E14,'20.10 MUBENDE-MITYANA'!E14,'21.10 MUBENDE-MITYANA'!E14,'22.10 MUBENDE-MITYANA'!E14,'23.10 MUBENDE-MITYANA'!E14)</f>
        <v>0.2857142857142857</v>
      </c>
      <c r="F14" s="49">
        <f>AVERAGE('17.10  MUBENDE-MITYANA'!F14,'18.10 MUBENDE-MITYANA-24h'!F14,'19.10  MUBENDE-MITYANA-24h'!F14,'20.10 MUBENDE-MITYANA'!F14,'21.10 MUBENDE-MITYANA'!F14,'22.10 MUBENDE-MITYANA'!F14,'23.10 MUBENDE-MITYANA'!F14)</f>
        <v>7.7142857142857144</v>
      </c>
      <c r="G14" s="49">
        <f>AVERAGE('17.10  MUBENDE-MITYANA'!G14,'18.10 MUBENDE-MITYANA-24h'!G14,'19.10  MUBENDE-MITYANA-24h'!G14,'20.10 MUBENDE-MITYANA'!G14,'21.10 MUBENDE-MITYANA'!G14,'22.10 MUBENDE-MITYANA'!G14,'23.10 MUBENDE-MITYANA'!G14)</f>
        <v>0</v>
      </c>
      <c r="H14" s="49">
        <f>AVERAGE('17.10  MUBENDE-MITYANA'!H14,'18.10 MUBENDE-MITYANA-24h'!H14,'19.10  MUBENDE-MITYANA-24h'!H14,'20.10 MUBENDE-MITYANA'!H14,'21.10 MUBENDE-MITYANA'!H14,'22.10 MUBENDE-MITYANA'!H14,'23.10 MUBENDE-MITYANA'!H14)</f>
        <v>0</v>
      </c>
      <c r="I14" s="49">
        <f>AVERAGE('17.10  MUBENDE-MITYANA'!I14,'18.10 MUBENDE-MITYANA-24h'!I14,'19.10  MUBENDE-MITYANA-24h'!I14,'20.10 MUBENDE-MITYANA'!I14,'21.10 MUBENDE-MITYANA'!I14,'22.10 MUBENDE-MITYANA'!I14,'23.10 MUBENDE-MITYANA'!I14)</f>
        <v>0.8571428571428571</v>
      </c>
      <c r="J14" s="49">
        <f>AVERAGE('17.10  MUBENDE-MITYANA'!J14,'18.10 MUBENDE-MITYANA-24h'!J14,'19.10  MUBENDE-MITYANA-24h'!J14,'20.10 MUBENDE-MITYANA'!J14,'21.10 MUBENDE-MITYANA'!J14,'22.10 MUBENDE-MITYANA'!J14,'23.10 MUBENDE-MITYANA'!J14)</f>
        <v>1</v>
      </c>
      <c r="K14" s="49">
        <f>AVERAGE('17.10  MUBENDE-MITYANA'!K14,'18.10 MUBENDE-MITYANA-24h'!K14,'19.10  MUBENDE-MITYANA-24h'!K14,'20.10 MUBENDE-MITYANA'!K14,'21.10 MUBENDE-MITYANA'!K14,'22.10 MUBENDE-MITYANA'!K14,'23.10 MUBENDE-MITYANA'!K14)</f>
        <v>0.42857142857142855</v>
      </c>
      <c r="L14" s="49">
        <f>AVERAGE('17.10  MUBENDE-MITYANA'!L14,'18.10 MUBENDE-MITYANA-24h'!L14,'19.10  MUBENDE-MITYANA-24h'!L14,'20.10 MUBENDE-MITYANA'!L14,'21.10 MUBENDE-MITYANA'!L14,'22.10 MUBENDE-MITYANA'!L14,'23.10 MUBENDE-MITYANA'!L14)</f>
        <v>0.8571428571428571</v>
      </c>
      <c r="M14" s="49">
        <f>AVERAGE('17.10  MUBENDE-MITYANA'!M14,'18.10 MUBENDE-MITYANA-24h'!M14,'19.10  MUBENDE-MITYANA-24h'!M14,'20.10 MUBENDE-MITYANA'!M14,'21.10 MUBENDE-MITYANA'!M14,'22.10 MUBENDE-MITYANA'!M14,'23.10 MUBENDE-MITYANA'!M14)</f>
        <v>43.142857142857146</v>
      </c>
      <c r="N14" s="49">
        <f>AVERAGE('17.10  MUBENDE-MITYANA'!N14,'18.10 MUBENDE-MITYANA-24h'!N14,'19.10  MUBENDE-MITYANA-24h'!N14,'20.10 MUBENDE-MITYANA'!N14,'21.10 MUBENDE-MITYANA'!N14,'22.10 MUBENDE-MITYANA'!N14,'23.10 MUBENDE-MITYANA'!N14)</f>
        <v>0</v>
      </c>
      <c r="O14" s="15">
        <f t="shared" si="0"/>
        <v>16.714285714285715</v>
      </c>
      <c r="P14" s="15">
        <f t="shared" si="1"/>
        <v>59.857142857142861</v>
      </c>
      <c r="R14" s="1" t="s">
        <v>10</v>
      </c>
      <c r="S14" s="17">
        <f t="shared" ref="S14:AF14" si="6">SUM(C26:C29)</f>
        <v>28.714285714285715</v>
      </c>
      <c r="T14" s="17">
        <f t="shared" si="6"/>
        <v>9.5714285714285712</v>
      </c>
      <c r="U14" s="17">
        <f t="shared" si="6"/>
        <v>7</v>
      </c>
      <c r="V14" s="17">
        <f t="shared" si="6"/>
        <v>25.285714285714285</v>
      </c>
      <c r="W14" s="17">
        <f t="shared" si="6"/>
        <v>0.2857142857142857</v>
      </c>
      <c r="X14" s="17">
        <f t="shared" si="6"/>
        <v>1.2857142857142856</v>
      </c>
      <c r="Y14" s="17">
        <f t="shared" si="6"/>
        <v>6.1428571428571432</v>
      </c>
      <c r="Z14" s="17">
        <f t="shared" si="6"/>
        <v>4.4285714285714279</v>
      </c>
      <c r="AA14" s="17">
        <f t="shared" si="6"/>
        <v>0.71428571428571419</v>
      </c>
      <c r="AB14" s="17">
        <f t="shared" si="6"/>
        <v>2.1428571428571428</v>
      </c>
      <c r="AC14" s="17">
        <f t="shared" si="6"/>
        <v>159.28571428571428</v>
      </c>
      <c r="AD14" s="17">
        <f t="shared" si="6"/>
        <v>0</v>
      </c>
      <c r="AE14" s="31">
        <f t="shared" si="6"/>
        <v>85.571428571428569</v>
      </c>
      <c r="AF14" s="31">
        <f t="shared" si="6"/>
        <v>244.85714285714286</v>
      </c>
    </row>
    <row r="15" spans="2:32" ht="23.1" customHeight="1" x14ac:dyDescent="0.25">
      <c r="B15" s="23" t="s">
        <v>42</v>
      </c>
      <c r="C15" s="49">
        <f>AVERAGE('17.10  MUBENDE-MITYANA'!C15,'18.10 MUBENDE-MITYANA-24h'!C15,'19.10  MUBENDE-MITYANA-24h'!C15,'20.10 MUBENDE-MITYANA'!C15,'21.10 MUBENDE-MITYANA'!C15,'22.10 MUBENDE-MITYANA'!C15,'23.10 MUBENDE-MITYANA'!C15)</f>
        <v>5</v>
      </c>
      <c r="D15" s="49">
        <f>AVERAGE('17.10  MUBENDE-MITYANA'!D15,'18.10 MUBENDE-MITYANA-24h'!D15,'19.10  MUBENDE-MITYANA-24h'!D15,'20.10 MUBENDE-MITYANA'!D15,'21.10 MUBENDE-MITYANA'!D15,'22.10 MUBENDE-MITYANA'!D15,'23.10 MUBENDE-MITYANA'!D15)</f>
        <v>2</v>
      </c>
      <c r="E15" s="49">
        <f>AVERAGE('17.10  MUBENDE-MITYANA'!E15,'18.10 MUBENDE-MITYANA-24h'!E15,'19.10  MUBENDE-MITYANA-24h'!E15,'20.10 MUBENDE-MITYANA'!E15,'21.10 MUBENDE-MITYANA'!E15,'22.10 MUBENDE-MITYANA'!E15,'23.10 MUBENDE-MITYANA'!E15)</f>
        <v>0.8571428571428571</v>
      </c>
      <c r="F15" s="49">
        <f>AVERAGE('17.10  MUBENDE-MITYANA'!F15,'18.10 MUBENDE-MITYANA-24h'!F15,'19.10  MUBENDE-MITYANA-24h'!F15,'20.10 MUBENDE-MITYANA'!F15,'21.10 MUBENDE-MITYANA'!F15,'22.10 MUBENDE-MITYANA'!F15,'23.10 MUBENDE-MITYANA'!F15)</f>
        <v>6.8571428571428568</v>
      </c>
      <c r="G15" s="49">
        <f>AVERAGE('17.10  MUBENDE-MITYANA'!G15,'18.10 MUBENDE-MITYANA-24h'!G15,'19.10  MUBENDE-MITYANA-24h'!G15,'20.10 MUBENDE-MITYANA'!G15,'21.10 MUBENDE-MITYANA'!G15,'22.10 MUBENDE-MITYANA'!G15,'23.10 MUBENDE-MITYANA'!G15)</f>
        <v>0</v>
      </c>
      <c r="H15" s="49">
        <f>AVERAGE('17.10  MUBENDE-MITYANA'!H15,'18.10 MUBENDE-MITYANA-24h'!H15,'19.10  MUBENDE-MITYANA-24h'!H15,'20.10 MUBENDE-MITYANA'!H15,'21.10 MUBENDE-MITYANA'!H15,'22.10 MUBENDE-MITYANA'!H15,'23.10 MUBENDE-MITYANA'!H15)</f>
        <v>0</v>
      </c>
      <c r="I15" s="49">
        <f>AVERAGE('17.10  MUBENDE-MITYANA'!I15,'18.10 MUBENDE-MITYANA-24h'!I15,'19.10  MUBENDE-MITYANA-24h'!I15,'20.10 MUBENDE-MITYANA'!I15,'21.10 MUBENDE-MITYANA'!I15,'22.10 MUBENDE-MITYANA'!I15,'23.10 MUBENDE-MITYANA'!I15)</f>
        <v>0.7142857142857143</v>
      </c>
      <c r="J15" s="49">
        <f>AVERAGE('17.10  MUBENDE-MITYANA'!J15,'18.10 MUBENDE-MITYANA-24h'!J15,'19.10  MUBENDE-MITYANA-24h'!J15,'20.10 MUBENDE-MITYANA'!J15,'21.10 MUBENDE-MITYANA'!J15,'22.10 MUBENDE-MITYANA'!J15,'23.10 MUBENDE-MITYANA'!J15)</f>
        <v>1</v>
      </c>
      <c r="K15" s="49">
        <f>AVERAGE('17.10  MUBENDE-MITYANA'!K15,'18.10 MUBENDE-MITYANA-24h'!K15,'19.10  MUBENDE-MITYANA-24h'!K15,'20.10 MUBENDE-MITYANA'!K15,'21.10 MUBENDE-MITYANA'!K15,'22.10 MUBENDE-MITYANA'!K15,'23.10 MUBENDE-MITYANA'!K15)</f>
        <v>0.2857142857142857</v>
      </c>
      <c r="L15" s="49">
        <f>AVERAGE('17.10  MUBENDE-MITYANA'!L15,'18.10 MUBENDE-MITYANA-24h'!L15,'19.10  MUBENDE-MITYANA-24h'!L15,'20.10 MUBENDE-MITYANA'!L15,'21.10 MUBENDE-MITYANA'!L15,'22.10 MUBENDE-MITYANA'!L15,'23.10 MUBENDE-MITYANA'!L15)</f>
        <v>0.7142857142857143</v>
      </c>
      <c r="M15" s="49">
        <f>AVERAGE('17.10  MUBENDE-MITYANA'!M15,'18.10 MUBENDE-MITYANA-24h'!M15,'19.10  MUBENDE-MITYANA-24h'!M15,'20.10 MUBENDE-MITYANA'!M15,'21.10 MUBENDE-MITYANA'!M15,'22.10 MUBENDE-MITYANA'!M15,'23.10 MUBENDE-MITYANA'!M15)</f>
        <v>38.571428571428569</v>
      </c>
      <c r="N15" s="49">
        <f>AVERAGE('17.10  MUBENDE-MITYANA'!N15,'18.10 MUBENDE-MITYANA-24h'!N15,'19.10  MUBENDE-MITYANA-24h'!N15,'20.10 MUBENDE-MITYANA'!N15,'21.10 MUBENDE-MITYANA'!N15,'22.10 MUBENDE-MITYANA'!N15,'23.10 MUBENDE-MITYANA'!N15)</f>
        <v>0</v>
      </c>
      <c r="O15" s="15">
        <f t="shared" si="0"/>
        <v>17.428571428571427</v>
      </c>
      <c r="P15" s="15">
        <f t="shared" si="1"/>
        <v>56</v>
      </c>
      <c r="R15" s="1" t="s">
        <v>11</v>
      </c>
      <c r="S15" s="17">
        <f t="shared" ref="S15:AF15" si="7">SUM(C30:C33)</f>
        <v>28</v>
      </c>
      <c r="T15" s="17">
        <f t="shared" si="7"/>
        <v>11.142857142857142</v>
      </c>
      <c r="U15" s="17">
        <f t="shared" si="7"/>
        <v>7.5714285714285712</v>
      </c>
      <c r="V15" s="17">
        <f t="shared" si="7"/>
        <v>26.714285714285715</v>
      </c>
      <c r="W15" s="17">
        <f t="shared" si="7"/>
        <v>0.5714285714285714</v>
      </c>
      <c r="X15" s="17">
        <f t="shared" si="7"/>
        <v>1.7142857142857142</v>
      </c>
      <c r="Y15" s="17">
        <f t="shared" si="7"/>
        <v>7.1428571428571423</v>
      </c>
      <c r="Z15" s="17">
        <f t="shared" si="7"/>
        <v>4.2857142857142856</v>
      </c>
      <c r="AA15" s="17">
        <f t="shared" si="7"/>
        <v>1.1428571428571428</v>
      </c>
      <c r="AB15" s="17">
        <f t="shared" si="7"/>
        <v>3.2857142857142856</v>
      </c>
      <c r="AC15" s="17">
        <f t="shared" si="7"/>
        <v>156.42857142857144</v>
      </c>
      <c r="AD15" s="17">
        <f t="shared" si="7"/>
        <v>0</v>
      </c>
      <c r="AE15" s="31">
        <f t="shared" si="7"/>
        <v>91.571428571428584</v>
      </c>
      <c r="AF15" s="31">
        <f t="shared" si="7"/>
        <v>248</v>
      </c>
    </row>
    <row r="16" spans="2:32" ht="23.1" customHeight="1" x14ac:dyDescent="0.25">
      <c r="B16" s="23" t="s">
        <v>43</v>
      </c>
      <c r="C16" s="49">
        <f>AVERAGE('17.10  MUBENDE-MITYANA'!C16,'18.10 MUBENDE-MITYANA-24h'!C16,'19.10  MUBENDE-MITYANA-24h'!C16,'20.10 MUBENDE-MITYANA'!C16,'21.10 MUBENDE-MITYANA'!C16,'22.10 MUBENDE-MITYANA'!C16,'23.10 MUBENDE-MITYANA'!C16)</f>
        <v>5.4285714285714288</v>
      </c>
      <c r="D16" s="49">
        <f>AVERAGE('17.10  MUBENDE-MITYANA'!D16,'18.10 MUBENDE-MITYANA-24h'!D16,'19.10  MUBENDE-MITYANA-24h'!D16,'20.10 MUBENDE-MITYANA'!D16,'21.10 MUBENDE-MITYANA'!D16,'22.10 MUBENDE-MITYANA'!D16,'23.10 MUBENDE-MITYANA'!D16)</f>
        <v>2.7142857142857144</v>
      </c>
      <c r="E16" s="49">
        <f>AVERAGE('17.10  MUBENDE-MITYANA'!E16,'18.10 MUBENDE-MITYANA-24h'!E16,'19.10  MUBENDE-MITYANA-24h'!E16,'20.10 MUBENDE-MITYANA'!E16,'21.10 MUBENDE-MITYANA'!E16,'22.10 MUBENDE-MITYANA'!E16,'23.10 MUBENDE-MITYANA'!E16)</f>
        <v>0.7142857142857143</v>
      </c>
      <c r="F16" s="49">
        <f>AVERAGE('17.10  MUBENDE-MITYANA'!F16,'18.10 MUBENDE-MITYANA-24h'!F16,'19.10  MUBENDE-MITYANA-24h'!F16,'20.10 MUBENDE-MITYANA'!F16,'21.10 MUBENDE-MITYANA'!F16,'22.10 MUBENDE-MITYANA'!F16,'23.10 MUBENDE-MITYANA'!F16)</f>
        <v>5</v>
      </c>
      <c r="G16" s="49">
        <f>AVERAGE('17.10  MUBENDE-MITYANA'!G16,'18.10 MUBENDE-MITYANA-24h'!G16,'19.10  MUBENDE-MITYANA-24h'!G16,'20.10 MUBENDE-MITYANA'!G16,'21.10 MUBENDE-MITYANA'!G16,'22.10 MUBENDE-MITYANA'!G16,'23.10 MUBENDE-MITYANA'!G16)</f>
        <v>0.2857142857142857</v>
      </c>
      <c r="H16" s="49">
        <f>AVERAGE('17.10  MUBENDE-MITYANA'!H16,'18.10 MUBENDE-MITYANA-24h'!H16,'19.10  MUBENDE-MITYANA-24h'!H16,'20.10 MUBENDE-MITYANA'!H16,'21.10 MUBENDE-MITYANA'!H16,'22.10 MUBENDE-MITYANA'!H16,'23.10 MUBENDE-MITYANA'!H16)</f>
        <v>0.14285714285714285</v>
      </c>
      <c r="I16" s="49">
        <f>AVERAGE('17.10  MUBENDE-MITYANA'!I16,'18.10 MUBENDE-MITYANA-24h'!I16,'19.10  MUBENDE-MITYANA-24h'!I16,'20.10 MUBENDE-MITYANA'!I16,'21.10 MUBENDE-MITYANA'!I16,'22.10 MUBENDE-MITYANA'!I16,'23.10 MUBENDE-MITYANA'!I16)</f>
        <v>1.1428571428571428</v>
      </c>
      <c r="J16" s="49">
        <f>AVERAGE('17.10  MUBENDE-MITYANA'!J16,'18.10 MUBENDE-MITYANA-24h'!J16,'19.10  MUBENDE-MITYANA-24h'!J16,'20.10 MUBENDE-MITYANA'!J16,'21.10 MUBENDE-MITYANA'!J16,'22.10 MUBENDE-MITYANA'!J16,'23.10 MUBENDE-MITYANA'!J16)</f>
        <v>0.8571428571428571</v>
      </c>
      <c r="K16" s="49">
        <f>AVERAGE('17.10  MUBENDE-MITYANA'!K16,'18.10 MUBENDE-MITYANA-24h'!K16,'19.10  MUBENDE-MITYANA-24h'!K16,'20.10 MUBENDE-MITYANA'!K16,'21.10 MUBENDE-MITYANA'!K16,'22.10 MUBENDE-MITYANA'!K16,'23.10 MUBENDE-MITYANA'!K16)</f>
        <v>0</v>
      </c>
      <c r="L16" s="49">
        <f>AVERAGE('17.10  MUBENDE-MITYANA'!L16,'18.10 MUBENDE-MITYANA-24h'!L16,'19.10  MUBENDE-MITYANA-24h'!L16,'20.10 MUBENDE-MITYANA'!L16,'21.10 MUBENDE-MITYANA'!L16,'22.10 MUBENDE-MITYANA'!L16,'23.10 MUBENDE-MITYANA'!L16)</f>
        <v>0.7142857142857143</v>
      </c>
      <c r="M16" s="49">
        <f>AVERAGE('17.10  MUBENDE-MITYANA'!M16,'18.10 MUBENDE-MITYANA-24h'!M16,'19.10  MUBENDE-MITYANA-24h'!M16,'20.10 MUBENDE-MITYANA'!M16,'21.10 MUBENDE-MITYANA'!M16,'22.10 MUBENDE-MITYANA'!M16,'23.10 MUBENDE-MITYANA'!M16)</f>
        <v>44.857142857142854</v>
      </c>
      <c r="N16" s="49">
        <f>AVERAGE('17.10  MUBENDE-MITYANA'!N16,'18.10 MUBENDE-MITYANA-24h'!N16,'19.10  MUBENDE-MITYANA-24h'!N16,'20.10 MUBENDE-MITYANA'!N16,'21.10 MUBENDE-MITYANA'!N16,'22.10 MUBENDE-MITYANA'!N16,'23.10 MUBENDE-MITYANA'!N16)</f>
        <v>0</v>
      </c>
      <c r="O16" s="15">
        <f t="shared" si="0"/>
        <v>17</v>
      </c>
      <c r="P16" s="15">
        <f t="shared" si="1"/>
        <v>61.857142857142854</v>
      </c>
      <c r="R16" s="1" t="s">
        <v>12</v>
      </c>
      <c r="S16" s="17">
        <f t="shared" ref="S16:AF16" si="8">SUM(C34:C37)</f>
        <v>28.571428571428573</v>
      </c>
      <c r="T16" s="17">
        <f t="shared" si="8"/>
        <v>11.428571428571429</v>
      </c>
      <c r="U16" s="17">
        <f t="shared" si="8"/>
        <v>5</v>
      </c>
      <c r="V16" s="17">
        <f t="shared" si="8"/>
        <v>28.285714285714285</v>
      </c>
      <c r="W16" s="17">
        <f t="shared" si="8"/>
        <v>0.2857142857142857</v>
      </c>
      <c r="X16" s="17">
        <f t="shared" si="8"/>
        <v>1.7142857142857142</v>
      </c>
      <c r="Y16" s="17">
        <f t="shared" si="8"/>
        <v>8.7142857142857135</v>
      </c>
      <c r="Z16" s="17">
        <f t="shared" si="8"/>
        <v>6.4285714285714288</v>
      </c>
      <c r="AA16" s="17">
        <f t="shared" si="8"/>
        <v>1.2857142857142856</v>
      </c>
      <c r="AB16" s="17">
        <f t="shared" si="8"/>
        <v>3.9999999999999996</v>
      </c>
      <c r="AC16" s="17">
        <f t="shared" si="8"/>
        <v>159</v>
      </c>
      <c r="AD16" s="17">
        <f t="shared" si="8"/>
        <v>0</v>
      </c>
      <c r="AE16" s="31">
        <f t="shared" si="8"/>
        <v>95.714285714285708</v>
      </c>
      <c r="AF16" s="31">
        <f t="shared" si="8"/>
        <v>254.71428571428569</v>
      </c>
    </row>
    <row r="17" spans="2:32" ht="23.1" customHeight="1" x14ac:dyDescent="0.25">
      <c r="B17" s="23" t="s">
        <v>44</v>
      </c>
      <c r="C17" s="49">
        <f>AVERAGE('17.10  MUBENDE-MITYANA'!C17,'18.10 MUBENDE-MITYANA-24h'!C17,'19.10  MUBENDE-MITYANA-24h'!C17,'20.10 MUBENDE-MITYANA'!C17,'21.10 MUBENDE-MITYANA'!C17,'22.10 MUBENDE-MITYANA'!C17,'23.10 MUBENDE-MITYANA'!C17)</f>
        <v>4.5714285714285712</v>
      </c>
      <c r="D17" s="49">
        <f>AVERAGE('17.10  MUBENDE-MITYANA'!D17,'18.10 MUBENDE-MITYANA-24h'!D17,'19.10  MUBENDE-MITYANA-24h'!D17,'20.10 MUBENDE-MITYANA'!D17,'21.10 MUBENDE-MITYANA'!D17,'22.10 MUBENDE-MITYANA'!D17,'23.10 MUBENDE-MITYANA'!D17)</f>
        <v>1.1428571428571428</v>
      </c>
      <c r="E17" s="49">
        <f>AVERAGE('17.10  MUBENDE-MITYANA'!E17,'18.10 MUBENDE-MITYANA-24h'!E17,'19.10  MUBENDE-MITYANA-24h'!E17,'20.10 MUBENDE-MITYANA'!E17,'21.10 MUBENDE-MITYANA'!E17,'22.10 MUBENDE-MITYANA'!E17,'23.10 MUBENDE-MITYANA'!E17)</f>
        <v>1.2857142857142858</v>
      </c>
      <c r="F17" s="49">
        <f>AVERAGE('17.10  MUBENDE-MITYANA'!F17,'18.10 MUBENDE-MITYANA-24h'!F17,'19.10  MUBENDE-MITYANA-24h'!F17,'20.10 MUBENDE-MITYANA'!F17,'21.10 MUBENDE-MITYANA'!F17,'22.10 MUBENDE-MITYANA'!F17,'23.10 MUBENDE-MITYANA'!F17)</f>
        <v>5.8571428571428568</v>
      </c>
      <c r="G17" s="49">
        <f>AVERAGE('17.10  MUBENDE-MITYANA'!G17,'18.10 MUBENDE-MITYANA-24h'!G17,'19.10  MUBENDE-MITYANA-24h'!G17,'20.10 MUBENDE-MITYANA'!G17,'21.10 MUBENDE-MITYANA'!G17,'22.10 MUBENDE-MITYANA'!G17,'23.10 MUBENDE-MITYANA'!G17)</f>
        <v>0</v>
      </c>
      <c r="H17" s="49">
        <f>AVERAGE('17.10  MUBENDE-MITYANA'!H17,'18.10 MUBENDE-MITYANA-24h'!H17,'19.10  MUBENDE-MITYANA-24h'!H17,'20.10 MUBENDE-MITYANA'!H17,'21.10 MUBENDE-MITYANA'!H17,'22.10 MUBENDE-MITYANA'!H17,'23.10 MUBENDE-MITYANA'!H17)</f>
        <v>0</v>
      </c>
      <c r="I17" s="49">
        <f>AVERAGE('17.10  MUBENDE-MITYANA'!I17,'18.10 MUBENDE-MITYANA-24h'!I17,'19.10  MUBENDE-MITYANA-24h'!I17,'20.10 MUBENDE-MITYANA'!I17,'21.10 MUBENDE-MITYANA'!I17,'22.10 MUBENDE-MITYANA'!I17,'23.10 MUBENDE-MITYANA'!I17)</f>
        <v>1</v>
      </c>
      <c r="J17" s="49">
        <f>AVERAGE('17.10  MUBENDE-MITYANA'!J17,'18.10 MUBENDE-MITYANA-24h'!J17,'19.10  MUBENDE-MITYANA-24h'!J17,'20.10 MUBENDE-MITYANA'!J17,'21.10 MUBENDE-MITYANA'!J17,'22.10 MUBENDE-MITYANA'!J17,'23.10 MUBENDE-MITYANA'!J17)</f>
        <v>0.42857142857142855</v>
      </c>
      <c r="K17" s="49">
        <f>AVERAGE('17.10  MUBENDE-MITYANA'!K17,'18.10 MUBENDE-MITYANA-24h'!K17,'19.10  MUBENDE-MITYANA-24h'!K17,'20.10 MUBENDE-MITYANA'!K17,'21.10 MUBENDE-MITYANA'!K17,'22.10 MUBENDE-MITYANA'!K17,'23.10 MUBENDE-MITYANA'!K17)</f>
        <v>0.2857142857142857</v>
      </c>
      <c r="L17" s="49">
        <f>AVERAGE('17.10  MUBENDE-MITYANA'!L17,'18.10 MUBENDE-MITYANA-24h'!L17,'19.10  MUBENDE-MITYANA-24h'!L17,'20.10 MUBENDE-MITYANA'!L17,'21.10 MUBENDE-MITYANA'!L17,'22.10 MUBENDE-MITYANA'!L17,'23.10 MUBENDE-MITYANA'!L17)</f>
        <v>0.5714285714285714</v>
      </c>
      <c r="M17" s="49">
        <f>AVERAGE('17.10  MUBENDE-MITYANA'!M17,'18.10 MUBENDE-MITYANA-24h'!M17,'19.10  MUBENDE-MITYANA-24h'!M17,'20.10 MUBENDE-MITYANA'!M17,'21.10 MUBENDE-MITYANA'!M17,'22.10 MUBENDE-MITYANA'!M17,'23.10 MUBENDE-MITYANA'!M17)</f>
        <v>45.142857142857146</v>
      </c>
      <c r="N17" s="49">
        <f>AVERAGE('17.10  MUBENDE-MITYANA'!N17,'18.10 MUBENDE-MITYANA-24h'!N17,'19.10  MUBENDE-MITYANA-24h'!N17,'20.10 MUBENDE-MITYANA'!N17,'21.10 MUBENDE-MITYANA'!N17,'22.10 MUBENDE-MITYANA'!N17,'23.10 MUBENDE-MITYANA'!N17)</f>
        <v>0</v>
      </c>
      <c r="O17" s="15">
        <f t="shared" si="0"/>
        <v>15.142857142857142</v>
      </c>
      <c r="P17" s="15">
        <f t="shared" si="1"/>
        <v>60.285714285714292</v>
      </c>
      <c r="R17" s="1" t="s">
        <v>13</v>
      </c>
      <c r="S17" s="17">
        <f t="shared" ref="S17:AF17" si="9">SUM(C38:C41)</f>
        <v>28.142857142857142</v>
      </c>
      <c r="T17" s="17">
        <f t="shared" si="9"/>
        <v>11.571428571428569</v>
      </c>
      <c r="U17" s="17">
        <f t="shared" si="9"/>
        <v>7.2857142857142847</v>
      </c>
      <c r="V17" s="17">
        <f t="shared" si="9"/>
        <v>25.571428571428569</v>
      </c>
      <c r="W17" s="17">
        <f t="shared" si="9"/>
        <v>0.42857142857142855</v>
      </c>
      <c r="X17" s="17">
        <f t="shared" si="9"/>
        <v>2.1428571428571428</v>
      </c>
      <c r="Y17" s="17">
        <f t="shared" si="9"/>
        <v>7.8571428571428568</v>
      </c>
      <c r="Z17" s="17">
        <f t="shared" si="9"/>
        <v>6.7142857142857135</v>
      </c>
      <c r="AA17" s="17">
        <f t="shared" si="9"/>
        <v>3.1428571428571423</v>
      </c>
      <c r="AB17" s="17">
        <f t="shared" si="9"/>
        <v>2.4285714285714284</v>
      </c>
      <c r="AC17" s="17">
        <f t="shared" si="9"/>
        <v>162</v>
      </c>
      <c r="AD17" s="17">
        <f t="shared" si="9"/>
        <v>0</v>
      </c>
      <c r="AE17" s="31">
        <f t="shared" si="9"/>
        <v>95.285714285714278</v>
      </c>
      <c r="AF17" s="31">
        <f t="shared" si="9"/>
        <v>257.28571428571428</v>
      </c>
    </row>
    <row r="18" spans="2:32" ht="23.1" customHeight="1" x14ac:dyDescent="0.25">
      <c r="B18" s="23" t="s">
        <v>45</v>
      </c>
      <c r="C18" s="49">
        <f>AVERAGE('17.10  MUBENDE-MITYANA'!C18,'18.10 MUBENDE-MITYANA-24h'!C18,'19.10  MUBENDE-MITYANA-24h'!C18,'20.10 MUBENDE-MITYANA'!C18,'21.10 MUBENDE-MITYANA'!C18,'22.10 MUBENDE-MITYANA'!C18,'23.10 MUBENDE-MITYANA'!C18)</f>
        <v>4.8571428571428568</v>
      </c>
      <c r="D18" s="49">
        <f>AVERAGE('17.10  MUBENDE-MITYANA'!D18,'18.10 MUBENDE-MITYANA-24h'!D18,'19.10  MUBENDE-MITYANA-24h'!D18,'20.10 MUBENDE-MITYANA'!D18,'21.10 MUBENDE-MITYANA'!D18,'22.10 MUBENDE-MITYANA'!D18,'23.10 MUBENDE-MITYANA'!D18)</f>
        <v>2.4285714285714284</v>
      </c>
      <c r="E18" s="49">
        <f>AVERAGE('17.10  MUBENDE-MITYANA'!E18,'18.10 MUBENDE-MITYANA-24h'!E18,'19.10  MUBENDE-MITYANA-24h'!E18,'20.10 MUBENDE-MITYANA'!E18,'21.10 MUBENDE-MITYANA'!E18,'22.10 MUBENDE-MITYANA'!E18,'23.10 MUBENDE-MITYANA'!E18)</f>
        <v>1.1428571428571428</v>
      </c>
      <c r="F18" s="49">
        <f>AVERAGE('17.10  MUBENDE-MITYANA'!F18,'18.10 MUBENDE-MITYANA-24h'!F18,'19.10  MUBENDE-MITYANA-24h'!F18,'20.10 MUBENDE-MITYANA'!F18,'21.10 MUBENDE-MITYANA'!F18,'22.10 MUBENDE-MITYANA'!F18,'23.10 MUBENDE-MITYANA'!F18)</f>
        <v>4.8571428571428568</v>
      </c>
      <c r="G18" s="49">
        <f>AVERAGE('17.10  MUBENDE-MITYANA'!G18,'18.10 MUBENDE-MITYANA-24h'!G18,'19.10  MUBENDE-MITYANA-24h'!G18,'20.10 MUBENDE-MITYANA'!G18,'21.10 MUBENDE-MITYANA'!G18,'22.10 MUBENDE-MITYANA'!G18,'23.10 MUBENDE-MITYANA'!G18)</f>
        <v>0</v>
      </c>
      <c r="H18" s="49">
        <f>AVERAGE('17.10  MUBENDE-MITYANA'!H18,'18.10 MUBENDE-MITYANA-24h'!H18,'19.10  MUBENDE-MITYANA-24h'!H18,'20.10 MUBENDE-MITYANA'!H18,'21.10 MUBENDE-MITYANA'!H18,'22.10 MUBENDE-MITYANA'!H18,'23.10 MUBENDE-MITYANA'!H18)</f>
        <v>0</v>
      </c>
      <c r="I18" s="49">
        <f>AVERAGE('17.10  MUBENDE-MITYANA'!I18,'18.10 MUBENDE-MITYANA-24h'!I18,'19.10  MUBENDE-MITYANA-24h'!I18,'20.10 MUBENDE-MITYANA'!I18,'21.10 MUBENDE-MITYANA'!I18,'22.10 MUBENDE-MITYANA'!I18,'23.10 MUBENDE-MITYANA'!I18)</f>
        <v>1.1428571428571428</v>
      </c>
      <c r="J18" s="49">
        <f>AVERAGE('17.10  MUBENDE-MITYANA'!J18,'18.10 MUBENDE-MITYANA-24h'!J18,'19.10  MUBENDE-MITYANA-24h'!J18,'20.10 MUBENDE-MITYANA'!J18,'21.10 MUBENDE-MITYANA'!J18,'22.10 MUBENDE-MITYANA'!J18,'23.10 MUBENDE-MITYANA'!J18)</f>
        <v>0.42857142857142855</v>
      </c>
      <c r="K18" s="49">
        <f>AVERAGE('17.10  MUBENDE-MITYANA'!K18,'18.10 MUBENDE-MITYANA-24h'!K18,'19.10  MUBENDE-MITYANA-24h'!K18,'20.10 MUBENDE-MITYANA'!K18,'21.10 MUBENDE-MITYANA'!K18,'22.10 MUBENDE-MITYANA'!K18,'23.10 MUBENDE-MITYANA'!K18)</f>
        <v>0.2857142857142857</v>
      </c>
      <c r="L18" s="49">
        <f>AVERAGE('17.10  MUBENDE-MITYANA'!L18,'18.10 MUBENDE-MITYANA-24h'!L18,'19.10  MUBENDE-MITYANA-24h'!L18,'20.10 MUBENDE-MITYANA'!L18,'21.10 MUBENDE-MITYANA'!L18,'22.10 MUBENDE-MITYANA'!L18,'23.10 MUBENDE-MITYANA'!L18)</f>
        <v>0.8571428571428571</v>
      </c>
      <c r="M18" s="49">
        <f>AVERAGE('17.10  MUBENDE-MITYANA'!M18,'18.10 MUBENDE-MITYANA-24h'!M18,'19.10  MUBENDE-MITYANA-24h'!M18,'20.10 MUBENDE-MITYANA'!M18,'21.10 MUBENDE-MITYANA'!M18,'22.10 MUBENDE-MITYANA'!M18,'23.10 MUBENDE-MITYANA'!M18)</f>
        <v>42.428571428571431</v>
      </c>
      <c r="N18" s="49">
        <f>AVERAGE('17.10  MUBENDE-MITYANA'!N18,'18.10 MUBENDE-MITYANA-24h'!N18,'19.10  MUBENDE-MITYANA-24h'!N18,'20.10 MUBENDE-MITYANA'!N18,'21.10 MUBENDE-MITYANA'!N18,'22.10 MUBENDE-MITYANA'!N18,'23.10 MUBENDE-MITYANA'!N18)</f>
        <v>0.14285714285714285</v>
      </c>
      <c r="O18" s="15">
        <f t="shared" si="0"/>
        <v>16.142857142857142</v>
      </c>
      <c r="P18" s="15">
        <f t="shared" si="1"/>
        <v>58.571428571428577</v>
      </c>
      <c r="R18" s="1" t="s">
        <v>14</v>
      </c>
      <c r="S18" s="17">
        <f t="shared" ref="S18:AF18" si="10">SUM(C42:C45)</f>
        <v>32.428571428571431</v>
      </c>
      <c r="T18" s="17">
        <f t="shared" si="10"/>
        <v>16.571428571428569</v>
      </c>
      <c r="U18" s="17">
        <f t="shared" si="10"/>
        <v>7.7142857142857153</v>
      </c>
      <c r="V18" s="17">
        <f t="shared" si="10"/>
        <v>24.142857142857146</v>
      </c>
      <c r="W18" s="17">
        <f t="shared" si="10"/>
        <v>0.71428571428571419</v>
      </c>
      <c r="X18" s="17">
        <f t="shared" si="10"/>
        <v>2.2857142857142856</v>
      </c>
      <c r="Y18" s="17">
        <f t="shared" si="10"/>
        <v>10.142857142857142</v>
      </c>
      <c r="Z18" s="17">
        <f t="shared" si="10"/>
        <v>6</v>
      </c>
      <c r="AA18" s="17">
        <f t="shared" si="10"/>
        <v>1.5714285714285714</v>
      </c>
      <c r="AB18" s="17">
        <f t="shared" si="10"/>
        <v>5</v>
      </c>
      <c r="AC18" s="17">
        <f t="shared" si="10"/>
        <v>163.14285714285714</v>
      </c>
      <c r="AD18" s="17">
        <f t="shared" si="10"/>
        <v>0.14285714285714285</v>
      </c>
      <c r="AE18" s="31">
        <f t="shared" si="10"/>
        <v>106.71428571428571</v>
      </c>
      <c r="AF18" s="31">
        <f t="shared" si="10"/>
        <v>269.85714285714289</v>
      </c>
    </row>
    <row r="19" spans="2:32" ht="23.1" customHeight="1" x14ac:dyDescent="0.25">
      <c r="B19" s="23" t="s">
        <v>46</v>
      </c>
      <c r="C19" s="49">
        <f>AVERAGE('17.10  MUBENDE-MITYANA'!C19,'18.10 MUBENDE-MITYANA-24h'!C19,'19.10  MUBENDE-MITYANA-24h'!C19,'20.10 MUBENDE-MITYANA'!C19,'21.10 MUBENDE-MITYANA'!C19,'22.10 MUBENDE-MITYANA'!C19,'23.10 MUBENDE-MITYANA'!C19)</f>
        <v>5</v>
      </c>
      <c r="D19" s="49">
        <f>AVERAGE('17.10  MUBENDE-MITYANA'!D19,'18.10 MUBENDE-MITYANA-24h'!D19,'19.10  MUBENDE-MITYANA-24h'!D19,'20.10 MUBENDE-MITYANA'!D19,'21.10 MUBENDE-MITYANA'!D19,'22.10 MUBENDE-MITYANA'!D19,'23.10 MUBENDE-MITYANA'!D19)</f>
        <v>2</v>
      </c>
      <c r="E19" s="49">
        <f>AVERAGE('17.10  MUBENDE-MITYANA'!E19,'18.10 MUBENDE-MITYANA-24h'!E19,'19.10  MUBENDE-MITYANA-24h'!E19,'20.10 MUBENDE-MITYANA'!E19,'21.10 MUBENDE-MITYANA'!E19,'22.10 MUBENDE-MITYANA'!E19,'23.10 MUBENDE-MITYANA'!E19)</f>
        <v>0.5714285714285714</v>
      </c>
      <c r="F19" s="49">
        <f>AVERAGE('17.10  MUBENDE-MITYANA'!F19,'18.10 MUBENDE-MITYANA-24h'!F19,'19.10  MUBENDE-MITYANA-24h'!F19,'20.10 MUBENDE-MITYANA'!F19,'21.10 MUBENDE-MITYANA'!F19,'22.10 MUBENDE-MITYANA'!F19,'23.10 MUBENDE-MITYANA'!F19)</f>
        <v>5.2857142857142856</v>
      </c>
      <c r="G19" s="49">
        <f>AVERAGE('17.10  MUBENDE-MITYANA'!G19,'18.10 MUBENDE-MITYANA-24h'!G19,'19.10  MUBENDE-MITYANA-24h'!G19,'20.10 MUBENDE-MITYANA'!G19,'21.10 MUBENDE-MITYANA'!G19,'22.10 MUBENDE-MITYANA'!G19,'23.10 MUBENDE-MITYANA'!G19)</f>
        <v>0.14285714285714285</v>
      </c>
      <c r="H19" s="49">
        <f>AVERAGE('17.10  MUBENDE-MITYANA'!H19,'18.10 MUBENDE-MITYANA-24h'!H19,'19.10  MUBENDE-MITYANA-24h'!H19,'20.10 MUBENDE-MITYANA'!H19,'21.10 MUBENDE-MITYANA'!H19,'22.10 MUBENDE-MITYANA'!H19,'23.10 MUBENDE-MITYANA'!H19)</f>
        <v>0</v>
      </c>
      <c r="I19" s="49">
        <f>AVERAGE('17.10  MUBENDE-MITYANA'!I19,'18.10 MUBENDE-MITYANA-24h'!I19,'19.10  MUBENDE-MITYANA-24h'!I19,'20.10 MUBENDE-MITYANA'!I19,'21.10 MUBENDE-MITYANA'!I19,'22.10 MUBENDE-MITYANA'!I19,'23.10 MUBENDE-MITYANA'!I19)</f>
        <v>2.2857142857142856</v>
      </c>
      <c r="J19" s="49">
        <f>AVERAGE('17.10  MUBENDE-MITYANA'!J19,'18.10 MUBENDE-MITYANA-24h'!J19,'19.10  MUBENDE-MITYANA-24h'!J19,'20.10 MUBENDE-MITYANA'!J19,'21.10 MUBENDE-MITYANA'!J19,'22.10 MUBENDE-MITYANA'!J19,'23.10 MUBENDE-MITYANA'!J19)</f>
        <v>0.5714285714285714</v>
      </c>
      <c r="K19" s="49">
        <f>AVERAGE('17.10  MUBENDE-MITYANA'!K19,'18.10 MUBENDE-MITYANA-24h'!K19,'19.10  MUBENDE-MITYANA-24h'!K19,'20.10 MUBENDE-MITYANA'!K19,'21.10 MUBENDE-MITYANA'!K19,'22.10 MUBENDE-MITYANA'!K19,'23.10 MUBENDE-MITYANA'!K19)</f>
        <v>0</v>
      </c>
      <c r="L19" s="49">
        <f>AVERAGE('17.10  MUBENDE-MITYANA'!L19,'18.10 MUBENDE-MITYANA-24h'!L19,'19.10  MUBENDE-MITYANA-24h'!L19,'20.10 MUBENDE-MITYANA'!L19,'21.10 MUBENDE-MITYANA'!L19,'22.10 MUBENDE-MITYANA'!L19,'23.10 MUBENDE-MITYANA'!L19)</f>
        <v>0.8571428571428571</v>
      </c>
      <c r="M19" s="49">
        <f>AVERAGE('17.10  MUBENDE-MITYANA'!M19,'18.10 MUBENDE-MITYANA-24h'!M19,'19.10  MUBENDE-MITYANA-24h'!M19,'20.10 MUBENDE-MITYANA'!M19,'21.10 MUBENDE-MITYANA'!M19,'22.10 MUBENDE-MITYANA'!M19,'23.10 MUBENDE-MITYANA'!M19)</f>
        <v>43.571428571428569</v>
      </c>
      <c r="N19" s="49">
        <f>AVERAGE('17.10  MUBENDE-MITYANA'!N19,'18.10 MUBENDE-MITYANA-24h'!N19,'19.10  MUBENDE-MITYANA-24h'!N19,'20.10 MUBENDE-MITYANA'!N19,'21.10 MUBENDE-MITYANA'!N19,'22.10 MUBENDE-MITYANA'!N19,'23.10 MUBENDE-MITYANA'!N19)</f>
        <v>0</v>
      </c>
      <c r="O19" s="15">
        <f t="shared" si="0"/>
        <v>16.714285714285712</v>
      </c>
      <c r="P19" s="15">
        <f t="shared" si="1"/>
        <v>60.285714285714278</v>
      </c>
      <c r="R19" s="1" t="s">
        <v>15</v>
      </c>
      <c r="S19" s="17">
        <f t="shared" ref="S19:AF19" si="11">SUM(C46:C49)</f>
        <v>40.714285714285715</v>
      </c>
      <c r="T19" s="17">
        <f t="shared" si="11"/>
        <v>19.428571428571427</v>
      </c>
      <c r="U19" s="17">
        <f t="shared" si="11"/>
        <v>8.5714285714285712</v>
      </c>
      <c r="V19" s="17">
        <f t="shared" si="11"/>
        <v>29.571428571428569</v>
      </c>
      <c r="W19" s="17">
        <f t="shared" si="11"/>
        <v>1.2857142857142856</v>
      </c>
      <c r="X19" s="17">
        <f t="shared" si="11"/>
        <v>2.8571428571428568</v>
      </c>
      <c r="Y19" s="17">
        <f t="shared" si="11"/>
        <v>10.428571428571429</v>
      </c>
      <c r="Z19" s="17">
        <f t="shared" si="11"/>
        <v>7.4285714285714279</v>
      </c>
      <c r="AA19" s="17">
        <f t="shared" si="11"/>
        <v>2.1428571428571428</v>
      </c>
      <c r="AB19" s="17">
        <f t="shared" si="11"/>
        <v>3.4285714285714284</v>
      </c>
      <c r="AC19" s="17">
        <f t="shared" si="11"/>
        <v>196.14285714285714</v>
      </c>
      <c r="AD19" s="17">
        <f t="shared" si="11"/>
        <v>0.14285714285714285</v>
      </c>
      <c r="AE19" s="31">
        <f t="shared" si="11"/>
        <v>126</v>
      </c>
      <c r="AF19" s="31">
        <f t="shared" si="11"/>
        <v>322.14285714285717</v>
      </c>
    </row>
    <row r="20" spans="2:32" ht="23.1" customHeight="1" x14ac:dyDescent="0.25">
      <c r="B20" s="23" t="s">
        <v>47</v>
      </c>
      <c r="C20" s="49">
        <f>AVERAGE('17.10  MUBENDE-MITYANA'!C20,'18.10 MUBENDE-MITYANA-24h'!C20,'19.10  MUBENDE-MITYANA-24h'!C20,'20.10 MUBENDE-MITYANA'!C20,'21.10 MUBENDE-MITYANA'!C20,'22.10 MUBENDE-MITYANA'!C20,'23.10 MUBENDE-MITYANA'!C20)</f>
        <v>5</v>
      </c>
      <c r="D20" s="49">
        <f>AVERAGE('17.10  MUBENDE-MITYANA'!D20,'18.10 MUBENDE-MITYANA-24h'!D20,'19.10  MUBENDE-MITYANA-24h'!D20,'20.10 MUBENDE-MITYANA'!D20,'21.10 MUBENDE-MITYANA'!D20,'22.10 MUBENDE-MITYANA'!D20,'23.10 MUBENDE-MITYANA'!D20)</f>
        <v>1</v>
      </c>
      <c r="E20" s="49">
        <f>AVERAGE('17.10  MUBENDE-MITYANA'!E20,'18.10 MUBENDE-MITYANA-24h'!E20,'19.10  MUBENDE-MITYANA-24h'!E20,'20.10 MUBENDE-MITYANA'!E20,'21.10 MUBENDE-MITYANA'!E20,'22.10 MUBENDE-MITYANA'!E20,'23.10 MUBENDE-MITYANA'!E20)</f>
        <v>0.8571428571428571</v>
      </c>
      <c r="F20" s="49">
        <f>AVERAGE('17.10  MUBENDE-MITYANA'!F20,'18.10 MUBENDE-MITYANA-24h'!F20,'19.10  MUBENDE-MITYANA-24h'!F20,'20.10 MUBENDE-MITYANA'!F20,'21.10 MUBENDE-MITYANA'!F20,'22.10 MUBENDE-MITYANA'!F20,'23.10 MUBENDE-MITYANA'!F20)</f>
        <v>4.5714285714285712</v>
      </c>
      <c r="G20" s="49">
        <f>AVERAGE('17.10  MUBENDE-MITYANA'!G20,'18.10 MUBENDE-MITYANA-24h'!G20,'19.10  MUBENDE-MITYANA-24h'!G20,'20.10 MUBENDE-MITYANA'!G20,'21.10 MUBENDE-MITYANA'!G20,'22.10 MUBENDE-MITYANA'!G20,'23.10 MUBENDE-MITYANA'!G20)</f>
        <v>0.14285714285714285</v>
      </c>
      <c r="H20" s="49">
        <f>AVERAGE('17.10  MUBENDE-MITYANA'!H20,'18.10 MUBENDE-MITYANA-24h'!H20,'19.10  MUBENDE-MITYANA-24h'!H20,'20.10 MUBENDE-MITYANA'!H20,'21.10 MUBENDE-MITYANA'!H20,'22.10 MUBENDE-MITYANA'!H20,'23.10 MUBENDE-MITYANA'!H20)</f>
        <v>0</v>
      </c>
      <c r="I20" s="49">
        <f>AVERAGE('17.10  MUBENDE-MITYANA'!I20,'18.10 MUBENDE-MITYANA-24h'!I20,'19.10  MUBENDE-MITYANA-24h'!I20,'20.10 MUBENDE-MITYANA'!I20,'21.10 MUBENDE-MITYANA'!I20,'22.10 MUBENDE-MITYANA'!I20,'23.10 MUBENDE-MITYANA'!I20)</f>
        <v>1.7142857142857142</v>
      </c>
      <c r="J20" s="49">
        <f>AVERAGE('17.10  MUBENDE-MITYANA'!J20,'18.10 MUBENDE-MITYANA-24h'!J20,'19.10  MUBENDE-MITYANA-24h'!J20,'20.10 MUBENDE-MITYANA'!J20,'21.10 MUBENDE-MITYANA'!J20,'22.10 MUBENDE-MITYANA'!J20,'23.10 MUBENDE-MITYANA'!J20)</f>
        <v>0.2857142857142857</v>
      </c>
      <c r="K20" s="49">
        <f>AVERAGE('17.10  MUBENDE-MITYANA'!K20,'18.10 MUBENDE-MITYANA-24h'!K20,'19.10  MUBENDE-MITYANA-24h'!K20,'20.10 MUBENDE-MITYANA'!K20,'21.10 MUBENDE-MITYANA'!K20,'22.10 MUBENDE-MITYANA'!K20,'23.10 MUBENDE-MITYANA'!K20)</f>
        <v>0.2857142857142857</v>
      </c>
      <c r="L20" s="49">
        <f>AVERAGE('17.10  MUBENDE-MITYANA'!L20,'18.10 MUBENDE-MITYANA-24h'!L20,'19.10  MUBENDE-MITYANA-24h'!L20,'20.10 MUBENDE-MITYANA'!L20,'21.10 MUBENDE-MITYANA'!L20,'22.10 MUBENDE-MITYANA'!L20,'23.10 MUBENDE-MITYANA'!L20)</f>
        <v>0.7142857142857143</v>
      </c>
      <c r="M20" s="49">
        <f>AVERAGE('17.10  MUBENDE-MITYANA'!M20,'18.10 MUBENDE-MITYANA-24h'!M20,'19.10  MUBENDE-MITYANA-24h'!M20,'20.10 MUBENDE-MITYANA'!M20,'21.10 MUBENDE-MITYANA'!M20,'22.10 MUBENDE-MITYANA'!M20,'23.10 MUBENDE-MITYANA'!M20)</f>
        <v>38.142857142857146</v>
      </c>
      <c r="N20" s="49">
        <f>AVERAGE('17.10  MUBENDE-MITYANA'!N20,'18.10 MUBENDE-MITYANA-24h'!N20,'19.10  MUBENDE-MITYANA-24h'!N20,'20.10 MUBENDE-MITYANA'!N20,'21.10 MUBENDE-MITYANA'!N20,'22.10 MUBENDE-MITYANA'!N20,'23.10 MUBENDE-MITYANA'!N20)</f>
        <v>0</v>
      </c>
      <c r="O20" s="15">
        <f t="shared" si="0"/>
        <v>14.571428571428569</v>
      </c>
      <c r="P20" s="15">
        <f t="shared" si="1"/>
        <v>52.714285714285715</v>
      </c>
      <c r="R20" s="1" t="s">
        <v>16</v>
      </c>
      <c r="S20" s="17">
        <f t="shared" ref="S20:AF20" si="12">SUM(C50:C53)</f>
        <v>50.714285714285715</v>
      </c>
      <c r="T20" s="17">
        <f t="shared" si="12"/>
        <v>23.142857142857142</v>
      </c>
      <c r="U20" s="17">
        <f t="shared" si="12"/>
        <v>9.1428571428571423</v>
      </c>
      <c r="V20" s="17">
        <f t="shared" si="12"/>
        <v>34.142857142857139</v>
      </c>
      <c r="W20" s="17">
        <f t="shared" si="12"/>
        <v>0.8571428571428571</v>
      </c>
      <c r="X20" s="17">
        <f t="shared" si="12"/>
        <v>1.857142857142857</v>
      </c>
      <c r="Y20" s="17">
        <f t="shared" si="12"/>
        <v>11.571428571428573</v>
      </c>
      <c r="Z20" s="17">
        <f t="shared" si="12"/>
        <v>8.4285714285714288</v>
      </c>
      <c r="AA20" s="17">
        <f t="shared" si="12"/>
        <v>1.8571428571428572</v>
      </c>
      <c r="AB20" s="17">
        <f t="shared" si="12"/>
        <v>4.5714285714285712</v>
      </c>
      <c r="AC20" s="17">
        <f t="shared" si="12"/>
        <v>195</v>
      </c>
      <c r="AD20" s="17">
        <f t="shared" si="12"/>
        <v>0</v>
      </c>
      <c r="AE20" s="31">
        <f t="shared" si="12"/>
        <v>146.28571428571428</v>
      </c>
      <c r="AF20" s="31">
        <f t="shared" si="12"/>
        <v>341.28571428571428</v>
      </c>
    </row>
    <row r="21" spans="2:32" ht="23.1" customHeight="1" x14ac:dyDescent="0.25">
      <c r="B21" s="23" t="s">
        <v>48</v>
      </c>
      <c r="C21" s="49">
        <f>AVERAGE('17.10  MUBENDE-MITYANA'!C21,'18.10 MUBENDE-MITYANA-24h'!C21,'19.10  MUBENDE-MITYANA-24h'!C21,'20.10 MUBENDE-MITYANA'!C21,'21.10 MUBENDE-MITYANA'!C21,'22.10 MUBENDE-MITYANA'!C21,'23.10 MUBENDE-MITYANA'!C21)</f>
        <v>6</v>
      </c>
      <c r="D21" s="49">
        <f>AVERAGE('17.10  MUBENDE-MITYANA'!D21,'18.10 MUBENDE-MITYANA-24h'!D21,'19.10  MUBENDE-MITYANA-24h'!D21,'20.10 MUBENDE-MITYANA'!D21,'21.10 MUBENDE-MITYANA'!D21,'22.10 MUBENDE-MITYANA'!D21,'23.10 MUBENDE-MITYANA'!D21)</f>
        <v>2.8571428571428572</v>
      </c>
      <c r="E21" s="49">
        <f>AVERAGE('17.10  MUBENDE-MITYANA'!E21,'18.10 MUBENDE-MITYANA-24h'!E21,'19.10  MUBENDE-MITYANA-24h'!E21,'20.10 MUBENDE-MITYANA'!E21,'21.10 MUBENDE-MITYANA'!E21,'22.10 MUBENDE-MITYANA'!E21,'23.10 MUBENDE-MITYANA'!E21)</f>
        <v>1.4285714285714286</v>
      </c>
      <c r="F21" s="49">
        <f>AVERAGE('17.10  MUBENDE-MITYANA'!F21,'18.10 MUBENDE-MITYANA-24h'!F21,'19.10  MUBENDE-MITYANA-24h'!F21,'20.10 MUBENDE-MITYANA'!F21,'21.10 MUBENDE-MITYANA'!F21,'22.10 MUBENDE-MITYANA'!F21,'23.10 MUBENDE-MITYANA'!F21)</f>
        <v>6.5714285714285712</v>
      </c>
      <c r="G21" s="49">
        <f>AVERAGE('17.10  MUBENDE-MITYANA'!G21,'18.10 MUBENDE-MITYANA-24h'!G21,'19.10  MUBENDE-MITYANA-24h'!G21,'20.10 MUBENDE-MITYANA'!G21,'21.10 MUBENDE-MITYANA'!G21,'22.10 MUBENDE-MITYANA'!G21,'23.10 MUBENDE-MITYANA'!G21)</f>
        <v>0</v>
      </c>
      <c r="H21" s="49">
        <f>AVERAGE('17.10  MUBENDE-MITYANA'!H21,'18.10 MUBENDE-MITYANA-24h'!H21,'19.10  MUBENDE-MITYANA-24h'!H21,'20.10 MUBENDE-MITYANA'!H21,'21.10 MUBENDE-MITYANA'!H21,'22.10 MUBENDE-MITYANA'!H21,'23.10 MUBENDE-MITYANA'!H21)</f>
        <v>0.42857142857142855</v>
      </c>
      <c r="I21" s="49">
        <f>AVERAGE('17.10  MUBENDE-MITYANA'!I21,'18.10 MUBENDE-MITYANA-24h'!I21,'19.10  MUBENDE-MITYANA-24h'!I21,'20.10 MUBENDE-MITYANA'!I21,'21.10 MUBENDE-MITYANA'!I21,'22.10 MUBENDE-MITYANA'!I21,'23.10 MUBENDE-MITYANA'!I21)</f>
        <v>1.2857142857142858</v>
      </c>
      <c r="J21" s="49">
        <f>AVERAGE('17.10  MUBENDE-MITYANA'!J21,'18.10 MUBENDE-MITYANA-24h'!J21,'19.10  MUBENDE-MITYANA-24h'!J21,'20.10 MUBENDE-MITYANA'!J21,'21.10 MUBENDE-MITYANA'!J21,'22.10 MUBENDE-MITYANA'!J21,'23.10 MUBENDE-MITYANA'!J21)</f>
        <v>0.5714285714285714</v>
      </c>
      <c r="K21" s="49">
        <f>AVERAGE('17.10  MUBENDE-MITYANA'!K21,'18.10 MUBENDE-MITYANA-24h'!K21,'19.10  MUBENDE-MITYANA-24h'!K21,'20.10 MUBENDE-MITYANA'!K21,'21.10 MUBENDE-MITYANA'!K21,'22.10 MUBENDE-MITYANA'!K21,'23.10 MUBENDE-MITYANA'!K21)</f>
        <v>0</v>
      </c>
      <c r="L21" s="49">
        <f>AVERAGE('17.10  MUBENDE-MITYANA'!L21,'18.10 MUBENDE-MITYANA-24h'!L21,'19.10  MUBENDE-MITYANA-24h'!L21,'20.10 MUBENDE-MITYANA'!L21,'21.10 MUBENDE-MITYANA'!L21,'22.10 MUBENDE-MITYANA'!L21,'23.10 MUBENDE-MITYANA'!L21)</f>
        <v>0.42857142857142855</v>
      </c>
      <c r="M21" s="49">
        <f>AVERAGE('17.10  MUBENDE-MITYANA'!M21,'18.10 MUBENDE-MITYANA-24h'!M21,'19.10  MUBENDE-MITYANA-24h'!M21,'20.10 MUBENDE-MITYANA'!M21,'21.10 MUBENDE-MITYANA'!M21,'22.10 MUBENDE-MITYANA'!M21,'23.10 MUBENDE-MITYANA'!M21)</f>
        <v>39.285714285714285</v>
      </c>
      <c r="N21" s="49">
        <f>AVERAGE('17.10  MUBENDE-MITYANA'!N21,'18.10 MUBENDE-MITYANA-24h'!N21,'19.10  MUBENDE-MITYANA-24h'!N21,'20.10 MUBENDE-MITYANA'!N21,'21.10 MUBENDE-MITYANA'!N21,'22.10 MUBENDE-MITYANA'!N21,'23.10 MUBENDE-MITYANA'!N21)</f>
        <v>0</v>
      </c>
      <c r="O21" s="15">
        <f t="shared" si="0"/>
        <v>19.571428571428569</v>
      </c>
      <c r="P21" s="15">
        <f t="shared" si="1"/>
        <v>58.857142857142854</v>
      </c>
      <c r="R21" s="36" t="s">
        <v>20</v>
      </c>
      <c r="S21" s="34">
        <f t="shared" ref="S21:AF21" si="13">SUM(C54:C57)</f>
        <v>47.714285714285715</v>
      </c>
      <c r="T21" s="17">
        <f t="shared" si="13"/>
        <v>21.571428571428569</v>
      </c>
      <c r="U21" s="17">
        <f t="shared" si="13"/>
        <v>12.857142857142858</v>
      </c>
      <c r="V21" s="17">
        <f t="shared" si="13"/>
        <v>35.285714285714285</v>
      </c>
      <c r="W21" s="17">
        <f t="shared" si="13"/>
        <v>2.5714285714285712</v>
      </c>
      <c r="X21" s="17">
        <f t="shared" si="13"/>
        <v>1.8571428571428568</v>
      </c>
      <c r="Y21" s="17">
        <f t="shared" si="13"/>
        <v>11.428571428571429</v>
      </c>
      <c r="Z21" s="17">
        <f t="shared" si="13"/>
        <v>10.714285714285715</v>
      </c>
      <c r="AA21" s="17">
        <f t="shared" si="13"/>
        <v>2.8571428571428568</v>
      </c>
      <c r="AB21" s="17">
        <f t="shared" si="13"/>
        <v>6</v>
      </c>
      <c r="AC21" s="17">
        <f t="shared" si="13"/>
        <v>214.57142857142856</v>
      </c>
      <c r="AD21" s="17">
        <f t="shared" si="13"/>
        <v>0</v>
      </c>
      <c r="AE21" s="31">
        <f t="shared" si="13"/>
        <v>152.85714285714283</v>
      </c>
      <c r="AF21" s="31">
        <f t="shared" si="13"/>
        <v>367.42857142857144</v>
      </c>
    </row>
    <row r="22" spans="2:32" ht="23.1" customHeight="1" x14ac:dyDescent="0.25">
      <c r="B22" s="23" t="s">
        <v>49</v>
      </c>
      <c r="C22" s="49">
        <f>AVERAGE('17.10  MUBENDE-MITYANA'!C22,'18.10 MUBENDE-MITYANA-24h'!C22,'19.10  MUBENDE-MITYANA-24h'!C22,'20.10 MUBENDE-MITYANA'!C22,'21.10 MUBENDE-MITYANA'!C22,'22.10 MUBENDE-MITYANA'!C22,'23.10 MUBENDE-MITYANA'!C22)</f>
        <v>6.2857142857142856</v>
      </c>
      <c r="D22" s="49">
        <f>AVERAGE('17.10  MUBENDE-MITYANA'!D22,'18.10 MUBENDE-MITYANA-24h'!D22,'19.10  MUBENDE-MITYANA-24h'!D22,'20.10 MUBENDE-MITYANA'!D22,'21.10 MUBENDE-MITYANA'!D22,'22.10 MUBENDE-MITYANA'!D22,'23.10 MUBENDE-MITYANA'!D22)</f>
        <v>2.1428571428571428</v>
      </c>
      <c r="E22" s="49">
        <f>AVERAGE('17.10  MUBENDE-MITYANA'!E22,'18.10 MUBENDE-MITYANA-24h'!E22,'19.10  MUBENDE-MITYANA-24h'!E22,'20.10 MUBENDE-MITYANA'!E22,'21.10 MUBENDE-MITYANA'!E22,'22.10 MUBENDE-MITYANA'!E22,'23.10 MUBENDE-MITYANA'!E22)</f>
        <v>1.5714285714285714</v>
      </c>
      <c r="F22" s="49">
        <f>AVERAGE('17.10  MUBENDE-MITYANA'!F22,'18.10 MUBENDE-MITYANA-24h'!F22,'19.10  MUBENDE-MITYANA-24h'!F22,'20.10 MUBENDE-MITYANA'!F22,'21.10 MUBENDE-MITYANA'!F22,'22.10 MUBENDE-MITYANA'!F22,'23.10 MUBENDE-MITYANA'!F22)</f>
        <v>7.8571428571428568</v>
      </c>
      <c r="G22" s="49">
        <f>AVERAGE('17.10  MUBENDE-MITYANA'!G22,'18.10 MUBENDE-MITYANA-24h'!G22,'19.10  MUBENDE-MITYANA-24h'!G22,'20.10 MUBENDE-MITYANA'!G22,'21.10 MUBENDE-MITYANA'!G22,'22.10 MUBENDE-MITYANA'!G22,'23.10 MUBENDE-MITYANA'!G22)</f>
        <v>0.2857142857142857</v>
      </c>
      <c r="H22" s="49">
        <f>AVERAGE('17.10  MUBENDE-MITYANA'!H22,'18.10 MUBENDE-MITYANA-24h'!H22,'19.10  MUBENDE-MITYANA-24h'!H22,'20.10 MUBENDE-MITYANA'!H22,'21.10 MUBENDE-MITYANA'!H22,'22.10 MUBENDE-MITYANA'!H22,'23.10 MUBENDE-MITYANA'!H22)</f>
        <v>0</v>
      </c>
      <c r="I22" s="49">
        <f>AVERAGE('17.10  MUBENDE-MITYANA'!I22,'18.10 MUBENDE-MITYANA-24h'!I22,'19.10  MUBENDE-MITYANA-24h'!I22,'20.10 MUBENDE-MITYANA'!I22,'21.10 MUBENDE-MITYANA'!I22,'22.10 MUBENDE-MITYANA'!I22,'23.10 MUBENDE-MITYANA'!I22)</f>
        <v>2</v>
      </c>
      <c r="J22" s="49">
        <f>AVERAGE('17.10  MUBENDE-MITYANA'!J22,'18.10 MUBENDE-MITYANA-24h'!J22,'19.10  MUBENDE-MITYANA-24h'!J22,'20.10 MUBENDE-MITYANA'!J22,'21.10 MUBENDE-MITYANA'!J22,'22.10 MUBENDE-MITYANA'!J22,'23.10 MUBENDE-MITYANA'!J22)</f>
        <v>0.5714285714285714</v>
      </c>
      <c r="K22" s="49">
        <f>AVERAGE('17.10  MUBENDE-MITYANA'!K22,'18.10 MUBENDE-MITYANA-24h'!K22,'19.10  MUBENDE-MITYANA-24h'!K22,'20.10 MUBENDE-MITYANA'!K22,'21.10 MUBENDE-MITYANA'!K22,'22.10 MUBENDE-MITYANA'!K22,'23.10 MUBENDE-MITYANA'!K22)</f>
        <v>0.14285714285714285</v>
      </c>
      <c r="L22" s="49">
        <f>AVERAGE('17.10  MUBENDE-MITYANA'!L22,'18.10 MUBENDE-MITYANA-24h'!L22,'19.10  MUBENDE-MITYANA-24h'!L22,'20.10 MUBENDE-MITYANA'!L22,'21.10 MUBENDE-MITYANA'!L22,'22.10 MUBENDE-MITYANA'!L22,'23.10 MUBENDE-MITYANA'!L22)</f>
        <v>0.42857142857142855</v>
      </c>
      <c r="M22" s="49">
        <f>AVERAGE('17.10  MUBENDE-MITYANA'!M22,'18.10 MUBENDE-MITYANA-24h'!M22,'19.10  MUBENDE-MITYANA-24h'!M22,'20.10 MUBENDE-MITYANA'!M22,'21.10 MUBENDE-MITYANA'!M22,'22.10 MUBENDE-MITYANA'!M22,'23.10 MUBENDE-MITYANA'!M22)</f>
        <v>40.714285714285715</v>
      </c>
      <c r="N22" s="49">
        <f>AVERAGE('17.10  MUBENDE-MITYANA'!N22,'18.10 MUBENDE-MITYANA-24h'!N22,'19.10  MUBENDE-MITYANA-24h'!N22,'20.10 MUBENDE-MITYANA'!N22,'21.10 MUBENDE-MITYANA'!N22,'22.10 MUBENDE-MITYANA'!N22,'23.10 MUBENDE-MITYANA'!N22)</f>
        <v>0</v>
      </c>
      <c r="O22" s="15">
        <f t="shared" si="0"/>
        <v>21.285714285714285</v>
      </c>
      <c r="P22" s="15">
        <f t="shared" si="1"/>
        <v>62</v>
      </c>
      <c r="R22" s="1" t="s">
        <v>146</v>
      </c>
      <c r="S22" s="34">
        <f>SUM(C58:C61)</f>
        <v>43</v>
      </c>
      <c r="T22" s="34">
        <f t="shared" ref="T22:AF22" si="14">SUM(D58:D61)</f>
        <v>12.5</v>
      </c>
      <c r="U22" s="34">
        <f t="shared" si="14"/>
        <v>13</v>
      </c>
      <c r="V22" s="34">
        <f t="shared" si="14"/>
        <v>26</v>
      </c>
      <c r="W22" s="34">
        <f t="shared" si="14"/>
        <v>0</v>
      </c>
      <c r="X22" s="34">
        <f t="shared" si="14"/>
        <v>2</v>
      </c>
      <c r="Y22" s="34">
        <f t="shared" si="14"/>
        <v>12.5</v>
      </c>
      <c r="Z22" s="34">
        <f t="shared" si="14"/>
        <v>6</v>
      </c>
      <c r="AA22" s="34">
        <f t="shared" si="14"/>
        <v>3.5</v>
      </c>
      <c r="AB22" s="34">
        <f t="shared" si="14"/>
        <v>1.5</v>
      </c>
      <c r="AC22" s="34">
        <f t="shared" si="14"/>
        <v>152</v>
      </c>
      <c r="AD22" s="34">
        <f t="shared" si="14"/>
        <v>0</v>
      </c>
      <c r="AE22" s="31">
        <f t="shared" si="14"/>
        <v>120</v>
      </c>
      <c r="AF22" s="31">
        <f t="shared" si="14"/>
        <v>272</v>
      </c>
    </row>
    <row r="23" spans="2:32" ht="23.1" customHeight="1" x14ac:dyDescent="0.25">
      <c r="B23" s="23" t="s">
        <v>50</v>
      </c>
      <c r="C23" s="49">
        <f>AVERAGE('17.10  MUBENDE-MITYANA'!C23,'18.10 MUBENDE-MITYANA-24h'!C23,'19.10  MUBENDE-MITYANA-24h'!C23,'20.10 MUBENDE-MITYANA'!C23,'21.10 MUBENDE-MITYANA'!C23,'22.10 MUBENDE-MITYANA'!C23,'23.10 MUBENDE-MITYANA'!C23)</f>
        <v>5.7142857142857144</v>
      </c>
      <c r="D23" s="49">
        <f>AVERAGE('17.10  MUBENDE-MITYANA'!D23,'18.10 MUBENDE-MITYANA-24h'!D23,'19.10  MUBENDE-MITYANA-24h'!D23,'20.10 MUBENDE-MITYANA'!D23,'21.10 MUBENDE-MITYANA'!D23,'22.10 MUBENDE-MITYANA'!D23,'23.10 MUBENDE-MITYANA'!D23)</f>
        <v>2.2857142857142856</v>
      </c>
      <c r="E23" s="49">
        <f>AVERAGE('17.10  MUBENDE-MITYANA'!E23,'18.10 MUBENDE-MITYANA-24h'!E23,'19.10  MUBENDE-MITYANA-24h'!E23,'20.10 MUBENDE-MITYANA'!E23,'21.10 MUBENDE-MITYANA'!E23,'22.10 MUBENDE-MITYANA'!E23,'23.10 MUBENDE-MITYANA'!E23)</f>
        <v>1.5714285714285714</v>
      </c>
      <c r="F23" s="49">
        <f>AVERAGE('17.10  MUBENDE-MITYANA'!F23,'18.10 MUBENDE-MITYANA-24h'!F23,'19.10  MUBENDE-MITYANA-24h'!F23,'20.10 MUBENDE-MITYANA'!F23,'21.10 MUBENDE-MITYANA'!F23,'22.10 MUBENDE-MITYANA'!F23,'23.10 MUBENDE-MITYANA'!F23)</f>
        <v>7.5714285714285712</v>
      </c>
      <c r="G23" s="49">
        <f>AVERAGE('17.10  MUBENDE-MITYANA'!G23,'18.10 MUBENDE-MITYANA-24h'!G23,'19.10  MUBENDE-MITYANA-24h'!G23,'20.10 MUBENDE-MITYANA'!G23,'21.10 MUBENDE-MITYANA'!G23,'22.10 MUBENDE-MITYANA'!G23,'23.10 MUBENDE-MITYANA'!G23)</f>
        <v>0.2857142857142857</v>
      </c>
      <c r="H23" s="49">
        <f>AVERAGE('17.10  MUBENDE-MITYANA'!H23,'18.10 MUBENDE-MITYANA-24h'!H23,'19.10  MUBENDE-MITYANA-24h'!H23,'20.10 MUBENDE-MITYANA'!H23,'21.10 MUBENDE-MITYANA'!H23,'22.10 MUBENDE-MITYANA'!H23,'23.10 MUBENDE-MITYANA'!H23)</f>
        <v>0.2857142857142857</v>
      </c>
      <c r="I23" s="49">
        <f>AVERAGE('17.10  MUBENDE-MITYANA'!I23,'18.10 MUBENDE-MITYANA-24h'!I23,'19.10  MUBENDE-MITYANA-24h'!I23,'20.10 MUBENDE-MITYANA'!I23,'21.10 MUBENDE-MITYANA'!I23,'22.10 MUBENDE-MITYANA'!I23,'23.10 MUBENDE-MITYANA'!I23)</f>
        <v>1.7142857142857142</v>
      </c>
      <c r="J23" s="49">
        <f>AVERAGE('17.10  MUBENDE-MITYANA'!J23,'18.10 MUBENDE-MITYANA-24h'!J23,'19.10  MUBENDE-MITYANA-24h'!J23,'20.10 MUBENDE-MITYANA'!J23,'21.10 MUBENDE-MITYANA'!J23,'22.10 MUBENDE-MITYANA'!J23,'23.10 MUBENDE-MITYANA'!J23)</f>
        <v>0.5714285714285714</v>
      </c>
      <c r="K23" s="49">
        <f>AVERAGE('17.10  MUBENDE-MITYANA'!K23,'18.10 MUBENDE-MITYANA-24h'!K23,'19.10  MUBENDE-MITYANA-24h'!K23,'20.10 MUBENDE-MITYANA'!K23,'21.10 MUBENDE-MITYANA'!K23,'22.10 MUBENDE-MITYANA'!K23,'23.10 MUBENDE-MITYANA'!K23)</f>
        <v>0.2857142857142857</v>
      </c>
      <c r="L23" s="49">
        <f>AVERAGE('17.10  MUBENDE-MITYANA'!L23,'18.10 MUBENDE-MITYANA-24h'!L23,'19.10  MUBENDE-MITYANA-24h'!L23,'20.10 MUBENDE-MITYANA'!L23,'21.10 MUBENDE-MITYANA'!L23,'22.10 MUBENDE-MITYANA'!L23,'23.10 MUBENDE-MITYANA'!L23)</f>
        <v>0.42857142857142855</v>
      </c>
      <c r="M23" s="49">
        <f>AVERAGE('17.10  MUBENDE-MITYANA'!M23,'18.10 MUBENDE-MITYANA-24h'!M23,'19.10  MUBENDE-MITYANA-24h'!M23,'20.10 MUBENDE-MITYANA'!M23,'21.10 MUBENDE-MITYANA'!M23,'22.10 MUBENDE-MITYANA'!M23,'23.10 MUBENDE-MITYANA'!M23)</f>
        <v>41.857142857142854</v>
      </c>
      <c r="N23" s="49">
        <f>AVERAGE('17.10  MUBENDE-MITYANA'!N23,'18.10 MUBENDE-MITYANA-24h'!N23,'19.10  MUBENDE-MITYANA-24h'!N23,'20.10 MUBENDE-MITYANA'!N23,'21.10 MUBENDE-MITYANA'!N23,'22.10 MUBENDE-MITYANA'!N23,'23.10 MUBENDE-MITYANA'!N23)</f>
        <v>0</v>
      </c>
      <c r="O23" s="15">
        <f t="shared" si="0"/>
        <v>20.714285714285712</v>
      </c>
      <c r="P23" s="15">
        <f t="shared" si="1"/>
        <v>62.571428571428569</v>
      </c>
      <c r="R23" s="1" t="s">
        <v>147</v>
      </c>
      <c r="S23" s="34">
        <f>SUM(C62:C65)</f>
        <v>28.5</v>
      </c>
      <c r="T23" s="34">
        <f t="shared" ref="T23:AF23" si="15">SUM(D62:D65)</f>
        <v>13.5</v>
      </c>
      <c r="U23" s="34">
        <f t="shared" si="15"/>
        <v>9</v>
      </c>
      <c r="V23" s="34">
        <f t="shared" si="15"/>
        <v>23</v>
      </c>
      <c r="W23" s="34">
        <f t="shared" si="15"/>
        <v>1.5</v>
      </c>
      <c r="X23" s="34">
        <f t="shared" si="15"/>
        <v>2</v>
      </c>
      <c r="Y23" s="34">
        <f t="shared" si="15"/>
        <v>18.5</v>
      </c>
      <c r="Z23" s="34">
        <f t="shared" si="15"/>
        <v>11.5</v>
      </c>
      <c r="AA23" s="34">
        <f t="shared" si="15"/>
        <v>10</v>
      </c>
      <c r="AB23" s="34">
        <f t="shared" si="15"/>
        <v>6</v>
      </c>
      <c r="AC23" s="34">
        <f t="shared" si="15"/>
        <v>92</v>
      </c>
      <c r="AD23" s="34">
        <f t="shared" si="15"/>
        <v>0</v>
      </c>
      <c r="AE23" s="31">
        <f t="shared" si="15"/>
        <v>123.5</v>
      </c>
      <c r="AF23" s="31">
        <f t="shared" si="15"/>
        <v>215.5</v>
      </c>
    </row>
    <row r="24" spans="2:32" ht="23.1" customHeight="1" x14ac:dyDescent="0.25">
      <c r="B24" s="23" t="s">
        <v>51</v>
      </c>
      <c r="C24" s="49">
        <f>AVERAGE('17.10  MUBENDE-MITYANA'!C24,'18.10 MUBENDE-MITYANA-24h'!C24,'19.10  MUBENDE-MITYANA-24h'!C24,'20.10 MUBENDE-MITYANA'!C24,'21.10 MUBENDE-MITYANA'!C24,'22.10 MUBENDE-MITYANA'!C24,'23.10 MUBENDE-MITYANA'!C24)</f>
        <v>6</v>
      </c>
      <c r="D24" s="49">
        <f>AVERAGE('17.10  MUBENDE-MITYANA'!D24,'18.10 MUBENDE-MITYANA-24h'!D24,'19.10  MUBENDE-MITYANA-24h'!D24,'20.10 MUBENDE-MITYANA'!D24,'21.10 MUBENDE-MITYANA'!D24,'22.10 MUBENDE-MITYANA'!D24,'23.10 MUBENDE-MITYANA'!D24)</f>
        <v>2.7142857142857144</v>
      </c>
      <c r="E24" s="49">
        <f>AVERAGE('17.10  MUBENDE-MITYANA'!E24,'18.10 MUBENDE-MITYANA-24h'!E24,'19.10  MUBENDE-MITYANA-24h'!E24,'20.10 MUBENDE-MITYANA'!E24,'21.10 MUBENDE-MITYANA'!E24,'22.10 MUBENDE-MITYANA'!E24,'23.10 MUBENDE-MITYANA'!E24)</f>
        <v>1.2857142857142858</v>
      </c>
      <c r="F24" s="49">
        <f>AVERAGE('17.10  MUBENDE-MITYANA'!F24,'18.10 MUBENDE-MITYANA-24h'!F24,'19.10  MUBENDE-MITYANA-24h'!F24,'20.10 MUBENDE-MITYANA'!F24,'21.10 MUBENDE-MITYANA'!F24,'22.10 MUBENDE-MITYANA'!F24,'23.10 MUBENDE-MITYANA'!F24)</f>
        <v>6.2857142857142856</v>
      </c>
      <c r="G24" s="49">
        <f>AVERAGE('17.10  MUBENDE-MITYANA'!G24,'18.10 MUBENDE-MITYANA-24h'!G24,'19.10  MUBENDE-MITYANA-24h'!G24,'20.10 MUBENDE-MITYANA'!G24,'21.10 MUBENDE-MITYANA'!G24,'22.10 MUBENDE-MITYANA'!G24,'23.10 MUBENDE-MITYANA'!G24)</f>
        <v>0.14285714285714285</v>
      </c>
      <c r="H24" s="49">
        <f>AVERAGE('17.10  MUBENDE-MITYANA'!H24,'18.10 MUBENDE-MITYANA-24h'!H24,'19.10  MUBENDE-MITYANA-24h'!H24,'20.10 MUBENDE-MITYANA'!H24,'21.10 MUBENDE-MITYANA'!H24,'22.10 MUBENDE-MITYANA'!H24,'23.10 MUBENDE-MITYANA'!H24)</f>
        <v>0.14285714285714285</v>
      </c>
      <c r="I24" s="49">
        <f>AVERAGE('17.10  MUBENDE-MITYANA'!I24,'18.10 MUBENDE-MITYANA-24h'!I24,'19.10  MUBENDE-MITYANA-24h'!I24,'20.10 MUBENDE-MITYANA'!I24,'21.10 MUBENDE-MITYANA'!I24,'22.10 MUBENDE-MITYANA'!I24,'23.10 MUBENDE-MITYANA'!I24)</f>
        <v>2.5714285714285716</v>
      </c>
      <c r="J24" s="49">
        <f>AVERAGE('17.10  MUBENDE-MITYANA'!J24,'18.10 MUBENDE-MITYANA-24h'!J24,'19.10  MUBENDE-MITYANA-24h'!J24,'20.10 MUBENDE-MITYANA'!J24,'21.10 MUBENDE-MITYANA'!J24,'22.10 MUBENDE-MITYANA'!J24,'23.10 MUBENDE-MITYANA'!J24)</f>
        <v>0.5714285714285714</v>
      </c>
      <c r="K24" s="49">
        <f>AVERAGE('17.10  MUBENDE-MITYANA'!K24,'18.10 MUBENDE-MITYANA-24h'!K24,'19.10  MUBENDE-MITYANA-24h'!K24,'20.10 MUBENDE-MITYANA'!K24,'21.10 MUBENDE-MITYANA'!K24,'22.10 MUBENDE-MITYANA'!K24,'23.10 MUBENDE-MITYANA'!K24)</f>
        <v>0.2857142857142857</v>
      </c>
      <c r="L24" s="49">
        <f>AVERAGE('17.10  MUBENDE-MITYANA'!L24,'18.10 MUBENDE-MITYANA-24h'!L24,'19.10  MUBENDE-MITYANA-24h'!L24,'20.10 MUBENDE-MITYANA'!L24,'21.10 MUBENDE-MITYANA'!L24,'22.10 MUBENDE-MITYANA'!L24,'23.10 MUBENDE-MITYANA'!L24)</f>
        <v>1.1428571428571428</v>
      </c>
      <c r="M24" s="49">
        <f>AVERAGE('17.10  MUBENDE-MITYANA'!M24,'18.10 MUBENDE-MITYANA-24h'!M24,'19.10  MUBENDE-MITYANA-24h'!M24,'20.10 MUBENDE-MITYANA'!M24,'21.10 MUBENDE-MITYANA'!M24,'22.10 MUBENDE-MITYANA'!M24,'23.10 MUBENDE-MITYANA'!M24)</f>
        <v>33</v>
      </c>
      <c r="N24" s="49">
        <f>AVERAGE('17.10  MUBENDE-MITYANA'!N24,'18.10 MUBENDE-MITYANA-24h'!N24,'19.10  MUBENDE-MITYANA-24h'!N24,'20.10 MUBENDE-MITYANA'!N24,'21.10 MUBENDE-MITYANA'!N24,'22.10 MUBENDE-MITYANA'!N24,'23.10 MUBENDE-MITYANA'!N24)</f>
        <v>0</v>
      </c>
      <c r="O24" s="15">
        <f t="shared" si="0"/>
        <v>21.142857142857146</v>
      </c>
      <c r="P24" s="15">
        <f t="shared" si="1"/>
        <v>54.142857142857146</v>
      </c>
      <c r="R24" s="1" t="s">
        <v>148</v>
      </c>
      <c r="S24" s="34">
        <f>SUM(C66:C69)</f>
        <v>25.5</v>
      </c>
      <c r="T24" s="34">
        <f t="shared" ref="T24:AF24" si="16">SUM(D66:D69)</f>
        <v>5</v>
      </c>
      <c r="U24" s="34">
        <f t="shared" si="16"/>
        <v>9.5</v>
      </c>
      <c r="V24" s="34">
        <f t="shared" si="16"/>
        <v>23</v>
      </c>
      <c r="W24" s="34">
        <f t="shared" si="16"/>
        <v>0</v>
      </c>
      <c r="X24" s="34">
        <f t="shared" si="16"/>
        <v>0</v>
      </c>
      <c r="Y24" s="34">
        <f t="shared" si="16"/>
        <v>18</v>
      </c>
      <c r="Z24" s="34">
        <f t="shared" si="16"/>
        <v>16.5</v>
      </c>
      <c r="AA24" s="34">
        <f t="shared" si="16"/>
        <v>10.5</v>
      </c>
      <c r="AB24" s="34">
        <f t="shared" si="16"/>
        <v>5</v>
      </c>
      <c r="AC24" s="34">
        <f t="shared" si="16"/>
        <v>71</v>
      </c>
      <c r="AD24" s="34">
        <f t="shared" si="16"/>
        <v>0</v>
      </c>
      <c r="AE24" s="31">
        <f t="shared" si="16"/>
        <v>113</v>
      </c>
      <c r="AF24" s="31">
        <f t="shared" si="16"/>
        <v>184</v>
      </c>
    </row>
    <row r="25" spans="2:32" ht="23.1" customHeight="1" x14ac:dyDescent="0.25">
      <c r="B25" s="23" t="s">
        <v>52</v>
      </c>
      <c r="C25" s="49">
        <f>AVERAGE('17.10  MUBENDE-MITYANA'!C25,'18.10 MUBENDE-MITYANA-24h'!C25,'19.10  MUBENDE-MITYANA-24h'!C25,'20.10 MUBENDE-MITYANA'!C25,'21.10 MUBENDE-MITYANA'!C25,'22.10 MUBENDE-MITYANA'!C25,'23.10 MUBENDE-MITYANA'!C25)</f>
        <v>5.5714285714285712</v>
      </c>
      <c r="D25" s="49">
        <f>AVERAGE('17.10  MUBENDE-MITYANA'!D25,'18.10 MUBENDE-MITYANA-24h'!D25,'19.10  MUBENDE-MITYANA-24h'!D25,'20.10 MUBENDE-MITYANA'!D25,'21.10 MUBENDE-MITYANA'!D25,'22.10 MUBENDE-MITYANA'!D25,'23.10 MUBENDE-MITYANA'!D25)</f>
        <v>1.1428571428571428</v>
      </c>
      <c r="E25" s="49">
        <f>AVERAGE('17.10  MUBENDE-MITYANA'!E25,'18.10 MUBENDE-MITYANA-24h'!E25,'19.10  MUBENDE-MITYANA-24h'!E25,'20.10 MUBENDE-MITYANA'!E25,'21.10 MUBENDE-MITYANA'!E25,'22.10 MUBENDE-MITYANA'!E25,'23.10 MUBENDE-MITYANA'!E25)</f>
        <v>1.1428571428571428</v>
      </c>
      <c r="F25" s="49">
        <f>AVERAGE('17.10  MUBENDE-MITYANA'!F25,'18.10 MUBENDE-MITYANA-24h'!F25,'19.10  MUBENDE-MITYANA-24h'!F25,'20.10 MUBENDE-MITYANA'!F25,'21.10 MUBENDE-MITYANA'!F25,'22.10 MUBENDE-MITYANA'!F25,'23.10 MUBENDE-MITYANA'!F25)</f>
        <v>5.7142857142857144</v>
      </c>
      <c r="G25" s="49">
        <f>AVERAGE('17.10  MUBENDE-MITYANA'!G25,'18.10 MUBENDE-MITYANA-24h'!G25,'19.10  MUBENDE-MITYANA-24h'!G25,'20.10 MUBENDE-MITYANA'!G25,'21.10 MUBENDE-MITYANA'!G25,'22.10 MUBENDE-MITYANA'!G25,'23.10 MUBENDE-MITYANA'!G25)</f>
        <v>0.14285714285714285</v>
      </c>
      <c r="H25" s="49">
        <f>AVERAGE('17.10  MUBENDE-MITYANA'!H25,'18.10 MUBENDE-MITYANA-24h'!H25,'19.10  MUBENDE-MITYANA-24h'!H25,'20.10 MUBENDE-MITYANA'!H25,'21.10 MUBENDE-MITYANA'!H25,'22.10 MUBENDE-MITYANA'!H25,'23.10 MUBENDE-MITYANA'!H25)</f>
        <v>0</v>
      </c>
      <c r="I25" s="49">
        <f>AVERAGE('17.10  MUBENDE-MITYANA'!I25,'18.10 MUBENDE-MITYANA-24h'!I25,'19.10  MUBENDE-MITYANA-24h'!I25,'20.10 MUBENDE-MITYANA'!I25,'21.10 MUBENDE-MITYANA'!I25,'22.10 MUBENDE-MITYANA'!I25,'23.10 MUBENDE-MITYANA'!I25)</f>
        <v>0.8571428571428571</v>
      </c>
      <c r="J25" s="49">
        <f>AVERAGE('17.10  MUBENDE-MITYANA'!J25,'18.10 MUBENDE-MITYANA-24h'!J25,'19.10  MUBENDE-MITYANA-24h'!J25,'20.10 MUBENDE-MITYANA'!J25,'21.10 MUBENDE-MITYANA'!J25,'22.10 MUBENDE-MITYANA'!J25,'23.10 MUBENDE-MITYANA'!J25)</f>
        <v>0.42857142857142855</v>
      </c>
      <c r="K25" s="49">
        <f>AVERAGE('17.10  MUBENDE-MITYANA'!K25,'18.10 MUBENDE-MITYANA-24h'!K25,'19.10  MUBENDE-MITYANA-24h'!K25,'20.10 MUBENDE-MITYANA'!K25,'21.10 MUBENDE-MITYANA'!K25,'22.10 MUBENDE-MITYANA'!K25,'23.10 MUBENDE-MITYANA'!K25)</f>
        <v>0.14285714285714285</v>
      </c>
      <c r="L25" s="49">
        <f>AVERAGE('17.10  MUBENDE-MITYANA'!L25,'18.10 MUBENDE-MITYANA-24h'!L25,'19.10  MUBENDE-MITYANA-24h'!L25,'20.10 MUBENDE-MITYANA'!L25,'21.10 MUBENDE-MITYANA'!L25,'22.10 MUBENDE-MITYANA'!L25,'23.10 MUBENDE-MITYANA'!L25)</f>
        <v>0.5714285714285714</v>
      </c>
      <c r="M25" s="49">
        <f>AVERAGE('17.10  MUBENDE-MITYANA'!M25,'18.10 MUBENDE-MITYANA-24h'!M25,'19.10  MUBENDE-MITYANA-24h'!M25,'20.10 MUBENDE-MITYANA'!M25,'21.10 MUBENDE-MITYANA'!M25,'22.10 MUBENDE-MITYANA'!M25,'23.10 MUBENDE-MITYANA'!M25)</f>
        <v>33</v>
      </c>
      <c r="N25" s="49">
        <f>AVERAGE('17.10  MUBENDE-MITYANA'!N25,'18.10 MUBENDE-MITYANA-24h'!N25,'19.10  MUBENDE-MITYANA-24h'!N25,'20.10 MUBENDE-MITYANA'!N25,'21.10 MUBENDE-MITYANA'!N25,'22.10 MUBENDE-MITYANA'!N25,'23.10 MUBENDE-MITYANA'!N25)</f>
        <v>0</v>
      </c>
      <c r="O25" s="15">
        <f t="shared" si="0"/>
        <v>15.714285714285712</v>
      </c>
      <c r="P25" s="15">
        <f t="shared" si="1"/>
        <v>48.714285714285708</v>
      </c>
      <c r="R25" s="1" t="s">
        <v>149</v>
      </c>
      <c r="S25" s="34">
        <f>SUM(C70:C73)</f>
        <v>15.5</v>
      </c>
      <c r="T25" s="34">
        <f t="shared" ref="T25:AF25" si="17">SUM(D70:D73)</f>
        <v>7.5</v>
      </c>
      <c r="U25" s="34">
        <f t="shared" si="17"/>
        <v>4</v>
      </c>
      <c r="V25" s="34">
        <f t="shared" si="17"/>
        <v>14.5</v>
      </c>
      <c r="W25" s="34">
        <f t="shared" si="17"/>
        <v>1</v>
      </c>
      <c r="X25" s="34">
        <f t="shared" si="17"/>
        <v>0.5</v>
      </c>
      <c r="Y25" s="34">
        <f t="shared" si="17"/>
        <v>14.5</v>
      </c>
      <c r="Z25" s="34">
        <f t="shared" si="17"/>
        <v>12.5</v>
      </c>
      <c r="AA25" s="34">
        <f t="shared" si="17"/>
        <v>4</v>
      </c>
      <c r="AB25" s="34">
        <f t="shared" si="17"/>
        <v>3.5</v>
      </c>
      <c r="AC25" s="34">
        <f t="shared" si="17"/>
        <v>32.5</v>
      </c>
      <c r="AD25" s="34">
        <f t="shared" si="17"/>
        <v>0</v>
      </c>
      <c r="AE25" s="31">
        <f t="shared" si="17"/>
        <v>77.5</v>
      </c>
      <c r="AF25" s="31">
        <f t="shared" si="17"/>
        <v>110</v>
      </c>
    </row>
    <row r="26" spans="2:32" ht="23.1" customHeight="1" x14ac:dyDescent="0.25">
      <c r="B26" s="23" t="s">
        <v>53</v>
      </c>
      <c r="C26" s="49">
        <f>AVERAGE('17.10  MUBENDE-MITYANA'!C26,'18.10 MUBENDE-MITYANA-24h'!C26,'19.10  MUBENDE-MITYANA-24h'!C26,'20.10 MUBENDE-MITYANA'!C26,'21.10 MUBENDE-MITYANA'!C26,'22.10 MUBENDE-MITYANA'!C26,'23.10 MUBENDE-MITYANA'!C26)</f>
        <v>7.4285714285714288</v>
      </c>
      <c r="D26" s="49">
        <f>AVERAGE('17.10  MUBENDE-MITYANA'!D26,'18.10 MUBENDE-MITYANA-24h'!D26,'19.10  MUBENDE-MITYANA-24h'!D26,'20.10 MUBENDE-MITYANA'!D26,'21.10 MUBENDE-MITYANA'!D26,'22.10 MUBENDE-MITYANA'!D26,'23.10 MUBENDE-MITYANA'!D26)</f>
        <v>2.1428571428571428</v>
      </c>
      <c r="E26" s="49">
        <f>AVERAGE('17.10  MUBENDE-MITYANA'!E26,'18.10 MUBENDE-MITYANA-24h'!E26,'19.10  MUBENDE-MITYANA-24h'!E26,'20.10 MUBENDE-MITYANA'!E26,'21.10 MUBENDE-MITYANA'!E26,'22.10 MUBENDE-MITYANA'!E26,'23.10 MUBENDE-MITYANA'!E26)</f>
        <v>1.2857142857142858</v>
      </c>
      <c r="F26" s="49">
        <f>AVERAGE('17.10  MUBENDE-MITYANA'!F26,'18.10 MUBENDE-MITYANA-24h'!F26,'19.10  MUBENDE-MITYANA-24h'!F26,'20.10 MUBENDE-MITYANA'!F26,'21.10 MUBENDE-MITYANA'!F26,'22.10 MUBENDE-MITYANA'!F26,'23.10 MUBENDE-MITYANA'!F26)</f>
        <v>6.8571428571428568</v>
      </c>
      <c r="G26" s="49">
        <f>AVERAGE('17.10  MUBENDE-MITYANA'!G26,'18.10 MUBENDE-MITYANA-24h'!G26,'19.10  MUBENDE-MITYANA-24h'!G26,'20.10 MUBENDE-MITYANA'!G26,'21.10 MUBENDE-MITYANA'!G26,'22.10 MUBENDE-MITYANA'!G26,'23.10 MUBENDE-MITYANA'!G26)</f>
        <v>0</v>
      </c>
      <c r="H26" s="49">
        <f>AVERAGE('17.10  MUBENDE-MITYANA'!H26,'18.10 MUBENDE-MITYANA-24h'!H26,'19.10  MUBENDE-MITYANA-24h'!H26,'20.10 MUBENDE-MITYANA'!H26,'21.10 MUBENDE-MITYANA'!H26,'22.10 MUBENDE-MITYANA'!H26,'23.10 MUBENDE-MITYANA'!H26)</f>
        <v>0.2857142857142857</v>
      </c>
      <c r="I26" s="49">
        <f>AVERAGE('17.10  MUBENDE-MITYANA'!I26,'18.10 MUBENDE-MITYANA-24h'!I26,'19.10  MUBENDE-MITYANA-24h'!I26,'20.10 MUBENDE-MITYANA'!I26,'21.10 MUBENDE-MITYANA'!I26,'22.10 MUBENDE-MITYANA'!I26,'23.10 MUBENDE-MITYANA'!I26)</f>
        <v>1.8571428571428572</v>
      </c>
      <c r="J26" s="49">
        <f>AVERAGE('17.10  MUBENDE-MITYANA'!J26,'18.10 MUBENDE-MITYANA-24h'!J26,'19.10  MUBENDE-MITYANA-24h'!J26,'20.10 MUBENDE-MITYANA'!J26,'21.10 MUBENDE-MITYANA'!J26,'22.10 MUBENDE-MITYANA'!J26,'23.10 MUBENDE-MITYANA'!J26)</f>
        <v>0.8571428571428571</v>
      </c>
      <c r="K26" s="49">
        <f>AVERAGE('17.10  MUBENDE-MITYANA'!K26,'18.10 MUBENDE-MITYANA-24h'!K26,'19.10  MUBENDE-MITYANA-24h'!K26,'20.10 MUBENDE-MITYANA'!K26,'21.10 MUBENDE-MITYANA'!K26,'22.10 MUBENDE-MITYANA'!K26,'23.10 MUBENDE-MITYANA'!K26)</f>
        <v>0.14285714285714285</v>
      </c>
      <c r="L26" s="49">
        <f>AVERAGE('17.10  MUBENDE-MITYANA'!L26,'18.10 MUBENDE-MITYANA-24h'!L26,'19.10  MUBENDE-MITYANA-24h'!L26,'20.10 MUBENDE-MITYANA'!L26,'21.10 MUBENDE-MITYANA'!L26,'22.10 MUBENDE-MITYANA'!L26,'23.10 MUBENDE-MITYANA'!L26)</f>
        <v>0.42857142857142855</v>
      </c>
      <c r="M26" s="49">
        <f>AVERAGE('17.10  MUBENDE-MITYANA'!M26,'18.10 MUBENDE-MITYANA-24h'!M26,'19.10  MUBENDE-MITYANA-24h'!M26,'20.10 MUBENDE-MITYANA'!M26,'21.10 MUBENDE-MITYANA'!M26,'22.10 MUBENDE-MITYANA'!M26,'23.10 MUBENDE-MITYANA'!M26)</f>
        <v>43.285714285714285</v>
      </c>
      <c r="N26" s="49">
        <f>AVERAGE('17.10  MUBENDE-MITYANA'!N26,'18.10 MUBENDE-MITYANA-24h'!N26,'19.10  MUBENDE-MITYANA-24h'!N26,'20.10 MUBENDE-MITYANA'!N26,'21.10 MUBENDE-MITYANA'!N26,'22.10 MUBENDE-MITYANA'!N26,'23.10 MUBENDE-MITYANA'!N26)</f>
        <v>0</v>
      </c>
      <c r="O26" s="15">
        <f t="shared" si="0"/>
        <v>21.285714285714285</v>
      </c>
      <c r="P26" s="15">
        <f t="shared" si="1"/>
        <v>64.571428571428569</v>
      </c>
      <c r="R26" s="1" t="s">
        <v>150</v>
      </c>
      <c r="S26" s="34">
        <f>SUM(C74:C77)</f>
        <v>12.5</v>
      </c>
      <c r="T26" s="34">
        <f t="shared" ref="T26:AF26" si="18">SUM(D74:D77)</f>
        <v>1.5</v>
      </c>
      <c r="U26" s="34">
        <f t="shared" si="18"/>
        <v>2</v>
      </c>
      <c r="V26" s="34">
        <f t="shared" si="18"/>
        <v>5</v>
      </c>
      <c r="W26" s="34">
        <f t="shared" si="18"/>
        <v>1</v>
      </c>
      <c r="X26" s="34">
        <f t="shared" si="18"/>
        <v>1</v>
      </c>
      <c r="Y26" s="34">
        <f t="shared" si="18"/>
        <v>12</v>
      </c>
      <c r="Z26" s="34">
        <f t="shared" si="18"/>
        <v>8</v>
      </c>
      <c r="AA26" s="34">
        <f t="shared" si="18"/>
        <v>6.5</v>
      </c>
      <c r="AB26" s="34">
        <f t="shared" si="18"/>
        <v>6</v>
      </c>
      <c r="AC26" s="34">
        <f t="shared" si="18"/>
        <v>17.5</v>
      </c>
      <c r="AD26" s="34">
        <f t="shared" si="18"/>
        <v>0</v>
      </c>
      <c r="AE26" s="31">
        <f t="shared" si="18"/>
        <v>55.5</v>
      </c>
      <c r="AF26" s="31">
        <f t="shared" si="18"/>
        <v>73</v>
      </c>
    </row>
    <row r="27" spans="2:32" ht="23.1" customHeight="1" x14ac:dyDescent="0.25">
      <c r="B27" s="23" t="s">
        <v>54</v>
      </c>
      <c r="C27" s="49">
        <f>AVERAGE('17.10  MUBENDE-MITYANA'!C27,'18.10 MUBENDE-MITYANA-24h'!C27,'19.10  MUBENDE-MITYANA-24h'!C27,'20.10 MUBENDE-MITYANA'!C27,'21.10 MUBENDE-MITYANA'!C27,'22.10 MUBENDE-MITYANA'!C27,'23.10 MUBENDE-MITYANA'!C27)</f>
        <v>7.5714285714285712</v>
      </c>
      <c r="D27" s="49">
        <f>AVERAGE('17.10  MUBENDE-MITYANA'!D27,'18.10 MUBENDE-MITYANA-24h'!D27,'19.10  MUBENDE-MITYANA-24h'!D27,'20.10 MUBENDE-MITYANA'!D27,'21.10 MUBENDE-MITYANA'!D27,'22.10 MUBENDE-MITYANA'!D27,'23.10 MUBENDE-MITYANA'!D27)</f>
        <v>1.8571428571428572</v>
      </c>
      <c r="E27" s="49">
        <f>AVERAGE('17.10  MUBENDE-MITYANA'!E27,'18.10 MUBENDE-MITYANA-24h'!E27,'19.10  MUBENDE-MITYANA-24h'!E27,'20.10 MUBENDE-MITYANA'!E27,'21.10 MUBENDE-MITYANA'!E27,'22.10 MUBENDE-MITYANA'!E27,'23.10 MUBENDE-MITYANA'!E27)</f>
        <v>1.4285714285714286</v>
      </c>
      <c r="F27" s="49">
        <f>AVERAGE('17.10  MUBENDE-MITYANA'!F27,'18.10 MUBENDE-MITYANA-24h'!F27,'19.10  MUBENDE-MITYANA-24h'!F27,'20.10 MUBENDE-MITYANA'!F27,'21.10 MUBENDE-MITYANA'!F27,'22.10 MUBENDE-MITYANA'!F27,'23.10 MUBENDE-MITYANA'!F27)</f>
        <v>6.7142857142857144</v>
      </c>
      <c r="G27" s="49">
        <f>AVERAGE('17.10  MUBENDE-MITYANA'!G27,'18.10 MUBENDE-MITYANA-24h'!G27,'19.10  MUBENDE-MITYANA-24h'!G27,'20.10 MUBENDE-MITYANA'!G27,'21.10 MUBENDE-MITYANA'!G27,'22.10 MUBENDE-MITYANA'!G27,'23.10 MUBENDE-MITYANA'!G27)</f>
        <v>0</v>
      </c>
      <c r="H27" s="49">
        <f>AVERAGE('17.10  MUBENDE-MITYANA'!H27,'18.10 MUBENDE-MITYANA-24h'!H27,'19.10  MUBENDE-MITYANA-24h'!H27,'20.10 MUBENDE-MITYANA'!H27,'21.10 MUBENDE-MITYANA'!H27,'22.10 MUBENDE-MITYANA'!H27,'23.10 MUBENDE-MITYANA'!H27)</f>
        <v>0.14285714285714285</v>
      </c>
      <c r="I27" s="49">
        <f>AVERAGE('17.10  MUBENDE-MITYANA'!I27,'18.10 MUBENDE-MITYANA-24h'!I27,'19.10  MUBENDE-MITYANA-24h'!I27,'20.10 MUBENDE-MITYANA'!I27,'21.10 MUBENDE-MITYANA'!I27,'22.10 MUBENDE-MITYANA'!I27,'23.10 MUBENDE-MITYANA'!I27)</f>
        <v>1.4285714285714286</v>
      </c>
      <c r="J27" s="49">
        <f>AVERAGE('17.10  MUBENDE-MITYANA'!J27,'18.10 MUBENDE-MITYANA-24h'!J27,'19.10  MUBENDE-MITYANA-24h'!J27,'20.10 MUBENDE-MITYANA'!J27,'21.10 MUBENDE-MITYANA'!J27,'22.10 MUBENDE-MITYANA'!J27,'23.10 MUBENDE-MITYANA'!J27)</f>
        <v>1.2857142857142858</v>
      </c>
      <c r="K27" s="49">
        <f>AVERAGE('17.10  MUBENDE-MITYANA'!K27,'18.10 MUBENDE-MITYANA-24h'!K27,'19.10  MUBENDE-MITYANA-24h'!K27,'20.10 MUBENDE-MITYANA'!K27,'21.10 MUBENDE-MITYANA'!K27,'22.10 MUBENDE-MITYANA'!K27,'23.10 MUBENDE-MITYANA'!K27)</f>
        <v>0.42857142857142855</v>
      </c>
      <c r="L27" s="49">
        <f>AVERAGE('17.10  MUBENDE-MITYANA'!L27,'18.10 MUBENDE-MITYANA-24h'!L27,'19.10  MUBENDE-MITYANA-24h'!L27,'20.10 MUBENDE-MITYANA'!L27,'21.10 MUBENDE-MITYANA'!L27,'22.10 MUBENDE-MITYANA'!L27,'23.10 MUBENDE-MITYANA'!L27)</f>
        <v>0.42857142857142855</v>
      </c>
      <c r="M27" s="49">
        <f>AVERAGE('17.10  MUBENDE-MITYANA'!M27,'18.10 MUBENDE-MITYANA-24h'!M27,'19.10  MUBENDE-MITYANA-24h'!M27,'20.10 MUBENDE-MITYANA'!M27,'21.10 MUBENDE-MITYANA'!M27,'22.10 MUBENDE-MITYANA'!M27,'23.10 MUBENDE-MITYANA'!M27)</f>
        <v>36.285714285714285</v>
      </c>
      <c r="N27" s="49">
        <f>AVERAGE('17.10  MUBENDE-MITYANA'!N27,'18.10 MUBENDE-MITYANA-24h'!N27,'19.10  MUBENDE-MITYANA-24h'!N27,'20.10 MUBENDE-MITYANA'!N27,'21.10 MUBENDE-MITYANA'!N27,'22.10 MUBENDE-MITYANA'!N27,'23.10 MUBENDE-MITYANA'!N27)</f>
        <v>0</v>
      </c>
      <c r="O27" s="15">
        <f t="shared" si="0"/>
        <v>21.285714285714281</v>
      </c>
      <c r="P27" s="15">
        <f t="shared" si="1"/>
        <v>57.571428571428569</v>
      </c>
      <c r="R27" s="1" t="s">
        <v>151</v>
      </c>
      <c r="S27" s="34">
        <f>SUM(C78:C81)</f>
        <v>6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3.5</v>
      </c>
      <c r="W27" s="34">
        <f t="shared" si="19"/>
        <v>0.5</v>
      </c>
      <c r="X27" s="34">
        <f t="shared" si="19"/>
        <v>0.5</v>
      </c>
      <c r="Y27" s="34">
        <f t="shared" si="19"/>
        <v>8</v>
      </c>
      <c r="Z27" s="34">
        <f t="shared" si="19"/>
        <v>11.5</v>
      </c>
      <c r="AA27" s="34">
        <f t="shared" si="19"/>
        <v>4</v>
      </c>
      <c r="AB27" s="34">
        <f t="shared" si="19"/>
        <v>1</v>
      </c>
      <c r="AC27" s="34">
        <f t="shared" si="19"/>
        <v>7</v>
      </c>
      <c r="AD27" s="34">
        <f t="shared" si="19"/>
        <v>0</v>
      </c>
      <c r="AE27" s="31">
        <f t="shared" si="19"/>
        <v>36</v>
      </c>
      <c r="AF27" s="31">
        <f t="shared" si="19"/>
        <v>43</v>
      </c>
    </row>
    <row r="28" spans="2:32" ht="23.1" customHeight="1" x14ac:dyDescent="0.25">
      <c r="B28" s="23" t="s">
        <v>55</v>
      </c>
      <c r="C28" s="49">
        <f>AVERAGE('17.10  MUBENDE-MITYANA'!C28,'18.10 MUBENDE-MITYANA-24h'!C28,'19.10  MUBENDE-MITYANA-24h'!C28,'20.10 MUBENDE-MITYANA'!C28,'21.10 MUBENDE-MITYANA'!C28,'22.10 MUBENDE-MITYANA'!C28,'23.10 MUBENDE-MITYANA'!C28)</f>
        <v>5.8571428571428568</v>
      </c>
      <c r="D28" s="49">
        <f>AVERAGE('17.10  MUBENDE-MITYANA'!D28,'18.10 MUBENDE-MITYANA-24h'!D28,'19.10  MUBENDE-MITYANA-24h'!D28,'20.10 MUBENDE-MITYANA'!D28,'21.10 MUBENDE-MITYANA'!D28,'22.10 MUBENDE-MITYANA'!D28,'23.10 MUBENDE-MITYANA'!D28)</f>
        <v>3</v>
      </c>
      <c r="E28" s="49">
        <f>AVERAGE('17.10  MUBENDE-MITYANA'!E28,'18.10 MUBENDE-MITYANA-24h'!E28,'19.10  MUBENDE-MITYANA-24h'!E28,'20.10 MUBENDE-MITYANA'!E28,'21.10 MUBENDE-MITYANA'!E28,'22.10 MUBENDE-MITYANA'!E28,'23.10 MUBENDE-MITYANA'!E28)</f>
        <v>2.4285714285714284</v>
      </c>
      <c r="F28" s="49">
        <f>AVERAGE('17.10  MUBENDE-MITYANA'!F28,'18.10 MUBENDE-MITYANA-24h'!F28,'19.10  MUBENDE-MITYANA-24h'!F28,'20.10 MUBENDE-MITYANA'!F28,'21.10 MUBENDE-MITYANA'!F28,'22.10 MUBENDE-MITYANA'!F28,'23.10 MUBENDE-MITYANA'!F28)</f>
        <v>7.5714285714285712</v>
      </c>
      <c r="G28" s="49">
        <f>AVERAGE('17.10  MUBENDE-MITYANA'!G28,'18.10 MUBENDE-MITYANA-24h'!G28,'19.10  MUBENDE-MITYANA-24h'!G28,'20.10 MUBENDE-MITYANA'!G28,'21.10 MUBENDE-MITYANA'!G28,'22.10 MUBENDE-MITYANA'!G28,'23.10 MUBENDE-MITYANA'!G28)</f>
        <v>0.2857142857142857</v>
      </c>
      <c r="H28" s="49">
        <f>AVERAGE('17.10  MUBENDE-MITYANA'!H28,'18.10 MUBENDE-MITYANA-24h'!H28,'19.10  MUBENDE-MITYANA-24h'!H28,'20.10 MUBENDE-MITYANA'!H28,'21.10 MUBENDE-MITYANA'!H28,'22.10 MUBENDE-MITYANA'!H28,'23.10 MUBENDE-MITYANA'!H28)</f>
        <v>0.42857142857142855</v>
      </c>
      <c r="I28" s="49">
        <f>AVERAGE('17.10  MUBENDE-MITYANA'!I28,'18.10 MUBENDE-MITYANA-24h'!I28,'19.10  MUBENDE-MITYANA-24h'!I28,'20.10 MUBENDE-MITYANA'!I28,'21.10 MUBENDE-MITYANA'!I28,'22.10 MUBENDE-MITYANA'!I28,'23.10 MUBENDE-MITYANA'!I28)</f>
        <v>1.1428571428571428</v>
      </c>
      <c r="J28" s="49">
        <f>AVERAGE('17.10  MUBENDE-MITYANA'!J28,'18.10 MUBENDE-MITYANA-24h'!J28,'19.10  MUBENDE-MITYANA-24h'!J28,'20.10 MUBENDE-MITYANA'!J28,'21.10 MUBENDE-MITYANA'!J28,'22.10 MUBENDE-MITYANA'!J28,'23.10 MUBENDE-MITYANA'!J28)</f>
        <v>1.7142857142857142</v>
      </c>
      <c r="K28" s="49">
        <f>AVERAGE('17.10  MUBENDE-MITYANA'!K28,'18.10 MUBENDE-MITYANA-24h'!K28,'19.10  MUBENDE-MITYANA-24h'!K28,'20.10 MUBENDE-MITYANA'!K28,'21.10 MUBENDE-MITYANA'!K28,'22.10 MUBENDE-MITYANA'!K28,'23.10 MUBENDE-MITYANA'!K28)</f>
        <v>0.14285714285714285</v>
      </c>
      <c r="L28" s="49">
        <f>AVERAGE('17.10  MUBENDE-MITYANA'!L28,'18.10 MUBENDE-MITYANA-24h'!L28,'19.10  MUBENDE-MITYANA-24h'!L28,'20.10 MUBENDE-MITYANA'!L28,'21.10 MUBENDE-MITYANA'!L28,'22.10 MUBENDE-MITYANA'!L28,'23.10 MUBENDE-MITYANA'!L28)</f>
        <v>0.5714285714285714</v>
      </c>
      <c r="M28" s="49">
        <f>AVERAGE('17.10  MUBENDE-MITYANA'!M28,'18.10 MUBENDE-MITYANA-24h'!M28,'19.10  MUBENDE-MITYANA-24h'!M28,'20.10 MUBENDE-MITYANA'!M28,'21.10 MUBENDE-MITYANA'!M28,'22.10 MUBENDE-MITYANA'!M28,'23.10 MUBENDE-MITYANA'!M28)</f>
        <v>38</v>
      </c>
      <c r="N28" s="49">
        <f>AVERAGE('17.10  MUBENDE-MITYANA'!N28,'18.10 MUBENDE-MITYANA-24h'!N28,'19.10  MUBENDE-MITYANA-24h'!N28,'20.10 MUBENDE-MITYANA'!N28,'21.10 MUBENDE-MITYANA'!N28,'22.10 MUBENDE-MITYANA'!N28,'23.10 MUBENDE-MITYANA'!N28)</f>
        <v>0</v>
      </c>
      <c r="O28" s="15">
        <f t="shared" si="0"/>
        <v>23.142857142857142</v>
      </c>
      <c r="P28" s="15">
        <f t="shared" si="1"/>
        <v>61.142857142857139</v>
      </c>
      <c r="R28" s="1" t="s">
        <v>152</v>
      </c>
      <c r="S28" s="34">
        <f>SUM(C82:C85)</f>
        <v>1</v>
      </c>
      <c r="T28" s="34">
        <f t="shared" ref="T28:AF28" si="20">SUM(D82:D85)</f>
        <v>0.5</v>
      </c>
      <c r="U28" s="34">
        <f t="shared" si="20"/>
        <v>1</v>
      </c>
      <c r="V28" s="34">
        <f t="shared" si="20"/>
        <v>2</v>
      </c>
      <c r="W28" s="34">
        <f t="shared" si="20"/>
        <v>0.5</v>
      </c>
      <c r="X28" s="34">
        <f t="shared" si="20"/>
        <v>1.5</v>
      </c>
      <c r="Y28" s="34">
        <f t="shared" si="20"/>
        <v>10</v>
      </c>
      <c r="Z28" s="34">
        <f t="shared" si="20"/>
        <v>11.5</v>
      </c>
      <c r="AA28" s="34">
        <f t="shared" si="20"/>
        <v>3.5</v>
      </c>
      <c r="AB28" s="34">
        <f t="shared" si="20"/>
        <v>6.5</v>
      </c>
      <c r="AC28" s="34">
        <f t="shared" si="20"/>
        <v>3.5</v>
      </c>
      <c r="AD28" s="34">
        <f t="shared" si="20"/>
        <v>0</v>
      </c>
      <c r="AE28" s="31">
        <f t="shared" si="20"/>
        <v>38</v>
      </c>
      <c r="AF28" s="31">
        <f t="shared" si="20"/>
        <v>41.5</v>
      </c>
    </row>
    <row r="29" spans="2:32" ht="23.1" customHeight="1" x14ac:dyDescent="0.25">
      <c r="B29" s="23" t="s">
        <v>56</v>
      </c>
      <c r="C29" s="49">
        <f>AVERAGE('17.10  MUBENDE-MITYANA'!C29,'18.10 MUBENDE-MITYANA-24h'!C29,'19.10  MUBENDE-MITYANA-24h'!C29,'20.10 MUBENDE-MITYANA'!C29,'21.10 MUBENDE-MITYANA'!C29,'22.10 MUBENDE-MITYANA'!C29,'23.10 MUBENDE-MITYANA'!C29)</f>
        <v>7.8571428571428568</v>
      </c>
      <c r="D29" s="49">
        <f>AVERAGE('17.10  MUBENDE-MITYANA'!D29,'18.10 MUBENDE-MITYANA-24h'!D29,'19.10  MUBENDE-MITYANA-24h'!D29,'20.10 MUBENDE-MITYANA'!D29,'21.10 MUBENDE-MITYANA'!D29,'22.10 MUBENDE-MITYANA'!D29,'23.10 MUBENDE-MITYANA'!D29)</f>
        <v>2.5714285714285716</v>
      </c>
      <c r="E29" s="49">
        <f>AVERAGE('17.10  MUBENDE-MITYANA'!E29,'18.10 MUBENDE-MITYANA-24h'!E29,'19.10  MUBENDE-MITYANA-24h'!E29,'20.10 MUBENDE-MITYANA'!E29,'21.10 MUBENDE-MITYANA'!E29,'22.10 MUBENDE-MITYANA'!E29,'23.10 MUBENDE-MITYANA'!E29)</f>
        <v>1.8571428571428572</v>
      </c>
      <c r="F29" s="49">
        <f>AVERAGE('17.10  MUBENDE-MITYANA'!F29,'18.10 MUBENDE-MITYANA-24h'!F29,'19.10  MUBENDE-MITYANA-24h'!F29,'20.10 MUBENDE-MITYANA'!F29,'21.10 MUBENDE-MITYANA'!F29,'22.10 MUBENDE-MITYANA'!F29,'23.10 MUBENDE-MITYANA'!F29)</f>
        <v>4.1428571428571432</v>
      </c>
      <c r="G29" s="49">
        <f>AVERAGE('17.10  MUBENDE-MITYANA'!G29,'18.10 MUBENDE-MITYANA-24h'!G29,'19.10  MUBENDE-MITYANA-24h'!G29,'20.10 MUBENDE-MITYANA'!G29,'21.10 MUBENDE-MITYANA'!G29,'22.10 MUBENDE-MITYANA'!G29,'23.10 MUBENDE-MITYANA'!G29)</f>
        <v>0</v>
      </c>
      <c r="H29" s="49">
        <f>AVERAGE('17.10  MUBENDE-MITYANA'!H29,'18.10 MUBENDE-MITYANA-24h'!H29,'19.10  MUBENDE-MITYANA-24h'!H29,'20.10 MUBENDE-MITYANA'!H29,'21.10 MUBENDE-MITYANA'!H29,'22.10 MUBENDE-MITYANA'!H29,'23.10 MUBENDE-MITYANA'!H29)</f>
        <v>0.42857142857142855</v>
      </c>
      <c r="I29" s="49">
        <f>AVERAGE('17.10  MUBENDE-MITYANA'!I29,'18.10 MUBENDE-MITYANA-24h'!I29,'19.10  MUBENDE-MITYANA-24h'!I29,'20.10 MUBENDE-MITYANA'!I29,'21.10 MUBENDE-MITYANA'!I29,'22.10 MUBENDE-MITYANA'!I29,'23.10 MUBENDE-MITYANA'!I29)</f>
        <v>1.7142857142857142</v>
      </c>
      <c r="J29" s="49">
        <f>AVERAGE('17.10  MUBENDE-MITYANA'!J29,'18.10 MUBENDE-MITYANA-24h'!J29,'19.10  MUBENDE-MITYANA-24h'!J29,'20.10 MUBENDE-MITYANA'!J29,'21.10 MUBENDE-MITYANA'!J29,'22.10 MUBENDE-MITYANA'!J29,'23.10 MUBENDE-MITYANA'!J29)</f>
        <v>0.5714285714285714</v>
      </c>
      <c r="K29" s="49">
        <f>AVERAGE('17.10  MUBENDE-MITYANA'!K29,'18.10 MUBENDE-MITYANA-24h'!K29,'19.10  MUBENDE-MITYANA-24h'!K29,'20.10 MUBENDE-MITYANA'!K29,'21.10 MUBENDE-MITYANA'!K29,'22.10 MUBENDE-MITYANA'!K29,'23.10 MUBENDE-MITYANA'!K29)</f>
        <v>0</v>
      </c>
      <c r="L29" s="49">
        <f>AVERAGE('17.10  MUBENDE-MITYANA'!L29,'18.10 MUBENDE-MITYANA-24h'!L29,'19.10  MUBENDE-MITYANA-24h'!L29,'20.10 MUBENDE-MITYANA'!L29,'21.10 MUBENDE-MITYANA'!L29,'22.10 MUBENDE-MITYANA'!L29,'23.10 MUBENDE-MITYANA'!L29)</f>
        <v>0.7142857142857143</v>
      </c>
      <c r="M29" s="49">
        <f>AVERAGE('17.10  MUBENDE-MITYANA'!M29,'18.10 MUBENDE-MITYANA-24h'!M29,'19.10  MUBENDE-MITYANA-24h'!M29,'20.10 MUBENDE-MITYANA'!M29,'21.10 MUBENDE-MITYANA'!M29,'22.10 MUBENDE-MITYANA'!M29,'23.10 MUBENDE-MITYANA'!M29)</f>
        <v>41.714285714285715</v>
      </c>
      <c r="N29" s="49">
        <f>AVERAGE('17.10  MUBENDE-MITYANA'!N29,'18.10 MUBENDE-MITYANA-24h'!N29,'19.10  MUBENDE-MITYANA-24h'!N29,'20.10 MUBENDE-MITYANA'!N29,'21.10 MUBENDE-MITYANA'!N29,'22.10 MUBENDE-MITYANA'!N29,'23.10 MUBENDE-MITYANA'!N29)</f>
        <v>0</v>
      </c>
      <c r="O29" s="15">
        <f t="shared" si="0"/>
        <v>19.857142857142861</v>
      </c>
      <c r="P29" s="15">
        <f t="shared" si="1"/>
        <v>61.571428571428577</v>
      </c>
      <c r="R29" s="1" t="s">
        <v>153</v>
      </c>
      <c r="S29" s="34">
        <f>SUM(C86:C89)</f>
        <v>1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1.5</v>
      </c>
      <c r="W29" s="34">
        <f t="shared" si="21"/>
        <v>0.5</v>
      </c>
      <c r="X29" s="34">
        <f t="shared" si="21"/>
        <v>1.5</v>
      </c>
      <c r="Y29" s="34">
        <f t="shared" si="21"/>
        <v>6.5</v>
      </c>
      <c r="Z29" s="34">
        <f t="shared" si="21"/>
        <v>13</v>
      </c>
      <c r="AA29" s="34">
        <f t="shared" si="21"/>
        <v>3</v>
      </c>
      <c r="AB29" s="34">
        <f t="shared" si="21"/>
        <v>2.5</v>
      </c>
      <c r="AC29" s="34">
        <f t="shared" si="21"/>
        <v>7</v>
      </c>
      <c r="AD29" s="34">
        <f t="shared" si="21"/>
        <v>0</v>
      </c>
      <c r="AE29" s="31">
        <f t="shared" si="21"/>
        <v>30.5</v>
      </c>
      <c r="AF29" s="31">
        <f t="shared" si="21"/>
        <v>37.5</v>
      </c>
    </row>
    <row r="30" spans="2:32" ht="23.1" customHeight="1" x14ac:dyDescent="0.25">
      <c r="B30" s="23" t="s">
        <v>57</v>
      </c>
      <c r="C30" s="49">
        <f>AVERAGE('17.10  MUBENDE-MITYANA'!C30,'18.10 MUBENDE-MITYANA-24h'!C30,'19.10  MUBENDE-MITYANA-24h'!C30,'20.10 MUBENDE-MITYANA'!C30,'21.10 MUBENDE-MITYANA'!C30,'22.10 MUBENDE-MITYANA'!C30,'23.10 MUBENDE-MITYANA'!C30)</f>
        <v>7.2857142857142856</v>
      </c>
      <c r="D30" s="49">
        <f>AVERAGE('17.10  MUBENDE-MITYANA'!D30,'18.10 MUBENDE-MITYANA-24h'!D30,'19.10  MUBENDE-MITYANA-24h'!D30,'20.10 MUBENDE-MITYANA'!D30,'21.10 MUBENDE-MITYANA'!D30,'22.10 MUBENDE-MITYANA'!D30,'23.10 MUBENDE-MITYANA'!D30)</f>
        <v>3.2857142857142856</v>
      </c>
      <c r="E30" s="49">
        <f>AVERAGE('17.10  MUBENDE-MITYANA'!E30,'18.10 MUBENDE-MITYANA-24h'!E30,'19.10  MUBENDE-MITYANA-24h'!E30,'20.10 MUBENDE-MITYANA'!E30,'21.10 MUBENDE-MITYANA'!E30,'22.10 MUBENDE-MITYANA'!E30,'23.10 MUBENDE-MITYANA'!E30)</f>
        <v>2</v>
      </c>
      <c r="F30" s="49">
        <f>AVERAGE('17.10  MUBENDE-MITYANA'!F30,'18.10 MUBENDE-MITYANA-24h'!F30,'19.10  MUBENDE-MITYANA-24h'!F30,'20.10 MUBENDE-MITYANA'!F30,'21.10 MUBENDE-MITYANA'!F30,'22.10 MUBENDE-MITYANA'!F30,'23.10 MUBENDE-MITYANA'!F30)</f>
        <v>7.2857142857142856</v>
      </c>
      <c r="G30" s="49">
        <f>AVERAGE('17.10  MUBENDE-MITYANA'!G30,'18.10 MUBENDE-MITYANA-24h'!G30,'19.10  MUBENDE-MITYANA-24h'!G30,'20.10 MUBENDE-MITYANA'!G30,'21.10 MUBENDE-MITYANA'!G30,'22.10 MUBENDE-MITYANA'!G30,'23.10 MUBENDE-MITYANA'!G30)</f>
        <v>0.5714285714285714</v>
      </c>
      <c r="H30" s="49">
        <f>AVERAGE('17.10  MUBENDE-MITYANA'!H30,'18.10 MUBENDE-MITYANA-24h'!H30,'19.10  MUBENDE-MITYANA-24h'!H30,'20.10 MUBENDE-MITYANA'!H30,'21.10 MUBENDE-MITYANA'!H30,'22.10 MUBENDE-MITYANA'!H30,'23.10 MUBENDE-MITYANA'!H30)</f>
        <v>0.8571428571428571</v>
      </c>
      <c r="I30" s="49">
        <f>AVERAGE('17.10  MUBENDE-MITYANA'!I30,'18.10 MUBENDE-MITYANA-24h'!I30,'19.10  MUBENDE-MITYANA-24h'!I30,'20.10 MUBENDE-MITYANA'!I30,'21.10 MUBENDE-MITYANA'!I30,'22.10 MUBENDE-MITYANA'!I30,'23.10 MUBENDE-MITYANA'!I30)</f>
        <v>1.5714285714285714</v>
      </c>
      <c r="J30" s="49">
        <f>AVERAGE('17.10  MUBENDE-MITYANA'!J30,'18.10 MUBENDE-MITYANA-24h'!J30,'19.10  MUBENDE-MITYANA-24h'!J30,'20.10 MUBENDE-MITYANA'!J30,'21.10 MUBENDE-MITYANA'!J30,'22.10 MUBENDE-MITYANA'!J30,'23.10 MUBENDE-MITYANA'!J30)</f>
        <v>1</v>
      </c>
      <c r="K30" s="49">
        <f>AVERAGE('17.10  MUBENDE-MITYANA'!K30,'18.10 MUBENDE-MITYANA-24h'!K30,'19.10  MUBENDE-MITYANA-24h'!K30,'20.10 MUBENDE-MITYANA'!K30,'21.10 MUBENDE-MITYANA'!K30,'22.10 MUBENDE-MITYANA'!K30,'23.10 MUBENDE-MITYANA'!K30)</f>
        <v>0</v>
      </c>
      <c r="L30" s="49">
        <f>AVERAGE('17.10  MUBENDE-MITYANA'!L30,'18.10 MUBENDE-MITYANA-24h'!L30,'19.10  MUBENDE-MITYANA-24h'!L30,'20.10 MUBENDE-MITYANA'!L30,'21.10 MUBENDE-MITYANA'!L30,'22.10 MUBENDE-MITYANA'!L30,'23.10 MUBENDE-MITYANA'!L30)</f>
        <v>0.2857142857142857</v>
      </c>
      <c r="M30" s="49">
        <f>AVERAGE('17.10  MUBENDE-MITYANA'!M30,'18.10 MUBENDE-MITYANA-24h'!M30,'19.10  MUBENDE-MITYANA-24h'!M30,'20.10 MUBENDE-MITYANA'!M30,'21.10 MUBENDE-MITYANA'!M30,'22.10 MUBENDE-MITYANA'!M30,'23.10 MUBENDE-MITYANA'!M30)</f>
        <v>42.142857142857146</v>
      </c>
      <c r="N30" s="49">
        <f>AVERAGE('17.10  MUBENDE-MITYANA'!N30,'18.10 MUBENDE-MITYANA-24h'!N30,'19.10  MUBENDE-MITYANA-24h'!N30,'20.10 MUBENDE-MITYANA'!N30,'21.10 MUBENDE-MITYANA'!N30,'22.10 MUBENDE-MITYANA'!N30,'23.10 MUBENDE-MITYANA'!N30)</f>
        <v>0</v>
      </c>
      <c r="O30" s="15">
        <f t="shared" si="0"/>
        <v>24.142857142857146</v>
      </c>
      <c r="P30" s="15">
        <f t="shared" si="1"/>
        <v>66.285714285714292</v>
      </c>
      <c r="R30" s="1" t="s">
        <v>154</v>
      </c>
      <c r="S30" s="34">
        <f>SUM(C90:C93)</f>
        <v>2.5</v>
      </c>
      <c r="T30" s="34">
        <f t="shared" ref="T30:AF30" si="22">SUM(D90:D93)</f>
        <v>1.5</v>
      </c>
      <c r="U30" s="34">
        <f t="shared" si="22"/>
        <v>1</v>
      </c>
      <c r="V30" s="34">
        <f t="shared" si="22"/>
        <v>0</v>
      </c>
      <c r="W30" s="34">
        <f t="shared" si="22"/>
        <v>0.5</v>
      </c>
      <c r="X30" s="34">
        <f t="shared" si="22"/>
        <v>3</v>
      </c>
      <c r="Y30" s="34">
        <f t="shared" si="22"/>
        <v>4.5</v>
      </c>
      <c r="Z30" s="34">
        <f t="shared" si="22"/>
        <v>7.5</v>
      </c>
      <c r="AA30" s="34">
        <f t="shared" si="22"/>
        <v>4</v>
      </c>
      <c r="AB30" s="34">
        <f t="shared" si="22"/>
        <v>2</v>
      </c>
      <c r="AC30" s="34">
        <f t="shared" si="22"/>
        <v>5.5</v>
      </c>
      <c r="AD30" s="34">
        <f t="shared" si="22"/>
        <v>0</v>
      </c>
      <c r="AE30" s="31">
        <f t="shared" si="22"/>
        <v>26.5</v>
      </c>
      <c r="AF30" s="31">
        <f t="shared" si="22"/>
        <v>32</v>
      </c>
    </row>
    <row r="31" spans="2:32" ht="23.1" customHeight="1" x14ac:dyDescent="0.25">
      <c r="B31" s="24" t="s">
        <v>58</v>
      </c>
      <c r="C31" s="49">
        <f>AVERAGE('17.10  MUBENDE-MITYANA'!C31,'18.10 MUBENDE-MITYANA-24h'!C31,'19.10  MUBENDE-MITYANA-24h'!C31,'20.10 MUBENDE-MITYANA'!C31,'21.10 MUBENDE-MITYANA'!C31,'22.10 MUBENDE-MITYANA'!C31,'23.10 MUBENDE-MITYANA'!C31)</f>
        <v>7</v>
      </c>
      <c r="D31" s="49">
        <f>AVERAGE('17.10  MUBENDE-MITYANA'!D31,'18.10 MUBENDE-MITYANA-24h'!D31,'19.10  MUBENDE-MITYANA-24h'!D31,'20.10 MUBENDE-MITYANA'!D31,'21.10 MUBENDE-MITYANA'!D31,'22.10 MUBENDE-MITYANA'!D31,'23.10 MUBENDE-MITYANA'!D31)</f>
        <v>2.7142857142857144</v>
      </c>
      <c r="E31" s="49">
        <f>AVERAGE('17.10  MUBENDE-MITYANA'!E31,'18.10 MUBENDE-MITYANA-24h'!E31,'19.10  MUBENDE-MITYANA-24h'!E31,'20.10 MUBENDE-MITYANA'!E31,'21.10 MUBENDE-MITYANA'!E31,'22.10 MUBENDE-MITYANA'!E31,'23.10 MUBENDE-MITYANA'!E31)</f>
        <v>1.7142857142857142</v>
      </c>
      <c r="F31" s="49">
        <f>AVERAGE('17.10  MUBENDE-MITYANA'!F31,'18.10 MUBENDE-MITYANA-24h'!F31,'19.10  MUBENDE-MITYANA-24h'!F31,'20.10 MUBENDE-MITYANA'!F31,'21.10 MUBENDE-MITYANA'!F31,'22.10 MUBENDE-MITYANA'!F31,'23.10 MUBENDE-MITYANA'!F31)</f>
        <v>5.7142857142857144</v>
      </c>
      <c r="G31" s="49">
        <f>AVERAGE('17.10  MUBENDE-MITYANA'!G31,'18.10 MUBENDE-MITYANA-24h'!G31,'19.10  MUBENDE-MITYANA-24h'!G31,'20.10 MUBENDE-MITYANA'!G31,'21.10 MUBENDE-MITYANA'!G31,'22.10 MUBENDE-MITYANA'!G31,'23.10 MUBENDE-MITYANA'!G31)</f>
        <v>0</v>
      </c>
      <c r="H31" s="49">
        <f>AVERAGE('17.10  MUBENDE-MITYANA'!H31,'18.10 MUBENDE-MITYANA-24h'!H31,'19.10  MUBENDE-MITYANA-24h'!H31,'20.10 MUBENDE-MITYANA'!H31,'21.10 MUBENDE-MITYANA'!H31,'22.10 MUBENDE-MITYANA'!H31,'23.10 MUBENDE-MITYANA'!H31)</f>
        <v>0.42857142857142855</v>
      </c>
      <c r="I31" s="49">
        <f>AVERAGE('17.10  MUBENDE-MITYANA'!I31,'18.10 MUBENDE-MITYANA-24h'!I31,'19.10  MUBENDE-MITYANA-24h'!I31,'20.10 MUBENDE-MITYANA'!I31,'21.10 MUBENDE-MITYANA'!I31,'22.10 MUBENDE-MITYANA'!I31,'23.10 MUBENDE-MITYANA'!I31)</f>
        <v>1.7142857142857142</v>
      </c>
      <c r="J31" s="49">
        <f>AVERAGE('17.10  MUBENDE-MITYANA'!J31,'18.10 MUBENDE-MITYANA-24h'!J31,'19.10  MUBENDE-MITYANA-24h'!J31,'20.10 MUBENDE-MITYANA'!J31,'21.10 MUBENDE-MITYANA'!J31,'22.10 MUBENDE-MITYANA'!J31,'23.10 MUBENDE-MITYANA'!J31)</f>
        <v>1.1428571428571428</v>
      </c>
      <c r="K31" s="49">
        <f>AVERAGE('17.10  MUBENDE-MITYANA'!K31,'18.10 MUBENDE-MITYANA-24h'!K31,'19.10  MUBENDE-MITYANA-24h'!K31,'20.10 MUBENDE-MITYANA'!K31,'21.10 MUBENDE-MITYANA'!K31,'22.10 MUBENDE-MITYANA'!K31,'23.10 MUBENDE-MITYANA'!K31)</f>
        <v>0</v>
      </c>
      <c r="L31" s="49">
        <f>AVERAGE('17.10  MUBENDE-MITYANA'!L31,'18.10 MUBENDE-MITYANA-24h'!L31,'19.10  MUBENDE-MITYANA-24h'!L31,'20.10 MUBENDE-MITYANA'!L31,'21.10 MUBENDE-MITYANA'!L31,'22.10 MUBENDE-MITYANA'!L31,'23.10 MUBENDE-MITYANA'!L31)</f>
        <v>1.5714285714285714</v>
      </c>
      <c r="M31" s="49">
        <f>AVERAGE('17.10  MUBENDE-MITYANA'!M31,'18.10 MUBENDE-MITYANA-24h'!M31,'19.10  MUBENDE-MITYANA-24h'!M31,'20.10 MUBENDE-MITYANA'!M31,'21.10 MUBENDE-MITYANA'!M31,'22.10 MUBENDE-MITYANA'!M31,'23.10 MUBENDE-MITYANA'!M31)</f>
        <v>39.428571428571431</v>
      </c>
      <c r="N31" s="49">
        <f>AVERAGE('17.10  MUBENDE-MITYANA'!N31,'18.10 MUBENDE-MITYANA-24h'!N31,'19.10  MUBENDE-MITYANA-24h'!N31,'20.10 MUBENDE-MITYANA'!N31,'21.10 MUBENDE-MITYANA'!N31,'22.10 MUBENDE-MITYANA'!N31,'23.10 MUBENDE-MITYANA'!N31)</f>
        <v>0</v>
      </c>
      <c r="O31" s="15">
        <f t="shared" si="0"/>
        <v>22</v>
      </c>
      <c r="P31" s="15">
        <f t="shared" si="1"/>
        <v>61.428571428571431</v>
      </c>
      <c r="R31" s="1" t="s">
        <v>155</v>
      </c>
      <c r="S31" s="34">
        <f>SUM(C94:C97)</f>
        <v>2</v>
      </c>
      <c r="T31" s="34">
        <f t="shared" ref="T31:AF31" si="23">SUM(D94:D97)</f>
        <v>0.5</v>
      </c>
      <c r="U31" s="34">
        <f t="shared" si="23"/>
        <v>1</v>
      </c>
      <c r="V31" s="34">
        <f t="shared" si="23"/>
        <v>1.5</v>
      </c>
      <c r="W31" s="34">
        <f t="shared" si="23"/>
        <v>0.5</v>
      </c>
      <c r="X31" s="34">
        <f t="shared" si="23"/>
        <v>0.5</v>
      </c>
      <c r="Y31" s="34">
        <f t="shared" si="23"/>
        <v>2.5</v>
      </c>
      <c r="Z31" s="34">
        <f t="shared" si="23"/>
        <v>8</v>
      </c>
      <c r="AA31" s="34">
        <f t="shared" si="23"/>
        <v>2.5</v>
      </c>
      <c r="AB31" s="34">
        <f t="shared" si="23"/>
        <v>1</v>
      </c>
      <c r="AC31" s="34">
        <f t="shared" si="23"/>
        <v>3.5</v>
      </c>
      <c r="AD31" s="34">
        <f t="shared" si="23"/>
        <v>0</v>
      </c>
      <c r="AE31" s="31">
        <f t="shared" si="23"/>
        <v>20</v>
      </c>
      <c r="AF31" s="31">
        <f t="shared" si="23"/>
        <v>23.5</v>
      </c>
    </row>
    <row r="32" spans="2:32" ht="23.1" customHeight="1" x14ac:dyDescent="0.25">
      <c r="B32" s="24" t="s">
        <v>59</v>
      </c>
      <c r="C32" s="49">
        <f>AVERAGE('17.10  MUBENDE-MITYANA'!C32,'18.10 MUBENDE-MITYANA-24h'!C32,'19.10  MUBENDE-MITYANA-24h'!C32,'20.10 MUBENDE-MITYANA'!C32,'21.10 MUBENDE-MITYANA'!C32,'22.10 MUBENDE-MITYANA'!C32,'23.10 MUBENDE-MITYANA'!C32)</f>
        <v>6.1428571428571432</v>
      </c>
      <c r="D32" s="49">
        <f>AVERAGE('17.10  MUBENDE-MITYANA'!D32,'18.10 MUBENDE-MITYANA-24h'!D32,'19.10  MUBENDE-MITYANA-24h'!D32,'20.10 MUBENDE-MITYANA'!D32,'21.10 MUBENDE-MITYANA'!D32,'22.10 MUBENDE-MITYANA'!D32,'23.10 MUBENDE-MITYANA'!D32)</f>
        <v>2.1428571428571428</v>
      </c>
      <c r="E32" s="49">
        <f>AVERAGE('17.10  MUBENDE-MITYANA'!E32,'18.10 MUBENDE-MITYANA-24h'!E32,'19.10  MUBENDE-MITYANA-24h'!E32,'20.10 MUBENDE-MITYANA'!E32,'21.10 MUBENDE-MITYANA'!E32,'22.10 MUBENDE-MITYANA'!E32,'23.10 MUBENDE-MITYANA'!E32)</f>
        <v>1.2857142857142858</v>
      </c>
      <c r="F32" s="49">
        <f>AVERAGE('17.10  MUBENDE-MITYANA'!F32,'18.10 MUBENDE-MITYANA-24h'!F32,'19.10  MUBENDE-MITYANA-24h'!F32,'20.10 MUBENDE-MITYANA'!F32,'21.10 MUBENDE-MITYANA'!F32,'22.10 MUBENDE-MITYANA'!F32,'23.10 MUBENDE-MITYANA'!F32)</f>
        <v>7</v>
      </c>
      <c r="G32" s="49">
        <f>AVERAGE('17.10  MUBENDE-MITYANA'!G32,'18.10 MUBENDE-MITYANA-24h'!G32,'19.10  MUBENDE-MITYANA-24h'!G32,'20.10 MUBENDE-MITYANA'!G32,'21.10 MUBENDE-MITYANA'!G32,'22.10 MUBENDE-MITYANA'!G32,'23.10 MUBENDE-MITYANA'!G32)</f>
        <v>0</v>
      </c>
      <c r="H32" s="49">
        <f>AVERAGE('17.10  MUBENDE-MITYANA'!H32,'18.10 MUBENDE-MITYANA-24h'!H32,'19.10  MUBENDE-MITYANA-24h'!H32,'20.10 MUBENDE-MITYANA'!H32,'21.10 MUBENDE-MITYANA'!H32,'22.10 MUBENDE-MITYANA'!H32,'23.10 MUBENDE-MITYANA'!H32)</f>
        <v>0</v>
      </c>
      <c r="I32" s="49">
        <f>AVERAGE('17.10  MUBENDE-MITYANA'!I32,'18.10 MUBENDE-MITYANA-24h'!I32,'19.10  MUBENDE-MITYANA-24h'!I32,'20.10 MUBENDE-MITYANA'!I32,'21.10 MUBENDE-MITYANA'!I32,'22.10 MUBENDE-MITYANA'!I32,'23.10 MUBENDE-MITYANA'!I32)</f>
        <v>1.7142857142857142</v>
      </c>
      <c r="J32" s="49">
        <f>AVERAGE('17.10  MUBENDE-MITYANA'!J32,'18.10 MUBENDE-MITYANA-24h'!J32,'19.10  MUBENDE-MITYANA-24h'!J32,'20.10 MUBENDE-MITYANA'!J32,'21.10 MUBENDE-MITYANA'!J32,'22.10 MUBENDE-MITYANA'!J32,'23.10 MUBENDE-MITYANA'!J32)</f>
        <v>0.42857142857142855</v>
      </c>
      <c r="K32" s="49">
        <f>AVERAGE('17.10  MUBENDE-MITYANA'!K32,'18.10 MUBENDE-MITYANA-24h'!K32,'19.10  MUBENDE-MITYANA-24h'!K32,'20.10 MUBENDE-MITYANA'!K32,'21.10 MUBENDE-MITYANA'!K32,'22.10 MUBENDE-MITYANA'!K32,'23.10 MUBENDE-MITYANA'!K32)</f>
        <v>0.14285714285714285</v>
      </c>
      <c r="L32" s="49">
        <f>AVERAGE('17.10  MUBENDE-MITYANA'!L32,'18.10 MUBENDE-MITYANA-24h'!L32,'19.10  MUBENDE-MITYANA-24h'!L32,'20.10 MUBENDE-MITYANA'!L32,'21.10 MUBENDE-MITYANA'!L32,'22.10 MUBENDE-MITYANA'!L32,'23.10 MUBENDE-MITYANA'!L32)</f>
        <v>0.8571428571428571</v>
      </c>
      <c r="M32" s="49">
        <f>AVERAGE('17.10  MUBENDE-MITYANA'!M32,'18.10 MUBENDE-MITYANA-24h'!M32,'19.10  MUBENDE-MITYANA-24h'!M32,'20.10 MUBENDE-MITYANA'!M32,'21.10 MUBENDE-MITYANA'!M32,'22.10 MUBENDE-MITYANA'!M32,'23.10 MUBENDE-MITYANA'!M32)</f>
        <v>35.285714285714285</v>
      </c>
      <c r="N32" s="49">
        <f>AVERAGE('17.10  MUBENDE-MITYANA'!N32,'18.10 MUBENDE-MITYANA-24h'!N32,'19.10  MUBENDE-MITYANA-24h'!N32,'20.10 MUBENDE-MITYANA'!N32,'21.10 MUBENDE-MITYANA'!N32,'22.10 MUBENDE-MITYANA'!N32,'23.10 MUBENDE-MITYANA'!N32)</f>
        <v>0</v>
      </c>
      <c r="O32" s="15">
        <f t="shared" si="0"/>
        <v>19.714285714285715</v>
      </c>
      <c r="P32" s="15">
        <f t="shared" si="1"/>
        <v>55</v>
      </c>
      <c r="R32" s="1" t="s">
        <v>156</v>
      </c>
      <c r="S32" s="34">
        <f>SUM(C98:C101)</f>
        <v>1.5</v>
      </c>
      <c r="T32" s="34">
        <f t="shared" ref="T32:AF32" si="24">SUM(D98:D101)</f>
        <v>1.5</v>
      </c>
      <c r="U32" s="34">
        <f t="shared" si="24"/>
        <v>0.5</v>
      </c>
      <c r="V32" s="34">
        <f t="shared" si="24"/>
        <v>6</v>
      </c>
      <c r="W32" s="34">
        <f t="shared" si="24"/>
        <v>0.5</v>
      </c>
      <c r="X32" s="34">
        <f t="shared" si="24"/>
        <v>0.5</v>
      </c>
      <c r="Y32" s="34">
        <f t="shared" si="24"/>
        <v>4</v>
      </c>
      <c r="Z32" s="34">
        <f t="shared" si="24"/>
        <v>4</v>
      </c>
      <c r="AA32" s="34">
        <f t="shared" si="24"/>
        <v>2</v>
      </c>
      <c r="AB32" s="34">
        <f t="shared" si="24"/>
        <v>3</v>
      </c>
      <c r="AC32" s="34">
        <f t="shared" si="24"/>
        <v>5.5</v>
      </c>
      <c r="AD32" s="34">
        <f t="shared" si="24"/>
        <v>0</v>
      </c>
      <c r="AE32" s="31">
        <f t="shared" si="24"/>
        <v>23.5</v>
      </c>
      <c r="AF32" s="31">
        <f t="shared" si="24"/>
        <v>29</v>
      </c>
    </row>
    <row r="33" spans="2:32" ht="23.1" customHeight="1" x14ac:dyDescent="0.25">
      <c r="B33" s="23" t="s">
        <v>60</v>
      </c>
      <c r="C33" s="49">
        <f>AVERAGE('17.10  MUBENDE-MITYANA'!C33,'18.10 MUBENDE-MITYANA-24h'!C33,'19.10  MUBENDE-MITYANA-24h'!C33,'20.10 MUBENDE-MITYANA'!C33,'21.10 MUBENDE-MITYANA'!C33,'22.10 MUBENDE-MITYANA'!C33,'23.10 MUBENDE-MITYANA'!C33)</f>
        <v>7.5714285714285712</v>
      </c>
      <c r="D33" s="49">
        <f>AVERAGE('17.10  MUBENDE-MITYANA'!D33,'18.10 MUBENDE-MITYANA-24h'!D33,'19.10  MUBENDE-MITYANA-24h'!D33,'20.10 MUBENDE-MITYANA'!D33,'21.10 MUBENDE-MITYANA'!D33,'22.10 MUBENDE-MITYANA'!D33,'23.10 MUBENDE-MITYANA'!D33)</f>
        <v>3</v>
      </c>
      <c r="E33" s="49">
        <f>AVERAGE('17.10  MUBENDE-MITYANA'!E33,'18.10 MUBENDE-MITYANA-24h'!E33,'19.10  MUBENDE-MITYANA-24h'!E33,'20.10 MUBENDE-MITYANA'!E33,'21.10 MUBENDE-MITYANA'!E33,'22.10 MUBENDE-MITYANA'!E33,'23.10 MUBENDE-MITYANA'!E33)</f>
        <v>2.5714285714285716</v>
      </c>
      <c r="F33" s="49">
        <f>AVERAGE('17.10  MUBENDE-MITYANA'!F33,'18.10 MUBENDE-MITYANA-24h'!F33,'19.10  MUBENDE-MITYANA-24h'!F33,'20.10 MUBENDE-MITYANA'!F33,'21.10 MUBENDE-MITYANA'!F33,'22.10 MUBENDE-MITYANA'!F33,'23.10 MUBENDE-MITYANA'!F33)</f>
        <v>6.7142857142857144</v>
      </c>
      <c r="G33" s="49">
        <f>AVERAGE('17.10  MUBENDE-MITYANA'!G33,'18.10 MUBENDE-MITYANA-24h'!G33,'19.10  MUBENDE-MITYANA-24h'!G33,'20.10 MUBENDE-MITYANA'!G33,'21.10 MUBENDE-MITYANA'!G33,'22.10 MUBENDE-MITYANA'!G33,'23.10 MUBENDE-MITYANA'!G33)</f>
        <v>0</v>
      </c>
      <c r="H33" s="49">
        <f>AVERAGE('17.10  MUBENDE-MITYANA'!H33,'18.10 MUBENDE-MITYANA-24h'!H33,'19.10  MUBENDE-MITYANA-24h'!H33,'20.10 MUBENDE-MITYANA'!H33,'21.10 MUBENDE-MITYANA'!H33,'22.10 MUBENDE-MITYANA'!H33,'23.10 MUBENDE-MITYANA'!H33)</f>
        <v>0.42857142857142855</v>
      </c>
      <c r="I33" s="49">
        <f>AVERAGE('17.10  MUBENDE-MITYANA'!I33,'18.10 MUBENDE-MITYANA-24h'!I33,'19.10  MUBENDE-MITYANA-24h'!I33,'20.10 MUBENDE-MITYANA'!I33,'21.10 MUBENDE-MITYANA'!I33,'22.10 MUBENDE-MITYANA'!I33,'23.10 MUBENDE-MITYANA'!I33)</f>
        <v>2.1428571428571428</v>
      </c>
      <c r="J33" s="49">
        <f>AVERAGE('17.10  MUBENDE-MITYANA'!J33,'18.10 MUBENDE-MITYANA-24h'!J33,'19.10  MUBENDE-MITYANA-24h'!J33,'20.10 MUBENDE-MITYANA'!J33,'21.10 MUBENDE-MITYANA'!J33,'22.10 MUBENDE-MITYANA'!J33,'23.10 MUBENDE-MITYANA'!J33)</f>
        <v>1.7142857142857142</v>
      </c>
      <c r="K33" s="49">
        <f>AVERAGE('17.10  MUBENDE-MITYANA'!K33,'18.10 MUBENDE-MITYANA-24h'!K33,'19.10  MUBENDE-MITYANA-24h'!K33,'20.10 MUBENDE-MITYANA'!K33,'21.10 MUBENDE-MITYANA'!K33,'22.10 MUBENDE-MITYANA'!K33,'23.10 MUBENDE-MITYANA'!K33)</f>
        <v>1</v>
      </c>
      <c r="L33" s="49">
        <f>AVERAGE('17.10  MUBENDE-MITYANA'!L33,'18.10 MUBENDE-MITYANA-24h'!L33,'19.10  MUBENDE-MITYANA-24h'!L33,'20.10 MUBENDE-MITYANA'!L33,'21.10 MUBENDE-MITYANA'!L33,'22.10 MUBENDE-MITYANA'!L33,'23.10 MUBENDE-MITYANA'!L33)</f>
        <v>0.5714285714285714</v>
      </c>
      <c r="M33" s="49">
        <f>AVERAGE('17.10  MUBENDE-MITYANA'!M33,'18.10 MUBENDE-MITYANA-24h'!M33,'19.10  MUBENDE-MITYANA-24h'!M33,'20.10 MUBENDE-MITYANA'!M33,'21.10 MUBENDE-MITYANA'!M33,'22.10 MUBENDE-MITYANA'!M33,'23.10 MUBENDE-MITYANA'!M33)</f>
        <v>39.571428571428569</v>
      </c>
      <c r="N33" s="49">
        <f>AVERAGE('17.10  MUBENDE-MITYANA'!N33,'18.10 MUBENDE-MITYANA-24h'!N33,'19.10  MUBENDE-MITYANA-24h'!N33,'20.10 MUBENDE-MITYANA'!N33,'21.10 MUBENDE-MITYANA'!N33,'22.10 MUBENDE-MITYANA'!N33,'23.10 MUBENDE-MITYANA'!N33)</f>
        <v>0</v>
      </c>
      <c r="O33" s="15">
        <f t="shared" si="0"/>
        <v>25.714285714285715</v>
      </c>
      <c r="P33" s="15">
        <f t="shared" si="1"/>
        <v>65.285714285714278</v>
      </c>
      <c r="R33" s="1" t="s">
        <v>157</v>
      </c>
      <c r="S33" s="34">
        <f>SUM(C102:C105)</f>
        <v>7</v>
      </c>
      <c r="T33" s="34">
        <f t="shared" ref="T33:AF33" si="25">SUM(D102:D105)</f>
        <v>0.5</v>
      </c>
      <c r="U33" s="34">
        <f t="shared" si="25"/>
        <v>3</v>
      </c>
      <c r="V33" s="34">
        <f t="shared" si="25"/>
        <v>7.5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4.5</v>
      </c>
      <c r="AA33" s="34">
        <f t="shared" si="25"/>
        <v>1.5</v>
      </c>
      <c r="AB33" s="34">
        <f t="shared" si="25"/>
        <v>2</v>
      </c>
      <c r="AC33" s="34">
        <f t="shared" si="25"/>
        <v>30</v>
      </c>
      <c r="AD33" s="34">
        <f t="shared" si="25"/>
        <v>0</v>
      </c>
      <c r="AE33" s="31">
        <f t="shared" si="25"/>
        <v>28</v>
      </c>
      <c r="AF33" s="31">
        <f t="shared" si="25"/>
        <v>58</v>
      </c>
    </row>
    <row r="34" spans="2:32" ht="23.1" customHeight="1" x14ac:dyDescent="0.25">
      <c r="B34" s="24" t="s">
        <v>61</v>
      </c>
      <c r="C34" s="49">
        <f>AVERAGE('17.10  MUBENDE-MITYANA'!C34,'18.10 MUBENDE-MITYANA-24h'!C34,'19.10  MUBENDE-MITYANA-24h'!C34,'20.10 MUBENDE-MITYANA'!C34,'21.10 MUBENDE-MITYANA'!C34,'22.10 MUBENDE-MITYANA'!C34,'23.10 MUBENDE-MITYANA'!C34)</f>
        <v>6</v>
      </c>
      <c r="D34" s="49">
        <f>AVERAGE('17.10  MUBENDE-MITYANA'!D34,'18.10 MUBENDE-MITYANA-24h'!D34,'19.10  MUBENDE-MITYANA-24h'!D34,'20.10 MUBENDE-MITYANA'!D34,'21.10 MUBENDE-MITYANA'!D34,'22.10 MUBENDE-MITYANA'!D34,'23.10 MUBENDE-MITYANA'!D34)</f>
        <v>2.8571428571428572</v>
      </c>
      <c r="E34" s="49">
        <f>AVERAGE('17.10  MUBENDE-MITYANA'!E34,'18.10 MUBENDE-MITYANA-24h'!E34,'19.10  MUBENDE-MITYANA-24h'!E34,'20.10 MUBENDE-MITYANA'!E34,'21.10 MUBENDE-MITYANA'!E34,'22.10 MUBENDE-MITYANA'!E34,'23.10 MUBENDE-MITYANA'!E34)</f>
        <v>0.7142857142857143</v>
      </c>
      <c r="F34" s="49">
        <f>AVERAGE('17.10  MUBENDE-MITYANA'!F34,'18.10 MUBENDE-MITYANA-24h'!F34,'19.10  MUBENDE-MITYANA-24h'!F34,'20.10 MUBENDE-MITYANA'!F34,'21.10 MUBENDE-MITYANA'!F34,'22.10 MUBENDE-MITYANA'!F34,'23.10 MUBENDE-MITYANA'!F34)</f>
        <v>7.8571428571428568</v>
      </c>
      <c r="G34" s="49">
        <f>AVERAGE('17.10  MUBENDE-MITYANA'!G34,'18.10 MUBENDE-MITYANA-24h'!G34,'19.10  MUBENDE-MITYANA-24h'!G34,'20.10 MUBENDE-MITYANA'!G34,'21.10 MUBENDE-MITYANA'!G34,'22.10 MUBENDE-MITYANA'!G34,'23.10 MUBENDE-MITYANA'!G34)</f>
        <v>0</v>
      </c>
      <c r="H34" s="49">
        <f>AVERAGE('17.10  MUBENDE-MITYANA'!H34,'18.10 MUBENDE-MITYANA-24h'!H34,'19.10  MUBENDE-MITYANA-24h'!H34,'20.10 MUBENDE-MITYANA'!H34,'21.10 MUBENDE-MITYANA'!H34,'22.10 MUBENDE-MITYANA'!H34,'23.10 MUBENDE-MITYANA'!H34)</f>
        <v>0.42857142857142855</v>
      </c>
      <c r="I34" s="49">
        <f>AVERAGE('17.10  MUBENDE-MITYANA'!I34,'18.10 MUBENDE-MITYANA-24h'!I34,'19.10  MUBENDE-MITYANA-24h'!I34,'20.10 MUBENDE-MITYANA'!I34,'21.10 MUBENDE-MITYANA'!I34,'22.10 MUBENDE-MITYANA'!I34,'23.10 MUBENDE-MITYANA'!I34)</f>
        <v>2.2857142857142856</v>
      </c>
      <c r="J34" s="49">
        <f>AVERAGE('17.10  MUBENDE-MITYANA'!J34,'18.10 MUBENDE-MITYANA-24h'!J34,'19.10  MUBENDE-MITYANA-24h'!J34,'20.10 MUBENDE-MITYANA'!J34,'21.10 MUBENDE-MITYANA'!J34,'22.10 MUBENDE-MITYANA'!J34,'23.10 MUBENDE-MITYANA'!J34)</f>
        <v>1</v>
      </c>
      <c r="K34" s="49">
        <f>AVERAGE('17.10  MUBENDE-MITYANA'!K34,'18.10 MUBENDE-MITYANA-24h'!K34,'19.10  MUBENDE-MITYANA-24h'!K34,'20.10 MUBENDE-MITYANA'!K34,'21.10 MUBENDE-MITYANA'!K34,'22.10 MUBENDE-MITYANA'!K34,'23.10 MUBENDE-MITYANA'!K34)</f>
        <v>0.2857142857142857</v>
      </c>
      <c r="L34" s="49">
        <f>AVERAGE('17.10  MUBENDE-MITYANA'!L34,'18.10 MUBENDE-MITYANA-24h'!L34,'19.10  MUBENDE-MITYANA-24h'!L34,'20.10 MUBENDE-MITYANA'!L34,'21.10 MUBENDE-MITYANA'!L34,'22.10 MUBENDE-MITYANA'!L34,'23.10 MUBENDE-MITYANA'!L34)</f>
        <v>0.42857142857142855</v>
      </c>
      <c r="M34" s="49">
        <f>AVERAGE('17.10  MUBENDE-MITYANA'!M34,'18.10 MUBENDE-MITYANA-24h'!M34,'19.10  MUBENDE-MITYANA-24h'!M34,'20.10 MUBENDE-MITYANA'!M34,'21.10 MUBENDE-MITYANA'!M34,'22.10 MUBENDE-MITYANA'!M34,'23.10 MUBENDE-MITYANA'!M34)</f>
        <v>38.857142857142854</v>
      </c>
      <c r="N34" s="49">
        <f>AVERAGE('17.10  MUBENDE-MITYANA'!N34,'18.10 MUBENDE-MITYANA-24h'!N34,'19.10  MUBENDE-MITYANA-24h'!N34,'20.10 MUBENDE-MITYANA'!N34,'21.10 MUBENDE-MITYANA'!N34,'22.10 MUBENDE-MITYANA'!N34,'23.10 MUBENDE-MITYANA'!N34)</f>
        <v>0</v>
      </c>
      <c r="O34" s="15">
        <f t="shared" si="0"/>
        <v>21.857142857142851</v>
      </c>
      <c r="P34" s="15">
        <f t="shared" si="1"/>
        <v>60.714285714285708</v>
      </c>
      <c r="R34" s="53" t="s">
        <v>90</v>
      </c>
      <c r="S34" s="54">
        <f t="shared" ref="S34:AF34" si="26">MAX(S10:S12)</f>
        <v>21.142857142857146</v>
      </c>
      <c r="T34" s="54">
        <f t="shared" si="26"/>
        <v>8.2857142857142865</v>
      </c>
      <c r="U34" s="54">
        <f t="shared" si="26"/>
        <v>4</v>
      </c>
      <c r="V34" s="54">
        <f t="shared" si="26"/>
        <v>25.428571428571427</v>
      </c>
      <c r="W34" s="54">
        <f t="shared" si="26"/>
        <v>0.42857142857142855</v>
      </c>
      <c r="X34" s="54">
        <f t="shared" si="26"/>
        <v>0.42857142857142855</v>
      </c>
      <c r="Y34" s="54">
        <f t="shared" si="26"/>
        <v>6.4285714285714279</v>
      </c>
      <c r="Z34" s="54">
        <f t="shared" si="26"/>
        <v>4.5714285714285712</v>
      </c>
      <c r="AA34" s="54">
        <f t="shared" si="26"/>
        <v>0.99999999999999989</v>
      </c>
      <c r="AB34" s="54">
        <f t="shared" si="26"/>
        <v>2.8571428571428568</v>
      </c>
      <c r="AC34" s="54">
        <f t="shared" si="26"/>
        <v>171.71428571428572</v>
      </c>
      <c r="AD34" s="54">
        <f t="shared" si="26"/>
        <v>0.14285714285714285</v>
      </c>
      <c r="AE34" s="40">
        <f t="shared" si="26"/>
        <v>67</v>
      </c>
      <c r="AF34" s="40">
        <f t="shared" si="26"/>
        <v>238</v>
      </c>
    </row>
    <row r="35" spans="2:32" ht="23.1" customHeight="1" x14ac:dyDescent="0.25">
      <c r="B35" s="24" t="s">
        <v>62</v>
      </c>
      <c r="C35" s="49">
        <f>AVERAGE('17.10  MUBENDE-MITYANA'!C35,'18.10 MUBENDE-MITYANA-24h'!C35,'19.10  MUBENDE-MITYANA-24h'!C35,'20.10 MUBENDE-MITYANA'!C35,'21.10 MUBENDE-MITYANA'!C35,'22.10 MUBENDE-MITYANA'!C35,'23.10 MUBENDE-MITYANA'!C35)</f>
        <v>7.7142857142857144</v>
      </c>
      <c r="D35" s="49">
        <f>AVERAGE('17.10  MUBENDE-MITYANA'!D35,'18.10 MUBENDE-MITYANA-24h'!D35,'19.10  MUBENDE-MITYANA-24h'!D35,'20.10 MUBENDE-MITYANA'!D35,'21.10 MUBENDE-MITYANA'!D35,'22.10 MUBENDE-MITYANA'!D35,'23.10 MUBENDE-MITYANA'!D35)</f>
        <v>3.5714285714285716</v>
      </c>
      <c r="E35" s="49">
        <f>AVERAGE('17.10  MUBENDE-MITYANA'!E35,'18.10 MUBENDE-MITYANA-24h'!E35,'19.10  MUBENDE-MITYANA-24h'!E35,'20.10 MUBENDE-MITYANA'!E35,'21.10 MUBENDE-MITYANA'!E35,'22.10 MUBENDE-MITYANA'!E35,'23.10 MUBENDE-MITYANA'!E35)</f>
        <v>2</v>
      </c>
      <c r="F35" s="49">
        <f>AVERAGE('17.10  MUBENDE-MITYANA'!F35,'18.10 MUBENDE-MITYANA-24h'!F35,'19.10  MUBENDE-MITYANA-24h'!F35,'20.10 MUBENDE-MITYANA'!F35,'21.10 MUBENDE-MITYANA'!F35,'22.10 MUBENDE-MITYANA'!F35,'23.10 MUBENDE-MITYANA'!F35)</f>
        <v>7.7142857142857144</v>
      </c>
      <c r="G35" s="49">
        <f>AVERAGE('17.10  MUBENDE-MITYANA'!G35,'18.10 MUBENDE-MITYANA-24h'!G35,'19.10  MUBENDE-MITYANA-24h'!G35,'20.10 MUBENDE-MITYANA'!G35,'21.10 MUBENDE-MITYANA'!G35,'22.10 MUBENDE-MITYANA'!G35,'23.10 MUBENDE-MITYANA'!G35)</f>
        <v>0.14285714285714285</v>
      </c>
      <c r="H35" s="49">
        <f>AVERAGE('17.10  MUBENDE-MITYANA'!H35,'18.10 MUBENDE-MITYANA-24h'!H35,'19.10  MUBENDE-MITYANA-24h'!H35,'20.10 MUBENDE-MITYANA'!H35,'21.10 MUBENDE-MITYANA'!H35,'22.10 MUBENDE-MITYANA'!H35,'23.10 MUBENDE-MITYANA'!H35)</f>
        <v>0.14285714285714285</v>
      </c>
      <c r="I35" s="49">
        <f>AVERAGE('17.10  MUBENDE-MITYANA'!I35,'18.10 MUBENDE-MITYANA-24h'!I35,'19.10  MUBENDE-MITYANA-24h'!I35,'20.10 MUBENDE-MITYANA'!I35,'21.10 MUBENDE-MITYANA'!I35,'22.10 MUBENDE-MITYANA'!I35,'23.10 MUBENDE-MITYANA'!I35)</f>
        <v>2.1428571428571428</v>
      </c>
      <c r="J35" s="49">
        <f>AVERAGE('17.10  MUBENDE-MITYANA'!J35,'18.10 MUBENDE-MITYANA-24h'!J35,'19.10  MUBENDE-MITYANA-24h'!J35,'20.10 MUBENDE-MITYANA'!J35,'21.10 MUBENDE-MITYANA'!J35,'22.10 MUBENDE-MITYANA'!J35,'23.10 MUBENDE-MITYANA'!J35)</f>
        <v>1.7142857142857142</v>
      </c>
      <c r="K35" s="49">
        <f>AVERAGE('17.10  MUBENDE-MITYANA'!K35,'18.10 MUBENDE-MITYANA-24h'!K35,'19.10  MUBENDE-MITYANA-24h'!K35,'20.10 MUBENDE-MITYANA'!K35,'21.10 MUBENDE-MITYANA'!K35,'22.10 MUBENDE-MITYANA'!K35,'23.10 MUBENDE-MITYANA'!K35)</f>
        <v>0</v>
      </c>
      <c r="L35" s="49">
        <f>AVERAGE('17.10  MUBENDE-MITYANA'!L35,'18.10 MUBENDE-MITYANA-24h'!L35,'19.10  MUBENDE-MITYANA-24h'!L35,'20.10 MUBENDE-MITYANA'!L35,'21.10 MUBENDE-MITYANA'!L35,'22.10 MUBENDE-MITYANA'!L35,'23.10 MUBENDE-MITYANA'!L35)</f>
        <v>1.5714285714285714</v>
      </c>
      <c r="M35" s="49">
        <f>AVERAGE('17.10  MUBENDE-MITYANA'!M35,'18.10 MUBENDE-MITYANA-24h'!M35,'19.10  MUBENDE-MITYANA-24h'!M35,'20.10 MUBENDE-MITYANA'!M35,'21.10 MUBENDE-MITYANA'!M35,'22.10 MUBENDE-MITYANA'!M35,'23.10 MUBENDE-MITYANA'!M35)</f>
        <v>39.571428571428569</v>
      </c>
      <c r="N35" s="49">
        <f>AVERAGE('17.10  MUBENDE-MITYANA'!N35,'18.10 MUBENDE-MITYANA-24h'!N35,'19.10  MUBENDE-MITYANA-24h'!N35,'20.10 MUBENDE-MITYANA'!N35,'21.10 MUBENDE-MITYANA'!N35,'22.10 MUBENDE-MITYANA'!N35,'23.10 MUBENDE-MITYANA'!N35)</f>
        <v>0</v>
      </c>
      <c r="O35" s="15">
        <f t="shared" si="0"/>
        <v>26.714285714285715</v>
      </c>
      <c r="P35" s="15">
        <f t="shared" si="1"/>
        <v>66.285714285714278</v>
      </c>
      <c r="R35" s="53" t="s">
        <v>91</v>
      </c>
      <c r="S35" s="54">
        <f t="shared" ref="S35:AF35" si="27">MAX(S13:S18)</f>
        <v>32.428571428571431</v>
      </c>
      <c r="T35" s="54">
        <f t="shared" si="27"/>
        <v>16.571428571428569</v>
      </c>
      <c r="U35" s="54">
        <f t="shared" si="27"/>
        <v>7.7142857142857153</v>
      </c>
      <c r="V35" s="54">
        <f t="shared" si="27"/>
        <v>28.285714285714285</v>
      </c>
      <c r="W35" s="54">
        <f t="shared" si="27"/>
        <v>0.85714285714285698</v>
      </c>
      <c r="X35" s="54">
        <f t="shared" si="27"/>
        <v>2.2857142857142856</v>
      </c>
      <c r="Y35" s="54">
        <f t="shared" si="27"/>
        <v>10.142857142857142</v>
      </c>
      <c r="Z35" s="54">
        <f t="shared" si="27"/>
        <v>6.7142857142857135</v>
      </c>
      <c r="AA35" s="54">
        <f t="shared" si="27"/>
        <v>3.1428571428571423</v>
      </c>
      <c r="AB35" s="54">
        <f t="shared" si="27"/>
        <v>5</v>
      </c>
      <c r="AC35" s="54">
        <f t="shared" si="27"/>
        <v>163.14285714285714</v>
      </c>
      <c r="AD35" s="54">
        <f t="shared" si="27"/>
        <v>0.14285714285714285</v>
      </c>
      <c r="AE35" s="40">
        <f t="shared" si="27"/>
        <v>106.71428571428571</v>
      </c>
      <c r="AF35" s="40">
        <f t="shared" si="27"/>
        <v>269.85714285714289</v>
      </c>
    </row>
    <row r="36" spans="2:32" ht="23.1" customHeight="1" x14ac:dyDescent="0.25">
      <c r="B36" s="24" t="s">
        <v>63</v>
      </c>
      <c r="C36" s="49">
        <f>AVERAGE('17.10  MUBENDE-MITYANA'!C36,'18.10 MUBENDE-MITYANA-24h'!C36,'19.10  MUBENDE-MITYANA-24h'!C36,'20.10 MUBENDE-MITYANA'!C36,'21.10 MUBENDE-MITYANA'!C36,'22.10 MUBENDE-MITYANA'!C36,'23.10 MUBENDE-MITYANA'!C36)</f>
        <v>7.8571428571428568</v>
      </c>
      <c r="D36" s="49">
        <f>AVERAGE('17.10  MUBENDE-MITYANA'!D36,'18.10 MUBENDE-MITYANA-24h'!D36,'19.10  MUBENDE-MITYANA-24h'!D36,'20.10 MUBENDE-MITYANA'!D36,'21.10 MUBENDE-MITYANA'!D36,'22.10 MUBENDE-MITYANA'!D36,'23.10 MUBENDE-MITYANA'!D36)</f>
        <v>3.2857142857142856</v>
      </c>
      <c r="E36" s="49">
        <f>AVERAGE('17.10  MUBENDE-MITYANA'!E36,'18.10 MUBENDE-MITYANA-24h'!E36,'19.10  MUBENDE-MITYANA-24h'!E36,'20.10 MUBENDE-MITYANA'!E36,'21.10 MUBENDE-MITYANA'!E36,'22.10 MUBENDE-MITYANA'!E36,'23.10 MUBENDE-MITYANA'!E36)</f>
        <v>0.8571428571428571</v>
      </c>
      <c r="F36" s="49">
        <f>AVERAGE('17.10  MUBENDE-MITYANA'!F36,'18.10 MUBENDE-MITYANA-24h'!F36,'19.10  MUBENDE-MITYANA-24h'!F36,'20.10 MUBENDE-MITYANA'!F36,'21.10 MUBENDE-MITYANA'!F36,'22.10 MUBENDE-MITYANA'!F36,'23.10 MUBENDE-MITYANA'!F36)</f>
        <v>6.8571428571428568</v>
      </c>
      <c r="G36" s="49">
        <f>AVERAGE('17.10  MUBENDE-MITYANA'!G36,'18.10 MUBENDE-MITYANA-24h'!G36,'19.10  MUBENDE-MITYANA-24h'!G36,'20.10 MUBENDE-MITYANA'!G36,'21.10 MUBENDE-MITYANA'!G36,'22.10 MUBENDE-MITYANA'!G36,'23.10 MUBENDE-MITYANA'!G36)</f>
        <v>0.14285714285714285</v>
      </c>
      <c r="H36" s="49">
        <f>AVERAGE('17.10  MUBENDE-MITYANA'!H36,'18.10 MUBENDE-MITYANA-24h'!H36,'19.10  MUBENDE-MITYANA-24h'!H36,'20.10 MUBENDE-MITYANA'!H36,'21.10 MUBENDE-MITYANA'!H36,'22.10 MUBENDE-MITYANA'!H36,'23.10 MUBENDE-MITYANA'!H36)</f>
        <v>0.7142857142857143</v>
      </c>
      <c r="I36" s="49">
        <f>AVERAGE('17.10  MUBENDE-MITYANA'!I36,'18.10 MUBENDE-MITYANA-24h'!I36,'19.10  MUBENDE-MITYANA-24h'!I36,'20.10 MUBENDE-MITYANA'!I36,'21.10 MUBENDE-MITYANA'!I36,'22.10 MUBENDE-MITYANA'!I36,'23.10 MUBENDE-MITYANA'!I36)</f>
        <v>2.5714285714285716</v>
      </c>
      <c r="J36" s="49">
        <f>AVERAGE('17.10  MUBENDE-MITYANA'!J36,'18.10 MUBENDE-MITYANA-24h'!J36,'19.10  MUBENDE-MITYANA-24h'!J36,'20.10 MUBENDE-MITYANA'!J36,'21.10 MUBENDE-MITYANA'!J36,'22.10 MUBENDE-MITYANA'!J36,'23.10 MUBENDE-MITYANA'!J36)</f>
        <v>1.7142857142857142</v>
      </c>
      <c r="K36" s="49">
        <f>AVERAGE('17.10  MUBENDE-MITYANA'!K36,'18.10 MUBENDE-MITYANA-24h'!K36,'19.10  MUBENDE-MITYANA-24h'!K36,'20.10 MUBENDE-MITYANA'!K36,'21.10 MUBENDE-MITYANA'!K36,'22.10 MUBENDE-MITYANA'!K36,'23.10 MUBENDE-MITYANA'!K36)</f>
        <v>1</v>
      </c>
      <c r="L36" s="49">
        <f>AVERAGE('17.10  MUBENDE-MITYANA'!L36,'18.10 MUBENDE-MITYANA-24h'!L36,'19.10  MUBENDE-MITYANA-24h'!L36,'20.10 MUBENDE-MITYANA'!L36,'21.10 MUBENDE-MITYANA'!L36,'22.10 MUBENDE-MITYANA'!L36,'23.10 MUBENDE-MITYANA'!L36)</f>
        <v>1.5714285714285714</v>
      </c>
      <c r="M36" s="49">
        <f>AVERAGE('17.10  MUBENDE-MITYANA'!M36,'18.10 MUBENDE-MITYANA-24h'!M36,'19.10  MUBENDE-MITYANA-24h'!M36,'20.10 MUBENDE-MITYANA'!M36,'21.10 MUBENDE-MITYANA'!M36,'22.10 MUBENDE-MITYANA'!M36,'23.10 MUBENDE-MITYANA'!M36)</f>
        <v>41</v>
      </c>
      <c r="N36" s="49">
        <f>AVERAGE('17.10  MUBENDE-MITYANA'!N36,'18.10 MUBENDE-MITYANA-24h'!N36,'19.10  MUBENDE-MITYANA-24h'!N36,'20.10 MUBENDE-MITYANA'!N36,'21.10 MUBENDE-MITYANA'!N36,'22.10 MUBENDE-MITYANA'!N36,'23.10 MUBENDE-MITYANA'!N36)</f>
        <v>0</v>
      </c>
      <c r="O36" s="15">
        <f t="shared" si="0"/>
        <v>26.571428571428577</v>
      </c>
      <c r="P36" s="15">
        <f t="shared" si="1"/>
        <v>67.571428571428584</v>
      </c>
      <c r="R36" s="53" t="s">
        <v>92</v>
      </c>
      <c r="S36" s="54">
        <f t="shared" ref="S36:AF36" si="28">MAX(S19:S21)</f>
        <v>50.714285714285715</v>
      </c>
      <c r="T36" s="54">
        <f t="shared" si="28"/>
        <v>23.142857142857142</v>
      </c>
      <c r="U36" s="54">
        <f t="shared" si="28"/>
        <v>12.857142857142858</v>
      </c>
      <c r="V36" s="54">
        <f t="shared" si="28"/>
        <v>35.285714285714285</v>
      </c>
      <c r="W36" s="54">
        <f t="shared" si="28"/>
        <v>2.5714285714285712</v>
      </c>
      <c r="X36" s="54">
        <f t="shared" si="28"/>
        <v>2.8571428571428568</v>
      </c>
      <c r="Y36" s="54">
        <f t="shared" si="28"/>
        <v>11.571428571428573</v>
      </c>
      <c r="Z36" s="54">
        <f t="shared" si="28"/>
        <v>10.714285714285715</v>
      </c>
      <c r="AA36" s="54">
        <f t="shared" si="28"/>
        <v>2.8571428571428568</v>
      </c>
      <c r="AB36" s="54">
        <f t="shared" si="28"/>
        <v>6</v>
      </c>
      <c r="AC36" s="54">
        <f t="shared" si="28"/>
        <v>214.57142857142856</v>
      </c>
      <c r="AD36" s="54">
        <f t="shared" si="28"/>
        <v>0.14285714285714285</v>
      </c>
      <c r="AE36" s="40">
        <f t="shared" si="28"/>
        <v>152.85714285714283</v>
      </c>
      <c r="AF36" s="40">
        <f t="shared" si="28"/>
        <v>367.42857142857144</v>
      </c>
    </row>
    <row r="37" spans="2:32" ht="23.1" customHeight="1" x14ac:dyDescent="0.25">
      <c r="B37" s="23" t="s">
        <v>64</v>
      </c>
      <c r="C37" s="49">
        <f>AVERAGE('17.10  MUBENDE-MITYANA'!C37,'18.10 MUBENDE-MITYANA-24h'!C37,'19.10  MUBENDE-MITYANA-24h'!C37,'20.10 MUBENDE-MITYANA'!C37,'21.10 MUBENDE-MITYANA'!C37,'22.10 MUBENDE-MITYANA'!C37,'23.10 MUBENDE-MITYANA'!C37)</f>
        <v>7</v>
      </c>
      <c r="D37" s="49">
        <f>AVERAGE('17.10  MUBENDE-MITYANA'!D37,'18.10 MUBENDE-MITYANA-24h'!D37,'19.10  MUBENDE-MITYANA-24h'!D37,'20.10 MUBENDE-MITYANA'!D37,'21.10 MUBENDE-MITYANA'!D37,'22.10 MUBENDE-MITYANA'!D37,'23.10 MUBENDE-MITYANA'!D37)</f>
        <v>1.7142857142857142</v>
      </c>
      <c r="E37" s="49">
        <f>AVERAGE('17.10  MUBENDE-MITYANA'!E37,'18.10 MUBENDE-MITYANA-24h'!E37,'19.10  MUBENDE-MITYANA-24h'!E37,'20.10 MUBENDE-MITYANA'!E37,'21.10 MUBENDE-MITYANA'!E37,'22.10 MUBENDE-MITYANA'!E37,'23.10 MUBENDE-MITYANA'!E37)</f>
        <v>1.4285714285714286</v>
      </c>
      <c r="F37" s="49">
        <f>AVERAGE('17.10  MUBENDE-MITYANA'!F37,'18.10 MUBENDE-MITYANA-24h'!F37,'19.10  MUBENDE-MITYANA-24h'!F37,'20.10 MUBENDE-MITYANA'!F37,'21.10 MUBENDE-MITYANA'!F37,'22.10 MUBENDE-MITYANA'!F37,'23.10 MUBENDE-MITYANA'!F37)</f>
        <v>5.8571428571428568</v>
      </c>
      <c r="G37" s="49">
        <f>AVERAGE('17.10  MUBENDE-MITYANA'!G37,'18.10 MUBENDE-MITYANA-24h'!G37,'19.10  MUBENDE-MITYANA-24h'!G37,'20.10 MUBENDE-MITYANA'!G37,'21.10 MUBENDE-MITYANA'!G37,'22.10 MUBENDE-MITYANA'!G37,'23.10 MUBENDE-MITYANA'!G37)</f>
        <v>0</v>
      </c>
      <c r="H37" s="49">
        <f>AVERAGE('17.10  MUBENDE-MITYANA'!H37,'18.10 MUBENDE-MITYANA-24h'!H37,'19.10  MUBENDE-MITYANA-24h'!H37,'20.10 MUBENDE-MITYANA'!H37,'21.10 MUBENDE-MITYANA'!H37,'22.10 MUBENDE-MITYANA'!H37,'23.10 MUBENDE-MITYANA'!H37)</f>
        <v>0.42857142857142855</v>
      </c>
      <c r="I37" s="49">
        <f>AVERAGE('17.10  MUBENDE-MITYANA'!I37,'18.10 MUBENDE-MITYANA-24h'!I37,'19.10  MUBENDE-MITYANA-24h'!I37,'20.10 MUBENDE-MITYANA'!I37,'21.10 MUBENDE-MITYANA'!I37,'22.10 MUBENDE-MITYANA'!I37,'23.10 MUBENDE-MITYANA'!I37)</f>
        <v>1.7142857142857142</v>
      </c>
      <c r="J37" s="49">
        <f>AVERAGE('17.10  MUBENDE-MITYANA'!J37,'18.10 MUBENDE-MITYANA-24h'!J37,'19.10  MUBENDE-MITYANA-24h'!J37,'20.10 MUBENDE-MITYANA'!J37,'21.10 MUBENDE-MITYANA'!J37,'22.10 MUBENDE-MITYANA'!J37,'23.10 MUBENDE-MITYANA'!J37)</f>
        <v>2</v>
      </c>
      <c r="K37" s="49">
        <f>AVERAGE('17.10  MUBENDE-MITYANA'!K37,'18.10 MUBENDE-MITYANA-24h'!K37,'19.10  MUBENDE-MITYANA-24h'!K37,'20.10 MUBENDE-MITYANA'!K37,'21.10 MUBENDE-MITYANA'!K37,'22.10 MUBENDE-MITYANA'!K37,'23.10 MUBENDE-MITYANA'!K37)</f>
        <v>0</v>
      </c>
      <c r="L37" s="49">
        <f>AVERAGE('17.10  MUBENDE-MITYANA'!L37,'18.10 MUBENDE-MITYANA-24h'!L37,'19.10  MUBENDE-MITYANA-24h'!L37,'20.10 MUBENDE-MITYANA'!L37,'21.10 MUBENDE-MITYANA'!L37,'22.10 MUBENDE-MITYANA'!L37,'23.10 MUBENDE-MITYANA'!L37)</f>
        <v>0.42857142857142855</v>
      </c>
      <c r="M37" s="49">
        <f>AVERAGE('17.10  MUBENDE-MITYANA'!M37,'18.10 MUBENDE-MITYANA-24h'!M37,'19.10  MUBENDE-MITYANA-24h'!M37,'20.10 MUBENDE-MITYANA'!M37,'21.10 MUBENDE-MITYANA'!M37,'22.10 MUBENDE-MITYANA'!M37,'23.10 MUBENDE-MITYANA'!M37)</f>
        <v>39.571428571428569</v>
      </c>
      <c r="N37" s="49">
        <f>AVERAGE('17.10  MUBENDE-MITYANA'!N37,'18.10 MUBENDE-MITYANA-24h'!N37,'19.10  MUBENDE-MITYANA-24h'!N37,'20.10 MUBENDE-MITYANA'!N37,'21.10 MUBENDE-MITYANA'!N37,'22.10 MUBENDE-MITYANA'!N37,'23.10 MUBENDE-MITYANA'!N37)</f>
        <v>0</v>
      </c>
      <c r="O37" s="15">
        <f t="shared" si="0"/>
        <v>20.571428571428569</v>
      </c>
      <c r="P37" s="15">
        <f t="shared" si="1"/>
        <v>60.142857142857139</v>
      </c>
      <c r="R37" s="37" t="s">
        <v>85</v>
      </c>
      <c r="S37" s="55">
        <f t="shared" ref="S37:AF37" si="29">SUM(S10:S12)</f>
        <v>60.571428571428569</v>
      </c>
      <c r="T37" s="56">
        <f t="shared" si="29"/>
        <v>21.428571428571431</v>
      </c>
      <c r="U37" s="56">
        <f t="shared" si="29"/>
        <v>10.285714285714286</v>
      </c>
      <c r="V37" s="56">
        <f t="shared" si="29"/>
        <v>66.285714285714278</v>
      </c>
      <c r="W37" s="56">
        <f t="shared" si="29"/>
        <v>0.99999999999999989</v>
      </c>
      <c r="X37" s="56">
        <f t="shared" si="29"/>
        <v>0.5714285714285714</v>
      </c>
      <c r="Y37" s="56">
        <f t="shared" si="29"/>
        <v>13.428571428571427</v>
      </c>
      <c r="Z37" s="56">
        <f t="shared" si="29"/>
        <v>9.7142857142857135</v>
      </c>
      <c r="AA37" s="56">
        <f t="shared" si="29"/>
        <v>2.1428571428571423</v>
      </c>
      <c r="AB37" s="56">
        <f t="shared" si="29"/>
        <v>8.2857142857142847</v>
      </c>
      <c r="AC37" s="56">
        <f t="shared" si="29"/>
        <v>499.85714285714289</v>
      </c>
      <c r="AD37" s="56">
        <f t="shared" si="29"/>
        <v>0.14285714285714285</v>
      </c>
      <c r="AE37" s="57">
        <f t="shared" si="29"/>
        <v>193.85714285714283</v>
      </c>
      <c r="AF37" s="57">
        <f t="shared" si="29"/>
        <v>693.71428571428578</v>
      </c>
    </row>
    <row r="38" spans="2:32" ht="23.1" customHeight="1" x14ac:dyDescent="0.25">
      <c r="B38" s="24" t="s">
        <v>65</v>
      </c>
      <c r="C38" s="49">
        <f>AVERAGE('17.10  MUBENDE-MITYANA'!C38,'18.10 MUBENDE-MITYANA-24h'!C38,'19.10  MUBENDE-MITYANA-24h'!C38,'20.10 MUBENDE-MITYANA'!C38,'21.10 MUBENDE-MITYANA'!C38,'22.10 MUBENDE-MITYANA'!C38,'23.10 MUBENDE-MITYANA'!C38)</f>
        <v>6.8571428571428568</v>
      </c>
      <c r="D38" s="49">
        <f>AVERAGE('17.10  MUBENDE-MITYANA'!D38,'18.10 MUBENDE-MITYANA-24h'!D38,'19.10  MUBENDE-MITYANA-24h'!D38,'20.10 MUBENDE-MITYANA'!D38,'21.10 MUBENDE-MITYANA'!D38,'22.10 MUBENDE-MITYANA'!D38,'23.10 MUBENDE-MITYANA'!D38)</f>
        <v>2.8571428571428572</v>
      </c>
      <c r="E38" s="49">
        <f>AVERAGE('17.10  MUBENDE-MITYANA'!E38,'18.10 MUBENDE-MITYANA-24h'!E38,'19.10  MUBENDE-MITYANA-24h'!E38,'20.10 MUBENDE-MITYANA'!E38,'21.10 MUBENDE-MITYANA'!E38,'22.10 MUBENDE-MITYANA'!E38,'23.10 MUBENDE-MITYANA'!E38)</f>
        <v>1.7142857142857142</v>
      </c>
      <c r="F38" s="49">
        <f>AVERAGE('17.10  MUBENDE-MITYANA'!F38,'18.10 MUBENDE-MITYANA-24h'!F38,'19.10  MUBENDE-MITYANA-24h'!F38,'20.10 MUBENDE-MITYANA'!F38,'21.10 MUBENDE-MITYANA'!F38,'22.10 MUBENDE-MITYANA'!F38,'23.10 MUBENDE-MITYANA'!F38)</f>
        <v>5</v>
      </c>
      <c r="G38" s="49">
        <f>AVERAGE('17.10  MUBENDE-MITYANA'!G38,'18.10 MUBENDE-MITYANA-24h'!G38,'19.10  MUBENDE-MITYANA-24h'!G38,'20.10 MUBENDE-MITYANA'!G38,'21.10 MUBENDE-MITYANA'!G38,'22.10 MUBENDE-MITYANA'!G38,'23.10 MUBENDE-MITYANA'!G38)</f>
        <v>0</v>
      </c>
      <c r="H38" s="49">
        <f>AVERAGE('17.10  MUBENDE-MITYANA'!H38,'18.10 MUBENDE-MITYANA-24h'!H38,'19.10  MUBENDE-MITYANA-24h'!H38,'20.10 MUBENDE-MITYANA'!H38,'21.10 MUBENDE-MITYANA'!H38,'22.10 MUBENDE-MITYANA'!H38,'23.10 MUBENDE-MITYANA'!H38)</f>
        <v>0.42857142857142855</v>
      </c>
      <c r="I38" s="49">
        <f>AVERAGE('17.10  MUBENDE-MITYANA'!I38,'18.10 MUBENDE-MITYANA-24h'!I38,'19.10  MUBENDE-MITYANA-24h'!I38,'20.10 MUBENDE-MITYANA'!I38,'21.10 MUBENDE-MITYANA'!I38,'22.10 MUBENDE-MITYANA'!I38,'23.10 MUBENDE-MITYANA'!I38)</f>
        <v>1.4285714285714286</v>
      </c>
      <c r="J38" s="49">
        <f>AVERAGE('17.10  MUBENDE-MITYANA'!J38,'18.10 MUBENDE-MITYANA-24h'!J38,'19.10  MUBENDE-MITYANA-24h'!J38,'20.10 MUBENDE-MITYANA'!J38,'21.10 MUBENDE-MITYANA'!J38,'22.10 MUBENDE-MITYANA'!J38,'23.10 MUBENDE-MITYANA'!J38)</f>
        <v>2.7142857142857144</v>
      </c>
      <c r="K38" s="49">
        <f>AVERAGE('17.10  MUBENDE-MITYANA'!K38,'18.10 MUBENDE-MITYANA-24h'!K38,'19.10  MUBENDE-MITYANA-24h'!K38,'20.10 MUBENDE-MITYANA'!K38,'21.10 MUBENDE-MITYANA'!K38,'22.10 MUBENDE-MITYANA'!K38,'23.10 MUBENDE-MITYANA'!K38)</f>
        <v>0.42857142857142855</v>
      </c>
      <c r="L38" s="49">
        <f>AVERAGE('17.10  MUBENDE-MITYANA'!L38,'18.10 MUBENDE-MITYANA-24h'!L38,'19.10  MUBENDE-MITYANA-24h'!L38,'20.10 MUBENDE-MITYANA'!L38,'21.10 MUBENDE-MITYANA'!L38,'22.10 MUBENDE-MITYANA'!L38,'23.10 MUBENDE-MITYANA'!L38)</f>
        <v>0.42857142857142855</v>
      </c>
      <c r="M38" s="49">
        <f>AVERAGE('17.10  MUBENDE-MITYANA'!M38,'18.10 MUBENDE-MITYANA-24h'!M38,'19.10  MUBENDE-MITYANA-24h'!M38,'20.10 MUBENDE-MITYANA'!M38,'21.10 MUBENDE-MITYANA'!M38,'22.10 MUBENDE-MITYANA'!M38,'23.10 MUBENDE-MITYANA'!M38)</f>
        <v>37.571428571428569</v>
      </c>
      <c r="N38" s="49">
        <f>AVERAGE('17.10  MUBENDE-MITYANA'!N38,'18.10 MUBENDE-MITYANA-24h'!N38,'19.10  MUBENDE-MITYANA-24h'!N38,'20.10 MUBENDE-MITYANA'!N38,'21.10 MUBENDE-MITYANA'!N38,'22.10 MUBENDE-MITYANA'!N38,'23.10 MUBENDE-MITYANA'!N38)</f>
        <v>0</v>
      </c>
      <c r="O38" s="15">
        <f t="shared" si="0"/>
        <v>21.857142857142851</v>
      </c>
      <c r="P38" s="15">
        <f t="shared" si="1"/>
        <v>59.428571428571416</v>
      </c>
      <c r="R38" s="28" t="s">
        <v>86</v>
      </c>
      <c r="S38" s="56">
        <f t="shared" ref="S38:AF38" si="30">SUM(S13:S18)</f>
        <v>169.42857142857144</v>
      </c>
      <c r="T38" s="56">
        <f t="shared" si="30"/>
        <v>68.571428571428569</v>
      </c>
      <c r="U38" s="56">
        <f t="shared" si="30"/>
        <v>40.142857142857146</v>
      </c>
      <c r="V38" s="56">
        <f t="shared" si="30"/>
        <v>157.42857142857142</v>
      </c>
      <c r="W38" s="56">
        <f t="shared" si="30"/>
        <v>3.1428571428571423</v>
      </c>
      <c r="X38" s="56">
        <f t="shared" si="30"/>
        <v>9.5714285714285694</v>
      </c>
      <c r="Y38" s="56">
        <f t="shared" si="30"/>
        <v>47.142857142857139</v>
      </c>
      <c r="Z38" s="56">
        <f t="shared" si="30"/>
        <v>30</v>
      </c>
      <c r="AA38" s="56">
        <f t="shared" si="30"/>
        <v>8.7142857142857135</v>
      </c>
      <c r="AB38" s="56">
        <f t="shared" si="30"/>
        <v>19.428571428571427</v>
      </c>
      <c r="AC38" s="56">
        <f t="shared" si="30"/>
        <v>948.42857142857133</v>
      </c>
      <c r="AD38" s="56">
        <f t="shared" si="30"/>
        <v>0.14285714285714285</v>
      </c>
      <c r="AE38" s="57">
        <f t="shared" si="30"/>
        <v>553.71428571428567</v>
      </c>
      <c r="AF38" s="57">
        <f t="shared" si="30"/>
        <v>1502.1428571428571</v>
      </c>
    </row>
    <row r="39" spans="2:32" ht="23.1" customHeight="1" x14ac:dyDescent="0.25">
      <c r="B39" s="24" t="s">
        <v>66</v>
      </c>
      <c r="C39" s="49">
        <f>AVERAGE('17.10  MUBENDE-MITYANA'!C39,'18.10 MUBENDE-MITYANA-24h'!C39,'19.10  MUBENDE-MITYANA-24h'!C39,'20.10 MUBENDE-MITYANA'!C39,'21.10 MUBENDE-MITYANA'!C39,'22.10 MUBENDE-MITYANA'!C39,'23.10 MUBENDE-MITYANA'!C39)</f>
        <v>8.1428571428571423</v>
      </c>
      <c r="D39" s="49">
        <f>AVERAGE('17.10  MUBENDE-MITYANA'!D39,'18.10 MUBENDE-MITYANA-24h'!D39,'19.10  MUBENDE-MITYANA-24h'!D39,'20.10 MUBENDE-MITYANA'!D39,'21.10 MUBENDE-MITYANA'!D39,'22.10 MUBENDE-MITYANA'!D39,'23.10 MUBENDE-MITYANA'!D39)</f>
        <v>3.2857142857142856</v>
      </c>
      <c r="E39" s="49">
        <f>AVERAGE('17.10  MUBENDE-MITYANA'!E39,'18.10 MUBENDE-MITYANA-24h'!E39,'19.10  MUBENDE-MITYANA-24h'!E39,'20.10 MUBENDE-MITYANA'!E39,'21.10 MUBENDE-MITYANA'!E39,'22.10 MUBENDE-MITYANA'!E39,'23.10 MUBENDE-MITYANA'!E39)</f>
        <v>2.2857142857142856</v>
      </c>
      <c r="F39" s="49">
        <f>AVERAGE('17.10  MUBENDE-MITYANA'!F39,'18.10 MUBENDE-MITYANA-24h'!F39,'19.10  MUBENDE-MITYANA-24h'!F39,'20.10 MUBENDE-MITYANA'!F39,'21.10 MUBENDE-MITYANA'!F39,'22.10 MUBENDE-MITYANA'!F39,'23.10 MUBENDE-MITYANA'!F39)</f>
        <v>7.2857142857142856</v>
      </c>
      <c r="G39" s="49">
        <f>AVERAGE('17.10  MUBENDE-MITYANA'!G39,'18.10 MUBENDE-MITYANA-24h'!G39,'19.10  MUBENDE-MITYANA-24h'!G39,'20.10 MUBENDE-MITYANA'!G39,'21.10 MUBENDE-MITYANA'!G39,'22.10 MUBENDE-MITYANA'!G39,'23.10 MUBENDE-MITYANA'!G39)</f>
        <v>0</v>
      </c>
      <c r="H39" s="49">
        <f>AVERAGE('17.10  MUBENDE-MITYANA'!H39,'18.10 MUBENDE-MITYANA-24h'!H39,'19.10  MUBENDE-MITYANA-24h'!H39,'20.10 MUBENDE-MITYANA'!H39,'21.10 MUBENDE-MITYANA'!H39,'22.10 MUBENDE-MITYANA'!H39,'23.10 MUBENDE-MITYANA'!H39)</f>
        <v>0.7142857142857143</v>
      </c>
      <c r="I39" s="49">
        <f>AVERAGE('17.10  MUBENDE-MITYANA'!I39,'18.10 MUBENDE-MITYANA-24h'!I39,'19.10  MUBENDE-MITYANA-24h'!I39,'20.10 MUBENDE-MITYANA'!I39,'21.10 MUBENDE-MITYANA'!I39,'22.10 MUBENDE-MITYANA'!I39,'23.10 MUBENDE-MITYANA'!I39)</f>
        <v>1.5714285714285714</v>
      </c>
      <c r="J39" s="49">
        <f>AVERAGE('17.10  MUBENDE-MITYANA'!J39,'18.10 MUBENDE-MITYANA-24h'!J39,'19.10  MUBENDE-MITYANA-24h'!J39,'20.10 MUBENDE-MITYANA'!J39,'21.10 MUBENDE-MITYANA'!J39,'22.10 MUBENDE-MITYANA'!J39,'23.10 MUBENDE-MITYANA'!J39)</f>
        <v>1.2857142857142858</v>
      </c>
      <c r="K39" s="49">
        <f>AVERAGE('17.10  MUBENDE-MITYANA'!K39,'18.10 MUBENDE-MITYANA-24h'!K39,'19.10  MUBENDE-MITYANA-24h'!K39,'20.10 MUBENDE-MITYANA'!K39,'21.10 MUBENDE-MITYANA'!K39,'22.10 MUBENDE-MITYANA'!K39,'23.10 MUBENDE-MITYANA'!K39)</f>
        <v>1</v>
      </c>
      <c r="L39" s="49">
        <f>AVERAGE('17.10  MUBENDE-MITYANA'!L39,'18.10 MUBENDE-MITYANA-24h'!L39,'19.10  MUBENDE-MITYANA-24h'!L39,'20.10 MUBENDE-MITYANA'!L39,'21.10 MUBENDE-MITYANA'!L39,'22.10 MUBENDE-MITYANA'!L39,'23.10 MUBENDE-MITYANA'!L39)</f>
        <v>0.14285714285714285</v>
      </c>
      <c r="M39" s="49">
        <f>AVERAGE('17.10  MUBENDE-MITYANA'!M39,'18.10 MUBENDE-MITYANA-24h'!M39,'19.10  MUBENDE-MITYANA-24h'!M39,'20.10 MUBENDE-MITYANA'!M39,'21.10 MUBENDE-MITYANA'!M39,'22.10 MUBENDE-MITYANA'!M39,'23.10 MUBENDE-MITYANA'!M39)</f>
        <v>40.714285714285715</v>
      </c>
      <c r="N39" s="49">
        <f>AVERAGE('17.10  MUBENDE-MITYANA'!N39,'18.10 MUBENDE-MITYANA-24h'!N39,'19.10  MUBENDE-MITYANA-24h'!N39,'20.10 MUBENDE-MITYANA'!N39,'21.10 MUBENDE-MITYANA'!N39,'22.10 MUBENDE-MITYANA'!N39,'23.10 MUBENDE-MITYANA'!N39)</f>
        <v>0</v>
      </c>
      <c r="O39" s="15">
        <f t="shared" si="0"/>
        <v>25.714285714285712</v>
      </c>
      <c r="P39" s="15">
        <f t="shared" si="1"/>
        <v>66.428571428571431</v>
      </c>
      <c r="R39" s="29" t="s">
        <v>87</v>
      </c>
      <c r="S39" s="56">
        <f t="shared" ref="S39:AF39" si="31">SUM(S19:S21)</f>
        <v>139.14285714285714</v>
      </c>
      <c r="T39" s="56">
        <f t="shared" si="31"/>
        <v>64.142857142857139</v>
      </c>
      <c r="U39" s="56">
        <f t="shared" si="31"/>
        <v>30.571428571428573</v>
      </c>
      <c r="V39" s="56">
        <f t="shared" si="31"/>
        <v>99</v>
      </c>
      <c r="W39" s="56">
        <f t="shared" si="31"/>
        <v>4.7142857142857135</v>
      </c>
      <c r="X39" s="56">
        <f t="shared" si="31"/>
        <v>6.5714285714285703</v>
      </c>
      <c r="Y39" s="56">
        <f t="shared" si="31"/>
        <v>33.428571428571431</v>
      </c>
      <c r="Z39" s="56">
        <f t="shared" si="31"/>
        <v>26.571428571428573</v>
      </c>
      <c r="AA39" s="56">
        <f t="shared" si="31"/>
        <v>6.8571428571428568</v>
      </c>
      <c r="AB39" s="56">
        <f t="shared" si="31"/>
        <v>14</v>
      </c>
      <c r="AC39" s="56">
        <f t="shared" si="31"/>
        <v>605.71428571428567</v>
      </c>
      <c r="AD39" s="56">
        <f t="shared" si="31"/>
        <v>0.14285714285714285</v>
      </c>
      <c r="AE39" s="57">
        <f t="shared" si="31"/>
        <v>425.14285714285711</v>
      </c>
      <c r="AF39" s="57">
        <f t="shared" si="31"/>
        <v>1030.8571428571429</v>
      </c>
    </row>
    <row r="40" spans="2:32" ht="23.1" customHeight="1" x14ac:dyDescent="0.25">
      <c r="B40" s="24" t="s">
        <v>67</v>
      </c>
      <c r="C40" s="49">
        <f>AVERAGE('17.10  MUBENDE-MITYANA'!C40,'18.10 MUBENDE-MITYANA-24h'!C40,'19.10  MUBENDE-MITYANA-24h'!C40,'20.10 MUBENDE-MITYANA'!C40,'21.10 MUBENDE-MITYANA'!C40,'22.10 MUBENDE-MITYANA'!C40,'23.10 MUBENDE-MITYANA'!C40)</f>
        <v>6.2857142857142856</v>
      </c>
      <c r="D40" s="49">
        <f>AVERAGE('17.10  MUBENDE-MITYANA'!D40,'18.10 MUBENDE-MITYANA-24h'!D40,'19.10  MUBENDE-MITYANA-24h'!D40,'20.10 MUBENDE-MITYANA'!D40,'21.10 MUBENDE-MITYANA'!D40,'22.10 MUBENDE-MITYANA'!D40,'23.10 MUBENDE-MITYANA'!D40)</f>
        <v>2.2857142857142856</v>
      </c>
      <c r="E40" s="49">
        <f>AVERAGE('17.10  MUBENDE-MITYANA'!E40,'18.10 MUBENDE-MITYANA-24h'!E40,'19.10  MUBENDE-MITYANA-24h'!E40,'20.10 MUBENDE-MITYANA'!E40,'21.10 MUBENDE-MITYANA'!E40,'22.10 MUBENDE-MITYANA'!E40,'23.10 MUBENDE-MITYANA'!E40)</f>
        <v>1.1428571428571428</v>
      </c>
      <c r="F40" s="49">
        <f>AVERAGE('17.10  MUBENDE-MITYANA'!F40,'18.10 MUBENDE-MITYANA-24h'!F40,'19.10  MUBENDE-MITYANA-24h'!F40,'20.10 MUBENDE-MITYANA'!F40,'21.10 MUBENDE-MITYANA'!F40,'22.10 MUBENDE-MITYANA'!F40,'23.10 MUBENDE-MITYANA'!F40)</f>
        <v>6.7142857142857144</v>
      </c>
      <c r="G40" s="49">
        <f>AVERAGE('17.10  MUBENDE-MITYANA'!G40,'18.10 MUBENDE-MITYANA-24h'!G40,'19.10  MUBENDE-MITYANA-24h'!G40,'20.10 MUBENDE-MITYANA'!G40,'21.10 MUBENDE-MITYANA'!G40,'22.10 MUBENDE-MITYANA'!G40,'23.10 MUBENDE-MITYANA'!G40)</f>
        <v>0.14285714285714285</v>
      </c>
      <c r="H40" s="49">
        <f>AVERAGE('17.10  MUBENDE-MITYANA'!H40,'18.10 MUBENDE-MITYANA-24h'!H40,'19.10  MUBENDE-MITYANA-24h'!H40,'20.10 MUBENDE-MITYANA'!H40,'21.10 MUBENDE-MITYANA'!H40,'22.10 MUBENDE-MITYANA'!H40,'23.10 MUBENDE-MITYANA'!H40)</f>
        <v>0.7142857142857143</v>
      </c>
      <c r="I40" s="49">
        <f>AVERAGE('17.10  MUBENDE-MITYANA'!I40,'18.10 MUBENDE-MITYANA-24h'!I40,'19.10  MUBENDE-MITYANA-24h'!I40,'20.10 MUBENDE-MITYANA'!I40,'21.10 MUBENDE-MITYANA'!I40,'22.10 MUBENDE-MITYANA'!I40,'23.10 MUBENDE-MITYANA'!I40)</f>
        <v>1.5714285714285714</v>
      </c>
      <c r="J40" s="49">
        <f>AVERAGE('17.10  MUBENDE-MITYANA'!J40,'18.10 MUBENDE-MITYANA-24h'!J40,'19.10  MUBENDE-MITYANA-24h'!J40,'20.10 MUBENDE-MITYANA'!J40,'21.10 MUBENDE-MITYANA'!J40,'22.10 MUBENDE-MITYANA'!J40,'23.10 MUBENDE-MITYANA'!J40)</f>
        <v>1.1428571428571428</v>
      </c>
      <c r="K40" s="49">
        <f>AVERAGE('17.10  MUBENDE-MITYANA'!K40,'18.10 MUBENDE-MITYANA-24h'!K40,'19.10  MUBENDE-MITYANA-24h'!K40,'20.10 MUBENDE-MITYANA'!K40,'21.10 MUBENDE-MITYANA'!K40,'22.10 MUBENDE-MITYANA'!K40,'23.10 MUBENDE-MITYANA'!K40)</f>
        <v>1.1428571428571428</v>
      </c>
      <c r="L40" s="49">
        <f>AVERAGE('17.10  MUBENDE-MITYANA'!L40,'18.10 MUBENDE-MITYANA-24h'!L40,'19.10  MUBENDE-MITYANA-24h'!L40,'20.10 MUBENDE-MITYANA'!L40,'21.10 MUBENDE-MITYANA'!L40,'22.10 MUBENDE-MITYANA'!L40,'23.10 MUBENDE-MITYANA'!L40)</f>
        <v>1</v>
      </c>
      <c r="M40" s="49">
        <f>AVERAGE('17.10  MUBENDE-MITYANA'!M40,'18.10 MUBENDE-MITYANA-24h'!M40,'19.10  MUBENDE-MITYANA-24h'!M40,'20.10 MUBENDE-MITYANA'!M40,'21.10 MUBENDE-MITYANA'!M40,'22.10 MUBENDE-MITYANA'!M40,'23.10 MUBENDE-MITYANA'!M40)</f>
        <v>37.714285714285715</v>
      </c>
      <c r="N40" s="49">
        <f>AVERAGE('17.10  MUBENDE-MITYANA'!N40,'18.10 MUBENDE-MITYANA-24h'!N40,'19.10  MUBENDE-MITYANA-24h'!N40,'20.10 MUBENDE-MITYANA'!N40,'21.10 MUBENDE-MITYANA'!N40,'22.10 MUBENDE-MITYANA'!N40,'23.10 MUBENDE-MITYANA'!N40)</f>
        <v>0</v>
      </c>
      <c r="O40" s="15">
        <f t="shared" si="0"/>
        <v>22.142857142857142</v>
      </c>
      <c r="P40" s="15">
        <f t="shared" si="1"/>
        <v>59.857142857142861</v>
      </c>
      <c r="R40" s="5" t="s">
        <v>17</v>
      </c>
      <c r="S40" s="56">
        <f t="shared" ref="S40:AF40" si="32">SUM(S10:S21)</f>
        <v>369.14285714285717</v>
      </c>
      <c r="T40" s="56">
        <f t="shared" si="32"/>
        <v>154.14285714285717</v>
      </c>
      <c r="U40" s="56">
        <f t="shared" si="32"/>
        <v>81</v>
      </c>
      <c r="V40" s="56">
        <f t="shared" si="32"/>
        <v>322.71428571428572</v>
      </c>
      <c r="W40" s="56">
        <f t="shared" si="32"/>
        <v>8.8571428571428541</v>
      </c>
      <c r="X40" s="56">
        <f t="shared" si="32"/>
        <v>16.714285714285715</v>
      </c>
      <c r="Y40" s="56">
        <f t="shared" si="32"/>
        <v>94</v>
      </c>
      <c r="Z40" s="56">
        <f t="shared" si="32"/>
        <v>66.285714285714292</v>
      </c>
      <c r="AA40" s="56">
        <f t="shared" si="32"/>
        <v>17.714285714285712</v>
      </c>
      <c r="AB40" s="56">
        <f t="shared" si="32"/>
        <v>41.714285714285708</v>
      </c>
      <c r="AC40" s="56">
        <f t="shared" si="32"/>
        <v>2054</v>
      </c>
      <c r="AD40" s="56">
        <f t="shared" si="32"/>
        <v>0.42857142857142855</v>
      </c>
      <c r="AE40" s="57">
        <f t="shared" si="32"/>
        <v>1172.7142857142856</v>
      </c>
      <c r="AF40" s="57">
        <f t="shared" si="32"/>
        <v>3226.7142857142862</v>
      </c>
    </row>
    <row r="41" spans="2:32" ht="23.1" customHeight="1" x14ac:dyDescent="0.25">
      <c r="B41" s="23" t="s">
        <v>68</v>
      </c>
      <c r="C41" s="49">
        <f>AVERAGE('17.10  MUBENDE-MITYANA'!C41,'18.10 MUBENDE-MITYANA-24h'!C41,'19.10  MUBENDE-MITYANA-24h'!C41,'20.10 MUBENDE-MITYANA'!C41,'21.10 MUBENDE-MITYANA'!C41,'22.10 MUBENDE-MITYANA'!C41,'23.10 MUBENDE-MITYANA'!C41)</f>
        <v>6.8571428571428568</v>
      </c>
      <c r="D41" s="49">
        <f>AVERAGE('17.10  MUBENDE-MITYANA'!D41,'18.10 MUBENDE-MITYANA-24h'!D41,'19.10  MUBENDE-MITYANA-24h'!D41,'20.10 MUBENDE-MITYANA'!D41,'21.10 MUBENDE-MITYANA'!D41,'22.10 MUBENDE-MITYANA'!D41,'23.10 MUBENDE-MITYANA'!D41)</f>
        <v>3.1428571428571428</v>
      </c>
      <c r="E41" s="49">
        <f>AVERAGE('17.10  MUBENDE-MITYANA'!E41,'18.10 MUBENDE-MITYANA-24h'!E41,'19.10  MUBENDE-MITYANA-24h'!E41,'20.10 MUBENDE-MITYANA'!E41,'21.10 MUBENDE-MITYANA'!E41,'22.10 MUBENDE-MITYANA'!E41,'23.10 MUBENDE-MITYANA'!E41)</f>
        <v>2.1428571428571428</v>
      </c>
      <c r="F41" s="49">
        <f>AVERAGE('17.10  MUBENDE-MITYANA'!F41,'18.10 MUBENDE-MITYANA-24h'!F41,'19.10  MUBENDE-MITYANA-24h'!F41,'20.10 MUBENDE-MITYANA'!F41,'21.10 MUBENDE-MITYANA'!F41,'22.10 MUBENDE-MITYANA'!F41,'23.10 MUBENDE-MITYANA'!F41)</f>
        <v>6.5714285714285712</v>
      </c>
      <c r="G41" s="49">
        <f>AVERAGE('17.10  MUBENDE-MITYANA'!G41,'18.10 MUBENDE-MITYANA-24h'!G41,'19.10  MUBENDE-MITYANA-24h'!G41,'20.10 MUBENDE-MITYANA'!G41,'21.10 MUBENDE-MITYANA'!G41,'22.10 MUBENDE-MITYANA'!G41,'23.10 MUBENDE-MITYANA'!G41)</f>
        <v>0.2857142857142857</v>
      </c>
      <c r="H41" s="49">
        <f>AVERAGE('17.10  MUBENDE-MITYANA'!H41,'18.10 MUBENDE-MITYANA-24h'!H41,'19.10  MUBENDE-MITYANA-24h'!H41,'20.10 MUBENDE-MITYANA'!H41,'21.10 MUBENDE-MITYANA'!H41,'22.10 MUBENDE-MITYANA'!H41,'23.10 MUBENDE-MITYANA'!H41)</f>
        <v>0.2857142857142857</v>
      </c>
      <c r="I41" s="49">
        <f>AVERAGE('17.10  MUBENDE-MITYANA'!I41,'18.10 MUBENDE-MITYANA-24h'!I41,'19.10  MUBENDE-MITYANA-24h'!I41,'20.10 MUBENDE-MITYANA'!I41,'21.10 MUBENDE-MITYANA'!I41,'22.10 MUBENDE-MITYANA'!I41,'23.10 MUBENDE-MITYANA'!I41)</f>
        <v>3.2857142857142856</v>
      </c>
      <c r="J41" s="49">
        <f>AVERAGE('17.10  MUBENDE-MITYANA'!J41,'18.10 MUBENDE-MITYANA-24h'!J41,'19.10  MUBENDE-MITYANA-24h'!J41,'20.10 MUBENDE-MITYANA'!J41,'21.10 MUBENDE-MITYANA'!J41,'22.10 MUBENDE-MITYANA'!J41,'23.10 MUBENDE-MITYANA'!J41)</f>
        <v>1.5714285714285714</v>
      </c>
      <c r="K41" s="49">
        <f>AVERAGE('17.10  MUBENDE-MITYANA'!K41,'18.10 MUBENDE-MITYANA-24h'!K41,'19.10  MUBENDE-MITYANA-24h'!K41,'20.10 MUBENDE-MITYANA'!K41,'21.10 MUBENDE-MITYANA'!K41,'22.10 MUBENDE-MITYANA'!K41,'23.10 MUBENDE-MITYANA'!K41)</f>
        <v>0.5714285714285714</v>
      </c>
      <c r="L41" s="49">
        <f>AVERAGE('17.10  MUBENDE-MITYANA'!L41,'18.10 MUBENDE-MITYANA-24h'!L41,'19.10  MUBENDE-MITYANA-24h'!L41,'20.10 MUBENDE-MITYANA'!L41,'21.10 MUBENDE-MITYANA'!L41,'22.10 MUBENDE-MITYANA'!L41,'23.10 MUBENDE-MITYANA'!L41)</f>
        <v>0.8571428571428571</v>
      </c>
      <c r="M41" s="49">
        <f>AVERAGE('17.10  MUBENDE-MITYANA'!M41,'18.10 MUBENDE-MITYANA-24h'!M41,'19.10  MUBENDE-MITYANA-24h'!M41,'20.10 MUBENDE-MITYANA'!M41,'21.10 MUBENDE-MITYANA'!M41,'22.10 MUBENDE-MITYANA'!M41,'23.10 MUBENDE-MITYANA'!M41)</f>
        <v>46</v>
      </c>
      <c r="N41" s="49">
        <f>AVERAGE('17.10  MUBENDE-MITYANA'!N41,'18.10 MUBENDE-MITYANA-24h'!N41,'19.10  MUBENDE-MITYANA-24h'!N41,'20.10 MUBENDE-MITYANA'!N41,'21.10 MUBENDE-MITYANA'!N41,'22.10 MUBENDE-MITYANA'!N41,'23.10 MUBENDE-MITYANA'!N41)</f>
        <v>0</v>
      </c>
      <c r="O41" s="15">
        <f t="shared" si="0"/>
        <v>25.571428571428573</v>
      </c>
      <c r="P41" s="15">
        <f t="shared" si="1"/>
        <v>71.571428571428569</v>
      </c>
      <c r="R41" s="5" t="s">
        <v>180</v>
      </c>
      <c r="S41" s="56">
        <f>SUM(S10:S33)</f>
        <v>515.14285714285711</v>
      </c>
      <c r="T41" s="56">
        <f t="shared" ref="T41:AD41" si="33">SUM(T10:T33)</f>
        <v>199.14285714285717</v>
      </c>
      <c r="U41" s="56">
        <f t="shared" si="33"/>
        <v>126.5</v>
      </c>
      <c r="V41" s="56">
        <f t="shared" si="33"/>
        <v>436.21428571428572</v>
      </c>
      <c r="W41" s="56">
        <f t="shared" si="33"/>
        <v>15.357142857142854</v>
      </c>
      <c r="X41" s="56">
        <f t="shared" si="33"/>
        <v>29.714285714285715</v>
      </c>
      <c r="Y41" s="56">
        <f t="shared" si="33"/>
        <v>207</v>
      </c>
      <c r="Z41" s="56">
        <f t="shared" si="33"/>
        <v>180.78571428571428</v>
      </c>
      <c r="AA41" s="56">
        <f t="shared" si="33"/>
        <v>72.714285714285708</v>
      </c>
      <c r="AB41" s="56">
        <f t="shared" si="33"/>
        <v>81.714285714285708</v>
      </c>
      <c r="AC41" s="56">
        <f t="shared" si="33"/>
        <v>2481</v>
      </c>
      <c r="AD41" s="56">
        <f t="shared" si="33"/>
        <v>0.42857142857142855</v>
      </c>
      <c r="AE41" s="57">
        <f>SUM(AE10:AE33)</f>
        <v>1864.7142857142856</v>
      </c>
      <c r="AF41" s="57">
        <f>SUM(AF10:AF33)</f>
        <v>4345.7142857142862</v>
      </c>
    </row>
    <row r="42" spans="2:32" ht="23.1" customHeight="1" x14ac:dyDescent="0.25">
      <c r="B42" s="24" t="s">
        <v>69</v>
      </c>
      <c r="C42" s="49">
        <f>AVERAGE('17.10  MUBENDE-MITYANA'!C42,'18.10 MUBENDE-MITYANA-24h'!C42,'19.10  MUBENDE-MITYANA-24h'!C42,'20.10 MUBENDE-MITYANA'!C42,'21.10 MUBENDE-MITYANA'!C42,'22.10 MUBENDE-MITYANA'!C42,'23.10 MUBENDE-MITYANA'!C42)</f>
        <v>8.8571428571428577</v>
      </c>
      <c r="D42" s="49">
        <f>AVERAGE('17.10  MUBENDE-MITYANA'!D42,'18.10 MUBENDE-MITYANA-24h'!D42,'19.10  MUBENDE-MITYANA-24h'!D42,'20.10 MUBENDE-MITYANA'!D42,'21.10 MUBENDE-MITYANA'!D42,'22.10 MUBENDE-MITYANA'!D42,'23.10 MUBENDE-MITYANA'!D42)</f>
        <v>3</v>
      </c>
      <c r="E42" s="49">
        <f>AVERAGE('17.10  MUBENDE-MITYANA'!E42,'18.10 MUBENDE-MITYANA-24h'!E42,'19.10  MUBENDE-MITYANA-24h'!E42,'20.10 MUBENDE-MITYANA'!E42,'21.10 MUBENDE-MITYANA'!E42,'22.10 MUBENDE-MITYANA'!E42,'23.10 MUBENDE-MITYANA'!E42)</f>
        <v>1.5714285714285714</v>
      </c>
      <c r="F42" s="49">
        <f>AVERAGE('17.10  MUBENDE-MITYANA'!F42,'18.10 MUBENDE-MITYANA-24h'!F42,'19.10  MUBENDE-MITYANA-24h'!F42,'20.10 MUBENDE-MITYANA'!F42,'21.10 MUBENDE-MITYANA'!F42,'22.10 MUBENDE-MITYANA'!F42,'23.10 MUBENDE-MITYANA'!F42)</f>
        <v>5.1428571428571432</v>
      </c>
      <c r="G42" s="49">
        <f>AVERAGE('17.10  MUBENDE-MITYANA'!G42,'18.10 MUBENDE-MITYANA-24h'!G42,'19.10  MUBENDE-MITYANA-24h'!G42,'20.10 MUBENDE-MITYANA'!G42,'21.10 MUBENDE-MITYANA'!G42,'22.10 MUBENDE-MITYANA'!G42,'23.10 MUBENDE-MITYANA'!G42)</f>
        <v>0.2857142857142857</v>
      </c>
      <c r="H42" s="49">
        <f>AVERAGE('17.10  MUBENDE-MITYANA'!H42,'18.10 MUBENDE-MITYANA-24h'!H42,'19.10  MUBENDE-MITYANA-24h'!H42,'20.10 MUBENDE-MITYANA'!H42,'21.10 MUBENDE-MITYANA'!H42,'22.10 MUBENDE-MITYANA'!H42,'23.10 MUBENDE-MITYANA'!H42)</f>
        <v>0.8571428571428571</v>
      </c>
      <c r="I42" s="49">
        <f>AVERAGE('17.10  MUBENDE-MITYANA'!I42,'18.10 MUBENDE-MITYANA-24h'!I42,'19.10  MUBENDE-MITYANA-24h'!I42,'20.10 MUBENDE-MITYANA'!I42,'21.10 MUBENDE-MITYANA'!I42,'22.10 MUBENDE-MITYANA'!I42,'23.10 MUBENDE-MITYANA'!I42)</f>
        <v>2.8571428571428572</v>
      </c>
      <c r="J42" s="49">
        <f>AVERAGE('17.10  MUBENDE-MITYANA'!J42,'18.10 MUBENDE-MITYANA-24h'!J42,'19.10  MUBENDE-MITYANA-24h'!J42,'20.10 MUBENDE-MITYANA'!J42,'21.10 MUBENDE-MITYANA'!J42,'22.10 MUBENDE-MITYANA'!J42,'23.10 MUBENDE-MITYANA'!J42)</f>
        <v>1.4285714285714286</v>
      </c>
      <c r="K42" s="49">
        <f>AVERAGE('17.10  MUBENDE-MITYANA'!K42,'18.10 MUBENDE-MITYANA-24h'!K42,'19.10  MUBENDE-MITYANA-24h'!K42,'20.10 MUBENDE-MITYANA'!K42,'21.10 MUBENDE-MITYANA'!K42,'22.10 MUBENDE-MITYANA'!K42,'23.10 MUBENDE-MITYANA'!K42)</f>
        <v>0.2857142857142857</v>
      </c>
      <c r="L42" s="49">
        <f>AVERAGE('17.10  MUBENDE-MITYANA'!L42,'18.10 MUBENDE-MITYANA-24h'!L42,'19.10  MUBENDE-MITYANA-24h'!L42,'20.10 MUBENDE-MITYANA'!L42,'21.10 MUBENDE-MITYANA'!L42,'22.10 MUBENDE-MITYANA'!L42,'23.10 MUBENDE-MITYANA'!L42)</f>
        <v>1.2857142857142858</v>
      </c>
      <c r="M42" s="49">
        <f>AVERAGE('17.10  MUBENDE-MITYANA'!M42,'18.10 MUBENDE-MITYANA-24h'!M42,'19.10  MUBENDE-MITYANA-24h'!M42,'20.10 MUBENDE-MITYANA'!M42,'21.10 MUBENDE-MITYANA'!M42,'22.10 MUBENDE-MITYANA'!M42,'23.10 MUBENDE-MITYANA'!M42)</f>
        <v>42</v>
      </c>
      <c r="N42" s="49">
        <f>AVERAGE('17.10  MUBENDE-MITYANA'!N42,'18.10 MUBENDE-MITYANA-24h'!N42,'19.10  MUBENDE-MITYANA-24h'!N42,'20.10 MUBENDE-MITYANA'!N42,'21.10 MUBENDE-MITYANA'!N42,'22.10 MUBENDE-MITYANA'!N42,'23.10 MUBENDE-MITYANA'!N42)</f>
        <v>0</v>
      </c>
      <c r="O42" s="15">
        <f t="shared" si="0"/>
        <v>25.571428571428569</v>
      </c>
      <c r="P42" s="15">
        <f t="shared" si="1"/>
        <v>67.571428571428569</v>
      </c>
      <c r="R42" s="5" t="s">
        <v>160</v>
      </c>
      <c r="S42" s="48">
        <f>S41/S40</f>
        <v>1.3955108359133126</v>
      </c>
      <c r="T42" s="48">
        <f t="shared" ref="T42:AF42" si="34">T41/T40</f>
        <v>1.2919369786839665</v>
      </c>
      <c r="U42" s="48">
        <f t="shared" si="34"/>
        <v>1.5617283950617284</v>
      </c>
      <c r="V42" s="48">
        <f t="shared" si="34"/>
        <v>1.3517042939353696</v>
      </c>
      <c r="W42" s="48">
        <f t="shared" si="34"/>
        <v>1.7338709677419357</v>
      </c>
      <c r="X42" s="48">
        <f t="shared" si="34"/>
        <v>1.7777777777777777</v>
      </c>
      <c r="Y42" s="48">
        <f t="shared" si="34"/>
        <v>2.2021276595744679</v>
      </c>
      <c r="Z42" s="48">
        <f t="shared" si="34"/>
        <v>2.7273706896551722</v>
      </c>
      <c r="AA42" s="48">
        <f t="shared" si="34"/>
        <v>4.1048387096774199</v>
      </c>
      <c r="AB42" s="48">
        <f t="shared" si="34"/>
        <v>1.9589041095890412</v>
      </c>
      <c r="AC42" s="48">
        <f t="shared" si="34"/>
        <v>1.2078870496592016</v>
      </c>
      <c r="AD42" s="48">
        <f t="shared" si="34"/>
        <v>1</v>
      </c>
      <c r="AE42" s="58">
        <f t="shared" si="34"/>
        <v>1.5900840540869778</v>
      </c>
      <c r="AF42" s="58">
        <f t="shared" si="34"/>
        <v>1.3467924027095231</v>
      </c>
    </row>
    <row r="43" spans="2:32" ht="23.1" customHeight="1" x14ac:dyDescent="0.25">
      <c r="B43" s="23" t="s">
        <v>70</v>
      </c>
      <c r="C43" s="49">
        <f>AVERAGE('17.10  MUBENDE-MITYANA'!C43,'18.10 MUBENDE-MITYANA-24h'!C43,'19.10  MUBENDE-MITYANA-24h'!C43,'20.10 MUBENDE-MITYANA'!C43,'21.10 MUBENDE-MITYANA'!C43,'22.10 MUBENDE-MITYANA'!C43,'23.10 MUBENDE-MITYANA'!C43)</f>
        <v>8.1428571428571423</v>
      </c>
      <c r="D43" s="49">
        <f>AVERAGE('17.10  MUBENDE-MITYANA'!D43,'18.10 MUBENDE-MITYANA-24h'!D43,'19.10  MUBENDE-MITYANA-24h'!D43,'20.10 MUBENDE-MITYANA'!D43,'21.10 MUBENDE-MITYANA'!D43,'22.10 MUBENDE-MITYANA'!D43,'23.10 MUBENDE-MITYANA'!D43)</f>
        <v>4.8571428571428568</v>
      </c>
      <c r="E43" s="49">
        <f>AVERAGE('17.10  MUBENDE-MITYANA'!E43,'18.10 MUBENDE-MITYANA-24h'!E43,'19.10  MUBENDE-MITYANA-24h'!E43,'20.10 MUBENDE-MITYANA'!E43,'21.10 MUBENDE-MITYANA'!E43,'22.10 MUBENDE-MITYANA'!E43,'23.10 MUBENDE-MITYANA'!E43)</f>
        <v>1.8571428571428572</v>
      </c>
      <c r="F43" s="49">
        <f>AVERAGE('17.10  MUBENDE-MITYANA'!F43,'18.10 MUBENDE-MITYANA-24h'!F43,'19.10  MUBENDE-MITYANA-24h'!F43,'20.10 MUBENDE-MITYANA'!F43,'21.10 MUBENDE-MITYANA'!F43,'22.10 MUBENDE-MITYANA'!F43,'23.10 MUBENDE-MITYANA'!F43)</f>
        <v>6.2857142857142856</v>
      </c>
      <c r="G43" s="49">
        <f>AVERAGE('17.10  MUBENDE-MITYANA'!G43,'18.10 MUBENDE-MITYANA-24h'!G43,'19.10  MUBENDE-MITYANA-24h'!G43,'20.10 MUBENDE-MITYANA'!G43,'21.10 MUBENDE-MITYANA'!G43,'22.10 MUBENDE-MITYANA'!G43,'23.10 MUBENDE-MITYANA'!G43)</f>
        <v>0.2857142857142857</v>
      </c>
      <c r="H43" s="49">
        <f>AVERAGE('17.10  MUBENDE-MITYANA'!H43,'18.10 MUBENDE-MITYANA-24h'!H43,'19.10  MUBENDE-MITYANA-24h'!H43,'20.10 MUBENDE-MITYANA'!H43,'21.10 MUBENDE-MITYANA'!H43,'22.10 MUBENDE-MITYANA'!H43,'23.10 MUBENDE-MITYANA'!H43)</f>
        <v>0.8571428571428571</v>
      </c>
      <c r="I43" s="49">
        <f>AVERAGE('17.10  MUBENDE-MITYANA'!I43,'18.10 MUBENDE-MITYANA-24h'!I43,'19.10  MUBENDE-MITYANA-24h'!I43,'20.10 MUBENDE-MITYANA'!I43,'21.10 MUBENDE-MITYANA'!I43,'22.10 MUBENDE-MITYANA'!I43,'23.10 MUBENDE-MITYANA'!I43)</f>
        <v>2.2857142857142856</v>
      </c>
      <c r="J43" s="49">
        <f>AVERAGE('17.10  MUBENDE-MITYANA'!J43,'18.10 MUBENDE-MITYANA-24h'!J43,'19.10  MUBENDE-MITYANA-24h'!J43,'20.10 MUBENDE-MITYANA'!J43,'21.10 MUBENDE-MITYANA'!J43,'22.10 MUBENDE-MITYANA'!J43,'23.10 MUBENDE-MITYANA'!J43)</f>
        <v>1.8571428571428572</v>
      </c>
      <c r="K43" s="49">
        <f>AVERAGE('17.10  MUBENDE-MITYANA'!K43,'18.10 MUBENDE-MITYANA-24h'!K43,'19.10  MUBENDE-MITYANA-24h'!K43,'20.10 MUBENDE-MITYANA'!K43,'21.10 MUBENDE-MITYANA'!K43,'22.10 MUBENDE-MITYANA'!K43,'23.10 MUBENDE-MITYANA'!K43)</f>
        <v>0.7142857142857143</v>
      </c>
      <c r="L43" s="49">
        <f>AVERAGE('17.10  MUBENDE-MITYANA'!L43,'18.10 MUBENDE-MITYANA-24h'!L43,'19.10  MUBENDE-MITYANA-24h'!L43,'20.10 MUBENDE-MITYANA'!L43,'21.10 MUBENDE-MITYANA'!L43,'22.10 MUBENDE-MITYANA'!L43,'23.10 MUBENDE-MITYANA'!L43)</f>
        <v>0.8571428571428571</v>
      </c>
      <c r="M43" s="49">
        <f>AVERAGE('17.10  MUBENDE-MITYANA'!M43,'18.10 MUBENDE-MITYANA-24h'!M43,'19.10  MUBENDE-MITYANA-24h'!M43,'20.10 MUBENDE-MITYANA'!M43,'21.10 MUBENDE-MITYANA'!M43,'22.10 MUBENDE-MITYANA'!M43,'23.10 MUBENDE-MITYANA'!M43)</f>
        <v>40.142857142857146</v>
      </c>
      <c r="N43" s="49">
        <f>AVERAGE('17.10  MUBENDE-MITYANA'!N43,'18.10 MUBENDE-MITYANA-24h'!N43,'19.10  MUBENDE-MITYANA-24h'!N43,'20.10 MUBENDE-MITYANA'!N43,'21.10 MUBENDE-MITYANA'!N43,'22.10 MUBENDE-MITYANA'!N43,'23.10 MUBENDE-MITYANA'!N43)</f>
        <v>0</v>
      </c>
      <c r="O43" s="15">
        <f t="shared" si="0"/>
        <v>28</v>
      </c>
      <c r="P43" s="15">
        <f t="shared" si="1"/>
        <v>68.142857142857139</v>
      </c>
    </row>
    <row r="44" spans="2:32" ht="23.1" customHeight="1" x14ac:dyDescent="0.25">
      <c r="B44" s="25" t="s">
        <v>71</v>
      </c>
      <c r="C44" s="49">
        <f>AVERAGE('17.10  MUBENDE-MITYANA'!C44,'18.10 MUBENDE-MITYANA-24h'!C44,'19.10  MUBENDE-MITYANA-24h'!C44,'20.10 MUBENDE-MITYANA'!C44,'21.10 MUBENDE-MITYANA'!C44,'22.10 MUBENDE-MITYANA'!C44,'23.10 MUBENDE-MITYANA'!C44)</f>
        <v>8.1428571428571423</v>
      </c>
      <c r="D44" s="49">
        <f>AVERAGE('17.10  MUBENDE-MITYANA'!D44,'18.10 MUBENDE-MITYANA-24h'!D44,'19.10  MUBENDE-MITYANA-24h'!D44,'20.10 MUBENDE-MITYANA'!D44,'21.10 MUBENDE-MITYANA'!D44,'22.10 MUBENDE-MITYANA'!D44,'23.10 MUBENDE-MITYANA'!D44)</f>
        <v>3.8571428571428572</v>
      </c>
      <c r="E44" s="49">
        <f>AVERAGE('17.10  MUBENDE-MITYANA'!E44,'18.10 MUBENDE-MITYANA-24h'!E44,'19.10  MUBENDE-MITYANA-24h'!E44,'20.10 MUBENDE-MITYANA'!E44,'21.10 MUBENDE-MITYANA'!E44,'22.10 MUBENDE-MITYANA'!E44,'23.10 MUBENDE-MITYANA'!E44)</f>
        <v>2.4285714285714284</v>
      </c>
      <c r="F44" s="49">
        <f>AVERAGE('17.10  MUBENDE-MITYANA'!F44,'18.10 MUBENDE-MITYANA-24h'!F44,'19.10  MUBENDE-MITYANA-24h'!F44,'20.10 MUBENDE-MITYANA'!F44,'21.10 MUBENDE-MITYANA'!F44,'22.10 MUBENDE-MITYANA'!F44,'23.10 MUBENDE-MITYANA'!F44)</f>
        <v>6</v>
      </c>
      <c r="G44" s="49">
        <f>AVERAGE('17.10  MUBENDE-MITYANA'!G44,'18.10 MUBENDE-MITYANA-24h'!G44,'19.10  MUBENDE-MITYANA-24h'!G44,'20.10 MUBENDE-MITYANA'!G44,'21.10 MUBENDE-MITYANA'!G44,'22.10 MUBENDE-MITYANA'!G44,'23.10 MUBENDE-MITYANA'!G44)</f>
        <v>0</v>
      </c>
      <c r="H44" s="49">
        <f>AVERAGE('17.10  MUBENDE-MITYANA'!H44,'18.10 MUBENDE-MITYANA-24h'!H44,'19.10  MUBENDE-MITYANA-24h'!H44,'20.10 MUBENDE-MITYANA'!H44,'21.10 MUBENDE-MITYANA'!H44,'22.10 MUBENDE-MITYANA'!H44,'23.10 MUBENDE-MITYANA'!H44)</f>
        <v>0.2857142857142857</v>
      </c>
      <c r="I44" s="49">
        <f>AVERAGE('17.10  MUBENDE-MITYANA'!I44,'18.10 MUBENDE-MITYANA-24h'!I44,'19.10  MUBENDE-MITYANA-24h'!I44,'20.10 MUBENDE-MITYANA'!I44,'21.10 MUBENDE-MITYANA'!I44,'22.10 MUBENDE-MITYANA'!I44,'23.10 MUBENDE-MITYANA'!I44)</f>
        <v>3</v>
      </c>
      <c r="J44" s="49">
        <f>AVERAGE('17.10  MUBENDE-MITYANA'!J44,'18.10 MUBENDE-MITYANA-24h'!J44,'19.10  MUBENDE-MITYANA-24h'!J44,'20.10 MUBENDE-MITYANA'!J44,'21.10 MUBENDE-MITYANA'!J44,'22.10 MUBENDE-MITYANA'!J44,'23.10 MUBENDE-MITYANA'!J44)</f>
        <v>1.2857142857142858</v>
      </c>
      <c r="K44" s="49">
        <f>AVERAGE('17.10  MUBENDE-MITYANA'!K44,'18.10 MUBENDE-MITYANA-24h'!K44,'19.10  MUBENDE-MITYANA-24h'!K44,'20.10 MUBENDE-MITYANA'!K44,'21.10 MUBENDE-MITYANA'!K44,'22.10 MUBENDE-MITYANA'!K44,'23.10 MUBENDE-MITYANA'!K44)</f>
        <v>0.14285714285714285</v>
      </c>
      <c r="L44" s="49">
        <f>AVERAGE('17.10  MUBENDE-MITYANA'!L44,'18.10 MUBENDE-MITYANA-24h'!L44,'19.10  MUBENDE-MITYANA-24h'!L44,'20.10 MUBENDE-MITYANA'!L44,'21.10 MUBENDE-MITYANA'!L44,'22.10 MUBENDE-MITYANA'!L44,'23.10 MUBENDE-MITYANA'!L44)</f>
        <v>1.4285714285714286</v>
      </c>
      <c r="M44" s="49">
        <f>AVERAGE('17.10  MUBENDE-MITYANA'!M44,'18.10 MUBENDE-MITYANA-24h'!M44,'19.10  MUBENDE-MITYANA-24h'!M44,'20.10 MUBENDE-MITYANA'!M44,'21.10 MUBENDE-MITYANA'!M44,'22.10 MUBENDE-MITYANA'!M44,'23.10 MUBENDE-MITYANA'!M44)</f>
        <v>39.142857142857146</v>
      </c>
      <c r="N44" s="49">
        <f>AVERAGE('17.10  MUBENDE-MITYANA'!N44,'18.10 MUBENDE-MITYANA-24h'!N44,'19.10  MUBENDE-MITYANA-24h'!N44,'20.10 MUBENDE-MITYANA'!N44,'21.10 MUBENDE-MITYANA'!N44,'22.10 MUBENDE-MITYANA'!N44,'23.10 MUBENDE-MITYANA'!N44)</f>
        <v>0</v>
      </c>
      <c r="O44" s="15">
        <f t="shared" si="0"/>
        <v>26.571428571428569</v>
      </c>
      <c r="P44" s="15">
        <f t="shared" si="1"/>
        <v>65.714285714285722</v>
      </c>
    </row>
    <row r="45" spans="2:32" ht="23.1" customHeight="1" x14ac:dyDescent="0.25">
      <c r="B45" s="23" t="s">
        <v>72</v>
      </c>
      <c r="C45" s="49">
        <f>AVERAGE('17.10  MUBENDE-MITYANA'!C45,'18.10 MUBENDE-MITYANA-24h'!C45,'19.10  MUBENDE-MITYANA-24h'!C45,'20.10 MUBENDE-MITYANA'!C45,'21.10 MUBENDE-MITYANA'!C45,'22.10 MUBENDE-MITYANA'!C45,'23.10 MUBENDE-MITYANA'!C45)</f>
        <v>7.2857142857142856</v>
      </c>
      <c r="D45" s="49">
        <f>AVERAGE('17.10  MUBENDE-MITYANA'!D45,'18.10 MUBENDE-MITYANA-24h'!D45,'19.10  MUBENDE-MITYANA-24h'!D45,'20.10 MUBENDE-MITYANA'!D45,'21.10 MUBENDE-MITYANA'!D45,'22.10 MUBENDE-MITYANA'!D45,'23.10 MUBENDE-MITYANA'!D45)</f>
        <v>4.8571428571428568</v>
      </c>
      <c r="E45" s="49">
        <f>AVERAGE('17.10  MUBENDE-MITYANA'!E45,'18.10 MUBENDE-MITYANA-24h'!E45,'19.10  MUBENDE-MITYANA-24h'!E45,'20.10 MUBENDE-MITYANA'!E45,'21.10 MUBENDE-MITYANA'!E45,'22.10 MUBENDE-MITYANA'!E45,'23.10 MUBENDE-MITYANA'!E45)</f>
        <v>1.8571428571428572</v>
      </c>
      <c r="F45" s="49">
        <f>AVERAGE('17.10  MUBENDE-MITYANA'!F45,'18.10 MUBENDE-MITYANA-24h'!F45,'19.10  MUBENDE-MITYANA-24h'!F45,'20.10 MUBENDE-MITYANA'!F45,'21.10 MUBENDE-MITYANA'!F45,'22.10 MUBENDE-MITYANA'!F45,'23.10 MUBENDE-MITYANA'!F45)</f>
        <v>6.7142857142857144</v>
      </c>
      <c r="G45" s="49">
        <f>AVERAGE('17.10  MUBENDE-MITYANA'!G45,'18.10 MUBENDE-MITYANA-24h'!G45,'19.10  MUBENDE-MITYANA-24h'!G45,'20.10 MUBENDE-MITYANA'!G45,'21.10 MUBENDE-MITYANA'!G45,'22.10 MUBENDE-MITYANA'!G45,'23.10 MUBENDE-MITYANA'!G45)</f>
        <v>0.14285714285714285</v>
      </c>
      <c r="H45" s="49">
        <f>AVERAGE('17.10  MUBENDE-MITYANA'!H45,'18.10 MUBENDE-MITYANA-24h'!H45,'19.10  MUBENDE-MITYANA-24h'!H45,'20.10 MUBENDE-MITYANA'!H45,'21.10 MUBENDE-MITYANA'!H45,'22.10 MUBENDE-MITYANA'!H45,'23.10 MUBENDE-MITYANA'!H45)</f>
        <v>0.2857142857142857</v>
      </c>
      <c r="I45" s="49">
        <f>AVERAGE('17.10  MUBENDE-MITYANA'!I45,'18.10 MUBENDE-MITYANA-24h'!I45,'19.10  MUBENDE-MITYANA-24h'!I45,'20.10 MUBENDE-MITYANA'!I45,'21.10 MUBENDE-MITYANA'!I45,'22.10 MUBENDE-MITYANA'!I45,'23.10 MUBENDE-MITYANA'!I45)</f>
        <v>2</v>
      </c>
      <c r="J45" s="49">
        <f>AVERAGE('17.10  MUBENDE-MITYANA'!J45,'18.10 MUBENDE-MITYANA-24h'!J45,'19.10  MUBENDE-MITYANA-24h'!J45,'20.10 MUBENDE-MITYANA'!J45,'21.10 MUBENDE-MITYANA'!J45,'22.10 MUBENDE-MITYANA'!J45,'23.10 MUBENDE-MITYANA'!J45)</f>
        <v>1.4285714285714286</v>
      </c>
      <c r="K45" s="49">
        <f>AVERAGE('17.10  MUBENDE-MITYANA'!K45,'18.10 MUBENDE-MITYANA-24h'!K45,'19.10  MUBENDE-MITYANA-24h'!K45,'20.10 MUBENDE-MITYANA'!K45,'21.10 MUBENDE-MITYANA'!K45,'22.10 MUBENDE-MITYANA'!K45,'23.10 MUBENDE-MITYANA'!K45)</f>
        <v>0.42857142857142855</v>
      </c>
      <c r="L45" s="49">
        <f>AVERAGE('17.10  MUBENDE-MITYANA'!L45,'18.10 MUBENDE-MITYANA-24h'!L45,'19.10  MUBENDE-MITYANA-24h'!L45,'20.10 MUBENDE-MITYANA'!L45,'21.10 MUBENDE-MITYANA'!L45,'22.10 MUBENDE-MITYANA'!L45,'23.10 MUBENDE-MITYANA'!L45)</f>
        <v>1.4285714285714286</v>
      </c>
      <c r="M45" s="49">
        <f>AVERAGE('17.10  MUBENDE-MITYANA'!M45,'18.10 MUBENDE-MITYANA-24h'!M45,'19.10  MUBENDE-MITYANA-24h'!M45,'20.10 MUBENDE-MITYANA'!M45,'21.10 MUBENDE-MITYANA'!M45,'22.10 MUBENDE-MITYANA'!M45,'23.10 MUBENDE-MITYANA'!M45)</f>
        <v>41.857142857142854</v>
      </c>
      <c r="N45" s="49">
        <f>AVERAGE('17.10  MUBENDE-MITYANA'!N45,'18.10 MUBENDE-MITYANA-24h'!N45,'19.10  MUBENDE-MITYANA-24h'!N45,'20.10 MUBENDE-MITYANA'!N45,'21.10 MUBENDE-MITYANA'!N45,'22.10 MUBENDE-MITYANA'!N45,'23.10 MUBENDE-MITYANA'!N45)</f>
        <v>0.14285714285714285</v>
      </c>
      <c r="O45" s="15">
        <f t="shared" si="0"/>
        <v>26.571428571428566</v>
      </c>
      <c r="P45" s="15">
        <f t="shared" si="1"/>
        <v>68.428571428571416</v>
      </c>
    </row>
    <row r="46" spans="2:32" ht="23.1" customHeight="1" x14ac:dyDescent="0.25">
      <c r="B46" s="24" t="s">
        <v>73</v>
      </c>
      <c r="C46" s="49">
        <f>AVERAGE('17.10  MUBENDE-MITYANA'!C46,'18.10 MUBENDE-MITYANA-24h'!C46,'19.10  MUBENDE-MITYANA-24h'!C46,'20.10 MUBENDE-MITYANA'!C46,'21.10 MUBENDE-MITYANA'!C46,'22.10 MUBENDE-MITYANA'!C46,'23.10 MUBENDE-MITYANA'!C46)</f>
        <v>10.142857142857142</v>
      </c>
      <c r="D46" s="49">
        <f>AVERAGE('17.10  MUBENDE-MITYANA'!D46,'18.10 MUBENDE-MITYANA-24h'!D46,'19.10  MUBENDE-MITYANA-24h'!D46,'20.10 MUBENDE-MITYANA'!D46,'21.10 MUBENDE-MITYANA'!D46,'22.10 MUBENDE-MITYANA'!D46,'23.10 MUBENDE-MITYANA'!D46)</f>
        <v>6.5714285714285712</v>
      </c>
      <c r="E46" s="49">
        <f>AVERAGE('17.10  MUBENDE-MITYANA'!E46,'18.10 MUBENDE-MITYANA-24h'!E46,'19.10  MUBENDE-MITYANA-24h'!E46,'20.10 MUBENDE-MITYANA'!E46,'21.10 MUBENDE-MITYANA'!E46,'22.10 MUBENDE-MITYANA'!E46,'23.10 MUBENDE-MITYANA'!E46)</f>
        <v>1.7142857142857142</v>
      </c>
      <c r="F46" s="49">
        <f>AVERAGE('17.10  MUBENDE-MITYANA'!F46,'18.10 MUBENDE-MITYANA-24h'!F46,'19.10  MUBENDE-MITYANA-24h'!F46,'20.10 MUBENDE-MITYANA'!F46,'21.10 MUBENDE-MITYANA'!F46,'22.10 MUBENDE-MITYANA'!F46,'23.10 MUBENDE-MITYANA'!F46)</f>
        <v>7.8571428571428568</v>
      </c>
      <c r="G46" s="49">
        <f>AVERAGE('17.10  MUBENDE-MITYANA'!G46,'18.10 MUBENDE-MITYANA-24h'!G46,'19.10  MUBENDE-MITYANA-24h'!G46,'20.10 MUBENDE-MITYANA'!G46,'21.10 MUBENDE-MITYANA'!G46,'22.10 MUBENDE-MITYANA'!G46,'23.10 MUBENDE-MITYANA'!G46)</f>
        <v>0.42857142857142855</v>
      </c>
      <c r="H46" s="49">
        <f>AVERAGE('17.10  MUBENDE-MITYANA'!H46,'18.10 MUBENDE-MITYANA-24h'!H46,'19.10  MUBENDE-MITYANA-24h'!H46,'20.10 MUBENDE-MITYANA'!H46,'21.10 MUBENDE-MITYANA'!H46,'22.10 MUBENDE-MITYANA'!H46,'23.10 MUBENDE-MITYANA'!H46)</f>
        <v>0.5714285714285714</v>
      </c>
      <c r="I46" s="49">
        <f>AVERAGE('17.10  MUBENDE-MITYANA'!I46,'18.10 MUBENDE-MITYANA-24h'!I46,'19.10  MUBENDE-MITYANA-24h'!I46,'20.10 MUBENDE-MITYANA'!I46,'21.10 MUBENDE-MITYANA'!I46,'22.10 MUBENDE-MITYANA'!I46,'23.10 MUBENDE-MITYANA'!I46)</f>
        <v>2.5714285714285716</v>
      </c>
      <c r="J46" s="49">
        <f>AVERAGE('17.10  MUBENDE-MITYANA'!J46,'18.10 MUBENDE-MITYANA-24h'!J46,'19.10  MUBENDE-MITYANA-24h'!J46,'20.10 MUBENDE-MITYANA'!J46,'21.10 MUBENDE-MITYANA'!J46,'22.10 MUBENDE-MITYANA'!J46,'23.10 MUBENDE-MITYANA'!J46)</f>
        <v>1.7142857142857142</v>
      </c>
      <c r="K46" s="49">
        <f>AVERAGE('17.10  MUBENDE-MITYANA'!K46,'18.10 MUBENDE-MITYANA-24h'!K46,'19.10  MUBENDE-MITYANA-24h'!K46,'20.10 MUBENDE-MITYANA'!K46,'21.10 MUBENDE-MITYANA'!K46,'22.10 MUBENDE-MITYANA'!K46,'23.10 MUBENDE-MITYANA'!K46)</f>
        <v>0.8571428571428571</v>
      </c>
      <c r="L46" s="49">
        <f>AVERAGE('17.10  MUBENDE-MITYANA'!L46,'18.10 MUBENDE-MITYANA-24h'!L46,'19.10  MUBENDE-MITYANA-24h'!L46,'20.10 MUBENDE-MITYANA'!L46,'21.10 MUBENDE-MITYANA'!L46,'22.10 MUBENDE-MITYANA'!L46,'23.10 MUBENDE-MITYANA'!L46)</f>
        <v>1</v>
      </c>
      <c r="M46" s="49">
        <f>AVERAGE('17.10  MUBENDE-MITYANA'!M46,'18.10 MUBENDE-MITYANA-24h'!M46,'19.10  MUBENDE-MITYANA-24h'!M46,'20.10 MUBENDE-MITYANA'!M46,'21.10 MUBENDE-MITYANA'!M46,'22.10 MUBENDE-MITYANA'!M46,'23.10 MUBENDE-MITYANA'!M46)</f>
        <v>48.142857142857146</v>
      </c>
      <c r="N46" s="49">
        <f>AVERAGE('17.10  MUBENDE-MITYANA'!N46,'18.10 MUBENDE-MITYANA-24h'!N46,'19.10  MUBENDE-MITYANA-24h'!N46,'20.10 MUBENDE-MITYANA'!N46,'21.10 MUBENDE-MITYANA'!N46,'22.10 MUBENDE-MITYANA'!N46,'23.10 MUBENDE-MITYANA'!N46)</f>
        <v>0.14285714285714285</v>
      </c>
      <c r="O46" s="15">
        <f t="shared" si="0"/>
        <v>33.571428571428577</v>
      </c>
      <c r="P46" s="15">
        <f t="shared" si="1"/>
        <v>81.714285714285722</v>
      </c>
      <c r="R46" s="8"/>
      <c r="T46"/>
    </row>
    <row r="47" spans="2:32" ht="23.1" customHeight="1" x14ac:dyDescent="0.25">
      <c r="B47" s="24" t="s">
        <v>74</v>
      </c>
      <c r="C47" s="49">
        <f>AVERAGE('17.10  MUBENDE-MITYANA'!C47,'18.10 MUBENDE-MITYANA-24h'!C47,'19.10  MUBENDE-MITYANA-24h'!C47,'20.10 MUBENDE-MITYANA'!C47,'21.10 MUBENDE-MITYANA'!C47,'22.10 MUBENDE-MITYANA'!C47,'23.10 MUBENDE-MITYANA'!C47)</f>
        <v>9.8571428571428577</v>
      </c>
      <c r="D47" s="49">
        <f>AVERAGE('17.10  MUBENDE-MITYANA'!D47,'18.10 MUBENDE-MITYANA-24h'!D47,'19.10  MUBENDE-MITYANA-24h'!D47,'20.10 MUBENDE-MITYANA'!D47,'21.10 MUBENDE-MITYANA'!D47,'22.10 MUBENDE-MITYANA'!D47,'23.10 MUBENDE-MITYANA'!D47)</f>
        <v>3.7142857142857144</v>
      </c>
      <c r="E47" s="49">
        <f>AVERAGE('17.10  MUBENDE-MITYANA'!E47,'18.10 MUBENDE-MITYANA-24h'!E47,'19.10  MUBENDE-MITYANA-24h'!E47,'20.10 MUBENDE-MITYANA'!E47,'21.10 MUBENDE-MITYANA'!E47,'22.10 MUBENDE-MITYANA'!E47,'23.10 MUBENDE-MITYANA'!E47)</f>
        <v>2.1428571428571428</v>
      </c>
      <c r="F47" s="49">
        <f>AVERAGE('17.10  MUBENDE-MITYANA'!F47,'18.10 MUBENDE-MITYANA-24h'!F47,'19.10  MUBENDE-MITYANA-24h'!F47,'20.10 MUBENDE-MITYANA'!F47,'21.10 MUBENDE-MITYANA'!F47,'22.10 MUBENDE-MITYANA'!F47,'23.10 MUBENDE-MITYANA'!F47)</f>
        <v>7.7142857142857144</v>
      </c>
      <c r="G47" s="49">
        <f>AVERAGE('17.10  MUBENDE-MITYANA'!G47,'18.10 MUBENDE-MITYANA-24h'!G47,'19.10  MUBENDE-MITYANA-24h'!G47,'20.10 MUBENDE-MITYANA'!G47,'21.10 MUBENDE-MITYANA'!G47,'22.10 MUBENDE-MITYANA'!G47,'23.10 MUBENDE-MITYANA'!G47)</f>
        <v>0</v>
      </c>
      <c r="H47" s="49">
        <f>AVERAGE('17.10  MUBENDE-MITYANA'!H47,'18.10 MUBENDE-MITYANA-24h'!H47,'19.10  MUBENDE-MITYANA-24h'!H47,'20.10 MUBENDE-MITYANA'!H47,'21.10 MUBENDE-MITYANA'!H47,'22.10 MUBENDE-MITYANA'!H47,'23.10 MUBENDE-MITYANA'!H47)</f>
        <v>0.7142857142857143</v>
      </c>
      <c r="I47" s="49">
        <f>AVERAGE('17.10  MUBENDE-MITYANA'!I47,'18.10 MUBENDE-MITYANA-24h'!I47,'19.10  MUBENDE-MITYANA-24h'!I47,'20.10 MUBENDE-MITYANA'!I47,'21.10 MUBENDE-MITYANA'!I47,'22.10 MUBENDE-MITYANA'!I47,'23.10 MUBENDE-MITYANA'!I47)</f>
        <v>2.7142857142857144</v>
      </c>
      <c r="J47" s="49">
        <f>AVERAGE('17.10  MUBENDE-MITYANA'!J47,'18.10 MUBENDE-MITYANA-24h'!J47,'19.10  MUBENDE-MITYANA-24h'!J47,'20.10 MUBENDE-MITYANA'!J47,'21.10 MUBENDE-MITYANA'!J47,'22.10 MUBENDE-MITYANA'!J47,'23.10 MUBENDE-MITYANA'!J47)</f>
        <v>2.1428571428571428</v>
      </c>
      <c r="K47" s="49">
        <f>AVERAGE('17.10  MUBENDE-MITYANA'!K47,'18.10 MUBENDE-MITYANA-24h'!K47,'19.10  MUBENDE-MITYANA-24h'!K47,'20.10 MUBENDE-MITYANA'!K47,'21.10 MUBENDE-MITYANA'!K47,'22.10 MUBENDE-MITYANA'!K47,'23.10 MUBENDE-MITYANA'!K47)</f>
        <v>0.2857142857142857</v>
      </c>
      <c r="L47" s="49">
        <f>AVERAGE('17.10  MUBENDE-MITYANA'!L47,'18.10 MUBENDE-MITYANA-24h'!L47,'19.10  MUBENDE-MITYANA-24h'!L47,'20.10 MUBENDE-MITYANA'!L47,'21.10 MUBENDE-MITYANA'!L47,'22.10 MUBENDE-MITYANA'!L47,'23.10 MUBENDE-MITYANA'!L47)</f>
        <v>1</v>
      </c>
      <c r="M47" s="49">
        <f>AVERAGE('17.10  MUBENDE-MITYANA'!M47,'18.10 MUBENDE-MITYANA-24h'!M47,'19.10  MUBENDE-MITYANA-24h'!M47,'20.10 MUBENDE-MITYANA'!M47,'21.10 MUBENDE-MITYANA'!M47,'22.10 MUBENDE-MITYANA'!M47,'23.10 MUBENDE-MITYANA'!M47)</f>
        <v>48.857142857142854</v>
      </c>
      <c r="N47" s="49">
        <f>AVERAGE('17.10  MUBENDE-MITYANA'!N47,'18.10 MUBENDE-MITYANA-24h'!N47,'19.10  MUBENDE-MITYANA-24h'!N47,'20.10 MUBENDE-MITYANA'!N47,'21.10 MUBENDE-MITYANA'!N47,'22.10 MUBENDE-MITYANA'!N47,'23.10 MUBENDE-MITYANA'!N47)</f>
        <v>0</v>
      </c>
      <c r="O47" s="15">
        <f t="shared" si="0"/>
        <v>30.285714285714288</v>
      </c>
      <c r="P47" s="15">
        <f t="shared" si="1"/>
        <v>79.142857142857139</v>
      </c>
      <c r="R47" s="8"/>
      <c r="T47"/>
    </row>
    <row r="48" spans="2:32" ht="23.1" customHeight="1" x14ac:dyDescent="0.25">
      <c r="B48" s="24" t="s">
        <v>75</v>
      </c>
      <c r="C48" s="49">
        <f>AVERAGE('17.10  MUBENDE-MITYANA'!C48,'18.10 MUBENDE-MITYANA-24h'!C48,'19.10  MUBENDE-MITYANA-24h'!C48,'20.10 MUBENDE-MITYANA'!C48,'21.10 MUBENDE-MITYANA'!C48,'22.10 MUBENDE-MITYANA'!C48,'23.10 MUBENDE-MITYANA'!C48)</f>
        <v>11.285714285714286</v>
      </c>
      <c r="D48" s="49">
        <f>AVERAGE('17.10  MUBENDE-MITYANA'!D48,'18.10 MUBENDE-MITYANA-24h'!D48,'19.10  MUBENDE-MITYANA-24h'!D48,'20.10 MUBENDE-MITYANA'!D48,'21.10 MUBENDE-MITYANA'!D48,'22.10 MUBENDE-MITYANA'!D48,'23.10 MUBENDE-MITYANA'!D48)</f>
        <v>5.2857142857142856</v>
      </c>
      <c r="E48" s="49">
        <f>AVERAGE('17.10  MUBENDE-MITYANA'!E48,'18.10 MUBENDE-MITYANA-24h'!E48,'19.10  MUBENDE-MITYANA-24h'!E48,'20.10 MUBENDE-MITYANA'!E48,'21.10 MUBENDE-MITYANA'!E48,'22.10 MUBENDE-MITYANA'!E48,'23.10 MUBENDE-MITYANA'!E48)</f>
        <v>2</v>
      </c>
      <c r="F48" s="49">
        <f>AVERAGE('17.10  MUBENDE-MITYANA'!F48,'18.10 MUBENDE-MITYANA-24h'!F48,'19.10  MUBENDE-MITYANA-24h'!F48,'20.10 MUBENDE-MITYANA'!F48,'21.10 MUBENDE-MITYANA'!F48,'22.10 MUBENDE-MITYANA'!F48,'23.10 MUBENDE-MITYANA'!F48)</f>
        <v>5.8571428571428568</v>
      </c>
      <c r="G48" s="49">
        <f>AVERAGE('17.10  MUBENDE-MITYANA'!G48,'18.10 MUBENDE-MITYANA-24h'!G48,'19.10  MUBENDE-MITYANA-24h'!G48,'20.10 MUBENDE-MITYANA'!G48,'21.10 MUBENDE-MITYANA'!G48,'22.10 MUBENDE-MITYANA'!G48,'23.10 MUBENDE-MITYANA'!G48)</f>
        <v>0.42857142857142855</v>
      </c>
      <c r="H48" s="49">
        <f>AVERAGE('17.10  MUBENDE-MITYANA'!H48,'18.10 MUBENDE-MITYANA-24h'!H48,'19.10  MUBENDE-MITYANA-24h'!H48,'20.10 MUBENDE-MITYANA'!H48,'21.10 MUBENDE-MITYANA'!H48,'22.10 MUBENDE-MITYANA'!H48,'23.10 MUBENDE-MITYANA'!H48)</f>
        <v>1.1428571428571428</v>
      </c>
      <c r="I48" s="49">
        <f>AVERAGE('17.10  MUBENDE-MITYANA'!I48,'18.10 MUBENDE-MITYANA-24h'!I48,'19.10  MUBENDE-MITYANA-24h'!I48,'20.10 MUBENDE-MITYANA'!I48,'21.10 MUBENDE-MITYANA'!I48,'22.10 MUBENDE-MITYANA'!I48,'23.10 MUBENDE-MITYANA'!I48)</f>
        <v>1.7142857142857142</v>
      </c>
      <c r="J48" s="49">
        <f>AVERAGE('17.10  MUBENDE-MITYANA'!J48,'18.10 MUBENDE-MITYANA-24h'!J48,'19.10  MUBENDE-MITYANA-24h'!J48,'20.10 MUBENDE-MITYANA'!J48,'21.10 MUBENDE-MITYANA'!J48,'22.10 MUBENDE-MITYANA'!J48,'23.10 MUBENDE-MITYANA'!J48)</f>
        <v>1.5714285714285714</v>
      </c>
      <c r="K48" s="49">
        <f>AVERAGE('17.10  MUBENDE-MITYANA'!K48,'18.10 MUBENDE-MITYANA-24h'!K48,'19.10  MUBENDE-MITYANA-24h'!K48,'20.10 MUBENDE-MITYANA'!K48,'21.10 MUBENDE-MITYANA'!K48,'22.10 MUBENDE-MITYANA'!K48,'23.10 MUBENDE-MITYANA'!K48)</f>
        <v>0.42857142857142855</v>
      </c>
      <c r="L48" s="49">
        <f>AVERAGE('17.10  MUBENDE-MITYANA'!L48,'18.10 MUBENDE-MITYANA-24h'!L48,'19.10  MUBENDE-MITYANA-24h'!L48,'20.10 MUBENDE-MITYANA'!L48,'21.10 MUBENDE-MITYANA'!L48,'22.10 MUBENDE-MITYANA'!L48,'23.10 MUBENDE-MITYANA'!L48)</f>
        <v>1</v>
      </c>
      <c r="M48" s="49">
        <f>AVERAGE('17.10  MUBENDE-MITYANA'!M48,'18.10 MUBENDE-MITYANA-24h'!M48,'19.10  MUBENDE-MITYANA-24h'!M48,'20.10 MUBENDE-MITYANA'!M48,'21.10 MUBENDE-MITYANA'!M48,'22.10 MUBENDE-MITYANA'!M48,'23.10 MUBENDE-MITYANA'!M48)</f>
        <v>50</v>
      </c>
      <c r="N48" s="49">
        <f>AVERAGE('17.10  MUBENDE-MITYANA'!N48,'18.10 MUBENDE-MITYANA-24h'!N48,'19.10  MUBENDE-MITYANA-24h'!N48,'20.10 MUBENDE-MITYANA'!N48,'21.10 MUBENDE-MITYANA'!N48,'22.10 MUBENDE-MITYANA'!N48,'23.10 MUBENDE-MITYANA'!N48)</f>
        <v>0</v>
      </c>
      <c r="O48" s="15">
        <f t="shared" si="0"/>
        <v>30.714285714285715</v>
      </c>
      <c r="P48" s="15">
        <f t="shared" si="1"/>
        <v>80.714285714285722</v>
      </c>
      <c r="R48" s="8"/>
      <c r="T48"/>
    </row>
    <row r="49" spans="2:20" ht="23.1" customHeight="1" x14ac:dyDescent="0.25">
      <c r="B49" s="23" t="s">
        <v>76</v>
      </c>
      <c r="C49" s="49">
        <f>AVERAGE('17.10  MUBENDE-MITYANA'!C49,'18.10 MUBENDE-MITYANA-24h'!C49,'19.10  MUBENDE-MITYANA-24h'!C49,'20.10 MUBENDE-MITYANA'!C49,'21.10 MUBENDE-MITYANA'!C49,'22.10 MUBENDE-MITYANA'!C49,'23.10 MUBENDE-MITYANA'!C49)</f>
        <v>9.4285714285714288</v>
      </c>
      <c r="D49" s="49">
        <f>AVERAGE('17.10  MUBENDE-MITYANA'!D49,'18.10 MUBENDE-MITYANA-24h'!D49,'19.10  MUBENDE-MITYANA-24h'!D49,'20.10 MUBENDE-MITYANA'!D49,'21.10 MUBENDE-MITYANA'!D49,'22.10 MUBENDE-MITYANA'!D49,'23.10 MUBENDE-MITYANA'!D49)</f>
        <v>3.8571428571428572</v>
      </c>
      <c r="E49" s="49">
        <f>AVERAGE('17.10  MUBENDE-MITYANA'!E49,'18.10 MUBENDE-MITYANA-24h'!E49,'19.10  MUBENDE-MITYANA-24h'!E49,'20.10 MUBENDE-MITYANA'!E49,'21.10 MUBENDE-MITYANA'!E49,'22.10 MUBENDE-MITYANA'!E49,'23.10 MUBENDE-MITYANA'!E49)</f>
        <v>2.7142857142857144</v>
      </c>
      <c r="F49" s="49">
        <f>AVERAGE('17.10  MUBENDE-MITYANA'!F49,'18.10 MUBENDE-MITYANA-24h'!F49,'19.10  MUBENDE-MITYANA-24h'!F49,'20.10 MUBENDE-MITYANA'!F49,'21.10 MUBENDE-MITYANA'!F49,'22.10 MUBENDE-MITYANA'!F49,'23.10 MUBENDE-MITYANA'!F49)</f>
        <v>8.1428571428571423</v>
      </c>
      <c r="G49" s="49">
        <f>AVERAGE('17.10  MUBENDE-MITYANA'!G49,'18.10 MUBENDE-MITYANA-24h'!G49,'19.10  MUBENDE-MITYANA-24h'!G49,'20.10 MUBENDE-MITYANA'!G49,'21.10 MUBENDE-MITYANA'!G49,'22.10 MUBENDE-MITYANA'!G49,'23.10 MUBENDE-MITYANA'!G49)</f>
        <v>0.42857142857142855</v>
      </c>
      <c r="H49" s="49">
        <f>AVERAGE('17.10  MUBENDE-MITYANA'!H49,'18.10 MUBENDE-MITYANA-24h'!H49,'19.10  MUBENDE-MITYANA-24h'!H49,'20.10 MUBENDE-MITYANA'!H49,'21.10 MUBENDE-MITYANA'!H49,'22.10 MUBENDE-MITYANA'!H49,'23.10 MUBENDE-MITYANA'!H49)</f>
        <v>0.42857142857142855</v>
      </c>
      <c r="I49" s="49">
        <f>AVERAGE('17.10  MUBENDE-MITYANA'!I49,'18.10 MUBENDE-MITYANA-24h'!I49,'19.10  MUBENDE-MITYANA-24h'!I49,'20.10 MUBENDE-MITYANA'!I49,'21.10 MUBENDE-MITYANA'!I49,'22.10 MUBENDE-MITYANA'!I49,'23.10 MUBENDE-MITYANA'!I49)</f>
        <v>3.4285714285714284</v>
      </c>
      <c r="J49" s="49">
        <f>AVERAGE('17.10  MUBENDE-MITYANA'!J49,'18.10 MUBENDE-MITYANA-24h'!J49,'19.10  MUBENDE-MITYANA-24h'!J49,'20.10 MUBENDE-MITYANA'!J49,'21.10 MUBENDE-MITYANA'!J49,'22.10 MUBENDE-MITYANA'!J49,'23.10 MUBENDE-MITYANA'!J49)</f>
        <v>2</v>
      </c>
      <c r="K49" s="49">
        <f>AVERAGE('17.10  MUBENDE-MITYANA'!K49,'18.10 MUBENDE-MITYANA-24h'!K49,'19.10  MUBENDE-MITYANA-24h'!K49,'20.10 MUBENDE-MITYANA'!K49,'21.10 MUBENDE-MITYANA'!K49,'22.10 MUBENDE-MITYANA'!K49,'23.10 MUBENDE-MITYANA'!K49)</f>
        <v>0.5714285714285714</v>
      </c>
      <c r="L49" s="49">
        <f>AVERAGE('17.10  MUBENDE-MITYANA'!L49,'18.10 MUBENDE-MITYANA-24h'!L49,'19.10  MUBENDE-MITYANA-24h'!L49,'20.10 MUBENDE-MITYANA'!L49,'21.10 MUBENDE-MITYANA'!L49,'22.10 MUBENDE-MITYANA'!L49,'23.10 MUBENDE-MITYANA'!L49)</f>
        <v>0.42857142857142855</v>
      </c>
      <c r="M49" s="49">
        <f>AVERAGE('17.10  MUBENDE-MITYANA'!M49,'18.10 MUBENDE-MITYANA-24h'!M49,'19.10  MUBENDE-MITYANA-24h'!M49,'20.10 MUBENDE-MITYANA'!M49,'21.10 MUBENDE-MITYANA'!M49,'22.10 MUBENDE-MITYANA'!M49,'23.10 MUBENDE-MITYANA'!M49)</f>
        <v>49.142857142857146</v>
      </c>
      <c r="N49" s="49">
        <f>AVERAGE('17.10  MUBENDE-MITYANA'!N49,'18.10 MUBENDE-MITYANA-24h'!N49,'19.10  MUBENDE-MITYANA-24h'!N49,'20.10 MUBENDE-MITYANA'!N49,'21.10 MUBENDE-MITYANA'!N49,'22.10 MUBENDE-MITYANA'!N49,'23.10 MUBENDE-MITYANA'!N49)</f>
        <v>0</v>
      </c>
      <c r="O49" s="15">
        <f t="shared" si="0"/>
        <v>31.428571428571423</v>
      </c>
      <c r="P49" s="15">
        <f t="shared" si="1"/>
        <v>80.571428571428569</v>
      </c>
      <c r="R49" s="8"/>
      <c r="T49"/>
    </row>
    <row r="50" spans="2:20" ht="23.1" customHeight="1" x14ac:dyDescent="0.25">
      <c r="B50" s="24" t="s">
        <v>77</v>
      </c>
      <c r="C50" s="49">
        <f>AVERAGE('17.10  MUBENDE-MITYANA'!C50,'18.10 MUBENDE-MITYANA-24h'!C50,'19.10  MUBENDE-MITYANA-24h'!C50,'20.10 MUBENDE-MITYANA'!C50,'21.10 MUBENDE-MITYANA'!C50,'22.10 MUBENDE-MITYANA'!C50,'23.10 MUBENDE-MITYANA'!C50)</f>
        <v>13.857142857142858</v>
      </c>
      <c r="D50" s="49">
        <f>AVERAGE('17.10  MUBENDE-MITYANA'!D50,'18.10 MUBENDE-MITYANA-24h'!D50,'19.10  MUBENDE-MITYANA-24h'!D50,'20.10 MUBENDE-MITYANA'!D50,'21.10 MUBENDE-MITYANA'!D50,'22.10 MUBENDE-MITYANA'!D50,'23.10 MUBENDE-MITYANA'!D50)</f>
        <v>7.1428571428571432</v>
      </c>
      <c r="E50" s="49">
        <f>AVERAGE('17.10  MUBENDE-MITYANA'!E50,'18.10 MUBENDE-MITYANA-24h'!E50,'19.10  MUBENDE-MITYANA-24h'!E50,'20.10 MUBENDE-MITYANA'!E50,'21.10 MUBENDE-MITYANA'!E50,'22.10 MUBENDE-MITYANA'!E50,'23.10 MUBENDE-MITYANA'!E50)</f>
        <v>2.7142857142857144</v>
      </c>
      <c r="F50" s="49">
        <f>AVERAGE('17.10  MUBENDE-MITYANA'!F50,'18.10 MUBENDE-MITYANA-24h'!F50,'19.10  MUBENDE-MITYANA-24h'!F50,'20.10 MUBENDE-MITYANA'!F50,'21.10 MUBENDE-MITYANA'!F50,'22.10 MUBENDE-MITYANA'!F50,'23.10 MUBENDE-MITYANA'!F50)</f>
        <v>8.1428571428571423</v>
      </c>
      <c r="G50" s="49">
        <f>AVERAGE('17.10  MUBENDE-MITYANA'!G50,'18.10 MUBENDE-MITYANA-24h'!G50,'19.10  MUBENDE-MITYANA-24h'!G50,'20.10 MUBENDE-MITYANA'!G50,'21.10 MUBENDE-MITYANA'!G50,'22.10 MUBENDE-MITYANA'!G50,'23.10 MUBENDE-MITYANA'!G50)</f>
        <v>0.2857142857142857</v>
      </c>
      <c r="H50" s="49">
        <f>AVERAGE('17.10  MUBENDE-MITYANA'!H50,'18.10 MUBENDE-MITYANA-24h'!H50,'19.10  MUBENDE-MITYANA-24h'!H50,'20.10 MUBENDE-MITYANA'!H50,'21.10 MUBENDE-MITYANA'!H50,'22.10 MUBENDE-MITYANA'!H50,'23.10 MUBENDE-MITYANA'!H50)</f>
        <v>0.5714285714285714</v>
      </c>
      <c r="I50" s="49">
        <f>AVERAGE('17.10  MUBENDE-MITYANA'!I50,'18.10 MUBENDE-MITYANA-24h'!I50,'19.10  MUBENDE-MITYANA-24h'!I50,'20.10 MUBENDE-MITYANA'!I50,'21.10 MUBENDE-MITYANA'!I50,'22.10 MUBENDE-MITYANA'!I50,'23.10 MUBENDE-MITYANA'!I50)</f>
        <v>4</v>
      </c>
      <c r="J50" s="49">
        <f>AVERAGE('17.10  MUBENDE-MITYANA'!J50,'18.10 MUBENDE-MITYANA-24h'!J50,'19.10  MUBENDE-MITYANA-24h'!J50,'20.10 MUBENDE-MITYANA'!J50,'21.10 MUBENDE-MITYANA'!J50,'22.10 MUBENDE-MITYANA'!J50,'23.10 MUBENDE-MITYANA'!J50)</f>
        <v>2</v>
      </c>
      <c r="K50" s="49">
        <f>AVERAGE('17.10  MUBENDE-MITYANA'!K50,'18.10 MUBENDE-MITYANA-24h'!K50,'19.10  MUBENDE-MITYANA-24h'!K50,'20.10 MUBENDE-MITYANA'!K50,'21.10 MUBENDE-MITYANA'!K50,'22.10 MUBENDE-MITYANA'!K50,'23.10 MUBENDE-MITYANA'!K50)</f>
        <v>0.2857142857142857</v>
      </c>
      <c r="L50" s="49">
        <f>AVERAGE('17.10  MUBENDE-MITYANA'!L50,'18.10 MUBENDE-MITYANA-24h'!L50,'19.10  MUBENDE-MITYANA-24h'!L50,'20.10 MUBENDE-MITYANA'!L50,'21.10 MUBENDE-MITYANA'!L50,'22.10 MUBENDE-MITYANA'!L50,'23.10 MUBENDE-MITYANA'!L50)</f>
        <v>1.2857142857142858</v>
      </c>
      <c r="M50" s="49">
        <f>AVERAGE('17.10  MUBENDE-MITYANA'!M50,'18.10 MUBENDE-MITYANA-24h'!M50,'19.10  MUBENDE-MITYANA-24h'!M50,'20.10 MUBENDE-MITYANA'!M50,'21.10 MUBENDE-MITYANA'!M50,'22.10 MUBENDE-MITYANA'!M50,'23.10 MUBENDE-MITYANA'!M50)</f>
        <v>41.285714285714285</v>
      </c>
      <c r="N50" s="49">
        <f>AVERAGE('17.10  MUBENDE-MITYANA'!N50,'18.10 MUBENDE-MITYANA-24h'!N50,'19.10  MUBENDE-MITYANA-24h'!N50,'20.10 MUBENDE-MITYANA'!N50,'21.10 MUBENDE-MITYANA'!N50,'22.10 MUBENDE-MITYANA'!N50,'23.10 MUBENDE-MITYANA'!N50)</f>
        <v>0</v>
      </c>
      <c r="O50" s="15">
        <f t="shared" si="0"/>
        <v>40.285714285714285</v>
      </c>
      <c r="P50" s="15">
        <f t="shared" si="1"/>
        <v>81.571428571428569</v>
      </c>
      <c r="R50" s="8"/>
      <c r="T50"/>
    </row>
    <row r="51" spans="2:20" ht="23.1" customHeight="1" x14ac:dyDescent="0.25">
      <c r="B51" s="24" t="s">
        <v>78</v>
      </c>
      <c r="C51" s="49">
        <f>AVERAGE('17.10  MUBENDE-MITYANA'!C51,'18.10 MUBENDE-MITYANA-24h'!C51,'19.10  MUBENDE-MITYANA-24h'!C51,'20.10 MUBENDE-MITYANA'!C51,'21.10 MUBENDE-MITYANA'!C51,'22.10 MUBENDE-MITYANA'!C51,'23.10 MUBENDE-MITYANA'!C51)</f>
        <v>11.714285714285714</v>
      </c>
      <c r="D51" s="49">
        <f>AVERAGE('17.10  MUBENDE-MITYANA'!D51,'18.10 MUBENDE-MITYANA-24h'!D51,'19.10  MUBENDE-MITYANA-24h'!D51,'20.10 MUBENDE-MITYANA'!D51,'21.10 MUBENDE-MITYANA'!D51,'22.10 MUBENDE-MITYANA'!D51,'23.10 MUBENDE-MITYANA'!D51)</f>
        <v>5.7142857142857144</v>
      </c>
      <c r="E51" s="49">
        <f>AVERAGE('17.10  MUBENDE-MITYANA'!E51,'18.10 MUBENDE-MITYANA-24h'!E51,'19.10  MUBENDE-MITYANA-24h'!E51,'20.10 MUBENDE-MITYANA'!E51,'21.10 MUBENDE-MITYANA'!E51,'22.10 MUBENDE-MITYANA'!E51,'23.10 MUBENDE-MITYANA'!E51)</f>
        <v>1.7142857142857142</v>
      </c>
      <c r="F51" s="49">
        <f>AVERAGE('17.10  MUBENDE-MITYANA'!F51,'18.10 MUBENDE-MITYANA-24h'!F51,'19.10  MUBENDE-MITYANA-24h'!F51,'20.10 MUBENDE-MITYANA'!F51,'21.10 MUBENDE-MITYANA'!F51,'22.10 MUBENDE-MITYANA'!F51,'23.10 MUBENDE-MITYANA'!F51)</f>
        <v>8.4285714285714288</v>
      </c>
      <c r="G51" s="49">
        <f>AVERAGE('17.10  MUBENDE-MITYANA'!G51,'18.10 MUBENDE-MITYANA-24h'!G51,'19.10  MUBENDE-MITYANA-24h'!G51,'20.10 MUBENDE-MITYANA'!G51,'21.10 MUBENDE-MITYANA'!G51,'22.10 MUBENDE-MITYANA'!G51,'23.10 MUBENDE-MITYANA'!G51)</f>
        <v>0.2857142857142857</v>
      </c>
      <c r="H51" s="49">
        <f>AVERAGE('17.10  MUBENDE-MITYANA'!H51,'18.10 MUBENDE-MITYANA-24h'!H51,'19.10  MUBENDE-MITYANA-24h'!H51,'20.10 MUBENDE-MITYANA'!H51,'21.10 MUBENDE-MITYANA'!H51,'22.10 MUBENDE-MITYANA'!H51,'23.10 MUBENDE-MITYANA'!H51)</f>
        <v>0.7142857142857143</v>
      </c>
      <c r="I51" s="49">
        <f>AVERAGE('17.10  MUBENDE-MITYANA'!I51,'18.10 MUBENDE-MITYANA-24h'!I51,'19.10  MUBENDE-MITYANA-24h'!I51,'20.10 MUBENDE-MITYANA'!I51,'21.10 MUBENDE-MITYANA'!I51,'22.10 MUBENDE-MITYANA'!I51,'23.10 MUBENDE-MITYANA'!I51)</f>
        <v>2.7142857142857144</v>
      </c>
      <c r="J51" s="49">
        <f>AVERAGE('17.10  MUBENDE-MITYANA'!J51,'18.10 MUBENDE-MITYANA-24h'!J51,'19.10  MUBENDE-MITYANA-24h'!J51,'20.10 MUBENDE-MITYANA'!J51,'21.10 MUBENDE-MITYANA'!J51,'22.10 MUBENDE-MITYANA'!J51,'23.10 MUBENDE-MITYANA'!J51)</f>
        <v>2.8571428571428572</v>
      </c>
      <c r="K51" s="49">
        <f>AVERAGE('17.10  MUBENDE-MITYANA'!K51,'18.10 MUBENDE-MITYANA-24h'!K51,'19.10  MUBENDE-MITYANA-24h'!K51,'20.10 MUBENDE-MITYANA'!K51,'21.10 MUBENDE-MITYANA'!K51,'22.10 MUBENDE-MITYANA'!K51,'23.10 MUBENDE-MITYANA'!K51)</f>
        <v>0.2857142857142857</v>
      </c>
      <c r="L51" s="49">
        <f>AVERAGE('17.10  MUBENDE-MITYANA'!L51,'18.10 MUBENDE-MITYANA-24h'!L51,'19.10  MUBENDE-MITYANA-24h'!L51,'20.10 MUBENDE-MITYANA'!L51,'21.10 MUBENDE-MITYANA'!L51,'22.10 MUBENDE-MITYANA'!L51,'23.10 MUBENDE-MITYANA'!L51)</f>
        <v>0.8571428571428571</v>
      </c>
      <c r="M51" s="49">
        <f>AVERAGE('17.10  MUBENDE-MITYANA'!M51,'18.10 MUBENDE-MITYANA-24h'!M51,'19.10  MUBENDE-MITYANA-24h'!M51,'20.10 MUBENDE-MITYANA'!M51,'21.10 MUBENDE-MITYANA'!M51,'22.10 MUBENDE-MITYANA'!M51,'23.10 MUBENDE-MITYANA'!M51)</f>
        <v>45.714285714285715</v>
      </c>
      <c r="N51" s="49">
        <f>AVERAGE('17.10  MUBENDE-MITYANA'!N51,'18.10 MUBENDE-MITYANA-24h'!N51,'19.10  MUBENDE-MITYANA-24h'!N51,'20.10 MUBENDE-MITYANA'!N51,'21.10 MUBENDE-MITYANA'!N51,'22.10 MUBENDE-MITYANA'!N51,'23.10 MUBENDE-MITYANA'!N51)</f>
        <v>0</v>
      </c>
      <c r="O51" s="15">
        <f t="shared" si="0"/>
        <v>35.285714285714278</v>
      </c>
      <c r="P51" s="15">
        <f t="shared" si="1"/>
        <v>81</v>
      </c>
      <c r="R51" s="8"/>
      <c r="T51"/>
    </row>
    <row r="52" spans="2:20" ht="23.1" customHeight="1" x14ac:dyDescent="0.25">
      <c r="B52" s="24" t="s">
        <v>79</v>
      </c>
      <c r="C52" s="49">
        <f>AVERAGE('17.10  MUBENDE-MITYANA'!C52,'18.10 MUBENDE-MITYANA-24h'!C52,'19.10  MUBENDE-MITYANA-24h'!C52,'20.10 MUBENDE-MITYANA'!C52,'21.10 MUBENDE-MITYANA'!C52,'22.10 MUBENDE-MITYANA'!C52,'23.10 MUBENDE-MITYANA'!C52)</f>
        <v>12.714285714285714</v>
      </c>
      <c r="D52" s="49">
        <f>AVERAGE('17.10  MUBENDE-MITYANA'!D52,'18.10 MUBENDE-MITYANA-24h'!D52,'19.10  MUBENDE-MITYANA-24h'!D52,'20.10 MUBENDE-MITYANA'!D52,'21.10 MUBENDE-MITYANA'!D52,'22.10 MUBENDE-MITYANA'!D52,'23.10 MUBENDE-MITYANA'!D52)</f>
        <v>5</v>
      </c>
      <c r="E52" s="49">
        <f>AVERAGE('17.10  MUBENDE-MITYANA'!E52,'18.10 MUBENDE-MITYANA-24h'!E52,'19.10  MUBENDE-MITYANA-24h'!E52,'20.10 MUBENDE-MITYANA'!E52,'21.10 MUBENDE-MITYANA'!E52,'22.10 MUBENDE-MITYANA'!E52,'23.10 MUBENDE-MITYANA'!E52)</f>
        <v>2.2857142857142856</v>
      </c>
      <c r="F52" s="49">
        <f>AVERAGE('17.10  MUBENDE-MITYANA'!F52,'18.10 MUBENDE-MITYANA-24h'!F52,'19.10  MUBENDE-MITYANA-24h'!F52,'20.10 MUBENDE-MITYANA'!F52,'21.10 MUBENDE-MITYANA'!F52,'22.10 MUBENDE-MITYANA'!F52,'23.10 MUBENDE-MITYANA'!F52)</f>
        <v>8</v>
      </c>
      <c r="G52" s="49">
        <f>AVERAGE('17.10  MUBENDE-MITYANA'!G52,'18.10 MUBENDE-MITYANA-24h'!G52,'19.10  MUBENDE-MITYANA-24h'!G52,'20.10 MUBENDE-MITYANA'!G52,'21.10 MUBENDE-MITYANA'!G52,'22.10 MUBENDE-MITYANA'!G52,'23.10 MUBENDE-MITYANA'!G52)</f>
        <v>0.2857142857142857</v>
      </c>
      <c r="H52" s="49">
        <f>AVERAGE('17.10  MUBENDE-MITYANA'!H52,'18.10 MUBENDE-MITYANA-24h'!H52,'19.10  MUBENDE-MITYANA-24h'!H52,'20.10 MUBENDE-MITYANA'!H52,'21.10 MUBENDE-MITYANA'!H52,'22.10 MUBENDE-MITYANA'!H52,'23.10 MUBENDE-MITYANA'!H52)</f>
        <v>0.14285714285714285</v>
      </c>
      <c r="I52" s="49">
        <f>AVERAGE('17.10  MUBENDE-MITYANA'!I52,'18.10 MUBENDE-MITYANA-24h'!I52,'19.10  MUBENDE-MITYANA-24h'!I52,'20.10 MUBENDE-MITYANA'!I52,'21.10 MUBENDE-MITYANA'!I52,'22.10 MUBENDE-MITYANA'!I52,'23.10 MUBENDE-MITYANA'!I52)</f>
        <v>2.1428571428571428</v>
      </c>
      <c r="J52" s="49">
        <f>AVERAGE('17.10  MUBENDE-MITYANA'!J52,'18.10 MUBENDE-MITYANA-24h'!J52,'19.10  MUBENDE-MITYANA-24h'!J52,'20.10 MUBENDE-MITYANA'!J52,'21.10 MUBENDE-MITYANA'!J52,'22.10 MUBENDE-MITYANA'!J52,'23.10 MUBENDE-MITYANA'!J52)</f>
        <v>1.7142857142857142</v>
      </c>
      <c r="K52" s="49">
        <f>AVERAGE('17.10  MUBENDE-MITYANA'!K52,'18.10 MUBENDE-MITYANA-24h'!K52,'19.10  MUBENDE-MITYANA-24h'!K52,'20.10 MUBENDE-MITYANA'!K52,'21.10 MUBENDE-MITYANA'!K52,'22.10 MUBENDE-MITYANA'!K52,'23.10 MUBENDE-MITYANA'!K52)</f>
        <v>0.2857142857142857</v>
      </c>
      <c r="L52" s="49">
        <f>AVERAGE('17.10  MUBENDE-MITYANA'!L52,'18.10 MUBENDE-MITYANA-24h'!L52,'19.10  MUBENDE-MITYANA-24h'!L52,'20.10 MUBENDE-MITYANA'!L52,'21.10 MUBENDE-MITYANA'!L52,'22.10 MUBENDE-MITYANA'!L52,'23.10 MUBENDE-MITYANA'!L52)</f>
        <v>1</v>
      </c>
      <c r="M52" s="49">
        <f>AVERAGE('17.10  MUBENDE-MITYANA'!M52,'18.10 MUBENDE-MITYANA-24h'!M52,'19.10  MUBENDE-MITYANA-24h'!M52,'20.10 MUBENDE-MITYANA'!M52,'21.10 MUBENDE-MITYANA'!M52,'22.10 MUBENDE-MITYANA'!M52,'23.10 MUBENDE-MITYANA'!M52)</f>
        <v>53.428571428571431</v>
      </c>
      <c r="N52" s="49">
        <f>AVERAGE('17.10  MUBENDE-MITYANA'!N52,'18.10 MUBENDE-MITYANA-24h'!N52,'19.10  MUBENDE-MITYANA-24h'!N52,'20.10 MUBENDE-MITYANA'!N52,'21.10 MUBENDE-MITYANA'!N52,'22.10 MUBENDE-MITYANA'!N52,'23.10 MUBENDE-MITYANA'!N52)</f>
        <v>0</v>
      </c>
      <c r="O52" s="15">
        <f t="shared" si="0"/>
        <v>33.571428571428569</v>
      </c>
      <c r="P52" s="15">
        <f t="shared" si="1"/>
        <v>87</v>
      </c>
      <c r="R52" s="8"/>
      <c r="T52"/>
    </row>
    <row r="53" spans="2:20" ht="23.1" customHeight="1" x14ac:dyDescent="0.25">
      <c r="B53" s="23" t="s">
        <v>80</v>
      </c>
      <c r="C53" s="49">
        <f>AVERAGE('17.10  MUBENDE-MITYANA'!C53,'18.10 MUBENDE-MITYANA-24h'!C53,'19.10  MUBENDE-MITYANA-24h'!C53,'20.10 MUBENDE-MITYANA'!C53,'21.10 MUBENDE-MITYANA'!C53,'22.10 MUBENDE-MITYANA'!C53,'23.10 MUBENDE-MITYANA'!C53)</f>
        <v>12.428571428571429</v>
      </c>
      <c r="D53" s="49">
        <f>AVERAGE('17.10  MUBENDE-MITYANA'!D53,'18.10 MUBENDE-MITYANA-24h'!D53,'19.10  MUBENDE-MITYANA-24h'!D53,'20.10 MUBENDE-MITYANA'!D53,'21.10 MUBENDE-MITYANA'!D53,'22.10 MUBENDE-MITYANA'!D53,'23.10 MUBENDE-MITYANA'!D53)</f>
        <v>5.2857142857142856</v>
      </c>
      <c r="E53" s="49">
        <f>AVERAGE('17.10  MUBENDE-MITYANA'!E53,'18.10 MUBENDE-MITYANA-24h'!E53,'19.10  MUBENDE-MITYANA-24h'!E53,'20.10 MUBENDE-MITYANA'!E53,'21.10 MUBENDE-MITYANA'!E53,'22.10 MUBENDE-MITYANA'!E53,'23.10 MUBENDE-MITYANA'!E53)</f>
        <v>2.4285714285714284</v>
      </c>
      <c r="F53" s="49">
        <f>AVERAGE('17.10  MUBENDE-MITYANA'!F53,'18.10 MUBENDE-MITYANA-24h'!F53,'19.10  MUBENDE-MITYANA-24h'!F53,'20.10 MUBENDE-MITYANA'!F53,'21.10 MUBENDE-MITYANA'!F53,'22.10 MUBENDE-MITYANA'!F53,'23.10 MUBENDE-MITYANA'!F53)</f>
        <v>9.5714285714285712</v>
      </c>
      <c r="G53" s="49">
        <f>AVERAGE('17.10  MUBENDE-MITYANA'!G53,'18.10 MUBENDE-MITYANA-24h'!G53,'19.10  MUBENDE-MITYANA-24h'!G53,'20.10 MUBENDE-MITYANA'!G53,'21.10 MUBENDE-MITYANA'!G53,'22.10 MUBENDE-MITYANA'!G53,'23.10 MUBENDE-MITYANA'!G53)</f>
        <v>0</v>
      </c>
      <c r="H53" s="49">
        <f>AVERAGE('17.10  MUBENDE-MITYANA'!H53,'18.10 MUBENDE-MITYANA-24h'!H53,'19.10  MUBENDE-MITYANA-24h'!H53,'20.10 MUBENDE-MITYANA'!H53,'21.10 MUBENDE-MITYANA'!H53,'22.10 MUBENDE-MITYANA'!H53,'23.10 MUBENDE-MITYANA'!H53)</f>
        <v>0.42857142857142855</v>
      </c>
      <c r="I53" s="49">
        <f>AVERAGE('17.10  MUBENDE-MITYANA'!I53,'18.10 MUBENDE-MITYANA-24h'!I53,'19.10  MUBENDE-MITYANA-24h'!I53,'20.10 MUBENDE-MITYANA'!I53,'21.10 MUBENDE-MITYANA'!I53,'22.10 MUBENDE-MITYANA'!I53,'23.10 MUBENDE-MITYANA'!I53)</f>
        <v>2.7142857142857144</v>
      </c>
      <c r="J53" s="49">
        <f>AVERAGE('17.10  MUBENDE-MITYANA'!J53,'18.10 MUBENDE-MITYANA-24h'!J53,'19.10  MUBENDE-MITYANA-24h'!J53,'20.10 MUBENDE-MITYANA'!J53,'21.10 MUBENDE-MITYANA'!J53,'22.10 MUBENDE-MITYANA'!J53,'23.10 MUBENDE-MITYANA'!J53)</f>
        <v>1.8571428571428572</v>
      </c>
      <c r="K53" s="49">
        <f>AVERAGE('17.10  MUBENDE-MITYANA'!K53,'18.10 MUBENDE-MITYANA-24h'!K53,'19.10  MUBENDE-MITYANA-24h'!K53,'20.10 MUBENDE-MITYANA'!K53,'21.10 MUBENDE-MITYANA'!K53,'22.10 MUBENDE-MITYANA'!K53,'23.10 MUBENDE-MITYANA'!K53)</f>
        <v>1</v>
      </c>
      <c r="L53" s="49">
        <f>AVERAGE('17.10  MUBENDE-MITYANA'!L53,'18.10 MUBENDE-MITYANA-24h'!L53,'19.10  MUBENDE-MITYANA-24h'!L53,'20.10 MUBENDE-MITYANA'!L53,'21.10 MUBENDE-MITYANA'!L53,'22.10 MUBENDE-MITYANA'!L53,'23.10 MUBENDE-MITYANA'!L53)</f>
        <v>1.4285714285714286</v>
      </c>
      <c r="M53" s="49">
        <f>AVERAGE('17.10  MUBENDE-MITYANA'!M53,'18.10 MUBENDE-MITYANA-24h'!M53,'19.10  MUBENDE-MITYANA-24h'!M53,'20.10 MUBENDE-MITYANA'!M53,'21.10 MUBENDE-MITYANA'!M53,'22.10 MUBENDE-MITYANA'!M53,'23.10 MUBENDE-MITYANA'!M53)</f>
        <v>54.571428571428569</v>
      </c>
      <c r="N53" s="49">
        <f>AVERAGE('17.10  MUBENDE-MITYANA'!N53,'18.10 MUBENDE-MITYANA-24h'!N53,'19.10  MUBENDE-MITYANA-24h'!N53,'20.10 MUBENDE-MITYANA'!N53,'21.10 MUBENDE-MITYANA'!N53,'22.10 MUBENDE-MITYANA'!N53,'23.10 MUBENDE-MITYANA'!N53)</f>
        <v>0</v>
      </c>
      <c r="O53" s="15">
        <f t="shared" si="0"/>
        <v>37.142857142857139</v>
      </c>
      <c r="P53" s="15">
        <f t="shared" si="1"/>
        <v>91.714285714285708</v>
      </c>
      <c r="R53" s="8"/>
      <c r="T53"/>
    </row>
    <row r="54" spans="2:20" ht="23.1" customHeight="1" x14ac:dyDescent="0.25">
      <c r="B54" s="23" t="s">
        <v>81</v>
      </c>
      <c r="C54" s="49">
        <f>AVERAGE('17.10  MUBENDE-MITYANA'!C54,'18.10 MUBENDE-MITYANA-24h'!C54,'19.10  MUBENDE-MITYANA-24h'!C54,'20.10 MUBENDE-MITYANA'!C54,'21.10 MUBENDE-MITYANA'!C54,'22.10 MUBENDE-MITYANA'!C54,'23.10 MUBENDE-MITYANA'!C54)</f>
        <v>10.714285714285714</v>
      </c>
      <c r="D54" s="49">
        <f>AVERAGE('17.10  MUBENDE-MITYANA'!D54,'18.10 MUBENDE-MITYANA-24h'!D54,'19.10  MUBENDE-MITYANA-24h'!D54,'20.10 MUBENDE-MITYANA'!D54,'21.10 MUBENDE-MITYANA'!D54,'22.10 MUBENDE-MITYANA'!D54,'23.10 MUBENDE-MITYANA'!D54)</f>
        <v>4.7142857142857144</v>
      </c>
      <c r="E54" s="49">
        <f>AVERAGE('17.10  MUBENDE-MITYANA'!E54,'18.10 MUBENDE-MITYANA-24h'!E54,'19.10  MUBENDE-MITYANA-24h'!E54,'20.10 MUBENDE-MITYANA'!E54,'21.10 MUBENDE-MITYANA'!E54,'22.10 MUBENDE-MITYANA'!E54,'23.10 MUBENDE-MITYANA'!E54)</f>
        <v>3</v>
      </c>
      <c r="F54" s="49">
        <f>AVERAGE('17.10  MUBENDE-MITYANA'!F54,'18.10 MUBENDE-MITYANA-24h'!F54,'19.10  MUBENDE-MITYANA-24h'!F54,'20.10 MUBENDE-MITYANA'!F54,'21.10 MUBENDE-MITYANA'!F54,'22.10 MUBENDE-MITYANA'!F54,'23.10 MUBENDE-MITYANA'!F54)</f>
        <v>8.7142857142857135</v>
      </c>
      <c r="G54" s="49">
        <f>AVERAGE('17.10  MUBENDE-MITYANA'!G54,'18.10 MUBENDE-MITYANA-24h'!G54,'19.10  MUBENDE-MITYANA-24h'!G54,'20.10 MUBENDE-MITYANA'!G54,'21.10 MUBENDE-MITYANA'!G54,'22.10 MUBENDE-MITYANA'!G54,'23.10 MUBENDE-MITYANA'!G54)</f>
        <v>0.8571428571428571</v>
      </c>
      <c r="H54" s="49">
        <f>AVERAGE('17.10  MUBENDE-MITYANA'!H54,'18.10 MUBENDE-MITYANA-24h'!H54,'19.10  MUBENDE-MITYANA-24h'!H54,'20.10 MUBENDE-MITYANA'!H54,'21.10 MUBENDE-MITYANA'!H54,'22.10 MUBENDE-MITYANA'!H54,'23.10 MUBENDE-MITYANA'!H54)</f>
        <v>0.8571428571428571</v>
      </c>
      <c r="I54" s="49">
        <f>AVERAGE('17.10  MUBENDE-MITYANA'!I54,'18.10 MUBENDE-MITYANA-24h'!I54,'19.10  MUBENDE-MITYANA-24h'!I54,'20.10 MUBENDE-MITYANA'!I54,'21.10 MUBENDE-MITYANA'!I54,'22.10 MUBENDE-MITYANA'!I54,'23.10 MUBENDE-MITYANA'!I54)</f>
        <v>3.2857142857142856</v>
      </c>
      <c r="J54" s="49">
        <f>AVERAGE('17.10  MUBENDE-MITYANA'!J54,'18.10 MUBENDE-MITYANA-24h'!J54,'19.10  MUBENDE-MITYANA-24h'!J54,'20.10 MUBENDE-MITYANA'!J54,'21.10 MUBENDE-MITYANA'!J54,'22.10 MUBENDE-MITYANA'!J54,'23.10 MUBENDE-MITYANA'!J54)</f>
        <v>2</v>
      </c>
      <c r="K54" s="49">
        <f>AVERAGE('17.10  MUBENDE-MITYANA'!K54,'18.10 MUBENDE-MITYANA-24h'!K54,'19.10  MUBENDE-MITYANA-24h'!K54,'20.10 MUBENDE-MITYANA'!K54,'21.10 MUBENDE-MITYANA'!K54,'22.10 MUBENDE-MITYANA'!K54,'23.10 MUBENDE-MITYANA'!K54)</f>
        <v>0.42857142857142855</v>
      </c>
      <c r="L54" s="49">
        <f>AVERAGE('17.10  MUBENDE-MITYANA'!L54,'18.10 MUBENDE-MITYANA-24h'!L54,'19.10  MUBENDE-MITYANA-24h'!L54,'20.10 MUBENDE-MITYANA'!L54,'21.10 MUBENDE-MITYANA'!L54,'22.10 MUBENDE-MITYANA'!L54,'23.10 MUBENDE-MITYANA'!L54)</f>
        <v>2.2857142857142856</v>
      </c>
      <c r="M54" s="49">
        <f>AVERAGE('17.10  MUBENDE-MITYANA'!M54,'18.10 MUBENDE-MITYANA-24h'!M54,'19.10  MUBENDE-MITYANA-24h'!M54,'20.10 MUBENDE-MITYANA'!M54,'21.10 MUBENDE-MITYANA'!M54,'22.10 MUBENDE-MITYANA'!M54,'23.10 MUBENDE-MITYANA'!M54)</f>
        <v>53.428571428571431</v>
      </c>
      <c r="N54" s="49">
        <f>AVERAGE('17.10  MUBENDE-MITYANA'!N54,'18.10 MUBENDE-MITYANA-24h'!N54,'19.10  MUBENDE-MITYANA-24h'!N54,'20.10 MUBENDE-MITYANA'!N54,'21.10 MUBENDE-MITYANA'!N54,'22.10 MUBENDE-MITYANA'!N54,'23.10 MUBENDE-MITYANA'!N54)</f>
        <v>0</v>
      </c>
      <c r="O54" s="15">
        <f t="shared" si="0"/>
        <v>36.857142857142854</v>
      </c>
      <c r="P54" s="15">
        <f t="shared" si="1"/>
        <v>90.285714285714278</v>
      </c>
      <c r="R54" s="8"/>
      <c r="T54"/>
    </row>
    <row r="55" spans="2:20" ht="23.1" customHeight="1" x14ac:dyDescent="0.25">
      <c r="B55" s="23" t="s">
        <v>82</v>
      </c>
      <c r="C55" s="49">
        <f>AVERAGE('17.10  MUBENDE-MITYANA'!C55,'18.10 MUBENDE-MITYANA-24h'!C55,'19.10  MUBENDE-MITYANA-24h'!C55,'20.10 MUBENDE-MITYANA'!C55,'21.10 MUBENDE-MITYANA'!C55,'22.10 MUBENDE-MITYANA'!C55,'23.10 MUBENDE-MITYANA'!C55)</f>
        <v>11.285714285714286</v>
      </c>
      <c r="D55" s="49">
        <f>AVERAGE('17.10  MUBENDE-MITYANA'!D55,'18.10 MUBENDE-MITYANA-24h'!D55,'19.10  MUBENDE-MITYANA-24h'!D55,'20.10 MUBENDE-MITYANA'!D55,'21.10 MUBENDE-MITYANA'!D55,'22.10 MUBENDE-MITYANA'!D55,'23.10 MUBENDE-MITYANA'!D55)</f>
        <v>6.7142857142857144</v>
      </c>
      <c r="E55" s="49">
        <f>AVERAGE('17.10  MUBENDE-MITYANA'!E55,'18.10 MUBENDE-MITYANA-24h'!E55,'19.10  MUBENDE-MITYANA-24h'!E55,'20.10 MUBENDE-MITYANA'!E55,'21.10 MUBENDE-MITYANA'!E55,'22.10 MUBENDE-MITYANA'!E55,'23.10 MUBENDE-MITYANA'!E55)</f>
        <v>3.5714285714285716</v>
      </c>
      <c r="F55" s="49">
        <f>AVERAGE('17.10  MUBENDE-MITYANA'!F55,'18.10 MUBENDE-MITYANA-24h'!F55,'19.10  MUBENDE-MITYANA-24h'!F55,'20.10 MUBENDE-MITYANA'!F55,'21.10 MUBENDE-MITYANA'!F55,'22.10 MUBENDE-MITYANA'!F55,'23.10 MUBENDE-MITYANA'!F55)</f>
        <v>8.8571428571428577</v>
      </c>
      <c r="G55" s="49">
        <f>AVERAGE('17.10  MUBENDE-MITYANA'!G55,'18.10 MUBENDE-MITYANA-24h'!G55,'19.10  MUBENDE-MITYANA-24h'!G55,'20.10 MUBENDE-MITYANA'!G55,'21.10 MUBENDE-MITYANA'!G55,'22.10 MUBENDE-MITYANA'!G55,'23.10 MUBENDE-MITYANA'!G55)</f>
        <v>0.8571428571428571</v>
      </c>
      <c r="H55" s="49">
        <f>AVERAGE('17.10  MUBENDE-MITYANA'!H55,'18.10 MUBENDE-MITYANA-24h'!H55,'19.10  MUBENDE-MITYANA-24h'!H55,'20.10 MUBENDE-MITYANA'!H55,'21.10 MUBENDE-MITYANA'!H55,'22.10 MUBENDE-MITYANA'!H55,'23.10 MUBENDE-MITYANA'!H55)</f>
        <v>0.42857142857142855</v>
      </c>
      <c r="I55" s="49">
        <f>AVERAGE('17.10  MUBENDE-MITYANA'!I55,'18.10 MUBENDE-MITYANA-24h'!I55,'19.10  MUBENDE-MITYANA-24h'!I55,'20.10 MUBENDE-MITYANA'!I55,'21.10 MUBENDE-MITYANA'!I55,'22.10 MUBENDE-MITYANA'!I55,'23.10 MUBENDE-MITYANA'!I55)</f>
        <v>2.7142857142857144</v>
      </c>
      <c r="J55" s="49">
        <f>AVERAGE('17.10  MUBENDE-MITYANA'!J55,'18.10 MUBENDE-MITYANA-24h'!J55,'19.10  MUBENDE-MITYANA-24h'!J55,'20.10 MUBENDE-MITYANA'!J55,'21.10 MUBENDE-MITYANA'!J55,'22.10 MUBENDE-MITYANA'!J55,'23.10 MUBENDE-MITYANA'!J55)</f>
        <v>3.5714285714285716</v>
      </c>
      <c r="K55" s="49">
        <f>AVERAGE('17.10  MUBENDE-MITYANA'!K55,'18.10 MUBENDE-MITYANA-24h'!K55,'19.10  MUBENDE-MITYANA-24h'!K55,'20.10 MUBENDE-MITYANA'!K55,'21.10 MUBENDE-MITYANA'!K55,'22.10 MUBENDE-MITYANA'!K55,'23.10 MUBENDE-MITYANA'!K55)</f>
        <v>0.8571428571428571</v>
      </c>
      <c r="L55" s="49">
        <f>AVERAGE('17.10  MUBENDE-MITYANA'!L55,'18.10 MUBENDE-MITYANA-24h'!L55,'19.10  MUBENDE-MITYANA-24h'!L55,'20.10 MUBENDE-MITYANA'!L55,'21.10 MUBENDE-MITYANA'!L55,'22.10 MUBENDE-MITYANA'!L55,'23.10 MUBENDE-MITYANA'!L55)</f>
        <v>1.4285714285714286</v>
      </c>
      <c r="M55" s="49">
        <f>AVERAGE('17.10  MUBENDE-MITYANA'!M55,'18.10 MUBENDE-MITYANA-24h'!M55,'19.10  MUBENDE-MITYANA-24h'!M55,'20.10 MUBENDE-MITYANA'!M55,'21.10 MUBENDE-MITYANA'!M55,'22.10 MUBENDE-MITYANA'!M55,'23.10 MUBENDE-MITYANA'!M55)</f>
        <v>53.571428571428569</v>
      </c>
      <c r="N55" s="49">
        <f>AVERAGE('17.10  MUBENDE-MITYANA'!N55,'18.10 MUBENDE-MITYANA-24h'!N55,'19.10  MUBENDE-MITYANA-24h'!N55,'20.10 MUBENDE-MITYANA'!N55,'21.10 MUBENDE-MITYANA'!N55,'22.10 MUBENDE-MITYANA'!N55,'23.10 MUBENDE-MITYANA'!N55)</f>
        <v>0</v>
      </c>
      <c r="O55" s="15">
        <f t="shared" si="0"/>
        <v>40.285714285714285</v>
      </c>
      <c r="P55" s="15">
        <f t="shared" si="1"/>
        <v>93.857142857142861</v>
      </c>
      <c r="R55" s="8"/>
      <c r="T55"/>
    </row>
    <row r="56" spans="2:20" ht="23.1" customHeight="1" x14ac:dyDescent="0.25">
      <c r="B56" s="23" t="s">
        <v>83</v>
      </c>
      <c r="C56" s="49">
        <f>AVERAGE('17.10  MUBENDE-MITYANA'!C56,'18.10 MUBENDE-MITYANA-24h'!C56,'19.10  MUBENDE-MITYANA-24h'!C56,'20.10 MUBENDE-MITYANA'!C56,'21.10 MUBENDE-MITYANA'!C56,'22.10 MUBENDE-MITYANA'!C56,'23.10 MUBENDE-MITYANA'!C56)</f>
        <v>12.428571428571429</v>
      </c>
      <c r="D56" s="49">
        <f>AVERAGE('17.10  MUBENDE-MITYANA'!D56,'18.10 MUBENDE-MITYANA-24h'!D56,'19.10  MUBENDE-MITYANA-24h'!D56,'20.10 MUBENDE-MITYANA'!D56,'21.10 MUBENDE-MITYANA'!D56,'22.10 MUBENDE-MITYANA'!D56,'23.10 MUBENDE-MITYANA'!D56)</f>
        <v>4.5714285714285712</v>
      </c>
      <c r="E56" s="49">
        <f>AVERAGE('17.10  MUBENDE-MITYANA'!E56,'18.10 MUBENDE-MITYANA-24h'!E56,'19.10  MUBENDE-MITYANA-24h'!E56,'20.10 MUBENDE-MITYANA'!E56,'21.10 MUBENDE-MITYANA'!E56,'22.10 MUBENDE-MITYANA'!E56,'23.10 MUBENDE-MITYANA'!E56)</f>
        <v>3.4285714285714284</v>
      </c>
      <c r="F56" s="49">
        <f>AVERAGE('17.10  MUBENDE-MITYANA'!F56,'18.10 MUBENDE-MITYANA-24h'!F56,'19.10  MUBENDE-MITYANA-24h'!F56,'20.10 MUBENDE-MITYANA'!F56,'21.10 MUBENDE-MITYANA'!F56,'22.10 MUBENDE-MITYANA'!F56,'23.10 MUBENDE-MITYANA'!F56)</f>
        <v>8.4285714285714288</v>
      </c>
      <c r="G56" s="49">
        <f>AVERAGE('17.10  MUBENDE-MITYANA'!G56,'18.10 MUBENDE-MITYANA-24h'!G56,'19.10  MUBENDE-MITYANA-24h'!G56,'20.10 MUBENDE-MITYANA'!G56,'21.10 MUBENDE-MITYANA'!G56,'22.10 MUBENDE-MITYANA'!G56,'23.10 MUBENDE-MITYANA'!G56)</f>
        <v>0.5714285714285714</v>
      </c>
      <c r="H56" s="49">
        <f>AVERAGE('17.10  MUBENDE-MITYANA'!H56,'18.10 MUBENDE-MITYANA-24h'!H56,'19.10  MUBENDE-MITYANA-24h'!H56,'20.10 MUBENDE-MITYANA'!H56,'21.10 MUBENDE-MITYANA'!H56,'22.10 MUBENDE-MITYANA'!H56,'23.10 MUBENDE-MITYANA'!H56)</f>
        <v>0.2857142857142857</v>
      </c>
      <c r="I56" s="49">
        <f>AVERAGE('17.10  MUBENDE-MITYANA'!I56,'18.10 MUBENDE-MITYANA-24h'!I56,'19.10  MUBENDE-MITYANA-24h'!I56,'20.10 MUBENDE-MITYANA'!I56,'21.10 MUBENDE-MITYANA'!I56,'22.10 MUBENDE-MITYANA'!I56,'23.10 MUBENDE-MITYANA'!I56)</f>
        <v>2.8571428571428572</v>
      </c>
      <c r="J56" s="49">
        <f>AVERAGE('17.10  MUBENDE-MITYANA'!J56,'18.10 MUBENDE-MITYANA-24h'!J56,'19.10  MUBENDE-MITYANA-24h'!J56,'20.10 MUBENDE-MITYANA'!J56,'21.10 MUBENDE-MITYANA'!J56,'22.10 MUBENDE-MITYANA'!J56,'23.10 MUBENDE-MITYANA'!J56)</f>
        <v>2.4285714285714284</v>
      </c>
      <c r="K56" s="49">
        <f>AVERAGE('17.10  MUBENDE-MITYANA'!K56,'18.10 MUBENDE-MITYANA-24h'!K56,'19.10  MUBENDE-MITYANA-24h'!K56,'20.10 MUBENDE-MITYANA'!K56,'21.10 MUBENDE-MITYANA'!K56,'22.10 MUBENDE-MITYANA'!K56,'23.10 MUBENDE-MITYANA'!K56)</f>
        <v>1</v>
      </c>
      <c r="L56" s="49">
        <f>AVERAGE('17.10  MUBENDE-MITYANA'!L56,'18.10 MUBENDE-MITYANA-24h'!L56,'19.10  MUBENDE-MITYANA-24h'!L56,'20.10 MUBENDE-MITYANA'!L56,'21.10 MUBENDE-MITYANA'!L56,'22.10 MUBENDE-MITYANA'!L56,'23.10 MUBENDE-MITYANA'!L56)</f>
        <v>1.1428571428571428</v>
      </c>
      <c r="M56" s="49">
        <f>AVERAGE('17.10  MUBENDE-MITYANA'!M56,'18.10 MUBENDE-MITYANA-24h'!M56,'19.10  MUBENDE-MITYANA-24h'!M56,'20.10 MUBENDE-MITYANA'!M56,'21.10 MUBENDE-MITYANA'!M56,'22.10 MUBENDE-MITYANA'!M56,'23.10 MUBENDE-MITYANA'!M56)</f>
        <v>49.142857142857146</v>
      </c>
      <c r="N56" s="49">
        <f>AVERAGE('17.10  MUBENDE-MITYANA'!N56,'18.10 MUBENDE-MITYANA-24h'!N56,'19.10  MUBENDE-MITYANA-24h'!N56,'20.10 MUBENDE-MITYANA'!N56,'21.10 MUBENDE-MITYANA'!N56,'22.10 MUBENDE-MITYANA'!N56,'23.10 MUBENDE-MITYANA'!N56)</f>
        <v>0</v>
      </c>
      <c r="O56" s="15">
        <f t="shared" si="0"/>
        <v>37.142857142857146</v>
      </c>
      <c r="P56" s="15">
        <f t="shared" si="1"/>
        <v>86.285714285714292</v>
      </c>
      <c r="R56" s="8"/>
      <c r="T56"/>
    </row>
    <row r="57" spans="2:20" ht="23.1" customHeight="1" x14ac:dyDescent="0.25">
      <c r="B57" s="23" t="s">
        <v>84</v>
      </c>
      <c r="C57" s="49">
        <f>AVERAGE('17.10  MUBENDE-MITYANA'!C57,'18.10 MUBENDE-MITYANA-24h'!C57,'19.10  MUBENDE-MITYANA-24h'!C57,'20.10 MUBENDE-MITYANA'!C57,'21.10 MUBENDE-MITYANA'!C57,'22.10 MUBENDE-MITYANA'!C57,'23.10 MUBENDE-MITYANA'!C57)</f>
        <v>13.285714285714286</v>
      </c>
      <c r="D57" s="49">
        <f>AVERAGE('17.10  MUBENDE-MITYANA'!D57,'18.10 MUBENDE-MITYANA-24h'!D57,'19.10  MUBENDE-MITYANA-24h'!D57,'20.10 MUBENDE-MITYANA'!D57,'21.10 MUBENDE-MITYANA'!D57,'22.10 MUBENDE-MITYANA'!D57,'23.10 MUBENDE-MITYANA'!D57)</f>
        <v>5.5714285714285712</v>
      </c>
      <c r="E57" s="49">
        <f>AVERAGE('17.10  MUBENDE-MITYANA'!E57,'18.10 MUBENDE-MITYANA-24h'!E57,'19.10  MUBENDE-MITYANA-24h'!E57,'20.10 MUBENDE-MITYANA'!E57,'21.10 MUBENDE-MITYANA'!E57,'22.10 MUBENDE-MITYANA'!E57,'23.10 MUBENDE-MITYANA'!E57)</f>
        <v>2.8571428571428572</v>
      </c>
      <c r="F57" s="49">
        <f>AVERAGE('17.10  MUBENDE-MITYANA'!F57,'18.10 MUBENDE-MITYANA-24h'!F57,'19.10  MUBENDE-MITYANA-24h'!F57,'20.10 MUBENDE-MITYANA'!F57,'21.10 MUBENDE-MITYANA'!F57,'22.10 MUBENDE-MITYANA'!F57,'23.10 MUBENDE-MITYANA'!F57)</f>
        <v>9.2857142857142865</v>
      </c>
      <c r="G57" s="49">
        <f>AVERAGE('17.10  MUBENDE-MITYANA'!G57,'18.10 MUBENDE-MITYANA-24h'!G57,'19.10  MUBENDE-MITYANA-24h'!G57,'20.10 MUBENDE-MITYANA'!G57,'21.10 MUBENDE-MITYANA'!G57,'22.10 MUBENDE-MITYANA'!G57,'23.10 MUBENDE-MITYANA'!G57)</f>
        <v>0.2857142857142857</v>
      </c>
      <c r="H57" s="49">
        <f>AVERAGE('17.10  MUBENDE-MITYANA'!H57,'18.10 MUBENDE-MITYANA-24h'!H57,'19.10  MUBENDE-MITYANA-24h'!H57,'20.10 MUBENDE-MITYANA'!H57,'21.10 MUBENDE-MITYANA'!H57,'22.10 MUBENDE-MITYANA'!H57,'23.10 MUBENDE-MITYANA'!H57)</f>
        <v>0.2857142857142857</v>
      </c>
      <c r="I57" s="49">
        <f>AVERAGE('17.10  MUBENDE-MITYANA'!I57,'18.10 MUBENDE-MITYANA-24h'!I57,'19.10  MUBENDE-MITYANA-24h'!I57,'20.10 MUBENDE-MITYANA'!I57,'21.10 MUBENDE-MITYANA'!I57,'22.10 MUBENDE-MITYANA'!I57,'23.10 MUBENDE-MITYANA'!I57)</f>
        <v>2.5714285714285716</v>
      </c>
      <c r="J57" s="49">
        <f>AVERAGE('17.10  MUBENDE-MITYANA'!J57,'18.10 MUBENDE-MITYANA-24h'!J57,'19.10  MUBENDE-MITYANA-24h'!J57,'20.10 MUBENDE-MITYANA'!J57,'21.10 MUBENDE-MITYANA'!J57,'22.10 MUBENDE-MITYANA'!J57,'23.10 MUBENDE-MITYANA'!J57)</f>
        <v>2.7142857142857144</v>
      </c>
      <c r="K57" s="49">
        <f>AVERAGE('17.10  MUBENDE-MITYANA'!K57,'18.10 MUBENDE-MITYANA-24h'!K57,'19.10  MUBENDE-MITYANA-24h'!K57,'20.10 MUBENDE-MITYANA'!K57,'21.10 MUBENDE-MITYANA'!K57,'22.10 MUBENDE-MITYANA'!K57,'23.10 MUBENDE-MITYANA'!K57)</f>
        <v>0.5714285714285714</v>
      </c>
      <c r="L57" s="49">
        <f>AVERAGE('17.10  MUBENDE-MITYANA'!L57,'18.10 MUBENDE-MITYANA-24h'!L57,'19.10  MUBENDE-MITYANA-24h'!L57,'20.10 MUBENDE-MITYANA'!L57,'21.10 MUBENDE-MITYANA'!L57,'22.10 MUBENDE-MITYANA'!L57,'23.10 MUBENDE-MITYANA'!L57)</f>
        <v>1.1428571428571428</v>
      </c>
      <c r="M57" s="49">
        <f>AVERAGE('17.10  MUBENDE-MITYANA'!M57,'18.10 MUBENDE-MITYANA-24h'!M57,'19.10  MUBENDE-MITYANA-24h'!M57,'20.10 MUBENDE-MITYANA'!M57,'21.10 MUBENDE-MITYANA'!M57,'22.10 MUBENDE-MITYANA'!M57,'23.10 MUBENDE-MITYANA'!M57)</f>
        <v>58.428571428571431</v>
      </c>
      <c r="N57" s="49">
        <f>AVERAGE('17.10  MUBENDE-MITYANA'!N57,'18.10 MUBENDE-MITYANA-24h'!N57,'19.10  MUBENDE-MITYANA-24h'!N57,'20.10 MUBENDE-MITYANA'!N57,'21.10 MUBENDE-MITYANA'!N57,'22.10 MUBENDE-MITYANA'!N57,'23.10 MUBENDE-MITYANA'!N57)</f>
        <v>0</v>
      </c>
      <c r="O57" s="15">
        <f t="shared" si="0"/>
        <v>38.571428571428569</v>
      </c>
      <c r="P57" s="15">
        <f t="shared" si="1"/>
        <v>97</v>
      </c>
      <c r="R57" s="8"/>
      <c r="T57"/>
    </row>
    <row r="58" spans="2:20" ht="23.1" customHeight="1" x14ac:dyDescent="0.25">
      <c r="B58" s="23" t="s">
        <v>99</v>
      </c>
      <c r="C58" s="49">
        <f>AVERAGE('18.10 MUBENDE-MITYANA-24h'!C58,'19.10  MUBENDE-MITYANA-24h'!C58)</f>
        <v>11</v>
      </c>
      <c r="D58" s="49">
        <f>AVERAGE('18.10 MUBENDE-MITYANA-24h'!D58,'19.10  MUBENDE-MITYANA-24h'!D58)</f>
        <v>4.5</v>
      </c>
      <c r="E58" s="49">
        <f>AVERAGE('18.10 MUBENDE-MITYANA-24h'!E58,'19.10  MUBENDE-MITYANA-24h'!E58)</f>
        <v>4.5</v>
      </c>
      <c r="F58" s="49">
        <f>AVERAGE('18.10 MUBENDE-MITYANA-24h'!F58,'19.10  MUBENDE-MITYANA-24h'!F58)</f>
        <v>5.5</v>
      </c>
      <c r="G58" s="49">
        <f>AVERAGE('18.10 MUBENDE-MITYANA-24h'!G58,'19.10  MUBENDE-MITYANA-24h'!G58)</f>
        <v>0</v>
      </c>
      <c r="H58" s="49">
        <f>AVERAGE('18.10 MUBENDE-MITYANA-24h'!H58,'19.10  MUBENDE-MITYANA-24h'!H58)</f>
        <v>0</v>
      </c>
      <c r="I58" s="49">
        <f>AVERAGE('18.10 MUBENDE-MITYANA-24h'!I58,'19.10  MUBENDE-MITYANA-24h'!I58)</f>
        <v>3.5</v>
      </c>
      <c r="J58" s="49">
        <f>AVERAGE('18.10 MUBENDE-MITYANA-24h'!J58,'19.10  MUBENDE-MITYANA-24h'!J58)</f>
        <v>2.5</v>
      </c>
      <c r="K58" s="49">
        <f>AVERAGE('18.10 MUBENDE-MITYANA-24h'!K58,'19.10  MUBENDE-MITYANA-24h'!K58)</f>
        <v>0</v>
      </c>
      <c r="L58" s="49">
        <f>AVERAGE('18.10 MUBENDE-MITYANA-24h'!L58,'19.10  MUBENDE-MITYANA-24h'!L58)</f>
        <v>0.5</v>
      </c>
      <c r="M58" s="49">
        <f>AVERAGE('18.10 MUBENDE-MITYANA-24h'!M58,'19.10  MUBENDE-MITYANA-24h'!M58)</f>
        <v>48.5</v>
      </c>
      <c r="N58" s="49">
        <f>AVERAGE('18.10 MUBENDE-MITYANA-24h'!N58,'19.10  MUBENDE-MITYANA-24h'!N58)</f>
        <v>0</v>
      </c>
      <c r="O58" s="15">
        <f t="shared" si="0"/>
        <v>32</v>
      </c>
      <c r="P58" s="15">
        <f t="shared" si="1"/>
        <v>80.5</v>
      </c>
      <c r="R58" s="8"/>
      <c r="T58"/>
    </row>
    <row r="59" spans="2:20" ht="23.1" customHeight="1" x14ac:dyDescent="0.25">
      <c r="B59" s="23" t="s">
        <v>100</v>
      </c>
      <c r="C59" s="49">
        <f>AVERAGE('18.10 MUBENDE-MITYANA-24h'!C59,'19.10  MUBENDE-MITYANA-24h'!C59)</f>
        <v>12</v>
      </c>
      <c r="D59" s="49">
        <f>AVERAGE('18.10 MUBENDE-MITYANA-24h'!D59,'19.10  MUBENDE-MITYANA-24h'!D59)</f>
        <v>3.5</v>
      </c>
      <c r="E59" s="49">
        <f>AVERAGE('18.10 MUBENDE-MITYANA-24h'!E59,'19.10  MUBENDE-MITYANA-24h'!E59)</f>
        <v>2.5</v>
      </c>
      <c r="F59" s="49">
        <f>AVERAGE('18.10 MUBENDE-MITYANA-24h'!F59,'19.10  MUBENDE-MITYANA-24h'!F59)</f>
        <v>8.5</v>
      </c>
      <c r="G59" s="49">
        <f>AVERAGE('18.10 MUBENDE-MITYANA-24h'!G59,'19.10  MUBENDE-MITYANA-24h'!G59)</f>
        <v>0</v>
      </c>
      <c r="H59" s="49">
        <f>AVERAGE('18.10 MUBENDE-MITYANA-24h'!H59,'19.10  MUBENDE-MITYANA-24h'!H59)</f>
        <v>1</v>
      </c>
      <c r="I59" s="49">
        <f>AVERAGE('18.10 MUBENDE-MITYANA-24h'!I59,'19.10  MUBENDE-MITYANA-24h'!I59)</f>
        <v>2.5</v>
      </c>
      <c r="J59" s="49">
        <f>AVERAGE('18.10 MUBENDE-MITYANA-24h'!J59,'19.10  MUBENDE-MITYANA-24h'!J59)</f>
        <v>1</v>
      </c>
      <c r="K59" s="49">
        <f>AVERAGE('18.10 MUBENDE-MITYANA-24h'!K59,'19.10  MUBENDE-MITYANA-24h'!K59)</f>
        <v>1.5</v>
      </c>
      <c r="L59" s="49">
        <f>AVERAGE('18.10 MUBENDE-MITYANA-24h'!L59,'19.10  MUBENDE-MITYANA-24h'!L59)</f>
        <v>0</v>
      </c>
      <c r="M59" s="49">
        <f>AVERAGE('18.10 MUBENDE-MITYANA-24h'!M59,'19.10  MUBENDE-MITYANA-24h'!M59)</f>
        <v>38.5</v>
      </c>
      <c r="N59" s="49">
        <f>AVERAGE('18.10 MUBENDE-MITYANA-24h'!N59,'19.10  MUBENDE-MITYANA-24h'!N59)</f>
        <v>0</v>
      </c>
      <c r="O59" s="15">
        <f t="shared" si="0"/>
        <v>32.5</v>
      </c>
      <c r="P59" s="15">
        <f t="shared" si="1"/>
        <v>71</v>
      </c>
      <c r="R59" s="8"/>
      <c r="T59"/>
    </row>
    <row r="60" spans="2:20" ht="23.1" customHeight="1" x14ac:dyDescent="0.25">
      <c r="B60" s="23" t="s">
        <v>101</v>
      </c>
      <c r="C60" s="49">
        <f>AVERAGE('18.10 MUBENDE-MITYANA-24h'!C60,'19.10  MUBENDE-MITYANA-24h'!C60)</f>
        <v>11</v>
      </c>
      <c r="D60" s="49">
        <f>AVERAGE('18.10 MUBENDE-MITYANA-24h'!D60,'19.10  MUBENDE-MITYANA-24h'!D60)</f>
        <v>1</v>
      </c>
      <c r="E60" s="49">
        <f>AVERAGE('18.10 MUBENDE-MITYANA-24h'!E60,'19.10  MUBENDE-MITYANA-24h'!E60)</f>
        <v>2.5</v>
      </c>
      <c r="F60" s="49">
        <f>AVERAGE('18.10 MUBENDE-MITYANA-24h'!F60,'19.10  MUBENDE-MITYANA-24h'!F60)</f>
        <v>6</v>
      </c>
      <c r="G60" s="49">
        <f>AVERAGE('18.10 MUBENDE-MITYANA-24h'!G60,'19.10  MUBENDE-MITYANA-24h'!G60)</f>
        <v>0</v>
      </c>
      <c r="H60" s="49">
        <f>AVERAGE('18.10 MUBENDE-MITYANA-24h'!H60,'19.10  MUBENDE-MITYANA-24h'!H60)</f>
        <v>0.5</v>
      </c>
      <c r="I60" s="49">
        <f>AVERAGE('18.10 MUBENDE-MITYANA-24h'!I60,'19.10  MUBENDE-MITYANA-24h'!I60)</f>
        <v>3</v>
      </c>
      <c r="J60" s="49">
        <f>AVERAGE('18.10 MUBENDE-MITYANA-24h'!J60,'19.10  MUBENDE-MITYANA-24h'!J60)</f>
        <v>1.5</v>
      </c>
      <c r="K60" s="49">
        <f>AVERAGE('18.10 MUBENDE-MITYANA-24h'!K60,'19.10  MUBENDE-MITYANA-24h'!K60)</f>
        <v>1.5</v>
      </c>
      <c r="L60" s="49">
        <f>AVERAGE('18.10 MUBENDE-MITYANA-24h'!L60,'19.10  MUBENDE-MITYANA-24h'!L60)</f>
        <v>1</v>
      </c>
      <c r="M60" s="49">
        <f>AVERAGE('18.10 MUBENDE-MITYANA-24h'!M60,'19.10  MUBENDE-MITYANA-24h'!M60)</f>
        <v>37.5</v>
      </c>
      <c r="N60" s="49">
        <f>AVERAGE('18.10 MUBENDE-MITYANA-24h'!N60,'19.10  MUBENDE-MITYANA-24h'!N60)</f>
        <v>0</v>
      </c>
      <c r="O60" s="15">
        <f t="shared" si="0"/>
        <v>28</v>
      </c>
      <c r="P60" s="15">
        <f t="shared" si="1"/>
        <v>65.5</v>
      </c>
      <c r="R60" s="8"/>
      <c r="T60"/>
    </row>
    <row r="61" spans="2:20" ht="23.1" customHeight="1" x14ac:dyDescent="0.25">
      <c r="B61" s="23" t="s">
        <v>102</v>
      </c>
      <c r="C61" s="49">
        <f>AVERAGE('18.10 MUBENDE-MITYANA-24h'!C61,'19.10  MUBENDE-MITYANA-24h'!C61)</f>
        <v>9</v>
      </c>
      <c r="D61" s="49">
        <f>AVERAGE('18.10 MUBENDE-MITYANA-24h'!D61,'19.10  MUBENDE-MITYANA-24h'!D61)</f>
        <v>3.5</v>
      </c>
      <c r="E61" s="49">
        <f>AVERAGE('18.10 MUBENDE-MITYANA-24h'!E61,'19.10  MUBENDE-MITYANA-24h'!E61)</f>
        <v>3.5</v>
      </c>
      <c r="F61" s="49">
        <f>AVERAGE('18.10 MUBENDE-MITYANA-24h'!F61,'19.10  MUBENDE-MITYANA-24h'!F61)</f>
        <v>6</v>
      </c>
      <c r="G61" s="49">
        <f>AVERAGE('18.10 MUBENDE-MITYANA-24h'!G61,'19.10  MUBENDE-MITYANA-24h'!G61)</f>
        <v>0</v>
      </c>
      <c r="H61" s="49">
        <f>AVERAGE('18.10 MUBENDE-MITYANA-24h'!H61,'19.10  MUBENDE-MITYANA-24h'!H61)</f>
        <v>0.5</v>
      </c>
      <c r="I61" s="49">
        <f>AVERAGE('18.10 MUBENDE-MITYANA-24h'!I61,'19.10  MUBENDE-MITYANA-24h'!I61)</f>
        <v>3.5</v>
      </c>
      <c r="J61" s="49">
        <f>AVERAGE('18.10 MUBENDE-MITYANA-24h'!J61,'19.10  MUBENDE-MITYANA-24h'!J61)</f>
        <v>1</v>
      </c>
      <c r="K61" s="49">
        <f>AVERAGE('18.10 MUBENDE-MITYANA-24h'!K61,'19.10  MUBENDE-MITYANA-24h'!K61)</f>
        <v>0.5</v>
      </c>
      <c r="L61" s="49">
        <f>AVERAGE('18.10 MUBENDE-MITYANA-24h'!L61,'19.10  MUBENDE-MITYANA-24h'!L61)</f>
        <v>0</v>
      </c>
      <c r="M61" s="49">
        <f>AVERAGE('18.10 MUBENDE-MITYANA-24h'!M61,'19.10  MUBENDE-MITYANA-24h'!M61)</f>
        <v>27.5</v>
      </c>
      <c r="N61" s="49">
        <f>AVERAGE('18.10 MUBENDE-MITYANA-24h'!N61,'19.10  MUBENDE-MITYANA-24h'!N61)</f>
        <v>0</v>
      </c>
      <c r="O61" s="15">
        <f t="shared" si="0"/>
        <v>27.5</v>
      </c>
      <c r="P61" s="15">
        <f t="shared" si="1"/>
        <v>55</v>
      </c>
      <c r="R61" s="8"/>
      <c r="T61"/>
    </row>
    <row r="62" spans="2:20" ht="23.1" customHeight="1" x14ac:dyDescent="0.25">
      <c r="B62" s="23" t="s">
        <v>107</v>
      </c>
      <c r="C62" s="49">
        <f>AVERAGE('18.10 MUBENDE-MITYANA-24h'!C62,'19.10  MUBENDE-MITYANA-24h'!C62)</f>
        <v>9</v>
      </c>
      <c r="D62" s="49">
        <f>AVERAGE('18.10 MUBENDE-MITYANA-24h'!D62,'19.10  MUBENDE-MITYANA-24h'!D62)</f>
        <v>4</v>
      </c>
      <c r="E62" s="49">
        <f>AVERAGE('18.10 MUBENDE-MITYANA-24h'!E62,'19.10  MUBENDE-MITYANA-24h'!E62)</f>
        <v>3</v>
      </c>
      <c r="F62" s="49">
        <f>AVERAGE('18.10 MUBENDE-MITYANA-24h'!F62,'19.10  MUBENDE-MITYANA-24h'!F62)</f>
        <v>7</v>
      </c>
      <c r="G62" s="49">
        <f>AVERAGE('18.10 MUBENDE-MITYANA-24h'!G62,'19.10  MUBENDE-MITYANA-24h'!G62)</f>
        <v>0</v>
      </c>
      <c r="H62" s="49">
        <f>AVERAGE('18.10 MUBENDE-MITYANA-24h'!H62,'19.10  MUBENDE-MITYANA-24h'!H62)</f>
        <v>1</v>
      </c>
      <c r="I62" s="49">
        <f>AVERAGE('18.10 MUBENDE-MITYANA-24h'!I62,'19.10  MUBENDE-MITYANA-24h'!I62)</f>
        <v>3.5</v>
      </c>
      <c r="J62" s="49">
        <f>AVERAGE('18.10 MUBENDE-MITYANA-24h'!J62,'19.10  MUBENDE-MITYANA-24h'!J62)</f>
        <v>4</v>
      </c>
      <c r="K62" s="49">
        <f>AVERAGE('18.10 MUBENDE-MITYANA-24h'!K62,'19.10  MUBENDE-MITYANA-24h'!K62)</f>
        <v>3.5</v>
      </c>
      <c r="L62" s="49">
        <f>AVERAGE('18.10 MUBENDE-MITYANA-24h'!L62,'19.10  MUBENDE-MITYANA-24h'!L62)</f>
        <v>0.5</v>
      </c>
      <c r="M62" s="49">
        <f>AVERAGE('18.10 MUBENDE-MITYANA-24h'!M62,'19.10  MUBENDE-MITYANA-24h'!M62)</f>
        <v>24.5</v>
      </c>
      <c r="N62" s="49">
        <f>AVERAGE('18.10 MUBENDE-MITYANA-24h'!N62,'19.10  MUBENDE-MITYANA-24h'!N62)</f>
        <v>0</v>
      </c>
      <c r="O62" s="15">
        <f t="shared" si="0"/>
        <v>35.5</v>
      </c>
      <c r="P62" s="15">
        <f t="shared" si="1"/>
        <v>60</v>
      </c>
      <c r="R62" s="8"/>
      <c r="T62"/>
    </row>
    <row r="63" spans="2:20" ht="23.1" customHeight="1" x14ac:dyDescent="0.25">
      <c r="B63" s="23" t="s">
        <v>108</v>
      </c>
      <c r="C63" s="49">
        <f>AVERAGE('18.10 MUBENDE-MITYANA-24h'!C63,'19.10  MUBENDE-MITYANA-24h'!C63)</f>
        <v>8</v>
      </c>
      <c r="D63" s="49">
        <f>AVERAGE('18.10 MUBENDE-MITYANA-24h'!D63,'19.10  MUBENDE-MITYANA-24h'!D63)</f>
        <v>3</v>
      </c>
      <c r="E63" s="49">
        <f>AVERAGE('18.10 MUBENDE-MITYANA-24h'!E63,'19.10  MUBENDE-MITYANA-24h'!E63)</f>
        <v>2</v>
      </c>
      <c r="F63" s="49">
        <f>AVERAGE('18.10 MUBENDE-MITYANA-24h'!F63,'19.10  MUBENDE-MITYANA-24h'!F63)</f>
        <v>7</v>
      </c>
      <c r="G63" s="49">
        <f>AVERAGE('18.10 MUBENDE-MITYANA-24h'!G63,'19.10  MUBENDE-MITYANA-24h'!G63)</f>
        <v>1</v>
      </c>
      <c r="H63" s="49">
        <f>AVERAGE('18.10 MUBENDE-MITYANA-24h'!H63,'19.10  MUBENDE-MITYANA-24h'!H63)</f>
        <v>0</v>
      </c>
      <c r="I63" s="49">
        <f>AVERAGE('18.10 MUBENDE-MITYANA-24h'!I63,'19.10  MUBENDE-MITYANA-24h'!I63)</f>
        <v>5</v>
      </c>
      <c r="J63" s="49">
        <f>AVERAGE('18.10 MUBENDE-MITYANA-24h'!J63,'19.10  MUBENDE-MITYANA-24h'!J63)</f>
        <v>3.5</v>
      </c>
      <c r="K63" s="49">
        <f>AVERAGE('18.10 MUBENDE-MITYANA-24h'!K63,'19.10  MUBENDE-MITYANA-24h'!K63)</f>
        <v>3</v>
      </c>
      <c r="L63" s="49">
        <f>AVERAGE('18.10 MUBENDE-MITYANA-24h'!L63,'19.10  MUBENDE-MITYANA-24h'!L63)</f>
        <v>1.5</v>
      </c>
      <c r="M63" s="49">
        <f>AVERAGE('18.10 MUBENDE-MITYANA-24h'!M63,'19.10  MUBENDE-MITYANA-24h'!M63)</f>
        <v>33</v>
      </c>
      <c r="N63" s="49">
        <f>AVERAGE('18.10 MUBENDE-MITYANA-24h'!N63,'19.10  MUBENDE-MITYANA-24h'!N63)</f>
        <v>0</v>
      </c>
      <c r="O63" s="15">
        <f t="shared" si="0"/>
        <v>34</v>
      </c>
      <c r="P63" s="15">
        <f t="shared" si="1"/>
        <v>67</v>
      </c>
      <c r="R63" s="8"/>
      <c r="T63"/>
    </row>
    <row r="64" spans="2:20" ht="23.1" customHeight="1" x14ac:dyDescent="0.25">
      <c r="B64" s="23" t="s">
        <v>109</v>
      </c>
      <c r="C64" s="49">
        <f>AVERAGE('18.10 MUBENDE-MITYANA-24h'!C64,'19.10  MUBENDE-MITYANA-24h'!C64)</f>
        <v>6.5</v>
      </c>
      <c r="D64" s="49">
        <f>AVERAGE('18.10 MUBENDE-MITYANA-24h'!D64,'19.10  MUBENDE-MITYANA-24h'!D64)</f>
        <v>4.5</v>
      </c>
      <c r="E64" s="49">
        <f>AVERAGE('18.10 MUBENDE-MITYANA-24h'!E64,'19.10  MUBENDE-MITYANA-24h'!E64)</f>
        <v>2.5</v>
      </c>
      <c r="F64" s="49">
        <f>AVERAGE('18.10 MUBENDE-MITYANA-24h'!F64,'19.10  MUBENDE-MITYANA-24h'!F64)</f>
        <v>5</v>
      </c>
      <c r="G64" s="49">
        <f>AVERAGE('18.10 MUBENDE-MITYANA-24h'!G64,'19.10  MUBENDE-MITYANA-24h'!G64)</f>
        <v>0</v>
      </c>
      <c r="H64" s="49">
        <f>AVERAGE('18.10 MUBENDE-MITYANA-24h'!H64,'19.10  MUBENDE-MITYANA-24h'!H64)</f>
        <v>0.5</v>
      </c>
      <c r="I64" s="49">
        <f>AVERAGE('18.10 MUBENDE-MITYANA-24h'!I64,'19.10  MUBENDE-MITYANA-24h'!I64)</f>
        <v>2.5</v>
      </c>
      <c r="J64" s="49">
        <f>AVERAGE('18.10 MUBENDE-MITYANA-24h'!J64,'19.10  MUBENDE-MITYANA-24h'!J64)</f>
        <v>1</v>
      </c>
      <c r="K64" s="49">
        <f>AVERAGE('18.10 MUBENDE-MITYANA-24h'!K64,'19.10  MUBENDE-MITYANA-24h'!K64)</f>
        <v>2.5</v>
      </c>
      <c r="L64" s="49">
        <f>AVERAGE('18.10 MUBENDE-MITYANA-24h'!L64,'19.10  MUBENDE-MITYANA-24h'!L64)</f>
        <v>1.5</v>
      </c>
      <c r="M64" s="49">
        <f>AVERAGE('18.10 MUBENDE-MITYANA-24h'!M64,'19.10  MUBENDE-MITYANA-24h'!M64)</f>
        <v>20.5</v>
      </c>
      <c r="N64" s="49">
        <f>AVERAGE('18.10 MUBENDE-MITYANA-24h'!N64,'19.10  MUBENDE-MITYANA-24h'!N64)</f>
        <v>0</v>
      </c>
      <c r="O64" s="15">
        <f t="shared" si="0"/>
        <v>26.5</v>
      </c>
      <c r="P64" s="15">
        <f t="shared" si="1"/>
        <v>47</v>
      </c>
      <c r="R64" s="8"/>
      <c r="T64"/>
    </row>
    <row r="65" spans="2:20" ht="23.1" customHeight="1" x14ac:dyDescent="0.25">
      <c r="B65" s="23" t="s">
        <v>158</v>
      </c>
      <c r="C65" s="49">
        <f>AVERAGE('18.10 MUBENDE-MITYANA-24h'!C65,'19.10  MUBENDE-MITYANA-24h'!C65)</f>
        <v>5</v>
      </c>
      <c r="D65" s="49">
        <f>AVERAGE('18.10 MUBENDE-MITYANA-24h'!D65,'19.10  MUBENDE-MITYANA-24h'!D65)</f>
        <v>2</v>
      </c>
      <c r="E65" s="49">
        <f>AVERAGE('18.10 MUBENDE-MITYANA-24h'!E65,'19.10  MUBENDE-MITYANA-24h'!E65)</f>
        <v>1.5</v>
      </c>
      <c r="F65" s="49">
        <f>AVERAGE('18.10 MUBENDE-MITYANA-24h'!F65,'19.10  MUBENDE-MITYANA-24h'!F65)</f>
        <v>4</v>
      </c>
      <c r="G65" s="49">
        <f>AVERAGE('18.10 MUBENDE-MITYANA-24h'!G65,'19.10  MUBENDE-MITYANA-24h'!G65)</f>
        <v>0.5</v>
      </c>
      <c r="H65" s="49">
        <f>AVERAGE('18.10 MUBENDE-MITYANA-24h'!H65,'19.10  MUBENDE-MITYANA-24h'!H65)</f>
        <v>0.5</v>
      </c>
      <c r="I65" s="49">
        <f>AVERAGE('18.10 MUBENDE-MITYANA-24h'!I65,'19.10  MUBENDE-MITYANA-24h'!I65)</f>
        <v>7.5</v>
      </c>
      <c r="J65" s="49">
        <f>AVERAGE('18.10 MUBENDE-MITYANA-24h'!J65,'19.10  MUBENDE-MITYANA-24h'!J65)</f>
        <v>3</v>
      </c>
      <c r="K65" s="49">
        <f>AVERAGE('18.10 MUBENDE-MITYANA-24h'!K65,'19.10  MUBENDE-MITYANA-24h'!K65)</f>
        <v>1</v>
      </c>
      <c r="L65" s="49">
        <f>AVERAGE('18.10 MUBENDE-MITYANA-24h'!L65,'19.10  MUBENDE-MITYANA-24h'!L65)</f>
        <v>2.5</v>
      </c>
      <c r="M65" s="49">
        <f>AVERAGE('18.10 MUBENDE-MITYANA-24h'!M65,'19.10  MUBENDE-MITYANA-24h'!M65)</f>
        <v>14</v>
      </c>
      <c r="N65" s="49">
        <f>AVERAGE('18.10 MUBENDE-MITYANA-24h'!N65,'19.10  MUBENDE-MITYANA-24h'!N65)</f>
        <v>0</v>
      </c>
      <c r="O65" s="15">
        <f t="shared" si="0"/>
        <v>27.5</v>
      </c>
      <c r="P65" s="15">
        <f t="shared" si="1"/>
        <v>41.5</v>
      </c>
      <c r="R65" s="8"/>
      <c r="T65"/>
    </row>
    <row r="66" spans="2:20" ht="23.1" customHeight="1" x14ac:dyDescent="0.25">
      <c r="B66" s="23" t="s">
        <v>103</v>
      </c>
      <c r="C66" s="49">
        <f>AVERAGE('18.10 MUBENDE-MITYANA-24h'!C66,'19.10  MUBENDE-MITYANA-24h'!C66)</f>
        <v>7.5</v>
      </c>
      <c r="D66" s="49">
        <f>AVERAGE('18.10 MUBENDE-MITYANA-24h'!D66,'19.10  MUBENDE-MITYANA-24h'!D66)</f>
        <v>2</v>
      </c>
      <c r="E66" s="49">
        <f>AVERAGE('18.10 MUBENDE-MITYANA-24h'!E66,'19.10  MUBENDE-MITYANA-24h'!E66)</f>
        <v>2</v>
      </c>
      <c r="F66" s="49">
        <f>AVERAGE('18.10 MUBENDE-MITYANA-24h'!F66,'19.10  MUBENDE-MITYANA-24h'!F66)</f>
        <v>4</v>
      </c>
      <c r="G66" s="49">
        <f>AVERAGE('18.10 MUBENDE-MITYANA-24h'!G66,'19.10  MUBENDE-MITYANA-24h'!G66)</f>
        <v>0</v>
      </c>
      <c r="H66" s="49">
        <f>AVERAGE('18.10 MUBENDE-MITYANA-24h'!H66,'19.10  MUBENDE-MITYANA-24h'!H66)</f>
        <v>0</v>
      </c>
      <c r="I66" s="49">
        <f>AVERAGE('18.10 MUBENDE-MITYANA-24h'!I66,'19.10  MUBENDE-MITYANA-24h'!I66)</f>
        <v>4.5</v>
      </c>
      <c r="J66" s="49">
        <f>AVERAGE('18.10 MUBENDE-MITYANA-24h'!J66,'19.10  MUBENDE-MITYANA-24h'!J66)</f>
        <v>6.5</v>
      </c>
      <c r="K66" s="49">
        <f>AVERAGE('18.10 MUBENDE-MITYANA-24h'!K66,'19.10  MUBENDE-MITYANA-24h'!K66)</f>
        <v>1</v>
      </c>
      <c r="L66" s="49">
        <f>AVERAGE('18.10 MUBENDE-MITYANA-24h'!L66,'19.10  MUBENDE-MITYANA-24h'!L66)</f>
        <v>0.5</v>
      </c>
      <c r="M66" s="49">
        <f>AVERAGE('18.10 MUBENDE-MITYANA-24h'!M66,'19.10  MUBENDE-MITYANA-24h'!M66)</f>
        <v>19.5</v>
      </c>
      <c r="N66" s="49">
        <f>AVERAGE('18.10 MUBENDE-MITYANA-24h'!N66,'19.10  MUBENDE-MITYANA-24h'!N66)</f>
        <v>0</v>
      </c>
      <c r="O66" s="15">
        <f t="shared" si="0"/>
        <v>28</v>
      </c>
      <c r="P66" s="15">
        <f t="shared" si="1"/>
        <v>47.5</v>
      </c>
      <c r="R66" s="8"/>
      <c r="T66"/>
    </row>
    <row r="67" spans="2:20" ht="23.1" customHeight="1" x14ac:dyDescent="0.25">
      <c r="B67" s="23" t="s">
        <v>104</v>
      </c>
      <c r="C67" s="49">
        <f>AVERAGE('18.10 MUBENDE-MITYANA-24h'!C67,'19.10  MUBENDE-MITYANA-24h'!C67)</f>
        <v>8</v>
      </c>
      <c r="D67" s="49">
        <f>AVERAGE('18.10 MUBENDE-MITYANA-24h'!D67,'19.10  MUBENDE-MITYANA-24h'!D67)</f>
        <v>1</v>
      </c>
      <c r="E67" s="49">
        <f>AVERAGE('18.10 MUBENDE-MITYANA-24h'!E67,'19.10  MUBENDE-MITYANA-24h'!E67)</f>
        <v>3</v>
      </c>
      <c r="F67" s="49">
        <f>AVERAGE('18.10 MUBENDE-MITYANA-24h'!F67,'19.10  MUBENDE-MITYANA-24h'!F67)</f>
        <v>12</v>
      </c>
      <c r="G67" s="49">
        <f>AVERAGE('18.10 MUBENDE-MITYANA-24h'!G67,'19.10  MUBENDE-MITYANA-24h'!G67)</f>
        <v>0</v>
      </c>
      <c r="H67" s="49">
        <f>AVERAGE('18.10 MUBENDE-MITYANA-24h'!H67,'19.10  MUBENDE-MITYANA-24h'!H67)</f>
        <v>0</v>
      </c>
      <c r="I67" s="49">
        <f>AVERAGE('18.10 MUBENDE-MITYANA-24h'!I67,'19.10  MUBENDE-MITYANA-24h'!I67)</f>
        <v>5.5</v>
      </c>
      <c r="J67" s="49">
        <f>AVERAGE('18.10 MUBENDE-MITYANA-24h'!J67,'19.10  MUBENDE-MITYANA-24h'!J67)</f>
        <v>3</v>
      </c>
      <c r="K67" s="49">
        <f>AVERAGE('18.10 MUBENDE-MITYANA-24h'!K67,'19.10  MUBENDE-MITYANA-24h'!K67)</f>
        <v>3.5</v>
      </c>
      <c r="L67" s="49">
        <f>AVERAGE('18.10 MUBENDE-MITYANA-24h'!L67,'19.10  MUBENDE-MITYANA-24h'!L67)</f>
        <v>0</v>
      </c>
      <c r="M67" s="49">
        <f>AVERAGE('18.10 MUBENDE-MITYANA-24h'!M67,'19.10  MUBENDE-MITYANA-24h'!M67)</f>
        <v>21.5</v>
      </c>
      <c r="N67" s="49">
        <f>AVERAGE('18.10 MUBENDE-MITYANA-24h'!N67,'19.10  MUBENDE-MITYANA-24h'!N67)</f>
        <v>0</v>
      </c>
      <c r="O67" s="15">
        <f t="shared" si="0"/>
        <v>36</v>
      </c>
      <c r="P67" s="15">
        <f t="shared" si="1"/>
        <v>57.5</v>
      </c>
      <c r="R67" s="8"/>
      <c r="T67"/>
    </row>
    <row r="68" spans="2:20" ht="23.1" customHeight="1" x14ac:dyDescent="0.25">
      <c r="B68" s="23" t="s">
        <v>105</v>
      </c>
      <c r="C68" s="49">
        <f>AVERAGE('18.10 MUBENDE-MITYANA-24h'!C68,'19.10  MUBENDE-MITYANA-24h'!C68)</f>
        <v>4</v>
      </c>
      <c r="D68" s="49">
        <f>AVERAGE('18.10 MUBENDE-MITYANA-24h'!D68,'19.10  MUBENDE-MITYANA-24h'!D68)</f>
        <v>1</v>
      </c>
      <c r="E68" s="49">
        <f>AVERAGE('18.10 MUBENDE-MITYANA-24h'!E68,'19.10  MUBENDE-MITYANA-24h'!E68)</f>
        <v>1.5</v>
      </c>
      <c r="F68" s="49">
        <f>AVERAGE('18.10 MUBENDE-MITYANA-24h'!F68,'19.10  MUBENDE-MITYANA-24h'!F68)</f>
        <v>2.5</v>
      </c>
      <c r="G68" s="49">
        <f>AVERAGE('18.10 MUBENDE-MITYANA-24h'!G68,'19.10  MUBENDE-MITYANA-24h'!G68)</f>
        <v>0</v>
      </c>
      <c r="H68" s="49">
        <f>AVERAGE('18.10 MUBENDE-MITYANA-24h'!H68,'19.10  MUBENDE-MITYANA-24h'!H68)</f>
        <v>0</v>
      </c>
      <c r="I68" s="49">
        <f>AVERAGE('18.10 MUBENDE-MITYANA-24h'!I68,'19.10  MUBENDE-MITYANA-24h'!I68)</f>
        <v>3.5</v>
      </c>
      <c r="J68" s="49">
        <f>AVERAGE('18.10 MUBENDE-MITYANA-24h'!J68,'19.10  MUBENDE-MITYANA-24h'!J68)</f>
        <v>0.5</v>
      </c>
      <c r="K68" s="49">
        <f>AVERAGE('18.10 MUBENDE-MITYANA-24h'!K68,'19.10  MUBENDE-MITYANA-24h'!K68)</f>
        <v>2</v>
      </c>
      <c r="L68" s="49">
        <f>AVERAGE('18.10 MUBENDE-MITYANA-24h'!L68,'19.10  MUBENDE-MITYANA-24h'!L68)</f>
        <v>2</v>
      </c>
      <c r="M68" s="49">
        <f>AVERAGE('18.10 MUBENDE-MITYANA-24h'!M68,'19.10  MUBENDE-MITYANA-24h'!M68)</f>
        <v>11</v>
      </c>
      <c r="N68" s="49">
        <f>AVERAGE('18.10 MUBENDE-MITYANA-24h'!N68,'19.10  MUBENDE-MITYANA-24h'!N68)</f>
        <v>0</v>
      </c>
      <c r="O68" s="15">
        <f t="shared" si="0"/>
        <v>17</v>
      </c>
      <c r="P68" s="15">
        <f t="shared" si="1"/>
        <v>28</v>
      </c>
      <c r="R68" s="8"/>
      <c r="T68"/>
    </row>
    <row r="69" spans="2:20" ht="23.1" customHeight="1" x14ac:dyDescent="0.25">
      <c r="B69" s="23" t="s">
        <v>106</v>
      </c>
      <c r="C69" s="49">
        <f>AVERAGE('18.10 MUBENDE-MITYANA-24h'!C69,'19.10  MUBENDE-MITYANA-24h'!C69)</f>
        <v>6</v>
      </c>
      <c r="D69" s="49">
        <f>AVERAGE('18.10 MUBENDE-MITYANA-24h'!D69,'19.10  MUBENDE-MITYANA-24h'!D69)</f>
        <v>1</v>
      </c>
      <c r="E69" s="49">
        <f>AVERAGE('18.10 MUBENDE-MITYANA-24h'!E69,'19.10  MUBENDE-MITYANA-24h'!E69)</f>
        <v>3</v>
      </c>
      <c r="F69" s="49">
        <f>AVERAGE('18.10 MUBENDE-MITYANA-24h'!F69,'19.10  MUBENDE-MITYANA-24h'!F69)</f>
        <v>4.5</v>
      </c>
      <c r="G69" s="49">
        <f>AVERAGE('18.10 MUBENDE-MITYANA-24h'!G69,'19.10  MUBENDE-MITYANA-24h'!G69)</f>
        <v>0</v>
      </c>
      <c r="H69" s="49">
        <f>AVERAGE('18.10 MUBENDE-MITYANA-24h'!H69,'19.10  MUBENDE-MITYANA-24h'!H69)</f>
        <v>0</v>
      </c>
      <c r="I69" s="49">
        <f>AVERAGE('18.10 MUBENDE-MITYANA-24h'!I69,'19.10  MUBENDE-MITYANA-24h'!I69)</f>
        <v>4.5</v>
      </c>
      <c r="J69" s="49">
        <f>AVERAGE('18.10 MUBENDE-MITYANA-24h'!J69,'19.10  MUBENDE-MITYANA-24h'!J69)</f>
        <v>6.5</v>
      </c>
      <c r="K69" s="49">
        <f>AVERAGE('18.10 MUBENDE-MITYANA-24h'!K69,'19.10  MUBENDE-MITYANA-24h'!K69)</f>
        <v>4</v>
      </c>
      <c r="L69" s="49">
        <f>AVERAGE('18.10 MUBENDE-MITYANA-24h'!L69,'19.10  MUBENDE-MITYANA-24h'!L69)</f>
        <v>2.5</v>
      </c>
      <c r="M69" s="49">
        <f>AVERAGE('18.10 MUBENDE-MITYANA-24h'!M69,'19.10  MUBENDE-MITYANA-24h'!M69)</f>
        <v>19</v>
      </c>
      <c r="N69" s="49">
        <f>AVERAGE('18.10 MUBENDE-MITYANA-24h'!N69,'19.10  MUBENDE-MITYANA-24h'!N69)</f>
        <v>0</v>
      </c>
      <c r="O69" s="15">
        <f t="shared" si="0"/>
        <v>32</v>
      </c>
      <c r="P69" s="15">
        <f t="shared" si="1"/>
        <v>51</v>
      </c>
      <c r="R69" s="8"/>
      <c r="T69"/>
    </row>
    <row r="70" spans="2:20" ht="23.1" customHeight="1" x14ac:dyDescent="0.25">
      <c r="B70" s="23" t="s">
        <v>110</v>
      </c>
      <c r="C70" s="49">
        <f>AVERAGE('18.10 MUBENDE-MITYANA-24h'!C70,'19.10  MUBENDE-MITYANA-24h'!C70)</f>
        <v>4.5</v>
      </c>
      <c r="D70" s="49">
        <f>AVERAGE('18.10 MUBENDE-MITYANA-24h'!D70,'19.10  MUBENDE-MITYANA-24h'!D70)</f>
        <v>3</v>
      </c>
      <c r="E70" s="49">
        <f>AVERAGE('18.10 MUBENDE-MITYANA-24h'!E70,'19.10  MUBENDE-MITYANA-24h'!E70)</f>
        <v>1</v>
      </c>
      <c r="F70" s="49">
        <f>AVERAGE('18.10 MUBENDE-MITYANA-24h'!F70,'19.10  MUBENDE-MITYANA-24h'!F70)</f>
        <v>4.5</v>
      </c>
      <c r="G70" s="49">
        <f>AVERAGE('18.10 MUBENDE-MITYANA-24h'!G70,'19.10  MUBENDE-MITYANA-24h'!G70)</f>
        <v>0.5</v>
      </c>
      <c r="H70" s="49">
        <f>AVERAGE('18.10 MUBENDE-MITYANA-24h'!H70,'19.10  MUBENDE-MITYANA-24h'!H70)</f>
        <v>0</v>
      </c>
      <c r="I70" s="49">
        <f>AVERAGE('18.10 MUBENDE-MITYANA-24h'!I70,'19.10  MUBENDE-MITYANA-24h'!I70)</f>
        <v>3.5</v>
      </c>
      <c r="J70" s="49">
        <f>AVERAGE('18.10 MUBENDE-MITYANA-24h'!J70,'19.10  MUBENDE-MITYANA-24h'!J70)</f>
        <v>2</v>
      </c>
      <c r="K70" s="49">
        <f>AVERAGE('18.10 MUBENDE-MITYANA-24h'!K70,'19.10  MUBENDE-MITYANA-24h'!K70)</f>
        <v>1</v>
      </c>
      <c r="L70" s="49">
        <f>AVERAGE('18.10 MUBENDE-MITYANA-24h'!L70,'19.10  MUBENDE-MITYANA-24h'!L70)</f>
        <v>0.5</v>
      </c>
      <c r="M70" s="49">
        <f>AVERAGE('18.10 MUBENDE-MITYANA-24h'!M70,'19.10  MUBENDE-MITYANA-24h'!M70)</f>
        <v>8</v>
      </c>
      <c r="N70" s="49">
        <f>AVERAGE('18.10 MUBENDE-MITYANA-24h'!N70,'19.10  MUBENDE-MITYANA-24h'!N70)</f>
        <v>0</v>
      </c>
      <c r="O70" s="15">
        <f t="shared" si="0"/>
        <v>20.5</v>
      </c>
      <c r="P70" s="15">
        <f t="shared" si="1"/>
        <v>28.5</v>
      </c>
      <c r="R70" s="8"/>
      <c r="T70"/>
    </row>
    <row r="71" spans="2:20" ht="23.1" customHeight="1" x14ac:dyDescent="0.25">
      <c r="B71" s="23" t="s">
        <v>111</v>
      </c>
      <c r="C71" s="49">
        <f>AVERAGE('18.10 MUBENDE-MITYANA-24h'!C71,'19.10  MUBENDE-MITYANA-24h'!C71)</f>
        <v>5</v>
      </c>
      <c r="D71" s="49">
        <f>AVERAGE('18.10 MUBENDE-MITYANA-24h'!D71,'19.10  MUBENDE-MITYANA-24h'!D71)</f>
        <v>2.5</v>
      </c>
      <c r="E71" s="49">
        <f>AVERAGE('18.10 MUBENDE-MITYANA-24h'!E71,'19.10  MUBENDE-MITYANA-24h'!E71)</f>
        <v>2</v>
      </c>
      <c r="F71" s="49">
        <f>AVERAGE('18.10 MUBENDE-MITYANA-24h'!F71,'19.10  MUBENDE-MITYANA-24h'!F71)</f>
        <v>2</v>
      </c>
      <c r="G71" s="49">
        <f>AVERAGE('18.10 MUBENDE-MITYANA-24h'!G71,'19.10  MUBENDE-MITYANA-24h'!G71)</f>
        <v>0</v>
      </c>
      <c r="H71" s="49">
        <f>AVERAGE('18.10 MUBENDE-MITYANA-24h'!H71,'19.10  MUBENDE-MITYANA-24h'!H71)</f>
        <v>0.5</v>
      </c>
      <c r="I71" s="49">
        <f>AVERAGE('18.10 MUBENDE-MITYANA-24h'!I71,'19.10  MUBENDE-MITYANA-24h'!I71)</f>
        <v>5.5</v>
      </c>
      <c r="J71" s="49">
        <f>AVERAGE('18.10 MUBENDE-MITYANA-24h'!J71,'19.10  MUBENDE-MITYANA-24h'!J71)</f>
        <v>5.5</v>
      </c>
      <c r="K71" s="49">
        <f>AVERAGE('18.10 MUBENDE-MITYANA-24h'!K71,'19.10  MUBENDE-MITYANA-24h'!K71)</f>
        <v>1.5</v>
      </c>
      <c r="L71" s="49">
        <f>AVERAGE('18.10 MUBENDE-MITYANA-24h'!L71,'19.10  MUBENDE-MITYANA-24h'!L71)</f>
        <v>0.5</v>
      </c>
      <c r="M71" s="49">
        <f>AVERAGE('18.10 MUBENDE-MITYANA-24h'!M71,'19.10  MUBENDE-MITYANA-24h'!M71)</f>
        <v>8.5</v>
      </c>
      <c r="N71" s="49">
        <f>AVERAGE('18.10 MUBENDE-MITYANA-24h'!N71,'19.10  MUBENDE-MITYANA-24h'!N71)</f>
        <v>0</v>
      </c>
      <c r="O71" s="15">
        <f t="shared" si="0"/>
        <v>25</v>
      </c>
      <c r="P71" s="15">
        <f t="shared" si="1"/>
        <v>33.5</v>
      </c>
      <c r="R71" s="8"/>
      <c r="T71"/>
    </row>
    <row r="72" spans="2:20" ht="23.1" customHeight="1" x14ac:dyDescent="0.25">
      <c r="B72" s="23" t="s">
        <v>112</v>
      </c>
      <c r="C72" s="49">
        <f>AVERAGE('18.10 MUBENDE-MITYANA-24h'!C72,'19.10  MUBENDE-MITYANA-24h'!C72)</f>
        <v>4.5</v>
      </c>
      <c r="D72" s="49">
        <f>AVERAGE('18.10 MUBENDE-MITYANA-24h'!D72,'19.10  MUBENDE-MITYANA-24h'!D72)</f>
        <v>1</v>
      </c>
      <c r="E72" s="49">
        <f>AVERAGE('18.10 MUBENDE-MITYANA-24h'!E72,'19.10  MUBENDE-MITYANA-24h'!E72)</f>
        <v>0.5</v>
      </c>
      <c r="F72" s="49">
        <f>AVERAGE('18.10 MUBENDE-MITYANA-24h'!F72,'19.10  MUBENDE-MITYANA-24h'!F72)</f>
        <v>3</v>
      </c>
      <c r="G72" s="49">
        <f>AVERAGE('18.10 MUBENDE-MITYANA-24h'!G72,'19.10  MUBENDE-MITYANA-24h'!G72)</f>
        <v>0.5</v>
      </c>
      <c r="H72" s="49">
        <f>AVERAGE('18.10 MUBENDE-MITYANA-24h'!H72,'19.10  MUBENDE-MITYANA-24h'!H72)</f>
        <v>0</v>
      </c>
      <c r="I72" s="49">
        <f>AVERAGE('18.10 MUBENDE-MITYANA-24h'!I72,'19.10  MUBENDE-MITYANA-24h'!I72)</f>
        <v>2</v>
      </c>
      <c r="J72" s="49">
        <f>AVERAGE('18.10 MUBENDE-MITYANA-24h'!J72,'19.10  MUBENDE-MITYANA-24h'!J72)</f>
        <v>1.5</v>
      </c>
      <c r="K72" s="49">
        <f>AVERAGE('18.10 MUBENDE-MITYANA-24h'!K72,'19.10  MUBENDE-MITYANA-24h'!K72)</f>
        <v>1</v>
      </c>
      <c r="L72" s="49">
        <f>AVERAGE('18.10 MUBENDE-MITYANA-24h'!L72,'19.10  MUBENDE-MITYANA-24h'!L72)</f>
        <v>1</v>
      </c>
      <c r="M72" s="49">
        <f>AVERAGE('18.10 MUBENDE-MITYANA-24h'!M72,'19.10  MUBENDE-MITYANA-24h'!M72)</f>
        <v>9.5</v>
      </c>
      <c r="N72" s="49">
        <f>AVERAGE('18.10 MUBENDE-MITYANA-24h'!N72,'19.10  MUBENDE-MITYANA-24h'!N72)</f>
        <v>0</v>
      </c>
      <c r="O72" s="15">
        <f t="shared" si="0"/>
        <v>15</v>
      </c>
      <c r="P72" s="15">
        <f t="shared" si="1"/>
        <v>24.5</v>
      </c>
      <c r="R72" s="8"/>
      <c r="T72"/>
    </row>
    <row r="73" spans="2:20" ht="23.1" customHeight="1" x14ac:dyDescent="0.25">
      <c r="B73" s="23" t="s">
        <v>113</v>
      </c>
      <c r="C73" s="49">
        <f>AVERAGE('18.10 MUBENDE-MITYANA-24h'!C73,'19.10  MUBENDE-MITYANA-24h'!C73)</f>
        <v>1.5</v>
      </c>
      <c r="D73" s="49">
        <f>AVERAGE('18.10 MUBENDE-MITYANA-24h'!D73,'19.10  MUBENDE-MITYANA-24h'!D73)</f>
        <v>1</v>
      </c>
      <c r="E73" s="49">
        <f>AVERAGE('18.10 MUBENDE-MITYANA-24h'!E73,'19.10  MUBENDE-MITYANA-24h'!E73)</f>
        <v>0.5</v>
      </c>
      <c r="F73" s="49">
        <f>AVERAGE('18.10 MUBENDE-MITYANA-24h'!F73,'19.10  MUBENDE-MITYANA-24h'!F73)</f>
        <v>5</v>
      </c>
      <c r="G73" s="49">
        <f>AVERAGE('18.10 MUBENDE-MITYANA-24h'!G73,'19.10  MUBENDE-MITYANA-24h'!G73)</f>
        <v>0</v>
      </c>
      <c r="H73" s="49">
        <f>AVERAGE('18.10 MUBENDE-MITYANA-24h'!H73,'19.10  MUBENDE-MITYANA-24h'!H73)</f>
        <v>0</v>
      </c>
      <c r="I73" s="49">
        <f>AVERAGE('18.10 MUBENDE-MITYANA-24h'!I73,'19.10  MUBENDE-MITYANA-24h'!I73)</f>
        <v>3.5</v>
      </c>
      <c r="J73" s="49">
        <f>AVERAGE('18.10 MUBENDE-MITYANA-24h'!J73,'19.10  MUBENDE-MITYANA-24h'!J73)</f>
        <v>3.5</v>
      </c>
      <c r="K73" s="49">
        <f>AVERAGE('18.10 MUBENDE-MITYANA-24h'!K73,'19.10  MUBENDE-MITYANA-24h'!K73)</f>
        <v>0.5</v>
      </c>
      <c r="L73" s="49">
        <f>AVERAGE('18.10 MUBENDE-MITYANA-24h'!L73,'19.10  MUBENDE-MITYANA-24h'!L73)</f>
        <v>1.5</v>
      </c>
      <c r="M73" s="49">
        <f>AVERAGE('18.10 MUBENDE-MITYANA-24h'!M73,'19.10  MUBENDE-MITYANA-24h'!M73)</f>
        <v>6.5</v>
      </c>
      <c r="N73" s="49">
        <f>AVERAGE('18.10 MUBENDE-MITYANA-24h'!N73,'19.10  MUBENDE-MITYANA-24h'!N73)</f>
        <v>0</v>
      </c>
      <c r="O73" s="15">
        <f t="shared" si="0"/>
        <v>17</v>
      </c>
      <c r="P73" s="15">
        <f t="shared" si="1"/>
        <v>23.5</v>
      </c>
      <c r="R73" s="8"/>
      <c r="T73"/>
    </row>
    <row r="74" spans="2:20" ht="23.1" customHeight="1" x14ac:dyDescent="0.25">
      <c r="B74" s="23" t="s">
        <v>114</v>
      </c>
      <c r="C74" s="49">
        <f>AVERAGE('18.10 MUBENDE-MITYANA-24h'!C74,'19.10  MUBENDE-MITYANA-24h'!C74)</f>
        <v>3.5</v>
      </c>
      <c r="D74" s="49">
        <f>AVERAGE('18.10 MUBENDE-MITYANA-24h'!D74,'19.10  MUBENDE-MITYANA-24h'!D74)</f>
        <v>0</v>
      </c>
      <c r="E74" s="49">
        <f>AVERAGE('18.10 MUBENDE-MITYANA-24h'!E74,'19.10  MUBENDE-MITYANA-24h'!E74)</f>
        <v>0.5</v>
      </c>
      <c r="F74" s="49">
        <f>AVERAGE('18.10 MUBENDE-MITYANA-24h'!F74,'19.10  MUBENDE-MITYANA-24h'!F74)</f>
        <v>2</v>
      </c>
      <c r="G74" s="49">
        <f>AVERAGE('18.10 MUBENDE-MITYANA-24h'!G74,'19.10  MUBENDE-MITYANA-24h'!G74)</f>
        <v>0</v>
      </c>
      <c r="H74" s="49">
        <f>AVERAGE('18.10 MUBENDE-MITYANA-24h'!H74,'19.10  MUBENDE-MITYANA-24h'!H74)</f>
        <v>0</v>
      </c>
      <c r="I74" s="49">
        <f>AVERAGE('18.10 MUBENDE-MITYANA-24h'!I74,'19.10  MUBENDE-MITYANA-24h'!I74)</f>
        <v>4.5</v>
      </c>
      <c r="J74" s="49">
        <f>AVERAGE('18.10 MUBENDE-MITYANA-24h'!J74,'19.10  MUBENDE-MITYANA-24h'!J74)</f>
        <v>1</v>
      </c>
      <c r="K74" s="49">
        <f>AVERAGE('18.10 MUBENDE-MITYANA-24h'!K74,'19.10  MUBENDE-MITYANA-24h'!K74)</f>
        <v>1</v>
      </c>
      <c r="L74" s="49">
        <f>AVERAGE('18.10 MUBENDE-MITYANA-24h'!L74,'19.10  MUBENDE-MITYANA-24h'!L74)</f>
        <v>1.5</v>
      </c>
      <c r="M74" s="49">
        <f>AVERAGE('18.10 MUBENDE-MITYANA-24h'!M74,'19.10  MUBENDE-MITYANA-24h'!M74)</f>
        <v>10</v>
      </c>
      <c r="N74" s="49">
        <f>AVERAGE('18.10 MUBENDE-MITYANA-24h'!N74,'19.10  MUBENDE-MITYANA-24h'!N74)</f>
        <v>0</v>
      </c>
      <c r="O74" s="15">
        <f t="shared" ref="O74:O105" si="35">SUM(C74:L74,N74)</f>
        <v>14</v>
      </c>
      <c r="P74" s="15">
        <f t="shared" ref="P74:P105" si="36">SUM(C74:N74)</f>
        <v>24</v>
      </c>
      <c r="R74" s="8"/>
      <c r="T74"/>
    </row>
    <row r="75" spans="2:20" ht="23.1" customHeight="1" x14ac:dyDescent="0.25">
      <c r="B75" s="23" t="s">
        <v>115</v>
      </c>
      <c r="C75" s="49">
        <f>AVERAGE('18.10 MUBENDE-MITYANA-24h'!C75,'19.10  MUBENDE-MITYANA-24h'!C75)</f>
        <v>4</v>
      </c>
      <c r="D75" s="49">
        <f>AVERAGE('18.10 MUBENDE-MITYANA-24h'!D75,'19.10  MUBENDE-MITYANA-24h'!D75)</f>
        <v>0</v>
      </c>
      <c r="E75" s="49">
        <f>AVERAGE('18.10 MUBENDE-MITYANA-24h'!E75,'19.10  MUBENDE-MITYANA-24h'!E75)</f>
        <v>0.5</v>
      </c>
      <c r="F75" s="49">
        <f>AVERAGE('18.10 MUBENDE-MITYANA-24h'!F75,'19.10  MUBENDE-MITYANA-24h'!F75)</f>
        <v>1</v>
      </c>
      <c r="G75" s="49">
        <f>AVERAGE('18.10 MUBENDE-MITYANA-24h'!G75,'19.10  MUBENDE-MITYANA-24h'!G75)</f>
        <v>0</v>
      </c>
      <c r="H75" s="49">
        <f>AVERAGE('18.10 MUBENDE-MITYANA-24h'!H75,'19.10  MUBENDE-MITYANA-24h'!H75)</f>
        <v>0.5</v>
      </c>
      <c r="I75" s="49">
        <f>AVERAGE('18.10 MUBENDE-MITYANA-24h'!I75,'19.10  MUBENDE-MITYANA-24h'!I75)</f>
        <v>3.5</v>
      </c>
      <c r="J75" s="49">
        <f>AVERAGE('18.10 MUBENDE-MITYANA-24h'!J75,'19.10  MUBENDE-MITYANA-24h'!J75)</f>
        <v>2.5</v>
      </c>
      <c r="K75" s="49">
        <f>AVERAGE('18.10 MUBENDE-MITYANA-24h'!K75,'19.10  MUBENDE-MITYANA-24h'!K75)</f>
        <v>3</v>
      </c>
      <c r="L75" s="49">
        <f>AVERAGE('18.10 MUBENDE-MITYANA-24h'!L75,'19.10  MUBENDE-MITYANA-24h'!L75)</f>
        <v>1.5</v>
      </c>
      <c r="M75" s="49">
        <f>AVERAGE('18.10 MUBENDE-MITYANA-24h'!M75,'19.10  MUBENDE-MITYANA-24h'!M75)</f>
        <v>4.5</v>
      </c>
      <c r="N75" s="49">
        <f>AVERAGE('18.10 MUBENDE-MITYANA-24h'!N75,'19.10  MUBENDE-MITYANA-24h'!N75)</f>
        <v>0</v>
      </c>
      <c r="O75" s="15">
        <f t="shared" si="35"/>
        <v>16.5</v>
      </c>
      <c r="P75" s="15">
        <f t="shared" si="36"/>
        <v>21</v>
      </c>
      <c r="R75" s="8"/>
      <c r="T75"/>
    </row>
    <row r="76" spans="2:20" ht="23.1" customHeight="1" x14ac:dyDescent="0.25">
      <c r="B76" s="23" t="s">
        <v>116</v>
      </c>
      <c r="C76" s="49">
        <f>AVERAGE('18.10 MUBENDE-MITYANA-24h'!C76,'19.10  MUBENDE-MITYANA-24h'!C76)</f>
        <v>3</v>
      </c>
      <c r="D76" s="49">
        <f>AVERAGE('18.10 MUBENDE-MITYANA-24h'!D76,'19.10  MUBENDE-MITYANA-24h'!D76)</f>
        <v>0.5</v>
      </c>
      <c r="E76" s="49">
        <f>AVERAGE('18.10 MUBENDE-MITYANA-24h'!E76,'19.10  MUBENDE-MITYANA-24h'!E76)</f>
        <v>0</v>
      </c>
      <c r="F76" s="49">
        <f>AVERAGE('18.10 MUBENDE-MITYANA-24h'!F76,'19.10  MUBENDE-MITYANA-24h'!F76)</f>
        <v>1</v>
      </c>
      <c r="G76" s="49">
        <f>AVERAGE('18.10 MUBENDE-MITYANA-24h'!G76,'19.10  MUBENDE-MITYANA-24h'!G76)</f>
        <v>0</v>
      </c>
      <c r="H76" s="49">
        <f>AVERAGE('18.10 MUBENDE-MITYANA-24h'!H76,'19.10  MUBENDE-MITYANA-24h'!H76)</f>
        <v>0</v>
      </c>
      <c r="I76" s="49">
        <f>AVERAGE('18.10 MUBENDE-MITYANA-24h'!I76,'19.10  MUBENDE-MITYANA-24h'!I76)</f>
        <v>1.5</v>
      </c>
      <c r="J76" s="49">
        <f>AVERAGE('18.10 MUBENDE-MITYANA-24h'!J76,'19.10  MUBENDE-MITYANA-24h'!J76)</f>
        <v>2</v>
      </c>
      <c r="K76" s="49">
        <f>AVERAGE('18.10 MUBENDE-MITYANA-24h'!K76,'19.10  MUBENDE-MITYANA-24h'!K76)</f>
        <v>2</v>
      </c>
      <c r="L76" s="49">
        <f>AVERAGE('18.10 MUBENDE-MITYANA-24h'!L76,'19.10  MUBENDE-MITYANA-24h'!L76)</f>
        <v>0.5</v>
      </c>
      <c r="M76" s="49">
        <f>AVERAGE('18.10 MUBENDE-MITYANA-24h'!M76,'19.10  MUBENDE-MITYANA-24h'!M76)</f>
        <v>0.5</v>
      </c>
      <c r="N76" s="49">
        <f>AVERAGE('18.10 MUBENDE-MITYANA-24h'!N76,'19.10  MUBENDE-MITYANA-24h'!N76)</f>
        <v>0</v>
      </c>
      <c r="O76" s="15">
        <f t="shared" si="35"/>
        <v>10.5</v>
      </c>
      <c r="P76" s="15">
        <f t="shared" si="36"/>
        <v>11</v>
      </c>
      <c r="R76" s="8"/>
      <c r="T76"/>
    </row>
    <row r="77" spans="2:20" ht="23.1" customHeight="1" x14ac:dyDescent="0.25">
      <c r="B77" s="23" t="s">
        <v>117</v>
      </c>
      <c r="C77" s="49">
        <f>AVERAGE('18.10 MUBENDE-MITYANA-24h'!C77,'19.10  MUBENDE-MITYANA-24h'!C77)</f>
        <v>2</v>
      </c>
      <c r="D77" s="49">
        <f>AVERAGE('18.10 MUBENDE-MITYANA-24h'!D77,'19.10  MUBENDE-MITYANA-24h'!D77)</f>
        <v>1</v>
      </c>
      <c r="E77" s="49">
        <f>AVERAGE('18.10 MUBENDE-MITYANA-24h'!E77,'19.10  MUBENDE-MITYANA-24h'!E77)</f>
        <v>1</v>
      </c>
      <c r="F77" s="49">
        <f>AVERAGE('18.10 MUBENDE-MITYANA-24h'!F77,'19.10  MUBENDE-MITYANA-24h'!F77)</f>
        <v>1</v>
      </c>
      <c r="G77" s="49">
        <f>AVERAGE('18.10 MUBENDE-MITYANA-24h'!G77,'19.10  MUBENDE-MITYANA-24h'!G77)</f>
        <v>1</v>
      </c>
      <c r="H77" s="49">
        <f>AVERAGE('18.10 MUBENDE-MITYANA-24h'!H77,'19.10  MUBENDE-MITYANA-24h'!H77)</f>
        <v>0.5</v>
      </c>
      <c r="I77" s="49">
        <f>AVERAGE('18.10 MUBENDE-MITYANA-24h'!I77,'19.10  MUBENDE-MITYANA-24h'!I77)</f>
        <v>2.5</v>
      </c>
      <c r="J77" s="49">
        <f>AVERAGE('18.10 MUBENDE-MITYANA-24h'!J77,'19.10  MUBENDE-MITYANA-24h'!J77)</f>
        <v>2.5</v>
      </c>
      <c r="K77" s="49">
        <f>AVERAGE('18.10 MUBENDE-MITYANA-24h'!K77,'19.10  MUBENDE-MITYANA-24h'!K77)</f>
        <v>0.5</v>
      </c>
      <c r="L77" s="49">
        <f>AVERAGE('18.10 MUBENDE-MITYANA-24h'!L77,'19.10  MUBENDE-MITYANA-24h'!L77)</f>
        <v>2.5</v>
      </c>
      <c r="M77" s="49">
        <f>AVERAGE('18.10 MUBENDE-MITYANA-24h'!M77,'19.10  MUBENDE-MITYANA-24h'!M77)</f>
        <v>2.5</v>
      </c>
      <c r="N77" s="49">
        <f>AVERAGE('18.10 MUBENDE-MITYANA-24h'!N77,'19.10  MUBENDE-MITYANA-24h'!N77)</f>
        <v>0</v>
      </c>
      <c r="O77" s="15">
        <f t="shared" si="35"/>
        <v>14.5</v>
      </c>
      <c r="P77" s="15">
        <f t="shared" si="36"/>
        <v>17</v>
      </c>
      <c r="R77" s="8"/>
      <c r="T77"/>
    </row>
    <row r="78" spans="2:20" ht="23.1" customHeight="1" x14ac:dyDescent="0.25">
      <c r="B78" s="24" t="s">
        <v>118</v>
      </c>
      <c r="C78" s="49">
        <f>AVERAGE('18.10 MUBENDE-MITYANA-24h'!C78,'19.10  MUBENDE-MITYANA-24h'!C78)</f>
        <v>2.5</v>
      </c>
      <c r="D78" s="49">
        <f>AVERAGE('18.10 MUBENDE-MITYANA-24h'!D78,'19.10  MUBENDE-MITYANA-24h'!D78)</f>
        <v>0</v>
      </c>
      <c r="E78" s="49">
        <f>AVERAGE('18.10 MUBENDE-MITYANA-24h'!E78,'19.10  MUBENDE-MITYANA-24h'!E78)</f>
        <v>0</v>
      </c>
      <c r="F78" s="49">
        <f>AVERAGE('18.10 MUBENDE-MITYANA-24h'!F78,'19.10  MUBENDE-MITYANA-24h'!F78)</f>
        <v>2</v>
      </c>
      <c r="G78" s="49">
        <f>AVERAGE('18.10 MUBENDE-MITYANA-24h'!G78,'19.10  MUBENDE-MITYANA-24h'!G78)</f>
        <v>0</v>
      </c>
      <c r="H78" s="49">
        <f>AVERAGE('18.10 MUBENDE-MITYANA-24h'!H78,'19.10  MUBENDE-MITYANA-24h'!H78)</f>
        <v>0</v>
      </c>
      <c r="I78" s="49">
        <f>AVERAGE('18.10 MUBENDE-MITYANA-24h'!I78,'19.10  MUBENDE-MITYANA-24h'!I78)</f>
        <v>1.5</v>
      </c>
      <c r="J78" s="49">
        <f>AVERAGE('18.10 MUBENDE-MITYANA-24h'!J78,'19.10  MUBENDE-MITYANA-24h'!J78)</f>
        <v>5</v>
      </c>
      <c r="K78" s="49">
        <f>AVERAGE('18.10 MUBENDE-MITYANA-24h'!K78,'19.10  MUBENDE-MITYANA-24h'!K78)</f>
        <v>0</v>
      </c>
      <c r="L78" s="49">
        <f>AVERAGE('18.10 MUBENDE-MITYANA-24h'!L78,'19.10  MUBENDE-MITYANA-24h'!L78)</f>
        <v>0.5</v>
      </c>
      <c r="M78" s="49">
        <f>AVERAGE('18.10 MUBENDE-MITYANA-24h'!M78,'19.10  MUBENDE-MITYANA-24h'!M78)</f>
        <v>1.5</v>
      </c>
      <c r="N78" s="49">
        <f>AVERAGE('18.10 MUBENDE-MITYANA-24h'!N78,'19.10  MUBENDE-MITYANA-24h'!N78)</f>
        <v>0</v>
      </c>
      <c r="O78" s="15">
        <f t="shared" si="35"/>
        <v>11.5</v>
      </c>
      <c r="P78" s="15">
        <f t="shared" si="36"/>
        <v>13</v>
      </c>
      <c r="R78" s="8"/>
      <c r="T78"/>
    </row>
    <row r="79" spans="2:20" ht="23.1" customHeight="1" x14ac:dyDescent="0.25">
      <c r="B79" s="23" t="s">
        <v>119</v>
      </c>
      <c r="C79" s="49">
        <f>AVERAGE('18.10 MUBENDE-MITYANA-24h'!C79,'19.10  MUBENDE-MITYANA-24h'!C79)</f>
        <v>0.5</v>
      </c>
      <c r="D79" s="49">
        <f>AVERAGE('18.10 MUBENDE-MITYANA-24h'!D79,'19.10  MUBENDE-MITYANA-24h'!D79)</f>
        <v>0</v>
      </c>
      <c r="E79" s="49">
        <f>AVERAGE('18.10 MUBENDE-MITYANA-24h'!E79,'19.10  MUBENDE-MITYANA-24h'!E79)</f>
        <v>0</v>
      </c>
      <c r="F79" s="49">
        <f>AVERAGE('18.10 MUBENDE-MITYANA-24h'!F79,'19.10  MUBENDE-MITYANA-24h'!F79)</f>
        <v>1</v>
      </c>
      <c r="G79" s="49">
        <f>AVERAGE('18.10 MUBENDE-MITYANA-24h'!G79,'19.10  MUBENDE-MITYANA-24h'!G79)</f>
        <v>0</v>
      </c>
      <c r="H79" s="49">
        <f>AVERAGE('18.10 MUBENDE-MITYANA-24h'!H79,'19.10  MUBENDE-MITYANA-24h'!H79)</f>
        <v>0.5</v>
      </c>
      <c r="I79" s="49">
        <f>AVERAGE('18.10 MUBENDE-MITYANA-24h'!I79,'19.10  MUBENDE-MITYANA-24h'!I79)</f>
        <v>1.5</v>
      </c>
      <c r="J79" s="49">
        <f>AVERAGE('18.10 MUBENDE-MITYANA-24h'!J79,'19.10  MUBENDE-MITYANA-24h'!J79)</f>
        <v>4</v>
      </c>
      <c r="K79" s="49">
        <f>AVERAGE('18.10 MUBENDE-MITYANA-24h'!K79,'19.10  MUBENDE-MITYANA-24h'!K79)</f>
        <v>1.5</v>
      </c>
      <c r="L79" s="49">
        <f>AVERAGE('18.10 MUBENDE-MITYANA-24h'!L79,'19.10  MUBENDE-MITYANA-24h'!L79)</f>
        <v>0</v>
      </c>
      <c r="M79" s="49">
        <f>AVERAGE('18.10 MUBENDE-MITYANA-24h'!M79,'19.10  MUBENDE-MITYANA-24h'!M79)</f>
        <v>2.5</v>
      </c>
      <c r="N79" s="49">
        <f>AVERAGE('18.10 MUBENDE-MITYANA-24h'!N79,'19.10  MUBENDE-MITYANA-24h'!N79)</f>
        <v>0</v>
      </c>
      <c r="O79" s="15">
        <f t="shared" si="35"/>
        <v>9</v>
      </c>
      <c r="P79" s="15">
        <f t="shared" si="36"/>
        <v>11.5</v>
      </c>
      <c r="R79" s="8"/>
      <c r="T79"/>
    </row>
    <row r="80" spans="2:20" ht="23.1" customHeight="1" x14ac:dyDescent="0.25">
      <c r="B80" s="25" t="s">
        <v>120</v>
      </c>
      <c r="C80" s="49">
        <f>AVERAGE('18.10 MUBENDE-MITYANA-24h'!C80,'19.10  MUBENDE-MITYANA-24h'!C80)</f>
        <v>2</v>
      </c>
      <c r="D80" s="49">
        <f>AVERAGE('18.10 MUBENDE-MITYANA-24h'!D80,'19.10  MUBENDE-MITYANA-24h'!D80)</f>
        <v>0</v>
      </c>
      <c r="E80" s="49">
        <f>AVERAGE('18.10 MUBENDE-MITYANA-24h'!E80,'19.10  MUBENDE-MITYANA-24h'!E80)</f>
        <v>0.5</v>
      </c>
      <c r="F80" s="49">
        <f>AVERAGE('18.10 MUBENDE-MITYANA-24h'!F80,'19.10  MUBENDE-MITYANA-24h'!F80)</f>
        <v>0.5</v>
      </c>
      <c r="G80" s="49">
        <f>AVERAGE('18.10 MUBENDE-MITYANA-24h'!G80,'19.10  MUBENDE-MITYANA-24h'!G80)</f>
        <v>0</v>
      </c>
      <c r="H80" s="49">
        <f>AVERAGE('18.10 MUBENDE-MITYANA-24h'!H80,'19.10  MUBENDE-MITYANA-24h'!H80)</f>
        <v>0</v>
      </c>
      <c r="I80" s="49">
        <f>AVERAGE('18.10 MUBENDE-MITYANA-24h'!I80,'19.10  MUBENDE-MITYANA-24h'!I80)</f>
        <v>2.5</v>
      </c>
      <c r="J80" s="49">
        <f>AVERAGE('18.10 MUBENDE-MITYANA-24h'!J80,'19.10  MUBENDE-MITYANA-24h'!J80)</f>
        <v>1.5</v>
      </c>
      <c r="K80" s="49">
        <f>AVERAGE('18.10 MUBENDE-MITYANA-24h'!K80,'19.10  MUBENDE-MITYANA-24h'!K80)</f>
        <v>1</v>
      </c>
      <c r="L80" s="49">
        <f>AVERAGE('18.10 MUBENDE-MITYANA-24h'!L80,'19.10  MUBENDE-MITYANA-24h'!L80)</f>
        <v>0.5</v>
      </c>
      <c r="M80" s="49">
        <f>AVERAGE('18.10 MUBENDE-MITYANA-24h'!M80,'19.10  MUBENDE-MITYANA-24h'!M80)</f>
        <v>3</v>
      </c>
      <c r="N80" s="49">
        <f>AVERAGE('18.10 MUBENDE-MITYANA-24h'!N80,'19.10  MUBENDE-MITYANA-24h'!N80)</f>
        <v>0</v>
      </c>
      <c r="O80" s="15">
        <f t="shared" si="35"/>
        <v>8.5</v>
      </c>
      <c r="P80" s="15">
        <f t="shared" si="36"/>
        <v>11.5</v>
      </c>
      <c r="R80" s="8"/>
      <c r="T80"/>
    </row>
    <row r="81" spans="2:20" ht="23.1" customHeight="1" x14ac:dyDescent="0.25">
      <c r="B81" s="23" t="s">
        <v>121</v>
      </c>
      <c r="C81" s="49">
        <f>AVERAGE('18.10 MUBENDE-MITYANA-24h'!C81,'19.10  MUBENDE-MITYANA-24h'!C81)</f>
        <v>1</v>
      </c>
      <c r="D81" s="49">
        <f>AVERAGE('18.10 MUBENDE-MITYANA-24h'!D81,'19.10  MUBENDE-MITYANA-24h'!D81)</f>
        <v>0</v>
      </c>
      <c r="E81" s="49">
        <f>AVERAGE('18.10 MUBENDE-MITYANA-24h'!E81,'19.10  MUBENDE-MITYANA-24h'!E81)</f>
        <v>0.5</v>
      </c>
      <c r="F81" s="49">
        <f>AVERAGE('18.10 MUBENDE-MITYANA-24h'!F81,'19.10  MUBENDE-MITYANA-24h'!F81)</f>
        <v>0</v>
      </c>
      <c r="G81" s="49">
        <f>AVERAGE('18.10 MUBENDE-MITYANA-24h'!G81,'19.10  MUBENDE-MITYANA-24h'!G81)</f>
        <v>0.5</v>
      </c>
      <c r="H81" s="49">
        <f>AVERAGE('18.10 MUBENDE-MITYANA-24h'!H81,'19.10  MUBENDE-MITYANA-24h'!H81)</f>
        <v>0</v>
      </c>
      <c r="I81" s="49">
        <f>AVERAGE('18.10 MUBENDE-MITYANA-24h'!I81,'19.10  MUBENDE-MITYANA-24h'!I81)</f>
        <v>2.5</v>
      </c>
      <c r="J81" s="49">
        <f>AVERAGE('18.10 MUBENDE-MITYANA-24h'!J81,'19.10  MUBENDE-MITYANA-24h'!J81)</f>
        <v>1</v>
      </c>
      <c r="K81" s="49">
        <f>AVERAGE('18.10 MUBENDE-MITYANA-24h'!K81,'19.10  MUBENDE-MITYANA-24h'!K81)</f>
        <v>1.5</v>
      </c>
      <c r="L81" s="49">
        <f>AVERAGE('18.10 MUBENDE-MITYANA-24h'!L81,'19.10  MUBENDE-MITYANA-24h'!L81)</f>
        <v>0</v>
      </c>
      <c r="M81" s="49">
        <f>AVERAGE('18.10 MUBENDE-MITYANA-24h'!M81,'19.10  MUBENDE-MITYANA-24h'!M81)</f>
        <v>0</v>
      </c>
      <c r="N81" s="49">
        <f>AVERAGE('18.10 MUBENDE-MITYANA-24h'!N81,'19.10  MUBENDE-MITYANA-24h'!N81)</f>
        <v>0</v>
      </c>
      <c r="O81" s="15">
        <f t="shared" si="35"/>
        <v>7</v>
      </c>
      <c r="P81" s="15">
        <f t="shared" si="36"/>
        <v>7</v>
      </c>
      <c r="R81" s="8"/>
      <c r="T81"/>
    </row>
    <row r="82" spans="2:20" ht="23.1" customHeight="1" x14ac:dyDescent="0.25">
      <c r="B82" s="24" t="s">
        <v>122</v>
      </c>
      <c r="C82" s="49">
        <f>AVERAGE('18.10 MUBENDE-MITYANA-24h'!C82,'19.10  MUBENDE-MITYANA-24h'!C82)</f>
        <v>0.5</v>
      </c>
      <c r="D82" s="49">
        <f>AVERAGE('18.10 MUBENDE-MITYANA-24h'!D82,'19.10  MUBENDE-MITYANA-24h'!D82)</f>
        <v>0</v>
      </c>
      <c r="E82" s="49">
        <f>AVERAGE('18.10 MUBENDE-MITYANA-24h'!E82,'19.10  MUBENDE-MITYANA-24h'!E82)</f>
        <v>0</v>
      </c>
      <c r="F82" s="49">
        <f>AVERAGE('18.10 MUBENDE-MITYANA-24h'!F82,'19.10  MUBENDE-MITYANA-24h'!F82)</f>
        <v>0.5</v>
      </c>
      <c r="G82" s="49">
        <f>AVERAGE('18.10 MUBENDE-MITYANA-24h'!G82,'19.10  MUBENDE-MITYANA-24h'!G82)</f>
        <v>0</v>
      </c>
      <c r="H82" s="49">
        <f>AVERAGE('18.10 MUBENDE-MITYANA-24h'!H82,'19.10  MUBENDE-MITYANA-24h'!H82)</f>
        <v>0.5</v>
      </c>
      <c r="I82" s="49">
        <f>AVERAGE('18.10 MUBENDE-MITYANA-24h'!I82,'19.10  MUBENDE-MITYANA-24h'!I82)</f>
        <v>2.5</v>
      </c>
      <c r="J82" s="49">
        <f>AVERAGE('18.10 MUBENDE-MITYANA-24h'!J82,'19.10  MUBENDE-MITYANA-24h'!J82)</f>
        <v>2</v>
      </c>
      <c r="K82" s="49">
        <f>AVERAGE('18.10 MUBENDE-MITYANA-24h'!K82,'19.10  MUBENDE-MITYANA-24h'!K82)</f>
        <v>2</v>
      </c>
      <c r="L82" s="49">
        <f>AVERAGE('18.10 MUBENDE-MITYANA-24h'!L82,'19.10  MUBENDE-MITYANA-24h'!L82)</f>
        <v>1.5</v>
      </c>
      <c r="M82" s="49">
        <f>AVERAGE('18.10 MUBENDE-MITYANA-24h'!M82,'19.10  MUBENDE-MITYANA-24h'!M82)</f>
        <v>0</v>
      </c>
      <c r="N82" s="49">
        <f>AVERAGE('18.10 MUBENDE-MITYANA-24h'!N82,'19.10  MUBENDE-MITYANA-24h'!N82)</f>
        <v>0</v>
      </c>
      <c r="O82" s="15">
        <f t="shared" si="35"/>
        <v>9.5</v>
      </c>
      <c r="P82" s="15">
        <f t="shared" si="36"/>
        <v>9.5</v>
      </c>
      <c r="R82" s="8"/>
      <c r="T82"/>
    </row>
    <row r="83" spans="2:20" ht="23.1" customHeight="1" x14ac:dyDescent="0.25">
      <c r="B83" s="23" t="s">
        <v>123</v>
      </c>
      <c r="C83" s="49">
        <f>AVERAGE('18.10 MUBENDE-MITYANA-24h'!C83,'19.10  MUBENDE-MITYANA-24h'!C83)</f>
        <v>0.5</v>
      </c>
      <c r="D83" s="49">
        <f>AVERAGE('18.10 MUBENDE-MITYANA-24h'!D83,'19.10  MUBENDE-MITYANA-24h'!D83)</f>
        <v>0</v>
      </c>
      <c r="E83" s="49">
        <f>AVERAGE('18.10 MUBENDE-MITYANA-24h'!E83,'19.10  MUBENDE-MITYANA-24h'!E83)</f>
        <v>0</v>
      </c>
      <c r="F83" s="49">
        <f>AVERAGE('18.10 MUBENDE-MITYANA-24h'!F83,'19.10  MUBENDE-MITYANA-24h'!F83)</f>
        <v>0.5</v>
      </c>
      <c r="G83" s="49">
        <f>AVERAGE('18.10 MUBENDE-MITYANA-24h'!G83,'19.10  MUBENDE-MITYANA-24h'!G83)</f>
        <v>0</v>
      </c>
      <c r="H83" s="49">
        <f>AVERAGE('18.10 MUBENDE-MITYANA-24h'!H83,'19.10  MUBENDE-MITYANA-24h'!H83)</f>
        <v>0</v>
      </c>
      <c r="I83" s="49">
        <f>AVERAGE('18.10 MUBENDE-MITYANA-24h'!I83,'19.10  MUBENDE-MITYANA-24h'!I83)</f>
        <v>3</v>
      </c>
      <c r="J83" s="49">
        <f>AVERAGE('18.10 MUBENDE-MITYANA-24h'!J83,'19.10  MUBENDE-MITYANA-24h'!J83)</f>
        <v>3.5</v>
      </c>
      <c r="K83" s="49">
        <f>AVERAGE('18.10 MUBENDE-MITYANA-24h'!K83,'19.10  MUBENDE-MITYANA-24h'!K83)</f>
        <v>0</v>
      </c>
      <c r="L83" s="49">
        <f>AVERAGE('18.10 MUBENDE-MITYANA-24h'!L83,'19.10  MUBENDE-MITYANA-24h'!L83)</f>
        <v>1.5</v>
      </c>
      <c r="M83" s="49">
        <f>AVERAGE('18.10 MUBENDE-MITYANA-24h'!M83,'19.10  MUBENDE-MITYANA-24h'!M83)</f>
        <v>1.5</v>
      </c>
      <c r="N83" s="49">
        <f>AVERAGE('18.10 MUBENDE-MITYANA-24h'!N83,'19.10  MUBENDE-MITYANA-24h'!N83)</f>
        <v>0</v>
      </c>
      <c r="O83" s="15">
        <f t="shared" si="35"/>
        <v>9</v>
      </c>
      <c r="P83" s="15">
        <f t="shared" si="36"/>
        <v>10.5</v>
      </c>
      <c r="R83" s="8"/>
      <c r="T83"/>
    </row>
    <row r="84" spans="2:20" ht="23.1" customHeight="1" x14ac:dyDescent="0.25">
      <c r="B84" s="25" t="s">
        <v>124</v>
      </c>
      <c r="C84" s="49">
        <f>AVERAGE('18.10 MUBENDE-MITYANA-24h'!C84,'19.10  MUBENDE-MITYANA-24h'!C84)</f>
        <v>0</v>
      </c>
      <c r="D84" s="49">
        <f>AVERAGE('18.10 MUBENDE-MITYANA-24h'!D84,'19.10  MUBENDE-MITYANA-24h'!D84)</f>
        <v>0.5</v>
      </c>
      <c r="E84" s="49">
        <f>AVERAGE('18.10 MUBENDE-MITYANA-24h'!E84,'19.10  MUBENDE-MITYANA-24h'!E84)</f>
        <v>1</v>
      </c>
      <c r="F84" s="49">
        <f>AVERAGE('18.10 MUBENDE-MITYANA-24h'!F84,'19.10  MUBENDE-MITYANA-24h'!F84)</f>
        <v>0.5</v>
      </c>
      <c r="G84" s="49">
        <f>AVERAGE('18.10 MUBENDE-MITYANA-24h'!G84,'19.10  MUBENDE-MITYANA-24h'!G84)</f>
        <v>0.5</v>
      </c>
      <c r="H84" s="49">
        <f>AVERAGE('18.10 MUBENDE-MITYANA-24h'!H84,'19.10  MUBENDE-MITYANA-24h'!H84)</f>
        <v>0.5</v>
      </c>
      <c r="I84" s="49">
        <f>AVERAGE('18.10 MUBENDE-MITYANA-24h'!I84,'19.10  MUBENDE-MITYANA-24h'!I84)</f>
        <v>1.5</v>
      </c>
      <c r="J84" s="49">
        <f>AVERAGE('18.10 MUBENDE-MITYANA-24h'!J84,'19.10  MUBENDE-MITYANA-24h'!J84)</f>
        <v>4</v>
      </c>
      <c r="K84" s="49">
        <f>AVERAGE('18.10 MUBENDE-MITYANA-24h'!K84,'19.10  MUBENDE-MITYANA-24h'!K84)</f>
        <v>0.5</v>
      </c>
      <c r="L84" s="49">
        <f>AVERAGE('18.10 MUBENDE-MITYANA-24h'!L84,'19.10  MUBENDE-MITYANA-24h'!L84)</f>
        <v>2.5</v>
      </c>
      <c r="M84" s="49">
        <f>AVERAGE('18.10 MUBENDE-MITYANA-24h'!M84,'19.10  MUBENDE-MITYANA-24h'!M84)</f>
        <v>1</v>
      </c>
      <c r="N84" s="49">
        <f>AVERAGE('18.10 MUBENDE-MITYANA-24h'!N84,'19.10  MUBENDE-MITYANA-24h'!N84)</f>
        <v>0</v>
      </c>
      <c r="O84" s="15">
        <f t="shared" si="35"/>
        <v>11.5</v>
      </c>
      <c r="P84" s="15">
        <f t="shared" si="36"/>
        <v>12.5</v>
      </c>
      <c r="R84" s="8"/>
      <c r="T84"/>
    </row>
    <row r="85" spans="2:20" ht="23.1" customHeight="1" x14ac:dyDescent="0.25">
      <c r="B85" s="23" t="s">
        <v>125</v>
      </c>
      <c r="C85" s="49">
        <f>AVERAGE('18.10 MUBENDE-MITYANA-24h'!C85,'19.10  MUBENDE-MITYANA-24h'!C85)</f>
        <v>0</v>
      </c>
      <c r="D85" s="49">
        <f>AVERAGE('18.10 MUBENDE-MITYANA-24h'!D85,'19.10  MUBENDE-MITYANA-24h'!D85)</f>
        <v>0</v>
      </c>
      <c r="E85" s="49">
        <f>AVERAGE('18.10 MUBENDE-MITYANA-24h'!E85,'19.10  MUBENDE-MITYANA-24h'!E85)</f>
        <v>0</v>
      </c>
      <c r="F85" s="49">
        <f>AVERAGE('18.10 MUBENDE-MITYANA-24h'!F85,'19.10  MUBENDE-MITYANA-24h'!F85)</f>
        <v>0.5</v>
      </c>
      <c r="G85" s="49">
        <f>AVERAGE('18.10 MUBENDE-MITYANA-24h'!G85,'19.10  MUBENDE-MITYANA-24h'!G85)</f>
        <v>0</v>
      </c>
      <c r="H85" s="49">
        <f>AVERAGE('18.10 MUBENDE-MITYANA-24h'!H85,'19.10  MUBENDE-MITYANA-24h'!H85)</f>
        <v>0.5</v>
      </c>
      <c r="I85" s="49">
        <f>AVERAGE('18.10 MUBENDE-MITYANA-24h'!I85,'19.10  MUBENDE-MITYANA-24h'!I85)</f>
        <v>3</v>
      </c>
      <c r="J85" s="49">
        <f>AVERAGE('18.10 MUBENDE-MITYANA-24h'!J85,'19.10  MUBENDE-MITYANA-24h'!J85)</f>
        <v>2</v>
      </c>
      <c r="K85" s="49">
        <f>AVERAGE('18.10 MUBENDE-MITYANA-24h'!K85,'19.10  MUBENDE-MITYANA-24h'!K85)</f>
        <v>1</v>
      </c>
      <c r="L85" s="49">
        <f>AVERAGE('18.10 MUBENDE-MITYANA-24h'!L85,'19.10  MUBENDE-MITYANA-24h'!L85)</f>
        <v>1</v>
      </c>
      <c r="M85" s="49">
        <f>AVERAGE('18.10 MUBENDE-MITYANA-24h'!M85,'19.10  MUBENDE-MITYANA-24h'!M85)</f>
        <v>1</v>
      </c>
      <c r="N85" s="49">
        <f>AVERAGE('18.10 MUBENDE-MITYANA-24h'!N85,'19.10  MUBENDE-MITYANA-24h'!N85)</f>
        <v>0</v>
      </c>
      <c r="O85" s="15">
        <f t="shared" si="35"/>
        <v>8</v>
      </c>
      <c r="P85" s="15">
        <f t="shared" si="36"/>
        <v>9</v>
      </c>
      <c r="R85" s="8"/>
      <c r="T85"/>
    </row>
    <row r="86" spans="2:20" ht="23.1" customHeight="1" x14ac:dyDescent="0.25">
      <c r="B86" s="24" t="s">
        <v>126</v>
      </c>
      <c r="C86" s="49">
        <f>AVERAGE('18.10 MUBENDE-MITYANA-24h'!C86,'19.10  MUBENDE-MITYANA-24h'!C86)</f>
        <v>1</v>
      </c>
      <c r="D86" s="49">
        <f>AVERAGE('18.10 MUBENDE-MITYANA-24h'!D86,'19.10  MUBENDE-MITYANA-24h'!D86)</f>
        <v>0</v>
      </c>
      <c r="E86" s="49">
        <f>AVERAGE('18.10 MUBENDE-MITYANA-24h'!E86,'19.10  MUBENDE-MITYANA-24h'!E86)</f>
        <v>0</v>
      </c>
      <c r="F86" s="49">
        <f>AVERAGE('18.10 MUBENDE-MITYANA-24h'!F86,'19.10  MUBENDE-MITYANA-24h'!F86)</f>
        <v>0.5</v>
      </c>
      <c r="G86" s="49">
        <f>AVERAGE('18.10 MUBENDE-MITYANA-24h'!G86,'19.10  MUBENDE-MITYANA-24h'!G86)</f>
        <v>0.5</v>
      </c>
      <c r="H86" s="49">
        <f>AVERAGE('18.10 MUBENDE-MITYANA-24h'!H86,'19.10  MUBENDE-MITYANA-24h'!H86)</f>
        <v>0</v>
      </c>
      <c r="I86" s="49">
        <f>AVERAGE('18.10 MUBENDE-MITYANA-24h'!I86,'19.10  MUBENDE-MITYANA-24h'!I86)</f>
        <v>1.5</v>
      </c>
      <c r="J86" s="49">
        <f>AVERAGE('18.10 MUBENDE-MITYANA-24h'!J86,'19.10  MUBENDE-MITYANA-24h'!J86)</f>
        <v>5</v>
      </c>
      <c r="K86" s="49">
        <f>AVERAGE('18.10 MUBENDE-MITYANA-24h'!K86,'19.10  MUBENDE-MITYANA-24h'!K86)</f>
        <v>1</v>
      </c>
      <c r="L86" s="49">
        <f>AVERAGE('18.10 MUBENDE-MITYANA-24h'!L86,'19.10  MUBENDE-MITYANA-24h'!L86)</f>
        <v>0</v>
      </c>
      <c r="M86" s="49">
        <f>AVERAGE('18.10 MUBENDE-MITYANA-24h'!M86,'19.10  MUBENDE-MITYANA-24h'!M86)</f>
        <v>0</v>
      </c>
      <c r="N86" s="49">
        <f>AVERAGE('18.10 MUBENDE-MITYANA-24h'!N86,'19.10  MUBENDE-MITYANA-24h'!N86)</f>
        <v>0</v>
      </c>
      <c r="O86" s="15">
        <f t="shared" si="35"/>
        <v>9.5</v>
      </c>
      <c r="P86" s="15">
        <f t="shared" si="36"/>
        <v>9.5</v>
      </c>
      <c r="R86" s="8"/>
      <c r="T86"/>
    </row>
    <row r="87" spans="2:20" ht="23.1" customHeight="1" x14ac:dyDescent="0.25">
      <c r="B87" s="23" t="s">
        <v>127</v>
      </c>
      <c r="C87" s="49">
        <f>AVERAGE('18.10 MUBENDE-MITYANA-24h'!C87,'19.10  MUBENDE-MITYANA-24h'!C87)</f>
        <v>0</v>
      </c>
      <c r="D87" s="49">
        <f>AVERAGE('18.10 MUBENDE-MITYANA-24h'!D87,'19.10  MUBENDE-MITYANA-24h'!D87)</f>
        <v>0.5</v>
      </c>
      <c r="E87" s="49">
        <f>AVERAGE('18.10 MUBENDE-MITYANA-24h'!E87,'19.10  MUBENDE-MITYANA-24h'!E87)</f>
        <v>0</v>
      </c>
      <c r="F87" s="49">
        <f>AVERAGE('18.10 MUBENDE-MITYANA-24h'!F87,'19.10  MUBENDE-MITYANA-24h'!F87)</f>
        <v>0</v>
      </c>
      <c r="G87" s="49">
        <f>AVERAGE('18.10 MUBENDE-MITYANA-24h'!G87,'19.10  MUBENDE-MITYANA-24h'!G87)</f>
        <v>0</v>
      </c>
      <c r="H87" s="49">
        <f>AVERAGE('18.10 MUBENDE-MITYANA-24h'!H87,'19.10  MUBENDE-MITYANA-24h'!H87)</f>
        <v>0</v>
      </c>
      <c r="I87" s="49">
        <f>AVERAGE('18.10 MUBENDE-MITYANA-24h'!I87,'19.10  MUBENDE-MITYANA-24h'!I87)</f>
        <v>3</v>
      </c>
      <c r="J87" s="49">
        <f>AVERAGE('18.10 MUBENDE-MITYANA-24h'!J87,'19.10  MUBENDE-MITYANA-24h'!J87)</f>
        <v>5.5</v>
      </c>
      <c r="K87" s="49">
        <f>AVERAGE('18.10 MUBENDE-MITYANA-24h'!K87,'19.10  MUBENDE-MITYANA-24h'!K87)</f>
        <v>0.5</v>
      </c>
      <c r="L87" s="49">
        <f>AVERAGE('18.10 MUBENDE-MITYANA-24h'!L87,'19.10  MUBENDE-MITYANA-24h'!L87)</f>
        <v>0.5</v>
      </c>
      <c r="M87" s="49">
        <f>AVERAGE('18.10 MUBENDE-MITYANA-24h'!M87,'19.10  MUBENDE-MITYANA-24h'!M87)</f>
        <v>6</v>
      </c>
      <c r="N87" s="49">
        <f>AVERAGE('18.10 MUBENDE-MITYANA-24h'!N87,'19.10  MUBENDE-MITYANA-24h'!N87)</f>
        <v>0</v>
      </c>
      <c r="O87" s="15">
        <f t="shared" si="35"/>
        <v>10</v>
      </c>
      <c r="P87" s="15">
        <f t="shared" si="36"/>
        <v>16</v>
      </c>
      <c r="R87" s="8"/>
      <c r="T87"/>
    </row>
    <row r="88" spans="2:20" ht="23.1" customHeight="1" x14ac:dyDescent="0.25">
      <c r="B88" s="25" t="s">
        <v>128</v>
      </c>
      <c r="C88" s="49">
        <f>AVERAGE('18.10 MUBENDE-MITYANA-24h'!C88,'19.10  MUBENDE-MITYANA-24h'!C88)</f>
        <v>0</v>
      </c>
      <c r="D88" s="49">
        <f>AVERAGE('18.10 MUBENDE-MITYANA-24h'!D88,'19.10  MUBENDE-MITYANA-24h'!D88)</f>
        <v>0</v>
      </c>
      <c r="E88" s="49">
        <f>AVERAGE('18.10 MUBENDE-MITYANA-24h'!E88,'19.10  MUBENDE-MITYANA-24h'!E88)</f>
        <v>0.5</v>
      </c>
      <c r="F88" s="49">
        <f>AVERAGE('18.10 MUBENDE-MITYANA-24h'!F88,'19.10  MUBENDE-MITYANA-24h'!F88)</f>
        <v>0.5</v>
      </c>
      <c r="G88" s="49">
        <f>AVERAGE('18.10 MUBENDE-MITYANA-24h'!G88,'19.10  MUBENDE-MITYANA-24h'!G88)</f>
        <v>0</v>
      </c>
      <c r="H88" s="49">
        <f>AVERAGE('18.10 MUBENDE-MITYANA-24h'!H88,'19.10  MUBENDE-MITYANA-24h'!H88)</f>
        <v>0.5</v>
      </c>
      <c r="I88" s="49">
        <f>AVERAGE('18.10 MUBENDE-MITYANA-24h'!I88,'19.10  MUBENDE-MITYANA-24h'!I88)</f>
        <v>1</v>
      </c>
      <c r="J88" s="49">
        <f>AVERAGE('18.10 MUBENDE-MITYANA-24h'!J88,'19.10  MUBENDE-MITYANA-24h'!J88)</f>
        <v>2</v>
      </c>
      <c r="K88" s="49">
        <f>AVERAGE('18.10 MUBENDE-MITYANA-24h'!K88,'19.10  MUBENDE-MITYANA-24h'!K88)</f>
        <v>0.5</v>
      </c>
      <c r="L88" s="49">
        <f>AVERAGE('18.10 MUBENDE-MITYANA-24h'!L88,'19.10  MUBENDE-MITYANA-24h'!L88)</f>
        <v>0.5</v>
      </c>
      <c r="M88" s="49">
        <f>AVERAGE('18.10 MUBENDE-MITYANA-24h'!M88,'19.10  MUBENDE-MITYANA-24h'!M88)</f>
        <v>1</v>
      </c>
      <c r="N88" s="49">
        <f>AVERAGE('18.10 MUBENDE-MITYANA-24h'!N88,'19.10  MUBENDE-MITYANA-24h'!N88)</f>
        <v>0</v>
      </c>
      <c r="O88" s="15">
        <f t="shared" si="35"/>
        <v>5.5</v>
      </c>
      <c r="P88" s="15">
        <f t="shared" si="36"/>
        <v>6.5</v>
      </c>
      <c r="R88" s="8"/>
      <c r="T88"/>
    </row>
    <row r="89" spans="2:20" ht="23.1" customHeight="1" x14ac:dyDescent="0.25">
      <c r="B89" s="23" t="s">
        <v>129</v>
      </c>
      <c r="C89" s="49">
        <f>AVERAGE('18.10 MUBENDE-MITYANA-24h'!C89,'19.10  MUBENDE-MITYANA-24h'!C89)</f>
        <v>0</v>
      </c>
      <c r="D89" s="49">
        <f>AVERAGE('18.10 MUBENDE-MITYANA-24h'!D89,'19.10  MUBENDE-MITYANA-24h'!D89)</f>
        <v>0</v>
      </c>
      <c r="E89" s="49">
        <f>AVERAGE('18.10 MUBENDE-MITYANA-24h'!E89,'19.10  MUBENDE-MITYANA-24h'!E89)</f>
        <v>0</v>
      </c>
      <c r="F89" s="49">
        <f>AVERAGE('18.10 MUBENDE-MITYANA-24h'!F89,'19.10  MUBENDE-MITYANA-24h'!F89)</f>
        <v>0.5</v>
      </c>
      <c r="G89" s="49">
        <f>AVERAGE('18.10 MUBENDE-MITYANA-24h'!G89,'19.10  MUBENDE-MITYANA-24h'!G89)</f>
        <v>0</v>
      </c>
      <c r="H89" s="49">
        <f>AVERAGE('18.10 MUBENDE-MITYANA-24h'!H89,'19.10  MUBENDE-MITYANA-24h'!H89)</f>
        <v>1</v>
      </c>
      <c r="I89" s="49">
        <f>AVERAGE('18.10 MUBENDE-MITYANA-24h'!I89,'19.10  MUBENDE-MITYANA-24h'!I89)</f>
        <v>1</v>
      </c>
      <c r="J89" s="49">
        <f>AVERAGE('18.10 MUBENDE-MITYANA-24h'!J89,'19.10  MUBENDE-MITYANA-24h'!J89)</f>
        <v>0.5</v>
      </c>
      <c r="K89" s="49">
        <f>AVERAGE('18.10 MUBENDE-MITYANA-24h'!K89,'19.10  MUBENDE-MITYANA-24h'!K89)</f>
        <v>1</v>
      </c>
      <c r="L89" s="49">
        <f>AVERAGE('18.10 MUBENDE-MITYANA-24h'!L89,'19.10  MUBENDE-MITYANA-24h'!L89)</f>
        <v>1.5</v>
      </c>
      <c r="M89" s="49">
        <f>AVERAGE('18.10 MUBENDE-MITYANA-24h'!M89,'19.10  MUBENDE-MITYANA-24h'!M89)</f>
        <v>0</v>
      </c>
      <c r="N89" s="49">
        <f>AVERAGE('18.10 MUBENDE-MITYANA-24h'!N89,'19.10  MUBENDE-MITYANA-24h'!N89)</f>
        <v>0</v>
      </c>
      <c r="O89" s="15">
        <f t="shared" si="35"/>
        <v>5.5</v>
      </c>
      <c r="P89" s="15">
        <f t="shared" si="36"/>
        <v>5.5</v>
      </c>
      <c r="R89" s="8"/>
      <c r="T89"/>
    </row>
    <row r="90" spans="2:20" ht="23.1" customHeight="1" x14ac:dyDescent="0.25">
      <c r="B90" s="24" t="s">
        <v>130</v>
      </c>
      <c r="C90" s="49">
        <f>AVERAGE('18.10 MUBENDE-MITYANA-24h'!C90,'19.10  MUBENDE-MITYANA-24h'!C90)</f>
        <v>1</v>
      </c>
      <c r="D90" s="49">
        <f>AVERAGE('18.10 MUBENDE-MITYANA-24h'!D90,'19.10  MUBENDE-MITYANA-24h'!D90)</f>
        <v>0.5</v>
      </c>
      <c r="E90" s="49">
        <f>AVERAGE('18.10 MUBENDE-MITYANA-24h'!E90,'19.10  MUBENDE-MITYANA-24h'!E90)</f>
        <v>1</v>
      </c>
      <c r="F90" s="49">
        <f>AVERAGE('18.10 MUBENDE-MITYANA-24h'!F90,'19.10  MUBENDE-MITYANA-24h'!F90)</f>
        <v>0</v>
      </c>
      <c r="G90" s="49">
        <f>AVERAGE('18.10 MUBENDE-MITYANA-24h'!G90,'19.10  MUBENDE-MITYANA-24h'!G90)</f>
        <v>0</v>
      </c>
      <c r="H90" s="49">
        <f>AVERAGE('18.10 MUBENDE-MITYANA-24h'!H90,'19.10  MUBENDE-MITYANA-24h'!H90)</f>
        <v>1</v>
      </c>
      <c r="I90" s="49">
        <f>AVERAGE('18.10 MUBENDE-MITYANA-24h'!I90,'19.10  MUBENDE-MITYANA-24h'!I90)</f>
        <v>1.5</v>
      </c>
      <c r="J90" s="49">
        <f>AVERAGE('18.10 MUBENDE-MITYANA-24h'!J90,'19.10  MUBENDE-MITYANA-24h'!J90)</f>
        <v>0.5</v>
      </c>
      <c r="K90" s="49">
        <f>AVERAGE('18.10 MUBENDE-MITYANA-24h'!K90,'19.10  MUBENDE-MITYANA-24h'!K90)</f>
        <v>0</v>
      </c>
      <c r="L90" s="49">
        <f>AVERAGE('18.10 MUBENDE-MITYANA-24h'!L90,'19.10  MUBENDE-MITYANA-24h'!L90)</f>
        <v>1</v>
      </c>
      <c r="M90" s="49">
        <f>AVERAGE('18.10 MUBENDE-MITYANA-24h'!M90,'19.10  MUBENDE-MITYANA-24h'!M90)</f>
        <v>0.5</v>
      </c>
      <c r="N90" s="49">
        <f>AVERAGE('18.10 MUBENDE-MITYANA-24h'!N90,'19.10  MUBENDE-MITYANA-24h'!N90)</f>
        <v>0</v>
      </c>
      <c r="O90" s="15">
        <f t="shared" si="35"/>
        <v>6.5</v>
      </c>
      <c r="P90" s="15">
        <f t="shared" si="36"/>
        <v>7</v>
      </c>
      <c r="R90" s="8"/>
      <c r="T90"/>
    </row>
    <row r="91" spans="2:20" ht="23.1" customHeight="1" x14ac:dyDescent="0.25">
      <c r="B91" s="23" t="s">
        <v>131</v>
      </c>
      <c r="C91" s="49">
        <f>AVERAGE('18.10 MUBENDE-MITYANA-24h'!C91,'19.10  MUBENDE-MITYANA-24h'!C91)</f>
        <v>1</v>
      </c>
      <c r="D91" s="49">
        <f>AVERAGE('18.10 MUBENDE-MITYANA-24h'!D91,'19.10  MUBENDE-MITYANA-24h'!D91)</f>
        <v>0</v>
      </c>
      <c r="E91" s="49">
        <f>AVERAGE('18.10 MUBENDE-MITYANA-24h'!E91,'19.10  MUBENDE-MITYANA-24h'!E91)</f>
        <v>0</v>
      </c>
      <c r="F91" s="49">
        <f>AVERAGE('18.10 MUBENDE-MITYANA-24h'!F91,'19.10  MUBENDE-MITYANA-24h'!F91)</f>
        <v>0</v>
      </c>
      <c r="G91" s="49">
        <f>AVERAGE('18.10 MUBENDE-MITYANA-24h'!G91,'19.10  MUBENDE-MITYANA-24h'!G91)</f>
        <v>0.5</v>
      </c>
      <c r="H91" s="49">
        <f>AVERAGE('18.10 MUBENDE-MITYANA-24h'!H91,'19.10  MUBENDE-MITYANA-24h'!H91)</f>
        <v>0.5</v>
      </c>
      <c r="I91" s="49">
        <f>AVERAGE('18.10 MUBENDE-MITYANA-24h'!I91,'19.10  MUBENDE-MITYANA-24h'!I91)</f>
        <v>0.5</v>
      </c>
      <c r="J91" s="49">
        <f>AVERAGE('18.10 MUBENDE-MITYANA-24h'!J91,'19.10  MUBENDE-MITYANA-24h'!J91)</f>
        <v>1.5</v>
      </c>
      <c r="K91" s="49">
        <f>AVERAGE('18.10 MUBENDE-MITYANA-24h'!K91,'19.10  MUBENDE-MITYANA-24h'!K91)</f>
        <v>1.5</v>
      </c>
      <c r="L91" s="49">
        <f>AVERAGE('18.10 MUBENDE-MITYANA-24h'!L91,'19.10  MUBENDE-MITYANA-24h'!L91)</f>
        <v>0</v>
      </c>
      <c r="M91" s="49">
        <f>AVERAGE('18.10 MUBENDE-MITYANA-24h'!M91,'19.10  MUBENDE-MITYANA-24h'!M91)</f>
        <v>2</v>
      </c>
      <c r="N91" s="49">
        <f>AVERAGE('18.10 MUBENDE-MITYANA-24h'!N91,'19.10  MUBENDE-MITYANA-24h'!N91)</f>
        <v>0</v>
      </c>
      <c r="O91" s="15">
        <f t="shared" si="35"/>
        <v>5.5</v>
      </c>
      <c r="P91" s="15">
        <f t="shared" si="36"/>
        <v>7.5</v>
      </c>
      <c r="R91" s="8"/>
      <c r="T91"/>
    </row>
    <row r="92" spans="2:20" ht="23.1" customHeight="1" x14ac:dyDescent="0.25">
      <c r="B92" s="25" t="s">
        <v>132</v>
      </c>
      <c r="C92" s="49">
        <f>AVERAGE('18.10 MUBENDE-MITYANA-24h'!C92,'19.10  MUBENDE-MITYANA-24h'!C92)</f>
        <v>0</v>
      </c>
      <c r="D92" s="49">
        <f>AVERAGE('18.10 MUBENDE-MITYANA-24h'!D92,'19.10  MUBENDE-MITYANA-24h'!D92)</f>
        <v>0.5</v>
      </c>
      <c r="E92" s="49">
        <f>AVERAGE('18.10 MUBENDE-MITYANA-24h'!E92,'19.10  MUBENDE-MITYANA-24h'!E92)</f>
        <v>0</v>
      </c>
      <c r="F92" s="49">
        <f>AVERAGE('18.10 MUBENDE-MITYANA-24h'!F92,'19.10  MUBENDE-MITYANA-24h'!F92)</f>
        <v>0</v>
      </c>
      <c r="G92" s="49">
        <f>AVERAGE('18.10 MUBENDE-MITYANA-24h'!G92,'19.10  MUBENDE-MITYANA-24h'!G92)</f>
        <v>0</v>
      </c>
      <c r="H92" s="49">
        <f>AVERAGE('18.10 MUBENDE-MITYANA-24h'!H92,'19.10  MUBENDE-MITYANA-24h'!H92)</f>
        <v>0.5</v>
      </c>
      <c r="I92" s="49">
        <f>AVERAGE('18.10 MUBENDE-MITYANA-24h'!I92,'19.10  MUBENDE-MITYANA-24h'!I92)</f>
        <v>1.5</v>
      </c>
      <c r="J92" s="49">
        <f>AVERAGE('18.10 MUBENDE-MITYANA-24h'!J92,'19.10  MUBENDE-MITYANA-24h'!J92)</f>
        <v>3</v>
      </c>
      <c r="K92" s="49">
        <f>AVERAGE('18.10 MUBENDE-MITYANA-24h'!K92,'19.10  MUBENDE-MITYANA-24h'!K92)</f>
        <v>2</v>
      </c>
      <c r="L92" s="49">
        <f>AVERAGE('18.10 MUBENDE-MITYANA-24h'!L92,'19.10  MUBENDE-MITYANA-24h'!L92)</f>
        <v>1</v>
      </c>
      <c r="M92" s="49">
        <f>AVERAGE('18.10 MUBENDE-MITYANA-24h'!M92,'19.10  MUBENDE-MITYANA-24h'!M92)</f>
        <v>2</v>
      </c>
      <c r="N92" s="49">
        <f>AVERAGE('18.10 MUBENDE-MITYANA-24h'!N92,'19.10  MUBENDE-MITYANA-24h'!N92)</f>
        <v>0</v>
      </c>
      <c r="O92" s="15">
        <f t="shared" si="35"/>
        <v>8.5</v>
      </c>
      <c r="P92" s="15">
        <f t="shared" si="36"/>
        <v>10.5</v>
      </c>
      <c r="R92" s="8"/>
      <c r="T92"/>
    </row>
    <row r="93" spans="2:20" ht="23.1" customHeight="1" x14ac:dyDescent="0.25">
      <c r="B93" s="23" t="s">
        <v>133</v>
      </c>
      <c r="C93" s="49">
        <f>AVERAGE('18.10 MUBENDE-MITYANA-24h'!C93,'19.10  MUBENDE-MITYANA-24h'!C93)</f>
        <v>0.5</v>
      </c>
      <c r="D93" s="49">
        <f>AVERAGE('18.10 MUBENDE-MITYANA-24h'!D93,'19.10  MUBENDE-MITYANA-24h'!D93)</f>
        <v>0.5</v>
      </c>
      <c r="E93" s="49">
        <f>AVERAGE('18.10 MUBENDE-MITYANA-24h'!E93,'19.10  MUBENDE-MITYANA-24h'!E93)</f>
        <v>0</v>
      </c>
      <c r="F93" s="49">
        <f>AVERAGE('18.10 MUBENDE-MITYANA-24h'!F93,'19.10  MUBENDE-MITYANA-24h'!F93)</f>
        <v>0</v>
      </c>
      <c r="G93" s="49">
        <f>AVERAGE('18.10 MUBENDE-MITYANA-24h'!G93,'19.10  MUBENDE-MITYANA-24h'!G93)</f>
        <v>0</v>
      </c>
      <c r="H93" s="49">
        <f>AVERAGE('18.10 MUBENDE-MITYANA-24h'!H93,'19.10  MUBENDE-MITYANA-24h'!H93)</f>
        <v>1</v>
      </c>
      <c r="I93" s="49">
        <f>AVERAGE('18.10 MUBENDE-MITYANA-24h'!I93,'19.10  MUBENDE-MITYANA-24h'!I93)</f>
        <v>1</v>
      </c>
      <c r="J93" s="49">
        <f>AVERAGE('18.10 MUBENDE-MITYANA-24h'!J93,'19.10  MUBENDE-MITYANA-24h'!J93)</f>
        <v>2.5</v>
      </c>
      <c r="K93" s="49">
        <f>AVERAGE('18.10 MUBENDE-MITYANA-24h'!K93,'19.10  MUBENDE-MITYANA-24h'!K93)</f>
        <v>0.5</v>
      </c>
      <c r="L93" s="49">
        <f>AVERAGE('18.10 MUBENDE-MITYANA-24h'!L93,'19.10  MUBENDE-MITYANA-24h'!L93)</f>
        <v>0</v>
      </c>
      <c r="M93" s="49">
        <f>AVERAGE('18.10 MUBENDE-MITYANA-24h'!M93,'19.10  MUBENDE-MITYANA-24h'!M93)</f>
        <v>1</v>
      </c>
      <c r="N93" s="49">
        <f>AVERAGE('18.10 MUBENDE-MITYANA-24h'!N93,'19.10  MUBENDE-MITYANA-24h'!N93)</f>
        <v>0</v>
      </c>
      <c r="O93" s="15">
        <f t="shared" si="35"/>
        <v>6</v>
      </c>
      <c r="P93" s="15">
        <f t="shared" si="36"/>
        <v>7</v>
      </c>
      <c r="R93" s="8"/>
      <c r="T93"/>
    </row>
    <row r="94" spans="2:20" ht="23.1" customHeight="1" x14ac:dyDescent="0.25">
      <c r="B94" s="24" t="s">
        <v>134</v>
      </c>
      <c r="C94" s="49">
        <f>AVERAGE('18.10 MUBENDE-MITYANA-24h'!C94,'19.10  MUBENDE-MITYANA-24h'!C94)</f>
        <v>1</v>
      </c>
      <c r="D94" s="49">
        <f>AVERAGE('18.10 MUBENDE-MITYANA-24h'!D94,'19.10  MUBENDE-MITYANA-24h'!D94)</f>
        <v>0.5</v>
      </c>
      <c r="E94" s="49">
        <f>AVERAGE('18.10 MUBENDE-MITYANA-24h'!E94,'19.10  MUBENDE-MITYANA-24h'!E94)</f>
        <v>0</v>
      </c>
      <c r="F94" s="49">
        <f>AVERAGE('18.10 MUBENDE-MITYANA-24h'!F94,'19.10  MUBENDE-MITYANA-24h'!F94)</f>
        <v>0</v>
      </c>
      <c r="G94" s="49">
        <f>AVERAGE('18.10 MUBENDE-MITYANA-24h'!G94,'19.10  MUBENDE-MITYANA-24h'!G94)</f>
        <v>0</v>
      </c>
      <c r="H94" s="49">
        <f>AVERAGE('18.10 MUBENDE-MITYANA-24h'!H94,'19.10  MUBENDE-MITYANA-24h'!H94)</f>
        <v>0.5</v>
      </c>
      <c r="I94" s="49">
        <f>AVERAGE('18.10 MUBENDE-MITYANA-24h'!I94,'19.10  MUBENDE-MITYANA-24h'!I94)</f>
        <v>1</v>
      </c>
      <c r="J94" s="49">
        <f>AVERAGE('18.10 MUBENDE-MITYANA-24h'!J94,'19.10  MUBENDE-MITYANA-24h'!J94)</f>
        <v>1.5</v>
      </c>
      <c r="K94" s="49">
        <f>AVERAGE('18.10 MUBENDE-MITYANA-24h'!K94,'19.10  MUBENDE-MITYANA-24h'!K94)</f>
        <v>1.5</v>
      </c>
      <c r="L94" s="49">
        <f>AVERAGE('18.10 MUBENDE-MITYANA-24h'!L94,'19.10  MUBENDE-MITYANA-24h'!L94)</f>
        <v>0</v>
      </c>
      <c r="M94" s="49">
        <f>AVERAGE('18.10 MUBENDE-MITYANA-24h'!M94,'19.10  MUBENDE-MITYANA-24h'!M94)</f>
        <v>0</v>
      </c>
      <c r="N94" s="49">
        <f>AVERAGE('18.10 MUBENDE-MITYANA-24h'!N94,'19.10  MUBENDE-MITYANA-24h'!N94)</f>
        <v>0</v>
      </c>
      <c r="O94" s="15">
        <f t="shared" si="35"/>
        <v>6</v>
      </c>
      <c r="P94" s="15">
        <f t="shared" si="36"/>
        <v>6</v>
      </c>
      <c r="R94" s="8"/>
      <c r="T94"/>
    </row>
    <row r="95" spans="2:20" ht="23.1" customHeight="1" x14ac:dyDescent="0.25">
      <c r="B95" s="23" t="s">
        <v>135</v>
      </c>
      <c r="C95" s="49">
        <f>AVERAGE('18.10 MUBENDE-MITYANA-24h'!C95,'19.10  MUBENDE-MITYANA-24h'!C95)</f>
        <v>0</v>
      </c>
      <c r="D95" s="49">
        <f>AVERAGE('18.10 MUBENDE-MITYANA-24h'!D95,'19.10  MUBENDE-MITYANA-24h'!D95)</f>
        <v>0</v>
      </c>
      <c r="E95" s="49">
        <f>AVERAGE('18.10 MUBENDE-MITYANA-24h'!E95,'19.10  MUBENDE-MITYANA-24h'!E95)</f>
        <v>0.5</v>
      </c>
      <c r="F95" s="49">
        <f>AVERAGE('18.10 MUBENDE-MITYANA-24h'!F95,'19.10  MUBENDE-MITYANA-24h'!F95)</f>
        <v>0</v>
      </c>
      <c r="G95" s="49">
        <f>AVERAGE('18.10 MUBENDE-MITYANA-24h'!G95,'19.10  MUBENDE-MITYANA-24h'!G95)</f>
        <v>0.5</v>
      </c>
      <c r="H95" s="49">
        <f>AVERAGE('18.10 MUBENDE-MITYANA-24h'!H95,'19.10  MUBENDE-MITYANA-24h'!H95)</f>
        <v>0</v>
      </c>
      <c r="I95" s="49">
        <f>AVERAGE('18.10 MUBENDE-MITYANA-24h'!I95,'19.10  MUBENDE-MITYANA-24h'!I95)</f>
        <v>0.5</v>
      </c>
      <c r="J95" s="49">
        <f>AVERAGE('18.10 MUBENDE-MITYANA-24h'!J95,'19.10  MUBENDE-MITYANA-24h'!J95)</f>
        <v>1</v>
      </c>
      <c r="K95" s="49">
        <f>AVERAGE('18.10 MUBENDE-MITYANA-24h'!K95,'19.10  MUBENDE-MITYANA-24h'!K95)</f>
        <v>0.5</v>
      </c>
      <c r="L95" s="49">
        <f>AVERAGE('18.10 MUBENDE-MITYANA-24h'!L95,'19.10  MUBENDE-MITYANA-24h'!L95)</f>
        <v>0</v>
      </c>
      <c r="M95" s="49">
        <f>AVERAGE('18.10 MUBENDE-MITYANA-24h'!M95,'19.10  MUBENDE-MITYANA-24h'!M95)</f>
        <v>1</v>
      </c>
      <c r="N95" s="49">
        <f>AVERAGE('18.10 MUBENDE-MITYANA-24h'!N95,'19.10  MUBENDE-MITYANA-24h'!N95)</f>
        <v>0</v>
      </c>
      <c r="O95" s="15">
        <f t="shared" si="35"/>
        <v>3</v>
      </c>
      <c r="P95" s="15">
        <f t="shared" si="36"/>
        <v>4</v>
      </c>
      <c r="R95" s="8"/>
      <c r="T95"/>
    </row>
    <row r="96" spans="2:20" ht="23.1" customHeight="1" x14ac:dyDescent="0.25">
      <c r="B96" s="25" t="s">
        <v>136</v>
      </c>
      <c r="C96" s="49">
        <f>AVERAGE('18.10 MUBENDE-MITYANA-24h'!C96,'19.10  MUBENDE-MITYANA-24h'!C96)</f>
        <v>0.5</v>
      </c>
      <c r="D96" s="49">
        <f>AVERAGE('18.10 MUBENDE-MITYANA-24h'!D96,'19.10  MUBENDE-MITYANA-24h'!D96)</f>
        <v>0</v>
      </c>
      <c r="E96" s="49">
        <f>AVERAGE('18.10 MUBENDE-MITYANA-24h'!E96,'19.10  MUBENDE-MITYANA-24h'!E96)</f>
        <v>0.5</v>
      </c>
      <c r="F96" s="49">
        <f>AVERAGE('18.10 MUBENDE-MITYANA-24h'!F96,'19.10  MUBENDE-MITYANA-24h'!F96)</f>
        <v>0.5</v>
      </c>
      <c r="G96" s="49">
        <f>AVERAGE('18.10 MUBENDE-MITYANA-24h'!G96,'19.10  MUBENDE-MITYANA-24h'!G96)</f>
        <v>0</v>
      </c>
      <c r="H96" s="49">
        <f>AVERAGE('18.10 MUBENDE-MITYANA-24h'!H96,'19.10  MUBENDE-MITYANA-24h'!H96)</f>
        <v>0</v>
      </c>
      <c r="I96" s="49">
        <f>AVERAGE('18.10 MUBENDE-MITYANA-24h'!I96,'19.10  MUBENDE-MITYANA-24h'!I96)</f>
        <v>0.5</v>
      </c>
      <c r="J96" s="49">
        <f>AVERAGE('18.10 MUBENDE-MITYANA-24h'!J96,'19.10  MUBENDE-MITYANA-24h'!J96)</f>
        <v>2.5</v>
      </c>
      <c r="K96" s="49">
        <f>AVERAGE('18.10 MUBENDE-MITYANA-24h'!K96,'19.10  MUBENDE-MITYANA-24h'!K96)</f>
        <v>0.5</v>
      </c>
      <c r="L96" s="49">
        <f>AVERAGE('18.10 MUBENDE-MITYANA-24h'!L96,'19.10  MUBENDE-MITYANA-24h'!L96)</f>
        <v>0.5</v>
      </c>
      <c r="M96" s="49">
        <f>AVERAGE('18.10 MUBENDE-MITYANA-24h'!M96,'19.10  MUBENDE-MITYANA-24h'!M96)</f>
        <v>1.5</v>
      </c>
      <c r="N96" s="49">
        <f>AVERAGE('18.10 MUBENDE-MITYANA-24h'!N96,'19.10  MUBENDE-MITYANA-24h'!N96)</f>
        <v>0</v>
      </c>
      <c r="O96" s="15">
        <f t="shared" si="35"/>
        <v>5.5</v>
      </c>
      <c r="P96" s="15">
        <f t="shared" si="36"/>
        <v>7</v>
      </c>
      <c r="R96" s="8"/>
      <c r="T96"/>
    </row>
    <row r="97" spans="2:20" ht="23.1" customHeight="1" x14ac:dyDescent="0.25">
      <c r="B97" s="23" t="s">
        <v>137</v>
      </c>
      <c r="C97" s="49">
        <f>AVERAGE('18.10 MUBENDE-MITYANA-24h'!C97,'19.10  MUBENDE-MITYANA-24h'!C97)</f>
        <v>0.5</v>
      </c>
      <c r="D97" s="49">
        <f>AVERAGE('18.10 MUBENDE-MITYANA-24h'!D97,'19.10  MUBENDE-MITYANA-24h'!D97)</f>
        <v>0</v>
      </c>
      <c r="E97" s="49">
        <f>AVERAGE('18.10 MUBENDE-MITYANA-24h'!E97,'19.10  MUBENDE-MITYANA-24h'!E97)</f>
        <v>0</v>
      </c>
      <c r="F97" s="49">
        <f>AVERAGE('18.10 MUBENDE-MITYANA-24h'!F97,'19.10  MUBENDE-MITYANA-24h'!F97)</f>
        <v>1</v>
      </c>
      <c r="G97" s="49">
        <f>AVERAGE('18.10 MUBENDE-MITYANA-24h'!G97,'19.10  MUBENDE-MITYANA-24h'!G97)</f>
        <v>0</v>
      </c>
      <c r="H97" s="49">
        <f>AVERAGE('18.10 MUBENDE-MITYANA-24h'!H97,'19.10  MUBENDE-MITYANA-24h'!H97)</f>
        <v>0</v>
      </c>
      <c r="I97" s="49">
        <f>AVERAGE('18.10 MUBENDE-MITYANA-24h'!I97,'19.10  MUBENDE-MITYANA-24h'!I97)</f>
        <v>0.5</v>
      </c>
      <c r="J97" s="49">
        <f>AVERAGE('18.10 MUBENDE-MITYANA-24h'!J97,'19.10  MUBENDE-MITYANA-24h'!J97)</f>
        <v>3</v>
      </c>
      <c r="K97" s="49">
        <f>AVERAGE('18.10 MUBENDE-MITYANA-24h'!K97,'19.10  MUBENDE-MITYANA-24h'!K97)</f>
        <v>0</v>
      </c>
      <c r="L97" s="49">
        <f>AVERAGE('18.10 MUBENDE-MITYANA-24h'!L97,'19.10  MUBENDE-MITYANA-24h'!L97)</f>
        <v>0.5</v>
      </c>
      <c r="M97" s="49">
        <f>AVERAGE('18.10 MUBENDE-MITYANA-24h'!M97,'19.10  MUBENDE-MITYANA-24h'!M97)</f>
        <v>1</v>
      </c>
      <c r="N97" s="49">
        <f>AVERAGE('18.10 MUBENDE-MITYANA-24h'!N97,'19.10  MUBENDE-MITYANA-24h'!N97)</f>
        <v>0</v>
      </c>
      <c r="O97" s="15">
        <f t="shared" si="35"/>
        <v>5.5</v>
      </c>
      <c r="P97" s="15">
        <f t="shared" si="36"/>
        <v>6.5</v>
      </c>
      <c r="R97" s="8"/>
      <c r="T97"/>
    </row>
    <row r="98" spans="2:20" ht="23.1" customHeight="1" x14ac:dyDescent="0.25">
      <c r="B98" s="24" t="s">
        <v>138</v>
      </c>
      <c r="C98" s="49">
        <f>AVERAGE('18.10 MUBENDE-MITYANA-24h'!C98,'19.10  MUBENDE-MITYANA-24h'!C98)</f>
        <v>0</v>
      </c>
      <c r="D98" s="49">
        <f>AVERAGE('18.10 MUBENDE-MITYANA-24h'!D98,'19.10  MUBENDE-MITYANA-24h'!D98)</f>
        <v>0.5</v>
      </c>
      <c r="E98" s="49">
        <f>AVERAGE('18.10 MUBENDE-MITYANA-24h'!E98,'19.10  MUBENDE-MITYANA-24h'!E98)</f>
        <v>0</v>
      </c>
      <c r="F98" s="49">
        <f>AVERAGE('18.10 MUBENDE-MITYANA-24h'!F98,'19.10  MUBENDE-MITYANA-24h'!F98)</f>
        <v>1.5</v>
      </c>
      <c r="G98" s="49">
        <f>AVERAGE('18.10 MUBENDE-MITYANA-24h'!G98,'19.10  MUBENDE-MITYANA-24h'!G98)</f>
        <v>0</v>
      </c>
      <c r="H98" s="49">
        <f>AVERAGE('18.10 MUBENDE-MITYANA-24h'!H98,'19.10  MUBENDE-MITYANA-24h'!H98)</f>
        <v>0</v>
      </c>
      <c r="I98" s="49">
        <f>AVERAGE('18.10 MUBENDE-MITYANA-24h'!I98,'19.10  MUBENDE-MITYANA-24h'!I98)</f>
        <v>1</v>
      </c>
      <c r="J98" s="49">
        <f>AVERAGE('18.10 MUBENDE-MITYANA-24h'!J98,'19.10  MUBENDE-MITYANA-24h'!J98)</f>
        <v>0</v>
      </c>
      <c r="K98" s="49">
        <f>AVERAGE('18.10 MUBENDE-MITYANA-24h'!K98,'19.10  MUBENDE-MITYANA-24h'!K98)</f>
        <v>0.5</v>
      </c>
      <c r="L98" s="49">
        <f>AVERAGE('18.10 MUBENDE-MITYANA-24h'!L98,'19.10  MUBENDE-MITYANA-24h'!L98)</f>
        <v>0</v>
      </c>
      <c r="M98" s="49">
        <f>AVERAGE('18.10 MUBENDE-MITYANA-24h'!M98,'19.10  MUBENDE-MITYANA-24h'!M98)</f>
        <v>1</v>
      </c>
      <c r="N98" s="49">
        <f>AVERAGE('18.10 MUBENDE-MITYANA-24h'!N98,'19.10  MUBENDE-MITYANA-24h'!N98)</f>
        <v>0</v>
      </c>
      <c r="O98" s="15">
        <f t="shared" si="35"/>
        <v>3.5</v>
      </c>
      <c r="P98" s="15">
        <f t="shared" si="36"/>
        <v>4.5</v>
      </c>
      <c r="R98" s="8"/>
      <c r="T98"/>
    </row>
    <row r="99" spans="2:20" ht="23.1" customHeight="1" x14ac:dyDescent="0.25">
      <c r="B99" s="23" t="s">
        <v>139</v>
      </c>
      <c r="C99" s="49">
        <f>AVERAGE('18.10 MUBENDE-MITYANA-24h'!C99,'19.10  MUBENDE-MITYANA-24h'!C99)</f>
        <v>0</v>
      </c>
      <c r="D99" s="49">
        <f>AVERAGE('18.10 MUBENDE-MITYANA-24h'!D99,'19.10  MUBENDE-MITYANA-24h'!D99)</f>
        <v>0</v>
      </c>
      <c r="E99" s="49">
        <f>AVERAGE('18.10 MUBENDE-MITYANA-24h'!E99,'19.10  MUBENDE-MITYANA-24h'!E99)</f>
        <v>0</v>
      </c>
      <c r="F99" s="49">
        <f>AVERAGE('18.10 MUBENDE-MITYANA-24h'!F99,'19.10  MUBENDE-MITYANA-24h'!F99)</f>
        <v>1.5</v>
      </c>
      <c r="G99" s="49">
        <f>AVERAGE('18.10 MUBENDE-MITYANA-24h'!G99,'19.10  MUBENDE-MITYANA-24h'!G99)</f>
        <v>0</v>
      </c>
      <c r="H99" s="49">
        <f>AVERAGE('18.10 MUBENDE-MITYANA-24h'!H99,'19.10  MUBENDE-MITYANA-24h'!H99)</f>
        <v>0</v>
      </c>
      <c r="I99" s="49">
        <f>AVERAGE('18.10 MUBENDE-MITYANA-24h'!I99,'19.10  MUBENDE-MITYANA-24h'!I99)</f>
        <v>0.5</v>
      </c>
      <c r="J99" s="49">
        <f>AVERAGE('18.10 MUBENDE-MITYANA-24h'!J99,'19.10  MUBENDE-MITYANA-24h'!J99)</f>
        <v>2</v>
      </c>
      <c r="K99" s="49">
        <f>AVERAGE('18.10 MUBENDE-MITYANA-24h'!K99,'19.10  MUBENDE-MITYANA-24h'!K99)</f>
        <v>0</v>
      </c>
      <c r="L99" s="49">
        <f>AVERAGE('18.10 MUBENDE-MITYANA-24h'!L99,'19.10  MUBENDE-MITYANA-24h'!L99)</f>
        <v>1.5</v>
      </c>
      <c r="M99" s="49">
        <f>AVERAGE('18.10 MUBENDE-MITYANA-24h'!M99,'19.10  MUBENDE-MITYANA-24h'!M99)</f>
        <v>1</v>
      </c>
      <c r="N99" s="49">
        <f>AVERAGE('18.10 MUBENDE-MITYANA-24h'!N99,'19.10  MUBENDE-MITYANA-24h'!N99)</f>
        <v>0</v>
      </c>
      <c r="O99" s="15">
        <f t="shared" si="35"/>
        <v>5.5</v>
      </c>
      <c r="P99" s="15">
        <f t="shared" si="36"/>
        <v>6.5</v>
      </c>
      <c r="R99" s="8"/>
      <c r="T99"/>
    </row>
    <row r="100" spans="2:20" ht="23.1" customHeight="1" x14ac:dyDescent="0.25">
      <c r="B100" s="25" t="s">
        <v>140</v>
      </c>
      <c r="C100" s="49">
        <f>AVERAGE('18.10 MUBENDE-MITYANA-24h'!C100,'19.10  MUBENDE-MITYANA-24h'!C100)</f>
        <v>1</v>
      </c>
      <c r="D100" s="49">
        <f>AVERAGE('18.10 MUBENDE-MITYANA-24h'!D100,'19.10  MUBENDE-MITYANA-24h'!D100)</f>
        <v>0</v>
      </c>
      <c r="E100" s="49">
        <f>AVERAGE('18.10 MUBENDE-MITYANA-24h'!E100,'19.10  MUBENDE-MITYANA-24h'!E100)</f>
        <v>0</v>
      </c>
      <c r="F100" s="49">
        <f>AVERAGE('18.10 MUBENDE-MITYANA-24h'!F100,'19.10  MUBENDE-MITYANA-24h'!F100)</f>
        <v>1</v>
      </c>
      <c r="G100" s="49">
        <f>AVERAGE('18.10 MUBENDE-MITYANA-24h'!G100,'19.10  MUBENDE-MITYANA-24h'!G100)</f>
        <v>0</v>
      </c>
      <c r="H100" s="49">
        <f>AVERAGE('18.10 MUBENDE-MITYANA-24h'!H100,'19.10  MUBENDE-MITYANA-24h'!H100)</f>
        <v>0.5</v>
      </c>
      <c r="I100" s="49">
        <f>AVERAGE('18.10 MUBENDE-MITYANA-24h'!I100,'19.10  MUBENDE-MITYANA-24h'!I100)</f>
        <v>1.5</v>
      </c>
      <c r="J100" s="49">
        <f>AVERAGE('18.10 MUBENDE-MITYANA-24h'!J100,'19.10  MUBENDE-MITYANA-24h'!J100)</f>
        <v>1</v>
      </c>
      <c r="K100" s="49">
        <f>AVERAGE('18.10 MUBENDE-MITYANA-24h'!K100,'19.10  MUBENDE-MITYANA-24h'!K100)</f>
        <v>0.5</v>
      </c>
      <c r="L100" s="49">
        <f>AVERAGE('18.10 MUBENDE-MITYANA-24h'!L100,'19.10  MUBENDE-MITYANA-24h'!L100)</f>
        <v>0.5</v>
      </c>
      <c r="M100" s="49">
        <f>AVERAGE('18.10 MUBENDE-MITYANA-24h'!M100,'19.10  MUBENDE-MITYANA-24h'!M100)</f>
        <v>1</v>
      </c>
      <c r="N100" s="49">
        <f>AVERAGE('18.10 MUBENDE-MITYANA-24h'!N100,'19.10  MUBENDE-MITYANA-24h'!N100)</f>
        <v>0</v>
      </c>
      <c r="O100" s="15">
        <f t="shared" si="35"/>
        <v>6</v>
      </c>
      <c r="P100" s="15">
        <f t="shared" si="36"/>
        <v>7</v>
      </c>
      <c r="R100" s="8"/>
      <c r="T100"/>
    </row>
    <row r="101" spans="2:20" ht="23.1" customHeight="1" x14ac:dyDescent="0.25">
      <c r="B101" s="23" t="s">
        <v>141</v>
      </c>
      <c r="C101" s="49">
        <f>AVERAGE('18.10 MUBENDE-MITYANA-24h'!C101,'19.10  MUBENDE-MITYANA-24h'!C101)</f>
        <v>0.5</v>
      </c>
      <c r="D101" s="49">
        <f>AVERAGE('18.10 MUBENDE-MITYANA-24h'!D101,'19.10  MUBENDE-MITYANA-24h'!D101)</f>
        <v>1</v>
      </c>
      <c r="E101" s="49">
        <f>AVERAGE('18.10 MUBENDE-MITYANA-24h'!E101,'19.10  MUBENDE-MITYANA-24h'!E101)</f>
        <v>0.5</v>
      </c>
      <c r="F101" s="49">
        <f>AVERAGE('18.10 MUBENDE-MITYANA-24h'!F101,'19.10  MUBENDE-MITYANA-24h'!F101)</f>
        <v>2</v>
      </c>
      <c r="G101" s="49">
        <f>AVERAGE('18.10 MUBENDE-MITYANA-24h'!G101,'19.10  MUBENDE-MITYANA-24h'!G101)</f>
        <v>0.5</v>
      </c>
      <c r="H101" s="49">
        <f>AVERAGE('18.10 MUBENDE-MITYANA-24h'!H101,'19.10  MUBENDE-MITYANA-24h'!H101)</f>
        <v>0</v>
      </c>
      <c r="I101" s="49">
        <f>AVERAGE('18.10 MUBENDE-MITYANA-24h'!I101,'19.10  MUBENDE-MITYANA-24h'!I101)</f>
        <v>1</v>
      </c>
      <c r="J101" s="49">
        <f>AVERAGE('18.10 MUBENDE-MITYANA-24h'!J101,'19.10  MUBENDE-MITYANA-24h'!J101)</f>
        <v>1</v>
      </c>
      <c r="K101" s="49">
        <f>AVERAGE('18.10 MUBENDE-MITYANA-24h'!K101,'19.10  MUBENDE-MITYANA-24h'!K101)</f>
        <v>1</v>
      </c>
      <c r="L101" s="49">
        <f>AVERAGE('18.10 MUBENDE-MITYANA-24h'!L101,'19.10  MUBENDE-MITYANA-24h'!L101)</f>
        <v>1</v>
      </c>
      <c r="M101" s="49">
        <f>AVERAGE('18.10 MUBENDE-MITYANA-24h'!M101,'19.10  MUBENDE-MITYANA-24h'!M101)</f>
        <v>2.5</v>
      </c>
      <c r="N101" s="49">
        <f>AVERAGE('18.10 MUBENDE-MITYANA-24h'!N101,'19.10  MUBENDE-MITYANA-24h'!N101)</f>
        <v>0</v>
      </c>
      <c r="O101" s="15">
        <f t="shared" si="35"/>
        <v>8.5</v>
      </c>
      <c r="P101" s="15">
        <f t="shared" si="36"/>
        <v>11</v>
      </c>
      <c r="R101" s="8"/>
      <c r="T101"/>
    </row>
    <row r="102" spans="2:20" ht="23.1" customHeight="1" x14ac:dyDescent="0.25">
      <c r="B102" s="24" t="s">
        <v>142</v>
      </c>
      <c r="C102" s="49">
        <f>AVERAGE('18.10 MUBENDE-MITYANA-24h'!C102,'19.10  MUBENDE-MITYANA-24h'!C102)</f>
        <v>0.5</v>
      </c>
      <c r="D102" s="49">
        <f>AVERAGE('18.10 MUBENDE-MITYANA-24h'!D102,'19.10  MUBENDE-MITYANA-24h'!D102)</f>
        <v>0</v>
      </c>
      <c r="E102" s="49">
        <f>AVERAGE('18.10 MUBENDE-MITYANA-24h'!E102,'19.10  MUBENDE-MITYANA-24h'!E102)</f>
        <v>0</v>
      </c>
      <c r="F102" s="49">
        <f>AVERAGE('18.10 MUBENDE-MITYANA-24h'!F102,'19.10  MUBENDE-MITYANA-24h'!F102)</f>
        <v>1.5</v>
      </c>
      <c r="G102" s="49">
        <f>AVERAGE('18.10 MUBENDE-MITYANA-24h'!G102,'19.10  MUBENDE-MITYANA-24h'!G102)</f>
        <v>0</v>
      </c>
      <c r="H102" s="49">
        <f>AVERAGE('18.10 MUBENDE-MITYANA-24h'!H102,'19.10  MUBENDE-MITYANA-24h'!H102)</f>
        <v>0</v>
      </c>
      <c r="I102" s="49">
        <f>AVERAGE('18.10 MUBENDE-MITYANA-24h'!I102,'19.10  MUBENDE-MITYANA-24h'!I102)</f>
        <v>0</v>
      </c>
      <c r="J102" s="49">
        <f>AVERAGE('18.10 MUBENDE-MITYANA-24h'!J102,'19.10  MUBENDE-MITYANA-24h'!J102)</f>
        <v>0</v>
      </c>
      <c r="K102" s="49">
        <f>AVERAGE('18.10 MUBENDE-MITYANA-24h'!K102,'19.10  MUBENDE-MITYANA-24h'!K102)</f>
        <v>1.5</v>
      </c>
      <c r="L102" s="49">
        <f>AVERAGE('18.10 MUBENDE-MITYANA-24h'!L102,'19.10  MUBENDE-MITYANA-24h'!L102)</f>
        <v>0</v>
      </c>
      <c r="M102" s="49">
        <f>AVERAGE('18.10 MUBENDE-MITYANA-24h'!M102,'19.10  MUBENDE-MITYANA-24h'!M102)</f>
        <v>1.5</v>
      </c>
      <c r="N102" s="49">
        <f>AVERAGE('18.10 MUBENDE-MITYANA-24h'!N102,'19.10  MUBENDE-MITYANA-24h'!N102)</f>
        <v>0</v>
      </c>
      <c r="O102" s="15">
        <f t="shared" si="35"/>
        <v>3.5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AVERAGE('18.10 MUBENDE-MITYANA-24h'!C103,'19.10  MUBENDE-MITYANA-24h'!C103)</f>
        <v>2</v>
      </c>
      <c r="D103" s="49">
        <f>AVERAGE('18.10 MUBENDE-MITYANA-24h'!D103,'19.10  MUBENDE-MITYANA-24h'!D103)</f>
        <v>0</v>
      </c>
      <c r="E103" s="49">
        <f>AVERAGE('18.10 MUBENDE-MITYANA-24h'!E103,'19.10  MUBENDE-MITYANA-24h'!E103)</f>
        <v>1</v>
      </c>
      <c r="F103" s="49">
        <f>AVERAGE('18.10 MUBENDE-MITYANA-24h'!F103,'19.10  MUBENDE-MITYANA-24h'!F103)</f>
        <v>1.5</v>
      </c>
      <c r="G103" s="49">
        <f>AVERAGE('18.10 MUBENDE-MITYANA-24h'!G103,'19.10  MUBENDE-MITYANA-24h'!G103)</f>
        <v>0</v>
      </c>
      <c r="H103" s="49">
        <f>AVERAGE('18.10 MUBENDE-MITYANA-24h'!H103,'19.10  MUBENDE-MITYANA-24h'!H103)</f>
        <v>0</v>
      </c>
      <c r="I103" s="49">
        <f>AVERAGE('18.10 MUBENDE-MITYANA-24h'!I103,'19.10  MUBENDE-MITYANA-24h'!I103)</f>
        <v>1</v>
      </c>
      <c r="J103" s="49">
        <f>AVERAGE('18.10 MUBENDE-MITYANA-24h'!J103,'19.10  MUBENDE-MITYANA-24h'!J103)</f>
        <v>2.5</v>
      </c>
      <c r="K103" s="49">
        <f>AVERAGE('18.10 MUBENDE-MITYANA-24h'!K103,'19.10  MUBENDE-MITYANA-24h'!K103)</f>
        <v>0</v>
      </c>
      <c r="L103" s="49">
        <f>AVERAGE('18.10 MUBENDE-MITYANA-24h'!L103,'19.10  MUBENDE-MITYANA-24h'!L103)</f>
        <v>0</v>
      </c>
      <c r="M103" s="49">
        <f>AVERAGE('18.10 MUBENDE-MITYANA-24h'!M103,'19.10  MUBENDE-MITYANA-24h'!M103)</f>
        <v>5</v>
      </c>
      <c r="N103" s="49">
        <f>AVERAGE('18.10 MUBENDE-MITYANA-24h'!N103,'19.10  MUBENDE-MITYANA-24h'!N103)</f>
        <v>0</v>
      </c>
      <c r="O103" s="15">
        <f t="shared" si="35"/>
        <v>8</v>
      </c>
      <c r="P103" s="15">
        <f t="shared" si="36"/>
        <v>13</v>
      </c>
      <c r="R103" s="8"/>
      <c r="T103"/>
    </row>
    <row r="104" spans="2:20" ht="23.1" customHeight="1" x14ac:dyDescent="0.25">
      <c r="B104" s="25" t="s">
        <v>144</v>
      </c>
      <c r="C104" s="49">
        <f>AVERAGE('18.10 MUBENDE-MITYANA-24h'!C104,'19.10  MUBENDE-MITYANA-24h'!C104)</f>
        <v>2.5</v>
      </c>
      <c r="D104" s="49">
        <f>AVERAGE('18.10 MUBENDE-MITYANA-24h'!D104,'19.10  MUBENDE-MITYANA-24h'!D104)</f>
        <v>0</v>
      </c>
      <c r="E104" s="49">
        <f>AVERAGE('18.10 MUBENDE-MITYANA-24h'!E104,'19.10  MUBENDE-MITYANA-24h'!E104)</f>
        <v>1</v>
      </c>
      <c r="F104" s="49">
        <f>AVERAGE('18.10 MUBENDE-MITYANA-24h'!F104,'19.10  MUBENDE-MITYANA-24h'!F104)</f>
        <v>2.5</v>
      </c>
      <c r="G104" s="49">
        <f>AVERAGE('18.10 MUBENDE-MITYANA-24h'!G104,'19.10  MUBENDE-MITYANA-24h'!G104)</f>
        <v>0</v>
      </c>
      <c r="H104" s="49">
        <f>AVERAGE('18.10 MUBENDE-MITYANA-24h'!H104,'19.10  MUBENDE-MITYANA-24h'!H104)</f>
        <v>0</v>
      </c>
      <c r="I104" s="49">
        <f>AVERAGE('18.10 MUBENDE-MITYANA-24h'!I104,'19.10  MUBENDE-MITYANA-24h'!I104)</f>
        <v>1</v>
      </c>
      <c r="J104" s="49">
        <f>AVERAGE('18.10 MUBENDE-MITYANA-24h'!J104,'19.10  MUBENDE-MITYANA-24h'!J104)</f>
        <v>1</v>
      </c>
      <c r="K104" s="49">
        <f>AVERAGE('18.10 MUBENDE-MITYANA-24h'!K104,'19.10  MUBENDE-MITYANA-24h'!K104)</f>
        <v>0</v>
      </c>
      <c r="L104" s="49">
        <f>AVERAGE('18.10 MUBENDE-MITYANA-24h'!L104,'19.10  MUBENDE-MITYANA-24h'!L104)</f>
        <v>2</v>
      </c>
      <c r="M104" s="49">
        <f>AVERAGE('18.10 MUBENDE-MITYANA-24h'!M104,'19.10  MUBENDE-MITYANA-24h'!M104)</f>
        <v>13.5</v>
      </c>
      <c r="N104" s="49">
        <f>AVERAGE('18.10 MUBENDE-MITYANA-24h'!N104,'19.10  MUBENDE-MITYANA-24h'!N104)</f>
        <v>0</v>
      </c>
      <c r="O104" s="15">
        <f t="shared" si="35"/>
        <v>10</v>
      </c>
      <c r="P104" s="15">
        <f t="shared" si="36"/>
        <v>23.5</v>
      </c>
      <c r="R104" s="8"/>
      <c r="T104"/>
    </row>
    <row r="105" spans="2:20" ht="23.1" customHeight="1" x14ac:dyDescent="0.25">
      <c r="B105" s="23" t="s">
        <v>145</v>
      </c>
      <c r="C105" s="49">
        <f>AVERAGE('18.10 MUBENDE-MITYANA-24h'!C105,'19.10  MUBENDE-MITYANA-24h'!C105)</f>
        <v>2</v>
      </c>
      <c r="D105" s="49">
        <f>AVERAGE('18.10 MUBENDE-MITYANA-24h'!D105,'19.10  MUBENDE-MITYANA-24h'!D105)</f>
        <v>0.5</v>
      </c>
      <c r="E105" s="49">
        <f>AVERAGE('18.10 MUBENDE-MITYANA-24h'!E105,'19.10  MUBENDE-MITYANA-24h'!E105)</f>
        <v>1</v>
      </c>
      <c r="F105" s="49">
        <f>AVERAGE('18.10 MUBENDE-MITYANA-24h'!F105,'19.10  MUBENDE-MITYANA-24h'!F105)</f>
        <v>2</v>
      </c>
      <c r="G105" s="49">
        <f>AVERAGE('18.10 MUBENDE-MITYANA-24h'!G105,'19.10  MUBENDE-MITYANA-24h'!G105)</f>
        <v>0</v>
      </c>
      <c r="H105" s="49">
        <f>AVERAGE('18.10 MUBENDE-MITYANA-24h'!H105,'19.10  MUBENDE-MITYANA-24h'!H105)</f>
        <v>0</v>
      </c>
      <c r="I105" s="49">
        <f>AVERAGE('18.10 MUBENDE-MITYANA-24h'!I105,'19.10  MUBENDE-MITYANA-24h'!I105)</f>
        <v>0</v>
      </c>
      <c r="J105" s="49">
        <f>AVERAGE('18.10 MUBENDE-MITYANA-24h'!J105,'19.10  MUBENDE-MITYANA-24h'!J105)</f>
        <v>1</v>
      </c>
      <c r="K105" s="49">
        <f>AVERAGE('18.10 MUBENDE-MITYANA-24h'!K105,'19.10  MUBENDE-MITYANA-24h'!K105)</f>
        <v>0</v>
      </c>
      <c r="L105" s="49">
        <f>AVERAGE('18.10 MUBENDE-MITYANA-24h'!L105,'19.10  MUBENDE-MITYANA-24h'!L105)</f>
        <v>0</v>
      </c>
      <c r="M105" s="49">
        <f>AVERAGE('18.10 MUBENDE-MITYANA-24h'!M105,'19.10  MUBENDE-MITYANA-24h'!M105)</f>
        <v>10</v>
      </c>
      <c r="N105" s="49">
        <f>AVERAGE('18.10 MUBENDE-MITYANA-24h'!N105,'19.10  MUBENDE-MITYANA-24h'!N105)</f>
        <v>0</v>
      </c>
      <c r="O105" s="15">
        <f t="shared" si="35"/>
        <v>6.5</v>
      </c>
      <c r="P105" s="15">
        <f t="shared" si="36"/>
        <v>16.5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515.14285714285722</v>
      </c>
      <c r="D106" s="16">
        <f t="shared" ref="D106:P106" si="37">SUM(D10:D105)</f>
        <v>199.1428571428572</v>
      </c>
      <c r="E106" s="16">
        <f t="shared" si="37"/>
        <v>126.50000000000001</v>
      </c>
      <c r="F106" s="16">
        <f t="shared" si="37"/>
        <v>436.21428571428578</v>
      </c>
      <c r="G106" s="16">
        <f t="shared" si="37"/>
        <v>15.357142857142856</v>
      </c>
      <c r="H106" s="16">
        <f t="shared" si="37"/>
        <v>29.714285714285712</v>
      </c>
      <c r="I106" s="16">
        <f t="shared" si="37"/>
        <v>206.99999999999997</v>
      </c>
      <c r="J106" s="16">
        <f t="shared" si="37"/>
        <v>180.78571428571428</v>
      </c>
      <c r="K106" s="16">
        <f t="shared" si="37"/>
        <v>72.714285714285722</v>
      </c>
      <c r="L106" s="16">
        <f t="shared" si="37"/>
        <v>81.714285714285722</v>
      </c>
      <c r="M106" s="16">
        <f t="shared" si="37"/>
        <v>2481.0000000000005</v>
      </c>
      <c r="N106" s="16">
        <f t="shared" si="37"/>
        <v>0.42857142857142855</v>
      </c>
      <c r="O106" s="16">
        <f t="shared" si="37"/>
        <v>1864.7142857142856</v>
      </c>
      <c r="P106" s="16">
        <f t="shared" si="37"/>
        <v>4345.7142857142862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0.11854043392504932</v>
      </c>
      <c r="D107" s="43">
        <f t="shared" si="38"/>
        <v>4.5825115055884297E-2</v>
      </c>
      <c r="E107" s="43">
        <f t="shared" si="38"/>
        <v>2.910913872452334E-2</v>
      </c>
      <c r="F107" s="43">
        <f t="shared" si="38"/>
        <v>0.10037804076265615</v>
      </c>
      <c r="G107" s="43">
        <f t="shared" si="38"/>
        <v>3.5338593030900716E-3</v>
      </c>
      <c r="H107" s="43">
        <f t="shared" si="38"/>
        <v>6.8376068376068359E-3</v>
      </c>
      <c r="I107" s="43">
        <f t="shared" si="38"/>
        <v>4.7633136094674546E-2</v>
      </c>
      <c r="J107" s="43">
        <f t="shared" si="38"/>
        <v>4.1600920447074287E-2</v>
      </c>
      <c r="K107" s="43">
        <f t="shared" si="38"/>
        <v>1.673241288625904E-2</v>
      </c>
      <c r="L107" s="43">
        <f t="shared" si="38"/>
        <v>1.8803418803418803E-2</v>
      </c>
      <c r="M107" s="43">
        <f t="shared" si="38"/>
        <v>0.57090729783037475</v>
      </c>
      <c r="N107" s="43">
        <f t="shared" si="38"/>
        <v>9.8619329388560141E-5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0.27625833141806488</v>
      </c>
      <c r="D108" s="44">
        <f t="shared" ref="D108:N108" si="39">D106/$O$106</f>
        <v>0.10679537271125415</v>
      </c>
      <c r="E108" s="44">
        <f t="shared" si="39"/>
        <v>6.7838811001302401E-2</v>
      </c>
      <c r="F108" s="44">
        <f t="shared" si="39"/>
        <v>0.23393089711177512</v>
      </c>
      <c r="G108" s="44">
        <f t="shared" si="39"/>
        <v>8.235654638780357E-3</v>
      </c>
      <c r="H108" s="44">
        <f t="shared" si="39"/>
        <v>1.5935034091779668E-2</v>
      </c>
      <c r="I108" s="44">
        <f t="shared" si="39"/>
        <v>0.11100896345667662</v>
      </c>
      <c r="J108" s="44">
        <f t="shared" si="39"/>
        <v>9.6950892515130629E-2</v>
      </c>
      <c r="K108" s="44">
        <f t="shared" si="39"/>
        <v>3.8994867080364676E-2</v>
      </c>
      <c r="L108" s="44">
        <f t="shared" si="39"/>
        <v>4.3821343752394097E-2</v>
      </c>
      <c r="M108" s="44"/>
      <c r="N108" s="44">
        <f t="shared" si="39"/>
        <v>2.2983222247759135E-4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A2" zoomScale="60" workbookViewId="0">
      <selection activeCell="R103" sqref="R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0" t="s">
        <v>162</v>
      </c>
      <c r="E5" s="71"/>
      <c r="F5" s="41" t="s">
        <v>1</v>
      </c>
      <c r="G5" s="68" t="str">
        <f>'23.10 MITYANA-MUBENDE'!G5:H5</f>
        <v>MITYANA COLLEGE KIKUMBI</v>
      </c>
      <c r="H5" s="69"/>
      <c r="I5" s="14"/>
      <c r="J5" s="2" t="s">
        <v>5</v>
      </c>
      <c r="K5" s="68" t="s">
        <v>179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'23.10 MITYANA-MUBENDE'!D6:E6</f>
        <v>MITYANA</v>
      </c>
      <c r="E6" s="69"/>
      <c r="F6" s="2" t="s">
        <v>2</v>
      </c>
      <c r="G6" s="68" t="str">
        <f>'23.10 MITYANA-MUBENDE'!G6:H6</f>
        <v>MUBENDE</v>
      </c>
      <c r="H6" s="69"/>
      <c r="J6" s="2" t="s">
        <v>21</v>
      </c>
      <c r="K6" s="68" t="str">
        <f>'23.10 MITYANA-MUBENDE'!K6:L6</f>
        <v>STEVEN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 MITYANA-MUBENDE '!C10,'18.10  MITYANA-MUBENDE-24h'!C10,'19.10 MITYANA-MUBENDE-24h'!C10,'20.10 MITYANA-MUBENDE'!C10,'21.10 MITYANA-MUBENDE'!C10,'22.10 MITYANA-MUBENDE'!C10,'23.10 MITYANA-MUBENDE'!C10)</f>
        <v>5.2857142857142856</v>
      </c>
      <c r="D10" s="49">
        <f>AVERAGE('17.10  MITYANA-MUBENDE '!D10,'18.10  MITYANA-MUBENDE-24h'!D10,'19.10 MITYANA-MUBENDE-24h'!D10,'20.10 MITYANA-MUBENDE'!D10,'21.10 MITYANA-MUBENDE'!D10,'22.10 MITYANA-MUBENDE'!D10,'23.10 MITYANA-MUBENDE'!D10)</f>
        <v>2.2857142857142856</v>
      </c>
      <c r="E10" s="49">
        <f>AVERAGE('17.10  MITYANA-MUBENDE '!E10,'18.10  MITYANA-MUBENDE-24h'!E10,'19.10 MITYANA-MUBENDE-24h'!E10,'20.10 MITYANA-MUBENDE'!E10,'21.10 MITYANA-MUBENDE'!E10,'22.10 MITYANA-MUBENDE'!E10,'23.10 MITYANA-MUBENDE'!E10)</f>
        <v>2.5714285714285716</v>
      </c>
      <c r="F10" s="49">
        <f>AVERAGE('17.10  MITYANA-MUBENDE '!F10,'18.10  MITYANA-MUBENDE-24h'!F10,'19.10 MITYANA-MUBENDE-24h'!F10,'20.10 MITYANA-MUBENDE'!F10,'21.10 MITYANA-MUBENDE'!F10,'22.10 MITYANA-MUBENDE'!F10,'23.10 MITYANA-MUBENDE'!F10)</f>
        <v>4.1428571428571432</v>
      </c>
      <c r="G10" s="49">
        <f>AVERAGE('17.10  MITYANA-MUBENDE '!G10,'18.10  MITYANA-MUBENDE-24h'!G10,'19.10 MITYANA-MUBENDE-24h'!G10,'20.10 MITYANA-MUBENDE'!G10,'21.10 MITYANA-MUBENDE'!G10,'22.10 MITYANA-MUBENDE'!G10,'23.10 MITYANA-MUBENDE'!G10)</f>
        <v>0.2857142857142857</v>
      </c>
      <c r="H10" s="49">
        <f>AVERAGE('17.10  MITYANA-MUBENDE '!H10,'18.10  MITYANA-MUBENDE-24h'!H10,'19.10 MITYANA-MUBENDE-24h'!H10,'20.10 MITYANA-MUBENDE'!H10,'21.10 MITYANA-MUBENDE'!H10,'22.10 MITYANA-MUBENDE'!H10,'23.10 MITYANA-MUBENDE'!H10)</f>
        <v>0.14285714285714285</v>
      </c>
      <c r="I10" s="49">
        <f>AVERAGE('17.10  MITYANA-MUBENDE '!I10,'18.10  MITYANA-MUBENDE-24h'!I10,'19.10 MITYANA-MUBENDE-24h'!I10,'20.10 MITYANA-MUBENDE'!I10,'21.10 MITYANA-MUBENDE'!I10,'22.10 MITYANA-MUBENDE'!I10,'23.10 MITYANA-MUBENDE'!I10)</f>
        <v>2.1428571428571428</v>
      </c>
      <c r="J10" s="49">
        <f>AVERAGE('17.10  MITYANA-MUBENDE '!J10,'18.10  MITYANA-MUBENDE-24h'!J10,'19.10 MITYANA-MUBENDE-24h'!J10,'20.10 MITYANA-MUBENDE'!J10,'21.10 MITYANA-MUBENDE'!J10,'22.10 MITYANA-MUBENDE'!J10,'23.10 MITYANA-MUBENDE'!J10)</f>
        <v>1.2857142857142858</v>
      </c>
      <c r="K10" s="49">
        <f>AVERAGE('17.10  MITYANA-MUBENDE '!K10,'18.10  MITYANA-MUBENDE-24h'!K10,'19.10 MITYANA-MUBENDE-24h'!K10,'20.10 MITYANA-MUBENDE'!K10,'21.10 MITYANA-MUBENDE'!K10,'22.10 MITYANA-MUBENDE'!K10,'23.10 MITYANA-MUBENDE'!K10)</f>
        <v>0.8571428571428571</v>
      </c>
      <c r="L10" s="49">
        <f>AVERAGE('17.10  MITYANA-MUBENDE '!L10,'18.10  MITYANA-MUBENDE-24h'!L10,'19.10 MITYANA-MUBENDE-24h'!L10,'20.10 MITYANA-MUBENDE'!L10,'21.10 MITYANA-MUBENDE'!L10,'22.10 MITYANA-MUBENDE'!L10,'23.10 MITYANA-MUBENDE'!L10)</f>
        <v>1.4285714285714286</v>
      </c>
      <c r="M10" s="49">
        <f>AVERAGE('17.10  MITYANA-MUBENDE '!M10,'18.10  MITYANA-MUBENDE-24h'!M10,'19.10 MITYANA-MUBENDE-24h'!M10,'20.10 MITYANA-MUBENDE'!M10,'21.10 MITYANA-MUBENDE'!M10,'22.10 MITYANA-MUBENDE'!M10,'23.10 MITYANA-MUBENDE'!M10)</f>
        <v>27.714285714285715</v>
      </c>
      <c r="N10" s="49">
        <f>AVERAGE('17.10  MITYANA-MUBENDE '!N10,'18.10  MITYANA-MUBENDE-24h'!N10,'19.10 MITYANA-MUBENDE-24h'!N10,'20.10 MITYANA-MUBENDE'!N10,'21.10 MITYANA-MUBENDE'!N10,'22.10 MITYANA-MUBENDE'!N10,'23.10 MITYANA-MUBENDE'!N10)</f>
        <v>0</v>
      </c>
      <c r="O10" s="15">
        <f t="shared" ref="O10:O73" si="0">SUM(C10:L10,N10)</f>
        <v>20.428571428571427</v>
      </c>
      <c r="P10" s="15">
        <f t="shared" ref="P10:P73" si="1">SUM(C10:N10)</f>
        <v>48.142857142857139</v>
      </c>
      <c r="R10" s="1" t="s">
        <v>6</v>
      </c>
      <c r="S10" s="17">
        <f t="shared" ref="S10:AF10" si="2">SUM(C10:C13)</f>
        <v>24.571428571428573</v>
      </c>
      <c r="T10" s="17">
        <f t="shared" si="2"/>
        <v>10.142857142857142</v>
      </c>
      <c r="U10" s="17">
        <f t="shared" si="2"/>
        <v>9.5714285714285712</v>
      </c>
      <c r="V10" s="17">
        <f t="shared" si="2"/>
        <v>15.428571428571431</v>
      </c>
      <c r="W10" s="17">
        <f t="shared" si="2"/>
        <v>0.71428571428571419</v>
      </c>
      <c r="X10" s="17">
        <f t="shared" si="2"/>
        <v>0.5714285714285714</v>
      </c>
      <c r="Y10" s="17">
        <f t="shared" si="2"/>
        <v>7.8571428571428568</v>
      </c>
      <c r="Z10" s="17">
        <f t="shared" si="2"/>
        <v>5.7142857142857144</v>
      </c>
      <c r="AA10" s="17">
        <f t="shared" si="2"/>
        <v>3.9999999999999996</v>
      </c>
      <c r="AB10" s="17">
        <f t="shared" si="2"/>
        <v>4</v>
      </c>
      <c r="AC10" s="17">
        <f t="shared" si="2"/>
        <v>140.57142857142858</v>
      </c>
      <c r="AD10" s="17">
        <f t="shared" si="2"/>
        <v>0</v>
      </c>
      <c r="AE10" s="31">
        <f t="shared" si="2"/>
        <v>82.571428571428569</v>
      </c>
      <c r="AF10" s="31">
        <f t="shared" si="2"/>
        <v>223.14285714285714</v>
      </c>
    </row>
    <row r="11" spans="2:32" s="6" customFormat="1" ht="23.1" customHeight="1" x14ac:dyDescent="0.25">
      <c r="B11" s="23" t="s">
        <v>38</v>
      </c>
      <c r="C11" s="49">
        <f>AVERAGE('17.10  MITYANA-MUBENDE '!C11,'18.10  MITYANA-MUBENDE-24h'!C11,'19.10 MITYANA-MUBENDE-24h'!C11,'20.10 MITYANA-MUBENDE'!C11,'21.10 MITYANA-MUBENDE'!C11,'22.10 MITYANA-MUBENDE'!C11,'23.10 MITYANA-MUBENDE'!C11)</f>
        <v>4.5714285714285712</v>
      </c>
      <c r="D11" s="49">
        <f>AVERAGE('17.10  MITYANA-MUBENDE '!D11,'18.10  MITYANA-MUBENDE-24h'!D11,'19.10 MITYANA-MUBENDE-24h'!D11,'20.10 MITYANA-MUBENDE'!D11,'21.10 MITYANA-MUBENDE'!D11,'22.10 MITYANA-MUBENDE'!D11,'23.10 MITYANA-MUBENDE'!D11)</f>
        <v>2</v>
      </c>
      <c r="E11" s="49">
        <f>AVERAGE('17.10  MITYANA-MUBENDE '!E11,'18.10  MITYANA-MUBENDE-24h'!E11,'19.10 MITYANA-MUBENDE-24h'!E11,'20.10 MITYANA-MUBENDE'!E11,'21.10 MITYANA-MUBENDE'!E11,'22.10 MITYANA-MUBENDE'!E11,'23.10 MITYANA-MUBENDE'!E11)</f>
        <v>1.4285714285714286</v>
      </c>
      <c r="F11" s="49">
        <f>AVERAGE('17.10  MITYANA-MUBENDE '!F11,'18.10  MITYANA-MUBENDE-24h'!F11,'19.10 MITYANA-MUBENDE-24h'!F11,'20.10 MITYANA-MUBENDE'!F11,'21.10 MITYANA-MUBENDE'!F11,'22.10 MITYANA-MUBENDE'!F11,'23.10 MITYANA-MUBENDE'!F11)</f>
        <v>3.5714285714285716</v>
      </c>
      <c r="G11" s="49">
        <f>AVERAGE('17.10  MITYANA-MUBENDE '!G11,'18.10  MITYANA-MUBENDE-24h'!G11,'19.10 MITYANA-MUBENDE-24h'!G11,'20.10 MITYANA-MUBENDE'!G11,'21.10 MITYANA-MUBENDE'!G11,'22.10 MITYANA-MUBENDE'!G11,'23.10 MITYANA-MUBENDE'!G11)</f>
        <v>0</v>
      </c>
      <c r="H11" s="49">
        <f>AVERAGE('17.10  MITYANA-MUBENDE '!H11,'18.10  MITYANA-MUBENDE-24h'!H11,'19.10 MITYANA-MUBENDE-24h'!H11,'20.10 MITYANA-MUBENDE'!H11,'21.10 MITYANA-MUBENDE'!H11,'22.10 MITYANA-MUBENDE'!H11,'23.10 MITYANA-MUBENDE'!H11)</f>
        <v>0</v>
      </c>
      <c r="I11" s="49">
        <f>AVERAGE('17.10  MITYANA-MUBENDE '!I11,'18.10  MITYANA-MUBENDE-24h'!I11,'19.10 MITYANA-MUBENDE-24h'!I11,'20.10 MITYANA-MUBENDE'!I11,'21.10 MITYANA-MUBENDE'!I11,'22.10 MITYANA-MUBENDE'!I11,'23.10 MITYANA-MUBENDE'!I11)</f>
        <v>2</v>
      </c>
      <c r="J11" s="49">
        <f>AVERAGE('17.10  MITYANA-MUBENDE '!J11,'18.10  MITYANA-MUBENDE-24h'!J11,'19.10 MITYANA-MUBENDE-24h'!J11,'20.10 MITYANA-MUBENDE'!J11,'21.10 MITYANA-MUBENDE'!J11,'22.10 MITYANA-MUBENDE'!J11,'23.10 MITYANA-MUBENDE'!J11)</f>
        <v>1.4285714285714286</v>
      </c>
      <c r="K11" s="49">
        <f>AVERAGE('17.10  MITYANA-MUBENDE '!K11,'18.10  MITYANA-MUBENDE-24h'!K11,'19.10 MITYANA-MUBENDE-24h'!K11,'20.10 MITYANA-MUBENDE'!K11,'21.10 MITYANA-MUBENDE'!K11,'22.10 MITYANA-MUBENDE'!K11,'23.10 MITYANA-MUBENDE'!K11)</f>
        <v>1.4285714285714286</v>
      </c>
      <c r="L11" s="49">
        <f>AVERAGE('17.10  MITYANA-MUBENDE '!L11,'18.10  MITYANA-MUBENDE-24h'!L11,'19.10 MITYANA-MUBENDE-24h'!L11,'20.10 MITYANA-MUBENDE'!L11,'21.10 MITYANA-MUBENDE'!L11,'22.10 MITYANA-MUBENDE'!L11,'23.10 MITYANA-MUBENDE'!L11)</f>
        <v>0.7142857142857143</v>
      </c>
      <c r="M11" s="49">
        <f>AVERAGE('17.10  MITYANA-MUBENDE '!M11,'18.10  MITYANA-MUBENDE-24h'!M11,'19.10 MITYANA-MUBENDE-24h'!M11,'20.10 MITYANA-MUBENDE'!M11,'21.10 MITYANA-MUBENDE'!M11,'22.10 MITYANA-MUBENDE'!M11,'23.10 MITYANA-MUBENDE'!M11)</f>
        <v>33.714285714285715</v>
      </c>
      <c r="N11" s="49">
        <f>AVERAGE('17.10  MITYANA-MUBENDE '!N11,'18.10  MITYANA-MUBENDE-24h'!N11,'19.10 MITYANA-MUBENDE-24h'!N11,'20.10 MITYANA-MUBENDE'!N11,'21.10 MITYANA-MUBENDE'!N11,'22.10 MITYANA-MUBENDE'!N11,'23.10 MITYANA-MUBENDE'!N11)</f>
        <v>0</v>
      </c>
      <c r="O11" s="15">
        <f t="shared" si="0"/>
        <v>17.142857142857142</v>
      </c>
      <c r="P11" s="15">
        <f t="shared" si="1"/>
        <v>50.857142857142861</v>
      </c>
      <c r="R11" s="1" t="s">
        <v>7</v>
      </c>
      <c r="S11" s="17">
        <f t="shared" ref="S11:AF11" si="3">SUM(C14:C17)</f>
        <v>27.285714285714285</v>
      </c>
      <c r="T11" s="17">
        <f t="shared" si="3"/>
        <v>15.428571428571429</v>
      </c>
      <c r="U11" s="17">
        <f t="shared" si="3"/>
        <v>8.2857142857142847</v>
      </c>
      <c r="V11" s="17">
        <f t="shared" si="3"/>
        <v>19.571428571428569</v>
      </c>
      <c r="W11" s="17">
        <f t="shared" si="3"/>
        <v>0.2857142857142857</v>
      </c>
      <c r="X11" s="17">
        <f t="shared" si="3"/>
        <v>0.71428571428571419</v>
      </c>
      <c r="Y11" s="17">
        <f t="shared" si="3"/>
        <v>10.142857142857142</v>
      </c>
      <c r="Z11" s="17">
        <f t="shared" si="3"/>
        <v>6.5714285714285712</v>
      </c>
      <c r="AA11" s="17">
        <f t="shared" si="3"/>
        <v>1.4285714285714284</v>
      </c>
      <c r="AB11" s="17">
        <f t="shared" si="3"/>
        <v>3.5714285714285716</v>
      </c>
      <c r="AC11" s="17">
        <f t="shared" si="3"/>
        <v>157.57142857142856</v>
      </c>
      <c r="AD11" s="17">
        <f t="shared" si="3"/>
        <v>0.14285714285714285</v>
      </c>
      <c r="AE11" s="31">
        <f t="shared" si="3"/>
        <v>93.428571428571416</v>
      </c>
      <c r="AF11" s="31">
        <f t="shared" si="3"/>
        <v>251</v>
      </c>
    </row>
    <row r="12" spans="2:32" ht="23.1" customHeight="1" x14ac:dyDescent="0.25">
      <c r="B12" s="23" t="s">
        <v>39</v>
      </c>
      <c r="C12" s="49">
        <f>AVERAGE('17.10  MITYANA-MUBENDE '!C12,'18.10  MITYANA-MUBENDE-24h'!C12,'19.10 MITYANA-MUBENDE-24h'!C12,'20.10 MITYANA-MUBENDE'!C12,'21.10 MITYANA-MUBENDE'!C12,'22.10 MITYANA-MUBENDE'!C12,'23.10 MITYANA-MUBENDE'!C12)</f>
        <v>6.7142857142857144</v>
      </c>
      <c r="D12" s="49">
        <f>AVERAGE('17.10  MITYANA-MUBENDE '!D12,'18.10  MITYANA-MUBENDE-24h'!D12,'19.10 MITYANA-MUBENDE-24h'!D12,'20.10 MITYANA-MUBENDE'!D12,'21.10 MITYANA-MUBENDE'!D12,'22.10 MITYANA-MUBENDE'!D12,'23.10 MITYANA-MUBENDE'!D12)</f>
        <v>2.7142857142857144</v>
      </c>
      <c r="E12" s="49">
        <f>AVERAGE('17.10  MITYANA-MUBENDE '!E12,'18.10  MITYANA-MUBENDE-24h'!E12,'19.10 MITYANA-MUBENDE-24h'!E12,'20.10 MITYANA-MUBENDE'!E12,'21.10 MITYANA-MUBENDE'!E12,'22.10 MITYANA-MUBENDE'!E12,'23.10 MITYANA-MUBENDE'!E12)</f>
        <v>2.2857142857142856</v>
      </c>
      <c r="F12" s="49">
        <f>AVERAGE('17.10  MITYANA-MUBENDE '!F12,'18.10  MITYANA-MUBENDE-24h'!F12,'19.10 MITYANA-MUBENDE-24h'!F12,'20.10 MITYANA-MUBENDE'!F12,'21.10 MITYANA-MUBENDE'!F12,'22.10 MITYANA-MUBENDE'!F12,'23.10 MITYANA-MUBENDE'!F12)</f>
        <v>3</v>
      </c>
      <c r="G12" s="49">
        <f>AVERAGE('17.10  MITYANA-MUBENDE '!G12,'18.10  MITYANA-MUBENDE-24h'!G12,'19.10 MITYANA-MUBENDE-24h'!G12,'20.10 MITYANA-MUBENDE'!G12,'21.10 MITYANA-MUBENDE'!G12,'22.10 MITYANA-MUBENDE'!G12,'23.10 MITYANA-MUBENDE'!G12)</f>
        <v>0.14285714285714285</v>
      </c>
      <c r="H12" s="49">
        <f>AVERAGE('17.10  MITYANA-MUBENDE '!H12,'18.10  MITYANA-MUBENDE-24h'!H12,'19.10 MITYANA-MUBENDE-24h'!H12,'20.10 MITYANA-MUBENDE'!H12,'21.10 MITYANA-MUBENDE'!H12,'22.10 MITYANA-MUBENDE'!H12,'23.10 MITYANA-MUBENDE'!H12)</f>
        <v>0</v>
      </c>
      <c r="I12" s="49">
        <f>AVERAGE('17.10  MITYANA-MUBENDE '!I12,'18.10  MITYANA-MUBENDE-24h'!I12,'19.10 MITYANA-MUBENDE-24h'!I12,'20.10 MITYANA-MUBENDE'!I12,'21.10 MITYANA-MUBENDE'!I12,'22.10 MITYANA-MUBENDE'!I12,'23.10 MITYANA-MUBENDE'!I12)</f>
        <v>1</v>
      </c>
      <c r="J12" s="49">
        <f>AVERAGE('17.10  MITYANA-MUBENDE '!J12,'18.10  MITYANA-MUBENDE-24h'!J12,'19.10 MITYANA-MUBENDE-24h'!J12,'20.10 MITYANA-MUBENDE'!J12,'21.10 MITYANA-MUBENDE'!J12,'22.10 MITYANA-MUBENDE'!J12,'23.10 MITYANA-MUBENDE'!J12)</f>
        <v>1.7142857142857142</v>
      </c>
      <c r="K12" s="49">
        <f>AVERAGE('17.10  MITYANA-MUBENDE '!K12,'18.10  MITYANA-MUBENDE-24h'!K12,'19.10 MITYANA-MUBENDE-24h'!K12,'20.10 MITYANA-MUBENDE'!K12,'21.10 MITYANA-MUBENDE'!K12,'22.10 MITYANA-MUBENDE'!K12,'23.10 MITYANA-MUBENDE'!K12)</f>
        <v>0.5714285714285714</v>
      </c>
      <c r="L12" s="49">
        <f>AVERAGE('17.10  MITYANA-MUBENDE '!L12,'18.10  MITYANA-MUBENDE-24h'!L12,'19.10 MITYANA-MUBENDE-24h'!L12,'20.10 MITYANA-MUBENDE'!L12,'21.10 MITYANA-MUBENDE'!L12,'22.10 MITYANA-MUBENDE'!L12,'23.10 MITYANA-MUBENDE'!L12)</f>
        <v>0.7142857142857143</v>
      </c>
      <c r="M12" s="49">
        <f>AVERAGE('17.10  MITYANA-MUBENDE '!M12,'18.10  MITYANA-MUBENDE-24h'!M12,'19.10 MITYANA-MUBENDE-24h'!M12,'20.10 MITYANA-MUBENDE'!M12,'21.10 MITYANA-MUBENDE'!M12,'22.10 MITYANA-MUBENDE'!M12,'23.10 MITYANA-MUBENDE'!M12)</f>
        <v>37.428571428571431</v>
      </c>
      <c r="N12" s="49">
        <f>AVERAGE('17.10  MITYANA-MUBENDE '!N12,'18.10  MITYANA-MUBENDE-24h'!N12,'19.10 MITYANA-MUBENDE-24h'!N12,'20.10 MITYANA-MUBENDE'!N12,'21.10 MITYANA-MUBENDE'!N12,'22.10 MITYANA-MUBENDE'!N12,'23.10 MITYANA-MUBENDE'!N12)</f>
        <v>0</v>
      </c>
      <c r="O12" s="15">
        <f t="shared" si="0"/>
        <v>18.857142857142861</v>
      </c>
      <c r="P12" s="15">
        <f t="shared" si="1"/>
        <v>56.285714285714292</v>
      </c>
      <c r="R12" s="1" t="s">
        <v>8</v>
      </c>
      <c r="S12" s="17">
        <f t="shared" ref="S12:AF12" si="4">SUM(C18:C21)</f>
        <v>34.285714285714285</v>
      </c>
      <c r="T12" s="17">
        <f t="shared" si="4"/>
        <v>16.285714285714285</v>
      </c>
      <c r="U12" s="17">
        <f t="shared" si="4"/>
        <v>8.7142857142857153</v>
      </c>
      <c r="V12" s="17">
        <f t="shared" si="4"/>
        <v>25.142857142857142</v>
      </c>
      <c r="W12" s="17">
        <f t="shared" si="4"/>
        <v>0.8571428571428571</v>
      </c>
      <c r="X12" s="17">
        <f t="shared" si="4"/>
        <v>0.85714285714285698</v>
      </c>
      <c r="Y12" s="17">
        <f t="shared" si="4"/>
        <v>11.142857142857142</v>
      </c>
      <c r="Z12" s="17">
        <f t="shared" si="4"/>
        <v>6.8571428571428577</v>
      </c>
      <c r="AA12" s="17">
        <f t="shared" si="4"/>
        <v>3.1428571428571428</v>
      </c>
      <c r="AB12" s="17">
        <f t="shared" si="4"/>
        <v>3</v>
      </c>
      <c r="AC12" s="17">
        <f t="shared" si="4"/>
        <v>157.57142857142856</v>
      </c>
      <c r="AD12" s="17">
        <f t="shared" si="4"/>
        <v>0</v>
      </c>
      <c r="AE12" s="31">
        <f t="shared" si="4"/>
        <v>110.28571428571428</v>
      </c>
      <c r="AF12" s="31">
        <f t="shared" si="4"/>
        <v>267.85714285714289</v>
      </c>
    </row>
    <row r="13" spans="2:32" ht="23.1" customHeight="1" x14ac:dyDescent="0.25">
      <c r="B13" s="23" t="s">
        <v>40</v>
      </c>
      <c r="C13" s="49">
        <f>AVERAGE('17.10  MITYANA-MUBENDE '!C13,'18.10  MITYANA-MUBENDE-24h'!C13,'19.10 MITYANA-MUBENDE-24h'!C13,'20.10 MITYANA-MUBENDE'!C13,'21.10 MITYANA-MUBENDE'!C13,'22.10 MITYANA-MUBENDE'!C13,'23.10 MITYANA-MUBENDE'!C13)</f>
        <v>8</v>
      </c>
      <c r="D13" s="49">
        <f>AVERAGE('17.10  MITYANA-MUBENDE '!D13,'18.10  MITYANA-MUBENDE-24h'!D13,'19.10 MITYANA-MUBENDE-24h'!D13,'20.10 MITYANA-MUBENDE'!D13,'21.10 MITYANA-MUBENDE'!D13,'22.10 MITYANA-MUBENDE'!D13,'23.10 MITYANA-MUBENDE'!D13)</f>
        <v>3.1428571428571428</v>
      </c>
      <c r="E13" s="49">
        <f>AVERAGE('17.10  MITYANA-MUBENDE '!E13,'18.10  MITYANA-MUBENDE-24h'!E13,'19.10 MITYANA-MUBENDE-24h'!E13,'20.10 MITYANA-MUBENDE'!E13,'21.10 MITYANA-MUBENDE'!E13,'22.10 MITYANA-MUBENDE'!E13,'23.10 MITYANA-MUBENDE'!E13)</f>
        <v>3.2857142857142856</v>
      </c>
      <c r="F13" s="49">
        <f>AVERAGE('17.10  MITYANA-MUBENDE '!F13,'18.10  MITYANA-MUBENDE-24h'!F13,'19.10 MITYANA-MUBENDE-24h'!F13,'20.10 MITYANA-MUBENDE'!F13,'21.10 MITYANA-MUBENDE'!F13,'22.10 MITYANA-MUBENDE'!F13,'23.10 MITYANA-MUBENDE'!F13)</f>
        <v>4.7142857142857144</v>
      </c>
      <c r="G13" s="49">
        <f>AVERAGE('17.10  MITYANA-MUBENDE '!G13,'18.10  MITYANA-MUBENDE-24h'!G13,'19.10 MITYANA-MUBENDE-24h'!G13,'20.10 MITYANA-MUBENDE'!G13,'21.10 MITYANA-MUBENDE'!G13,'22.10 MITYANA-MUBENDE'!G13,'23.10 MITYANA-MUBENDE'!G13)</f>
        <v>0.2857142857142857</v>
      </c>
      <c r="H13" s="49">
        <f>AVERAGE('17.10  MITYANA-MUBENDE '!H13,'18.10  MITYANA-MUBENDE-24h'!H13,'19.10 MITYANA-MUBENDE-24h'!H13,'20.10 MITYANA-MUBENDE'!H13,'21.10 MITYANA-MUBENDE'!H13,'22.10 MITYANA-MUBENDE'!H13,'23.10 MITYANA-MUBENDE'!H13)</f>
        <v>0.42857142857142855</v>
      </c>
      <c r="I13" s="49">
        <f>AVERAGE('17.10  MITYANA-MUBENDE '!I13,'18.10  MITYANA-MUBENDE-24h'!I13,'19.10 MITYANA-MUBENDE-24h'!I13,'20.10 MITYANA-MUBENDE'!I13,'21.10 MITYANA-MUBENDE'!I13,'22.10 MITYANA-MUBENDE'!I13,'23.10 MITYANA-MUBENDE'!I13)</f>
        <v>2.7142857142857144</v>
      </c>
      <c r="J13" s="49">
        <f>AVERAGE('17.10  MITYANA-MUBENDE '!J13,'18.10  MITYANA-MUBENDE-24h'!J13,'19.10 MITYANA-MUBENDE-24h'!J13,'20.10 MITYANA-MUBENDE'!J13,'21.10 MITYANA-MUBENDE'!J13,'22.10 MITYANA-MUBENDE'!J13,'23.10 MITYANA-MUBENDE'!J13)</f>
        <v>1.2857142857142858</v>
      </c>
      <c r="K13" s="49">
        <f>AVERAGE('17.10  MITYANA-MUBENDE '!K13,'18.10  MITYANA-MUBENDE-24h'!K13,'19.10 MITYANA-MUBENDE-24h'!K13,'20.10 MITYANA-MUBENDE'!K13,'21.10 MITYANA-MUBENDE'!K13,'22.10 MITYANA-MUBENDE'!K13,'23.10 MITYANA-MUBENDE'!K13)</f>
        <v>1.1428571428571428</v>
      </c>
      <c r="L13" s="49">
        <f>AVERAGE('17.10  MITYANA-MUBENDE '!L13,'18.10  MITYANA-MUBENDE-24h'!L13,'19.10 MITYANA-MUBENDE-24h'!L13,'20.10 MITYANA-MUBENDE'!L13,'21.10 MITYANA-MUBENDE'!L13,'22.10 MITYANA-MUBENDE'!L13,'23.10 MITYANA-MUBENDE'!L13)</f>
        <v>1.1428571428571428</v>
      </c>
      <c r="M13" s="49">
        <f>AVERAGE('17.10  MITYANA-MUBENDE '!M13,'18.10  MITYANA-MUBENDE-24h'!M13,'19.10 MITYANA-MUBENDE-24h'!M13,'20.10 MITYANA-MUBENDE'!M13,'21.10 MITYANA-MUBENDE'!M13,'22.10 MITYANA-MUBENDE'!M13,'23.10 MITYANA-MUBENDE'!M13)</f>
        <v>41.714285714285715</v>
      </c>
      <c r="N13" s="49">
        <f>AVERAGE('17.10  MITYANA-MUBENDE '!N13,'18.10  MITYANA-MUBENDE-24h'!N13,'19.10 MITYANA-MUBENDE-24h'!N13,'20.10 MITYANA-MUBENDE'!N13,'21.10 MITYANA-MUBENDE'!N13,'22.10 MITYANA-MUBENDE'!N13,'23.10 MITYANA-MUBENDE'!N13)</f>
        <v>0</v>
      </c>
      <c r="O13" s="15">
        <f t="shared" si="0"/>
        <v>26.142857142857139</v>
      </c>
      <c r="P13" s="15">
        <f t="shared" si="1"/>
        <v>67.857142857142861</v>
      </c>
      <c r="R13" s="1" t="s">
        <v>9</v>
      </c>
      <c r="S13" s="17">
        <f t="shared" ref="S13:AF13" si="5">SUM(C22:C25)</f>
        <v>35.285714285714285</v>
      </c>
      <c r="T13" s="17">
        <f t="shared" si="5"/>
        <v>11.142857142857142</v>
      </c>
      <c r="U13" s="17">
        <f t="shared" si="5"/>
        <v>9.1428571428571423</v>
      </c>
      <c r="V13" s="17">
        <f t="shared" si="5"/>
        <v>31.142857142857146</v>
      </c>
      <c r="W13" s="17">
        <f t="shared" si="5"/>
        <v>0.71428571428571419</v>
      </c>
      <c r="X13" s="17">
        <f t="shared" si="5"/>
        <v>2.4285714285714284</v>
      </c>
      <c r="Y13" s="17">
        <f t="shared" si="5"/>
        <v>13.285714285714285</v>
      </c>
      <c r="Z13" s="17">
        <f t="shared" si="5"/>
        <v>8.4285714285714288</v>
      </c>
      <c r="AA13" s="17">
        <f t="shared" si="5"/>
        <v>2.7142857142857144</v>
      </c>
      <c r="AB13" s="17">
        <f t="shared" si="5"/>
        <v>3.4285714285714284</v>
      </c>
      <c r="AC13" s="17">
        <f t="shared" si="5"/>
        <v>148.85714285714286</v>
      </c>
      <c r="AD13" s="17">
        <f t="shared" si="5"/>
        <v>0.2857142857142857</v>
      </c>
      <c r="AE13" s="31">
        <f t="shared" si="5"/>
        <v>118</v>
      </c>
      <c r="AF13" s="31">
        <f t="shared" si="5"/>
        <v>266.85714285714283</v>
      </c>
    </row>
    <row r="14" spans="2:32" ht="23.1" customHeight="1" x14ac:dyDescent="0.25">
      <c r="B14" s="23" t="s">
        <v>41</v>
      </c>
      <c r="C14" s="49">
        <f>AVERAGE('17.10  MITYANA-MUBENDE '!C14,'18.10  MITYANA-MUBENDE-24h'!C14,'19.10 MITYANA-MUBENDE-24h'!C14,'20.10 MITYANA-MUBENDE'!C14,'21.10 MITYANA-MUBENDE'!C14,'22.10 MITYANA-MUBENDE'!C14,'23.10 MITYANA-MUBENDE'!C14)</f>
        <v>6</v>
      </c>
      <c r="D14" s="49">
        <f>AVERAGE('17.10  MITYANA-MUBENDE '!D14,'18.10  MITYANA-MUBENDE-24h'!D14,'19.10 MITYANA-MUBENDE-24h'!D14,'20.10 MITYANA-MUBENDE'!D14,'21.10 MITYANA-MUBENDE'!D14,'22.10 MITYANA-MUBENDE'!D14,'23.10 MITYANA-MUBENDE'!D14)</f>
        <v>3</v>
      </c>
      <c r="E14" s="49">
        <f>AVERAGE('17.10  MITYANA-MUBENDE '!E14,'18.10  MITYANA-MUBENDE-24h'!E14,'19.10 MITYANA-MUBENDE-24h'!E14,'20.10 MITYANA-MUBENDE'!E14,'21.10 MITYANA-MUBENDE'!E14,'22.10 MITYANA-MUBENDE'!E14,'23.10 MITYANA-MUBENDE'!E14)</f>
        <v>1.7142857142857142</v>
      </c>
      <c r="F14" s="49">
        <f>AVERAGE('17.10  MITYANA-MUBENDE '!F14,'18.10  MITYANA-MUBENDE-24h'!F14,'19.10 MITYANA-MUBENDE-24h'!F14,'20.10 MITYANA-MUBENDE'!F14,'21.10 MITYANA-MUBENDE'!F14,'22.10 MITYANA-MUBENDE'!F14,'23.10 MITYANA-MUBENDE'!F14)</f>
        <v>3.8571428571428572</v>
      </c>
      <c r="G14" s="49">
        <f>AVERAGE('17.10  MITYANA-MUBENDE '!G14,'18.10  MITYANA-MUBENDE-24h'!G14,'19.10 MITYANA-MUBENDE-24h'!G14,'20.10 MITYANA-MUBENDE'!G14,'21.10 MITYANA-MUBENDE'!G14,'22.10 MITYANA-MUBENDE'!G14,'23.10 MITYANA-MUBENDE'!G14)</f>
        <v>0</v>
      </c>
      <c r="H14" s="49">
        <f>AVERAGE('17.10  MITYANA-MUBENDE '!H14,'18.10  MITYANA-MUBENDE-24h'!H14,'19.10 MITYANA-MUBENDE-24h'!H14,'20.10 MITYANA-MUBENDE'!H14,'21.10 MITYANA-MUBENDE'!H14,'22.10 MITYANA-MUBENDE'!H14,'23.10 MITYANA-MUBENDE'!H14)</f>
        <v>0.14285714285714285</v>
      </c>
      <c r="I14" s="49">
        <f>AVERAGE('17.10  MITYANA-MUBENDE '!I14,'18.10  MITYANA-MUBENDE-24h'!I14,'19.10 MITYANA-MUBENDE-24h'!I14,'20.10 MITYANA-MUBENDE'!I14,'21.10 MITYANA-MUBENDE'!I14,'22.10 MITYANA-MUBENDE'!I14,'23.10 MITYANA-MUBENDE'!I14)</f>
        <v>2.4285714285714284</v>
      </c>
      <c r="J14" s="49">
        <f>AVERAGE('17.10  MITYANA-MUBENDE '!J14,'18.10  MITYANA-MUBENDE-24h'!J14,'19.10 MITYANA-MUBENDE-24h'!J14,'20.10 MITYANA-MUBENDE'!J14,'21.10 MITYANA-MUBENDE'!J14,'22.10 MITYANA-MUBENDE'!J14,'23.10 MITYANA-MUBENDE'!J14)</f>
        <v>1.5714285714285714</v>
      </c>
      <c r="K14" s="49">
        <f>AVERAGE('17.10  MITYANA-MUBENDE '!K14,'18.10  MITYANA-MUBENDE-24h'!K14,'19.10 MITYANA-MUBENDE-24h'!K14,'20.10 MITYANA-MUBENDE'!K14,'21.10 MITYANA-MUBENDE'!K14,'22.10 MITYANA-MUBENDE'!K14,'23.10 MITYANA-MUBENDE'!K14)</f>
        <v>0.2857142857142857</v>
      </c>
      <c r="L14" s="49">
        <f>AVERAGE('17.10  MITYANA-MUBENDE '!L14,'18.10  MITYANA-MUBENDE-24h'!L14,'19.10 MITYANA-MUBENDE-24h'!L14,'20.10 MITYANA-MUBENDE'!L14,'21.10 MITYANA-MUBENDE'!L14,'22.10 MITYANA-MUBENDE'!L14,'23.10 MITYANA-MUBENDE'!L14)</f>
        <v>1.1428571428571428</v>
      </c>
      <c r="M14" s="49">
        <f>AVERAGE('17.10  MITYANA-MUBENDE '!M14,'18.10  MITYANA-MUBENDE-24h'!M14,'19.10 MITYANA-MUBENDE-24h'!M14,'20.10 MITYANA-MUBENDE'!M14,'21.10 MITYANA-MUBENDE'!M14,'22.10 MITYANA-MUBENDE'!M14,'23.10 MITYANA-MUBENDE'!M14)</f>
        <v>38.142857142857146</v>
      </c>
      <c r="N14" s="49">
        <f>AVERAGE('17.10  MITYANA-MUBENDE '!N14,'18.10  MITYANA-MUBENDE-24h'!N14,'19.10 MITYANA-MUBENDE-24h'!N14,'20.10 MITYANA-MUBENDE'!N14,'21.10 MITYANA-MUBENDE'!N14,'22.10 MITYANA-MUBENDE'!N14,'23.10 MITYANA-MUBENDE'!N14)</f>
        <v>0.14285714285714285</v>
      </c>
      <c r="O14" s="15">
        <f t="shared" si="0"/>
        <v>20.285714285714285</v>
      </c>
      <c r="P14" s="15">
        <f t="shared" si="1"/>
        <v>58.428571428571438</v>
      </c>
      <c r="R14" s="1" t="s">
        <v>10</v>
      </c>
      <c r="S14" s="17">
        <f t="shared" ref="S14:AF14" si="6">SUM(C26:C29)</f>
        <v>36.428571428571431</v>
      </c>
      <c r="T14" s="17">
        <f t="shared" si="6"/>
        <v>13.714285714285715</v>
      </c>
      <c r="U14" s="17">
        <f t="shared" si="6"/>
        <v>11.571428571428571</v>
      </c>
      <c r="V14" s="17">
        <f t="shared" si="6"/>
        <v>29.285714285714285</v>
      </c>
      <c r="W14" s="17">
        <f t="shared" si="6"/>
        <v>0.2857142857142857</v>
      </c>
      <c r="X14" s="17">
        <f t="shared" si="6"/>
        <v>1.857142857142857</v>
      </c>
      <c r="Y14" s="17">
        <f t="shared" si="6"/>
        <v>11.857142857142858</v>
      </c>
      <c r="Z14" s="17">
        <f t="shared" si="6"/>
        <v>8.5714285714285712</v>
      </c>
      <c r="AA14" s="17">
        <f t="shared" si="6"/>
        <v>2.4285714285714284</v>
      </c>
      <c r="AB14" s="17">
        <f t="shared" si="6"/>
        <v>5.1428571428571423</v>
      </c>
      <c r="AC14" s="17">
        <f t="shared" si="6"/>
        <v>152.85714285714286</v>
      </c>
      <c r="AD14" s="17">
        <f t="shared" si="6"/>
        <v>0</v>
      </c>
      <c r="AE14" s="31">
        <f t="shared" si="6"/>
        <v>121.14285714285714</v>
      </c>
      <c r="AF14" s="31">
        <f t="shared" si="6"/>
        <v>274</v>
      </c>
    </row>
    <row r="15" spans="2:32" ht="23.1" customHeight="1" x14ac:dyDescent="0.25">
      <c r="B15" s="23" t="s">
        <v>42</v>
      </c>
      <c r="C15" s="49">
        <f>AVERAGE('17.10  MITYANA-MUBENDE '!C15,'18.10  MITYANA-MUBENDE-24h'!C15,'19.10 MITYANA-MUBENDE-24h'!C15,'20.10 MITYANA-MUBENDE'!C15,'21.10 MITYANA-MUBENDE'!C15,'22.10 MITYANA-MUBENDE'!C15,'23.10 MITYANA-MUBENDE'!C15)</f>
        <v>6.7142857142857144</v>
      </c>
      <c r="D15" s="49">
        <f>AVERAGE('17.10  MITYANA-MUBENDE '!D15,'18.10  MITYANA-MUBENDE-24h'!D15,'19.10 MITYANA-MUBENDE-24h'!D15,'20.10 MITYANA-MUBENDE'!D15,'21.10 MITYANA-MUBENDE'!D15,'22.10 MITYANA-MUBENDE'!D15,'23.10 MITYANA-MUBENDE'!D15)</f>
        <v>4.5714285714285712</v>
      </c>
      <c r="E15" s="49">
        <f>AVERAGE('17.10  MITYANA-MUBENDE '!E15,'18.10  MITYANA-MUBENDE-24h'!E15,'19.10 MITYANA-MUBENDE-24h'!E15,'20.10 MITYANA-MUBENDE'!E15,'21.10 MITYANA-MUBENDE'!E15,'22.10 MITYANA-MUBENDE'!E15,'23.10 MITYANA-MUBENDE'!E15)</f>
        <v>2.1428571428571428</v>
      </c>
      <c r="F15" s="49">
        <f>AVERAGE('17.10  MITYANA-MUBENDE '!F15,'18.10  MITYANA-MUBENDE-24h'!F15,'19.10 MITYANA-MUBENDE-24h'!F15,'20.10 MITYANA-MUBENDE'!F15,'21.10 MITYANA-MUBENDE'!F15,'22.10 MITYANA-MUBENDE'!F15,'23.10 MITYANA-MUBENDE'!F15)</f>
        <v>4.1428571428571432</v>
      </c>
      <c r="G15" s="49">
        <f>AVERAGE('17.10  MITYANA-MUBENDE '!G15,'18.10  MITYANA-MUBENDE-24h'!G15,'19.10 MITYANA-MUBENDE-24h'!G15,'20.10 MITYANA-MUBENDE'!G15,'21.10 MITYANA-MUBENDE'!G15,'22.10 MITYANA-MUBENDE'!G15,'23.10 MITYANA-MUBENDE'!G15)</f>
        <v>0.14285714285714285</v>
      </c>
      <c r="H15" s="49">
        <f>AVERAGE('17.10  MITYANA-MUBENDE '!H15,'18.10  MITYANA-MUBENDE-24h'!H15,'19.10 MITYANA-MUBENDE-24h'!H15,'20.10 MITYANA-MUBENDE'!H15,'21.10 MITYANA-MUBENDE'!H15,'22.10 MITYANA-MUBENDE'!H15,'23.10 MITYANA-MUBENDE'!H15)</f>
        <v>0.42857142857142855</v>
      </c>
      <c r="I15" s="49">
        <f>AVERAGE('17.10  MITYANA-MUBENDE '!I15,'18.10  MITYANA-MUBENDE-24h'!I15,'19.10 MITYANA-MUBENDE-24h'!I15,'20.10 MITYANA-MUBENDE'!I15,'21.10 MITYANA-MUBENDE'!I15,'22.10 MITYANA-MUBENDE'!I15,'23.10 MITYANA-MUBENDE'!I15)</f>
        <v>2.2857142857142856</v>
      </c>
      <c r="J15" s="49">
        <f>AVERAGE('17.10  MITYANA-MUBENDE '!J15,'18.10  MITYANA-MUBENDE-24h'!J15,'19.10 MITYANA-MUBENDE-24h'!J15,'20.10 MITYANA-MUBENDE'!J15,'21.10 MITYANA-MUBENDE'!J15,'22.10 MITYANA-MUBENDE'!J15,'23.10 MITYANA-MUBENDE'!J15)</f>
        <v>2.4285714285714284</v>
      </c>
      <c r="K15" s="49">
        <f>AVERAGE('17.10  MITYANA-MUBENDE '!K15,'18.10  MITYANA-MUBENDE-24h'!K15,'19.10 MITYANA-MUBENDE-24h'!K15,'20.10 MITYANA-MUBENDE'!K15,'21.10 MITYANA-MUBENDE'!K15,'22.10 MITYANA-MUBENDE'!K15,'23.10 MITYANA-MUBENDE'!K15)</f>
        <v>0</v>
      </c>
      <c r="L15" s="49">
        <f>AVERAGE('17.10  MITYANA-MUBENDE '!L15,'18.10  MITYANA-MUBENDE-24h'!L15,'19.10 MITYANA-MUBENDE-24h'!L15,'20.10 MITYANA-MUBENDE'!L15,'21.10 MITYANA-MUBENDE'!L15,'22.10 MITYANA-MUBENDE'!L15,'23.10 MITYANA-MUBENDE'!L15)</f>
        <v>0.42857142857142855</v>
      </c>
      <c r="M15" s="49">
        <f>AVERAGE('17.10  MITYANA-MUBENDE '!M15,'18.10  MITYANA-MUBENDE-24h'!M15,'19.10 MITYANA-MUBENDE-24h'!M15,'20.10 MITYANA-MUBENDE'!M15,'21.10 MITYANA-MUBENDE'!M15,'22.10 MITYANA-MUBENDE'!M15,'23.10 MITYANA-MUBENDE'!M15)</f>
        <v>38</v>
      </c>
      <c r="N15" s="49">
        <f>AVERAGE('17.10  MITYANA-MUBENDE '!N15,'18.10  MITYANA-MUBENDE-24h'!N15,'19.10 MITYANA-MUBENDE-24h'!N15,'20.10 MITYANA-MUBENDE'!N15,'21.10 MITYANA-MUBENDE'!N15,'22.10 MITYANA-MUBENDE'!N15,'23.10 MITYANA-MUBENDE'!N15)</f>
        <v>0</v>
      </c>
      <c r="O15" s="15">
        <f t="shared" si="0"/>
        <v>23.285714285714278</v>
      </c>
      <c r="P15" s="15">
        <f t="shared" si="1"/>
        <v>61.285714285714278</v>
      </c>
      <c r="R15" s="1" t="s">
        <v>11</v>
      </c>
      <c r="S15" s="17">
        <f t="shared" ref="S15:AF15" si="7">SUM(C30:C33)</f>
        <v>32.857142857142854</v>
      </c>
      <c r="T15" s="17">
        <f t="shared" si="7"/>
        <v>14.142857142857142</v>
      </c>
      <c r="U15" s="17">
        <f t="shared" si="7"/>
        <v>7</v>
      </c>
      <c r="V15" s="17">
        <f t="shared" si="7"/>
        <v>30.142857142857139</v>
      </c>
      <c r="W15" s="17">
        <f t="shared" si="7"/>
        <v>0.42857142857142855</v>
      </c>
      <c r="X15" s="17">
        <f t="shared" si="7"/>
        <v>2.7142857142857144</v>
      </c>
      <c r="Y15" s="17">
        <f t="shared" si="7"/>
        <v>11.857142857142858</v>
      </c>
      <c r="Z15" s="17">
        <f t="shared" si="7"/>
        <v>8.1428571428571423</v>
      </c>
      <c r="AA15" s="17">
        <f t="shared" si="7"/>
        <v>2.8571428571428568</v>
      </c>
      <c r="AB15" s="17">
        <f t="shared" si="7"/>
        <v>3</v>
      </c>
      <c r="AC15" s="17">
        <f t="shared" si="7"/>
        <v>152.28571428571431</v>
      </c>
      <c r="AD15" s="17">
        <f t="shared" si="7"/>
        <v>0.14285714285714285</v>
      </c>
      <c r="AE15" s="31">
        <f t="shared" si="7"/>
        <v>113.28571428571429</v>
      </c>
      <c r="AF15" s="31">
        <f t="shared" si="7"/>
        <v>265.57142857142856</v>
      </c>
    </row>
    <row r="16" spans="2:32" ht="23.1" customHeight="1" x14ac:dyDescent="0.25">
      <c r="B16" s="23" t="s">
        <v>43</v>
      </c>
      <c r="C16" s="49">
        <f>AVERAGE('17.10  MITYANA-MUBENDE '!C16,'18.10  MITYANA-MUBENDE-24h'!C16,'19.10 MITYANA-MUBENDE-24h'!C16,'20.10 MITYANA-MUBENDE'!C16,'21.10 MITYANA-MUBENDE'!C16,'22.10 MITYANA-MUBENDE'!C16,'23.10 MITYANA-MUBENDE'!C16)</f>
        <v>6.5714285714285712</v>
      </c>
      <c r="D16" s="49">
        <f>AVERAGE('17.10  MITYANA-MUBENDE '!D16,'18.10  MITYANA-MUBENDE-24h'!D16,'19.10 MITYANA-MUBENDE-24h'!D16,'20.10 MITYANA-MUBENDE'!D16,'21.10 MITYANA-MUBENDE'!D16,'22.10 MITYANA-MUBENDE'!D16,'23.10 MITYANA-MUBENDE'!D16)</f>
        <v>4</v>
      </c>
      <c r="E16" s="49">
        <f>AVERAGE('17.10  MITYANA-MUBENDE '!E16,'18.10  MITYANA-MUBENDE-24h'!E16,'19.10 MITYANA-MUBENDE-24h'!E16,'20.10 MITYANA-MUBENDE'!E16,'21.10 MITYANA-MUBENDE'!E16,'22.10 MITYANA-MUBENDE'!E16,'23.10 MITYANA-MUBENDE'!E16)</f>
        <v>2</v>
      </c>
      <c r="F16" s="49">
        <f>AVERAGE('17.10  MITYANA-MUBENDE '!F16,'18.10  MITYANA-MUBENDE-24h'!F16,'19.10 MITYANA-MUBENDE-24h'!F16,'20.10 MITYANA-MUBENDE'!F16,'21.10 MITYANA-MUBENDE'!F16,'22.10 MITYANA-MUBENDE'!F16,'23.10 MITYANA-MUBENDE'!F16)</f>
        <v>5.1428571428571432</v>
      </c>
      <c r="G16" s="49">
        <f>AVERAGE('17.10  MITYANA-MUBENDE '!G16,'18.10  MITYANA-MUBENDE-24h'!G16,'19.10 MITYANA-MUBENDE-24h'!G16,'20.10 MITYANA-MUBENDE'!G16,'21.10 MITYANA-MUBENDE'!G16,'22.10 MITYANA-MUBENDE'!G16,'23.10 MITYANA-MUBENDE'!G16)</f>
        <v>0.14285714285714285</v>
      </c>
      <c r="H16" s="49">
        <f>AVERAGE('17.10  MITYANA-MUBENDE '!H16,'18.10  MITYANA-MUBENDE-24h'!H16,'19.10 MITYANA-MUBENDE-24h'!H16,'20.10 MITYANA-MUBENDE'!H16,'21.10 MITYANA-MUBENDE'!H16,'22.10 MITYANA-MUBENDE'!H16,'23.10 MITYANA-MUBENDE'!H16)</f>
        <v>0</v>
      </c>
      <c r="I16" s="49">
        <f>AVERAGE('17.10  MITYANA-MUBENDE '!I16,'18.10  MITYANA-MUBENDE-24h'!I16,'19.10 MITYANA-MUBENDE-24h'!I16,'20.10 MITYANA-MUBENDE'!I16,'21.10 MITYANA-MUBENDE'!I16,'22.10 MITYANA-MUBENDE'!I16,'23.10 MITYANA-MUBENDE'!I16)</f>
        <v>2</v>
      </c>
      <c r="J16" s="49">
        <f>AVERAGE('17.10  MITYANA-MUBENDE '!J16,'18.10  MITYANA-MUBENDE-24h'!J16,'19.10 MITYANA-MUBENDE-24h'!J16,'20.10 MITYANA-MUBENDE'!J16,'21.10 MITYANA-MUBENDE'!J16,'22.10 MITYANA-MUBENDE'!J16,'23.10 MITYANA-MUBENDE'!J16)</f>
        <v>1.2857142857142858</v>
      </c>
      <c r="K16" s="49">
        <f>AVERAGE('17.10  MITYANA-MUBENDE '!K16,'18.10  MITYANA-MUBENDE-24h'!K16,'19.10 MITYANA-MUBENDE-24h'!K16,'20.10 MITYANA-MUBENDE'!K16,'21.10 MITYANA-MUBENDE'!K16,'22.10 MITYANA-MUBENDE'!K16,'23.10 MITYANA-MUBENDE'!K16)</f>
        <v>0.5714285714285714</v>
      </c>
      <c r="L16" s="49">
        <f>AVERAGE('17.10  MITYANA-MUBENDE '!L16,'18.10  MITYANA-MUBENDE-24h'!L16,'19.10 MITYANA-MUBENDE-24h'!L16,'20.10 MITYANA-MUBENDE'!L16,'21.10 MITYANA-MUBENDE'!L16,'22.10 MITYANA-MUBENDE'!L16,'23.10 MITYANA-MUBENDE'!L16)</f>
        <v>1.2857142857142858</v>
      </c>
      <c r="M16" s="49">
        <f>AVERAGE('17.10  MITYANA-MUBENDE '!M16,'18.10  MITYANA-MUBENDE-24h'!M16,'19.10 MITYANA-MUBENDE-24h'!M16,'20.10 MITYANA-MUBENDE'!M16,'21.10 MITYANA-MUBENDE'!M16,'22.10 MITYANA-MUBENDE'!M16,'23.10 MITYANA-MUBENDE'!M16)</f>
        <v>36.857142857142854</v>
      </c>
      <c r="N16" s="49">
        <f>AVERAGE('17.10  MITYANA-MUBENDE '!N16,'18.10  MITYANA-MUBENDE-24h'!N16,'19.10 MITYANA-MUBENDE-24h'!N16,'20.10 MITYANA-MUBENDE'!N16,'21.10 MITYANA-MUBENDE'!N16,'22.10 MITYANA-MUBENDE'!N16,'23.10 MITYANA-MUBENDE'!N16)</f>
        <v>0</v>
      </c>
      <c r="O16" s="15">
        <f t="shared" si="0"/>
        <v>23</v>
      </c>
      <c r="P16" s="15">
        <f t="shared" si="1"/>
        <v>59.857142857142854</v>
      </c>
      <c r="R16" s="1" t="s">
        <v>12</v>
      </c>
      <c r="S16" s="17">
        <f t="shared" ref="S16:AF16" si="8">SUM(C34:C37)</f>
        <v>40.142857142857139</v>
      </c>
      <c r="T16" s="17">
        <f t="shared" si="8"/>
        <v>12.571428571428571</v>
      </c>
      <c r="U16" s="17">
        <f t="shared" si="8"/>
        <v>8.1428571428571423</v>
      </c>
      <c r="V16" s="17">
        <f t="shared" si="8"/>
        <v>33.571428571428577</v>
      </c>
      <c r="W16" s="17">
        <f t="shared" si="8"/>
        <v>1.1428571428571428</v>
      </c>
      <c r="X16" s="17">
        <f t="shared" si="8"/>
        <v>2.4285714285714288</v>
      </c>
      <c r="Y16" s="17">
        <f t="shared" si="8"/>
        <v>14.428571428571431</v>
      </c>
      <c r="Z16" s="17">
        <f t="shared" si="8"/>
        <v>8</v>
      </c>
      <c r="AA16" s="17">
        <f t="shared" si="8"/>
        <v>3.2857142857142851</v>
      </c>
      <c r="AB16" s="17">
        <f t="shared" si="8"/>
        <v>3.8571428571428568</v>
      </c>
      <c r="AC16" s="17">
        <f t="shared" si="8"/>
        <v>161.42857142857142</v>
      </c>
      <c r="AD16" s="17">
        <f t="shared" si="8"/>
        <v>0</v>
      </c>
      <c r="AE16" s="31">
        <f t="shared" si="8"/>
        <v>127.57142857142858</v>
      </c>
      <c r="AF16" s="31">
        <f t="shared" si="8"/>
        <v>289</v>
      </c>
    </row>
    <row r="17" spans="2:32" ht="23.1" customHeight="1" x14ac:dyDescent="0.25">
      <c r="B17" s="23" t="s">
        <v>44</v>
      </c>
      <c r="C17" s="49">
        <f>AVERAGE('17.10  MITYANA-MUBENDE '!C17,'18.10  MITYANA-MUBENDE-24h'!C17,'19.10 MITYANA-MUBENDE-24h'!C17,'20.10 MITYANA-MUBENDE'!C17,'21.10 MITYANA-MUBENDE'!C17,'22.10 MITYANA-MUBENDE'!C17,'23.10 MITYANA-MUBENDE'!C17)</f>
        <v>8</v>
      </c>
      <c r="D17" s="49">
        <f>AVERAGE('17.10  MITYANA-MUBENDE '!D17,'18.10  MITYANA-MUBENDE-24h'!D17,'19.10 MITYANA-MUBENDE-24h'!D17,'20.10 MITYANA-MUBENDE'!D17,'21.10 MITYANA-MUBENDE'!D17,'22.10 MITYANA-MUBENDE'!D17,'23.10 MITYANA-MUBENDE'!D17)</f>
        <v>3.8571428571428572</v>
      </c>
      <c r="E17" s="49">
        <f>AVERAGE('17.10  MITYANA-MUBENDE '!E17,'18.10  MITYANA-MUBENDE-24h'!E17,'19.10 MITYANA-MUBENDE-24h'!E17,'20.10 MITYANA-MUBENDE'!E17,'21.10 MITYANA-MUBENDE'!E17,'22.10 MITYANA-MUBENDE'!E17,'23.10 MITYANA-MUBENDE'!E17)</f>
        <v>2.4285714285714284</v>
      </c>
      <c r="F17" s="49">
        <f>AVERAGE('17.10  MITYANA-MUBENDE '!F17,'18.10  MITYANA-MUBENDE-24h'!F17,'19.10 MITYANA-MUBENDE-24h'!F17,'20.10 MITYANA-MUBENDE'!F17,'21.10 MITYANA-MUBENDE'!F17,'22.10 MITYANA-MUBENDE'!F17,'23.10 MITYANA-MUBENDE'!F17)</f>
        <v>6.4285714285714288</v>
      </c>
      <c r="G17" s="49">
        <f>AVERAGE('17.10  MITYANA-MUBENDE '!G17,'18.10  MITYANA-MUBENDE-24h'!G17,'19.10 MITYANA-MUBENDE-24h'!G17,'20.10 MITYANA-MUBENDE'!G17,'21.10 MITYANA-MUBENDE'!G17,'22.10 MITYANA-MUBENDE'!G17,'23.10 MITYANA-MUBENDE'!G17)</f>
        <v>0</v>
      </c>
      <c r="H17" s="49">
        <f>AVERAGE('17.10  MITYANA-MUBENDE '!H17,'18.10  MITYANA-MUBENDE-24h'!H17,'19.10 MITYANA-MUBENDE-24h'!H17,'20.10 MITYANA-MUBENDE'!H17,'21.10 MITYANA-MUBENDE'!H17,'22.10 MITYANA-MUBENDE'!H17,'23.10 MITYANA-MUBENDE'!H17)</f>
        <v>0.14285714285714285</v>
      </c>
      <c r="I17" s="49">
        <f>AVERAGE('17.10  MITYANA-MUBENDE '!I17,'18.10  MITYANA-MUBENDE-24h'!I17,'19.10 MITYANA-MUBENDE-24h'!I17,'20.10 MITYANA-MUBENDE'!I17,'21.10 MITYANA-MUBENDE'!I17,'22.10 MITYANA-MUBENDE'!I17,'23.10 MITYANA-MUBENDE'!I17)</f>
        <v>3.4285714285714284</v>
      </c>
      <c r="J17" s="49">
        <f>AVERAGE('17.10  MITYANA-MUBENDE '!J17,'18.10  MITYANA-MUBENDE-24h'!J17,'19.10 MITYANA-MUBENDE-24h'!J17,'20.10 MITYANA-MUBENDE'!J17,'21.10 MITYANA-MUBENDE'!J17,'22.10 MITYANA-MUBENDE'!J17,'23.10 MITYANA-MUBENDE'!J17)</f>
        <v>1.2857142857142858</v>
      </c>
      <c r="K17" s="49">
        <f>AVERAGE('17.10  MITYANA-MUBENDE '!K17,'18.10  MITYANA-MUBENDE-24h'!K17,'19.10 MITYANA-MUBENDE-24h'!K17,'20.10 MITYANA-MUBENDE'!K17,'21.10 MITYANA-MUBENDE'!K17,'22.10 MITYANA-MUBENDE'!K17,'23.10 MITYANA-MUBENDE'!K17)</f>
        <v>0.5714285714285714</v>
      </c>
      <c r="L17" s="49">
        <f>AVERAGE('17.10  MITYANA-MUBENDE '!L17,'18.10  MITYANA-MUBENDE-24h'!L17,'19.10 MITYANA-MUBENDE-24h'!L17,'20.10 MITYANA-MUBENDE'!L17,'21.10 MITYANA-MUBENDE'!L17,'22.10 MITYANA-MUBENDE'!L17,'23.10 MITYANA-MUBENDE'!L17)</f>
        <v>0.7142857142857143</v>
      </c>
      <c r="M17" s="49">
        <f>AVERAGE('17.10  MITYANA-MUBENDE '!M17,'18.10  MITYANA-MUBENDE-24h'!M17,'19.10 MITYANA-MUBENDE-24h'!M17,'20.10 MITYANA-MUBENDE'!M17,'21.10 MITYANA-MUBENDE'!M17,'22.10 MITYANA-MUBENDE'!M17,'23.10 MITYANA-MUBENDE'!M17)</f>
        <v>44.571428571428569</v>
      </c>
      <c r="N17" s="49">
        <f>AVERAGE('17.10  MITYANA-MUBENDE '!N17,'18.10  MITYANA-MUBENDE-24h'!N17,'19.10 MITYANA-MUBENDE-24h'!N17,'20.10 MITYANA-MUBENDE'!N17,'21.10 MITYANA-MUBENDE'!N17,'22.10 MITYANA-MUBENDE'!N17,'23.10 MITYANA-MUBENDE'!N17)</f>
        <v>0</v>
      </c>
      <c r="O17" s="15">
        <f t="shared" si="0"/>
        <v>26.857142857142858</v>
      </c>
      <c r="P17" s="15">
        <f t="shared" si="1"/>
        <v>71.428571428571431</v>
      </c>
      <c r="R17" s="1" t="s">
        <v>13</v>
      </c>
      <c r="S17" s="17">
        <f t="shared" ref="S17:AF17" si="9">SUM(C38:C41)</f>
        <v>34.428571428571423</v>
      </c>
      <c r="T17" s="17">
        <f t="shared" si="9"/>
        <v>13.571428571428571</v>
      </c>
      <c r="U17" s="17">
        <f t="shared" si="9"/>
        <v>10</v>
      </c>
      <c r="V17" s="17">
        <f t="shared" si="9"/>
        <v>33.857142857142861</v>
      </c>
      <c r="W17" s="17">
        <f t="shared" si="9"/>
        <v>0.85714285714285698</v>
      </c>
      <c r="X17" s="17">
        <f t="shared" si="9"/>
        <v>2.4285714285714288</v>
      </c>
      <c r="Y17" s="17">
        <f t="shared" si="9"/>
        <v>13.714285714285714</v>
      </c>
      <c r="Z17" s="17">
        <f t="shared" si="9"/>
        <v>8.5714285714285712</v>
      </c>
      <c r="AA17" s="17">
        <f t="shared" si="9"/>
        <v>2.5714285714285712</v>
      </c>
      <c r="AB17" s="17">
        <f t="shared" si="9"/>
        <v>2.7142857142857144</v>
      </c>
      <c r="AC17" s="17">
        <f t="shared" si="9"/>
        <v>162.57142857142858</v>
      </c>
      <c r="AD17" s="17">
        <f t="shared" si="9"/>
        <v>0</v>
      </c>
      <c r="AE17" s="31">
        <f t="shared" si="9"/>
        <v>122.71428571428574</v>
      </c>
      <c r="AF17" s="31">
        <f t="shared" si="9"/>
        <v>285.28571428571428</v>
      </c>
    </row>
    <row r="18" spans="2:32" ht="23.1" customHeight="1" x14ac:dyDescent="0.25">
      <c r="B18" s="23" t="s">
        <v>45</v>
      </c>
      <c r="C18" s="49">
        <f>AVERAGE('17.10  MITYANA-MUBENDE '!C18,'18.10  MITYANA-MUBENDE-24h'!C18,'19.10 MITYANA-MUBENDE-24h'!C18,'20.10 MITYANA-MUBENDE'!C18,'21.10 MITYANA-MUBENDE'!C18,'22.10 MITYANA-MUBENDE'!C18,'23.10 MITYANA-MUBENDE'!C18)</f>
        <v>7.7142857142857144</v>
      </c>
      <c r="D18" s="49">
        <f>AVERAGE('17.10  MITYANA-MUBENDE '!D18,'18.10  MITYANA-MUBENDE-24h'!D18,'19.10 MITYANA-MUBENDE-24h'!D18,'20.10 MITYANA-MUBENDE'!D18,'21.10 MITYANA-MUBENDE'!D18,'22.10 MITYANA-MUBENDE'!D18,'23.10 MITYANA-MUBENDE'!D18)</f>
        <v>3.8571428571428572</v>
      </c>
      <c r="E18" s="49">
        <f>AVERAGE('17.10  MITYANA-MUBENDE '!E18,'18.10  MITYANA-MUBENDE-24h'!E18,'19.10 MITYANA-MUBENDE-24h'!E18,'20.10 MITYANA-MUBENDE'!E18,'21.10 MITYANA-MUBENDE'!E18,'22.10 MITYANA-MUBENDE'!E18,'23.10 MITYANA-MUBENDE'!E18)</f>
        <v>2.2857142857142856</v>
      </c>
      <c r="F18" s="49">
        <f>AVERAGE('17.10  MITYANA-MUBENDE '!F18,'18.10  MITYANA-MUBENDE-24h'!F18,'19.10 MITYANA-MUBENDE-24h'!F18,'20.10 MITYANA-MUBENDE'!F18,'21.10 MITYANA-MUBENDE'!F18,'22.10 MITYANA-MUBENDE'!F18,'23.10 MITYANA-MUBENDE'!F18)</f>
        <v>6.4285714285714288</v>
      </c>
      <c r="G18" s="49">
        <f>AVERAGE('17.10  MITYANA-MUBENDE '!G18,'18.10  MITYANA-MUBENDE-24h'!G18,'19.10 MITYANA-MUBENDE-24h'!G18,'20.10 MITYANA-MUBENDE'!G18,'21.10 MITYANA-MUBENDE'!G18,'22.10 MITYANA-MUBENDE'!G18,'23.10 MITYANA-MUBENDE'!G18)</f>
        <v>0</v>
      </c>
      <c r="H18" s="49">
        <f>AVERAGE('17.10  MITYANA-MUBENDE '!H18,'18.10  MITYANA-MUBENDE-24h'!H18,'19.10 MITYANA-MUBENDE-24h'!H18,'20.10 MITYANA-MUBENDE'!H18,'21.10 MITYANA-MUBENDE'!H18,'22.10 MITYANA-MUBENDE'!H18,'23.10 MITYANA-MUBENDE'!H18)</f>
        <v>0.2857142857142857</v>
      </c>
      <c r="I18" s="49">
        <f>AVERAGE('17.10  MITYANA-MUBENDE '!I18,'18.10  MITYANA-MUBENDE-24h'!I18,'19.10 MITYANA-MUBENDE-24h'!I18,'20.10 MITYANA-MUBENDE'!I18,'21.10 MITYANA-MUBENDE'!I18,'22.10 MITYANA-MUBENDE'!I18,'23.10 MITYANA-MUBENDE'!I18)</f>
        <v>3.2857142857142856</v>
      </c>
      <c r="J18" s="49">
        <f>AVERAGE('17.10  MITYANA-MUBENDE '!J18,'18.10  MITYANA-MUBENDE-24h'!J18,'19.10 MITYANA-MUBENDE-24h'!J18,'20.10 MITYANA-MUBENDE'!J18,'21.10 MITYANA-MUBENDE'!J18,'22.10 MITYANA-MUBENDE'!J18,'23.10 MITYANA-MUBENDE'!J18)</f>
        <v>1.7142857142857142</v>
      </c>
      <c r="K18" s="49">
        <f>AVERAGE('17.10  MITYANA-MUBENDE '!K18,'18.10  MITYANA-MUBENDE-24h'!K18,'19.10 MITYANA-MUBENDE-24h'!K18,'20.10 MITYANA-MUBENDE'!K18,'21.10 MITYANA-MUBENDE'!K18,'22.10 MITYANA-MUBENDE'!K18,'23.10 MITYANA-MUBENDE'!K18)</f>
        <v>0.42857142857142855</v>
      </c>
      <c r="L18" s="49">
        <f>AVERAGE('17.10  MITYANA-MUBENDE '!L18,'18.10  MITYANA-MUBENDE-24h'!L18,'19.10 MITYANA-MUBENDE-24h'!L18,'20.10 MITYANA-MUBENDE'!L18,'21.10 MITYANA-MUBENDE'!L18,'22.10 MITYANA-MUBENDE'!L18,'23.10 MITYANA-MUBENDE'!L18)</f>
        <v>1</v>
      </c>
      <c r="M18" s="49">
        <f>AVERAGE('17.10  MITYANA-MUBENDE '!M18,'18.10  MITYANA-MUBENDE-24h'!M18,'19.10 MITYANA-MUBENDE-24h'!M18,'20.10 MITYANA-MUBENDE'!M18,'21.10 MITYANA-MUBENDE'!M18,'22.10 MITYANA-MUBENDE'!M18,'23.10 MITYANA-MUBENDE'!M18)</f>
        <v>36.714285714285715</v>
      </c>
      <c r="N18" s="49">
        <f>AVERAGE('17.10  MITYANA-MUBENDE '!N18,'18.10  MITYANA-MUBENDE-24h'!N18,'19.10 MITYANA-MUBENDE-24h'!N18,'20.10 MITYANA-MUBENDE'!N18,'21.10 MITYANA-MUBENDE'!N18,'22.10 MITYANA-MUBENDE'!N18,'23.10 MITYANA-MUBENDE'!N18)</f>
        <v>0</v>
      </c>
      <c r="O18" s="15">
        <f t="shared" si="0"/>
        <v>26.999999999999996</v>
      </c>
      <c r="P18" s="15">
        <f t="shared" si="1"/>
        <v>63.714285714285708</v>
      </c>
      <c r="R18" s="1" t="s">
        <v>14</v>
      </c>
      <c r="S18" s="17">
        <f t="shared" ref="S18:AF18" si="10">SUM(C42:C45)</f>
        <v>38.857142857142854</v>
      </c>
      <c r="T18" s="17">
        <f t="shared" si="10"/>
        <v>12.285714285714285</v>
      </c>
      <c r="U18" s="17">
        <f t="shared" si="10"/>
        <v>8.4285714285714288</v>
      </c>
      <c r="V18" s="17">
        <f t="shared" si="10"/>
        <v>32.285714285714285</v>
      </c>
      <c r="W18" s="17">
        <f t="shared" si="10"/>
        <v>0.5714285714285714</v>
      </c>
      <c r="X18" s="17">
        <f t="shared" si="10"/>
        <v>2.1428571428571428</v>
      </c>
      <c r="Y18" s="17">
        <f t="shared" si="10"/>
        <v>16.571428571428569</v>
      </c>
      <c r="Z18" s="17">
        <f t="shared" si="10"/>
        <v>9.1428571428571423</v>
      </c>
      <c r="AA18" s="17">
        <f t="shared" si="10"/>
        <v>3.5714285714285712</v>
      </c>
      <c r="AB18" s="17">
        <f t="shared" si="10"/>
        <v>5</v>
      </c>
      <c r="AC18" s="17">
        <f t="shared" si="10"/>
        <v>151.42857142857142</v>
      </c>
      <c r="AD18" s="17">
        <f t="shared" si="10"/>
        <v>0</v>
      </c>
      <c r="AE18" s="31">
        <f t="shared" si="10"/>
        <v>128.85714285714286</v>
      </c>
      <c r="AF18" s="31">
        <f t="shared" si="10"/>
        <v>280.28571428571422</v>
      </c>
    </row>
    <row r="19" spans="2:32" ht="23.1" customHeight="1" x14ac:dyDescent="0.25">
      <c r="B19" s="23" t="s">
        <v>46</v>
      </c>
      <c r="C19" s="49">
        <f>AVERAGE('17.10  MITYANA-MUBENDE '!C19,'18.10  MITYANA-MUBENDE-24h'!C19,'19.10 MITYANA-MUBENDE-24h'!C19,'20.10 MITYANA-MUBENDE'!C19,'21.10 MITYANA-MUBENDE'!C19,'22.10 MITYANA-MUBENDE'!C19,'23.10 MITYANA-MUBENDE'!C19)</f>
        <v>8.7142857142857135</v>
      </c>
      <c r="D19" s="49">
        <f>AVERAGE('17.10  MITYANA-MUBENDE '!D19,'18.10  MITYANA-MUBENDE-24h'!D19,'19.10 MITYANA-MUBENDE-24h'!D19,'20.10 MITYANA-MUBENDE'!D19,'21.10 MITYANA-MUBENDE'!D19,'22.10 MITYANA-MUBENDE'!D19,'23.10 MITYANA-MUBENDE'!D19)</f>
        <v>4.4285714285714288</v>
      </c>
      <c r="E19" s="49">
        <f>AVERAGE('17.10  MITYANA-MUBENDE '!E19,'18.10  MITYANA-MUBENDE-24h'!E19,'19.10 MITYANA-MUBENDE-24h'!E19,'20.10 MITYANA-MUBENDE'!E19,'21.10 MITYANA-MUBENDE'!E19,'22.10 MITYANA-MUBENDE'!E19,'23.10 MITYANA-MUBENDE'!E19)</f>
        <v>2.7142857142857144</v>
      </c>
      <c r="F19" s="49">
        <f>AVERAGE('17.10  MITYANA-MUBENDE '!F19,'18.10  MITYANA-MUBENDE-24h'!F19,'19.10 MITYANA-MUBENDE-24h'!F19,'20.10 MITYANA-MUBENDE'!F19,'21.10 MITYANA-MUBENDE'!F19,'22.10 MITYANA-MUBENDE'!F19,'23.10 MITYANA-MUBENDE'!F19)</f>
        <v>5.5714285714285712</v>
      </c>
      <c r="G19" s="49">
        <f>AVERAGE('17.10  MITYANA-MUBENDE '!G19,'18.10  MITYANA-MUBENDE-24h'!G19,'19.10 MITYANA-MUBENDE-24h'!G19,'20.10 MITYANA-MUBENDE'!G19,'21.10 MITYANA-MUBENDE'!G19,'22.10 MITYANA-MUBENDE'!G19,'23.10 MITYANA-MUBENDE'!G19)</f>
        <v>0.42857142857142855</v>
      </c>
      <c r="H19" s="49">
        <f>AVERAGE('17.10  MITYANA-MUBENDE '!H19,'18.10  MITYANA-MUBENDE-24h'!H19,'19.10 MITYANA-MUBENDE-24h'!H19,'20.10 MITYANA-MUBENDE'!H19,'21.10 MITYANA-MUBENDE'!H19,'22.10 MITYANA-MUBENDE'!H19,'23.10 MITYANA-MUBENDE'!H19)</f>
        <v>0.42857142857142855</v>
      </c>
      <c r="I19" s="49">
        <f>AVERAGE('17.10  MITYANA-MUBENDE '!I19,'18.10  MITYANA-MUBENDE-24h'!I19,'19.10 MITYANA-MUBENDE-24h'!I19,'20.10 MITYANA-MUBENDE'!I19,'21.10 MITYANA-MUBENDE'!I19,'22.10 MITYANA-MUBENDE'!I19,'23.10 MITYANA-MUBENDE'!I19)</f>
        <v>2.4285714285714284</v>
      </c>
      <c r="J19" s="49">
        <f>AVERAGE('17.10  MITYANA-MUBENDE '!J19,'18.10  MITYANA-MUBENDE-24h'!J19,'19.10 MITYANA-MUBENDE-24h'!J19,'20.10 MITYANA-MUBENDE'!J19,'21.10 MITYANA-MUBENDE'!J19,'22.10 MITYANA-MUBENDE'!J19,'23.10 MITYANA-MUBENDE'!J19)</f>
        <v>1.4285714285714286</v>
      </c>
      <c r="K19" s="49">
        <f>AVERAGE('17.10  MITYANA-MUBENDE '!K19,'18.10  MITYANA-MUBENDE-24h'!K19,'19.10 MITYANA-MUBENDE-24h'!K19,'20.10 MITYANA-MUBENDE'!K19,'21.10 MITYANA-MUBENDE'!K19,'22.10 MITYANA-MUBENDE'!K19,'23.10 MITYANA-MUBENDE'!K19)</f>
        <v>1.5714285714285714</v>
      </c>
      <c r="L19" s="49">
        <f>AVERAGE('17.10  MITYANA-MUBENDE '!L19,'18.10  MITYANA-MUBENDE-24h'!L19,'19.10 MITYANA-MUBENDE-24h'!L19,'20.10 MITYANA-MUBENDE'!L19,'21.10 MITYANA-MUBENDE'!L19,'22.10 MITYANA-MUBENDE'!L19,'23.10 MITYANA-MUBENDE'!L19)</f>
        <v>0.42857142857142855</v>
      </c>
      <c r="M19" s="49">
        <f>AVERAGE('17.10  MITYANA-MUBENDE '!M19,'18.10  MITYANA-MUBENDE-24h'!M19,'19.10 MITYANA-MUBENDE-24h'!M19,'20.10 MITYANA-MUBENDE'!M19,'21.10 MITYANA-MUBENDE'!M19,'22.10 MITYANA-MUBENDE'!M19,'23.10 MITYANA-MUBENDE'!M19)</f>
        <v>38.428571428571431</v>
      </c>
      <c r="N19" s="49">
        <f>AVERAGE('17.10  MITYANA-MUBENDE '!N19,'18.10  MITYANA-MUBENDE-24h'!N19,'19.10 MITYANA-MUBENDE-24h'!N19,'20.10 MITYANA-MUBENDE'!N19,'21.10 MITYANA-MUBENDE'!N19,'22.10 MITYANA-MUBENDE'!N19,'23.10 MITYANA-MUBENDE'!N19)</f>
        <v>0</v>
      </c>
      <c r="O19" s="15">
        <f t="shared" si="0"/>
        <v>28.142857142857139</v>
      </c>
      <c r="P19" s="15">
        <f t="shared" si="1"/>
        <v>66.571428571428569</v>
      </c>
      <c r="R19" s="1" t="s">
        <v>15</v>
      </c>
      <c r="S19" s="17">
        <f t="shared" ref="S19:AF19" si="11">SUM(C46:C49)</f>
        <v>39.285714285714292</v>
      </c>
      <c r="T19" s="17">
        <f t="shared" si="11"/>
        <v>13.714285714285714</v>
      </c>
      <c r="U19" s="17">
        <f t="shared" si="11"/>
        <v>8</v>
      </c>
      <c r="V19" s="17">
        <f t="shared" si="11"/>
        <v>34.714285714285715</v>
      </c>
      <c r="W19" s="17">
        <f t="shared" si="11"/>
        <v>0.8571428571428571</v>
      </c>
      <c r="X19" s="17">
        <f t="shared" si="11"/>
        <v>2.7142857142857144</v>
      </c>
      <c r="Y19" s="17">
        <f t="shared" si="11"/>
        <v>17.857142857142858</v>
      </c>
      <c r="Z19" s="17">
        <f t="shared" si="11"/>
        <v>12.571428571428571</v>
      </c>
      <c r="AA19" s="17">
        <f t="shared" si="11"/>
        <v>2.8571428571428568</v>
      </c>
      <c r="AB19" s="17">
        <f t="shared" si="11"/>
        <v>3.9999999999999996</v>
      </c>
      <c r="AC19" s="17">
        <f t="shared" si="11"/>
        <v>166.14285714285714</v>
      </c>
      <c r="AD19" s="17">
        <f t="shared" si="11"/>
        <v>0</v>
      </c>
      <c r="AE19" s="31">
        <f t="shared" si="11"/>
        <v>136.57142857142858</v>
      </c>
      <c r="AF19" s="31">
        <f t="shared" si="11"/>
        <v>302.71428571428572</v>
      </c>
    </row>
    <row r="20" spans="2:32" ht="23.1" customHeight="1" x14ac:dyDescent="0.25">
      <c r="B20" s="23" t="s">
        <v>47</v>
      </c>
      <c r="C20" s="49">
        <f>AVERAGE('17.10  MITYANA-MUBENDE '!C20,'18.10  MITYANA-MUBENDE-24h'!C20,'19.10 MITYANA-MUBENDE-24h'!C20,'20.10 MITYANA-MUBENDE'!C20,'21.10 MITYANA-MUBENDE'!C20,'22.10 MITYANA-MUBENDE'!C20,'23.10 MITYANA-MUBENDE'!C20)</f>
        <v>8.8571428571428577</v>
      </c>
      <c r="D20" s="49">
        <f>AVERAGE('17.10  MITYANA-MUBENDE '!D20,'18.10  MITYANA-MUBENDE-24h'!D20,'19.10 MITYANA-MUBENDE-24h'!D20,'20.10 MITYANA-MUBENDE'!D20,'21.10 MITYANA-MUBENDE'!D20,'22.10 MITYANA-MUBENDE'!D20,'23.10 MITYANA-MUBENDE'!D20)</f>
        <v>3.7142857142857144</v>
      </c>
      <c r="E20" s="49">
        <f>AVERAGE('17.10  MITYANA-MUBENDE '!E20,'18.10  MITYANA-MUBENDE-24h'!E20,'19.10 MITYANA-MUBENDE-24h'!E20,'20.10 MITYANA-MUBENDE'!E20,'21.10 MITYANA-MUBENDE'!E20,'22.10 MITYANA-MUBENDE'!E20,'23.10 MITYANA-MUBENDE'!E20)</f>
        <v>2.4285714285714284</v>
      </c>
      <c r="F20" s="49">
        <f>AVERAGE('17.10  MITYANA-MUBENDE '!F20,'18.10  MITYANA-MUBENDE-24h'!F20,'19.10 MITYANA-MUBENDE-24h'!F20,'20.10 MITYANA-MUBENDE'!F20,'21.10 MITYANA-MUBENDE'!F20,'22.10 MITYANA-MUBENDE'!F20,'23.10 MITYANA-MUBENDE'!F20)</f>
        <v>6</v>
      </c>
      <c r="G20" s="49">
        <f>AVERAGE('17.10  MITYANA-MUBENDE '!G20,'18.10  MITYANA-MUBENDE-24h'!G20,'19.10 MITYANA-MUBENDE-24h'!G20,'20.10 MITYANA-MUBENDE'!G20,'21.10 MITYANA-MUBENDE'!G20,'22.10 MITYANA-MUBENDE'!G20,'23.10 MITYANA-MUBENDE'!G20)</f>
        <v>0.14285714285714285</v>
      </c>
      <c r="H20" s="49">
        <f>AVERAGE('17.10  MITYANA-MUBENDE '!H20,'18.10  MITYANA-MUBENDE-24h'!H20,'19.10 MITYANA-MUBENDE-24h'!H20,'20.10 MITYANA-MUBENDE'!H20,'21.10 MITYANA-MUBENDE'!H20,'22.10 MITYANA-MUBENDE'!H20,'23.10 MITYANA-MUBENDE'!H20)</f>
        <v>0</v>
      </c>
      <c r="I20" s="49">
        <f>AVERAGE('17.10  MITYANA-MUBENDE '!I20,'18.10  MITYANA-MUBENDE-24h'!I20,'19.10 MITYANA-MUBENDE-24h'!I20,'20.10 MITYANA-MUBENDE'!I20,'21.10 MITYANA-MUBENDE'!I20,'22.10 MITYANA-MUBENDE'!I20,'23.10 MITYANA-MUBENDE'!I20)</f>
        <v>2.5714285714285716</v>
      </c>
      <c r="J20" s="49">
        <f>AVERAGE('17.10  MITYANA-MUBENDE '!J20,'18.10  MITYANA-MUBENDE-24h'!J20,'19.10 MITYANA-MUBENDE-24h'!J20,'20.10 MITYANA-MUBENDE'!J20,'21.10 MITYANA-MUBENDE'!J20,'22.10 MITYANA-MUBENDE'!J20,'23.10 MITYANA-MUBENDE'!J20)</f>
        <v>2.2857142857142856</v>
      </c>
      <c r="K20" s="49">
        <f>AVERAGE('17.10  MITYANA-MUBENDE '!K20,'18.10  MITYANA-MUBENDE-24h'!K20,'19.10 MITYANA-MUBENDE-24h'!K20,'20.10 MITYANA-MUBENDE'!K20,'21.10 MITYANA-MUBENDE'!K20,'22.10 MITYANA-MUBENDE'!K20,'23.10 MITYANA-MUBENDE'!K20)</f>
        <v>0.2857142857142857</v>
      </c>
      <c r="L20" s="49">
        <f>AVERAGE('17.10  MITYANA-MUBENDE '!L20,'18.10  MITYANA-MUBENDE-24h'!L20,'19.10 MITYANA-MUBENDE-24h'!L20,'20.10 MITYANA-MUBENDE'!L20,'21.10 MITYANA-MUBENDE'!L20,'22.10 MITYANA-MUBENDE'!L20,'23.10 MITYANA-MUBENDE'!L20)</f>
        <v>0.8571428571428571</v>
      </c>
      <c r="M20" s="49">
        <f>AVERAGE('17.10  MITYANA-MUBENDE '!M20,'18.10  MITYANA-MUBENDE-24h'!M20,'19.10 MITYANA-MUBENDE-24h'!M20,'20.10 MITYANA-MUBENDE'!M20,'21.10 MITYANA-MUBENDE'!M20,'22.10 MITYANA-MUBENDE'!M20,'23.10 MITYANA-MUBENDE'!M20)</f>
        <v>41.285714285714285</v>
      </c>
      <c r="N20" s="49">
        <f>AVERAGE('17.10  MITYANA-MUBENDE '!N20,'18.10  MITYANA-MUBENDE-24h'!N20,'19.10 MITYANA-MUBENDE-24h'!N20,'20.10 MITYANA-MUBENDE'!N20,'21.10 MITYANA-MUBENDE'!N20,'22.10 MITYANA-MUBENDE'!N20,'23.10 MITYANA-MUBENDE'!N20)</f>
        <v>0</v>
      </c>
      <c r="O20" s="15">
        <f t="shared" si="0"/>
        <v>27.142857142857142</v>
      </c>
      <c r="P20" s="15">
        <f t="shared" si="1"/>
        <v>68.428571428571431</v>
      </c>
      <c r="R20" s="1" t="s">
        <v>16</v>
      </c>
      <c r="S20" s="17">
        <f t="shared" ref="S20:AF20" si="12">SUM(C50:C53)</f>
        <v>36.857142857142854</v>
      </c>
      <c r="T20" s="17">
        <f t="shared" si="12"/>
        <v>13.285714285714286</v>
      </c>
      <c r="U20" s="17">
        <f t="shared" si="12"/>
        <v>7.2857142857142865</v>
      </c>
      <c r="V20" s="17">
        <f t="shared" si="12"/>
        <v>30.428571428571427</v>
      </c>
      <c r="W20" s="17">
        <f t="shared" si="12"/>
        <v>0.2857142857142857</v>
      </c>
      <c r="X20" s="17">
        <f t="shared" si="12"/>
        <v>2.4285714285714284</v>
      </c>
      <c r="Y20" s="17">
        <f t="shared" si="12"/>
        <v>13</v>
      </c>
      <c r="Z20" s="17">
        <f t="shared" si="12"/>
        <v>13.285714285714285</v>
      </c>
      <c r="AA20" s="17">
        <f t="shared" si="12"/>
        <v>2.8571428571428572</v>
      </c>
      <c r="AB20" s="17">
        <f t="shared" si="12"/>
        <v>5.4285714285714279</v>
      </c>
      <c r="AC20" s="17">
        <f t="shared" si="12"/>
        <v>188.14285714285714</v>
      </c>
      <c r="AD20" s="17">
        <f t="shared" si="12"/>
        <v>0</v>
      </c>
      <c r="AE20" s="31">
        <f t="shared" si="12"/>
        <v>125.14285714285715</v>
      </c>
      <c r="AF20" s="31">
        <f t="shared" si="12"/>
        <v>313.28571428571428</v>
      </c>
    </row>
    <row r="21" spans="2:32" ht="23.1" customHeight="1" x14ac:dyDescent="0.25">
      <c r="B21" s="23" t="s">
        <v>48</v>
      </c>
      <c r="C21" s="49">
        <f>AVERAGE('17.10  MITYANA-MUBENDE '!C21,'18.10  MITYANA-MUBENDE-24h'!C21,'19.10 MITYANA-MUBENDE-24h'!C21,'20.10 MITYANA-MUBENDE'!C21,'21.10 MITYANA-MUBENDE'!C21,'22.10 MITYANA-MUBENDE'!C21,'23.10 MITYANA-MUBENDE'!C21)</f>
        <v>9</v>
      </c>
      <c r="D21" s="49">
        <f>AVERAGE('17.10  MITYANA-MUBENDE '!D21,'18.10  MITYANA-MUBENDE-24h'!D21,'19.10 MITYANA-MUBENDE-24h'!D21,'20.10 MITYANA-MUBENDE'!D21,'21.10 MITYANA-MUBENDE'!D21,'22.10 MITYANA-MUBENDE'!D21,'23.10 MITYANA-MUBENDE'!D21)</f>
        <v>4.2857142857142856</v>
      </c>
      <c r="E21" s="49">
        <f>AVERAGE('17.10  MITYANA-MUBENDE '!E21,'18.10  MITYANA-MUBENDE-24h'!E21,'19.10 MITYANA-MUBENDE-24h'!E21,'20.10 MITYANA-MUBENDE'!E21,'21.10 MITYANA-MUBENDE'!E21,'22.10 MITYANA-MUBENDE'!E21,'23.10 MITYANA-MUBENDE'!E21)</f>
        <v>1.2857142857142858</v>
      </c>
      <c r="F21" s="49">
        <f>AVERAGE('17.10  MITYANA-MUBENDE '!F21,'18.10  MITYANA-MUBENDE-24h'!F21,'19.10 MITYANA-MUBENDE-24h'!F21,'20.10 MITYANA-MUBENDE'!F21,'21.10 MITYANA-MUBENDE'!F21,'22.10 MITYANA-MUBENDE'!F21,'23.10 MITYANA-MUBENDE'!F21)</f>
        <v>7.1428571428571432</v>
      </c>
      <c r="G21" s="49">
        <f>AVERAGE('17.10  MITYANA-MUBENDE '!G21,'18.10  MITYANA-MUBENDE-24h'!G21,'19.10 MITYANA-MUBENDE-24h'!G21,'20.10 MITYANA-MUBENDE'!G21,'21.10 MITYANA-MUBENDE'!G21,'22.10 MITYANA-MUBENDE'!G21,'23.10 MITYANA-MUBENDE'!G21)</f>
        <v>0.2857142857142857</v>
      </c>
      <c r="H21" s="49">
        <f>AVERAGE('17.10  MITYANA-MUBENDE '!H21,'18.10  MITYANA-MUBENDE-24h'!H21,'19.10 MITYANA-MUBENDE-24h'!H21,'20.10 MITYANA-MUBENDE'!H21,'21.10 MITYANA-MUBENDE'!H21,'22.10 MITYANA-MUBENDE'!H21,'23.10 MITYANA-MUBENDE'!H21)</f>
        <v>0.14285714285714285</v>
      </c>
      <c r="I21" s="49">
        <f>AVERAGE('17.10  MITYANA-MUBENDE '!I21,'18.10  MITYANA-MUBENDE-24h'!I21,'19.10 MITYANA-MUBENDE-24h'!I21,'20.10 MITYANA-MUBENDE'!I21,'21.10 MITYANA-MUBENDE'!I21,'22.10 MITYANA-MUBENDE'!I21,'23.10 MITYANA-MUBENDE'!I21)</f>
        <v>2.8571428571428572</v>
      </c>
      <c r="J21" s="49">
        <f>AVERAGE('17.10  MITYANA-MUBENDE '!J21,'18.10  MITYANA-MUBENDE-24h'!J21,'19.10 MITYANA-MUBENDE-24h'!J21,'20.10 MITYANA-MUBENDE'!J21,'21.10 MITYANA-MUBENDE'!J21,'22.10 MITYANA-MUBENDE'!J21,'23.10 MITYANA-MUBENDE'!J21)</f>
        <v>1.4285714285714286</v>
      </c>
      <c r="K21" s="49">
        <f>AVERAGE('17.10  MITYANA-MUBENDE '!K21,'18.10  MITYANA-MUBENDE-24h'!K21,'19.10 MITYANA-MUBENDE-24h'!K21,'20.10 MITYANA-MUBENDE'!K21,'21.10 MITYANA-MUBENDE'!K21,'22.10 MITYANA-MUBENDE'!K21,'23.10 MITYANA-MUBENDE'!K21)</f>
        <v>0.8571428571428571</v>
      </c>
      <c r="L21" s="49">
        <f>AVERAGE('17.10  MITYANA-MUBENDE '!L21,'18.10  MITYANA-MUBENDE-24h'!L21,'19.10 MITYANA-MUBENDE-24h'!L21,'20.10 MITYANA-MUBENDE'!L21,'21.10 MITYANA-MUBENDE'!L21,'22.10 MITYANA-MUBENDE'!L21,'23.10 MITYANA-MUBENDE'!L21)</f>
        <v>0.7142857142857143</v>
      </c>
      <c r="M21" s="49">
        <f>AVERAGE('17.10  MITYANA-MUBENDE '!M21,'18.10  MITYANA-MUBENDE-24h'!M21,'19.10 MITYANA-MUBENDE-24h'!M21,'20.10 MITYANA-MUBENDE'!M21,'21.10 MITYANA-MUBENDE'!M21,'22.10 MITYANA-MUBENDE'!M21,'23.10 MITYANA-MUBENDE'!M21)</f>
        <v>41.142857142857146</v>
      </c>
      <c r="N21" s="49">
        <f>AVERAGE('17.10  MITYANA-MUBENDE '!N21,'18.10  MITYANA-MUBENDE-24h'!N21,'19.10 MITYANA-MUBENDE-24h'!N21,'20.10 MITYANA-MUBENDE'!N21,'21.10 MITYANA-MUBENDE'!N21,'22.10 MITYANA-MUBENDE'!N21,'23.10 MITYANA-MUBENDE'!N21)</f>
        <v>0</v>
      </c>
      <c r="O21" s="15">
        <f t="shared" si="0"/>
        <v>28</v>
      </c>
      <c r="P21" s="15">
        <f t="shared" si="1"/>
        <v>69.142857142857139</v>
      </c>
      <c r="R21" s="36" t="s">
        <v>20</v>
      </c>
      <c r="S21" s="34">
        <f t="shared" ref="S21:AF21" si="13">SUM(C54:C57)</f>
        <v>35.428571428571431</v>
      </c>
      <c r="T21" s="17">
        <f t="shared" si="13"/>
        <v>11.571428571428573</v>
      </c>
      <c r="U21" s="17">
        <f t="shared" si="13"/>
        <v>6.7142857142857135</v>
      </c>
      <c r="V21" s="17">
        <f t="shared" si="13"/>
        <v>29.571428571428573</v>
      </c>
      <c r="W21" s="17">
        <f t="shared" si="13"/>
        <v>0.85714285714285721</v>
      </c>
      <c r="X21" s="17">
        <f t="shared" si="13"/>
        <v>1.4285714285714284</v>
      </c>
      <c r="Y21" s="17">
        <f t="shared" si="13"/>
        <v>16.571428571428573</v>
      </c>
      <c r="Z21" s="17">
        <f t="shared" si="13"/>
        <v>11.714285714285714</v>
      </c>
      <c r="AA21" s="17">
        <f t="shared" si="13"/>
        <v>3.1428571428571428</v>
      </c>
      <c r="AB21" s="17">
        <f t="shared" si="13"/>
        <v>6.1428571428571423</v>
      </c>
      <c r="AC21" s="17">
        <f t="shared" si="13"/>
        <v>204.28571428571428</v>
      </c>
      <c r="AD21" s="17">
        <f t="shared" si="13"/>
        <v>0</v>
      </c>
      <c r="AE21" s="31">
        <f t="shared" si="13"/>
        <v>123.14285714285714</v>
      </c>
      <c r="AF21" s="31">
        <f t="shared" si="13"/>
        <v>327.42857142857144</v>
      </c>
    </row>
    <row r="22" spans="2:32" ht="23.1" customHeight="1" x14ac:dyDescent="0.25">
      <c r="B22" s="23" t="s">
        <v>49</v>
      </c>
      <c r="C22" s="49">
        <f>AVERAGE('17.10  MITYANA-MUBENDE '!C22,'18.10  MITYANA-MUBENDE-24h'!C22,'19.10 MITYANA-MUBENDE-24h'!C22,'20.10 MITYANA-MUBENDE'!C22,'21.10 MITYANA-MUBENDE'!C22,'22.10 MITYANA-MUBENDE'!C22,'23.10 MITYANA-MUBENDE'!C22)</f>
        <v>9.8571428571428577</v>
      </c>
      <c r="D22" s="49">
        <f>AVERAGE('17.10  MITYANA-MUBENDE '!D22,'18.10  MITYANA-MUBENDE-24h'!D22,'19.10 MITYANA-MUBENDE-24h'!D22,'20.10 MITYANA-MUBENDE'!D22,'21.10 MITYANA-MUBENDE'!D22,'22.10 MITYANA-MUBENDE'!D22,'23.10 MITYANA-MUBENDE'!D22)</f>
        <v>2.7142857142857144</v>
      </c>
      <c r="E22" s="49">
        <f>AVERAGE('17.10  MITYANA-MUBENDE '!E22,'18.10  MITYANA-MUBENDE-24h'!E22,'19.10 MITYANA-MUBENDE-24h'!E22,'20.10 MITYANA-MUBENDE'!E22,'21.10 MITYANA-MUBENDE'!E22,'22.10 MITYANA-MUBENDE'!E22,'23.10 MITYANA-MUBENDE'!E22)</f>
        <v>1.7142857142857142</v>
      </c>
      <c r="F22" s="49">
        <f>AVERAGE('17.10  MITYANA-MUBENDE '!F22,'18.10  MITYANA-MUBENDE-24h'!F22,'19.10 MITYANA-MUBENDE-24h'!F22,'20.10 MITYANA-MUBENDE'!F22,'21.10 MITYANA-MUBENDE'!F22,'22.10 MITYANA-MUBENDE'!F22,'23.10 MITYANA-MUBENDE'!F22)</f>
        <v>6.8571428571428568</v>
      </c>
      <c r="G22" s="49">
        <f>AVERAGE('17.10  MITYANA-MUBENDE '!G22,'18.10  MITYANA-MUBENDE-24h'!G22,'19.10 MITYANA-MUBENDE-24h'!G22,'20.10 MITYANA-MUBENDE'!G22,'21.10 MITYANA-MUBENDE'!G22,'22.10 MITYANA-MUBENDE'!G22,'23.10 MITYANA-MUBENDE'!G22)</f>
        <v>0</v>
      </c>
      <c r="H22" s="49">
        <f>AVERAGE('17.10  MITYANA-MUBENDE '!H22,'18.10  MITYANA-MUBENDE-24h'!H22,'19.10 MITYANA-MUBENDE-24h'!H22,'20.10 MITYANA-MUBENDE'!H22,'21.10 MITYANA-MUBENDE'!H22,'22.10 MITYANA-MUBENDE'!H22,'23.10 MITYANA-MUBENDE'!H22)</f>
        <v>0.8571428571428571</v>
      </c>
      <c r="I22" s="49">
        <f>AVERAGE('17.10  MITYANA-MUBENDE '!I22,'18.10  MITYANA-MUBENDE-24h'!I22,'19.10 MITYANA-MUBENDE-24h'!I22,'20.10 MITYANA-MUBENDE'!I22,'21.10 MITYANA-MUBENDE'!I22,'22.10 MITYANA-MUBENDE'!I22,'23.10 MITYANA-MUBENDE'!I22)</f>
        <v>2.5714285714285716</v>
      </c>
      <c r="J22" s="49">
        <f>AVERAGE('17.10  MITYANA-MUBENDE '!J22,'18.10  MITYANA-MUBENDE-24h'!J22,'19.10 MITYANA-MUBENDE-24h'!J22,'20.10 MITYANA-MUBENDE'!J22,'21.10 MITYANA-MUBENDE'!J22,'22.10 MITYANA-MUBENDE'!J22,'23.10 MITYANA-MUBENDE'!J22)</f>
        <v>2.1428571428571428</v>
      </c>
      <c r="K22" s="49">
        <f>AVERAGE('17.10  MITYANA-MUBENDE '!K22,'18.10  MITYANA-MUBENDE-24h'!K22,'19.10 MITYANA-MUBENDE-24h'!K22,'20.10 MITYANA-MUBENDE'!K22,'21.10 MITYANA-MUBENDE'!K22,'22.10 MITYANA-MUBENDE'!K22,'23.10 MITYANA-MUBENDE'!K22)</f>
        <v>0.2857142857142857</v>
      </c>
      <c r="L22" s="49">
        <f>AVERAGE('17.10  MITYANA-MUBENDE '!L22,'18.10  MITYANA-MUBENDE-24h'!L22,'19.10 MITYANA-MUBENDE-24h'!L22,'20.10 MITYANA-MUBENDE'!L22,'21.10 MITYANA-MUBENDE'!L22,'22.10 MITYANA-MUBENDE'!L22,'23.10 MITYANA-MUBENDE'!L22)</f>
        <v>0.7142857142857143</v>
      </c>
      <c r="M22" s="49">
        <f>AVERAGE('17.10  MITYANA-MUBENDE '!M22,'18.10  MITYANA-MUBENDE-24h'!M22,'19.10 MITYANA-MUBENDE-24h'!M22,'20.10 MITYANA-MUBENDE'!M22,'21.10 MITYANA-MUBENDE'!M22,'22.10 MITYANA-MUBENDE'!M22,'23.10 MITYANA-MUBENDE'!M22)</f>
        <v>35.857142857142854</v>
      </c>
      <c r="N22" s="49">
        <f>AVERAGE('17.10  MITYANA-MUBENDE '!N22,'18.10  MITYANA-MUBENDE-24h'!N22,'19.10 MITYANA-MUBENDE-24h'!N22,'20.10 MITYANA-MUBENDE'!N22,'21.10 MITYANA-MUBENDE'!N22,'22.10 MITYANA-MUBENDE'!N22,'23.10 MITYANA-MUBENDE'!N22)</f>
        <v>0</v>
      </c>
      <c r="O22" s="15">
        <f t="shared" si="0"/>
        <v>27.714285714285715</v>
      </c>
      <c r="P22" s="15">
        <f t="shared" si="1"/>
        <v>63.571428571428569</v>
      </c>
      <c r="R22" s="1" t="s">
        <v>146</v>
      </c>
      <c r="S22" s="34">
        <f>SUM(C58:C61)</f>
        <v>35</v>
      </c>
      <c r="T22" s="34">
        <f t="shared" ref="T22:AF22" si="14">SUM(D58:D61)</f>
        <v>14.5</v>
      </c>
      <c r="U22" s="34">
        <f t="shared" si="14"/>
        <v>5.5</v>
      </c>
      <c r="V22" s="34">
        <f t="shared" si="14"/>
        <v>25</v>
      </c>
      <c r="W22" s="34">
        <f t="shared" si="14"/>
        <v>0</v>
      </c>
      <c r="X22" s="34">
        <f t="shared" si="14"/>
        <v>0</v>
      </c>
      <c r="Y22" s="34">
        <f t="shared" si="14"/>
        <v>16</v>
      </c>
      <c r="Z22" s="34">
        <f t="shared" si="14"/>
        <v>11</v>
      </c>
      <c r="AA22" s="34">
        <f t="shared" si="14"/>
        <v>8.5</v>
      </c>
      <c r="AB22" s="34">
        <f t="shared" si="14"/>
        <v>3</v>
      </c>
      <c r="AC22" s="34">
        <f t="shared" si="14"/>
        <v>129</v>
      </c>
      <c r="AD22" s="34">
        <f t="shared" si="14"/>
        <v>0</v>
      </c>
      <c r="AE22" s="31">
        <f t="shared" si="14"/>
        <v>118.5</v>
      </c>
      <c r="AF22" s="31">
        <f t="shared" si="14"/>
        <v>247.5</v>
      </c>
    </row>
    <row r="23" spans="2:32" ht="23.1" customHeight="1" x14ac:dyDescent="0.25">
      <c r="B23" s="23" t="s">
        <v>50</v>
      </c>
      <c r="C23" s="49">
        <f>AVERAGE('17.10  MITYANA-MUBENDE '!C23,'18.10  MITYANA-MUBENDE-24h'!C23,'19.10 MITYANA-MUBENDE-24h'!C23,'20.10 MITYANA-MUBENDE'!C23,'21.10 MITYANA-MUBENDE'!C23,'22.10 MITYANA-MUBENDE'!C23,'23.10 MITYANA-MUBENDE'!C23)</f>
        <v>9.7142857142857135</v>
      </c>
      <c r="D23" s="49">
        <f>AVERAGE('17.10  MITYANA-MUBENDE '!D23,'18.10  MITYANA-MUBENDE-24h'!D23,'19.10 MITYANA-MUBENDE-24h'!D23,'20.10 MITYANA-MUBENDE'!D23,'21.10 MITYANA-MUBENDE'!D23,'22.10 MITYANA-MUBENDE'!D23,'23.10 MITYANA-MUBENDE'!D23)</f>
        <v>2.5714285714285716</v>
      </c>
      <c r="E23" s="49">
        <f>AVERAGE('17.10  MITYANA-MUBENDE '!E23,'18.10  MITYANA-MUBENDE-24h'!E23,'19.10 MITYANA-MUBENDE-24h'!E23,'20.10 MITYANA-MUBENDE'!E23,'21.10 MITYANA-MUBENDE'!E23,'22.10 MITYANA-MUBENDE'!E23,'23.10 MITYANA-MUBENDE'!E23)</f>
        <v>1.8571428571428572</v>
      </c>
      <c r="F23" s="49">
        <f>AVERAGE('17.10  MITYANA-MUBENDE '!F23,'18.10  MITYANA-MUBENDE-24h'!F23,'19.10 MITYANA-MUBENDE-24h'!F23,'20.10 MITYANA-MUBENDE'!F23,'21.10 MITYANA-MUBENDE'!F23,'22.10 MITYANA-MUBENDE'!F23,'23.10 MITYANA-MUBENDE'!F23)</f>
        <v>8.2857142857142865</v>
      </c>
      <c r="G23" s="49">
        <f>AVERAGE('17.10  MITYANA-MUBENDE '!G23,'18.10  MITYANA-MUBENDE-24h'!G23,'19.10 MITYANA-MUBENDE-24h'!G23,'20.10 MITYANA-MUBENDE'!G23,'21.10 MITYANA-MUBENDE'!G23,'22.10 MITYANA-MUBENDE'!G23,'23.10 MITYANA-MUBENDE'!G23)</f>
        <v>0.14285714285714285</v>
      </c>
      <c r="H23" s="49">
        <f>AVERAGE('17.10  MITYANA-MUBENDE '!H23,'18.10  MITYANA-MUBENDE-24h'!H23,'19.10 MITYANA-MUBENDE-24h'!H23,'20.10 MITYANA-MUBENDE'!H23,'21.10 MITYANA-MUBENDE'!H23,'22.10 MITYANA-MUBENDE'!H23,'23.10 MITYANA-MUBENDE'!H23)</f>
        <v>1.2857142857142858</v>
      </c>
      <c r="I23" s="49">
        <f>AVERAGE('17.10  MITYANA-MUBENDE '!I23,'18.10  MITYANA-MUBENDE-24h'!I23,'19.10 MITYANA-MUBENDE-24h'!I23,'20.10 MITYANA-MUBENDE'!I23,'21.10 MITYANA-MUBENDE'!I23,'22.10 MITYANA-MUBENDE'!I23,'23.10 MITYANA-MUBENDE'!I23)</f>
        <v>5</v>
      </c>
      <c r="J23" s="49">
        <f>AVERAGE('17.10  MITYANA-MUBENDE '!J23,'18.10  MITYANA-MUBENDE-24h'!J23,'19.10 MITYANA-MUBENDE-24h'!J23,'20.10 MITYANA-MUBENDE'!J23,'21.10 MITYANA-MUBENDE'!J23,'22.10 MITYANA-MUBENDE'!J23,'23.10 MITYANA-MUBENDE'!J23)</f>
        <v>2.8571428571428572</v>
      </c>
      <c r="K23" s="49">
        <f>AVERAGE('17.10  MITYANA-MUBENDE '!K23,'18.10  MITYANA-MUBENDE-24h'!K23,'19.10 MITYANA-MUBENDE-24h'!K23,'20.10 MITYANA-MUBENDE'!K23,'21.10 MITYANA-MUBENDE'!K23,'22.10 MITYANA-MUBENDE'!K23,'23.10 MITYANA-MUBENDE'!K23)</f>
        <v>0.8571428571428571</v>
      </c>
      <c r="L23" s="49">
        <f>AVERAGE('17.10  MITYANA-MUBENDE '!L23,'18.10  MITYANA-MUBENDE-24h'!L23,'19.10 MITYANA-MUBENDE-24h'!L23,'20.10 MITYANA-MUBENDE'!L23,'21.10 MITYANA-MUBENDE'!L23,'22.10 MITYANA-MUBENDE'!L23,'23.10 MITYANA-MUBENDE'!L23)</f>
        <v>1.2857142857142858</v>
      </c>
      <c r="M23" s="49">
        <f>AVERAGE('17.10  MITYANA-MUBENDE '!M23,'18.10  MITYANA-MUBENDE-24h'!M23,'19.10 MITYANA-MUBENDE-24h'!M23,'20.10 MITYANA-MUBENDE'!M23,'21.10 MITYANA-MUBENDE'!M23,'22.10 MITYANA-MUBENDE'!M23,'23.10 MITYANA-MUBENDE'!M23)</f>
        <v>38.714285714285715</v>
      </c>
      <c r="N23" s="49">
        <f>AVERAGE('17.10  MITYANA-MUBENDE '!N23,'18.10  MITYANA-MUBENDE-24h'!N23,'19.10 MITYANA-MUBENDE-24h'!N23,'20.10 MITYANA-MUBENDE'!N23,'21.10 MITYANA-MUBENDE'!N23,'22.10 MITYANA-MUBENDE'!N23,'23.10 MITYANA-MUBENDE'!N23)</f>
        <v>0</v>
      </c>
      <c r="O23" s="15">
        <f t="shared" si="0"/>
        <v>33.857142857142854</v>
      </c>
      <c r="P23" s="15">
        <f t="shared" si="1"/>
        <v>72.571428571428569</v>
      </c>
      <c r="R23" s="1" t="s">
        <v>147</v>
      </c>
      <c r="S23" s="34">
        <f>SUM(C62:C65)</f>
        <v>22.5</v>
      </c>
      <c r="T23" s="34">
        <f t="shared" ref="T23:AF23" si="15">SUM(D62:D65)</f>
        <v>8</v>
      </c>
      <c r="U23" s="34">
        <f t="shared" si="15"/>
        <v>6</v>
      </c>
      <c r="V23" s="34">
        <f t="shared" si="15"/>
        <v>16.5</v>
      </c>
      <c r="W23" s="34">
        <f t="shared" si="15"/>
        <v>0.5</v>
      </c>
      <c r="X23" s="34">
        <f t="shared" si="15"/>
        <v>1</v>
      </c>
      <c r="Y23" s="34">
        <f t="shared" si="15"/>
        <v>8</v>
      </c>
      <c r="Z23" s="34">
        <f t="shared" si="15"/>
        <v>16</v>
      </c>
      <c r="AA23" s="34">
        <f t="shared" si="15"/>
        <v>2.5</v>
      </c>
      <c r="AB23" s="34">
        <f t="shared" si="15"/>
        <v>5.5</v>
      </c>
      <c r="AC23" s="34">
        <f t="shared" si="15"/>
        <v>118</v>
      </c>
      <c r="AD23" s="34">
        <f t="shared" si="15"/>
        <v>0</v>
      </c>
      <c r="AE23" s="31">
        <f t="shared" si="15"/>
        <v>86.5</v>
      </c>
      <c r="AF23" s="31">
        <f t="shared" si="15"/>
        <v>204.5</v>
      </c>
    </row>
    <row r="24" spans="2:32" ht="23.1" customHeight="1" x14ac:dyDescent="0.25">
      <c r="B24" s="23" t="s">
        <v>51</v>
      </c>
      <c r="C24" s="49">
        <f>AVERAGE('17.10  MITYANA-MUBENDE '!C24,'18.10  MITYANA-MUBENDE-24h'!C24,'19.10 MITYANA-MUBENDE-24h'!C24,'20.10 MITYANA-MUBENDE'!C24,'21.10 MITYANA-MUBENDE'!C24,'22.10 MITYANA-MUBENDE'!C24,'23.10 MITYANA-MUBENDE'!C24)</f>
        <v>8.2857142857142865</v>
      </c>
      <c r="D24" s="49">
        <f>AVERAGE('17.10  MITYANA-MUBENDE '!D24,'18.10  MITYANA-MUBENDE-24h'!D24,'19.10 MITYANA-MUBENDE-24h'!D24,'20.10 MITYANA-MUBENDE'!D24,'21.10 MITYANA-MUBENDE'!D24,'22.10 MITYANA-MUBENDE'!D24,'23.10 MITYANA-MUBENDE'!D24)</f>
        <v>3.1428571428571428</v>
      </c>
      <c r="E24" s="49">
        <f>AVERAGE('17.10  MITYANA-MUBENDE '!E24,'18.10  MITYANA-MUBENDE-24h'!E24,'19.10 MITYANA-MUBENDE-24h'!E24,'20.10 MITYANA-MUBENDE'!E24,'21.10 MITYANA-MUBENDE'!E24,'22.10 MITYANA-MUBENDE'!E24,'23.10 MITYANA-MUBENDE'!E24)</f>
        <v>2.7142857142857144</v>
      </c>
      <c r="F24" s="49">
        <f>AVERAGE('17.10  MITYANA-MUBENDE '!F24,'18.10  MITYANA-MUBENDE-24h'!F24,'19.10 MITYANA-MUBENDE-24h'!F24,'20.10 MITYANA-MUBENDE'!F24,'21.10 MITYANA-MUBENDE'!F24,'22.10 MITYANA-MUBENDE'!F24,'23.10 MITYANA-MUBENDE'!F24)</f>
        <v>9.5714285714285712</v>
      </c>
      <c r="G24" s="49">
        <f>AVERAGE('17.10  MITYANA-MUBENDE '!G24,'18.10  MITYANA-MUBENDE-24h'!G24,'19.10 MITYANA-MUBENDE-24h'!G24,'20.10 MITYANA-MUBENDE'!G24,'21.10 MITYANA-MUBENDE'!G24,'22.10 MITYANA-MUBENDE'!G24,'23.10 MITYANA-MUBENDE'!G24)</f>
        <v>0.5714285714285714</v>
      </c>
      <c r="H24" s="49">
        <f>AVERAGE('17.10  MITYANA-MUBENDE '!H24,'18.10  MITYANA-MUBENDE-24h'!H24,'19.10 MITYANA-MUBENDE-24h'!H24,'20.10 MITYANA-MUBENDE'!H24,'21.10 MITYANA-MUBENDE'!H24,'22.10 MITYANA-MUBENDE'!H24,'23.10 MITYANA-MUBENDE'!H24)</f>
        <v>0.14285714285714285</v>
      </c>
      <c r="I24" s="49">
        <f>AVERAGE('17.10  MITYANA-MUBENDE '!I24,'18.10  MITYANA-MUBENDE-24h'!I24,'19.10 MITYANA-MUBENDE-24h'!I24,'20.10 MITYANA-MUBENDE'!I24,'21.10 MITYANA-MUBENDE'!I24,'22.10 MITYANA-MUBENDE'!I24,'23.10 MITYANA-MUBENDE'!I24)</f>
        <v>2.7142857142857144</v>
      </c>
      <c r="J24" s="49">
        <f>AVERAGE('17.10  MITYANA-MUBENDE '!J24,'18.10  MITYANA-MUBENDE-24h'!J24,'19.10 MITYANA-MUBENDE-24h'!J24,'20.10 MITYANA-MUBENDE'!J24,'21.10 MITYANA-MUBENDE'!J24,'22.10 MITYANA-MUBENDE'!J24,'23.10 MITYANA-MUBENDE'!J24)</f>
        <v>2.4285714285714284</v>
      </c>
      <c r="K24" s="49">
        <f>AVERAGE('17.10  MITYANA-MUBENDE '!K24,'18.10  MITYANA-MUBENDE-24h'!K24,'19.10 MITYANA-MUBENDE-24h'!K24,'20.10 MITYANA-MUBENDE'!K24,'21.10 MITYANA-MUBENDE'!K24,'22.10 MITYANA-MUBENDE'!K24,'23.10 MITYANA-MUBENDE'!K24)</f>
        <v>0.8571428571428571</v>
      </c>
      <c r="L24" s="49">
        <f>AVERAGE('17.10  MITYANA-MUBENDE '!L24,'18.10  MITYANA-MUBENDE-24h'!L24,'19.10 MITYANA-MUBENDE-24h'!L24,'20.10 MITYANA-MUBENDE'!L24,'21.10 MITYANA-MUBENDE'!L24,'22.10 MITYANA-MUBENDE'!L24,'23.10 MITYANA-MUBENDE'!L24)</f>
        <v>0.42857142857142855</v>
      </c>
      <c r="M24" s="49">
        <f>AVERAGE('17.10  MITYANA-MUBENDE '!M24,'18.10  MITYANA-MUBENDE-24h'!M24,'19.10 MITYANA-MUBENDE-24h'!M24,'20.10 MITYANA-MUBENDE'!M24,'21.10 MITYANA-MUBENDE'!M24,'22.10 MITYANA-MUBENDE'!M24,'23.10 MITYANA-MUBENDE'!M24)</f>
        <v>37.285714285714285</v>
      </c>
      <c r="N24" s="49">
        <f>AVERAGE('17.10  MITYANA-MUBENDE '!N24,'18.10  MITYANA-MUBENDE-24h'!N24,'19.10 MITYANA-MUBENDE-24h'!N24,'20.10 MITYANA-MUBENDE'!N24,'21.10 MITYANA-MUBENDE'!N24,'22.10 MITYANA-MUBENDE'!N24,'23.10 MITYANA-MUBENDE'!N24)</f>
        <v>0.14285714285714285</v>
      </c>
      <c r="O24" s="15">
        <f t="shared" si="0"/>
        <v>31</v>
      </c>
      <c r="P24" s="15">
        <f t="shared" si="1"/>
        <v>68.285714285714278</v>
      </c>
      <c r="R24" s="1" t="s">
        <v>148</v>
      </c>
      <c r="S24" s="34">
        <f>SUM(C66:C69)</f>
        <v>16</v>
      </c>
      <c r="T24" s="34">
        <f t="shared" ref="T24:AF24" si="16">SUM(D66:D69)</f>
        <v>4.5</v>
      </c>
      <c r="U24" s="34">
        <f t="shared" si="16"/>
        <v>2.5</v>
      </c>
      <c r="V24" s="34">
        <f t="shared" si="16"/>
        <v>14</v>
      </c>
      <c r="W24" s="34">
        <f t="shared" si="16"/>
        <v>0.5</v>
      </c>
      <c r="X24" s="34">
        <f t="shared" si="16"/>
        <v>1</v>
      </c>
      <c r="Y24" s="34">
        <f t="shared" si="16"/>
        <v>7.5</v>
      </c>
      <c r="Z24" s="34">
        <f t="shared" si="16"/>
        <v>13.5</v>
      </c>
      <c r="AA24" s="34">
        <f t="shared" si="16"/>
        <v>4.5</v>
      </c>
      <c r="AB24" s="34">
        <f t="shared" si="16"/>
        <v>1.5</v>
      </c>
      <c r="AC24" s="34">
        <f t="shared" si="16"/>
        <v>80</v>
      </c>
      <c r="AD24" s="34">
        <f t="shared" si="16"/>
        <v>0</v>
      </c>
      <c r="AE24" s="31">
        <f t="shared" si="16"/>
        <v>65.5</v>
      </c>
      <c r="AF24" s="31">
        <f t="shared" si="16"/>
        <v>145.5</v>
      </c>
    </row>
    <row r="25" spans="2:32" ht="23.1" customHeight="1" x14ac:dyDescent="0.25">
      <c r="B25" s="23" t="s">
        <v>52</v>
      </c>
      <c r="C25" s="49">
        <f>AVERAGE('17.10  MITYANA-MUBENDE '!C25,'18.10  MITYANA-MUBENDE-24h'!C25,'19.10 MITYANA-MUBENDE-24h'!C25,'20.10 MITYANA-MUBENDE'!C25,'21.10 MITYANA-MUBENDE'!C25,'22.10 MITYANA-MUBENDE'!C25,'23.10 MITYANA-MUBENDE'!C25)</f>
        <v>7.4285714285714288</v>
      </c>
      <c r="D25" s="49">
        <f>AVERAGE('17.10  MITYANA-MUBENDE '!D25,'18.10  MITYANA-MUBENDE-24h'!D25,'19.10 MITYANA-MUBENDE-24h'!D25,'20.10 MITYANA-MUBENDE'!D25,'21.10 MITYANA-MUBENDE'!D25,'22.10 MITYANA-MUBENDE'!D25,'23.10 MITYANA-MUBENDE'!D25)</f>
        <v>2.7142857142857144</v>
      </c>
      <c r="E25" s="49">
        <f>AVERAGE('17.10  MITYANA-MUBENDE '!E25,'18.10  MITYANA-MUBENDE-24h'!E25,'19.10 MITYANA-MUBENDE-24h'!E25,'20.10 MITYANA-MUBENDE'!E25,'21.10 MITYANA-MUBENDE'!E25,'22.10 MITYANA-MUBENDE'!E25,'23.10 MITYANA-MUBENDE'!E25)</f>
        <v>2.8571428571428572</v>
      </c>
      <c r="F25" s="49">
        <f>AVERAGE('17.10  MITYANA-MUBENDE '!F25,'18.10  MITYANA-MUBENDE-24h'!F25,'19.10 MITYANA-MUBENDE-24h'!F25,'20.10 MITYANA-MUBENDE'!F25,'21.10 MITYANA-MUBENDE'!F25,'22.10 MITYANA-MUBENDE'!F25,'23.10 MITYANA-MUBENDE'!F25)</f>
        <v>6.4285714285714288</v>
      </c>
      <c r="G25" s="49">
        <f>AVERAGE('17.10  MITYANA-MUBENDE '!G25,'18.10  MITYANA-MUBENDE-24h'!G25,'19.10 MITYANA-MUBENDE-24h'!G25,'20.10 MITYANA-MUBENDE'!G25,'21.10 MITYANA-MUBENDE'!G25,'22.10 MITYANA-MUBENDE'!G25,'23.10 MITYANA-MUBENDE'!G25)</f>
        <v>0</v>
      </c>
      <c r="H25" s="49">
        <f>AVERAGE('17.10  MITYANA-MUBENDE '!H25,'18.10  MITYANA-MUBENDE-24h'!H25,'19.10 MITYANA-MUBENDE-24h'!H25,'20.10 MITYANA-MUBENDE'!H25,'21.10 MITYANA-MUBENDE'!H25,'22.10 MITYANA-MUBENDE'!H25,'23.10 MITYANA-MUBENDE'!H25)</f>
        <v>0.14285714285714285</v>
      </c>
      <c r="I25" s="49">
        <f>AVERAGE('17.10  MITYANA-MUBENDE '!I25,'18.10  MITYANA-MUBENDE-24h'!I25,'19.10 MITYANA-MUBENDE-24h'!I25,'20.10 MITYANA-MUBENDE'!I25,'21.10 MITYANA-MUBENDE'!I25,'22.10 MITYANA-MUBENDE'!I25,'23.10 MITYANA-MUBENDE'!I25)</f>
        <v>3</v>
      </c>
      <c r="J25" s="49">
        <f>AVERAGE('17.10  MITYANA-MUBENDE '!J25,'18.10  MITYANA-MUBENDE-24h'!J25,'19.10 MITYANA-MUBENDE-24h'!J25,'20.10 MITYANA-MUBENDE'!J25,'21.10 MITYANA-MUBENDE'!J25,'22.10 MITYANA-MUBENDE'!J25,'23.10 MITYANA-MUBENDE'!J25)</f>
        <v>1</v>
      </c>
      <c r="K25" s="49">
        <f>AVERAGE('17.10  MITYANA-MUBENDE '!K25,'18.10  MITYANA-MUBENDE-24h'!K25,'19.10 MITYANA-MUBENDE-24h'!K25,'20.10 MITYANA-MUBENDE'!K25,'21.10 MITYANA-MUBENDE'!K25,'22.10 MITYANA-MUBENDE'!K25,'23.10 MITYANA-MUBENDE'!K25)</f>
        <v>0.7142857142857143</v>
      </c>
      <c r="L25" s="49">
        <f>AVERAGE('17.10  MITYANA-MUBENDE '!L25,'18.10  MITYANA-MUBENDE-24h'!L25,'19.10 MITYANA-MUBENDE-24h'!L25,'20.10 MITYANA-MUBENDE'!L25,'21.10 MITYANA-MUBENDE'!L25,'22.10 MITYANA-MUBENDE'!L25,'23.10 MITYANA-MUBENDE'!L25)</f>
        <v>1</v>
      </c>
      <c r="M25" s="49">
        <f>AVERAGE('17.10  MITYANA-MUBENDE '!M25,'18.10  MITYANA-MUBENDE-24h'!M25,'19.10 MITYANA-MUBENDE-24h'!M25,'20.10 MITYANA-MUBENDE'!M25,'21.10 MITYANA-MUBENDE'!M25,'22.10 MITYANA-MUBENDE'!M25,'23.10 MITYANA-MUBENDE'!M25)</f>
        <v>37</v>
      </c>
      <c r="N25" s="49">
        <f>AVERAGE('17.10  MITYANA-MUBENDE '!N25,'18.10  MITYANA-MUBENDE-24h'!N25,'19.10 MITYANA-MUBENDE-24h'!N25,'20.10 MITYANA-MUBENDE'!N25,'21.10 MITYANA-MUBENDE'!N25,'22.10 MITYANA-MUBENDE'!N25,'23.10 MITYANA-MUBENDE'!N25)</f>
        <v>0.14285714285714285</v>
      </c>
      <c r="O25" s="15">
        <f t="shared" si="0"/>
        <v>25.428571428571431</v>
      </c>
      <c r="P25" s="15">
        <f t="shared" si="1"/>
        <v>62.428571428571438</v>
      </c>
      <c r="R25" s="1" t="s">
        <v>149</v>
      </c>
      <c r="S25" s="34">
        <f>SUM(C70:C73)</f>
        <v>16</v>
      </c>
      <c r="T25" s="34">
        <f t="shared" ref="T25:AF25" si="17">SUM(D70:D73)</f>
        <v>6</v>
      </c>
      <c r="U25" s="34">
        <f t="shared" si="17"/>
        <v>2.5</v>
      </c>
      <c r="V25" s="34">
        <f t="shared" si="17"/>
        <v>12.5</v>
      </c>
      <c r="W25" s="34">
        <f t="shared" si="17"/>
        <v>0</v>
      </c>
      <c r="X25" s="34">
        <f t="shared" si="17"/>
        <v>2</v>
      </c>
      <c r="Y25" s="34">
        <f t="shared" si="17"/>
        <v>7.5</v>
      </c>
      <c r="Z25" s="34">
        <f t="shared" si="17"/>
        <v>12.5</v>
      </c>
      <c r="AA25" s="34">
        <f t="shared" si="17"/>
        <v>5.5</v>
      </c>
      <c r="AB25" s="34">
        <f t="shared" si="17"/>
        <v>2.5</v>
      </c>
      <c r="AC25" s="34">
        <f t="shared" si="17"/>
        <v>46.5</v>
      </c>
      <c r="AD25" s="34">
        <f t="shared" si="17"/>
        <v>0</v>
      </c>
      <c r="AE25" s="31">
        <f t="shared" si="17"/>
        <v>67</v>
      </c>
      <c r="AF25" s="31">
        <f t="shared" si="17"/>
        <v>113.5</v>
      </c>
    </row>
    <row r="26" spans="2:32" ht="23.1" customHeight="1" x14ac:dyDescent="0.25">
      <c r="B26" s="23" t="s">
        <v>53</v>
      </c>
      <c r="C26" s="49">
        <f>AVERAGE('17.10  MITYANA-MUBENDE '!C26,'18.10  MITYANA-MUBENDE-24h'!C26,'19.10 MITYANA-MUBENDE-24h'!C26,'20.10 MITYANA-MUBENDE'!C26,'21.10 MITYANA-MUBENDE'!C26,'22.10 MITYANA-MUBENDE'!C26,'23.10 MITYANA-MUBENDE'!C26)</f>
        <v>9.8571428571428577</v>
      </c>
      <c r="D26" s="49">
        <f>AVERAGE('17.10  MITYANA-MUBENDE '!D26,'18.10  MITYANA-MUBENDE-24h'!D26,'19.10 MITYANA-MUBENDE-24h'!D26,'20.10 MITYANA-MUBENDE'!D26,'21.10 MITYANA-MUBENDE'!D26,'22.10 MITYANA-MUBENDE'!D26,'23.10 MITYANA-MUBENDE'!D26)</f>
        <v>4.7142857142857144</v>
      </c>
      <c r="E26" s="49">
        <f>AVERAGE('17.10  MITYANA-MUBENDE '!E26,'18.10  MITYANA-MUBENDE-24h'!E26,'19.10 MITYANA-MUBENDE-24h'!E26,'20.10 MITYANA-MUBENDE'!E26,'21.10 MITYANA-MUBENDE'!E26,'22.10 MITYANA-MUBENDE'!E26,'23.10 MITYANA-MUBENDE'!E26)</f>
        <v>3</v>
      </c>
      <c r="F26" s="49">
        <f>AVERAGE('17.10  MITYANA-MUBENDE '!F26,'18.10  MITYANA-MUBENDE-24h'!F26,'19.10 MITYANA-MUBENDE-24h'!F26,'20.10 MITYANA-MUBENDE'!F26,'21.10 MITYANA-MUBENDE'!F26,'22.10 MITYANA-MUBENDE'!F26,'23.10 MITYANA-MUBENDE'!F26)</f>
        <v>7.5714285714285712</v>
      </c>
      <c r="G26" s="49">
        <f>AVERAGE('17.10  MITYANA-MUBENDE '!G26,'18.10  MITYANA-MUBENDE-24h'!G26,'19.10 MITYANA-MUBENDE-24h'!G26,'20.10 MITYANA-MUBENDE'!G26,'21.10 MITYANA-MUBENDE'!G26,'22.10 MITYANA-MUBENDE'!G26,'23.10 MITYANA-MUBENDE'!G26)</f>
        <v>0</v>
      </c>
      <c r="H26" s="49">
        <f>AVERAGE('17.10  MITYANA-MUBENDE '!H26,'18.10  MITYANA-MUBENDE-24h'!H26,'19.10 MITYANA-MUBENDE-24h'!H26,'20.10 MITYANA-MUBENDE'!H26,'21.10 MITYANA-MUBENDE'!H26,'22.10 MITYANA-MUBENDE'!H26,'23.10 MITYANA-MUBENDE'!H26)</f>
        <v>1</v>
      </c>
      <c r="I26" s="49">
        <f>AVERAGE('17.10  MITYANA-MUBENDE '!I26,'18.10  MITYANA-MUBENDE-24h'!I26,'19.10 MITYANA-MUBENDE-24h'!I26,'20.10 MITYANA-MUBENDE'!I26,'21.10 MITYANA-MUBENDE'!I26,'22.10 MITYANA-MUBENDE'!I26,'23.10 MITYANA-MUBENDE'!I26)</f>
        <v>2.8571428571428572</v>
      </c>
      <c r="J26" s="49">
        <f>AVERAGE('17.10  MITYANA-MUBENDE '!J26,'18.10  MITYANA-MUBENDE-24h'!J26,'19.10 MITYANA-MUBENDE-24h'!J26,'20.10 MITYANA-MUBENDE'!J26,'21.10 MITYANA-MUBENDE'!J26,'22.10 MITYANA-MUBENDE'!J26,'23.10 MITYANA-MUBENDE'!J26)</f>
        <v>2.4285714285714284</v>
      </c>
      <c r="K26" s="49">
        <f>AVERAGE('17.10  MITYANA-MUBENDE '!K26,'18.10  MITYANA-MUBENDE-24h'!K26,'19.10 MITYANA-MUBENDE-24h'!K26,'20.10 MITYANA-MUBENDE'!K26,'21.10 MITYANA-MUBENDE'!K26,'22.10 MITYANA-MUBENDE'!K26,'23.10 MITYANA-MUBENDE'!K26)</f>
        <v>0.14285714285714285</v>
      </c>
      <c r="L26" s="49">
        <f>AVERAGE('17.10  MITYANA-MUBENDE '!L26,'18.10  MITYANA-MUBENDE-24h'!L26,'19.10 MITYANA-MUBENDE-24h'!L26,'20.10 MITYANA-MUBENDE'!L26,'21.10 MITYANA-MUBENDE'!L26,'22.10 MITYANA-MUBENDE'!L26,'23.10 MITYANA-MUBENDE'!L26)</f>
        <v>1.1428571428571428</v>
      </c>
      <c r="M26" s="49">
        <f>AVERAGE('17.10  MITYANA-MUBENDE '!M26,'18.10  MITYANA-MUBENDE-24h'!M26,'19.10 MITYANA-MUBENDE-24h'!M26,'20.10 MITYANA-MUBENDE'!M26,'21.10 MITYANA-MUBENDE'!M26,'22.10 MITYANA-MUBENDE'!M26,'23.10 MITYANA-MUBENDE'!M26)</f>
        <v>35.571428571428569</v>
      </c>
      <c r="N26" s="49">
        <f>AVERAGE('17.10  MITYANA-MUBENDE '!N26,'18.10  MITYANA-MUBENDE-24h'!N26,'19.10 MITYANA-MUBENDE-24h'!N26,'20.10 MITYANA-MUBENDE'!N26,'21.10 MITYANA-MUBENDE'!N26,'22.10 MITYANA-MUBENDE'!N26,'23.10 MITYANA-MUBENDE'!N26)</f>
        <v>0</v>
      </c>
      <c r="O26" s="15">
        <f t="shared" si="0"/>
        <v>32.714285714285715</v>
      </c>
      <c r="P26" s="15">
        <f t="shared" si="1"/>
        <v>68.285714285714278</v>
      </c>
      <c r="R26" s="1" t="s">
        <v>150</v>
      </c>
      <c r="S26" s="34">
        <f>SUM(C74:C77)</f>
        <v>11</v>
      </c>
      <c r="T26" s="34">
        <f t="shared" ref="T26:AF26" si="18">SUM(D74:D77)</f>
        <v>4</v>
      </c>
      <c r="U26" s="34">
        <f t="shared" si="18"/>
        <v>0</v>
      </c>
      <c r="V26" s="34">
        <f t="shared" si="18"/>
        <v>7</v>
      </c>
      <c r="W26" s="34">
        <f t="shared" si="18"/>
        <v>1.5</v>
      </c>
      <c r="X26" s="34">
        <f t="shared" si="18"/>
        <v>2.5</v>
      </c>
      <c r="Y26" s="34">
        <f t="shared" si="18"/>
        <v>5.5</v>
      </c>
      <c r="Z26" s="34">
        <f t="shared" si="18"/>
        <v>11.5</v>
      </c>
      <c r="AA26" s="34">
        <f t="shared" si="18"/>
        <v>6</v>
      </c>
      <c r="AB26" s="34">
        <f t="shared" si="18"/>
        <v>3</v>
      </c>
      <c r="AC26" s="34">
        <f t="shared" si="18"/>
        <v>25.5</v>
      </c>
      <c r="AD26" s="34">
        <f t="shared" si="18"/>
        <v>0</v>
      </c>
      <c r="AE26" s="31">
        <f t="shared" si="18"/>
        <v>52</v>
      </c>
      <c r="AF26" s="31">
        <f t="shared" si="18"/>
        <v>77.5</v>
      </c>
    </row>
    <row r="27" spans="2:32" ht="23.1" customHeight="1" x14ac:dyDescent="0.25">
      <c r="B27" s="23" t="s">
        <v>54</v>
      </c>
      <c r="C27" s="49">
        <f>AVERAGE('17.10  MITYANA-MUBENDE '!C27,'18.10  MITYANA-MUBENDE-24h'!C27,'19.10 MITYANA-MUBENDE-24h'!C27,'20.10 MITYANA-MUBENDE'!C27,'21.10 MITYANA-MUBENDE'!C27,'22.10 MITYANA-MUBENDE'!C27,'23.10 MITYANA-MUBENDE'!C27)</f>
        <v>8.5714285714285712</v>
      </c>
      <c r="D27" s="49">
        <f>AVERAGE('17.10  MITYANA-MUBENDE '!D27,'18.10  MITYANA-MUBENDE-24h'!D27,'19.10 MITYANA-MUBENDE-24h'!D27,'20.10 MITYANA-MUBENDE'!D27,'21.10 MITYANA-MUBENDE'!D27,'22.10 MITYANA-MUBENDE'!D27,'23.10 MITYANA-MUBENDE'!D27)</f>
        <v>2</v>
      </c>
      <c r="E27" s="49">
        <f>AVERAGE('17.10  MITYANA-MUBENDE '!E27,'18.10  MITYANA-MUBENDE-24h'!E27,'19.10 MITYANA-MUBENDE-24h'!E27,'20.10 MITYANA-MUBENDE'!E27,'21.10 MITYANA-MUBENDE'!E27,'22.10 MITYANA-MUBENDE'!E27,'23.10 MITYANA-MUBENDE'!E27)</f>
        <v>2.5714285714285716</v>
      </c>
      <c r="F27" s="49">
        <f>AVERAGE('17.10  MITYANA-MUBENDE '!F27,'18.10  MITYANA-MUBENDE-24h'!F27,'19.10 MITYANA-MUBENDE-24h'!F27,'20.10 MITYANA-MUBENDE'!F27,'21.10 MITYANA-MUBENDE'!F27,'22.10 MITYANA-MUBENDE'!F27,'23.10 MITYANA-MUBENDE'!F27)</f>
        <v>8.5714285714285712</v>
      </c>
      <c r="G27" s="49">
        <f>AVERAGE('17.10  MITYANA-MUBENDE '!G27,'18.10  MITYANA-MUBENDE-24h'!G27,'19.10 MITYANA-MUBENDE-24h'!G27,'20.10 MITYANA-MUBENDE'!G27,'21.10 MITYANA-MUBENDE'!G27,'22.10 MITYANA-MUBENDE'!G27,'23.10 MITYANA-MUBENDE'!G27)</f>
        <v>0.2857142857142857</v>
      </c>
      <c r="H27" s="49">
        <f>AVERAGE('17.10  MITYANA-MUBENDE '!H27,'18.10  MITYANA-MUBENDE-24h'!H27,'19.10 MITYANA-MUBENDE-24h'!H27,'20.10 MITYANA-MUBENDE'!H27,'21.10 MITYANA-MUBENDE'!H27,'22.10 MITYANA-MUBENDE'!H27,'23.10 MITYANA-MUBENDE'!H27)</f>
        <v>0.5714285714285714</v>
      </c>
      <c r="I27" s="49">
        <f>AVERAGE('17.10  MITYANA-MUBENDE '!I27,'18.10  MITYANA-MUBENDE-24h'!I27,'19.10 MITYANA-MUBENDE-24h'!I27,'20.10 MITYANA-MUBENDE'!I27,'21.10 MITYANA-MUBENDE'!I27,'22.10 MITYANA-MUBENDE'!I27,'23.10 MITYANA-MUBENDE'!I27)</f>
        <v>2.4285714285714284</v>
      </c>
      <c r="J27" s="49">
        <f>AVERAGE('17.10  MITYANA-MUBENDE '!J27,'18.10  MITYANA-MUBENDE-24h'!J27,'19.10 MITYANA-MUBENDE-24h'!J27,'20.10 MITYANA-MUBENDE'!J27,'21.10 MITYANA-MUBENDE'!J27,'22.10 MITYANA-MUBENDE'!J27,'23.10 MITYANA-MUBENDE'!J27)</f>
        <v>1.8571428571428572</v>
      </c>
      <c r="K27" s="49">
        <f>AVERAGE('17.10  MITYANA-MUBENDE '!K27,'18.10  MITYANA-MUBENDE-24h'!K27,'19.10 MITYANA-MUBENDE-24h'!K27,'20.10 MITYANA-MUBENDE'!K27,'21.10 MITYANA-MUBENDE'!K27,'22.10 MITYANA-MUBENDE'!K27,'23.10 MITYANA-MUBENDE'!K27)</f>
        <v>0.2857142857142857</v>
      </c>
      <c r="L27" s="49">
        <f>AVERAGE('17.10  MITYANA-MUBENDE '!L27,'18.10  MITYANA-MUBENDE-24h'!L27,'19.10 MITYANA-MUBENDE-24h'!L27,'20.10 MITYANA-MUBENDE'!L27,'21.10 MITYANA-MUBENDE'!L27,'22.10 MITYANA-MUBENDE'!L27,'23.10 MITYANA-MUBENDE'!L27)</f>
        <v>0.7142857142857143</v>
      </c>
      <c r="M27" s="49">
        <f>AVERAGE('17.10  MITYANA-MUBENDE '!M27,'18.10  MITYANA-MUBENDE-24h'!M27,'19.10 MITYANA-MUBENDE-24h'!M27,'20.10 MITYANA-MUBENDE'!M27,'21.10 MITYANA-MUBENDE'!M27,'22.10 MITYANA-MUBENDE'!M27,'23.10 MITYANA-MUBENDE'!M27)</f>
        <v>36</v>
      </c>
      <c r="N27" s="49">
        <f>AVERAGE('17.10  MITYANA-MUBENDE '!N27,'18.10  MITYANA-MUBENDE-24h'!N27,'19.10 MITYANA-MUBENDE-24h'!N27,'20.10 MITYANA-MUBENDE'!N27,'21.10 MITYANA-MUBENDE'!N27,'22.10 MITYANA-MUBENDE'!N27,'23.10 MITYANA-MUBENDE'!N27)</f>
        <v>0</v>
      </c>
      <c r="O27" s="15">
        <f t="shared" si="0"/>
        <v>27.857142857142858</v>
      </c>
      <c r="P27" s="15">
        <f t="shared" si="1"/>
        <v>63.857142857142861</v>
      </c>
      <c r="R27" s="1" t="s">
        <v>151</v>
      </c>
      <c r="S27" s="34">
        <f>SUM(C78:C81)</f>
        <v>4.5</v>
      </c>
      <c r="T27" s="34">
        <f t="shared" ref="T27:AF27" si="19">SUM(D78:D81)</f>
        <v>3</v>
      </c>
      <c r="U27" s="34">
        <f t="shared" si="19"/>
        <v>0.5</v>
      </c>
      <c r="V27" s="34">
        <f t="shared" si="19"/>
        <v>4</v>
      </c>
      <c r="W27" s="34">
        <f t="shared" si="19"/>
        <v>0.5</v>
      </c>
      <c r="X27" s="34">
        <f t="shared" si="19"/>
        <v>0</v>
      </c>
      <c r="Y27" s="34">
        <f t="shared" si="19"/>
        <v>4.5</v>
      </c>
      <c r="Z27" s="34">
        <f t="shared" si="19"/>
        <v>6.5</v>
      </c>
      <c r="AA27" s="34">
        <f t="shared" si="19"/>
        <v>7.5</v>
      </c>
      <c r="AB27" s="34">
        <f t="shared" si="19"/>
        <v>0</v>
      </c>
      <c r="AC27" s="34">
        <f t="shared" si="19"/>
        <v>12</v>
      </c>
      <c r="AD27" s="34">
        <f t="shared" si="19"/>
        <v>0</v>
      </c>
      <c r="AE27" s="31">
        <f t="shared" si="19"/>
        <v>31</v>
      </c>
      <c r="AF27" s="31">
        <f t="shared" si="19"/>
        <v>43</v>
      </c>
    </row>
    <row r="28" spans="2:32" ht="23.1" customHeight="1" x14ac:dyDescent="0.25">
      <c r="B28" s="23" t="s">
        <v>55</v>
      </c>
      <c r="C28" s="49">
        <f>AVERAGE('17.10  MITYANA-MUBENDE '!C28,'18.10  MITYANA-MUBENDE-24h'!C28,'19.10 MITYANA-MUBENDE-24h'!C28,'20.10 MITYANA-MUBENDE'!C28,'21.10 MITYANA-MUBENDE'!C28,'22.10 MITYANA-MUBENDE'!C28,'23.10 MITYANA-MUBENDE'!C28)</f>
        <v>8.5714285714285712</v>
      </c>
      <c r="D28" s="49">
        <f>AVERAGE('17.10  MITYANA-MUBENDE '!D28,'18.10  MITYANA-MUBENDE-24h'!D28,'19.10 MITYANA-MUBENDE-24h'!D28,'20.10 MITYANA-MUBENDE'!D28,'21.10 MITYANA-MUBENDE'!D28,'22.10 MITYANA-MUBENDE'!D28,'23.10 MITYANA-MUBENDE'!D28)</f>
        <v>4</v>
      </c>
      <c r="E28" s="49">
        <f>AVERAGE('17.10  MITYANA-MUBENDE '!E28,'18.10  MITYANA-MUBENDE-24h'!E28,'19.10 MITYANA-MUBENDE-24h'!E28,'20.10 MITYANA-MUBENDE'!E28,'21.10 MITYANA-MUBENDE'!E28,'22.10 MITYANA-MUBENDE'!E28,'23.10 MITYANA-MUBENDE'!E28)</f>
        <v>3.1428571428571428</v>
      </c>
      <c r="F28" s="49">
        <f>AVERAGE('17.10  MITYANA-MUBENDE '!F28,'18.10  MITYANA-MUBENDE-24h'!F28,'19.10 MITYANA-MUBENDE-24h'!F28,'20.10 MITYANA-MUBENDE'!F28,'21.10 MITYANA-MUBENDE'!F28,'22.10 MITYANA-MUBENDE'!F28,'23.10 MITYANA-MUBENDE'!F28)</f>
        <v>7</v>
      </c>
      <c r="G28" s="49">
        <f>AVERAGE('17.10  MITYANA-MUBENDE '!G28,'18.10  MITYANA-MUBENDE-24h'!G28,'19.10 MITYANA-MUBENDE-24h'!G28,'20.10 MITYANA-MUBENDE'!G28,'21.10 MITYANA-MUBENDE'!G28,'22.10 MITYANA-MUBENDE'!G28,'23.10 MITYANA-MUBENDE'!G28)</f>
        <v>0</v>
      </c>
      <c r="H28" s="49">
        <f>AVERAGE('17.10  MITYANA-MUBENDE '!H28,'18.10  MITYANA-MUBENDE-24h'!H28,'19.10 MITYANA-MUBENDE-24h'!H28,'20.10 MITYANA-MUBENDE'!H28,'21.10 MITYANA-MUBENDE'!H28,'22.10 MITYANA-MUBENDE'!H28,'23.10 MITYANA-MUBENDE'!H28)</f>
        <v>0.14285714285714285</v>
      </c>
      <c r="I28" s="49">
        <f>AVERAGE('17.10  MITYANA-MUBENDE '!I28,'18.10  MITYANA-MUBENDE-24h'!I28,'19.10 MITYANA-MUBENDE-24h'!I28,'20.10 MITYANA-MUBENDE'!I28,'21.10 MITYANA-MUBENDE'!I28,'22.10 MITYANA-MUBENDE'!I28,'23.10 MITYANA-MUBENDE'!I28)</f>
        <v>3.1428571428571428</v>
      </c>
      <c r="J28" s="49">
        <f>AVERAGE('17.10  MITYANA-MUBENDE '!J28,'18.10  MITYANA-MUBENDE-24h'!J28,'19.10 MITYANA-MUBENDE-24h'!J28,'20.10 MITYANA-MUBENDE'!J28,'21.10 MITYANA-MUBENDE'!J28,'22.10 MITYANA-MUBENDE'!J28,'23.10 MITYANA-MUBENDE'!J28)</f>
        <v>2</v>
      </c>
      <c r="K28" s="49">
        <f>AVERAGE('17.10  MITYANA-MUBENDE '!K28,'18.10  MITYANA-MUBENDE-24h'!K28,'19.10 MITYANA-MUBENDE-24h'!K28,'20.10 MITYANA-MUBENDE'!K28,'21.10 MITYANA-MUBENDE'!K28,'22.10 MITYANA-MUBENDE'!K28,'23.10 MITYANA-MUBENDE'!K28)</f>
        <v>0.8571428571428571</v>
      </c>
      <c r="L28" s="49">
        <f>AVERAGE('17.10  MITYANA-MUBENDE '!L28,'18.10  MITYANA-MUBENDE-24h'!L28,'19.10 MITYANA-MUBENDE-24h'!L28,'20.10 MITYANA-MUBENDE'!L28,'21.10 MITYANA-MUBENDE'!L28,'22.10 MITYANA-MUBENDE'!L28,'23.10 MITYANA-MUBENDE'!L28)</f>
        <v>1.1428571428571428</v>
      </c>
      <c r="M28" s="49">
        <f>AVERAGE('17.10  MITYANA-MUBENDE '!M28,'18.10  MITYANA-MUBENDE-24h'!M28,'19.10 MITYANA-MUBENDE-24h'!M28,'20.10 MITYANA-MUBENDE'!M28,'21.10 MITYANA-MUBENDE'!M28,'22.10 MITYANA-MUBENDE'!M28,'23.10 MITYANA-MUBENDE'!M28)</f>
        <v>41.428571428571431</v>
      </c>
      <c r="N28" s="49">
        <f>AVERAGE('17.10  MITYANA-MUBENDE '!N28,'18.10  MITYANA-MUBENDE-24h'!N28,'19.10 MITYANA-MUBENDE-24h'!N28,'20.10 MITYANA-MUBENDE'!N28,'21.10 MITYANA-MUBENDE'!N28,'22.10 MITYANA-MUBENDE'!N28,'23.10 MITYANA-MUBENDE'!N28)</f>
        <v>0</v>
      </c>
      <c r="O28" s="15">
        <f t="shared" si="0"/>
        <v>30</v>
      </c>
      <c r="P28" s="15">
        <f t="shared" si="1"/>
        <v>71.428571428571431</v>
      </c>
      <c r="R28" s="1" t="s">
        <v>152</v>
      </c>
      <c r="S28" s="34">
        <f>SUM(C82:C85)</f>
        <v>3</v>
      </c>
      <c r="T28" s="34">
        <f t="shared" ref="T28:AF28" si="20">SUM(D82:D85)</f>
        <v>1.5</v>
      </c>
      <c r="U28" s="34">
        <f t="shared" si="20"/>
        <v>1</v>
      </c>
      <c r="V28" s="34">
        <f t="shared" si="20"/>
        <v>3</v>
      </c>
      <c r="W28" s="34">
        <f t="shared" si="20"/>
        <v>0.5</v>
      </c>
      <c r="X28" s="34">
        <f t="shared" si="20"/>
        <v>0.5</v>
      </c>
      <c r="Y28" s="34">
        <f t="shared" si="20"/>
        <v>6</v>
      </c>
      <c r="Z28" s="34">
        <f t="shared" si="20"/>
        <v>6</v>
      </c>
      <c r="AA28" s="34">
        <f t="shared" si="20"/>
        <v>1.5</v>
      </c>
      <c r="AB28" s="34">
        <f t="shared" si="20"/>
        <v>1.5</v>
      </c>
      <c r="AC28" s="34">
        <f t="shared" si="20"/>
        <v>5</v>
      </c>
      <c r="AD28" s="34">
        <f t="shared" si="20"/>
        <v>0</v>
      </c>
      <c r="AE28" s="31">
        <f t="shared" si="20"/>
        <v>24.5</v>
      </c>
      <c r="AF28" s="31">
        <f t="shared" si="20"/>
        <v>29.5</v>
      </c>
    </row>
    <row r="29" spans="2:32" ht="23.1" customHeight="1" x14ac:dyDescent="0.25">
      <c r="B29" s="23" t="s">
        <v>56</v>
      </c>
      <c r="C29" s="49">
        <f>AVERAGE('17.10  MITYANA-MUBENDE '!C29,'18.10  MITYANA-MUBENDE-24h'!C29,'19.10 MITYANA-MUBENDE-24h'!C29,'20.10 MITYANA-MUBENDE'!C29,'21.10 MITYANA-MUBENDE'!C29,'22.10 MITYANA-MUBENDE'!C29,'23.10 MITYANA-MUBENDE'!C29)</f>
        <v>9.4285714285714288</v>
      </c>
      <c r="D29" s="49">
        <f>AVERAGE('17.10  MITYANA-MUBENDE '!D29,'18.10  MITYANA-MUBENDE-24h'!D29,'19.10 MITYANA-MUBENDE-24h'!D29,'20.10 MITYANA-MUBENDE'!D29,'21.10 MITYANA-MUBENDE'!D29,'22.10 MITYANA-MUBENDE'!D29,'23.10 MITYANA-MUBENDE'!D29)</f>
        <v>3</v>
      </c>
      <c r="E29" s="49">
        <f>AVERAGE('17.10  MITYANA-MUBENDE '!E29,'18.10  MITYANA-MUBENDE-24h'!E29,'19.10 MITYANA-MUBENDE-24h'!E29,'20.10 MITYANA-MUBENDE'!E29,'21.10 MITYANA-MUBENDE'!E29,'22.10 MITYANA-MUBENDE'!E29,'23.10 MITYANA-MUBENDE'!E29)</f>
        <v>2.8571428571428572</v>
      </c>
      <c r="F29" s="49">
        <f>AVERAGE('17.10  MITYANA-MUBENDE '!F29,'18.10  MITYANA-MUBENDE-24h'!F29,'19.10 MITYANA-MUBENDE-24h'!F29,'20.10 MITYANA-MUBENDE'!F29,'21.10 MITYANA-MUBENDE'!F29,'22.10 MITYANA-MUBENDE'!F29,'23.10 MITYANA-MUBENDE'!F29)</f>
        <v>6.1428571428571432</v>
      </c>
      <c r="G29" s="49">
        <f>AVERAGE('17.10  MITYANA-MUBENDE '!G29,'18.10  MITYANA-MUBENDE-24h'!G29,'19.10 MITYANA-MUBENDE-24h'!G29,'20.10 MITYANA-MUBENDE'!G29,'21.10 MITYANA-MUBENDE'!G29,'22.10 MITYANA-MUBENDE'!G29,'23.10 MITYANA-MUBENDE'!G29)</f>
        <v>0</v>
      </c>
      <c r="H29" s="49">
        <f>AVERAGE('17.10  MITYANA-MUBENDE '!H29,'18.10  MITYANA-MUBENDE-24h'!H29,'19.10 MITYANA-MUBENDE-24h'!H29,'20.10 MITYANA-MUBENDE'!H29,'21.10 MITYANA-MUBENDE'!H29,'22.10 MITYANA-MUBENDE'!H29,'23.10 MITYANA-MUBENDE'!H29)</f>
        <v>0.14285714285714285</v>
      </c>
      <c r="I29" s="49">
        <f>AVERAGE('17.10  MITYANA-MUBENDE '!I29,'18.10  MITYANA-MUBENDE-24h'!I29,'19.10 MITYANA-MUBENDE-24h'!I29,'20.10 MITYANA-MUBENDE'!I29,'21.10 MITYANA-MUBENDE'!I29,'22.10 MITYANA-MUBENDE'!I29,'23.10 MITYANA-MUBENDE'!I29)</f>
        <v>3.4285714285714284</v>
      </c>
      <c r="J29" s="49">
        <f>AVERAGE('17.10  MITYANA-MUBENDE '!J29,'18.10  MITYANA-MUBENDE-24h'!J29,'19.10 MITYANA-MUBENDE-24h'!J29,'20.10 MITYANA-MUBENDE'!J29,'21.10 MITYANA-MUBENDE'!J29,'22.10 MITYANA-MUBENDE'!J29,'23.10 MITYANA-MUBENDE'!J29)</f>
        <v>2.2857142857142856</v>
      </c>
      <c r="K29" s="49">
        <f>AVERAGE('17.10  MITYANA-MUBENDE '!K29,'18.10  MITYANA-MUBENDE-24h'!K29,'19.10 MITYANA-MUBENDE-24h'!K29,'20.10 MITYANA-MUBENDE'!K29,'21.10 MITYANA-MUBENDE'!K29,'22.10 MITYANA-MUBENDE'!K29,'23.10 MITYANA-MUBENDE'!K29)</f>
        <v>1.1428571428571428</v>
      </c>
      <c r="L29" s="49">
        <f>AVERAGE('17.10  MITYANA-MUBENDE '!L29,'18.10  MITYANA-MUBENDE-24h'!L29,'19.10 MITYANA-MUBENDE-24h'!L29,'20.10 MITYANA-MUBENDE'!L29,'21.10 MITYANA-MUBENDE'!L29,'22.10 MITYANA-MUBENDE'!L29,'23.10 MITYANA-MUBENDE'!L29)</f>
        <v>2.1428571428571428</v>
      </c>
      <c r="M29" s="49">
        <f>AVERAGE('17.10  MITYANA-MUBENDE '!M29,'18.10  MITYANA-MUBENDE-24h'!M29,'19.10 MITYANA-MUBENDE-24h'!M29,'20.10 MITYANA-MUBENDE'!M29,'21.10 MITYANA-MUBENDE'!M29,'22.10 MITYANA-MUBENDE'!M29,'23.10 MITYANA-MUBENDE'!M29)</f>
        <v>39.857142857142854</v>
      </c>
      <c r="N29" s="49">
        <f>AVERAGE('17.10  MITYANA-MUBENDE '!N29,'18.10  MITYANA-MUBENDE-24h'!N29,'19.10 MITYANA-MUBENDE-24h'!N29,'20.10 MITYANA-MUBENDE'!N29,'21.10 MITYANA-MUBENDE'!N29,'22.10 MITYANA-MUBENDE'!N29,'23.10 MITYANA-MUBENDE'!N29)</f>
        <v>0</v>
      </c>
      <c r="O29" s="15">
        <f t="shared" si="0"/>
        <v>30.571428571428569</v>
      </c>
      <c r="P29" s="15">
        <f t="shared" si="1"/>
        <v>70.428571428571416</v>
      </c>
      <c r="R29" s="1" t="s">
        <v>153</v>
      </c>
      <c r="S29" s="34">
        <f>SUM(C86:C89)</f>
        <v>1</v>
      </c>
      <c r="T29" s="34">
        <f t="shared" ref="T29:AF29" si="21">SUM(D86:D89)</f>
        <v>0.5</v>
      </c>
      <c r="U29" s="34">
        <f t="shared" si="21"/>
        <v>0</v>
      </c>
      <c r="V29" s="34">
        <f t="shared" si="21"/>
        <v>1.5</v>
      </c>
      <c r="W29" s="34">
        <f t="shared" si="21"/>
        <v>0.5</v>
      </c>
      <c r="X29" s="34">
        <f t="shared" si="21"/>
        <v>0</v>
      </c>
      <c r="Y29" s="34">
        <f t="shared" si="21"/>
        <v>2</v>
      </c>
      <c r="Z29" s="34">
        <f t="shared" si="21"/>
        <v>4.5</v>
      </c>
      <c r="AA29" s="34">
        <f t="shared" si="21"/>
        <v>1</v>
      </c>
      <c r="AB29" s="34">
        <f t="shared" si="21"/>
        <v>2.5</v>
      </c>
      <c r="AC29" s="34">
        <f t="shared" si="21"/>
        <v>3.5</v>
      </c>
      <c r="AD29" s="34">
        <f t="shared" si="21"/>
        <v>0</v>
      </c>
      <c r="AE29" s="31">
        <f t="shared" si="21"/>
        <v>13.5</v>
      </c>
      <c r="AF29" s="31">
        <f t="shared" si="21"/>
        <v>17</v>
      </c>
    </row>
    <row r="30" spans="2:32" ht="23.1" customHeight="1" x14ac:dyDescent="0.25">
      <c r="B30" s="23" t="s">
        <v>57</v>
      </c>
      <c r="C30" s="49">
        <f>AVERAGE('17.10  MITYANA-MUBENDE '!C30,'18.10  MITYANA-MUBENDE-24h'!C30,'19.10 MITYANA-MUBENDE-24h'!C30,'20.10 MITYANA-MUBENDE'!C30,'21.10 MITYANA-MUBENDE'!C30,'22.10 MITYANA-MUBENDE'!C30,'23.10 MITYANA-MUBENDE'!C30)</f>
        <v>9</v>
      </c>
      <c r="D30" s="49">
        <f>AVERAGE('17.10  MITYANA-MUBENDE '!D30,'18.10  MITYANA-MUBENDE-24h'!D30,'19.10 MITYANA-MUBENDE-24h'!D30,'20.10 MITYANA-MUBENDE'!D30,'21.10 MITYANA-MUBENDE'!D30,'22.10 MITYANA-MUBENDE'!D30,'23.10 MITYANA-MUBENDE'!D30)</f>
        <v>2</v>
      </c>
      <c r="E30" s="49">
        <f>AVERAGE('17.10  MITYANA-MUBENDE '!E30,'18.10  MITYANA-MUBENDE-24h'!E30,'19.10 MITYANA-MUBENDE-24h'!E30,'20.10 MITYANA-MUBENDE'!E30,'21.10 MITYANA-MUBENDE'!E30,'22.10 MITYANA-MUBENDE'!E30,'23.10 MITYANA-MUBENDE'!E30)</f>
        <v>1.8571428571428572</v>
      </c>
      <c r="F30" s="49">
        <f>AVERAGE('17.10  MITYANA-MUBENDE '!F30,'18.10  MITYANA-MUBENDE-24h'!F30,'19.10 MITYANA-MUBENDE-24h'!F30,'20.10 MITYANA-MUBENDE'!F30,'21.10 MITYANA-MUBENDE'!F30,'22.10 MITYANA-MUBENDE'!F30,'23.10 MITYANA-MUBENDE'!F30)</f>
        <v>7.1428571428571432</v>
      </c>
      <c r="G30" s="49">
        <f>AVERAGE('17.10  MITYANA-MUBENDE '!G30,'18.10  MITYANA-MUBENDE-24h'!G30,'19.10 MITYANA-MUBENDE-24h'!G30,'20.10 MITYANA-MUBENDE'!G30,'21.10 MITYANA-MUBENDE'!G30,'22.10 MITYANA-MUBENDE'!G30,'23.10 MITYANA-MUBENDE'!G30)</f>
        <v>0.14285714285714285</v>
      </c>
      <c r="H30" s="49">
        <f>AVERAGE('17.10  MITYANA-MUBENDE '!H30,'18.10  MITYANA-MUBENDE-24h'!H30,'19.10 MITYANA-MUBENDE-24h'!H30,'20.10 MITYANA-MUBENDE'!H30,'21.10 MITYANA-MUBENDE'!H30,'22.10 MITYANA-MUBENDE'!H30,'23.10 MITYANA-MUBENDE'!H30)</f>
        <v>0.7142857142857143</v>
      </c>
      <c r="I30" s="49">
        <f>AVERAGE('17.10  MITYANA-MUBENDE '!I30,'18.10  MITYANA-MUBENDE-24h'!I30,'19.10 MITYANA-MUBENDE-24h'!I30,'20.10 MITYANA-MUBENDE'!I30,'21.10 MITYANA-MUBENDE'!I30,'22.10 MITYANA-MUBENDE'!I30,'23.10 MITYANA-MUBENDE'!I30)</f>
        <v>2.2857142857142856</v>
      </c>
      <c r="J30" s="49">
        <f>AVERAGE('17.10  MITYANA-MUBENDE '!J30,'18.10  MITYANA-MUBENDE-24h'!J30,'19.10 MITYANA-MUBENDE-24h'!J30,'20.10 MITYANA-MUBENDE'!J30,'21.10 MITYANA-MUBENDE'!J30,'22.10 MITYANA-MUBENDE'!J30,'23.10 MITYANA-MUBENDE'!J30)</f>
        <v>2.5714285714285716</v>
      </c>
      <c r="K30" s="49">
        <f>AVERAGE('17.10  MITYANA-MUBENDE '!K30,'18.10  MITYANA-MUBENDE-24h'!K30,'19.10 MITYANA-MUBENDE-24h'!K30,'20.10 MITYANA-MUBENDE'!K30,'21.10 MITYANA-MUBENDE'!K30,'22.10 MITYANA-MUBENDE'!K30,'23.10 MITYANA-MUBENDE'!K30)</f>
        <v>0.8571428571428571</v>
      </c>
      <c r="L30" s="49">
        <f>AVERAGE('17.10  MITYANA-MUBENDE '!L30,'18.10  MITYANA-MUBENDE-24h'!L30,'19.10 MITYANA-MUBENDE-24h'!L30,'20.10 MITYANA-MUBENDE'!L30,'21.10 MITYANA-MUBENDE'!L30,'22.10 MITYANA-MUBENDE'!L30,'23.10 MITYANA-MUBENDE'!L30)</f>
        <v>1</v>
      </c>
      <c r="M30" s="49">
        <f>AVERAGE('17.10  MITYANA-MUBENDE '!M30,'18.10  MITYANA-MUBENDE-24h'!M30,'19.10 MITYANA-MUBENDE-24h'!M30,'20.10 MITYANA-MUBENDE'!M30,'21.10 MITYANA-MUBENDE'!M30,'22.10 MITYANA-MUBENDE'!M30,'23.10 MITYANA-MUBENDE'!M30)</f>
        <v>36.714285714285715</v>
      </c>
      <c r="N30" s="49">
        <f>AVERAGE('17.10  MITYANA-MUBENDE '!N30,'18.10  MITYANA-MUBENDE-24h'!N30,'19.10 MITYANA-MUBENDE-24h'!N30,'20.10 MITYANA-MUBENDE'!N30,'21.10 MITYANA-MUBENDE'!N30,'22.10 MITYANA-MUBENDE'!N30,'23.10 MITYANA-MUBENDE'!N30)</f>
        <v>0.14285714285714285</v>
      </c>
      <c r="O30" s="15">
        <f t="shared" si="0"/>
        <v>27.714285714285715</v>
      </c>
      <c r="P30" s="15">
        <f t="shared" si="1"/>
        <v>64.428571428571431</v>
      </c>
      <c r="R30" s="1" t="s">
        <v>154</v>
      </c>
      <c r="S30" s="34">
        <f>SUM(C90:C93)</f>
        <v>1.5</v>
      </c>
      <c r="T30" s="34">
        <f t="shared" ref="T30:AF30" si="22">SUM(D90:D93)</f>
        <v>0.5</v>
      </c>
      <c r="U30" s="34">
        <f t="shared" si="22"/>
        <v>0.5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5.5</v>
      </c>
      <c r="AA30" s="34">
        <f t="shared" si="22"/>
        <v>2.5</v>
      </c>
      <c r="AB30" s="34">
        <f t="shared" si="22"/>
        <v>1</v>
      </c>
      <c r="AC30" s="34">
        <f t="shared" si="22"/>
        <v>7.5</v>
      </c>
      <c r="AD30" s="34">
        <f t="shared" si="22"/>
        <v>0</v>
      </c>
      <c r="AE30" s="31">
        <f t="shared" si="22"/>
        <v>13</v>
      </c>
      <c r="AF30" s="31">
        <f t="shared" si="22"/>
        <v>20.5</v>
      </c>
    </row>
    <row r="31" spans="2:32" ht="23.1" customHeight="1" x14ac:dyDescent="0.25">
      <c r="B31" s="24" t="s">
        <v>58</v>
      </c>
      <c r="C31" s="49">
        <f>AVERAGE('17.10  MITYANA-MUBENDE '!C31,'18.10  MITYANA-MUBENDE-24h'!C31,'19.10 MITYANA-MUBENDE-24h'!C31,'20.10 MITYANA-MUBENDE'!C31,'21.10 MITYANA-MUBENDE'!C31,'22.10 MITYANA-MUBENDE'!C31,'23.10 MITYANA-MUBENDE'!C31)</f>
        <v>8.5714285714285712</v>
      </c>
      <c r="D31" s="49">
        <f>AVERAGE('17.10  MITYANA-MUBENDE '!D31,'18.10  MITYANA-MUBENDE-24h'!D31,'19.10 MITYANA-MUBENDE-24h'!D31,'20.10 MITYANA-MUBENDE'!D31,'21.10 MITYANA-MUBENDE'!D31,'22.10 MITYANA-MUBENDE'!D31,'23.10 MITYANA-MUBENDE'!D31)</f>
        <v>5.1428571428571432</v>
      </c>
      <c r="E31" s="49">
        <f>AVERAGE('17.10  MITYANA-MUBENDE '!E31,'18.10  MITYANA-MUBENDE-24h'!E31,'19.10 MITYANA-MUBENDE-24h'!E31,'20.10 MITYANA-MUBENDE'!E31,'21.10 MITYANA-MUBENDE'!E31,'22.10 MITYANA-MUBENDE'!E31,'23.10 MITYANA-MUBENDE'!E31)</f>
        <v>1.2857142857142858</v>
      </c>
      <c r="F31" s="49">
        <f>AVERAGE('17.10  MITYANA-MUBENDE '!F31,'18.10  MITYANA-MUBENDE-24h'!F31,'19.10 MITYANA-MUBENDE-24h'!F31,'20.10 MITYANA-MUBENDE'!F31,'21.10 MITYANA-MUBENDE'!F31,'22.10 MITYANA-MUBENDE'!F31,'23.10 MITYANA-MUBENDE'!F31)</f>
        <v>7.8571428571428568</v>
      </c>
      <c r="G31" s="49">
        <f>AVERAGE('17.10  MITYANA-MUBENDE '!G31,'18.10  MITYANA-MUBENDE-24h'!G31,'19.10 MITYANA-MUBENDE-24h'!G31,'20.10 MITYANA-MUBENDE'!G31,'21.10 MITYANA-MUBENDE'!G31,'22.10 MITYANA-MUBENDE'!G31,'23.10 MITYANA-MUBENDE'!G31)</f>
        <v>0.2857142857142857</v>
      </c>
      <c r="H31" s="49">
        <f>AVERAGE('17.10  MITYANA-MUBENDE '!H31,'18.10  MITYANA-MUBENDE-24h'!H31,'19.10 MITYANA-MUBENDE-24h'!H31,'20.10 MITYANA-MUBENDE'!H31,'21.10 MITYANA-MUBENDE'!H31,'22.10 MITYANA-MUBENDE'!H31,'23.10 MITYANA-MUBENDE'!H31)</f>
        <v>0.7142857142857143</v>
      </c>
      <c r="I31" s="49">
        <f>AVERAGE('17.10  MITYANA-MUBENDE '!I31,'18.10  MITYANA-MUBENDE-24h'!I31,'19.10 MITYANA-MUBENDE-24h'!I31,'20.10 MITYANA-MUBENDE'!I31,'21.10 MITYANA-MUBENDE'!I31,'22.10 MITYANA-MUBENDE'!I31,'23.10 MITYANA-MUBENDE'!I31)</f>
        <v>2.5714285714285716</v>
      </c>
      <c r="J31" s="49">
        <f>AVERAGE('17.10  MITYANA-MUBENDE '!J31,'18.10  MITYANA-MUBENDE-24h'!J31,'19.10 MITYANA-MUBENDE-24h'!J31,'20.10 MITYANA-MUBENDE'!J31,'21.10 MITYANA-MUBENDE'!J31,'22.10 MITYANA-MUBENDE'!J31,'23.10 MITYANA-MUBENDE'!J31)</f>
        <v>1.5714285714285714</v>
      </c>
      <c r="K31" s="49">
        <f>AVERAGE('17.10  MITYANA-MUBENDE '!K31,'18.10  MITYANA-MUBENDE-24h'!K31,'19.10 MITYANA-MUBENDE-24h'!K31,'20.10 MITYANA-MUBENDE'!K31,'21.10 MITYANA-MUBENDE'!K31,'22.10 MITYANA-MUBENDE'!K31,'23.10 MITYANA-MUBENDE'!K31)</f>
        <v>0.42857142857142855</v>
      </c>
      <c r="L31" s="49">
        <f>AVERAGE('17.10  MITYANA-MUBENDE '!L31,'18.10  MITYANA-MUBENDE-24h'!L31,'19.10 MITYANA-MUBENDE-24h'!L31,'20.10 MITYANA-MUBENDE'!L31,'21.10 MITYANA-MUBENDE'!L31,'22.10 MITYANA-MUBENDE'!L31,'23.10 MITYANA-MUBENDE'!L31)</f>
        <v>0.42857142857142855</v>
      </c>
      <c r="M31" s="49">
        <f>AVERAGE('17.10  MITYANA-MUBENDE '!M31,'18.10  MITYANA-MUBENDE-24h'!M31,'19.10 MITYANA-MUBENDE-24h'!M31,'20.10 MITYANA-MUBENDE'!M31,'21.10 MITYANA-MUBENDE'!M31,'22.10 MITYANA-MUBENDE'!M31,'23.10 MITYANA-MUBENDE'!M31)</f>
        <v>38</v>
      </c>
      <c r="N31" s="49">
        <f>AVERAGE('17.10  MITYANA-MUBENDE '!N31,'18.10  MITYANA-MUBENDE-24h'!N31,'19.10 MITYANA-MUBENDE-24h'!N31,'20.10 MITYANA-MUBENDE'!N31,'21.10 MITYANA-MUBENDE'!N31,'22.10 MITYANA-MUBENDE'!N31,'23.10 MITYANA-MUBENDE'!N31)</f>
        <v>0</v>
      </c>
      <c r="O31" s="15">
        <f t="shared" si="0"/>
        <v>28.857142857142858</v>
      </c>
      <c r="P31" s="15">
        <f t="shared" si="1"/>
        <v>66.857142857142861</v>
      </c>
      <c r="R31" s="1" t="s">
        <v>155</v>
      </c>
      <c r="S31" s="34">
        <f>SUM(C94:C97)</f>
        <v>3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3.5</v>
      </c>
      <c r="AA31" s="34">
        <f t="shared" si="23"/>
        <v>0.5</v>
      </c>
      <c r="AB31" s="34">
        <f t="shared" si="23"/>
        <v>2.5</v>
      </c>
      <c r="AC31" s="34">
        <f t="shared" si="23"/>
        <v>2</v>
      </c>
      <c r="AD31" s="34">
        <f t="shared" si="23"/>
        <v>0</v>
      </c>
      <c r="AE31" s="31">
        <f t="shared" si="23"/>
        <v>12</v>
      </c>
      <c r="AF31" s="31">
        <f t="shared" si="23"/>
        <v>14</v>
      </c>
    </row>
    <row r="32" spans="2:32" ht="23.1" customHeight="1" x14ac:dyDescent="0.25">
      <c r="B32" s="24" t="s">
        <v>59</v>
      </c>
      <c r="C32" s="49">
        <f>AVERAGE('17.10  MITYANA-MUBENDE '!C32,'18.10  MITYANA-MUBENDE-24h'!C32,'19.10 MITYANA-MUBENDE-24h'!C32,'20.10 MITYANA-MUBENDE'!C32,'21.10 MITYANA-MUBENDE'!C32,'22.10 MITYANA-MUBENDE'!C32,'23.10 MITYANA-MUBENDE'!C32)</f>
        <v>7.8571428571428568</v>
      </c>
      <c r="D32" s="49">
        <f>AVERAGE('17.10  MITYANA-MUBENDE '!D32,'18.10  MITYANA-MUBENDE-24h'!D32,'19.10 MITYANA-MUBENDE-24h'!D32,'20.10 MITYANA-MUBENDE'!D32,'21.10 MITYANA-MUBENDE'!D32,'22.10 MITYANA-MUBENDE'!D32,'23.10 MITYANA-MUBENDE'!D32)</f>
        <v>3.4285714285714284</v>
      </c>
      <c r="E32" s="49">
        <f>AVERAGE('17.10  MITYANA-MUBENDE '!E32,'18.10  MITYANA-MUBENDE-24h'!E32,'19.10 MITYANA-MUBENDE-24h'!E32,'20.10 MITYANA-MUBENDE'!E32,'21.10 MITYANA-MUBENDE'!E32,'22.10 MITYANA-MUBENDE'!E32,'23.10 MITYANA-MUBENDE'!E32)</f>
        <v>2.4285714285714284</v>
      </c>
      <c r="F32" s="49">
        <f>AVERAGE('17.10  MITYANA-MUBENDE '!F32,'18.10  MITYANA-MUBENDE-24h'!F32,'19.10 MITYANA-MUBENDE-24h'!F32,'20.10 MITYANA-MUBENDE'!F32,'21.10 MITYANA-MUBENDE'!F32,'22.10 MITYANA-MUBENDE'!F32,'23.10 MITYANA-MUBENDE'!F32)</f>
        <v>7.5714285714285712</v>
      </c>
      <c r="G32" s="49">
        <f>AVERAGE('17.10  MITYANA-MUBENDE '!G32,'18.10  MITYANA-MUBENDE-24h'!G32,'19.10 MITYANA-MUBENDE-24h'!G32,'20.10 MITYANA-MUBENDE'!G32,'21.10 MITYANA-MUBENDE'!G32,'22.10 MITYANA-MUBENDE'!G32,'23.10 MITYANA-MUBENDE'!G32)</f>
        <v>0</v>
      </c>
      <c r="H32" s="49">
        <f>AVERAGE('17.10  MITYANA-MUBENDE '!H32,'18.10  MITYANA-MUBENDE-24h'!H32,'19.10 MITYANA-MUBENDE-24h'!H32,'20.10 MITYANA-MUBENDE'!H32,'21.10 MITYANA-MUBENDE'!H32,'22.10 MITYANA-MUBENDE'!H32,'23.10 MITYANA-MUBENDE'!H32)</f>
        <v>0.5714285714285714</v>
      </c>
      <c r="I32" s="49">
        <f>AVERAGE('17.10  MITYANA-MUBENDE '!I32,'18.10  MITYANA-MUBENDE-24h'!I32,'19.10 MITYANA-MUBENDE-24h'!I32,'20.10 MITYANA-MUBENDE'!I32,'21.10 MITYANA-MUBENDE'!I32,'22.10 MITYANA-MUBENDE'!I32,'23.10 MITYANA-MUBENDE'!I32)</f>
        <v>4.8571428571428568</v>
      </c>
      <c r="J32" s="49">
        <f>AVERAGE('17.10  MITYANA-MUBENDE '!J32,'18.10  MITYANA-MUBENDE-24h'!J32,'19.10 MITYANA-MUBENDE-24h'!J32,'20.10 MITYANA-MUBENDE'!J32,'21.10 MITYANA-MUBENDE'!J32,'22.10 MITYANA-MUBENDE'!J32,'23.10 MITYANA-MUBENDE'!J32)</f>
        <v>1.5714285714285714</v>
      </c>
      <c r="K32" s="49">
        <f>AVERAGE('17.10  MITYANA-MUBENDE '!K32,'18.10  MITYANA-MUBENDE-24h'!K32,'19.10 MITYANA-MUBENDE-24h'!K32,'20.10 MITYANA-MUBENDE'!K32,'21.10 MITYANA-MUBENDE'!K32,'22.10 MITYANA-MUBENDE'!K32,'23.10 MITYANA-MUBENDE'!K32)</f>
        <v>1.1428571428571428</v>
      </c>
      <c r="L32" s="49">
        <f>AVERAGE('17.10  MITYANA-MUBENDE '!L32,'18.10  MITYANA-MUBENDE-24h'!L32,'19.10 MITYANA-MUBENDE-24h'!L32,'20.10 MITYANA-MUBENDE'!L32,'21.10 MITYANA-MUBENDE'!L32,'22.10 MITYANA-MUBENDE'!L32,'23.10 MITYANA-MUBENDE'!L32)</f>
        <v>0.7142857142857143</v>
      </c>
      <c r="M32" s="49">
        <f>AVERAGE('17.10  MITYANA-MUBENDE '!M32,'18.10  MITYANA-MUBENDE-24h'!M32,'19.10 MITYANA-MUBENDE-24h'!M32,'20.10 MITYANA-MUBENDE'!M32,'21.10 MITYANA-MUBENDE'!M32,'22.10 MITYANA-MUBENDE'!M32,'23.10 MITYANA-MUBENDE'!M32)</f>
        <v>39.714285714285715</v>
      </c>
      <c r="N32" s="49">
        <f>AVERAGE('17.10  MITYANA-MUBENDE '!N32,'18.10  MITYANA-MUBENDE-24h'!N32,'19.10 MITYANA-MUBENDE-24h'!N32,'20.10 MITYANA-MUBENDE'!N32,'21.10 MITYANA-MUBENDE'!N32,'22.10 MITYANA-MUBENDE'!N32,'23.10 MITYANA-MUBENDE'!N32)</f>
        <v>0</v>
      </c>
      <c r="O32" s="15">
        <f t="shared" si="0"/>
        <v>30.142857142857146</v>
      </c>
      <c r="P32" s="15">
        <f t="shared" si="1"/>
        <v>69.857142857142861</v>
      </c>
      <c r="R32" s="1" t="s">
        <v>156</v>
      </c>
      <c r="S32" s="34">
        <f>SUM(C98:C101)</f>
        <v>3</v>
      </c>
      <c r="T32" s="34">
        <f t="shared" ref="T32:AF32" si="24">SUM(D98:D101)</f>
        <v>2</v>
      </c>
      <c r="U32" s="34">
        <f t="shared" si="24"/>
        <v>0.5</v>
      </c>
      <c r="V32" s="34">
        <f t="shared" si="24"/>
        <v>3</v>
      </c>
      <c r="W32" s="34">
        <f t="shared" si="24"/>
        <v>0.5</v>
      </c>
      <c r="X32" s="34">
        <f t="shared" si="24"/>
        <v>0</v>
      </c>
      <c r="Y32" s="34">
        <f t="shared" si="24"/>
        <v>2</v>
      </c>
      <c r="Z32" s="34">
        <f t="shared" si="24"/>
        <v>3</v>
      </c>
      <c r="AA32" s="34">
        <f t="shared" si="24"/>
        <v>1</v>
      </c>
      <c r="AB32" s="34">
        <f t="shared" si="24"/>
        <v>3.5</v>
      </c>
      <c r="AC32" s="34">
        <f t="shared" si="24"/>
        <v>9</v>
      </c>
      <c r="AD32" s="34">
        <f t="shared" si="24"/>
        <v>0</v>
      </c>
      <c r="AE32" s="31">
        <f t="shared" si="24"/>
        <v>18.5</v>
      </c>
      <c r="AF32" s="31">
        <f t="shared" si="24"/>
        <v>27.5</v>
      </c>
    </row>
    <row r="33" spans="2:32" ht="23.1" customHeight="1" x14ac:dyDescent="0.25">
      <c r="B33" s="23" t="s">
        <v>60</v>
      </c>
      <c r="C33" s="49">
        <f>AVERAGE('17.10  MITYANA-MUBENDE '!C33,'18.10  MITYANA-MUBENDE-24h'!C33,'19.10 MITYANA-MUBENDE-24h'!C33,'20.10 MITYANA-MUBENDE'!C33,'21.10 MITYANA-MUBENDE'!C33,'22.10 MITYANA-MUBENDE'!C33,'23.10 MITYANA-MUBENDE'!C33)</f>
        <v>7.4285714285714288</v>
      </c>
      <c r="D33" s="49">
        <f>AVERAGE('17.10  MITYANA-MUBENDE '!D33,'18.10  MITYANA-MUBENDE-24h'!D33,'19.10 MITYANA-MUBENDE-24h'!D33,'20.10 MITYANA-MUBENDE'!D33,'21.10 MITYANA-MUBENDE'!D33,'22.10 MITYANA-MUBENDE'!D33,'23.10 MITYANA-MUBENDE'!D33)</f>
        <v>3.5714285714285716</v>
      </c>
      <c r="E33" s="49">
        <f>AVERAGE('17.10  MITYANA-MUBENDE '!E33,'18.10  MITYANA-MUBENDE-24h'!E33,'19.10 MITYANA-MUBENDE-24h'!E33,'20.10 MITYANA-MUBENDE'!E33,'21.10 MITYANA-MUBENDE'!E33,'22.10 MITYANA-MUBENDE'!E33,'23.10 MITYANA-MUBENDE'!E33)</f>
        <v>1.4285714285714286</v>
      </c>
      <c r="F33" s="49">
        <f>AVERAGE('17.10  MITYANA-MUBENDE '!F33,'18.10  MITYANA-MUBENDE-24h'!F33,'19.10 MITYANA-MUBENDE-24h'!F33,'20.10 MITYANA-MUBENDE'!F33,'21.10 MITYANA-MUBENDE'!F33,'22.10 MITYANA-MUBENDE'!F33,'23.10 MITYANA-MUBENDE'!F33)</f>
        <v>7.5714285714285712</v>
      </c>
      <c r="G33" s="49">
        <f>AVERAGE('17.10  MITYANA-MUBENDE '!G33,'18.10  MITYANA-MUBENDE-24h'!G33,'19.10 MITYANA-MUBENDE-24h'!G33,'20.10 MITYANA-MUBENDE'!G33,'21.10 MITYANA-MUBENDE'!G33,'22.10 MITYANA-MUBENDE'!G33,'23.10 MITYANA-MUBENDE'!G33)</f>
        <v>0</v>
      </c>
      <c r="H33" s="49">
        <f>AVERAGE('17.10  MITYANA-MUBENDE '!H33,'18.10  MITYANA-MUBENDE-24h'!H33,'19.10 MITYANA-MUBENDE-24h'!H33,'20.10 MITYANA-MUBENDE'!H33,'21.10 MITYANA-MUBENDE'!H33,'22.10 MITYANA-MUBENDE'!H33,'23.10 MITYANA-MUBENDE'!H33)</f>
        <v>0.7142857142857143</v>
      </c>
      <c r="I33" s="49">
        <f>AVERAGE('17.10  MITYANA-MUBENDE '!I33,'18.10  MITYANA-MUBENDE-24h'!I33,'19.10 MITYANA-MUBENDE-24h'!I33,'20.10 MITYANA-MUBENDE'!I33,'21.10 MITYANA-MUBENDE'!I33,'22.10 MITYANA-MUBENDE'!I33,'23.10 MITYANA-MUBENDE'!I33)</f>
        <v>2.1428571428571428</v>
      </c>
      <c r="J33" s="49">
        <f>AVERAGE('17.10  MITYANA-MUBENDE '!J33,'18.10  MITYANA-MUBENDE-24h'!J33,'19.10 MITYANA-MUBENDE-24h'!J33,'20.10 MITYANA-MUBENDE'!J33,'21.10 MITYANA-MUBENDE'!J33,'22.10 MITYANA-MUBENDE'!J33,'23.10 MITYANA-MUBENDE'!J33)</f>
        <v>2.4285714285714284</v>
      </c>
      <c r="K33" s="49">
        <f>AVERAGE('17.10  MITYANA-MUBENDE '!K33,'18.10  MITYANA-MUBENDE-24h'!K33,'19.10 MITYANA-MUBENDE-24h'!K33,'20.10 MITYANA-MUBENDE'!K33,'21.10 MITYANA-MUBENDE'!K33,'22.10 MITYANA-MUBENDE'!K33,'23.10 MITYANA-MUBENDE'!K33)</f>
        <v>0.42857142857142855</v>
      </c>
      <c r="L33" s="49">
        <f>AVERAGE('17.10  MITYANA-MUBENDE '!L33,'18.10  MITYANA-MUBENDE-24h'!L33,'19.10 MITYANA-MUBENDE-24h'!L33,'20.10 MITYANA-MUBENDE'!L33,'21.10 MITYANA-MUBENDE'!L33,'22.10 MITYANA-MUBENDE'!L33,'23.10 MITYANA-MUBENDE'!L33)</f>
        <v>0.8571428571428571</v>
      </c>
      <c r="M33" s="49">
        <f>AVERAGE('17.10  MITYANA-MUBENDE '!M33,'18.10  MITYANA-MUBENDE-24h'!M33,'19.10 MITYANA-MUBENDE-24h'!M33,'20.10 MITYANA-MUBENDE'!M33,'21.10 MITYANA-MUBENDE'!M33,'22.10 MITYANA-MUBENDE'!M33,'23.10 MITYANA-MUBENDE'!M33)</f>
        <v>37.857142857142854</v>
      </c>
      <c r="N33" s="49">
        <f>AVERAGE('17.10  MITYANA-MUBENDE '!N33,'18.10  MITYANA-MUBENDE-24h'!N33,'19.10 MITYANA-MUBENDE-24h'!N33,'20.10 MITYANA-MUBENDE'!N33,'21.10 MITYANA-MUBENDE'!N33,'22.10 MITYANA-MUBENDE'!N33,'23.10 MITYANA-MUBENDE'!N33)</f>
        <v>0</v>
      </c>
      <c r="O33" s="15">
        <f t="shared" si="0"/>
        <v>26.571428571428569</v>
      </c>
      <c r="P33" s="15">
        <f t="shared" si="1"/>
        <v>64.428571428571416</v>
      </c>
      <c r="R33" s="1" t="s">
        <v>157</v>
      </c>
      <c r="S33" s="34">
        <f>SUM(C102:C105)</f>
        <v>11</v>
      </c>
      <c r="T33" s="34">
        <f t="shared" ref="T33:AF33" si="25">SUM(D102:D105)</f>
        <v>3.5</v>
      </c>
      <c r="U33" s="34">
        <f t="shared" si="25"/>
        <v>3</v>
      </c>
      <c r="V33" s="34">
        <f t="shared" si="25"/>
        <v>5.5</v>
      </c>
      <c r="W33" s="34">
        <f t="shared" si="25"/>
        <v>0</v>
      </c>
      <c r="X33" s="34">
        <f t="shared" si="25"/>
        <v>0.5</v>
      </c>
      <c r="Y33" s="34">
        <f t="shared" si="25"/>
        <v>9</v>
      </c>
      <c r="Z33" s="34">
        <f t="shared" si="25"/>
        <v>3</v>
      </c>
      <c r="AA33" s="34">
        <f t="shared" si="25"/>
        <v>4.5</v>
      </c>
      <c r="AB33" s="34">
        <f t="shared" si="25"/>
        <v>3</v>
      </c>
      <c r="AC33" s="34">
        <f t="shared" si="25"/>
        <v>38.5</v>
      </c>
      <c r="AD33" s="34">
        <f t="shared" si="25"/>
        <v>0</v>
      </c>
      <c r="AE33" s="31">
        <f t="shared" si="25"/>
        <v>43</v>
      </c>
      <c r="AF33" s="31">
        <f t="shared" si="25"/>
        <v>81.5</v>
      </c>
    </row>
    <row r="34" spans="2:32" ht="23.1" customHeight="1" x14ac:dyDescent="0.25">
      <c r="B34" s="24" t="s">
        <v>61</v>
      </c>
      <c r="C34" s="49">
        <f>AVERAGE('17.10  MITYANA-MUBENDE '!C34,'18.10  MITYANA-MUBENDE-24h'!C34,'19.10 MITYANA-MUBENDE-24h'!C34,'20.10 MITYANA-MUBENDE'!C34,'21.10 MITYANA-MUBENDE'!C34,'22.10 MITYANA-MUBENDE'!C34,'23.10 MITYANA-MUBENDE'!C34)</f>
        <v>10.571428571428571</v>
      </c>
      <c r="D34" s="49">
        <f>AVERAGE('17.10  MITYANA-MUBENDE '!D34,'18.10  MITYANA-MUBENDE-24h'!D34,'19.10 MITYANA-MUBENDE-24h'!D34,'20.10 MITYANA-MUBENDE'!D34,'21.10 MITYANA-MUBENDE'!D34,'22.10 MITYANA-MUBENDE'!D34,'23.10 MITYANA-MUBENDE'!D34)</f>
        <v>3.4285714285714284</v>
      </c>
      <c r="E34" s="49">
        <f>AVERAGE('17.10  MITYANA-MUBENDE '!E34,'18.10  MITYANA-MUBENDE-24h'!E34,'19.10 MITYANA-MUBENDE-24h'!E34,'20.10 MITYANA-MUBENDE'!E34,'21.10 MITYANA-MUBENDE'!E34,'22.10 MITYANA-MUBENDE'!E34,'23.10 MITYANA-MUBENDE'!E34)</f>
        <v>1.5714285714285714</v>
      </c>
      <c r="F34" s="49">
        <f>AVERAGE('17.10  MITYANA-MUBENDE '!F34,'18.10  MITYANA-MUBENDE-24h'!F34,'19.10 MITYANA-MUBENDE-24h'!F34,'20.10 MITYANA-MUBENDE'!F34,'21.10 MITYANA-MUBENDE'!F34,'22.10 MITYANA-MUBENDE'!F34,'23.10 MITYANA-MUBENDE'!F34)</f>
        <v>12.285714285714286</v>
      </c>
      <c r="G34" s="49">
        <f>AVERAGE('17.10  MITYANA-MUBENDE '!G34,'18.10  MITYANA-MUBENDE-24h'!G34,'19.10 MITYANA-MUBENDE-24h'!G34,'20.10 MITYANA-MUBENDE'!G34,'21.10 MITYANA-MUBENDE'!G34,'22.10 MITYANA-MUBENDE'!G34,'23.10 MITYANA-MUBENDE'!G34)</f>
        <v>0.2857142857142857</v>
      </c>
      <c r="H34" s="49">
        <f>AVERAGE('17.10  MITYANA-MUBENDE '!H34,'18.10  MITYANA-MUBENDE-24h'!H34,'19.10 MITYANA-MUBENDE-24h'!H34,'20.10 MITYANA-MUBENDE'!H34,'21.10 MITYANA-MUBENDE'!H34,'22.10 MITYANA-MUBENDE'!H34,'23.10 MITYANA-MUBENDE'!H34)</f>
        <v>0.8571428571428571</v>
      </c>
      <c r="I34" s="49">
        <f>AVERAGE('17.10  MITYANA-MUBENDE '!I34,'18.10  MITYANA-MUBENDE-24h'!I34,'19.10 MITYANA-MUBENDE-24h'!I34,'20.10 MITYANA-MUBENDE'!I34,'21.10 MITYANA-MUBENDE'!I34,'22.10 MITYANA-MUBENDE'!I34,'23.10 MITYANA-MUBENDE'!I34)</f>
        <v>5</v>
      </c>
      <c r="J34" s="49">
        <f>AVERAGE('17.10  MITYANA-MUBENDE '!J34,'18.10  MITYANA-MUBENDE-24h'!J34,'19.10 MITYANA-MUBENDE-24h'!J34,'20.10 MITYANA-MUBENDE'!J34,'21.10 MITYANA-MUBENDE'!J34,'22.10 MITYANA-MUBENDE'!J34,'23.10 MITYANA-MUBENDE'!J34)</f>
        <v>2.7142857142857144</v>
      </c>
      <c r="K34" s="49">
        <f>AVERAGE('17.10  MITYANA-MUBENDE '!K34,'18.10  MITYANA-MUBENDE-24h'!K34,'19.10 MITYANA-MUBENDE-24h'!K34,'20.10 MITYANA-MUBENDE'!K34,'21.10 MITYANA-MUBENDE'!K34,'22.10 MITYANA-MUBENDE'!K34,'23.10 MITYANA-MUBENDE'!K34)</f>
        <v>1.1428571428571428</v>
      </c>
      <c r="L34" s="49">
        <f>AVERAGE('17.10  MITYANA-MUBENDE '!L34,'18.10  MITYANA-MUBENDE-24h'!L34,'19.10 MITYANA-MUBENDE-24h'!L34,'20.10 MITYANA-MUBENDE'!L34,'21.10 MITYANA-MUBENDE'!L34,'22.10 MITYANA-MUBENDE'!L34,'23.10 MITYANA-MUBENDE'!L34)</f>
        <v>0.8571428571428571</v>
      </c>
      <c r="M34" s="49">
        <f>AVERAGE('17.10  MITYANA-MUBENDE '!M34,'18.10  MITYANA-MUBENDE-24h'!M34,'19.10 MITYANA-MUBENDE-24h'!M34,'20.10 MITYANA-MUBENDE'!M34,'21.10 MITYANA-MUBENDE'!M34,'22.10 MITYANA-MUBENDE'!M34,'23.10 MITYANA-MUBENDE'!M34)</f>
        <v>40.714285714285715</v>
      </c>
      <c r="N34" s="49">
        <f>AVERAGE('17.10  MITYANA-MUBENDE '!N34,'18.10  MITYANA-MUBENDE-24h'!N34,'19.10 MITYANA-MUBENDE-24h'!N34,'20.10 MITYANA-MUBENDE'!N34,'21.10 MITYANA-MUBENDE'!N34,'22.10 MITYANA-MUBENDE'!N34,'23.10 MITYANA-MUBENDE'!N34)</f>
        <v>0</v>
      </c>
      <c r="O34" s="15">
        <f t="shared" si="0"/>
        <v>38.714285714285715</v>
      </c>
      <c r="P34" s="15">
        <f t="shared" si="1"/>
        <v>79.428571428571431</v>
      </c>
      <c r="R34" s="53" t="s">
        <v>90</v>
      </c>
      <c r="S34" s="54">
        <f t="shared" ref="S34:AF34" si="26">MAX(S10:S12)</f>
        <v>34.285714285714285</v>
      </c>
      <c r="T34" s="54">
        <f t="shared" si="26"/>
        <v>16.285714285714285</v>
      </c>
      <c r="U34" s="54">
        <f t="shared" si="26"/>
        <v>9.5714285714285712</v>
      </c>
      <c r="V34" s="54">
        <f t="shared" si="26"/>
        <v>25.142857142857142</v>
      </c>
      <c r="W34" s="54">
        <f t="shared" si="26"/>
        <v>0.8571428571428571</v>
      </c>
      <c r="X34" s="54">
        <f t="shared" si="26"/>
        <v>0.85714285714285698</v>
      </c>
      <c r="Y34" s="54">
        <f t="shared" si="26"/>
        <v>11.142857142857142</v>
      </c>
      <c r="Z34" s="54">
        <f t="shared" si="26"/>
        <v>6.8571428571428577</v>
      </c>
      <c r="AA34" s="54">
        <f t="shared" si="26"/>
        <v>3.9999999999999996</v>
      </c>
      <c r="AB34" s="54">
        <f t="shared" si="26"/>
        <v>4</v>
      </c>
      <c r="AC34" s="54">
        <f t="shared" si="26"/>
        <v>157.57142857142856</v>
      </c>
      <c r="AD34" s="54">
        <f t="shared" si="26"/>
        <v>0.14285714285714285</v>
      </c>
      <c r="AE34" s="40">
        <f t="shared" si="26"/>
        <v>110.28571428571428</v>
      </c>
      <c r="AF34" s="40">
        <f t="shared" si="26"/>
        <v>267.85714285714289</v>
      </c>
    </row>
    <row r="35" spans="2:32" ht="23.1" customHeight="1" x14ac:dyDescent="0.25">
      <c r="B35" s="24" t="s">
        <v>62</v>
      </c>
      <c r="C35" s="49">
        <f>AVERAGE('17.10  MITYANA-MUBENDE '!C35,'18.10  MITYANA-MUBENDE-24h'!C35,'19.10 MITYANA-MUBENDE-24h'!C35,'20.10 MITYANA-MUBENDE'!C35,'21.10 MITYANA-MUBENDE'!C35,'22.10 MITYANA-MUBENDE'!C35,'23.10 MITYANA-MUBENDE'!C35)</f>
        <v>10</v>
      </c>
      <c r="D35" s="49">
        <f>AVERAGE('17.10  MITYANA-MUBENDE '!D35,'18.10  MITYANA-MUBENDE-24h'!D35,'19.10 MITYANA-MUBENDE-24h'!D35,'20.10 MITYANA-MUBENDE'!D35,'21.10 MITYANA-MUBENDE'!D35,'22.10 MITYANA-MUBENDE'!D35,'23.10 MITYANA-MUBENDE'!D35)</f>
        <v>2.5714285714285716</v>
      </c>
      <c r="E35" s="49">
        <f>AVERAGE('17.10  MITYANA-MUBENDE '!E35,'18.10  MITYANA-MUBENDE-24h'!E35,'19.10 MITYANA-MUBENDE-24h'!E35,'20.10 MITYANA-MUBENDE'!E35,'21.10 MITYANA-MUBENDE'!E35,'22.10 MITYANA-MUBENDE'!E35,'23.10 MITYANA-MUBENDE'!E35)</f>
        <v>1.7142857142857142</v>
      </c>
      <c r="F35" s="49">
        <f>AVERAGE('17.10  MITYANA-MUBENDE '!F35,'18.10  MITYANA-MUBENDE-24h'!F35,'19.10 MITYANA-MUBENDE-24h'!F35,'20.10 MITYANA-MUBENDE'!F35,'21.10 MITYANA-MUBENDE'!F35,'22.10 MITYANA-MUBENDE'!F35,'23.10 MITYANA-MUBENDE'!F35)</f>
        <v>7.1428571428571432</v>
      </c>
      <c r="G35" s="49">
        <f>AVERAGE('17.10  MITYANA-MUBENDE '!G35,'18.10  MITYANA-MUBENDE-24h'!G35,'19.10 MITYANA-MUBENDE-24h'!G35,'20.10 MITYANA-MUBENDE'!G35,'21.10 MITYANA-MUBENDE'!G35,'22.10 MITYANA-MUBENDE'!G35,'23.10 MITYANA-MUBENDE'!G35)</f>
        <v>0.14285714285714285</v>
      </c>
      <c r="H35" s="49">
        <f>AVERAGE('17.10  MITYANA-MUBENDE '!H35,'18.10  MITYANA-MUBENDE-24h'!H35,'19.10 MITYANA-MUBENDE-24h'!H35,'20.10 MITYANA-MUBENDE'!H35,'21.10 MITYANA-MUBENDE'!H35,'22.10 MITYANA-MUBENDE'!H35,'23.10 MITYANA-MUBENDE'!H35)</f>
        <v>0.2857142857142857</v>
      </c>
      <c r="I35" s="49">
        <f>AVERAGE('17.10  MITYANA-MUBENDE '!I35,'18.10  MITYANA-MUBENDE-24h'!I35,'19.10 MITYANA-MUBENDE-24h'!I35,'20.10 MITYANA-MUBENDE'!I35,'21.10 MITYANA-MUBENDE'!I35,'22.10 MITYANA-MUBENDE'!I35,'23.10 MITYANA-MUBENDE'!I35)</f>
        <v>2.5714285714285716</v>
      </c>
      <c r="J35" s="49">
        <f>AVERAGE('17.10  MITYANA-MUBENDE '!J35,'18.10  MITYANA-MUBENDE-24h'!J35,'19.10 MITYANA-MUBENDE-24h'!J35,'20.10 MITYANA-MUBENDE'!J35,'21.10 MITYANA-MUBENDE'!J35,'22.10 MITYANA-MUBENDE'!J35,'23.10 MITYANA-MUBENDE'!J35)</f>
        <v>2.1428571428571428</v>
      </c>
      <c r="K35" s="49">
        <f>AVERAGE('17.10  MITYANA-MUBENDE '!K35,'18.10  MITYANA-MUBENDE-24h'!K35,'19.10 MITYANA-MUBENDE-24h'!K35,'20.10 MITYANA-MUBENDE'!K35,'21.10 MITYANA-MUBENDE'!K35,'22.10 MITYANA-MUBENDE'!K35,'23.10 MITYANA-MUBENDE'!K35)</f>
        <v>0.5714285714285714</v>
      </c>
      <c r="L35" s="49">
        <f>AVERAGE('17.10  MITYANA-MUBENDE '!L35,'18.10  MITYANA-MUBENDE-24h'!L35,'19.10 MITYANA-MUBENDE-24h'!L35,'20.10 MITYANA-MUBENDE'!L35,'21.10 MITYANA-MUBENDE'!L35,'22.10 MITYANA-MUBENDE'!L35,'23.10 MITYANA-MUBENDE'!L35)</f>
        <v>0.8571428571428571</v>
      </c>
      <c r="M35" s="49">
        <f>AVERAGE('17.10  MITYANA-MUBENDE '!M35,'18.10  MITYANA-MUBENDE-24h'!M35,'19.10 MITYANA-MUBENDE-24h'!M35,'20.10 MITYANA-MUBENDE'!M35,'21.10 MITYANA-MUBENDE'!M35,'22.10 MITYANA-MUBENDE'!M35,'23.10 MITYANA-MUBENDE'!M35)</f>
        <v>36.714285714285715</v>
      </c>
      <c r="N35" s="49">
        <f>AVERAGE('17.10  MITYANA-MUBENDE '!N35,'18.10  MITYANA-MUBENDE-24h'!N35,'19.10 MITYANA-MUBENDE-24h'!N35,'20.10 MITYANA-MUBENDE'!N35,'21.10 MITYANA-MUBENDE'!N35,'22.10 MITYANA-MUBENDE'!N35,'23.10 MITYANA-MUBENDE'!N35)</f>
        <v>0</v>
      </c>
      <c r="O35" s="15">
        <f t="shared" si="0"/>
        <v>28</v>
      </c>
      <c r="P35" s="15">
        <f t="shared" si="1"/>
        <v>64.714285714285722</v>
      </c>
      <c r="R35" s="53" t="s">
        <v>91</v>
      </c>
      <c r="S35" s="54">
        <f t="shared" ref="S35:AF35" si="27">MAX(S13:S18)</f>
        <v>40.142857142857139</v>
      </c>
      <c r="T35" s="54">
        <f t="shared" si="27"/>
        <v>14.142857142857142</v>
      </c>
      <c r="U35" s="54">
        <f t="shared" si="27"/>
        <v>11.571428571428571</v>
      </c>
      <c r="V35" s="54">
        <f t="shared" si="27"/>
        <v>33.857142857142861</v>
      </c>
      <c r="W35" s="54">
        <f t="shared" si="27"/>
        <v>1.1428571428571428</v>
      </c>
      <c r="X35" s="54">
        <f t="shared" si="27"/>
        <v>2.7142857142857144</v>
      </c>
      <c r="Y35" s="54">
        <f t="shared" si="27"/>
        <v>16.571428571428569</v>
      </c>
      <c r="Z35" s="54">
        <f t="shared" si="27"/>
        <v>9.1428571428571423</v>
      </c>
      <c r="AA35" s="54">
        <f t="shared" si="27"/>
        <v>3.5714285714285712</v>
      </c>
      <c r="AB35" s="54">
        <f t="shared" si="27"/>
        <v>5.1428571428571423</v>
      </c>
      <c r="AC35" s="54">
        <f t="shared" si="27"/>
        <v>162.57142857142858</v>
      </c>
      <c r="AD35" s="54">
        <f t="shared" si="27"/>
        <v>0.2857142857142857</v>
      </c>
      <c r="AE35" s="40">
        <f t="shared" si="27"/>
        <v>128.85714285714286</v>
      </c>
      <c r="AF35" s="40">
        <f t="shared" si="27"/>
        <v>289</v>
      </c>
    </row>
    <row r="36" spans="2:32" ht="23.1" customHeight="1" x14ac:dyDescent="0.25">
      <c r="B36" s="24" t="s">
        <v>63</v>
      </c>
      <c r="C36" s="49">
        <f>AVERAGE('17.10  MITYANA-MUBENDE '!C36,'18.10  MITYANA-MUBENDE-24h'!C36,'19.10 MITYANA-MUBENDE-24h'!C36,'20.10 MITYANA-MUBENDE'!C36,'21.10 MITYANA-MUBENDE'!C36,'22.10 MITYANA-MUBENDE'!C36,'23.10 MITYANA-MUBENDE'!C36)</f>
        <v>10</v>
      </c>
      <c r="D36" s="49">
        <f>AVERAGE('17.10  MITYANA-MUBENDE '!D36,'18.10  MITYANA-MUBENDE-24h'!D36,'19.10 MITYANA-MUBENDE-24h'!D36,'20.10 MITYANA-MUBENDE'!D36,'21.10 MITYANA-MUBENDE'!D36,'22.10 MITYANA-MUBENDE'!D36,'23.10 MITYANA-MUBENDE'!D36)</f>
        <v>3.5714285714285716</v>
      </c>
      <c r="E36" s="49">
        <f>AVERAGE('17.10  MITYANA-MUBENDE '!E36,'18.10  MITYANA-MUBENDE-24h'!E36,'19.10 MITYANA-MUBENDE-24h'!E36,'20.10 MITYANA-MUBENDE'!E36,'21.10 MITYANA-MUBENDE'!E36,'22.10 MITYANA-MUBENDE'!E36,'23.10 MITYANA-MUBENDE'!E36)</f>
        <v>2.1428571428571428</v>
      </c>
      <c r="F36" s="49">
        <f>AVERAGE('17.10  MITYANA-MUBENDE '!F36,'18.10  MITYANA-MUBENDE-24h'!F36,'19.10 MITYANA-MUBENDE-24h'!F36,'20.10 MITYANA-MUBENDE'!F36,'21.10 MITYANA-MUBENDE'!F36,'22.10 MITYANA-MUBENDE'!F36,'23.10 MITYANA-MUBENDE'!F36)</f>
        <v>8</v>
      </c>
      <c r="G36" s="49">
        <f>AVERAGE('17.10  MITYANA-MUBENDE '!G36,'18.10  MITYANA-MUBENDE-24h'!G36,'19.10 MITYANA-MUBENDE-24h'!G36,'20.10 MITYANA-MUBENDE'!G36,'21.10 MITYANA-MUBENDE'!G36,'22.10 MITYANA-MUBENDE'!G36,'23.10 MITYANA-MUBENDE'!G36)</f>
        <v>0.42857142857142855</v>
      </c>
      <c r="H36" s="49">
        <f>AVERAGE('17.10  MITYANA-MUBENDE '!H36,'18.10  MITYANA-MUBENDE-24h'!H36,'19.10 MITYANA-MUBENDE-24h'!H36,'20.10 MITYANA-MUBENDE'!H36,'21.10 MITYANA-MUBENDE'!H36,'22.10 MITYANA-MUBENDE'!H36,'23.10 MITYANA-MUBENDE'!H36)</f>
        <v>0.7142857142857143</v>
      </c>
      <c r="I36" s="49">
        <f>AVERAGE('17.10  MITYANA-MUBENDE '!I36,'18.10  MITYANA-MUBENDE-24h'!I36,'19.10 MITYANA-MUBENDE-24h'!I36,'20.10 MITYANA-MUBENDE'!I36,'21.10 MITYANA-MUBENDE'!I36,'22.10 MITYANA-MUBENDE'!I36,'23.10 MITYANA-MUBENDE'!I36)</f>
        <v>4.1428571428571432</v>
      </c>
      <c r="J36" s="49">
        <f>AVERAGE('17.10  MITYANA-MUBENDE '!J36,'18.10  MITYANA-MUBENDE-24h'!J36,'19.10 MITYANA-MUBENDE-24h'!J36,'20.10 MITYANA-MUBENDE'!J36,'21.10 MITYANA-MUBENDE'!J36,'22.10 MITYANA-MUBENDE'!J36,'23.10 MITYANA-MUBENDE'!J36)</f>
        <v>1.7142857142857142</v>
      </c>
      <c r="K36" s="49">
        <f>AVERAGE('17.10  MITYANA-MUBENDE '!K36,'18.10  MITYANA-MUBENDE-24h'!K36,'19.10 MITYANA-MUBENDE-24h'!K36,'20.10 MITYANA-MUBENDE'!K36,'21.10 MITYANA-MUBENDE'!K36,'22.10 MITYANA-MUBENDE'!K36,'23.10 MITYANA-MUBENDE'!K36)</f>
        <v>1.1428571428571428</v>
      </c>
      <c r="L36" s="49">
        <f>AVERAGE('17.10  MITYANA-MUBENDE '!L36,'18.10  MITYANA-MUBENDE-24h'!L36,'19.10 MITYANA-MUBENDE-24h'!L36,'20.10 MITYANA-MUBENDE'!L36,'21.10 MITYANA-MUBENDE'!L36,'22.10 MITYANA-MUBENDE'!L36,'23.10 MITYANA-MUBENDE'!L36)</f>
        <v>1.5714285714285714</v>
      </c>
      <c r="M36" s="49">
        <f>AVERAGE('17.10  MITYANA-MUBENDE '!M36,'18.10  MITYANA-MUBENDE-24h'!M36,'19.10 MITYANA-MUBENDE-24h'!M36,'20.10 MITYANA-MUBENDE'!M36,'21.10 MITYANA-MUBENDE'!M36,'22.10 MITYANA-MUBENDE'!M36,'23.10 MITYANA-MUBENDE'!M36)</f>
        <v>40.857142857142854</v>
      </c>
      <c r="N36" s="49">
        <f>AVERAGE('17.10  MITYANA-MUBENDE '!N36,'18.10  MITYANA-MUBENDE-24h'!N36,'19.10 MITYANA-MUBENDE-24h'!N36,'20.10 MITYANA-MUBENDE'!N36,'21.10 MITYANA-MUBENDE'!N36,'22.10 MITYANA-MUBENDE'!N36,'23.10 MITYANA-MUBENDE'!N36)</f>
        <v>0</v>
      </c>
      <c r="O36" s="15">
        <f t="shared" si="0"/>
        <v>33.428571428571431</v>
      </c>
      <c r="P36" s="15">
        <f t="shared" si="1"/>
        <v>74.285714285714278</v>
      </c>
      <c r="R36" s="53" t="s">
        <v>92</v>
      </c>
      <c r="S36" s="54">
        <f t="shared" ref="S36:AF36" si="28">MAX(S19:S21)</f>
        <v>39.285714285714292</v>
      </c>
      <c r="T36" s="54">
        <f t="shared" si="28"/>
        <v>13.714285714285714</v>
      </c>
      <c r="U36" s="54">
        <f t="shared" si="28"/>
        <v>8</v>
      </c>
      <c r="V36" s="54">
        <f t="shared" si="28"/>
        <v>34.714285714285715</v>
      </c>
      <c r="W36" s="54">
        <f t="shared" si="28"/>
        <v>0.85714285714285721</v>
      </c>
      <c r="X36" s="54">
        <f t="shared" si="28"/>
        <v>2.7142857142857144</v>
      </c>
      <c r="Y36" s="54">
        <f t="shared" si="28"/>
        <v>17.857142857142858</v>
      </c>
      <c r="Z36" s="54">
        <f t="shared" si="28"/>
        <v>13.285714285714285</v>
      </c>
      <c r="AA36" s="54">
        <f t="shared" si="28"/>
        <v>3.1428571428571428</v>
      </c>
      <c r="AB36" s="54">
        <f t="shared" si="28"/>
        <v>6.1428571428571423</v>
      </c>
      <c r="AC36" s="54">
        <f t="shared" si="28"/>
        <v>204.28571428571428</v>
      </c>
      <c r="AD36" s="54">
        <f t="shared" si="28"/>
        <v>0</v>
      </c>
      <c r="AE36" s="40">
        <f t="shared" si="28"/>
        <v>136.57142857142858</v>
      </c>
      <c r="AF36" s="40">
        <f t="shared" si="28"/>
        <v>327.42857142857144</v>
      </c>
    </row>
    <row r="37" spans="2:32" ht="23.1" customHeight="1" x14ac:dyDescent="0.25">
      <c r="B37" s="23" t="s">
        <v>64</v>
      </c>
      <c r="C37" s="49">
        <f>AVERAGE('17.10  MITYANA-MUBENDE '!C37,'18.10  MITYANA-MUBENDE-24h'!C37,'19.10 MITYANA-MUBENDE-24h'!C37,'20.10 MITYANA-MUBENDE'!C37,'21.10 MITYANA-MUBENDE'!C37,'22.10 MITYANA-MUBENDE'!C37,'23.10 MITYANA-MUBENDE'!C37)</f>
        <v>9.5714285714285712</v>
      </c>
      <c r="D37" s="49">
        <f>AVERAGE('17.10  MITYANA-MUBENDE '!D37,'18.10  MITYANA-MUBENDE-24h'!D37,'19.10 MITYANA-MUBENDE-24h'!D37,'20.10 MITYANA-MUBENDE'!D37,'21.10 MITYANA-MUBENDE'!D37,'22.10 MITYANA-MUBENDE'!D37,'23.10 MITYANA-MUBENDE'!D37)</f>
        <v>3</v>
      </c>
      <c r="E37" s="49">
        <f>AVERAGE('17.10  MITYANA-MUBENDE '!E37,'18.10  MITYANA-MUBENDE-24h'!E37,'19.10 MITYANA-MUBENDE-24h'!E37,'20.10 MITYANA-MUBENDE'!E37,'21.10 MITYANA-MUBENDE'!E37,'22.10 MITYANA-MUBENDE'!E37,'23.10 MITYANA-MUBENDE'!E37)</f>
        <v>2.7142857142857144</v>
      </c>
      <c r="F37" s="49">
        <f>AVERAGE('17.10  MITYANA-MUBENDE '!F37,'18.10  MITYANA-MUBENDE-24h'!F37,'19.10 MITYANA-MUBENDE-24h'!F37,'20.10 MITYANA-MUBENDE'!F37,'21.10 MITYANA-MUBENDE'!F37,'22.10 MITYANA-MUBENDE'!F37,'23.10 MITYANA-MUBENDE'!F37)</f>
        <v>6.1428571428571432</v>
      </c>
      <c r="G37" s="49">
        <f>AVERAGE('17.10  MITYANA-MUBENDE '!G37,'18.10  MITYANA-MUBENDE-24h'!G37,'19.10 MITYANA-MUBENDE-24h'!G37,'20.10 MITYANA-MUBENDE'!G37,'21.10 MITYANA-MUBENDE'!G37,'22.10 MITYANA-MUBENDE'!G37,'23.10 MITYANA-MUBENDE'!G37)</f>
        <v>0.2857142857142857</v>
      </c>
      <c r="H37" s="49">
        <f>AVERAGE('17.10  MITYANA-MUBENDE '!H37,'18.10  MITYANA-MUBENDE-24h'!H37,'19.10 MITYANA-MUBENDE-24h'!H37,'20.10 MITYANA-MUBENDE'!H37,'21.10 MITYANA-MUBENDE'!H37,'22.10 MITYANA-MUBENDE'!H37,'23.10 MITYANA-MUBENDE'!H37)</f>
        <v>0.5714285714285714</v>
      </c>
      <c r="I37" s="49">
        <f>AVERAGE('17.10  MITYANA-MUBENDE '!I37,'18.10  MITYANA-MUBENDE-24h'!I37,'19.10 MITYANA-MUBENDE-24h'!I37,'20.10 MITYANA-MUBENDE'!I37,'21.10 MITYANA-MUBENDE'!I37,'22.10 MITYANA-MUBENDE'!I37,'23.10 MITYANA-MUBENDE'!I37)</f>
        <v>2.7142857142857144</v>
      </c>
      <c r="J37" s="49">
        <f>AVERAGE('17.10  MITYANA-MUBENDE '!J37,'18.10  MITYANA-MUBENDE-24h'!J37,'19.10 MITYANA-MUBENDE-24h'!J37,'20.10 MITYANA-MUBENDE'!J37,'21.10 MITYANA-MUBENDE'!J37,'22.10 MITYANA-MUBENDE'!J37,'23.10 MITYANA-MUBENDE'!J37)</f>
        <v>1.4285714285714286</v>
      </c>
      <c r="K37" s="49">
        <f>AVERAGE('17.10  MITYANA-MUBENDE '!K37,'18.10  MITYANA-MUBENDE-24h'!K37,'19.10 MITYANA-MUBENDE-24h'!K37,'20.10 MITYANA-MUBENDE'!K37,'21.10 MITYANA-MUBENDE'!K37,'22.10 MITYANA-MUBENDE'!K37,'23.10 MITYANA-MUBENDE'!K37)</f>
        <v>0.42857142857142855</v>
      </c>
      <c r="L37" s="49">
        <f>AVERAGE('17.10  MITYANA-MUBENDE '!L37,'18.10  MITYANA-MUBENDE-24h'!L37,'19.10 MITYANA-MUBENDE-24h'!L37,'20.10 MITYANA-MUBENDE'!L37,'21.10 MITYANA-MUBENDE'!L37,'22.10 MITYANA-MUBENDE'!L37,'23.10 MITYANA-MUBENDE'!L37)</f>
        <v>0.5714285714285714</v>
      </c>
      <c r="M37" s="49">
        <f>AVERAGE('17.10  MITYANA-MUBENDE '!M37,'18.10  MITYANA-MUBENDE-24h'!M37,'19.10 MITYANA-MUBENDE-24h'!M37,'20.10 MITYANA-MUBENDE'!M37,'21.10 MITYANA-MUBENDE'!M37,'22.10 MITYANA-MUBENDE'!M37,'23.10 MITYANA-MUBENDE'!M37)</f>
        <v>43.142857142857146</v>
      </c>
      <c r="N37" s="49">
        <f>AVERAGE('17.10  MITYANA-MUBENDE '!N37,'18.10  MITYANA-MUBENDE-24h'!N37,'19.10 MITYANA-MUBENDE-24h'!N37,'20.10 MITYANA-MUBENDE'!N37,'21.10 MITYANA-MUBENDE'!N37,'22.10 MITYANA-MUBENDE'!N37,'23.10 MITYANA-MUBENDE'!N37)</f>
        <v>0</v>
      </c>
      <c r="O37" s="15">
        <f t="shared" si="0"/>
        <v>27.428571428571427</v>
      </c>
      <c r="P37" s="15">
        <f t="shared" si="1"/>
        <v>70.571428571428569</v>
      </c>
      <c r="R37" s="37" t="s">
        <v>85</v>
      </c>
      <c r="S37" s="55">
        <f t="shared" ref="S37:AF37" si="29">SUM(S10:S12)</f>
        <v>86.142857142857139</v>
      </c>
      <c r="T37" s="56">
        <f t="shared" si="29"/>
        <v>41.857142857142854</v>
      </c>
      <c r="U37" s="56">
        <f t="shared" si="29"/>
        <v>26.571428571428569</v>
      </c>
      <c r="V37" s="56">
        <f t="shared" si="29"/>
        <v>60.142857142857139</v>
      </c>
      <c r="W37" s="56">
        <f t="shared" si="29"/>
        <v>1.857142857142857</v>
      </c>
      <c r="X37" s="56">
        <f t="shared" si="29"/>
        <v>2.1428571428571423</v>
      </c>
      <c r="Y37" s="56">
        <f t="shared" si="29"/>
        <v>29.142857142857142</v>
      </c>
      <c r="Z37" s="56">
        <f t="shared" si="29"/>
        <v>19.142857142857142</v>
      </c>
      <c r="AA37" s="56">
        <f t="shared" si="29"/>
        <v>8.5714285714285712</v>
      </c>
      <c r="AB37" s="56">
        <f t="shared" si="29"/>
        <v>10.571428571428571</v>
      </c>
      <c r="AC37" s="56">
        <f t="shared" si="29"/>
        <v>455.71428571428567</v>
      </c>
      <c r="AD37" s="56">
        <f t="shared" si="29"/>
        <v>0.14285714285714285</v>
      </c>
      <c r="AE37" s="57">
        <f t="shared" si="29"/>
        <v>286.28571428571428</v>
      </c>
      <c r="AF37" s="57">
        <f t="shared" si="29"/>
        <v>742</v>
      </c>
    </row>
    <row r="38" spans="2:32" ht="23.1" customHeight="1" x14ac:dyDescent="0.25">
      <c r="B38" s="24" t="s">
        <v>65</v>
      </c>
      <c r="C38" s="49">
        <f>AVERAGE('17.10  MITYANA-MUBENDE '!C38,'18.10  MITYANA-MUBENDE-24h'!C38,'19.10 MITYANA-MUBENDE-24h'!C38,'20.10 MITYANA-MUBENDE'!C38,'21.10 MITYANA-MUBENDE'!C38,'22.10 MITYANA-MUBENDE'!C38,'23.10 MITYANA-MUBENDE'!C38)</f>
        <v>9.4285714285714288</v>
      </c>
      <c r="D38" s="49">
        <f>AVERAGE('17.10  MITYANA-MUBENDE '!D38,'18.10  MITYANA-MUBENDE-24h'!D38,'19.10 MITYANA-MUBENDE-24h'!D38,'20.10 MITYANA-MUBENDE'!D38,'21.10 MITYANA-MUBENDE'!D38,'22.10 MITYANA-MUBENDE'!D38,'23.10 MITYANA-MUBENDE'!D38)</f>
        <v>2.4285714285714284</v>
      </c>
      <c r="E38" s="49">
        <f>AVERAGE('17.10  MITYANA-MUBENDE '!E38,'18.10  MITYANA-MUBENDE-24h'!E38,'19.10 MITYANA-MUBENDE-24h'!E38,'20.10 MITYANA-MUBENDE'!E38,'21.10 MITYANA-MUBENDE'!E38,'22.10 MITYANA-MUBENDE'!E38,'23.10 MITYANA-MUBENDE'!E38)</f>
        <v>2.2857142857142856</v>
      </c>
      <c r="F38" s="49">
        <f>AVERAGE('17.10  MITYANA-MUBENDE '!F38,'18.10  MITYANA-MUBENDE-24h'!F38,'19.10 MITYANA-MUBENDE-24h'!F38,'20.10 MITYANA-MUBENDE'!F38,'21.10 MITYANA-MUBENDE'!F38,'22.10 MITYANA-MUBENDE'!F38,'23.10 MITYANA-MUBENDE'!F38)</f>
        <v>9.2857142857142865</v>
      </c>
      <c r="G38" s="49">
        <f>AVERAGE('17.10  MITYANA-MUBENDE '!G38,'18.10  MITYANA-MUBENDE-24h'!G38,'19.10 MITYANA-MUBENDE-24h'!G38,'20.10 MITYANA-MUBENDE'!G38,'21.10 MITYANA-MUBENDE'!G38,'22.10 MITYANA-MUBENDE'!G38,'23.10 MITYANA-MUBENDE'!G38)</f>
        <v>0.14285714285714285</v>
      </c>
      <c r="H38" s="49">
        <f>AVERAGE('17.10  MITYANA-MUBENDE '!H38,'18.10  MITYANA-MUBENDE-24h'!H38,'19.10 MITYANA-MUBENDE-24h'!H38,'20.10 MITYANA-MUBENDE'!H38,'21.10 MITYANA-MUBENDE'!H38,'22.10 MITYANA-MUBENDE'!H38,'23.10 MITYANA-MUBENDE'!H38)</f>
        <v>0.42857142857142855</v>
      </c>
      <c r="I38" s="49">
        <f>AVERAGE('17.10  MITYANA-MUBENDE '!I38,'18.10  MITYANA-MUBENDE-24h'!I38,'19.10 MITYANA-MUBENDE-24h'!I38,'20.10 MITYANA-MUBENDE'!I38,'21.10 MITYANA-MUBENDE'!I38,'22.10 MITYANA-MUBENDE'!I38,'23.10 MITYANA-MUBENDE'!I38)</f>
        <v>4</v>
      </c>
      <c r="J38" s="49">
        <f>AVERAGE('17.10  MITYANA-MUBENDE '!J38,'18.10  MITYANA-MUBENDE-24h'!J38,'19.10 MITYANA-MUBENDE-24h'!J38,'20.10 MITYANA-MUBENDE'!J38,'21.10 MITYANA-MUBENDE'!J38,'22.10 MITYANA-MUBENDE'!J38,'23.10 MITYANA-MUBENDE'!J38)</f>
        <v>3</v>
      </c>
      <c r="K38" s="49">
        <f>AVERAGE('17.10  MITYANA-MUBENDE '!K38,'18.10  MITYANA-MUBENDE-24h'!K38,'19.10 MITYANA-MUBENDE-24h'!K38,'20.10 MITYANA-MUBENDE'!K38,'21.10 MITYANA-MUBENDE'!K38,'22.10 MITYANA-MUBENDE'!K38,'23.10 MITYANA-MUBENDE'!K38)</f>
        <v>0.2857142857142857</v>
      </c>
      <c r="L38" s="49">
        <f>AVERAGE('17.10  MITYANA-MUBENDE '!L38,'18.10  MITYANA-MUBENDE-24h'!L38,'19.10 MITYANA-MUBENDE-24h'!L38,'20.10 MITYANA-MUBENDE'!L38,'21.10 MITYANA-MUBENDE'!L38,'22.10 MITYANA-MUBENDE'!L38,'23.10 MITYANA-MUBENDE'!L38)</f>
        <v>0.8571428571428571</v>
      </c>
      <c r="M38" s="49">
        <f>AVERAGE('17.10  MITYANA-MUBENDE '!M38,'18.10  MITYANA-MUBENDE-24h'!M38,'19.10 MITYANA-MUBENDE-24h'!M38,'20.10 MITYANA-MUBENDE'!M38,'21.10 MITYANA-MUBENDE'!M38,'22.10 MITYANA-MUBENDE'!M38,'23.10 MITYANA-MUBENDE'!M38)</f>
        <v>37.857142857142854</v>
      </c>
      <c r="N38" s="49">
        <f>AVERAGE('17.10  MITYANA-MUBENDE '!N38,'18.10  MITYANA-MUBENDE-24h'!N38,'19.10 MITYANA-MUBENDE-24h'!N38,'20.10 MITYANA-MUBENDE'!N38,'21.10 MITYANA-MUBENDE'!N38,'22.10 MITYANA-MUBENDE'!N38,'23.10 MITYANA-MUBENDE'!N38)</f>
        <v>0</v>
      </c>
      <c r="O38" s="15">
        <f t="shared" si="0"/>
        <v>32.142857142857139</v>
      </c>
      <c r="P38" s="15">
        <f t="shared" si="1"/>
        <v>70</v>
      </c>
      <c r="R38" s="28" t="s">
        <v>86</v>
      </c>
      <c r="S38" s="56">
        <f t="shared" ref="S38:AF38" si="30">SUM(S13:S18)</f>
        <v>218</v>
      </c>
      <c r="T38" s="56">
        <f t="shared" si="30"/>
        <v>77.428571428571416</v>
      </c>
      <c r="U38" s="56">
        <f t="shared" si="30"/>
        <v>54.285714285714292</v>
      </c>
      <c r="V38" s="56">
        <f t="shared" si="30"/>
        <v>190.28571428571428</v>
      </c>
      <c r="W38" s="56">
        <f t="shared" si="30"/>
        <v>3.9999999999999991</v>
      </c>
      <c r="X38" s="56">
        <f t="shared" si="30"/>
        <v>14</v>
      </c>
      <c r="Y38" s="56">
        <f t="shared" si="30"/>
        <v>81.714285714285708</v>
      </c>
      <c r="Z38" s="56">
        <f t="shared" si="30"/>
        <v>50.857142857142847</v>
      </c>
      <c r="AA38" s="56">
        <f t="shared" si="30"/>
        <v>17.428571428571427</v>
      </c>
      <c r="AB38" s="56">
        <f t="shared" si="30"/>
        <v>23.142857142857142</v>
      </c>
      <c r="AC38" s="56">
        <f t="shared" si="30"/>
        <v>929.42857142857144</v>
      </c>
      <c r="AD38" s="56">
        <f t="shared" si="30"/>
        <v>0.42857142857142855</v>
      </c>
      <c r="AE38" s="57">
        <f t="shared" si="30"/>
        <v>731.57142857142867</v>
      </c>
      <c r="AF38" s="57">
        <f t="shared" si="30"/>
        <v>1661</v>
      </c>
    </row>
    <row r="39" spans="2:32" ht="23.1" customHeight="1" x14ac:dyDescent="0.25">
      <c r="B39" s="24" t="s">
        <v>66</v>
      </c>
      <c r="C39" s="49">
        <f>AVERAGE('17.10  MITYANA-MUBENDE '!C39,'18.10  MITYANA-MUBENDE-24h'!C39,'19.10 MITYANA-MUBENDE-24h'!C39,'20.10 MITYANA-MUBENDE'!C39,'21.10 MITYANA-MUBENDE'!C39,'22.10 MITYANA-MUBENDE'!C39,'23.10 MITYANA-MUBENDE'!C39)</f>
        <v>9.1428571428571423</v>
      </c>
      <c r="D39" s="49">
        <f>AVERAGE('17.10  MITYANA-MUBENDE '!D39,'18.10  MITYANA-MUBENDE-24h'!D39,'19.10 MITYANA-MUBENDE-24h'!D39,'20.10 MITYANA-MUBENDE'!D39,'21.10 MITYANA-MUBENDE'!D39,'22.10 MITYANA-MUBENDE'!D39,'23.10 MITYANA-MUBENDE'!D39)</f>
        <v>4.7142857142857144</v>
      </c>
      <c r="E39" s="49">
        <f>AVERAGE('17.10  MITYANA-MUBENDE '!E39,'18.10  MITYANA-MUBENDE-24h'!E39,'19.10 MITYANA-MUBENDE-24h'!E39,'20.10 MITYANA-MUBENDE'!E39,'21.10 MITYANA-MUBENDE'!E39,'22.10 MITYANA-MUBENDE'!E39,'23.10 MITYANA-MUBENDE'!E39)</f>
        <v>2.1428571428571428</v>
      </c>
      <c r="F39" s="49">
        <f>AVERAGE('17.10  MITYANA-MUBENDE '!F39,'18.10  MITYANA-MUBENDE-24h'!F39,'19.10 MITYANA-MUBENDE-24h'!F39,'20.10 MITYANA-MUBENDE'!F39,'21.10 MITYANA-MUBENDE'!F39,'22.10 MITYANA-MUBENDE'!F39,'23.10 MITYANA-MUBENDE'!F39)</f>
        <v>8.4285714285714288</v>
      </c>
      <c r="G39" s="49">
        <f>AVERAGE('17.10  MITYANA-MUBENDE '!G39,'18.10  MITYANA-MUBENDE-24h'!G39,'19.10 MITYANA-MUBENDE-24h'!G39,'20.10 MITYANA-MUBENDE'!G39,'21.10 MITYANA-MUBENDE'!G39,'22.10 MITYANA-MUBENDE'!G39,'23.10 MITYANA-MUBENDE'!G39)</f>
        <v>0.5714285714285714</v>
      </c>
      <c r="H39" s="49">
        <f>AVERAGE('17.10  MITYANA-MUBENDE '!H39,'18.10  MITYANA-MUBENDE-24h'!H39,'19.10 MITYANA-MUBENDE-24h'!H39,'20.10 MITYANA-MUBENDE'!H39,'21.10 MITYANA-MUBENDE'!H39,'22.10 MITYANA-MUBENDE'!H39,'23.10 MITYANA-MUBENDE'!H39)</f>
        <v>0.5714285714285714</v>
      </c>
      <c r="I39" s="49">
        <f>AVERAGE('17.10  MITYANA-MUBENDE '!I39,'18.10  MITYANA-MUBENDE-24h'!I39,'19.10 MITYANA-MUBENDE-24h'!I39,'20.10 MITYANA-MUBENDE'!I39,'21.10 MITYANA-MUBENDE'!I39,'22.10 MITYANA-MUBENDE'!I39,'23.10 MITYANA-MUBENDE'!I39)</f>
        <v>3.5714285714285716</v>
      </c>
      <c r="J39" s="49">
        <f>AVERAGE('17.10  MITYANA-MUBENDE '!J39,'18.10  MITYANA-MUBENDE-24h'!J39,'19.10 MITYANA-MUBENDE-24h'!J39,'20.10 MITYANA-MUBENDE'!J39,'21.10 MITYANA-MUBENDE'!J39,'22.10 MITYANA-MUBENDE'!J39,'23.10 MITYANA-MUBENDE'!J39)</f>
        <v>1.8571428571428572</v>
      </c>
      <c r="K39" s="49">
        <f>AVERAGE('17.10  MITYANA-MUBENDE '!K39,'18.10  MITYANA-MUBENDE-24h'!K39,'19.10 MITYANA-MUBENDE-24h'!K39,'20.10 MITYANA-MUBENDE'!K39,'21.10 MITYANA-MUBENDE'!K39,'22.10 MITYANA-MUBENDE'!K39,'23.10 MITYANA-MUBENDE'!K39)</f>
        <v>0.7142857142857143</v>
      </c>
      <c r="L39" s="49">
        <f>AVERAGE('17.10  MITYANA-MUBENDE '!L39,'18.10  MITYANA-MUBENDE-24h'!L39,'19.10 MITYANA-MUBENDE-24h'!L39,'20.10 MITYANA-MUBENDE'!L39,'21.10 MITYANA-MUBENDE'!L39,'22.10 MITYANA-MUBENDE'!L39,'23.10 MITYANA-MUBENDE'!L39)</f>
        <v>0.7142857142857143</v>
      </c>
      <c r="M39" s="49">
        <f>AVERAGE('17.10  MITYANA-MUBENDE '!M39,'18.10  MITYANA-MUBENDE-24h'!M39,'19.10 MITYANA-MUBENDE-24h'!M39,'20.10 MITYANA-MUBENDE'!M39,'21.10 MITYANA-MUBENDE'!M39,'22.10 MITYANA-MUBENDE'!M39,'23.10 MITYANA-MUBENDE'!M39)</f>
        <v>45.857142857142854</v>
      </c>
      <c r="N39" s="49">
        <f>AVERAGE('17.10  MITYANA-MUBENDE '!N39,'18.10  MITYANA-MUBENDE-24h'!N39,'19.10 MITYANA-MUBENDE-24h'!N39,'20.10 MITYANA-MUBENDE'!N39,'21.10 MITYANA-MUBENDE'!N39,'22.10 MITYANA-MUBENDE'!N39,'23.10 MITYANA-MUBENDE'!N39)</f>
        <v>0</v>
      </c>
      <c r="O39" s="15">
        <f t="shared" si="0"/>
        <v>32.428571428571438</v>
      </c>
      <c r="P39" s="15">
        <f t="shared" si="1"/>
        <v>78.285714285714292</v>
      </c>
      <c r="R39" s="29" t="s">
        <v>87</v>
      </c>
      <c r="S39" s="56">
        <f t="shared" ref="S39:AF39" si="31">SUM(S19:S21)</f>
        <v>111.57142857142857</v>
      </c>
      <c r="T39" s="56">
        <f t="shared" si="31"/>
        <v>38.571428571428569</v>
      </c>
      <c r="U39" s="56">
        <f t="shared" si="31"/>
        <v>22</v>
      </c>
      <c r="V39" s="56">
        <f t="shared" si="31"/>
        <v>94.714285714285708</v>
      </c>
      <c r="W39" s="56">
        <f t="shared" si="31"/>
        <v>2</v>
      </c>
      <c r="X39" s="56">
        <f t="shared" si="31"/>
        <v>6.5714285714285712</v>
      </c>
      <c r="Y39" s="56">
        <f t="shared" si="31"/>
        <v>47.428571428571431</v>
      </c>
      <c r="Z39" s="56">
        <f t="shared" si="31"/>
        <v>37.571428571428569</v>
      </c>
      <c r="AA39" s="56">
        <f t="shared" si="31"/>
        <v>8.8571428571428559</v>
      </c>
      <c r="AB39" s="56">
        <f t="shared" si="31"/>
        <v>15.571428571428569</v>
      </c>
      <c r="AC39" s="56">
        <f t="shared" si="31"/>
        <v>558.57142857142856</v>
      </c>
      <c r="AD39" s="56">
        <f t="shared" si="31"/>
        <v>0</v>
      </c>
      <c r="AE39" s="57">
        <f t="shared" si="31"/>
        <v>384.85714285714289</v>
      </c>
      <c r="AF39" s="57">
        <f t="shared" si="31"/>
        <v>943.42857142857144</v>
      </c>
    </row>
    <row r="40" spans="2:32" ht="23.1" customHeight="1" x14ac:dyDescent="0.25">
      <c r="B40" s="24" t="s">
        <v>67</v>
      </c>
      <c r="C40" s="49">
        <f>AVERAGE('17.10  MITYANA-MUBENDE '!C40,'18.10  MITYANA-MUBENDE-24h'!C40,'19.10 MITYANA-MUBENDE-24h'!C40,'20.10 MITYANA-MUBENDE'!C40,'21.10 MITYANA-MUBENDE'!C40,'22.10 MITYANA-MUBENDE'!C40,'23.10 MITYANA-MUBENDE'!C40)</f>
        <v>7.1428571428571432</v>
      </c>
      <c r="D40" s="49">
        <f>AVERAGE('17.10  MITYANA-MUBENDE '!D40,'18.10  MITYANA-MUBENDE-24h'!D40,'19.10 MITYANA-MUBENDE-24h'!D40,'20.10 MITYANA-MUBENDE'!D40,'21.10 MITYANA-MUBENDE'!D40,'22.10 MITYANA-MUBENDE'!D40,'23.10 MITYANA-MUBENDE'!D40)</f>
        <v>2.4285714285714284</v>
      </c>
      <c r="E40" s="49">
        <f>AVERAGE('17.10  MITYANA-MUBENDE '!E40,'18.10  MITYANA-MUBENDE-24h'!E40,'19.10 MITYANA-MUBENDE-24h'!E40,'20.10 MITYANA-MUBENDE'!E40,'21.10 MITYANA-MUBENDE'!E40,'22.10 MITYANA-MUBENDE'!E40,'23.10 MITYANA-MUBENDE'!E40)</f>
        <v>2.2857142857142856</v>
      </c>
      <c r="F40" s="49">
        <f>AVERAGE('17.10  MITYANA-MUBENDE '!F40,'18.10  MITYANA-MUBENDE-24h'!F40,'19.10 MITYANA-MUBENDE-24h'!F40,'20.10 MITYANA-MUBENDE'!F40,'21.10 MITYANA-MUBENDE'!F40,'22.10 MITYANA-MUBENDE'!F40,'23.10 MITYANA-MUBENDE'!F40)</f>
        <v>8.1428571428571423</v>
      </c>
      <c r="G40" s="49">
        <f>AVERAGE('17.10  MITYANA-MUBENDE '!G40,'18.10  MITYANA-MUBENDE-24h'!G40,'19.10 MITYANA-MUBENDE-24h'!G40,'20.10 MITYANA-MUBENDE'!G40,'21.10 MITYANA-MUBENDE'!G40,'22.10 MITYANA-MUBENDE'!G40,'23.10 MITYANA-MUBENDE'!G40)</f>
        <v>0</v>
      </c>
      <c r="H40" s="49">
        <f>AVERAGE('17.10  MITYANA-MUBENDE '!H40,'18.10  MITYANA-MUBENDE-24h'!H40,'19.10 MITYANA-MUBENDE-24h'!H40,'20.10 MITYANA-MUBENDE'!H40,'21.10 MITYANA-MUBENDE'!H40,'22.10 MITYANA-MUBENDE'!H40,'23.10 MITYANA-MUBENDE'!H40)</f>
        <v>0.7142857142857143</v>
      </c>
      <c r="I40" s="49">
        <f>AVERAGE('17.10  MITYANA-MUBENDE '!I40,'18.10  MITYANA-MUBENDE-24h'!I40,'19.10 MITYANA-MUBENDE-24h'!I40,'20.10 MITYANA-MUBENDE'!I40,'21.10 MITYANA-MUBENDE'!I40,'22.10 MITYANA-MUBENDE'!I40,'23.10 MITYANA-MUBENDE'!I40)</f>
        <v>3.5714285714285716</v>
      </c>
      <c r="J40" s="49">
        <f>AVERAGE('17.10  MITYANA-MUBENDE '!J40,'18.10  MITYANA-MUBENDE-24h'!J40,'19.10 MITYANA-MUBENDE-24h'!J40,'20.10 MITYANA-MUBENDE'!J40,'21.10 MITYANA-MUBENDE'!J40,'22.10 MITYANA-MUBENDE'!J40,'23.10 MITYANA-MUBENDE'!J40)</f>
        <v>1.5714285714285714</v>
      </c>
      <c r="K40" s="49">
        <f>AVERAGE('17.10  MITYANA-MUBENDE '!K40,'18.10  MITYANA-MUBENDE-24h'!K40,'19.10 MITYANA-MUBENDE-24h'!K40,'20.10 MITYANA-MUBENDE'!K40,'21.10 MITYANA-MUBENDE'!K40,'22.10 MITYANA-MUBENDE'!K40,'23.10 MITYANA-MUBENDE'!K40)</f>
        <v>0.42857142857142855</v>
      </c>
      <c r="L40" s="49">
        <f>AVERAGE('17.10  MITYANA-MUBENDE '!L40,'18.10  MITYANA-MUBENDE-24h'!L40,'19.10 MITYANA-MUBENDE-24h'!L40,'20.10 MITYANA-MUBENDE'!L40,'21.10 MITYANA-MUBENDE'!L40,'22.10 MITYANA-MUBENDE'!L40,'23.10 MITYANA-MUBENDE'!L40)</f>
        <v>0.5714285714285714</v>
      </c>
      <c r="M40" s="49">
        <f>AVERAGE('17.10  MITYANA-MUBENDE '!M40,'18.10  MITYANA-MUBENDE-24h'!M40,'19.10 MITYANA-MUBENDE-24h'!M40,'20.10 MITYANA-MUBENDE'!M40,'21.10 MITYANA-MUBENDE'!M40,'22.10 MITYANA-MUBENDE'!M40,'23.10 MITYANA-MUBENDE'!M40)</f>
        <v>43.142857142857146</v>
      </c>
      <c r="N40" s="49">
        <f>AVERAGE('17.10  MITYANA-MUBENDE '!N40,'18.10  MITYANA-MUBENDE-24h'!N40,'19.10 MITYANA-MUBENDE-24h'!N40,'20.10 MITYANA-MUBENDE'!N40,'21.10 MITYANA-MUBENDE'!N40,'22.10 MITYANA-MUBENDE'!N40,'23.10 MITYANA-MUBENDE'!N40)</f>
        <v>0</v>
      </c>
      <c r="O40" s="15">
        <f t="shared" si="0"/>
        <v>26.857142857142861</v>
      </c>
      <c r="P40" s="15">
        <f t="shared" si="1"/>
        <v>70</v>
      </c>
      <c r="R40" s="5" t="s">
        <v>17</v>
      </c>
      <c r="S40" s="56">
        <f t="shared" ref="S40:AF40" si="32">SUM(S10:S21)</f>
        <v>415.71428571428567</v>
      </c>
      <c r="T40" s="56">
        <f t="shared" si="32"/>
        <v>157.85714285714286</v>
      </c>
      <c r="U40" s="56">
        <f t="shared" si="32"/>
        <v>102.85714285714285</v>
      </c>
      <c r="V40" s="56">
        <f t="shared" si="32"/>
        <v>345.14285714285711</v>
      </c>
      <c r="W40" s="56">
        <f t="shared" si="32"/>
        <v>7.8571428571428559</v>
      </c>
      <c r="X40" s="56">
        <f t="shared" si="32"/>
        <v>22.714285714285712</v>
      </c>
      <c r="Y40" s="56">
        <f t="shared" si="32"/>
        <v>158.28571428571431</v>
      </c>
      <c r="Z40" s="56">
        <f t="shared" si="32"/>
        <v>107.57142857142854</v>
      </c>
      <c r="AA40" s="56">
        <f t="shared" si="32"/>
        <v>34.857142857142854</v>
      </c>
      <c r="AB40" s="56">
        <f t="shared" si="32"/>
        <v>49.285714285714292</v>
      </c>
      <c r="AC40" s="56">
        <f t="shared" si="32"/>
        <v>1943.7142857142856</v>
      </c>
      <c r="AD40" s="56">
        <f t="shared" si="32"/>
        <v>0.5714285714285714</v>
      </c>
      <c r="AE40" s="57">
        <f t="shared" si="32"/>
        <v>1402.7142857142858</v>
      </c>
      <c r="AF40" s="57">
        <f t="shared" si="32"/>
        <v>3346.4285714285716</v>
      </c>
    </row>
    <row r="41" spans="2:32" ht="23.1" customHeight="1" x14ac:dyDescent="0.25">
      <c r="B41" s="23" t="s">
        <v>68</v>
      </c>
      <c r="C41" s="49">
        <f>AVERAGE('17.10  MITYANA-MUBENDE '!C41,'18.10  MITYANA-MUBENDE-24h'!C41,'19.10 MITYANA-MUBENDE-24h'!C41,'20.10 MITYANA-MUBENDE'!C41,'21.10 MITYANA-MUBENDE'!C41,'22.10 MITYANA-MUBENDE'!C41,'23.10 MITYANA-MUBENDE'!C41)</f>
        <v>8.7142857142857135</v>
      </c>
      <c r="D41" s="49">
        <f>AVERAGE('17.10  MITYANA-MUBENDE '!D41,'18.10  MITYANA-MUBENDE-24h'!D41,'19.10 MITYANA-MUBENDE-24h'!D41,'20.10 MITYANA-MUBENDE'!D41,'21.10 MITYANA-MUBENDE'!D41,'22.10 MITYANA-MUBENDE'!D41,'23.10 MITYANA-MUBENDE'!D41)</f>
        <v>4</v>
      </c>
      <c r="E41" s="49">
        <f>AVERAGE('17.10  MITYANA-MUBENDE '!E41,'18.10  MITYANA-MUBENDE-24h'!E41,'19.10 MITYANA-MUBENDE-24h'!E41,'20.10 MITYANA-MUBENDE'!E41,'21.10 MITYANA-MUBENDE'!E41,'22.10 MITYANA-MUBENDE'!E41,'23.10 MITYANA-MUBENDE'!E41)</f>
        <v>3.2857142857142856</v>
      </c>
      <c r="F41" s="49">
        <f>AVERAGE('17.10  MITYANA-MUBENDE '!F41,'18.10  MITYANA-MUBENDE-24h'!F41,'19.10 MITYANA-MUBENDE-24h'!F41,'20.10 MITYANA-MUBENDE'!F41,'21.10 MITYANA-MUBENDE'!F41,'22.10 MITYANA-MUBENDE'!F41,'23.10 MITYANA-MUBENDE'!F41)</f>
        <v>8</v>
      </c>
      <c r="G41" s="49">
        <f>AVERAGE('17.10  MITYANA-MUBENDE '!G41,'18.10  MITYANA-MUBENDE-24h'!G41,'19.10 MITYANA-MUBENDE-24h'!G41,'20.10 MITYANA-MUBENDE'!G41,'21.10 MITYANA-MUBENDE'!G41,'22.10 MITYANA-MUBENDE'!G41,'23.10 MITYANA-MUBENDE'!G41)</f>
        <v>0.14285714285714285</v>
      </c>
      <c r="H41" s="49">
        <f>AVERAGE('17.10  MITYANA-MUBENDE '!H41,'18.10  MITYANA-MUBENDE-24h'!H41,'19.10 MITYANA-MUBENDE-24h'!H41,'20.10 MITYANA-MUBENDE'!H41,'21.10 MITYANA-MUBENDE'!H41,'22.10 MITYANA-MUBENDE'!H41,'23.10 MITYANA-MUBENDE'!H41)</f>
        <v>0.7142857142857143</v>
      </c>
      <c r="I41" s="49">
        <f>AVERAGE('17.10  MITYANA-MUBENDE '!I41,'18.10  MITYANA-MUBENDE-24h'!I41,'19.10 MITYANA-MUBENDE-24h'!I41,'20.10 MITYANA-MUBENDE'!I41,'21.10 MITYANA-MUBENDE'!I41,'22.10 MITYANA-MUBENDE'!I41,'23.10 MITYANA-MUBENDE'!I41)</f>
        <v>2.5714285714285716</v>
      </c>
      <c r="J41" s="49">
        <f>AVERAGE('17.10  MITYANA-MUBENDE '!J41,'18.10  MITYANA-MUBENDE-24h'!J41,'19.10 MITYANA-MUBENDE-24h'!J41,'20.10 MITYANA-MUBENDE'!J41,'21.10 MITYANA-MUBENDE'!J41,'22.10 MITYANA-MUBENDE'!J41,'23.10 MITYANA-MUBENDE'!J41)</f>
        <v>2.1428571428571428</v>
      </c>
      <c r="K41" s="49">
        <f>AVERAGE('17.10  MITYANA-MUBENDE '!K41,'18.10  MITYANA-MUBENDE-24h'!K41,'19.10 MITYANA-MUBENDE-24h'!K41,'20.10 MITYANA-MUBENDE'!K41,'21.10 MITYANA-MUBENDE'!K41,'22.10 MITYANA-MUBENDE'!K41,'23.10 MITYANA-MUBENDE'!K41)</f>
        <v>1.1428571428571428</v>
      </c>
      <c r="L41" s="49">
        <f>AVERAGE('17.10  MITYANA-MUBENDE '!L41,'18.10  MITYANA-MUBENDE-24h'!L41,'19.10 MITYANA-MUBENDE-24h'!L41,'20.10 MITYANA-MUBENDE'!L41,'21.10 MITYANA-MUBENDE'!L41,'22.10 MITYANA-MUBENDE'!L41,'23.10 MITYANA-MUBENDE'!L41)</f>
        <v>0.5714285714285714</v>
      </c>
      <c r="M41" s="49">
        <f>AVERAGE('17.10  MITYANA-MUBENDE '!M41,'18.10  MITYANA-MUBENDE-24h'!M41,'19.10 MITYANA-MUBENDE-24h'!M41,'20.10 MITYANA-MUBENDE'!M41,'21.10 MITYANA-MUBENDE'!M41,'22.10 MITYANA-MUBENDE'!M41,'23.10 MITYANA-MUBENDE'!M41)</f>
        <v>35.714285714285715</v>
      </c>
      <c r="N41" s="49">
        <f>AVERAGE('17.10  MITYANA-MUBENDE '!N41,'18.10  MITYANA-MUBENDE-24h'!N41,'19.10 MITYANA-MUBENDE-24h'!N41,'20.10 MITYANA-MUBENDE'!N41,'21.10 MITYANA-MUBENDE'!N41,'22.10 MITYANA-MUBENDE'!N41,'23.10 MITYANA-MUBENDE'!N41)</f>
        <v>0</v>
      </c>
      <c r="O41" s="15">
        <f t="shared" si="0"/>
        <v>31.285714285714288</v>
      </c>
      <c r="P41" s="15">
        <f t="shared" si="1"/>
        <v>67</v>
      </c>
      <c r="R41" s="5" t="s">
        <v>180</v>
      </c>
      <c r="S41" s="56">
        <f>SUM(S10:S33)</f>
        <v>543.21428571428567</v>
      </c>
      <c r="T41" s="56">
        <f t="shared" ref="T41:AD41" si="33">SUM(T10:T33)</f>
        <v>205.85714285714286</v>
      </c>
      <c r="U41" s="56">
        <f t="shared" si="33"/>
        <v>125.85714285714285</v>
      </c>
      <c r="V41" s="56">
        <f t="shared" si="33"/>
        <v>438.64285714285711</v>
      </c>
      <c r="W41" s="56">
        <f t="shared" si="33"/>
        <v>12.357142857142856</v>
      </c>
      <c r="X41" s="56">
        <f t="shared" si="33"/>
        <v>30.214285714285712</v>
      </c>
      <c r="Y41" s="56">
        <f t="shared" si="33"/>
        <v>227.78571428571431</v>
      </c>
      <c r="Z41" s="56">
        <f t="shared" si="33"/>
        <v>204.07142857142856</v>
      </c>
      <c r="AA41" s="56">
        <f t="shared" si="33"/>
        <v>80.357142857142861</v>
      </c>
      <c r="AB41" s="56">
        <f t="shared" si="33"/>
        <v>78.785714285714292</v>
      </c>
      <c r="AC41" s="56">
        <f t="shared" si="33"/>
        <v>2420.2142857142853</v>
      </c>
      <c r="AD41" s="56">
        <f t="shared" si="33"/>
        <v>0.5714285714285714</v>
      </c>
      <c r="AE41" s="57">
        <f>SUM(AE10:AE33)</f>
        <v>1947.7142857142858</v>
      </c>
      <c r="AF41" s="57">
        <f>SUM(AF10:AF33)</f>
        <v>4367.9285714285716</v>
      </c>
    </row>
    <row r="42" spans="2:32" ht="23.1" customHeight="1" x14ac:dyDescent="0.25">
      <c r="B42" s="24" t="s">
        <v>69</v>
      </c>
      <c r="C42" s="49">
        <f>AVERAGE('17.10  MITYANA-MUBENDE '!C42,'18.10  MITYANA-MUBENDE-24h'!C42,'19.10 MITYANA-MUBENDE-24h'!C42,'20.10 MITYANA-MUBENDE'!C42,'21.10 MITYANA-MUBENDE'!C42,'22.10 MITYANA-MUBENDE'!C42,'23.10 MITYANA-MUBENDE'!C42)</f>
        <v>10.428571428571429</v>
      </c>
      <c r="D42" s="49">
        <f>AVERAGE('17.10  MITYANA-MUBENDE '!D42,'18.10  MITYANA-MUBENDE-24h'!D42,'19.10 MITYANA-MUBENDE-24h'!D42,'20.10 MITYANA-MUBENDE'!D42,'21.10 MITYANA-MUBENDE'!D42,'22.10 MITYANA-MUBENDE'!D42,'23.10 MITYANA-MUBENDE'!D42)</f>
        <v>2.7142857142857144</v>
      </c>
      <c r="E42" s="49">
        <f>AVERAGE('17.10  MITYANA-MUBENDE '!E42,'18.10  MITYANA-MUBENDE-24h'!E42,'19.10 MITYANA-MUBENDE-24h'!E42,'20.10 MITYANA-MUBENDE'!E42,'21.10 MITYANA-MUBENDE'!E42,'22.10 MITYANA-MUBENDE'!E42,'23.10 MITYANA-MUBENDE'!E42)</f>
        <v>1.2857142857142858</v>
      </c>
      <c r="F42" s="49">
        <f>AVERAGE('17.10  MITYANA-MUBENDE '!F42,'18.10  MITYANA-MUBENDE-24h'!F42,'19.10 MITYANA-MUBENDE-24h'!F42,'20.10 MITYANA-MUBENDE'!F42,'21.10 MITYANA-MUBENDE'!F42,'22.10 MITYANA-MUBENDE'!F42,'23.10 MITYANA-MUBENDE'!F42)</f>
        <v>9</v>
      </c>
      <c r="G42" s="49">
        <f>AVERAGE('17.10  MITYANA-MUBENDE '!G42,'18.10  MITYANA-MUBENDE-24h'!G42,'19.10 MITYANA-MUBENDE-24h'!G42,'20.10 MITYANA-MUBENDE'!G42,'21.10 MITYANA-MUBENDE'!G42,'22.10 MITYANA-MUBENDE'!G42,'23.10 MITYANA-MUBENDE'!G42)</f>
        <v>0.42857142857142855</v>
      </c>
      <c r="H42" s="49">
        <f>AVERAGE('17.10  MITYANA-MUBENDE '!H42,'18.10  MITYANA-MUBENDE-24h'!H42,'19.10 MITYANA-MUBENDE-24h'!H42,'20.10 MITYANA-MUBENDE'!H42,'21.10 MITYANA-MUBENDE'!H42,'22.10 MITYANA-MUBENDE'!H42,'23.10 MITYANA-MUBENDE'!H42)</f>
        <v>0.42857142857142855</v>
      </c>
      <c r="I42" s="49">
        <f>AVERAGE('17.10  MITYANA-MUBENDE '!I42,'18.10  MITYANA-MUBENDE-24h'!I42,'19.10 MITYANA-MUBENDE-24h'!I42,'20.10 MITYANA-MUBENDE'!I42,'21.10 MITYANA-MUBENDE'!I42,'22.10 MITYANA-MUBENDE'!I42,'23.10 MITYANA-MUBENDE'!I42)</f>
        <v>4.2857142857142856</v>
      </c>
      <c r="J42" s="49">
        <f>AVERAGE('17.10  MITYANA-MUBENDE '!J42,'18.10  MITYANA-MUBENDE-24h'!J42,'19.10 MITYANA-MUBENDE-24h'!J42,'20.10 MITYANA-MUBENDE'!J42,'21.10 MITYANA-MUBENDE'!J42,'22.10 MITYANA-MUBENDE'!J42,'23.10 MITYANA-MUBENDE'!J42)</f>
        <v>1.8571428571428572</v>
      </c>
      <c r="K42" s="49">
        <f>AVERAGE('17.10  MITYANA-MUBENDE '!K42,'18.10  MITYANA-MUBENDE-24h'!K42,'19.10 MITYANA-MUBENDE-24h'!K42,'20.10 MITYANA-MUBENDE'!K42,'21.10 MITYANA-MUBENDE'!K42,'22.10 MITYANA-MUBENDE'!K42,'23.10 MITYANA-MUBENDE'!K42)</f>
        <v>0.7142857142857143</v>
      </c>
      <c r="L42" s="49">
        <f>AVERAGE('17.10  MITYANA-MUBENDE '!L42,'18.10  MITYANA-MUBENDE-24h'!L42,'19.10 MITYANA-MUBENDE-24h'!L42,'20.10 MITYANA-MUBENDE'!L42,'21.10 MITYANA-MUBENDE'!L42,'22.10 MITYANA-MUBENDE'!L42,'23.10 MITYANA-MUBENDE'!L42)</f>
        <v>1</v>
      </c>
      <c r="M42" s="49">
        <f>AVERAGE('17.10  MITYANA-MUBENDE '!M42,'18.10  MITYANA-MUBENDE-24h'!M42,'19.10 MITYANA-MUBENDE-24h'!M42,'20.10 MITYANA-MUBENDE'!M42,'21.10 MITYANA-MUBENDE'!M42,'22.10 MITYANA-MUBENDE'!M42,'23.10 MITYANA-MUBENDE'!M42)</f>
        <v>38.428571428571431</v>
      </c>
      <c r="N42" s="49">
        <f>AVERAGE('17.10  MITYANA-MUBENDE '!N42,'18.10  MITYANA-MUBENDE-24h'!N42,'19.10 MITYANA-MUBENDE-24h'!N42,'20.10 MITYANA-MUBENDE'!N42,'21.10 MITYANA-MUBENDE'!N42,'22.10 MITYANA-MUBENDE'!N42,'23.10 MITYANA-MUBENDE'!N42)</f>
        <v>0</v>
      </c>
      <c r="O42" s="15">
        <f t="shared" si="0"/>
        <v>32.142857142857139</v>
      </c>
      <c r="P42" s="15">
        <f t="shared" si="1"/>
        <v>70.571428571428569</v>
      </c>
      <c r="R42" s="5" t="s">
        <v>160</v>
      </c>
      <c r="S42" s="48">
        <f>S41/S40</f>
        <v>1.3067010309278351</v>
      </c>
      <c r="T42" s="48">
        <f t="shared" ref="T42:AF42" si="34">T41/T40</f>
        <v>1.3040723981900453</v>
      </c>
      <c r="U42" s="48">
        <f t="shared" si="34"/>
        <v>1.2236111111111112</v>
      </c>
      <c r="V42" s="48">
        <f t="shared" si="34"/>
        <v>1.2709023178807948</v>
      </c>
      <c r="W42" s="48">
        <f t="shared" si="34"/>
        <v>1.5727272727272728</v>
      </c>
      <c r="X42" s="48">
        <f t="shared" si="34"/>
        <v>1.3301886792452831</v>
      </c>
      <c r="Y42" s="48">
        <f t="shared" si="34"/>
        <v>1.4390794223826715</v>
      </c>
      <c r="Z42" s="48">
        <f t="shared" si="34"/>
        <v>1.8970783532536524</v>
      </c>
      <c r="AA42" s="48">
        <f t="shared" si="34"/>
        <v>2.3053278688524594</v>
      </c>
      <c r="AB42" s="48">
        <f t="shared" si="34"/>
        <v>1.5985507246376811</v>
      </c>
      <c r="AC42" s="48">
        <f t="shared" si="34"/>
        <v>1.2451491988828458</v>
      </c>
      <c r="AD42" s="48">
        <f t="shared" si="34"/>
        <v>1</v>
      </c>
      <c r="AE42" s="58">
        <f t="shared" si="34"/>
        <v>1.3885324371117223</v>
      </c>
      <c r="AF42" s="58">
        <f t="shared" si="34"/>
        <v>1.3052508004268943</v>
      </c>
    </row>
    <row r="43" spans="2:32" ht="23.1" customHeight="1" x14ac:dyDescent="0.25">
      <c r="B43" s="23" t="s">
        <v>70</v>
      </c>
      <c r="C43" s="49">
        <f>AVERAGE('17.10  MITYANA-MUBENDE '!C43,'18.10  MITYANA-MUBENDE-24h'!C43,'19.10 MITYANA-MUBENDE-24h'!C43,'20.10 MITYANA-MUBENDE'!C43,'21.10 MITYANA-MUBENDE'!C43,'22.10 MITYANA-MUBENDE'!C43,'23.10 MITYANA-MUBENDE'!C43)</f>
        <v>6.8571428571428568</v>
      </c>
      <c r="D43" s="49">
        <f>AVERAGE('17.10  MITYANA-MUBENDE '!D43,'18.10  MITYANA-MUBENDE-24h'!D43,'19.10 MITYANA-MUBENDE-24h'!D43,'20.10 MITYANA-MUBENDE'!D43,'21.10 MITYANA-MUBENDE'!D43,'22.10 MITYANA-MUBENDE'!D43,'23.10 MITYANA-MUBENDE'!D43)</f>
        <v>3.7142857142857144</v>
      </c>
      <c r="E43" s="49">
        <f>AVERAGE('17.10  MITYANA-MUBENDE '!E43,'18.10  MITYANA-MUBENDE-24h'!E43,'19.10 MITYANA-MUBENDE-24h'!E43,'20.10 MITYANA-MUBENDE'!E43,'21.10 MITYANA-MUBENDE'!E43,'22.10 MITYANA-MUBENDE'!E43,'23.10 MITYANA-MUBENDE'!E43)</f>
        <v>1.5714285714285714</v>
      </c>
      <c r="F43" s="49">
        <f>AVERAGE('17.10  MITYANA-MUBENDE '!F43,'18.10  MITYANA-MUBENDE-24h'!F43,'19.10 MITYANA-MUBENDE-24h'!F43,'20.10 MITYANA-MUBENDE'!F43,'21.10 MITYANA-MUBENDE'!F43,'22.10 MITYANA-MUBENDE'!F43,'23.10 MITYANA-MUBENDE'!F43)</f>
        <v>8.5714285714285712</v>
      </c>
      <c r="G43" s="49">
        <f>AVERAGE('17.10  MITYANA-MUBENDE '!G43,'18.10  MITYANA-MUBENDE-24h'!G43,'19.10 MITYANA-MUBENDE-24h'!G43,'20.10 MITYANA-MUBENDE'!G43,'21.10 MITYANA-MUBENDE'!G43,'22.10 MITYANA-MUBENDE'!G43,'23.10 MITYANA-MUBENDE'!G43)</f>
        <v>0</v>
      </c>
      <c r="H43" s="49">
        <f>AVERAGE('17.10  MITYANA-MUBENDE '!H43,'18.10  MITYANA-MUBENDE-24h'!H43,'19.10 MITYANA-MUBENDE-24h'!H43,'20.10 MITYANA-MUBENDE'!H43,'21.10 MITYANA-MUBENDE'!H43,'22.10 MITYANA-MUBENDE'!H43,'23.10 MITYANA-MUBENDE'!H43)</f>
        <v>0.2857142857142857</v>
      </c>
      <c r="I43" s="49">
        <f>AVERAGE('17.10  MITYANA-MUBENDE '!I43,'18.10  MITYANA-MUBENDE-24h'!I43,'19.10 MITYANA-MUBENDE-24h'!I43,'20.10 MITYANA-MUBENDE'!I43,'21.10 MITYANA-MUBENDE'!I43,'22.10 MITYANA-MUBENDE'!I43,'23.10 MITYANA-MUBENDE'!I43)</f>
        <v>3.2857142857142856</v>
      </c>
      <c r="J43" s="49">
        <f>AVERAGE('17.10  MITYANA-MUBENDE '!J43,'18.10  MITYANA-MUBENDE-24h'!J43,'19.10 MITYANA-MUBENDE-24h'!J43,'20.10 MITYANA-MUBENDE'!J43,'21.10 MITYANA-MUBENDE'!J43,'22.10 MITYANA-MUBENDE'!J43,'23.10 MITYANA-MUBENDE'!J43)</f>
        <v>3.4285714285714284</v>
      </c>
      <c r="K43" s="49">
        <f>AVERAGE('17.10  MITYANA-MUBENDE '!K43,'18.10  MITYANA-MUBENDE-24h'!K43,'19.10 MITYANA-MUBENDE-24h'!K43,'20.10 MITYANA-MUBENDE'!K43,'21.10 MITYANA-MUBENDE'!K43,'22.10 MITYANA-MUBENDE'!K43,'23.10 MITYANA-MUBENDE'!K43)</f>
        <v>0.42857142857142855</v>
      </c>
      <c r="L43" s="49">
        <f>AVERAGE('17.10  MITYANA-MUBENDE '!L43,'18.10  MITYANA-MUBENDE-24h'!L43,'19.10 MITYANA-MUBENDE-24h'!L43,'20.10 MITYANA-MUBENDE'!L43,'21.10 MITYANA-MUBENDE'!L43,'22.10 MITYANA-MUBENDE'!L43,'23.10 MITYANA-MUBENDE'!L43)</f>
        <v>1</v>
      </c>
      <c r="M43" s="49">
        <f>AVERAGE('17.10  MITYANA-MUBENDE '!M43,'18.10  MITYANA-MUBENDE-24h'!M43,'19.10 MITYANA-MUBENDE-24h'!M43,'20.10 MITYANA-MUBENDE'!M43,'21.10 MITYANA-MUBENDE'!M43,'22.10 MITYANA-MUBENDE'!M43,'23.10 MITYANA-MUBENDE'!M43)</f>
        <v>38.857142857142854</v>
      </c>
      <c r="N43" s="49">
        <f>AVERAGE('17.10  MITYANA-MUBENDE '!N43,'18.10  MITYANA-MUBENDE-24h'!N43,'19.10 MITYANA-MUBENDE-24h'!N43,'20.10 MITYANA-MUBENDE'!N43,'21.10 MITYANA-MUBENDE'!N43,'22.10 MITYANA-MUBENDE'!N43,'23.10 MITYANA-MUBENDE'!N43)</f>
        <v>0</v>
      </c>
      <c r="O43" s="15">
        <f t="shared" si="0"/>
        <v>29.142857142857139</v>
      </c>
      <c r="P43" s="15">
        <f t="shared" si="1"/>
        <v>68</v>
      </c>
    </row>
    <row r="44" spans="2:32" ht="23.1" customHeight="1" x14ac:dyDescent="0.25">
      <c r="B44" s="25" t="s">
        <v>71</v>
      </c>
      <c r="C44" s="49">
        <f>AVERAGE('17.10  MITYANA-MUBENDE '!C44,'18.10  MITYANA-MUBENDE-24h'!C44,'19.10 MITYANA-MUBENDE-24h'!C44,'20.10 MITYANA-MUBENDE'!C44,'21.10 MITYANA-MUBENDE'!C44,'22.10 MITYANA-MUBENDE'!C44,'23.10 MITYANA-MUBENDE'!C44)</f>
        <v>10.571428571428571</v>
      </c>
      <c r="D44" s="49">
        <f>AVERAGE('17.10  MITYANA-MUBENDE '!D44,'18.10  MITYANA-MUBENDE-24h'!D44,'19.10 MITYANA-MUBENDE-24h'!D44,'20.10 MITYANA-MUBENDE'!D44,'21.10 MITYANA-MUBENDE'!D44,'22.10 MITYANA-MUBENDE'!D44,'23.10 MITYANA-MUBENDE'!D44)</f>
        <v>3.1428571428571428</v>
      </c>
      <c r="E44" s="49">
        <f>AVERAGE('17.10  MITYANA-MUBENDE '!E44,'18.10  MITYANA-MUBENDE-24h'!E44,'19.10 MITYANA-MUBENDE-24h'!E44,'20.10 MITYANA-MUBENDE'!E44,'21.10 MITYANA-MUBENDE'!E44,'22.10 MITYANA-MUBENDE'!E44,'23.10 MITYANA-MUBENDE'!E44)</f>
        <v>2</v>
      </c>
      <c r="F44" s="49">
        <f>AVERAGE('17.10  MITYANA-MUBENDE '!F44,'18.10  MITYANA-MUBENDE-24h'!F44,'19.10 MITYANA-MUBENDE-24h'!F44,'20.10 MITYANA-MUBENDE'!F44,'21.10 MITYANA-MUBENDE'!F44,'22.10 MITYANA-MUBENDE'!F44,'23.10 MITYANA-MUBENDE'!F44)</f>
        <v>6.4285714285714288</v>
      </c>
      <c r="G44" s="49">
        <f>AVERAGE('17.10  MITYANA-MUBENDE '!G44,'18.10  MITYANA-MUBENDE-24h'!G44,'19.10 MITYANA-MUBENDE-24h'!G44,'20.10 MITYANA-MUBENDE'!G44,'21.10 MITYANA-MUBENDE'!G44,'22.10 MITYANA-MUBENDE'!G44,'23.10 MITYANA-MUBENDE'!G44)</f>
        <v>0.14285714285714285</v>
      </c>
      <c r="H44" s="49">
        <f>AVERAGE('17.10  MITYANA-MUBENDE '!H44,'18.10  MITYANA-MUBENDE-24h'!H44,'19.10 MITYANA-MUBENDE-24h'!H44,'20.10 MITYANA-MUBENDE'!H44,'21.10 MITYANA-MUBENDE'!H44,'22.10 MITYANA-MUBENDE'!H44,'23.10 MITYANA-MUBENDE'!H44)</f>
        <v>1.1428571428571428</v>
      </c>
      <c r="I44" s="49">
        <f>AVERAGE('17.10  MITYANA-MUBENDE '!I44,'18.10  MITYANA-MUBENDE-24h'!I44,'19.10 MITYANA-MUBENDE-24h'!I44,'20.10 MITYANA-MUBENDE'!I44,'21.10 MITYANA-MUBENDE'!I44,'22.10 MITYANA-MUBENDE'!I44,'23.10 MITYANA-MUBENDE'!I44)</f>
        <v>3</v>
      </c>
      <c r="J44" s="49">
        <f>AVERAGE('17.10  MITYANA-MUBENDE '!J44,'18.10  MITYANA-MUBENDE-24h'!J44,'19.10 MITYANA-MUBENDE-24h'!J44,'20.10 MITYANA-MUBENDE'!J44,'21.10 MITYANA-MUBENDE'!J44,'22.10 MITYANA-MUBENDE'!J44,'23.10 MITYANA-MUBENDE'!J44)</f>
        <v>2</v>
      </c>
      <c r="K44" s="49">
        <f>AVERAGE('17.10  MITYANA-MUBENDE '!K44,'18.10  MITYANA-MUBENDE-24h'!K44,'19.10 MITYANA-MUBENDE-24h'!K44,'20.10 MITYANA-MUBENDE'!K44,'21.10 MITYANA-MUBENDE'!K44,'22.10 MITYANA-MUBENDE'!K44,'23.10 MITYANA-MUBENDE'!K44)</f>
        <v>0.14285714285714285</v>
      </c>
      <c r="L44" s="49">
        <f>AVERAGE('17.10  MITYANA-MUBENDE '!L44,'18.10  MITYANA-MUBENDE-24h'!L44,'19.10 MITYANA-MUBENDE-24h'!L44,'20.10 MITYANA-MUBENDE'!L44,'21.10 MITYANA-MUBENDE'!L44,'22.10 MITYANA-MUBENDE'!L44,'23.10 MITYANA-MUBENDE'!L44)</f>
        <v>1.8571428571428572</v>
      </c>
      <c r="M44" s="49">
        <f>AVERAGE('17.10  MITYANA-MUBENDE '!M44,'18.10  MITYANA-MUBENDE-24h'!M44,'19.10 MITYANA-MUBENDE-24h'!M44,'20.10 MITYANA-MUBENDE'!M44,'21.10 MITYANA-MUBENDE'!M44,'22.10 MITYANA-MUBENDE'!M44,'23.10 MITYANA-MUBENDE'!M44)</f>
        <v>35.142857142857146</v>
      </c>
      <c r="N44" s="49">
        <f>AVERAGE('17.10  MITYANA-MUBENDE '!N44,'18.10  MITYANA-MUBENDE-24h'!N44,'19.10 MITYANA-MUBENDE-24h'!N44,'20.10 MITYANA-MUBENDE'!N44,'21.10 MITYANA-MUBENDE'!N44,'22.10 MITYANA-MUBENDE'!N44,'23.10 MITYANA-MUBENDE'!N44)</f>
        <v>0</v>
      </c>
      <c r="O44" s="15">
        <f t="shared" si="0"/>
        <v>30.428571428571427</v>
      </c>
      <c r="P44" s="15">
        <f t="shared" si="1"/>
        <v>65.571428571428569</v>
      </c>
    </row>
    <row r="45" spans="2:32" ht="23.1" customHeight="1" x14ac:dyDescent="0.25">
      <c r="B45" s="23" t="s">
        <v>72</v>
      </c>
      <c r="C45" s="49">
        <f>AVERAGE('17.10  MITYANA-MUBENDE '!C45,'18.10  MITYANA-MUBENDE-24h'!C45,'19.10 MITYANA-MUBENDE-24h'!C45,'20.10 MITYANA-MUBENDE'!C45,'21.10 MITYANA-MUBENDE'!C45,'22.10 MITYANA-MUBENDE'!C45,'23.10 MITYANA-MUBENDE'!C45)</f>
        <v>11</v>
      </c>
      <c r="D45" s="49">
        <f>AVERAGE('17.10  MITYANA-MUBENDE '!D45,'18.10  MITYANA-MUBENDE-24h'!D45,'19.10 MITYANA-MUBENDE-24h'!D45,'20.10 MITYANA-MUBENDE'!D45,'21.10 MITYANA-MUBENDE'!D45,'22.10 MITYANA-MUBENDE'!D45,'23.10 MITYANA-MUBENDE'!D45)</f>
        <v>2.7142857142857144</v>
      </c>
      <c r="E45" s="49">
        <f>AVERAGE('17.10  MITYANA-MUBENDE '!E45,'18.10  MITYANA-MUBENDE-24h'!E45,'19.10 MITYANA-MUBENDE-24h'!E45,'20.10 MITYANA-MUBENDE'!E45,'21.10 MITYANA-MUBENDE'!E45,'22.10 MITYANA-MUBENDE'!E45,'23.10 MITYANA-MUBENDE'!E45)</f>
        <v>3.5714285714285716</v>
      </c>
      <c r="F45" s="49">
        <f>AVERAGE('17.10  MITYANA-MUBENDE '!F45,'18.10  MITYANA-MUBENDE-24h'!F45,'19.10 MITYANA-MUBENDE-24h'!F45,'20.10 MITYANA-MUBENDE'!F45,'21.10 MITYANA-MUBENDE'!F45,'22.10 MITYANA-MUBENDE'!F45,'23.10 MITYANA-MUBENDE'!F45)</f>
        <v>8.2857142857142865</v>
      </c>
      <c r="G45" s="49">
        <f>AVERAGE('17.10  MITYANA-MUBENDE '!G45,'18.10  MITYANA-MUBENDE-24h'!G45,'19.10 MITYANA-MUBENDE-24h'!G45,'20.10 MITYANA-MUBENDE'!G45,'21.10 MITYANA-MUBENDE'!G45,'22.10 MITYANA-MUBENDE'!G45,'23.10 MITYANA-MUBENDE'!G45)</f>
        <v>0</v>
      </c>
      <c r="H45" s="49">
        <f>AVERAGE('17.10  MITYANA-MUBENDE '!H45,'18.10  MITYANA-MUBENDE-24h'!H45,'19.10 MITYANA-MUBENDE-24h'!H45,'20.10 MITYANA-MUBENDE'!H45,'21.10 MITYANA-MUBENDE'!H45,'22.10 MITYANA-MUBENDE'!H45,'23.10 MITYANA-MUBENDE'!H45)</f>
        <v>0.2857142857142857</v>
      </c>
      <c r="I45" s="49">
        <f>AVERAGE('17.10  MITYANA-MUBENDE '!I45,'18.10  MITYANA-MUBENDE-24h'!I45,'19.10 MITYANA-MUBENDE-24h'!I45,'20.10 MITYANA-MUBENDE'!I45,'21.10 MITYANA-MUBENDE'!I45,'22.10 MITYANA-MUBENDE'!I45,'23.10 MITYANA-MUBENDE'!I45)</f>
        <v>6</v>
      </c>
      <c r="J45" s="49">
        <f>AVERAGE('17.10  MITYANA-MUBENDE '!J45,'18.10  MITYANA-MUBENDE-24h'!J45,'19.10 MITYANA-MUBENDE-24h'!J45,'20.10 MITYANA-MUBENDE'!J45,'21.10 MITYANA-MUBENDE'!J45,'22.10 MITYANA-MUBENDE'!J45,'23.10 MITYANA-MUBENDE'!J45)</f>
        <v>1.8571428571428572</v>
      </c>
      <c r="K45" s="49">
        <f>AVERAGE('17.10  MITYANA-MUBENDE '!K45,'18.10  MITYANA-MUBENDE-24h'!K45,'19.10 MITYANA-MUBENDE-24h'!K45,'20.10 MITYANA-MUBENDE'!K45,'21.10 MITYANA-MUBENDE'!K45,'22.10 MITYANA-MUBENDE'!K45,'23.10 MITYANA-MUBENDE'!K45)</f>
        <v>2.2857142857142856</v>
      </c>
      <c r="L45" s="49">
        <f>AVERAGE('17.10  MITYANA-MUBENDE '!L45,'18.10  MITYANA-MUBENDE-24h'!L45,'19.10 MITYANA-MUBENDE-24h'!L45,'20.10 MITYANA-MUBENDE'!L45,'21.10 MITYANA-MUBENDE'!L45,'22.10 MITYANA-MUBENDE'!L45,'23.10 MITYANA-MUBENDE'!L45)</f>
        <v>1.1428571428571428</v>
      </c>
      <c r="M45" s="49">
        <f>AVERAGE('17.10  MITYANA-MUBENDE '!M45,'18.10  MITYANA-MUBENDE-24h'!M45,'19.10 MITYANA-MUBENDE-24h'!M45,'20.10 MITYANA-MUBENDE'!M45,'21.10 MITYANA-MUBENDE'!M45,'22.10 MITYANA-MUBENDE'!M45,'23.10 MITYANA-MUBENDE'!M45)</f>
        <v>39</v>
      </c>
      <c r="N45" s="49">
        <f>AVERAGE('17.10  MITYANA-MUBENDE '!N45,'18.10  MITYANA-MUBENDE-24h'!N45,'19.10 MITYANA-MUBENDE-24h'!N45,'20.10 MITYANA-MUBENDE'!N45,'21.10 MITYANA-MUBENDE'!N45,'22.10 MITYANA-MUBENDE'!N45,'23.10 MITYANA-MUBENDE'!N45)</f>
        <v>0</v>
      </c>
      <c r="O45" s="15">
        <f t="shared" si="0"/>
        <v>37.142857142857146</v>
      </c>
      <c r="P45" s="15">
        <f t="shared" si="1"/>
        <v>76.142857142857139</v>
      </c>
    </row>
    <row r="46" spans="2:32" ht="23.1" customHeight="1" x14ac:dyDescent="0.25">
      <c r="B46" s="24" t="s">
        <v>73</v>
      </c>
      <c r="C46" s="49">
        <f>AVERAGE('17.10  MITYANA-MUBENDE '!C46,'18.10  MITYANA-MUBENDE-24h'!C46,'19.10 MITYANA-MUBENDE-24h'!C46,'20.10 MITYANA-MUBENDE'!C46,'21.10 MITYANA-MUBENDE'!C46,'22.10 MITYANA-MUBENDE'!C46,'23.10 MITYANA-MUBENDE'!C46)</f>
        <v>10.428571428571429</v>
      </c>
      <c r="D46" s="49">
        <f>AVERAGE('17.10  MITYANA-MUBENDE '!D46,'18.10  MITYANA-MUBENDE-24h'!D46,'19.10 MITYANA-MUBENDE-24h'!D46,'20.10 MITYANA-MUBENDE'!D46,'21.10 MITYANA-MUBENDE'!D46,'22.10 MITYANA-MUBENDE'!D46,'23.10 MITYANA-MUBENDE'!D46)</f>
        <v>4.1428571428571432</v>
      </c>
      <c r="E46" s="49">
        <f>AVERAGE('17.10  MITYANA-MUBENDE '!E46,'18.10  MITYANA-MUBENDE-24h'!E46,'19.10 MITYANA-MUBENDE-24h'!E46,'20.10 MITYANA-MUBENDE'!E46,'21.10 MITYANA-MUBENDE'!E46,'22.10 MITYANA-MUBENDE'!E46,'23.10 MITYANA-MUBENDE'!E46)</f>
        <v>2.2857142857142856</v>
      </c>
      <c r="F46" s="49">
        <f>AVERAGE('17.10  MITYANA-MUBENDE '!F46,'18.10  MITYANA-MUBENDE-24h'!F46,'19.10 MITYANA-MUBENDE-24h'!F46,'20.10 MITYANA-MUBENDE'!F46,'21.10 MITYANA-MUBENDE'!F46,'22.10 MITYANA-MUBENDE'!F46,'23.10 MITYANA-MUBENDE'!F46)</f>
        <v>7</v>
      </c>
      <c r="G46" s="49">
        <f>AVERAGE('17.10  MITYANA-MUBENDE '!G46,'18.10  MITYANA-MUBENDE-24h'!G46,'19.10 MITYANA-MUBENDE-24h'!G46,'20.10 MITYANA-MUBENDE'!G46,'21.10 MITYANA-MUBENDE'!G46,'22.10 MITYANA-MUBENDE'!G46,'23.10 MITYANA-MUBENDE'!G46)</f>
        <v>0</v>
      </c>
      <c r="H46" s="49">
        <f>AVERAGE('17.10  MITYANA-MUBENDE '!H46,'18.10  MITYANA-MUBENDE-24h'!H46,'19.10 MITYANA-MUBENDE-24h'!H46,'20.10 MITYANA-MUBENDE'!H46,'21.10 MITYANA-MUBENDE'!H46,'22.10 MITYANA-MUBENDE'!H46,'23.10 MITYANA-MUBENDE'!H46)</f>
        <v>0.42857142857142855</v>
      </c>
      <c r="I46" s="49">
        <f>AVERAGE('17.10  MITYANA-MUBENDE '!I46,'18.10  MITYANA-MUBENDE-24h'!I46,'19.10 MITYANA-MUBENDE-24h'!I46,'20.10 MITYANA-MUBENDE'!I46,'21.10 MITYANA-MUBENDE'!I46,'22.10 MITYANA-MUBENDE'!I46,'23.10 MITYANA-MUBENDE'!I46)</f>
        <v>5.4285714285714288</v>
      </c>
      <c r="J46" s="49">
        <f>AVERAGE('17.10  MITYANA-MUBENDE '!J46,'18.10  MITYANA-MUBENDE-24h'!J46,'19.10 MITYANA-MUBENDE-24h'!J46,'20.10 MITYANA-MUBENDE'!J46,'21.10 MITYANA-MUBENDE'!J46,'22.10 MITYANA-MUBENDE'!J46,'23.10 MITYANA-MUBENDE'!J46)</f>
        <v>3.7142857142857144</v>
      </c>
      <c r="K46" s="49">
        <f>AVERAGE('17.10  MITYANA-MUBENDE '!K46,'18.10  MITYANA-MUBENDE-24h'!K46,'19.10 MITYANA-MUBENDE-24h'!K46,'20.10 MITYANA-MUBENDE'!K46,'21.10 MITYANA-MUBENDE'!K46,'22.10 MITYANA-MUBENDE'!K46,'23.10 MITYANA-MUBENDE'!K46)</f>
        <v>0.42857142857142855</v>
      </c>
      <c r="L46" s="49">
        <f>AVERAGE('17.10  MITYANA-MUBENDE '!L46,'18.10  MITYANA-MUBENDE-24h'!L46,'19.10 MITYANA-MUBENDE-24h'!L46,'20.10 MITYANA-MUBENDE'!L46,'21.10 MITYANA-MUBENDE'!L46,'22.10 MITYANA-MUBENDE'!L46,'23.10 MITYANA-MUBENDE'!L46)</f>
        <v>1.7142857142857142</v>
      </c>
      <c r="M46" s="49">
        <f>AVERAGE('17.10  MITYANA-MUBENDE '!M46,'18.10  MITYANA-MUBENDE-24h'!M46,'19.10 MITYANA-MUBENDE-24h'!M46,'20.10 MITYANA-MUBENDE'!M46,'21.10 MITYANA-MUBENDE'!M46,'22.10 MITYANA-MUBENDE'!M46,'23.10 MITYANA-MUBENDE'!M46)</f>
        <v>40</v>
      </c>
      <c r="N46" s="49">
        <f>AVERAGE('17.10  MITYANA-MUBENDE '!N46,'18.10  MITYANA-MUBENDE-24h'!N46,'19.10 MITYANA-MUBENDE-24h'!N46,'20.10 MITYANA-MUBENDE'!N46,'21.10 MITYANA-MUBENDE'!N46,'22.10 MITYANA-MUBENDE'!N46,'23.10 MITYANA-MUBENDE'!N46)</f>
        <v>0</v>
      </c>
      <c r="O46" s="15">
        <f t="shared" si="0"/>
        <v>35.571428571428577</v>
      </c>
      <c r="P46" s="15">
        <f t="shared" si="1"/>
        <v>75.571428571428584</v>
      </c>
      <c r="R46" s="8"/>
      <c r="T46"/>
    </row>
    <row r="47" spans="2:32" ht="23.1" customHeight="1" x14ac:dyDescent="0.25">
      <c r="B47" s="24" t="s">
        <v>74</v>
      </c>
      <c r="C47" s="49">
        <f>AVERAGE('17.10  MITYANA-MUBENDE '!C47,'18.10  MITYANA-MUBENDE-24h'!C47,'19.10 MITYANA-MUBENDE-24h'!C47,'20.10 MITYANA-MUBENDE'!C47,'21.10 MITYANA-MUBENDE'!C47,'22.10 MITYANA-MUBENDE'!C47,'23.10 MITYANA-MUBENDE'!C47)</f>
        <v>9</v>
      </c>
      <c r="D47" s="49">
        <f>AVERAGE('17.10  MITYANA-MUBENDE '!D47,'18.10  MITYANA-MUBENDE-24h'!D47,'19.10 MITYANA-MUBENDE-24h'!D47,'20.10 MITYANA-MUBENDE'!D47,'21.10 MITYANA-MUBENDE'!D47,'22.10 MITYANA-MUBENDE'!D47,'23.10 MITYANA-MUBENDE'!D47)</f>
        <v>3.2857142857142856</v>
      </c>
      <c r="E47" s="49">
        <f>AVERAGE('17.10  MITYANA-MUBENDE '!E47,'18.10  MITYANA-MUBENDE-24h'!E47,'19.10 MITYANA-MUBENDE-24h'!E47,'20.10 MITYANA-MUBENDE'!E47,'21.10 MITYANA-MUBENDE'!E47,'22.10 MITYANA-MUBENDE'!E47,'23.10 MITYANA-MUBENDE'!E47)</f>
        <v>2</v>
      </c>
      <c r="F47" s="49">
        <f>AVERAGE('17.10  MITYANA-MUBENDE '!F47,'18.10  MITYANA-MUBENDE-24h'!F47,'19.10 MITYANA-MUBENDE-24h'!F47,'20.10 MITYANA-MUBENDE'!F47,'21.10 MITYANA-MUBENDE'!F47,'22.10 MITYANA-MUBENDE'!F47,'23.10 MITYANA-MUBENDE'!F47)</f>
        <v>9.8571428571428577</v>
      </c>
      <c r="G47" s="49">
        <f>AVERAGE('17.10  MITYANA-MUBENDE '!G47,'18.10  MITYANA-MUBENDE-24h'!G47,'19.10 MITYANA-MUBENDE-24h'!G47,'20.10 MITYANA-MUBENDE'!G47,'21.10 MITYANA-MUBENDE'!G47,'22.10 MITYANA-MUBENDE'!G47,'23.10 MITYANA-MUBENDE'!G47)</f>
        <v>0</v>
      </c>
      <c r="H47" s="49">
        <f>AVERAGE('17.10  MITYANA-MUBENDE '!H47,'18.10  MITYANA-MUBENDE-24h'!H47,'19.10 MITYANA-MUBENDE-24h'!H47,'20.10 MITYANA-MUBENDE'!H47,'21.10 MITYANA-MUBENDE'!H47,'22.10 MITYANA-MUBENDE'!H47,'23.10 MITYANA-MUBENDE'!H47)</f>
        <v>0.7142857142857143</v>
      </c>
      <c r="I47" s="49">
        <f>AVERAGE('17.10  MITYANA-MUBENDE '!I47,'18.10  MITYANA-MUBENDE-24h'!I47,'19.10 MITYANA-MUBENDE-24h'!I47,'20.10 MITYANA-MUBENDE'!I47,'21.10 MITYANA-MUBENDE'!I47,'22.10 MITYANA-MUBENDE'!I47,'23.10 MITYANA-MUBENDE'!I47)</f>
        <v>3.5714285714285716</v>
      </c>
      <c r="J47" s="49">
        <f>AVERAGE('17.10  MITYANA-MUBENDE '!J47,'18.10  MITYANA-MUBENDE-24h'!J47,'19.10 MITYANA-MUBENDE-24h'!J47,'20.10 MITYANA-MUBENDE'!J47,'21.10 MITYANA-MUBENDE'!J47,'22.10 MITYANA-MUBENDE'!J47,'23.10 MITYANA-MUBENDE'!J47)</f>
        <v>2.8571428571428572</v>
      </c>
      <c r="K47" s="49">
        <f>AVERAGE('17.10  MITYANA-MUBENDE '!K47,'18.10  MITYANA-MUBENDE-24h'!K47,'19.10 MITYANA-MUBENDE-24h'!K47,'20.10 MITYANA-MUBENDE'!K47,'21.10 MITYANA-MUBENDE'!K47,'22.10 MITYANA-MUBENDE'!K47,'23.10 MITYANA-MUBENDE'!K47)</f>
        <v>0.2857142857142857</v>
      </c>
      <c r="L47" s="49">
        <f>AVERAGE('17.10  MITYANA-MUBENDE '!L47,'18.10  MITYANA-MUBENDE-24h'!L47,'19.10 MITYANA-MUBENDE-24h'!L47,'20.10 MITYANA-MUBENDE'!L47,'21.10 MITYANA-MUBENDE'!L47,'22.10 MITYANA-MUBENDE'!L47,'23.10 MITYANA-MUBENDE'!L47)</f>
        <v>0.8571428571428571</v>
      </c>
      <c r="M47" s="49">
        <f>AVERAGE('17.10  MITYANA-MUBENDE '!M47,'18.10  MITYANA-MUBENDE-24h'!M47,'19.10 MITYANA-MUBENDE-24h'!M47,'20.10 MITYANA-MUBENDE'!M47,'21.10 MITYANA-MUBENDE'!M47,'22.10 MITYANA-MUBENDE'!M47,'23.10 MITYANA-MUBENDE'!M47)</f>
        <v>42.714285714285715</v>
      </c>
      <c r="N47" s="49">
        <f>AVERAGE('17.10  MITYANA-MUBENDE '!N47,'18.10  MITYANA-MUBENDE-24h'!N47,'19.10 MITYANA-MUBENDE-24h'!N47,'20.10 MITYANA-MUBENDE'!N47,'21.10 MITYANA-MUBENDE'!N47,'22.10 MITYANA-MUBENDE'!N47,'23.10 MITYANA-MUBENDE'!N47)</f>
        <v>0</v>
      </c>
      <c r="O47" s="15">
        <f t="shared" si="0"/>
        <v>32.428571428571431</v>
      </c>
      <c r="P47" s="15">
        <f t="shared" si="1"/>
        <v>75.142857142857139</v>
      </c>
      <c r="R47" s="8"/>
      <c r="T47"/>
    </row>
    <row r="48" spans="2:32" ht="23.1" customHeight="1" x14ac:dyDescent="0.25">
      <c r="B48" s="24" t="s">
        <v>75</v>
      </c>
      <c r="C48" s="49">
        <f>AVERAGE('17.10  MITYANA-MUBENDE '!C48,'18.10  MITYANA-MUBENDE-24h'!C48,'19.10 MITYANA-MUBENDE-24h'!C48,'20.10 MITYANA-MUBENDE'!C48,'21.10 MITYANA-MUBENDE'!C48,'22.10 MITYANA-MUBENDE'!C48,'23.10 MITYANA-MUBENDE'!C48)</f>
        <v>9</v>
      </c>
      <c r="D48" s="49">
        <f>AVERAGE('17.10  MITYANA-MUBENDE '!D48,'18.10  MITYANA-MUBENDE-24h'!D48,'19.10 MITYANA-MUBENDE-24h'!D48,'20.10 MITYANA-MUBENDE'!D48,'21.10 MITYANA-MUBENDE'!D48,'22.10 MITYANA-MUBENDE'!D48,'23.10 MITYANA-MUBENDE'!D48)</f>
        <v>2.7142857142857144</v>
      </c>
      <c r="E48" s="49">
        <f>AVERAGE('17.10  MITYANA-MUBENDE '!E48,'18.10  MITYANA-MUBENDE-24h'!E48,'19.10 MITYANA-MUBENDE-24h'!E48,'20.10 MITYANA-MUBENDE'!E48,'21.10 MITYANA-MUBENDE'!E48,'22.10 MITYANA-MUBENDE'!E48,'23.10 MITYANA-MUBENDE'!E48)</f>
        <v>2.2857142857142856</v>
      </c>
      <c r="F48" s="49">
        <f>AVERAGE('17.10  MITYANA-MUBENDE '!F48,'18.10  MITYANA-MUBENDE-24h'!F48,'19.10 MITYANA-MUBENDE-24h'!F48,'20.10 MITYANA-MUBENDE'!F48,'21.10 MITYANA-MUBENDE'!F48,'22.10 MITYANA-MUBENDE'!F48,'23.10 MITYANA-MUBENDE'!F48)</f>
        <v>9.5714285714285712</v>
      </c>
      <c r="G48" s="49">
        <f>AVERAGE('17.10  MITYANA-MUBENDE '!G48,'18.10  MITYANA-MUBENDE-24h'!G48,'19.10 MITYANA-MUBENDE-24h'!G48,'20.10 MITYANA-MUBENDE'!G48,'21.10 MITYANA-MUBENDE'!G48,'22.10 MITYANA-MUBENDE'!G48,'23.10 MITYANA-MUBENDE'!G48)</f>
        <v>0</v>
      </c>
      <c r="H48" s="49">
        <f>AVERAGE('17.10  MITYANA-MUBENDE '!H48,'18.10  MITYANA-MUBENDE-24h'!H48,'19.10 MITYANA-MUBENDE-24h'!H48,'20.10 MITYANA-MUBENDE'!H48,'21.10 MITYANA-MUBENDE'!H48,'22.10 MITYANA-MUBENDE'!H48,'23.10 MITYANA-MUBENDE'!H48)</f>
        <v>0.8571428571428571</v>
      </c>
      <c r="I48" s="49">
        <f>AVERAGE('17.10  MITYANA-MUBENDE '!I48,'18.10  MITYANA-MUBENDE-24h'!I48,'19.10 MITYANA-MUBENDE-24h'!I48,'20.10 MITYANA-MUBENDE'!I48,'21.10 MITYANA-MUBENDE'!I48,'22.10 MITYANA-MUBENDE'!I48,'23.10 MITYANA-MUBENDE'!I48)</f>
        <v>2.5714285714285716</v>
      </c>
      <c r="J48" s="49">
        <f>AVERAGE('17.10  MITYANA-MUBENDE '!J48,'18.10  MITYANA-MUBENDE-24h'!J48,'19.10 MITYANA-MUBENDE-24h'!J48,'20.10 MITYANA-MUBENDE'!J48,'21.10 MITYANA-MUBENDE'!J48,'22.10 MITYANA-MUBENDE'!J48,'23.10 MITYANA-MUBENDE'!J48)</f>
        <v>2.5714285714285716</v>
      </c>
      <c r="K48" s="49">
        <f>AVERAGE('17.10  MITYANA-MUBENDE '!K48,'18.10  MITYANA-MUBENDE-24h'!K48,'19.10 MITYANA-MUBENDE-24h'!K48,'20.10 MITYANA-MUBENDE'!K48,'21.10 MITYANA-MUBENDE'!K48,'22.10 MITYANA-MUBENDE'!K48,'23.10 MITYANA-MUBENDE'!K48)</f>
        <v>0.7142857142857143</v>
      </c>
      <c r="L48" s="49">
        <f>AVERAGE('17.10  MITYANA-MUBENDE '!L48,'18.10  MITYANA-MUBENDE-24h'!L48,'19.10 MITYANA-MUBENDE-24h'!L48,'20.10 MITYANA-MUBENDE'!L48,'21.10 MITYANA-MUBENDE'!L48,'22.10 MITYANA-MUBENDE'!L48,'23.10 MITYANA-MUBENDE'!L48)</f>
        <v>0.42857142857142855</v>
      </c>
      <c r="M48" s="49">
        <f>AVERAGE('17.10  MITYANA-MUBENDE '!M48,'18.10  MITYANA-MUBENDE-24h'!M48,'19.10 MITYANA-MUBENDE-24h'!M48,'20.10 MITYANA-MUBENDE'!M48,'21.10 MITYANA-MUBENDE'!M48,'22.10 MITYANA-MUBENDE'!M48,'23.10 MITYANA-MUBENDE'!M48)</f>
        <v>34.571428571428569</v>
      </c>
      <c r="N48" s="49">
        <f>AVERAGE('17.10  MITYANA-MUBENDE '!N48,'18.10  MITYANA-MUBENDE-24h'!N48,'19.10 MITYANA-MUBENDE-24h'!N48,'20.10 MITYANA-MUBENDE'!N48,'21.10 MITYANA-MUBENDE'!N48,'22.10 MITYANA-MUBENDE'!N48,'23.10 MITYANA-MUBENDE'!N48)</f>
        <v>0</v>
      </c>
      <c r="O48" s="15">
        <f t="shared" si="0"/>
        <v>30.714285714285715</v>
      </c>
      <c r="P48" s="15">
        <f t="shared" si="1"/>
        <v>65.285714285714278</v>
      </c>
      <c r="R48" s="8"/>
      <c r="T48"/>
    </row>
    <row r="49" spans="2:20" ht="23.1" customHeight="1" x14ac:dyDescent="0.25">
      <c r="B49" s="23" t="s">
        <v>76</v>
      </c>
      <c r="C49" s="49">
        <f>AVERAGE('17.10  MITYANA-MUBENDE '!C49,'18.10  MITYANA-MUBENDE-24h'!C49,'19.10 MITYANA-MUBENDE-24h'!C49,'20.10 MITYANA-MUBENDE'!C49,'21.10 MITYANA-MUBENDE'!C49,'22.10 MITYANA-MUBENDE'!C49,'23.10 MITYANA-MUBENDE'!C49)</f>
        <v>10.857142857142858</v>
      </c>
      <c r="D49" s="49">
        <f>AVERAGE('17.10  MITYANA-MUBENDE '!D49,'18.10  MITYANA-MUBENDE-24h'!D49,'19.10 MITYANA-MUBENDE-24h'!D49,'20.10 MITYANA-MUBENDE'!D49,'21.10 MITYANA-MUBENDE'!D49,'22.10 MITYANA-MUBENDE'!D49,'23.10 MITYANA-MUBENDE'!D49)</f>
        <v>3.5714285714285716</v>
      </c>
      <c r="E49" s="49">
        <f>AVERAGE('17.10  MITYANA-MUBENDE '!E49,'18.10  MITYANA-MUBENDE-24h'!E49,'19.10 MITYANA-MUBENDE-24h'!E49,'20.10 MITYANA-MUBENDE'!E49,'21.10 MITYANA-MUBENDE'!E49,'22.10 MITYANA-MUBENDE'!E49,'23.10 MITYANA-MUBENDE'!E49)</f>
        <v>1.4285714285714286</v>
      </c>
      <c r="F49" s="49">
        <f>AVERAGE('17.10  MITYANA-MUBENDE '!F49,'18.10  MITYANA-MUBENDE-24h'!F49,'19.10 MITYANA-MUBENDE-24h'!F49,'20.10 MITYANA-MUBENDE'!F49,'21.10 MITYANA-MUBENDE'!F49,'22.10 MITYANA-MUBENDE'!F49,'23.10 MITYANA-MUBENDE'!F49)</f>
        <v>8.2857142857142865</v>
      </c>
      <c r="G49" s="49">
        <f>AVERAGE('17.10  MITYANA-MUBENDE '!G49,'18.10  MITYANA-MUBENDE-24h'!G49,'19.10 MITYANA-MUBENDE-24h'!G49,'20.10 MITYANA-MUBENDE'!G49,'21.10 MITYANA-MUBENDE'!G49,'22.10 MITYANA-MUBENDE'!G49,'23.10 MITYANA-MUBENDE'!G49)</f>
        <v>0.8571428571428571</v>
      </c>
      <c r="H49" s="49">
        <f>AVERAGE('17.10  MITYANA-MUBENDE '!H49,'18.10  MITYANA-MUBENDE-24h'!H49,'19.10 MITYANA-MUBENDE-24h'!H49,'20.10 MITYANA-MUBENDE'!H49,'21.10 MITYANA-MUBENDE'!H49,'22.10 MITYANA-MUBENDE'!H49,'23.10 MITYANA-MUBENDE'!H49)</f>
        <v>0.7142857142857143</v>
      </c>
      <c r="I49" s="49">
        <f>AVERAGE('17.10  MITYANA-MUBENDE '!I49,'18.10  MITYANA-MUBENDE-24h'!I49,'19.10 MITYANA-MUBENDE-24h'!I49,'20.10 MITYANA-MUBENDE'!I49,'21.10 MITYANA-MUBENDE'!I49,'22.10 MITYANA-MUBENDE'!I49,'23.10 MITYANA-MUBENDE'!I49)</f>
        <v>6.2857142857142856</v>
      </c>
      <c r="J49" s="49">
        <f>AVERAGE('17.10  MITYANA-MUBENDE '!J49,'18.10  MITYANA-MUBENDE-24h'!J49,'19.10 MITYANA-MUBENDE-24h'!J49,'20.10 MITYANA-MUBENDE'!J49,'21.10 MITYANA-MUBENDE'!J49,'22.10 MITYANA-MUBENDE'!J49,'23.10 MITYANA-MUBENDE'!J49)</f>
        <v>3.4285714285714284</v>
      </c>
      <c r="K49" s="49">
        <f>AVERAGE('17.10  MITYANA-MUBENDE '!K49,'18.10  MITYANA-MUBENDE-24h'!K49,'19.10 MITYANA-MUBENDE-24h'!K49,'20.10 MITYANA-MUBENDE'!K49,'21.10 MITYANA-MUBENDE'!K49,'22.10 MITYANA-MUBENDE'!K49,'23.10 MITYANA-MUBENDE'!K49)</f>
        <v>1.4285714285714286</v>
      </c>
      <c r="L49" s="49">
        <f>AVERAGE('17.10  MITYANA-MUBENDE '!L49,'18.10  MITYANA-MUBENDE-24h'!L49,'19.10 MITYANA-MUBENDE-24h'!L49,'20.10 MITYANA-MUBENDE'!L49,'21.10 MITYANA-MUBENDE'!L49,'22.10 MITYANA-MUBENDE'!L49,'23.10 MITYANA-MUBENDE'!L49)</f>
        <v>1</v>
      </c>
      <c r="M49" s="49">
        <f>AVERAGE('17.10  MITYANA-MUBENDE '!M49,'18.10  MITYANA-MUBENDE-24h'!M49,'19.10 MITYANA-MUBENDE-24h'!M49,'20.10 MITYANA-MUBENDE'!M49,'21.10 MITYANA-MUBENDE'!M49,'22.10 MITYANA-MUBENDE'!M49,'23.10 MITYANA-MUBENDE'!M49)</f>
        <v>48.857142857142854</v>
      </c>
      <c r="N49" s="49">
        <f>AVERAGE('17.10  MITYANA-MUBENDE '!N49,'18.10  MITYANA-MUBENDE-24h'!N49,'19.10 MITYANA-MUBENDE-24h'!N49,'20.10 MITYANA-MUBENDE'!N49,'21.10 MITYANA-MUBENDE'!N49,'22.10 MITYANA-MUBENDE'!N49,'23.10 MITYANA-MUBENDE'!N49)</f>
        <v>0</v>
      </c>
      <c r="O49" s="15">
        <f t="shared" si="0"/>
        <v>37.857142857142868</v>
      </c>
      <c r="P49" s="15">
        <f t="shared" si="1"/>
        <v>86.714285714285722</v>
      </c>
      <c r="R49" s="8"/>
      <c r="T49"/>
    </row>
    <row r="50" spans="2:20" ht="23.1" customHeight="1" x14ac:dyDescent="0.25">
      <c r="B50" s="24" t="s">
        <v>77</v>
      </c>
      <c r="C50" s="49">
        <f>AVERAGE('17.10  MITYANA-MUBENDE '!C50,'18.10  MITYANA-MUBENDE-24h'!C50,'19.10 MITYANA-MUBENDE-24h'!C50,'20.10 MITYANA-MUBENDE'!C50,'21.10 MITYANA-MUBENDE'!C50,'22.10 MITYANA-MUBENDE'!C50,'23.10 MITYANA-MUBENDE'!C50)</f>
        <v>10.571428571428571</v>
      </c>
      <c r="D50" s="49">
        <f>AVERAGE('17.10  MITYANA-MUBENDE '!D50,'18.10  MITYANA-MUBENDE-24h'!D50,'19.10 MITYANA-MUBENDE-24h'!D50,'20.10 MITYANA-MUBENDE'!D50,'21.10 MITYANA-MUBENDE'!D50,'22.10 MITYANA-MUBENDE'!D50,'23.10 MITYANA-MUBENDE'!D50)</f>
        <v>4.4285714285714288</v>
      </c>
      <c r="E50" s="49">
        <f>AVERAGE('17.10  MITYANA-MUBENDE '!E50,'18.10  MITYANA-MUBENDE-24h'!E50,'19.10 MITYANA-MUBENDE-24h'!E50,'20.10 MITYANA-MUBENDE'!E50,'21.10 MITYANA-MUBENDE'!E50,'22.10 MITYANA-MUBENDE'!E50,'23.10 MITYANA-MUBENDE'!E50)</f>
        <v>2.1428571428571428</v>
      </c>
      <c r="F50" s="49">
        <f>AVERAGE('17.10  MITYANA-MUBENDE '!F50,'18.10  MITYANA-MUBENDE-24h'!F50,'19.10 MITYANA-MUBENDE-24h'!F50,'20.10 MITYANA-MUBENDE'!F50,'21.10 MITYANA-MUBENDE'!F50,'22.10 MITYANA-MUBENDE'!F50,'23.10 MITYANA-MUBENDE'!F50)</f>
        <v>8.5714285714285712</v>
      </c>
      <c r="G50" s="49">
        <f>AVERAGE('17.10  MITYANA-MUBENDE '!G50,'18.10  MITYANA-MUBENDE-24h'!G50,'19.10 MITYANA-MUBENDE-24h'!G50,'20.10 MITYANA-MUBENDE'!G50,'21.10 MITYANA-MUBENDE'!G50,'22.10 MITYANA-MUBENDE'!G50,'23.10 MITYANA-MUBENDE'!G50)</f>
        <v>0.2857142857142857</v>
      </c>
      <c r="H50" s="49">
        <f>AVERAGE('17.10  MITYANA-MUBENDE '!H50,'18.10  MITYANA-MUBENDE-24h'!H50,'19.10 MITYANA-MUBENDE-24h'!H50,'20.10 MITYANA-MUBENDE'!H50,'21.10 MITYANA-MUBENDE'!H50,'22.10 MITYANA-MUBENDE'!H50,'23.10 MITYANA-MUBENDE'!H50)</f>
        <v>0.5714285714285714</v>
      </c>
      <c r="I50" s="49">
        <f>AVERAGE('17.10  MITYANA-MUBENDE '!I50,'18.10  MITYANA-MUBENDE-24h'!I50,'19.10 MITYANA-MUBENDE-24h'!I50,'20.10 MITYANA-MUBENDE'!I50,'21.10 MITYANA-MUBENDE'!I50,'22.10 MITYANA-MUBENDE'!I50,'23.10 MITYANA-MUBENDE'!I50)</f>
        <v>3.2857142857142856</v>
      </c>
      <c r="J50" s="49">
        <f>AVERAGE('17.10  MITYANA-MUBENDE '!J50,'18.10  MITYANA-MUBENDE-24h'!J50,'19.10 MITYANA-MUBENDE-24h'!J50,'20.10 MITYANA-MUBENDE'!J50,'21.10 MITYANA-MUBENDE'!J50,'22.10 MITYANA-MUBENDE'!J50,'23.10 MITYANA-MUBENDE'!J50)</f>
        <v>3</v>
      </c>
      <c r="K50" s="49">
        <f>AVERAGE('17.10  MITYANA-MUBENDE '!K50,'18.10  MITYANA-MUBENDE-24h'!K50,'19.10 MITYANA-MUBENDE-24h'!K50,'20.10 MITYANA-MUBENDE'!K50,'21.10 MITYANA-MUBENDE'!K50,'22.10 MITYANA-MUBENDE'!K50,'23.10 MITYANA-MUBENDE'!K50)</f>
        <v>0.7142857142857143</v>
      </c>
      <c r="L50" s="49">
        <f>AVERAGE('17.10  MITYANA-MUBENDE '!L50,'18.10  MITYANA-MUBENDE-24h'!L50,'19.10 MITYANA-MUBENDE-24h'!L50,'20.10 MITYANA-MUBENDE'!L50,'21.10 MITYANA-MUBENDE'!L50,'22.10 MITYANA-MUBENDE'!L50,'23.10 MITYANA-MUBENDE'!L50)</f>
        <v>1.4285714285714286</v>
      </c>
      <c r="M50" s="49">
        <f>AVERAGE('17.10  MITYANA-MUBENDE '!M50,'18.10  MITYANA-MUBENDE-24h'!M50,'19.10 MITYANA-MUBENDE-24h'!M50,'20.10 MITYANA-MUBENDE'!M50,'21.10 MITYANA-MUBENDE'!M50,'22.10 MITYANA-MUBENDE'!M50,'23.10 MITYANA-MUBENDE'!M50)</f>
        <v>40.857142857142854</v>
      </c>
      <c r="N50" s="49">
        <f>AVERAGE('17.10  MITYANA-MUBENDE '!N50,'18.10  MITYANA-MUBENDE-24h'!N50,'19.10 MITYANA-MUBENDE-24h'!N50,'20.10 MITYANA-MUBENDE'!N50,'21.10 MITYANA-MUBENDE'!N50,'22.10 MITYANA-MUBENDE'!N50,'23.10 MITYANA-MUBENDE'!N50)</f>
        <v>0</v>
      </c>
      <c r="O50" s="15">
        <f t="shared" si="0"/>
        <v>35.000000000000007</v>
      </c>
      <c r="P50" s="15">
        <f t="shared" si="1"/>
        <v>75.857142857142861</v>
      </c>
      <c r="R50" s="8"/>
      <c r="T50"/>
    </row>
    <row r="51" spans="2:20" ht="23.1" customHeight="1" x14ac:dyDescent="0.25">
      <c r="B51" s="24" t="s">
        <v>78</v>
      </c>
      <c r="C51" s="49">
        <f>AVERAGE('17.10  MITYANA-MUBENDE '!C51,'18.10  MITYANA-MUBENDE-24h'!C51,'19.10 MITYANA-MUBENDE-24h'!C51,'20.10 MITYANA-MUBENDE'!C51,'21.10 MITYANA-MUBENDE'!C51,'22.10 MITYANA-MUBENDE'!C51,'23.10 MITYANA-MUBENDE'!C51)</f>
        <v>9.4285714285714288</v>
      </c>
      <c r="D51" s="49">
        <f>AVERAGE('17.10  MITYANA-MUBENDE '!D51,'18.10  MITYANA-MUBENDE-24h'!D51,'19.10 MITYANA-MUBENDE-24h'!D51,'20.10 MITYANA-MUBENDE'!D51,'21.10 MITYANA-MUBENDE'!D51,'22.10 MITYANA-MUBENDE'!D51,'23.10 MITYANA-MUBENDE'!D51)</f>
        <v>2.7142857142857144</v>
      </c>
      <c r="E51" s="49">
        <f>AVERAGE('17.10  MITYANA-MUBENDE '!E51,'18.10  MITYANA-MUBENDE-24h'!E51,'19.10 MITYANA-MUBENDE-24h'!E51,'20.10 MITYANA-MUBENDE'!E51,'21.10 MITYANA-MUBENDE'!E51,'22.10 MITYANA-MUBENDE'!E51,'23.10 MITYANA-MUBENDE'!E51)</f>
        <v>1</v>
      </c>
      <c r="F51" s="49">
        <f>AVERAGE('17.10  MITYANA-MUBENDE '!F51,'18.10  MITYANA-MUBENDE-24h'!F51,'19.10 MITYANA-MUBENDE-24h'!F51,'20.10 MITYANA-MUBENDE'!F51,'21.10 MITYANA-MUBENDE'!F51,'22.10 MITYANA-MUBENDE'!F51,'23.10 MITYANA-MUBENDE'!F51)</f>
        <v>7.7142857142857144</v>
      </c>
      <c r="G51" s="49">
        <f>AVERAGE('17.10  MITYANA-MUBENDE '!G51,'18.10  MITYANA-MUBENDE-24h'!G51,'19.10 MITYANA-MUBENDE-24h'!G51,'20.10 MITYANA-MUBENDE'!G51,'21.10 MITYANA-MUBENDE'!G51,'22.10 MITYANA-MUBENDE'!G51,'23.10 MITYANA-MUBENDE'!G51)</f>
        <v>0</v>
      </c>
      <c r="H51" s="49">
        <f>AVERAGE('17.10  MITYANA-MUBENDE '!H51,'18.10  MITYANA-MUBENDE-24h'!H51,'19.10 MITYANA-MUBENDE-24h'!H51,'20.10 MITYANA-MUBENDE'!H51,'21.10 MITYANA-MUBENDE'!H51,'22.10 MITYANA-MUBENDE'!H51,'23.10 MITYANA-MUBENDE'!H51)</f>
        <v>0.7142857142857143</v>
      </c>
      <c r="I51" s="49">
        <f>AVERAGE('17.10  MITYANA-MUBENDE '!I51,'18.10  MITYANA-MUBENDE-24h'!I51,'19.10 MITYANA-MUBENDE-24h'!I51,'20.10 MITYANA-MUBENDE'!I51,'21.10 MITYANA-MUBENDE'!I51,'22.10 MITYANA-MUBENDE'!I51,'23.10 MITYANA-MUBENDE'!I51)</f>
        <v>2.2857142857142856</v>
      </c>
      <c r="J51" s="49">
        <f>AVERAGE('17.10  MITYANA-MUBENDE '!J51,'18.10  MITYANA-MUBENDE-24h'!J51,'19.10 MITYANA-MUBENDE-24h'!J51,'20.10 MITYANA-MUBENDE'!J51,'21.10 MITYANA-MUBENDE'!J51,'22.10 MITYANA-MUBENDE'!J51,'23.10 MITYANA-MUBENDE'!J51)</f>
        <v>2.8571428571428572</v>
      </c>
      <c r="K51" s="49">
        <f>AVERAGE('17.10  MITYANA-MUBENDE '!K51,'18.10  MITYANA-MUBENDE-24h'!K51,'19.10 MITYANA-MUBENDE-24h'!K51,'20.10 MITYANA-MUBENDE'!K51,'21.10 MITYANA-MUBENDE'!K51,'22.10 MITYANA-MUBENDE'!K51,'23.10 MITYANA-MUBENDE'!K51)</f>
        <v>1</v>
      </c>
      <c r="L51" s="49">
        <f>AVERAGE('17.10  MITYANA-MUBENDE '!L51,'18.10  MITYANA-MUBENDE-24h'!L51,'19.10 MITYANA-MUBENDE-24h'!L51,'20.10 MITYANA-MUBENDE'!L51,'21.10 MITYANA-MUBENDE'!L51,'22.10 MITYANA-MUBENDE'!L51,'23.10 MITYANA-MUBENDE'!L51)</f>
        <v>2.4285714285714284</v>
      </c>
      <c r="M51" s="49">
        <f>AVERAGE('17.10  MITYANA-MUBENDE '!M51,'18.10  MITYANA-MUBENDE-24h'!M51,'19.10 MITYANA-MUBENDE-24h'!M51,'20.10 MITYANA-MUBENDE'!M51,'21.10 MITYANA-MUBENDE'!M51,'22.10 MITYANA-MUBENDE'!M51,'23.10 MITYANA-MUBENDE'!M51)</f>
        <v>42</v>
      </c>
      <c r="N51" s="49">
        <f>AVERAGE('17.10  MITYANA-MUBENDE '!N51,'18.10  MITYANA-MUBENDE-24h'!N51,'19.10 MITYANA-MUBENDE-24h'!N51,'20.10 MITYANA-MUBENDE'!N51,'21.10 MITYANA-MUBENDE'!N51,'22.10 MITYANA-MUBENDE'!N51,'23.10 MITYANA-MUBENDE'!N51)</f>
        <v>0</v>
      </c>
      <c r="O51" s="15">
        <f t="shared" si="0"/>
        <v>30.142857142857142</v>
      </c>
      <c r="P51" s="15">
        <f t="shared" si="1"/>
        <v>72.142857142857139</v>
      </c>
      <c r="R51" s="8"/>
      <c r="T51"/>
    </row>
    <row r="52" spans="2:20" ht="23.1" customHeight="1" x14ac:dyDescent="0.25">
      <c r="B52" s="24" t="s">
        <v>79</v>
      </c>
      <c r="C52" s="49">
        <f>AVERAGE('17.10  MITYANA-MUBENDE '!C52,'18.10  MITYANA-MUBENDE-24h'!C52,'19.10 MITYANA-MUBENDE-24h'!C52,'20.10 MITYANA-MUBENDE'!C52,'21.10 MITYANA-MUBENDE'!C52,'22.10 MITYANA-MUBENDE'!C52,'23.10 MITYANA-MUBENDE'!C52)</f>
        <v>8.2857142857142865</v>
      </c>
      <c r="D52" s="49">
        <f>AVERAGE('17.10  MITYANA-MUBENDE '!D52,'18.10  MITYANA-MUBENDE-24h'!D52,'19.10 MITYANA-MUBENDE-24h'!D52,'20.10 MITYANA-MUBENDE'!D52,'21.10 MITYANA-MUBENDE'!D52,'22.10 MITYANA-MUBENDE'!D52,'23.10 MITYANA-MUBENDE'!D52)</f>
        <v>3.2857142857142856</v>
      </c>
      <c r="E52" s="49">
        <f>AVERAGE('17.10  MITYANA-MUBENDE '!E52,'18.10  MITYANA-MUBENDE-24h'!E52,'19.10 MITYANA-MUBENDE-24h'!E52,'20.10 MITYANA-MUBENDE'!E52,'21.10 MITYANA-MUBENDE'!E52,'22.10 MITYANA-MUBENDE'!E52,'23.10 MITYANA-MUBENDE'!E52)</f>
        <v>2.7142857142857144</v>
      </c>
      <c r="F52" s="49">
        <f>AVERAGE('17.10  MITYANA-MUBENDE '!F52,'18.10  MITYANA-MUBENDE-24h'!F52,'19.10 MITYANA-MUBENDE-24h'!F52,'20.10 MITYANA-MUBENDE'!F52,'21.10 MITYANA-MUBENDE'!F52,'22.10 MITYANA-MUBENDE'!F52,'23.10 MITYANA-MUBENDE'!F52)</f>
        <v>6.8571428571428568</v>
      </c>
      <c r="G52" s="49">
        <f>AVERAGE('17.10  MITYANA-MUBENDE '!G52,'18.10  MITYANA-MUBENDE-24h'!G52,'19.10 MITYANA-MUBENDE-24h'!G52,'20.10 MITYANA-MUBENDE'!G52,'21.10 MITYANA-MUBENDE'!G52,'22.10 MITYANA-MUBENDE'!G52,'23.10 MITYANA-MUBENDE'!G52)</f>
        <v>0</v>
      </c>
      <c r="H52" s="49">
        <f>AVERAGE('17.10  MITYANA-MUBENDE '!H52,'18.10  MITYANA-MUBENDE-24h'!H52,'19.10 MITYANA-MUBENDE-24h'!H52,'20.10 MITYANA-MUBENDE'!H52,'21.10 MITYANA-MUBENDE'!H52,'22.10 MITYANA-MUBENDE'!H52,'23.10 MITYANA-MUBENDE'!H52)</f>
        <v>0.42857142857142855</v>
      </c>
      <c r="I52" s="49">
        <f>AVERAGE('17.10  MITYANA-MUBENDE '!I52,'18.10  MITYANA-MUBENDE-24h'!I52,'19.10 MITYANA-MUBENDE-24h'!I52,'20.10 MITYANA-MUBENDE'!I52,'21.10 MITYANA-MUBENDE'!I52,'22.10 MITYANA-MUBENDE'!I52,'23.10 MITYANA-MUBENDE'!I52)</f>
        <v>3.5714285714285716</v>
      </c>
      <c r="J52" s="49">
        <f>AVERAGE('17.10  MITYANA-MUBENDE '!J52,'18.10  MITYANA-MUBENDE-24h'!J52,'19.10 MITYANA-MUBENDE-24h'!J52,'20.10 MITYANA-MUBENDE'!J52,'21.10 MITYANA-MUBENDE'!J52,'22.10 MITYANA-MUBENDE'!J52,'23.10 MITYANA-MUBENDE'!J52)</f>
        <v>4.2857142857142856</v>
      </c>
      <c r="K52" s="49">
        <f>AVERAGE('17.10  MITYANA-MUBENDE '!K52,'18.10  MITYANA-MUBENDE-24h'!K52,'19.10 MITYANA-MUBENDE-24h'!K52,'20.10 MITYANA-MUBENDE'!K52,'21.10 MITYANA-MUBENDE'!K52,'22.10 MITYANA-MUBENDE'!K52,'23.10 MITYANA-MUBENDE'!K52)</f>
        <v>0.7142857142857143</v>
      </c>
      <c r="L52" s="49">
        <f>AVERAGE('17.10  MITYANA-MUBENDE '!L52,'18.10  MITYANA-MUBENDE-24h'!L52,'19.10 MITYANA-MUBENDE-24h'!L52,'20.10 MITYANA-MUBENDE'!L52,'21.10 MITYANA-MUBENDE'!L52,'22.10 MITYANA-MUBENDE'!L52,'23.10 MITYANA-MUBENDE'!L52)</f>
        <v>0.7142857142857143</v>
      </c>
      <c r="M52" s="49">
        <f>AVERAGE('17.10  MITYANA-MUBENDE '!M52,'18.10  MITYANA-MUBENDE-24h'!M52,'19.10 MITYANA-MUBENDE-24h'!M52,'20.10 MITYANA-MUBENDE'!M52,'21.10 MITYANA-MUBENDE'!M52,'22.10 MITYANA-MUBENDE'!M52,'23.10 MITYANA-MUBENDE'!M52)</f>
        <v>54.428571428571431</v>
      </c>
      <c r="N52" s="49">
        <f>AVERAGE('17.10  MITYANA-MUBENDE '!N52,'18.10  MITYANA-MUBENDE-24h'!N52,'19.10 MITYANA-MUBENDE-24h'!N52,'20.10 MITYANA-MUBENDE'!N52,'21.10 MITYANA-MUBENDE'!N52,'22.10 MITYANA-MUBENDE'!N52,'23.10 MITYANA-MUBENDE'!N52)</f>
        <v>0</v>
      </c>
      <c r="O52" s="15">
        <f t="shared" si="0"/>
        <v>30.857142857142861</v>
      </c>
      <c r="P52" s="15">
        <f t="shared" si="1"/>
        <v>85.285714285714292</v>
      </c>
      <c r="R52" s="8"/>
      <c r="T52"/>
    </row>
    <row r="53" spans="2:20" ht="23.1" customHeight="1" x14ac:dyDescent="0.25">
      <c r="B53" s="23" t="s">
        <v>80</v>
      </c>
      <c r="C53" s="49">
        <f>AVERAGE('17.10  MITYANA-MUBENDE '!C53,'18.10  MITYANA-MUBENDE-24h'!C53,'19.10 MITYANA-MUBENDE-24h'!C53,'20.10 MITYANA-MUBENDE'!C53,'21.10 MITYANA-MUBENDE'!C53,'22.10 MITYANA-MUBENDE'!C53,'23.10 MITYANA-MUBENDE'!C53)</f>
        <v>8.5714285714285712</v>
      </c>
      <c r="D53" s="49">
        <f>AVERAGE('17.10  MITYANA-MUBENDE '!D53,'18.10  MITYANA-MUBENDE-24h'!D53,'19.10 MITYANA-MUBENDE-24h'!D53,'20.10 MITYANA-MUBENDE'!D53,'21.10 MITYANA-MUBENDE'!D53,'22.10 MITYANA-MUBENDE'!D53,'23.10 MITYANA-MUBENDE'!D53)</f>
        <v>2.8571428571428572</v>
      </c>
      <c r="E53" s="49">
        <f>AVERAGE('17.10  MITYANA-MUBENDE '!E53,'18.10  MITYANA-MUBENDE-24h'!E53,'19.10 MITYANA-MUBENDE-24h'!E53,'20.10 MITYANA-MUBENDE'!E53,'21.10 MITYANA-MUBENDE'!E53,'22.10 MITYANA-MUBENDE'!E53,'23.10 MITYANA-MUBENDE'!E53)</f>
        <v>1.4285714285714286</v>
      </c>
      <c r="F53" s="49">
        <f>AVERAGE('17.10  MITYANA-MUBENDE '!F53,'18.10  MITYANA-MUBENDE-24h'!F53,'19.10 MITYANA-MUBENDE-24h'!F53,'20.10 MITYANA-MUBENDE'!F53,'21.10 MITYANA-MUBENDE'!F53,'22.10 MITYANA-MUBENDE'!F53,'23.10 MITYANA-MUBENDE'!F53)</f>
        <v>7.2857142857142856</v>
      </c>
      <c r="G53" s="49">
        <f>AVERAGE('17.10  MITYANA-MUBENDE '!G53,'18.10  MITYANA-MUBENDE-24h'!G53,'19.10 MITYANA-MUBENDE-24h'!G53,'20.10 MITYANA-MUBENDE'!G53,'21.10 MITYANA-MUBENDE'!G53,'22.10 MITYANA-MUBENDE'!G53,'23.10 MITYANA-MUBENDE'!G53)</f>
        <v>0</v>
      </c>
      <c r="H53" s="49">
        <f>AVERAGE('17.10  MITYANA-MUBENDE '!H53,'18.10  MITYANA-MUBENDE-24h'!H53,'19.10 MITYANA-MUBENDE-24h'!H53,'20.10 MITYANA-MUBENDE'!H53,'21.10 MITYANA-MUBENDE'!H53,'22.10 MITYANA-MUBENDE'!H53,'23.10 MITYANA-MUBENDE'!H53)</f>
        <v>0.7142857142857143</v>
      </c>
      <c r="I53" s="49">
        <f>AVERAGE('17.10  MITYANA-MUBENDE '!I53,'18.10  MITYANA-MUBENDE-24h'!I53,'19.10 MITYANA-MUBENDE-24h'!I53,'20.10 MITYANA-MUBENDE'!I53,'21.10 MITYANA-MUBENDE'!I53,'22.10 MITYANA-MUBENDE'!I53,'23.10 MITYANA-MUBENDE'!I53)</f>
        <v>3.8571428571428572</v>
      </c>
      <c r="J53" s="49">
        <f>AVERAGE('17.10  MITYANA-MUBENDE '!J53,'18.10  MITYANA-MUBENDE-24h'!J53,'19.10 MITYANA-MUBENDE-24h'!J53,'20.10 MITYANA-MUBENDE'!J53,'21.10 MITYANA-MUBENDE'!J53,'22.10 MITYANA-MUBENDE'!J53,'23.10 MITYANA-MUBENDE'!J53)</f>
        <v>3.1428571428571428</v>
      </c>
      <c r="K53" s="49">
        <f>AVERAGE('17.10  MITYANA-MUBENDE '!K53,'18.10  MITYANA-MUBENDE-24h'!K53,'19.10 MITYANA-MUBENDE-24h'!K53,'20.10 MITYANA-MUBENDE'!K53,'21.10 MITYANA-MUBENDE'!K53,'22.10 MITYANA-MUBENDE'!K53,'23.10 MITYANA-MUBENDE'!K53)</f>
        <v>0.42857142857142855</v>
      </c>
      <c r="L53" s="49">
        <f>AVERAGE('17.10  MITYANA-MUBENDE '!L53,'18.10  MITYANA-MUBENDE-24h'!L53,'19.10 MITYANA-MUBENDE-24h'!L53,'20.10 MITYANA-MUBENDE'!L53,'21.10 MITYANA-MUBENDE'!L53,'22.10 MITYANA-MUBENDE'!L53,'23.10 MITYANA-MUBENDE'!L53)</f>
        <v>0.8571428571428571</v>
      </c>
      <c r="M53" s="49">
        <f>AVERAGE('17.10  MITYANA-MUBENDE '!M53,'18.10  MITYANA-MUBENDE-24h'!M53,'19.10 MITYANA-MUBENDE-24h'!M53,'20.10 MITYANA-MUBENDE'!M53,'21.10 MITYANA-MUBENDE'!M53,'22.10 MITYANA-MUBENDE'!M53,'23.10 MITYANA-MUBENDE'!M53)</f>
        <v>50.857142857142854</v>
      </c>
      <c r="N53" s="49">
        <f>AVERAGE('17.10  MITYANA-MUBENDE '!N53,'18.10  MITYANA-MUBENDE-24h'!N53,'19.10 MITYANA-MUBENDE-24h'!N53,'20.10 MITYANA-MUBENDE'!N53,'21.10 MITYANA-MUBENDE'!N53,'22.10 MITYANA-MUBENDE'!N53,'23.10 MITYANA-MUBENDE'!N53)</f>
        <v>0</v>
      </c>
      <c r="O53" s="15">
        <f t="shared" si="0"/>
        <v>29.142857142857142</v>
      </c>
      <c r="P53" s="15">
        <f t="shared" si="1"/>
        <v>80</v>
      </c>
      <c r="R53" s="8"/>
      <c r="T53"/>
    </row>
    <row r="54" spans="2:20" ht="23.1" customHeight="1" x14ac:dyDescent="0.25">
      <c r="B54" s="23" t="s">
        <v>81</v>
      </c>
      <c r="C54" s="49">
        <f>AVERAGE('17.10  MITYANA-MUBENDE '!C54,'18.10  MITYANA-MUBENDE-24h'!C54,'19.10 MITYANA-MUBENDE-24h'!C54,'20.10 MITYANA-MUBENDE'!C54,'21.10 MITYANA-MUBENDE'!C54,'22.10 MITYANA-MUBENDE'!C54,'23.10 MITYANA-MUBENDE'!C54)</f>
        <v>9.8571428571428577</v>
      </c>
      <c r="D54" s="49">
        <f>AVERAGE('17.10  MITYANA-MUBENDE '!D54,'18.10  MITYANA-MUBENDE-24h'!D54,'19.10 MITYANA-MUBENDE-24h'!D54,'20.10 MITYANA-MUBENDE'!D54,'21.10 MITYANA-MUBENDE'!D54,'22.10 MITYANA-MUBENDE'!D54,'23.10 MITYANA-MUBENDE'!D54)</f>
        <v>2.4285714285714284</v>
      </c>
      <c r="E54" s="49">
        <f>AVERAGE('17.10  MITYANA-MUBENDE '!E54,'18.10  MITYANA-MUBENDE-24h'!E54,'19.10 MITYANA-MUBENDE-24h'!E54,'20.10 MITYANA-MUBENDE'!E54,'21.10 MITYANA-MUBENDE'!E54,'22.10 MITYANA-MUBENDE'!E54,'23.10 MITYANA-MUBENDE'!E54)</f>
        <v>1.5714285714285714</v>
      </c>
      <c r="F54" s="49">
        <f>AVERAGE('17.10  MITYANA-MUBENDE '!F54,'18.10  MITYANA-MUBENDE-24h'!F54,'19.10 MITYANA-MUBENDE-24h'!F54,'20.10 MITYANA-MUBENDE'!F54,'21.10 MITYANA-MUBENDE'!F54,'22.10 MITYANA-MUBENDE'!F54,'23.10 MITYANA-MUBENDE'!F54)</f>
        <v>9</v>
      </c>
      <c r="G54" s="49">
        <f>AVERAGE('17.10  MITYANA-MUBENDE '!G54,'18.10  MITYANA-MUBENDE-24h'!G54,'19.10 MITYANA-MUBENDE-24h'!G54,'20.10 MITYANA-MUBENDE'!G54,'21.10 MITYANA-MUBENDE'!G54,'22.10 MITYANA-MUBENDE'!G54,'23.10 MITYANA-MUBENDE'!G54)</f>
        <v>0</v>
      </c>
      <c r="H54" s="49">
        <f>AVERAGE('17.10  MITYANA-MUBENDE '!H54,'18.10  MITYANA-MUBENDE-24h'!H54,'19.10 MITYANA-MUBENDE-24h'!H54,'20.10 MITYANA-MUBENDE'!H54,'21.10 MITYANA-MUBENDE'!H54,'22.10 MITYANA-MUBENDE'!H54,'23.10 MITYANA-MUBENDE'!H54)</f>
        <v>0.42857142857142855</v>
      </c>
      <c r="I54" s="49">
        <f>AVERAGE('17.10  MITYANA-MUBENDE '!I54,'18.10  MITYANA-MUBENDE-24h'!I54,'19.10 MITYANA-MUBENDE-24h'!I54,'20.10 MITYANA-MUBENDE'!I54,'21.10 MITYANA-MUBENDE'!I54,'22.10 MITYANA-MUBENDE'!I54,'23.10 MITYANA-MUBENDE'!I54)</f>
        <v>4.1428571428571432</v>
      </c>
      <c r="J54" s="49">
        <f>AVERAGE('17.10  MITYANA-MUBENDE '!J54,'18.10  MITYANA-MUBENDE-24h'!J54,'19.10 MITYANA-MUBENDE-24h'!J54,'20.10 MITYANA-MUBENDE'!J54,'21.10 MITYANA-MUBENDE'!J54,'22.10 MITYANA-MUBENDE'!J54,'23.10 MITYANA-MUBENDE'!J54)</f>
        <v>3.5714285714285716</v>
      </c>
      <c r="K54" s="49">
        <f>AVERAGE('17.10  MITYANA-MUBENDE '!K54,'18.10  MITYANA-MUBENDE-24h'!K54,'19.10 MITYANA-MUBENDE-24h'!K54,'20.10 MITYANA-MUBENDE'!K54,'21.10 MITYANA-MUBENDE'!K54,'22.10 MITYANA-MUBENDE'!K54,'23.10 MITYANA-MUBENDE'!K54)</f>
        <v>1</v>
      </c>
      <c r="L54" s="49">
        <f>AVERAGE('17.10  MITYANA-MUBENDE '!L54,'18.10  MITYANA-MUBENDE-24h'!L54,'19.10 MITYANA-MUBENDE-24h'!L54,'20.10 MITYANA-MUBENDE'!L54,'21.10 MITYANA-MUBENDE'!L54,'22.10 MITYANA-MUBENDE'!L54,'23.10 MITYANA-MUBENDE'!L54)</f>
        <v>1.4285714285714286</v>
      </c>
      <c r="M54" s="49">
        <f>AVERAGE('17.10  MITYANA-MUBENDE '!M54,'18.10  MITYANA-MUBENDE-24h'!M54,'19.10 MITYANA-MUBENDE-24h'!M54,'20.10 MITYANA-MUBENDE'!M54,'21.10 MITYANA-MUBENDE'!M54,'22.10 MITYANA-MUBENDE'!M54,'23.10 MITYANA-MUBENDE'!M54)</f>
        <v>51.285714285714285</v>
      </c>
      <c r="N54" s="49">
        <f>AVERAGE('17.10  MITYANA-MUBENDE '!N54,'18.10  MITYANA-MUBENDE-24h'!N54,'19.10 MITYANA-MUBENDE-24h'!N54,'20.10 MITYANA-MUBENDE'!N54,'21.10 MITYANA-MUBENDE'!N54,'22.10 MITYANA-MUBENDE'!N54,'23.10 MITYANA-MUBENDE'!N54)</f>
        <v>0</v>
      </c>
      <c r="O54" s="15">
        <f t="shared" si="0"/>
        <v>33.428571428571431</v>
      </c>
      <c r="P54" s="15">
        <f t="shared" si="1"/>
        <v>84.714285714285722</v>
      </c>
      <c r="R54" s="8"/>
      <c r="T54"/>
    </row>
    <row r="55" spans="2:20" ht="23.1" customHeight="1" x14ac:dyDescent="0.25">
      <c r="B55" s="23" t="s">
        <v>82</v>
      </c>
      <c r="C55" s="49">
        <f>AVERAGE('17.10  MITYANA-MUBENDE '!C55,'18.10  MITYANA-MUBENDE-24h'!C55,'19.10 MITYANA-MUBENDE-24h'!C55,'20.10 MITYANA-MUBENDE'!C55,'21.10 MITYANA-MUBENDE'!C55,'22.10 MITYANA-MUBENDE'!C55,'23.10 MITYANA-MUBENDE'!C55)</f>
        <v>5.1428571428571432</v>
      </c>
      <c r="D55" s="49">
        <f>AVERAGE('17.10  MITYANA-MUBENDE '!D55,'18.10  MITYANA-MUBENDE-24h'!D55,'19.10 MITYANA-MUBENDE-24h'!D55,'20.10 MITYANA-MUBENDE'!D55,'21.10 MITYANA-MUBENDE'!D55,'22.10 MITYANA-MUBENDE'!D55,'23.10 MITYANA-MUBENDE'!D55)</f>
        <v>2.1428571428571428</v>
      </c>
      <c r="E55" s="49">
        <f>AVERAGE('17.10  MITYANA-MUBENDE '!E55,'18.10  MITYANA-MUBENDE-24h'!E55,'19.10 MITYANA-MUBENDE-24h'!E55,'20.10 MITYANA-MUBENDE'!E55,'21.10 MITYANA-MUBENDE'!E55,'22.10 MITYANA-MUBENDE'!E55,'23.10 MITYANA-MUBENDE'!E55)</f>
        <v>1.2857142857142858</v>
      </c>
      <c r="F55" s="49">
        <f>AVERAGE('17.10  MITYANA-MUBENDE '!F55,'18.10  MITYANA-MUBENDE-24h'!F55,'19.10 MITYANA-MUBENDE-24h'!F55,'20.10 MITYANA-MUBENDE'!F55,'21.10 MITYANA-MUBENDE'!F55,'22.10 MITYANA-MUBENDE'!F55,'23.10 MITYANA-MUBENDE'!F55)</f>
        <v>6.8571428571428568</v>
      </c>
      <c r="G55" s="49">
        <f>AVERAGE('17.10  MITYANA-MUBENDE '!G55,'18.10  MITYANA-MUBENDE-24h'!G55,'19.10 MITYANA-MUBENDE-24h'!G55,'20.10 MITYANA-MUBENDE'!G55,'21.10 MITYANA-MUBENDE'!G55,'22.10 MITYANA-MUBENDE'!G55,'23.10 MITYANA-MUBENDE'!G55)</f>
        <v>0</v>
      </c>
      <c r="H55" s="49">
        <f>AVERAGE('17.10  MITYANA-MUBENDE '!H55,'18.10  MITYANA-MUBENDE-24h'!H55,'19.10 MITYANA-MUBENDE-24h'!H55,'20.10 MITYANA-MUBENDE'!H55,'21.10 MITYANA-MUBENDE'!H55,'22.10 MITYANA-MUBENDE'!H55,'23.10 MITYANA-MUBENDE'!H55)</f>
        <v>0.2857142857142857</v>
      </c>
      <c r="I55" s="49">
        <f>AVERAGE('17.10  MITYANA-MUBENDE '!I55,'18.10  MITYANA-MUBENDE-24h'!I55,'19.10 MITYANA-MUBENDE-24h'!I55,'20.10 MITYANA-MUBENDE'!I55,'21.10 MITYANA-MUBENDE'!I55,'22.10 MITYANA-MUBENDE'!I55,'23.10 MITYANA-MUBENDE'!I55)</f>
        <v>3.7142857142857144</v>
      </c>
      <c r="J55" s="49">
        <f>AVERAGE('17.10  MITYANA-MUBENDE '!J55,'18.10  MITYANA-MUBENDE-24h'!J55,'19.10 MITYANA-MUBENDE-24h'!J55,'20.10 MITYANA-MUBENDE'!J55,'21.10 MITYANA-MUBENDE'!J55,'22.10 MITYANA-MUBENDE'!J55,'23.10 MITYANA-MUBENDE'!J55)</f>
        <v>2.4285714285714284</v>
      </c>
      <c r="K55" s="49">
        <f>AVERAGE('17.10  MITYANA-MUBENDE '!K55,'18.10  MITYANA-MUBENDE-24h'!K55,'19.10 MITYANA-MUBENDE-24h'!K55,'20.10 MITYANA-MUBENDE'!K55,'21.10 MITYANA-MUBENDE'!K55,'22.10 MITYANA-MUBENDE'!K55,'23.10 MITYANA-MUBENDE'!K55)</f>
        <v>1</v>
      </c>
      <c r="L55" s="49">
        <f>AVERAGE('17.10  MITYANA-MUBENDE '!L55,'18.10  MITYANA-MUBENDE-24h'!L55,'19.10 MITYANA-MUBENDE-24h'!L55,'20.10 MITYANA-MUBENDE'!L55,'21.10 MITYANA-MUBENDE'!L55,'22.10 MITYANA-MUBENDE'!L55,'23.10 MITYANA-MUBENDE'!L55)</f>
        <v>2.2857142857142856</v>
      </c>
      <c r="M55" s="49">
        <f>AVERAGE('17.10  MITYANA-MUBENDE '!M55,'18.10  MITYANA-MUBENDE-24h'!M55,'19.10 MITYANA-MUBENDE-24h'!M55,'20.10 MITYANA-MUBENDE'!M55,'21.10 MITYANA-MUBENDE'!M55,'22.10 MITYANA-MUBENDE'!M55,'23.10 MITYANA-MUBENDE'!M55)</f>
        <v>50.857142857142854</v>
      </c>
      <c r="N55" s="49">
        <f>AVERAGE('17.10  MITYANA-MUBENDE '!N55,'18.10  MITYANA-MUBENDE-24h'!N55,'19.10 MITYANA-MUBENDE-24h'!N55,'20.10 MITYANA-MUBENDE'!N55,'21.10 MITYANA-MUBENDE'!N55,'22.10 MITYANA-MUBENDE'!N55,'23.10 MITYANA-MUBENDE'!N55)</f>
        <v>0</v>
      </c>
      <c r="O55" s="15">
        <f t="shared" si="0"/>
        <v>25.142857142857142</v>
      </c>
      <c r="P55" s="15">
        <f t="shared" si="1"/>
        <v>76</v>
      </c>
      <c r="R55" s="8"/>
      <c r="T55"/>
    </row>
    <row r="56" spans="2:20" ht="23.1" customHeight="1" x14ac:dyDescent="0.25">
      <c r="B56" s="23" t="s">
        <v>83</v>
      </c>
      <c r="C56" s="49">
        <f>AVERAGE('17.10  MITYANA-MUBENDE '!C56,'18.10  MITYANA-MUBENDE-24h'!C56,'19.10 MITYANA-MUBENDE-24h'!C56,'20.10 MITYANA-MUBENDE'!C56,'21.10 MITYANA-MUBENDE'!C56,'22.10 MITYANA-MUBENDE'!C56,'23.10 MITYANA-MUBENDE'!C56)</f>
        <v>11.142857142857142</v>
      </c>
      <c r="D56" s="49">
        <f>AVERAGE('17.10  MITYANA-MUBENDE '!D56,'18.10  MITYANA-MUBENDE-24h'!D56,'19.10 MITYANA-MUBENDE-24h'!D56,'20.10 MITYANA-MUBENDE'!D56,'21.10 MITYANA-MUBENDE'!D56,'22.10 MITYANA-MUBENDE'!D56,'23.10 MITYANA-MUBENDE'!D56)</f>
        <v>2.8571428571428572</v>
      </c>
      <c r="E56" s="49">
        <f>AVERAGE('17.10  MITYANA-MUBENDE '!E56,'18.10  MITYANA-MUBENDE-24h'!E56,'19.10 MITYANA-MUBENDE-24h'!E56,'20.10 MITYANA-MUBENDE'!E56,'21.10 MITYANA-MUBENDE'!E56,'22.10 MITYANA-MUBENDE'!E56,'23.10 MITYANA-MUBENDE'!E56)</f>
        <v>2.7142857142857144</v>
      </c>
      <c r="F56" s="49">
        <f>AVERAGE('17.10  MITYANA-MUBENDE '!F56,'18.10  MITYANA-MUBENDE-24h'!F56,'19.10 MITYANA-MUBENDE-24h'!F56,'20.10 MITYANA-MUBENDE'!F56,'21.10 MITYANA-MUBENDE'!F56,'22.10 MITYANA-MUBENDE'!F56,'23.10 MITYANA-MUBENDE'!F56)</f>
        <v>8</v>
      </c>
      <c r="G56" s="49">
        <f>AVERAGE('17.10  MITYANA-MUBENDE '!G56,'18.10  MITYANA-MUBENDE-24h'!G56,'19.10 MITYANA-MUBENDE-24h'!G56,'20.10 MITYANA-MUBENDE'!G56,'21.10 MITYANA-MUBENDE'!G56,'22.10 MITYANA-MUBENDE'!G56,'23.10 MITYANA-MUBENDE'!G56)</f>
        <v>0.14285714285714285</v>
      </c>
      <c r="H56" s="49">
        <f>AVERAGE('17.10  MITYANA-MUBENDE '!H56,'18.10  MITYANA-MUBENDE-24h'!H56,'19.10 MITYANA-MUBENDE-24h'!H56,'20.10 MITYANA-MUBENDE'!H56,'21.10 MITYANA-MUBENDE'!H56,'22.10 MITYANA-MUBENDE'!H56,'23.10 MITYANA-MUBENDE'!H56)</f>
        <v>0.2857142857142857</v>
      </c>
      <c r="I56" s="49">
        <f>AVERAGE('17.10  MITYANA-MUBENDE '!I56,'18.10  MITYANA-MUBENDE-24h'!I56,'19.10 MITYANA-MUBENDE-24h'!I56,'20.10 MITYANA-MUBENDE'!I56,'21.10 MITYANA-MUBENDE'!I56,'22.10 MITYANA-MUBENDE'!I56,'23.10 MITYANA-MUBENDE'!I56)</f>
        <v>3.8571428571428572</v>
      </c>
      <c r="J56" s="49">
        <f>AVERAGE('17.10  MITYANA-MUBENDE '!J56,'18.10  MITYANA-MUBENDE-24h'!J56,'19.10 MITYANA-MUBENDE-24h'!J56,'20.10 MITYANA-MUBENDE'!J56,'21.10 MITYANA-MUBENDE'!J56,'22.10 MITYANA-MUBENDE'!J56,'23.10 MITYANA-MUBENDE'!J56)</f>
        <v>3.2857142857142856</v>
      </c>
      <c r="K56" s="49">
        <f>AVERAGE('17.10  MITYANA-MUBENDE '!K56,'18.10  MITYANA-MUBENDE-24h'!K56,'19.10 MITYANA-MUBENDE-24h'!K56,'20.10 MITYANA-MUBENDE'!K56,'21.10 MITYANA-MUBENDE'!K56,'22.10 MITYANA-MUBENDE'!K56,'23.10 MITYANA-MUBENDE'!K56)</f>
        <v>0.7142857142857143</v>
      </c>
      <c r="L56" s="49">
        <f>AVERAGE('17.10  MITYANA-MUBENDE '!L56,'18.10  MITYANA-MUBENDE-24h'!L56,'19.10 MITYANA-MUBENDE-24h'!L56,'20.10 MITYANA-MUBENDE'!L56,'21.10 MITYANA-MUBENDE'!L56,'22.10 MITYANA-MUBENDE'!L56,'23.10 MITYANA-MUBENDE'!L56)</f>
        <v>0.8571428571428571</v>
      </c>
      <c r="M56" s="49">
        <f>AVERAGE('17.10  MITYANA-MUBENDE '!M56,'18.10  MITYANA-MUBENDE-24h'!M56,'19.10 MITYANA-MUBENDE-24h'!M56,'20.10 MITYANA-MUBENDE'!M56,'21.10 MITYANA-MUBENDE'!M56,'22.10 MITYANA-MUBENDE'!M56,'23.10 MITYANA-MUBENDE'!M56)</f>
        <v>52.285714285714285</v>
      </c>
      <c r="N56" s="49">
        <f>AVERAGE('17.10  MITYANA-MUBENDE '!N56,'18.10  MITYANA-MUBENDE-24h'!N56,'19.10 MITYANA-MUBENDE-24h'!N56,'20.10 MITYANA-MUBENDE'!N56,'21.10 MITYANA-MUBENDE'!N56,'22.10 MITYANA-MUBENDE'!N56,'23.10 MITYANA-MUBENDE'!N56)</f>
        <v>0</v>
      </c>
      <c r="O56" s="15">
        <f t="shared" si="0"/>
        <v>33.857142857142854</v>
      </c>
      <c r="P56" s="15">
        <f t="shared" si="1"/>
        <v>86.142857142857139</v>
      </c>
      <c r="R56" s="8"/>
      <c r="T56"/>
    </row>
    <row r="57" spans="2:20" ht="23.1" customHeight="1" x14ac:dyDescent="0.25">
      <c r="B57" s="23" t="s">
        <v>84</v>
      </c>
      <c r="C57" s="49">
        <f>AVERAGE('17.10  MITYANA-MUBENDE '!C57,'18.10  MITYANA-MUBENDE-24h'!C57,'19.10 MITYANA-MUBENDE-24h'!C57,'20.10 MITYANA-MUBENDE'!C57,'21.10 MITYANA-MUBENDE'!C57,'22.10 MITYANA-MUBENDE'!C57,'23.10 MITYANA-MUBENDE'!C57)</f>
        <v>9.2857142857142865</v>
      </c>
      <c r="D57" s="49">
        <f>AVERAGE('17.10  MITYANA-MUBENDE '!D57,'18.10  MITYANA-MUBENDE-24h'!D57,'19.10 MITYANA-MUBENDE-24h'!D57,'20.10 MITYANA-MUBENDE'!D57,'21.10 MITYANA-MUBENDE'!D57,'22.10 MITYANA-MUBENDE'!D57,'23.10 MITYANA-MUBENDE'!D57)</f>
        <v>4.1428571428571432</v>
      </c>
      <c r="E57" s="49">
        <f>AVERAGE('17.10  MITYANA-MUBENDE '!E57,'18.10  MITYANA-MUBENDE-24h'!E57,'19.10 MITYANA-MUBENDE-24h'!E57,'20.10 MITYANA-MUBENDE'!E57,'21.10 MITYANA-MUBENDE'!E57,'22.10 MITYANA-MUBENDE'!E57,'23.10 MITYANA-MUBENDE'!E57)</f>
        <v>1.1428571428571428</v>
      </c>
      <c r="F57" s="49">
        <f>AVERAGE('17.10  MITYANA-MUBENDE '!F57,'18.10  MITYANA-MUBENDE-24h'!F57,'19.10 MITYANA-MUBENDE-24h'!F57,'20.10 MITYANA-MUBENDE'!F57,'21.10 MITYANA-MUBENDE'!F57,'22.10 MITYANA-MUBENDE'!F57,'23.10 MITYANA-MUBENDE'!F57)</f>
        <v>5.7142857142857144</v>
      </c>
      <c r="G57" s="49">
        <f>AVERAGE('17.10  MITYANA-MUBENDE '!G57,'18.10  MITYANA-MUBENDE-24h'!G57,'19.10 MITYANA-MUBENDE-24h'!G57,'20.10 MITYANA-MUBENDE'!G57,'21.10 MITYANA-MUBENDE'!G57,'22.10 MITYANA-MUBENDE'!G57,'23.10 MITYANA-MUBENDE'!G57)</f>
        <v>0.7142857142857143</v>
      </c>
      <c r="H57" s="49">
        <f>AVERAGE('17.10  MITYANA-MUBENDE '!H57,'18.10  MITYANA-MUBENDE-24h'!H57,'19.10 MITYANA-MUBENDE-24h'!H57,'20.10 MITYANA-MUBENDE'!H57,'21.10 MITYANA-MUBENDE'!H57,'22.10 MITYANA-MUBENDE'!H57,'23.10 MITYANA-MUBENDE'!H57)</f>
        <v>0.42857142857142855</v>
      </c>
      <c r="I57" s="49">
        <f>AVERAGE('17.10  MITYANA-MUBENDE '!I57,'18.10  MITYANA-MUBENDE-24h'!I57,'19.10 MITYANA-MUBENDE-24h'!I57,'20.10 MITYANA-MUBENDE'!I57,'21.10 MITYANA-MUBENDE'!I57,'22.10 MITYANA-MUBENDE'!I57,'23.10 MITYANA-MUBENDE'!I57)</f>
        <v>4.8571428571428568</v>
      </c>
      <c r="J57" s="49">
        <f>AVERAGE('17.10  MITYANA-MUBENDE '!J57,'18.10  MITYANA-MUBENDE-24h'!J57,'19.10 MITYANA-MUBENDE-24h'!J57,'20.10 MITYANA-MUBENDE'!J57,'21.10 MITYANA-MUBENDE'!J57,'22.10 MITYANA-MUBENDE'!J57,'23.10 MITYANA-MUBENDE'!J57)</f>
        <v>2.4285714285714284</v>
      </c>
      <c r="K57" s="49">
        <f>AVERAGE('17.10  MITYANA-MUBENDE '!K57,'18.10  MITYANA-MUBENDE-24h'!K57,'19.10 MITYANA-MUBENDE-24h'!K57,'20.10 MITYANA-MUBENDE'!K57,'21.10 MITYANA-MUBENDE'!K57,'22.10 MITYANA-MUBENDE'!K57,'23.10 MITYANA-MUBENDE'!K57)</f>
        <v>0.42857142857142855</v>
      </c>
      <c r="L57" s="49">
        <f>AVERAGE('17.10  MITYANA-MUBENDE '!L57,'18.10  MITYANA-MUBENDE-24h'!L57,'19.10 MITYANA-MUBENDE-24h'!L57,'20.10 MITYANA-MUBENDE'!L57,'21.10 MITYANA-MUBENDE'!L57,'22.10 MITYANA-MUBENDE'!L57,'23.10 MITYANA-MUBENDE'!L57)</f>
        <v>1.5714285714285714</v>
      </c>
      <c r="M57" s="49">
        <f>AVERAGE('17.10  MITYANA-MUBENDE '!M57,'18.10  MITYANA-MUBENDE-24h'!M57,'19.10 MITYANA-MUBENDE-24h'!M57,'20.10 MITYANA-MUBENDE'!M57,'21.10 MITYANA-MUBENDE'!M57,'22.10 MITYANA-MUBENDE'!M57,'23.10 MITYANA-MUBENDE'!M57)</f>
        <v>49.857142857142854</v>
      </c>
      <c r="N57" s="49">
        <f>AVERAGE('17.10  MITYANA-MUBENDE '!N57,'18.10  MITYANA-MUBENDE-24h'!N57,'19.10 MITYANA-MUBENDE-24h'!N57,'20.10 MITYANA-MUBENDE'!N57,'21.10 MITYANA-MUBENDE'!N57,'22.10 MITYANA-MUBENDE'!N57,'23.10 MITYANA-MUBENDE'!N57)</f>
        <v>0</v>
      </c>
      <c r="O57" s="15">
        <f t="shared" si="0"/>
        <v>30.714285714285715</v>
      </c>
      <c r="P57" s="15">
        <f t="shared" si="1"/>
        <v>80.571428571428569</v>
      </c>
      <c r="R57" s="8"/>
      <c r="T57"/>
    </row>
    <row r="58" spans="2:20" ht="23.1" customHeight="1" x14ac:dyDescent="0.25">
      <c r="B58" s="23" t="s">
        <v>99</v>
      </c>
      <c r="C58" s="49">
        <f>AVERAGE('18.10  MITYANA-MUBENDE-24h'!C58,'19.10 MITYANA-MUBENDE-24h'!C58)</f>
        <v>13</v>
      </c>
      <c r="D58" s="49">
        <f>AVERAGE('18.10  MITYANA-MUBENDE-24h'!D58,'19.10 MITYANA-MUBENDE-24h'!D58)</f>
        <v>8</v>
      </c>
      <c r="E58" s="49">
        <f>AVERAGE('18.10  MITYANA-MUBENDE-24h'!E58,'19.10 MITYANA-MUBENDE-24h'!E58)</f>
        <v>1.5</v>
      </c>
      <c r="F58" s="49">
        <f>AVERAGE('18.10  MITYANA-MUBENDE-24h'!F58,'19.10 MITYANA-MUBENDE-24h'!F58)</f>
        <v>10</v>
      </c>
      <c r="G58" s="49">
        <f>AVERAGE('18.10  MITYANA-MUBENDE-24h'!G58,'19.10 MITYANA-MUBENDE-24h'!G58)</f>
        <v>0</v>
      </c>
      <c r="H58" s="49">
        <f>AVERAGE('18.10  MITYANA-MUBENDE-24h'!H58,'19.10 MITYANA-MUBENDE-24h'!H58)</f>
        <v>0</v>
      </c>
      <c r="I58" s="49">
        <f>AVERAGE('18.10  MITYANA-MUBENDE-24h'!I58,'19.10 MITYANA-MUBENDE-24h'!I58)</f>
        <v>4.5</v>
      </c>
      <c r="J58" s="49">
        <f>AVERAGE('18.10  MITYANA-MUBENDE-24h'!J58,'19.10 MITYANA-MUBENDE-24h'!J58)</f>
        <v>2.5</v>
      </c>
      <c r="K58" s="49">
        <f>AVERAGE('18.10  MITYANA-MUBENDE-24h'!K58,'19.10 MITYANA-MUBENDE-24h'!K58)</f>
        <v>1</v>
      </c>
      <c r="L58" s="49">
        <f>AVERAGE('18.10  MITYANA-MUBENDE-24h'!L58,'19.10 MITYANA-MUBENDE-24h'!L58)</f>
        <v>0.5</v>
      </c>
      <c r="M58" s="49">
        <f>AVERAGE('18.10  MITYANA-MUBENDE-24h'!M58,'19.10 MITYANA-MUBENDE-24h'!M58)</f>
        <v>38.5</v>
      </c>
      <c r="N58" s="49">
        <f>AVERAGE('18.10  MITYANA-MUBENDE-24h'!N58,'19.10 MITYANA-MUBENDE-24h'!N58)</f>
        <v>0</v>
      </c>
      <c r="O58" s="15">
        <f t="shared" si="0"/>
        <v>41</v>
      </c>
      <c r="P58" s="15">
        <f t="shared" si="1"/>
        <v>79.5</v>
      </c>
      <c r="R58" s="8"/>
      <c r="T58"/>
    </row>
    <row r="59" spans="2:20" ht="23.1" customHeight="1" x14ac:dyDescent="0.25">
      <c r="B59" s="23" t="s">
        <v>100</v>
      </c>
      <c r="C59" s="49">
        <f>AVERAGE('18.10  MITYANA-MUBENDE-24h'!C59,'19.10 MITYANA-MUBENDE-24h'!C59)</f>
        <v>9.5</v>
      </c>
      <c r="D59" s="49">
        <f>AVERAGE('18.10  MITYANA-MUBENDE-24h'!D59,'19.10 MITYANA-MUBENDE-24h'!D59)</f>
        <v>2.5</v>
      </c>
      <c r="E59" s="49">
        <f>AVERAGE('18.10  MITYANA-MUBENDE-24h'!E59,'19.10 MITYANA-MUBENDE-24h'!E59)</f>
        <v>2.5</v>
      </c>
      <c r="F59" s="49">
        <f>AVERAGE('18.10  MITYANA-MUBENDE-24h'!F59,'19.10 MITYANA-MUBENDE-24h'!F59)</f>
        <v>5.5</v>
      </c>
      <c r="G59" s="49">
        <f>AVERAGE('18.10  MITYANA-MUBENDE-24h'!G59,'19.10 MITYANA-MUBENDE-24h'!G59)</f>
        <v>0</v>
      </c>
      <c r="H59" s="49">
        <f>AVERAGE('18.10  MITYANA-MUBENDE-24h'!H59,'19.10 MITYANA-MUBENDE-24h'!H59)</f>
        <v>0</v>
      </c>
      <c r="I59" s="49">
        <f>AVERAGE('18.10  MITYANA-MUBENDE-24h'!I59,'19.10 MITYANA-MUBENDE-24h'!I59)</f>
        <v>6.5</v>
      </c>
      <c r="J59" s="49">
        <f>AVERAGE('18.10  MITYANA-MUBENDE-24h'!J59,'19.10 MITYANA-MUBENDE-24h'!J59)</f>
        <v>3</v>
      </c>
      <c r="K59" s="49">
        <f>AVERAGE('18.10  MITYANA-MUBENDE-24h'!K59,'19.10 MITYANA-MUBENDE-24h'!K59)</f>
        <v>2</v>
      </c>
      <c r="L59" s="49">
        <f>AVERAGE('18.10  MITYANA-MUBENDE-24h'!L59,'19.10 MITYANA-MUBENDE-24h'!L59)</f>
        <v>2</v>
      </c>
      <c r="M59" s="49">
        <f>AVERAGE('18.10  MITYANA-MUBENDE-24h'!M59,'19.10 MITYANA-MUBENDE-24h'!M59)</f>
        <v>28.5</v>
      </c>
      <c r="N59" s="49">
        <f>AVERAGE('18.10  MITYANA-MUBENDE-24h'!N59,'19.10 MITYANA-MUBENDE-24h'!N59)</f>
        <v>0</v>
      </c>
      <c r="O59" s="15">
        <f t="shared" si="0"/>
        <v>33.5</v>
      </c>
      <c r="P59" s="15">
        <f t="shared" si="1"/>
        <v>62</v>
      </c>
      <c r="R59" s="8"/>
      <c r="T59"/>
    </row>
    <row r="60" spans="2:20" ht="23.1" customHeight="1" x14ac:dyDescent="0.25">
      <c r="B60" s="23" t="s">
        <v>101</v>
      </c>
      <c r="C60" s="49">
        <f>AVERAGE('18.10  MITYANA-MUBENDE-24h'!C60,'19.10 MITYANA-MUBENDE-24h'!C60)</f>
        <v>3</v>
      </c>
      <c r="D60" s="49">
        <f>AVERAGE('18.10  MITYANA-MUBENDE-24h'!D60,'19.10 MITYANA-MUBENDE-24h'!D60)</f>
        <v>1</v>
      </c>
      <c r="E60" s="49">
        <f>AVERAGE('18.10  MITYANA-MUBENDE-24h'!E60,'19.10 MITYANA-MUBENDE-24h'!E60)</f>
        <v>0</v>
      </c>
      <c r="F60" s="49">
        <f>AVERAGE('18.10  MITYANA-MUBENDE-24h'!F60,'19.10 MITYANA-MUBENDE-24h'!F60)</f>
        <v>7.5</v>
      </c>
      <c r="G60" s="49">
        <f>AVERAGE('18.10  MITYANA-MUBENDE-24h'!G60,'19.10 MITYANA-MUBENDE-24h'!G60)</f>
        <v>0</v>
      </c>
      <c r="H60" s="49">
        <f>AVERAGE('18.10  MITYANA-MUBENDE-24h'!H60,'19.10 MITYANA-MUBENDE-24h'!H60)</f>
        <v>0</v>
      </c>
      <c r="I60" s="49">
        <f>AVERAGE('18.10  MITYANA-MUBENDE-24h'!I60,'19.10 MITYANA-MUBENDE-24h'!I60)</f>
        <v>3.5</v>
      </c>
      <c r="J60" s="49">
        <f>AVERAGE('18.10  MITYANA-MUBENDE-24h'!J60,'19.10 MITYANA-MUBENDE-24h'!J60)</f>
        <v>3.5</v>
      </c>
      <c r="K60" s="49">
        <f>AVERAGE('18.10  MITYANA-MUBENDE-24h'!K60,'19.10 MITYANA-MUBENDE-24h'!K60)</f>
        <v>0.5</v>
      </c>
      <c r="L60" s="49">
        <f>AVERAGE('18.10  MITYANA-MUBENDE-24h'!L60,'19.10 MITYANA-MUBENDE-24h'!L60)</f>
        <v>0</v>
      </c>
      <c r="M60" s="49">
        <f>AVERAGE('18.10  MITYANA-MUBENDE-24h'!M60,'19.10 MITYANA-MUBENDE-24h'!M60)</f>
        <v>32.5</v>
      </c>
      <c r="N60" s="49">
        <f>AVERAGE('18.10  MITYANA-MUBENDE-24h'!N60,'19.10 MITYANA-MUBENDE-24h'!N60)</f>
        <v>0</v>
      </c>
      <c r="O60" s="15">
        <f t="shared" si="0"/>
        <v>19</v>
      </c>
      <c r="P60" s="15">
        <f t="shared" si="1"/>
        <v>51.5</v>
      </c>
      <c r="R60" s="8"/>
      <c r="T60"/>
    </row>
    <row r="61" spans="2:20" ht="23.1" customHeight="1" x14ac:dyDescent="0.25">
      <c r="B61" s="23" t="s">
        <v>102</v>
      </c>
      <c r="C61" s="49">
        <f>AVERAGE('18.10  MITYANA-MUBENDE-24h'!C61,'19.10 MITYANA-MUBENDE-24h'!C61)</f>
        <v>9.5</v>
      </c>
      <c r="D61" s="49">
        <f>AVERAGE('18.10  MITYANA-MUBENDE-24h'!D61,'19.10 MITYANA-MUBENDE-24h'!D61)</f>
        <v>3</v>
      </c>
      <c r="E61" s="49">
        <f>AVERAGE('18.10  MITYANA-MUBENDE-24h'!E61,'19.10 MITYANA-MUBENDE-24h'!E61)</f>
        <v>1.5</v>
      </c>
      <c r="F61" s="49">
        <f>AVERAGE('18.10  MITYANA-MUBENDE-24h'!F61,'19.10 MITYANA-MUBENDE-24h'!F61)</f>
        <v>2</v>
      </c>
      <c r="G61" s="49">
        <f>AVERAGE('18.10  MITYANA-MUBENDE-24h'!G61,'19.10 MITYANA-MUBENDE-24h'!G61)</f>
        <v>0</v>
      </c>
      <c r="H61" s="49">
        <f>AVERAGE('18.10  MITYANA-MUBENDE-24h'!H61,'19.10 MITYANA-MUBENDE-24h'!H61)</f>
        <v>0</v>
      </c>
      <c r="I61" s="49">
        <f>AVERAGE('18.10  MITYANA-MUBENDE-24h'!I61,'19.10 MITYANA-MUBENDE-24h'!I61)</f>
        <v>1.5</v>
      </c>
      <c r="J61" s="49">
        <f>AVERAGE('18.10  MITYANA-MUBENDE-24h'!J61,'19.10 MITYANA-MUBENDE-24h'!J61)</f>
        <v>2</v>
      </c>
      <c r="K61" s="49">
        <f>AVERAGE('18.10  MITYANA-MUBENDE-24h'!K61,'19.10 MITYANA-MUBENDE-24h'!K61)</f>
        <v>5</v>
      </c>
      <c r="L61" s="49">
        <f>AVERAGE('18.10  MITYANA-MUBENDE-24h'!L61,'19.10 MITYANA-MUBENDE-24h'!L61)</f>
        <v>0.5</v>
      </c>
      <c r="M61" s="49">
        <f>AVERAGE('18.10  MITYANA-MUBENDE-24h'!M61,'19.10 MITYANA-MUBENDE-24h'!M61)</f>
        <v>29.5</v>
      </c>
      <c r="N61" s="49">
        <f>AVERAGE('18.10  MITYANA-MUBENDE-24h'!N61,'19.10 MITYANA-MUBENDE-24h'!N61)</f>
        <v>0</v>
      </c>
      <c r="O61" s="15">
        <f t="shared" si="0"/>
        <v>25</v>
      </c>
      <c r="P61" s="15">
        <f t="shared" si="1"/>
        <v>54.5</v>
      </c>
      <c r="R61" s="8"/>
      <c r="T61"/>
    </row>
    <row r="62" spans="2:20" ht="23.1" customHeight="1" x14ac:dyDescent="0.25">
      <c r="B62" s="23" t="s">
        <v>107</v>
      </c>
      <c r="C62" s="49">
        <f>AVERAGE('18.10  MITYANA-MUBENDE-24h'!C62,'19.10 MITYANA-MUBENDE-24h'!C62)</f>
        <v>5.5</v>
      </c>
      <c r="D62" s="49">
        <f>AVERAGE('18.10  MITYANA-MUBENDE-24h'!D62,'19.10 MITYANA-MUBENDE-24h'!D62)</f>
        <v>3</v>
      </c>
      <c r="E62" s="49">
        <f>AVERAGE('18.10  MITYANA-MUBENDE-24h'!E62,'19.10 MITYANA-MUBENDE-24h'!E62)</f>
        <v>2.5</v>
      </c>
      <c r="F62" s="49">
        <f>AVERAGE('18.10  MITYANA-MUBENDE-24h'!F62,'19.10 MITYANA-MUBENDE-24h'!F62)</f>
        <v>3.5</v>
      </c>
      <c r="G62" s="49">
        <f>AVERAGE('18.10  MITYANA-MUBENDE-24h'!G62,'19.10 MITYANA-MUBENDE-24h'!G62)</f>
        <v>0</v>
      </c>
      <c r="H62" s="49">
        <f>AVERAGE('18.10  MITYANA-MUBENDE-24h'!H62,'19.10 MITYANA-MUBENDE-24h'!H62)</f>
        <v>0.5</v>
      </c>
      <c r="I62" s="49">
        <f>AVERAGE('18.10  MITYANA-MUBENDE-24h'!I62,'19.10 MITYANA-MUBENDE-24h'!I62)</f>
        <v>4</v>
      </c>
      <c r="J62" s="49">
        <f>AVERAGE('18.10  MITYANA-MUBENDE-24h'!J62,'19.10 MITYANA-MUBENDE-24h'!J62)</f>
        <v>3</v>
      </c>
      <c r="K62" s="49">
        <f>AVERAGE('18.10  MITYANA-MUBENDE-24h'!K62,'19.10 MITYANA-MUBENDE-24h'!K62)</f>
        <v>1</v>
      </c>
      <c r="L62" s="49">
        <f>AVERAGE('18.10  MITYANA-MUBENDE-24h'!L62,'19.10 MITYANA-MUBENDE-24h'!L62)</f>
        <v>0.5</v>
      </c>
      <c r="M62" s="49">
        <f>AVERAGE('18.10  MITYANA-MUBENDE-24h'!M62,'19.10 MITYANA-MUBENDE-24h'!M62)</f>
        <v>31</v>
      </c>
      <c r="N62" s="49">
        <f>AVERAGE('18.10  MITYANA-MUBENDE-24h'!N62,'19.10 MITYANA-MUBENDE-24h'!N62)</f>
        <v>0</v>
      </c>
      <c r="O62" s="15">
        <f t="shared" si="0"/>
        <v>23.5</v>
      </c>
      <c r="P62" s="15">
        <f t="shared" si="1"/>
        <v>54.5</v>
      </c>
      <c r="R62" s="8"/>
      <c r="T62"/>
    </row>
    <row r="63" spans="2:20" ht="23.1" customHeight="1" x14ac:dyDescent="0.25">
      <c r="B63" s="23" t="s">
        <v>108</v>
      </c>
      <c r="C63" s="49">
        <f>AVERAGE('18.10  MITYANA-MUBENDE-24h'!C63,'19.10 MITYANA-MUBENDE-24h'!C63)</f>
        <v>5</v>
      </c>
      <c r="D63" s="49">
        <f>AVERAGE('18.10  MITYANA-MUBENDE-24h'!D63,'19.10 MITYANA-MUBENDE-24h'!D63)</f>
        <v>1.5</v>
      </c>
      <c r="E63" s="49">
        <f>AVERAGE('18.10  MITYANA-MUBENDE-24h'!E63,'19.10 MITYANA-MUBENDE-24h'!E63)</f>
        <v>1.5</v>
      </c>
      <c r="F63" s="49">
        <f>AVERAGE('18.10  MITYANA-MUBENDE-24h'!F63,'19.10 MITYANA-MUBENDE-24h'!F63)</f>
        <v>4</v>
      </c>
      <c r="G63" s="49">
        <f>AVERAGE('18.10  MITYANA-MUBENDE-24h'!G63,'19.10 MITYANA-MUBENDE-24h'!G63)</f>
        <v>0</v>
      </c>
      <c r="H63" s="49">
        <f>AVERAGE('18.10  MITYANA-MUBENDE-24h'!H63,'19.10 MITYANA-MUBENDE-24h'!H63)</f>
        <v>0.5</v>
      </c>
      <c r="I63" s="49">
        <f>AVERAGE('18.10  MITYANA-MUBENDE-24h'!I63,'19.10 MITYANA-MUBENDE-24h'!I63)</f>
        <v>1.5</v>
      </c>
      <c r="J63" s="49">
        <f>AVERAGE('18.10  MITYANA-MUBENDE-24h'!J63,'19.10 MITYANA-MUBENDE-24h'!J63)</f>
        <v>6</v>
      </c>
      <c r="K63" s="49">
        <f>AVERAGE('18.10  MITYANA-MUBENDE-24h'!K63,'19.10 MITYANA-MUBENDE-24h'!K63)</f>
        <v>0.5</v>
      </c>
      <c r="L63" s="49">
        <f>AVERAGE('18.10  MITYANA-MUBENDE-24h'!L63,'19.10 MITYANA-MUBENDE-24h'!L63)</f>
        <v>1.5</v>
      </c>
      <c r="M63" s="49">
        <f>AVERAGE('18.10  MITYANA-MUBENDE-24h'!M63,'19.10 MITYANA-MUBENDE-24h'!M63)</f>
        <v>32</v>
      </c>
      <c r="N63" s="49">
        <f>AVERAGE('18.10  MITYANA-MUBENDE-24h'!N63,'19.10 MITYANA-MUBENDE-24h'!N63)</f>
        <v>0</v>
      </c>
      <c r="O63" s="15">
        <f t="shared" si="0"/>
        <v>22</v>
      </c>
      <c r="P63" s="15">
        <f t="shared" si="1"/>
        <v>54</v>
      </c>
      <c r="R63" s="8"/>
      <c r="T63"/>
    </row>
    <row r="64" spans="2:20" ht="23.1" customHeight="1" x14ac:dyDescent="0.25">
      <c r="B64" s="23" t="s">
        <v>109</v>
      </c>
      <c r="C64" s="49">
        <f>AVERAGE('18.10  MITYANA-MUBENDE-24h'!C64,'19.10 MITYANA-MUBENDE-24h'!C64)</f>
        <v>5.5</v>
      </c>
      <c r="D64" s="49">
        <f>AVERAGE('18.10  MITYANA-MUBENDE-24h'!D64,'19.10 MITYANA-MUBENDE-24h'!D64)</f>
        <v>1</v>
      </c>
      <c r="E64" s="49">
        <f>AVERAGE('18.10  MITYANA-MUBENDE-24h'!E64,'19.10 MITYANA-MUBENDE-24h'!E64)</f>
        <v>0.5</v>
      </c>
      <c r="F64" s="49">
        <f>AVERAGE('18.10  MITYANA-MUBENDE-24h'!F64,'19.10 MITYANA-MUBENDE-24h'!F64)</f>
        <v>3.5</v>
      </c>
      <c r="G64" s="49">
        <f>AVERAGE('18.10  MITYANA-MUBENDE-24h'!G64,'19.10 MITYANA-MUBENDE-24h'!G64)</f>
        <v>0</v>
      </c>
      <c r="H64" s="49">
        <f>AVERAGE('18.10  MITYANA-MUBENDE-24h'!H64,'19.10 MITYANA-MUBENDE-24h'!H64)</f>
        <v>0</v>
      </c>
      <c r="I64" s="49">
        <f>AVERAGE('18.10  MITYANA-MUBENDE-24h'!I64,'19.10 MITYANA-MUBENDE-24h'!I64)</f>
        <v>0.5</v>
      </c>
      <c r="J64" s="49">
        <f>AVERAGE('18.10  MITYANA-MUBENDE-24h'!J64,'19.10 MITYANA-MUBENDE-24h'!J64)</f>
        <v>2</v>
      </c>
      <c r="K64" s="49">
        <f>AVERAGE('18.10  MITYANA-MUBENDE-24h'!K64,'19.10 MITYANA-MUBENDE-24h'!K64)</f>
        <v>1</v>
      </c>
      <c r="L64" s="49">
        <f>AVERAGE('18.10  MITYANA-MUBENDE-24h'!L64,'19.10 MITYANA-MUBENDE-24h'!L64)</f>
        <v>2</v>
      </c>
      <c r="M64" s="49">
        <f>AVERAGE('18.10  MITYANA-MUBENDE-24h'!M64,'19.10 MITYANA-MUBENDE-24h'!M64)</f>
        <v>30.5</v>
      </c>
      <c r="N64" s="49">
        <f>AVERAGE('18.10  MITYANA-MUBENDE-24h'!N64,'19.10 MITYANA-MUBENDE-24h'!N64)</f>
        <v>0</v>
      </c>
      <c r="O64" s="15">
        <f t="shared" si="0"/>
        <v>16</v>
      </c>
      <c r="P64" s="15">
        <f t="shared" si="1"/>
        <v>46.5</v>
      </c>
      <c r="R64" s="8"/>
      <c r="T64"/>
    </row>
    <row r="65" spans="2:20" ht="23.1" customHeight="1" x14ac:dyDescent="0.25">
      <c r="B65" s="23" t="s">
        <v>158</v>
      </c>
      <c r="C65" s="49">
        <f>AVERAGE('18.10  MITYANA-MUBENDE-24h'!C65,'19.10 MITYANA-MUBENDE-24h'!C65)</f>
        <v>6.5</v>
      </c>
      <c r="D65" s="49">
        <f>AVERAGE('18.10  MITYANA-MUBENDE-24h'!D65,'19.10 MITYANA-MUBENDE-24h'!D65)</f>
        <v>2.5</v>
      </c>
      <c r="E65" s="49">
        <f>AVERAGE('18.10  MITYANA-MUBENDE-24h'!E65,'19.10 MITYANA-MUBENDE-24h'!E65)</f>
        <v>1.5</v>
      </c>
      <c r="F65" s="49">
        <f>AVERAGE('18.10  MITYANA-MUBENDE-24h'!F65,'19.10 MITYANA-MUBENDE-24h'!F65)</f>
        <v>5.5</v>
      </c>
      <c r="G65" s="49">
        <f>AVERAGE('18.10  MITYANA-MUBENDE-24h'!G65,'19.10 MITYANA-MUBENDE-24h'!G65)</f>
        <v>0.5</v>
      </c>
      <c r="H65" s="49">
        <f>AVERAGE('18.10  MITYANA-MUBENDE-24h'!H65,'19.10 MITYANA-MUBENDE-24h'!H65)</f>
        <v>0</v>
      </c>
      <c r="I65" s="49">
        <f>AVERAGE('18.10  MITYANA-MUBENDE-24h'!I65,'19.10 MITYANA-MUBENDE-24h'!I65)</f>
        <v>2</v>
      </c>
      <c r="J65" s="49">
        <f>AVERAGE('18.10  MITYANA-MUBENDE-24h'!J65,'19.10 MITYANA-MUBENDE-24h'!J65)</f>
        <v>5</v>
      </c>
      <c r="K65" s="49">
        <f>AVERAGE('18.10  MITYANA-MUBENDE-24h'!K65,'19.10 MITYANA-MUBENDE-24h'!K65)</f>
        <v>0</v>
      </c>
      <c r="L65" s="49">
        <f>AVERAGE('18.10  MITYANA-MUBENDE-24h'!L65,'19.10 MITYANA-MUBENDE-24h'!L65)</f>
        <v>1.5</v>
      </c>
      <c r="M65" s="49">
        <f>AVERAGE('18.10  MITYANA-MUBENDE-24h'!M65,'19.10 MITYANA-MUBENDE-24h'!M65)</f>
        <v>24.5</v>
      </c>
      <c r="N65" s="49">
        <f>AVERAGE('18.10  MITYANA-MUBENDE-24h'!N65,'19.10 MITYANA-MUBENDE-24h'!N65)</f>
        <v>0</v>
      </c>
      <c r="O65" s="15">
        <f t="shared" si="0"/>
        <v>25</v>
      </c>
      <c r="P65" s="15">
        <f t="shared" si="1"/>
        <v>49.5</v>
      </c>
      <c r="R65" s="8"/>
      <c r="T65"/>
    </row>
    <row r="66" spans="2:20" ht="23.1" customHeight="1" x14ac:dyDescent="0.25">
      <c r="B66" s="23" t="s">
        <v>103</v>
      </c>
      <c r="C66" s="49">
        <f>AVERAGE('18.10  MITYANA-MUBENDE-24h'!C66,'19.10 MITYANA-MUBENDE-24h'!C66)</f>
        <v>4.5</v>
      </c>
      <c r="D66" s="49">
        <f>AVERAGE('18.10  MITYANA-MUBENDE-24h'!D66,'19.10 MITYANA-MUBENDE-24h'!D66)</f>
        <v>0.5</v>
      </c>
      <c r="E66" s="49">
        <f>AVERAGE('18.10  MITYANA-MUBENDE-24h'!E66,'19.10 MITYANA-MUBENDE-24h'!E66)</f>
        <v>0.5</v>
      </c>
      <c r="F66" s="49">
        <f>AVERAGE('18.10  MITYANA-MUBENDE-24h'!F66,'19.10 MITYANA-MUBENDE-24h'!F66)</f>
        <v>1.5</v>
      </c>
      <c r="G66" s="49">
        <f>AVERAGE('18.10  MITYANA-MUBENDE-24h'!G66,'19.10 MITYANA-MUBENDE-24h'!G66)</f>
        <v>0</v>
      </c>
      <c r="H66" s="49">
        <f>AVERAGE('18.10  MITYANA-MUBENDE-24h'!H66,'19.10 MITYANA-MUBENDE-24h'!H66)</f>
        <v>0</v>
      </c>
      <c r="I66" s="49">
        <f>AVERAGE('18.10  MITYANA-MUBENDE-24h'!I66,'19.10 MITYANA-MUBENDE-24h'!I66)</f>
        <v>2</v>
      </c>
      <c r="J66" s="49">
        <f>AVERAGE('18.10  MITYANA-MUBENDE-24h'!J66,'19.10 MITYANA-MUBENDE-24h'!J66)</f>
        <v>5</v>
      </c>
      <c r="K66" s="49">
        <f>AVERAGE('18.10  MITYANA-MUBENDE-24h'!K66,'19.10 MITYANA-MUBENDE-24h'!K66)</f>
        <v>0</v>
      </c>
      <c r="L66" s="49">
        <f>AVERAGE('18.10  MITYANA-MUBENDE-24h'!L66,'19.10 MITYANA-MUBENDE-24h'!L66)</f>
        <v>0</v>
      </c>
      <c r="M66" s="49">
        <f>AVERAGE('18.10  MITYANA-MUBENDE-24h'!M66,'19.10 MITYANA-MUBENDE-24h'!M66)</f>
        <v>22.5</v>
      </c>
      <c r="N66" s="49">
        <f>AVERAGE('18.10  MITYANA-MUBENDE-24h'!N66,'19.10 MITYANA-MUBENDE-24h'!N66)</f>
        <v>0</v>
      </c>
      <c r="O66" s="15">
        <f t="shared" si="0"/>
        <v>14</v>
      </c>
      <c r="P66" s="15">
        <f t="shared" si="1"/>
        <v>36.5</v>
      </c>
      <c r="R66" s="8"/>
      <c r="T66"/>
    </row>
    <row r="67" spans="2:20" ht="23.1" customHeight="1" x14ac:dyDescent="0.25">
      <c r="B67" s="23" t="s">
        <v>104</v>
      </c>
      <c r="C67" s="49">
        <f>AVERAGE('18.10  MITYANA-MUBENDE-24h'!C67,'19.10 MITYANA-MUBENDE-24h'!C67)</f>
        <v>7</v>
      </c>
      <c r="D67" s="49">
        <f>AVERAGE('18.10  MITYANA-MUBENDE-24h'!D67,'19.10 MITYANA-MUBENDE-24h'!D67)</f>
        <v>0.5</v>
      </c>
      <c r="E67" s="49">
        <f>AVERAGE('18.10  MITYANA-MUBENDE-24h'!E67,'19.10 MITYANA-MUBENDE-24h'!E67)</f>
        <v>1</v>
      </c>
      <c r="F67" s="49">
        <f>AVERAGE('18.10  MITYANA-MUBENDE-24h'!F67,'19.10 MITYANA-MUBENDE-24h'!F67)</f>
        <v>4</v>
      </c>
      <c r="G67" s="49">
        <f>AVERAGE('18.10  MITYANA-MUBENDE-24h'!G67,'19.10 MITYANA-MUBENDE-24h'!G67)</f>
        <v>0</v>
      </c>
      <c r="H67" s="49">
        <f>AVERAGE('18.10  MITYANA-MUBENDE-24h'!H67,'19.10 MITYANA-MUBENDE-24h'!H67)</f>
        <v>0</v>
      </c>
      <c r="I67" s="49">
        <f>AVERAGE('18.10  MITYANA-MUBENDE-24h'!I67,'19.10 MITYANA-MUBENDE-24h'!I67)</f>
        <v>2.5</v>
      </c>
      <c r="J67" s="49">
        <f>AVERAGE('18.10  MITYANA-MUBENDE-24h'!J67,'19.10 MITYANA-MUBENDE-24h'!J67)</f>
        <v>4.5</v>
      </c>
      <c r="K67" s="49">
        <f>AVERAGE('18.10  MITYANA-MUBENDE-24h'!K67,'19.10 MITYANA-MUBENDE-24h'!K67)</f>
        <v>2</v>
      </c>
      <c r="L67" s="49">
        <f>AVERAGE('18.10  MITYANA-MUBENDE-24h'!L67,'19.10 MITYANA-MUBENDE-24h'!L67)</f>
        <v>0.5</v>
      </c>
      <c r="M67" s="49">
        <f>AVERAGE('18.10  MITYANA-MUBENDE-24h'!M67,'19.10 MITYANA-MUBENDE-24h'!M67)</f>
        <v>22</v>
      </c>
      <c r="N67" s="49">
        <f>AVERAGE('18.10  MITYANA-MUBENDE-24h'!N67,'19.10 MITYANA-MUBENDE-24h'!N67)</f>
        <v>0</v>
      </c>
      <c r="O67" s="15">
        <f t="shared" si="0"/>
        <v>22</v>
      </c>
      <c r="P67" s="15">
        <f t="shared" si="1"/>
        <v>44</v>
      </c>
      <c r="R67" s="8"/>
      <c r="T67"/>
    </row>
    <row r="68" spans="2:20" ht="23.1" customHeight="1" x14ac:dyDescent="0.25">
      <c r="B68" s="23" t="s">
        <v>105</v>
      </c>
      <c r="C68" s="49">
        <f>AVERAGE('18.10  MITYANA-MUBENDE-24h'!C68,'19.10 MITYANA-MUBENDE-24h'!C68)</f>
        <v>2</v>
      </c>
      <c r="D68" s="49">
        <f>AVERAGE('18.10  MITYANA-MUBENDE-24h'!D68,'19.10 MITYANA-MUBENDE-24h'!D68)</f>
        <v>1.5</v>
      </c>
      <c r="E68" s="49">
        <f>AVERAGE('18.10  MITYANA-MUBENDE-24h'!E68,'19.10 MITYANA-MUBENDE-24h'!E68)</f>
        <v>1</v>
      </c>
      <c r="F68" s="49">
        <f>AVERAGE('18.10  MITYANA-MUBENDE-24h'!F68,'19.10 MITYANA-MUBENDE-24h'!F68)</f>
        <v>7.5</v>
      </c>
      <c r="G68" s="49">
        <f>AVERAGE('18.10  MITYANA-MUBENDE-24h'!G68,'19.10 MITYANA-MUBENDE-24h'!G68)</f>
        <v>0</v>
      </c>
      <c r="H68" s="49">
        <f>AVERAGE('18.10  MITYANA-MUBENDE-24h'!H68,'19.10 MITYANA-MUBENDE-24h'!H68)</f>
        <v>0.5</v>
      </c>
      <c r="I68" s="49">
        <f>AVERAGE('18.10  MITYANA-MUBENDE-24h'!I68,'19.10 MITYANA-MUBENDE-24h'!I68)</f>
        <v>1</v>
      </c>
      <c r="J68" s="49">
        <f>AVERAGE('18.10  MITYANA-MUBENDE-24h'!J68,'19.10 MITYANA-MUBENDE-24h'!J68)</f>
        <v>2</v>
      </c>
      <c r="K68" s="49">
        <f>AVERAGE('18.10  MITYANA-MUBENDE-24h'!K68,'19.10 MITYANA-MUBENDE-24h'!K68)</f>
        <v>0.5</v>
      </c>
      <c r="L68" s="49">
        <f>AVERAGE('18.10  MITYANA-MUBENDE-24h'!L68,'19.10 MITYANA-MUBENDE-24h'!L68)</f>
        <v>0</v>
      </c>
      <c r="M68" s="49">
        <f>AVERAGE('18.10  MITYANA-MUBENDE-24h'!M68,'19.10 MITYANA-MUBENDE-24h'!M68)</f>
        <v>20.5</v>
      </c>
      <c r="N68" s="49">
        <f>AVERAGE('18.10  MITYANA-MUBENDE-24h'!N68,'19.10 MITYANA-MUBENDE-24h'!N68)</f>
        <v>0</v>
      </c>
      <c r="O68" s="15">
        <f t="shared" si="0"/>
        <v>16</v>
      </c>
      <c r="P68" s="15">
        <f t="shared" si="1"/>
        <v>36.5</v>
      </c>
      <c r="R68" s="8"/>
      <c r="T68"/>
    </row>
    <row r="69" spans="2:20" ht="23.1" customHeight="1" x14ac:dyDescent="0.25">
      <c r="B69" s="23" t="s">
        <v>106</v>
      </c>
      <c r="C69" s="49">
        <f>AVERAGE('18.10  MITYANA-MUBENDE-24h'!C69,'19.10 MITYANA-MUBENDE-24h'!C69)</f>
        <v>2.5</v>
      </c>
      <c r="D69" s="49">
        <f>AVERAGE('18.10  MITYANA-MUBENDE-24h'!D69,'19.10 MITYANA-MUBENDE-24h'!D69)</f>
        <v>2</v>
      </c>
      <c r="E69" s="49">
        <f>AVERAGE('18.10  MITYANA-MUBENDE-24h'!E69,'19.10 MITYANA-MUBENDE-24h'!E69)</f>
        <v>0</v>
      </c>
      <c r="F69" s="49">
        <f>AVERAGE('18.10  MITYANA-MUBENDE-24h'!F69,'19.10 MITYANA-MUBENDE-24h'!F69)</f>
        <v>1</v>
      </c>
      <c r="G69" s="49">
        <f>AVERAGE('18.10  MITYANA-MUBENDE-24h'!G69,'19.10 MITYANA-MUBENDE-24h'!G69)</f>
        <v>0.5</v>
      </c>
      <c r="H69" s="49">
        <f>AVERAGE('18.10  MITYANA-MUBENDE-24h'!H69,'19.10 MITYANA-MUBENDE-24h'!H69)</f>
        <v>0.5</v>
      </c>
      <c r="I69" s="49">
        <f>AVERAGE('18.10  MITYANA-MUBENDE-24h'!I69,'19.10 MITYANA-MUBENDE-24h'!I69)</f>
        <v>2</v>
      </c>
      <c r="J69" s="49">
        <f>AVERAGE('18.10  MITYANA-MUBENDE-24h'!J69,'19.10 MITYANA-MUBENDE-24h'!J69)</f>
        <v>2</v>
      </c>
      <c r="K69" s="49">
        <f>AVERAGE('18.10  MITYANA-MUBENDE-24h'!K69,'19.10 MITYANA-MUBENDE-24h'!K69)</f>
        <v>2</v>
      </c>
      <c r="L69" s="49">
        <f>AVERAGE('18.10  MITYANA-MUBENDE-24h'!L69,'19.10 MITYANA-MUBENDE-24h'!L69)</f>
        <v>1</v>
      </c>
      <c r="M69" s="49">
        <f>AVERAGE('18.10  MITYANA-MUBENDE-24h'!M69,'19.10 MITYANA-MUBENDE-24h'!M69)</f>
        <v>15</v>
      </c>
      <c r="N69" s="49">
        <f>AVERAGE('18.10  MITYANA-MUBENDE-24h'!N69,'19.10 MITYANA-MUBENDE-24h'!N69)</f>
        <v>0</v>
      </c>
      <c r="O69" s="15">
        <f t="shared" si="0"/>
        <v>13.5</v>
      </c>
      <c r="P69" s="15">
        <f t="shared" si="1"/>
        <v>28.5</v>
      </c>
      <c r="R69" s="8"/>
      <c r="T69"/>
    </row>
    <row r="70" spans="2:20" ht="23.1" customHeight="1" x14ac:dyDescent="0.25">
      <c r="B70" s="23" t="s">
        <v>110</v>
      </c>
      <c r="C70" s="49">
        <f>AVERAGE('18.10  MITYANA-MUBENDE-24h'!C70,'19.10 MITYANA-MUBENDE-24h'!C70)</f>
        <v>4</v>
      </c>
      <c r="D70" s="49">
        <f>AVERAGE('18.10  MITYANA-MUBENDE-24h'!D70,'19.10 MITYANA-MUBENDE-24h'!D70)</f>
        <v>2.5</v>
      </c>
      <c r="E70" s="49">
        <f>AVERAGE('18.10  MITYANA-MUBENDE-24h'!E70,'19.10 MITYANA-MUBENDE-24h'!E70)</f>
        <v>0</v>
      </c>
      <c r="F70" s="49">
        <f>AVERAGE('18.10  MITYANA-MUBENDE-24h'!F70,'19.10 MITYANA-MUBENDE-24h'!F70)</f>
        <v>4</v>
      </c>
      <c r="G70" s="49">
        <f>AVERAGE('18.10  MITYANA-MUBENDE-24h'!G70,'19.10 MITYANA-MUBENDE-24h'!G70)</f>
        <v>0</v>
      </c>
      <c r="H70" s="49">
        <f>AVERAGE('18.10  MITYANA-MUBENDE-24h'!H70,'19.10 MITYANA-MUBENDE-24h'!H70)</f>
        <v>1</v>
      </c>
      <c r="I70" s="49">
        <f>AVERAGE('18.10  MITYANA-MUBENDE-24h'!I70,'19.10 MITYANA-MUBENDE-24h'!I70)</f>
        <v>1</v>
      </c>
      <c r="J70" s="49">
        <f>AVERAGE('18.10  MITYANA-MUBENDE-24h'!J70,'19.10 MITYANA-MUBENDE-24h'!J70)</f>
        <v>3.5</v>
      </c>
      <c r="K70" s="49">
        <f>AVERAGE('18.10  MITYANA-MUBENDE-24h'!K70,'19.10 MITYANA-MUBENDE-24h'!K70)</f>
        <v>1.5</v>
      </c>
      <c r="L70" s="49">
        <f>AVERAGE('18.10  MITYANA-MUBENDE-24h'!L70,'19.10 MITYANA-MUBENDE-24h'!L70)</f>
        <v>0</v>
      </c>
      <c r="M70" s="49">
        <f>AVERAGE('18.10  MITYANA-MUBENDE-24h'!M70,'19.10 MITYANA-MUBENDE-24h'!M70)</f>
        <v>13</v>
      </c>
      <c r="N70" s="49">
        <f>AVERAGE('18.10  MITYANA-MUBENDE-24h'!N70,'19.10 MITYANA-MUBENDE-24h'!N70)</f>
        <v>0</v>
      </c>
      <c r="O70" s="15">
        <f t="shared" si="0"/>
        <v>17.5</v>
      </c>
      <c r="P70" s="15">
        <f t="shared" si="1"/>
        <v>30.5</v>
      </c>
      <c r="R70" s="8"/>
      <c r="T70"/>
    </row>
    <row r="71" spans="2:20" ht="23.1" customHeight="1" x14ac:dyDescent="0.25">
      <c r="B71" s="23" t="s">
        <v>111</v>
      </c>
      <c r="C71" s="49">
        <f>AVERAGE('18.10  MITYANA-MUBENDE-24h'!C71,'19.10 MITYANA-MUBENDE-24h'!C71)</f>
        <v>8.5</v>
      </c>
      <c r="D71" s="49">
        <f>AVERAGE('18.10  MITYANA-MUBENDE-24h'!D71,'19.10 MITYANA-MUBENDE-24h'!D71)</f>
        <v>1</v>
      </c>
      <c r="E71" s="49">
        <f>AVERAGE('18.10  MITYANA-MUBENDE-24h'!E71,'19.10 MITYANA-MUBENDE-24h'!E71)</f>
        <v>1</v>
      </c>
      <c r="F71" s="49">
        <f>AVERAGE('18.10  MITYANA-MUBENDE-24h'!F71,'19.10 MITYANA-MUBENDE-24h'!F71)</f>
        <v>2.5</v>
      </c>
      <c r="G71" s="49">
        <f>AVERAGE('18.10  MITYANA-MUBENDE-24h'!G71,'19.10 MITYANA-MUBENDE-24h'!G71)</f>
        <v>0</v>
      </c>
      <c r="H71" s="49">
        <f>AVERAGE('18.10  MITYANA-MUBENDE-24h'!H71,'19.10 MITYANA-MUBENDE-24h'!H71)</f>
        <v>0</v>
      </c>
      <c r="I71" s="49">
        <f>AVERAGE('18.10  MITYANA-MUBENDE-24h'!I71,'19.10 MITYANA-MUBENDE-24h'!I71)</f>
        <v>2</v>
      </c>
      <c r="J71" s="49">
        <f>AVERAGE('18.10  MITYANA-MUBENDE-24h'!J71,'19.10 MITYANA-MUBENDE-24h'!J71)</f>
        <v>3</v>
      </c>
      <c r="K71" s="49">
        <f>AVERAGE('18.10  MITYANA-MUBENDE-24h'!K71,'19.10 MITYANA-MUBENDE-24h'!K71)</f>
        <v>1</v>
      </c>
      <c r="L71" s="49">
        <f>AVERAGE('18.10  MITYANA-MUBENDE-24h'!L71,'19.10 MITYANA-MUBENDE-24h'!L71)</f>
        <v>2</v>
      </c>
      <c r="M71" s="49">
        <f>AVERAGE('18.10  MITYANA-MUBENDE-24h'!M71,'19.10 MITYANA-MUBENDE-24h'!M71)</f>
        <v>11</v>
      </c>
      <c r="N71" s="49">
        <f>AVERAGE('18.10  MITYANA-MUBENDE-24h'!N71,'19.10 MITYANA-MUBENDE-24h'!N71)</f>
        <v>0</v>
      </c>
      <c r="O71" s="15">
        <f t="shared" si="0"/>
        <v>21</v>
      </c>
      <c r="P71" s="15">
        <f t="shared" si="1"/>
        <v>32</v>
      </c>
      <c r="R71" s="8"/>
      <c r="T71"/>
    </row>
    <row r="72" spans="2:20" ht="23.1" customHeight="1" x14ac:dyDescent="0.25">
      <c r="B72" s="23" t="s">
        <v>112</v>
      </c>
      <c r="C72" s="49">
        <f>AVERAGE('18.10  MITYANA-MUBENDE-24h'!C72,'19.10 MITYANA-MUBENDE-24h'!C72)</f>
        <v>1</v>
      </c>
      <c r="D72" s="49">
        <f>AVERAGE('18.10  MITYANA-MUBENDE-24h'!D72,'19.10 MITYANA-MUBENDE-24h'!D72)</f>
        <v>0.5</v>
      </c>
      <c r="E72" s="49">
        <f>AVERAGE('18.10  MITYANA-MUBENDE-24h'!E72,'19.10 MITYANA-MUBENDE-24h'!E72)</f>
        <v>0.5</v>
      </c>
      <c r="F72" s="49">
        <f>AVERAGE('18.10  MITYANA-MUBENDE-24h'!F72,'19.10 MITYANA-MUBENDE-24h'!F72)</f>
        <v>4</v>
      </c>
      <c r="G72" s="49">
        <f>AVERAGE('18.10  MITYANA-MUBENDE-24h'!G72,'19.10 MITYANA-MUBENDE-24h'!G72)</f>
        <v>0</v>
      </c>
      <c r="H72" s="49">
        <f>AVERAGE('18.10  MITYANA-MUBENDE-24h'!H72,'19.10 MITYANA-MUBENDE-24h'!H72)</f>
        <v>0.5</v>
      </c>
      <c r="I72" s="49">
        <f>AVERAGE('18.10  MITYANA-MUBENDE-24h'!I72,'19.10 MITYANA-MUBENDE-24h'!I72)</f>
        <v>3</v>
      </c>
      <c r="J72" s="49">
        <f>AVERAGE('18.10  MITYANA-MUBENDE-24h'!J72,'19.10 MITYANA-MUBENDE-24h'!J72)</f>
        <v>3</v>
      </c>
      <c r="K72" s="49">
        <f>AVERAGE('18.10  MITYANA-MUBENDE-24h'!K72,'19.10 MITYANA-MUBENDE-24h'!K72)</f>
        <v>1</v>
      </c>
      <c r="L72" s="49">
        <f>AVERAGE('18.10  MITYANA-MUBENDE-24h'!L72,'19.10 MITYANA-MUBENDE-24h'!L72)</f>
        <v>0</v>
      </c>
      <c r="M72" s="49">
        <f>AVERAGE('18.10  MITYANA-MUBENDE-24h'!M72,'19.10 MITYANA-MUBENDE-24h'!M72)</f>
        <v>14.5</v>
      </c>
      <c r="N72" s="49">
        <f>AVERAGE('18.10  MITYANA-MUBENDE-24h'!N72,'19.10 MITYANA-MUBENDE-24h'!N72)</f>
        <v>0</v>
      </c>
      <c r="O72" s="15">
        <f t="shared" si="0"/>
        <v>13.5</v>
      </c>
      <c r="P72" s="15">
        <f t="shared" si="1"/>
        <v>28</v>
      </c>
      <c r="R72" s="8"/>
      <c r="T72"/>
    </row>
    <row r="73" spans="2:20" ht="23.1" customHeight="1" x14ac:dyDescent="0.25">
      <c r="B73" s="23" t="s">
        <v>113</v>
      </c>
      <c r="C73" s="49">
        <f>AVERAGE('18.10  MITYANA-MUBENDE-24h'!C73,'19.10 MITYANA-MUBENDE-24h'!C73)</f>
        <v>2.5</v>
      </c>
      <c r="D73" s="49">
        <f>AVERAGE('18.10  MITYANA-MUBENDE-24h'!D73,'19.10 MITYANA-MUBENDE-24h'!D73)</f>
        <v>2</v>
      </c>
      <c r="E73" s="49">
        <f>AVERAGE('18.10  MITYANA-MUBENDE-24h'!E73,'19.10 MITYANA-MUBENDE-24h'!E73)</f>
        <v>1</v>
      </c>
      <c r="F73" s="49">
        <f>AVERAGE('18.10  MITYANA-MUBENDE-24h'!F73,'19.10 MITYANA-MUBENDE-24h'!F73)</f>
        <v>2</v>
      </c>
      <c r="G73" s="49">
        <f>AVERAGE('18.10  MITYANA-MUBENDE-24h'!G73,'19.10 MITYANA-MUBENDE-24h'!G73)</f>
        <v>0</v>
      </c>
      <c r="H73" s="49">
        <f>AVERAGE('18.10  MITYANA-MUBENDE-24h'!H73,'19.10 MITYANA-MUBENDE-24h'!H73)</f>
        <v>0.5</v>
      </c>
      <c r="I73" s="49">
        <f>AVERAGE('18.10  MITYANA-MUBENDE-24h'!I73,'19.10 MITYANA-MUBENDE-24h'!I73)</f>
        <v>1.5</v>
      </c>
      <c r="J73" s="49">
        <f>AVERAGE('18.10  MITYANA-MUBENDE-24h'!J73,'19.10 MITYANA-MUBENDE-24h'!J73)</f>
        <v>3</v>
      </c>
      <c r="K73" s="49">
        <f>AVERAGE('18.10  MITYANA-MUBENDE-24h'!K73,'19.10 MITYANA-MUBENDE-24h'!K73)</f>
        <v>2</v>
      </c>
      <c r="L73" s="49">
        <f>AVERAGE('18.10  MITYANA-MUBENDE-24h'!L73,'19.10 MITYANA-MUBENDE-24h'!L73)</f>
        <v>0.5</v>
      </c>
      <c r="M73" s="49">
        <f>AVERAGE('18.10  MITYANA-MUBENDE-24h'!M73,'19.10 MITYANA-MUBENDE-24h'!M73)</f>
        <v>8</v>
      </c>
      <c r="N73" s="49">
        <f>AVERAGE('18.10  MITYANA-MUBENDE-24h'!N73,'19.10 MITYANA-MUBENDE-24h'!N73)</f>
        <v>0</v>
      </c>
      <c r="O73" s="15">
        <f t="shared" si="0"/>
        <v>15</v>
      </c>
      <c r="P73" s="15">
        <f t="shared" si="1"/>
        <v>23</v>
      </c>
      <c r="R73" s="8"/>
      <c r="T73"/>
    </row>
    <row r="74" spans="2:20" ht="23.1" customHeight="1" x14ac:dyDescent="0.25">
      <c r="B74" s="23" t="s">
        <v>114</v>
      </c>
      <c r="C74" s="49">
        <f>AVERAGE('18.10  MITYANA-MUBENDE-24h'!C74,'19.10 MITYANA-MUBENDE-24h'!C74)</f>
        <v>4</v>
      </c>
      <c r="D74" s="49">
        <f>AVERAGE('18.10  MITYANA-MUBENDE-24h'!D74,'19.10 MITYANA-MUBENDE-24h'!D74)</f>
        <v>1</v>
      </c>
      <c r="E74" s="49">
        <f>AVERAGE('18.10  MITYANA-MUBENDE-24h'!E74,'19.10 MITYANA-MUBENDE-24h'!E74)</f>
        <v>0</v>
      </c>
      <c r="F74" s="49">
        <f>AVERAGE('18.10  MITYANA-MUBENDE-24h'!F74,'19.10 MITYANA-MUBENDE-24h'!F74)</f>
        <v>3</v>
      </c>
      <c r="G74" s="49">
        <f>AVERAGE('18.10  MITYANA-MUBENDE-24h'!G74,'19.10 MITYANA-MUBENDE-24h'!G74)</f>
        <v>0.5</v>
      </c>
      <c r="H74" s="49">
        <f>AVERAGE('18.10  MITYANA-MUBENDE-24h'!H74,'19.10 MITYANA-MUBENDE-24h'!H74)</f>
        <v>0.5</v>
      </c>
      <c r="I74" s="49">
        <f>AVERAGE('18.10  MITYANA-MUBENDE-24h'!I74,'19.10 MITYANA-MUBENDE-24h'!I74)</f>
        <v>1</v>
      </c>
      <c r="J74" s="49">
        <f>AVERAGE('18.10  MITYANA-MUBENDE-24h'!J74,'19.10 MITYANA-MUBENDE-24h'!J74)</f>
        <v>1.5</v>
      </c>
      <c r="K74" s="49">
        <f>AVERAGE('18.10  MITYANA-MUBENDE-24h'!K74,'19.10 MITYANA-MUBENDE-24h'!K74)</f>
        <v>2.5</v>
      </c>
      <c r="L74" s="49">
        <f>AVERAGE('18.10  MITYANA-MUBENDE-24h'!L74,'19.10 MITYANA-MUBENDE-24h'!L74)</f>
        <v>1.5</v>
      </c>
      <c r="M74" s="49">
        <f>AVERAGE('18.10  MITYANA-MUBENDE-24h'!M74,'19.10 MITYANA-MUBENDE-24h'!M74)</f>
        <v>11</v>
      </c>
      <c r="N74" s="49">
        <f>AVERAGE('18.10  MITYANA-MUBENDE-24h'!N74,'19.10 MITYANA-MUBENDE-24h'!N74)</f>
        <v>0</v>
      </c>
      <c r="O74" s="15">
        <f t="shared" ref="O74:O105" si="35">SUM(C74:L74,N74)</f>
        <v>15.5</v>
      </c>
      <c r="P74" s="15">
        <f t="shared" ref="P74:P105" si="36">SUM(C74:N74)</f>
        <v>26.5</v>
      </c>
      <c r="R74" s="8"/>
      <c r="T74"/>
    </row>
    <row r="75" spans="2:20" ht="23.1" customHeight="1" x14ac:dyDescent="0.25">
      <c r="B75" s="23" t="s">
        <v>115</v>
      </c>
      <c r="C75" s="49">
        <f>AVERAGE('18.10  MITYANA-MUBENDE-24h'!C75,'19.10 MITYANA-MUBENDE-24h'!C75)</f>
        <v>3.5</v>
      </c>
      <c r="D75" s="49">
        <f>AVERAGE('18.10  MITYANA-MUBENDE-24h'!D75,'19.10 MITYANA-MUBENDE-24h'!D75)</f>
        <v>2</v>
      </c>
      <c r="E75" s="49">
        <f>AVERAGE('18.10  MITYANA-MUBENDE-24h'!E75,'19.10 MITYANA-MUBENDE-24h'!E75)</f>
        <v>0</v>
      </c>
      <c r="F75" s="49">
        <f>AVERAGE('18.10  MITYANA-MUBENDE-24h'!F75,'19.10 MITYANA-MUBENDE-24h'!F75)</f>
        <v>2</v>
      </c>
      <c r="G75" s="49">
        <f>AVERAGE('18.10  MITYANA-MUBENDE-24h'!G75,'19.10 MITYANA-MUBENDE-24h'!G75)</f>
        <v>0.5</v>
      </c>
      <c r="H75" s="49">
        <f>AVERAGE('18.10  MITYANA-MUBENDE-24h'!H75,'19.10 MITYANA-MUBENDE-24h'!H75)</f>
        <v>2</v>
      </c>
      <c r="I75" s="49">
        <f>AVERAGE('18.10  MITYANA-MUBENDE-24h'!I75,'19.10 MITYANA-MUBENDE-24h'!I75)</f>
        <v>2.5</v>
      </c>
      <c r="J75" s="49">
        <f>AVERAGE('18.10  MITYANA-MUBENDE-24h'!J75,'19.10 MITYANA-MUBENDE-24h'!J75)</f>
        <v>2.5</v>
      </c>
      <c r="K75" s="49">
        <f>AVERAGE('18.10  MITYANA-MUBENDE-24h'!K75,'19.10 MITYANA-MUBENDE-24h'!K75)</f>
        <v>1.5</v>
      </c>
      <c r="L75" s="49">
        <f>AVERAGE('18.10  MITYANA-MUBENDE-24h'!L75,'19.10 MITYANA-MUBENDE-24h'!L75)</f>
        <v>1</v>
      </c>
      <c r="M75" s="49">
        <f>AVERAGE('18.10  MITYANA-MUBENDE-24h'!M75,'19.10 MITYANA-MUBENDE-24h'!M75)</f>
        <v>4.5</v>
      </c>
      <c r="N75" s="49">
        <f>AVERAGE('18.10  MITYANA-MUBENDE-24h'!N75,'19.10 MITYANA-MUBENDE-24h'!N75)</f>
        <v>0</v>
      </c>
      <c r="O75" s="15">
        <f t="shared" si="35"/>
        <v>17.5</v>
      </c>
      <c r="P75" s="15">
        <f t="shared" si="36"/>
        <v>22</v>
      </c>
      <c r="R75" s="8"/>
      <c r="T75"/>
    </row>
    <row r="76" spans="2:20" ht="23.1" customHeight="1" x14ac:dyDescent="0.25">
      <c r="B76" s="23" t="s">
        <v>116</v>
      </c>
      <c r="C76" s="49">
        <f>AVERAGE('18.10  MITYANA-MUBENDE-24h'!C76,'19.10 MITYANA-MUBENDE-24h'!C76)</f>
        <v>2</v>
      </c>
      <c r="D76" s="49">
        <f>AVERAGE('18.10  MITYANA-MUBENDE-24h'!D76,'19.10 MITYANA-MUBENDE-24h'!D76)</f>
        <v>0.5</v>
      </c>
      <c r="E76" s="49">
        <f>AVERAGE('18.10  MITYANA-MUBENDE-24h'!E76,'19.10 MITYANA-MUBENDE-24h'!E76)</f>
        <v>0</v>
      </c>
      <c r="F76" s="49">
        <f>AVERAGE('18.10  MITYANA-MUBENDE-24h'!F76,'19.10 MITYANA-MUBENDE-24h'!F76)</f>
        <v>1</v>
      </c>
      <c r="G76" s="49">
        <f>AVERAGE('18.10  MITYANA-MUBENDE-24h'!G76,'19.10 MITYANA-MUBENDE-24h'!G76)</f>
        <v>0.5</v>
      </c>
      <c r="H76" s="49">
        <f>AVERAGE('18.10  MITYANA-MUBENDE-24h'!H76,'19.10 MITYANA-MUBENDE-24h'!H76)</f>
        <v>0</v>
      </c>
      <c r="I76" s="49">
        <f>AVERAGE('18.10  MITYANA-MUBENDE-24h'!I76,'19.10 MITYANA-MUBENDE-24h'!I76)</f>
        <v>1</v>
      </c>
      <c r="J76" s="49">
        <f>AVERAGE('18.10  MITYANA-MUBENDE-24h'!J76,'19.10 MITYANA-MUBENDE-24h'!J76)</f>
        <v>2.5</v>
      </c>
      <c r="K76" s="49">
        <f>AVERAGE('18.10  MITYANA-MUBENDE-24h'!K76,'19.10 MITYANA-MUBENDE-24h'!K76)</f>
        <v>1.5</v>
      </c>
      <c r="L76" s="49">
        <f>AVERAGE('18.10  MITYANA-MUBENDE-24h'!L76,'19.10 MITYANA-MUBENDE-24h'!L76)</f>
        <v>0</v>
      </c>
      <c r="M76" s="49">
        <f>AVERAGE('18.10  MITYANA-MUBENDE-24h'!M76,'19.10 MITYANA-MUBENDE-24h'!M76)</f>
        <v>5.5</v>
      </c>
      <c r="N76" s="49">
        <f>AVERAGE('18.10  MITYANA-MUBENDE-24h'!N76,'19.10 MITYANA-MUBENDE-24h'!N76)</f>
        <v>0</v>
      </c>
      <c r="O76" s="15">
        <f t="shared" si="35"/>
        <v>9</v>
      </c>
      <c r="P76" s="15">
        <f t="shared" si="36"/>
        <v>14.5</v>
      </c>
      <c r="R76" s="8"/>
      <c r="T76"/>
    </row>
    <row r="77" spans="2:20" ht="23.1" customHeight="1" x14ac:dyDescent="0.25">
      <c r="B77" s="23" t="s">
        <v>117</v>
      </c>
      <c r="C77" s="49">
        <f>AVERAGE('18.10  MITYANA-MUBENDE-24h'!C77,'19.10 MITYANA-MUBENDE-24h'!C77)</f>
        <v>1.5</v>
      </c>
      <c r="D77" s="49">
        <f>AVERAGE('18.10  MITYANA-MUBENDE-24h'!D77,'19.10 MITYANA-MUBENDE-24h'!D77)</f>
        <v>0.5</v>
      </c>
      <c r="E77" s="49">
        <f>AVERAGE('18.10  MITYANA-MUBENDE-24h'!E77,'19.10 MITYANA-MUBENDE-24h'!E77)</f>
        <v>0</v>
      </c>
      <c r="F77" s="49">
        <f>AVERAGE('18.10  MITYANA-MUBENDE-24h'!F77,'19.10 MITYANA-MUBENDE-24h'!F77)</f>
        <v>1</v>
      </c>
      <c r="G77" s="49">
        <f>AVERAGE('18.10  MITYANA-MUBENDE-24h'!G77,'19.10 MITYANA-MUBENDE-24h'!G77)</f>
        <v>0</v>
      </c>
      <c r="H77" s="49">
        <f>AVERAGE('18.10  MITYANA-MUBENDE-24h'!H77,'19.10 MITYANA-MUBENDE-24h'!H77)</f>
        <v>0</v>
      </c>
      <c r="I77" s="49">
        <f>AVERAGE('18.10  MITYANA-MUBENDE-24h'!I77,'19.10 MITYANA-MUBENDE-24h'!I77)</f>
        <v>1</v>
      </c>
      <c r="J77" s="49">
        <f>AVERAGE('18.10  MITYANA-MUBENDE-24h'!J77,'19.10 MITYANA-MUBENDE-24h'!J77)</f>
        <v>5</v>
      </c>
      <c r="K77" s="49">
        <f>AVERAGE('18.10  MITYANA-MUBENDE-24h'!K77,'19.10 MITYANA-MUBENDE-24h'!K77)</f>
        <v>0.5</v>
      </c>
      <c r="L77" s="49">
        <f>AVERAGE('18.10  MITYANA-MUBENDE-24h'!L77,'19.10 MITYANA-MUBENDE-24h'!L77)</f>
        <v>0.5</v>
      </c>
      <c r="M77" s="49">
        <f>AVERAGE('18.10  MITYANA-MUBENDE-24h'!M77,'19.10 MITYANA-MUBENDE-24h'!M77)</f>
        <v>4.5</v>
      </c>
      <c r="N77" s="49">
        <f>AVERAGE('18.10  MITYANA-MUBENDE-24h'!N77,'19.10 MITYANA-MUBENDE-24h'!N77)</f>
        <v>0</v>
      </c>
      <c r="O77" s="15">
        <f t="shared" si="35"/>
        <v>10</v>
      </c>
      <c r="P77" s="15">
        <f t="shared" si="36"/>
        <v>14.5</v>
      </c>
      <c r="R77" s="8"/>
      <c r="T77"/>
    </row>
    <row r="78" spans="2:20" ht="23.1" customHeight="1" x14ac:dyDescent="0.25">
      <c r="B78" s="24" t="s">
        <v>118</v>
      </c>
      <c r="C78" s="49">
        <f>AVERAGE('18.10  MITYANA-MUBENDE-24h'!C78,'19.10 MITYANA-MUBENDE-24h'!C78)</f>
        <v>3</v>
      </c>
      <c r="D78" s="49">
        <f>AVERAGE('18.10  MITYANA-MUBENDE-24h'!D78,'19.10 MITYANA-MUBENDE-24h'!D78)</f>
        <v>1.5</v>
      </c>
      <c r="E78" s="49">
        <f>AVERAGE('18.10  MITYANA-MUBENDE-24h'!E78,'19.10 MITYANA-MUBENDE-24h'!E78)</f>
        <v>0</v>
      </c>
      <c r="F78" s="49">
        <f>AVERAGE('18.10  MITYANA-MUBENDE-24h'!F78,'19.10 MITYANA-MUBENDE-24h'!F78)</f>
        <v>1</v>
      </c>
      <c r="G78" s="49">
        <f>AVERAGE('18.10  MITYANA-MUBENDE-24h'!G78,'19.10 MITYANA-MUBENDE-24h'!G78)</f>
        <v>0</v>
      </c>
      <c r="H78" s="49">
        <f>AVERAGE('18.10  MITYANA-MUBENDE-24h'!H78,'19.10 MITYANA-MUBENDE-24h'!H78)</f>
        <v>0</v>
      </c>
      <c r="I78" s="49">
        <f>AVERAGE('18.10  MITYANA-MUBENDE-24h'!I78,'19.10 MITYANA-MUBENDE-24h'!I78)</f>
        <v>2</v>
      </c>
      <c r="J78" s="49">
        <f>AVERAGE('18.10  MITYANA-MUBENDE-24h'!J78,'19.10 MITYANA-MUBENDE-24h'!J78)</f>
        <v>1.5</v>
      </c>
      <c r="K78" s="49">
        <f>AVERAGE('18.10  MITYANA-MUBENDE-24h'!K78,'19.10 MITYANA-MUBENDE-24h'!K78)</f>
        <v>2</v>
      </c>
      <c r="L78" s="49">
        <f>AVERAGE('18.10  MITYANA-MUBENDE-24h'!L78,'19.10 MITYANA-MUBENDE-24h'!L78)</f>
        <v>0</v>
      </c>
      <c r="M78" s="49">
        <f>AVERAGE('18.10  MITYANA-MUBENDE-24h'!M78,'19.10 MITYANA-MUBENDE-24h'!M78)</f>
        <v>3.5</v>
      </c>
      <c r="N78" s="49">
        <f>AVERAGE('18.10  MITYANA-MUBENDE-24h'!N78,'19.10 MITYANA-MUBENDE-24h'!N78)</f>
        <v>0</v>
      </c>
      <c r="O78" s="15">
        <f t="shared" si="35"/>
        <v>11</v>
      </c>
      <c r="P78" s="15">
        <f t="shared" si="36"/>
        <v>14.5</v>
      </c>
      <c r="R78" s="8"/>
      <c r="T78"/>
    </row>
    <row r="79" spans="2:20" ht="23.1" customHeight="1" x14ac:dyDescent="0.25">
      <c r="B79" s="23" t="s">
        <v>119</v>
      </c>
      <c r="C79" s="49">
        <f>AVERAGE('18.10  MITYANA-MUBENDE-24h'!C79,'19.10 MITYANA-MUBENDE-24h'!C79)</f>
        <v>0.5</v>
      </c>
      <c r="D79" s="49">
        <f>AVERAGE('18.10  MITYANA-MUBENDE-24h'!D79,'19.10 MITYANA-MUBENDE-24h'!D79)</f>
        <v>1</v>
      </c>
      <c r="E79" s="49">
        <f>AVERAGE('18.10  MITYANA-MUBENDE-24h'!E79,'19.10 MITYANA-MUBENDE-24h'!E79)</f>
        <v>0</v>
      </c>
      <c r="F79" s="49">
        <f>AVERAGE('18.10  MITYANA-MUBENDE-24h'!F79,'19.10 MITYANA-MUBENDE-24h'!F79)</f>
        <v>2.5</v>
      </c>
      <c r="G79" s="49">
        <f>AVERAGE('18.10  MITYANA-MUBENDE-24h'!G79,'19.10 MITYANA-MUBENDE-24h'!G79)</f>
        <v>0</v>
      </c>
      <c r="H79" s="49">
        <f>AVERAGE('18.10  MITYANA-MUBENDE-24h'!H79,'19.10 MITYANA-MUBENDE-24h'!H79)</f>
        <v>0</v>
      </c>
      <c r="I79" s="49">
        <f>AVERAGE('18.10  MITYANA-MUBENDE-24h'!I79,'19.10 MITYANA-MUBENDE-24h'!I79)</f>
        <v>0</v>
      </c>
      <c r="J79" s="49">
        <f>AVERAGE('18.10  MITYANA-MUBENDE-24h'!J79,'19.10 MITYANA-MUBENDE-24h'!J79)</f>
        <v>2.5</v>
      </c>
      <c r="K79" s="49">
        <f>AVERAGE('18.10  MITYANA-MUBENDE-24h'!K79,'19.10 MITYANA-MUBENDE-24h'!K79)</f>
        <v>2.5</v>
      </c>
      <c r="L79" s="49">
        <f>AVERAGE('18.10  MITYANA-MUBENDE-24h'!L79,'19.10 MITYANA-MUBENDE-24h'!L79)</f>
        <v>0</v>
      </c>
      <c r="M79" s="49">
        <f>AVERAGE('18.10  MITYANA-MUBENDE-24h'!M79,'19.10 MITYANA-MUBENDE-24h'!M79)</f>
        <v>4.5</v>
      </c>
      <c r="N79" s="49">
        <f>AVERAGE('18.10  MITYANA-MUBENDE-24h'!N79,'19.10 MITYANA-MUBENDE-24h'!N79)</f>
        <v>0</v>
      </c>
      <c r="O79" s="15">
        <f t="shared" si="35"/>
        <v>9</v>
      </c>
      <c r="P79" s="15">
        <f t="shared" si="36"/>
        <v>13.5</v>
      </c>
      <c r="R79" s="8"/>
      <c r="T79"/>
    </row>
    <row r="80" spans="2:20" ht="23.1" customHeight="1" x14ac:dyDescent="0.25">
      <c r="B80" s="25" t="s">
        <v>120</v>
      </c>
      <c r="C80" s="49">
        <f>AVERAGE('18.10  MITYANA-MUBENDE-24h'!C80,'19.10 MITYANA-MUBENDE-24h'!C80)</f>
        <v>0.5</v>
      </c>
      <c r="D80" s="49">
        <f>AVERAGE('18.10  MITYANA-MUBENDE-24h'!D80,'19.10 MITYANA-MUBENDE-24h'!D80)</f>
        <v>0.5</v>
      </c>
      <c r="E80" s="49">
        <f>AVERAGE('18.10  MITYANA-MUBENDE-24h'!E80,'19.10 MITYANA-MUBENDE-24h'!E80)</f>
        <v>0</v>
      </c>
      <c r="F80" s="49">
        <f>AVERAGE('18.10  MITYANA-MUBENDE-24h'!F80,'19.10 MITYANA-MUBENDE-24h'!F80)</f>
        <v>0.5</v>
      </c>
      <c r="G80" s="49">
        <f>AVERAGE('18.10  MITYANA-MUBENDE-24h'!G80,'19.10 MITYANA-MUBENDE-24h'!G80)</f>
        <v>0</v>
      </c>
      <c r="H80" s="49">
        <f>AVERAGE('18.10  MITYANA-MUBENDE-24h'!H80,'19.10 MITYANA-MUBENDE-24h'!H80)</f>
        <v>0</v>
      </c>
      <c r="I80" s="49">
        <f>AVERAGE('18.10  MITYANA-MUBENDE-24h'!I80,'19.10 MITYANA-MUBENDE-24h'!I80)</f>
        <v>1.5</v>
      </c>
      <c r="J80" s="49">
        <f>AVERAGE('18.10  MITYANA-MUBENDE-24h'!J80,'19.10 MITYANA-MUBENDE-24h'!J80)</f>
        <v>2</v>
      </c>
      <c r="K80" s="49">
        <f>AVERAGE('18.10  MITYANA-MUBENDE-24h'!K80,'19.10 MITYANA-MUBENDE-24h'!K80)</f>
        <v>2</v>
      </c>
      <c r="L80" s="49">
        <f>AVERAGE('18.10  MITYANA-MUBENDE-24h'!L80,'19.10 MITYANA-MUBENDE-24h'!L80)</f>
        <v>0</v>
      </c>
      <c r="M80" s="49">
        <f>AVERAGE('18.10  MITYANA-MUBENDE-24h'!M80,'19.10 MITYANA-MUBENDE-24h'!M80)</f>
        <v>3.5</v>
      </c>
      <c r="N80" s="49">
        <f>AVERAGE('18.10  MITYANA-MUBENDE-24h'!N80,'19.10 MITYANA-MUBENDE-24h'!N80)</f>
        <v>0</v>
      </c>
      <c r="O80" s="15">
        <f t="shared" si="35"/>
        <v>7</v>
      </c>
      <c r="P80" s="15">
        <f t="shared" si="36"/>
        <v>10.5</v>
      </c>
      <c r="R80" s="8"/>
      <c r="T80"/>
    </row>
    <row r="81" spans="2:20" ht="23.1" customHeight="1" x14ac:dyDescent="0.25">
      <c r="B81" s="23" t="s">
        <v>121</v>
      </c>
      <c r="C81" s="49">
        <f>AVERAGE('18.10  MITYANA-MUBENDE-24h'!C81,'19.10 MITYANA-MUBENDE-24h'!C81)</f>
        <v>0.5</v>
      </c>
      <c r="D81" s="49">
        <f>AVERAGE('18.10  MITYANA-MUBENDE-24h'!D81,'19.10 MITYANA-MUBENDE-24h'!D81)</f>
        <v>0</v>
      </c>
      <c r="E81" s="49">
        <f>AVERAGE('18.10  MITYANA-MUBENDE-24h'!E81,'19.10 MITYANA-MUBENDE-24h'!E81)</f>
        <v>0.5</v>
      </c>
      <c r="F81" s="49">
        <f>AVERAGE('18.10  MITYANA-MUBENDE-24h'!F81,'19.10 MITYANA-MUBENDE-24h'!F81)</f>
        <v>0</v>
      </c>
      <c r="G81" s="49">
        <f>AVERAGE('18.10  MITYANA-MUBENDE-24h'!G81,'19.10 MITYANA-MUBENDE-24h'!G81)</f>
        <v>0.5</v>
      </c>
      <c r="H81" s="49">
        <f>AVERAGE('18.10  MITYANA-MUBENDE-24h'!H81,'19.10 MITYANA-MUBENDE-24h'!H81)</f>
        <v>0</v>
      </c>
      <c r="I81" s="49">
        <f>AVERAGE('18.10  MITYANA-MUBENDE-24h'!I81,'19.10 MITYANA-MUBENDE-24h'!I81)</f>
        <v>1</v>
      </c>
      <c r="J81" s="49">
        <f>AVERAGE('18.10  MITYANA-MUBENDE-24h'!J81,'19.10 MITYANA-MUBENDE-24h'!J81)</f>
        <v>0.5</v>
      </c>
      <c r="K81" s="49">
        <f>AVERAGE('18.10  MITYANA-MUBENDE-24h'!K81,'19.10 MITYANA-MUBENDE-24h'!K81)</f>
        <v>1</v>
      </c>
      <c r="L81" s="49">
        <f>AVERAGE('18.10  MITYANA-MUBENDE-24h'!L81,'19.10 MITYANA-MUBENDE-24h'!L81)</f>
        <v>0</v>
      </c>
      <c r="M81" s="49">
        <f>AVERAGE('18.10  MITYANA-MUBENDE-24h'!M81,'19.10 MITYANA-MUBENDE-24h'!M81)</f>
        <v>0.5</v>
      </c>
      <c r="N81" s="49">
        <f>AVERAGE('18.10  MITYANA-MUBENDE-24h'!N81,'19.10 MITYANA-MUBENDE-24h'!N81)</f>
        <v>0</v>
      </c>
      <c r="O81" s="15">
        <f t="shared" si="35"/>
        <v>4</v>
      </c>
      <c r="P81" s="15">
        <f t="shared" si="36"/>
        <v>4.5</v>
      </c>
      <c r="R81" s="8"/>
      <c r="T81"/>
    </row>
    <row r="82" spans="2:20" ht="23.1" customHeight="1" x14ac:dyDescent="0.25">
      <c r="B82" s="24" t="s">
        <v>122</v>
      </c>
      <c r="C82" s="49">
        <f>AVERAGE('18.10  MITYANA-MUBENDE-24h'!C82,'19.10 MITYANA-MUBENDE-24h'!C82)</f>
        <v>1.5</v>
      </c>
      <c r="D82" s="49">
        <f>AVERAGE('18.10  MITYANA-MUBENDE-24h'!D82,'19.10 MITYANA-MUBENDE-24h'!D82)</f>
        <v>0.5</v>
      </c>
      <c r="E82" s="49">
        <f>AVERAGE('18.10  MITYANA-MUBENDE-24h'!E82,'19.10 MITYANA-MUBENDE-24h'!E82)</f>
        <v>0.5</v>
      </c>
      <c r="F82" s="49">
        <f>AVERAGE('18.10  MITYANA-MUBENDE-24h'!F82,'19.10 MITYANA-MUBENDE-24h'!F82)</f>
        <v>0.5</v>
      </c>
      <c r="G82" s="49">
        <f>AVERAGE('18.10  MITYANA-MUBENDE-24h'!G82,'19.10 MITYANA-MUBENDE-24h'!G82)</f>
        <v>0</v>
      </c>
      <c r="H82" s="49">
        <f>AVERAGE('18.10  MITYANA-MUBENDE-24h'!H82,'19.10 MITYANA-MUBENDE-24h'!H82)</f>
        <v>0</v>
      </c>
      <c r="I82" s="49">
        <f>AVERAGE('18.10  MITYANA-MUBENDE-24h'!I82,'19.10 MITYANA-MUBENDE-24h'!I82)</f>
        <v>2.5</v>
      </c>
      <c r="J82" s="49">
        <f>AVERAGE('18.10  MITYANA-MUBENDE-24h'!J82,'19.10 MITYANA-MUBENDE-24h'!J82)</f>
        <v>0.5</v>
      </c>
      <c r="K82" s="49">
        <f>AVERAGE('18.10  MITYANA-MUBENDE-24h'!K82,'19.10 MITYANA-MUBENDE-24h'!K82)</f>
        <v>0</v>
      </c>
      <c r="L82" s="49">
        <f>AVERAGE('18.10  MITYANA-MUBENDE-24h'!L82,'19.10 MITYANA-MUBENDE-24h'!L82)</f>
        <v>1</v>
      </c>
      <c r="M82" s="49">
        <f>AVERAGE('18.10  MITYANA-MUBENDE-24h'!M82,'19.10 MITYANA-MUBENDE-24h'!M82)</f>
        <v>0</v>
      </c>
      <c r="N82" s="49">
        <f>AVERAGE('18.10  MITYANA-MUBENDE-24h'!N82,'19.10 MITYANA-MUBENDE-24h'!N82)</f>
        <v>0</v>
      </c>
      <c r="O82" s="15">
        <f t="shared" si="35"/>
        <v>7</v>
      </c>
      <c r="P82" s="15">
        <f t="shared" si="36"/>
        <v>7</v>
      </c>
      <c r="R82" s="8"/>
      <c r="T82"/>
    </row>
    <row r="83" spans="2:20" ht="23.1" customHeight="1" x14ac:dyDescent="0.25">
      <c r="B83" s="23" t="s">
        <v>123</v>
      </c>
      <c r="C83" s="49">
        <f>AVERAGE('18.10  MITYANA-MUBENDE-24h'!C83,'19.10 MITYANA-MUBENDE-24h'!C83)</f>
        <v>0.5</v>
      </c>
      <c r="D83" s="49">
        <f>AVERAGE('18.10  MITYANA-MUBENDE-24h'!D83,'19.10 MITYANA-MUBENDE-24h'!D83)</f>
        <v>0</v>
      </c>
      <c r="E83" s="49">
        <f>AVERAGE('18.10  MITYANA-MUBENDE-24h'!E83,'19.10 MITYANA-MUBENDE-24h'!E83)</f>
        <v>0.5</v>
      </c>
      <c r="F83" s="49">
        <f>AVERAGE('18.10  MITYANA-MUBENDE-24h'!F83,'19.10 MITYANA-MUBENDE-24h'!F83)</f>
        <v>1.5</v>
      </c>
      <c r="G83" s="49">
        <f>AVERAGE('18.10  MITYANA-MUBENDE-24h'!G83,'19.10 MITYANA-MUBENDE-24h'!G83)</f>
        <v>0.5</v>
      </c>
      <c r="H83" s="49">
        <f>AVERAGE('18.10  MITYANA-MUBENDE-24h'!H83,'19.10 MITYANA-MUBENDE-24h'!H83)</f>
        <v>0</v>
      </c>
      <c r="I83" s="49">
        <f>AVERAGE('18.10  MITYANA-MUBENDE-24h'!I83,'19.10 MITYANA-MUBENDE-24h'!I83)</f>
        <v>1</v>
      </c>
      <c r="J83" s="49">
        <f>AVERAGE('18.10  MITYANA-MUBENDE-24h'!J83,'19.10 MITYANA-MUBENDE-24h'!J83)</f>
        <v>1</v>
      </c>
      <c r="K83" s="49">
        <f>AVERAGE('18.10  MITYANA-MUBENDE-24h'!K83,'19.10 MITYANA-MUBENDE-24h'!K83)</f>
        <v>1.5</v>
      </c>
      <c r="L83" s="49">
        <f>AVERAGE('18.10  MITYANA-MUBENDE-24h'!L83,'19.10 MITYANA-MUBENDE-24h'!L83)</f>
        <v>0</v>
      </c>
      <c r="M83" s="49">
        <f>AVERAGE('18.10  MITYANA-MUBENDE-24h'!M83,'19.10 MITYANA-MUBENDE-24h'!M83)</f>
        <v>0.5</v>
      </c>
      <c r="N83" s="49">
        <f>AVERAGE('18.10  MITYANA-MUBENDE-24h'!N83,'19.10 MITYANA-MUBENDE-24h'!N83)</f>
        <v>0</v>
      </c>
      <c r="O83" s="15">
        <f t="shared" si="35"/>
        <v>6.5</v>
      </c>
      <c r="P83" s="15">
        <f t="shared" si="36"/>
        <v>7</v>
      </c>
      <c r="R83" s="8"/>
      <c r="T83"/>
    </row>
    <row r="84" spans="2:20" ht="23.1" customHeight="1" x14ac:dyDescent="0.25">
      <c r="B84" s="25" t="s">
        <v>124</v>
      </c>
      <c r="C84" s="49">
        <f>AVERAGE('18.10  MITYANA-MUBENDE-24h'!C84,'19.10 MITYANA-MUBENDE-24h'!C84)</f>
        <v>1</v>
      </c>
      <c r="D84" s="49">
        <f>AVERAGE('18.10  MITYANA-MUBENDE-24h'!D84,'19.10 MITYANA-MUBENDE-24h'!D84)</f>
        <v>0</v>
      </c>
      <c r="E84" s="49">
        <f>AVERAGE('18.10  MITYANA-MUBENDE-24h'!E84,'19.10 MITYANA-MUBENDE-24h'!E84)</f>
        <v>0</v>
      </c>
      <c r="F84" s="49">
        <f>AVERAGE('18.10  MITYANA-MUBENDE-24h'!F84,'19.10 MITYANA-MUBENDE-24h'!F84)</f>
        <v>0.5</v>
      </c>
      <c r="G84" s="49">
        <f>AVERAGE('18.10  MITYANA-MUBENDE-24h'!G84,'19.10 MITYANA-MUBENDE-24h'!G84)</f>
        <v>0</v>
      </c>
      <c r="H84" s="49">
        <f>AVERAGE('18.10  MITYANA-MUBENDE-24h'!H84,'19.10 MITYANA-MUBENDE-24h'!H84)</f>
        <v>0</v>
      </c>
      <c r="I84" s="49">
        <f>AVERAGE('18.10  MITYANA-MUBENDE-24h'!I84,'19.10 MITYANA-MUBENDE-24h'!I84)</f>
        <v>0.5</v>
      </c>
      <c r="J84" s="49">
        <f>AVERAGE('18.10  MITYANA-MUBENDE-24h'!J84,'19.10 MITYANA-MUBENDE-24h'!J84)</f>
        <v>3.5</v>
      </c>
      <c r="K84" s="49">
        <f>AVERAGE('18.10  MITYANA-MUBENDE-24h'!K84,'19.10 MITYANA-MUBENDE-24h'!K84)</f>
        <v>0</v>
      </c>
      <c r="L84" s="49">
        <f>AVERAGE('18.10  MITYANA-MUBENDE-24h'!L84,'19.10 MITYANA-MUBENDE-24h'!L84)</f>
        <v>0</v>
      </c>
      <c r="M84" s="49">
        <f>AVERAGE('18.10  MITYANA-MUBENDE-24h'!M84,'19.10 MITYANA-MUBENDE-24h'!M84)</f>
        <v>2.5</v>
      </c>
      <c r="N84" s="49">
        <f>AVERAGE('18.10  MITYANA-MUBENDE-24h'!N84,'19.10 MITYANA-MUBENDE-24h'!N84)</f>
        <v>0</v>
      </c>
      <c r="O84" s="15">
        <f t="shared" si="35"/>
        <v>5.5</v>
      </c>
      <c r="P84" s="15">
        <f t="shared" si="36"/>
        <v>8</v>
      </c>
      <c r="R84" s="8"/>
      <c r="T84"/>
    </row>
    <row r="85" spans="2:20" ht="23.1" customHeight="1" x14ac:dyDescent="0.25">
      <c r="B85" s="23" t="s">
        <v>125</v>
      </c>
      <c r="C85" s="49">
        <f>AVERAGE('18.10  MITYANA-MUBENDE-24h'!C85,'19.10 MITYANA-MUBENDE-24h'!C85)</f>
        <v>0</v>
      </c>
      <c r="D85" s="49">
        <f>AVERAGE('18.10  MITYANA-MUBENDE-24h'!D85,'19.10 MITYANA-MUBENDE-24h'!D85)</f>
        <v>1</v>
      </c>
      <c r="E85" s="49">
        <f>AVERAGE('18.10  MITYANA-MUBENDE-24h'!E85,'19.10 MITYANA-MUBENDE-24h'!E85)</f>
        <v>0</v>
      </c>
      <c r="F85" s="49">
        <f>AVERAGE('18.10  MITYANA-MUBENDE-24h'!F85,'19.10 MITYANA-MUBENDE-24h'!F85)</f>
        <v>0.5</v>
      </c>
      <c r="G85" s="49">
        <f>AVERAGE('18.10  MITYANA-MUBENDE-24h'!G85,'19.10 MITYANA-MUBENDE-24h'!G85)</f>
        <v>0</v>
      </c>
      <c r="H85" s="49">
        <f>AVERAGE('18.10  MITYANA-MUBENDE-24h'!H85,'19.10 MITYANA-MUBENDE-24h'!H85)</f>
        <v>0.5</v>
      </c>
      <c r="I85" s="49">
        <f>AVERAGE('18.10  MITYANA-MUBENDE-24h'!I85,'19.10 MITYANA-MUBENDE-24h'!I85)</f>
        <v>2</v>
      </c>
      <c r="J85" s="49">
        <f>AVERAGE('18.10  MITYANA-MUBENDE-24h'!J85,'19.10 MITYANA-MUBENDE-24h'!J85)</f>
        <v>1</v>
      </c>
      <c r="K85" s="49">
        <f>AVERAGE('18.10  MITYANA-MUBENDE-24h'!K85,'19.10 MITYANA-MUBENDE-24h'!K85)</f>
        <v>0</v>
      </c>
      <c r="L85" s="49">
        <f>AVERAGE('18.10  MITYANA-MUBENDE-24h'!L85,'19.10 MITYANA-MUBENDE-24h'!L85)</f>
        <v>0.5</v>
      </c>
      <c r="M85" s="49">
        <f>AVERAGE('18.10  MITYANA-MUBENDE-24h'!M85,'19.10 MITYANA-MUBENDE-24h'!M85)</f>
        <v>2</v>
      </c>
      <c r="N85" s="49">
        <f>AVERAGE('18.10  MITYANA-MUBENDE-24h'!N85,'19.10 MITYANA-MUBENDE-24h'!N85)</f>
        <v>0</v>
      </c>
      <c r="O85" s="15">
        <f t="shared" si="35"/>
        <v>5.5</v>
      </c>
      <c r="P85" s="15">
        <f t="shared" si="36"/>
        <v>7.5</v>
      </c>
      <c r="R85" s="8"/>
      <c r="T85"/>
    </row>
    <row r="86" spans="2:20" ht="23.1" customHeight="1" x14ac:dyDescent="0.25">
      <c r="B86" s="24" t="s">
        <v>126</v>
      </c>
      <c r="C86" s="49">
        <f>AVERAGE('18.10  MITYANA-MUBENDE-24h'!C86,'19.10 MITYANA-MUBENDE-24h'!C86)</f>
        <v>0</v>
      </c>
      <c r="D86" s="49">
        <f>AVERAGE('18.10  MITYANA-MUBENDE-24h'!D86,'19.10 MITYANA-MUBENDE-24h'!D86)</f>
        <v>0</v>
      </c>
      <c r="E86" s="49">
        <f>AVERAGE('18.10  MITYANA-MUBENDE-24h'!E86,'19.10 MITYANA-MUBENDE-24h'!E86)</f>
        <v>0</v>
      </c>
      <c r="F86" s="49">
        <f>AVERAGE('18.10  MITYANA-MUBENDE-24h'!F86,'19.10 MITYANA-MUBENDE-24h'!F86)</f>
        <v>0.5</v>
      </c>
      <c r="G86" s="49">
        <f>AVERAGE('18.10  MITYANA-MUBENDE-24h'!G86,'19.10 MITYANA-MUBENDE-24h'!G86)</f>
        <v>0</v>
      </c>
      <c r="H86" s="49">
        <f>AVERAGE('18.10  MITYANA-MUBENDE-24h'!H86,'19.10 MITYANA-MUBENDE-24h'!H86)</f>
        <v>0</v>
      </c>
      <c r="I86" s="49">
        <f>AVERAGE('18.10  MITYANA-MUBENDE-24h'!I86,'19.10 MITYANA-MUBENDE-24h'!I86)</f>
        <v>0</v>
      </c>
      <c r="J86" s="49">
        <f>AVERAGE('18.10  MITYANA-MUBENDE-24h'!J86,'19.10 MITYANA-MUBENDE-24h'!J86)</f>
        <v>2</v>
      </c>
      <c r="K86" s="49">
        <f>AVERAGE('18.10  MITYANA-MUBENDE-24h'!K86,'19.10 MITYANA-MUBENDE-24h'!K86)</f>
        <v>0</v>
      </c>
      <c r="L86" s="49">
        <f>AVERAGE('18.10  MITYANA-MUBENDE-24h'!L86,'19.10 MITYANA-MUBENDE-24h'!L86)</f>
        <v>0.5</v>
      </c>
      <c r="M86" s="49">
        <f>AVERAGE('18.10  MITYANA-MUBENDE-24h'!M86,'19.10 MITYANA-MUBENDE-24h'!M86)</f>
        <v>1</v>
      </c>
      <c r="N86" s="49">
        <f>AVERAGE('18.10  MITYANA-MUBENDE-24h'!N86,'19.10 MITYANA-MUBENDE-24h'!N86)</f>
        <v>0</v>
      </c>
      <c r="O86" s="15">
        <f t="shared" si="35"/>
        <v>3</v>
      </c>
      <c r="P86" s="15">
        <f t="shared" si="36"/>
        <v>4</v>
      </c>
      <c r="R86" s="8"/>
      <c r="T86"/>
    </row>
    <row r="87" spans="2:20" ht="23.1" customHeight="1" x14ac:dyDescent="0.25">
      <c r="B87" s="23" t="s">
        <v>127</v>
      </c>
      <c r="C87" s="49">
        <f>AVERAGE('18.10  MITYANA-MUBENDE-24h'!C87,'19.10 MITYANA-MUBENDE-24h'!C87)</f>
        <v>0</v>
      </c>
      <c r="D87" s="49">
        <f>AVERAGE('18.10  MITYANA-MUBENDE-24h'!D87,'19.10 MITYANA-MUBENDE-24h'!D87)</f>
        <v>0</v>
      </c>
      <c r="E87" s="49">
        <f>AVERAGE('18.10  MITYANA-MUBENDE-24h'!E87,'19.10 MITYANA-MUBENDE-24h'!E87)</f>
        <v>0</v>
      </c>
      <c r="F87" s="49">
        <f>AVERAGE('18.10  MITYANA-MUBENDE-24h'!F87,'19.10 MITYANA-MUBENDE-24h'!F87)</f>
        <v>1</v>
      </c>
      <c r="G87" s="49">
        <f>AVERAGE('18.10  MITYANA-MUBENDE-24h'!G87,'19.10 MITYANA-MUBENDE-24h'!G87)</f>
        <v>0.5</v>
      </c>
      <c r="H87" s="49">
        <f>AVERAGE('18.10  MITYANA-MUBENDE-24h'!H87,'19.10 MITYANA-MUBENDE-24h'!H87)</f>
        <v>0</v>
      </c>
      <c r="I87" s="49">
        <f>AVERAGE('18.10  MITYANA-MUBENDE-24h'!I87,'19.10 MITYANA-MUBENDE-24h'!I87)</f>
        <v>1</v>
      </c>
      <c r="J87" s="49">
        <f>AVERAGE('18.10  MITYANA-MUBENDE-24h'!J87,'19.10 MITYANA-MUBENDE-24h'!J87)</f>
        <v>1</v>
      </c>
      <c r="K87" s="49">
        <f>AVERAGE('18.10  MITYANA-MUBENDE-24h'!K87,'19.10 MITYANA-MUBENDE-24h'!K87)</f>
        <v>0</v>
      </c>
      <c r="L87" s="49">
        <f>AVERAGE('18.10  MITYANA-MUBENDE-24h'!L87,'19.10 MITYANA-MUBENDE-24h'!L87)</f>
        <v>0.5</v>
      </c>
      <c r="M87" s="49">
        <f>AVERAGE('18.10  MITYANA-MUBENDE-24h'!M87,'19.10 MITYANA-MUBENDE-24h'!M87)</f>
        <v>2.5</v>
      </c>
      <c r="N87" s="49">
        <f>AVERAGE('18.10  MITYANA-MUBENDE-24h'!N87,'19.10 MITYANA-MUBENDE-24h'!N87)</f>
        <v>0</v>
      </c>
      <c r="O87" s="15">
        <f t="shared" si="35"/>
        <v>4</v>
      </c>
      <c r="P87" s="15">
        <f t="shared" si="36"/>
        <v>6.5</v>
      </c>
      <c r="R87" s="8"/>
      <c r="T87"/>
    </row>
    <row r="88" spans="2:20" ht="23.1" customHeight="1" x14ac:dyDescent="0.25">
      <c r="B88" s="25" t="s">
        <v>128</v>
      </c>
      <c r="C88" s="49">
        <f>AVERAGE('18.10  MITYANA-MUBENDE-24h'!C88,'19.10 MITYANA-MUBENDE-24h'!C88)</f>
        <v>1</v>
      </c>
      <c r="D88" s="49">
        <f>AVERAGE('18.10  MITYANA-MUBENDE-24h'!D88,'19.10 MITYANA-MUBENDE-24h'!D88)</f>
        <v>0.5</v>
      </c>
      <c r="E88" s="49">
        <f>AVERAGE('18.10  MITYANA-MUBENDE-24h'!E88,'19.10 MITYANA-MUBENDE-24h'!E88)</f>
        <v>0</v>
      </c>
      <c r="F88" s="49">
        <f>AVERAGE('18.10  MITYANA-MUBENDE-24h'!F88,'19.10 MITYANA-MUBENDE-24h'!F88)</f>
        <v>0</v>
      </c>
      <c r="G88" s="49">
        <f>AVERAGE('18.10  MITYANA-MUBENDE-24h'!G88,'19.10 MITYANA-MUBENDE-24h'!G88)</f>
        <v>0</v>
      </c>
      <c r="H88" s="49">
        <f>AVERAGE('18.10  MITYANA-MUBENDE-24h'!H88,'19.10 MITYANA-MUBENDE-24h'!H88)</f>
        <v>0</v>
      </c>
      <c r="I88" s="49">
        <f>AVERAGE('18.10  MITYANA-MUBENDE-24h'!I88,'19.10 MITYANA-MUBENDE-24h'!I88)</f>
        <v>1</v>
      </c>
      <c r="J88" s="49">
        <f>AVERAGE('18.10  MITYANA-MUBENDE-24h'!J88,'19.10 MITYANA-MUBENDE-24h'!J88)</f>
        <v>1</v>
      </c>
      <c r="K88" s="49">
        <f>AVERAGE('18.10  MITYANA-MUBENDE-24h'!K88,'19.10 MITYANA-MUBENDE-24h'!K88)</f>
        <v>0.5</v>
      </c>
      <c r="L88" s="49">
        <f>AVERAGE('18.10  MITYANA-MUBENDE-24h'!L88,'19.10 MITYANA-MUBENDE-24h'!L88)</f>
        <v>1</v>
      </c>
      <c r="M88" s="49">
        <f>AVERAGE('18.10  MITYANA-MUBENDE-24h'!M88,'19.10 MITYANA-MUBENDE-24h'!M88)</f>
        <v>0</v>
      </c>
      <c r="N88" s="49">
        <f>AVERAGE('18.10  MITYANA-MUBENDE-24h'!N88,'19.10 MITYANA-MUBENDE-24h'!N88)</f>
        <v>0</v>
      </c>
      <c r="O88" s="15">
        <f t="shared" si="35"/>
        <v>5</v>
      </c>
      <c r="P88" s="15">
        <f t="shared" si="36"/>
        <v>5</v>
      </c>
      <c r="R88" s="8"/>
      <c r="T88"/>
    </row>
    <row r="89" spans="2:20" ht="23.1" customHeight="1" x14ac:dyDescent="0.25">
      <c r="B89" s="23" t="s">
        <v>129</v>
      </c>
      <c r="C89" s="49">
        <f>AVERAGE('18.10  MITYANA-MUBENDE-24h'!C89,'19.10 MITYANA-MUBENDE-24h'!C89)</f>
        <v>0</v>
      </c>
      <c r="D89" s="49">
        <f>AVERAGE('18.10  MITYANA-MUBENDE-24h'!D89,'19.10 MITYANA-MUBENDE-24h'!D89)</f>
        <v>0</v>
      </c>
      <c r="E89" s="49">
        <f>AVERAGE('18.10  MITYANA-MUBENDE-24h'!E89,'19.10 MITYANA-MUBENDE-24h'!E89)</f>
        <v>0</v>
      </c>
      <c r="F89" s="49">
        <f>AVERAGE('18.10  MITYANA-MUBENDE-24h'!F89,'19.10 MITYANA-MUBENDE-24h'!F89)</f>
        <v>0</v>
      </c>
      <c r="G89" s="49">
        <f>AVERAGE('18.10  MITYANA-MUBENDE-24h'!G89,'19.10 MITYANA-MUBENDE-24h'!G89)</f>
        <v>0</v>
      </c>
      <c r="H89" s="49">
        <f>AVERAGE('18.10  MITYANA-MUBENDE-24h'!H89,'19.10 MITYANA-MUBENDE-24h'!H89)</f>
        <v>0</v>
      </c>
      <c r="I89" s="49">
        <f>AVERAGE('18.10  MITYANA-MUBENDE-24h'!I89,'19.10 MITYANA-MUBENDE-24h'!I89)</f>
        <v>0</v>
      </c>
      <c r="J89" s="49">
        <f>AVERAGE('18.10  MITYANA-MUBENDE-24h'!J89,'19.10 MITYANA-MUBENDE-24h'!J89)</f>
        <v>0.5</v>
      </c>
      <c r="K89" s="49">
        <f>AVERAGE('18.10  MITYANA-MUBENDE-24h'!K89,'19.10 MITYANA-MUBENDE-24h'!K89)</f>
        <v>0.5</v>
      </c>
      <c r="L89" s="49">
        <f>AVERAGE('18.10  MITYANA-MUBENDE-24h'!L89,'19.10 MITYANA-MUBENDE-24h'!L89)</f>
        <v>0.5</v>
      </c>
      <c r="M89" s="49">
        <f>AVERAGE('18.10  MITYANA-MUBENDE-24h'!M89,'19.10 MITYANA-MUBENDE-24h'!M89)</f>
        <v>0</v>
      </c>
      <c r="N89" s="49">
        <f>AVERAGE('18.10  MITYANA-MUBENDE-24h'!N89,'19.10 MITYANA-MUBENDE-24h'!N89)</f>
        <v>0</v>
      </c>
      <c r="O89" s="15">
        <f t="shared" si="35"/>
        <v>1.5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AVERAGE('18.10  MITYANA-MUBENDE-24h'!C90,'19.10 MITYANA-MUBENDE-24h'!C90)</f>
        <v>0</v>
      </c>
      <c r="D90" s="49">
        <f>AVERAGE('18.10  MITYANA-MUBENDE-24h'!D90,'19.10 MITYANA-MUBENDE-24h'!D90)</f>
        <v>0.5</v>
      </c>
      <c r="E90" s="49">
        <f>AVERAGE('18.10  MITYANA-MUBENDE-24h'!E90,'19.10 MITYANA-MUBENDE-24h'!E90)</f>
        <v>0</v>
      </c>
      <c r="F90" s="49">
        <f>AVERAGE('18.10  MITYANA-MUBENDE-24h'!F90,'19.10 MITYANA-MUBENDE-24h'!F90)</f>
        <v>0</v>
      </c>
      <c r="G90" s="49">
        <f>AVERAGE('18.10  MITYANA-MUBENDE-24h'!G90,'19.10 MITYANA-MUBENDE-24h'!G90)</f>
        <v>0</v>
      </c>
      <c r="H90" s="49">
        <f>AVERAGE('18.10  MITYANA-MUBENDE-24h'!H90,'19.10 MITYANA-MUBENDE-24h'!H90)</f>
        <v>0</v>
      </c>
      <c r="I90" s="49">
        <f>AVERAGE('18.10  MITYANA-MUBENDE-24h'!I90,'19.10 MITYANA-MUBENDE-24h'!I90)</f>
        <v>0</v>
      </c>
      <c r="J90" s="49">
        <f>AVERAGE('18.10  MITYANA-MUBENDE-24h'!J90,'19.10 MITYANA-MUBENDE-24h'!J90)</f>
        <v>1.5</v>
      </c>
      <c r="K90" s="49">
        <f>AVERAGE('18.10  MITYANA-MUBENDE-24h'!K90,'19.10 MITYANA-MUBENDE-24h'!K90)</f>
        <v>1</v>
      </c>
      <c r="L90" s="49">
        <f>AVERAGE('18.10  MITYANA-MUBENDE-24h'!L90,'19.10 MITYANA-MUBENDE-24h'!L90)</f>
        <v>0.5</v>
      </c>
      <c r="M90" s="49">
        <f>AVERAGE('18.10  MITYANA-MUBENDE-24h'!M90,'19.10 MITYANA-MUBENDE-24h'!M90)</f>
        <v>2</v>
      </c>
      <c r="N90" s="49">
        <f>AVERAGE('18.10  MITYANA-MUBENDE-24h'!N90,'19.10 MITYANA-MUBENDE-24h'!N90)</f>
        <v>0</v>
      </c>
      <c r="O90" s="15">
        <f t="shared" si="35"/>
        <v>3.5</v>
      </c>
      <c r="P90" s="15">
        <f t="shared" si="36"/>
        <v>5.5</v>
      </c>
      <c r="R90" s="8"/>
      <c r="T90"/>
    </row>
    <row r="91" spans="2:20" ht="23.1" customHeight="1" x14ac:dyDescent="0.25">
      <c r="B91" s="23" t="s">
        <v>131</v>
      </c>
      <c r="C91" s="49">
        <f>AVERAGE('18.10  MITYANA-MUBENDE-24h'!C91,'19.10 MITYANA-MUBENDE-24h'!C91)</f>
        <v>0</v>
      </c>
      <c r="D91" s="49">
        <f>AVERAGE('18.10  MITYANA-MUBENDE-24h'!D91,'19.10 MITYANA-MUBENDE-24h'!D91)</f>
        <v>0</v>
      </c>
      <c r="E91" s="49">
        <f>AVERAGE('18.10  MITYANA-MUBENDE-24h'!E91,'19.10 MITYANA-MUBENDE-24h'!E91)</f>
        <v>0.5</v>
      </c>
      <c r="F91" s="49">
        <f>AVERAGE('18.10  MITYANA-MUBENDE-24h'!F91,'19.10 MITYANA-MUBENDE-24h'!F91)</f>
        <v>0</v>
      </c>
      <c r="G91" s="49">
        <f>AVERAGE('18.10  MITYANA-MUBENDE-24h'!G91,'19.10 MITYANA-MUBENDE-24h'!G91)</f>
        <v>0</v>
      </c>
      <c r="H91" s="49">
        <f>AVERAGE('18.10  MITYANA-MUBENDE-24h'!H91,'19.10 MITYANA-MUBENDE-24h'!H91)</f>
        <v>0</v>
      </c>
      <c r="I91" s="49">
        <f>AVERAGE('18.10  MITYANA-MUBENDE-24h'!I91,'19.10 MITYANA-MUBENDE-24h'!I91)</f>
        <v>0</v>
      </c>
      <c r="J91" s="49">
        <f>AVERAGE('18.10  MITYANA-MUBENDE-24h'!J91,'19.10 MITYANA-MUBENDE-24h'!J91)</f>
        <v>1.5</v>
      </c>
      <c r="K91" s="49">
        <f>AVERAGE('18.10  MITYANA-MUBENDE-24h'!K91,'19.10 MITYANA-MUBENDE-24h'!K91)</f>
        <v>0</v>
      </c>
      <c r="L91" s="49">
        <f>AVERAGE('18.10  MITYANA-MUBENDE-24h'!L91,'19.10 MITYANA-MUBENDE-24h'!L91)</f>
        <v>0</v>
      </c>
      <c r="M91" s="49">
        <f>AVERAGE('18.10  MITYANA-MUBENDE-24h'!M91,'19.10 MITYANA-MUBENDE-24h'!M91)</f>
        <v>0.5</v>
      </c>
      <c r="N91" s="49">
        <f>AVERAGE('18.10  MITYANA-MUBENDE-24h'!N91,'19.10 MITYANA-MUBENDE-24h'!N91)</f>
        <v>0</v>
      </c>
      <c r="O91" s="15">
        <f t="shared" si="35"/>
        <v>2</v>
      </c>
      <c r="P91" s="15">
        <f t="shared" si="36"/>
        <v>2.5</v>
      </c>
      <c r="R91" s="8"/>
      <c r="T91"/>
    </row>
    <row r="92" spans="2:20" ht="23.1" customHeight="1" x14ac:dyDescent="0.25">
      <c r="B92" s="25" t="s">
        <v>132</v>
      </c>
      <c r="C92" s="49">
        <f>AVERAGE('18.10  MITYANA-MUBENDE-24h'!C92,'19.10 MITYANA-MUBENDE-24h'!C92)</f>
        <v>0.5</v>
      </c>
      <c r="D92" s="49">
        <f>AVERAGE('18.10  MITYANA-MUBENDE-24h'!D92,'19.10 MITYANA-MUBENDE-24h'!D92)</f>
        <v>0</v>
      </c>
      <c r="E92" s="49">
        <f>AVERAGE('18.10  MITYANA-MUBENDE-24h'!E92,'19.10 MITYANA-MUBENDE-24h'!E92)</f>
        <v>0</v>
      </c>
      <c r="F92" s="49">
        <f>AVERAGE('18.10  MITYANA-MUBENDE-24h'!F92,'19.10 MITYANA-MUBENDE-24h'!F92)</f>
        <v>0.5</v>
      </c>
      <c r="G92" s="49">
        <f>AVERAGE('18.10  MITYANA-MUBENDE-24h'!G92,'19.10 MITYANA-MUBENDE-24h'!G92)</f>
        <v>0</v>
      </c>
      <c r="H92" s="49">
        <f>AVERAGE('18.10  MITYANA-MUBENDE-24h'!H92,'19.10 MITYANA-MUBENDE-24h'!H92)</f>
        <v>0</v>
      </c>
      <c r="I92" s="49">
        <f>AVERAGE('18.10  MITYANA-MUBENDE-24h'!I92,'19.10 MITYANA-MUBENDE-24h'!I92)</f>
        <v>0.5</v>
      </c>
      <c r="J92" s="49">
        <f>AVERAGE('18.10  MITYANA-MUBENDE-24h'!J92,'19.10 MITYANA-MUBENDE-24h'!J92)</f>
        <v>1</v>
      </c>
      <c r="K92" s="49">
        <f>AVERAGE('18.10  MITYANA-MUBENDE-24h'!K92,'19.10 MITYANA-MUBENDE-24h'!K92)</f>
        <v>0</v>
      </c>
      <c r="L92" s="49">
        <f>AVERAGE('18.10  MITYANA-MUBENDE-24h'!L92,'19.10 MITYANA-MUBENDE-24h'!L92)</f>
        <v>0.5</v>
      </c>
      <c r="M92" s="49">
        <f>AVERAGE('18.10  MITYANA-MUBENDE-24h'!M92,'19.10 MITYANA-MUBENDE-24h'!M92)</f>
        <v>3</v>
      </c>
      <c r="N92" s="49">
        <f>AVERAGE('18.10  MITYANA-MUBENDE-24h'!N92,'19.10 MITYANA-MUBENDE-24h'!N92)</f>
        <v>0</v>
      </c>
      <c r="O92" s="15">
        <f t="shared" si="35"/>
        <v>3</v>
      </c>
      <c r="P92" s="15">
        <f t="shared" si="36"/>
        <v>6</v>
      </c>
      <c r="R92" s="8"/>
      <c r="T92"/>
    </row>
    <row r="93" spans="2:20" ht="23.1" customHeight="1" x14ac:dyDescent="0.25">
      <c r="B93" s="23" t="s">
        <v>133</v>
      </c>
      <c r="C93" s="49">
        <f>AVERAGE('18.10  MITYANA-MUBENDE-24h'!C93,'19.10 MITYANA-MUBENDE-24h'!C93)</f>
        <v>1</v>
      </c>
      <c r="D93" s="49">
        <f>AVERAGE('18.10  MITYANA-MUBENDE-24h'!D93,'19.10 MITYANA-MUBENDE-24h'!D93)</f>
        <v>0</v>
      </c>
      <c r="E93" s="49">
        <f>AVERAGE('18.10  MITYANA-MUBENDE-24h'!E93,'19.10 MITYANA-MUBENDE-24h'!E93)</f>
        <v>0</v>
      </c>
      <c r="F93" s="49">
        <f>AVERAGE('18.10  MITYANA-MUBENDE-24h'!F93,'19.10 MITYANA-MUBENDE-24h'!F93)</f>
        <v>0</v>
      </c>
      <c r="G93" s="49">
        <f>AVERAGE('18.10  MITYANA-MUBENDE-24h'!G93,'19.10 MITYANA-MUBENDE-24h'!G93)</f>
        <v>0</v>
      </c>
      <c r="H93" s="49">
        <f>AVERAGE('18.10  MITYANA-MUBENDE-24h'!H93,'19.10 MITYANA-MUBENDE-24h'!H93)</f>
        <v>0</v>
      </c>
      <c r="I93" s="49">
        <f>AVERAGE('18.10  MITYANA-MUBENDE-24h'!I93,'19.10 MITYANA-MUBENDE-24h'!I93)</f>
        <v>0.5</v>
      </c>
      <c r="J93" s="49">
        <f>AVERAGE('18.10  MITYANA-MUBENDE-24h'!J93,'19.10 MITYANA-MUBENDE-24h'!J93)</f>
        <v>1.5</v>
      </c>
      <c r="K93" s="49">
        <f>AVERAGE('18.10  MITYANA-MUBENDE-24h'!K93,'19.10 MITYANA-MUBENDE-24h'!K93)</f>
        <v>1.5</v>
      </c>
      <c r="L93" s="49">
        <f>AVERAGE('18.10  MITYANA-MUBENDE-24h'!L93,'19.10 MITYANA-MUBENDE-24h'!L93)</f>
        <v>0</v>
      </c>
      <c r="M93" s="49">
        <f>AVERAGE('18.10  MITYANA-MUBENDE-24h'!M93,'19.10 MITYANA-MUBENDE-24h'!M93)</f>
        <v>2</v>
      </c>
      <c r="N93" s="49">
        <f>AVERAGE('18.10  MITYANA-MUBENDE-24h'!N93,'19.10 MITYANA-MUBENDE-24h'!N93)</f>
        <v>0</v>
      </c>
      <c r="O93" s="15">
        <f t="shared" si="35"/>
        <v>4.5</v>
      </c>
      <c r="P93" s="15">
        <f t="shared" si="36"/>
        <v>6.5</v>
      </c>
      <c r="R93" s="8"/>
      <c r="T93"/>
    </row>
    <row r="94" spans="2:20" ht="23.1" customHeight="1" x14ac:dyDescent="0.25">
      <c r="B94" s="24" t="s">
        <v>134</v>
      </c>
      <c r="C94" s="49">
        <f>AVERAGE('18.10  MITYANA-MUBENDE-24h'!C94,'19.10 MITYANA-MUBENDE-24h'!C94)</f>
        <v>1</v>
      </c>
      <c r="D94" s="49">
        <f>AVERAGE('18.10  MITYANA-MUBENDE-24h'!D94,'19.10 MITYANA-MUBENDE-24h'!D94)</f>
        <v>0</v>
      </c>
      <c r="E94" s="49">
        <f>AVERAGE('18.10  MITYANA-MUBENDE-24h'!E94,'19.10 MITYANA-MUBENDE-24h'!E94)</f>
        <v>0.5</v>
      </c>
      <c r="F94" s="49">
        <f>AVERAGE('18.10  MITYANA-MUBENDE-24h'!F94,'19.10 MITYANA-MUBENDE-24h'!F94)</f>
        <v>0.5</v>
      </c>
      <c r="G94" s="49">
        <f>AVERAGE('18.10  MITYANA-MUBENDE-24h'!G94,'19.10 MITYANA-MUBENDE-24h'!G94)</f>
        <v>0</v>
      </c>
      <c r="H94" s="49">
        <f>AVERAGE('18.10  MITYANA-MUBENDE-24h'!H94,'19.10 MITYANA-MUBENDE-24h'!H94)</f>
        <v>0</v>
      </c>
      <c r="I94" s="49">
        <f>AVERAGE('18.10  MITYANA-MUBENDE-24h'!I94,'19.10 MITYANA-MUBENDE-24h'!I94)</f>
        <v>0</v>
      </c>
      <c r="J94" s="49">
        <f>AVERAGE('18.10  MITYANA-MUBENDE-24h'!J94,'19.10 MITYANA-MUBENDE-24h'!J94)</f>
        <v>0.5</v>
      </c>
      <c r="K94" s="49">
        <f>AVERAGE('18.10  MITYANA-MUBENDE-24h'!K94,'19.10 MITYANA-MUBENDE-24h'!K94)</f>
        <v>0.5</v>
      </c>
      <c r="L94" s="49">
        <f>AVERAGE('18.10  MITYANA-MUBENDE-24h'!L94,'19.10 MITYANA-MUBENDE-24h'!L94)</f>
        <v>0</v>
      </c>
      <c r="M94" s="49">
        <f>AVERAGE('18.10  MITYANA-MUBENDE-24h'!M94,'19.10 MITYANA-MUBENDE-24h'!M94)</f>
        <v>1</v>
      </c>
      <c r="N94" s="49">
        <f>AVERAGE('18.10  MITYANA-MUBENDE-24h'!N94,'19.10 MITYANA-MUBENDE-24h'!N94)</f>
        <v>0</v>
      </c>
      <c r="O94" s="15">
        <f t="shared" si="35"/>
        <v>3</v>
      </c>
      <c r="P94" s="15">
        <f t="shared" si="36"/>
        <v>4</v>
      </c>
      <c r="R94" s="8"/>
      <c r="T94"/>
    </row>
    <row r="95" spans="2:20" ht="23.1" customHeight="1" x14ac:dyDescent="0.25">
      <c r="B95" s="23" t="s">
        <v>135</v>
      </c>
      <c r="C95" s="49">
        <f>AVERAGE('18.10  MITYANA-MUBENDE-24h'!C95,'19.10 MITYANA-MUBENDE-24h'!C95)</f>
        <v>1</v>
      </c>
      <c r="D95" s="49">
        <f>AVERAGE('18.10  MITYANA-MUBENDE-24h'!D95,'19.10 MITYANA-MUBENDE-24h'!D95)</f>
        <v>0</v>
      </c>
      <c r="E95" s="49">
        <f>AVERAGE('18.10  MITYANA-MUBENDE-24h'!E95,'19.10 MITYANA-MUBENDE-24h'!E95)</f>
        <v>0.5</v>
      </c>
      <c r="F95" s="49">
        <f>AVERAGE('18.10  MITYANA-MUBENDE-24h'!F95,'19.10 MITYANA-MUBENDE-24h'!F95)</f>
        <v>0</v>
      </c>
      <c r="G95" s="49">
        <f>AVERAGE('18.10  MITYANA-MUBENDE-24h'!G95,'19.10 MITYANA-MUBENDE-24h'!G95)</f>
        <v>0</v>
      </c>
      <c r="H95" s="49">
        <f>AVERAGE('18.10  MITYANA-MUBENDE-24h'!H95,'19.10 MITYANA-MUBENDE-24h'!H95)</f>
        <v>0</v>
      </c>
      <c r="I95" s="49">
        <f>AVERAGE('18.10  MITYANA-MUBENDE-24h'!I95,'19.10 MITYANA-MUBENDE-24h'!I95)</f>
        <v>0</v>
      </c>
      <c r="J95" s="49">
        <f>AVERAGE('18.10  MITYANA-MUBENDE-24h'!J95,'19.10 MITYANA-MUBENDE-24h'!J95)</f>
        <v>1</v>
      </c>
      <c r="K95" s="49">
        <f>AVERAGE('18.10  MITYANA-MUBENDE-24h'!K95,'19.10 MITYANA-MUBENDE-24h'!K95)</f>
        <v>0</v>
      </c>
      <c r="L95" s="49">
        <f>AVERAGE('18.10  MITYANA-MUBENDE-24h'!L95,'19.10 MITYANA-MUBENDE-24h'!L95)</f>
        <v>0.5</v>
      </c>
      <c r="M95" s="49">
        <f>AVERAGE('18.10  MITYANA-MUBENDE-24h'!M95,'19.10 MITYANA-MUBENDE-24h'!M95)</f>
        <v>0</v>
      </c>
      <c r="N95" s="49">
        <f>AVERAGE('18.10  MITYANA-MUBENDE-24h'!N95,'19.10 MITYANA-MUBENDE-24h'!N95)</f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 x14ac:dyDescent="0.25">
      <c r="B96" s="25" t="s">
        <v>136</v>
      </c>
      <c r="C96" s="49">
        <f>AVERAGE('18.10  MITYANA-MUBENDE-24h'!C96,'19.10 MITYANA-MUBENDE-24h'!C96)</f>
        <v>0.5</v>
      </c>
      <c r="D96" s="49">
        <f>AVERAGE('18.10  MITYANA-MUBENDE-24h'!D96,'19.10 MITYANA-MUBENDE-24h'!D96)</f>
        <v>0</v>
      </c>
      <c r="E96" s="49">
        <f>AVERAGE('18.10  MITYANA-MUBENDE-24h'!E96,'19.10 MITYANA-MUBENDE-24h'!E96)</f>
        <v>0</v>
      </c>
      <c r="F96" s="49">
        <f>AVERAGE('18.10  MITYANA-MUBENDE-24h'!F96,'19.10 MITYANA-MUBENDE-24h'!F96)</f>
        <v>0</v>
      </c>
      <c r="G96" s="49">
        <f>AVERAGE('18.10  MITYANA-MUBENDE-24h'!G96,'19.10 MITYANA-MUBENDE-24h'!G96)</f>
        <v>0</v>
      </c>
      <c r="H96" s="49">
        <f>AVERAGE('18.10  MITYANA-MUBENDE-24h'!H96,'19.10 MITYANA-MUBENDE-24h'!H96)</f>
        <v>0</v>
      </c>
      <c r="I96" s="49">
        <f>AVERAGE('18.10  MITYANA-MUBENDE-24h'!I96,'19.10 MITYANA-MUBENDE-24h'!I96)</f>
        <v>0.5</v>
      </c>
      <c r="J96" s="49">
        <f>AVERAGE('18.10  MITYANA-MUBENDE-24h'!J96,'19.10 MITYANA-MUBENDE-24h'!J96)</f>
        <v>1</v>
      </c>
      <c r="K96" s="49">
        <f>AVERAGE('18.10  MITYANA-MUBENDE-24h'!K96,'19.10 MITYANA-MUBENDE-24h'!K96)</f>
        <v>0</v>
      </c>
      <c r="L96" s="49">
        <f>AVERAGE('18.10  MITYANA-MUBENDE-24h'!L96,'19.10 MITYANA-MUBENDE-24h'!L96)</f>
        <v>1.5</v>
      </c>
      <c r="M96" s="49">
        <f>AVERAGE('18.10  MITYANA-MUBENDE-24h'!M96,'19.10 MITYANA-MUBENDE-24h'!M96)</f>
        <v>0.5</v>
      </c>
      <c r="N96" s="49">
        <f>AVERAGE('18.10  MITYANA-MUBENDE-24h'!N96,'19.10 MITYANA-MUBENDE-24h'!N96)</f>
        <v>0</v>
      </c>
      <c r="O96" s="15">
        <f t="shared" si="35"/>
        <v>3.5</v>
      </c>
      <c r="P96" s="15">
        <f t="shared" si="36"/>
        <v>4</v>
      </c>
      <c r="R96" s="8"/>
      <c r="T96"/>
    </row>
    <row r="97" spans="2:20" ht="23.1" customHeight="1" x14ac:dyDescent="0.25">
      <c r="B97" s="23" t="s">
        <v>137</v>
      </c>
      <c r="C97" s="49">
        <f>AVERAGE('18.10  MITYANA-MUBENDE-24h'!C97,'19.10 MITYANA-MUBENDE-24h'!C97)</f>
        <v>0.5</v>
      </c>
      <c r="D97" s="49">
        <f>AVERAGE('18.10  MITYANA-MUBENDE-24h'!D97,'19.10 MITYANA-MUBENDE-24h'!D97)</f>
        <v>0</v>
      </c>
      <c r="E97" s="49">
        <f>AVERAGE('18.10  MITYANA-MUBENDE-24h'!E97,'19.10 MITYANA-MUBENDE-24h'!E97)</f>
        <v>0</v>
      </c>
      <c r="F97" s="49">
        <f>AVERAGE('18.10  MITYANA-MUBENDE-24h'!F97,'19.10 MITYANA-MUBENDE-24h'!F97)</f>
        <v>0.5</v>
      </c>
      <c r="G97" s="49">
        <f>AVERAGE('18.10  MITYANA-MUBENDE-24h'!G97,'19.10 MITYANA-MUBENDE-24h'!G97)</f>
        <v>0</v>
      </c>
      <c r="H97" s="49">
        <f>AVERAGE('18.10  MITYANA-MUBENDE-24h'!H97,'19.10 MITYANA-MUBENDE-24h'!H97)</f>
        <v>0</v>
      </c>
      <c r="I97" s="49">
        <f>AVERAGE('18.10  MITYANA-MUBENDE-24h'!I97,'19.10 MITYANA-MUBENDE-24h'!I97)</f>
        <v>0</v>
      </c>
      <c r="J97" s="49">
        <f>AVERAGE('18.10  MITYANA-MUBENDE-24h'!J97,'19.10 MITYANA-MUBENDE-24h'!J97)</f>
        <v>1</v>
      </c>
      <c r="K97" s="49">
        <f>AVERAGE('18.10  MITYANA-MUBENDE-24h'!K97,'19.10 MITYANA-MUBENDE-24h'!K97)</f>
        <v>0</v>
      </c>
      <c r="L97" s="49">
        <f>AVERAGE('18.10  MITYANA-MUBENDE-24h'!L97,'19.10 MITYANA-MUBENDE-24h'!L97)</f>
        <v>0.5</v>
      </c>
      <c r="M97" s="49">
        <f>AVERAGE('18.10  MITYANA-MUBENDE-24h'!M97,'19.10 MITYANA-MUBENDE-24h'!M97)</f>
        <v>0.5</v>
      </c>
      <c r="N97" s="49">
        <f>AVERAGE('18.10  MITYANA-MUBENDE-24h'!N97,'19.10 MITYANA-MUBENDE-24h'!N97)</f>
        <v>0</v>
      </c>
      <c r="O97" s="15">
        <f t="shared" si="35"/>
        <v>2.5</v>
      </c>
      <c r="P97" s="15">
        <f t="shared" si="36"/>
        <v>3</v>
      </c>
      <c r="R97" s="8"/>
      <c r="T97"/>
    </row>
    <row r="98" spans="2:20" ht="23.1" customHeight="1" x14ac:dyDescent="0.25">
      <c r="B98" s="24" t="s">
        <v>138</v>
      </c>
      <c r="C98" s="49">
        <f>AVERAGE('18.10  MITYANA-MUBENDE-24h'!C98,'19.10 MITYANA-MUBENDE-24h'!C98)</f>
        <v>0</v>
      </c>
      <c r="D98" s="49">
        <f>AVERAGE('18.10  MITYANA-MUBENDE-24h'!D98,'19.10 MITYANA-MUBENDE-24h'!D98)</f>
        <v>0.5</v>
      </c>
      <c r="E98" s="49">
        <f>AVERAGE('18.10  MITYANA-MUBENDE-24h'!E98,'19.10 MITYANA-MUBENDE-24h'!E98)</f>
        <v>0</v>
      </c>
      <c r="F98" s="49">
        <f>AVERAGE('18.10  MITYANA-MUBENDE-24h'!F98,'19.10 MITYANA-MUBENDE-24h'!F98)</f>
        <v>0</v>
      </c>
      <c r="G98" s="49">
        <f>AVERAGE('18.10  MITYANA-MUBENDE-24h'!G98,'19.10 MITYANA-MUBENDE-24h'!G98)</f>
        <v>0</v>
      </c>
      <c r="H98" s="49">
        <f>AVERAGE('18.10  MITYANA-MUBENDE-24h'!H98,'19.10 MITYANA-MUBENDE-24h'!H98)</f>
        <v>0</v>
      </c>
      <c r="I98" s="49">
        <f>AVERAGE('18.10  MITYANA-MUBENDE-24h'!I98,'19.10 MITYANA-MUBENDE-24h'!I98)</f>
        <v>1</v>
      </c>
      <c r="J98" s="49">
        <f>AVERAGE('18.10  MITYANA-MUBENDE-24h'!J98,'19.10 MITYANA-MUBENDE-24h'!J98)</f>
        <v>0.5</v>
      </c>
      <c r="K98" s="49">
        <f>AVERAGE('18.10  MITYANA-MUBENDE-24h'!K98,'19.10 MITYANA-MUBENDE-24h'!K98)</f>
        <v>0.5</v>
      </c>
      <c r="L98" s="49">
        <f>AVERAGE('18.10  MITYANA-MUBENDE-24h'!L98,'19.10 MITYANA-MUBENDE-24h'!L98)</f>
        <v>0.5</v>
      </c>
      <c r="M98" s="49">
        <f>AVERAGE('18.10  MITYANA-MUBENDE-24h'!M98,'19.10 MITYANA-MUBENDE-24h'!M98)</f>
        <v>0</v>
      </c>
      <c r="N98" s="49">
        <f>AVERAGE('18.10  MITYANA-MUBENDE-24h'!N98,'19.10 MITYANA-MUBENDE-24h'!N98)</f>
        <v>0</v>
      </c>
      <c r="O98" s="15">
        <f t="shared" si="35"/>
        <v>3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AVERAGE('18.10  MITYANA-MUBENDE-24h'!C99,'19.10 MITYANA-MUBENDE-24h'!C99)</f>
        <v>0</v>
      </c>
      <c r="D99" s="49">
        <f>AVERAGE('18.10  MITYANA-MUBENDE-24h'!D99,'19.10 MITYANA-MUBENDE-24h'!D99)</f>
        <v>0</v>
      </c>
      <c r="E99" s="49">
        <f>AVERAGE('18.10  MITYANA-MUBENDE-24h'!E99,'19.10 MITYANA-MUBENDE-24h'!E99)</f>
        <v>0.5</v>
      </c>
      <c r="F99" s="49">
        <f>AVERAGE('18.10  MITYANA-MUBENDE-24h'!F99,'19.10 MITYANA-MUBENDE-24h'!F99)</f>
        <v>0.5</v>
      </c>
      <c r="G99" s="49">
        <f>AVERAGE('18.10  MITYANA-MUBENDE-24h'!G99,'19.10 MITYANA-MUBENDE-24h'!G99)</f>
        <v>0</v>
      </c>
      <c r="H99" s="49">
        <f>AVERAGE('18.10  MITYANA-MUBENDE-24h'!H99,'19.10 MITYANA-MUBENDE-24h'!H99)</f>
        <v>0</v>
      </c>
      <c r="I99" s="49">
        <f>AVERAGE('18.10  MITYANA-MUBENDE-24h'!I99,'19.10 MITYANA-MUBENDE-24h'!I99)</f>
        <v>0.5</v>
      </c>
      <c r="J99" s="49">
        <f>AVERAGE('18.10  MITYANA-MUBENDE-24h'!J99,'19.10 MITYANA-MUBENDE-24h'!J99)</f>
        <v>0.5</v>
      </c>
      <c r="K99" s="49">
        <f>AVERAGE('18.10  MITYANA-MUBENDE-24h'!K99,'19.10 MITYANA-MUBENDE-24h'!K99)</f>
        <v>0</v>
      </c>
      <c r="L99" s="49">
        <f>AVERAGE('18.10  MITYANA-MUBENDE-24h'!L99,'19.10 MITYANA-MUBENDE-24h'!L99)</f>
        <v>1</v>
      </c>
      <c r="M99" s="49">
        <f>AVERAGE('18.10  MITYANA-MUBENDE-24h'!M99,'19.10 MITYANA-MUBENDE-24h'!M99)</f>
        <v>0.5</v>
      </c>
      <c r="N99" s="49">
        <f>AVERAGE('18.10  MITYANA-MUBENDE-24h'!N99,'19.10 MITYANA-MUBENDE-24h'!N99)</f>
        <v>0</v>
      </c>
      <c r="O99" s="15">
        <f t="shared" si="35"/>
        <v>3</v>
      </c>
      <c r="P99" s="15">
        <f t="shared" si="36"/>
        <v>3.5</v>
      </c>
      <c r="R99" s="8"/>
      <c r="T99"/>
    </row>
    <row r="100" spans="2:20" ht="23.1" customHeight="1" x14ac:dyDescent="0.25">
      <c r="B100" s="25" t="s">
        <v>140</v>
      </c>
      <c r="C100" s="49">
        <f>AVERAGE('18.10  MITYANA-MUBENDE-24h'!C100,'19.10 MITYANA-MUBENDE-24h'!C100)</f>
        <v>1</v>
      </c>
      <c r="D100" s="49">
        <f>AVERAGE('18.10  MITYANA-MUBENDE-24h'!D100,'19.10 MITYANA-MUBENDE-24h'!D100)</f>
        <v>1</v>
      </c>
      <c r="E100" s="49">
        <f>AVERAGE('18.10  MITYANA-MUBENDE-24h'!E100,'19.10 MITYANA-MUBENDE-24h'!E100)</f>
        <v>0</v>
      </c>
      <c r="F100" s="49">
        <f>AVERAGE('18.10  MITYANA-MUBENDE-24h'!F100,'19.10 MITYANA-MUBENDE-24h'!F100)</f>
        <v>0.5</v>
      </c>
      <c r="G100" s="49">
        <f>AVERAGE('18.10  MITYANA-MUBENDE-24h'!G100,'19.10 MITYANA-MUBENDE-24h'!G100)</f>
        <v>0</v>
      </c>
      <c r="H100" s="49">
        <f>AVERAGE('18.10  MITYANA-MUBENDE-24h'!H100,'19.10 MITYANA-MUBENDE-24h'!H100)</f>
        <v>0</v>
      </c>
      <c r="I100" s="49">
        <f>AVERAGE('18.10  MITYANA-MUBENDE-24h'!I100,'19.10 MITYANA-MUBENDE-24h'!I100)</f>
        <v>0</v>
      </c>
      <c r="J100" s="49">
        <f>AVERAGE('18.10  MITYANA-MUBENDE-24h'!J100,'19.10 MITYANA-MUBENDE-24h'!J100)</f>
        <v>0.5</v>
      </c>
      <c r="K100" s="49">
        <f>AVERAGE('18.10  MITYANA-MUBENDE-24h'!K100,'19.10 MITYANA-MUBENDE-24h'!K100)</f>
        <v>0</v>
      </c>
      <c r="L100" s="49">
        <f>AVERAGE('18.10  MITYANA-MUBENDE-24h'!L100,'19.10 MITYANA-MUBENDE-24h'!L100)</f>
        <v>0.5</v>
      </c>
      <c r="M100" s="49">
        <f>AVERAGE('18.10  MITYANA-MUBENDE-24h'!M100,'19.10 MITYANA-MUBENDE-24h'!M100)</f>
        <v>5</v>
      </c>
      <c r="N100" s="49">
        <f>AVERAGE('18.10  MITYANA-MUBENDE-24h'!N100,'19.10 MITYANA-MUBENDE-24h'!N100)</f>
        <v>0</v>
      </c>
      <c r="O100" s="15">
        <f t="shared" si="35"/>
        <v>3.5</v>
      </c>
      <c r="P100" s="15">
        <f t="shared" si="36"/>
        <v>8.5</v>
      </c>
      <c r="R100" s="8"/>
      <c r="T100"/>
    </row>
    <row r="101" spans="2:20" ht="23.1" customHeight="1" x14ac:dyDescent="0.25">
      <c r="B101" s="23" t="s">
        <v>141</v>
      </c>
      <c r="C101" s="49">
        <f>AVERAGE('18.10  MITYANA-MUBENDE-24h'!C101,'19.10 MITYANA-MUBENDE-24h'!C101)</f>
        <v>2</v>
      </c>
      <c r="D101" s="49">
        <f>AVERAGE('18.10  MITYANA-MUBENDE-24h'!D101,'19.10 MITYANA-MUBENDE-24h'!D101)</f>
        <v>0.5</v>
      </c>
      <c r="E101" s="49">
        <f>AVERAGE('18.10  MITYANA-MUBENDE-24h'!E101,'19.10 MITYANA-MUBENDE-24h'!E101)</f>
        <v>0</v>
      </c>
      <c r="F101" s="49">
        <f>AVERAGE('18.10  MITYANA-MUBENDE-24h'!F101,'19.10 MITYANA-MUBENDE-24h'!F101)</f>
        <v>2</v>
      </c>
      <c r="G101" s="49">
        <f>AVERAGE('18.10  MITYANA-MUBENDE-24h'!G101,'19.10 MITYANA-MUBENDE-24h'!G101)</f>
        <v>0.5</v>
      </c>
      <c r="H101" s="49">
        <f>AVERAGE('18.10  MITYANA-MUBENDE-24h'!H101,'19.10 MITYANA-MUBENDE-24h'!H101)</f>
        <v>0</v>
      </c>
      <c r="I101" s="49">
        <f>AVERAGE('18.10  MITYANA-MUBENDE-24h'!I101,'19.10 MITYANA-MUBENDE-24h'!I101)</f>
        <v>0.5</v>
      </c>
      <c r="J101" s="49">
        <f>AVERAGE('18.10  MITYANA-MUBENDE-24h'!J101,'19.10 MITYANA-MUBENDE-24h'!J101)</f>
        <v>1.5</v>
      </c>
      <c r="K101" s="49">
        <f>AVERAGE('18.10  MITYANA-MUBENDE-24h'!K101,'19.10 MITYANA-MUBENDE-24h'!K101)</f>
        <v>0.5</v>
      </c>
      <c r="L101" s="49">
        <f>AVERAGE('18.10  MITYANA-MUBENDE-24h'!L101,'19.10 MITYANA-MUBENDE-24h'!L101)</f>
        <v>1.5</v>
      </c>
      <c r="M101" s="49">
        <f>AVERAGE('18.10  MITYANA-MUBENDE-24h'!M101,'19.10 MITYANA-MUBENDE-24h'!M101)</f>
        <v>3.5</v>
      </c>
      <c r="N101" s="49">
        <f>AVERAGE('18.10  MITYANA-MUBENDE-24h'!N101,'19.10 MITYANA-MUBENDE-24h'!N101)</f>
        <v>0</v>
      </c>
      <c r="O101" s="15">
        <f t="shared" si="35"/>
        <v>9</v>
      </c>
      <c r="P101" s="15">
        <f t="shared" si="36"/>
        <v>12.5</v>
      </c>
      <c r="R101" s="8"/>
      <c r="T101"/>
    </row>
    <row r="102" spans="2:20" ht="23.1" customHeight="1" x14ac:dyDescent="0.25">
      <c r="B102" s="24" t="s">
        <v>142</v>
      </c>
      <c r="C102" s="49">
        <f>AVERAGE('18.10  MITYANA-MUBENDE-24h'!C102,'19.10 MITYANA-MUBENDE-24h'!C102)</f>
        <v>0.5</v>
      </c>
      <c r="D102" s="49">
        <f>AVERAGE('18.10  MITYANA-MUBENDE-24h'!D102,'19.10 MITYANA-MUBENDE-24h'!D102)</f>
        <v>0</v>
      </c>
      <c r="E102" s="49">
        <f>AVERAGE('18.10  MITYANA-MUBENDE-24h'!E102,'19.10 MITYANA-MUBENDE-24h'!E102)</f>
        <v>0</v>
      </c>
      <c r="F102" s="49">
        <f>AVERAGE('18.10  MITYANA-MUBENDE-24h'!F102,'19.10 MITYANA-MUBENDE-24h'!F102)</f>
        <v>1</v>
      </c>
      <c r="G102" s="49">
        <f>AVERAGE('18.10  MITYANA-MUBENDE-24h'!G102,'19.10 MITYANA-MUBENDE-24h'!G102)</f>
        <v>0</v>
      </c>
      <c r="H102" s="49">
        <f>AVERAGE('18.10  MITYANA-MUBENDE-24h'!H102,'19.10 MITYANA-MUBENDE-24h'!H102)</f>
        <v>0</v>
      </c>
      <c r="I102" s="49">
        <f>AVERAGE('18.10  MITYANA-MUBENDE-24h'!I102,'19.10 MITYANA-MUBENDE-24h'!I102)</f>
        <v>0.5</v>
      </c>
      <c r="J102" s="49">
        <f>AVERAGE('18.10  MITYANA-MUBENDE-24h'!J102,'19.10 MITYANA-MUBENDE-24h'!J102)</f>
        <v>1.5</v>
      </c>
      <c r="K102" s="49">
        <f>AVERAGE('18.10  MITYANA-MUBENDE-24h'!K102,'19.10 MITYANA-MUBENDE-24h'!K102)</f>
        <v>0.5</v>
      </c>
      <c r="L102" s="49">
        <f>AVERAGE('18.10  MITYANA-MUBENDE-24h'!L102,'19.10 MITYANA-MUBENDE-24h'!L102)</f>
        <v>0.5</v>
      </c>
      <c r="M102" s="49">
        <f>AVERAGE('18.10  MITYANA-MUBENDE-24h'!M102,'19.10 MITYANA-MUBENDE-24h'!M102)</f>
        <v>4.5</v>
      </c>
      <c r="N102" s="49">
        <f>AVERAGE('18.10  MITYANA-MUBENDE-24h'!N102,'19.10 MITYANA-MUBENDE-24h'!N102)</f>
        <v>0</v>
      </c>
      <c r="O102" s="15">
        <f t="shared" si="35"/>
        <v>4.5</v>
      </c>
      <c r="P102" s="15">
        <f t="shared" si="36"/>
        <v>9</v>
      </c>
      <c r="R102" s="8"/>
      <c r="T102"/>
    </row>
    <row r="103" spans="2:20" ht="23.1" customHeight="1" x14ac:dyDescent="0.25">
      <c r="B103" s="23" t="s">
        <v>143</v>
      </c>
      <c r="C103" s="49">
        <f>AVERAGE('18.10  MITYANA-MUBENDE-24h'!C103,'19.10 MITYANA-MUBENDE-24h'!C103)</f>
        <v>3</v>
      </c>
      <c r="D103" s="49">
        <f>AVERAGE('18.10  MITYANA-MUBENDE-24h'!D103,'19.10 MITYANA-MUBENDE-24h'!D103)</f>
        <v>0.5</v>
      </c>
      <c r="E103" s="49">
        <f>AVERAGE('18.10  MITYANA-MUBENDE-24h'!E103,'19.10 MITYANA-MUBENDE-24h'!E103)</f>
        <v>0</v>
      </c>
      <c r="F103" s="49">
        <f>AVERAGE('18.10  MITYANA-MUBENDE-24h'!F103,'19.10 MITYANA-MUBENDE-24h'!F103)</f>
        <v>1.5</v>
      </c>
      <c r="G103" s="49">
        <f>AVERAGE('18.10  MITYANA-MUBENDE-24h'!G103,'19.10 MITYANA-MUBENDE-24h'!G103)</f>
        <v>0</v>
      </c>
      <c r="H103" s="49">
        <f>AVERAGE('18.10  MITYANA-MUBENDE-24h'!H103,'19.10 MITYANA-MUBENDE-24h'!H103)</f>
        <v>0</v>
      </c>
      <c r="I103" s="49">
        <f>AVERAGE('18.10  MITYANA-MUBENDE-24h'!I103,'19.10 MITYANA-MUBENDE-24h'!I103)</f>
        <v>2.5</v>
      </c>
      <c r="J103" s="49">
        <f>AVERAGE('18.10  MITYANA-MUBENDE-24h'!J103,'19.10 MITYANA-MUBENDE-24h'!J103)</f>
        <v>1</v>
      </c>
      <c r="K103" s="49">
        <f>AVERAGE('18.10  MITYANA-MUBENDE-24h'!K103,'19.10 MITYANA-MUBENDE-24h'!K103)</f>
        <v>3</v>
      </c>
      <c r="L103" s="49">
        <f>AVERAGE('18.10  MITYANA-MUBENDE-24h'!L103,'19.10 MITYANA-MUBENDE-24h'!L103)</f>
        <v>1</v>
      </c>
      <c r="M103" s="49">
        <f>AVERAGE('18.10  MITYANA-MUBENDE-24h'!M103,'19.10 MITYANA-MUBENDE-24h'!M103)</f>
        <v>11</v>
      </c>
      <c r="N103" s="49">
        <f>AVERAGE('18.10  MITYANA-MUBENDE-24h'!N103,'19.10 MITYANA-MUBENDE-24h'!N103)</f>
        <v>0</v>
      </c>
      <c r="O103" s="15">
        <f t="shared" si="35"/>
        <v>12.5</v>
      </c>
      <c r="P103" s="15">
        <f t="shared" si="36"/>
        <v>23.5</v>
      </c>
      <c r="R103" s="8"/>
      <c r="T103"/>
    </row>
    <row r="104" spans="2:20" ht="23.1" customHeight="1" x14ac:dyDescent="0.25">
      <c r="B104" s="25" t="s">
        <v>144</v>
      </c>
      <c r="C104" s="49">
        <f>AVERAGE('18.10  MITYANA-MUBENDE-24h'!C104,'19.10 MITYANA-MUBENDE-24h'!C104)</f>
        <v>5</v>
      </c>
      <c r="D104" s="49">
        <f>AVERAGE('18.10  MITYANA-MUBENDE-24h'!D104,'19.10 MITYANA-MUBENDE-24h'!D104)</f>
        <v>1</v>
      </c>
      <c r="E104" s="49">
        <f>AVERAGE('18.10  MITYANA-MUBENDE-24h'!E104,'19.10 MITYANA-MUBENDE-24h'!E104)</f>
        <v>0.5</v>
      </c>
      <c r="F104" s="49">
        <f>AVERAGE('18.10  MITYANA-MUBENDE-24h'!F104,'19.10 MITYANA-MUBENDE-24h'!F104)</f>
        <v>2.5</v>
      </c>
      <c r="G104" s="49">
        <f>AVERAGE('18.10  MITYANA-MUBENDE-24h'!G104,'19.10 MITYANA-MUBENDE-24h'!G104)</f>
        <v>0</v>
      </c>
      <c r="H104" s="49">
        <f>AVERAGE('18.10  MITYANA-MUBENDE-24h'!H104,'19.10 MITYANA-MUBENDE-24h'!H104)</f>
        <v>0</v>
      </c>
      <c r="I104" s="49">
        <f>AVERAGE('18.10  MITYANA-MUBENDE-24h'!I104,'19.10 MITYANA-MUBENDE-24h'!I104)</f>
        <v>1.5</v>
      </c>
      <c r="J104" s="49">
        <f>AVERAGE('18.10  MITYANA-MUBENDE-24h'!J104,'19.10 MITYANA-MUBENDE-24h'!J104)</f>
        <v>0.5</v>
      </c>
      <c r="K104" s="49">
        <f>AVERAGE('18.10  MITYANA-MUBENDE-24h'!K104,'19.10 MITYANA-MUBENDE-24h'!K104)</f>
        <v>0</v>
      </c>
      <c r="L104" s="49">
        <f>AVERAGE('18.10  MITYANA-MUBENDE-24h'!L104,'19.10 MITYANA-MUBENDE-24h'!L104)</f>
        <v>0.5</v>
      </c>
      <c r="M104" s="49">
        <f>AVERAGE('18.10  MITYANA-MUBENDE-24h'!M104,'19.10 MITYANA-MUBENDE-24h'!M104)</f>
        <v>10</v>
      </c>
      <c r="N104" s="49">
        <f>AVERAGE('18.10  MITYANA-MUBENDE-24h'!N104,'19.10 MITYANA-MUBENDE-24h'!N104)</f>
        <v>0</v>
      </c>
      <c r="O104" s="15">
        <f t="shared" si="35"/>
        <v>11.5</v>
      </c>
      <c r="P104" s="15">
        <f t="shared" si="36"/>
        <v>21.5</v>
      </c>
      <c r="R104" s="8"/>
      <c r="T104"/>
    </row>
    <row r="105" spans="2:20" ht="23.1" customHeight="1" x14ac:dyDescent="0.25">
      <c r="B105" s="23" t="s">
        <v>145</v>
      </c>
      <c r="C105" s="49">
        <f>AVERAGE('18.10  MITYANA-MUBENDE-24h'!C105,'19.10 MITYANA-MUBENDE-24h'!C105)</f>
        <v>2.5</v>
      </c>
      <c r="D105" s="49">
        <f>AVERAGE('18.10  MITYANA-MUBENDE-24h'!D105,'19.10 MITYANA-MUBENDE-24h'!D105)</f>
        <v>2</v>
      </c>
      <c r="E105" s="49">
        <f>AVERAGE('18.10  MITYANA-MUBENDE-24h'!E105,'19.10 MITYANA-MUBENDE-24h'!E105)</f>
        <v>2.5</v>
      </c>
      <c r="F105" s="49">
        <f>AVERAGE('18.10  MITYANA-MUBENDE-24h'!F105,'19.10 MITYANA-MUBENDE-24h'!F105)</f>
        <v>0.5</v>
      </c>
      <c r="G105" s="49">
        <f>AVERAGE('18.10  MITYANA-MUBENDE-24h'!G105,'19.10 MITYANA-MUBENDE-24h'!G105)</f>
        <v>0</v>
      </c>
      <c r="H105" s="49">
        <f>AVERAGE('18.10  MITYANA-MUBENDE-24h'!H105,'19.10 MITYANA-MUBENDE-24h'!H105)</f>
        <v>0.5</v>
      </c>
      <c r="I105" s="49">
        <f>AVERAGE('18.10  MITYANA-MUBENDE-24h'!I105,'19.10 MITYANA-MUBENDE-24h'!I105)</f>
        <v>4.5</v>
      </c>
      <c r="J105" s="49">
        <f>AVERAGE('18.10  MITYANA-MUBENDE-24h'!J105,'19.10 MITYANA-MUBENDE-24h'!J105)</f>
        <v>0</v>
      </c>
      <c r="K105" s="49">
        <f>AVERAGE('18.10  MITYANA-MUBENDE-24h'!K105,'19.10 MITYANA-MUBENDE-24h'!K105)</f>
        <v>1</v>
      </c>
      <c r="L105" s="49">
        <f>AVERAGE('18.10  MITYANA-MUBENDE-24h'!L105,'19.10 MITYANA-MUBENDE-24h'!L105)</f>
        <v>1</v>
      </c>
      <c r="M105" s="49">
        <f>AVERAGE('18.10  MITYANA-MUBENDE-24h'!M105,'19.10 MITYANA-MUBENDE-24h'!M105)</f>
        <v>13</v>
      </c>
      <c r="N105" s="49">
        <f>AVERAGE('18.10  MITYANA-MUBENDE-24h'!N105,'19.10 MITYANA-MUBENDE-24h'!N105)</f>
        <v>0</v>
      </c>
      <c r="O105" s="15">
        <f t="shared" si="35"/>
        <v>14.5</v>
      </c>
      <c r="P105" s="15">
        <f t="shared" si="36"/>
        <v>27.5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543.21428571428578</v>
      </c>
      <c r="D106" s="16">
        <f t="shared" ref="D106:P106" si="37">SUM(D10:D105)</f>
        <v>205.85714285714283</v>
      </c>
      <c r="E106" s="16">
        <f t="shared" si="37"/>
        <v>125.85714285714286</v>
      </c>
      <c r="F106" s="16">
        <f t="shared" si="37"/>
        <v>438.642857142857</v>
      </c>
      <c r="G106" s="16">
        <f t="shared" si="37"/>
        <v>12.357142857142858</v>
      </c>
      <c r="H106" s="16">
        <f t="shared" si="37"/>
        <v>30.214285714285712</v>
      </c>
      <c r="I106" s="16">
        <f t="shared" si="37"/>
        <v>227.78571428571428</v>
      </c>
      <c r="J106" s="16">
        <f t="shared" si="37"/>
        <v>204.07142857142858</v>
      </c>
      <c r="K106" s="16">
        <f t="shared" si="37"/>
        <v>80.357142857142861</v>
      </c>
      <c r="L106" s="16">
        <f t="shared" si="37"/>
        <v>78.785714285714292</v>
      </c>
      <c r="M106" s="16">
        <f t="shared" si="37"/>
        <v>2420.2142857142858</v>
      </c>
      <c r="N106" s="16">
        <f t="shared" si="37"/>
        <v>0.5714285714285714</v>
      </c>
      <c r="O106" s="16">
        <f t="shared" si="37"/>
        <v>1947.7142857142856</v>
      </c>
      <c r="P106" s="16">
        <f t="shared" si="37"/>
        <v>4367.9285714285706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0.12436427858906644</v>
      </c>
      <c r="D107" s="43">
        <f t="shared" si="38"/>
        <v>4.712923746136613E-2</v>
      </c>
      <c r="E107" s="43">
        <f t="shared" si="38"/>
        <v>2.8813919641543072E-2</v>
      </c>
      <c r="F107" s="43">
        <f t="shared" si="38"/>
        <v>0.1004235417245834</v>
      </c>
      <c r="G107" s="43">
        <f t="shared" si="38"/>
        <v>2.8290624846690985E-3</v>
      </c>
      <c r="H107" s="43">
        <f t="shared" si="38"/>
        <v>6.9173030694510314E-3</v>
      </c>
      <c r="I107" s="43">
        <f t="shared" si="38"/>
        <v>5.2149596899478345E-2</v>
      </c>
      <c r="J107" s="43">
        <f t="shared" si="38"/>
        <v>4.6720413402887948E-2</v>
      </c>
      <c r="K107" s="43">
        <f t="shared" si="38"/>
        <v>1.8397082631518704E-2</v>
      </c>
      <c r="L107" s="43">
        <f t="shared" si="38"/>
        <v>1.8037317460057895E-2</v>
      </c>
      <c r="M107" s="43">
        <f t="shared" si="38"/>
        <v>0.55408742293666513</v>
      </c>
      <c r="N107" s="43">
        <f t="shared" si="38"/>
        <v>1.3082369871302189E-4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0.2788983423793458</v>
      </c>
      <c r="D108" s="44">
        <f t="shared" ref="D108:N108" si="39">D106/$O$106</f>
        <v>0.10569165321989145</v>
      </c>
      <c r="E108" s="44">
        <f t="shared" si="39"/>
        <v>6.4617867096963474E-2</v>
      </c>
      <c r="F108" s="44">
        <f t="shared" si="39"/>
        <v>0.225209036232947</v>
      </c>
      <c r="G108" s="44">
        <f t="shared" si="39"/>
        <v>6.3444330350594111E-3</v>
      </c>
      <c r="H108" s="44">
        <f t="shared" si="39"/>
        <v>1.5512688866070119E-2</v>
      </c>
      <c r="I108" s="44">
        <f t="shared" si="39"/>
        <v>0.1169502713803726</v>
      </c>
      <c r="J108" s="44">
        <f t="shared" si="39"/>
        <v>0.10477482763679039</v>
      </c>
      <c r="K108" s="44">
        <f t="shared" si="39"/>
        <v>4.1257151239548193E-2</v>
      </c>
      <c r="L108" s="44">
        <f t="shared" si="39"/>
        <v>4.045034472641925E-2</v>
      </c>
      <c r="M108" s="44"/>
      <c r="N108" s="44">
        <f t="shared" si="39"/>
        <v>2.933841865923427E-4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zoomScale="60" workbookViewId="0">
      <selection activeCell="R103" sqref="R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4" t="str">
        <f>'23.10 MITYANA-MUBENDE'!C3:G3</f>
        <v>MCC - C4 - STNo 84 - MUBENDE ROAD</v>
      </c>
      <c r="D3" s="64"/>
      <c r="E3" s="64"/>
      <c r="F3" s="64"/>
      <c r="G3" s="6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0" t="s">
        <v>162</v>
      </c>
      <c r="E5" s="71"/>
      <c r="F5" s="41" t="s">
        <v>1</v>
      </c>
      <c r="G5" s="68" t="str">
        <f>'Avg Week MITYANA-MUBENDE'!G5:H5</f>
        <v>MITYANA COLLEGE KIKUMBI</v>
      </c>
      <c r="H5" s="69"/>
      <c r="I5" s="14"/>
      <c r="J5" s="2" t="s">
        <v>5</v>
      </c>
      <c r="K5" s="68" t="str">
        <f>'Avg Week MITYANA-MUBENDE'!K5:L5</f>
        <v>XXXX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72" t="s">
        <v>161</v>
      </c>
      <c r="E6" s="73"/>
      <c r="F6" s="2" t="s">
        <v>2</v>
      </c>
      <c r="G6" s="72" t="s">
        <v>161</v>
      </c>
      <c r="H6" s="73"/>
      <c r="J6" s="2" t="s">
        <v>21</v>
      </c>
      <c r="K6" s="68" t="str">
        <f>'Avg Week MITYANA-MUBENDE'!K6:L6</f>
        <v>STEVEN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MUBENDE-MITYANA'!C10+'Avg Week MITYANA-MUBENDE'!C10</f>
        <v>8.8571428571428577</v>
      </c>
      <c r="D10" s="49">
        <f>'Avg Week MUBENDE-MITYANA'!D10+'Avg Week MITYANA-MUBENDE'!D10</f>
        <v>3.7142857142857144</v>
      </c>
      <c r="E10" s="49">
        <f>'Avg Week MUBENDE-MITYANA'!E10+'Avg Week MITYANA-MUBENDE'!E10</f>
        <v>3.285714285714286</v>
      </c>
      <c r="F10" s="49">
        <f>'Avg Week MUBENDE-MITYANA'!F10+'Avg Week MITYANA-MUBENDE'!F10</f>
        <v>8.7142857142857153</v>
      </c>
      <c r="G10" s="49">
        <f>'Avg Week MUBENDE-MITYANA'!G10+'Avg Week MITYANA-MUBENDE'!G10</f>
        <v>0.42857142857142855</v>
      </c>
      <c r="H10" s="49">
        <f>'Avg Week MUBENDE-MITYANA'!H10+'Avg Week MITYANA-MUBENDE'!H10</f>
        <v>0.14285714285714285</v>
      </c>
      <c r="I10" s="49">
        <f>'Avg Week MUBENDE-MITYANA'!I10+'Avg Week MITYANA-MUBENDE'!I10</f>
        <v>2.5714285714285712</v>
      </c>
      <c r="J10" s="49">
        <f>'Avg Week MUBENDE-MITYANA'!J10+'Avg Week MITYANA-MUBENDE'!J10</f>
        <v>2.7142857142857144</v>
      </c>
      <c r="K10" s="49">
        <f>'Avg Week MUBENDE-MITYANA'!K10+'Avg Week MITYANA-MUBENDE'!K10</f>
        <v>0.8571428571428571</v>
      </c>
      <c r="L10" s="49">
        <f>'Avg Week MUBENDE-MITYANA'!L10+'Avg Week MITYANA-MUBENDE'!L10</f>
        <v>2.1428571428571428</v>
      </c>
      <c r="M10" s="49">
        <f>'Avg Week MUBENDE-MITYANA'!M10+'Avg Week MITYANA-MUBENDE'!M10</f>
        <v>60.285714285714285</v>
      </c>
      <c r="N10" s="49">
        <f>'Avg Week MUBENDE-MITYANA'!N10+'Avg Week MITYANA-MUBENDE'!N10</f>
        <v>0</v>
      </c>
      <c r="O10" s="15">
        <f t="shared" ref="O10:O73" si="0">SUM(C10:L10,N10)</f>
        <v>33.428571428571431</v>
      </c>
      <c r="P10" s="15">
        <f t="shared" ref="P10:P73" si="1">SUM(C10:N10)</f>
        <v>93.714285714285722</v>
      </c>
      <c r="R10" s="1" t="s">
        <v>6</v>
      </c>
      <c r="S10" s="17">
        <f t="shared" ref="S10:AF10" si="2">SUM(C10:C13)</f>
        <v>45.714285714285715</v>
      </c>
      <c r="T10" s="17">
        <f t="shared" si="2"/>
        <v>15.428571428571431</v>
      </c>
      <c r="U10" s="17">
        <f t="shared" si="2"/>
        <v>12.714285714285714</v>
      </c>
      <c r="V10" s="17">
        <f t="shared" si="2"/>
        <v>35</v>
      </c>
      <c r="W10" s="17">
        <f t="shared" si="2"/>
        <v>1.1428571428571428</v>
      </c>
      <c r="X10" s="17">
        <f t="shared" si="2"/>
        <v>0.5714285714285714</v>
      </c>
      <c r="Y10" s="17">
        <f t="shared" si="2"/>
        <v>11.142857142857142</v>
      </c>
      <c r="Z10" s="17">
        <f t="shared" si="2"/>
        <v>10.285714285714285</v>
      </c>
      <c r="AA10" s="17">
        <f t="shared" si="2"/>
        <v>4.5714285714285712</v>
      </c>
      <c r="AB10" s="17">
        <f t="shared" si="2"/>
        <v>6.5714285714285712</v>
      </c>
      <c r="AC10" s="17">
        <f t="shared" si="2"/>
        <v>305.28571428571428</v>
      </c>
      <c r="AD10" s="17">
        <f t="shared" si="2"/>
        <v>0</v>
      </c>
      <c r="AE10" s="31">
        <f t="shared" si="2"/>
        <v>143.14285714285717</v>
      </c>
      <c r="AF10" s="31">
        <f t="shared" si="2"/>
        <v>448.42857142857144</v>
      </c>
    </row>
    <row r="11" spans="2:32" s="6" customFormat="1" ht="23.1" customHeight="1" x14ac:dyDescent="0.25">
      <c r="B11" s="23" t="s">
        <v>38</v>
      </c>
      <c r="C11" s="49">
        <f>'Avg Week MUBENDE-MITYANA'!C11+'Avg Week MITYANA-MUBENDE'!C11</f>
        <v>9.8571428571428577</v>
      </c>
      <c r="D11" s="49">
        <f>'Avg Week MUBENDE-MITYANA'!D11+'Avg Week MITYANA-MUBENDE'!D11</f>
        <v>3.1428571428571428</v>
      </c>
      <c r="E11" s="49">
        <f>'Avg Week MUBENDE-MITYANA'!E11+'Avg Week MITYANA-MUBENDE'!E11</f>
        <v>1.8571428571428572</v>
      </c>
      <c r="F11" s="49">
        <f>'Avg Week MUBENDE-MITYANA'!F11+'Avg Week MITYANA-MUBENDE'!F11</f>
        <v>7.7142857142857153</v>
      </c>
      <c r="G11" s="49">
        <f>'Avg Week MUBENDE-MITYANA'!G11+'Avg Week MITYANA-MUBENDE'!G11</f>
        <v>0</v>
      </c>
      <c r="H11" s="49">
        <f>'Avg Week MUBENDE-MITYANA'!H11+'Avg Week MITYANA-MUBENDE'!H11</f>
        <v>0</v>
      </c>
      <c r="I11" s="49">
        <f>'Avg Week MUBENDE-MITYANA'!I11+'Avg Week MITYANA-MUBENDE'!I11</f>
        <v>3</v>
      </c>
      <c r="J11" s="49">
        <f>'Avg Week MUBENDE-MITYANA'!J11+'Avg Week MITYANA-MUBENDE'!J11</f>
        <v>3</v>
      </c>
      <c r="K11" s="49">
        <f>'Avg Week MUBENDE-MITYANA'!K11+'Avg Week MITYANA-MUBENDE'!K11</f>
        <v>1.5714285714285714</v>
      </c>
      <c r="L11" s="49">
        <f>'Avg Week MUBENDE-MITYANA'!L11+'Avg Week MITYANA-MUBENDE'!L11</f>
        <v>1.5714285714285714</v>
      </c>
      <c r="M11" s="49">
        <f>'Avg Week MUBENDE-MITYANA'!M11+'Avg Week MITYANA-MUBENDE'!M11</f>
        <v>75.857142857142861</v>
      </c>
      <c r="N11" s="49">
        <f>'Avg Week MUBENDE-MITYANA'!N11+'Avg Week MITYANA-MUBENDE'!N11</f>
        <v>0</v>
      </c>
      <c r="O11" s="15">
        <f t="shared" si="0"/>
        <v>31.714285714285719</v>
      </c>
      <c r="P11" s="15">
        <f t="shared" si="1"/>
        <v>107.57142857142858</v>
      </c>
      <c r="R11" s="1" t="s">
        <v>7</v>
      </c>
      <c r="S11" s="17">
        <f t="shared" ref="S11:AF11" si="3">SUM(C14:C17)</f>
        <v>45.857142857142854</v>
      </c>
      <c r="T11" s="17">
        <f t="shared" si="3"/>
        <v>23.285714285714285</v>
      </c>
      <c r="U11" s="17">
        <f t="shared" si="3"/>
        <v>11.428571428571429</v>
      </c>
      <c r="V11" s="17">
        <f t="shared" si="3"/>
        <v>44.999999999999993</v>
      </c>
      <c r="W11" s="17">
        <f t="shared" si="3"/>
        <v>0.5714285714285714</v>
      </c>
      <c r="X11" s="17">
        <f t="shared" si="3"/>
        <v>0.85714285714285698</v>
      </c>
      <c r="Y11" s="17">
        <f t="shared" si="3"/>
        <v>13.857142857142858</v>
      </c>
      <c r="Z11" s="17">
        <f t="shared" si="3"/>
        <v>9.8571428571428577</v>
      </c>
      <c r="AA11" s="17">
        <f t="shared" si="3"/>
        <v>2.4285714285714284</v>
      </c>
      <c r="AB11" s="17">
        <f t="shared" si="3"/>
        <v>6.4285714285714279</v>
      </c>
      <c r="AC11" s="17">
        <f t="shared" si="3"/>
        <v>329.28571428571428</v>
      </c>
      <c r="AD11" s="17">
        <f t="shared" si="3"/>
        <v>0.14285714285714285</v>
      </c>
      <c r="AE11" s="31">
        <f t="shared" si="3"/>
        <v>159.71428571428572</v>
      </c>
      <c r="AF11" s="31">
        <f t="shared" si="3"/>
        <v>489</v>
      </c>
    </row>
    <row r="12" spans="2:32" ht="23.1" customHeight="1" x14ac:dyDescent="0.25">
      <c r="B12" s="23" t="s">
        <v>39</v>
      </c>
      <c r="C12" s="49">
        <f>'Avg Week MUBENDE-MITYANA'!C12+'Avg Week MITYANA-MUBENDE'!C12</f>
        <v>13.428571428571429</v>
      </c>
      <c r="D12" s="49">
        <f>'Avg Week MUBENDE-MITYANA'!D12+'Avg Week MITYANA-MUBENDE'!D12</f>
        <v>4.8571428571428577</v>
      </c>
      <c r="E12" s="49">
        <f>'Avg Week MUBENDE-MITYANA'!E12+'Avg Week MITYANA-MUBENDE'!E12</f>
        <v>3</v>
      </c>
      <c r="F12" s="49">
        <f>'Avg Week MUBENDE-MITYANA'!F12+'Avg Week MITYANA-MUBENDE'!F12</f>
        <v>8.8571428571428577</v>
      </c>
      <c r="G12" s="49">
        <f>'Avg Week MUBENDE-MITYANA'!G12+'Avg Week MITYANA-MUBENDE'!G12</f>
        <v>0.42857142857142855</v>
      </c>
      <c r="H12" s="49">
        <f>'Avg Week MUBENDE-MITYANA'!H12+'Avg Week MITYANA-MUBENDE'!H12</f>
        <v>0</v>
      </c>
      <c r="I12" s="49">
        <f>'Avg Week MUBENDE-MITYANA'!I12+'Avg Week MITYANA-MUBENDE'!I12</f>
        <v>2.1428571428571428</v>
      </c>
      <c r="J12" s="49">
        <f>'Avg Week MUBENDE-MITYANA'!J12+'Avg Week MITYANA-MUBENDE'!J12</f>
        <v>2.5714285714285712</v>
      </c>
      <c r="K12" s="49">
        <f>'Avg Week MUBENDE-MITYANA'!K12+'Avg Week MITYANA-MUBENDE'!K12</f>
        <v>0.71428571428571419</v>
      </c>
      <c r="L12" s="49">
        <f>'Avg Week MUBENDE-MITYANA'!L12+'Avg Week MITYANA-MUBENDE'!L12</f>
        <v>1.2857142857142856</v>
      </c>
      <c r="M12" s="49">
        <f>'Avg Week MUBENDE-MITYANA'!M12+'Avg Week MITYANA-MUBENDE'!M12</f>
        <v>81</v>
      </c>
      <c r="N12" s="49">
        <f>'Avg Week MUBENDE-MITYANA'!N12+'Avg Week MITYANA-MUBENDE'!N12</f>
        <v>0</v>
      </c>
      <c r="O12" s="15">
        <f t="shared" si="0"/>
        <v>37.285714285714285</v>
      </c>
      <c r="P12" s="15">
        <f t="shared" si="1"/>
        <v>118.28571428571428</v>
      </c>
      <c r="R12" s="1" t="s">
        <v>8</v>
      </c>
      <c r="S12" s="17">
        <f t="shared" ref="S12:AF12" si="4">SUM(C18:C21)</f>
        <v>55.142857142857139</v>
      </c>
      <c r="T12" s="17">
        <f t="shared" si="4"/>
        <v>24.571428571428573</v>
      </c>
      <c r="U12" s="17">
        <f t="shared" si="4"/>
        <v>12.714285714285715</v>
      </c>
      <c r="V12" s="17">
        <f t="shared" si="4"/>
        <v>46.428571428571431</v>
      </c>
      <c r="W12" s="17">
        <f t="shared" si="4"/>
        <v>1.1428571428571428</v>
      </c>
      <c r="X12" s="17">
        <f t="shared" si="4"/>
        <v>1.2857142857142856</v>
      </c>
      <c r="Y12" s="17">
        <f t="shared" si="4"/>
        <v>17.571428571428569</v>
      </c>
      <c r="Z12" s="17">
        <f t="shared" si="4"/>
        <v>8.7142857142857135</v>
      </c>
      <c r="AA12" s="17">
        <f t="shared" si="4"/>
        <v>3.714285714285714</v>
      </c>
      <c r="AB12" s="17">
        <f t="shared" si="4"/>
        <v>5.8571428571428577</v>
      </c>
      <c r="AC12" s="17">
        <f t="shared" si="4"/>
        <v>321</v>
      </c>
      <c r="AD12" s="17">
        <f t="shared" si="4"/>
        <v>0.14285714285714285</v>
      </c>
      <c r="AE12" s="31">
        <f t="shared" si="4"/>
        <v>177.28571428571428</v>
      </c>
      <c r="AF12" s="31">
        <f t="shared" si="4"/>
        <v>498.28571428571428</v>
      </c>
    </row>
    <row r="13" spans="2:32" ht="23.1" customHeight="1" x14ac:dyDescent="0.25">
      <c r="B13" s="23" t="s">
        <v>40</v>
      </c>
      <c r="C13" s="49">
        <f>'Avg Week MUBENDE-MITYANA'!C13+'Avg Week MITYANA-MUBENDE'!C13</f>
        <v>13.571428571428571</v>
      </c>
      <c r="D13" s="49">
        <f>'Avg Week MUBENDE-MITYANA'!D13+'Avg Week MITYANA-MUBENDE'!D13</f>
        <v>3.7142857142857144</v>
      </c>
      <c r="E13" s="49">
        <f>'Avg Week MUBENDE-MITYANA'!E13+'Avg Week MITYANA-MUBENDE'!E13</f>
        <v>4.5714285714285712</v>
      </c>
      <c r="F13" s="49">
        <f>'Avg Week MUBENDE-MITYANA'!F13+'Avg Week MITYANA-MUBENDE'!F13</f>
        <v>9.7142857142857153</v>
      </c>
      <c r="G13" s="49">
        <f>'Avg Week MUBENDE-MITYANA'!G13+'Avg Week MITYANA-MUBENDE'!G13</f>
        <v>0.2857142857142857</v>
      </c>
      <c r="H13" s="49">
        <f>'Avg Week MUBENDE-MITYANA'!H13+'Avg Week MITYANA-MUBENDE'!H13</f>
        <v>0.42857142857142855</v>
      </c>
      <c r="I13" s="49">
        <f>'Avg Week MUBENDE-MITYANA'!I13+'Avg Week MITYANA-MUBENDE'!I13</f>
        <v>3.4285714285714288</v>
      </c>
      <c r="J13" s="49">
        <f>'Avg Week MUBENDE-MITYANA'!J13+'Avg Week MITYANA-MUBENDE'!J13</f>
        <v>2</v>
      </c>
      <c r="K13" s="49">
        <f>'Avg Week MUBENDE-MITYANA'!K13+'Avg Week MITYANA-MUBENDE'!K13</f>
        <v>1.4285714285714284</v>
      </c>
      <c r="L13" s="49">
        <f>'Avg Week MUBENDE-MITYANA'!L13+'Avg Week MITYANA-MUBENDE'!L13</f>
        <v>1.5714285714285714</v>
      </c>
      <c r="M13" s="49">
        <f>'Avg Week MUBENDE-MITYANA'!M13+'Avg Week MITYANA-MUBENDE'!M13</f>
        <v>88.142857142857139</v>
      </c>
      <c r="N13" s="49">
        <f>'Avg Week MUBENDE-MITYANA'!N13+'Avg Week MITYANA-MUBENDE'!N13</f>
        <v>0</v>
      </c>
      <c r="O13" s="15">
        <f t="shared" si="0"/>
        <v>40.714285714285715</v>
      </c>
      <c r="P13" s="15">
        <f t="shared" si="1"/>
        <v>128.85714285714286</v>
      </c>
      <c r="R13" s="1" t="s">
        <v>9</v>
      </c>
      <c r="S13" s="17">
        <f t="shared" ref="S13:AF13" si="5">SUM(C22:C25)</f>
        <v>58.857142857142854</v>
      </c>
      <c r="T13" s="17">
        <f t="shared" si="5"/>
        <v>19.428571428571431</v>
      </c>
      <c r="U13" s="17">
        <f t="shared" si="5"/>
        <v>14.714285714285715</v>
      </c>
      <c r="V13" s="17">
        <f t="shared" si="5"/>
        <v>58.571428571428569</v>
      </c>
      <c r="W13" s="17">
        <f t="shared" si="5"/>
        <v>1.5714285714285712</v>
      </c>
      <c r="X13" s="17">
        <f t="shared" si="5"/>
        <v>2.8571428571428572</v>
      </c>
      <c r="Y13" s="17">
        <f t="shared" si="5"/>
        <v>20.428571428571427</v>
      </c>
      <c r="Z13" s="17">
        <f t="shared" si="5"/>
        <v>10.571428571428571</v>
      </c>
      <c r="AA13" s="17">
        <f t="shared" si="5"/>
        <v>3.5714285714285716</v>
      </c>
      <c r="AB13" s="17">
        <f t="shared" si="5"/>
        <v>6</v>
      </c>
      <c r="AC13" s="17">
        <f t="shared" si="5"/>
        <v>297.42857142857144</v>
      </c>
      <c r="AD13" s="17">
        <f t="shared" si="5"/>
        <v>0.2857142857142857</v>
      </c>
      <c r="AE13" s="31">
        <f t="shared" si="5"/>
        <v>196.85714285714286</v>
      </c>
      <c r="AF13" s="31">
        <f t="shared" si="5"/>
        <v>494.28571428571422</v>
      </c>
    </row>
    <row r="14" spans="2:32" ht="23.1" customHeight="1" x14ac:dyDescent="0.25">
      <c r="B14" s="23" t="s">
        <v>41</v>
      </c>
      <c r="C14" s="49">
        <f>'Avg Week MUBENDE-MITYANA'!C14+'Avg Week MITYANA-MUBENDE'!C14</f>
        <v>9.5714285714285712</v>
      </c>
      <c r="D14" s="49">
        <f>'Avg Week MUBENDE-MITYANA'!D14+'Avg Week MITYANA-MUBENDE'!D14</f>
        <v>5</v>
      </c>
      <c r="E14" s="49">
        <f>'Avg Week MUBENDE-MITYANA'!E14+'Avg Week MITYANA-MUBENDE'!E14</f>
        <v>2</v>
      </c>
      <c r="F14" s="49">
        <f>'Avg Week MUBENDE-MITYANA'!F14+'Avg Week MITYANA-MUBENDE'!F14</f>
        <v>11.571428571428571</v>
      </c>
      <c r="G14" s="49">
        <f>'Avg Week MUBENDE-MITYANA'!G14+'Avg Week MITYANA-MUBENDE'!G14</f>
        <v>0</v>
      </c>
      <c r="H14" s="49">
        <f>'Avg Week MUBENDE-MITYANA'!H14+'Avg Week MITYANA-MUBENDE'!H14</f>
        <v>0.14285714285714285</v>
      </c>
      <c r="I14" s="49">
        <f>'Avg Week MUBENDE-MITYANA'!I14+'Avg Week MITYANA-MUBENDE'!I14</f>
        <v>3.2857142857142856</v>
      </c>
      <c r="J14" s="49">
        <f>'Avg Week MUBENDE-MITYANA'!J14+'Avg Week MITYANA-MUBENDE'!J14</f>
        <v>2.5714285714285712</v>
      </c>
      <c r="K14" s="49">
        <f>'Avg Week MUBENDE-MITYANA'!K14+'Avg Week MITYANA-MUBENDE'!K14</f>
        <v>0.71428571428571419</v>
      </c>
      <c r="L14" s="49">
        <f>'Avg Week MUBENDE-MITYANA'!L14+'Avg Week MITYANA-MUBENDE'!L14</f>
        <v>2</v>
      </c>
      <c r="M14" s="49">
        <f>'Avg Week MUBENDE-MITYANA'!M14+'Avg Week MITYANA-MUBENDE'!M14</f>
        <v>81.285714285714292</v>
      </c>
      <c r="N14" s="49">
        <f>'Avg Week MUBENDE-MITYANA'!N14+'Avg Week MITYANA-MUBENDE'!N14</f>
        <v>0.14285714285714285</v>
      </c>
      <c r="O14" s="15">
        <f t="shared" si="0"/>
        <v>37</v>
      </c>
      <c r="P14" s="15">
        <f t="shared" si="1"/>
        <v>118.28571428571428</v>
      </c>
      <c r="R14" s="1" t="s">
        <v>10</v>
      </c>
      <c r="S14" s="17">
        <f t="shared" ref="S14:AF14" si="6">SUM(C26:C29)</f>
        <v>65.142857142857139</v>
      </c>
      <c r="T14" s="17">
        <f t="shared" si="6"/>
        <v>23.285714285714285</v>
      </c>
      <c r="U14" s="17">
        <f t="shared" si="6"/>
        <v>18.571428571428569</v>
      </c>
      <c r="V14" s="17">
        <f t="shared" si="6"/>
        <v>54.571428571428569</v>
      </c>
      <c r="W14" s="17">
        <f t="shared" si="6"/>
        <v>0.5714285714285714</v>
      </c>
      <c r="X14" s="17">
        <f t="shared" si="6"/>
        <v>3.1428571428571423</v>
      </c>
      <c r="Y14" s="17">
        <f t="shared" si="6"/>
        <v>18</v>
      </c>
      <c r="Z14" s="17">
        <f t="shared" si="6"/>
        <v>13</v>
      </c>
      <c r="AA14" s="17">
        <f t="shared" si="6"/>
        <v>3.1428571428571428</v>
      </c>
      <c r="AB14" s="17">
        <f t="shared" si="6"/>
        <v>7.2857142857142865</v>
      </c>
      <c r="AC14" s="17">
        <f t="shared" si="6"/>
        <v>312.14285714285711</v>
      </c>
      <c r="AD14" s="17">
        <f t="shared" si="6"/>
        <v>0</v>
      </c>
      <c r="AE14" s="31">
        <f t="shared" si="6"/>
        <v>206.71428571428569</v>
      </c>
      <c r="AF14" s="31">
        <f t="shared" si="6"/>
        <v>518.85714285714289</v>
      </c>
    </row>
    <row r="15" spans="2:32" ht="23.1" customHeight="1" x14ac:dyDescent="0.25">
      <c r="B15" s="23" t="s">
        <v>42</v>
      </c>
      <c r="C15" s="49">
        <f>'Avg Week MUBENDE-MITYANA'!C15+'Avg Week MITYANA-MUBENDE'!C15</f>
        <v>11.714285714285715</v>
      </c>
      <c r="D15" s="49">
        <f>'Avg Week MUBENDE-MITYANA'!D15+'Avg Week MITYANA-MUBENDE'!D15</f>
        <v>6.5714285714285712</v>
      </c>
      <c r="E15" s="49">
        <f>'Avg Week MUBENDE-MITYANA'!E15+'Avg Week MITYANA-MUBENDE'!E15</f>
        <v>3</v>
      </c>
      <c r="F15" s="49">
        <f>'Avg Week MUBENDE-MITYANA'!F15+'Avg Week MITYANA-MUBENDE'!F15</f>
        <v>11</v>
      </c>
      <c r="G15" s="49">
        <f>'Avg Week MUBENDE-MITYANA'!G15+'Avg Week MITYANA-MUBENDE'!G15</f>
        <v>0.14285714285714285</v>
      </c>
      <c r="H15" s="49">
        <f>'Avg Week MUBENDE-MITYANA'!H15+'Avg Week MITYANA-MUBENDE'!H15</f>
        <v>0.42857142857142855</v>
      </c>
      <c r="I15" s="49">
        <f>'Avg Week MUBENDE-MITYANA'!I15+'Avg Week MITYANA-MUBENDE'!I15</f>
        <v>3</v>
      </c>
      <c r="J15" s="49">
        <f>'Avg Week MUBENDE-MITYANA'!J15+'Avg Week MITYANA-MUBENDE'!J15</f>
        <v>3.4285714285714284</v>
      </c>
      <c r="K15" s="49">
        <f>'Avg Week MUBENDE-MITYANA'!K15+'Avg Week MITYANA-MUBENDE'!K15</f>
        <v>0.2857142857142857</v>
      </c>
      <c r="L15" s="49">
        <f>'Avg Week MUBENDE-MITYANA'!L15+'Avg Week MITYANA-MUBENDE'!L15</f>
        <v>1.1428571428571428</v>
      </c>
      <c r="M15" s="49">
        <f>'Avg Week MUBENDE-MITYANA'!M15+'Avg Week MITYANA-MUBENDE'!M15</f>
        <v>76.571428571428569</v>
      </c>
      <c r="N15" s="49">
        <f>'Avg Week MUBENDE-MITYANA'!N15+'Avg Week MITYANA-MUBENDE'!N15</f>
        <v>0</v>
      </c>
      <c r="O15" s="15">
        <f t="shared" si="0"/>
        <v>40.714285714285722</v>
      </c>
      <c r="P15" s="15">
        <f t="shared" si="1"/>
        <v>117.28571428571429</v>
      </c>
      <c r="R15" s="1" t="s">
        <v>11</v>
      </c>
      <c r="S15" s="17">
        <f t="shared" ref="S15:AF15" si="7">SUM(C30:C33)</f>
        <v>60.857142857142854</v>
      </c>
      <c r="T15" s="17">
        <f t="shared" si="7"/>
        <v>25.285714285714285</v>
      </c>
      <c r="U15" s="17">
        <f t="shared" si="7"/>
        <v>14.571428571428573</v>
      </c>
      <c r="V15" s="17">
        <f t="shared" si="7"/>
        <v>56.857142857142854</v>
      </c>
      <c r="W15" s="17">
        <f t="shared" si="7"/>
        <v>0.99999999999999989</v>
      </c>
      <c r="X15" s="17">
        <f t="shared" si="7"/>
        <v>4.4285714285714288</v>
      </c>
      <c r="Y15" s="17">
        <f t="shared" si="7"/>
        <v>19</v>
      </c>
      <c r="Z15" s="17">
        <f t="shared" si="7"/>
        <v>12.428571428571429</v>
      </c>
      <c r="AA15" s="17">
        <f t="shared" si="7"/>
        <v>4</v>
      </c>
      <c r="AB15" s="17">
        <f t="shared" si="7"/>
        <v>6.2857142857142847</v>
      </c>
      <c r="AC15" s="17">
        <f t="shared" si="7"/>
        <v>308.71428571428567</v>
      </c>
      <c r="AD15" s="17">
        <f t="shared" si="7"/>
        <v>0.14285714285714285</v>
      </c>
      <c r="AE15" s="31">
        <f t="shared" si="7"/>
        <v>204.85714285714283</v>
      </c>
      <c r="AF15" s="31">
        <f t="shared" si="7"/>
        <v>513.57142857142856</v>
      </c>
    </row>
    <row r="16" spans="2:32" ht="23.1" customHeight="1" x14ac:dyDescent="0.25">
      <c r="B16" s="23" t="s">
        <v>43</v>
      </c>
      <c r="C16" s="49">
        <f>'Avg Week MUBENDE-MITYANA'!C16+'Avg Week MITYANA-MUBENDE'!C16</f>
        <v>12</v>
      </c>
      <c r="D16" s="49">
        <f>'Avg Week MUBENDE-MITYANA'!D16+'Avg Week MITYANA-MUBENDE'!D16</f>
        <v>6.7142857142857144</v>
      </c>
      <c r="E16" s="49">
        <f>'Avg Week MUBENDE-MITYANA'!E16+'Avg Week MITYANA-MUBENDE'!E16</f>
        <v>2.7142857142857144</v>
      </c>
      <c r="F16" s="49">
        <f>'Avg Week MUBENDE-MITYANA'!F16+'Avg Week MITYANA-MUBENDE'!F16</f>
        <v>10.142857142857142</v>
      </c>
      <c r="G16" s="49">
        <f>'Avg Week MUBENDE-MITYANA'!G16+'Avg Week MITYANA-MUBENDE'!G16</f>
        <v>0.42857142857142855</v>
      </c>
      <c r="H16" s="49">
        <f>'Avg Week MUBENDE-MITYANA'!H16+'Avg Week MITYANA-MUBENDE'!H16</f>
        <v>0.14285714285714285</v>
      </c>
      <c r="I16" s="49">
        <f>'Avg Week MUBENDE-MITYANA'!I16+'Avg Week MITYANA-MUBENDE'!I16</f>
        <v>3.1428571428571428</v>
      </c>
      <c r="J16" s="49">
        <f>'Avg Week MUBENDE-MITYANA'!J16+'Avg Week MITYANA-MUBENDE'!J16</f>
        <v>2.1428571428571428</v>
      </c>
      <c r="K16" s="49">
        <f>'Avg Week MUBENDE-MITYANA'!K16+'Avg Week MITYANA-MUBENDE'!K16</f>
        <v>0.5714285714285714</v>
      </c>
      <c r="L16" s="49">
        <f>'Avg Week MUBENDE-MITYANA'!L16+'Avg Week MITYANA-MUBENDE'!L16</f>
        <v>2</v>
      </c>
      <c r="M16" s="49">
        <f>'Avg Week MUBENDE-MITYANA'!M16+'Avg Week MITYANA-MUBENDE'!M16</f>
        <v>81.714285714285708</v>
      </c>
      <c r="N16" s="49">
        <f>'Avg Week MUBENDE-MITYANA'!N16+'Avg Week MITYANA-MUBENDE'!N16</f>
        <v>0</v>
      </c>
      <c r="O16" s="15">
        <f t="shared" si="0"/>
        <v>40.000000000000007</v>
      </c>
      <c r="P16" s="15">
        <f t="shared" si="1"/>
        <v>121.71428571428572</v>
      </c>
      <c r="R16" s="1" t="s">
        <v>12</v>
      </c>
      <c r="S16" s="17">
        <f t="shared" ref="S16:AF16" si="8">SUM(C34:C37)</f>
        <v>68.714285714285708</v>
      </c>
      <c r="T16" s="17">
        <f t="shared" si="8"/>
        <v>24</v>
      </c>
      <c r="U16" s="17">
        <f t="shared" si="8"/>
        <v>13.142857142857142</v>
      </c>
      <c r="V16" s="17">
        <f t="shared" si="8"/>
        <v>61.857142857142861</v>
      </c>
      <c r="W16" s="17">
        <f t="shared" si="8"/>
        <v>1.4285714285714284</v>
      </c>
      <c r="X16" s="17">
        <f t="shared" si="8"/>
        <v>4.1428571428571423</v>
      </c>
      <c r="Y16" s="17">
        <f t="shared" si="8"/>
        <v>23.142857142857146</v>
      </c>
      <c r="Z16" s="17">
        <f t="shared" si="8"/>
        <v>14.428571428571429</v>
      </c>
      <c r="AA16" s="17">
        <f t="shared" si="8"/>
        <v>4.5714285714285712</v>
      </c>
      <c r="AB16" s="17">
        <f t="shared" si="8"/>
        <v>7.8571428571428568</v>
      </c>
      <c r="AC16" s="17">
        <f t="shared" si="8"/>
        <v>320.42857142857144</v>
      </c>
      <c r="AD16" s="17">
        <f t="shared" si="8"/>
        <v>0</v>
      </c>
      <c r="AE16" s="31">
        <f t="shared" si="8"/>
        <v>223.28571428571428</v>
      </c>
      <c r="AF16" s="31">
        <f t="shared" si="8"/>
        <v>543.71428571428578</v>
      </c>
    </row>
    <row r="17" spans="2:32" ht="23.1" customHeight="1" x14ac:dyDescent="0.25">
      <c r="B17" s="23" t="s">
        <v>44</v>
      </c>
      <c r="C17" s="49">
        <f>'Avg Week MUBENDE-MITYANA'!C17+'Avg Week MITYANA-MUBENDE'!C17</f>
        <v>12.571428571428571</v>
      </c>
      <c r="D17" s="49">
        <f>'Avg Week MUBENDE-MITYANA'!D17+'Avg Week MITYANA-MUBENDE'!D17</f>
        <v>5</v>
      </c>
      <c r="E17" s="49">
        <f>'Avg Week MUBENDE-MITYANA'!E17+'Avg Week MITYANA-MUBENDE'!E17</f>
        <v>3.7142857142857144</v>
      </c>
      <c r="F17" s="49">
        <f>'Avg Week MUBENDE-MITYANA'!F17+'Avg Week MITYANA-MUBENDE'!F17</f>
        <v>12.285714285714285</v>
      </c>
      <c r="G17" s="49">
        <f>'Avg Week MUBENDE-MITYANA'!G17+'Avg Week MITYANA-MUBENDE'!G17</f>
        <v>0</v>
      </c>
      <c r="H17" s="49">
        <f>'Avg Week MUBENDE-MITYANA'!H17+'Avg Week MITYANA-MUBENDE'!H17</f>
        <v>0.14285714285714285</v>
      </c>
      <c r="I17" s="49">
        <f>'Avg Week MUBENDE-MITYANA'!I17+'Avg Week MITYANA-MUBENDE'!I17</f>
        <v>4.4285714285714288</v>
      </c>
      <c r="J17" s="49">
        <f>'Avg Week MUBENDE-MITYANA'!J17+'Avg Week MITYANA-MUBENDE'!J17</f>
        <v>1.7142857142857144</v>
      </c>
      <c r="K17" s="49">
        <f>'Avg Week MUBENDE-MITYANA'!K17+'Avg Week MITYANA-MUBENDE'!K17</f>
        <v>0.8571428571428571</v>
      </c>
      <c r="L17" s="49">
        <f>'Avg Week MUBENDE-MITYANA'!L17+'Avg Week MITYANA-MUBENDE'!L17</f>
        <v>1.2857142857142856</v>
      </c>
      <c r="M17" s="49">
        <f>'Avg Week MUBENDE-MITYANA'!M17+'Avg Week MITYANA-MUBENDE'!M17</f>
        <v>89.714285714285722</v>
      </c>
      <c r="N17" s="49">
        <f>'Avg Week MUBENDE-MITYANA'!N17+'Avg Week MITYANA-MUBENDE'!N17</f>
        <v>0</v>
      </c>
      <c r="O17" s="15">
        <f t="shared" si="0"/>
        <v>42</v>
      </c>
      <c r="P17" s="15">
        <f t="shared" si="1"/>
        <v>131.71428571428572</v>
      </c>
      <c r="R17" s="1" t="s">
        <v>13</v>
      </c>
      <c r="S17" s="17">
        <f t="shared" ref="S17:AF17" si="9">SUM(C38:C41)</f>
        <v>62.571428571428569</v>
      </c>
      <c r="T17" s="17">
        <f t="shared" si="9"/>
        <v>25.142857142857142</v>
      </c>
      <c r="U17" s="17">
        <f t="shared" si="9"/>
        <v>17.285714285714285</v>
      </c>
      <c r="V17" s="17">
        <f t="shared" si="9"/>
        <v>59.428571428571431</v>
      </c>
      <c r="W17" s="17">
        <f t="shared" si="9"/>
        <v>1.2857142857142856</v>
      </c>
      <c r="X17" s="17">
        <f t="shared" si="9"/>
        <v>4.5714285714285712</v>
      </c>
      <c r="Y17" s="17">
        <f t="shared" si="9"/>
        <v>21.571428571428573</v>
      </c>
      <c r="Z17" s="17">
        <f t="shared" si="9"/>
        <v>15.285714285714288</v>
      </c>
      <c r="AA17" s="17">
        <f t="shared" si="9"/>
        <v>5.7142857142857144</v>
      </c>
      <c r="AB17" s="17">
        <f t="shared" si="9"/>
        <v>5.1428571428571423</v>
      </c>
      <c r="AC17" s="17">
        <f t="shared" si="9"/>
        <v>324.57142857142856</v>
      </c>
      <c r="AD17" s="17">
        <f t="shared" si="9"/>
        <v>0</v>
      </c>
      <c r="AE17" s="31">
        <f t="shared" si="9"/>
        <v>218</v>
      </c>
      <c r="AF17" s="31">
        <f t="shared" si="9"/>
        <v>542.57142857142856</v>
      </c>
    </row>
    <row r="18" spans="2:32" ht="23.1" customHeight="1" x14ac:dyDescent="0.25">
      <c r="B18" s="23" t="s">
        <v>45</v>
      </c>
      <c r="C18" s="49">
        <f>'Avg Week MUBENDE-MITYANA'!C18+'Avg Week MITYANA-MUBENDE'!C18</f>
        <v>12.571428571428571</v>
      </c>
      <c r="D18" s="49">
        <f>'Avg Week MUBENDE-MITYANA'!D18+'Avg Week MITYANA-MUBENDE'!D18</f>
        <v>6.2857142857142856</v>
      </c>
      <c r="E18" s="49">
        <f>'Avg Week MUBENDE-MITYANA'!E18+'Avg Week MITYANA-MUBENDE'!E18</f>
        <v>3.4285714285714284</v>
      </c>
      <c r="F18" s="49">
        <f>'Avg Week MUBENDE-MITYANA'!F18+'Avg Week MITYANA-MUBENDE'!F18</f>
        <v>11.285714285714285</v>
      </c>
      <c r="G18" s="49">
        <f>'Avg Week MUBENDE-MITYANA'!G18+'Avg Week MITYANA-MUBENDE'!G18</f>
        <v>0</v>
      </c>
      <c r="H18" s="49">
        <f>'Avg Week MUBENDE-MITYANA'!H18+'Avg Week MITYANA-MUBENDE'!H18</f>
        <v>0.2857142857142857</v>
      </c>
      <c r="I18" s="49">
        <f>'Avg Week MUBENDE-MITYANA'!I18+'Avg Week MITYANA-MUBENDE'!I18</f>
        <v>4.4285714285714288</v>
      </c>
      <c r="J18" s="49">
        <f>'Avg Week MUBENDE-MITYANA'!J18+'Avg Week MITYANA-MUBENDE'!J18</f>
        <v>2.1428571428571428</v>
      </c>
      <c r="K18" s="49">
        <f>'Avg Week MUBENDE-MITYANA'!K18+'Avg Week MITYANA-MUBENDE'!K18</f>
        <v>0.71428571428571419</v>
      </c>
      <c r="L18" s="49">
        <f>'Avg Week MUBENDE-MITYANA'!L18+'Avg Week MITYANA-MUBENDE'!L18</f>
        <v>1.8571428571428572</v>
      </c>
      <c r="M18" s="49">
        <f>'Avg Week MUBENDE-MITYANA'!M18+'Avg Week MITYANA-MUBENDE'!M18</f>
        <v>79.142857142857139</v>
      </c>
      <c r="N18" s="49">
        <f>'Avg Week MUBENDE-MITYANA'!N18+'Avg Week MITYANA-MUBENDE'!N18</f>
        <v>0.14285714285714285</v>
      </c>
      <c r="O18" s="15">
        <f t="shared" si="0"/>
        <v>43.142857142857146</v>
      </c>
      <c r="P18" s="15">
        <f t="shared" si="1"/>
        <v>122.28571428571428</v>
      </c>
      <c r="R18" s="1" t="s">
        <v>14</v>
      </c>
      <c r="S18" s="17">
        <f t="shared" ref="S18:AF18" si="10">SUM(C42:C45)</f>
        <v>71.285714285714278</v>
      </c>
      <c r="T18" s="17">
        <f t="shared" si="10"/>
        <v>28.857142857142854</v>
      </c>
      <c r="U18" s="17">
        <f t="shared" si="10"/>
        <v>16.142857142857146</v>
      </c>
      <c r="V18" s="17">
        <f t="shared" si="10"/>
        <v>56.428571428571431</v>
      </c>
      <c r="W18" s="17">
        <f t="shared" si="10"/>
        <v>1.2857142857142856</v>
      </c>
      <c r="X18" s="17">
        <f t="shared" si="10"/>
        <v>4.4285714285714279</v>
      </c>
      <c r="Y18" s="17">
        <f t="shared" si="10"/>
        <v>26.714285714285715</v>
      </c>
      <c r="Z18" s="17">
        <f t="shared" si="10"/>
        <v>15.142857142857142</v>
      </c>
      <c r="AA18" s="17">
        <f t="shared" si="10"/>
        <v>5.1428571428571423</v>
      </c>
      <c r="AB18" s="17">
        <f t="shared" si="10"/>
        <v>10</v>
      </c>
      <c r="AC18" s="17">
        <f t="shared" si="10"/>
        <v>314.57142857142856</v>
      </c>
      <c r="AD18" s="17">
        <f t="shared" si="10"/>
        <v>0.14285714285714285</v>
      </c>
      <c r="AE18" s="31">
        <f t="shared" si="10"/>
        <v>235.57142857142858</v>
      </c>
      <c r="AF18" s="31">
        <f t="shared" si="10"/>
        <v>550.14285714285711</v>
      </c>
    </row>
    <row r="19" spans="2:32" ht="23.1" customHeight="1" x14ac:dyDescent="0.25">
      <c r="B19" s="23" t="s">
        <v>46</v>
      </c>
      <c r="C19" s="49">
        <f>'Avg Week MUBENDE-MITYANA'!C19+'Avg Week MITYANA-MUBENDE'!C19</f>
        <v>13.714285714285714</v>
      </c>
      <c r="D19" s="49">
        <f>'Avg Week MUBENDE-MITYANA'!D19+'Avg Week MITYANA-MUBENDE'!D19</f>
        <v>6.4285714285714288</v>
      </c>
      <c r="E19" s="49">
        <f>'Avg Week MUBENDE-MITYANA'!E19+'Avg Week MITYANA-MUBENDE'!E19</f>
        <v>3.2857142857142856</v>
      </c>
      <c r="F19" s="49">
        <f>'Avg Week MUBENDE-MITYANA'!F19+'Avg Week MITYANA-MUBENDE'!F19</f>
        <v>10.857142857142858</v>
      </c>
      <c r="G19" s="49">
        <f>'Avg Week MUBENDE-MITYANA'!G19+'Avg Week MITYANA-MUBENDE'!G19</f>
        <v>0.5714285714285714</v>
      </c>
      <c r="H19" s="49">
        <f>'Avg Week MUBENDE-MITYANA'!H19+'Avg Week MITYANA-MUBENDE'!H19</f>
        <v>0.42857142857142855</v>
      </c>
      <c r="I19" s="49">
        <f>'Avg Week MUBENDE-MITYANA'!I19+'Avg Week MITYANA-MUBENDE'!I19</f>
        <v>4.7142857142857135</v>
      </c>
      <c r="J19" s="49">
        <f>'Avg Week MUBENDE-MITYANA'!J19+'Avg Week MITYANA-MUBENDE'!J19</f>
        <v>2</v>
      </c>
      <c r="K19" s="49">
        <f>'Avg Week MUBENDE-MITYANA'!K19+'Avg Week MITYANA-MUBENDE'!K19</f>
        <v>1.5714285714285714</v>
      </c>
      <c r="L19" s="49">
        <f>'Avg Week MUBENDE-MITYANA'!L19+'Avg Week MITYANA-MUBENDE'!L19</f>
        <v>1.2857142857142856</v>
      </c>
      <c r="M19" s="49">
        <f>'Avg Week MUBENDE-MITYANA'!M19+'Avg Week MITYANA-MUBENDE'!M19</f>
        <v>82</v>
      </c>
      <c r="N19" s="49">
        <f>'Avg Week MUBENDE-MITYANA'!N19+'Avg Week MITYANA-MUBENDE'!N19</f>
        <v>0</v>
      </c>
      <c r="O19" s="15">
        <f t="shared" si="0"/>
        <v>44.857142857142854</v>
      </c>
      <c r="P19" s="15">
        <f t="shared" si="1"/>
        <v>126.85714285714286</v>
      </c>
      <c r="R19" s="1" t="s">
        <v>15</v>
      </c>
      <c r="S19" s="17">
        <f t="shared" ref="S19:AF19" si="11">SUM(C46:C49)</f>
        <v>80</v>
      </c>
      <c r="T19" s="17">
        <f t="shared" si="11"/>
        <v>33.142857142857146</v>
      </c>
      <c r="U19" s="17">
        <f t="shared" si="11"/>
        <v>16.571428571428569</v>
      </c>
      <c r="V19" s="17">
        <f t="shared" si="11"/>
        <v>64.285714285714292</v>
      </c>
      <c r="W19" s="17">
        <f t="shared" si="11"/>
        <v>2.1428571428571428</v>
      </c>
      <c r="X19" s="17">
        <f t="shared" si="11"/>
        <v>5.5714285714285712</v>
      </c>
      <c r="Y19" s="17">
        <f t="shared" si="11"/>
        <v>28.285714285714285</v>
      </c>
      <c r="Z19" s="17">
        <f t="shared" si="11"/>
        <v>20</v>
      </c>
      <c r="AA19" s="17">
        <f t="shared" si="11"/>
        <v>5</v>
      </c>
      <c r="AB19" s="17">
        <f t="shared" si="11"/>
        <v>7.4285714285714288</v>
      </c>
      <c r="AC19" s="17">
        <f t="shared" si="11"/>
        <v>362.28571428571428</v>
      </c>
      <c r="AD19" s="17">
        <f t="shared" si="11"/>
        <v>0.14285714285714285</v>
      </c>
      <c r="AE19" s="31">
        <f t="shared" si="11"/>
        <v>262.57142857142856</v>
      </c>
      <c r="AF19" s="31">
        <f t="shared" si="11"/>
        <v>624.85714285714289</v>
      </c>
    </row>
    <row r="20" spans="2:32" ht="23.1" customHeight="1" x14ac:dyDescent="0.25">
      <c r="B20" s="23" t="s">
        <v>47</v>
      </c>
      <c r="C20" s="49">
        <f>'Avg Week MUBENDE-MITYANA'!C20+'Avg Week MITYANA-MUBENDE'!C20</f>
        <v>13.857142857142858</v>
      </c>
      <c r="D20" s="49">
        <f>'Avg Week MUBENDE-MITYANA'!D20+'Avg Week MITYANA-MUBENDE'!D20</f>
        <v>4.7142857142857144</v>
      </c>
      <c r="E20" s="49">
        <f>'Avg Week MUBENDE-MITYANA'!E20+'Avg Week MITYANA-MUBENDE'!E20</f>
        <v>3.2857142857142856</v>
      </c>
      <c r="F20" s="49">
        <f>'Avg Week MUBENDE-MITYANA'!F20+'Avg Week MITYANA-MUBENDE'!F20</f>
        <v>10.571428571428571</v>
      </c>
      <c r="G20" s="49">
        <f>'Avg Week MUBENDE-MITYANA'!G20+'Avg Week MITYANA-MUBENDE'!G20</f>
        <v>0.2857142857142857</v>
      </c>
      <c r="H20" s="49">
        <f>'Avg Week MUBENDE-MITYANA'!H20+'Avg Week MITYANA-MUBENDE'!H20</f>
        <v>0</v>
      </c>
      <c r="I20" s="49">
        <f>'Avg Week MUBENDE-MITYANA'!I20+'Avg Week MITYANA-MUBENDE'!I20</f>
        <v>4.2857142857142856</v>
      </c>
      <c r="J20" s="49">
        <f>'Avg Week MUBENDE-MITYANA'!J20+'Avg Week MITYANA-MUBENDE'!J20</f>
        <v>2.5714285714285712</v>
      </c>
      <c r="K20" s="49">
        <f>'Avg Week MUBENDE-MITYANA'!K20+'Avg Week MITYANA-MUBENDE'!K20</f>
        <v>0.5714285714285714</v>
      </c>
      <c r="L20" s="49">
        <f>'Avg Week MUBENDE-MITYANA'!L20+'Avg Week MITYANA-MUBENDE'!L20</f>
        <v>1.5714285714285714</v>
      </c>
      <c r="M20" s="49">
        <f>'Avg Week MUBENDE-MITYANA'!M20+'Avg Week MITYANA-MUBENDE'!M20</f>
        <v>79.428571428571431</v>
      </c>
      <c r="N20" s="49">
        <f>'Avg Week MUBENDE-MITYANA'!N20+'Avg Week MITYANA-MUBENDE'!N20</f>
        <v>0</v>
      </c>
      <c r="O20" s="15">
        <f t="shared" si="0"/>
        <v>41.714285714285708</v>
      </c>
      <c r="P20" s="15">
        <f t="shared" si="1"/>
        <v>121.14285714285714</v>
      </c>
      <c r="R20" s="1" t="s">
        <v>16</v>
      </c>
      <c r="S20" s="17">
        <f t="shared" ref="S20:AF20" si="12">SUM(C50:C53)</f>
        <v>87.571428571428569</v>
      </c>
      <c r="T20" s="17">
        <f t="shared" si="12"/>
        <v>36.428571428571431</v>
      </c>
      <c r="U20" s="17">
        <f t="shared" si="12"/>
        <v>16.428571428571431</v>
      </c>
      <c r="V20" s="17">
        <f t="shared" si="12"/>
        <v>64.571428571428584</v>
      </c>
      <c r="W20" s="17">
        <f t="shared" si="12"/>
        <v>1.1428571428571428</v>
      </c>
      <c r="X20" s="17">
        <f t="shared" si="12"/>
        <v>4.2857142857142847</v>
      </c>
      <c r="Y20" s="17">
        <f t="shared" si="12"/>
        <v>24.571428571428569</v>
      </c>
      <c r="Z20" s="17">
        <f t="shared" si="12"/>
        <v>21.714285714285715</v>
      </c>
      <c r="AA20" s="17">
        <f t="shared" si="12"/>
        <v>4.7142857142857144</v>
      </c>
      <c r="AB20" s="17">
        <f t="shared" si="12"/>
        <v>10</v>
      </c>
      <c r="AC20" s="17">
        <f t="shared" si="12"/>
        <v>383.14285714285711</v>
      </c>
      <c r="AD20" s="17">
        <f t="shared" si="12"/>
        <v>0</v>
      </c>
      <c r="AE20" s="31">
        <f t="shared" si="12"/>
        <v>271.42857142857144</v>
      </c>
      <c r="AF20" s="31">
        <f t="shared" si="12"/>
        <v>654.57142857142867</v>
      </c>
    </row>
    <row r="21" spans="2:32" ht="23.1" customHeight="1" x14ac:dyDescent="0.25">
      <c r="B21" s="23" t="s">
        <v>48</v>
      </c>
      <c r="C21" s="49">
        <f>'Avg Week MUBENDE-MITYANA'!C21+'Avg Week MITYANA-MUBENDE'!C21</f>
        <v>15</v>
      </c>
      <c r="D21" s="49">
        <f>'Avg Week MUBENDE-MITYANA'!D21+'Avg Week MITYANA-MUBENDE'!D21</f>
        <v>7.1428571428571423</v>
      </c>
      <c r="E21" s="49">
        <f>'Avg Week MUBENDE-MITYANA'!E21+'Avg Week MITYANA-MUBENDE'!E21</f>
        <v>2.7142857142857144</v>
      </c>
      <c r="F21" s="49">
        <f>'Avg Week MUBENDE-MITYANA'!F21+'Avg Week MITYANA-MUBENDE'!F21</f>
        <v>13.714285714285715</v>
      </c>
      <c r="G21" s="49">
        <f>'Avg Week MUBENDE-MITYANA'!G21+'Avg Week MITYANA-MUBENDE'!G21</f>
        <v>0.2857142857142857</v>
      </c>
      <c r="H21" s="49">
        <f>'Avg Week MUBENDE-MITYANA'!H21+'Avg Week MITYANA-MUBENDE'!H21</f>
        <v>0.5714285714285714</v>
      </c>
      <c r="I21" s="49">
        <f>'Avg Week MUBENDE-MITYANA'!I21+'Avg Week MITYANA-MUBENDE'!I21</f>
        <v>4.1428571428571432</v>
      </c>
      <c r="J21" s="49">
        <f>'Avg Week MUBENDE-MITYANA'!J21+'Avg Week MITYANA-MUBENDE'!J21</f>
        <v>2</v>
      </c>
      <c r="K21" s="49">
        <f>'Avg Week MUBENDE-MITYANA'!K21+'Avg Week MITYANA-MUBENDE'!K21</f>
        <v>0.8571428571428571</v>
      </c>
      <c r="L21" s="49">
        <f>'Avg Week MUBENDE-MITYANA'!L21+'Avg Week MITYANA-MUBENDE'!L21</f>
        <v>1.1428571428571428</v>
      </c>
      <c r="M21" s="49">
        <f>'Avg Week MUBENDE-MITYANA'!M21+'Avg Week MITYANA-MUBENDE'!M21</f>
        <v>80.428571428571431</v>
      </c>
      <c r="N21" s="49">
        <f>'Avg Week MUBENDE-MITYANA'!N21+'Avg Week MITYANA-MUBENDE'!N21</f>
        <v>0</v>
      </c>
      <c r="O21" s="15">
        <f t="shared" si="0"/>
        <v>47.571428571428569</v>
      </c>
      <c r="P21" s="15">
        <f t="shared" si="1"/>
        <v>128</v>
      </c>
      <c r="R21" s="36" t="s">
        <v>20</v>
      </c>
      <c r="S21" s="34">
        <f t="shared" ref="S21:AF21" si="13">SUM(C54:C57)</f>
        <v>83.142857142857139</v>
      </c>
      <c r="T21" s="17">
        <f t="shared" si="13"/>
        <v>33.142857142857146</v>
      </c>
      <c r="U21" s="17">
        <f t="shared" si="13"/>
        <v>19.571428571428569</v>
      </c>
      <c r="V21" s="17">
        <f t="shared" si="13"/>
        <v>64.857142857142861</v>
      </c>
      <c r="W21" s="17">
        <f t="shared" si="13"/>
        <v>3.4285714285714284</v>
      </c>
      <c r="X21" s="17">
        <f t="shared" si="13"/>
        <v>3.2857142857142856</v>
      </c>
      <c r="Y21" s="17">
        <f t="shared" si="13"/>
        <v>28</v>
      </c>
      <c r="Z21" s="17">
        <f t="shared" si="13"/>
        <v>22.428571428571427</v>
      </c>
      <c r="AA21" s="17">
        <f t="shared" si="13"/>
        <v>6</v>
      </c>
      <c r="AB21" s="17">
        <f t="shared" si="13"/>
        <v>12.142857142857142</v>
      </c>
      <c r="AC21" s="17">
        <f t="shared" si="13"/>
        <v>418.85714285714283</v>
      </c>
      <c r="AD21" s="17">
        <f t="shared" si="13"/>
        <v>0</v>
      </c>
      <c r="AE21" s="31">
        <f t="shared" si="13"/>
        <v>276</v>
      </c>
      <c r="AF21" s="31">
        <f t="shared" si="13"/>
        <v>694.85714285714278</v>
      </c>
    </row>
    <row r="22" spans="2:32" ht="23.1" customHeight="1" x14ac:dyDescent="0.25">
      <c r="B22" s="23" t="s">
        <v>49</v>
      </c>
      <c r="C22" s="49">
        <f>'Avg Week MUBENDE-MITYANA'!C22+'Avg Week MITYANA-MUBENDE'!C22</f>
        <v>16.142857142857142</v>
      </c>
      <c r="D22" s="49">
        <f>'Avg Week MUBENDE-MITYANA'!D22+'Avg Week MITYANA-MUBENDE'!D22</f>
        <v>4.8571428571428577</v>
      </c>
      <c r="E22" s="49">
        <f>'Avg Week MUBENDE-MITYANA'!E22+'Avg Week MITYANA-MUBENDE'!E22</f>
        <v>3.2857142857142856</v>
      </c>
      <c r="F22" s="49">
        <f>'Avg Week MUBENDE-MITYANA'!F22+'Avg Week MITYANA-MUBENDE'!F22</f>
        <v>14.714285714285714</v>
      </c>
      <c r="G22" s="49">
        <f>'Avg Week MUBENDE-MITYANA'!G22+'Avg Week MITYANA-MUBENDE'!G22</f>
        <v>0.2857142857142857</v>
      </c>
      <c r="H22" s="49">
        <f>'Avg Week MUBENDE-MITYANA'!H22+'Avg Week MITYANA-MUBENDE'!H22</f>
        <v>0.8571428571428571</v>
      </c>
      <c r="I22" s="49">
        <f>'Avg Week MUBENDE-MITYANA'!I22+'Avg Week MITYANA-MUBENDE'!I22</f>
        <v>4.5714285714285712</v>
      </c>
      <c r="J22" s="49">
        <f>'Avg Week MUBENDE-MITYANA'!J22+'Avg Week MITYANA-MUBENDE'!J22</f>
        <v>2.7142857142857144</v>
      </c>
      <c r="K22" s="49">
        <f>'Avg Week MUBENDE-MITYANA'!K22+'Avg Week MITYANA-MUBENDE'!K22</f>
        <v>0.42857142857142855</v>
      </c>
      <c r="L22" s="49">
        <f>'Avg Week MUBENDE-MITYANA'!L22+'Avg Week MITYANA-MUBENDE'!L22</f>
        <v>1.1428571428571428</v>
      </c>
      <c r="M22" s="49">
        <f>'Avg Week MUBENDE-MITYANA'!M22+'Avg Week MITYANA-MUBENDE'!M22</f>
        <v>76.571428571428569</v>
      </c>
      <c r="N22" s="49">
        <f>'Avg Week MUBENDE-MITYANA'!N22+'Avg Week MITYANA-MUBENDE'!N22</f>
        <v>0</v>
      </c>
      <c r="O22" s="15">
        <f t="shared" si="0"/>
        <v>49</v>
      </c>
      <c r="P22" s="15">
        <f t="shared" si="1"/>
        <v>125.57142857142857</v>
      </c>
      <c r="R22" s="1" t="s">
        <v>146</v>
      </c>
      <c r="S22" s="34">
        <f>SUM(C58:C61)</f>
        <v>78</v>
      </c>
      <c r="T22" s="34">
        <f t="shared" ref="T22:AF22" si="14">SUM(D58:D61)</f>
        <v>27</v>
      </c>
      <c r="U22" s="34">
        <f t="shared" si="14"/>
        <v>18.5</v>
      </c>
      <c r="V22" s="34">
        <f t="shared" si="14"/>
        <v>51</v>
      </c>
      <c r="W22" s="34">
        <f t="shared" si="14"/>
        <v>0</v>
      </c>
      <c r="X22" s="34">
        <f t="shared" si="14"/>
        <v>2</v>
      </c>
      <c r="Y22" s="34">
        <f t="shared" si="14"/>
        <v>28.5</v>
      </c>
      <c r="Z22" s="34">
        <f t="shared" si="14"/>
        <v>17</v>
      </c>
      <c r="AA22" s="34">
        <f t="shared" si="14"/>
        <v>12</v>
      </c>
      <c r="AB22" s="34">
        <f t="shared" si="14"/>
        <v>4.5</v>
      </c>
      <c r="AC22" s="34">
        <f t="shared" si="14"/>
        <v>281</v>
      </c>
      <c r="AD22" s="34">
        <f t="shared" si="14"/>
        <v>0</v>
      </c>
      <c r="AE22" s="31">
        <f t="shared" si="14"/>
        <v>238.5</v>
      </c>
      <c r="AF22" s="31">
        <f t="shared" si="14"/>
        <v>519.5</v>
      </c>
    </row>
    <row r="23" spans="2:32" ht="23.1" customHeight="1" x14ac:dyDescent="0.25">
      <c r="B23" s="23" t="s">
        <v>50</v>
      </c>
      <c r="C23" s="49">
        <f>'Avg Week MUBENDE-MITYANA'!C23+'Avg Week MITYANA-MUBENDE'!C23</f>
        <v>15.428571428571427</v>
      </c>
      <c r="D23" s="49">
        <f>'Avg Week MUBENDE-MITYANA'!D23+'Avg Week MITYANA-MUBENDE'!D23</f>
        <v>4.8571428571428577</v>
      </c>
      <c r="E23" s="49">
        <f>'Avg Week MUBENDE-MITYANA'!E23+'Avg Week MITYANA-MUBENDE'!E23</f>
        <v>3.4285714285714288</v>
      </c>
      <c r="F23" s="49">
        <f>'Avg Week MUBENDE-MITYANA'!F23+'Avg Week MITYANA-MUBENDE'!F23</f>
        <v>15.857142857142858</v>
      </c>
      <c r="G23" s="49">
        <f>'Avg Week MUBENDE-MITYANA'!G23+'Avg Week MITYANA-MUBENDE'!G23</f>
        <v>0.42857142857142855</v>
      </c>
      <c r="H23" s="49">
        <f>'Avg Week MUBENDE-MITYANA'!H23+'Avg Week MITYANA-MUBENDE'!H23</f>
        <v>1.5714285714285716</v>
      </c>
      <c r="I23" s="49">
        <f>'Avg Week MUBENDE-MITYANA'!I23+'Avg Week MITYANA-MUBENDE'!I23</f>
        <v>6.7142857142857144</v>
      </c>
      <c r="J23" s="49">
        <f>'Avg Week MUBENDE-MITYANA'!J23+'Avg Week MITYANA-MUBENDE'!J23</f>
        <v>3.4285714285714288</v>
      </c>
      <c r="K23" s="49">
        <f>'Avg Week MUBENDE-MITYANA'!K23+'Avg Week MITYANA-MUBENDE'!K23</f>
        <v>1.1428571428571428</v>
      </c>
      <c r="L23" s="49">
        <f>'Avg Week MUBENDE-MITYANA'!L23+'Avg Week MITYANA-MUBENDE'!L23</f>
        <v>1.7142857142857144</v>
      </c>
      <c r="M23" s="49">
        <f>'Avg Week MUBENDE-MITYANA'!M23+'Avg Week MITYANA-MUBENDE'!M23</f>
        <v>80.571428571428569</v>
      </c>
      <c r="N23" s="49">
        <f>'Avg Week MUBENDE-MITYANA'!N23+'Avg Week MITYANA-MUBENDE'!N23</f>
        <v>0</v>
      </c>
      <c r="O23" s="15">
        <f t="shared" si="0"/>
        <v>54.571428571428577</v>
      </c>
      <c r="P23" s="15">
        <f t="shared" si="1"/>
        <v>135.14285714285714</v>
      </c>
      <c r="R23" s="1" t="s">
        <v>147</v>
      </c>
      <c r="S23" s="34">
        <f>SUM(C62:C65)</f>
        <v>51</v>
      </c>
      <c r="T23" s="34">
        <f t="shared" ref="T23:AF23" si="15">SUM(D62:D65)</f>
        <v>21.5</v>
      </c>
      <c r="U23" s="34">
        <f t="shared" si="15"/>
        <v>15</v>
      </c>
      <c r="V23" s="34">
        <f t="shared" si="15"/>
        <v>39.5</v>
      </c>
      <c r="W23" s="34">
        <f t="shared" si="15"/>
        <v>2</v>
      </c>
      <c r="X23" s="34">
        <f t="shared" si="15"/>
        <v>3</v>
      </c>
      <c r="Y23" s="34">
        <f t="shared" si="15"/>
        <v>26.5</v>
      </c>
      <c r="Z23" s="34">
        <f t="shared" si="15"/>
        <v>27.5</v>
      </c>
      <c r="AA23" s="34">
        <f t="shared" si="15"/>
        <v>12.5</v>
      </c>
      <c r="AB23" s="34">
        <f t="shared" si="15"/>
        <v>11.5</v>
      </c>
      <c r="AC23" s="34">
        <f t="shared" si="15"/>
        <v>210</v>
      </c>
      <c r="AD23" s="34">
        <f t="shared" si="15"/>
        <v>0</v>
      </c>
      <c r="AE23" s="31">
        <f t="shared" si="15"/>
        <v>210</v>
      </c>
      <c r="AF23" s="31">
        <f t="shared" si="15"/>
        <v>420</v>
      </c>
    </row>
    <row r="24" spans="2:32" ht="23.1" customHeight="1" x14ac:dyDescent="0.25">
      <c r="B24" s="23" t="s">
        <v>51</v>
      </c>
      <c r="C24" s="49">
        <f>'Avg Week MUBENDE-MITYANA'!C24+'Avg Week MITYANA-MUBENDE'!C24</f>
        <v>14.285714285714286</v>
      </c>
      <c r="D24" s="49">
        <f>'Avg Week MUBENDE-MITYANA'!D24+'Avg Week MITYANA-MUBENDE'!D24</f>
        <v>5.8571428571428577</v>
      </c>
      <c r="E24" s="49">
        <f>'Avg Week MUBENDE-MITYANA'!E24+'Avg Week MITYANA-MUBENDE'!E24</f>
        <v>4</v>
      </c>
      <c r="F24" s="49">
        <f>'Avg Week MUBENDE-MITYANA'!F24+'Avg Week MITYANA-MUBENDE'!F24</f>
        <v>15.857142857142858</v>
      </c>
      <c r="G24" s="49">
        <f>'Avg Week MUBENDE-MITYANA'!G24+'Avg Week MITYANA-MUBENDE'!G24</f>
        <v>0.71428571428571419</v>
      </c>
      <c r="H24" s="49">
        <f>'Avg Week MUBENDE-MITYANA'!H24+'Avg Week MITYANA-MUBENDE'!H24</f>
        <v>0.2857142857142857</v>
      </c>
      <c r="I24" s="49">
        <f>'Avg Week MUBENDE-MITYANA'!I24+'Avg Week MITYANA-MUBENDE'!I24</f>
        <v>5.2857142857142865</v>
      </c>
      <c r="J24" s="49">
        <f>'Avg Week MUBENDE-MITYANA'!J24+'Avg Week MITYANA-MUBENDE'!J24</f>
        <v>3</v>
      </c>
      <c r="K24" s="49">
        <f>'Avg Week MUBENDE-MITYANA'!K24+'Avg Week MITYANA-MUBENDE'!K24</f>
        <v>1.1428571428571428</v>
      </c>
      <c r="L24" s="49">
        <f>'Avg Week MUBENDE-MITYANA'!L24+'Avg Week MITYANA-MUBENDE'!L24</f>
        <v>1.5714285714285714</v>
      </c>
      <c r="M24" s="49">
        <f>'Avg Week MUBENDE-MITYANA'!M24+'Avg Week MITYANA-MUBENDE'!M24</f>
        <v>70.285714285714278</v>
      </c>
      <c r="N24" s="49">
        <f>'Avg Week MUBENDE-MITYANA'!N24+'Avg Week MITYANA-MUBENDE'!N24</f>
        <v>0.14285714285714285</v>
      </c>
      <c r="O24" s="15">
        <f t="shared" si="0"/>
        <v>52.142857142857146</v>
      </c>
      <c r="P24" s="15">
        <f t="shared" si="1"/>
        <v>122.42857142857142</v>
      </c>
      <c r="R24" s="1" t="s">
        <v>148</v>
      </c>
      <c r="S24" s="34">
        <f>SUM(C66:C69)</f>
        <v>41.5</v>
      </c>
      <c r="T24" s="34">
        <f t="shared" ref="T24:AF24" si="16">SUM(D66:D69)</f>
        <v>9.5</v>
      </c>
      <c r="U24" s="34">
        <f t="shared" si="16"/>
        <v>12</v>
      </c>
      <c r="V24" s="34">
        <f t="shared" si="16"/>
        <v>37</v>
      </c>
      <c r="W24" s="34">
        <f t="shared" si="16"/>
        <v>0.5</v>
      </c>
      <c r="X24" s="34">
        <f t="shared" si="16"/>
        <v>1</v>
      </c>
      <c r="Y24" s="34">
        <f t="shared" si="16"/>
        <v>25.5</v>
      </c>
      <c r="Z24" s="34">
        <f t="shared" si="16"/>
        <v>30</v>
      </c>
      <c r="AA24" s="34">
        <f t="shared" si="16"/>
        <v>15</v>
      </c>
      <c r="AB24" s="34">
        <f t="shared" si="16"/>
        <v>6.5</v>
      </c>
      <c r="AC24" s="34">
        <f t="shared" si="16"/>
        <v>151</v>
      </c>
      <c r="AD24" s="34">
        <f t="shared" si="16"/>
        <v>0</v>
      </c>
      <c r="AE24" s="31">
        <f t="shared" si="16"/>
        <v>178.5</v>
      </c>
      <c r="AF24" s="31">
        <f t="shared" si="16"/>
        <v>329.5</v>
      </c>
    </row>
    <row r="25" spans="2:32" ht="23.1" customHeight="1" x14ac:dyDescent="0.25">
      <c r="B25" s="23" t="s">
        <v>52</v>
      </c>
      <c r="C25" s="49">
        <f>'Avg Week MUBENDE-MITYANA'!C25+'Avg Week MITYANA-MUBENDE'!C25</f>
        <v>13</v>
      </c>
      <c r="D25" s="49">
        <f>'Avg Week MUBENDE-MITYANA'!D25+'Avg Week MITYANA-MUBENDE'!D25</f>
        <v>3.8571428571428572</v>
      </c>
      <c r="E25" s="49">
        <f>'Avg Week MUBENDE-MITYANA'!E25+'Avg Week MITYANA-MUBENDE'!E25</f>
        <v>4</v>
      </c>
      <c r="F25" s="49">
        <f>'Avg Week MUBENDE-MITYANA'!F25+'Avg Week MITYANA-MUBENDE'!F25</f>
        <v>12.142857142857142</v>
      </c>
      <c r="G25" s="49">
        <f>'Avg Week MUBENDE-MITYANA'!G25+'Avg Week MITYANA-MUBENDE'!G25</f>
        <v>0.14285714285714285</v>
      </c>
      <c r="H25" s="49">
        <f>'Avg Week MUBENDE-MITYANA'!H25+'Avg Week MITYANA-MUBENDE'!H25</f>
        <v>0.14285714285714285</v>
      </c>
      <c r="I25" s="49">
        <f>'Avg Week MUBENDE-MITYANA'!I25+'Avg Week MITYANA-MUBENDE'!I25</f>
        <v>3.8571428571428572</v>
      </c>
      <c r="J25" s="49">
        <f>'Avg Week MUBENDE-MITYANA'!J25+'Avg Week MITYANA-MUBENDE'!J25</f>
        <v>1.4285714285714286</v>
      </c>
      <c r="K25" s="49">
        <f>'Avg Week MUBENDE-MITYANA'!K25+'Avg Week MITYANA-MUBENDE'!K25</f>
        <v>0.85714285714285721</v>
      </c>
      <c r="L25" s="49">
        <f>'Avg Week MUBENDE-MITYANA'!L25+'Avg Week MITYANA-MUBENDE'!L25</f>
        <v>1.5714285714285714</v>
      </c>
      <c r="M25" s="49">
        <f>'Avg Week MUBENDE-MITYANA'!M25+'Avg Week MITYANA-MUBENDE'!M25</f>
        <v>70</v>
      </c>
      <c r="N25" s="49">
        <f>'Avg Week MUBENDE-MITYANA'!N25+'Avg Week MITYANA-MUBENDE'!N25</f>
        <v>0.14285714285714285</v>
      </c>
      <c r="O25" s="15">
        <f t="shared" si="0"/>
        <v>41.142857142857146</v>
      </c>
      <c r="P25" s="15">
        <f t="shared" si="1"/>
        <v>111.14285714285714</v>
      </c>
      <c r="R25" s="1" t="s">
        <v>149</v>
      </c>
      <c r="S25" s="34">
        <f>SUM(C70:C73)</f>
        <v>31.5</v>
      </c>
      <c r="T25" s="34">
        <f t="shared" ref="T25:AF25" si="17">SUM(D70:D73)</f>
        <v>13.5</v>
      </c>
      <c r="U25" s="34">
        <f t="shared" si="17"/>
        <v>6.5</v>
      </c>
      <c r="V25" s="34">
        <f t="shared" si="17"/>
        <v>27</v>
      </c>
      <c r="W25" s="34">
        <f t="shared" si="17"/>
        <v>1</v>
      </c>
      <c r="X25" s="34">
        <f t="shared" si="17"/>
        <v>2.5</v>
      </c>
      <c r="Y25" s="34">
        <f t="shared" si="17"/>
        <v>22</v>
      </c>
      <c r="Z25" s="34">
        <f t="shared" si="17"/>
        <v>25</v>
      </c>
      <c r="AA25" s="34">
        <f t="shared" si="17"/>
        <v>9.5</v>
      </c>
      <c r="AB25" s="34">
        <f t="shared" si="17"/>
        <v>6</v>
      </c>
      <c r="AC25" s="34">
        <f t="shared" si="17"/>
        <v>79</v>
      </c>
      <c r="AD25" s="34">
        <f t="shared" si="17"/>
        <v>0</v>
      </c>
      <c r="AE25" s="31">
        <f t="shared" si="17"/>
        <v>144.5</v>
      </c>
      <c r="AF25" s="31">
        <f t="shared" si="17"/>
        <v>223.5</v>
      </c>
    </row>
    <row r="26" spans="2:32" ht="23.1" customHeight="1" x14ac:dyDescent="0.25">
      <c r="B26" s="23" t="s">
        <v>53</v>
      </c>
      <c r="C26" s="49">
        <f>'Avg Week MUBENDE-MITYANA'!C26+'Avg Week MITYANA-MUBENDE'!C26</f>
        <v>17.285714285714285</v>
      </c>
      <c r="D26" s="49">
        <f>'Avg Week MUBENDE-MITYANA'!D26+'Avg Week MITYANA-MUBENDE'!D26</f>
        <v>6.8571428571428577</v>
      </c>
      <c r="E26" s="49">
        <f>'Avg Week MUBENDE-MITYANA'!E26+'Avg Week MITYANA-MUBENDE'!E26</f>
        <v>4.2857142857142856</v>
      </c>
      <c r="F26" s="49">
        <f>'Avg Week MUBENDE-MITYANA'!F26+'Avg Week MITYANA-MUBENDE'!F26</f>
        <v>14.428571428571427</v>
      </c>
      <c r="G26" s="49">
        <f>'Avg Week MUBENDE-MITYANA'!G26+'Avg Week MITYANA-MUBENDE'!G26</f>
        <v>0</v>
      </c>
      <c r="H26" s="49">
        <f>'Avg Week MUBENDE-MITYANA'!H26+'Avg Week MITYANA-MUBENDE'!H26</f>
        <v>1.2857142857142856</v>
      </c>
      <c r="I26" s="49">
        <f>'Avg Week MUBENDE-MITYANA'!I26+'Avg Week MITYANA-MUBENDE'!I26</f>
        <v>4.7142857142857144</v>
      </c>
      <c r="J26" s="49">
        <f>'Avg Week MUBENDE-MITYANA'!J26+'Avg Week MITYANA-MUBENDE'!J26</f>
        <v>3.2857142857142856</v>
      </c>
      <c r="K26" s="49">
        <f>'Avg Week MUBENDE-MITYANA'!K26+'Avg Week MITYANA-MUBENDE'!K26</f>
        <v>0.2857142857142857</v>
      </c>
      <c r="L26" s="49">
        <f>'Avg Week MUBENDE-MITYANA'!L26+'Avg Week MITYANA-MUBENDE'!L26</f>
        <v>1.5714285714285714</v>
      </c>
      <c r="M26" s="49">
        <f>'Avg Week MUBENDE-MITYANA'!M26+'Avg Week MITYANA-MUBENDE'!M26</f>
        <v>78.857142857142861</v>
      </c>
      <c r="N26" s="49">
        <f>'Avg Week MUBENDE-MITYANA'!N26+'Avg Week MITYANA-MUBENDE'!N26</f>
        <v>0</v>
      </c>
      <c r="O26" s="15">
        <f t="shared" si="0"/>
        <v>53.999999999999993</v>
      </c>
      <c r="P26" s="15">
        <f t="shared" si="1"/>
        <v>132.85714285714286</v>
      </c>
      <c r="R26" s="1" t="s">
        <v>150</v>
      </c>
      <c r="S26" s="34">
        <f>SUM(C74:C77)</f>
        <v>23.5</v>
      </c>
      <c r="T26" s="34">
        <f t="shared" ref="T26:AF26" si="18">SUM(D74:D77)</f>
        <v>5.5</v>
      </c>
      <c r="U26" s="34">
        <f t="shared" si="18"/>
        <v>2</v>
      </c>
      <c r="V26" s="34">
        <f t="shared" si="18"/>
        <v>12</v>
      </c>
      <c r="W26" s="34">
        <f t="shared" si="18"/>
        <v>2.5</v>
      </c>
      <c r="X26" s="34">
        <f t="shared" si="18"/>
        <v>3.5</v>
      </c>
      <c r="Y26" s="34">
        <f t="shared" si="18"/>
        <v>17.5</v>
      </c>
      <c r="Z26" s="34">
        <f t="shared" si="18"/>
        <v>19.5</v>
      </c>
      <c r="AA26" s="34">
        <f t="shared" si="18"/>
        <v>12.5</v>
      </c>
      <c r="AB26" s="34">
        <f t="shared" si="18"/>
        <v>9</v>
      </c>
      <c r="AC26" s="34">
        <f t="shared" si="18"/>
        <v>43</v>
      </c>
      <c r="AD26" s="34">
        <f t="shared" si="18"/>
        <v>0</v>
      </c>
      <c r="AE26" s="31">
        <f t="shared" si="18"/>
        <v>107.5</v>
      </c>
      <c r="AF26" s="31">
        <f t="shared" si="18"/>
        <v>150.5</v>
      </c>
    </row>
    <row r="27" spans="2:32" ht="23.1" customHeight="1" x14ac:dyDescent="0.25">
      <c r="B27" s="23" t="s">
        <v>54</v>
      </c>
      <c r="C27" s="49">
        <f>'Avg Week MUBENDE-MITYANA'!C27+'Avg Week MITYANA-MUBENDE'!C27</f>
        <v>16.142857142857142</v>
      </c>
      <c r="D27" s="49">
        <f>'Avg Week MUBENDE-MITYANA'!D27+'Avg Week MITYANA-MUBENDE'!D27</f>
        <v>3.8571428571428572</v>
      </c>
      <c r="E27" s="49">
        <f>'Avg Week MUBENDE-MITYANA'!E27+'Avg Week MITYANA-MUBENDE'!E27</f>
        <v>4</v>
      </c>
      <c r="F27" s="49">
        <f>'Avg Week MUBENDE-MITYANA'!F27+'Avg Week MITYANA-MUBENDE'!F27</f>
        <v>15.285714285714285</v>
      </c>
      <c r="G27" s="49">
        <f>'Avg Week MUBENDE-MITYANA'!G27+'Avg Week MITYANA-MUBENDE'!G27</f>
        <v>0.2857142857142857</v>
      </c>
      <c r="H27" s="49">
        <f>'Avg Week MUBENDE-MITYANA'!H27+'Avg Week MITYANA-MUBENDE'!H27</f>
        <v>0.71428571428571419</v>
      </c>
      <c r="I27" s="49">
        <f>'Avg Week MUBENDE-MITYANA'!I27+'Avg Week MITYANA-MUBENDE'!I27</f>
        <v>3.8571428571428568</v>
      </c>
      <c r="J27" s="49">
        <f>'Avg Week MUBENDE-MITYANA'!J27+'Avg Week MITYANA-MUBENDE'!J27</f>
        <v>3.1428571428571432</v>
      </c>
      <c r="K27" s="49">
        <f>'Avg Week MUBENDE-MITYANA'!K27+'Avg Week MITYANA-MUBENDE'!K27</f>
        <v>0.71428571428571419</v>
      </c>
      <c r="L27" s="49">
        <f>'Avg Week MUBENDE-MITYANA'!L27+'Avg Week MITYANA-MUBENDE'!L27</f>
        <v>1.1428571428571428</v>
      </c>
      <c r="M27" s="49">
        <f>'Avg Week MUBENDE-MITYANA'!M27+'Avg Week MITYANA-MUBENDE'!M27</f>
        <v>72.285714285714278</v>
      </c>
      <c r="N27" s="49">
        <f>'Avg Week MUBENDE-MITYANA'!N27+'Avg Week MITYANA-MUBENDE'!N27</f>
        <v>0</v>
      </c>
      <c r="O27" s="15">
        <f t="shared" si="0"/>
        <v>49.142857142857146</v>
      </c>
      <c r="P27" s="15">
        <f t="shared" si="1"/>
        <v>121.42857142857142</v>
      </c>
      <c r="R27" s="1" t="s">
        <v>151</v>
      </c>
      <c r="S27" s="34">
        <f>SUM(C78:C81)</f>
        <v>10.5</v>
      </c>
      <c r="T27" s="34">
        <f t="shared" ref="T27:AF27" si="19">SUM(D78:D81)</f>
        <v>3</v>
      </c>
      <c r="U27" s="34">
        <f t="shared" si="19"/>
        <v>1.5</v>
      </c>
      <c r="V27" s="34">
        <f t="shared" si="19"/>
        <v>7.5</v>
      </c>
      <c r="W27" s="34">
        <f t="shared" si="19"/>
        <v>1</v>
      </c>
      <c r="X27" s="34">
        <f t="shared" si="19"/>
        <v>0.5</v>
      </c>
      <c r="Y27" s="34">
        <f t="shared" si="19"/>
        <v>12.5</v>
      </c>
      <c r="Z27" s="34">
        <f t="shared" si="19"/>
        <v>18</v>
      </c>
      <c r="AA27" s="34">
        <f t="shared" si="19"/>
        <v>11.5</v>
      </c>
      <c r="AB27" s="34">
        <f t="shared" si="19"/>
        <v>1</v>
      </c>
      <c r="AC27" s="34">
        <f t="shared" si="19"/>
        <v>19</v>
      </c>
      <c r="AD27" s="34">
        <f t="shared" si="19"/>
        <v>0</v>
      </c>
      <c r="AE27" s="31">
        <f t="shared" si="19"/>
        <v>67</v>
      </c>
      <c r="AF27" s="31">
        <f t="shared" si="19"/>
        <v>86</v>
      </c>
    </row>
    <row r="28" spans="2:32" ht="23.1" customHeight="1" x14ac:dyDescent="0.25">
      <c r="B28" s="23" t="s">
        <v>55</v>
      </c>
      <c r="C28" s="49">
        <f>'Avg Week MUBENDE-MITYANA'!C28+'Avg Week MITYANA-MUBENDE'!C28</f>
        <v>14.428571428571427</v>
      </c>
      <c r="D28" s="49">
        <f>'Avg Week MUBENDE-MITYANA'!D28+'Avg Week MITYANA-MUBENDE'!D28</f>
        <v>7</v>
      </c>
      <c r="E28" s="49">
        <f>'Avg Week MUBENDE-MITYANA'!E28+'Avg Week MITYANA-MUBENDE'!E28</f>
        <v>5.5714285714285712</v>
      </c>
      <c r="F28" s="49">
        <f>'Avg Week MUBENDE-MITYANA'!F28+'Avg Week MITYANA-MUBENDE'!F28</f>
        <v>14.571428571428571</v>
      </c>
      <c r="G28" s="49">
        <f>'Avg Week MUBENDE-MITYANA'!G28+'Avg Week MITYANA-MUBENDE'!G28</f>
        <v>0.2857142857142857</v>
      </c>
      <c r="H28" s="49">
        <f>'Avg Week MUBENDE-MITYANA'!H28+'Avg Week MITYANA-MUBENDE'!H28</f>
        <v>0.5714285714285714</v>
      </c>
      <c r="I28" s="49">
        <f>'Avg Week MUBENDE-MITYANA'!I28+'Avg Week MITYANA-MUBENDE'!I28</f>
        <v>4.2857142857142856</v>
      </c>
      <c r="J28" s="49">
        <f>'Avg Week MUBENDE-MITYANA'!J28+'Avg Week MITYANA-MUBENDE'!J28</f>
        <v>3.7142857142857144</v>
      </c>
      <c r="K28" s="49">
        <f>'Avg Week MUBENDE-MITYANA'!K28+'Avg Week MITYANA-MUBENDE'!K28</f>
        <v>1</v>
      </c>
      <c r="L28" s="49">
        <f>'Avg Week MUBENDE-MITYANA'!L28+'Avg Week MITYANA-MUBENDE'!L28</f>
        <v>1.7142857142857142</v>
      </c>
      <c r="M28" s="49">
        <f>'Avg Week MUBENDE-MITYANA'!M28+'Avg Week MITYANA-MUBENDE'!M28</f>
        <v>79.428571428571431</v>
      </c>
      <c r="N28" s="49">
        <f>'Avg Week MUBENDE-MITYANA'!N28+'Avg Week MITYANA-MUBENDE'!N28</f>
        <v>0</v>
      </c>
      <c r="O28" s="15">
        <f t="shared" si="0"/>
        <v>53.142857142857139</v>
      </c>
      <c r="P28" s="15">
        <f t="shared" si="1"/>
        <v>132.57142857142856</v>
      </c>
      <c r="R28" s="1" t="s">
        <v>152</v>
      </c>
      <c r="S28" s="34">
        <f>SUM(C82:C85)</f>
        <v>4</v>
      </c>
      <c r="T28" s="34">
        <f t="shared" ref="T28:AF28" si="20">SUM(D82:D85)</f>
        <v>2</v>
      </c>
      <c r="U28" s="34">
        <f t="shared" si="20"/>
        <v>2</v>
      </c>
      <c r="V28" s="34">
        <f t="shared" si="20"/>
        <v>5</v>
      </c>
      <c r="W28" s="34">
        <f t="shared" si="20"/>
        <v>1</v>
      </c>
      <c r="X28" s="34">
        <f t="shared" si="20"/>
        <v>2</v>
      </c>
      <c r="Y28" s="34">
        <f t="shared" si="20"/>
        <v>16</v>
      </c>
      <c r="Z28" s="34">
        <f t="shared" si="20"/>
        <v>17.5</v>
      </c>
      <c r="AA28" s="34">
        <f t="shared" si="20"/>
        <v>5</v>
      </c>
      <c r="AB28" s="34">
        <f t="shared" si="20"/>
        <v>8</v>
      </c>
      <c r="AC28" s="34">
        <f t="shared" si="20"/>
        <v>8.5</v>
      </c>
      <c r="AD28" s="34">
        <f t="shared" si="20"/>
        <v>0</v>
      </c>
      <c r="AE28" s="31">
        <f t="shared" si="20"/>
        <v>62.5</v>
      </c>
      <c r="AF28" s="31">
        <f t="shared" si="20"/>
        <v>71</v>
      </c>
    </row>
    <row r="29" spans="2:32" ht="23.1" customHeight="1" x14ac:dyDescent="0.25">
      <c r="B29" s="23" t="s">
        <v>56</v>
      </c>
      <c r="C29" s="49">
        <f>'Avg Week MUBENDE-MITYANA'!C29+'Avg Week MITYANA-MUBENDE'!C29</f>
        <v>17.285714285714285</v>
      </c>
      <c r="D29" s="49">
        <f>'Avg Week MUBENDE-MITYANA'!D29+'Avg Week MITYANA-MUBENDE'!D29</f>
        <v>5.5714285714285712</v>
      </c>
      <c r="E29" s="49">
        <f>'Avg Week MUBENDE-MITYANA'!E29+'Avg Week MITYANA-MUBENDE'!E29</f>
        <v>4.7142857142857144</v>
      </c>
      <c r="F29" s="49">
        <f>'Avg Week MUBENDE-MITYANA'!F29+'Avg Week MITYANA-MUBENDE'!F29</f>
        <v>10.285714285714286</v>
      </c>
      <c r="G29" s="49">
        <f>'Avg Week MUBENDE-MITYANA'!G29+'Avg Week MITYANA-MUBENDE'!G29</f>
        <v>0</v>
      </c>
      <c r="H29" s="49">
        <f>'Avg Week MUBENDE-MITYANA'!H29+'Avg Week MITYANA-MUBENDE'!H29</f>
        <v>0.5714285714285714</v>
      </c>
      <c r="I29" s="49">
        <f>'Avg Week MUBENDE-MITYANA'!I29+'Avg Week MITYANA-MUBENDE'!I29</f>
        <v>5.1428571428571423</v>
      </c>
      <c r="J29" s="49">
        <f>'Avg Week MUBENDE-MITYANA'!J29+'Avg Week MITYANA-MUBENDE'!J29</f>
        <v>2.8571428571428568</v>
      </c>
      <c r="K29" s="49">
        <f>'Avg Week MUBENDE-MITYANA'!K29+'Avg Week MITYANA-MUBENDE'!K29</f>
        <v>1.1428571428571428</v>
      </c>
      <c r="L29" s="49">
        <f>'Avg Week MUBENDE-MITYANA'!L29+'Avg Week MITYANA-MUBENDE'!L29</f>
        <v>2.8571428571428572</v>
      </c>
      <c r="M29" s="49">
        <f>'Avg Week MUBENDE-MITYANA'!M29+'Avg Week MITYANA-MUBENDE'!M29</f>
        <v>81.571428571428569</v>
      </c>
      <c r="N29" s="49">
        <f>'Avg Week MUBENDE-MITYANA'!N29+'Avg Week MITYANA-MUBENDE'!N29</f>
        <v>0</v>
      </c>
      <c r="O29" s="15">
        <f t="shared" si="0"/>
        <v>50.428571428571423</v>
      </c>
      <c r="P29" s="15">
        <f t="shared" si="1"/>
        <v>132</v>
      </c>
      <c r="R29" s="1" t="s">
        <v>153</v>
      </c>
      <c r="S29" s="34">
        <f>SUM(C86:C89)</f>
        <v>2</v>
      </c>
      <c r="T29" s="34">
        <f t="shared" ref="T29:AF29" si="21">SUM(D86:D89)</f>
        <v>1</v>
      </c>
      <c r="U29" s="34">
        <f t="shared" si="21"/>
        <v>0.5</v>
      </c>
      <c r="V29" s="34">
        <f t="shared" si="21"/>
        <v>3</v>
      </c>
      <c r="W29" s="34">
        <f t="shared" si="21"/>
        <v>1</v>
      </c>
      <c r="X29" s="34">
        <f t="shared" si="21"/>
        <v>1.5</v>
      </c>
      <c r="Y29" s="34">
        <f t="shared" si="21"/>
        <v>8.5</v>
      </c>
      <c r="Z29" s="34">
        <f t="shared" si="21"/>
        <v>17.5</v>
      </c>
      <c r="AA29" s="34">
        <f t="shared" si="21"/>
        <v>4</v>
      </c>
      <c r="AB29" s="34">
        <f t="shared" si="21"/>
        <v>5</v>
      </c>
      <c r="AC29" s="34">
        <f t="shared" si="21"/>
        <v>10.5</v>
      </c>
      <c r="AD29" s="34">
        <f t="shared" si="21"/>
        <v>0</v>
      </c>
      <c r="AE29" s="31">
        <f t="shared" si="21"/>
        <v>44</v>
      </c>
      <c r="AF29" s="31">
        <f t="shared" si="21"/>
        <v>54.5</v>
      </c>
    </row>
    <row r="30" spans="2:32" ht="23.1" customHeight="1" x14ac:dyDescent="0.25">
      <c r="B30" s="23" t="s">
        <v>57</v>
      </c>
      <c r="C30" s="49">
        <f>'Avg Week MUBENDE-MITYANA'!C30+'Avg Week MITYANA-MUBENDE'!C30</f>
        <v>16.285714285714285</v>
      </c>
      <c r="D30" s="49">
        <f>'Avg Week MUBENDE-MITYANA'!D30+'Avg Week MITYANA-MUBENDE'!D30</f>
        <v>5.2857142857142856</v>
      </c>
      <c r="E30" s="49">
        <f>'Avg Week MUBENDE-MITYANA'!E30+'Avg Week MITYANA-MUBENDE'!E30</f>
        <v>3.8571428571428572</v>
      </c>
      <c r="F30" s="49">
        <f>'Avg Week MUBENDE-MITYANA'!F30+'Avg Week MITYANA-MUBENDE'!F30</f>
        <v>14.428571428571429</v>
      </c>
      <c r="G30" s="49">
        <f>'Avg Week MUBENDE-MITYANA'!G30+'Avg Week MITYANA-MUBENDE'!G30</f>
        <v>0.71428571428571419</v>
      </c>
      <c r="H30" s="49">
        <f>'Avg Week MUBENDE-MITYANA'!H30+'Avg Week MITYANA-MUBENDE'!H30</f>
        <v>1.5714285714285714</v>
      </c>
      <c r="I30" s="49">
        <f>'Avg Week MUBENDE-MITYANA'!I30+'Avg Week MITYANA-MUBENDE'!I30</f>
        <v>3.8571428571428568</v>
      </c>
      <c r="J30" s="49">
        <f>'Avg Week MUBENDE-MITYANA'!J30+'Avg Week MITYANA-MUBENDE'!J30</f>
        <v>3.5714285714285716</v>
      </c>
      <c r="K30" s="49">
        <f>'Avg Week MUBENDE-MITYANA'!K30+'Avg Week MITYANA-MUBENDE'!K30</f>
        <v>0.8571428571428571</v>
      </c>
      <c r="L30" s="49">
        <f>'Avg Week MUBENDE-MITYANA'!L30+'Avg Week MITYANA-MUBENDE'!L30</f>
        <v>1.2857142857142856</v>
      </c>
      <c r="M30" s="49">
        <f>'Avg Week MUBENDE-MITYANA'!M30+'Avg Week MITYANA-MUBENDE'!M30</f>
        <v>78.857142857142861</v>
      </c>
      <c r="N30" s="49">
        <f>'Avg Week MUBENDE-MITYANA'!N30+'Avg Week MITYANA-MUBENDE'!N30</f>
        <v>0.14285714285714285</v>
      </c>
      <c r="O30" s="15">
        <f t="shared" si="0"/>
        <v>51.857142857142847</v>
      </c>
      <c r="P30" s="15">
        <f t="shared" si="1"/>
        <v>130.71428571428569</v>
      </c>
      <c r="R30" s="1" t="s">
        <v>154</v>
      </c>
      <c r="S30" s="34">
        <f>SUM(C90:C93)</f>
        <v>4</v>
      </c>
      <c r="T30" s="34">
        <f t="shared" ref="T30:AF30" si="22">SUM(D90:D93)</f>
        <v>2</v>
      </c>
      <c r="U30" s="34">
        <f t="shared" si="22"/>
        <v>1.5</v>
      </c>
      <c r="V30" s="34">
        <f t="shared" si="22"/>
        <v>0.5</v>
      </c>
      <c r="W30" s="34">
        <f t="shared" si="22"/>
        <v>0.5</v>
      </c>
      <c r="X30" s="34">
        <f t="shared" si="22"/>
        <v>3</v>
      </c>
      <c r="Y30" s="34">
        <f t="shared" si="22"/>
        <v>5.5</v>
      </c>
      <c r="Z30" s="34">
        <f t="shared" si="22"/>
        <v>13</v>
      </c>
      <c r="AA30" s="34">
        <f t="shared" si="22"/>
        <v>6.5</v>
      </c>
      <c r="AB30" s="34">
        <f t="shared" si="22"/>
        <v>3</v>
      </c>
      <c r="AC30" s="34">
        <f t="shared" si="22"/>
        <v>13</v>
      </c>
      <c r="AD30" s="34">
        <f t="shared" si="22"/>
        <v>0</v>
      </c>
      <c r="AE30" s="31">
        <f t="shared" si="22"/>
        <v>39.5</v>
      </c>
      <c r="AF30" s="31">
        <f t="shared" si="22"/>
        <v>52.5</v>
      </c>
    </row>
    <row r="31" spans="2:32" ht="23.1" customHeight="1" x14ac:dyDescent="0.25">
      <c r="B31" s="24" t="s">
        <v>58</v>
      </c>
      <c r="C31" s="49">
        <f>'Avg Week MUBENDE-MITYANA'!C31+'Avg Week MITYANA-MUBENDE'!C31</f>
        <v>15.571428571428571</v>
      </c>
      <c r="D31" s="49">
        <f>'Avg Week MUBENDE-MITYANA'!D31+'Avg Week MITYANA-MUBENDE'!D31</f>
        <v>7.8571428571428577</v>
      </c>
      <c r="E31" s="49">
        <f>'Avg Week MUBENDE-MITYANA'!E31+'Avg Week MITYANA-MUBENDE'!E31</f>
        <v>3</v>
      </c>
      <c r="F31" s="49">
        <f>'Avg Week MUBENDE-MITYANA'!F31+'Avg Week MITYANA-MUBENDE'!F31</f>
        <v>13.571428571428571</v>
      </c>
      <c r="G31" s="49">
        <f>'Avg Week MUBENDE-MITYANA'!G31+'Avg Week MITYANA-MUBENDE'!G31</f>
        <v>0.2857142857142857</v>
      </c>
      <c r="H31" s="49">
        <f>'Avg Week MUBENDE-MITYANA'!H31+'Avg Week MITYANA-MUBENDE'!H31</f>
        <v>1.1428571428571428</v>
      </c>
      <c r="I31" s="49">
        <f>'Avg Week MUBENDE-MITYANA'!I31+'Avg Week MITYANA-MUBENDE'!I31</f>
        <v>4.2857142857142856</v>
      </c>
      <c r="J31" s="49">
        <f>'Avg Week MUBENDE-MITYANA'!J31+'Avg Week MITYANA-MUBENDE'!J31</f>
        <v>2.7142857142857144</v>
      </c>
      <c r="K31" s="49">
        <f>'Avg Week MUBENDE-MITYANA'!K31+'Avg Week MITYANA-MUBENDE'!K31</f>
        <v>0.42857142857142855</v>
      </c>
      <c r="L31" s="49">
        <f>'Avg Week MUBENDE-MITYANA'!L31+'Avg Week MITYANA-MUBENDE'!L31</f>
        <v>2</v>
      </c>
      <c r="M31" s="49">
        <f>'Avg Week MUBENDE-MITYANA'!M31+'Avg Week MITYANA-MUBENDE'!M31</f>
        <v>77.428571428571431</v>
      </c>
      <c r="N31" s="49">
        <f>'Avg Week MUBENDE-MITYANA'!N31+'Avg Week MITYANA-MUBENDE'!N31</f>
        <v>0</v>
      </c>
      <c r="O31" s="15">
        <f t="shared" si="0"/>
        <v>50.857142857142861</v>
      </c>
      <c r="P31" s="15">
        <f t="shared" si="1"/>
        <v>128.28571428571428</v>
      </c>
      <c r="R31" s="1" t="s">
        <v>155</v>
      </c>
      <c r="S31" s="34">
        <f>SUM(C94:C97)</f>
        <v>5</v>
      </c>
      <c r="T31" s="34">
        <f t="shared" ref="T31:AF31" si="23">SUM(D94:D97)</f>
        <v>0.5</v>
      </c>
      <c r="U31" s="34">
        <f t="shared" si="23"/>
        <v>2</v>
      </c>
      <c r="V31" s="34">
        <f t="shared" si="23"/>
        <v>2.5</v>
      </c>
      <c r="W31" s="34">
        <f t="shared" si="23"/>
        <v>0.5</v>
      </c>
      <c r="X31" s="34">
        <f t="shared" si="23"/>
        <v>0.5</v>
      </c>
      <c r="Y31" s="34">
        <f t="shared" si="23"/>
        <v>3</v>
      </c>
      <c r="Z31" s="34">
        <f t="shared" si="23"/>
        <v>11.5</v>
      </c>
      <c r="AA31" s="34">
        <f t="shared" si="23"/>
        <v>3</v>
      </c>
      <c r="AB31" s="34">
        <f t="shared" si="23"/>
        <v>3.5</v>
      </c>
      <c r="AC31" s="34">
        <f t="shared" si="23"/>
        <v>5.5</v>
      </c>
      <c r="AD31" s="34">
        <f t="shared" si="23"/>
        <v>0</v>
      </c>
      <c r="AE31" s="31">
        <f t="shared" si="23"/>
        <v>32</v>
      </c>
      <c r="AF31" s="31">
        <f t="shared" si="23"/>
        <v>37.5</v>
      </c>
    </row>
    <row r="32" spans="2:32" ht="23.1" customHeight="1" x14ac:dyDescent="0.25">
      <c r="B32" s="24" t="s">
        <v>59</v>
      </c>
      <c r="C32" s="49">
        <f>'Avg Week MUBENDE-MITYANA'!C32+'Avg Week MITYANA-MUBENDE'!C32</f>
        <v>14</v>
      </c>
      <c r="D32" s="49">
        <f>'Avg Week MUBENDE-MITYANA'!D32+'Avg Week MITYANA-MUBENDE'!D32</f>
        <v>5.5714285714285712</v>
      </c>
      <c r="E32" s="49">
        <f>'Avg Week MUBENDE-MITYANA'!E32+'Avg Week MITYANA-MUBENDE'!E32</f>
        <v>3.7142857142857144</v>
      </c>
      <c r="F32" s="49">
        <f>'Avg Week MUBENDE-MITYANA'!F32+'Avg Week MITYANA-MUBENDE'!F32</f>
        <v>14.571428571428571</v>
      </c>
      <c r="G32" s="49">
        <f>'Avg Week MUBENDE-MITYANA'!G32+'Avg Week MITYANA-MUBENDE'!G32</f>
        <v>0</v>
      </c>
      <c r="H32" s="49">
        <f>'Avg Week MUBENDE-MITYANA'!H32+'Avg Week MITYANA-MUBENDE'!H32</f>
        <v>0.5714285714285714</v>
      </c>
      <c r="I32" s="49">
        <f>'Avg Week MUBENDE-MITYANA'!I32+'Avg Week MITYANA-MUBENDE'!I32</f>
        <v>6.5714285714285712</v>
      </c>
      <c r="J32" s="49">
        <f>'Avg Week MUBENDE-MITYANA'!J32+'Avg Week MITYANA-MUBENDE'!J32</f>
        <v>2</v>
      </c>
      <c r="K32" s="49">
        <f>'Avg Week MUBENDE-MITYANA'!K32+'Avg Week MITYANA-MUBENDE'!K32</f>
        <v>1.2857142857142856</v>
      </c>
      <c r="L32" s="49">
        <f>'Avg Week MUBENDE-MITYANA'!L32+'Avg Week MITYANA-MUBENDE'!L32</f>
        <v>1.5714285714285714</v>
      </c>
      <c r="M32" s="49">
        <f>'Avg Week MUBENDE-MITYANA'!M32+'Avg Week MITYANA-MUBENDE'!M32</f>
        <v>75</v>
      </c>
      <c r="N32" s="49">
        <f>'Avg Week MUBENDE-MITYANA'!N32+'Avg Week MITYANA-MUBENDE'!N32</f>
        <v>0</v>
      </c>
      <c r="O32" s="15">
        <f t="shared" si="0"/>
        <v>49.857142857142847</v>
      </c>
      <c r="P32" s="15">
        <f t="shared" si="1"/>
        <v>124.85714285714285</v>
      </c>
      <c r="R32" s="1" t="s">
        <v>156</v>
      </c>
      <c r="S32" s="34">
        <f>SUM(C98:C101)</f>
        <v>4.5</v>
      </c>
      <c r="T32" s="34">
        <f t="shared" ref="T32:AF32" si="24">SUM(D98:D101)</f>
        <v>3.5</v>
      </c>
      <c r="U32" s="34">
        <f t="shared" si="24"/>
        <v>1</v>
      </c>
      <c r="V32" s="34">
        <f t="shared" si="24"/>
        <v>9</v>
      </c>
      <c r="W32" s="34">
        <f t="shared" si="24"/>
        <v>1</v>
      </c>
      <c r="X32" s="34">
        <f t="shared" si="24"/>
        <v>0.5</v>
      </c>
      <c r="Y32" s="34">
        <f t="shared" si="24"/>
        <v>6</v>
      </c>
      <c r="Z32" s="34">
        <f t="shared" si="24"/>
        <v>7</v>
      </c>
      <c r="AA32" s="34">
        <f t="shared" si="24"/>
        <v>3</v>
      </c>
      <c r="AB32" s="34">
        <f t="shared" si="24"/>
        <v>6.5</v>
      </c>
      <c r="AC32" s="34">
        <f t="shared" si="24"/>
        <v>14.5</v>
      </c>
      <c r="AD32" s="34">
        <f t="shared" si="24"/>
        <v>0</v>
      </c>
      <c r="AE32" s="31">
        <f t="shared" si="24"/>
        <v>42</v>
      </c>
      <c r="AF32" s="31">
        <f t="shared" si="24"/>
        <v>56.5</v>
      </c>
    </row>
    <row r="33" spans="2:32" ht="23.1" customHeight="1" x14ac:dyDescent="0.25">
      <c r="B33" s="23" t="s">
        <v>60</v>
      </c>
      <c r="C33" s="49">
        <f>'Avg Week MUBENDE-MITYANA'!C33+'Avg Week MITYANA-MUBENDE'!C33</f>
        <v>15</v>
      </c>
      <c r="D33" s="49">
        <f>'Avg Week MUBENDE-MITYANA'!D33+'Avg Week MITYANA-MUBENDE'!D33</f>
        <v>6.5714285714285712</v>
      </c>
      <c r="E33" s="49">
        <f>'Avg Week MUBENDE-MITYANA'!E33+'Avg Week MITYANA-MUBENDE'!E33</f>
        <v>4</v>
      </c>
      <c r="F33" s="49">
        <f>'Avg Week MUBENDE-MITYANA'!F33+'Avg Week MITYANA-MUBENDE'!F33</f>
        <v>14.285714285714285</v>
      </c>
      <c r="G33" s="49">
        <f>'Avg Week MUBENDE-MITYANA'!G33+'Avg Week MITYANA-MUBENDE'!G33</f>
        <v>0</v>
      </c>
      <c r="H33" s="49">
        <f>'Avg Week MUBENDE-MITYANA'!H33+'Avg Week MITYANA-MUBENDE'!H33</f>
        <v>1.1428571428571428</v>
      </c>
      <c r="I33" s="49">
        <f>'Avg Week MUBENDE-MITYANA'!I33+'Avg Week MITYANA-MUBENDE'!I33</f>
        <v>4.2857142857142856</v>
      </c>
      <c r="J33" s="49">
        <f>'Avg Week MUBENDE-MITYANA'!J33+'Avg Week MITYANA-MUBENDE'!J33</f>
        <v>4.1428571428571423</v>
      </c>
      <c r="K33" s="49">
        <f>'Avg Week MUBENDE-MITYANA'!K33+'Avg Week MITYANA-MUBENDE'!K33</f>
        <v>1.4285714285714286</v>
      </c>
      <c r="L33" s="49">
        <f>'Avg Week MUBENDE-MITYANA'!L33+'Avg Week MITYANA-MUBENDE'!L33</f>
        <v>1.4285714285714284</v>
      </c>
      <c r="M33" s="49">
        <f>'Avg Week MUBENDE-MITYANA'!M33+'Avg Week MITYANA-MUBENDE'!M33</f>
        <v>77.428571428571416</v>
      </c>
      <c r="N33" s="49">
        <f>'Avg Week MUBENDE-MITYANA'!N33+'Avg Week MITYANA-MUBENDE'!N33</f>
        <v>0</v>
      </c>
      <c r="O33" s="15">
        <f t="shared" si="0"/>
        <v>52.285714285714292</v>
      </c>
      <c r="P33" s="15">
        <f t="shared" si="1"/>
        <v>129.71428571428572</v>
      </c>
      <c r="R33" s="1" t="s">
        <v>157</v>
      </c>
      <c r="S33" s="34">
        <f>SUM(C102:C105)</f>
        <v>18</v>
      </c>
      <c r="T33" s="34">
        <f t="shared" ref="T33:AF33" si="25">SUM(D102:D105)</f>
        <v>4</v>
      </c>
      <c r="U33" s="34">
        <f t="shared" si="25"/>
        <v>6</v>
      </c>
      <c r="V33" s="34">
        <f t="shared" si="25"/>
        <v>13</v>
      </c>
      <c r="W33" s="34">
        <f t="shared" si="25"/>
        <v>0</v>
      </c>
      <c r="X33" s="34">
        <f t="shared" si="25"/>
        <v>0.5</v>
      </c>
      <c r="Y33" s="34">
        <f t="shared" si="25"/>
        <v>11</v>
      </c>
      <c r="Z33" s="34">
        <f t="shared" si="25"/>
        <v>7.5</v>
      </c>
      <c r="AA33" s="34">
        <f t="shared" si="25"/>
        <v>6</v>
      </c>
      <c r="AB33" s="34">
        <f t="shared" si="25"/>
        <v>5</v>
      </c>
      <c r="AC33" s="34">
        <f t="shared" si="25"/>
        <v>68.5</v>
      </c>
      <c r="AD33" s="34">
        <f t="shared" si="25"/>
        <v>0</v>
      </c>
      <c r="AE33" s="31">
        <f t="shared" si="25"/>
        <v>71</v>
      </c>
      <c r="AF33" s="31">
        <f t="shared" si="25"/>
        <v>139.5</v>
      </c>
    </row>
    <row r="34" spans="2:32" ht="23.1" customHeight="1" x14ac:dyDescent="0.25">
      <c r="B34" s="24" t="s">
        <v>61</v>
      </c>
      <c r="C34" s="49">
        <f>'Avg Week MUBENDE-MITYANA'!C34+'Avg Week MITYANA-MUBENDE'!C34</f>
        <v>16.571428571428569</v>
      </c>
      <c r="D34" s="49">
        <f>'Avg Week MUBENDE-MITYANA'!D34+'Avg Week MITYANA-MUBENDE'!D34</f>
        <v>6.2857142857142856</v>
      </c>
      <c r="E34" s="49">
        <f>'Avg Week MUBENDE-MITYANA'!E34+'Avg Week MITYANA-MUBENDE'!E34</f>
        <v>2.2857142857142856</v>
      </c>
      <c r="F34" s="49">
        <f>'Avg Week MUBENDE-MITYANA'!F34+'Avg Week MITYANA-MUBENDE'!F34</f>
        <v>20.142857142857142</v>
      </c>
      <c r="G34" s="49">
        <f>'Avg Week MUBENDE-MITYANA'!G34+'Avg Week MITYANA-MUBENDE'!G34</f>
        <v>0.2857142857142857</v>
      </c>
      <c r="H34" s="49">
        <f>'Avg Week MUBENDE-MITYANA'!H34+'Avg Week MITYANA-MUBENDE'!H34</f>
        <v>1.2857142857142856</v>
      </c>
      <c r="I34" s="49">
        <f>'Avg Week MUBENDE-MITYANA'!I34+'Avg Week MITYANA-MUBENDE'!I34</f>
        <v>7.2857142857142856</v>
      </c>
      <c r="J34" s="49">
        <f>'Avg Week MUBENDE-MITYANA'!J34+'Avg Week MITYANA-MUBENDE'!J34</f>
        <v>3.7142857142857144</v>
      </c>
      <c r="K34" s="49">
        <f>'Avg Week MUBENDE-MITYANA'!K34+'Avg Week MITYANA-MUBENDE'!K34</f>
        <v>1.4285714285714284</v>
      </c>
      <c r="L34" s="49">
        <f>'Avg Week MUBENDE-MITYANA'!L34+'Avg Week MITYANA-MUBENDE'!L34</f>
        <v>1.2857142857142856</v>
      </c>
      <c r="M34" s="49">
        <f>'Avg Week MUBENDE-MITYANA'!M34+'Avg Week MITYANA-MUBENDE'!M34</f>
        <v>79.571428571428569</v>
      </c>
      <c r="N34" s="49">
        <f>'Avg Week MUBENDE-MITYANA'!N34+'Avg Week MITYANA-MUBENDE'!N34</f>
        <v>0</v>
      </c>
      <c r="O34" s="15">
        <f t="shared" si="0"/>
        <v>60.571428571428562</v>
      </c>
      <c r="P34" s="15">
        <f t="shared" si="1"/>
        <v>140.14285714285714</v>
      </c>
      <c r="R34" s="53" t="s">
        <v>90</v>
      </c>
      <c r="S34" s="54">
        <f t="shared" ref="S34:AF34" si="26">MAX(S10:S12)</f>
        <v>55.142857142857139</v>
      </c>
      <c r="T34" s="54">
        <f t="shared" si="26"/>
        <v>24.571428571428573</v>
      </c>
      <c r="U34" s="54">
        <f t="shared" si="26"/>
        <v>12.714285714285715</v>
      </c>
      <c r="V34" s="54">
        <f t="shared" si="26"/>
        <v>46.428571428571431</v>
      </c>
      <c r="W34" s="54">
        <f t="shared" si="26"/>
        <v>1.1428571428571428</v>
      </c>
      <c r="X34" s="54">
        <f t="shared" si="26"/>
        <v>1.2857142857142856</v>
      </c>
      <c r="Y34" s="54">
        <f t="shared" si="26"/>
        <v>17.571428571428569</v>
      </c>
      <c r="Z34" s="54">
        <f t="shared" si="26"/>
        <v>10.285714285714285</v>
      </c>
      <c r="AA34" s="54">
        <f t="shared" si="26"/>
        <v>4.5714285714285712</v>
      </c>
      <c r="AB34" s="54">
        <f t="shared" si="26"/>
        <v>6.5714285714285712</v>
      </c>
      <c r="AC34" s="54">
        <f t="shared" si="26"/>
        <v>329.28571428571428</v>
      </c>
      <c r="AD34" s="54">
        <f t="shared" si="26"/>
        <v>0.14285714285714285</v>
      </c>
      <c r="AE34" s="40">
        <f t="shared" si="26"/>
        <v>177.28571428571428</v>
      </c>
      <c r="AF34" s="40">
        <f t="shared" si="26"/>
        <v>498.28571428571428</v>
      </c>
    </row>
    <row r="35" spans="2:32" ht="23.1" customHeight="1" x14ac:dyDescent="0.25">
      <c r="B35" s="24" t="s">
        <v>62</v>
      </c>
      <c r="C35" s="49">
        <f>'Avg Week MUBENDE-MITYANA'!C35+'Avg Week MITYANA-MUBENDE'!C35</f>
        <v>17.714285714285715</v>
      </c>
      <c r="D35" s="49">
        <f>'Avg Week MUBENDE-MITYANA'!D35+'Avg Week MITYANA-MUBENDE'!D35</f>
        <v>6.1428571428571432</v>
      </c>
      <c r="E35" s="49">
        <f>'Avg Week MUBENDE-MITYANA'!E35+'Avg Week MITYANA-MUBENDE'!E35</f>
        <v>3.7142857142857144</v>
      </c>
      <c r="F35" s="49">
        <f>'Avg Week MUBENDE-MITYANA'!F35+'Avg Week MITYANA-MUBENDE'!F35</f>
        <v>14.857142857142858</v>
      </c>
      <c r="G35" s="49">
        <f>'Avg Week MUBENDE-MITYANA'!G35+'Avg Week MITYANA-MUBENDE'!G35</f>
        <v>0.2857142857142857</v>
      </c>
      <c r="H35" s="49">
        <f>'Avg Week MUBENDE-MITYANA'!H35+'Avg Week MITYANA-MUBENDE'!H35</f>
        <v>0.42857142857142855</v>
      </c>
      <c r="I35" s="49">
        <f>'Avg Week MUBENDE-MITYANA'!I35+'Avg Week MITYANA-MUBENDE'!I35</f>
        <v>4.7142857142857144</v>
      </c>
      <c r="J35" s="49">
        <f>'Avg Week MUBENDE-MITYANA'!J35+'Avg Week MITYANA-MUBENDE'!J35</f>
        <v>3.8571428571428568</v>
      </c>
      <c r="K35" s="49">
        <f>'Avg Week MUBENDE-MITYANA'!K35+'Avg Week MITYANA-MUBENDE'!K35</f>
        <v>0.5714285714285714</v>
      </c>
      <c r="L35" s="49">
        <f>'Avg Week MUBENDE-MITYANA'!L35+'Avg Week MITYANA-MUBENDE'!L35</f>
        <v>2.4285714285714284</v>
      </c>
      <c r="M35" s="49">
        <f>'Avg Week MUBENDE-MITYANA'!M35+'Avg Week MITYANA-MUBENDE'!M35</f>
        <v>76.285714285714278</v>
      </c>
      <c r="N35" s="49">
        <f>'Avg Week MUBENDE-MITYANA'!N35+'Avg Week MITYANA-MUBENDE'!N35</f>
        <v>0</v>
      </c>
      <c r="O35" s="15">
        <f t="shared" si="0"/>
        <v>54.714285714285715</v>
      </c>
      <c r="P35" s="15">
        <f t="shared" si="1"/>
        <v>131</v>
      </c>
      <c r="R35" s="53" t="s">
        <v>91</v>
      </c>
      <c r="S35" s="54">
        <f t="shared" ref="S35:AF35" si="27">MAX(S13:S18)</f>
        <v>71.285714285714278</v>
      </c>
      <c r="T35" s="54">
        <f t="shared" si="27"/>
        <v>28.857142857142854</v>
      </c>
      <c r="U35" s="54">
        <f t="shared" si="27"/>
        <v>18.571428571428569</v>
      </c>
      <c r="V35" s="54">
        <f t="shared" si="27"/>
        <v>61.857142857142861</v>
      </c>
      <c r="W35" s="54">
        <f t="shared" si="27"/>
        <v>1.5714285714285712</v>
      </c>
      <c r="X35" s="54">
        <f t="shared" si="27"/>
        <v>4.5714285714285712</v>
      </c>
      <c r="Y35" s="54">
        <f t="shared" si="27"/>
        <v>26.714285714285715</v>
      </c>
      <c r="Z35" s="54">
        <f t="shared" si="27"/>
        <v>15.285714285714288</v>
      </c>
      <c r="AA35" s="54">
        <f t="shared" si="27"/>
        <v>5.7142857142857144</v>
      </c>
      <c r="AB35" s="54">
        <f t="shared" si="27"/>
        <v>10</v>
      </c>
      <c r="AC35" s="54">
        <f t="shared" si="27"/>
        <v>324.57142857142856</v>
      </c>
      <c r="AD35" s="54">
        <f t="shared" si="27"/>
        <v>0.2857142857142857</v>
      </c>
      <c r="AE35" s="40">
        <f t="shared" si="27"/>
        <v>235.57142857142858</v>
      </c>
      <c r="AF35" s="40">
        <f t="shared" si="27"/>
        <v>550.14285714285711</v>
      </c>
    </row>
    <row r="36" spans="2:32" ht="23.1" customHeight="1" x14ac:dyDescent="0.25">
      <c r="B36" s="24" t="s">
        <v>63</v>
      </c>
      <c r="C36" s="49">
        <f>'Avg Week MUBENDE-MITYANA'!C36+'Avg Week MITYANA-MUBENDE'!C36</f>
        <v>17.857142857142858</v>
      </c>
      <c r="D36" s="49">
        <f>'Avg Week MUBENDE-MITYANA'!D36+'Avg Week MITYANA-MUBENDE'!D36</f>
        <v>6.8571428571428577</v>
      </c>
      <c r="E36" s="49">
        <f>'Avg Week MUBENDE-MITYANA'!E36+'Avg Week MITYANA-MUBENDE'!E36</f>
        <v>3</v>
      </c>
      <c r="F36" s="49">
        <f>'Avg Week MUBENDE-MITYANA'!F36+'Avg Week MITYANA-MUBENDE'!F36</f>
        <v>14.857142857142858</v>
      </c>
      <c r="G36" s="49">
        <f>'Avg Week MUBENDE-MITYANA'!G36+'Avg Week MITYANA-MUBENDE'!G36</f>
        <v>0.5714285714285714</v>
      </c>
      <c r="H36" s="49">
        <f>'Avg Week MUBENDE-MITYANA'!H36+'Avg Week MITYANA-MUBENDE'!H36</f>
        <v>1.4285714285714286</v>
      </c>
      <c r="I36" s="49">
        <f>'Avg Week MUBENDE-MITYANA'!I36+'Avg Week MITYANA-MUBENDE'!I36</f>
        <v>6.7142857142857153</v>
      </c>
      <c r="J36" s="49">
        <f>'Avg Week MUBENDE-MITYANA'!J36+'Avg Week MITYANA-MUBENDE'!J36</f>
        <v>3.4285714285714284</v>
      </c>
      <c r="K36" s="49">
        <f>'Avg Week MUBENDE-MITYANA'!K36+'Avg Week MITYANA-MUBENDE'!K36</f>
        <v>2.1428571428571428</v>
      </c>
      <c r="L36" s="49">
        <f>'Avg Week MUBENDE-MITYANA'!L36+'Avg Week MITYANA-MUBENDE'!L36</f>
        <v>3.1428571428571428</v>
      </c>
      <c r="M36" s="49">
        <f>'Avg Week MUBENDE-MITYANA'!M36+'Avg Week MITYANA-MUBENDE'!M36</f>
        <v>81.857142857142861</v>
      </c>
      <c r="N36" s="49">
        <f>'Avg Week MUBENDE-MITYANA'!N36+'Avg Week MITYANA-MUBENDE'!N36</f>
        <v>0</v>
      </c>
      <c r="O36" s="15">
        <f t="shared" si="0"/>
        <v>60.000000000000007</v>
      </c>
      <c r="P36" s="15">
        <f t="shared" si="1"/>
        <v>141.85714285714286</v>
      </c>
      <c r="R36" s="53" t="s">
        <v>92</v>
      </c>
      <c r="S36" s="54">
        <f t="shared" ref="S36:AF36" si="28">MAX(S19:S21)</f>
        <v>87.571428571428569</v>
      </c>
      <c r="T36" s="54">
        <f t="shared" si="28"/>
        <v>36.428571428571431</v>
      </c>
      <c r="U36" s="54">
        <f t="shared" si="28"/>
        <v>19.571428571428569</v>
      </c>
      <c r="V36" s="54">
        <f t="shared" si="28"/>
        <v>64.857142857142861</v>
      </c>
      <c r="W36" s="54">
        <f t="shared" si="28"/>
        <v>3.4285714285714284</v>
      </c>
      <c r="X36" s="54">
        <f t="shared" si="28"/>
        <v>5.5714285714285712</v>
      </c>
      <c r="Y36" s="54">
        <f t="shared" si="28"/>
        <v>28.285714285714285</v>
      </c>
      <c r="Z36" s="54">
        <f t="shared" si="28"/>
        <v>22.428571428571427</v>
      </c>
      <c r="AA36" s="54">
        <f t="shared" si="28"/>
        <v>6</v>
      </c>
      <c r="AB36" s="54">
        <f t="shared" si="28"/>
        <v>12.142857142857142</v>
      </c>
      <c r="AC36" s="54">
        <f t="shared" si="28"/>
        <v>418.85714285714283</v>
      </c>
      <c r="AD36" s="54">
        <f t="shared" si="28"/>
        <v>0.14285714285714285</v>
      </c>
      <c r="AE36" s="40">
        <f t="shared" si="28"/>
        <v>276</v>
      </c>
      <c r="AF36" s="40">
        <f t="shared" si="28"/>
        <v>694.85714285714278</v>
      </c>
    </row>
    <row r="37" spans="2:32" ht="23.1" customHeight="1" x14ac:dyDescent="0.25">
      <c r="B37" s="23" t="s">
        <v>64</v>
      </c>
      <c r="C37" s="49">
        <f>'Avg Week MUBENDE-MITYANA'!C37+'Avg Week MITYANA-MUBENDE'!C37</f>
        <v>16.571428571428569</v>
      </c>
      <c r="D37" s="49">
        <f>'Avg Week MUBENDE-MITYANA'!D37+'Avg Week MITYANA-MUBENDE'!D37</f>
        <v>4.7142857142857144</v>
      </c>
      <c r="E37" s="49">
        <f>'Avg Week MUBENDE-MITYANA'!E37+'Avg Week MITYANA-MUBENDE'!E37</f>
        <v>4.1428571428571432</v>
      </c>
      <c r="F37" s="49">
        <f>'Avg Week MUBENDE-MITYANA'!F37+'Avg Week MITYANA-MUBENDE'!F37</f>
        <v>12</v>
      </c>
      <c r="G37" s="49">
        <f>'Avg Week MUBENDE-MITYANA'!G37+'Avg Week MITYANA-MUBENDE'!G37</f>
        <v>0.2857142857142857</v>
      </c>
      <c r="H37" s="49">
        <f>'Avg Week MUBENDE-MITYANA'!H37+'Avg Week MITYANA-MUBENDE'!H37</f>
        <v>1</v>
      </c>
      <c r="I37" s="49">
        <f>'Avg Week MUBENDE-MITYANA'!I37+'Avg Week MITYANA-MUBENDE'!I37</f>
        <v>4.4285714285714288</v>
      </c>
      <c r="J37" s="49">
        <f>'Avg Week MUBENDE-MITYANA'!J37+'Avg Week MITYANA-MUBENDE'!J37</f>
        <v>3.4285714285714288</v>
      </c>
      <c r="K37" s="49">
        <f>'Avg Week MUBENDE-MITYANA'!K37+'Avg Week MITYANA-MUBENDE'!K37</f>
        <v>0.42857142857142855</v>
      </c>
      <c r="L37" s="49">
        <f>'Avg Week MUBENDE-MITYANA'!L37+'Avg Week MITYANA-MUBENDE'!L37</f>
        <v>1</v>
      </c>
      <c r="M37" s="49">
        <f>'Avg Week MUBENDE-MITYANA'!M37+'Avg Week MITYANA-MUBENDE'!M37</f>
        <v>82.714285714285722</v>
      </c>
      <c r="N37" s="49">
        <f>'Avg Week MUBENDE-MITYANA'!N37+'Avg Week MITYANA-MUBENDE'!N37</f>
        <v>0</v>
      </c>
      <c r="O37" s="15">
        <f t="shared" si="0"/>
        <v>48.000000000000007</v>
      </c>
      <c r="P37" s="15">
        <f t="shared" si="1"/>
        <v>130.71428571428572</v>
      </c>
      <c r="R37" s="37" t="s">
        <v>85</v>
      </c>
      <c r="S37" s="55">
        <f t="shared" ref="S37:AF37" si="29">SUM(S10:S12)</f>
        <v>146.71428571428572</v>
      </c>
      <c r="T37" s="56">
        <f t="shared" si="29"/>
        <v>63.285714285714292</v>
      </c>
      <c r="U37" s="56">
        <f t="shared" si="29"/>
        <v>36.857142857142861</v>
      </c>
      <c r="V37" s="56">
        <f t="shared" si="29"/>
        <v>126.42857142857143</v>
      </c>
      <c r="W37" s="56">
        <f t="shared" si="29"/>
        <v>2.8571428571428568</v>
      </c>
      <c r="X37" s="56">
        <f t="shared" si="29"/>
        <v>2.714285714285714</v>
      </c>
      <c r="Y37" s="56">
        <f t="shared" si="29"/>
        <v>42.571428571428569</v>
      </c>
      <c r="Z37" s="56">
        <f t="shared" si="29"/>
        <v>28.857142857142854</v>
      </c>
      <c r="AA37" s="56">
        <f t="shared" si="29"/>
        <v>10.714285714285714</v>
      </c>
      <c r="AB37" s="56">
        <f t="shared" si="29"/>
        <v>18.857142857142858</v>
      </c>
      <c r="AC37" s="56">
        <f t="shared" si="29"/>
        <v>955.57142857142856</v>
      </c>
      <c r="AD37" s="56">
        <f t="shared" si="29"/>
        <v>0.2857142857142857</v>
      </c>
      <c r="AE37" s="57">
        <f t="shared" si="29"/>
        <v>480.14285714285717</v>
      </c>
      <c r="AF37" s="57">
        <f t="shared" si="29"/>
        <v>1435.7142857142858</v>
      </c>
    </row>
    <row r="38" spans="2:32" ht="23.1" customHeight="1" x14ac:dyDescent="0.25">
      <c r="B38" s="24" t="s">
        <v>65</v>
      </c>
      <c r="C38" s="49">
        <f>'Avg Week MUBENDE-MITYANA'!C38+'Avg Week MITYANA-MUBENDE'!C38</f>
        <v>16.285714285714285</v>
      </c>
      <c r="D38" s="49">
        <f>'Avg Week MUBENDE-MITYANA'!D38+'Avg Week MITYANA-MUBENDE'!D38</f>
        <v>5.2857142857142856</v>
      </c>
      <c r="E38" s="49">
        <f>'Avg Week MUBENDE-MITYANA'!E38+'Avg Week MITYANA-MUBENDE'!E38</f>
        <v>4</v>
      </c>
      <c r="F38" s="49">
        <f>'Avg Week MUBENDE-MITYANA'!F38+'Avg Week MITYANA-MUBENDE'!F38</f>
        <v>14.285714285714286</v>
      </c>
      <c r="G38" s="49">
        <f>'Avg Week MUBENDE-MITYANA'!G38+'Avg Week MITYANA-MUBENDE'!G38</f>
        <v>0.14285714285714285</v>
      </c>
      <c r="H38" s="49">
        <f>'Avg Week MUBENDE-MITYANA'!H38+'Avg Week MITYANA-MUBENDE'!H38</f>
        <v>0.8571428571428571</v>
      </c>
      <c r="I38" s="49">
        <f>'Avg Week MUBENDE-MITYANA'!I38+'Avg Week MITYANA-MUBENDE'!I38</f>
        <v>5.4285714285714288</v>
      </c>
      <c r="J38" s="49">
        <f>'Avg Week MUBENDE-MITYANA'!J38+'Avg Week MITYANA-MUBENDE'!J38</f>
        <v>5.7142857142857144</v>
      </c>
      <c r="K38" s="49">
        <f>'Avg Week MUBENDE-MITYANA'!K38+'Avg Week MITYANA-MUBENDE'!K38</f>
        <v>0.71428571428571419</v>
      </c>
      <c r="L38" s="49">
        <f>'Avg Week MUBENDE-MITYANA'!L38+'Avg Week MITYANA-MUBENDE'!L38</f>
        <v>1.2857142857142856</v>
      </c>
      <c r="M38" s="49">
        <f>'Avg Week MUBENDE-MITYANA'!M38+'Avg Week MITYANA-MUBENDE'!M38</f>
        <v>75.428571428571416</v>
      </c>
      <c r="N38" s="49">
        <f>'Avg Week MUBENDE-MITYANA'!N38+'Avg Week MITYANA-MUBENDE'!N38</f>
        <v>0</v>
      </c>
      <c r="O38" s="15">
        <f t="shared" si="0"/>
        <v>54</v>
      </c>
      <c r="P38" s="15">
        <f t="shared" si="1"/>
        <v>129.42857142857142</v>
      </c>
      <c r="R38" s="28" t="s">
        <v>86</v>
      </c>
      <c r="S38" s="56">
        <f t="shared" ref="S38:AF38" si="30">SUM(S13:S18)</f>
        <v>387.42857142857139</v>
      </c>
      <c r="T38" s="56">
        <f t="shared" si="30"/>
        <v>146</v>
      </c>
      <c r="U38" s="56">
        <f t="shared" si="30"/>
        <v>94.428571428571416</v>
      </c>
      <c r="V38" s="56">
        <f t="shared" si="30"/>
        <v>347.71428571428572</v>
      </c>
      <c r="W38" s="56">
        <f t="shared" si="30"/>
        <v>7.1428571428571423</v>
      </c>
      <c r="X38" s="56">
        <f t="shared" si="30"/>
        <v>23.571428571428569</v>
      </c>
      <c r="Y38" s="56">
        <f t="shared" si="30"/>
        <v>128.85714285714286</v>
      </c>
      <c r="Z38" s="56">
        <f t="shared" si="30"/>
        <v>80.857142857142861</v>
      </c>
      <c r="AA38" s="56">
        <f t="shared" si="30"/>
        <v>26.142857142857142</v>
      </c>
      <c r="AB38" s="56">
        <f t="shared" si="30"/>
        <v>42.571428571428569</v>
      </c>
      <c r="AC38" s="56">
        <f t="shared" si="30"/>
        <v>1877.8571428571427</v>
      </c>
      <c r="AD38" s="56">
        <f t="shared" si="30"/>
        <v>0.5714285714285714</v>
      </c>
      <c r="AE38" s="57">
        <f t="shared" si="30"/>
        <v>1285.2857142857142</v>
      </c>
      <c r="AF38" s="57">
        <f t="shared" si="30"/>
        <v>3163.1428571428569</v>
      </c>
    </row>
    <row r="39" spans="2:32" ht="23.1" customHeight="1" x14ac:dyDescent="0.25">
      <c r="B39" s="24" t="s">
        <v>66</v>
      </c>
      <c r="C39" s="49">
        <f>'Avg Week MUBENDE-MITYANA'!C39+'Avg Week MITYANA-MUBENDE'!C39</f>
        <v>17.285714285714285</v>
      </c>
      <c r="D39" s="49">
        <f>'Avg Week MUBENDE-MITYANA'!D39+'Avg Week MITYANA-MUBENDE'!D39</f>
        <v>8</v>
      </c>
      <c r="E39" s="49">
        <f>'Avg Week MUBENDE-MITYANA'!E39+'Avg Week MITYANA-MUBENDE'!E39</f>
        <v>4.4285714285714288</v>
      </c>
      <c r="F39" s="49">
        <f>'Avg Week MUBENDE-MITYANA'!F39+'Avg Week MITYANA-MUBENDE'!F39</f>
        <v>15.714285714285715</v>
      </c>
      <c r="G39" s="49">
        <f>'Avg Week MUBENDE-MITYANA'!G39+'Avg Week MITYANA-MUBENDE'!G39</f>
        <v>0.5714285714285714</v>
      </c>
      <c r="H39" s="49">
        <f>'Avg Week MUBENDE-MITYANA'!H39+'Avg Week MITYANA-MUBENDE'!H39</f>
        <v>1.2857142857142856</v>
      </c>
      <c r="I39" s="49">
        <f>'Avg Week MUBENDE-MITYANA'!I39+'Avg Week MITYANA-MUBENDE'!I39</f>
        <v>5.1428571428571432</v>
      </c>
      <c r="J39" s="49">
        <f>'Avg Week MUBENDE-MITYANA'!J39+'Avg Week MITYANA-MUBENDE'!J39</f>
        <v>3.1428571428571432</v>
      </c>
      <c r="K39" s="49">
        <f>'Avg Week MUBENDE-MITYANA'!K39+'Avg Week MITYANA-MUBENDE'!K39</f>
        <v>1.7142857142857144</v>
      </c>
      <c r="L39" s="49">
        <f>'Avg Week MUBENDE-MITYANA'!L39+'Avg Week MITYANA-MUBENDE'!L39</f>
        <v>0.85714285714285721</v>
      </c>
      <c r="M39" s="49">
        <f>'Avg Week MUBENDE-MITYANA'!M39+'Avg Week MITYANA-MUBENDE'!M39</f>
        <v>86.571428571428569</v>
      </c>
      <c r="N39" s="49">
        <f>'Avg Week MUBENDE-MITYANA'!N39+'Avg Week MITYANA-MUBENDE'!N39</f>
        <v>0</v>
      </c>
      <c r="O39" s="15">
        <f t="shared" si="0"/>
        <v>58.142857142857146</v>
      </c>
      <c r="P39" s="15">
        <f t="shared" si="1"/>
        <v>144.71428571428572</v>
      </c>
      <c r="R39" s="29" t="s">
        <v>87</v>
      </c>
      <c r="S39" s="56">
        <f t="shared" ref="S39:AF39" si="31">SUM(S19:S21)</f>
        <v>250.71428571428569</v>
      </c>
      <c r="T39" s="56">
        <f t="shared" si="31"/>
        <v>102.71428571428572</v>
      </c>
      <c r="U39" s="56">
        <f t="shared" si="31"/>
        <v>52.571428571428569</v>
      </c>
      <c r="V39" s="56">
        <f t="shared" si="31"/>
        <v>193.71428571428575</v>
      </c>
      <c r="W39" s="56">
        <f t="shared" si="31"/>
        <v>6.7142857142857135</v>
      </c>
      <c r="X39" s="56">
        <f t="shared" si="31"/>
        <v>13.142857142857142</v>
      </c>
      <c r="Y39" s="56">
        <f t="shared" si="31"/>
        <v>80.857142857142861</v>
      </c>
      <c r="Z39" s="56">
        <f t="shared" si="31"/>
        <v>64.142857142857139</v>
      </c>
      <c r="AA39" s="56">
        <f t="shared" si="31"/>
        <v>15.714285714285715</v>
      </c>
      <c r="AB39" s="56">
        <f t="shared" si="31"/>
        <v>29.571428571428573</v>
      </c>
      <c r="AC39" s="56">
        <f t="shared" si="31"/>
        <v>1164.2857142857142</v>
      </c>
      <c r="AD39" s="56">
        <f t="shared" si="31"/>
        <v>0.14285714285714285</v>
      </c>
      <c r="AE39" s="57">
        <f t="shared" si="31"/>
        <v>810</v>
      </c>
      <c r="AF39" s="57">
        <f t="shared" si="31"/>
        <v>1974.2857142857142</v>
      </c>
    </row>
    <row r="40" spans="2:32" ht="23.1" customHeight="1" x14ac:dyDescent="0.25">
      <c r="B40" s="24" t="s">
        <v>67</v>
      </c>
      <c r="C40" s="49">
        <f>'Avg Week MUBENDE-MITYANA'!C40+'Avg Week MITYANA-MUBENDE'!C40</f>
        <v>13.428571428571429</v>
      </c>
      <c r="D40" s="49">
        <f>'Avg Week MUBENDE-MITYANA'!D40+'Avg Week MITYANA-MUBENDE'!D40</f>
        <v>4.7142857142857135</v>
      </c>
      <c r="E40" s="49">
        <f>'Avg Week MUBENDE-MITYANA'!E40+'Avg Week MITYANA-MUBENDE'!E40</f>
        <v>3.4285714285714284</v>
      </c>
      <c r="F40" s="49">
        <f>'Avg Week MUBENDE-MITYANA'!F40+'Avg Week MITYANA-MUBENDE'!F40</f>
        <v>14.857142857142858</v>
      </c>
      <c r="G40" s="49">
        <f>'Avg Week MUBENDE-MITYANA'!G40+'Avg Week MITYANA-MUBENDE'!G40</f>
        <v>0.14285714285714285</v>
      </c>
      <c r="H40" s="49">
        <f>'Avg Week MUBENDE-MITYANA'!H40+'Avg Week MITYANA-MUBENDE'!H40</f>
        <v>1.4285714285714286</v>
      </c>
      <c r="I40" s="49">
        <f>'Avg Week MUBENDE-MITYANA'!I40+'Avg Week MITYANA-MUBENDE'!I40</f>
        <v>5.1428571428571432</v>
      </c>
      <c r="J40" s="49">
        <f>'Avg Week MUBENDE-MITYANA'!J40+'Avg Week MITYANA-MUBENDE'!J40</f>
        <v>2.7142857142857144</v>
      </c>
      <c r="K40" s="49">
        <f>'Avg Week MUBENDE-MITYANA'!K40+'Avg Week MITYANA-MUBENDE'!K40</f>
        <v>1.5714285714285714</v>
      </c>
      <c r="L40" s="49">
        <f>'Avg Week MUBENDE-MITYANA'!L40+'Avg Week MITYANA-MUBENDE'!L40</f>
        <v>1.5714285714285714</v>
      </c>
      <c r="M40" s="49">
        <f>'Avg Week MUBENDE-MITYANA'!M40+'Avg Week MITYANA-MUBENDE'!M40</f>
        <v>80.857142857142861</v>
      </c>
      <c r="N40" s="49">
        <f>'Avg Week MUBENDE-MITYANA'!N40+'Avg Week MITYANA-MUBENDE'!N40</f>
        <v>0</v>
      </c>
      <c r="O40" s="15">
        <f t="shared" si="0"/>
        <v>49.000000000000007</v>
      </c>
      <c r="P40" s="15">
        <f t="shared" si="1"/>
        <v>129.85714285714286</v>
      </c>
      <c r="R40" s="5" t="s">
        <v>17</v>
      </c>
      <c r="S40" s="56">
        <f t="shared" ref="S40:AF40" si="32">SUM(S10:S21)</f>
        <v>784.85714285714278</v>
      </c>
      <c r="T40" s="56">
        <f t="shared" si="32"/>
        <v>312</v>
      </c>
      <c r="U40" s="56">
        <f t="shared" si="32"/>
        <v>183.85714285714283</v>
      </c>
      <c r="V40" s="56">
        <f t="shared" si="32"/>
        <v>667.85714285714289</v>
      </c>
      <c r="W40" s="56">
        <f t="shared" si="32"/>
        <v>16.714285714285708</v>
      </c>
      <c r="X40" s="56">
        <f t="shared" si="32"/>
        <v>39.428571428571423</v>
      </c>
      <c r="Y40" s="56">
        <f t="shared" si="32"/>
        <v>252.28571428571428</v>
      </c>
      <c r="Z40" s="56">
        <f t="shared" si="32"/>
        <v>173.85714285714286</v>
      </c>
      <c r="AA40" s="56">
        <f t="shared" si="32"/>
        <v>52.571428571428577</v>
      </c>
      <c r="AB40" s="56">
        <f t="shared" si="32"/>
        <v>91</v>
      </c>
      <c r="AC40" s="56">
        <f t="shared" si="32"/>
        <v>3997.7142857142849</v>
      </c>
      <c r="AD40" s="56">
        <f t="shared" si="32"/>
        <v>0.99999999999999978</v>
      </c>
      <c r="AE40" s="57">
        <f t="shared" si="32"/>
        <v>2575.4285714285716</v>
      </c>
      <c r="AF40" s="57">
        <f t="shared" si="32"/>
        <v>6573.1428571428578</v>
      </c>
    </row>
    <row r="41" spans="2:32" ht="23.1" customHeight="1" x14ac:dyDescent="0.25">
      <c r="B41" s="23" t="s">
        <v>68</v>
      </c>
      <c r="C41" s="49">
        <f>'Avg Week MUBENDE-MITYANA'!C41+'Avg Week MITYANA-MUBENDE'!C41</f>
        <v>15.571428571428569</v>
      </c>
      <c r="D41" s="49">
        <f>'Avg Week MUBENDE-MITYANA'!D41+'Avg Week MITYANA-MUBENDE'!D41</f>
        <v>7.1428571428571423</v>
      </c>
      <c r="E41" s="49">
        <f>'Avg Week MUBENDE-MITYANA'!E41+'Avg Week MITYANA-MUBENDE'!E41</f>
        <v>5.4285714285714288</v>
      </c>
      <c r="F41" s="49">
        <f>'Avg Week MUBENDE-MITYANA'!F41+'Avg Week MITYANA-MUBENDE'!F41</f>
        <v>14.571428571428571</v>
      </c>
      <c r="G41" s="49">
        <f>'Avg Week MUBENDE-MITYANA'!G41+'Avg Week MITYANA-MUBENDE'!G41</f>
        <v>0.42857142857142855</v>
      </c>
      <c r="H41" s="49">
        <f>'Avg Week MUBENDE-MITYANA'!H41+'Avg Week MITYANA-MUBENDE'!H41</f>
        <v>1</v>
      </c>
      <c r="I41" s="49">
        <f>'Avg Week MUBENDE-MITYANA'!I41+'Avg Week MITYANA-MUBENDE'!I41</f>
        <v>5.8571428571428577</v>
      </c>
      <c r="J41" s="49">
        <f>'Avg Week MUBENDE-MITYANA'!J41+'Avg Week MITYANA-MUBENDE'!J41</f>
        <v>3.7142857142857144</v>
      </c>
      <c r="K41" s="49">
        <f>'Avg Week MUBENDE-MITYANA'!K41+'Avg Week MITYANA-MUBENDE'!K41</f>
        <v>1.7142857142857142</v>
      </c>
      <c r="L41" s="49">
        <f>'Avg Week MUBENDE-MITYANA'!L41+'Avg Week MITYANA-MUBENDE'!L41</f>
        <v>1.4285714285714284</v>
      </c>
      <c r="M41" s="49">
        <f>'Avg Week MUBENDE-MITYANA'!M41+'Avg Week MITYANA-MUBENDE'!M41</f>
        <v>81.714285714285722</v>
      </c>
      <c r="N41" s="49">
        <f>'Avg Week MUBENDE-MITYANA'!N41+'Avg Week MITYANA-MUBENDE'!N41</f>
        <v>0</v>
      </c>
      <c r="O41" s="15">
        <f t="shared" si="0"/>
        <v>56.857142857142861</v>
      </c>
      <c r="P41" s="15">
        <f t="shared" si="1"/>
        <v>138.57142857142858</v>
      </c>
      <c r="R41" s="5" t="s">
        <v>180</v>
      </c>
      <c r="S41" s="56">
        <f>SUM(S10:S33)</f>
        <v>1058.3571428571427</v>
      </c>
      <c r="T41" s="56">
        <f t="shared" ref="T41:AD41" si="33">SUM(T10:T33)</f>
        <v>405</v>
      </c>
      <c r="U41" s="56">
        <f t="shared" si="33"/>
        <v>252.35714285714283</v>
      </c>
      <c r="V41" s="56">
        <f t="shared" si="33"/>
        <v>874.85714285714289</v>
      </c>
      <c r="W41" s="56">
        <f t="shared" si="33"/>
        <v>27.714285714285708</v>
      </c>
      <c r="X41" s="56">
        <f t="shared" si="33"/>
        <v>59.928571428571423</v>
      </c>
      <c r="Y41" s="56">
        <f t="shared" si="33"/>
        <v>434.78571428571428</v>
      </c>
      <c r="Z41" s="56">
        <f t="shared" si="33"/>
        <v>384.85714285714289</v>
      </c>
      <c r="AA41" s="56">
        <f t="shared" si="33"/>
        <v>153.07142857142858</v>
      </c>
      <c r="AB41" s="56">
        <f t="shared" si="33"/>
        <v>160.5</v>
      </c>
      <c r="AC41" s="56">
        <f t="shared" si="33"/>
        <v>4901.2142857142844</v>
      </c>
      <c r="AD41" s="56">
        <f t="shared" si="33"/>
        <v>0.99999999999999978</v>
      </c>
      <c r="AE41" s="57">
        <f>SUM(AE10:AE33)</f>
        <v>3812.4285714285716</v>
      </c>
      <c r="AF41" s="57">
        <f>SUM(AF10:AF33)</f>
        <v>8713.6428571428587</v>
      </c>
    </row>
    <row r="42" spans="2:32" ht="23.1" customHeight="1" x14ac:dyDescent="0.25">
      <c r="B42" s="24" t="s">
        <v>69</v>
      </c>
      <c r="C42" s="49">
        <f>'Avg Week MUBENDE-MITYANA'!C42+'Avg Week MITYANA-MUBENDE'!C42</f>
        <v>19.285714285714285</v>
      </c>
      <c r="D42" s="49">
        <f>'Avg Week MUBENDE-MITYANA'!D42+'Avg Week MITYANA-MUBENDE'!D42</f>
        <v>5.7142857142857144</v>
      </c>
      <c r="E42" s="49">
        <f>'Avg Week MUBENDE-MITYANA'!E42+'Avg Week MITYANA-MUBENDE'!E42</f>
        <v>2.8571428571428572</v>
      </c>
      <c r="F42" s="49">
        <f>'Avg Week MUBENDE-MITYANA'!F42+'Avg Week MITYANA-MUBENDE'!F42</f>
        <v>14.142857142857142</v>
      </c>
      <c r="G42" s="49">
        <f>'Avg Week MUBENDE-MITYANA'!G42+'Avg Week MITYANA-MUBENDE'!G42</f>
        <v>0.71428571428571419</v>
      </c>
      <c r="H42" s="49">
        <f>'Avg Week MUBENDE-MITYANA'!H42+'Avg Week MITYANA-MUBENDE'!H42</f>
        <v>1.2857142857142856</v>
      </c>
      <c r="I42" s="49">
        <f>'Avg Week MUBENDE-MITYANA'!I42+'Avg Week MITYANA-MUBENDE'!I42</f>
        <v>7.1428571428571423</v>
      </c>
      <c r="J42" s="49">
        <f>'Avg Week MUBENDE-MITYANA'!J42+'Avg Week MITYANA-MUBENDE'!J42</f>
        <v>3.2857142857142856</v>
      </c>
      <c r="K42" s="49">
        <f>'Avg Week MUBENDE-MITYANA'!K42+'Avg Week MITYANA-MUBENDE'!K42</f>
        <v>1</v>
      </c>
      <c r="L42" s="49">
        <f>'Avg Week MUBENDE-MITYANA'!L42+'Avg Week MITYANA-MUBENDE'!L42</f>
        <v>2.2857142857142856</v>
      </c>
      <c r="M42" s="49">
        <f>'Avg Week MUBENDE-MITYANA'!M42+'Avg Week MITYANA-MUBENDE'!M42</f>
        <v>80.428571428571431</v>
      </c>
      <c r="N42" s="49">
        <f>'Avg Week MUBENDE-MITYANA'!N42+'Avg Week MITYANA-MUBENDE'!N42</f>
        <v>0</v>
      </c>
      <c r="O42" s="15">
        <f t="shared" si="0"/>
        <v>57.714285714285708</v>
      </c>
      <c r="P42" s="15">
        <f t="shared" si="1"/>
        <v>138.14285714285714</v>
      </c>
      <c r="R42" s="5" t="s">
        <v>160</v>
      </c>
      <c r="S42" s="48">
        <f>S41/S40</f>
        <v>1.3484710593374589</v>
      </c>
      <c r="T42" s="48">
        <f t="shared" ref="T42:AF42" si="34">T41/T40</f>
        <v>1.2980769230769231</v>
      </c>
      <c r="U42" s="48">
        <f t="shared" si="34"/>
        <v>1.3725718725718725</v>
      </c>
      <c r="V42" s="48">
        <f t="shared" si="34"/>
        <v>1.309946524064171</v>
      </c>
      <c r="W42" s="48">
        <f t="shared" si="34"/>
        <v>1.6581196581196584</v>
      </c>
      <c r="X42" s="48">
        <f t="shared" si="34"/>
        <v>1.519927536231884</v>
      </c>
      <c r="Y42" s="48">
        <f t="shared" si="34"/>
        <v>1.7233861834654587</v>
      </c>
      <c r="Z42" s="48">
        <f t="shared" si="34"/>
        <v>2.2136400986031224</v>
      </c>
      <c r="AA42" s="48">
        <f t="shared" si="34"/>
        <v>2.9116847826086958</v>
      </c>
      <c r="AB42" s="48">
        <f t="shared" si="34"/>
        <v>1.7637362637362637</v>
      </c>
      <c r="AC42" s="48">
        <f t="shared" si="34"/>
        <v>1.2260041452258432</v>
      </c>
      <c r="AD42" s="48">
        <f t="shared" si="34"/>
        <v>1</v>
      </c>
      <c r="AE42" s="58">
        <f t="shared" si="34"/>
        <v>1.4803084091413357</v>
      </c>
      <c r="AF42" s="58">
        <f t="shared" si="34"/>
        <v>1.3256433104407548</v>
      </c>
    </row>
    <row r="43" spans="2:32" ht="23.1" customHeight="1" x14ac:dyDescent="0.25">
      <c r="B43" s="23" t="s">
        <v>70</v>
      </c>
      <c r="C43" s="49">
        <f>'Avg Week MUBENDE-MITYANA'!C43+'Avg Week MITYANA-MUBENDE'!C43</f>
        <v>15</v>
      </c>
      <c r="D43" s="49">
        <f>'Avg Week MUBENDE-MITYANA'!D43+'Avg Week MITYANA-MUBENDE'!D43</f>
        <v>8.5714285714285712</v>
      </c>
      <c r="E43" s="49">
        <f>'Avg Week MUBENDE-MITYANA'!E43+'Avg Week MITYANA-MUBENDE'!E43</f>
        <v>3.4285714285714288</v>
      </c>
      <c r="F43" s="49">
        <f>'Avg Week MUBENDE-MITYANA'!F43+'Avg Week MITYANA-MUBENDE'!F43</f>
        <v>14.857142857142858</v>
      </c>
      <c r="G43" s="49">
        <f>'Avg Week MUBENDE-MITYANA'!G43+'Avg Week MITYANA-MUBENDE'!G43</f>
        <v>0.2857142857142857</v>
      </c>
      <c r="H43" s="49">
        <f>'Avg Week MUBENDE-MITYANA'!H43+'Avg Week MITYANA-MUBENDE'!H43</f>
        <v>1.1428571428571428</v>
      </c>
      <c r="I43" s="49">
        <f>'Avg Week MUBENDE-MITYANA'!I43+'Avg Week MITYANA-MUBENDE'!I43</f>
        <v>5.5714285714285712</v>
      </c>
      <c r="J43" s="49">
        <f>'Avg Week MUBENDE-MITYANA'!J43+'Avg Week MITYANA-MUBENDE'!J43</f>
        <v>5.2857142857142856</v>
      </c>
      <c r="K43" s="49">
        <f>'Avg Week MUBENDE-MITYANA'!K43+'Avg Week MITYANA-MUBENDE'!K43</f>
        <v>1.1428571428571428</v>
      </c>
      <c r="L43" s="49">
        <f>'Avg Week MUBENDE-MITYANA'!L43+'Avg Week MITYANA-MUBENDE'!L43</f>
        <v>1.8571428571428572</v>
      </c>
      <c r="M43" s="49">
        <f>'Avg Week MUBENDE-MITYANA'!M43+'Avg Week MITYANA-MUBENDE'!M43</f>
        <v>79</v>
      </c>
      <c r="N43" s="49">
        <f>'Avg Week MUBENDE-MITYANA'!N43+'Avg Week MITYANA-MUBENDE'!N43</f>
        <v>0</v>
      </c>
      <c r="O43" s="15">
        <f t="shared" si="0"/>
        <v>57.142857142857146</v>
      </c>
      <c r="P43" s="15">
        <f t="shared" si="1"/>
        <v>136.14285714285714</v>
      </c>
    </row>
    <row r="44" spans="2:32" ht="23.1" customHeight="1" x14ac:dyDescent="0.25">
      <c r="B44" s="25" t="s">
        <v>71</v>
      </c>
      <c r="C44" s="49">
        <f>'Avg Week MUBENDE-MITYANA'!C44+'Avg Week MITYANA-MUBENDE'!C44</f>
        <v>18.714285714285715</v>
      </c>
      <c r="D44" s="49">
        <f>'Avg Week MUBENDE-MITYANA'!D44+'Avg Week MITYANA-MUBENDE'!D44</f>
        <v>7</v>
      </c>
      <c r="E44" s="49">
        <f>'Avg Week MUBENDE-MITYANA'!E44+'Avg Week MITYANA-MUBENDE'!E44</f>
        <v>4.4285714285714288</v>
      </c>
      <c r="F44" s="49">
        <f>'Avg Week MUBENDE-MITYANA'!F44+'Avg Week MITYANA-MUBENDE'!F44</f>
        <v>12.428571428571429</v>
      </c>
      <c r="G44" s="49">
        <f>'Avg Week MUBENDE-MITYANA'!G44+'Avg Week MITYANA-MUBENDE'!G44</f>
        <v>0.14285714285714285</v>
      </c>
      <c r="H44" s="49">
        <f>'Avg Week MUBENDE-MITYANA'!H44+'Avg Week MITYANA-MUBENDE'!H44</f>
        <v>1.4285714285714284</v>
      </c>
      <c r="I44" s="49">
        <f>'Avg Week MUBENDE-MITYANA'!I44+'Avg Week MITYANA-MUBENDE'!I44</f>
        <v>6</v>
      </c>
      <c r="J44" s="49">
        <f>'Avg Week MUBENDE-MITYANA'!J44+'Avg Week MITYANA-MUBENDE'!J44</f>
        <v>3.2857142857142856</v>
      </c>
      <c r="K44" s="49">
        <f>'Avg Week MUBENDE-MITYANA'!K44+'Avg Week MITYANA-MUBENDE'!K44</f>
        <v>0.2857142857142857</v>
      </c>
      <c r="L44" s="49">
        <f>'Avg Week MUBENDE-MITYANA'!L44+'Avg Week MITYANA-MUBENDE'!L44</f>
        <v>3.2857142857142856</v>
      </c>
      <c r="M44" s="49">
        <f>'Avg Week MUBENDE-MITYANA'!M44+'Avg Week MITYANA-MUBENDE'!M44</f>
        <v>74.285714285714292</v>
      </c>
      <c r="N44" s="49">
        <f>'Avg Week MUBENDE-MITYANA'!N44+'Avg Week MITYANA-MUBENDE'!N44</f>
        <v>0</v>
      </c>
      <c r="O44" s="15">
        <f t="shared" si="0"/>
        <v>57.000000000000007</v>
      </c>
      <c r="P44" s="15">
        <f t="shared" si="1"/>
        <v>131.28571428571431</v>
      </c>
    </row>
    <row r="45" spans="2:32" ht="23.1" customHeight="1" x14ac:dyDescent="0.25">
      <c r="B45" s="23" t="s">
        <v>72</v>
      </c>
      <c r="C45" s="49">
        <f>'Avg Week MUBENDE-MITYANA'!C45+'Avg Week MITYANA-MUBENDE'!C45</f>
        <v>18.285714285714285</v>
      </c>
      <c r="D45" s="49">
        <f>'Avg Week MUBENDE-MITYANA'!D45+'Avg Week MITYANA-MUBENDE'!D45</f>
        <v>7.5714285714285712</v>
      </c>
      <c r="E45" s="49">
        <f>'Avg Week MUBENDE-MITYANA'!E45+'Avg Week MITYANA-MUBENDE'!E45</f>
        <v>5.4285714285714288</v>
      </c>
      <c r="F45" s="49">
        <f>'Avg Week MUBENDE-MITYANA'!F45+'Avg Week MITYANA-MUBENDE'!F45</f>
        <v>15</v>
      </c>
      <c r="G45" s="49">
        <f>'Avg Week MUBENDE-MITYANA'!G45+'Avg Week MITYANA-MUBENDE'!G45</f>
        <v>0.14285714285714285</v>
      </c>
      <c r="H45" s="49">
        <f>'Avg Week MUBENDE-MITYANA'!H45+'Avg Week MITYANA-MUBENDE'!H45</f>
        <v>0.5714285714285714</v>
      </c>
      <c r="I45" s="49">
        <f>'Avg Week MUBENDE-MITYANA'!I45+'Avg Week MITYANA-MUBENDE'!I45</f>
        <v>8</v>
      </c>
      <c r="J45" s="49">
        <f>'Avg Week MUBENDE-MITYANA'!J45+'Avg Week MITYANA-MUBENDE'!J45</f>
        <v>3.2857142857142856</v>
      </c>
      <c r="K45" s="49">
        <f>'Avg Week MUBENDE-MITYANA'!K45+'Avg Week MITYANA-MUBENDE'!K45</f>
        <v>2.714285714285714</v>
      </c>
      <c r="L45" s="49">
        <f>'Avg Week MUBENDE-MITYANA'!L45+'Avg Week MITYANA-MUBENDE'!L45</f>
        <v>2.5714285714285712</v>
      </c>
      <c r="M45" s="49">
        <f>'Avg Week MUBENDE-MITYANA'!M45+'Avg Week MITYANA-MUBENDE'!M45</f>
        <v>80.857142857142861</v>
      </c>
      <c r="N45" s="49">
        <f>'Avg Week MUBENDE-MITYANA'!N45+'Avg Week MITYANA-MUBENDE'!N45</f>
        <v>0.14285714285714285</v>
      </c>
      <c r="O45" s="15">
        <f t="shared" si="0"/>
        <v>63.714285714285715</v>
      </c>
      <c r="P45" s="15">
        <f t="shared" si="1"/>
        <v>144.57142857142858</v>
      </c>
    </row>
    <row r="46" spans="2:32" ht="23.1" customHeight="1" x14ac:dyDescent="0.25">
      <c r="B46" s="24" t="s">
        <v>73</v>
      </c>
      <c r="C46" s="49">
        <f>'Avg Week MUBENDE-MITYANA'!C46+'Avg Week MITYANA-MUBENDE'!C46</f>
        <v>20.571428571428569</v>
      </c>
      <c r="D46" s="49">
        <f>'Avg Week MUBENDE-MITYANA'!D46+'Avg Week MITYANA-MUBENDE'!D46</f>
        <v>10.714285714285715</v>
      </c>
      <c r="E46" s="49">
        <f>'Avg Week MUBENDE-MITYANA'!E46+'Avg Week MITYANA-MUBENDE'!E46</f>
        <v>4</v>
      </c>
      <c r="F46" s="49">
        <f>'Avg Week MUBENDE-MITYANA'!F46+'Avg Week MITYANA-MUBENDE'!F46</f>
        <v>14.857142857142858</v>
      </c>
      <c r="G46" s="49">
        <f>'Avg Week MUBENDE-MITYANA'!G46+'Avg Week MITYANA-MUBENDE'!G46</f>
        <v>0.42857142857142855</v>
      </c>
      <c r="H46" s="49">
        <f>'Avg Week MUBENDE-MITYANA'!H46+'Avg Week MITYANA-MUBENDE'!H46</f>
        <v>1</v>
      </c>
      <c r="I46" s="49">
        <f>'Avg Week MUBENDE-MITYANA'!I46+'Avg Week MITYANA-MUBENDE'!I46</f>
        <v>8</v>
      </c>
      <c r="J46" s="49">
        <f>'Avg Week MUBENDE-MITYANA'!J46+'Avg Week MITYANA-MUBENDE'!J46</f>
        <v>5.4285714285714288</v>
      </c>
      <c r="K46" s="49">
        <f>'Avg Week MUBENDE-MITYANA'!K46+'Avg Week MITYANA-MUBENDE'!K46</f>
        <v>1.2857142857142856</v>
      </c>
      <c r="L46" s="49">
        <f>'Avg Week MUBENDE-MITYANA'!L46+'Avg Week MITYANA-MUBENDE'!L46</f>
        <v>2.7142857142857144</v>
      </c>
      <c r="M46" s="49">
        <f>'Avg Week MUBENDE-MITYANA'!M46+'Avg Week MITYANA-MUBENDE'!M46</f>
        <v>88.142857142857139</v>
      </c>
      <c r="N46" s="49">
        <f>'Avg Week MUBENDE-MITYANA'!N46+'Avg Week MITYANA-MUBENDE'!N46</f>
        <v>0.14285714285714285</v>
      </c>
      <c r="O46" s="15">
        <f t="shared" si="0"/>
        <v>69.142857142857139</v>
      </c>
      <c r="P46" s="15">
        <f t="shared" si="1"/>
        <v>157.28571428571428</v>
      </c>
      <c r="R46" s="8"/>
      <c r="T46"/>
    </row>
    <row r="47" spans="2:32" ht="23.1" customHeight="1" x14ac:dyDescent="0.25">
      <c r="B47" s="24" t="s">
        <v>74</v>
      </c>
      <c r="C47" s="49">
        <f>'Avg Week MUBENDE-MITYANA'!C47+'Avg Week MITYANA-MUBENDE'!C47</f>
        <v>18.857142857142858</v>
      </c>
      <c r="D47" s="49">
        <f>'Avg Week MUBENDE-MITYANA'!D47+'Avg Week MITYANA-MUBENDE'!D47</f>
        <v>7</v>
      </c>
      <c r="E47" s="49">
        <f>'Avg Week MUBENDE-MITYANA'!E47+'Avg Week MITYANA-MUBENDE'!E47</f>
        <v>4.1428571428571423</v>
      </c>
      <c r="F47" s="49">
        <f>'Avg Week MUBENDE-MITYANA'!F47+'Avg Week MITYANA-MUBENDE'!F47</f>
        <v>17.571428571428573</v>
      </c>
      <c r="G47" s="49">
        <f>'Avg Week MUBENDE-MITYANA'!G47+'Avg Week MITYANA-MUBENDE'!G47</f>
        <v>0</v>
      </c>
      <c r="H47" s="49">
        <f>'Avg Week MUBENDE-MITYANA'!H47+'Avg Week MITYANA-MUBENDE'!H47</f>
        <v>1.4285714285714286</v>
      </c>
      <c r="I47" s="49">
        <f>'Avg Week MUBENDE-MITYANA'!I47+'Avg Week MITYANA-MUBENDE'!I47</f>
        <v>6.2857142857142865</v>
      </c>
      <c r="J47" s="49">
        <f>'Avg Week MUBENDE-MITYANA'!J47+'Avg Week MITYANA-MUBENDE'!J47</f>
        <v>5</v>
      </c>
      <c r="K47" s="49">
        <f>'Avg Week MUBENDE-MITYANA'!K47+'Avg Week MITYANA-MUBENDE'!K47</f>
        <v>0.5714285714285714</v>
      </c>
      <c r="L47" s="49">
        <f>'Avg Week MUBENDE-MITYANA'!L47+'Avg Week MITYANA-MUBENDE'!L47</f>
        <v>1.8571428571428572</v>
      </c>
      <c r="M47" s="49">
        <f>'Avg Week MUBENDE-MITYANA'!M47+'Avg Week MITYANA-MUBENDE'!M47</f>
        <v>91.571428571428569</v>
      </c>
      <c r="N47" s="49">
        <f>'Avg Week MUBENDE-MITYANA'!N47+'Avg Week MITYANA-MUBENDE'!N47</f>
        <v>0</v>
      </c>
      <c r="O47" s="15">
        <f t="shared" si="0"/>
        <v>62.714285714285708</v>
      </c>
      <c r="P47" s="15">
        <f t="shared" si="1"/>
        <v>154.28571428571428</v>
      </c>
      <c r="R47" s="8"/>
      <c r="T47"/>
    </row>
    <row r="48" spans="2:32" ht="23.1" customHeight="1" x14ac:dyDescent="0.25">
      <c r="B48" s="24" t="s">
        <v>75</v>
      </c>
      <c r="C48" s="49">
        <f>'Avg Week MUBENDE-MITYANA'!C48+'Avg Week MITYANA-MUBENDE'!C48</f>
        <v>20.285714285714285</v>
      </c>
      <c r="D48" s="49">
        <f>'Avg Week MUBENDE-MITYANA'!D48+'Avg Week MITYANA-MUBENDE'!D48</f>
        <v>8</v>
      </c>
      <c r="E48" s="49">
        <f>'Avg Week MUBENDE-MITYANA'!E48+'Avg Week MITYANA-MUBENDE'!E48</f>
        <v>4.2857142857142856</v>
      </c>
      <c r="F48" s="49">
        <f>'Avg Week MUBENDE-MITYANA'!F48+'Avg Week MITYANA-MUBENDE'!F48</f>
        <v>15.428571428571427</v>
      </c>
      <c r="G48" s="49">
        <f>'Avg Week MUBENDE-MITYANA'!G48+'Avg Week MITYANA-MUBENDE'!G48</f>
        <v>0.42857142857142855</v>
      </c>
      <c r="H48" s="49">
        <f>'Avg Week MUBENDE-MITYANA'!H48+'Avg Week MITYANA-MUBENDE'!H48</f>
        <v>2</v>
      </c>
      <c r="I48" s="49">
        <f>'Avg Week MUBENDE-MITYANA'!I48+'Avg Week MITYANA-MUBENDE'!I48</f>
        <v>4.2857142857142856</v>
      </c>
      <c r="J48" s="49">
        <f>'Avg Week MUBENDE-MITYANA'!J48+'Avg Week MITYANA-MUBENDE'!J48</f>
        <v>4.1428571428571432</v>
      </c>
      <c r="K48" s="49">
        <f>'Avg Week MUBENDE-MITYANA'!K48+'Avg Week MITYANA-MUBENDE'!K48</f>
        <v>1.1428571428571428</v>
      </c>
      <c r="L48" s="49">
        <f>'Avg Week MUBENDE-MITYANA'!L48+'Avg Week MITYANA-MUBENDE'!L48</f>
        <v>1.4285714285714286</v>
      </c>
      <c r="M48" s="49">
        <f>'Avg Week MUBENDE-MITYANA'!M48+'Avg Week MITYANA-MUBENDE'!M48</f>
        <v>84.571428571428569</v>
      </c>
      <c r="N48" s="49">
        <f>'Avg Week MUBENDE-MITYANA'!N48+'Avg Week MITYANA-MUBENDE'!N48</f>
        <v>0</v>
      </c>
      <c r="O48" s="15">
        <f t="shared" si="0"/>
        <v>61.428571428571438</v>
      </c>
      <c r="P48" s="15">
        <f t="shared" si="1"/>
        <v>146</v>
      </c>
      <c r="R48" s="8"/>
      <c r="T48"/>
    </row>
    <row r="49" spans="2:20" ht="23.1" customHeight="1" x14ac:dyDescent="0.25">
      <c r="B49" s="23" t="s">
        <v>76</v>
      </c>
      <c r="C49" s="49">
        <f>'Avg Week MUBENDE-MITYANA'!C49+'Avg Week MITYANA-MUBENDE'!C49</f>
        <v>20.285714285714285</v>
      </c>
      <c r="D49" s="49">
        <f>'Avg Week MUBENDE-MITYANA'!D49+'Avg Week MITYANA-MUBENDE'!D49</f>
        <v>7.4285714285714288</v>
      </c>
      <c r="E49" s="49">
        <f>'Avg Week MUBENDE-MITYANA'!E49+'Avg Week MITYANA-MUBENDE'!E49</f>
        <v>4.1428571428571432</v>
      </c>
      <c r="F49" s="49">
        <f>'Avg Week MUBENDE-MITYANA'!F49+'Avg Week MITYANA-MUBENDE'!F49</f>
        <v>16.428571428571431</v>
      </c>
      <c r="G49" s="49">
        <f>'Avg Week MUBENDE-MITYANA'!G49+'Avg Week MITYANA-MUBENDE'!G49</f>
        <v>1.2857142857142856</v>
      </c>
      <c r="H49" s="49">
        <f>'Avg Week MUBENDE-MITYANA'!H49+'Avg Week MITYANA-MUBENDE'!H49</f>
        <v>1.1428571428571428</v>
      </c>
      <c r="I49" s="49">
        <f>'Avg Week MUBENDE-MITYANA'!I49+'Avg Week MITYANA-MUBENDE'!I49</f>
        <v>9.7142857142857135</v>
      </c>
      <c r="J49" s="49">
        <f>'Avg Week MUBENDE-MITYANA'!J49+'Avg Week MITYANA-MUBENDE'!J49</f>
        <v>5.4285714285714288</v>
      </c>
      <c r="K49" s="49">
        <f>'Avg Week MUBENDE-MITYANA'!K49+'Avg Week MITYANA-MUBENDE'!K49</f>
        <v>2</v>
      </c>
      <c r="L49" s="49">
        <f>'Avg Week MUBENDE-MITYANA'!L49+'Avg Week MITYANA-MUBENDE'!L49</f>
        <v>1.4285714285714286</v>
      </c>
      <c r="M49" s="49">
        <f>'Avg Week MUBENDE-MITYANA'!M49+'Avg Week MITYANA-MUBENDE'!M49</f>
        <v>98</v>
      </c>
      <c r="N49" s="49">
        <f>'Avg Week MUBENDE-MITYANA'!N49+'Avg Week MITYANA-MUBENDE'!N49</f>
        <v>0</v>
      </c>
      <c r="O49" s="15">
        <f t="shared" si="0"/>
        <v>69.285714285714292</v>
      </c>
      <c r="P49" s="15">
        <f t="shared" si="1"/>
        <v>167.28571428571428</v>
      </c>
      <c r="R49" s="8"/>
      <c r="T49"/>
    </row>
    <row r="50" spans="2:20" ht="23.1" customHeight="1" x14ac:dyDescent="0.25">
      <c r="B50" s="24" t="s">
        <v>77</v>
      </c>
      <c r="C50" s="49">
        <f>'Avg Week MUBENDE-MITYANA'!C50+'Avg Week MITYANA-MUBENDE'!C50</f>
        <v>24.428571428571431</v>
      </c>
      <c r="D50" s="49">
        <f>'Avg Week MUBENDE-MITYANA'!D50+'Avg Week MITYANA-MUBENDE'!D50</f>
        <v>11.571428571428573</v>
      </c>
      <c r="E50" s="49">
        <f>'Avg Week MUBENDE-MITYANA'!E50+'Avg Week MITYANA-MUBENDE'!E50</f>
        <v>4.8571428571428577</v>
      </c>
      <c r="F50" s="49">
        <f>'Avg Week MUBENDE-MITYANA'!F50+'Avg Week MITYANA-MUBENDE'!F50</f>
        <v>16.714285714285715</v>
      </c>
      <c r="G50" s="49">
        <f>'Avg Week MUBENDE-MITYANA'!G50+'Avg Week MITYANA-MUBENDE'!G50</f>
        <v>0.5714285714285714</v>
      </c>
      <c r="H50" s="49">
        <f>'Avg Week MUBENDE-MITYANA'!H50+'Avg Week MITYANA-MUBENDE'!H50</f>
        <v>1.1428571428571428</v>
      </c>
      <c r="I50" s="49">
        <f>'Avg Week MUBENDE-MITYANA'!I50+'Avg Week MITYANA-MUBENDE'!I50</f>
        <v>7.2857142857142856</v>
      </c>
      <c r="J50" s="49">
        <f>'Avg Week MUBENDE-MITYANA'!J50+'Avg Week MITYANA-MUBENDE'!J50</f>
        <v>5</v>
      </c>
      <c r="K50" s="49">
        <f>'Avg Week MUBENDE-MITYANA'!K50+'Avg Week MITYANA-MUBENDE'!K50</f>
        <v>1</v>
      </c>
      <c r="L50" s="49">
        <f>'Avg Week MUBENDE-MITYANA'!L50+'Avg Week MITYANA-MUBENDE'!L50</f>
        <v>2.7142857142857144</v>
      </c>
      <c r="M50" s="49">
        <f>'Avg Week MUBENDE-MITYANA'!M50+'Avg Week MITYANA-MUBENDE'!M50</f>
        <v>82.142857142857139</v>
      </c>
      <c r="N50" s="49">
        <f>'Avg Week MUBENDE-MITYANA'!N50+'Avg Week MITYANA-MUBENDE'!N50</f>
        <v>0</v>
      </c>
      <c r="O50" s="15">
        <f t="shared" si="0"/>
        <v>75.285714285714292</v>
      </c>
      <c r="P50" s="15">
        <f t="shared" si="1"/>
        <v>157.42857142857144</v>
      </c>
      <c r="R50" s="8"/>
      <c r="T50"/>
    </row>
    <row r="51" spans="2:20" ht="23.1" customHeight="1" x14ac:dyDescent="0.25">
      <c r="B51" s="24" t="s">
        <v>78</v>
      </c>
      <c r="C51" s="49">
        <f>'Avg Week MUBENDE-MITYANA'!C51+'Avg Week MITYANA-MUBENDE'!C51</f>
        <v>21.142857142857142</v>
      </c>
      <c r="D51" s="49">
        <f>'Avg Week MUBENDE-MITYANA'!D51+'Avg Week MITYANA-MUBENDE'!D51</f>
        <v>8.4285714285714288</v>
      </c>
      <c r="E51" s="49">
        <f>'Avg Week MUBENDE-MITYANA'!E51+'Avg Week MITYANA-MUBENDE'!E51</f>
        <v>2.7142857142857144</v>
      </c>
      <c r="F51" s="49">
        <f>'Avg Week MUBENDE-MITYANA'!F51+'Avg Week MITYANA-MUBENDE'!F51</f>
        <v>16.142857142857142</v>
      </c>
      <c r="G51" s="49">
        <f>'Avg Week MUBENDE-MITYANA'!G51+'Avg Week MITYANA-MUBENDE'!G51</f>
        <v>0.2857142857142857</v>
      </c>
      <c r="H51" s="49">
        <f>'Avg Week MUBENDE-MITYANA'!H51+'Avg Week MITYANA-MUBENDE'!H51</f>
        <v>1.4285714285714286</v>
      </c>
      <c r="I51" s="49">
        <f>'Avg Week MUBENDE-MITYANA'!I51+'Avg Week MITYANA-MUBENDE'!I51</f>
        <v>5</v>
      </c>
      <c r="J51" s="49">
        <f>'Avg Week MUBENDE-MITYANA'!J51+'Avg Week MITYANA-MUBENDE'!J51</f>
        <v>5.7142857142857144</v>
      </c>
      <c r="K51" s="49">
        <f>'Avg Week MUBENDE-MITYANA'!K51+'Avg Week MITYANA-MUBENDE'!K51</f>
        <v>1.2857142857142856</v>
      </c>
      <c r="L51" s="49">
        <f>'Avg Week MUBENDE-MITYANA'!L51+'Avg Week MITYANA-MUBENDE'!L51</f>
        <v>3.2857142857142856</v>
      </c>
      <c r="M51" s="49">
        <f>'Avg Week MUBENDE-MITYANA'!M51+'Avg Week MITYANA-MUBENDE'!M51</f>
        <v>87.714285714285722</v>
      </c>
      <c r="N51" s="49">
        <f>'Avg Week MUBENDE-MITYANA'!N51+'Avg Week MITYANA-MUBENDE'!N51</f>
        <v>0</v>
      </c>
      <c r="O51" s="15">
        <f t="shared" si="0"/>
        <v>65.428571428571431</v>
      </c>
      <c r="P51" s="15">
        <f t="shared" si="1"/>
        <v>153.14285714285717</v>
      </c>
      <c r="R51" s="8"/>
      <c r="T51"/>
    </row>
    <row r="52" spans="2:20" ht="23.1" customHeight="1" x14ac:dyDescent="0.25">
      <c r="B52" s="24" t="s">
        <v>79</v>
      </c>
      <c r="C52" s="49">
        <f>'Avg Week MUBENDE-MITYANA'!C52+'Avg Week MITYANA-MUBENDE'!C52</f>
        <v>21</v>
      </c>
      <c r="D52" s="49">
        <f>'Avg Week MUBENDE-MITYANA'!D52+'Avg Week MITYANA-MUBENDE'!D52</f>
        <v>8.2857142857142847</v>
      </c>
      <c r="E52" s="49">
        <f>'Avg Week MUBENDE-MITYANA'!E52+'Avg Week MITYANA-MUBENDE'!E52</f>
        <v>5</v>
      </c>
      <c r="F52" s="49">
        <f>'Avg Week MUBENDE-MITYANA'!F52+'Avg Week MITYANA-MUBENDE'!F52</f>
        <v>14.857142857142858</v>
      </c>
      <c r="G52" s="49">
        <f>'Avg Week MUBENDE-MITYANA'!G52+'Avg Week MITYANA-MUBENDE'!G52</f>
        <v>0.2857142857142857</v>
      </c>
      <c r="H52" s="49">
        <f>'Avg Week MUBENDE-MITYANA'!H52+'Avg Week MITYANA-MUBENDE'!H52</f>
        <v>0.5714285714285714</v>
      </c>
      <c r="I52" s="49">
        <f>'Avg Week MUBENDE-MITYANA'!I52+'Avg Week MITYANA-MUBENDE'!I52</f>
        <v>5.7142857142857144</v>
      </c>
      <c r="J52" s="49">
        <f>'Avg Week MUBENDE-MITYANA'!J52+'Avg Week MITYANA-MUBENDE'!J52</f>
        <v>6</v>
      </c>
      <c r="K52" s="49">
        <f>'Avg Week MUBENDE-MITYANA'!K52+'Avg Week MITYANA-MUBENDE'!K52</f>
        <v>1</v>
      </c>
      <c r="L52" s="49">
        <f>'Avg Week MUBENDE-MITYANA'!L52+'Avg Week MITYANA-MUBENDE'!L52</f>
        <v>1.7142857142857144</v>
      </c>
      <c r="M52" s="49">
        <f>'Avg Week MUBENDE-MITYANA'!M52+'Avg Week MITYANA-MUBENDE'!M52</f>
        <v>107.85714285714286</v>
      </c>
      <c r="N52" s="49">
        <f>'Avg Week MUBENDE-MITYANA'!N52+'Avg Week MITYANA-MUBENDE'!N52</f>
        <v>0</v>
      </c>
      <c r="O52" s="15">
        <f t="shared" si="0"/>
        <v>64.428571428571416</v>
      </c>
      <c r="P52" s="15">
        <f t="shared" si="1"/>
        <v>172.28571428571428</v>
      </c>
      <c r="R52" s="8"/>
      <c r="T52"/>
    </row>
    <row r="53" spans="2:20" ht="23.1" customHeight="1" x14ac:dyDescent="0.25">
      <c r="B53" s="23" t="s">
        <v>80</v>
      </c>
      <c r="C53" s="49">
        <f>'Avg Week MUBENDE-MITYANA'!C53+'Avg Week MITYANA-MUBENDE'!C53</f>
        <v>21</v>
      </c>
      <c r="D53" s="49">
        <f>'Avg Week MUBENDE-MITYANA'!D53+'Avg Week MITYANA-MUBENDE'!D53</f>
        <v>8.1428571428571423</v>
      </c>
      <c r="E53" s="49">
        <f>'Avg Week MUBENDE-MITYANA'!E53+'Avg Week MITYANA-MUBENDE'!E53</f>
        <v>3.8571428571428568</v>
      </c>
      <c r="F53" s="49">
        <f>'Avg Week MUBENDE-MITYANA'!F53+'Avg Week MITYANA-MUBENDE'!F53</f>
        <v>16.857142857142858</v>
      </c>
      <c r="G53" s="49">
        <f>'Avg Week MUBENDE-MITYANA'!G53+'Avg Week MITYANA-MUBENDE'!G53</f>
        <v>0</v>
      </c>
      <c r="H53" s="49">
        <f>'Avg Week MUBENDE-MITYANA'!H53+'Avg Week MITYANA-MUBENDE'!H53</f>
        <v>1.1428571428571428</v>
      </c>
      <c r="I53" s="49">
        <f>'Avg Week MUBENDE-MITYANA'!I53+'Avg Week MITYANA-MUBENDE'!I53</f>
        <v>6.5714285714285712</v>
      </c>
      <c r="J53" s="49">
        <f>'Avg Week MUBENDE-MITYANA'!J53+'Avg Week MITYANA-MUBENDE'!J53</f>
        <v>5</v>
      </c>
      <c r="K53" s="49">
        <f>'Avg Week MUBENDE-MITYANA'!K53+'Avg Week MITYANA-MUBENDE'!K53</f>
        <v>1.4285714285714286</v>
      </c>
      <c r="L53" s="49">
        <f>'Avg Week MUBENDE-MITYANA'!L53+'Avg Week MITYANA-MUBENDE'!L53</f>
        <v>2.2857142857142856</v>
      </c>
      <c r="M53" s="49">
        <f>'Avg Week MUBENDE-MITYANA'!M53+'Avg Week MITYANA-MUBENDE'!M53</f>
        <v>105.42857142857142</v>
      </c>
      <c r="N53" s="49">
        <f>'Avg Week MUBENDE-MITYANA'!N53+'Avg Week MITYANA-MUBENDE'!N53</f>
        <v>0</v>
      </c>
      <c r="O53" s="15">
        <f t="shared" si="0"/>
        <v>66.285714285714292</v>
      </c>
      <c r="P53" s="15">
        <f t="shared" si="1"/>
        <v>171.71428571428572</v>
      </c>
      <c r="R53" s="8"/>
      <c r="T53"/>
    </row>
    <row r="54" spans="2:20" ht="23.1" customHeight="1" x14ac:dyDescent="0.25">
      <c r="B54" s="23" t="s">
        <v>81</v>
      </c>
      <c r="C54" s="49">
        <f>'Avg Week MUBENDE-MITYANA'!C54+'Avg Week MITYANA-MUBENDE'!C54</f>
        <v>20.571428571428569</v>
      </c>
      <c r="D54" s="49">
        <f>'Avg Week MUBENDE-MITYANA'!D54+'Avg Week MITYANA-MUBENDE'!D54</f>
        <v>7.1428571428571423</v>
      </c>
      <c r="E54" s="49">
        <f>'Avg Week MUBENDE-MITYANA'!E54+'Avg Week MITYANA-MUBENDE'!E54</f>
        <v>4.5714285714285712</v>
      </c>
      <c r="F54" s="49">
        <f>'Avg Week MUBENDE-MITYANA'!F54+'Avg Week MITYANA-MUBENDE'!F54</f>
        <v>17.714285714285715</v>
      </c>
      <c r="G54" s="49">
        <f>'Avg Week MUBENDE-MITYANA'!G54+'Avg Week MITYANA-MUBENDE'!G54</f>
        <v>0.8571428571428571</v>
      </c>
      <c r="H54" s="49">
        <f>'Avg Week MUBENDE-MITYANA'!H54+'Avg Week MITYANA-MUBENDE'!H54</f>
        <v>1.2857142857142856</v>
      </c>
      <c r="I54" s="49">
        <f>'Avg Week MUBENDE-MITYANA'!I54+'Avg Week MITYANA-MUBENDE'!I54</f>
        <v>7.4285714285714288</v>
      </c>
      <c r="J54" s="49">
        <f>'Avg Week MUBENDE-MITYANA'!J54+'Avg Week MITYANA-MUBENDE'!J54</f>
        <v>5.5714285714285712</v>
      </c>
      <c r="K54" s="49">
        <f>'Avg Week MUBENDE-MITYANA'!K54+'Avg Week MITYANA-MUBENDE'!K54</f>
        <v>1.4285714285714286</v>
      </c>
      <c r="L54" s="49">
        <f>'Avg Week MUBENDE-MITYANA'!L54+'Avg Week MITYANA-MUBENDE'!L54</f>
        <v>3.7142857142857144</v>
      </c>
      <c r="M54" s="49">
        <f>'Avg Week MUBENDE-MITYANA'!M54+'Avg Week MITYANA-MUBENDE'!M54</f>
        <v>104.71428571428572</v>
      </c>
      <c r="N54" s="49">
        <f>'Avg Week MUBENDE-MITYANA'!N54+'Avg Week MITYANA-MUBENDE'!N54</f>
        <v>0</v>
      </c>
      <c r="O54" s="15">
        <f t="shared" si="0"/>
        <v>70.285714285714278</v>
      </c>
      <c r="P54" s="15">
        <f t="shared" si="1"/>
        <v>175</v>
      </c>
      <c r="R54" s="8"/>
      <c r="T54"/>
    </row>
    <row r="55" spans="2:20" ht="23.1" customHeight="1" x14ac:dyDescent="0.25">
      <c r="B55" s="23" t="s">
        <v>82</v>
      </c>
      <c r="C55" s="49">
        <f>'Avg Week MUBENDE-MITYANA'!C55+'Avg Week MITYANA-MUBENDE'!C55</f>
        <v>16.428571428571431</v>
      </c>
      <c r="D55" s="49">
        <f>'Avg Week MUBENDE-MITYANA'!D55+'Avg Week MITYANA-MUBENDE'!D55</f>
        <v>8.8571428571428577</v>
      </c>
      <c r="E55" s="49">
        <f>'Avg Week MUBENDE-MITYANA'!E55+'Avg Week MITYANA-MUBENDE'!E55</f>
        <v>4.8571428571428577</v>
      </c>
      <c r="F55" s="49">
        <f>'Avg Week MUBENDE-MITYANA'!F55+'Avg Week MITYANA-MUBENDE'!F55</f>
        <v>15.714285714285715</v>
      </c>
      <c r="G55" s="49">
        <f>'Avg Week MUBENDE-MITYANA'!G55+'Avg Week MITYANA-MUBENDE'!G55</f>
        <v>0.8571428571428571</v>
      </c>
      <c r="H55" s="49">
        <f>'Avg Week MUBENDE-MITYANA'!H55+'Avg Week MITYANA-MUBENDE'!H55</f>
        <v>0.71428571428571419</v>
      </c>
      <c r="I55" s="49">
        <f>'Avg Week MUBENDE-MITYANA'!I55+'Avg Week MITYANA-MUBENDE'!I55</f>
        <v>6.4285714285714288</v>
      </c>
      <c r="J55" s="49">
        <f>'Avg Week MUBENDE-MITYANA'!J55+'Avg Week MITYANA-MUBENDE'!J55</f>
        <v>6</v>
      </c>
      <c r="K55" s="49">
        <f>'Avg Week MUBENDE-MITYANA'!K55+'Avg Week MITYANA-MUBENDE'!K55</f>
        <v>1.8571428571428572</v>
      </c>
      <c r="L55" s="49">
        <f>'Avg Week MUBENDE-MITYANA'!L55+'Avg Week MITYANA-MUBENDE'!L55</f>
        <v>3.7142857142857144</v>
      </c>
      <c r="M55" s="49">
        <f>'Avg Week MUBENDE-MITYANA'!M55+'Avg Week MITYANA-MUBENDE'!M55</f>
        <v>104.42857142857142</v>
      </c>
      <c r="N55" s="49">
        <f>'Avg Week MUBENDE-MITYANA'!N55+'Avg Week MITYANA-MUBENDE'!N55</f>
        <v>0</v>
      </c>
      <c r="O55" s="15">
        <f t="shared" si="0"/>
        <v>65.428571428571431</v>
      </c>
      <c r="P55" s="15">
        <f t="shared" si="1"/>
        <v>169.85714285714283</v>
      </c>
      <c r="R55" s="8"/>
      <c r="T55"/>
    </row>
    <row r="56" spans="2:20" ht="23.1" customHeight="1" x14ac:dyDescent="0.25">
      <c r="B56" s="23" t="s">
        <v>83</v>
      </c>
      <c r="C56" s="49">
        <f>'Avg Week MUBENDE-MITYANA'!C56+'Avg Week MITYANA-MUBENDE'!C56</f>
        <v>23.571428571428569</v>
      </c>
      <c r="D56" s="49">
        <f>'Avg Week MUBENDE-MITYANA'!D56+'Avg Week MITYANA-MUBENDE'!D56</f>
        <v>7.4285714285714288</v>
      </c>
      <c r="E56" s="49">
        <f>'Avg Week MUBENDE-MITYANA'!E56+'Avg Week MITYANA-MUBENDE'!E56</f>
        <v>6.1428571428571423</v>
      </c>
      <c r="F56" s="49">
        <f>'Avg Week MUBENDE-MITYANA'!F56+'Avg Week MITYANA-MUBENDE'!F56</f>
        <v>16.428571428571431</v>
      </c>
      <c r="G56" s="49">
        <f>'Avg Week MUBENDE-MITYANA'!G56+'Avg Week MITYANA-MUBENDE'!G56</f>
        <v>0.71428571428571419</v>
      </c>
      <c r="H56" s="49">
        <f>'Avg Week MUBENDE-MITYANA'!H56+'Avg Week MITYANA-MUBENDE'!H56</f>
        <v>0.5714285714285714</v>
      </c>
      <c r="I56" s="49">
        <f>'Avg Week MUBENDE-MITYANA'!I56+'Avg Week MITYANA-MUBENDE'!I56</f>
        <v>6.7142857142857144</v>
      </c>
      <c r="J56" s="49">
        <f>'Avg Week MUBENDE-MITYANA'!J56+'Avg Week MITYANA-MUBENDE'!J56</f>
        <v>5.7142857142857135</v>
      </c>
      <c r="K56" s="49">
        <f>'Avg Week MUBENDE-MITYANA'!K56+'Avg Week MITYANA-MUBENDE'!K56</f>
        <v>1.7142857142857144</v>
      </c>
      <c r="L56" s="49">
        <f>'Avg Week MUBENDE-MITYANA'!L56+'Avg Week MITYANA-MUBENDE'!L56</f>
        <v>2</v>
      </c>
      <c r="M56" s="49">
        <f>'Avg Week MUBENDE-MITYANA'!M56+'Avg Week MITYANA-MUBENDE'!M56</f>
        <v>101.42857142857143</v>
      </c>
      <c r="N56" s="49">
        <f>'Avg Week MUBENDE-MITYANA'!N56+'Avg Week MITYANA-MUBENDE'!N56</f>
        <v>0</v>
      </c>
      <c r="O56" s="15">
        <f t="shared" si="0"/>
        <v>70.999999999999986</v>
      </c>
      <c r="P56" s="15">
        <f t="shared" si="1"/>
        <v>172.42857142857142</v>
      </c>
      <c r="R56" s="8"/>
      <c r="T56"/>
    </row>
    <row r="57" spans="2:20" ht="23.1" customHeight="1" x14ac:dyDescent="0.25">
      <c r="B57" s="23" t="s">
        <v>84</v>
      </c>
      <c r="C57" s="49">
        <f>'Avg Week MUBENDE-MITYANA'!C57+'Avg Week MITYANA-MUBENDE'!C57</f>
        <v>22.571428571428573</v>
      </c>
      <c r="D57" s="49">
        <f>'Avg Week MUBENDE-MITYANA'!D57+'Avg Week MITYANA-MUBENDE'!D57</f>
        <v>9.7142857142857153</v>
      </c>
      <c r="E57" s="49">
        <f>'Avg Week MUBENDE-MITYANA'!E57+'Avg Week MITYANA-MUBENDE'!E57</f>
        <v>4</v>
      </c>
      <c r="F57" s="49">
        <f>'Avg Week MUBENDE-MITYANA'!F57+'Avg Week MITYANA-MUBENDE'!F57</f>
        <v>15</v>
      </c>
      <c r="G57" s="49">
        <f>'Avg Week MUBENDE-MITYANA'!G57+'Avg Week MITYANA-MUBENDE'!G57</f>
        <v>1</v>
      </c>
      <c r="H57" s="49">
        <f>'Avg Week MUBENDE-MITYANA'!H57+'Avg Week MITYANA-MUBENDE'!H57</f>
        <v>0.71428571428571419</v>
      </c>
      <c r="I57" s="49">
        <f>'Avg Week MUBENDE-MITYANA'!I57+'Avg Week MITYANA-MUBENDE'!I57</f>
        <v>7.4285714285714288</v>
      </c>
      <c r="J57" s="49">
        <f>'Avg Week MUBENDE-MITYANA'!J57+'Avg Week MITYANA-MUBENDE'!J57</f>
        <v>5.1428571428571423</v>
      </c>
      <c r="K57" s="49">
        <f>'Avg Week MUBENDE-MITYANA'!K57+'Avg Week MITYANA-MUBENDE'!K57</f>
        <v>1</v>
      </c>
      <c r="L57" s="49">
        <f>'Avg Week MUBENDE-MITYANA'!L57+'Avg Week MITYANA-MUBENDE'!L57</f>
        <v>2.7142857142857144</v>
      </c>
      <c r="M57" s="49">
        <f>'Avg Week MUBENDE-MITYANA'!M57+'Avg Week MITYANA-MUBENDE'!M57</f>
        <v>108.28571428571428</v>
      </c>
      <c r="N57" s="49">
        <f>'Avg Week MUBENDE-MITYANA'!N57+'Avg Week MITYANA-MUBENDE'!N57</f>
        <v>0</v>
      </c>
      <c r="O57" s="15">
        <f t="shared" si="0"/>
        <v>69.285714285714292</v>
      </c>
      <c r="P57" s="15">
        <f t="shared" si="1"/>
        <v>177.57142857142856</v>
      </c>
      <c r="R57" s="8"/>
      <c r="T57"/>
    </row>
    <row r="58" spans="2:20" ht="23.1" customHeight="1" x14ac:dyDescent="0.25">
      <c r="B58" s="23" t="s">
        <v>99</v>
      </c>
      <c r="C58" s="49">
        <f>'Avg Week MUBENDE-MITYANA'!C58+'Avg Week MITYANA-MUBENDE'!C58</f>
        <v>24</v>
      </c>
      <c r="D58" s="49">
        <f>'Avg Week MUBENDE-MITYANA'!D58+'Avg Week MITYANA-MUBENDE'!D58</f>
        <v>12.5</v>
      </c>
      <c r="E58" s="49">
        <f>'Avg Week MUBENDE-MITYANA'!E58+'Avg Week MITYANA-MUBENDE'!E58</f>
        <v>6</v>
      </c>
      <c r="F58" s="49">
        <f>'Avg Week MUBENDE-MITYANA'!F58+'Avg Week MITYANA-MUBENDE'!F58</f>
        <v>15.5</v>
      </c>
      <c r="G58" s="49">
        <f>'Avg Week MUBENDE-MITYANA'!G58+'Avg Week MITYANA-MUBENDE'!G58</f>
        <v>0</v>
      </c>
      <c r="H58" s="49">
        <f>'Avg Week MUBENDE-MITYANA'!H58+'Avg Week MITYANA-MUBENDE'!H58</f>
        <v>0</v>
      </c>
      <c r="I58" s="49">
        <f>'Avg Week MUBENDE-MITYANA'!I58+'Avg Week MITYANA-MUBENDE'!I58</f>
        <v>8</v>
      </c>
      <c r="J58" s="49">
        <f>'Avg Week MUBENDE-MITYANA'!J58+'Avg Week MITYANA-MUBENDE'!J58</f>
        <v>5</v>
      </c>
      <c r="K58" s="49">
        <f>'Avg Week MUBENDE-MITYANA'!K58+'Avg Week MITYANA-MUBENDE'!K58</f>
        <v>1</v>
      </c>
      <c r="L58" s="49">
        <f>'Avg Week MUBENDE-MITYANA'!L58+'Avg Week MITYANA-MUBENDE'!L58</f>
        <v>1</v>
      </c>
      <c r="M58" s="49">
        <f>'Avg Week MUBENDE-MITYANA'!M58+'Avg Week MITYANA-MUBENDE'!M58</f>
        <v>87</v>
      </c>
      <c r="N58" s="49">
        <f>'Avg Week MUBENDE-MITYANA'!N58+'Avg Week MITYANA-MUBENDE'!N58</f>
        <v>0</v>
      </c>
      <c r="O58" s="15">
        <f t="shared" si="0"/>
        <v>73</v>
      </c>
      <c r="P58" s="15">
        <f t="shared" si="1"/>
        <v>160</v>
      </c>
      <c r="R58" s="8"/>
      <c r="T58"/>
    </row>
    <row r="59" spans="2:20" ht="23.1" customHeight="1" x14ac:dyDescent="0.25">
      <c r="B59" s="23" t="s">
        <v>100</v>
      </c>
      <c r="C59" s="49">
        <f>'Avg Week MUBENDE-MITYANA'!C59+'Avg Week MITYANA-MUBENDE'!C59</f>
        <v>21.5</v>
      </c>
      <c r="D59" s="49">
        <f>'Avg Week MUBENDE-MITYANA'!D59+'Avg Week MITYANA-MUBENDE'!D59</f>
        <v>6</v>
      </c>
      <c r="E59" s="49">
        <f>'Avg Week MUBENDE-MITYANA'!E59+'Avg Week MITYANA-MUBENDE'!E59</f>
        <v>5</v>
      </c>
      <c r="F59" s="49">
        <f>'Avg Week MUBENDE-MITYANA'!F59+'Avg Week MITYANA-MUBENDE'!F59</f>
        <v>14</v>
      </c>
      <c r="G59" s="49">
        <f>'Avg Week MUBENDE-MITYANA'!G59+'Avg Week MITYANA-MUBENDE'!G59</f>
        <v>0</v>
      </c>
      <c r="H59" s="49">
        <f>'Avg Week MUBENDE-MITYANA'!H59+'Avg Week MITYANA-MUBENDE'!H59</f>
        <v>1</v>
      </c>
      <c r="I59" s="49">
        <f>'Avg Week MUBENDE-MITYANA'!I59+'Avg Week MITYANA-MUBENDE'!I59</f>
        <v>9</v>
      </c>
      <c r="J59" s="49">
        <f>'Avg Week MUBENDE-MITYANA'!J59+'Avg Week MITYANA-MUBENDE'!J59</f>
        <v>4</v>
      </c>
      <c r="K59" s="49">
        <f>'Avg Week MUBENDE-MITYANA'!K59+'Avg Week MITYANA-MUBENDE'!K59</f>
        <v>3.5</v>
      </c>
      <c r="L59" s="49">
        <f>'Avg Week MUBENDE-MITYANA'!L59+'Avg Week MITYANA-MUBENDE'!L59</f>
        <v>2</v>
      </c>
      <c r="M59" s="49">
        <f>'Avg Week MUBENDE-MITYANA'!M59+'Avg Week MITYANA-MUBENDE'!M59</f>
        <v>67</v>
      </c>
      <c r="N59" s="49">
        <f>'Avg Week MUBENDE-MITYANA'!N59+'Avg Week MITYANA-MUBENDE'!N59</f>
        <v>0</v>
      </c>
      <c r="O59" s="15">
        <f t="shared" si="0"/>
        <v>66</v>
      </c>
      <c r="P59" s="15">
        <f t="shared" si="1"/>
        <v>133</v>
      </c>
      <c r="R59" s="8"/>
      <c r="T59"/>
    </row>
    <row r="60" spans="2:20" ht="23.1" customHeight="1" x14ac:dyDescent="0.25">
      <c r="B60" s="23" t="s">
        <v>101</v>
      </c>
      <c r="C60" s="49">
        <f>'Avg Week MUBENDE-MITYANA'!C60+'Avg Week MITYANA-MUBENDE'!C60</f>
        <v>14</v>
      </c>
      <c r="D60" s="49">
        <f>'Avg Week MUBENDE-MITYANA'!D60+'Avg Week MITYANA-MUBENDE'!D60</f>
        <v>2</v>
      </c>
      <c r="E60" s="49">
        <f>'Avg Week MUBENDE-MITYANA'!E60+'Avg Week MITYANA-MUBENDE'!E60</f>
        <v>2.5</v>
      </c>
      <c r="F60" s="49">
        <f>'Avg Week MUBENDE-MITYANA'!F60+'Avg Week MITYANA-MUBENDE'!F60</f>
        <v>13.5</v>
      </c>
      <c r="G60" s="49">
        <f>'Avg Week MUBENDE-MITYANA'!G60+'Avg Week MITYANA-MUBENDE'!G60</f>
        <v>0</v>
      </c>
      <c r="H60" s="49">
        <f>'Avg Week MUBENDE-MITYANA'!H60+'Avg Week MITYANA-MUBENDE'!H60</f>
        <v>0.5</v>
      </c>
      <c r="I60" s="49">
        <f>'Avg Week MUBENDE-MITYANA'!I60+'Avg Week MITYANA-MUBENDE'!I60</f>
        <v>6.5</v>
      </c>
      <c r="J60" s="49">
        <f>'Avg Week MUBENDE-MITYANA'!J60+'Avg Week MITYANA-MUBENDE'!J60</f>
        <v>5</v>
      </c>
      <c r="K60" s="49">
        <f>'Avg Week MUBENDE-MITYANA'!K60+'Avg Week MITYANA-MUBENDE'!K60</f>
        <v>2</v>
      </c>
      <c r="L60" s="49">
        <f>'Avg Week MUBENDE-MITYANA'!L60+'Avg Week MITYANA-MUBENDE'!L60</f>
        <v>1</v>
      </c>
      <c r="M60" s="49">
        <f>'Avg Week MUBENDE-MITYANA'!M60+'Avg Week MITYANA-MUBENDE'!M60</f>
        <v>70</v>
      </c>
      <c r="N60" s="49">
        <f>'Avg Week MUBENDE-MITYANA'!N60+'Avg Week MITYANA-MUBENDE'!N60</f>
        <v>0</v>
      </c>
      <c r="O60" s="15">
        <f t="shared" si="0"/>
        <v>47</v>
      </c>
      <c r="P60" s="15">
        <f t="shared" si="1"/>
        <v>117</v>
      </c>
      <c r="R60" s="8"/>
      <c r="T60"/>
    </row>
    <row r="61" spans="2:20" ht="23.1" customHeight="1" x14ac:dyDescent="0.25">
      <c r="B61" s="23" t="s">
        <v>102</v>
      </c>
      <c r="C61" s="49">
        <f>'Avg Week MUBENDE-MITYANA'!C61+'Avg Week MITYANA-MUBENDE'!C61</f>
        <v>18.5</v>
      </c>
      <c r="D61" s="49">
        <f>'Avg Week MUBENDE-MITYANA'!D61+'Avg Week MITYANA-MUBENDE'!D61</f>
        <v>6.5</v>
      </c>
      <c r="E61" s="49">
        <f>'Avg Week MUBENDE-MITYANA'!E61+'Avg Week MITYANA-MUBENDE'!E61</f>
        <v>5</v>
      </c>
      <c r="F61" s="49">
        <f>'Avg Week MUBENDE-MITYANA'!F61+'Avg Week MITYANA-MUBENDE'!F61</f>
        <v>8</v>
      </c>
      <c r="G61" s="49">
        <f>'Avg Week MUBENDE-MITYANA'!G61+'Avg Week MITYANA-MUBENDE'!G61</f>
        <v>0</v>
      </c>
      <c r="H61" s="49">
        <f>'Avg Week MUBENDE-MITYANA'!H61+'Avg Week MITYANA-MUBENDE'!H61</f>
        <v>0.5</v>
      </c>
      <c r="I61" s="49">
        <f>'Avg Week MUBENDE-MITYANA'!I61+'Avg Week MITYANA-MUBENDE'!I61</f>
        <v>5</v>
      </c>
      <c r="J61" s="49">
        <f>'Avg Week MUBENDE-MITYANA'!J61+'Avg Week MITYANA-MUBENDE'!J61</f>
        <v>3</v>
      </c>
      <c r="K61" s="49">
        <f>'Avg Week MUBENDE-MITYANA'!K61+'Avg Week MITYANA-MUBENDE'!K61</f>
        <v>5.5</v>
      </c>
      <c r="L61" s="49">
        <f>'Avg Week MUBENDE-MITYANA'!L61+'Avg Week MITYANA-MUBENDE'!L61</f>
        <v>0.5</v>
      </c>
      <c r="M61" s="49">
        <f>'Avg Week MUBENDE-MITYANA'!M61+'Avg Week MITYANA-MUBENDE'!M61</f>
        <v>57</v>
      </c>
      <c r="N61" s="49">
        <f>'Avg Week MUBENDE-MITYANA'!N61+'Avg Week MITYANA-MUBENDE'!N61</f>
        <v>0</v>
      </c>
      <c r="O61" s="15">
        <f t="shared" si="0"/>
        <v>52.5</v>
      </c>
      <c r="P61" s="15">
        <f t="shared" si="1"/>
        <v>109.5</v>
      </c>
      <c r="R61" s="8"/>
      <c r="T61"/>
    </row>
    <row r="62" spans="2:20" ht="23.1" customHeight="1" x14ac:dyDescent="0.25">
      <c r="B62" s="23" t="s">
        <v>107</v>
      </c>
      <c r="C62" s="49">
        <f>'Avg Week MUBENDE-MITYANA'!C62+'Avg Week MITYANA-MUBENDE'!C62</f>
        <v>14.5</v>
      </c>
      <c r="D62" s="49">
        <f>'Avg Week MUBENDE-MITYANA'!D62+'Avg Week MITYANA-MUBENDE'!D62</f>
        <v>7</v>
      </c>
      <c r="E62" s="49">
        <f>'Avg Week MUBENDE-MITYANA'!E62+'Avg Week MITYANA-MUBENDE'!E62</f>
        <v>5.5</v>
      </c>
      <c r="F62" s="49">
        <f>'Avg Week MUBENDE-MITYANA'!F62+'Avg Week MITYANA-MUBENDE'!F62</f>
        <v>10.5</v>
      </c>
      <c r="G62" s="49">
        <f>'Avg Week MUBENDE-MITYANA'!G62+'Avg Week MITYANA-MUBENDE'!G62</f>
        <v>0</v>
      </c>
      <c r="H62" s="49">
        <f>'Avg Week MUBENDE-MITYANA'!H62+'Avg Week MITYANA-MUBENDE'!H62</f>
        <v>1.5</v>
      </c>
      <c r="I62" s="49">
        <f>'Avg Week MUBENDE-MITYANA'!I62+'Avg Week MITYANA-MUBENDE'!I62</f>
        <v>7.5</v>
      </c>
      <c r="J62" s="49">
        <f>'Avg Week MUBENDE-MITYANA'!J62+'Avg Week MITYANA-MUBENDE'!J62</f>
        <v>7</v>
      </c>
      <c r="K62" s="49">
        <f>'Avg Week MUBENDE-MITYANA'!K62+'Avg Week MITYANA-MUBENDE'!K62</f>
        <v>4.5</v>
      </c>
      <c r="L62" s="49">
        <f>'Avg Week MUBENDE-MITYANA'!L62+'Avg Week MITYANA-MUBENDE'!L62</f>
        <v>1</v>
      </c>
      <c r="M62" s="49">
        <f>'Avg Week MUBENDE-MITYANA'!M62+'Avg Week MITYANA-MUBENDE'!M62</f>
        <v>55.5</v>
      </c>
      <c r="N62" s="49">
        <f>'Avg Week MUBENDE-MITYANA'!N62+'Avg Week MITYANA-MUBENDE'!N62</f>
        <v>0</v>
      </c>
      <c r="O62" s="15">
        <f t="shared" si="0"/>
        <v>59</v>
      </c>
      <c r="P62" s="15">
        <f t="shared" si="1"/>
        <v>114.5</v>
      </c>
      <c r="R62" s="8"/>
      <c r="T62"/>
    </row>
    <row r="63" spans="2:20" ht="23.1" customHeight="1" x14ac:dyDescent="0.25">
      <c r="B63" s="23" t="s">
        <v>108</v>
      </c>
      <c r="C63" s="49">
        <f>'Avg Week MUBENDE-MITYANA'!C63+'Avg Week MITYANA-MUBENDE'!C63</f>
        <v>13</v>
      </c>
      <c r="D63" s="49">
        <f>'Avg Week MUBENDE-MITYANA'!D63+'Avg Week MITYANA-MUBENDE'!D63</f>
        <v>4.5</v>
      </c>
      <c r="E63" s="49">
        <f>'Avg Week MUBENDE-MITYANA'!E63+'Avg Week MITYANA-MUBENDE'!E63</f>
        <v>3.5</v>
      </c>
      <c r="F63" s="49">
        <f>'Avg Week MUBENDE-MITYANA'!F63+'Avg Week MITYANA-MUBENDE'!F63</f>
        <v>11</v>
      </c>
      <c r="G63" s="49">
        <f>'Avg Week MUBENDE-MITYANA'!G63+'Avg Week MITYANA-MUBENDE'!G63</f>
        <v>1</v>
      </c>
      <c r="H63" s="49">
        <f>'Avg Week MUBENDE-MITYANA'!H63+'Avg Week MITYANA-MUBENDE'!H63</f>
        <v>0.5</v>
      </c>
      <c r="I63" s="49">
        <f>'Avg Week MUBENDE-MITYANA'!I63+'Avg Week MITYANA-MUBENDE'!I63</f>
        <v>6.5</v>
      </c>
      <c r="J63" s="49">
        <f>'Avg Week MUBENDE-MITYANA'!J63+'Avg Week MITYANA-MUBENDE'!J63</f>
        <v>9.5</v>
      </c>
      <c r="K63" s="49">
        <f>'Avg Week MUBENDE-MITYANA'!K63+'Avg Week MITYANA-MUBENDE'!K63</f>
        <v>3.5</v>
      </c>
      <c r="L63" s="49">
        <f>'Avg Week MUBENDE-MITYANA'!L63+'Avg Week MITYANA-MUBENDE'!L63</f>
        <v>3</v>
      </c>
      <c r="M63" s="49">
        <f>'Avg Week MUBENDE-MITYANA'!M63+'Avg Week MITYANA-MUBENDE'!M63</f>
        <v>65</v>
      </c>
      <c r="N63" s="49">
        <f>'Avg Week MUBENDE-MITYANA'!N63+'Avg Week MITYANA-MUBENDE'!N63</f>
        <v>0</v>
      </c>
      <c r="O63" s="15">
        <f t="shared" si="0"/>
        <v>56</v>
      </c>
      <c r="P63" s="15">
        <f t="shared" si="1"/>
        <v>121</v>
      </c>
      <c r="R63" s="8"/>
      <c r="T63"/>
    </row>
    <row r="64" spans="2:20" ht="23.1" customHeight="1" x14ac:dyDescent="0.25">
      <c r="B64" s="23" t="s">
        <v>109</v>
      </c>
      <c r="C64" s="49">
        <f>'Avg Week MUBENDE-MITYANA'!C64+'Avg Week MITYANA-MUBENDE'!C64</f>
        <v>12</v>
      </c>
      <c r="D64" s="49">
        <f>'Avg Week MUBENDE-MITYANA'!D64+'Avg Week MITYANA-MUBENDE'!D64</f>
        <v>5.5</v>
      </c>
      <c r="E64" s="49">
        <f>'Avg Week MUBENDE-MITYANA'!E64+'Avg Week MITYANA-MUBENDE'!E64</f>
        <v>3</v>
      </c>
      <c r="F64" s="49">
        <f>'Avg Week MUBENDE-MITYANA'!F64+'Avg Week MITYANA-MUBENDE'!F64</f>
        <v>8.5</v>
      </c>
      <c r="G64" s="49">
        <f>'Avg Week MUBENDE-MITYANA'!G64+'Avg Week MITYANA-MUBENDE'!G64</f>
        <v>0</v>
      </c>
      <c r="H64" s="49">
        <f>'Avg Week MUBENDE-MITYANA'!H64+'Avg Week MITYANA-MUBENDE'!H64</f>
        <v>0.5</v>
      </c>
      <c r="I64" s="49">
        <f>'Avg Week MUBENDE-MITYANA'!I64+'Avg Week MITYANA-MUBENDE'!I64</f>
        <v>3</v>
      </c>
      <c r="J64" s="49">
        <f>'Avg Week MUBENDE-MITYANA'!J64+'Avg Week MITYANA-MUBENDE'!J64</f>
        <v>3</v>
      </c>
      <c r="K64" s="49">
        <f>'Avg Week MUBENDE-MITYANA'!K64+'Avg Week MITYANA-MUBENDE'!K64</f>
        <v>3.5</v>
      </c>
      <c r="L64" s="49">
        <f>'Avg Week MUBENDE-MITYANA'!L64+'Avg Week MITYANA-MUBENDE'!L64</f>
        <v>3.5</v>
      </c>
      <c r="M64" s="49">
        <f>'Avg Week MUBENDE-MITYANA'!M64+'Avg Week MITYANA-MUBENDE'!M64</f>
        <v>51</v>
      </c>
      <c r="N64" s="49">
        <f>'Avg Week MUBENDE-MITYANA'!N64+'Avg Week MITYANA-MUBENDE'!N64</f>
        <v>0</v>
      </c>
      <c r="O64" s="15">
        <f t="shared" si="0"/>
        <v>42.5</v>
      </c>
      <c r="P64" s="15">
        <f t="shared" si="1"/>
        <v>93.5</v>
      </c>
      <c r="R64" s="8"/>
      <c r="T64"/>
    </row>
    <row r="65" spans="2:20" ht="23.1" customHeight="1" x14ac:dyDescent="0.25">
      <c r="B65" s="23" t="s">
        <v>158</v>
      </c>
      <c r="C65" s="49">
        <f>'Avg Week MUBENDE-MITYANA'!C65+'Avg Week MITYANA-MUBENDE'!C65</f>
        <v>11.5</v>
      </c>
      <c r="D65" s="49">
        <f>'Avg Week MUBENDE-MITYANA'!D65+'Avg Week MITYANA-MUBENDE'!D65</f>
        <v>4.5</v>
      </c>
      <c r="E65" s="49">
        <f>'Avg Week MUBENDE-MITYANA'!E65+'Avg Week MITYANA-MUBENDE'!E65</f>
        <v>3</v>
      </c>
      <c r="F65" s="49">
        <f>'Avg Week MUBENDE-MITYANA'!F65+'Avg Week MITYANA-MUBENDE'!F65</f>
        <v>9.5</v>
      </c>
      <c r="G65" s="49">
        <f>'Avg Week MUBENDE-MITYANA'!G65+'Avg Week MITYANA-MUBENDE'!G65</f>
        <v>1</v>
      </c>
      <c r="H65" s="49">
        <f>'Avg Week MUBENDE-MITYANA'!H65+'Avg Week MITYANA-MUBENDE'!H65</f>
        <v>0.5</v>
      </c>
      <c r="I65" s="49">
        <f>'Avg Week MUBENDE-MITYANA'!I65+'Avg Week MITYANA-MUBENDE'!I65</f>
        <v>9.5</v>
      </c>
      <c r="J65" s="49">
        <f>'Avg Week MUBENDE-MITYANA'!J65+'Avg Week MITYANA-MUBENDE'!J65</f>
        <v>8</v>
      </c>
      <c r="K65" s="49">
        <f>'Avg Week MUBENDE-MITYANA'!K65+'Avg Week MITYANA-MUBENDE'!K65</f>
        <v>1</v>
      </c>
      <c r="L65" s="49">
        <f>'Avg Week MUBENDE-MITYANA'!L65+'Avg Week MITYANA-MUBENDE'!L65</f>
        <v>4</v>
      </c>
      <c r="M65" s="49">
        <f>'Avg Week MUBENDE-MITYANA'!M65+'Avg Week MITYANA-MUBENDE'!M65</f>
        <v>38.5</v>
      </c>
      <c r="N65" s="49">
        <f>'Avg Week MUBENDE-MITYANA'!N65+'Avg Week MITYANA-MUBENDE'!N65</f>
        <v>0</v>
      </c>
      <c r="O65" s="15">
        <f t="shared" si="0"/>
        <v>52.5</v>
      </c>
      <c r="P65" s="15">
        <f t="shared" si="1"/>
        <v>91</v>
      </c>
      <c r="R65" s="8"/>
      <c r="T65"/>
    </row>
    <row r="66" spans="2:20" ht="23.1" customHeight="1" x14ac:dyDescent="0.25">
      <c r="B66" s="23" t="s">
        <v>103</v>
      </c>
      <c r="C66" s="49">
        <f>'Avg Week MUBENDE-MITYANA'!C66+'Avg Week MITYANA-MUBENDE'!C66</f>
        <v>12</v>
      </c>
      <c r="D66" s="49">
        <f>'Avg Week MUBENDE-MITYANA'!D66+'Avg Week MITYANA-MUBENDE'!D66</f>
        <v>2.5</v>
      </c>
      <c r="E66" s="49">
        <f>'Avg Week MUBENDE-MITYANA'!E66+'Avg Week MITYANA-MUBENDE'!E66</f>
        <v>2.5</v>
      </c>
      <c r="F66" s="49">
        <f>'Avg Week MUBENDE-MITYANA'!F66+'Avg Week MITYANA-MUBENDE'!F66</f>
        <v>5.5</v>
      </c>
      <c r="G66" s="49">
        <f>'Avg Week MUBENDE-MITYANA'!G66+'Avg Week MITYANA-MUBENDE'!G66</f>
        <v>0</v>
      </c>
      <c r="H66" s="49">
        <f>'Avg Week MUBENDE-MITYANA'!H66+'Avg Week MITYANA-MUBENDE'!H66</f>
        <v>0</v>
      </c>
      <c r="I66" s="49">
        <f>'Avg Week MUBENDE-MITYANA'!I66+'Avg Week MITYANA-MUBENDE'!I66</f>
        <v>6.5</v>
      </c>
      <c r="J66" s="49">
        <f>'Avg Week MUBENDE-MITYANA'!J66+'Avg Week MITYANA-MUBENDE'!J66</f>
        <v>11.5</v>
      </c>
      <c r="K66" s="49">
        <f>'Avg Week MUBENDE-MITYANA'!K66+'Avg Week MITYANA-MUBENDE'!K66</f>
        <v>1</v>
      </c>
      <c r="L66" s="49">
        <f>'Avg Week MUBENDE-MITYANA'!L66+'Avg Week MITYANA-MUBENDE'!L66</f>
        <v>0.5</v>
      </c>
      <c r="M66" s="49">
        <f>'Avg Week MUBENDE-MITYANA'!M66+'Avg Week MITYANA-MUBENDE'!M66</f>
        <v>42</v>
      </c>
      <c r="N66" s="49">
        <f>'Avg Week MUBENDE-MITYANA'!N66+'Avg Week MITYANA-MUBENDE'!N66</f>
        <v>0</v>
      </c>
      <c r="O66" s="15">
        <f t="shared" si="0"/>
        <v>42</v>
      </c>
      <c r="P66" s="15">
        <f t="shared" si="1"/>
        <v>84</v>
      </c>
      <c r="R66" s="8"/>
      <c r="T66"/>
    </row>
    <row r="67" spans="2:20" ht="23.1" customHeight="1" x14ac:dyDescent="0.25">
      <c r="B67" s="23" t="s">
        <v>104</v>
      </c>
      <c r="C67" s="49">
        <f>'Avg Week MUBENDE-MITYANA'!C67+'Avg Week MITYANA-MUBENDE'!C67</f>
        <v>15</v>
      </c>
      <c r="D67" s="49">
        <f>'Avg Week MUBENDE-MITYANA'!D67+'Avg Week MITYANA-MUBENDE'!D67</f>
        <v>1.5</v>
      </c>
      <c r="E67" s="49">
        <f>'Avg Week MUBENDE-MITYANA'!E67+'Avg Week MITYANA-MUBENDE'!E67</f>
        <v>4</v>
      </c>
      <c r="F67" s="49">
        <f>'Avg Week MUBENDE-MITYANA'!F67+'Avg Week MITYANA-MUBENDE'!F67</f>
        <v>16</v>
      </c>
      <c r="G67" s="49">
        <f>'Avg Week MUBENDE-MITYANA'!G67+'Avg Week MITYANA-MUBENDE'!G67</f>
        <v>0</v>
      </c>
      <c r="H67" s="49">
        <f>'Avg Week MUBENDE-MITYANA'!H67+'Avg Week MITYANA-MUBENDE'!H67</f>
        <v>0</v>
      </c>
      <c r="I67" s="49">
        <f>'Avg Week MUBENDE-MITYANA'!I67+'Avg Week MITYANA-MUBENDE'!I67</f>
        <v>8</v>
      </c>
      <c r="J67" s="49">
        <f>'Avg Week MUBENDE-MITYANA'!J67+'Avg Week MITYANA-MUBENDE'!J67</f>
        <v>7.5</v>
      </c>
      <c r="K67" s="49">
        <f>'Avg Week MUBENDE-MITYANA'!K67+'Avg Week MITYANA-MUBENDE'!K67</f>
        <v>5.5</v>
      </c>
      <c r="L67" s="49">
        <f>'Avg Week MUBENDE-MITYANA'!L67+'Avg Week MITYANA-MUBENDE'!L67</f>
        <v>0.5</v>
      </c>
      <c r="M67" s="49">
        <f>'Avg Week MUBENDE-MITYANA'!M67+'Avg Week MITYANA-MUBENDE'!M67</f>
        <v>43.5</v>
      </c>
      <c r="N67" s="49">
        <f>'Avg Week MUBENDE-MITYANA'!N67+'Avg Week MITYANA-MUBENDE'!N67</f>
        <v>0</v>
      </c>
      <c r="O67" s="15">
        <f t="shared" si="0"/>
        <v>58</v>
      </c>
      <c r="P67" s="15">
        <f t="shared" si="1"/>
        <v>101.5</v>
      </c>
      <c r="R67" s="8"/>
      <c r="T67"/>
    </row>
    <row r="68" spans="2:20" ht="23.1" customHeight="1" x14ac:dyDescent="0.25">
      <c r="B68" s="23" t="s">
        <v>105</v>
      </c>
      <c r="C68" s="49">
        <f>'Avg Week MUBENDE-MITYANA'!C68+'Avg Week MITYANA-MUBENDE'!C68</f>
        <v>6</v>
      </c>
      <c r="D68" s="49">
        <f>'Avg Week MUBENDE-MITYANA'!D68+'Avg Week MITYANA-MUBENDE'!D68</f>
        <v>2.5</v>
      </c>
      <c r="E68" s="49">
        <f>'Avg Week MUBENDE-MITYANA'!E68+'Avg Week MITYANA-MUBENDE'!E68</f>
        <v>2.5</v>
      </c>
      <c r="F68" s="49">
        <f>'Avg Week MUBENDE-MITYANA'!F68+'Avg Week MITYANA-MUBENDE'!F68</f>
        <v>10</v>
      </c>
      <c r="G68" s="49">
        <f>'Avg Week MUBENDE-MITYANA'!G68+'Avg Week MITYANA-MUBENDE'!G68</f>
        <v>0</v>
      </c>
      <c r="H68" s="49">
        <f>'Avg Week MUBENDE-MITYANA'!H68+'Avg Week MITYANA-MUBENDE'!H68</f>
        <v>0.5</v>
      </c>
      <c r="I68" s="49">
        <f>'Avg Week MUBENDE-MITYANA'!I68+'Avg Week MITYANA-MUBENDE'!I68</f>
        <v>4.5</v>
      </c>
      <c r="J68" s="49">
        <f>'Avg Week MUBENDE-MITYANA'!J68+'Avg Week MITYANA-MUBENDE'!J68</f>
        <v>2.5</v>
      </c>
      <c r="K68" s="49">
        <f>'Avg Week MUBENDE-MITYANA'!K68+'Avg Week MITYANA-MUBENDE'!K68</f>
        <v>2.5</v>
      </c>
      <c r="L68" s="49">
        <f>'Avg Week MUBENDE-MITYANA'!L68+'Avg Week MITYANA-MUBENDE'!L68</f>
        <v>2</v>
      </c>
      <c r="M68" s="49">
        <f>'Avg Week MUBENDE-MITYANA'!M68+'Avg Week MITYANA-MUBENDE'!M68</f>
        <v>31.5</v>
      </c>
      <c r="N68" s="49">
        <f>'Avg Week MUBENDE-MITYANA'!N68+'Avg Week MITYANA-MUBENDE'!N68</f>
        <v>0</v>
      </c>
      <c r="O68" s="15">
        <f t="shared" si="0"/>
        <v>33</v>
      </c>
      <c r="P68" s="15">
        <f t="shared" si="1"/>
        <v>64.5</v>
      </c>
      <c r="R68" s="8"/>
      <c r="T68"/>
    </row>
    <row r="69" spans="2:20" ht="23.1" customHeight="1" x14ac:dyDescent="0.25">
      <c r="B69" s="23" t="s">
        <v>106</v>
      </c>
      <c r="C69" s="49">
        <f>'Avg Week MUBENDE-MITYANA'!C69+'Avg Week MITYANA-MUBENDE'!C69</f>
        <v>8.5</v>
      </c>
      <c r="D69" s="49">
        <f>'Avg Week MUBENDE-MITYANA'!D69+'Avg Week MITYANA-MUBENDE'!D69</f>
        <v>3</v>
      </c>
      <c r="E69" s="49">
        <f>'Avg Week MUBENDE-MITYANA'!E69+'Avg Week MITYANA-MUBENDE'!E69</f>
        <v>3</v>
      </c>
      <c r="F69" s="49">
        <f>'Avg Week MUBENDE-MITYANA'!F69+'Avg Week MITYANA-MUBENDE'!F69</f>
        <v>5.5</v>
      </c>
      <c r="G69" s="49">
        <f>'Avg Week MUBENDE-MITYANA'!G69+'Avg Week MITYANA-MUBENDE'!G69</f>
        <v>0.5</v>
      </c>
      <c r="H69" s="49">
        <f>'Avg Week MUBENDE-MITYANA'!H69+'Avg Week MITYANA-MUBENDE'!H69</f>
        <v>0.5</v>
      </c>
      <c r="I69" s="49">
        <f>'Avg Week MUBENDE-MITYANA'!I69+'Avg Week MITYANA-MUBENDE'!I69</f>
        <v>6.5</v>
      </c>
      <c r="J69" s="49">
        <f>'Avg Week MUBENDE-MITYANA'!J69+'Avg Week MITYANA-MUBENDE'!J69</f>
        <v>8.5</v>
      </c>
      <c r="K69" s="49">
        <f>'Avg Week MUBENDE-MITYANA'!K69+'Avg Week MITYANA-MUBENDE'!K69</f>
        <v>6</v>
      </c>
      <c r="L69" s="49">
        <f>'Avg Week MUBENDE-MITYANA'!L69+'Avg Week MITYANA-MUBENDE'!L69</f>
        <v>3.5</v>
      </c>
      <c r="M69" s="49">
        <f>'Avg Week MUBENDE-MITYANA'!M69+'Avg Week MITYANA-MUBENDE'!M69</f>
        <v>34</v>
      </c>
      <c r="N69" s="49">
        <f>'Avg Week MUBENDE-MITYANA'!N69+'Avg Week MITYANA-MUBENDE'!N69</f>
        <v>0</v>
      </c>
      <c r="O69" s="15">
        <f t="shared" si="0"/>
        <v>45.5</v>
      </c>
      <c r="P69" s="15">
        <f t="shared" si="1"/>
        <v>79.5</v>
      </c>
      <c r="R69" s="8"/>
      <c r="T69"/>
    </row>
    <row r="70" spans="2:20" ht="23.1" customHeight="1" x14ac:dyDescent="0.25">
      <c r="B70" s="23" t="s">
        <v>110</v>
      </c>
      <c r="C70" s="49">
        <f>'Avg Week MUBENDE-MITYANA'!C70+'Avg Week MITYANA-MUBENDE'!C70</f>
        <v>8.5</v>
      </c>
      <c r="D70" s="49">
        <f>'Avg Week MUBENDE-MITYANA'!D70+'Avg Week MITYANA-MUBENDE'!D70</f>
        <v>5.5</v>
      </c>
      <c r="E70" s="49">
        <f>'Avg Week MUBENDE-MITYANA'!E70+'Avg Week MITYANA-MUBENDE'!E70</f>
        <v>1</v>
      </c>
      <c r="F70" s="49">
        <f>'Avg Week MUBENDE-MITYANA'!F70+'Avg Week MITYANA-MUBENDE'!F70</f>
        <v>8.5</v>
      </c>
      <c r="G70" s="49">
        <f>'Avg Week MUBENDE-MITYANA'!G70+'Avg Week MITYANA-MUBENDE'!G70</f>
        <v>0.5</v>
      </c>
      <c r="H70" s="49">
        <f>'Avg Week MUBENDE-MITYANA'!H70+'Avg Week MITYANA-MUBENDE'!H70</f>
        <v>1</v>
      </c>
      <c r="I70" s="49">
        <f>'Avg Week MUBENDE-MITYANA'!I70+'Avg Week MITYANA-MUBENDE'!I70</f>
        <v>4.5</v>
      </c>
      <c r="J70" s="49">
        <f>'Avg Week MUBENDE-MITYANA'!J70+'Avg Week MITYANA-MUBENDE'!J70</f>
        <v>5.5</v>
      </c>
      <c r="K70" s="49">
        <f>'Avg Week MUBENDE-MITYANA'!K70+'Avg Week MITYANA-MUBENDE'!K70</f>
        <v>2.5</v>
      </c>
      <c r="L70" s="49">
        <f>'Avg Week MUBENDE-MITYANA'!L70+'Avg Week MITYANA-MUBENDE'!L70</f>
        <v>0.5</v>
      </c>
      <c r="M70" s="49">
        <f>'Avg Week MUBENDE-MITYANA'!M70+'Avg Week MITYANA-MUBENDE'!M70</f>
        <v>21</v>
      </c>
      <c r="N70" s="49">
        <f>'Avg Week MUBENDE-MITYANA'!N70+'Avg Week MITYANA-MUBENDE'!N70</f>
        <v>0</v>
      </c>
      <c r="O70" s="15">
        <f t="shared" si="0"/>
        <v>38</v>
      </c>
      <c r="P70" s="15">
        <f t="shared" si="1"/>
        <v>59</v>
      </c>
      <c r="R70" s="8"/>
      <c r="T70"/>
    </row>
    <row r="71" spans="2:20" ht="23.1" customHeight="1" x14ac:dyDescent="0.25">
      <c r="B71" s="23" t="s">
        <v>111</v>
      </c>
      <c r="C71" s="49">
        <f>'Avg Week MUBENDE-MITYANA'!C71+'Avg Week MITYANA-MUBENDE'!C71</f>
        <v>13.5</v>
      </c>
      <c r="D71" s="49">
        <f>'Avg Week MUBENDE-MITYANA'!D71+'Avg Week MITYANA-MUBENDE'!D71</f>
        <v>3.5</v>
      </c>
      <c r="E71" s="49">
        <f>'Avg Week MUBENDE-MITYANA'!E71+'Avg Week MITYANA-MUBENDE'!E71</f>
        <v>3</v>
      </c>
      <c r="F71" s="49">
        <f>'Avg Week MUBENDE-MITYANA'!F71+'Avg Week MITYANA-MUBENDE'!F71</f>
        <v>4.5</v>
      </c>
      <c r="G71" s="49">
        <f>'Avg Week MUBENDE-MITYANA'!G71+'Avg Week MITYANA-MUBENDE'!G71</f>
        <v>0</v>
      </c>
      <c r="H71" s="49">
        <f>'Avg Week MUBENDE-MITYANA'!H71+'Avg Week MITYANA-MUBENDE'!H71</f>
        <v>0.5</v>
      </c>
      <c r="I71" s="49">
        <f>'Avg Week MUBENDE-MITYANA'!I71+'Avg Week MITYANA-MUBENDE'!I71</f>
        <v>7.5</v>
      </c>
      <c r="J71" s="49">
        <f>'Avg Week MUBENDE-MITYANA'!J71+'Avg Week MITYANA-MUBENDE'!J71</f>
        <v>8.5</v>
      </c>
      <c r="K71" s="49">
        <f>'Avg Week MUBENDE-MITYANA'!K71+'Avg Week MITYANA-MUBENDE'!K71</f>
        <v>2.5</v>
      </c>
      <c r="L71" s="49">
        <f>'Avg Week MUBENDE-MITYANA'!L71+'Avg Week MITYANA-MUBENDE'!L71</f>
        <v>2.5</v>
      </c>
      <c r="M71" s="49">
        <f>'Avg Week MUBENDE-MITYANA'!M71+'Avg Week MITYANA-MUBENDE'!M71</f>
        <v>19.5</v>
      </c>
      <c r="N71" s="49">
        <f>'Avg Week MUBENDE-MITYANA'!N71+'Avg Week MITYANA-MUBENDE'!N71</f>
        <v>0</v>
      </c>
      <c r="O71" s="15">
        <f t="shared" si="0"/>
        <v>46</v>
      </c>
      <c r="P71" s="15">
        <f t="shared" si="1"/>
        <v>65.5</v>
      </c>
      <c r="R71" s="8"/>
      <c r="T71"/>
    </row>
    <row r="72" spans="2:20" ht="23.1" customHeight="1" x14ac:dyDescent="0.25">
      <c r="B72" s="23" t="s">
        <v>112</v>
      </c>
      <c r="C72" s="49">
        <f>'Avg Week MUBENDE-MITYANA'!C72+'Avg Week MITYANA-MUBENDE'!C72</f>
        <v>5.5</v>
      </c>
      <c r="D72" s="49">
        <f>'Avg Week MUBENDE-MITYANA'!D72+'Avg Week MITYANA-MUBENDE'!D72</f>
        <v>1.5</v>
      </c>
      <c r="E72" s="49">
        <f>'Avg Week MUBENDE-MITYANA'!E72+'Avg Week MITYANA-MUBENDE'!E72</f>
        <v>1</v>
      </c>
      <c r="F72" s="49">
        <f>'Avg Week MUBENDE-MITYANA'!F72+'Avg Week MITYANA-MUBENDE'!F72</f>
        <v>7</v>
      </c>
      <c r="G72" s="49">
        <f>'Avg Week MUBENDE-MITYANA'!G72+'Avg Week MITYANA-MUBENDE'!G72</f>
        <v>0.5</v>
      </c>
      <c r="H72" s="49">
        <f>'Avg Week MUBENDE-MITYANA'!H72+'Avg Week MITYANA-MUBENDE'!H72</f>
        <v>0.5</v>
      </c>
      <c r="I72" s="49">
        <f>'Avg Week MUBENDE-MITYANA'!I72+'Avg Week MITYANA-MUBENDE'!I72</f>
        <v>5</v>
      </c>
      <c r="J72" s="49">
        <f>'Avg Week MUBENDE-MITYANA'!J72+'Avg Week MITYANA-MUBENDE'!J72</f>
        <v>4.5</v>
      </c>
      <c r="K72" s="49">
        <f>'Avg Week MUBENDE-MITYANA'!K72+'Avg Week MITYANA-MUBENDE'!K72</f>
        <v>2</v>
      </c>
      <c r="L72" s="49">
        <f>'Avg Week MUBENDE-MITYANA'!L72+'Avg Week MITYANA-MUBENDE'!L72</f>
        <v>1</v>
      </c>
      <c r="M72" s="49">
        <f>'Avg Week MUBENDE-MITYANA'!M72+'Avg Week MITYANA-MUBENDE'!M72</f>
        <v>24</v>
      </c>
      <c r="N72" s="49">
        <f>'Avg Week MUBENDE-MITYANA'!N72+'Avg Week MITYANA-MUBENDE'!N72</f>
        <v>0</v>
      </c>
      <c r="O72" s="15">
        <f t="shared" si="0"/>
        <v>28.5</v>
      </c>
      <c r="P72" s="15">
        <f t="shared" si="1"/>
        <v>52.5</v>
      </c>
      <c r="R72" s="8"/>
      <c r="T72"/>
    </row>
    <row r="73" spans="2:20" ht="23.1" customHeight="1" x14ac:dyDescent="0.25">
      <c r="B73" s="23" t="s">
        <v>113</v>
      </c>
      <c r="C73" s="49">
        <f>'Avg Week MUBENDE-MITYANA'!C73+'Avg Week MITYANA-MUBENDE'!C73</f>
        <v>4</v>
      </c>
      <c r="D73" s="49">
        <f>'Avg Week MUBENDE-MITYANA'!D73+'Avg Week MITYANA-MUBENDE'!D73</f>
        <v>3</v>
      </c>
      <c r="E73" s="49">
        <f>'Avg Week MUBENDE-MITYANA'!E73+'Avg Week MITYANA-MUBENDE'!E73</f>
        <v>1.5</v>
      </c>
      <c r="F73" s="49">
        <f>'Avg Week MUBENDE-MITYANA'!F73+'Avg Week MITYANA-MUBENDE'!F73</f>
        <v>7</v>
      </c>
      <c r="G73" s="49">
        <f>'Avg Week MUBENDE-MITYANA'!G73+'Avg Week MITYANA-MUBENDE'!G73</f>
        <v>0</v>
      </c>
      <c r="H73" s="49">
        <f>'Avg Week MUBENDE-MITYANA'!H73+'Avg Week MITYANA-MUBENDE'!H73</f>
        <v>0.5</v>
      </c>
      <c r="I73" s="49">
        <f>'Avg Week MUBENDE-MITYANA'!I73+'Avg Week MITYANA-MUBENDE'!I73</f>
        <v>5</v>
      </c>
      <c r="J73" s="49">
        <f>'Avg Week MUBENDE-MITYANA'!J73+'Avg Week MITYANA-MUBENDE'!J73</f>
        <v>6.5</v>
      </c>
      <c r="K73" s="49">
        <f>'Avg Week MUBENDE-MITYANA'!K73+'Avg Week MITYANA-MUBENDE'!K73</f>
        <v>2.5</v>
      </c>
      <c r="L73" s="49">
        <f>'Avg Week MUBENDE-MITYANA'!L73+'Avg Week MITYANA-MUBENDE'!L73</f>
        <v>2</v>
      </c>
      <c r="M73" s="49">
        <f>'Avg Week MUBENDE-MITYANA'!M73+'Avg Week MITYANA-MUBENDE'!M73</f>
        <v>14.5</v>
      </c>
      <c r="N73" s="49">
        <f>'Avg Week MUBENDE-MITYANA'!N73+'Avg Week MITYANA-MUBENDE'!N73</f>
        <v>0</v>
      </c>
      <c r="O73" s="15">
        <f t="shared" si="0"/>
        <v>32</v>
      </c>
      <c r="P73" s="15">
        <f t="shared" si="1"/>
        <v>46.5</v>
      </c>
      <c r="R73" s="8"/>
      <c r="T73"/>
    </row>
    <row r="74" spans="2:20" ht="23.1" customHeight="1" x14ac:dyDescent="0.25">
      <c r="B74" s="23" t="s">
        <v>114</v>
      </c>
      <c r="C74" s="49">
        <f>'Avg Week MUBENDE-MITYANA'!C74+'Avg Week MITYANA-MUBENDE'!C74</f>
        <v>7.5</v>
      </c>
      <c r="D74" s="49">
        <f>'Avg Week MUBENDE-MITYANA'!D74+'Avg Week MITYANA-MUBENDE'!D74</f>
        <v>1</v>
      </c>
      <c r="E74" s="49">
        <f>'Avg Week MUBENDE-MITYANA'!E74+'Avg Week MITYANA-MUBENDE'!E74</f>
        <v>0.5</v>
      </c>
      <c r="F74" s="49">
        <f>'Avg Week MUBENDE-MITYANA'!F74+'Avg Week MITYANA-MUBENDE'!F74</f>
        <v>5</v>
      </c>
      <c r="G74" s="49">
        <f>'Avg Week MUBENDE-MITYANA'!G74+'Avg Week MITYANA-MUBENDE'!G74</f>
        <v>0.5</v>
      </c>
      <c r="H74" s="49">
        <f>'Avg Week MUBENDE-MITYANA'!H74+'Avg Week MITYANA-MUBENDE'!H74</f>
        <v>0.5</v>
      </c>
      <c r="I74" s="49">
        <f>'Avg Week MUBENDE-MITYANA'!I74+'Avg Week MITYANA-MUBENDE'!I74</f>
        <v>5.5</v>
      </c>
      <c r="J74" s="49">
        <f>'Avg Week MUBENDE-MITYANA'!J74+'Avg Week MITYANA-MUBENDE'!J74</f>
        <v>2.5</v>
      </c>
      <c r="K74" s="49">
        <f>'Avg Week MUBENDE-MITYANA'!K74+'Avg Week MITYANA-MUBENDE'!K74</f>
        <v>3.5</v>
      </c>
      <c r="L74" s="49">
        <f>'Avg Week MUBENDE-MITYANA'!L74+'Avg Week MITYANA-MUBENDE'!L74</f>
        <v>3</v>
      </c>
      <c r="M74" s="49">
        <f>'Avg Week MUBENDE-MITYANA'!M74+'Avg Week MITYANA-MUBENDE'!M74</f>
        <v>21</v>
      </c>
      <c r="N74" s="49">
        <f>'Avg Week MUBENDE-MITYANA'!N74+'Avg Week MITYANA-MUBENDE'!N74</f>
        <v>0</v>
      </c>
      <c r="O74" s="15">
        <f t="shared" ref="O74:O105" si="35">SUM(C74:L74,N74)</f>
        <v>29.5</v>
      </c>
      <c r="P74" s="15">
        <f t="shared" ref="P74:P105" si="36">SUM(C74:N74)</f>
        <v>50.5</v>
      </c>
      <c r="R74" s="8"/>
      <c r="T74"/>
    </row>
    <row r="75" spans="2:20" ht="23.1" customHeight="1" x14ac:dyDescent="0.25">
      <c r="B75" s="23" t="s">
        <v>115</v>
      </c>
      <c r="C75" s="49">
        <f>'Avg Week MUBENDE-MITYANA'!C75+'Avg Week MITYANA-MUBENDE'!C75</f>
        <v>7.5</v>
      </c>
      <c r="D75" s="49">
        <f>'Avg Week MUBENDE-MITYANA'!D75+'Avg Week MITYANA-MUBENDE'!D75</f>
        <v>2</v>
      </c>
      <c r="E75" s="49">
        <f>'Avg Week MUBENDE-MITYANA'!E75+'Avg Week MITYANA-MUBENDE'!E75</f>
        <v>0.5</v>
      </c>
      <c r="F75" s="49">
        <f>'Avg Week MUBENDE-MITYANA'!F75+'Avg Week MITYANA-MUBENDE'!F75</f>
        <v>3</v>
      </c>
      <c r="G75" s="49">
        <f>'Avg Week MUBENDE-MITYANA'!G75+'Avg Week MITYANA-MUBENDE'!G75</f>
        <v>0.5</v>
      </c>
      <c r="H75" s="49">
        <f>'Avg Week MUBENDE-MITYANA'!H75+'Avg Week MITYANA-MUBENDE'!H75</f>
        <v>2.5</v>
      </c>
      <c r="I75" s="49">
        <f>'Avg Week MUBENDE-MITYANA'!I75+'Avg Week MITYANA-MUBENDE'!I75</f>
        <v>6</v>
      </c>
      <c r="J75" s="49">
        <f>'Avg Week MUBENDE-MITYANA'!J75+'Avg Week MITYANA-MUBENDE'!J75</f>
        <v>5</v>
      </c>
      <c r="K75" s="49">
        <f>'Avg Week MUBENDE-MITYANA'!K75+'Avg Week MITYANA-MUBENDE'!K75</f>
        <v>4.5</v>
      </c>
      <c r="L75" s="49">
        <f>'Avg Week MUBENDE-MITYANA'!L75+'Avg Week MITYANA-MUBENDE'!L75</f>
        <v>2.5</v>
      </c>
      <c r="M75" s="49">
        <f>'Avg Week MUBENDE-MITYANA'!M75+'Avg Week MITYANA-MUBENDE'!M75</f>
        <v>9</v>
      </c>
      <c r="N75" s="49">
        <f>'Avg Week MUBENDE-MITYANA'!N75+'Avg Week MITYANA-MUBENDE'!N75</f>
        <v>0</v>
      </c>
      <c r="O75" s="15">
        <f t="shared" si="35"/>
        <v>34</v>
      </c>
      <c r="P75" s="15">
        <f t="shared" si="36"/>
        <v>43</v>
      </c>
      <c r="R75" s="8"/>
      <c r="T75"/>
    </row>
    <row r="76" spans="2:20" ht="23.1" customHeight="1" x14ac:dyDescent="0.25">
      <c r="B76" s="23" t="s">
        <v>116</v>
      </c>
      <c r="C76" s="49">
        <f>'Avg Week MUBENDE-MITYANA'!C76+'Avg Week MITYANA-MUBENDE'!C76</f>
        <v>5</v>
      </c>
      <c r="D76" s="49">
        <f>'Avg Week MUBENDE-MITYANA'!D76+'Avg Week MITYANA-MUBENDE'!D76</f>
        <v>1</v>
      </c>
      <c r="E76" s="49">
        <f>'Avg Week MUBENDE-MITYANA'!E76+'Avg Week MITYANA-MUBENDE'!E76</f>
        <v>0</v>
      </c>
      <c r="F76" s="49">
        <f>'Avg Week MUBENDE-MITYANA'!F76+'Avg Week MITYANA-MUBENDE'!F76</f>
        <v>2</v>
      </c>
      <c r="G76" s="49">
        <f>'Avg Week MUBENDE-MITYANA'!G76+'Avg Week MITYANA-MUBENDE'!G76</f>
        <v>0.5</v>
      </c>
      <c r="H76" s="49">
        <f>'Avg Week MUBENDE-MITYANA'!H76+'Avg Week MITYANA-MUBENDE'!H76</f>
        <v>0</v>
      </c>
      <c r="I76" s="49">
        <f>'Avg Week MUBENDE-MITYANA'!I76+'Avg Week MITYANA-MUBENDE'!I76</f>
        <v>2.5</v>
      </c>
      <c r="J76" s="49">
        <f>'Avg Week MUBENDE-MITYANA'!J76+'Avg Week MITYANA-MUBENDE'!J76</f>
        <v>4.5</v>
      </c>
      <c r="K76" s="49">
        <f>'Avg Week MUBENDE-MITYANA'!K76+'Avg Week MITYANA-MUBENDE'!K76</f>
        <v>3.5</v>
      </c>
      <c r="L76" s="49">
        <f>'Avg Week MUBENDE-MITYANA'!L76+'Avg Week MITYANA-MUBENDE'!L76</f>
        <v>0.5</v>
      </c>
      <c r="M76" s="49">
        <f>'Avg Week MUBENDE-MITYANA'!M76+'Avg Week MITYANA-MUBENDE'!M76</f>
        <v>6</v>
      </c>
      <c r="N76" s="49">
        <f>'Avg Week MUBENDE-MITYANA'!N76+'Avg Week MITYANA-MUBENDE'!N76</f>
        <v>0</v>
      </c>
      <c r="O76" s="15">
        <f t="shared" si="35"/>
        <v>19.5</v>
      </c>
      <c r="P76" s="15">
        <f t="shared" si="36"/>
        <v>25.5</v>
      </c>
      <c r="R76" s="8"/>
      <c r="T76"/>
    </row>
    <row r="77" spans="2:20" ht="23.1" customHeight="1" x14ac:dyDescent="0.25">
      <c r="B77" s="23" t="s">
        <v>117</v>
      </c>
      <c r="C77" s="49">
        <f>'Avg Week MUBENDE-MITYANA'!C77+'Avg Week MITYANA-MUBENDE'!C77</f>
        <v>3.5</v>
      </c>
      <c r="D77" s="49">
        <f>'Avg Week MUBENDE-MITYANA'!D77+'Avg Week MITYANA-MUBENDE'!D77</f>
        <v>1.5</v>
      </c>
      <c r="E77" s="49">
        <f>'Avg Week MUBENDE-MITYANA'!E77+'Avg Week MITYANA-MUBENDE'!E77</f>
        <v>1</v>
      </c>
      <c r="F77" s="49">
        <f>'Avg Week MUBENDE-MITYANA'!F77+'Avg Week MITYANA-MUBENDE'!F77</f>
        <v>2</v>
      </c>
      <c r="G77" s="49">
        <f>'Avg Week MUBENDE-MITYANA'!G77+'Avg Week MITYANA-MUBENDE'!G77</f>
        <v>1</v>
      </c>
      <c r="H77" s="49">
        <f>'Avg Week MUBENDE-MITYANA'!H77+'Avg Week MITYANA-MUBENDE'!H77</f>
        <v>0.5</v>
      </c>
      <c r="I77" s="49">
        <f>'Avg Week MUBENDE-MITYANA'!I77+'Avg Week MITYANA-MUBENDE'!I77</f>
        <v>3.5</v>
      </c>
      <c r="J77" s="49">
        <f>'Avg Week MUBENDE-MITYANA'!J77+'Avg Week MITYANA-MUBENDE'!J77</f>
        <v>7.5</v>
      </c>
      <c r="K77" s="49">
        <f>'Avg Week MUBENDE-MITYANA'!K77+'Avg Week MITYANA-MUBENDE'!K77</f>
        <v>1</v>
      </c>
      <c r="L77" s="49">
        <f>'Avg Week MUBENDE-MITYANA'!L77+'Avg Week MITYANA-MUBENDE'!L77</f>
        <v>3</v>
      </c>
      <c r="M77" s="49">
        <f>'Avg Week MUBENDE-MITYANA'!M77+'Avg Week MITYANA-MUBENDE'!M77</f>
        <v>7</v>
      </c>
      <c r="N77" s="49">
        <f>'Avg Week MUBENDE-MITYANA'!N77+'Avg Week MITYANA-MUBENDE'!N77</f>
        <v>0</v>
      </c>
      <c r="O77" s="15">
        <f t="shared" si="35"/>
        <v>24.5</v>
      </c>
      <c r="P77" s="15">
        <f t="shared" si="36"/>
        <v>31.5</v>
      </c>
      <c r="R77" s="8"/>
      <c r="T77"/>
    </row>
    <row r="78" spans="2:20" ht="23.1" customHeight="1" x14ac:dyDescent="0.25">
      <c r="B78" s="24" t="s">
        <v>118</v>
      </c>
      <c r="C78" s="49">
        <f>'Avg Week MUBENDE-MITYANA'!C78+'Avg Week MITYANA-MUBENDE'!C78</f>
        <v>5.5</v>
      </c>
      <c r="D78" s="49">
        <f>'Avg Week MUBENDE-MITYANA'!D78+'Avg Week MITYANA-MUBENDE'!D78</f>
        <v>1.5</v>
      </c>
      <c r="E78" s="49">
        <f>'Avg Week MUBENDE-MITYANA'!E78+'Avg Week MITYANA-MUBENDE'!E78</f>
        <v>0</v>
      </c>
      <c r="F78" s="49">
        <f>'Avg Week MUBENDE-MITYANA'!F78+'Avg Week MITYANA-MUBENDE'!F78</f>
        <v>3</v>
      </c>
      <c r="G78" s="49">
        <f>'Avg Week MUBENDE-MITYANA'!G78+'Avg Week MITYANA-MUBENDE'!G78</f>
        <v>0</v>
      </c>
      <c r="H78" s="49">
        <f>'Avg Week MUBENDE-MITYANA'!H78+'Avg Week MITYANA-MUBENDE'!H78</f>
        <v>0</v>
      </c>
      <c r="I78" s="49">
        <f>'Avg Week MUBENDE-MITYANA'!I78+'Avg Week MITYANA-MUBENDE'!I78</f>
        <v>3.5</v>
      </c>
      <c r="J78" s="49">
        <f>'Avg Week MUBENDE-MITYANA'!J78+'Avg Week MITYANA-MUBENDE'!J78</f>
        <v>6.5</v>
      </c>
      <c r="K78" s="49">
        <f>'Avg Week MUBENDE-MITYANA'!K78+'Avg Week MITYANA-MUBENDE'!K78</f>
        <v>2</v>
      </c>
      <c r="L78" s="49">
        <f>'Avg Week MUBENDE-MITYANA'!L78+'Avg Week MITYANA-MUBENDE'!L78</f>
        <v>0.5</v>
      </c>
      <c r="M78" s="49">
        <f>'Avg Week MUBENDE-MITYANA'!M78+'Avg Week MITYANA-MUBENDE'!M78</f>
        <v>5</v>
      </c>
      <c r="N78" s="49">
        <f>'Avg Week MUBENDE-MITYANA'!N78+'Avg Week MITYANA-MUBENDE'!N78</f>
        <v>0</v>
      </c>
      <c r="O78" s="15">
        <f t="shared" si="35"/>
        <v>22.5</v>
      </c>
      <c r="P78" s="15">
        <f t="shared" si="36"/>
        <v>27.5</v>
      </c>
      <c r="R78" s="8"/>
      <c r="T78"/>
    </row>
    <row r="79" spans="2:20" ht="23.1" customHeight="1" x14ac:dyDescent="0.25">
      <c r="B79" s="23" t="s">
        <v>119</v>
      </c>
      <c r="C79" s="49">
        <f>'Avg Week MUBENDE-MITYANA'!C79+'Avg Week MITYANA-MUBENDE'!C79</f>
        <v>1</v>
      </c>
      <c r="D79" s="49">
        <f>'Avg Week MUBENDE-MITYANA'!D79+'Avg Week MITYANA-MUBENDE'!D79</f>
        <v>1</v>
      </c>
      <c r="E79" s="49">
        <f>'Avg Week MUBENDE-MITYANA'!E79+'Avg Week MITYANA-MUBENDE'!E79</f>
        <v>0</v>
      </c>
      <c r="F79" s="49">
        <f>'Avg Week MUBENDE-MITYANA'!F79+'Avg Week MITYANA-MUBENDE'!F79</f>
        <v>3.5</v>
      </c>
      <c r="G79" s="49">
        <f>'Avg Week MUBENDE-MITYANA'!G79+'Avg Week MITYANA-MUBENDE'!G79</f>
        <v>0</v>
      </c>
      <c r="H79" s="49">
        <f>'Avg Week MUBENDE-MITYANA'!H79+'Avg Week MITYANA-MUBENDE'!H79</f>
        <v>0.5</v>
      </c>
      <c r="I79" s="49">
        <f>'Avg Week MUBENDE-MITYANA'!I79+'Avg Week MITYANA-MUBENDE'!I79</f>
        <v>1.5</v>
      </c>
      <c r="J79" s="49">
        <f>'Avg Week MUBENDE-MITYANA'!J79+'Avg Week MITYANA-MUBENDE'!J79</f>
        <v>6.5</v>
      </c>
      <c r="K79" s="49">
        <f>'Avg Week MUBENDE-MITYANA'!K79+'Avg Week MITYANA-MUBENDE'!K79</f>
        <v>4</v>
      </c>
      <c r="L79" s="49">
        <f>'Avg Week MUBENDE-MITYANA'!L79+'Avg Week MITYANA-MUBENDE'!L79</f>
        <v>0</v>
      </c>
      <c r="M79" s="49">
        <f>'Avg Week MUBENDE-MITYANA'!M79+'Avg Week MITYANA-MUBENDE'!M79</f>
        <v>7</v>
      </c>
      <c r="N79" s="49">
        <f>'Avg Week MUBENDE-MITYANA'!N79+'Avg Week MITYANA-MUBENDE'!N79</f>
        <v>0</v>
      </c>
      <c r="O79" s="15">
        <f t="shared" si="35"/>
        <v>18</v>
      </c>
      <c r="P79" s="15">
        <f t="shared" si="36"/>
        <v>25</v>
      </c>
      <c r="R79" s="8"/>
      <c r="T79"/>
    </row>
    <row r="80" spans="2:20" ht="23.1" customHeight="1" x14ac:dyDescent="0.25">
      <c r="B80" s="25" t="s">
        <v>120</v>
      </c>
      <c r="C80" s="49">
        <f>'Avg Week MUBENDE-MITYANA'!C80+'Avg Week MITYANA-MUBENDE'!C80</f>
        <v>2.5</v>
      </c>
      <c r="D80" s="49">
        <f>'Avg Week MUBENDE-MITYANA'!D80+'Avg Week MITYANA-MUBENDE'!D80</f>
        <v>0.5</v>
      </c>
      <c r="E80" s="49">
        <f>'Avg Week MUBENDE-MITYANA'!E80+'Avg Week MITYANA-MUBENDE'!E80</f>
        <v>0.5</v>
      </c>
      <c r="F80" s="49">
        <f>'Avg Week MUBENDE-MITYANA'!F80+'Avg Week MITYANA-MUBENDE'!F80</f>
        <v>1</v>
      </c>
      <c r="G80" s="49">
        <f>'Avg Week MUBENDE-MITYANA'!G80+'Avg Week MITYANA-MUBENDE'!G80</f>
        <v>0</v>
      </c>
      <c r="H80" s="49">
        <f>'Avg Week MUBENDE-MITYANA'!H80+'Avg Week MITYANA-MUBENDE'!H80</f>
        <v>0</v>
      </c>
      <c r="I80" s="49">
        <f>'Avg Week MUBENDE-MITYANA'!I80+'Avg Week MITYANA-MUBENDE'!I80</f>
        <v>4</v>
      </c>
      <c r="J80" s="49">
        <f>'Avg Week MUBENDE-MITYANA'!J80+'Avg Week MITYANA-MUBENDE'!J80</f>
        <v>3.5</v>
      </c>
      <c r="K80" s="49">
        <f>'Avg Week MUBENDE-MITYANA'!K80+'Avg Week MITYANA-MUBENDE'!K80</f>
        <v>3</v>
      </c>
      <c r="L80" s="49">
        <f>'Avg Week MUBENDE-MITYANA'!L80+'Avg Week MITYANA-MUBENDE'!L80</f>
        <v>0.5</v>
      </c>
      <c r="M80" s="49">
        <f>'Avg Week MUBENDE-MITYANA'!M80+'Avg Week MITYANA-MUBENDE'!M80</f>
        <v>6.5</v>
      </c>
      <c r="N80" s="49">
        <f>'Avg Week MUBENDE-MITYANA'!N80+'Avg Week MITYANA-MUBENDE'!N80</f>
        <v>0</v>
      </c>
      <c r="O80" s="15">
        <f t="shared" si="35"/>
        <v>15.5</v>
      </c>
      <c r="P80" s="15">
        <f t="shared" si="36"/>
        <v>22</v>
      </c>
      <c r="R80" s="8"/>
      <c r="T80"/>
    </row>
    <row r="81" spans="2:20" ht="23.1" customHeight="1" x14ac:dyDescent="0.25">
      <c r="B81" s="23" t="s">
        <v>121</v>
      </c>
      <c r="C81" s="49">
        <f>'Avg Week MUBENDE-MITYANA'!C81+'Avg Week MITYANA-MUBENDE'!C81</f>
        <v>1.5</v>
      </c>
      <c r="D81" s="49">
        <f>'Avg Week MUBENDE-MITYANA'!D81+'Avg Week MITYANA-MUBENDE'!D81</f>
        <v>0</v>
      </c>
      <c r="E81" s="49">
        <f>'Avg Week MUBENDE-MITYANA'!E81+'Avg Week MITYANA-MUBENDE'!E81</f>
        <v>1</v>
      </c>
      <c r="F81" s="49">
        <f>'Avg Week MUBENDE-MITYANA'!F81+'Avg Week MITYANA-MUBENDE'!F81</f>
        <v>0</v>
      </c>
      <c r="G81" s="49">
        <f>'Avg Week MUBENDE-MITYANA'!G81+'Avg Week MITYANA-MUBENDE'!G81</f>
        <v>1</v>
      </c>
      <c r="H81" s="49">
        <f>'Avg Week MUBENDE-MITYANA'!H81+'Avg Week MITYANA-MUBENDE'!H81</f>
        <v>0</v>
      </c>
      <c r="I81" s="49">
        <f>'Avg Week MUBENDE-MITYANA'!I81+'Avg Week MITYANA-MUBENDE'!I81</f>
        <v>3.5</v>
      </c>
      <c r="J81" s="49">
        <f>'Avg Week MUBENDE-MITYANA'!J81+'Avg Week MITYANA-MUBENDE'!J81</f>
        <v>1.5</v>
      </c>
      <c r="K81" s="49">
        <f>'Avg Week MUBENDE-MITYANA'!K81+'Avg Week MITYANA-MUBENDE'!K81</f>
        <v>2.5</v>
      </c>
      <c r="L81" s="49">
        <f>'Avg Week MUBENDE-MITYANA'!L81+'Avg Week MITYANA-MUBENDE'!L81</f>
        <v>0</v>
      </c>
      <c r="M81" s="49">
        <f>'Avg Week MUBENDE-MITYANA'!M81+'Avg Week MITYANA-MUBENDE'!M81</f>
        <v>0.5</v>
      </c>
      <c r="N81" s="49">
        <f>'Avg Week MUBENDE-MITYANA'!N81+'Avg Week MITYANA-MUBENDE'!N81</f>
        <v>0</v>
      </c>
      <c r="O81" s="15">
        <f t="shared" si="35"/>
        <v>11</v>
      </c>
      <c r="P81" s="15">
        <f t="shared" si="36"/>
        <v>11.5</v>
      </c>
      <c r="R81" s="8"/>
      <c r="T81"/>
    </row>
    <row r="82" spans="2:20" ht="23.1" customHeight="1" x14ac:dyDescent="0.25">
      <c r="B82" s="24" t="s">
        <v>122</v>
      </c>
      <c r="C82" s="49">
        <f>'Avg Week MUBENDE-MITYANA'!C82+'Avg Week MITYANA-MUBENDE'!C82</f>
        <v>2</v>
      </c>
      <c r="D82" s="49">
        <f>'Avg Week MUBENDE-MITYANA'!D82+'Avg Week MITYANA-MUBENDE'!D82</f>
        <v>0.5</v>
      </c>
      <c r="E82" s="49">
        <f>'Avg Week MUBENDE-MITYANA'!E82+'Avg Week MITYANA-MUBENDE'!E82</f>
        <v>0.5</v>
      </c>
      <c r="F82" s="49">
        <f>'Avg Week MUBENDE-MITYANA'!F82+'Avg Week MITYANA-MUBENDE'!F82</f>
        <v>1</v>
      </c>
      <c r="G82" s="49">
        <f>'Avg Week MUBENDE-MITYANA'!G82+'Avg Week MITYANA-MUBENDE'!G82</f>
        <v>0</v>
      </c>
      <c r="H82" s="49">
        <f>'Avg Week MUBENDE-MITYANA'!H82+'Avg Week MITYANA-MUBENDE'!H82</f>
        <v>0.5</v>
      </c>
      <c r="I82" s="49">
        <f>'Avg Week MUBENDE-MITYANA'!I82+'Avg Week MITYANA-MUBENDE'!I82</f>
        <v>5</v>
      </c>
      <c r="J82" s="49">
        <f>'Avg Week MUBENDE-MITYANA'!J82+'Avg Week MITYANA-MUBENDE'!J82</f>
        <v>2.5</v>
      </c>
      <c r="K82" s="49">
        <f>'Avg Week MUBENDE-MITYANA'!K82+'Avg Week MITYANA-MUBENDE'!K82</f>
        <v>2</v>
      </c>
      <c r="L82" s="49">
        <f>'Avg Week MUBENDE-MITYANA'!L82+'Avg Week MITYANA-MUBENDE'!L82</f>
        <v>2.5</v>
      </c>
      <c r="M82" s="49">
        <f>'Avg Week MUBENDE-MITYANA'!M82+'Avg Week MITYANA-MUBENDE'!M82</f>
        <v>0</v>
      </c>
      <c r="N82" s="49">
        <f>'Avg Week MUBENDE-MITYANA'!N82+'Avg Week MITYANA-MUBENDE'!N82</f>
        <v>0</v>
      </c>
      <c r="O82" s="15">
        <f t="shared" si="35"/>
        <v>16.5</v>
      </c>
      <c r="P82" s="15">
        <f t="shared" si="36"/>
        <v>16.5</v>
      </c>
      <c r="R82" s="8"/>
      <c r="T82"/>
    </row>
    <row r="83" spans="2:20" ht="23.1" customHeight="1" x14ac:dyDescent="0.25">
      <c r="B83" s="23" t="s">
        <v>123</v>
      </c>
      <c r="C83" s="49">
        <f>'Avg Week MUBENDE-MITYANA'!C83+'Avg Week MITYANA-MUBENDE'!C83</f>
        <v>1</v>
      </c>
      <c r="D83" s="49">
        <f>'Avg Week MUBENDE-MITYANA'!D83+'Avg Week MITYANA-MUBENDE'!D83</f>
        <v>0</v>
      </c>
      <c r="E83" s="49">
        <f>'Avg Week MUBENDE-MITYANA'!E83+'Avg Week MITYANA-MUBENDE'!E83</f>
        <v>0.5</v>
      </c>
      <c r="F83" s="49">
        <f>'Avg Week MUBENDE-MITYANA'!F83+'Avg Week MITYANA-MUBENDE'!F83</f>
        <v>2</v>
      </c>
      <c r="G83" s="49">
        <f>'Avg Week MUBENDE-MITYANA'!G83+'Avg Week MITYANA-MUBENDE'!G83</f>
        <v>0.5</v>
      </c>
      <c r="H83" s="49">
        <f>'Avg Week MUBENDE-MITYANA'!H83+'Avg Week MITYANA-MUBENDE'!H83</f>
        <v>0</v>
      </c>
      <c r="I83" s="49">
        <f>'Avg Week MUBENDE-MITYANA'!I83+'Avg Week MITYANA-MUBENDE'!I83</f>
        <v>4</v>
      </c>
      <c r="J83" s="49">
        <f>'Avg Week MUBENDE-MITYANA'!J83+'Avg Week MITYANA-MUBENDE'!J83</f>
        <v>4.5</v>
      </c>
      <c r="K83" s="49">
        <f>'Avg Week MUBENDE-MITYANA'!K83+'Avg Week MITYANA-MUBENDE'!K83</f>
        <v>1.5</v>
      </c>
      <c r="L83" s="49">
        <f>'Avg Week MUBENDE-MITYANA'!L83+'Avg Week MITYANA-MUBENDE'!L83</f>
        <v>1.5</v>
      </c>
      <c r="M83" s="49">
        <f>'Avg Week MUBENDE-MITYANA'!M83+'Avg Week MITYANA-MUBENDE'!M83</f>
        <v>2</v>
      </c>
      <c r="N83" s="49">
        <f>'Avg Week MUBENDE-MITYANA'!N83+'Avg Week MITYANA-MUBENDE'!N83</f>
        <v>0</v>
      </c>
      <c r="O83" s="15">
        <f t="shared" si="35"/>
        <v>15.5</v>
      </c>
      <c r="P83" s="15">
        <f t="shared" si="36"/>
        <v>17.5</v>
      </c>
      <c r="R83" s="8"/>
      <c r="T83"/>
    </row>
    <row r="84" spans="2:20" ht="23.1" customHeight="1" x14ac:dyDescent="0.25">
      <c r="B84" s="25" t="s">
        <v>124</v>
      </c>
      <c r="C84" s="49">
        <f>'Avg Week MUBENDE-MITYANA'!C84+'Avg Week MITYANA-MUBENDE'!C84</f>
        <v>1</v>
      </c>
      <c r="D84" s="49">
        <f>'Avg Week MUBENDE-MITYANA'!D84+'Avg Week MITYANA-MUBENDE'!D84</f>
        <v>0.5</v>
      </c>
      <c r="E84" s="49">
        <f>'Avg Week MUBENDE-MITYANA'!E84+'Avg Week MITYANA-MUBENDE'!E84</f>
        <v>1</v>
      </c>
      <c r="F84" s="49">
        <f>'Avg Week MUBENDE-MITYANA'!F84+'Avg Week MITYANA-MUBENDE'!F84</f>
        <v>1</v>
      </c>
      <c r="G84" s="49">
        <f>'Avg Week MUBENDE-MITYANA'!G84+'Avg Week MITYANA-MUBENDE'!G84</f>
        <v>0.5</v>
      </c>
      <c r="H84" s="49">
        <f>'Avg Week MUBENDE-MITYANA'!H84+'Avg Week MITYANA-MUBENDE'!H84</f>
        <v>0.5</v>
      </c>
      <c r="I84" s="49">
        <f>'Avg Week MUBENDE-MITYANA'!I84+'Avg Week MITYANA-MUBENDE'!I84</f>
        <v>2</v>
      </c>
      <c r="J84" s="49">
        <f>'Avg Week MUBENDE-MITYANA'!J84+'Avg Week MITYANA-MUBENDE'!J84</f>
        <v>7.5</v>
      </c>
      <c r="K84" s="49">
        <f>'Avg Week MUBENDE-MITYANA'!K84+'Avg Week MITYANA-MUBENDE'!K84</f>
        <v>0.5</v>
      </c>
      <c r="L84" s="49">
        <f>'Avg Week MUBENDE-MITYANA'!L84+'Avg Week MITYANA-MUBENDE'!L84</f>
        <v>2.5</v>
      </c>
      <c r="M84" s="49">
        <f>'Avg Week MUBENDE-MITYANA'!M84+'Avg Week MITYANA-MUBENDE'!M84</f>
        <v>3.5</v>
      </c>
      <c r="N84" s="49">
        <f>'Avg Week MUBENDE-MITYANA'!N84+'Avg Week MITYANA-MUBENDE'!N84</f>
        <v>0</v>
      </c>
      <c r="O84" s="15">
        <f t="shared" si="35"/>
        <v>17</v>
      </c>
      <c r="P84" s="15">
        <f t="shared" si="36"/>
        <v>20.5</v>
      </c>
      <c r="R84" s="8"/>
      <c r="T84"/>
    </row>
    <row r="85" spans="2:20" ht="23.1" customHeight="1" x14ac:dyDescent="0.25">
      <c r="B85" s="23" t="s">
        <v>125</v>
      </c>
      <c r="C85" s="49">
        <f>'Avg Week MUBENDE-MITYANA'!C85+'Avg Week MITYANA-MUBENDE'!C85</f>
        <v>0</v>
      </c>
      <c r="D85" s="49">
        <f>'Avg Week MUBENDE-MITYANA'!D85+'Avg Week MITYANA-MUBENDE'!D85</f>
        <v>1</v>
      </c>
      <c r="E85" s="49">
        <f>'Avg Week MUBENDE-MITYANA'!E85+'Avg Week MITYANA-MUBENDE'!E85</f>
        <v>0</v>
      </c>
      <c r="F85" s="49">
        <f>'Avg Week MUBENDE-MITYANA'!F85+'Avg Week MITYANA-MUBENDE'!F85</f>
        <v>1</v>
      </c>
      <c r="G85" s="49">
        <f>'Avg Week MUBENDE-MITYANA'!G85+'Avg Week MITYANA-MUBENDE'!G85</f>
        <v>0</v>
      </c>
      <c r="H85" s="49">
        <f>'Avg Week MUBENDE-MITYANA'!H85+'Avg Week MITYANA-MUBENDE'!H85</f>
        <v>1</v>
      </c>
      <c r="I85" s="49">
        <f>'Avg Week MUBENDE-MITYANA'!I85+'Avg Week MITYANA-MUBENDE'!I85</f>
        <v>5</v>
      </c>
      <c r="J85" s="49">
        <f>'Avg Week MUBENDE-MITYANA'!J85+'Avg Week MITYANA-MUBENDE'!J85</f>
        <v>3</v>
      </c>
      <c r="K85" s="49">
        <f>'Avg Week MUBENDE-MITYANA'!K85+'Avg Week MITYANA-MUBENDE'!K85</f>
        <v>1</v>
      </c>
      <c r="L85" s="49">
        <f>'Avg Week MUBENDE-MITYANA'!L85+'Avg Week MITYANA-MUBENDE'!L85</f>
        <v>1.5</v>
      </c>
      <c r="M85" s="49">
        <f>'Avg Week MUBENDE-MITYANA'!M85+'Avg Week MITYANA-MUBENDE'!M85</f>
        <v>3</v>
      </c>
      <c r="N85" s="49">
        <f>'Avg Week MUBENDE-MITYANA'!N85+'Avg Week MITYANA-MUBENDE'!N85</f>
        <v>0</v>
      </c>
      <c r="O85" s="15">
        <f t="shared" si="35"/>
        <v>13.5</v>
      </c>
      <c r="P85" s="15">
        <f t="shared" si="36"/>
        <v>16.5</v>
      </c>
      <c r="R85" s="8"/>
      <c r="T85"/>
    </row>
    <row r="86" spans="2:20" ht="23.1" customHeight="1" x14ac:dyDescent="0.25">
      <c r="B86" s="24" t="s">
        <v>126</v>
      </c>
      <c r="C86" s="49">
        <f>'Avg Week MUBENDE-MITYANA'!C86+'Avg Week MITYANA-MUBENDE'!C86</f>
        <v>1</v>
      </c>
      <c r="D86" s="49">
        <f>'Avg Week MUBENDE-MITYANA'!D86+'Avg Week MITYANA-MUBENDE'!D86</f>
        <v>0</v>
      </c>
      <c r="E86" s="49">
        <f>'Avg Week MUBENDE-MITYANA'!E86+'Avg Week MITYANA-MUBENDE'!E86</f>
        <v>0</v>
      </c>
      <c r="F86" s="49">
        <f>'Avg Week MUBENDE-MITYANA'!F86+'Avg Week MITYANA-MUBENDE'!F86</f>
        <v>1</v>
      </c>
      <c r="G86" s="49">
        <f>'Avg Week MUBENDE-MITYANA'!G86+'Avg Week MITYANA-MUBENDE'!G86</f>
        <v>0.5</v>
      </c>
      <c r="H86" s="49">
        <f>'Avg Week MUBENDE-MITYANA'!H86+'Avg Week MITYANA-MUBENDE'!H86</f>
        <v>0</v>
      </c>
      <c r="I86" s="49">
        <f>'Avg Week MUBENDE-MITYANA'!I86+'Avg Week MITYANA-MUBENDE'!I86</f>
        <v>1.5</v>
      </c>
      <c r="J86" s="49">
        <f>'Avg Week MUBENDE-MITYANA'!J86+'Avg Week MITYANA-MUBENDE'!J86</f>
        <v>7</v>
      </c>
      <c r="K86" s="49">
        <f>'Avg Week MUBENDE-MITYANA'!K86+'Avg Week MITYANA-MUBENDE'!K86</f>
        <v>1</v>
      </c>
      <c r="L86" s="49">
        <f>'Avg Week MUBENDE-MITYANA'!L86+'Avg Week MITYANA-MUBENDE'!L86</f>
        <v>0.5</v>
      </c>
      <c r="M86" s="49">
        <f>'Avg Week MUBENDE-MITYANA'!M86+'Avg Week MITYANA-MUBENDE'!M86</f>
        <v>1</v>
      </c>
      <c r="N86" s="49">
        <f>'Avg Week MUBENDE-MITYANA'!N86+'Avg Week MITYANA-MUBENDE'!N86</f>
        <v>0</v>
      </c>
      <c r="O86" s="15">
        <f t="shared" si="35"/>
        <v>12.5</v>
      </c>
      <c r="P86" s="15">
        <f t="shared" si="36"/>
        <v>13.5</v>
      </c>
      <c r="R86" s="8"/>
      <c r="T86"/>
    </row>
    <row r="87" spans="2:20" ht="23.1" customHeight="1" x14ac:dyDescent="0.25">
      <c r="B87" s="23" t="s">
        <v>127</v>
      </c>
      <c r="C87" s="49">
        <f>'Avg Week MUBENDE-MITYANA'!C87+'Avg Week MITYANA-MUBENDE'!C87</f>
        <v>0</v>
      </c>
      <c r="D87" s="49">
        <f>'Avg Week MUBENDE-MITYANA'!D87+'Avg Week MITYANA-MUBENDE'!D87</f>
        <v>0.5</v>
      </c>
      <c r="E87" s="49">
        <f>'Avg Week MUBENDE-MITYANA'!E87+'Avg Week MITYANA-MUBENDE'!E87</f>
        <v>0</v>
      </c>
      <c r="F87" s="49">
        <f>'Avg Week MUBENDE-MITYANA'!F87+'Avg Week MITYANA-MUBENDE'!F87</f>
        <v>1</v>
      </c>
      <c r="G87" s="49">
        <f>'Avg Week MUBENDE-MITYANA'!G87+'Avg Week MITYANA-MUBENDE'!G87</f>
        <v>0.5</v>
      </c>
      <c r="H87" s="49">
        <f>'Avg Week MUBENDE-MITYANA'!H87+'Avg Week MITYANA-MUBENDE'!H87</f>
        <v>0</v>
      </c>
      <c r="I87" s="49">
        <f>'Avg Week MUBENDE-MITYANA'!I87+'Avg Week MITYANA-MUBENDE'!I87</f>
        <v>4</v>
      </c>
      <c r="J87" s="49">
        <f>'Avg Week MUBENDE-MITYANA'!J87+'Avg Week MITYANA-MUBENDE'!J87</f>
        <v>6.5</v>
      </c>
      <c r="K87" s="49">
        <f>'Avg Week MUBENDE-MITYANA'!K87+'Avg Week MITYANA-MUBENDE'!K87</f>
        <v>0.5</v>
      </c>
      <c r="L87" s="49">
        <f>'Avg Week MUBENDE-MITYANA'!L87+'Avg Week MITYANA-MUBENDE'!L87</f>
        <v>1</v>
      </c>
      <c r="M87" s="49">
        <f>'Avg Week MUBENDE-MITYANA'!M87+'Avg Week MITYANA-MUBENDE'!M87</f>
        <v>8.5</v>
      </c>
      <c r="N87" s="49">
        <f>'Avg Week MUBENDE-MITYANA'!N87+'Avg Week MITYANA-MUBENDE'!N87</f>
        <v>0</v>
      </c>
      <c r="O87" s="15">
        <f t="shared" si="35"/>
        <v>14</v>
      </c>
      <c r="P87" s="15">
        <f t="shared" si="36"/>
        <v>22.5</v>
      </c>
      <c r="R87" s="8"/>
      <c r="T87"/>
    </row>
    <row r="88" spans="2:20" ht="23.1" customHeight="1" x14ac:dyDescent="0.25">
      <c r="B88" s="25" t="s">
        <v>128</v>
      </c>
      <c r="C88" s="49">
        <f>'Avg Week MUBENDE-MITYANA'!C88+'Avg Week MITYANA-MUBENDE'!C88</f>
        <v>1</v>
      </c>
      <c r="D88" s="49">
        <f>'Avg Week MUBENDE-MITYANA'!D88+'Avg Week MITYANA-MUBENDE'!D88</f>
        <v>0.5</v>
      </c>
      <c r="E88" s="49">
        <f>'Avg Week MUBENDE-MITYANA'!E88+'Avg Week MITYANA-MUBENDE'!E88</f>
        <v>0.5</v>
      </c>
      <c r="F88" s="49">
        <f>'Avg Week MUBENDE-MITYANA'!F88+'Avg Week MITYANA-MUBENDE'!F88</f>
        <v>0.5</v>
      </c>
      <c r="G88" s="49">
        <f>'Avg Week MUBENDE-MITYANA'!G88+'Avg Week MITYANA-MUBENDE'!G88</f>
        <v>0</v>
      </c>
      <c r="H88" s="49">
        <f>'Avg Week MUBENDE-MITYANA'!H88+'Avg Week MITYANA-MUBENDE'!H88</f>
        <v>0.5</v>
      </c>
      <c r="I88" s="49">
        <f>'Avg Week MUBENDE-MITYANA'!I88+'Avg Week MITYANA-MUBENDE'!I88</f>
        <v>2</v>
      </c>
      <c r="J88" s="49">
        <f>'Avg Week MUBENDE-MITYANA'!J88+'Avg Week MITYANA-MUBENDE'!J88</f>
        <v>3</v>
      </c>
      <c r="K88" s="49">
        <f>'Avg Week MUBENDE-MITYANA'!K88+'Avg Week MITYANA-MUBENDE'!K88</f>
        <v>1</v>
      </c>
      <c r="L88" s="49">
        <f>'Avg Week MUBENDE-MITYANA'!L88+'Avg Week MITYANA-MUBENDE'!L88</f>
        <v>1.5</v>
      </c>
      <c r="M88" s="49">
        <f>'Avg Week MUBENDE-MITYANA'!M88+'Avg Week MITYANA-MUBENDE'!M88</f>
        <v>1</v>
      </c>
      <c r="N88" s="49">
        <f>'Avg Week MUBENDE-MITYANA'!N88+'Avg Week MITYANA-MUBENDE'!N88</f>
        <v>0</v>
      </c>
      <c r="O88" s="15">
        <f t="shared" si="35"/>
        <v>10.5</v>
      </c>
      <c r="P88" s="15">
        <f t="shared" si="36"/>
        <v>11.5</v>
      </c>
      <c r="R88" s="8"/>
      <c r="T88"/>
    </row>
    <row r="89" spans="2:20" ht="23.1" customHeight="1" x14ac:dyDescent="0.25">
      <c r="B89" s="23" t="s">
        <v>129</v>
      </c>
      <c r="C89" s="49">
        <f>'Avg Week MUBENDE-MITYANA'!C89+'Avg Week MITYANA-MUBENDE'!C89</f>
        <v>0</v>
      </c>
      <c r="D89" s="49">
        <f>'Avg Week MUBENDE-MITYANA'!D89+'Avg Week MITYANA-MUBENDE'!D89</f>
        <v>0</v>
      </c>
      <c r="E89" s="49">
        <f>'Avg Week MUBENDE-MITYANA'!E89+'Avg Week MITYANA-MUBENDE'!E89</f>
        <v>0</v>
      </c>
      <c r="F89" s="49">
        <f>'Avg Week MUBENDE-MITYANA'!F89+'Avg Week MITYANA-MUBENDE'!F89</f>
        <v>0.5</v>
      </c>
      <c r="G89" s="49">
        <f>'Avg Week MUBENDE-MITYANA'!G89+'Avg Week MITYANA-MUBENDE'!G89</f>
        <v>0</v>
      </c>
      <c r="H89" s="49">
        <f>'Avg Week MUBENDE-MITYANA'!H89+'Avg Week MITYANA-MUBENDE'!H89</f>
        <v>1</v>
      </c>
      <c r="I89" s="49">
        <f>'Avg Week MUBENDE-MITYANA'!I89+'Avg Week MITYANA-MUBENDE'!I89</f>
        <v>1</v>
      </c>
      <c r="J89" s="49">
        <f>'Avg Week MUBENDE-MITYANA'!J89+'Avg Week MITYANA-MUBENDE'!J89</f>
        <v>1</v>
      </c>
      <c r="K89" s="49">
        <f>'Avg Week MUBENDE-MITYANA'!K89+'Avg Week MITYANA-MUBENDE'!K89</f>
        <v>1.5</v>
      </c>
      <c r="L89" s="49">
        <f>'Avg Week MUBENDE-MITYANA'!L89+'Avg Week MITYANA-MUBENDE'!L89</f>
        <v>2</v>
      </c>
      <c r="M89" s="49">
        <f>'Avg Week MUBENDE-MITYANA'!M89+'Avg Week MITYANA-MUBENDE'!M89</f>
        <v>0</v>
      </c>
      <c r="N89" s="49">
        <f>'Avg Week MUBENDE-MITYANA'!N89+'Avg Week MITYANA-MUBENDE'!N89</f>
        <v>0</v>
      </c>
      <c r="O89" s="15">
        <f t="shared" si="35"/>
        <v>7</v>
      </c>
      <c r="P89" s="15">
        <f t="shared" si="36"/>
        <v>7</v>
      </c>
      <c r="R89" s="8"/>
      <c r="T89"/>
    </row>
    <row r="90" spans="2:20" ht="23.1" customHeight="1" x14ac:dyDescent="0.25">
      <c r="B90" s="24" t="s">
        <v>130</v>
      </c>
      <c r="C90" s="49">
        <f>'Avg Week MUBENDE-MITYANA'!C90+'Avg Week MITYANA-MUBENDE'!C90</f>
        <v>1</v>
      </c>
      <c r="D90" s="49">
        <f>'Avg Week MUBENDE-MITYANA'!D90+'Avg Week MITYANA-MUBENDE'!D90</f>
        <v>1</v>
      </c>
      <c r="E90" s="49">
        <f>'Avg Week MUBENDE-MITYANA'!E90+'Avg Week MITYANA-MUBENDE'!E90</f>
        <v>1</v>
      </c>
      <c r="F90" s="49">
        <f>'Avg Week MUBENDE-MITYANA'!F90+'Avg Week MITYANA-MUBENDE'!F90</f>
        <v>0</v>
      </c>
      <c r="G90" s="49">
        <f>'Avg Week MUBENDE-MITYANA'!G90+'Avg Week MITYANA-MUBENDE'!G90</f>
        <v>0</v>
      </c>
      <c r="H90" s="49">
        <f>'Avg Week MUBENDE-MITYANA'!H90+'Avg Week MITYANA-MUBENDE'!H90</f>
        <v>1</v>
      </c>
      <c r="I90" s="49">
        <f>'Avg Week MUBENDE-MITYANA'!I90+'Avg Week MITYANA-MUBENDE'!I90</f>
        <v>1.5</v>
      </c>
      <c r="J90" s="49">
        <f>'Avg Week MUBENDE-MITYANA'!J90+'Avg Week MITYANA-MUBENDE'!J90</f>
        <v>2</v>
      </c>
      <c r="K90" s="49">
        <f>'Avg Week MUBENDE-MITYANA'!K90+'Avg Week MITYANA-MUBENDE'!K90</f>
        <v>1</v>
      </c>
      <c r="L90" s="49">
        <f>'Avg Week MUBENDE-MITYANA'!L90+'Avg Week MITYANA-MUBENDE'!L90</f>
        <v>1.5</v>
      </c>
      <c r="M90" s="49">
        <f>'Avg Week MUBENDE-MITYANA'!M90+'Avg Week MITYANA-MUBENDE'!M90</f>
        <v>2.5</v>
      </c>
      <c r="N90" s="49">
        <f>'Avg Week MUBENDE-MITYANA'!N90+'Avg Week MITYANA-MUBENDE'!N90</f>
        <v>0</v>
      </c>
      <c r="O90" s="15">
        <f t="shared" si="35"/>
        <v>10</v>
      </c>
      <c r="P90" s="15">
        <f t="shared" si="36"/>
        <v>12.5</v>
      </c>
      <c r="R90" s="8"/>
      <c r="T90"/>
    </row>
    <row r="91" spans="2:20" ht="23.1" customHeight="1" x14ac:dyDescent="0.25">
      <c r="B91" s="23" t="s">
        <v>131</v>
      </c>
      <c r="C91" s="49">
        <f>'Avg Week MUBENDE-MITYANA'!C91+'Avg Week MITYANA-MUBENDE'!C91</f>
        <v>1</v>
      </c>
      <c r="D91" s="49">
        <f>'Avg Week MUBENDE-MITYANA'!D91+'Avg Week MITYANA-MUBENDE'!D91</f>
        <v>0</v>
      </c>
      <c r="E91" s="49">
        <f>'Avg Week MUBENDE-MITYANA'!E91+'Avg Week MITYANA-MUBENDE'!E91</f>
        <v>0.5</v>
      </c>
      <c r="F91" s="49">
        <f>'Avg Week MUBENDE-MITYANA'!F91+'Avg Week MITYANA-MUBENDE'!F91</f>
        <v>0</v>
      </c>
      <c r="G91" s="49">
        <f>'Avg Week MUBENDE-MITYANA'!G91+'Avg Week MITYANA-MUBENDE'!G91</f>
        <v>0.5</v>
      </c>
      <c r="H91" s="49">
        <f>'Avg Week MUBENDE-MITYANA'!H91+'Avg Week MITYANA-MUBENDE'!H91</f>
        <v>0.5</v>
      </c>
      <c r="I91" s="49">
        <f>'Avg Week MUBENDE-MITYANA'!I91+'Avg Week MITYANA-MUBENDE'!I91</f>
        <v>0.5</v>
      </c>
      <c r="J91" s="49">
        <f>'Avg Week MUBENDE-MITYANA'!J91+'Avg Week MITYANA-MUBENDE'!J91</f>
        <v>3</v>
      </c>
      <c r="K91" s="49">
        <f>'Avg Week MUBENDE-MITYANA'!K91+'Avg Week MITYANA-MUBENDE'!K91</f>
        <v>1.5</v>
      </c>
      <c r="L91" s="49">
        <f>'Avg Week MUBENDE-MITYANA'!L91+'Avg Week MITYANA-MUBENDE'!L91</f>
        <v>0</v>
      </c>
      <c r="M91" s="49">
        <f>'Avg Week MUBENDE-MITYANA'!M91+'Avg Week MITYANA-MUBENDE'!M91</f>
        <v>2.5</v>
      </c>
      <c r="N91" s="49">
        <f>'Avg Week MUBENDE-MITYANA'!N91+'Avg Week MITYANA-MUBENDE'!N91</f>
        <v>0</v>
      </c>
      <c r="O91" s="15">
        <f t="shared" si="35"/>
        <v>7.5</v>
      </c>
      <c r="P91" s="15">
        <f t="shared" si="36"/>
        <v>10</v>
      </c>
      <c r="R91" s="8"/>
      <c r="T91"/>
    </row>
    <row r="92" spans="2:20" ht="23.1" customHeight="1" x14ac:dyDescent="0.25">
      <c r="B92" s="25" t="s">
        <v>132</v>
      </c>
      <c r="C92" s="49">
        <f>'Avg Week MUBENDE-MITYANA'!C92+'Avg Week MITYANA-MUBENDE'!C92</f>
        <v>0.5</v>
      </c>
      <c r="D92" s="49">
        <f>'Avg Week MUBENDE-MITYANA'!D92+'Avg Week MITYANA-MUBENDE'!D92</f>
        <v>0.5</v>
      </c>
      <c r="E92" s="49">
        <f>'Avg Week MUBENDE-MITYANA'!E92+'Avg Week MITYANA-MUBENDE'!E92</f>
        <v>0</v>
      </c>
      <c r="F92" s="49">
        <f>'Avg Week MUBENDE-MITYANA'!F92+'Avg Week MITYANA-MUBENDE'!F92</f>
        <v>0.5</v>
      </c>
      <c r="G92" s="49">
        <f>'Avg Week MUBENDE-MITYANA'!G92+'Avg Week MITYANA-MUBENDE'!G92</f>
        <v>0</v>
      </c>
      <c r="H92" s="49">
        <f>'Avg Week MUBENDE-MITYANA'!H92+'Avg Week MITYANA-MUBENDE'!H92</f>
        <v>0.5</v>
      </c>
      <c r="I92" s="49">
        <f>'Avg Week MUBENDE-MITYANA'!I92+'Avg Week MITYANA-MUBENDE'!I92</f>
        <v>2</v>
      </c>
      <c r="J92" s="49">
        <f>'Avg Week MUBENDE-MITYANA'!J92+'Avg Week MITYANA-MUBENDE'!J92</f>
        <v>4</v>
      </c>
      <c r="K92" s="49">
        <f>'Avg Week MUBENDE-MITYANA'!K92+'Avg Week MITYANA-MUBENDE'!K92</f>
        <v>2</v>
      </c>
      <c r="L92" s="49">
        <f>'Avg Week MUBENDE-MITYANA'!L92+'Avg Week MITYANA-MUBENDE'!L92</f>
        <v>1.5</v>
      </c>
      <c r="M92" s="49">
        <f>'Avg Week MUBENDE-MITYANA'!M92+'Avg Week MITYANA-MUBENDE'!M92</f>
        <v>5</v>
      </c>
      <c r="N92" s="49">
        <f>'Avg Week MUBENDE-MITYANA'!N92+'Avg Week MITYANA-MUBENDE'!N92</f>
        <v>0</v>
      </c>
      <c r="O92" s="15">
        <f t="shared" si="35"/>
        <v>11.5</v>
      </c>
      <c r="P92" s="15">
        <f t="shared" si="36"/>
        <v>16.5</v>
      </c>
      <c r="R92" s="8"/>
      <c r="T92"/>
    </row>
    <row r="93" spans="2:20" ht="23.1" customHeight="1" x14ac:dyDescent="0.25">
      <c r="B93" s="23" t="s">
        <v>133</v>
      </c>
      <c r="C93" s="49">
        <f>'Avg Week MUBENDE-MITYANA'!C93+'Avg Week MITYANA-MUBENDE'!C93</f>
        <v>1.5</v>
      </c>
      <c r="D93" s="49">
        <f>'Avg Week MUBENDE-MITYANA'!D93+'Avg Week MITYANA-MUBENDE'!D93</f>
        <v>0.5</v>
      </c>
      <c r="E93" s="49">
        <f>'Avg Week MUBENDE-MITYANA'!E93+'Avg Week MITYANA-MUBENDE'!E93</f>
        <v>0</v>
      </c>
      <c r="F93" s="49">
        <f>'Avg Week MUBENDE-MITYANA'!F93+'Avg Week MITYANA-MUBENDE'!F93</f>
        <v>0</v>
      </c>
      <c r="G93" s="49">
        <f>'Avg Week MUBENDE-MITYANA'!G93+'Avg Week MITYANA-MUBENDE'!G93</f>
        <v>0</v>
      </c>
      <c r="H93" s="49">
        <f>'Avg Week MUBENDE-MITYANA'!H93+'Avg Week MITYANA-MUBENDE'!H93</f>
        <v>1</v>
      </c>
      <c r="I93" s="49">
        <f>'Avg Week MUBENDE-MITYANA'!I93+'Avg Week MITYANA-MUBENDE'!I93</f>
        <v>1.5</v>
      </c>
      <c r="J93" s="49">
        <f>'Avg Week MUBENDE-MITYANA'!J93+'Avg Week MITYANA-MUBENDE'!J93</f>
        <v>4</v>
      </c>
      <c r="K93" s="49">
        <f>'Avg Week MUBENDE-MITYANA'!K93+'Avg Week MITYANA-MUBENDE'!K93</f>
        <v>2</v>
      </c>
      <c r="L93" s="49">
        <f>'Avg Week MUBENDE-MITYANA'!L93+'Avg Week MITYANA-MUBENDE'!L93</f>
        <v>0</v>
      </c>
      <c r="M93" s="49">
        <f>'Avg Week MUBENDE-MITYANA'!M93+'Avg Week MITYANA-MUBENDE'!M93</f>
        <v>3</v>
      </c>
      <c r="N93" s="49">
        <f>'Avg Week MUBENDE-MITYANA'!N93+'Avg Week MITYANA-MUBENDE'!N93</f>
        <v>0</v>
      </c>
      <c r="O93" s="15">
        <f t="shared" si="35"/>
        <v>10.5</v>
      </c>
      <c r="P93" s="15">
        <f t="shared" si="36"/>
        <v>13.5</v>
      </c>
      <c r="R93" s="8"/>
      <c r="T93"/>
    </row>
    <row r="94" spans="2:20" ht="23.1" customHeight="1" x14ac:dyDescent="0.25">
      <c r="B94" s="24" t="s">
        <v>134</v>
      </c>
      <c r="C94" s="49">
        <f>'Avg Week MUBENDE-MITYANA'!C94+'Avg Week MITYANA-MUBENDE'!C94</f>
        <v>2</v>
      </c>
      <c r="D94" s="49">
        <f>'Avg Week MUBENDE-MITYANA'!D94+'Avg Week MITYANA-MUBENDE'!D94</f>
        <v>0.5</v>
      </c>
      <c r="E94" s="49">
        <f>'Avg Week MUBENDE-MITYANA'!E94+'Avg Week MITYANA-MUBENDE'!E94</f>
        <v>0.5</v>
      </c>
      <c r="F94" s="49">
        <f>'Avg Week MUBENDE-MITYANA'!F94+'Avg Week MITYANA-MUBENDE'!F94</f>
        <v>0.5</v>
      </c>
      <c r="G94" s="49">
        <f>'Avg Week MUBENDE-MITYANA'!G94+'Avg Week MITYANA-MUBENDE'!G94</f>
        <v>0</v>
      </c>
      <c r="H94" s="49">
        <f>'Avg Week MUBENDE-MITYANA'!H94+'Avg Week MITYANA-MUBENDE'!H94</f>
        <v>0.5</v>
      </c>
      <c r="I94" s="49">
        <f>'Avg Week MUBENDE-MITYANA'!I94+'Avg Week MITYANA-MUBENDE'!I94</f>
        <v>1</v>
      </c>
      <c r="J94" s="49">
        <f>'Avg Week MUBENDE-MITYANA'!J94+'Avg Week MITYANA-MUBENDE'!J94</f>
        <v>2</v>
      </c>
      <c r="K94" s="49">
        <f>'Avg Week MUBENDE-MITYANA'!K94+'Avg Week MITYANA-MUBENDE'!K94</f>
        <v>2</v>
      </c>
      <c r="L94" s="49">
        <f>'Avg Week MUBENDE-MITYANA'!L94+'Avg Week MITYANA-MUBENDE'!L94</f>
        <v>0</v>
      </c>
      <c r="M94" s="49">
        <f>'Avg Week MUBENDE-MITYANA'!M94+'Avg Week MITYANA-MUBENDE'!M94</f>
        <v>1</v>
      </c>
      <c r="N94" s="49">
        <f>'Avg Week MUBENDE-MITYANA'!N94+'Avg Week MITYANA-MUBENDE'!N94</f>
        <v>0</v>
      </c>
      <c r="O94" s="15">
        <f t="shared" si="35"/>
        <v>9</v>
      </c>
      <c r="P94" s="15">
        <f t="shared" si="36"/>
        <v>10</v>
      </c>
      <c r="R94" s="8"/>
      <c r="T94"/>
    </row>
    <row r="95" spans="2:20" ht="23.1" customHeight="1" x14ac:dyDescent="0.25">
      <c r="B95" s="23" t="s">
        <v>135</v>
      </c>
      <c r="C95" s="49">
        <f>'Avg Week MUBENDE-MITYANA'!C95+'Avg Week MITYANA-MUBENDE'!C95</f>
        <v>1</v>
      </c>
      <c r="D95" s="49">
        <f>'Avg Week MUBENDE-MITYANA'!D95+'Avg Week MITYANA-MUBENDE'!D95</f>
        <v>0</v>
      </c>
      <c r="E95" s="49">
        <f>'Avg Week MUBENDE-MITYANA'!E95+'Avg Week MITYANA-MUBENDE'!E95</f>
        <v>1</v>
      </c>
      <c r="F95" s="49">
        <f>'Avg Week MUBENDE-MITYANA'!F95+'Avg Week MITYANA-MUBENDE'!F95</f>
        <v>0</v>
      </c>
      <c r="G95" s="49">
        <f>'Avg Week MUBENDE-MITYANA'!G95+'Avg Week MITYANA-MUBENDE'!G95</f>
        <v>0.5</v>
      </c>
      <c r="H95" s="49">
        <f>'Avg Week MUBENDE-MITYANA'!H95+'Avg Week MITYANA-MUBENDE'!H95</f>
        <v>0</v>
      </c>
      <c r="I95" s="49">
        <f>'Avg Week MUBENDE-MITYANA'!I95+'Avg Week MITYANA-MUBENDE'!I95</f>
        <v>0.5</v>
      </c>
      <c r="J95" s="49">
        <f>'Avg Week MUBENDE-MITYANA'!J95+'Avg Week MITYANA-MUBENDE'!J95</f>
        <v>2</v>
      </c>
      <c r="K95" s="49">
        <f>'Avg Week MUBENDE-MITYANA'!K95+'Avg Week MITYANA-MUBENDE'!K95</f>
        <v>0.5</v>
      </c>
      <c r="L95" s="49">
        <f>'Avg Week MUBENDE-MITYANA'!L95+'Avg Week MITYANA-MUBENDE'!L95</f>
        <v>0.5</v>
      </c>
      <c r="M95" s="49">
        <f>'Avg Week MUBENDE-MITYANA'!M95+'Avg Week MITYANA-MUBENDE'!M95</f>
        <v>1</v>
      </c>
      <c r="N95" s="49">
        <f>'Avg Week MUBENDE-MITYANA'!N95+'Avg Week MITYANA-MUBENDE'!N95</f>
        <v>0</v>
      </c>
      <c r="O95" s="15">
        <f t="shared" si="35"/>
        <v>6</v>
      </c>
      <c r="P95" s="15">
        <f t="shared" si="36"/>
        <v>7</v>
      </c>
      <c r="R95" s="8"/>
      <c r="T95"/>
    </row>
    <row r="96" spans="2:20" ht="23.1" customHeight="1" x14ac:dyDescent="0.25">
      <c r="B96" s="25" t="s">
        <v>136</v>
      </c>
      <c r="C96" s="49">
        <f>'Avg Week MUBENDE-MITYANA'!C96+'Avg Week MITYANA-MUBENDE'!C96</f>
        <v>1</v>
      </c>
      <c r="D96" s="49">
        <f>'Avg Week MUBENDE-MITYANA'!D96+'Avg Week MITYANA-MUBENDE'!D96</f>
        <v>0</v>
      </c>
      <c r="E96" s="49">
        <f>'Avg Week MUBENDE-MITYANA'!E96+'Avg Week MITYANA-MUBENDE'!E96</f>
        <v>0.5</v>
      </c>
      <c r="F96" s="49">
        <f>'Avg Week MUBENDE-MITYANA'!F96+'Avg Week MITYANA-MUBENDE'!F96</f>
        <v>0.5</v>
      </c>
      <c r="G96" s="49">
        <f>'Avg Week MUBENDE-MITYANA'!G96+'Avg Week MITYANA-MUBENDE'!G96</f>
        <v>0</v>
      </c>
      <c r="H96" s="49">
        <f>'Avg Week MUBENDE-MITYANA'!H96+'Avg Week MITYANA-MUBENDE'!H96</f>
        <v>0</v>
      </c>
      <c r="I96" s="49">
        <f>'Avg Week MUBENDE-MITYANA'!I96+'Avg Week MITYANA-MUBENDE'!I96</f>
        <v>1</v>
      </c>
      <c r="J96" s="49">
        <f>'Avg Week MUBENDE-MITYANA'!J96+'Avg Week MITYANA-MUBENDE'!J96</f>
        <v>3.5</v>
      </c>
      <c r="K96" s="49">
        <f>'Avg Week MUBENDE-MITYANA'!K96+'Avg Week MITYANA-MUBENDE'!K96</f>
        <v>0.5</v>
      </c>
      <c r="L96" s="49">
        <f>'Avg Week MUBENDE-MITYANA'!L96+'Avg Week MITYANA-MUBENDE'!L96</f>
        <v>2</v>
      </c>
      <c r="M96" s="49">
        <f>'Avg Week MUBENDE-MITYANA'!M96+'Avg Week MITYANA-MUBENDE'!M96</f>
        <v>2</v>
      </c>
      <c r="N96" s="49">
        <f>'Avg Week MUBENDE-MITYANA'!N96+'Avg Week MITYANA-MUBENDE'!N96</f>
        <v>0</v>
      </c>
      <c r="O96" s="15">
        <f t="shared" si="35"/>
        <v>9</v>
      </c>
      <c r="P96" s="15">
        <f t="shared" si="36"/>
        <v>11</v>
      </c>
      <c r="R96" s="8"/>
      <c r="T96"/>
    </row>
    <row r="97" spans="2:20" ht="23.1" customHeight="1" x14ac:dyDescent="0.25">
      <c r="B97" s="23" t="s">
        <v>137</v>
      </c>
      <c r="C97" s="49">
        <f>'Avg Week MUBENDE-MITYANA'!C97+'Avg Week MITYANA-MUBENDE'!C97</f>
        <v>1</v>
      </c>
      <c r="D97" s="49">
        <f>'Avg Week MUBENDE-MITYANA'!D97+'Avg Week MITYANA-MUBENDE'!D97</f>
        <v>0</v>
      </c>
      <c r="E97" s="49">
        <f>'Avg Week MUBENDE-MITYANA'!E97+'Avg Week MITYANA-MUBENDE'!E97</f>
        <v>0</v>
      </c>
      <c r="F97" s="49">
        <f>'Avg Week MUBENDE-MITYANA'!F97+'Avg Week MITYANA-MUBENDE'!F97</f>
        <v>1.5</v>
      </c>
      <c r="G97" s="49">
        <f>'Avg Week MUBENDE-MITYANA'!G97+'Avg Week MITYANA-MUBENDE'!G97</f>
        <v>0</v>
      </c>
      <c r="H97" s="49">
        <f>'Avg Week MUBENDE-MITYANA'!H97+'Avg Week MITYANA-MUBENDE'!H97</f>
        <v>0</v>
      </c>
      <c r="I97" s="49">
        <f>'Avg Week MUBENDE-MITYANA'!I97+'Avg Week MITYANA-MUBENDE'!I97</f>
        <v>0.5</v>
      </c>
      <c r="J97" s="49">
        <f>'Avg Week MUBENDE-MITYANA'!J97+'Avg Week MITYANA-MUBENDE'!J97</f>
        <v>4</v>
      </c>
      <c r="K97" s="49">
        <f>'Avg Week MUBENDE-MITYANA'!K97+'Avg Week MITYANA-MUBENDE'!K97</f>
        <v>0</v>
      </c>
      <c r="L97" s="49">
        <f>'Avg Week MUBENDE-MITYANA'!L97+'Avg Week MITYANA-MUBENDE'!L97</f>
        <v>1</v>
      </c>
      <c r="M97" s="49">
        <f>'Avg Week MUBENDE-MITYANA'!M97+'Avg Week MITYANA-MUBENDE'!M97</f>
        <v>1.5</v>
      </c>
      <c r="N97" s="49">
        <f>'Avg Week MUBENDE-MITYANA'!N97+'Avg Week MITYANA-MUBENDE'!N97</f>
        <v>0</v>
      </c>
      <c r="O97" s="15">
        <f t="shared" si="35"/>
        <v>8</v>
      </c>
      <c r="P97" s="15">
        <f t="shared" si="36"/>
        <v>9.5</v>
      </c>
      <c r="R97" s="8"/>
      <c r="T97"/>
    </row>
    <row r="98" spans="2:20" ht="23.1" customHeight="1" x14ac:dyDescent="0.25">
      <c r="B98" s="24" t="s">
        <v>138</v>
      </c>
      <c r="C98" s="49">
        <f>'Avg Week MUBENDE-MITYANA'!C98+'Avg Week MITYANA-MUBENDE'!C98</f>
        <v>0</v>
      </c>
      <c r="D98" s="49">
        <f>'Avg Week MUBENDE-MITYANA'!D98+'Avg Week MITYANA-MUBENDE'!D98</f>
        <v>1</v>
      </c>
      <c r="E98" s="49">
        <f>'Avg Week MUBENDE-MITYANA'!E98+'Avg Week MITYANA-MUBENDE'!E98</f>
        <v>0</v>
      </c>
      <c r="F98" s="49">
        <f>'Avg Week MUBENDE-MITYANA'!F98+'Avg Week MITYANA-MUBENDE'!F98</f>
        <v>1.5</v>
      </c>
      <c r="G98" s="49">
        <f>'Avg Week MUBENDE-MITYANA'!G98+'Avg Week MITYANA-MUBENDE'!G98</f>
        <v>0</v>
      </c>
      <c r="H98" s="49">
        <f>'Avg Week MUBENDE-MITYANA'!H98+'Avg Week MITYANA-MUBENDE'!H98</f>
        <v>0</v>
      </c>
      <c r="I98" s="49">
        <f>'Avg Week MUBENDE-MITYANA'!I98+'Avg Week MITYANA-MUBENDE'!I98</f>
        <v>2</v>
      </c>
      <c r="J98" s="49">
        <f>'Avg Week MUBENDE-MITYANA'!J98+'Avg Week MITYANA-MUBENDE'!J98</f>
        <v>0.5</v>
      </c>
      <c r="K98" s="49">
        <f>'Avg Week MUBENDE-MITYANA'!K98+'Avg Week MITYANA-MUBENDE'!K98</f>
        <v>1</v>
      </c>
      <c r="L98" s="49">
        <f>'Avg Week MUBENDE-MITYANA'!L98+'Avg Week MITYANA-MUBENDE'!L98</f>
        <v>0.5</v>
      </c>
      <c r="M98" s="49">
        <f>'Avg Week MUBENDE-MITYANA'!M98+'Avg Week MITYANA-MUBENDE'!M98</f>
        <v>1</v>
      </c>
      <c r="N98" s="49">
        <f>'Avg Week MUBENDE-MITYANA'!N98+'Avg Week MITYANA-MUBENDE'!N98</f>
        <v>0</v>
      </c>
      <c r="O98" s="15">
        <f t="shared" si="35"/>
        <v>6.5</v>
      </c>
      <c r="P98" s="15">
        <f t="shared" si="36"/>
        <v>7.5</v>
      </c>
      <c r="R98" s="8"/>
      <c r="T98"/>
    </row>
    <row r="99" spans="2:20" ht="23.1" customHeight="1" x14ac:dyDescent="0.25">
      <c r="B99" s="23" t="s">
        <v>139</v>
      </c>
      <c r="C99" s="49">
        <f>'Avg Week MUBENDE-MITYANA'!C99+'Avg Week MITYANA-MUBENDE'!C99</f>
        <v>0</v>
      </c>
      <c r="D99" s="49">
        <f>'Avg Week MUBENDE-MITYANA'!D99+'Avg Week MITYANA-MUBENDE'!D99</f>
        <v>0</v>
      </c>
      <c r="E99" s="49">
        <f>'Avg Week MUBENDE-MITYANA'!E99+'Avg Week MITYANA-MUBENDE'!E99</f>
        <v>0.5</v>
      </c>
      <c r="F99" s="49">
        <f>'Avg Week MUBENDE-MITYANA'!F99+'Avg Week MITYANA-MUBENDE'!F99</f>
        <v>2</v>
      </c>
      <c r="G99" s="49">
        <f>'Avg Week MUBENDE-MITYANA'!G99+'Avg Week MITYANA-MUBENDE'!G99</f>
        <v>0</v>
      </c>
      <c r="H99" s="49">
        <f>'Avg Week MUBENDE-MITYANA'!H99+'Avg Week MITYANA-MUBENDE'!H99</f>
        <v>0</v>
      </c>
      <c r="I99" s="49">
        <f>'Avg Week MUBENDE-MITYANA'!I99+'Avg Week MITYANA-MUBENDE'!I99</f>
        <v>1</v>
      </c>
      <c r="J99" s="49">
        <f>'Avg Week MUBENDE-MITYANA'!J99+'Avg Week MITYANA-MUBENDE'!J99</f>
        <v>2.5</v>
      </c>
      <c r="K99" s="49">
        <f>'Avg Week MUBENDE-MITYANA'!K99+'Avg Week MITYANA-MUBENDE'!K99</f>
        <v>0</v>
      </c>
      <c r="L99" s="49">
        <f>'Avg Week MUBENDE-MITYANA'!L99+'Avg Week MITYANA-MUBENDE'!L99</f>
        <v>2.5</v>
      </c>
      <c r="M99" s="49">
        <f>'Avg Week MUBENDE-MITYANA'!M99+'Avg Week MITYANA-MUBENDE'!M99</f>
        <v>1.5</v>
      </c>
      <c r="N99" s="49">
        <f>'Avg Week MUBENDE-MITYANA'!N99+'Avg Week MITYANA-MUBENDE'!N99</f>
        <v>0</v>
      </c>
      <c r="O99" s="15">
        <f t="shared" si="35"/>
        <v>8.5</v>
      </c>
      <c r="P99" s="15">
        <f t="shared" si="36"/>
        <v>10</v>
      </c>
      <c r="R99" s="8"/>
      <c r="T99"/>
    </row>
    <row r="100" spans="2:20" ht="23.1" customHeight="1" x14ac:dyDescent="0.25">
      <c r="B100" s="25" t="s">
        <v>140</v>
      </c>
      <c r="C100" s="49">
        <f>'Avg Week MUBENDE-MITYANA'!C100+'Avg Week MITYANA-MUBENDE'!C100</f>
        <v>2</v>
      </c>
      <c r="D100" s="49">
        <f>'Avg Week MUBENDE-MITYANA'!D100+'Avg Week MITYANA-MUBENDE'!D100</f>
        <v>1</v>
      </c>
      <c r="E100" s="49">
        <f>'Avg Week MUBENDE-MITYANA'!E100+'Avg Week MITYANA-MUBENDE'!E100</f>
        <v>0</v>
      </c>
      <c r="F100" s="49">
        <f>'Avg Week MUBENDE-MITYANA'!F100+'Avg Week MITYANA-MUBENDE'!F100</f>
        <v>1.5</v>
      </c>
      <c r="G100" s="49">
        <f>'Avg Week MUBENDE-MITYANA'!G100+'Avg Week MITYANA-MUBENDE'!G100</f>
        <v>0</v>
      </c>
      <c r="H100" s="49">
        <f>'Avg Week MUBENDE-MITYANA'!H100+'Avg Week MITYANA-MUBENDE'!H100</f>
        <v>0.5</v>
      </c>
      <c r="I100" s="49">
        <f>'Avg Week MUBENDE-MITYANA'!I100+'Avg Week MITYANA-MUBENDE'!I100</f>
        <v>1.5</v>
      </c>
      <c r="J100" s="49">
        <f>'Avg Week MUBENDE-MITYANA'!J100+'Avg Week MITYANA-MUBENDE'!J100</f>
        <v>1.5</v>
      </c>
      <c r="K100" s="49">
        <f>'Avg Week MUBENDE-MITYANA'!K100+'Avg Week MITYANA-MUBENDE'!K100</f>
        <v>0.5</v>
      </c>
      <c r="L100" s="49">
        <f>'Avg Week MUBENDE-MITYANA'!L100+'Avg Week MITYANA-MUBENDE'!L100</f>
        <v>1</v>
      </c>
      <c r="M100" s="49">
        <f>'Avg Week MUBENDE-MITYANA'!M100+'Avg Week MITYANA-MUBENDE'!M100</f>
        <v>6</v>
      </c>
      <c r="N100" s="49">
        <f>'Avg Week MUBENDE-MITYANA'!N100+'Avg Week MITYANA-MUBENDE'!N100</f>
        <v>0</v>
      </c>
      <c r="O100" s="15">
        <f t="shared" si="35"/>
        <v>9.5</v>
      </c>
      <c r="P100" s="15">
        <f t="shared" si="36"/>
        <v>15.5</v>
      </c>
      <c r="R100" s="8"/>
      <c r="T100"/>
    </row>
    <row r="101" spans="2:20" ht="23.1" customHeight="1" x14ac:dyDescent="0.25">
      <c r="B101" s="23" t="s">
        <v>141</v>
      </c>
      <c r="C101" s="49">
        <f>'Avg Week MUBENDE-MITYANA'!C101+'Avg Week MITYANA-MUBENDE'!C101</f>
        <v>2.5</v>
      </c>
      <c r="D101" s="49">
        <f>'Avg Week MUBENDE-MITYANA'!D101+'Avg Week MITYANA-MUBENDE'!D101</f>
        <v>1.5</v>
      </c>
      <c r="E101" s="49">
        <f>'Avg Week MUBENDE-MITYANA'!E101+'Avg Week MITYANA-MUBENDE'!E101</f>
        <v>0.5</v>
      </c>
      <c r="F101" s="49">
        <f>'Avg Week MUBENDE-MITYANA'!F101+'Avg Week MITYANA-MUBENDE'!F101</f>
        <v>4</v>
      </c>
      <c r="G101" s="49">
        <f>'Avg Week MUBENDE-MITYANA'!G101+'Avg Week MITYANA-MUBENDE'!G101</f>
        <v>1</v>
      </c>
      <c r="H101" s="49">
        <f>'Avg Week MUBENDE-MITYANA'!H101+'Avg Week MITYANA-MUBENDE'!H101</f>
        <v>0</v>
      </c>
      <c r="I101" s="49">
        <f>'Avg Week MUBENDE-MITYANA'!I101+'Avg Week MITYANA-MUBENDE'!I101</f>
        <v>1.5</v>
      </c>
      <c r="J101" s="49">
        <f>'Avg Week MUBENDE-MITYANA'!J101+'Avg Week MITYANA-MUBENDE'!J101</f>
        <v>2.5</v>
      </c>
      <c r="K101" s="49">
        <f>'Avg Week MUBENDE-MITYANA'!K101+'Avg Week MITYANA-MUBENDE'!K101</f>
        <v>1.5</v>
      </c>
      <c r="L101" s="49">
        <f>'Avg Week MUBENDE-MITYANA'!L101+'Avg Week MITYANA-MUBENDE'!L101</f>
        <v>2.5</v>
      </c>
      <c r="M101" s="49">
        <f>'Avg Week MUBENDE-MITYANA'!M101+'Avg Week MITYANA-MUBENDE'!M101</f>
        <v>6</v>
      </c>
      <c r="N101" s="49">
        <f>'Avg Week MUBENDE-MITYANA'!N101+'Avg Week MITYANA-MUBENDE'!N101</f>
        <v>0</v>
      </c>
      <c r="O101" s="15">
        <f t="shared" si="35"/>
        <v>17.5</v>
      </c>
      <c r="P101" s="15">
        <f t="shared" si="36"/>
        <v>23.5</v>
      </c>
      <c r="R101" s="8"/>
      <c r="T101"/>
    </row>
    <row r="102" spans="2:20" ht="23.1" customHeight="1" x14ac:dyDescent="0.25">
      <c r="B102" s="24" t="s">
        <v>142</v>
      </c>
      <c r="C102" s="49">
        <f>'Avg Week MUBENDE-MITYANA'!C102+'Avg Week MITYANA-MUBENDE'!C102</f>
        <v>1</v>
      </c>
      <c r="D102" s="49">
        <f>'Avg Week MUBENDE-MITYANA'!D102+'Avg Week MITYANA-MUBENDE'!D102</f>
        <v>0</v>
      </c>
      <c r="E102" s="49">
        <f>'Avg Week MUBENDE-MITYANA'!E102+'Avg Week MITYANA-MUBENDE'!E102</f>
        <v>0</v>
      </c>
      <c r="F102" s="49">
        <f>'Avg Week MUBENDE-MITYANA'!F102+'Avg Week MITYANA-MUBENDE'!F102</f>
        <v>2.5</v>
      </c>
      <c r="G102" s="49">
        <f>'Avg Week MUBENDE-MITYANA'!G102+'Avg Week MITYANA-MUBENDE'!G102</f>
        <v>0</v>
      </c>
      <c r="H102" s="49">
        <f>'Avg Week MUBENDE-MITYANA'!H102+'Avg Week MITYANA-MUBENDE'!H102</f>
        <v>0</v>
      </c>
      <c r="I102" s="49">
        <f>'Avg Week MUBENDE-MITYANA'!I102+'Avg Week MITYANA-MUBENDE'!I102</f>
        <v>0.5</v>
      </c>
      <c r="J102" s="49">
        <f>'Avg Week MUBENDE-MITYANA'!J102+'Avg Week MITYANA-MUBENDE'!J102</f>
        <v>1.5</v>
      </c>
      <c r="K102" s="49">
        <f>'Avg Week MUBENDE-MITYANA'!K102+'Avg Week MITYANA-MUBENDE'!K102</f>
        <v>2</v>
      </c>
      <c r="L102" s="49">
        <f>'Avg Week MUBENDE-MITYANA'!L102+'Avg Week MITYANA-MUBENDE'!L102</f>
        <v>0.5</v>
      </c>
      <c r="M102" s="49">
        <f>'Avg Week MUBENDE-MITYANA'!M102+'Avg Week MITYANA-MUBENDE'!M102</f>
        <v>6</v>
      </c>
      <c r="N102" s="49">
        <f>'Avg Week MUBENDE-MITYANA'!N102+'Avg Week MITYANA-MUBENDE'!N102</f>
        <v>0</v>
      </c>
      <c r="O102" s="15">
        <f t="shared" si="35"/>
        <v>8</v>
      </c>
      <c r="P102" s="15">
        <f t="shared" si="36"/>
        <v>14</v>
      </c>
      <c r="R102" s="8"/>
      <c r="T102"/>
    </row>
    <row r="103" spans="2:20" ht="23.1" customHeight="1" x14ac:dyDescent="0.25">
      <c r="B103" s="23" t="s">
        <v>143</v>
      </c>
      <c r="C103" s="49">
        <f>'Avg Week MUBENDE-MITYANA'!C103+'Avg Week MITYANA-MUBENDE'!C103</f>
        <v>5</v>
      </c>
      <c r="D103" s="49">
        <f>'Avg Week MUBENDE-MITYANA'!D103+'Avg Week MITYANA-MUBENDE'!D103</f>
        <v>0.5</v>
      </c>
      <c r="E103" s="49">
        <f>'Avg Week MUBENDE-MITYANA'!E103+'Avg Week MITYANA-MUBENDE'!E103</f>
        <v>1</v>
      </c>
      <c r="F103" s="49">
        <f>'Avg Week MUBENDE-MITYANA'!F103+'Avg Week MITYANA-MUBENDE'!F103</f>
        <v>3</v>
      </c>
      <c r="G103" s="49">
        <f>'Avg Week MUBENDE-MITYANA'!G103+'Avg Week MITYANA-MUBENDE'!G103</f>
        <v>0</v>
      </c>
      <c r="H103" s="49">
        <f>'Avg Week MUBENDE-MITYANA'!H103+'Avg Week MITYANA-MUBENDE'!H103</f>
        <v>0</v>
      </c>
      <c r="I103" s="49">
        <f>'Avg Week MUBENDE-MITYANA'!I103+'Avg Week MITYANA-MUBENDE'!I103</f>
        <v>3.5</v>
      </c>
      <c r="J103" s="49">
        <f>'Avg Week MUBENDE-MITYANA'!J103+'Avg Week MITYANA-MUBENDE'!J103</f>
        <v>3.5</v>
      </c>
      <c r="K103" s="49">
        <f>'Avg Week MUBENDE-MITYANA'!K103+'Avg Week MITYANA-MUBENDE'!K103</f>
        <v>3</v>
      </c>
      <c r="L103" s="49">
        <f>'Avg Week MUBENDE-MITYANA'!L103+'Avg Week MITYANA-MUBENDE'!L103</f>
        <v>1</v>
      </c>
      <c r="M103" s="49">
        <f>'Avg Week MUBENDE-MITYANA'!M103+'Avg Week MITYANA-MUBENDE'!M103</f>
        <v>16</v>
      </c>
      <c r="N103" s="49">
        <f>'Avg Week MUBENDE-MITYANA'!N103+'Avg Week MITYANA-MUBENDE'!N103</f>
        <v>0</v>
      </c>
      <c r="O103" s="15">
        <f t="shared" si="35"/>
        <v>20.5</v>
      </c>
      <c r="P103" s="15">
        <f t="shared" si="36"/>
        <v>36.5</v>
      </c>
      <c r="R103" s="8"/>
      <c r="T103"/>
    </row>
    <row r="104" spans="2:20" ht="23.1" customHeight="1" x14ac:dyDescent="0.25">
      <c r="B104" s="25" t="s">
        <v>144</v>
      </c>
      <c r="C104" s="49">
        <f>'Avg Week MUBENDE-MITYANA'!C104+'Avg Week MITYANA-MUBENDE'!C104</f>
        <v>7.5</v>
      </c>
      <c r="D104" s="49">
        <f>'Avg Week MUBENDE-MITYANA'!D104+'Avg Week MITYANA-MUBENDE'!D104</f>
        <v>1</v>
      </c>
      <c r="E104" s="49">
        <f>'Avg Week MUBENDE-MITYANA'!E104+'Avg Week MITYANA-MUBENDE'!E104</f>
        <v>1.5</v>
      </c>
      <c r="F104" s="49">
        <f>'Avg Week MUBENDE-MITYANA'!F104+'Avg Week MITYANA-MUBENDE'!F104</f>
        <v>5</v>
      </c>
      <c r="G104" s="49">
        <f>'Avg Week MUBENDE-MITYANA'!G104+'Avg Week MITYANA-MUBENDE'!G104</f>
        <v>0</v>
      </c>
      <c r="H104" s="49">
        <f>'Avg Week MUBENDE-MITYANA'!H104+'Avg Week MITYANA-MUBENDE'!H104</f>
        <v>0</v>
      </c>
      <c r="I104" s="49">
        <f>'Avg Week MUBENDE-MITYANA'!I104+'Avg Week MITYANA-MUBENDE'!I104</f>
        <v>2.5</v>
      </c>
      <c r="J104" s="49">
        <f>'Avg Week MUBENDE-MITYANA'!J104+'Avg Week MITYANA-MUBENDE'!J104</f>
        <v>1.5</v>
      </c>
      <c r="K104" s="49">
        <f>'Avg Week MUBENDE-MITYANA'!K104+'Avg Week MITYANA-MUBENDE'!K104</f>
        <v>0</v>
      </c>
      <c r="L104" s="49">
        <f>'Avg Week MUBENDE-MITYANA'!L104+'Avg Week MITYANA-MUBENDE'!L104</f>
        <v>2.5</v>
      </c>
      <c r="M104" s="49">
        <f>'Avg Week MUBENDE-MITYANA'!M104+'Avg Week MITYANA-MUBENDE'!M104</f>
        <v>23.5</v>
      </c>
      <c r="N104" s="49">
        <f>'Avg Week MUBENDE-MITYANA'!N104+'Avg Week MITYANA-MUBENDE'!N104</f>
        <v>0</v>
      </c>
      <c r="O104" s="15">
        <f t="shared" si="35"/>
        <v>21.5</v>
      </c>
      <c r="P104" s="15">
        <f t="shared" si="36"/>
        <v>45</v>
      </c>
      <c r="R104" s="8"/>
      <c r="T104"/>
    </row>
    <row r="105" spans="2:20" ht="23.1" customHeight="1" x14ac:dyDescent="0.25">
      <c r="B105" s="23" t="s">
        <v>145</v>
      </c>
      <c r="C105" s="49">
        <f>'Avg Week MUBENDE-MITYANA'!C105+'Avg Week MITYANA-MUBENDE'!C105</f>
        <v>4.5</v>
      </c>
      <c r="D105" s="49">
        <f>'Avg Week MUBENDE-MITYANA'!D105+'Avg Week MITYANA-MUBENDE'!D105</f>
        <v>2.5</v>
      </c>
      <c r="E105" s="49">
        <f>'Avg Week MUBENDE-MITYANA'!E105+'Avg Week MITYANA-MUBENDE'!E105</f>
        <v>3.5</v>
      </c>
      <c r="F105" s="49">
        <f>'Avg Week MUBENDE-MITYANA'!F105+'Avg Week MITYANA-MUBENDE'!F105</f>
        <v>2.5</v>
      </c>
      <c r="G105" s="49">
        <f>'Avg Week MUBENDE-MITYANA'!G105+'Avg Week MITYANA-MUBENDE'!G105</f>
        <v>0</v>
      </c>
      <c r="H105" s="49">
        <f>'Avg Week MUBENDE-MITYANA'!H105+'Avg Week MITYANA-MUBENDE'!H105</f>
        <v>0.5</v>
      </c>
      <c r="I105" s="49">
        <f>'Avg Week MUBENDE-MITYANA'!I105+'Avg Week MITYANA-MUBENDE'!I105</f>
        <v>4.5</v>
      </c>
      <c r="J105" s="49">
        <f>'Avg Week MUBENDE-MITYANA'!J105+'Avg Week MITYANA-MUBENDE'!J105</f>
        <v>1</v>
      </c>
      <c r="K105" s="49">
        <f>'Avg Week MUBENDE-MITYANA'!K105+'Avg Week MITYANA-MUBENDE'!K105</f>
        <v>1</v>
      </c>
      <c r="L105" s="49">
        <f>'Avg Week MUBENDE-MITYANA'!L105+'Avg Week MITYANA-MUBENDE'!L105</f>
        <v>1</v>
      </c>
      <c r="M105" s="49">
        <f>'Avg Week MUBENDE-MITYANA'!M105+'Avg Week MITYANA-MUBENDE'!M105</f>
        <v>23</v>
      </c>
      <c r="N105" s="49">
        <f>'Avg Week MUBENDE-MITYANA'!N105+'Avg Week MITYANA-MUBENDE'!N105</f>
        <v>0</v>
      </c>
      <c r="O105" s="15">
        <f t="shared" si="35"/>
        <v>21</v>
      </c>
      <c r="P105" s="15">
        <f t="shared" si="36"/>
        <v>44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1058.3571428571427</v>
      </c>
      <c r="D106" s="16">
        <f t="shared" ref="D106:P106" si="37">SUM(D10:D105)</f>
        <v>405.00000000000011</v>
      </c>
      <c r="E106" s="16">
        <f t="shared" si="37"/>
        <v>252.35714285714286</v>
      </c>
      <c r="F106" s="16">
        <f t="shared" si="37"/>
        <v>874.85714285714266</v>
      </c>
      <c r="G106" s="16">
        <f t="shared" si="37"/>
        <v>27.714285714285715</v>
      </c>
      <c r="H106" s="16">
        <f t="shared" si="37"/>
        <v>59.928571428571423</v>
      </c>
      <c r="I106" s="16">
        <f t="shared" si="37"/>
        <v>434.78571428571428</v>
      </c>
      <c r="J106" s="16">
        <f t="shared" si="37"/>
        <v>384.85714285714289</v>
      </c>
      <c r="K106" s="16">
        <f t="shared" si="37"/>
        <v>153.07142857142856</v>
      </c>
      <c r="L106" s="16">
        <f t="shared" si="37"/>
        <v>160.5</v>
      </c>
      <c r="M106" s="16">
        <f t="shared" si="37"/>
        <v>4901.2142857142862</v>
      </c>
      <c r="N106" s="16">
        <f t="shared" si="37"/>
        <v>0.99999999999999978</v>
      </c>
      <c r="O106" s="16">
        <f t="shared" si="37"/>
        <v>3812.4285714285716</v>
      </c>
      <c r="P106" s="16">
        <f t="shared" si="37"/>
        <v>8713.6428571428587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0.12145977981982273</v>
      </c>
      <c r="D107" s="43">
        <f t="shared" si="38"/>
        <v>4.6478838602847752E-2</v>
      </c>
      <c r="E107" s="43">
        <f t="shared" si="38"/>
        <v>2.8961152871933172E-2</v>
      </c>
      <c r="F107" s="43">
        <f t="shared" si="38"/>
        <v>0.1004008492429769</v>
      </c>
      <c r="G107" s="43">
        <f t="shared" si="38"/>
        <v>3.1805625005123326E-3</v>
      </c>
      <c r="H107" s="43">
        <f t="shared" si="38"/>
        <v>6.8775565410563056E-3</v>
      </c>
      <c r="I107" s="43">
        <f t="shared" si="38"/>
        <v>4.9897123558295273E-2</v>
      </c>
      <c r="J107" s="43">
        <f t="shared" si="38"/>
        <v>4.4167192661753729E-2</v>
      </c>
      <c r="K107" s="43">
        <f t="shared" si="38"/>
        <v>1.756686968710806E-2</v>
      </c>
      <c r="L107" s="43">
        <f t="shared" si="38"/>
        <v>1.8419391594461883E-2</v>
      </c>
      <c r="M107" s="43">
        <f t="shared" si="38"/>
        <v>0.56247592035478022</v>
      </c>
      <c r="N107" s="43">
        <f t="shared" si="38"/>
        <v>1.1476256445147589E-4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0.27760707460561318</v>
      </c>
      <c r="D108" s="44">
        <f t="shared" ref="D108:N108" si="39">D106/$O$106</f>
        <v>0.10623149848240719</v>
      </c>
      <c r="E108" s="44">
        <f t="shared" si="39"/>
        <v>6.6193277625810315E-2</v>
      </c>
      <c r="F108" s="44">
        <f t="shared" si="39"/>
        <v>0.22947502529321387</v>
      </c>
      <c r="G108" s="44">
        <f t="shared" si="39"/>
        <v>7.2694570390077562E-3</v>
      </c>
      <c r="H108" s="44">
        <f t="shared" si="39"/>
        <v>1.5719264061153367E-2</v>
      </c>
      <c r="I108" s="44">
        <f t="shared" si="39"/>
        <v>0.11404429122793869</v>
      </c>
      <c r="J108" s="44">
        <f t="shared" si="39"/>
        <v>0.1009480271293139</v>
      </c>
      <c r="K108" s="44">
        <f t="shared" si="39"/>
        <v>4.0150635140705208E-2</v>
      </c>
      <c r="L108" s="44">
        <f t="shared" si="39"/>
        <v>4.2099149398583578E-2</v>
      </c>
      <c r="M108" s="44"/>
      <c r="N108" s="44">
        <f t="shared" si="39"/>
        <v>2.6229999625285714E-4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17.10  MUBENDE-MITYANA</vt:lpstr>
      <vt:lpstr>17.10  MITYANA-MUBENDE </vt:lpstr>
      <vt:lpstr>18.10 MUBENDE-MITYANA-24h</vt:lpstr>
      <vt:lpstr>18.10  MITYANA-MUBENDE-24h</vt:lpstr>
      <vt:lpstr>19.10  MUBENDE-MITYANA-24h</vt:lpstr>
      <vt:lpstr>19.10 MITYANA-MUBENDE-24h</vt:lpstr>
      <vt:lpstr>20.10 MUBENDE-MITYANA</vt:lpstr>
      <vt:lpstr>20.10 MITYANA-MUBENDE</vt:lpstr>
      <vt:lpstr>21.10 MUBENDE-MITYANA</vt:lpstr>
      <vt:lpstr>21.10 MITYANA-MUBENDE</vt:lpstr>
      <vt:lpstr>22.10 MUBENDE-MITYANA</vt:lpstr>
      <vt:lpstr>22.10 MITYANA-MUBENDE</vt:lpstr>
      <vt:lpstr>23.10 MUBENDE-MITYANA</vt:lpstr>
      <vt:lpstr>23.10 MITYANA-MUBENDE</vt:lpstr>
      <vt:lpstr>Avg Week MUBENDE-MITYANA</vt:lpstr>
      <vt:lpstr>Avg Week MITYANA-MUBENDE</vt:lpstr>
      <vt:lpstr>Avg Week MUBENDE-MITYANA-2Dir</vt:lpstr>
      <vt:lpstr>'17.10  MITYANA-MUBENDE '!Print_Area</vt:lpstr>
      <vt:lpstr>'17.10  MUBENDE-MITYANA'!Print_Area</vt:lpstr>
      <vt:lpstr>'18.10  MITYANA-MUBENDE-24h'!Print_Area</vt:lpstr>
      <vt:lpstr>'18.10 MUBENDE-MITYANA-24h'!Print_Area</vt:lpstr>
      <vt:lpstr>'19.10  MUBENDE-MITYANA-24h'!Print_Area</vt:lpstr>
      <vt:lpstr>'19.10 MITYANA-MUBENDE-24h'!Print_Area</vt:lpstr>
      <vt:lpstr>'20.10 MITYANA-MUBENDE'!Print_Area</vt:lpstr>
      <vt:lpstr>'20.10 MUBENDE-MITYANA'!Print_Area</vt:lpstr>
      <vt:lpstr>'21.10 MITYANA-MUBENDE'!Print_Area</vt:lpstr>
      <vt:lpstr>'21.10 MUBENDE-MITYANA'!Print_Area</vt:lpstr>
      <vt:lpstr>'22.10 MITYANA-MUBENDE'!Print_Area</vt:lpstr>
      <vt:lpstr>'22.10 MUBENDE-MITYANA'!Print_Area</vt:lpstr>
      <vt:lpstr>'23.10 MITYANA-MUBENDE'!Print_Area</vt:lpstr>
      <vt:lpstr>'23.10 MUBENDE-MITYANA'!Print_Area</vt:lpstr>
      <vt:lpstr>'Avg Week MITYANA-MUBENDE'!Print_Area</vt:lpstr>
      <vt:lpstr>'Avg Week MUBENDE-MITYANA'!Print_Area</vt:lpstr>
      <vt:lpstr>'Avg Week MUBENDE-MITYANA-2Dir'!Print_Area</vt:lpstr>
      <vt:lpstr>'17.10  MITYANA-MUBENDE '!Print_Titles</vt:lpstr>
      <vt:lpstr>'17.10  MUBENDE-MITYANA'!Print_Titles</vt:lpstr>
      <vt:lpstr>'18.10  MITYANA-MUBENDE-24h'!Print_Titles</vt:lpstr>
      <vt:lpstr>'18.10 MUBENDE-MITYANA-24h'!Print_Titles</vt:lpstr>
      <vt:lpstr>'19.10  MUBENDE-MITYANA-24h'!Print_Titles</vt:lpstr>
      <vt:lpstr>'19.10 MITYANA-MUBENDE-24h'!Print_Titles</vt:lpstr>
      <vt:lpstr>'20.10 MITYANA-MUBENDE'!Print_Titles</vt:lpstr>
      <vt:lpstr>'20.10 MUBENDE-MITYANA'!Print_Titles</vt:lpstr>
      <vt:lpstr>'21.10 MITYANA-MUBENDE'!Print_Titles</vt:lpstr>
      <vt:lpstr>'21.10 MUBENDE-MITYANA'!Print_Titles</vt:lpstr>
      <vt:lpstr>'22.10 MITYANA-MUBENDE'!Print_Titles</vt:lpstr>
      <vt:lpstr>'22.10 MUBENDE-MITYANA'!Print_Titles</vt:lpstr>
      <vt:lpstr>'23.10 MITYANA-MUBENDE'!Print_Titles</vt:lpstr>
      <vt:lpstr>'23.10 MUBENDE-MITYANA'!Print_Titles</vt:lpstr>
      <vt:lpstr>'Avg Week MITYANA-MUBENDE'!Print_Titles</vt:lpstr>
      <vt:lpstr>'Avg Week MUBENDE-MITYANA'!Print_Titles</vt:lpstr>
      <vt:lpstr>'Avg Week MUBENDE-MITYANA-2Dir'!Print_Titles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</cp:lastModifiedBy>
  <cp:lastPrinted>2019-07-25T18:18:41Z</cp:lastPrinted>
  <dcterms:created xsi:type="dcterms:W3CDTF">2010-07-06T07:39:49Z</dcterms:created>
  <dcterms:modified xsi:type="dcterms:W3CDTF">2019-11-29T06:32:17Z</dcterms:modified>
</cp:coreProperties>
</file>