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8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9.xml" ContentType="application/vnd.openxmlformats-officedocument.drawing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10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1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drawings/drawing12.xml" ContentType="application/vnd.openxmlformats-officedocument.drawing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3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14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\Desktop\C-3 Analysis   Complete-Steve\STN85-HOIMA ROAD\MCC\"/>
    </mc:Choice>
  </mc:AlternateContent>
  <bookViews>
    <workbookView xWindow="-120" yWindow="-120" windowWidth="20730" windowHeight="11160" tabRatio="892" firstSheet="14" activeTab="16"/>
  </bookViews>
  <sheets>
    <sheet name="11.08 BUSUNJU-KAMPALA" sheetId="93" r:id="rId1"/>
    <sheet name="11.08 KAMPALA-BUSUNJU" sheetId="94" r:id="rId2"/>
    <sheet name="12.08 BUSUNJU-KAMPALA" sheetId="95" r:id="rId3"/>
    <sheet name="12.08 KAMPALA-BUSUNJU" sheetId="96" r:id="rId4"/>
    <sheet name="13.08 BUSUNJU-KAMPALA" sheetId="97" r:id="rId5"/>
    <sheet name="13.08 KAMPALA-BUSUNJU" sheetId="98" r:id="rId6"/>
    <sheet name="14.08 BUSUNJU-KAMPALA" sheetId="99" r:id="rId7"/>
    <sheet name="14.08 KAMPALA-BUSUNJU" sheetId="100" r:id="rId8"/>
    <sheet name="15.08 BUSUNJU-KAMPALA" sheetId="103" r:id="rId9"/>
    <sheet name="15.08 KAMPALA-BUSUNJU" sheetId="104" r:id="rId10"/>
    <sheet name="16.08 BUSUNJU-KAMPALA-24h" sheetId="101" r:id="rId11"/>
    <sheet name="16.08 KAMPALA-BUSUNJU-24h" sheetId="109" r:id="rId12"/>
    <sheet name="17.08 BUSUNJU-KAMPALA-24h" sheetId="105" r:id="rId13"/>
    <sheet name="17.08 KAMPALA-BUSUNJU-24h" sheetId="110" r:id="rId14"/>
    <sheet name="Avg Week BUSUNJU-KAMPALA" sheetId="107" r:id="rId15"/>
    <sheet name="Avg Week KAMPALA-BUSUNJU" sheetId="108" r:id="rId16"/>
    <sheet name="Avg Week BUSUNJU-KAMPALA-2Dir" sheetId="111" r:id="rId17"/>
  </sheets>
  <definedNames>
    <definedName name="_xlnm.Print_Area" localSheetId="0">'11.08 BUSUNJU-KAMPALA'!$A$1:$AF$60</definedName>
    <definedName name="_xlnm.Print_Area" localSheetId="1">'11.08 KAMPALA-BUSUNJU'!$A$1:$AF$60</definedName>
    <definedName name="_xlnm.Print_Area" localSheetId="2">'12.08 BUSUNJU-KAMPALA'!$A$1:$AF$60</definedName>
    <definedName name="_xlnm.Print_Area" localSheetId="3">'12.08 KAMPALA-BUSUNJU'!$A$1:$AF$60</definedName>
    <definedName name="_xlnm.Print_Area" localSheetId="4">'13.08 BUSUNJU-KAMPALA'!$A$1:$AF$60</definedName>
    <definedName name="_xlnm.Print_Area" localSheetId="5">'13.08 KAMPALA-BUSUNJU'!$A$1:$AF$60</definedName>
    <definedName name="_xlnm.Print_Area" localSheetId="6">'14.08 BUSUNJU-KAMPALA'!$A$1:$AF$60</definedName>
    <definedName name="_xlnm.Print_Area" localSheetId="7">'14.08 KAMPALA-BUSUNJU'!$A$1:$AF$60</definedName>
    <definedName name="_xlnm.Print_Area" localSheetId="8">'15.08 BUSUNJU-KAMPALA'!$A$1:$AF$60</definedName>
    <definedName name="_xlnm.Print_Area" localSheetId="9">'15.08 KAMPALA-BUSUNJU'!$A$1:$AF$60</definedName>
    <definedName name="_xlnm.Print_Area" localSheetId="10">'16.08 BUSUNJU-KAMPALA-24h'!$A$1:$AF$108</definedName>
    <definedName name="_xlnm.Print_Area" localSheetId="11">'16.08 KAMPALA-BUSUNJU-24h'!$A$1:$AF$108</definedName>
    <definedName name="_xlnm.Print_Area" localSheetId="12">'17.08 BUSUNJU-KAMPALA-24h'!$A$1:$AF$108</definedName>
    <definedName name="_xlnm.Print_Area" localSheetId="13">'17.08 KAMPALA-BUSUNJU-24h'!$A$1:$AF$108</definedName>
    <definedName name="_xlnm.Print_Area" localSheetId="14">'Avg Week BUSUNJU-KAMPALA'!$A$1:$AF$108</definedName>
    <definedName name="_xlnm.Print_Area" localSheetId="16">'Avg Week BUSUNJU-KAMPALA-2Dir'!$A$1:$AF$108</definedName>
    <definedName name="_xlnm.Print_Area" localSheetId="15">'Avg Week KAMPALA-BUSUNJU'!$A$1:$AF$108</definedName>
    <definedName name="_xlnm.Print_Titles" localSheetId="0">'11.08 BUSUNJU-KAMPALA'!$1:$8</definedName>
    <definedName name="_xlnm.Print_Titles" localSheetId="1">'11.08 KAMPALA-BUSUNJU'!$1:$8</definedName>
    <definedName name="_xlnm.Print_Titles" localSheetId="2">'12.08 BUSUNJU-KAMPALA'!$1:$8</definedName>
    <definedName name="_xlnm.Print_Titles" localSheetId="3">'12.08 KAMPALA-BUSUNJU'!$1:$8</definedName>
    <definedName name="_xlnm.Print_Titles" localSheetId="4">'13.08 BUSUNJU-KAMPALA'!$1:$8</definedName>
    <definedName name="_xlnm.Print_Titles" localSheetId="5">'13.08 KAMPALA-BUSUNJU'!$1:$8</definedName>
    <definedName name="_xlnm.Print_Titles" localSheetId="6">'14.08 BUSUNJU-KAMPALA'!$1:$8</definedName>
    <definedName name="_xlnm.Print_Titles" localSheetId="7">'14.08 KAMPALA-BUSUNJU'!$1:$8</definedName>
    <definedName name="_xlnm.Print_Titles" localSheetId="8">'15.08 BUSUNJU-KAMPALA'!$1:$8</definedName>
    <definedName name="_xlnm.Print_Titles" localSheetId="9">'15.08 KAMPALA-BUSUNJU'!$1:$8</definedName>
    <definedName name="_xlnm.Print_Titles" localSheetId="10">'16.08 BUSUNJU-KAMPALA-24h'!$1:$8</definedName>
    <definedName name="_xlnm.Print_Titles" localSheetId="11">'16.08 KAMPALA-BUSUNJU-24h'!$1:$8</definedName>
    <definedName name="_xlnm.Print_Titles" localSheetId="12">'17.08 BUSUNJU-KAMPALA-24h'!$1:$8</definedName>
    <definedName name="_xlnm.Print_Titles" localSheetId="13">'17.08 KAMPALA-BUSUNJU-24h'!$1:$8</definedName>
    <definedName name="_xlnm.Print_Titles" localSheetId="14">'Avg Week BUSUNJU-KAMPALA'!$1:$8</definedName>
    <definedName name="_xlnm.Print_Titles" localSheetId="16">'Avg Week BUSUNJU-KAMPALA-2Dir'!$1:$8</definedName>
    <definedName name="_xlnm.Print_Titles" localSheetId="15">'Avg Week KAMPALA-BUSUNJU'!$1:$8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60" i="111" l="1"/>
  <c r="D60" i="111"/>
  <c r="O60" i="111" s="1"/>
  <c r="E60" i="111"/>
  <c r="F60" i="111"/>
  <c r="G60" i="111"/>
  <c r="H60" i="111"/>
  <c r="I60" i="111"/>
  <c r="J60" i="111"/>
  <c r="K60" i="111"/>
  <c r="L60" i="111"/>
  <c r="M60" i="111"/>
  <c r="N60" i="111"/>
  <c r="P60" i="111"/>
  <c r="D106" i="108" l="1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106" i="107"/>
  <c r="E106" i="107"/>
  <c r="F106" i="107"/>
  <c r="G106" i="107"/>
  <c r="H106" i="107"/>
  <c r="I106" i="107"/>
  <c r="J106" i="107"/>
  <c r="K106" i="107"/>
  <c r="L106" i="107"/>
  <c r="M106" i="107"/>
  <c r="N106" i="107"/>
  <c r="O106" i="107"/>
  <c r="P106" i="107"/>
  <c r="C106" i="107"/>
  <c r="P58" i="107" l="1"/>
  <c r="P59" i="107"/>
  <c r="P60" i="107"/>
  <c r="P61" i="107"/>
  <c r="AF22" i="107" s="1"/>
  <c r="P62" i="107"/>
  <c r="P63" i="107"/>
  <c r="P64" i="107"/>
  <c r="AF23" i="107" s="1"/>
  <c r="P65" i="107"/>
  <c r="P66" i="107"/>
  <c r="P67" i="107"/>
  <c r="P68" i="107"/>
  <c r="P69" i="107"/>
  <c r="AF24" i="107" s="1"/>
  <c r="P70" i="107"/>
  <c r="P71" i="107"/>
  <c r="P72" i="107"/>
  <c r="AF25" i="107" s="1"/>
  <c r="P73" i="107"/>
  <c r="P74" i="107"/>
  <c r="P75" i="107"/>
  <c r="P76" i="107"/>
  <c r="AF26" i="107" s="1"/>
  <c r="P77" i="107"/>
  <c r="P78" i="107"/>
  <c r="P79" i="107"/>
  <c r="P80" i="107"/>
  <c r="P81" i="107"/>
  <c r="P82" i="107"/>
  <c r="P83" i="107"/>
  <c r="P84" i="107"/>
  <c r="AF28" i="107" s="1"/>
  <c r="P85" i="107"/>
  <c r="P86" i="107"/>
  <c r="P87" i="107"/>
  <c r="P88" i="107"/>
  <c r="P89" i="107"/>
  <c r="P90" i="107"/>
  <c r="P91" i="107"/>
  <c r="P92" i="107"/>
  <c r="AF30" i="107" s="1"/>
  <c r="P93" i="107"/>
  <c r="P94" i="107"/>
  <c r="P95" i="107"/>
  <c r="P96" i="107"/>
  <c r="P97" i="107"/>
  <c r="AF31" i="107" s="1"/>
  <c r="P98" i="107"/>
  <c r="P99" i="107"/>
  <c r="P100" i="107"/>
  <c r="AF32" i="107" s="1"/>
  <c r="P101" i="107"/>
  <c r="P102" i="107"/>
  <c r="P103" i="107"/>
  <c r="P104" i="107"/>
  <c r="P105" i="107"/>
  <c r="AF33" i="107" s="1"/>
  <c r="O58" i="107"/>
  <c r="O59" i="107"/>
  <c r="O60" i="107"/>
  <c r="O61" i="107"/>
  <c r="O62" i="107"/>
  <c r="O63" i="107"/>
  <c r="O64" i="107"/>
  <c r="O65" i="107"/>
  <c r="AE23" i="107" s="1"/>
  <c r="O66" i="107"/>
  <c r="O67" i="107"/>
  <c r="O68" i="107"/>
  <c r="AE24" i="107" s="1"/>
  <c r="O69" i="107"/>
  <c r="O70" i="107"/>
  <c r="O71" i="107"/>
  <c r="O72" i="107"/>
  <c r="O73" i="107"/>
  <c r="AE25" i="107" s="1"/>
  <c r="O74" i="107"/>
  <c r="O75" i="107"/>
  <c r="O76" i="107"/>
  <c r="O77" i="107"/>
  <c r="O78" i="107"/>
  <c r="O79" i="107"/>
  <c r="O80" i="107"/>
  <c r="O81" i="107"/>
  <c r="AE27" i="107" s="1"/>
  <c r="O82" i="107"/>
  <c r="O83" i="107"/>
  <c r="O84" i="107"/>
  <c r="AE28" i="107" s="1"/>
  <c r="O85" i="107"/>
  <c r="O86" i="107"/>
  <c r="O87" i="107"/>
  <c r="O88" i="107"/>
  <c r="O89" i="107"/>
  <c r="AE29" i="107" s="1"/>
  <c r="O90" i="107"/>
  <c r="O91" i="107"/>
  <c r="O92" i="107"/>
  <c r="O93" i="107"/>
  <c r="O94" i="107"/>
  <c r="O95" i="107"/>
  <c r="O96" i="107"/>
  <c r="O97" i="107"/>
  <c r="AE31" i="107" s="1"/>
  <c r="O98" i="107"/>
  <c r="O99" i="107"/>
  <c r="O100" i="107"/>
  <c r="O101" i="107"/>
  <c r="AE32" i="107" s="1"/>
  <c r="O102" i="107"/>
  <c r="O103" i="107"/>
  <c r="O104" i="107"/>
  <c r="O105" i="107"/>
  <c r="P58" i="108"/>
  <c r="P59" i="108"/>
  <c r="P60" i="108"/>
  <c r="AF22" i="108" s="1"/>
  <c r="P61" i="108"/>
  <c r="P62" i="108"/>
  <c r="P63" i="108"/>
  <c r="P64" i="108"/>
  <c r="AF23" i="108" s="1"/>
  <c r="P65" i="108"/>
  <c r="P66" i="108"/>
  <c r="P67" i="108"/>
  <c r="P68" i="108"/>
  <c r="P69" i="108"/>
  <c r="AF24" i="108" s="1"/>
  <c r="P70" i="108"/>
  <c r="P71" i="108"/>
  <c r="P72" i="108"/>
  <c r="P73" i="108"/>
  <c r="P74" i="108"/>
  <c r="P75" i="108"/>
  <c r="P76" i="108"/>
  <c r="AF26" i="108" s="1"/>
  <c r="P77" i="108"/>
  <c r="P78" i="108"/>
  <c r="P79" i="108"/>
  <c r="P80" i="108"/>
  <c r="P81" i="108"/>
  <c r="AF27" i="108" s="1"/>
  <c r="P82" i="108"/>
  <c r="P83" i="108"/>
  <c r="P84" i="108"/>
  <c r="P85" i="108"/>
  <c r="P86" i="108"/>
  <c r="P87" i="108"/>
  <c r="P88" i="108"/>
  <c r="AF29" i="108" s="1"/>
  <c r="P89" i="108"/>
  <c r="P90" i="108"/>
  <c r="P91" i="108"/>
  <c r="P92" i="108"/>
  <c r="AF30" i="108" s="1"/>
  <c r="P93" i="108"/>
  <c r="P94" i="108"/>
  <c r="P95" i="108"/>
  <c r="P96" i="108"/>
  <c r="P97" i="108"/>
  <c r="AF31" i="108" s="1"/>
  <c r="P98" i="108"/>
  <c r="P99" i="108"/>
  <c r="P100" i="108"/>
  <c r="P101" i="108"/>
  <c r="P102" i="108"/>
  <c r="P103" i="108"/>
  <c r="P104" i="108"/>
  <c r="AF33" i="108" s="1"/>
  <c r="P105" i="108"/>
  <c r="O58" i="108"/>
  <c r="O59" i="108"/>
  <c r="O60" i="108"/>
  <c r="O61" i="108"/>
  <c r="O62" i="108"/>
  <c r="O63" i="108"/>
  <c r="O64" i="108"/>
  <c r="O65" i="108"/>
  <c r="O66" i="108"/>
  <c r="O67" i="108"/>
  <c r="O68" i="108"/>
  <c r="O69" i="108"/>
  <c r="AE24" i="108" s="1"/>
  <c r="O70" i="108"/>
  <c r="O71" i="108"/>
  <c r="O72" i="108"/>
  <c r="O73" i="108"/>
  <c r="AE25" i="108" s="1"/>
  <c r="O74" i="108"/>
  <c r="O75" i="108"/>
  <c r="O76" i="108"/>
  <c r="AE26" i="108" s="1"/>
  <c r="O77" i="108"/>
  <c r="O78" i="108"/>
  <c r="O79" i="108"/>
  <c r="O80" i="108"/>
  <c r="AE27" i="108" s="1"/>
  <c r="O81" i="108"/>
  <c r="O82" i="108"/>
  <c r="O83" i="108"/>
  <c r="O84" i="108"/>
  <c r="AE28" i="108" s="1"/>
  <c r="O85" i="108"/>
  <c r="O86" i="108"/>
  <c r="O87" i="108"/>
  <c r="O88" i="108"/>
  <c r="AE29" i="108" s="1"/>
  <c r="O89" i="108"/>
  <c r="O90" i="108"/>
  <c r="O91" i="108"/>
  <c r="O92" i="108"/>
  <c r="AE30" i="108" s="1"/>
  <c r="O93" i="108"/>
  <c r="O94" i="108"/>
  <c r="O95" i="108"/>
  <c r="O96" i="108"/>
  <c r="AE31" i="108" s="1"/>
  <c r="O97" i="108"/>
  <c r="O98" i="108"/>
  <c r="O99" i="108"/>
  <c r="O100" i="108"/>
  <c r="AE32" i="108" s="1"/>
  <c r="O101" i="108"/>
  <c r="O102" i="108"/>
  <c r="O103" i="108"/>
  <c r="O104" i="108"/>
  <c r="AE33" i="108" s="1"/>
  <c r="O105" i="108"/>
  <c r="C59" i="111"/>
  <c r="D59" i="111"/>
  <c r="T22" i="111" s="1"/>
  <c r="E59" i="111"/>
  <c r="F59" i="111"/>
  <c r="G59" i="111"/>
  <c r="H59" i="111"/>
  <c r="I59" i="111"/>
  <c r="J59" i="111"/>
  <c r="K59" i="111"/>
  <c r="L59" i="111"/>
  <c r="AB22" i="111" s="1"/>
  <c r="M59" i="111"/>
  <c r="N59" i="111"/>
  <c r="C61" i="111"/>
  <c r="D61" i="111"/>
  <c r="E61" i="111"/>
  <c r="F61" i="111"/>
  <c r="G61" i="111"/>
  <c r="H61" i="111"/>
  <c r="I61" i="111"/>
  <c r="J61" i="111"/>
  <c r="K61" i="111"/>
  <c r="L61" i="111"/>
  <c r="M61" i="111"/>
  <c r="N61" i="111"/>
  <c r="C62" i="111"/>
  <c r="D62" i="111"/>
  <c r="E62" i="111"/>
  <c r="F62" i="111"/>
  <c r="V23" i="111" s="1"/>
  <c r="G62" i="111"/>
  <c r="H62" i="111"/>
  <c r="X23" i="111" s="1"/>
  <c r="I62" i="111"/>
  <c r="J62" i="111"/>
  <c r="K62" i="111"/>
  <c r="L62" i="111"/>
  <c r="M62" i="111"/>
  <c r="N62" i="111"/>
  <c r="AD23" i="111" s="1"/>
  <c r="C63" i="111"/>
  <c r="D63" i="111"/>
  <c r="E63" i="111"/>
  <c r="F63" i="111"/>
  <c r="G63" i="111"/>
  <c r="H63" i="111"/>
  <c r="I63" i="111"/>
  <c r="J63" i="111"/>
  <c r="K63" i="111"/>
  <c r="L63" i="111"/>
  <c r="M63" i="111"/>
  <c r="N63" i="111"/>
  <c r="C64" i="111"/>
  <c r="D64" i="111"/>
  <c r="E64" i="111"/>
  <c r="F64" i="111"/>
  <c r="G64" i="111"/>
  <c r="H64" i="111"/>
  <c r="I64" i="111"/>
  <c r="J64" i="111"/>
  <c r="K64" i="111"/>
  <c r="L64" i="111"/>
  <c r="M64" i="111"/>
  <c r="N64" i="111"/>
  <c r="C65" i="111"/>
  <c r="D65" i="111"/>
  <c r="E65" i="111"/>
  <c r="F65" i="111"/>
  <c r="G65" i="111"/>
  <c r="H65" i="111"/>
  <c r="I65" i="111"/>
  <c r="J65" i="111"/>
  <c r="K65" i="111"/>
  <c r="L65" i="111"/>
  <c r="M65" i="111"/>
  <c r="N65" i="111"/>
  <c r="C66" i="111"/>
  <c r="D66" i="111"/>
  <c r="T24" i="111" s="1"/>
  <c r="E66" i="111"/>
  <c r="F66" i="111"/>
  <c r="G66" i="111"/>
  <c r="H66" i="111"/>
  <c r="I66" i="111"/>
  <c r="J66" i="111"/>
  <c r="K66" i="111"/>
  <c r="L66" i="111"/>
  <c r="AB24" i="111" s="1"/>
  <c r="M66" i="111"/>
  <c r="N66" i="111"/>
  <c r="C67" i="111"/>
  <c r="D67" i="111"/>
  <c r="E67" i="111"/>
  <c r="F67" i="111"/>
  <c r="G67" i="111"/>
  <c r="H67" i="111"/>
  <c r="I67" i="111"/>
  <c r="J67" i="111"/>
  <c r="K67" i="111"/>
  <c r="L67" i="111"/>
  <c r="M67" i="111"/>
  <c r="N67" i="111"/>
  <c r="C68" i="111"/>
  <c r="D68" i="111"/>
  <c r="E68" i="111"/>
  <c r="F68" i="111"/>
  <c r="G68" i="111"/>
  <c r="H68" i="111"/>
  <c r="I68" i="111"/>
  <c r="J68" i="111"/>
  <c r="K68" i="111"/>
  <c r="L68" i="111"/>
  <c r="M68" i="111"/>
  <c r="N68" i="111"/>
  <c r="C69" i="111"/>
  <c r="D69" i="111"/>
  <c r="E69" i="111"/>
  <c r="F69" i="111"/>
  <c r="G69" i="111"/>
  <c r="H69" i="111"/>
  <c r="I69" i="111"/>
  <c r="J69" i="111"/>
  <c r="K69" i="111"/>
  <c r="L69" i="111"/>
  <c r="M69" i="111"/>
  <c r="N69" i="111"/>
  <c r="C70" i="111"/>
  <c r="D70" i="111"/>
  <c r="E70" i="111"/>
  <c r="F70" i="111"/>
  <c r="V25" i="111" s="1"/>
  <c r="G70" i="111"/>
  <c r="H70" i="111"/>
  <c r="X25" i="111" s="1"/>
  <c r="I70" i="111"/>
  <c r="J70" i="111"/>
  <c r="K70" i="111"/>
  <c r="L70" i="111"/>
  <c r="M70" i="111"/>
  <c r="N70" i="111"/>
  <c r="C71" i="111"/>
  <c r="D71" i="111"/>
  <c r="E71" i="111"/>
  <c r="F71" i="111"/>
  <c r="G71" i="111"/>
  <c r="H71" i="111"/>
  <c r="I71" i="111"/>
  <c r="J71" i="111"/>
  <c r="K71" i="111"/>
  <c r="L71" i="111"/>
  <c r="M71" i="111"/>
  <c r="N71" i="111"/>
  <c r="C72" i="111"/>
  <c r="D72" i="111"/>
  <c r="E72" i="111"/>
  <c r="F72" i="111"/>
  <c r="G72" i="111"/>
  <c r="H72" i="111"/>
  <c r="I72" i="111"/>
  <c r="J72" i="111"/>
  <c r="K72" i="111"/>
  <c r="L72" i="111"/>
  <c r="M72" i="111"/>
  <c r="N72" i="111"/>
  <c r="C73" i="111"/>
  <c r="D73" i="111"/>
  <c r="E73" i="111"/>
  <c r="F73" i="111"/>
  <c r="G73" i="111"/>
  <c r="H73" i="111"/>
  <c r="I73" i="111"/>
  <c r="J73" i="111"/>
  <c r="K73" i="111"/>
  <c r="L73" i="111"/>
  <c r="M73" i="111"/>
  <c r="N73" i="111"/>
  <c r="AD25" i="111" s="1"/>
  <c r="C74" i="111"/>
  <c r="D74" i="111"/>
  <c r="E74" i="111"/>
  <c r="F74" i="111"/>
  <c r="G74" i="111"/>
  <c r="H74" i="111"/>
  <c r="X26" i="111" s="1"/>
  <c r="I74" i="111"/>
  <c r="J74" i="111"/>
  <c r="K74" i="111"/>
  <c r="L74" i="111"/>
  <c r="M74" i="111"/>
  <c r="N74" i="111"/>
  <c r="C75" i="111"/>
  <c r="D75" i="111"/>
  <c r="E75" i="111"/>
  <c r="F75" i="111"/>
  <c r="G75" i="111"/>
  <c r="H75" i="111"/>
  <c r="I75" i="111"/>
  <c r="J75" i="111"/>
  <c r="K75" i="111"/>
  <c r="L75" i="111"/>
  <c r="M75" i="111"/>
  <c r="N75" i="111"/>
  <c r="C76" i="111"/>
  <c r="D76" i="111"/>
  <c r="E76" i="111"/>
  <c r="F76" i="111"/>
  <c r="G76" i="111"/>
  <c r="H76" i="111"/>
  <c r="I76" i="111"/>
  <c r="J76" i="111"/>
  <c r="K76" i="111"/>
  <c r="L76" i="111"/>
  <c r="M76" i="111"/>
  <c r="N76" i="111"/>
  <c r="C77" i="111"/>
  <c r="D77" i="111"/>
  <c r="E77" i="111"/>
  <c r="F77" i="111"/>
  <c r="G77" i="111"/>
  <c r="H77" i="111"/>
  <c r="I77" i="111"/>
  <c r="J77" i="111"/>
  <c r="K77" i="111"/>
  <c r="L77" i="111"/>
  <c r="M77" i="111"/>
  <c r="N77" i="111"/>
  <c r="C78" i="111"/>
  <c r="D78" i="111"/>
  <c r="T27" i="111" s="1"/>
  <c r="E78" i="111"/>
  <c r="F78" i="111"/>
  <c r="G78" i="111"/>
  <c r="H78" i="111"/>
  <c r="X27" i="111" s="1"/>
  <c r="I78" i="111"/>
  <c r="J78" i="111"/>
  <c r="K78" i="111"/>
  <c r="L78" i="111"/>
  <c r="AB27" i="111" s="1"/>
  <c r="M78" i="111"/>
  <c r="N78" i="111"/>
  <c r="C79" i="111"/>
  <c r="D79" i="111"/>
  <c r="E79" i="111"/>
  <c r="F79" i="111"/>
  <c r="G79" i="111"/>
  <c r="H79" i="111"/>
  <c r="I79" i="111"/>
  <c r="J79" i="111"/>
  <c r="K79" i="111"/>
  <c r="L79" i="111"/>
  <c r="M79" i="111"/>
  <c r="N79" i="111"/>
  <c r="C80" i="111"/>
  <c r="D80" i="111"/>
  <c r="E80" i="111"/>
  <c r="F80" i="111"/>
  <c r="G80" i="111"/>
  <c r="H80" i="111"/>
  <c r="I80" i="111"/>
  <c r="J80" i="111"/>
  <c r="K80" i="111"/>
  <c r="L80" i="111"/>
  <c r="M80" i="111"/>
  <c r="N80" i="111"/>
  <c r="C81" i="111"/>
  <c r="D81" i="111"/>
  <c r="E81" i="111"/>
  <c r="F81" i="111"/>
  <c r="G81" i="111"/>
  <c r="H81" i="111"/>
  <c r="I81" i="111"/>
  <c r="J81" i="111"/>
  <c r="K81" i="111"/>
  <c r="L81" i="111"/>
  <c r="M81" i="111"/>
  <c r="N81" i="111"/>
  <c r="C82" i="111"/>
  <c r="D82" i="111"/>
  <c r="T28" i="111" s="1"/>
  <c r="E82" i="111"/>
  <c r="F82" i="111"/>
  <c r="G82" i="111"/>
  <c r="H82" i="111"/>
  <c r="I82" i="111"/>
  <c r="J82" i="111"/>
  <c r="K82" i="111"/>
  <c r="L82" i="111"/>
  <c r="AB28" i="111" s="1"/>
  <c r="M82" i="111"/>
  <c r="N82" i="111"/>
  <c r="C83" i="111"/>
  <c r="D83" i="111"/>
  <c r="E83" i="111"/>
  <c r="F83" i="111"/>
  <c r="G83" i="111"/>
  <c r="H83" i="111"/>
  <c r="I83" i="111"/>
  <c r="J83" i="111"/>
  <c r="K83" i="111"/>
  <c r="L83" i="111"/>
  <c r="M83" i="111"/>
  <c r="N83" i="111"/>
  <c r="C84" i="111"/>
  <c r="D84" i="111"/>
  <c r="E84" i="111"/>
  <c r="F84" i="111"/>
  <c r="G84" i="111"/>
  <c r="H84" i="111"/>
  <c r="I84" i="111"/>
  <c r="J84" i="111"/>
  <c r="K84" i="111"/>
  <c r="L84" i="111"/>
  <c r="M84" i="111"/>
  <c r="N84" i="111"/>
  <c r="C85" i="111"/>
  <c r="D85" i="111"/>
  <c r="E85" i="111"/>
  <c r="F85" i="111"/>
  <c r="G85" i="111"/>
  <c r="H85" i="111"/>
  <c r="I85" i="111"/>
  <c r="J85" i="111"/>
  <c r="K85" i="111"/>
  <c r="L85" i="111"/>
  <c r="M85" i="111"/>
  <c r="N85" i="111"/>
  <c r="C86" i="111"/>
  <c r="D86" i="111"/>
  <c r="E86" i="111"/>
  <c r="F86" i="111"/>
  <c r="G86" i="111"/>
  <c r="H86" i="111"/>
  <c r="I86" i="111"/>
  <c r="J86" i="111"/>
  <c r="K86" i="111"/>
  <c r="L86" i="111"/>
  <c r="M86" i="111"/>
  <c r="N86" i="111"/>
  <c r="C87" i="111"/>
  <c r="D87" i="111"/>
  <c r="E87" i="111"/>
  <c r="F87" i="111"/>
  <c r="G87" i="111"/>
  <c r="H87" i="111"/>
  <c r="I87" i="111"/>
  <c r="J87" i="111"/>
  <c r="K87" i="111"/>
  <c r="L87" i="111"/>
  <c r="M87" i="111"/>
  <c r="N87" i="111"/>
  <c r="C88" i="111"/>
  <c r="D88" i="111"/>
  <c r="E88" i="111"/>
  <c r="F88" i="111"/>
  <c r="G88" i="111"/>
  <c r="H88" i="111"/>
  <c r="I88" i="111"/>
  <c r="J88" i="111"/>
  <c r="K88" i="111"/>
  <c r="L88" i="111"/>
  <c r="M88" i="111"/>
  <c r="N88" i="111"/>
  <c r="C89" i="111"/>
  <c r="D89" i="111"/>
  <c r="E89" i="111"/>
  <c r="F89" i="111"/>
  <c r="G89" i="111"/>
  <c r="H89" i="111"/>
  <c r="I89" i="111"/>
  <c r="J89" i="111"/>
  <c r="K89" i="111"/>
  <c r="L89" i="111"/>
  <c r="M89" i="111"/>
  <c r="N89" i="111"/>
  <c r="C90" i="111"/>
  <c r="D90" i="111"/>
  <c r="T30" i="111" s="1"/>
  <c r="E90" i="111"/>
  <c r="F90" i="111"/>
  <c r="G90" i="111"/>
  <c r="H90" i="111"/>
  <c r="X30" i="111" s="1"/>
  <c r="I90" i="111"/>
  <c r="J90" i="111"/>
  <c r="K90" i="111"/>
  <c r="L90" i="111"/>
  <c r="AB30" i="111" s="1"/>
  <c r="M90" i="111"/>
  <c r="N90" i="111"/>
  <c r="C91" i="111"/>
  <c r="D91" i="111"/>
  <c r="E91" i="111"/>
  <c r="F91" i="111"/>
  <c r="G91" i="111"/>
  <c r="H91" i="111"/>
  <c r="I91" i="111"/>
  <c r="J91" i="111"/>
  <c r="K91" i="111"/>
  <c r="L91" i="111"/>
  <c r="M91" i="111"/>
  <c r="N91" i="111"/>
  <c r="C92" i="111"/>
  <c r="D92" i="111"/>
  <c r="E92" i="111"/>
  <c r="F92" i="111"/>
  <c r="G92" i="111"/>
  <c r="H92" i="111"/>
  <c r="I92" i="111"/>
  <c r="J92" i="111"/>
  <c r="K92" i="111"/>
  <c r="L92" i="111"/>
  <c r="M92" i="111"/>
  <c r="N92" i="111"/>
  <c r="C93" i="111"/>
  <c r="D93" i="111"/>
  <c r="E93" i="111"/>
  <c r="F93" i="111"/>
  <c r="G93" i="111"/>
  <c r="H93" i="111"/>
  <c r="I93" i="111"/>
  <c r="J93" i="111"/>
  <c r="K93" i="111"/>
  <c r="L93" i="111"/>
  <c r="M93" i="111"/>
  <c r="N93" i="111"/>
  <c r="C94" i="111"/>
  <c r="D94" i="111"/>
  <c r="E94" i="111"/>
  <c r="F94" i="111"/>
  <c r="G94" i="111"/>
  <c r="H94" i="111"/>
  <c r="I94" i="111"/>
  <c r="J94" i="111"/>
  <c r="K94" i="111"/>
  <c r="L94" i="111"/>
  <c r="M94" i="111"/>
  <c r="N94" i="111"/>
  <c r="C95" i="111"/>
  <c r="D95" i="111"/>
  <c r="E95" i="111"/>
  <c r="F95" i="111"/>
  <c r="G95" i="111"/>
  <c r="H95" i="111"/>
  <c r="I95" i="111"/>
  <c r="J95" i="111"/>
  <c r="K95" i="111"/>
  <c r="L95" i="111"/>
  <c r="M95" i="111"/>
  <c r="N95" i="111"/>
  <c r="C96" i="111"/>
  <c r="D96" i="111"/>
  <c r="E96" i="111"/>
  <c r="F96" i="111"/>
  <c r="G96" i="111"/>
  <c r="H96" i="111"/>
  <c r="I96" i="111"/>
  <c r="J96" i="111"/>
  <c r="K96" i="111"/>
  <c r="L96" i="111"/>
  <c r="M96" i="111"/>
  <c r="N96" i="111"/>
  <c r="C97" i="111"/>
  <c r="D97" i="111"/>
  <c r="E97" i="111"/>
  <c r="F97" i="111"/>
  <c r="G97" i="111"/>
  <c r="H97" i="111"/>
  <c r="I97" i="111"/>
  <c r="J97" i="111"/>
  <c r="K97" i="111"/>
  <c r="L97" i="111"/>
  <c r="M97" i="111"/>
  <c r="N97" i="111"/>
  <c r="C98" i="111"/>
  <c r="D98" i="111"/>
  <c r="T32" i="111" s="1"/>
  <c r="E98" i="111"/>
  <c r="F98" i="111"/>
  <c r="G98" i="111"/>
  <c r="H98" i="111"/>
  <c r="X32" i="111" s="1"/>
  <c r="I98" i="111"/>
  <c r="J98" i="111"/>
  <c r="K98" i="111"/>
  <c r="L98" i="111"/>
  <c r="AB32" i="111" s="1"/>
  <c r="M98" i="111"/>
  <c r="N98" i="111"/>
  <c r="C99" i="111"/>
  <c r="D99" i="111"/>
  <c r="E99" i="111"/>
  <c r="F99" i="111"/>
  <c r="G99" i="111"/>
  <c r="H99" i="111"/>
  <c r="I99" i="111"/>
  <c r="J99" i="111"/>
  <c r="K99" i="111"/>
  <c r="L99" i="111"/>
  <c r="M99" i="111"/>
  <c r="N99" i="111"/>
  <c r="C100" i="111"/>
  <c r="D100" i="111"/>
  <c r="E100" i="111"/>
  <c r="F100" i="111"/>
  <c r="G100" i="111"/>
  <c r="H100" i="111"/>
  <c r="I100" i="111"/>
  <c r="J100" i="111"/>
  <c r="K100" i="111"/>
  <c r="L100" i="111"/>
  <c r="M100" i="111"/>
  <c r="N100" i="111"/>
  <c r="C101" i="111"/>
  <c r="D101" i="111"/>
  <c r="E101" i="111"/>
  <c r="F101" i="111"/>
  <c r="G101" i="111"/>
  <c r="H101" i="111"/>
  <c r="I101" i="111"/>
  <c r="J101" i="111"/>
  <c r="K101" i="111"/>
  <c r="L101" i="111"/>
  <c r="M101" i="111"/>
  <c r="N101" i="111"/>
  <c r="C102" i="111"/>
  <c r="D102" i="111"/>
  <c r="E102" i="111"/>
  <c r="F102" i="111"/>
  <c r="G102" i="111"/>
  <c r="H102" i="111"/>
  <c r="I102" i="111"/>
  <c r="J102" i="111"/>
  <c r="K102" i="111"/>
  <c r="L102" i="111"/>
  <c r="M102" i="111"/>
  <c r="N102" i="111"/>
  <c r="C103" i="111"/>
  <c r="D103" i="111"/>
  <c r="E103" i="111"/>
  <c r="F103" i="111"/>
  <c r="G103" i="111"/>
  <c r="H103" i="111"/>
  <c r="I103" i="111"/>
  <c r="J103" i="111"/>
  <c r="K103" i="111"/>
  <c r="L103" i="111"/>
  <c r="M103" i="111"/>
  <c r="N103" i="111"/>
  <c r="C104" i="111"/>
  <c r="D104" i="111"/>
  <c r="E104" i="111"/>
  <c r="F104" i="111"/>
  <c r="G104" i="111"/>
  <c r="H104" i="111"/>
  <c r="I104" i="111"/>
  <c r="J104" i="111"/>
  <c r="K104" i="111"/>
  <c r="L104" i="111"/>
  <c r="M104" i="111"/>
  <c r="N104" i="111"/>
  <c r="C105" i="111"/>
  <c r="D105" i="111"/>
  <c r="E105" i="111"/>
  <c r="F105" i="111"/>
  <c r="G105" i="111"/>
  <c r="H105" i="111"/>
  <c r="I105" i="111"/>
  <c r="J105" i="111"/>
  <c r="K105" i="111"/>
  <c r="L105" i="111"/>
  <c r="M105" i="111"/>
  <c r="N105" i="111"/>
  <c r="D58" i="111"/>
  <c r="E58" i="111"/>
  <c r="F58" i="111"/>
  <c r="G58" i="111"/>
  <c r="W22" i="111" s="1"/>
  <c r="H58" i="111"/>
  <c r="I58" i="111"/>
  <c r="Y22" i="111" s="1"/>
  <c r="J58" i="111"/>
  <c r="K58" i="111"/>
  <c r="L58" i="111"/>
  <c r="M58" i="111"/>
  <c r="N58" i="111"/>
  <c r="C58" i="111"/>
  <c r="C59" i="108"/>
  <c r="D59" i="108"/>
  <c r="E59" i="108"/>
  <c r="U22" i="108" s="1"/>
  <c r="F59" i="108"/>
  <c r="V22" i="108" s="1"/>
  <c r="G59" i="108"/>
  <c r="H59" i="108"/>
  <c r="I59" i="108"/>
  <c r="J59" i="108"/>
  <c r="Z22" i="108" s="1"/>
  <c r="K59" i="108"/>
  <c r="L59" i="108"/>
  <c r="M59" i="108"/>
  <c r="N59" i="108"/>
  <c r="AD22" i="108" s="1"/>
  <c r="C60" i="108"/>
  <c r="D60" i="108"/>
  <c r="E60" i="108"/>
  <c r="F60" i="108"/>
  <c r="G60" i="108"/>
  <c r="H60" i="108"/>
  <c r="I60" i="108"/>
  <c r="J60" i="108"/>
  <c r="K60" i="108"/>
  <c r="L60" i="108"/>
  <c r="M60" i="108"/>
  <c r="N60" i="108"/>
  <c r="C61" i="108"/>
  <c r="D61" i="108"/>
  <c r="E61" i="108"/>
  <c r="F61" i="108"/>
  <c r="G61" i="108"/>
  <c r="H61" i="108"/>
  <c r="I61" i="108"/>
  <c r="J61" i="108"/>
  <c r="K61" i="108"/>
  <c r="L61" i="108"/>
  <c r="M61" i="108"/>
  <c r="N61" i="108"/>
  <c r="C62" i="108"/>
  <c r="D62" i="108"/>
  <c r="E62" i="108"/>
  <c r="U23" i="108" s="1"/>
  <c r="F62" i="108"/>
  <c r="V23" i="108" s="1"/>
  <c r="G62" i="108"/>
  <c r="H62" i="108"/>
  <c r="I62" i="108"/>
  <c r="Y23" i="108" s="1"/>
  <c r="J62" i="108"/>
  <c r="Z23" i="108" s="1"/>
  <c r="K62" i="108"/>
  <c r="L62" i="108"/>
  <c r="M62" i="108"/>
  <c r="AC23" i="108" s="1"/>
  <c r="N62" i="108"/>
  <c r="AD23" i="108" s="1"/>
  <c r="C63" i="108"/>
  <c r="D63" i="108"/>
  <c r="E63" i="108"/>
  <c r="F63" i="108"/>
  <c r="G63" i="108"/>
  <c r="H63" i="108"/>
  <c r="I63" i="108"/>
  <c r="J63" i="108"/>
  <c r="K63" i="108"/>
  <c r="L63" i="108"/>
  <c r="M63" i="108"/>
  <c r="N63" i="108"/>
  <c r="C64" i="108"/>
  <c r="D64" i="108"/>
  <c r="E64" i="108"/>
  <c r="F64" i="108"/>
  <c r="G64" i="108"/>
  <c r="H64" i="108"/>
  <c r="I64" i="108"/>
  <c r="J64" i="108"/>
  <c r="K64" i="108"/>
  <c r="L64" i="108"/>
  <c r="M64" i="108"/>
  <c r="N64" i="108"/>
  <c r="C65" i="108"/>
  <c r="D65" i="108"/>
  <c r="E65" i="108"/>
  <c r="F65" i="108"/>
  <c r="G65" i="108"/>
  <c r="H65" i="108"/>
  <c r="I65" i="108"/>
  <c r="J65" i="108"/>
  <c r="K65" i="108"/>
  <c r="L65" i="108"/>
  <c r="M65" i="108"/>
  <c r="N65" i="108"/>
  <c r="C66" i="108"/>
  <c r="D66" i="108"/>
  <c r="E66" i="108"/>
  <c r="F66" i="108"/>
  <c r="V24" i="108" s="1"/>
  <c r="G66" i="108"/>
  <c r="H66" i="108"/>
  <c r="I66" i="108"/>
  <c r="J66" i="108"/>
  <c r="Z24" i="108" s="1"/>
  <c r="K66" i="108"/>
  <c r="L66" i="108"/>
  <c r="M66" i="108"/>
  <c r="N66" i="108"/>
  <c r="AD24" i="108" s="1"/>
  <c r="C67" i="108"/>
  <c r="D67" i="108"/>
  <c r="E67" i="108"/>
  <c r="F67" i="108"/>
  <c r="G67" i="108"/>
  <c r="H67" i="108"/>
  <c r="I67" i="108"/>
  <c r="J67" i="108"/>
  <c r="K67" i="108"/>
  <c r="L67" i="108"/>
  <c r="M67" i="108"/>
  <c r="N67" i="108"/>
  <c r="C68" i="108"/>
  <c r="D68" i="108"/>
  <c r="E68" i="108"/>
  <c r="F68" i="108"/>
  <c r="G68" i="108"/>
  <c r="H68" i="108"/>
  <c r="I68" i="108"/>
  <c r="J68" i="108"/>
  <c r="K68" i="108"/>
  <c r="L68" i="108"/>
  <c r="M68" i="108"/>
  <c r="N68" i="108"/>
  <c r="C69" i="108"/>
  <c r="D69" i="108"/>
  <c r="E69" i="108"/>
  <c r="F69" i="108"/>
  <c r="G69" i="108"/>
  <c r="H69" i="108"/>
  <c r="I69" i="108"/>
  <c r="J69" i="108"/>
  <c r="K69" i="108"/>
  <c r="L69" i="108"/>
  <c r="M69" i="108"/>
  <c r="N69" i="108"/>
  <c r="C70" i="108"/>
  <c r="D70" i="108"/>
  <c r="E70" i="108"/>
  <c r="U25" i="108" s="1"/>
  <c r="F70" i="108"/>
  <c r="V25" i="108" s="1"/>
  <c r="G70" i="108"/>
  <c r="H70" i="108"/>
  <c r="I70" i="108"/>
  <c r="Y25" i="108" s="1"/>
  <c r="J70" i="108"/>
  <c r="Z25" i="108" s="1"/>
  <c r="K70" i="108"/>
  <c r="L70" i="108"/>
  <c r="M70" i="108"/>
  <c r="AC25" i="108" s="1"/>
  <c r="N70" i="108"/>
  <c r="AD25" i="108" s="1"/>
  <c r="C71" i="108"/>
  <c r="D71" i="108"/>
  <c r="E71" i="108"/>
  <c r="F71" i="108"/>
  <c r="G71" i="108"/>
  <c r="H71" i="108"/>
  <c r="I71" i="108"/>
  <c r="J71" i="108"/>
  <c r="K71" i="108"/>
  <c r="L71" i="108"/>
  <c r="M71" i="108"/>
  <c r="N71" i="108"/>
  <c r="C72" i="108"/>
  <c r="D72" i="108"/>
  <c r="E72" i="108"/>
  <c r="F72" i="108"/>
  <c r="G72" i="108"/>
  <c r="H72" i="108"/>
  <c r="I72" i="108"/>
  <c r="J72" i="108"/>
  <c r="K72" i="108"/>
  <c r="L72" i="108"/>
  <c r="M72" i="108"/>
  <c r="N72" i="108"/>
  <c r="C73" i="108"/>
  <c r="D73" i="108"/>
  <c r="E73" i="108"/>
  <c r="F73" i="108"/>
  <c r="G73" i="108"/>
  <c r="H73" i="108"/>
  <c r="I73" i="108"/>
  <c r="J73" i="108"/>
  <c r="K73" i="108"/>
  <c r="L73" i="108"/>
  <c r="M73" i="108"/>
  <c r="N73" i="108"/>
  <c r="C74" i="108"/>
  <c r="D74" i="108"/>
  <c r="E74" i="108"/>
  <c r="F74" i="108"/>
  <c r="V26" i="108" s="1"/>
  <c r="G74" i="108"/>
  <c r="H74" i="108"/>
  <c r="I74" i="108"/>
  <c r="J74" i="108"/>
  <c r="Z26" i="108" s="1"/>
  <c r="K74" i="108"/>
  <c r="L74" i="108"/>
  <c r="M74" i="108"/>
  <c r="N74" i="108"/>
  <c r="AD26" i="108" s="1"/>
  <c r="C75" i="108"/>
  <c r="D75" i="108"/>
  <c r="E75" i="108"/>
  <c r="F75" i="108"/>
  <c r="G75" i="108"/>
  <c r="H75" i="108"/>
  <c r="I75" i="108"/>
  <c r="J75" i="108"/>
  <c r="K75" i="108"/>
  <c r="L75" i="108"/>
  <c r="M75" i="108"/>
  <c r="N75" i="108"/>
  <c r="C76" i="108"/>
  <c r="D76" i="108"/>
  <c r="E76" i="108"/>
  <c r="F76" i="108"/>
  <c r="G76" i="108"/>
  <c r="H76" i="108"/>
  <c r="I76" i="108"/>
  <c r="J76" i="108"/>
  <c r="K76" i="108"/>
  <c r="L76" i="108"/>
  <c r="M76" i="108"/>
  <c r="N76" i="108"/>
  <c r="C77" i="108"/>
  <c r="D77" i="108"/>
  <c r="E77" i="108"/>
  <c r="F77" i="108"/>
  <c r="G77" i="108"/>
  <c r="H77" i="108"/>
  <c r="I77" i="108"/>
  <c r="J77" i="108"/>
  <c r="K77" i="108"/>
  <c r="L77" i="108"/>
  <c r="M77" i="108"/>
  <c r="N77" i="108"/>
  <c r="C78" i="108"/>
  <c r="D78" i="108"/>
  <c r="E78" i="108"/>
  <c r="U27" i="108" s="1"/>
  <c r="F78" i="108"/>
  <c r="V27" i="108" s="1"/>
  <c r="G78" i="108"/>
  <c r="H78" i="108"/>
  <c r="I78" i="108"/>
  <c r="Y27" i="108" s="1"/>
  <c r="J78" i="108"/>
  <c r="Z27" i="108" s="1"/>
  <c r="K78" i="108"/>
  <c r="L78" i="108"/>
  <c r="M78" i="108"/>
  <c r="AC27" i="108" s="1"/>
  <c r="N78" i="108"/>
  <c r="AD27" i="108" s="1"/>
  <c r="C79" i="108"/>
  <c r="D79" i="108"/>
  <c r="E79" i="108"/>
  <c r="F79" i="108"/>
  <c r="G79" i="108"/>
  <c r="H79" i="108"/>
  <c r="I79" i="108"/>
  <c r="J79" i="108"/>
  <c r="K79" i="108"/>
  <c r="L79" i="108"/>
  <c r="M79" i="108"/>
  <c r="N79" i="108"/>
  <c r="C80" i="108"/>
  <c r="D80" i="108"/>
  <c r="E80" i="108"/>
  <c r="F80" i="108"/>
  <c r="G80" i="108"/>
  <c r="H80" i="108"/>
  <c r="I80" i="108"/>
  <c r="J80" i="108"/>
  <c r="K80" i="108"/>
  <c r="L80" i="108"/>
  <c r="M80" i="108"/>
  <c r="N80" i="108"/>
  <c r="C81" i="108"/>
  <c r="D81" i="108"/>
  <c r="E81" i="108"/>
  <c r="F81" i="108"/>
  <c r="G81" i="108"/>
  <c r="H81" i="108"/>
  <c r="I81" i="108"/>
  <c r="J81" i="108"/>
  <c r="K81" i="108"/>
  <c r="L81" i="108"/>
  <c r="M81" i="108"/>
  <c r="N81" i="108"/>
  <c r="C82" i="108"/>
  <c r="D82" i="108"/>
  <c r="T28" i="108" s="1"/>
  <c r="E82" i="108"/>
  <c r="F82" i="108"/>
  <c r="V28" i="108" s="1"/>
  <c r="G82" i="108"/>
  <c r="H82" i="108"/>
  <c r="X28" i="108" s="1"/>
  <c r="I82" i="108"/>
  <c r="J82" i="108"/>
  <c r="Z28" i="108" s="1"/>
  <c r="K82" i="108"/>
  <c r="L82" i="108"/>
  <c r="AB28" i="108" s="1"/>
  <c r="M82" i="108"/>
  <c r="N82" i="108"/>
  <c r="AD28" i="108" s="1"/>
  <c r="C83" i="108"/>
  <c r="D83" i="108"/>
  <c r="E83" i="108"/>
  <c r="F83" i="108"/>
  <c r="G83" i="108"/>
  <c r="H83" i="108"/>
  <c r="I83" i="108"/>
  <c r="J83" i="108"/>
  <c r="K83" i="108"/>
  <c r="L83" i="108"/>
  <c r="M83" i="108"/>
  <c r="N83" i="108"/>
  <c r="C84" i="108"/>
  <c r="D84" i="108"/>
  <c r="E84" i="108"/>
  <c r="F84" i="108"/>
  <c r="G84" i="108"/>
  <c r="H84" i="108"/>
  <c r="I84" i="108"/>
  <c r="J84" i="108"/>
  <c r="K84" i="108"/>
  <c r="L84" i="108"/>
  <c r="M84" i="108"/>
  <c r="N84" i="108"/>
  <c r="C85" i="108"/>
  <c r="D85" i="108"/>
  <c r="E85" i="108"/>
  <c r="F85" i="108"/>
  <c r="G85" i="108"/>
  <c r="H85" i="108"/>
  <c r="I85" i="108"/>
  <c r="J85" i="108"/>
  <c r="K85" i="108"/>
  <c r="L85" i="108"/>
  <c r="M85" i="108"/>
  <c r="N85" i="108"/>
  <c r="C86" i="108"/>
  <c r="D86" i="108"/>
  <c r="E86" i="108"/>
  <c r="U29" i="108" s="1"/>
  <c r="F86" i="108"/>
  <c r="V29" i="108" s="1"/>
  <c r="G86" i="108"/>
  <c r="H86" i="108"/>
  <c r="I86" i="108"/>
  <c r="Y29" i="108" s="1"/>
  <c r="J86" i="108"/>
  <c r="Z29" i="108" s="1"/>
  <c r="K86" i="108"/>
  <c r="L86" i="108"/>
  <c r="M86" i="108"/>
  <c r="AC29" i="108" s="1"/>
  <c r="N86" i="108"/>
  <c r="AD29" i="108" s="1"/>
  <c r="C87" i="108"/>
  <c r="D87" i="108"/>
  <c r="E87" i="108"/>
  <c r="F87" i="108"/>
  <c r="G87" i="108"/>
  <c r="H87" i="108"/>
  <c r="I87" i="108"/>
  <c r="J87" i="108"/>
  <c r="K87" i="108"/>
  <c r="L87" i="108"/>
  <c r="M87" i="108"/>
  <c r="N87" i="108"/>
  <c r="C88" i="108"/>
  <c r="D88" i="108"/>
  <c r="E88" i="108"/>
  <c r="F88" i="108"/>
  <c r="G88" i="108"/>
  <c r="H88" i="108"/>
  <c r="I88" i="108"/>
  <c r="J88" i="108"/>
  <c r="K88" i="108"/>
  <c r="L88" i="108"/>
  <c r="M88" i="108"/>
  <c r="N88" i="108"/>
  <c r="C89" i="108"/>
  <c r="D89" i="108"/>
  <c r="E89" i="108"/>
  <c r="F89" i="108"/>
  <c r="G89" i="108"/>
  <c r="H89" i="108"/>
  <c r="I89" i="108"/>
  <c r="J89" i="108"/>
  <c r="K89" i="108"/>
  <c r="L89" i="108"/>
  <c r="M89" i="108"/>
  <c r="N89" i="108"/>
  <c r="C90" i="108"/>
  <c r="D90" i="108"/>
  <c r="T30" i="108" s="1"/>
  <c r="E90" i="108"/>
  <c r="F90" i="108"/>
  <c r="V30" i="108" s="1"/>
  <c r="G90" i="108"/>
  <c r="H90" i="108"/>
  <c r="X30" i="108" s="1"/>
  <c r="I90" i="108"/>
  <c r="J90" i="108"/>
  <c r="Z30" i="108" s="1"/>
  <c r="K90" i="108"/>
  <c r="L90" i="108"/>
  <c r="AB30" i="108" s="1"/>
  <c r="M90" i="108"/>
  <c r="N90" i="108"/>
  <c r="AD30" i="108" s="1"/>
  <c r="C91" i="108"/>
  <c r="D91" i="108"/>
  <c r="E91" i="108"/>
  <c r="F91" i="108"/>
  <c r="G91" i="108"/>
  <c r="H91" i="108"/>
  <c r="I91" i="108"/>
  <c r="J91" i="108"/>
  <c r="K91" i="108"/>
  <c r="L91" i="108"/>
  <c r="M91" i="108"/>
  <c r="N91" i="108"/>
  <c r="C92" i="108"/>
  <c r="D92" i="108"/>
  <c r="E92" i="108"/>
  <c r="F92" i="108"/>
  <c r="G92" i="108"/>
  <c r="H92" i="108"/>
  <c r="I92" i="108"/>
  <c r="J92" i="108"/>
  <c r="K92" i="108"/>
  <c r="L92" i="108"/>
  <c r="M92" i="108"/>
  <c r="N92" i="108"/>
  <c r="C93" i="108"/>
  <c r="D93" i="108"/>
  <c r="E93" i="108"/>
  <c r="F93" i="108"/>
  <c r="G93" i="108"/>
  <c r="H93" i="108"/>
  <c r="I93" i="108"/>
  <c r="J93" i="108"/>
  <c r="K93" i="108"/>
  <c r="L93" i="108"/>
  <c r="M93" i="108"/>
  <c r="N93" i="108"/>
  <c r="C94" i="108"/>
  <c r="D94" i="108"/>
  <c r="E94" i="108"/>
  <c r="U31" i="108" s="1"/>
  <c r="F94" i="108"/>
  <c r="V31" i="108" s="1"/>
  <c r="G94" i="108"/>
  <c r="H94" i="108"/>
  <c r="I94" i="108"/>
  <c r="Y31" i="108" s="1"/>
  <c r="J94" i="108"/>
  <c r="Z31" i="108" s="1"/>
  <c r="K94" i="108"/>
  <c r="L94" i="108"/>
  <c r="M94" i="108"/>
  <c r="AC31" i="108" s="1"/>
  <c r="N94" i="108"/>
  <c r="AD31" i="108" s="1"/>
  <c r="C95" i="108"/>
  <c r="D95" i="108"/>
  <c r="E95" i="108"/>
  <c r="F95" i="108"/>
  <c r="G95" i="108"/>
  <c r="H95" i="108"/>
  <c r="I95" i="108"/>
  <c r="J95" i="108"/>
  <c r="K95" i="108"/>
  <c r="L95" i="108"/>
  <c r="M95" i="108"/>
  <c r="N95" i="108"/>
  <c r="C96" i="108"/>
  <c r="D96" i="108"/>
  <c r="E96" i="108"/>
  <c r="F96" i="108"/>
  <c r="G96" i="108"/>
  <c r="H96" i="108"/>
  <c r="I96" i="108"/>
  <c r="J96" i="108"/>
  <c r="K96" i="108"/>
  <c r="L96" i="108"/>
  <c r="M96" i="108"/>
  <c r="N96" i="108"/>
  <c r="C97" i="108"/>
  <c r="D97" i="108"/>
  <c r="E97" i="108"/>
  <c r="F97" i="108"/>
  <c r="G97" i="108"/>
  <c r="H97" i="108"/>
  <c r="I97" i="108"/>
  <c r="J97" i="108"/>
  <c r="K97" i="108"/>
  <c r="L97" i="108"/>
  <c r="M97" i="108"/>
  <c r="N97" i="108"/>
  <c r="C98" i="108"/>
  <c r="D98" i="108"/>
  <c r="T32" i="108" s="1"/>
  <c r="E98" i="108"/>
  <c r="F98" i="108"/>
  <c r="V32" i="108" s="1"/>
  <c r="G98" i="108"/>
  <c r="H98" i="108"/>
  <c r="X32" i="108" s="1"/>
  <c r="I98" i="108"/>
  <c r="J98" i="108"/>
  <c r="Z32" i="108" s="1"/>
  <c r="K98" i="108"/>
  <c r="L98" i="108"/>
  <c r="AB32" i="108" s="1"/>
  <c r="M98" i="108"/>
  <c r="N98" i="108"/>
  <c r="AD32" i="108" s="1"/>
  <c r="C99" i="108"/>
  <c r="D99" i="108"/>
  <c r="E99" i="108"/>
  <c r="F99" i="108"/>
  <c r="G99" i="108"/>
  <c r="H99" i="108"/>
  <c r="I99" i="108"/>
  <c r="J99" i="108"/>
  <c r="K99" i="108"/>
  <c r="L99" i="108"/>
  <c r="M99" i="108"/>
  <c r="N99" i="108"/>
  <c r="C100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C101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C102" i="108"/>
  <c r="D102" i="108"/>
  <c r="E102" i="108"/>
  <c r="U33" i="108" s="1"/>
  <c r="F102" i="108"/>
  <c r="V33" i="108" s="1"/>
  <c r="G102" i="108"/>
  <c r="H102" i="108"/>
  <c r="I102" i="108"/>
  <c r="Y33" i="108" s="1"/>
  <c r="J102" i="108"/>
  <c r="Z33" i="108" s="1"/>
  <c r="K102" i="108"/>
  <c r="L102" i="108"/>
  <c r="M102" i="108"/>
  <c r="AC33" i="108" s="1"/>
  <c r="N102" i="108"/>
  <c r="AD33" i="108" s="1"/>
  <c r="C103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C104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C105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D58" i="108"/>
  <c r="E58" i="108"/>
  <c r="F58" i="108"/>
  <c r="G58" i="108"/>
  <c r="W22" i="108" s="1"/>
  <c r="H58" i="108"/>
  <c r="I58" i="108"/>
  <c r="J58" i="108"/>
  <c r="K58" i="108"/>
  <c r="AA22" i="108" s="1"/>
  <c r="L58" i="108"/>
  <c r="M58" i="108"/>
  <c r="N58" i="108"/>
  <c r="C58" i="108"/>
  <c r="C59" i="107"/>
  <c r="D59" i="107"/>
  <c r="E59" i="107"/>
  <c r="F59" i="107"/>
  <c r="V22" i="107" s="1"/>
  <c r="G59" i="107"/>
  <c r="H59" i="107"/>
  <c r="I59" i="107"/>
  <c r="J59" i="107"/>
  <c r="Z22" i="107" s="1"/>
  <c r="K59" i="107"/>
  <c r="L59" i="107"/>
  <c r="M59" i="107"/>
  <c r="N59" i="107"/>
  <c r="AD22" i="107" s="1"/>
  <c r="C60" i="107"/>
  <c r="D60" i="107"/>
  <c r="E60" i="107"/>
  <c r="F60" i="107"/>
  <c r="G60" i="107"/>
  <c r="H60" i="107"/>
  <c r="I60" i="107"/>
  <c r="J60" i="107"/>
  <c r="K60" i="107"/>
  <c r="L60" i="107"/>
  <c r="M60" i="107"/>
  <c r="N60" i="107"/>
  <c r="C61" i="107"/>
  <c r="D61" i="107"/>
  <c r="E61" i="107"/>
  <c r="F61" i="107"/>
  <c r="G61" i="107"/>
  <c r="H61" i="107"/>
  <c r="I61" i="107"/>
  <c r="J61" i="107"/>
  <c r="K61" i="107"/>
  <c r="L61" i="107"/>
  <c r="M61" i="107"/>
  <c r="N61" i="107"/>
  <c r="C62" i="107"/>
  <c r="D62" i="107"/>
  <c r="E62" i="107"/>
  <c r="F62" i="107"/>
  <c r="V23" i="107" s="1"/>
  <c r="G62" i="107"/>
  <c r="H62" i="107"/>
  <c r="I62" i="107"/>
  <c r="J62" i="107"/>
  <c r="Z23" i="107" s="1"/>
  <c r="K62" i="107"/>
  <c r="L62" i="107"/>
  <c r="M62" i="107"/>
  <c r="N62" i="107"/>
  <c r="AD23" i="107" s="1"/>
  <c r="C63" i="107"/>
  <c r="D63" i="107"/>
  <c r="E63" i="107"/>
  <c r="F63" i="107"/>
  <c r="G63" i="107"/>
  <c r="H63" i="107"/>
  <c r="I63" i="107"/>
  <c r="J63" i="107"/>
  <c r="K63" i="107"/>
  <c r="L63" i="107"/>
  <c r="M63" i="107"/>
  <c r="N63" i="107"/>
  <c r="C64" i="107"/>
  <c r="D64" i="107"/>
  <c r="E64" i="107"/>
  <c r="F64" i="107"/>
  <c r="G64" i="107"/>
  <c r="H64" i="107"/>
  <c r="I64" i="107"/>
  <c r="J64" i="107"/>
  <c r="K64" i="107"/>
  <c r="L64" i="107"/>
  <c r="M64" i="107"/>
  <c r="N64" i="107"/>
  <c r="C65" i="107"/>
  <c r="D65" i="107"/>
  <c r="E65" i="107"/>
  <c r="F65" i="107"/>
  <c r="G65" i="107"/>
  <c r="H65" i="107"/>
  <c r="I65" i="107"/>
  <c r="J65" i="107"/>
  <c r="K65" i="107"/>
  <c r="L65" i="107"/>
  <c r="M65" i="107"/>
  <c r="N65" i="107"/>
  <c r="C66" i="107"/>
  <c r="D66" i="107"/>
  <c r="E66" i="107"/>
  <c r="F66" i="107"/>
  <c r="V24" i="107" s="1"/>
  <c r="G66" i="107"/>
  <c r="H66" i="107"/>
  <c r="I66" i="107"/>
  <c r="J66" i="107"/>
  <c r="Z24" i="107" s="1"/>
  <c r="K66" i="107"/>
  <c r="L66" i="107"/>
  <c r="M66" i="107"/>
  <c r="N66" i="107"/>
  <c r="AD24" i="107" s="1"/>
  <c r="C67" i="107"/>
  <c r="D67" i="107"/>
  <c r="E67" i="107"/>
  <c r="F67" i="107"/>
  <c r="G67" i="107"/>
  <c r="H67" i="107"/>
  <c r="I67" i="107"/>
  <c r="J67" i="107"/>
  <c r="K67" i="107"/>
  <c r="L67" i="107"/>
  <c r="M67" i="107"/>
  <c r="N67" i="107"/>
  <c r="C68" i="107"/>
  <c r="D68" i="107"/>
  <c r="E68" i="107"/>
  <c r="F68" i="107"/>
  <c r="G68" i="107"/>
  <c r="H68" i="107"/>
  <c r="I68" i="107"/>
  <c r="J68" i="107"/>
  <c r="K68" i="107"/>
  <c r="L68" i="107"/>
  <c r="M68" i="107"/>
  <c r="N68" i="107"/>
  <c r="C69" i="107"/>
  <c r="D69" i="107"/>
  <c r="E69" i="107"/>
  <c r="F69" i="107"/>
  <c r="G69" i="107"/>
  <c r="H69" i="107"/>
  <c r="I69" i="107"/>
  <c r="J69" i="107"/>
  <c r="K69" i="107"/>
  <c r="L69" i="107"/>
  <c r="M69" i="107"/>
  <c r="N69" i="107"/>
  <c r="C70" i="107"/>
  <c r="D70" i="107"/>
  <c r="E70" i="107"/>
  <c r="F70" i="107"/>
  <c r="V25" i="107" s="1"/>
  <c r="G70" i="107"/>
  <c r="H70" i="107"/>
  <c r="I70" i="107"/>
  <c r="J70" i="107"/>
  <c r="Z25" i="107" s="1"/>
  <c r="K70" i="107"/>
  <c r="L70" i="107"/>
  <c r="M70" i="107"/>
  <c r="N70" i="107"/>
  <c r="AD25" i="107" s="1"/>
  <c r="C71" i="107"/>
  <c r="D71" i="107"/>
  <c r="E71" i="107"/>
  <c r="F71" i="107"/>
  <c r="G71" i="107"/>
  <c r="H71" i="107"/>
  <c r="I71" i="107"/>
  <c r="J71" i="107"/>
  <c r="K71" i="107"/>
  <c r="L71" i="107"/>
  <c r="M71" i="107"/>
  <c r="N71" i="107"/>
  <c r="C72" i="107"/>
  <c r="D72" i="107"/>
  <c r="E72" i="107"/>
  <c r="F72" i="107"/>
  <c r="G72" i="107"/>
  <c r="H72" i="107"/>
  <c r="I72" i="107"/>
  <c r="J72" i="107"/>
  <c r="K72" i="107"/>
  <c r="L72" i="107"/>
  <c r="M72" i="107"/>
  <c r="N72" i="107"/>
  <c r="C73" i="107"/>
  <c r="D73" i="107"/>
  <c r="E73" i="107"/>
  <c r="F73" i="107"/>
  <c r="G73" i="107"/>
  <c r="H73" i="107"/>
  <c r="I73" i="107"/>
  <c r="J73" i="107"/>
  <c r="K73" i="107"/>
  <c r="L73" i="107"/>
  <c r="M73" i="107"/>
  <c r="N73" i="107"/>
  <c r="C74" i="107"/>
  <c r="D74" i="107"/>
  <c r="E74" i="107"/>
  <c r="F74" i="107"/>
  <c r="V26" i="107" s="1"/>
  <c r="G74" i="107"/>
  <c r="H74" i="107"/>
  <c r="I74" i="107"/>
  <c r="J74" i="107"/>
  <c r="Z26" i="107" s="1"/>
  <c r="K74" i="107"/>
  <c r="L74" i="107"/>
  <c r="M74" i="107"/>
  <c r="N74" i="107"/>
  <c r="AD26" i="107" s="1"/>
  <c r="C75" i="107"/>
  <c r="D75" i="107"/>
  <c r="E75" i="107"/>
  <c r="F75" i="107"/>
  <c r="G75" i="107"/>
  <c r="H75" i="107"/>
  <c r="I75" i="107"/>
  <c r="J75" i="107"/>
  <c r="K75" i="107"/>
  <c r="L75" i="107"/>
  <c r="M75" i="107"/>
  <c r="N75" i="107"/>
  <c r="C76" i="107"/>
  <c r="D76" i="107"/>
  <c r="E76" i="107"/>
  <c r="F76" i="107"/>
  <c r="G76" i="107"/>
  <c r="H76" i="107"/>
  <c r="I76" i="107"/>
  <c r="J76" i="107"/>
  <c r="K76" i="107"/>
  <c r="L76" i="107"/>
  <c r="M76" i="107"/>
  <c r="N76" i="107"/>
  <c r="C77" i="107"/>
  <c r="D77" i="107"/>
  <c r="E77" i="107"/>
  <c r="F77" i="107"/>
  <c r="G77" i="107"/>
  <c r="H77" i="107"/>
  <c r="I77" i="107"/>
  <c r="J77" i="107"/>
  <c r="K77" i="107"/>
  <c r="L77" i="107"/>
  <c r="M77" i="107"/>
  <c r="N77" i="107"/>
  <c r="C78" i="107"/>
  <c r="D78" i="107"/>
  <c r="E78" i="107"/>
  <c r="F78" i="107"/>
  <c r="V27" i="107" s="1"/>
  <c r="G78" i="107"/>
  <c r="H78" i="107"/>
  <c r="I78" i="107"/>
  <c r="J78" i="107"/>
  <c r="Z27" i="107" s="1"/>
  <c r="K78" i="107"/>
  <c r="L78" i="107"/>
  <c r="M78" i="107"/>
  <c r="N78" i="107"/>
  <c r="AD27" i="107" s="1"/>
  <c r="C79" i="107"/>
  <c r="D79" i="107"/>
  <c r="E79" i="107"/>
  <c r="F79" i="107"/>
  <c r="G79" i="107"/>
  <c r="H79" i="107"/>
  <c r="I79" i="107"/>
  <c r="J79" i="107"/>
  <c r="K79" i="107"/>
  <c r="L79" i="107"/>
  <c r="M79" i="107"/>
  <c r="N79" i="107"/>
  <c r="C80" i="107"/>
  <c r="D80" i="107"/>
  <c r="E80" i="107"/>
  <c r="F80" i="107"/>
  <c r="G80" i="107"/>
  <c r="H80" i="107"/>
  <c r="I80" i="107"/>
  <c r="J80" i="107"/>
  <c r="K80" i="107"/>
  <c r="L80" i="107"/>
  <c r="M80" i="107"/>
  <c r="N80" i="107"/>
  <c r="C81" i="107"/>
  <c r="D81" i="107"/>
  <c r="E81" i="107"/>
  <c r="F81" i="107"/>
  <c r="G81" i="107"/>
  <c r="H81" i="107"/>
  <c r="I81" i="107"/>
  <c r="J81" i="107"/>
  <c r="K81" i="107"/>
  <c r="L81" i="107"/>
  <c r="M81" i="107"/>
  <c r="N81" i="107"/>
  <c r="C82" i="107"/>
  <c r="D82" i="107"/>
  <c r="E82" i="107"/>
  <c r="F82" i="107"/>
  <c r="V28" i="107" s="1"/>
  <c r="G82" i="107"/>
  <c r="H82" i="107"/>
  <c r="I82" i="107"/>
  <c r="J82" i="107"/>
  <c r="Z28" i="107" s="1"/>
  <c r="K82" i="107"/>
  <c r="L82" i="107"/>
  <c r="M82" i="107"/>
  <c r="N82" i="107"/>
  <c r="AD28" i="107" s="1"/>
  <c r="C83" i="107"/>
  <c r="D83" i="107"/>
  <c r="E83" i="107"/>
  <c r="F83" i="107"/>
  <c r="G83" i="107"/>
  <c r="H83" i="107"/>
  <c r="I83" i="107"/>
  <c r="J83" i="107"/>
  <c r="K83" i="107"/>
  <c r="L83" i="107"/>
  <c r="M83" i="107"/>
  <c r="N83" i="107"/>
  <c r="C84" i="107"/>
  <c r="D84" i="107"/>
  <c r="E84" i="107"/>
  <c r="F84" i="107"/>
  <c r="G84" i="107"/>
  <c r="H84" i="107"/>
  <c r="I84" i="107"/>
  <c r="J84" i="107"/>
  <c r="K84" i="107"/>
  <c r="L84" i="107"/>
  <c r="M84" i="107"/>
  <c r="N84" i="107"/>
  <c r="C85" i="107"/>
  <c r="D85" i="107"/>
  <c r="E85" i="107"/>
  <c r="F85" i="107"/>
  <c r="G85" i="107"/>
  <c r="H85" i="107"/>
  <c r="I85" i="107"/>
  <c r="J85" i="107"/>
  <c r="K85" i="107"/>
  <c r="L85" i="107"/>
  <c r="M85" i="107"/>
  <c r="N85" i="107"/>
  <c r="C86" i="107"/>
  <c r="D86" i="107"/>
  <c r="E86" i="107"/>
  <c r="F86" i="107"/>
  <c r="V29" i="107" s="1"/>
  <c r="G86" i="107"/>
  <c r="H86" i="107"/>
  <c r="I86" i="107"/>
  <c r="J86" i="107"/>
  <c r="Z29" i="107" s="1"/>
  <c r="K86" i="107"/>
  <c r="L86" i="107"/>
  <c r="M86" i="107"/>
  <c r="N86" i="107"/>
  <c r="AD29" i="107" s="1"/>
  <c r="C87" i="107"/>
  <c r="D87" i="107"/>
  <c r="E87" i="107"/>
  <c r="F87" i="107"/>
  <c r="G87" i="107"/>
  <c r="H87" i="107"/>
  <c r="I87" i="107"/>
  <c r="J87" i="107"/>
  <c r="K87" i="107"/>
  <c r="L87" i="107"/>
  <c r="M87" i="107"/>
  <c r="N87" i="107"/>
  <c r="C88" i="107"/>
  <c r="D88" i="107"/>
  <c r="E88" i="107"/>
  <c r="F88" i="107"/>
  <c r="G88" i="107"/>
  <c r="H88" i="107"/>
  <c r="I88" i="107"/>
  <c r="J88" i="107"/>
  <c r="K88" i="107"/>
  <c r="L88" i="107"/>
  <c r="M88" i="107"/>
  <c r="N88" i="107"/>
  <c r="C89" i="107"/>
  <c r="D89" i="107"/>
  <c r="E89" i="107"/>
  <c r="F89" i="107"/>
  <c r="G89" i="107"/>
  <c r="H89" i="107"/>
  <c r="I89" i="107"/>
  <c r="J89" i="107"/>
  <c r="K89" i="107"/>
  <c r="L89" i="107"/>
  <c r="M89" i="107"/>
  <c r="N89" i="107"/>
  <c r="C90" i="107"/>
  <c r="D90" i="107"/>
  <c r="E90" i="107"/>
  <c r="F90" i="107"/>
  <c r="V30" i="107" s="1"/>
  <c r="G90" i="107"/>
  <c r="H90" i="107"/>
  <c r="I90" i="107"/>
  <c r="J90" i="107"/>
  <c r="Z30" i="107" s="1"/>
  <c r="K90" i="107"/>
  <c r="L90" i="107"/>
  <c r="M90" i="107"/>
  <c r="N90" i="107"/>
  <c r="AD30" i="107" s="1"/>
  <c r="C91" i="107"/>
  <c r="D91" i="107"/>
  <c r="E91" i="107"/>
  <c r="F91" i="107"/>
  <c r="G91" i="107"/>
  <c r="H91" i="107"/>
  <c r="I91" i="107"/>
  <c r="J91" i="107"/>
  <c r="K91" i="107"/>
  <c r="L91" i="107"/>
  <c r="M91" i="107"/>
  <c r="N91" i="107"/>
  <c r="C92" i="107"/>
  <c r="D92" i="107"/>
  <c r="E92" i="107"/>
  <c r="F92" i="107"/>
  <c r="G92" i="107"/>
  <c r="H92" i="107"/>
  <c r="I92" i="107"/>
  <c r="J92" i="107"/>
  <c r="K92" i="107"/>
  <c r="L92" i="107"/>
  <c r="M92" i="107"/>
  <c r="N92" i="107"/>
  <c r="C93" i="107"/>
  <c r="D93" i="107"/>
  <c r="E93" i="107"/>
  <c r="F93" i="107"/>
  <c r="G93" i="107"/>
  <c r="H93" i="107"/>
  <c r="I93" i="107"/>
  <c r="J93" i="107"/>
  <c r="K93" i="107"/>
  <c r="L93" i="107"/>
  <c r="M93" i="107"/>
  <c r="N93" i="107"/>
  <c r="C94" i="107"/>
  <c r="D94" i="107"/>
  <c r="E94" i="107"/>
  <c r="F94" i="107"/>
  <c r="V31" i="107" s="1"/>
  <c r="G94" i="107"/>
  <c r="H94" i="107"/>
  <c r="I94" i="107"/>
  <c r="J94" i="107"/>
  <c r="Z31" i="107" s="1"/>
  <c r="K94" i="107"/>
  <c r="L94" i="107"/>
  <c r="M94" i="107"/>
  <c r="N94" i="107"/>
  <c r="AD31" i="107" s="1"/>
  <c r="C95" i="107"/>
  <c r="D95" i="107"/>
  <c r="E95" i="107"/>
  <c r="F95" i="107"/>
  <c r="G95" i="107"/>
  <c r="H95" i="107"/>
  <c r="I95" i="107"/>
  <c r="J95" i="107"/>
  <c r="K95" i="107"/>
  <c r="L95" i="107"/>
  <c r="M95" i="107"/>
  <c r="N95" i="107"/>
  <c r="C96" i="107"/>
  <c r="D96" i="107"/>
  <c r="E96" i="107"/>
  <c r="F96" i="107"/>
  <c r="G96" i="107"/>
  <c r="H96" i="107"/>
  <c r="I96" i="107"/>
  <c r="J96" i="107"/>
  <c r="K96" i="107"/>
  <c r="L96" i="107"/>
  <c r="M96" i="107"/>
  <c r="N96" i="107"/>
  <c r="C97" i="107"/>
  <c r="D97" i="107"/>
  <c r="E97" i="107"/>
  <c r="F97" i="107"/>
  <c r="G97" i="107"/>
  <c r="H97" i="107"/>
  <c r="I97" i="107"/>
  <c r="J97" i="107"/>
  <c r="K97" i="107"/>
  <c r="L97" i="107"/>
  <c r="M97" i="107"/>
  <c r="N97" i="107"/>
  <c r="C98" i="107"/>
  <c r="D98" i="107"/>
  <c r="E98" i="107"/>
  <c r="F98" i="107"/>
  <c r="V32" i="107" s="1"/>
  <c r="G98" i="107"/>
  <c r="H98" i="107"/>
  <c r="I98" i="107"/>
  <c r="J98" i="107"/>
  <c r="Z32" i="107" s="1"/>
  <c r="K98" i="107"/>
  <c r="L98" i="107"/>
  <c r="M98" i="107"/>
  <c r="N98" i="107"/>
  <c r="AD32" i="107" s="1"/>
  <c r="C99" i="107"/>
  <c r="D99" i="107"/>
  <c r="E99" i="107"/>
  <c r="F99" i="107"/>
  <c r="G99" i="107"/>
  <c r="H99" i="107"/>
  <c r="I99" i="107"/>
  <c r="J99" i="107"/>
  <c r="K99" i="107"/>
  <c r="L99" i="107"/>
  <c r="M99" i="107"/>
  <c r="N99" i="107"/>
  <c r="C100" i="107"/>
  <c r="D100" i="107"/>
  <c r="E100" i="107"/>
  <c r="F100" i="107"/>
  <c r="G100" i="107"/>
  <c r="H100" i="107"/>
  <c r="I100" i="107"/>
  <c r="J100" i="107"/>
  <c r="K100" i="107"/>
  <c r="L100" i="107"/>
  <c r="M100" i="107"/>
  <c r="N100" i="107"/>
  <c r="C101" i="107"/>
  <c r="D101" i="107"/>
  <c r="E101" i="107"/>
  <c r="F101" i="107"/>
  <c r="G101" i="107"/>
  <c r="H101" i="107"/>
  <c r="I101" i="107"/>
  <c r="J101" i="107"/>
  <c r="K101" i="107"/>
  <c r="L101" i="107"/>
  <c r="M101" i="107"/>
  <c r="AC32" i="107" s="1"/>
  <c r="N101" i="107"/>
  <c r="C102" i="107"/>
  <c r="D102" i="107"/>
  <c r="E102" i="107"/>
  <c r="F102" i="107"/>
  <c r="V33" i="107" s="1"/>
  <c r="G102" i="107"/>
  <c r="H102" i="107"/>
  <c r="I102" i="107"/>
  <c r="J102" i="107"/>
  <c r="Z33" i="107" s="1"/>
  <c r="K102" i="107"/>
  <c r="L102" i="107"/>
  <c r="M102" i="107"/>
  <c r="N102" i="107"/>
  <c r="AD33" i="107" s="1"/>
  <c r="C103" i="107"/>
  <c r="D103" i="107"/>
  <c r="E103" i="107"/>
  <c r="F103" i="107"/>
  <c r="G103" i="107"/>
  <c r="H103" i="107"/>
  <c r="I103" i="107"/>
  <c r="J103" i="107"/>
  <c r="K103" i="107"/>
  <c r="L103" i="107"/>
  <c r="M103" i="107"/>
  <c r="N103" i="107"/>
  <c r="C104" i="107"/>
  <c r="D104" i="107"/>
  <c r="E104" i="107"/>
  <c r="F104" i="107"/>
  <c r="G104" i="107"/>
  <c r="H104" i="107"/>
  <c r="I104" i="107"/>
  <c r="J104" i="107"/>
  <c r="K104" i="107"/>
  <c r="L104" i="107"/>
  <c r="M104" i="107"/>
  <c r="N104" i="107"/>
  <c r="C105" i="107"/>
  <c r="D105" i="107"/>
  <c r="E105" i="107"/>
  <c r="F105" i="107"/>
  <c r="G105" i="107"/>
  <c r="H105" i="107"/>
  <c r="I105" i="107"/>
  <c r="J105" i="107"/>
  <c r="K105" i="107"/>
  <c r="L105" i="107"/>
  <c r="M105" i="107"/>
  <c r="N105" i="107"/>
  <c r="D58" i="107"/>
  <c r="E58" i="107"/>
  <c r="F58" i="107"/>
  <c r="G58" i="107"/>
  <c r="H58" i="107"/>
  <c r="I58" i="107"/>
  <c r="J58" i="107"/>
  <c r="K58" i="107"/>
  <c r="L58" i="107"/>
  <c r="M58" i="107"/>
  <c r="N58" i="107"/>
  <c r="C58" i="107"/>
  <c r="S22" i="107" s="1"/>
  <c r="AE33" i="107"/>
  <c r="AC33" i="107"/>
  <c r="AB33" i="107"/>
  <c r="AA33" i="107"/>
  <c r="Y33" i="107"/>
  <c r="X33" i="107"/>
  <c r="W33" i="107"/>
  <c r="U33" i="107"/>
  <c r="T33" i="107"/>
  <c r="S33" i="107"/>
  <c r="AB32" i="107"/>
  <c r="AA32" i="107"/>
  <c r="Y32" i="107"/>
  <c r="X32" i="107"/>
  <c r="W32" i="107"/>
  <c r="U32" i="107"/>
  <c r="T32" i="107"/>
  <c r="S32" i="107"/>
  <c r="AC31" i="107"/>
  <c r="AB31" i="107"/>
  <c r="AA31" i="107"/>
  <c r="Y31" i="107"/>
  <c r="X31" i="107"/>
  <c r="W31" i="107"/>
  <c r="U31" i="107"/>
  <c r="T31" i="107"/>
  <c r="S31" i="107"/>
  <c r="AE30" i="107"/>
  <c r="AC30" i="107"/>
  <c r="AB30" i="107"/>
  <c r="AA30" i="107"/>
  <c r="Y30" i="107"/>
  <c r="X30" i="107"/>
  <c r="W30" i="107"/>
  <c r="U30" i="107"/>
  <c r="T30" i="107"/>
  <c r="S30" i="107"/>
  <c r="AF29" i="107"/>
  <c r="AC29" i="107"/>
  <c r="AB29" i="107"/>
  <c r="AA29" i="107"/>
  <c r="Y29" i="107"/>
  <c r="X29" i="107"/>
  <c r="W29" i="107"/>
  <c r="U29" i="107"/>
  <c r="T29" i="107"/>
  <c r="S29" i="107"/>
  <c r="AC28" i="107"/>
  <c r="AB28" i="107"/>
  <c r="AA28" i="107"/>
  <c r="Y28" i="107"/>
  <c r="X28" i="107"/>
  <c r="W28" i="107"/>
  <c r="U28" i="107"/>
  <c r="T28" i="107"/>
  <c r="S28" i="107"/>
  <c r="AF27" i="107"/>
  <c r="AC27" i="107"/>
  <c r="AB27" i="107"/>
  <c r="AA27" i="107"/>
  <c r="Y27" i="107"/>
  <c r="X27" i="107"/>
  <c r="W27" i="107"/>
  <c r="U27" i="107"/>
  <c r="T27" i="107"/>
  <c r="S27" i="107"/>
  <c r="AE26" i="107"/>
  <c r="AC26" i="107"/>
  <c r="AB26" i="107"/>
  <c r="AA26" i="107"/>
  <c r="Y26" i="107"/>
  <c r="X26" i="107"/>
  <c r="W26" i="107"/>
  <c r="U26" i="107"/>
  <c r="T26" i="107"/>
  <c r="S26" i="107"/>
  <c r="AC25" i="107"/>
  <c r="AB25" i="107"/>
  <c r="AA25" i="107"/>
  <c r="Y25" i="107"/>
  <c r="X25" i="107"/>
  <c r="W25" i="107"/>
  <c r="U25" i="107"/>
  <c r="T25" i="107"/>
  <c r="S25" i="107"/>
  <c r="AC24" i="107"/>
  <c r="AB24" i="107"/>
  <c r="AA24" i="107"/>
  <c r="Y24" i="107"/>
  <c r="X24" i="107"/>
  <c r="W24" i="107"/>
  <c r="U24" i="107"/>
  <c r="T24" i="107"/>
  <c r="S24" i="107"/>
  <c r="AC23" i="107"/>
  <c r="AB23" i="107"/>
  <c r="AA23" i="107"/>
  <c r="Y23" i="107"/>
  <c r="X23" i="107"/>
  <c r="W23" i="107"/>
  <c r="U23" i="107"/>
  <c r="T23" i="107"/>
  <c r="S23" i="107"/>
  <c r="AE22" i="107"/>
  <c r="AC22" i="107"/>
  <c r="AB22" i="107"/>
  <c r="AA22" i="107"/>
  <c r="Y22" i="107"/>
  <c r="X22" i="107"/>
  <c r="W22" i="107"/>
  <c r="U22" i="107"/>
  <c r="T22" i="107"/>
  <c r="AF21" i="107"/>
  <c r="AE21" i="107"/>
  <c r="AD21" i="107"/>
  <c r="AC21" i="107"/>
  <c r="AB21" i="107"/>
  <c r="AA21" i="107"/>
  <c r="Z21" i="107"/>
  <c r="Y21" i="107"/>
  <c r="X21" i="107"/>
  <c r="W21" i="107"/>
  <c r="V21" i="107"/>
  <c r="U21" i="107"/>
  <c r="T21" i="107"/>
  <c r="S21" i="107"/>
  <c r="AF20" i="107"/>
  <c r="AE20" i="107"/>
  <c r="AD20" i="107"/>
  <c r="AC20" i="107"/>
  <c r="AC36" i="107" s="1"/>
  <c r="AB20" i="107"/>
  <c r="AA20" i="107"/>
  <c r="Z20" i="107"/>
  <c r="Y20" i="107"/>
  <c r="Y36" i="107" s="1"/>
  <c r="X20" i="107"/>
  <c r="W20" i="107"/>
  <c r="V20" i="107"/>
  <c r="U20" i="107"/>
  <c r="U36" i="107" s="1"/>
  <c r="T20" i="107"/>
  <c r="S20" i="107"/>
  <c r="AF19" i="107"/>
  <c r="AF36" i="107" s="1"/>
  <c r="AE19" i="107"/>
  <c r="AE36" i="107" s="1"/>
  <c r="AD19" i="107"/>
  <c r="AD39" i="107" s="1"/>
  <c r="AC19" i="107"/>
  <c r="AC39" i="107" s="1"/>
  <c r="AB19" i="107"/>
  <c r="AB36" i="107" s="1"/>
  <c r="AA19" i="107"/>
  <c r="AA36" i="107" s="1"/>
  <c r="Z19" i="107"/>
  <c r="Z39" i="107" s="1"/>
  <c r="Y19" i="107"/>
  <c r="Y39" i="107" s="1"/>
  <c r="X19" i="107"/>
  <c r="X36" i="107" s="1"/>
  <c r="W19" i="107"/>
  <c r="W39" i="107" s="1"/>
  <c r="V19" i="107"/>
  <c r="V39" i="107" s="1"/>
  <c r="U19" i="107"/>
  <c r="U39" i="107" s="1"/>
  <c r="T19" i="107"/>
  <c r="T36" i="107" s="1"/>
  <c r="S19" i="107"/>
  <c r="S36" i="107" s="1"/>
  <c r="AF18" i="107"/>
  <c r="AE18" i="107"/>
  <c r="AD18" i="107"/>
  <c r="AC18" i="107"/>
  <c r="AB18" i="107"/>
  <c r="AA18" i="107"/>
  <c r="Z18" i="107"/>
  <c r="Y18" i="107"/>
  <c r="X18" i="107"/>
  <c r="W18" i="107"/>
  <c r="V18" i="107"/>
  <c r="U18" i="107"/>
  <c r="T18" i="107"/>
  <c r="S18" i="107"/>
  <c r="AF17" i="107"/>
  <c r="AE17" i="107"/>
  <c r="AD17" i="107"/>
  <c r="AC17" i="107"/>
  <c r="AB17" i="107"/>
  <c r="AA17" i="107"/>
  <c r="Z17" i="107"/>
  <c r="Y17" i="107"/>
  <c r="X17" i="107"/>
  <c r="W17" i="107"/>
  <c r="V17" i="107"/>
  <c r="U17" i="107"/>
  <c r="T17" i="107"/>
  <c r="S17" i="107"/>
  <c r="AF16" i="107"/>
  <c r="AE16" i="107"/>
  <c r="AD16" i="107"/>
  <c r="AC16" i="107"/>
  <c r="AB16" i="107"/>
  <c r="AA16" i="107"/>
  <c r="Z16" i="107"/>
  <c r="Y16" i="107"/>
  <c r="X16" i="107"/>
  <c r="W16" i="107"/>
  <c r="V16" i="107"/>
  <c r="U16" i="107"/>
  <c r="T16" i="107"/>
  <c r="S16" i="107"/>
  <c r="AF15" i="107"/>
  <c r="AE15" i="107"/>
  <c r="AD15" i="107"/>
  <c r="AC15" i="107"/>
  <c r="AB15" i="107"/>
  <c r="AA15" i="107"/>
  <c r="Z15" i="107"/>
  <c r="Y15" i="107"/>
  <c r="X15" i="107"/>
  <c r="W15" i="107"/>
  <c r="V15" i="107"/>
  <c r="U15" i="107"/>
  <c r="T15" i="107"/>
  <c r="S15" i="107"/>
  <c r="AF14" i="107"/>
  <c r="AE14" i="107"/>
  <c r="AD14" i="107"/>
  <c r="AC14" i="107"/>
  <c r="AC38" i="107" s="1"/>
  <c r="AB14" i="107"/>
  <c r="AA14" i="107"/>
  <c r="Z14" i="107"/>
  <c r="Y14" i="107"/>
  <c r="Y38" i="107" s="1"/>
  <c r="X14" i="107"/>
  <c r="W14" i="107"/>
  <c r="V14" i="107"/>
  <c r="U14" i="107"/>
  <c r="U38" i="107" s="1"/>
  <c r="T14" i="107"/>
  <c r="S14" i="107"/>
  <c r="AF13" i="107"/>
  <c r="AF38" i="107" s="1"/>
  <c r="AE13" i="107"/>
  <c r="AE38" i="107" s="1"/>
  <c r="AD13" i="107"/>
  <c r="AD35" i="107" s="1"/>
  <c r="AC13" i="107"/>
  <c r="AC35" i="107" s="1"/>
  <c r="AB13" i="107"/>
  <c r="AB38" i="107" s="1"/>
  <c r="AA13" i="107"/>
  <c r="AA38" i="107" s="1"/>
  <c r="Z13" i="107"/>
  <c r="Z35" i="107" s="1"/>
  <c r="Y13" i="107"/>
  <c r="Y35" i="107" s="1"/>
  <c r="X13" i="107"/>
  <c r="X38" i="107" s="1"/>
  <c r="W13" i="107"/>
  <c r="W35" i="107" s="1"/>
  <c r="V13" i="107"/>
  <c r="V35" i="107" s="1"/>
  <c r="U13" i="107"/>
  <c r="U35" i="107" s="1"/>
  <c r="T13" i="107"/>
  <c r="T38" i="107" s="1"/>
  <c r="S13" i="107"/>
  <c r="S38" i="107" s="1"/>
  <c r="AF12" i="107"/>
  <c r="AE12" i="107"/>
  <c r="AD12" i="107"/>
  <c r="AC12" i="107"/>
  <c r="AB12" i="107"/>
  <c r="AA12" i="107"/>
  <c r="Z12" i="107"/>
  <c r="Y12" i="107"/>
  <c r="X12" i="107"/>
  <c r="W12" i="107"/>
  <c r="V12" i="107"/>
  <c r="U12" i="107"/>
  <c r="T12" i="107"/>
  <c r="S12" i="107"/>
  <c r="AF11" i="107"/>
  <c r="AE11" i="107"/>
  <c r="AD11" i="107"/>
  <c r="AC11" i="107"/>
  <c r="AB11" i="107"/>
  <c r="AA11" i="107"/>
  <c r="AA37" i="107" s="1"/>
  <c r="Z11" i="107"/>
  <c r="Y11" i="107"/>
  <c r="X11" i="107"/>
  <c r="W11" i="107"/>
  <c r="W37" i="107" s="1"/>
  <c r="V11" i="107"/>
  <c r="U11" i="107"/>
  <c r="T11" i="107"/>
  <c r="S11" i="107"/>
  <c r="AF10" i="107"/>
  <c r="AF40" i="107" s="1"/>
  <c r="AE10" i="107"/>
  <c r="AE40" i="107" s="1"/>
  <c r="AD10" i="107"/>
  <c r="AC10" i="107"/>
  <c r="AC40" i="107" s="1"/>
  <c r="AB10" i="107"/>
  <c r="AB40" i="107" s="1"/>
  <c r="AA10" i="107"/>
  <c r="AA40" i="107" s="1"/>
  <c r="Z10" i="107"/>
  <c r="Y10" i="107"/>
  <c r="X10" i="107"/>
  <c r="X40" i="107" s="1"/>
  <c r="W10" i="107"/>
  <c r="W40" i="107" s="1"/>
  <c r="V10" i="107"/>
  <c r="U10" i="107"/>
  <c r="U40" i="107" s="1"/>
  <c r="T10" i="107"/>
  <c r="T40" i="107" s="1"/>
  <c r="S10" i="107"/>
  <c r="S40" i="107" s="1"/>
  <c r="AB33" i="108"/>
  <c r="AA33" i="108"/>
  <c r="X33" i="108"/>
  <c r="W33" i="108"/>
  <c r="T33" i="108"/>
  <c r="S33" i="108"/>
  <c r="AF32" i="108"/>
  <c r="AC32" i="108"/>
  <c r="AA32" i="108"/>
  <c r="Y32" i="108"/>
  <c r="W32" i="108"/>
  <c r="U32" i="108"/>
  <c r="S32" i="108"/>
  <c r="AB31" i="108"/>
  <c r="AA31" i="108"/>
  <c r="X31" i="108"/>
  <c r="W31" i="108"/>
  <c r="T31" i="108"/>
  <c r="S31" i="108"/>
  <c r="AC30" i="108"/>
  <c r="AA30" i="108"/>
  <c r="Y30" i="108"/>
  <c r="W30" i="108"/>
  <c r="U30" i="108"/>
  <c r="S30" i="108"/>
  <c r="AB29" i="108"/>
  <c r="AA29" i="108"/>
  <c r="X29" i="108"/>
  <c r="W29" i="108"/>
  <c r="T29" i="108"/>
  <c r="S29" i="108"/>
  <c r="AF28" i="108"/>
  <c r="AC28" i="108"/>
  <c r="AA28" i="108"/>
  <c r="Y28" i="108"/>
  <c r="W28" i="108"/>
  <c r="U28" i="108"/>
  <c r="S28" i="108"/>
  <c r="AB27" i="108"/>
  <c r="AA27" i="108"/>
  <c r="X27" i="108"/>
  <c r="W27" i="108"/>
  <c r="T27" i="108"/>
  <c r="S27" i="108"/>
  <c r="AC26" i="108"/>
  <c r="AB26" i="108"/>
  <c r="AA26" i="108"/>
  <c r="Y26" i="108"/>
  <c r="X26" i="108"/>
  <c r="W26" i="108"/>
  <c r="U26" i="108"/>
  <c r="T26" i="108"/>
  <c r="S26" i="108"/>
  <c r="AF25" i="108"/>
  <c r="AB25" i="108"/>
  <c r="AA25" i="108"/>
  <c r="X25" i="108"/>
  <c r="W25" i="108"/>
  <c r="T25" i="108"/>
  <c r="S25" i="108"/>
  <c r="AC24" i="108"/>
  <c r="AB24" i="108"/>
  <c r="AA24" i="108"/>
  <c r="Y24" i="108"/>
  <c r="X24" i="108"/>
  <c r="W24" i="108"/>
  <c r="U24" i="108"/>
  <c r="T24" i="108"/>
  <c r="S24" i="108"/>
  <c r="AE23" i="108"/>
  <c r="AB23" i="108"/>
  <c r="AA23" i="108"/>
  <c r="X23" i="108"/>
  <c r="W23" i="108"/>
  <c r="T23" i="108"/>
  <c r="S23" i="108"/>
  <c r="AE22" i="108"/>
  <c r="AC22" i="108"/>
  <c r="AB22" i="108"/>
  <c r="Y22" i="108"/>
  <c r="X22" i="108"/>
  <c r="T22" i="108"/>
  <c r="S22" i="108"/>
  <c r="AF21" i="108"/>
  <c r="AE21" i="108"/>
  <c r="AD21" i="108"/>
  <c r="AC21" i="108"/>
  <c r="AB21" i="108"/>
  <c r="AA21" i="108"/>
  <c r="Z21" i="108"/>
  <c r="Y21" i="108"/>
  <c r="X21" i="108"/>
  <c r="W21" i="108"/>
  <c r="V21" i="108"/>
  <c r="U21" i="108"/>
  <c r="T21" i="108"/>
  <c r="S21" i="108"/>
  <c r="AF20" i="108"/>
  <c r="AE20" i="108"/>
  <c r="AD20" i="108"/>
  <c r="AD36" i="108" s="1"/>
  <c r="AC20" i="108"/>
  <c r="AC36" i="108" s="1"/>
  <c r="AB20" i="108"/>
  <c r="AA20" i="108"/>
  <c r="Z20" i="108"/>
  <c r="Z36" i="108" s="1"/>
  <c r="Y20" i="108"/>
  <c r="Y36" i="108" s="1"/>
  <c r="X20" i="108"/>
  <c r="W20" i="108"/>
  <c r="V20" i="108"/>
  <c r="V36" i="108" s="1"/>
  <c r="U20" i="108"/>
  <c r="U36" i="108" s="1"/>
  <c r="T20" i="108"/>
  <c r="S20" i="108"/>
  <c r="AF19" i="108"/>
  <c r="AF36" i="108" s="1"/>
  <c r="AE19" i="108"/>
  <c r="AE39" i="108" s="1"/>
  <c r="AD19" i="108"/>
  <c r="AD39" i="108" s="1"/>
  <c r="AC19" i="108"/>
  <c r="AC39" i="108" s="1"/>
  <c r="AB19" i="108"/>
  <c r="AB36" i="108" s="1"/>
  <c r="AA19" i="108"/>
  <c r="AA36" i="108" s="1"/>
  <c r="Z19" i="108"/>
  <c r="Z39" i="108" s="1"/>
  <c r="Y19" i="108"/>
  <c r="Y39" i="108" s="1"/>
  <c r="X19" i="108"/>
  <c r="X36" i="108" s="1"/>
  <c r="W19" i="108"/>
  <c r="W36" i="108" s="1"/>
  <c r="V19" i="108"/>
  <c r="V39" i="108" s="1"/>
  <c r="U19" i="108"/>
  <c r="U39" i="108" s="1"/>
  <c r="T19" i="108"/>
  <c r="T36" i="108" s="1"/>
  <c r="S19" i="108"/>
  <c r="S36" i="108" s="1"/>
  <c r="AF18" i="108"/>
  <c r="AE18" i="108"/>
  <c r="AD18" i="108"/>
  <c r="AC18" i="108"/>
  <c r="AB18" i="108"/>
  <c r="AA18" i="108"/>
  <c r="Z18" i="108"/>
  <c r="Y18" i="108"/>
  <c r="X18" i="108"/>
  <c r="W18" i="108"/>
  <c r="V18" i="108"/>
  <c r="U18" i="108"/>
  <c r="T18" i="108"/>
  <c r="S18" i="108"/>
  <c r="AF17" i="108"/>
  <c r="AE17" i="108"/>
  <c r="AD17" i="108"/>
  <c r="AC17" i="108"/>
  <c r="AB17" i="108"/>
  <c r="AA17" i="108"/>
  <c r="Z17" i="108"/>
  <c r="Y17" i="108"/>
  <c r="X17" i="108"/>
  <c r="W17" i="108"/>
  <c r="V17" i="108"/>
  <c r="U17" i="108"/>
  <c r="T17" i="108"/>
  <c r="S17" i="108"/>
  <c r="AF16" i="108"/>
  <c r="AE16" i="108"/>
  <c r="AD16" i="108"/>
  <c r="AC16" i="108"/>
  <c r="AB16" i="108"/>
  <c r="AA16" i="108"/>
  <c r="Z16" i="108"/>
  <c r="Y16" i="108"/>
  <c r="X16" i="108"/>
  <c r="W16" i="108"/>
  <c r="V16" i="108"/>
  <c r="U16" i="108"/>
  <c r="T16" i="108"/>
  <c r="S16" i="108"/>
  <c r="AF15" i="108"/>
  <c r="AE15" i="108"/>
  <c r="AD15" i="108"/>
  <c r="AC15" i="108"/>
  <c r="AB15" i="108"/>
  <c r="AA15" i="108"/>
  <c r="Z15" i="108"/>
  <c r="Y15" i="108"/>
  <c r="X15" i="108"/>
  <c r="W15" i="108"/>
  <c r="V15" i="108"/>
  <c r="U15" i="108"/>
  <c r="T15" i="108"/>
  <c r="S15" i="108"/>
  <c r="AF14" i="108"/>
  <c r="AE14" i="108"/>
  <c r="AD14" i="108"/>
  <c r="AD38" i="108" s="1"/>
  <c r="AC14" i="108"/>
  <c r="AC38" i="108" s="1"/>
  <c r="AB14" i="108"/>
  <c r="AA14" i="108"/>
  <c r="Z14" i="108"/>
  <c r="Z38" i="108" s="1"/>
  <c r="Y14" i="108"/>
  <c r="Y38" i="108" s="1"/>
  <c r="X14" i="108"/>
  <c r="W14" i="108"/>
  <c r="V14" i="108"/>
  <c r="V38" i="108" s="1"/>
  <c r="U14" i="108"/>
  <c r="U38" i="108" s="1"/>
  <c r="T14" i="108"/>
  <c r="S14" i="108"/>
  <c r="AF13" i="108"/>
  <c r="AF38" i="108" s="1"/>
  <c r="AE13" i="108"/>
  <c r="AE38" i="108" s="1"/>
  <c r="AD13" i="108"/>
  <c r="AD35" i="108" s="1"/>
  <c r="AC13" i="108"/>
  <c r="AC35" i="108" s="1"/>
  <c r="AB13" i="108"/>
  <c r="AB38" i="108" s="1"/>
  <c r="AA13" i="108"/>
  <c r="AA38" i="108" s="1"/>
  <c r="Z13" i="108"/>
  <c r="Z35" i="108" s="1"/>
  <c r="Y13" i="108"/>
  <c r="Y35" i="108" s="1"/>
  <c r="X13" i="108"/>
  <c r="X38" i="108" s="1"/>
  <c r="W13" i="108"/>
  <c r="W38" i="108" s="1"/>
  <c r="V13" i="108"/>
  <c r="V35" i="108" s="1"/>
  <c r="U13" i="108"/>
  <c r="U35" i="108" s="1"/>
  <c r="T13" i="108"/>
  <c r="T38" i="108" s="1"/>
  <c r="S13" i="108"/>
  <c r="S35" i="108" s="1"/>
  <c r="AF12" i="108"/>
  <c r="AE12" i="108"/>
  <c r="AD12" i="108"/>
  <c r="AC12" i="108"/>
  <c r="AB12" i="108"/>
  <c r="AA12" i="108"/>
  <c r="Z12" i="108"/>
  <c r="Y12" i="108"/>
  <c r="X12" i="108"/>
  <c r="W12" i="108"/>
  <c r="V12" i="108"/>
  <c r="U12" i="108"/>
  <c r="T12" i="108"/>
  <c r="S12" i="108"/>
  <c r="AF11" i="108"/>
  <c r="AE11" i="108"/>
  <c r="AE37" i="108" s="1"/>
  <c r="AD11" i="108"/>
  <c r="AC11" i="108"/>
  <c r="AB11" i="108"/>
  <c r="AA11" i="108"/>
  <c r="Z11" i="108"/>
  <c r="Y11" i="108"/>
  <c r="X11" i="108"/>
  <c r="W11" i="108"/>
  <c r="V11" i="108"/>
  <c r="U11" i="108"/>
  <c r="T11" i="108"/>
  <c r="S11" i="108"/>
  <c r="AF10" i="108"/>
  <c r="AF40" i="108" s="1"/>
  <c r="AE10" i="108"/>
  <c r="AE40" i="108" s="1"/>
  <c r="AD10" i="108"/>
  <c r="AC10" i="108"/>
  <c r="AB10" i="108"/>
  <c r="AB40" i="108" s="1"/>
  <c r="AA10" i="108"/>
  <c r="AA40" i="108" s="1"/>
  <c r="Z10" i="108"/>
  <c r="Y10" i="108"/>
  <c r="X10" i="108"/>
  <c r="X40" i="108" s="1"/>
  <c r="W10" i="108"/>
  <c r="W40" i="108" s="1"/>
  <c r="V10" i="108"/>
  <c r="U10" i="108"/>
  <c r="U34" i="108" s="1"/>
  <c r="T10" i="108"/>
  <c r="T40" i="108" s="1"/>
  <c r="S10" i="108"/>
  <c r="S40" i="108" s="1"/>
  <c r="AB33" i="111"/>
  <c r="AA33" i="111"/>
  <c r="X33" i="111"/>
  <c r="W33" i="111"/>
  <c r="T33" i="111"/>
  <c r="S33" i="111"/>
  <c r="AC32" i="111"/>
  <c r="Y32" i="111"/>
  <c r="U32" i="111"/>
  <c r="AB31" i="111"/>
  <c r="AA31" i="111"/>
  <c r="X31" i="111"/>
  <c r="W31" i="111"/>
  <c r="T31" i="111"/>
  <c r="S31" i="111"/>
  <c r="AC30" i="111"/>
  <c r="Y30" i="111"/>
  <c r="U30" i="111"/>
  <c r="AB29" i="111"/>
  <c r="AA29" i="111"/>
  <c r="X29" i="111"/>
  <c r="W29" i="111"/>
  <c r="T29" i="111"/>
  <c r="S29" i="111"/>
  <c r="AC28" i="111"/>
  <c r="AA28" i="111"/>
  <c r="Y28" i="111"/>
  <c r="X28" i="111"/>
  <c r="W28" i="111"/>
  <c r="U28" i="111"/>
  <c r="S28" i="111"/>
  <c r="AA27" i="111"/>
  <c r="W27" i="111"/>
  <c r="S27" i="111"/>
  <c r="AC26" i="111"/>
  <c r="AB26" i="111"/>
  <c r="AA26" i="111"/>
  <c r="Y26" i="111"/>
  <c r="W26" i="111"/>
  <c r="U26" i="111"/>
  <c r="T26" i="111"/>
  <c r="S26" i="111"/>
  <c r="AB25" i="111"/>
  <c r="AA25" i="111"/>
  <c r="Z25" i="111"/>
  <c r="W25" i="111"/>
  <c r="T25" i="111"/>
  <c r="S25" i="111"/>
  <c r="AC24" i="111"/>
  <c r="AA24" i="111"/>
  <c r="Y24" i="111"/>
  <c r="X24" i="111"/>
  <c r="W24" i="111"/>
  <c r="U24" i="111"/>
  <c r="S24" i="111"/>
  <c r="AB23" i="111"/>
  <c r="AA23" i="111"/>
  <c r="Z23" i="111"/>
  <c r="W23" i="111"/>
  <c r="T23" i="111"/>
  <c r="S23" i="111"/>
  <c r="AC22" i="111"/>
  <c r="AA22" i="111"/>
  <c r="X22" i="111"/>
  <c r="U22" i="111"/>
  <c r="S22" i="111"/>
  <c r="O105" i="111" l="1"/>
  <c r="P104" i="111"/>
  <c r="O103" i="111"/>
  <c r="P102" i="111"/>
  <c r="O101" i="111"/>
  <c r="P100" i="111"/>
  <c r="O99" i="111"/>
  <c r="O97" i="111"/>
  <c r="P96" i="111"/>
  <c r="O95" i="111"/>
  <c r="P94" i="111"/>
  <c r="O93" i="111"/>
  <c r="P92" i="111"/>
  <c r="O91" i="111"/>
  <c r="O89" i="111"/>
  <c r="P88" i="111"/>
  <c r="O87" i="111"/>
  <c r="P86" i="111"/>
  <c r="O85" i="111"/>
  <c r="P84" i="111"/>
  <c r="O83" i="111"/>
  <c r="P82" i="111"/>
  <c r="O81" i="111"/>
  <c r="P80" i="111"/>
  <c r="O79" i="111"/>
  <c r="P78" i="111"/>
  <c r="O77" i="111"/>
  <c r="P76" i="111"/>
  <c r="O75" i="111"/>
  <c r="P74" i="111"/>
  <c r="O73" i="111"/>
  <c r="P72" i="111"/>
  <c r="O71" i="111"/>
  <c r="P70" i="111"/>
  <c r="O69" i="111"/>
  <c r="P68" i="111"/>
  <c r="O67" i="111"/>
  <c r="P66" i="111"/>
  <c r="O65" i="111"/>
  <c r="P64" i="111"/>
  <c r="O63" i="111"/>
  <c r="P62" i="111"/>
  <c r="O61" i="111"/>
  <c r="P59" i="111"/>
  <c r="P58" i="111"/>
  <c r="O58" i="111"/>
  <c r="AC33" i="111"/>
  <c r="Y33" i="111"/>
  <c r="U33" i="111"/>
  <c r="AA32" i="111"/>
  <c r="W32" i="111"/>
  <c r="S32" i="111"/>
  <c r="AC31" i="111"/>
  <c r="Y31" i="111"/>
  <c r="U31" i="111"/>
  <c r="AA30" i="111"/>
  <c r="W30" i="111"/>
  <c r="S30" i="111"/>
  <c r="AC29" i="111"/>
  <c r="Y29" i="111"/>
  <c r="U29" i="111"/>
  <c r="AC27" i="111"/>
  <c r="Y27" i="111"/>
  <c r="U27" i="111"/>
  <c r="AC25" i="111"/>
  <c r="Y25" i="111"/>
  <c r="U25" i="111"/>
  <c r="AC23" i="111"/>
  <c r="Y23" i="111"/>
  <c r="U23" i="111"/>
  <c r="O104" i="111"/>
  <c r="O102" i="111"/>
  <c r="AE33" i="111" s="1"/>
  <c r="O100" i="111"/>
  <c r="O98" i="111"/>
  <c r="AE32" i="111" s="1"/>
  <c r="O96" i="111"/>
  <c r="O94" i="111"/>
  <c r="AE31" i="111" s="1"/>
  <c r="O92" i="111"/>
  <c r="O90" i="111"/>
  <c r="AE30" i="111" s="1"/>
  <c r="O88" i="111"/>
  <c r="O86" i="111"/>
  <c r="AE29" i="111" s="1"/>
  <c r="O84" i="111"/>
  <c r="O82" i="111"/>
  <c r="AE28" i="111" s="1"/>
  <c r="O80" i="111"/>
  <c r="O78" i="111"/>
  <c r="AE27" i="111" s="1"/>
  <c r="O76" i="111"/>
  <c r="O74" i="111"/>
  <c r="AE26" i="111" s="1"/>
  <c r="O72" i="111"/>
  <c r="O70" i="111"/>
  <c r="AE25" i="111" s="1"/>
  <c r="O68" i="111"/>
  <c r="O66" i="111"/>
  <c r="AE24" i="111" s="1"/>
  <c r="O64" i="111"/>
  <c r="O62" i="111"/>
  <c r="AE23" i="111" s="1"/>
  <c r="O59" i="111"/>
  <c r="P105" i="111"/>
  <c r="AF33" i="111" s="1"/>
  <c r="P103" i="111"/>
  <c r="P101" i="111"/>
  <c r="P99" i="111"/>
  <c r="P97" i="111"/>
  <c r="AF31" i="111" s="1"/>
  <c r="P95" i="111"/>
  <c r="P93" i="111"/>
  <c r="P91" i="111"/>
  <c r="P89" i="111"/>
  <c r="AF29" i="111" s="1"/>
  <c r="P87" i="111"/>
  <c r="P85" i="111"/>
  <c r="AF28" i="111" s="1"/>
  <c r="P83" i="111"/>
  <c r="P81" i="111"/>
  <c r="P79" i="111"/>
  <c r="P77" i="111"/>
  <c r="P75" i="111"/>
  <c r="P73" i="111"/>
  <c r="AF25" i="111" s="1"/>
  <c r="P71" i="111"/>
  <c r="P69" i="111"/>
  <c r="P67" i="111"/>
  <c r="P65" i="111"/>
  <c r="AF23" i="111" s="1"/>
  <c r="P63" i="111"/>
  <c r="P61" i="111"/>
  <c r="AD33" i="111"/>
  <c r="Z33" i="111"/>
  <c r="V33" i="111"/>
  <c r="AD32" i="111"/>
  <c r="Z32" i="111"/>
  <c r="V32" i="111"/>
  <c r="AD31" i="111"/>
  <c r="Z31" i="111"/>
  <c r="V31" i="111"/>
  <c r="AD30" i="111"/>
  <c r="Z30" i="111"/>
  <c r="V30" i="111"/>
  <c r="AD29" i="111"/>
  <c r="Z29" i="111"/>
  <c r="V29" i="111"/>
  <c r="AD28" i="111"/>
  <c r="Z28" i="111"/>
  <c r="V28" i="111"/>
  <c r="AD27" i="111"/>
  <c r="Z27" i="111"/>
  <c r="V27" i="111"/>
  <c r="AD26" i="111"/>
  <c r="Z26" i="111"/>
  <c r="V26" i="111"/>
  <c r="AD24" i="111"/>
  <c r="Z24" i="111"/>
  <c r="V24" i="111"/>
  <c r="AD22" i="111"/>
  <c r="Z22" i="111"/>
  <c r="V22" i="111"/>
  <c r="P98" i="111"/>
  <c r="P90" i="111"/>
  <c r="AE41" i="107"/>
  <c r="AC41" i="108"/>
  <c r="Y41" i="108"/>
  <c r="S41" i="108"/>
  <c r="V41" i="108"/>
  <c r="Z41" i="108"/>
  <c r="AD41" i="108"/>
  <c r="AA41" i="108"/>
  <c r="W41" i="108"/>
  <c r="W42" i="108" s="1"/>
  <c r="AD41" i="107"/>
  <c r="Z41" i="107"/>
  <c r="V41" i="107"/>
  <c r="Y41" i="107"/>
  <c r="S41" i="107"/>
  <c r="S42" i="107"/>
  <c r="AE42" i="107"/>
  <c r="V42" i="107"/>
  <c r="Y34" i="107"/>
  <c r="AA35" i="107"/>
  <c r="S37" i="107"/>
  <c r="AE37" i="107"/>
  <c r="AA39" i="107"/>
  <c r="Y40" i="107"/>
  <c r="W41" i="107"/>
  <c r="W42" i="107" s="1"/>
  <c r="V34" i="107"/>
  <c r="Z34" i="107"/>
  <c r="AD34" i="107"/>
  <c r="T35" i="107"/>
  <c r="X35" i="107"/>
  <c r="AB35" i="107"/>
  <c r="AF35" i="107"/>
  <c r="V36" i="107"/>
  <c r="Z36" i="107"/>
  <c r="AD36" i="107"/>
  <c r="T37" i="107"/>
  <c r="X37" i="107"/>
  <c r="AB37" i="107"/>
  <c r="AF37" i="107"/>
  <c r="V38" i="107"/>
  <c r="Z38" i="107"/>
  <c r="AD38" i="107"/>
  <c r="T39" i="107"/>
  <c r="X39" i="107"/>
  <c r="AB39" i="107"/>
  <c r="AF39" i="107"/>
  <c r="V40" i="107"/>
  <c r="Z40" i="107"/>
  <c r="Z42" i="107" s="1"/>
  <c r="AD40" i="107"/>
  <c r="AD42" i="107" s="1"/>
  <c r="T41" i="107"/>
  <c r="T42" i="107" s="1"/>
  <c r="X41" i="107"/>
  <c r="X42" i="107" s="1"/>
  <c r="AB41" i="107"/>
  <c r="AB42" i="107" s="1"/>
  <c r="AF41" i="107"/>
  <c r="AF42" i="107" s="1"/>
  <c r="U34" i="107"/>
  <c r="S35" i="107"/>
  <c r="AE35" i="107"/>
  <c r="S39" i="107"/>
  <c r="AE39" i="107"/>
  <c r="AA41" i="107"/>
  <c r="AA42" i="107" s="1"/>
  <c r="S34" i="107"/>
  <c r="W34" i="107"/>
  <c r="AA34" i="107"/>
  <c r="AE34" i="107"/>
  <c r="W36" i="107"/>
  <c r="U37" i="107"/>
  <c r="Y37" i="107"/>
  <c r="AC37" i="107"/>
  <c r="W38" i="107"/>
  <c r="U41" i="107"/>
  <c r="U42" i="107" s="1"/>
  <c r="AC41" i="107"/>
  <c r="AC42" i="107" s="1"/>
  <c r="AC34" i="107"/>
  <c r="T34" i="107"/>
  <c r="X34" i="107"/>
  <c r="AB34" i="107"/>
  <c r="AF34" i="107"/>
  <c r="V37" i="107"/>
  <c r="Z37" i="107"/>
  <c r="AD37" i="107"/>
  <c r="S42" i="108"/>
  <c r="AA42" i="108"/>
  <c r="AD42" i="108"/>
  <c r="Y34" i="108"/>
  <c r="W35" i="108"/>
  <c r="AE35" i="108"/>
  <c r="W37" i="108"/>
  <c r="S39" i="108"/>
  <c r="AA39" i="108"/>
  <c r="Y40" i="108"/>
  <c r="Y42" i="108" s="1"/>
  <c r="AE41" i="108"/>
  <c r="AE42" i="108" s="1"/>
  <c r="V34" i="108"/>
  <c r="Z34" i="108"/>
  <c r="AD34" i="108"/>
  <c r="T35" i="108"/>
  <c r="X35" i="108"/>
  <c r="AB35" i="108"/>
  <c r="AF35" i="108"/>
  <c r="T37" i="108"/>
  <c r="X37" i="108"/>
  <c r="AB37" i="108"/>
  <c r="AF37" i="108"/>
  <c r="T39" i="108"/>
  <c r="X39" i="108"/>
  <c r="AB39" i="108"/>
  <c r="AF39" i="108"/>
  <c r="V40" i="108"/>
  <c r="V42" i="108" s="1"/>
  <c r="Z40" i="108"/>
  <c r="Z42" i="108" s="1"/>
  <c r="AD40" i="108"/>
  <c r="T41" i="108"/>
  <c r="T42" i="108" s="1"/>
  <c r="X41" i="108"/>
  <c r="X42" i="108" s="1"/>
  <c r="AB41" i="108"/>
  <c r="AB42" i="108" s="1"/>
  <c r="AF41" i="108"/>
  <c r="AF42" i="108" s="1"/>
  <c r="AC34" i="108"/>
  <c r="AA35" i="108"/>
  <c r="AA37" i="108"/>
  <c r="W39" i="108"/>
  <c r="U40" i="108"/>
  <c r="AC40" i="108"/>
  <c r="AC42" i="108" s="1"/>
  <c r="S34" i="108"/>
  <c r="W34" i="108"/>
  <c r="AA34" i="108"/>
  <c r="AE34" i="108"/>
  <c r="AE36" i="108"/>
  <c r="U37" i="108"/>
  <c r="Y37" i="108"/>
  <c r="AC37" i="108"/>
  <c r="S38" i="108"/>
  <c r="U41" i="108"/>
  <c r="U42" i="108" s="1"/>
  <c r="S37" i="108"/>
  <c r="T34" i="108"/>
  <c r="X34" i="108"/>
  <c r="AB34" i="108"/>
  <c r="AF34" i="108"/>
  <c r="V37" i="108"/>
  <c r="Z37" i="108"/>
  <c r="AD37" i="108"/>
  <c r="AF26" i="111" l="1"/>
  <c r="AF27" i="111"/>
  <c r="AE22" i="111"/>
  <c r="AF24" i="111"/>
  <c r="AF30" i="111"/>
  <c r="AF32" i="111"/>
  <c r="AF22" i="111"/>
  <c r="Y42" i="107"/>
  <c r="C59" i="110" l="1"/>
  <c r="D59" i="110"/>
  <c r="E59" i="110"/>
  <c r="F59" i="110"/>
  <c r="G59" i="110"/>
  <c r="H59" i="110"/>
  <c r="I59" i="110"/>
  <c r="J59" i="110"/>
  <c r="K59" i="110"/>
  <c r="L59" i="110"/>
  <c r="M59" i="110"/>
  <c r="N59" i="110"/>
  <c r="C60" i="110"/>
  <c r="D60" i="110"/>
  <c r="E60" i="110"/>
  <c r="F60" i="110"/>
  <c r="G60" i="110"/>
  <c r="H60" i="110"/>
  <c r="I60" i="110"/>
  <c r="J60" i="110"/>
  <c r="K60" i="110"/>
  <c r="L60" i="110"/>
  <c r="M60" i="110"/>
  <c r="N60" i="110"/>
  <c r="C61" i="110"/>
  <c r="D61" i="110"/>
  <c r="E61" i="110"/>
  <c r="F61" i="110"/>
  <c r="G61" i="110"/>
  <c r="H61" i="110"/>
  <c r="I61" i="110"/>
  <c r="J61" i="110"/>
  <c r="K61" i="110"/>
  <c r="L61" i="110"/>
  <c r="M61" i="110"/>
  <c r="N61" i="110"/>
  <c r="C62" i="110"/>
  <c r="D62" i="110"/>
  <c r="E62" i="110"/>
  <c r="F62" i="110"/>
  <c r="G62" i="110"/>
  <c r="H62" i="110"/>
  <c r="I62" i="110"/>
  <c r="J62" i="110"/>
  <c r="K62" i="110"/>
  <c r="L62" i="110"/>
  <c r="M62" i="110"/>
  <c r="N62" i="110"/>
  <c r="C63" i="110"/>
  <c r="D63" i="110"/>
  <c r="E63" i="110"/>
  <c r="F63" i="110"/>
  <c r="G63" i="110"/>
  <c r="H63" i="110"/>
  <c r="I63" i="110"/>
  <c r="J63" i="110"/>
  <c r="K63" i="110"/>
  <c r="L63" i="110"/>
  <c r="M63" i="110"/>
  <c r="N63" i="110"/>
  <c r="C64" i="110"/>
  <c r="D64" i="110"/>
  <c r="E64" i="110"/>
  <c r="F64" i="110"/>
  <c r="G64" i="110"/>
  <c r="H64" i="110"/>
  <c r="I64" i="110"/>
  <c r="J64" i="110"/>
  <c r="K64" i="110"/>
  <c r="L64" i="110"/>
  <c r="M64" i="110"/>
  <c r="N64" i="110"/>
  <c r="C65" i="110"/>
  <c r="D65" i="110"/>
  <c r="E65" i="110"/>
  <c r="F65" i="110"/>
  <c r="G65" i="110"/>
  <c r="H65" i="110"/>
  <c r="I65" i="110"/>
  <c r="J65" i="110"/>
  <c r="K65" i="110"/>
  <c r="L65" i="110"/>
  <c r="M65" i="110"/>
  <c r="N65" i="110"/>
  <c r="C66" i="110"/>
  <c r="D66" i="110"/>
  <c r="E66" i="110"/>
  <c r="F66" i="110"/>
  <c r="G66" i="110"/>
  <c r="H66" i="110"/>
  <c r="I66" i="110"/>
  <c r="J66" i="110"/>
  <c r="K66" i="110"/>
  <c r="L66" i="110"/>
  <c r="M66" i="110"/>
  <c r="N66" i="110"/>
  <c r="C67" i="110"/>
  <c r="D67" i="110"/>
  <c r="E67" i="110"/>
  <c r="F67" i="110"/>
  <c r="G67" i="110"/>
  <c r="H67" i="110"/>
  <c r="I67" i="110"/>
  <c r="J67" i="110"/>
  <c r="K67" i="110"/>
  <c r="L67" i="110"/>
  <c r="M67" i="110"/>
  <c r="N67" i="110"/>
  <c r="C68" i="110"/>
  <c r="D68" i="110"/>
  <c r="E68" i="110"/>
  <c r="F68" i="110"/>
  <c r="G68" i="110"/>
  <c r="H68" i="110"/>
  <c r="I68" i="110"/>
  <c r="J68" i="110"/>
  <c r="K68" i="110"/>
  <c r="L68" i="110"/>
  <c r="M68" i="110"/>
  <c r="N68" i="110"/>
  <c r="C69" i="110"/>
  <c r="D69" i="110"/>
  <c r="E69" i="110"/>
  <c r="F69" i="110"/>
  <c r="G69" i="110"/>
  <c r="H69" i="110"/>
  <c r="I69" i="110"/>
  <c r="J69" i="110"/>
  <c r="K69" i="110"/>
  <c r="L69" i="110"/>
  <c r="M69" i="110"/>
  <c r="N69" i="110"/>
  <c r="C70" i="110"/>
  <c r="D70" i="110"/>
  <c r="E70" i="110"/>
  <c r="F70" i="110"/>
  <c r="G70" i="110"/>
  <c r="H70" i="110"/>
  <c r="I70" i="110"/>
  <c r="J70" i="110"/>
  <c r="K70" i="110"/>
  <c r="L70" i="110"/>
  <c r="M70" i="110"/>
  <c r="N70" i="110"/>
  <c r="C71" i="110"/>
  <c r="D71" i="110"/>
  <c r="E71" i="110"/>
  <c r="F71" i="110"/>
  <c r="G71" i="110"/>
  <c r="H71" i="110"/>
  <c r="I71" i="110"/>
  <c r="J71" i="110"/>
  <c r="K71" i="110"/>
  <c r="L71" i="110"/>
  <c r="M71" i="110"/>
  <c r="N71" i="110"/>
  <c r="C72" i="110"/>
  <c r="D72" i="110"/>
  <c r="E72" i="110"/>
  <c r="F72" i="110"/>
  <c r="G72" i="110"/>
  <c r="H72" i="110"/>
  <c r="I72" i="110"/>
  <c r="J72" i="110"/>
  <c r="K72" i="110"/>
  <c r="L72" i="110"/>
  <c r="M72" i="110"/>
  <c r="N72" i="110"/>
  <c r="C73" i="110"/>
  <c r="D73" i="110"/>
  <c r="E73" i="110"/>
  <c r="F73" i="110"/>
  <c r="G73" i="110"/>
  <c r="H73" i="110"/>
  <c r="I73" i="110"/>
  <c r="J73" i="110"/>
  <c r="K73" i="110"/>
  <c r="L73" i="110"/>
  <c r="M73" i="110"/>
  <c r="N73" i="110"/>
  <c r="C74" i="110"/>
  <c r="D74" i="110"/>
  <c r="E74" i="110"/>
  <c r="F74" i="110"/>
  <c r="G74" i="110"/>
  <c r="H74" i="110"/>
  <c r="I74" i="110"/>
  <c r="J74" i="110"/>
  <c r="K74" i="110"/>
  <c r="L74" i="110"/>
  <c r="M74" i="110"/>
  <c r="N74" i="110"/>
  <c r="C75" i="110"/>
  <c r="D75" i="110"/>
  <c r="E75" i="110"/>
  <c r="F75" i="110"/>
  <c r="G75" i="110"/>
  <c r="H75" i="110"/>
  <c r="I75" i="110"/>
  <c r="J75" i="110"/>
  <c r="K75" i="110"/>
  <c r="L75" i="110"/>
  <c r="M75" i="110"/>
  <c r="N75" i="110"/>
  <c r="C76" i="110"/>
  <c r="D76" i="110"/>
  <c r="E76" i="110"/>
  <c r="F76" i="110"/>
  <c r="G76" i="110"/>
  <c r="H76" i="110"/>
  <c r="I76" i="110"/>
  <c r="J76" i="110"/>
  <c r="K76" i="110"/>
  <c r="L76" i="110"/>
  <c r="M76" i="110"/>
  <c r="N76" i="110"/>
  <c r="C77" i="110"/>
  <c r="D77" i="110"/>
  <c r="E77" i="110"/>
  <c r="F77" i="110"/>
  <c r="G77" i="110"/>
  <c r="H77" i="110"/>
  <c r="I77" i="110"/>
  <c r="J77" i="110"/>
  <c r="K77" i="110"/>
  <c r="L77" i="110"/>
  <c r="M77" i="110"/>
  <c r="N77" i="110"/>
  <c r="C78" i="110"/>
  <c r="D78" i="110"/>
  <c r="E78" i="110"/>
  <c r="F78" i="110"/>
  <c r="G78" i="110"/>
  <c r="H78" i="110"/>
  <c r="I78" i="110"/>
  <c r="J78" i="110"/>
  <c r="K78" i="110"/>
  <c r="L78" i="110"/>
  <c r="M78" i="110"/>
  <c r="N78" i="110"/>
  <c r="C79" i="110"/>
  <c r="D79" i="110"/>
  <c r="E79" i="110"/>
  <c r="F79" i="110"/>
  <c r="G79" i="110"/>
  <c r="H79" i="110"/>
  <c r="I79" i="110"/>
  <c r="J79" i="110"/>
  <c r="K79" i="110"/>
  <c r="L79" i="110"/>
  <c r="M79" i="110"/>
  <c r="N79" i="110"/>
  <c r="C80" i="110"/>
  <c r="D80" i="110"/>
  <c r="E80" i="110"/>
  <c r="F80" i="110"/>
  <c r="G80" i="110"/>
  <c r="H80" i="110"/>
  <c r="I80" i="110"/>
  <c r="J80" i="110"/>
  <c r="K80" i="110"/>
  <c r="L80" i="110"/>
  <c r="M80" i="110"/>
  <c r="N80" i="110"/>
  <c r="C81" i="110"/>
  <c r="D81" i="110"/>
  <c r="E81" i="110"/>
  <c r="F81" i="110"/>
  <c r="G81" i="110"/>
  <c r="H81" i="110"/>
  <c r="I81" i="110"/>
  <c r="J81" i="110"/>
  <c r="K81" i="110"/>
  <c r="L81" i="110"/>
  <c r="M81" i="110"/>
  <c r="N81" i="110"/>
  <c r="C82" i="110"/>
  <c r="D82" i="110"/>
  <c r="E82" i="110"/>
  <c r="F82" i="110"/>
  <c r="G82" i="110"/>
  <c r="H82" i="110"/>
  <c r="I82" i="110"/>
  <c r="J82" i="110"/>
  <c r="K82" i="110"/>
  <c r="L82" i="110"/>
  <c r="M82" i="110"/>
  <c r="N82" i="110"/>
  <c r="C83" i="110"/>
  <c r="D83" i="110"/>
  <c r="E83" i="110"/>
  <c r="F83" i="110"/>
  <c r="G83" i="110"/>
  <c r="H83" i="110"/>
  <c r="I83" i="110"/>
  <c r="J83" i="110"/>
  <c r="K83" i="110"/>
  <c r="L83" i="110"/>
  <c r="M83" i="110"/>
  <c r="N83" i="110"/>
  <c r="C84" i="110"/>
  <c r="D84" i="110"/>
  <c r="E84" i="110"/>
  <c r="F84" i="110"/>
  <c r="G84" i="110"/>
  <c r="H84" i="110"/>
  <c r="I84" i="110"/>
  <c r="J84" i="110"/>
  <c r="K84" i="110"/>
  <c r="L84" i="110"/>
  <c r="M84" i="110"/>
  <c r="N84" i="110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C86" i="110"/>
  <c r="D86" i="110"/>
  <c r="E86" i="110"/>
  <c r="F86" i="110"/>
  <c r="G86" i="110"/>
  <c r="H86" i="110"/>
  <c r="I86" i="110"/>
  <c r="J86" i="110"/>
  <c r="K86" i="110"/>
  <c r="L86" i="110"/>
  <c r="M86" i="110"/>
  <c r="N86" i="110"/>
  <c r="C87" i="110"/>
  <c r="D87" i="110"/>
  <c r="E87" i="110"/>
  <c r="F87" i="110"/>
  <c r="G87" i="110"/>
  <c r="H87" i="110"/>
  <c r="I87" i="110"/>
  <c r="J87" i="110"/>
  <c r="K87" i="110"/>
  <c r="L87" i="110"/>
  <c r="M87" i="110"/>
  <c r="N87" i="110"/>
  <c r="C88" i="110"/>
  <c r="D88" i="110"/>
  <c r="E88" i="110"/>
  <c r="F88" i="110"/>
  <c r="G88" i="110"/>
  <c r="H88" i="110"/>
  <c r="I88" i="110"/>
  <c r="J88" i="110"/>
  <c r="K88" i="110"/>
  <c r="L88" i="110"/>
  <c r="M88" i="110"/>
  <c r="N88" i="110"/>
  <c r="C89" i="110"/>
  <c r="D89" i="110"/>
  <c r="E89" i="110"/>
  <c r="F89" i="110"/>
  <c r="G89" i="110"/>
  <c r="H89" i="110"/>
  <c r="I89" i="110"/>
  <c r="J89" i="110"/>
  <c r="K89" i="110"/>
  <c r="L89" i="110"/>
  <c r="M89" i="110"/>
  <c r="N89" i="110"/>
  <c r="C90" i="110"/>
  <c r="D90" i="110"/>
  <c r="E90" i="110"/>
  <c r="F90" i="110"/>
  <c r="G90" i="110"/>
  <c r="H90" i="110"/>
  <c r="I90" i="110"/>
  <c r="J90" i="110"/>
  <c r="K90" i="110"/>
  <c r="L90" i="110"/>
  <c r="M90" i="110"/>
  <c r="N90" i="110"/>
  <c r="C91" i="110"/>
  <c r="D91" i="110"/>
  <c r="E91" i="110"/>
  <c r="F91" i="110"/>
  <c r="G91" i="110"/>
  <c r="H91" i="110"/>
  <c r="I91" i="110"/>
  <c r="J91" i="110"/>
  <c r="K91" i="110"/>
  <c r="L91" i="110"/>
  <c r="M91" i="110"/>
  <c r="N91" i="110"/>
  <c r="C92" i="110"/>
  <c r="D92" i="110"/>
  <c r="E92" i="110"/>
  <c r="F92" i="110"/>
  <c r="G92" i="110"/>
  <c r="H92" i="110"/>
  <c r="I92" i="110"/>
  <c r="J92" i="110"/>
  <c r="K92" i="110"/>
  <c r="L92" i="110"/>
  <c r="M92" i="110"/>
  <c r="N92" i="110"/>
  <c r="C93" i="110"/>
  <c r="D93" i="110"/>
  <c r="E93" i="110"/>
  <c r="F93" i="110"/>
  <c r="G93" i="110"/>
  <c r="H93" i="110"/>
  <c r="I93" i="110"/>
  <c r="J93" i="110"/>
  <c r="K93" i="110"/>
  <c r="L93" i="110"/>
  <c r="M93" i="110"/>
  <c r="N93" i="110"/>
  <c r="C94" i="110"/>
  <c r="D94" i="110"/>
  <c r="E94" i="110"/>
  <c r="F94" i="110"/>
  <c r="G94" i="110"/>
  <c r="H94" i="110"/>
  <c r="I94" i="110"/>
  <c r="J94" i="110"/>
  <c r="K94" i="110"/>
  <c r="L94" i="110"/>
  <c r="M94" i="110"/>
  <c r="N94" i="110"/>
  <c r="C95" i="110"/>
  <c r="D95" i="110"/>
  <c r="E95" i="110"/>
  <c r="F95" i="110"/>
  <c r="G95" i="110"/>
  <c r="H95" i="110"/>
  <c r="I95" i="110"/>
  <c r="J95" i="110"/>
  <c r="K95" i="110"/>
  <c r="L95" i="110"/>
  <c r="M95" i="110"/>
  <c r="N95" i="110"/>
  <c r="C96" i="110"/>
  <c r="D96" i="110"/>
  <c r="E96" i="110"/>
  <c r="F96" i="110"/>
  <c r="G96" i="110"/>
  <c r="H96" i="110"/>
  <c r="I96" i="110"/>
  <c r="J96" i="110"/>
  <c r="K96" i="110"/>
  <c r="L96" i="110"/>
  <c r="M96" i="110"/>
  <c r="N96" i="110"/>
  <c r="C97" i="110"/>
  <c r="D97" i="110"/>
  <c r="E97" i="110"/>
  <c r="F97" i="110"/>
  <c r="G97" i="110"/>
  <c r="H97" i="110"/>
  <c r="I97" i="110"/>
  <c r="J97" i="110"/>
  <c r="K97" i="110"/>
  <c r="L97" i="110"/>
  <c r="M97" i="110"/>
  <c r="N97" i="110"/>
  <c r="C98" i="110"/>
  <c r="D98" i="110"/>
  <c r="E98" i="110"/>
  <c r="F98" i="110"/>
  <c r="G98" i="110"/>
  <c r="H98" i="110"/>
  <c r="I98" i="110"/>
  <c r="J98" i="110"/>
  <c r="K98" i="110"/>
  <c r="L98" i="110"/>
  <c r="M98" i="110"/>
  <c r="N98" i="110"/>
  <c r="C99" i="110"/>
  <c r="D99" i="110"/>
  <c r="E99" i="110"/>
  <c r="F99" i="110"/>
  <c r="G99" i="110"/>
  <c r="H99" i="110"/>
  <c r="I99" i="110"/>
  <c r="J99" i="110"/>
  <c r="K99" i="110"/>
  <c r="L99" i="110"/>
  <c r="M99" i="110"/>
  <c r="N99" i="110"/>
  <c r="C100" i="110"/>
  <c r="D100" i="110"/>
  <c r="E100" i="110"/>
  <c r="F100" i="110"/>
  <c r="G100" i="110"/>
  <c r="H100" i="110"/>
  <c r="I100" i="110"/>
  <c r="J100" i="110"/>
  <c r="K100" i="110"/>
  <c r="L100" i="110"/>
  <c r="M100" i="110"/>
  <c r="N100" i="110"/>
  <c r="C101" i="110"/>
  <c r="D101" i="110"/>
  <c r="E101" i="110"/>
  <c r="F101" i="110"/>
  <c r="G101" i="110"/>
  <c r="H101" i="110"/>
  <c r="I101" i="110"/>
  <c r="J101" i="110"/>
  <c r="K101" i="110"/>
  <c r="L101" i="110"/>
  <c r="M101" i="110"/>
  <c r="N101" i="110"/>
  <c r="C102" i="110"/>
  <c r="D102" i="110"/>
  <c r="E102" i="110"/>
  <c r="F102" i="110"/>
  <c r="G102" i="110"/>
  <c r="H102" i="110"/>
  <c r="I102" i="110"/>
  <c r="J102" i="110"/>
  <c r="K102" i="110"/>
  <c r="L102" i="110"/>
  <c r="M102" i="110"/>
  <c r="N102" i="110"/>
  <c r="C103" i="110"/>
  <c r="D103" i="110"/>
  <c r="E103" i="110"/>
  <c r="F103" i="110"/>
  <c r="G103" i="110"/>
  <c r="H103" i="110"/>
  <c r="I103" i="110"/>
  <c r="J103" i="110"/>
  <c r="K103" i="110"/>
  <c r="L103" i="110"/>
  <c r="M103" i="110"/>
  <c r="N103" i="110"/>
  <c r="C104" i="110"/>
  <c r="D104" i="110"/>
  <c r="E104" i="110"/>
  <c r="F104" i="110"/>
  <c r="G104" i="110"/>
  <c r="H104" i="110"/>
  <c r="I104" i="110"/>
  <c r="J104" i="110"/>
  <c r="K104" i="110"/>
  <c r="L104" i="110"/>
  <c r="M104" i="110"/>
  <c r="N104" i="110"/>
  <c r="C105" i="110"/>
  <c r="D105" i="110"/>
  <c r="E105" i="110"/>
  <c r="F105" i="110"/>
  <c r="G105" i="110"/>
  <c r="H105" i="110"/>
  <c r="I105" i="110"/>
  <c r="J105" i="110"/>
  <c r="K105" i="110"/>
  <c r="L105" i="110"/>
  <c r="M105" i="110"/>
  <c r="N105" i="110"/>
  <c r="D58" i="110"/>
  <c r="E58" i="110"/>
  <c r="F58" i="110"/>
  <c r="G58" i="110"/>
  <c r="H58" i="110"/>
  <c r="I58" i="110"/>
  <c r="J58" i="110"/>
  <c r="K58" i="110"/>
  <c r="L58" i="110"/>
  <c r="M58" i="110"/>
  <c r="N58" i="110"/>
  <c r="C58" i="110"/>
  <c r="C59" i="105"/>
  <c r="D59" i="105"/>
  <c r="E59" i="105"/>
  <c r="F59" i="105"/>
  <c r="G59" i="105"/>
  <c r="H59" i="105"/>
  <c r="I59" i="105"/>
  <c r="J59" i="105"/>
  <c r="K59" i="105"/>
  <c r="L59" i="105"/>
  <c r="M59" i="105"/>
  <c r="N59" i="105"/>
  <c r="C60" i="105"/>
  <c r="D60" i="105"/>
  <c r="E60" i="105"/>
  <c r="F60" i="105"/>
  <c r="G60" i="105"/>
  <c r="H60" i="105"/>
  <c r="I60" i="105"/>
  <c r="J60" i="105"/>
  <c r="K60" i="105"/>
  <c r="L60" i="105"/>
  <c r="M60" i="105"/>
  <c r="N60" i="105"/>
  <c r="C61" i="105"/>
  <c r="D61" i="105"/>
  <c r="E61" i="105"/>
  <c r="F61" i="105"/>
  <c r="G61" i="105"/>
  <c r="H61" i="105"/>
  <c r="I61" i="105"/>
  <c r="J61" i="105"/>
  <c r="K61" i="105"/>
  <c r="L61" i="105"/>
  <c r="M61" i="105"/>
  <c r="N61" i="105"/>
  <c r="C62" i="105"/>
  <c r="D62" i="105"/>
  <c r="E62" i="105"/>
  <c r="F62" i="105"/>
  <c r="G62" i="105"/>
  <c r="H62" i="105"/>
  <c r="I62" i="105"/>
  <c r="J62" i="105"/>
  <c r="K62" i="105"/>
  <c r="L62" i="105"/>
  <c r="M62" i="105"/>
  <c r="N62" i="105"/>
  <c r="C63" i="105"/>
  <c r="D63" i="105"/>
  <c r="E63" i="105"/>
  <c r="F63" i="105"/>
  <c r="G63" i="105"/>
  <c r="H63" i="105"/>
  <c r="I63" i="105"/>
  <c r="J63" i="105"/>
  <c r="K63" i="105"/>
  <c r="L63" i="105"/>
  <c r="M63" i="105"/>
  <c r="N63" i="105"/>
  <c r="C64" i="105"/>
  <c r="D64" i="105"/>
  <c r="E64" i="105"/>
  <c r="F64" i="105"/>
  <c r="G64" i="105"/>
  <c r="H64" i="105"/>
  <c r="I64" i="105"/>
  <c r="J64" i="105"/>
  <c r="K64" i="105"/>
  <c r="L64" i="105"/>
  <c r="M64" i="105"/>
  <c r="N64" i="105"/>
  <c r="C65" i="105"/>
  <c r="D65" i="105"/>
  <c r="E65" i="105"/>
  <c r="F65" i="105"/>
  <c r="G65" i="105"/>
  <c r="H65" i="105"/>
  <c r="I65" i="105"/>
  <c r="J65" i="105"/>
  <c r="K65" i="105"/>
  <c r="L65" i="105"/>
  <c r="M65" i="105"/>
  <c r="N65" i="105"/>
  <c r="C66" i="105"/>
  <c r="D66" i="105"/>
  <c r="E66" i="105"/>
  <c r="F66" i="105"/>
  <c r="G66" i="105"/>
  <c r="H66" i="105"/>
  <c r="I66" i="105"/>
  <c r="J66" i="105"/>
  <c r="K66" i="105"/>
  <c r="L66" i="105"/>
  <c r="M66" i="105"/>
  <c r="N66" i="105"/>
  <c r="C67" i="105"/>
  <c r="D67" i="105"/>
  <c r="E67" i="105"/>
  <c r="F67" i="105"/>
  <c r="G67" i="105"/>
  <c r="H67" i="105"/>
  <c r="I67" i="105"/>
  <c r="J67" i="105"/>
  <c r="K67" i="105"/>
  <c r="L67" i="105"/>
  <c r="M67" i="105"/>
  <c r="N67" i="105"/>
  <c r="C68" i="105"/>
  <c r="D68" i="105"/>
  <c r="E68" i="105"/>
  <c r="F68" i="105"/>
  <c r="G68" i="105"/>
  <c r="H68" i="105"/>
  <c r="I68" i="105"/>
  <c r="J68" i="105"/>
  <c r="K68" i="105"/>
  <c r="L68" i="105"/>
  <c r="M68" i="105"/>
  <c r="N68" i="105"/>
  <c r="C69" i="105"/>
  <c r="D69" i="105"/>
  <c r="E69" i="105"/>
  <c r="F69" i="105"/>
  <c r="G69" i="105"/>
  <c r="H69" i="105"/>
  <c r="I69" i="105"/>
  <c r="J69" i="105"/>
  <c r="K69" i="105"/>
  <c r="L69" i="105"/>
  <c r="M69" i="105"/>
  <c r="N69" i="105"/>
  <c r="C70" i="105"/>
  <c r="D70" i="105"/>
  <c r="E70" i="105"/>
  <c r="F70" i="105"/>
  <c r="G70" i="105"/>
  <c r="H70" i="105"/>
  <c r="I70" i="105"/>
  <c r="J70" i="105"/>
  <c r="K70" i="105"/>
  <c r="L70" i="105"/>
  <c r="M70" i="105"/>
  <c r="N70" i="105"/>
  <c r="C71" i="105"/>
  <c r="D71" i="105"/>
  <c r="E71" i="105"/>
  <c r="F71" i="105"/>
  <c r="G71" i="105"/>
  <c r="H71" i="105"/>
  <c r="I71" i="105"/>
  <c r="J71" i="105"/>
  <c r="K71" i="105"/>
  <c r="L71" i="105"/>
  <c r="M71" i="105"/>
  <c r="N71" i="105"/>
  <c r="C72" i="105"/>
  <c r="D72" i="105"/>
  <c r="E72" i="105"/>
  <c r="F72" i="105"/>
  <c r="G72" i="105"/>
  <c r="H72" i="105"/>
  <c r="I72" i="105"/>
  <c r="J72" i="105"/>
  <c r="K72" i="105"/>
  <c r="L72" i="105"/>
  <c r="M72" i="105"/>
  <c r="N72" i="105"/>
  <c r="C73" i="105"/>
  <c r="D73" i="105"/>
  <c r="E73" i="105"/>
  <c r="F73" i="105"/>
  <c r="G73" i="105"/>
  <c r="H73" i="105"/>
  <c r="I73" i="105"/>
  <c r="J73" i="105"/>
  <c r="K73" i="105"/>
  <c r="L73" i="105"/>
  <c r="M73" i="105"/>
  <c r="N73" i="105"/>
  <c r="C74" i="105"/>
  <c r="D74" i="105"/>
  <c r="E74" i="105"/>
  <c r="F74" i="105"/>
  <c r="G74" i="105"/>
  <c r="H74" i="105"/>
  <c r="I74" i="105"/>
  <c r="J74" i="105"/>
  <c r="K74" i="105"/>
  <c r="L74" i="105"/>
  <c r="M74" i="105"/>
  <c r="N74" i="105"/>
  <c r="C75" i="105"/>
  <c r="D75" i="105"/>
  <c r="E75" i="105"/>
  <c r="F75" i="105"/>
  <c r="G75" i="105"/>
  <c r="H75" i="105"/>
  <c r="I75" i="105"/>
  <c r="J75" i="105"/>
  <c r="K75" i="105"/>
  <c r="L75" i="105"/>
  <c r="M75" i="105"/>
  <c r="N75" i="105"/>
  <c r="C76" i="105"/>
  <c r="D76" i="105"/>
  <c r="E76" i="105"/>
  <c r="F76" i="105"/>
  <c r="G76" i="105"/>
  <c r="H76" i="105"/>
  <c r="I76" i="105"/>
  <c r="J76" i="105"/>
  <c r="K76" i="105"/>
  <c r="L76" i="105"/>
  <c r="M76" i="105"/>
  <c r="N76" i="105"/>
  <c r="C77" i="105"/>
  <c r="D77" i="105"/>
  <c r="E77" i="105"/>
  <c r="F77" i="105"/>
  <c r="G77" i="105"/>
  <c r="H77" i="105"/>
  <c r="I77" i="105"/>
  <c r="J77" i="105"/>
  <c r="K77" i="105"/>
  <c r="L77" i="105"/>
  <c r="M77" i="105"/>
  <c r="N77" i="105"/>
  <c r="C78" i="105"/>
  <c r="D78" i="105"/>
  <c r="E78" i="105"/>
  <c r="F78" i="105"/>
  <c r="G78" i="105"/>
  <c r="H78" i="105"/>
  <c r="I78" i="105"/>
  <c r="J78" i="105"/>
  <c r="K78" i="105"/>
  <c r="L78" i="105"/>
  <c r="M78" i="105"/>
  <c r="N78" i="105"/>
  <c r="C79" i="105"/>
  <c r="D79" i="105"/>
  <c r="E79" i="105"/>
  <c r="F79" i="105"/>
  <c r="G79" i="105"/>
  <c r="H79" i="105"/>
  <c r="I79" i="105"/>
  <c r="J79" i="105"/>
  <c r="K79" i="105"/>
  <c r="L79" i="105"/>
  <c r="M79" i="105"/>
  <c r="N79" i="105"/>
  <c r="C80" i="105"/>
  <c r="D80" i="105"/>
  <c r="E80" i="105"/>
  <c r="F80" i="105"/>
  <c r="G80" i="105"/>
  <c r="H80" i="105"/>
  <c r="I80" i="105"/>
  <c r="J80" i="105"/>
  <c r="K80" i="105"/>
  <c r="L80" i="105"/>
  <c r="M80" i="105"/>
  <c r="N80" i="105"/>
  <c r="C81" i="105"/>
  <c r="D81" i="105"/>
  <c r="E81" i="105"/>
  <c r="F81" i="105"/>
  <c r="G81" i="105"/>
  <c r="H81" i="105"/>
  <c r="I81" i="105"/>
  <c r="J81" i="105"/>
  <c r="K81" i="105"/>
  <c r="L81" i="105"/>
  <c r="M81" i="105"/>
  <c r="N81" i="105"/>
  <c r="C82" i="105"/>
  <c r="D82" i="105"/>
  <c r="E82" i="105"/>
  <c r="F82" i="105"/>
  <c r="G82" i="105"/>
  <c r="H82" i="105"/>
  <c r="I82" i="105"/>
  <c r="J82" i="105"/>
  <c r="K82" i="105"/>
  <c r="L82" i="105"/>
  <c r="M82" i="105"/>
  <c r="N82" i="105"/>
  <c r="C83" i="105"/>
  <c r="D83" i="105"/>
  <c r="E83" i="105"/>
  <c r="F83" i="105"/>
  <c r="G83" i="105"/>
  <c r="H83" i="105"/>
  <c r="I83" i="105"/>
  <c r="J83" i="105"/>
  <c r="K83" i="105"/>
  <c r="L83" i="105"/>
  <c r="M83" i="105"/>
  <c r="N83" i="105"/>
  <c r="C84" i="105"/>
  <c r="D84" i="105"/>
  <c r="E84" i="105"/>
  <c r="F84" i="105"/>
  <c r="G84" i="105"/>
  <c r="H84" i="105"/>
  <c r="I84" i="105"/>
  <c r="J84" i="105"/>
  <c r="K84" i="105"/>
  <c r="L84" i="105"/>
  <c r="M84" i="105"/>
  <c r="N84" i="105"/>
  <c r="C85" i="105"/>
  <c r="D85" i="105"/>
  <c r="E85" i="105"/>
  <c r="F85" i="105"/>
  <c r="G85" i="105"/>
  <c r="H85" i="105"/>
  <c r="I85" i="105"/>
  <c r="J85" i="105"/>
  <c r="K85" i="105"/>
  <c r="L85" i="105"/>
  <c r="M85" i="105"/>
  <c r="N85" i="105"/>
  <c r="C86" i="105"/>
  <c r="D86" i="105"/>
  <c r="E86" i="105"/>
  <c r="F86" i="105"/>
  <c r="G86" i="105"/>
  <c r="H86" i="105"/>
  <c r="I86" i="105"/>
  <c r="J86" i="105"/>
  <c r="K86" i="105"/>
  <c r="L86" i="105"/>
  <c r="M86" i="105"/>
  <c r="N86" i="105"/>
  <c r="C87" i="105"/>
  <c r="D87" i="105"/>
  <c r="E87" i="105"/>
  <c r="F87" i="105"/>
  <c r="G87" i="105"/>
  <c r="H87" i="105"/>
  <c r="I87" i="105"/>
  <c r="J87" i="105"/>
  <c r="K87" i="105"/>
  <c r="L87" i="105"/>
  <c r="M87" i="105"/>
  <c r="N87" i="105"/>
  <c r="C88" i="105"/>
  <c r="D88" i="105"/>
  <c r="E88" i="105"/>
  <c r="F88" i="105"/>
  <c r="G88" i="105"/>
  <c r="H88" i="105"/>
  <c r="I88" i="105"/>
  <c r="J88" i="105"/>
  <c r="K88" i="105"/>
  <c r="L88" i="105"/>
  <c r="M88" i="105"/>
  <c r="N88" i="105"/>
  <c r="C89" i="105"/>
  <c r="D89" i="105"/>
  <c r="E89" i="105"/>
  <c r="F89" i="105"/>
  <c r="G89" i="105"/>
  <c r="H89" i="105"/>
  <c r="I89" i="105"/>
  <c r="J89" i="105"/>
  <c r="K89" i="105"/>
  <c r="L89" i="105"/>
  <c r="M89" i="105"/>
  <c r="N89" i="105"/>
  <c r="C90" i="105"/>
  <c r="D90" i="105"/>
  <c r="E90" i="105"/>
  <c r="F90" i="105"/>
  <c r="G90" i="105"/>
  <c r="H90" i="105"/>
  <c r="I90" i="105"/>
  <c r="J90" i="105"/>
  <c r="K90" i="105"/>
  <c r="L90" i="105"/>
  <c r="M90" i="105"/>
  <c r="N90" i="105"/>
  <c r="C91" i="105"/>
  <c r="D91" i="105"/>
  <c r="E91" i="105"/>
  <c r="F91" i="105"/>
  <c r="G91" i="105"/>
  <c r="H91" i="105"/>
  <c r="I91" i="105"/>
  <c r="J91" i="105"/>
  <c r="K91" i="105"/>
  <c r="L91" i="105"/>
  <c r="M91" i="105"/>
  <c r="N91" i="105"/>
  <c r="C92" i="105"/>
  <c r="D92" i="105"/>
  <c r="E92" i="105"/>
  <c r="F92" i="105"/>
  <c r="G92" i="105"/>
  <c r="H92" i="105"/>
  <c r="I92" i="105"/>
  <c r="J92" i="105"/>
  <c r="K92" i="105"/>
  <c r="L92" i="105"/>
  <c r="M92" i="105"/>
  <c r="N92" i="105"/>
  <c r="C93" i="105"/>
  <c r="D93" i="105"/>
  <c r="E93" i="105"/>
  <c r="F93" i="105"/>
  <c r="G93" i="105"/>
  <c r="H93" i="105"/>
  <c r="I93" i="105"/>
  <c r="J93" i="105"/>
  <c r="K93" i="105"/>
  <c r="L93" i="105"/>
  <c r="M93" i="105"/>
  <c r="N93" i="105"/>
  <c r="C94" i="105"/>
  <c r="D94" i="105"/>
  <c r="E94" i="105"/>
  <c r="F94" i="105"/>
  <c r="G94" i="105"/>
  <c r="H94" i="105"/>
  <c r="I94" i="105"/>
  <c r="J94" i="105"/>
  <c r="K94" i="105"/>
  <c r="L94" i="105"/>
  <c r="M94" i="105"/>
  <c r="N94" i="105"/>
  <c r="C95" i="105"/>
  <c r="D95" i="105"/>
  <c r="E95" i="105"/>
  <c r="F95" i="105"/>
  <c r="G95" i="105"/>
  <c r="H95" i="105"/>
  <c r="I95" i="105"/>
  <c r="J95" i="105"/>
  <c r="K95" i="105"/>
  <c r="L95" i="105"/>
  <c r="M95" i="105"/>
  <c r="N95" i="105"/>
  <c r="C96" i="105"/>
  <c r="D96" i="105"/>
  <c r="E96" i="105"/>
  <c r="F96" i="105"/>
  <c r="G96" i="105"/>
  <c r="H96" i="105"/>
  <c r="I96" i="105"/>
  <c r="J96" i="105"/>
  <c r="K96" i="105"/>
  <c r="L96" i="105"/>
  <c r="M96" i="105"/>
  <c r="N96" i="105"/>
  <c r="C97" i="105"/>
  <c r="D97" i="105"/>
  <c r="E97" i="105"/>
  <c r="F97" i="105"/>
  <c r="G97" i="105"/>
  <c r="H97" i="105"/>
  <c r="I97" i="105"/>
  <c r="J97" i="105"/>
  <c r="K97" i="105"/>
  <c r="L97" i="105"/>
  <c r="M97" i="105"/>
  <c r="N97" i="105"/>
  <c r="C98" i="105"/>
  <c r="D98" i="105"/>
  <c r="E98" i="105"/>
  <c r="F98" i="105"/>
  <c r="G98" i="105"/>
  <c r="H98" i="105"/>
  <c r="I98" i="105"/>
  <c r="J98" i="105"/>
  <c r="K98" i="105"/>
  <c r="L98" i="105"/>
  <c r="M98" i="105"/>
  <c r="N98" i="105"/>
  <c r="C99" i="105"/>
  <c r="D99" i="105"/>
  <c r="E99" i="105"/>
  <c r="F99" i="105"/>
  <c r="G99" i="105"/>
  <c r="H99" i="105"/>
  <c r="I99" i="105"/>
  <c r="J99" i="105"/>
  <c r="K99" i="105"/>
  <c r="L99" i="105"/>
  <c r="M99" i="105"/>
  <c r="N99" i="105"/>
  <c r="C100" i="105"/>
  <c r="D100" i="105"/>
  <c r="E100" i="105"/>
  <c r="F100" i="105"/>
  <c r="G100" i="105"/>
  <c r="H100" i="105"/>
  <c r="I100" i="105"/>
  <c r="J100" i="105"/>
  <c r="K100" i="105"/>
  <c r="L100" i="105"/>
  <c r="M100" i="105"/>
  <c r="N100" i="105"/>
  <c r="C101" i="105"/>
  <c r="D101" i="105"/>
  <c r="E101" i="105"/>
  <c r="F101" i="105"/>
  <c r="G101" i="105"/>
  <c r="H101" i="105"/>
  <c r="I101" i="105"/>
  <c r="J101" i="105"/>
  <c r="K101" i="105"/>
  <c r="L101" i="105"/>
  <c r="M101" i="105"/>
  <c r="N101" i="105"/>
  <c r="C102" i="105"/>
  <c r="D102" i="105"/>
  <c r="E102" i="105"/>
  <c r="F102" i="105"/>
  <c r="G102" i="105"/>
  <c r="H102" i="105"/>
  <c r="I102" i="105"/>
  <c r="J102" i="105"/>
  <c r="K102" i="105"/>
  <c r="L102" i="105"/>
  <c r="M102" i="105"/>
  <c r="N102" i="105"/>
  <c r="C103" i="105"/>
  <c r="D103" i="105"/>
  <c r="E103" i="105"/>
  <c r="F103" i="105"/>
  <c r="G103" i="105"/>
  <c r="H103" i="105"/>
  <c r="I103" i="105"/>
  <c r="J103" i="105"/>
  <c r="K103" i="105"/>
  <c r="L103" i="105"/>
  <c r="M103" i="105"/>
  <c r="N103" i="105"/>
  <c r="C104" i="105"/>
  <c r="D104" i="105"/>
  <c r="E104" i="105"/>
  <c r="F104" i="105"/>
  <c r="G104" i="105"/>
  <c r="H104" i="105"/>
  <c r="I104" i="105"/>
  <c r="J104" i="105"/>
  <c r="K104" i="105"/>
  <c r="L104" i="105"/>
  <c r="M104" i="105"/>
  <c r="N104" i="105"/>
  <c r="C105" i="105"/>
  <c r="D105" i="105"/>
  <c r="E105" i="105"/>
  <c r="F105" i="105"/>
  <c r="G105" i="105"/>
  <c r="H105" i="105"/>
  <c r="I105" i="105"/>
  <c r="J105" i="105"/>
  <c r="K105" i="105"/>
  <c r="L105" i="105"/>
  <c r="M105" i="105"/>
  <c r="N105" i="105"/>
  <c r="D58" i="105"/>
  <c r="E58" i="105"/>
  <c r="F58" i="105"/>
  <c r="G58" i="105"/>
  <c r="H58" i="105"/>
  <c r="I58" i="105"/>
  <c r="J58" i="105"/>
  <c r="K58" i="105"/>
  <c r="L58" i="105"/>
  <c r="M58" i="105"/>
  <c r="N58" i="105"/>
  <c r="C58" i="105"/>
  <c r="C98" i="109"/>
  <c r="D98" i="109"/>
  <c r="E98" i="109"/>
  <c r="F98" i="109"/>
  <c r="G98" i="109"/>
  <c r="H98" i="109"/>
  <c r="I98" i="109"/>
  <c r="J98" i="109"/>
  <c r="K98" i="109"/>
  <c r="L98" i="109"/>
  <c r="M98" i="109"/>
  <c r="N98" i="109"/>
  <c r="C99" i="109"/>
  <c r="D99" i="109"/>
  <c r="E99" i="109"/>
  <c r="F99" i="109"/>
  <c r="G99" i="109"/>
  <c r="H99" i="109"/>
  <c r="I99" i="109"/>
  <c r="J99" i="109"/>
  <c r="K99" i="109"/>
  <c r="L99" i="109"/>
  <c r="M99" i="109"/>
  <c r="N99" i="109"/>
  <c r="D97" i="109"/>
  <c r="E97" i="109"/>
  <c r="F97" i="109"/>
  <c r="G97" i="109"/>
  <c r="H97" i="109"/>
  <c r="I97" i="109"/>
  <c r="J97" i="109"/>
  <c r="K97" i="109"/>
  <c r="L97" i="109"/>
  <c r="M97" i="109"/>
  <c r="N97" i="109"/>
  <c r="C97" i="109"/>
  <c r="C91" i="109"/>
  <c r="D91" i="109"/>
  <c r="E91" i="109"/>
  <c r="F91" i="109"/>
  <c r="G91" i="109"/>
  <c r="H91" i="109"/>
  <c r="I91" i="109"/>
  <c r="J91" i="109"/>
  <c r="K91" i="109"/>
  <c r="L91" i="109"/>
  <c r="M91" i="109"/>
  <c r="N91" i="109"/>
  <c r="C92" i="109"/>
  <c r="D92" i="109"/>
  <c r="E92" i="109"/>
  <c r="F92" i="109"/>
  <c r="G92" i="109"/>
  <c r="H92" i="109"/>
  <c r="I92" i="109"/>
  <c r="J92" i="109"/>
  <c r="K92" i="109"/>
  <c r="L92" i="109"/>
  <c r="M92" i="109"/>
  <c r="N92" i="109"/>
  <c r="C93" i="109"/>
  <c r="D93" i="109"/>
  <c r="E93" i="109"/>
  <c r="F93" i="109"/>
  <c r="G93" i="109"/>
  <c r="H93" i="109"/>
  <c r="I93" i="109"/>
  <c r="J93" i="109"/>
  <c r="K93" i="109"/>
  <c r="L93" i="109"/>
  <c r="M93" i="109"/>
  <c r="N93" i="109"/>
  <c r="C94" i="109"/>
  <c r="D94" i="109"/>
  <c r="E94" i="109"/>
  <c r="F94" i="109"/>
  <c r="G94" i="109"/>
  <c r="H94" i="109"/>
  <c r="I94" i="109"/>
  <c r="J94" i="109"/>
  <c r="K94" i="109"/>
  <c r="L94" i="109"/>
  <c r="M94" i="109"/>
  <c r="N94" i="109"/>
  <c r="C95" i="109"/>
  <c r="D95" i="109"/>
  <c r="E95" i="109"/>
  <c r="F95" i="109"/>
  <c r="G95" i="109"/>
  <c r="H95" i="109"/>
  <c r="I95" i="109"/>
  <c r="J95" i="109"/>
  <c r="K95" i="109"/>
  <c r="L95" i="109"/>
  <c r="M95" i="109"/>
  <c r="N95" i="109"/>
  <c r="C96" i="109"/>
  <c r="D96" i="109"/>
  <c r="E96" i="109"/>
  <c r="F96" i="109"/>
  <c r="G96" i="109"/>
  <c r="H96" i="109"/>
  <c r="I96" i="109"/>
  <c r="J96" i="109"/>
  <c r="K96" i="109"/>
  <c r="L96" i="109"/>
  <c r="M96" i="109"/>
  <c r="N96" i="109"/>
  <c r="D90" i="109"/>
  <c r="E90" i="109"/>
  <c r="F90" i="109"/>
  <c r="G90" i="109"/>
  <c r="H90" i="109"/>
  <c r="I90" i="109"/>
  <c r="J90" i="109"/>
  <c r="K90" i="109"/>
  <c r="L90" i="109"/>
  <c r="M90" i="109"/>
  <c r="N90" i="109"/>
  <c r="C90" i="109"/>
  <c r="C80" i="109"/>
  <c r="D80" i="109"/>
  <c r="E80" i="109"/>
  <c r="F80" i="109"/>
  <c r="G80" i="109"/>
  <c r="H80" i="109"/>
  <c r="I80" i="109"/>
  <c r="J80" i="109"/>
  <c r="K80" i="109"/>
  <c r="L80" i="109"/>
  <c r="M80" i="109"/>
  <c r="N80" i="109"/>
  <c r="C81" i="109"/>
  <c r="D81" i="109"/>
  <c r="E81" i="109"/>
  <c r="F81" i="109"/>
  <c r="G81" i="109"/>
  <c r="H81" i="109"/>
  <c r="I81" i="109"/>
  <c r="J81" i="109"/>
  <c r="K81" i="109"/>
  <c r="L81" i="109"/>
  <c r="M81" i="109"/>
  <c r="N81" i="109"/>
  <c r="C82" i="109"/>
  <c r="D82" i="109"/>
  <c r="E82" i="109"/>
  <c r="F82" i="109"/>
  <c r="G82" i="109"/>
  <c r="H82" i="109"/>
  <c r="I82" i="109"/>
  <c r="J82" i="109"/>
  <c r="K82" i="109"/>
  <c r="L82" i="109"/>
  <c r="M82" i="109"/>
  <c r="N82" i="109"/>
  <c r="C83" i="109"/>
  <c r="D83" i="109"/>
  <c r="E83" i="109"/>
  <c r="F83" i="109"/>
  <c r="G83" i="109"/>
  <c r="H83" i="109"/>
  <c r="I83" i="109"/>
  <c r="J83" i="109"/>
  <c r="K83" i="109"/>
  <c r="L83" i="109"/>
  <c r="M83" i="109"/>
  <c r="N83" i="109"/>
  <c r="C84" i="109"/>
  <c r="D84" i="109"/>
  <c r="E84" i="109"/>
  <c r="F84" i="109"/>
  <c r="G84" i="109"/>
  <c r="H84" i="109"/>
  <c r="I84" i="109"/>
  <c r="J84" i="109"/>
  <c r="K84" i="109"/>
  <c r="L84" i="109"/>
  <c r="M84" i="109"/>
  <c r="N84" i="109"/>
  <c r="C85" i="109"/>
  <c r="D85" i="109"/>
  <c r="E85" i="109"/>
  <c r="F85" i="109"/>
  <c r="G85" i="109"/>
  <c r="H85" i="109"/>
  <c r="I85" i="109"/>
  <c r="J85" i="109"/>
  <c r="K85" i="109"/>
  <c r="L85" i="109"/>
  <c r="M85" i="109"/>
  <c r="N85" i="109"/>
  <c r="C86" i="109"/>
  <c r="D86" i="109"/>
  <c r="E86" i="109"/>
  <c r="F86" i="109"/>
  <c r="G86" i="109"/>
  <c r="H86" i="109"/>
  <c r="I86" i="109"/>
  <c r="J86" i="109"/>
  <c r="K86" i="109"/>
  <c r="L86" i="109"/>
  <c r="M86" i="109"/>
  <c r="N86" i="109"/>
  <c r="C87" i="109"/>
  <c r="D87" i="109"/>
  <c r="E87" i="109"/>
  <c r="F87" i="109"/>
  <c r="G87" i="109"/>
  <c r="H87" i="109"/>
  <c r="I87" i="109"/>
  <c r="J87" i="109"/>
  <c r="K87" i="109"/>
  <c r="L87" i="109"/>
  <c r="M87" i="109"/>
  <c r="N87" i="109"/>
  <c r="C88" i="109"/>
  <c r="D88" i="109"/>
  <c r="E88" i="109"/>
  <c r="F88" i="109"/>
  <c r="G88" i="109"/>
  <c r="H88" i="109"/>
  <c r="I88" i="109"/>
  <c r="J88" i="109"/>
  <c r="K88" i="109"/>
  <c r="L88" i="109"/>
  <c r="M88" i="109"/>
  <c r="N88" i="109"/>
  <c r="C89" i="109"/>
  <c r="D89" i="109"/>
  <c r="E89" i="109"/>
  <c r="F89" i="109"/>
  <c r="G89" i="109"/>
  <c r="H89" i="109"/>
  <c r="I89" i="109"/>
  <c r="J89" i="109"/>
  <c r="K89" i="109"/>
  <c r="L89" i="109"/>
  <c r="M89" i="109"/>
  <c r="N89" i="109"/>
  <c r="D79" i="109"/>
  <c r="E79" i="109"/>
  <c r="F79" i="109"/>
  <c r="G79" i="109"/>
  <c r="H79" i="109"/>
  <c r="I79" i="109"/>
  <c r="J79" i="109"/>
  <c r="K79" i="109"/>
  <c r="L79" i="109"/>
  <c r="M79" i="109"/>
  <c r="N79" i="109"/>
  <c r="C79" i="109"/>
  <c r="C70" i="109"/>
  <c r="D70" i="109"/>
  <c r="E70" i="109"/>
  <c r="F70" i="109"/>
  <c r="G70" i="109"/>
  <c r="H70" i="109"/>
  <c r="I70" i="109"/>
  <c r="J70" i="109"/>
  <c r="K70" i="109"/>
  <c r="L70" i="109"/>
  <c r="M70" i="109"/>
  <c r="N70" i="109"/>
  <c r="C71" i="109"/>
  <c r="D71" i="109"/>
  <c r="E71" i="109"/>
  <c r="F71" i="109"/>
  <c r="G71" i="109"/>
  <c r="H71" i="109"/>
  <c r="I71" i="109"/>
  <c r="J71" i="109"/>
  <c r="K71" i="109"/>
  <c r="L71" i="109"/>
  <c r="M71" i="109"/>
  <c r="N71" i="109"/>
  <c r="C72" i="109"/>
  <c r="D72" i="109"/>
  <c r="E72" i="109"/>
  <c r="F72" i="109"/>
  <c r="G72" i="109"/>
  <c r="H72" i="109"/>
  <c r="I72" i="109"/>
  <c r="J72" i="109"/>
  <c r="K72" i="109"/>
  <c r="L72" i="109"/>
  <c r="M72" i="109"/>
  <c r="N72" i="109"/>
  <c r="C73" i="109"/>
  <c r="D73" i="109"/>
  <c r="E73" i="109"/>
  <c r="F73" i="109"/>
  <c r="G73" i="109"/>
  <c r="H73" i="109"/>
  <c r="I73" i="109"/>
  <c r="J73" i="109"/>
  <c r="K73" i="109"/>
  <c r="L73" i="109"/>
  <c r="M73" i="109"/>
  <c r="N73" i="109"/>
  <c r="C74" i="109"/>
  <c r="D74" i="109"/>
  <c r="E74" i="109"/>
  <c r="F74" i="109"/>
  <c r="G74" i="109"/>
  <c r="H74" i="109"/>
  <c r="I74" i="109"/>
  <c r="J74" i="109"/>
  <c r="K74" i="109"/>
  <c r="L74" i="109"/>
  <c r="M74" i="109"/>
  <c r="N74" i="109"/>
  <c r="C75" i="109"/>
  <c r="D75" i="109"/>
  <c r="E75" i="109"/>
  <c r="F75" i="109"/>
  <c r="G75" i="109"/>
  <c r="H75" i="109"/>
  <c r="I75" i="109"/>
  <c r="J75" i="109"/>
  <c r="K75" i="109"/>
  <c r="L75" i="109"/>
  <c r="M75" i="109"/>
  <c r="N75" i="109"/>
  <c r="C76" i="109"/>
  <c r="D76" i="109"/>
  <c r="E76" i="109"/>
  <c r="F76" i="109"/>
  <c r="G76" i="109"/>
  <c r="H76" i="109"/>
  <c r="I76" i="109"/>
  <c r="J76" i="109"/>
  <c r="K76" i="109"/>
  <c r="L76" i="109"/>
  <c r="M76" i="109"/>
  <c r="N76" i="109"/>
  <c r="C77" i="109"/>
  <c r="D77" i="109"/>
  <c r="E77" i="109"/>
  <c r="F77" i="109"/>
  <c r="G77" i="109"/>
  <c r="H77" i="109"/>
  <c r="I77" i="109"/>
  <c r="J77" i="109"/>
  <c r="K77" i="109"/>
  <c r="L77" i="109"/>
  <c r="M77" i="109"/>
  <c r="N77" i="109"/>
  <c r="C78" i="109"/>
  <c r="D78" i="109"/>
  <c r="E78" i="109"/>
  <c r="F78" i="109"/>
  <c r="G78" i="109"/>
  <c r="H78" i="109"/>
  <c r="I78" i="109"/>
  <c r="J78" i="109"/>
  <c r="K78" i="109"/>
  <c r="L78" i="109"/>
  <c r="M78" i="109"/>
  <c r="N78" i="109"/>
  <c r="D69" i="109"/>
  <c r="E69" i="109"/>
  <c r="F69" i="109"/>
  <c r="G69" i="109"/>
  <c r="H69" i="109"/>
  <c r="I69" i="109"/>
  <c r="J69" i="109"/>
  <c r="K69" i="109"/>
  <c r="L69" i="109"/>
  <c r="M69" i="109"/>
  <c r="N69" i="109"/>
  <c r="C69" i="109"/>
  <c r="C59" i="109"/>
  <c r="D59" i="109"/>
  <c r="E59" i="109"/>
  <c r="F59" i="109"/>
  <c r="G59" i="109"/>
  <c r="H59" i="109"/>
  <c r="I59" i="109"/>
  <c r="J59" i="109"/>
  <c r="K59" i="109"/>
  <c r="L59" i="109"/>
  <c r="M59" i="109"/>
  <c r="N59" i="109"/>
  <c r="C60" i="109"/>
  <c r="D60" i="109"/>
  <c r="E60" i="109"/>
  <c r="F60" i="109"/>
  <c r="G60" i="109"/>
  <c r="H60" i="109"/>
  <c r="I60" i="109"/>
  <c r="J60" i="109"/>
  <c r="K60" i="109"/>
  <c r="L60" i="109"/>
  <c r="M60" i="109"/>
  <c r="N60" i="109"/>
  <c r="C61" i="109"/>
  <c r="D61" i="109"/>
  <c r="E61" i="109"/>
  <c r="F61" i="109"/>
  <c r="G61" i="109"/>
  <c r="H61" i="109"/>
  <c r="I61" i="109"/>
  <c r="J61" i="109"/>
  <c r="K61" i="109"/>
  <c r="L61" i="109"/>
  <c r="M61" i="109"/>
  <c r="N61" i="109"/>
  <c r="C62" i="109"/>
  <c r="D62" i="109"/>
  <c r="E62" i="109"/>
  <c r="F62" i="109"/>
  <c r="G62" i="109"/>
  <c r="H62" i="109"/>
  <c r="I62" i="109"/>
  <c r="J62" i="109"/>
  <c r="K62" i="109"/>
  <c r="L62" i="109"/>
  <c r="M62" i="109"/>
  <c r="N62" i="109"/>
  <c r="C63" i="109"/>
  <c r="D63" i="109"/>
  <c r="E63" i="109"/>
  <c r="F63" i="109"/>
  <c r="G63" i="109"/>
  <c r="H63" i="109"/>
  <c r="I63" i="109"/>
  <c r="J63" i="109"/>
  <c r="K63" i="109"/>
  <c r="L63" i="109"/>
  <c r="M63" i="109"/>
  <c r="N63" i="109"/>
  <c r="C64" i="109"/>
  <c r="D64" i="109"/>
  <c r="E64" i="109"/>
  <c r="F64" i="109"/>
  <c r="G64" i="109"/>
  <c r="H64" i="109"/>
  <c r="I64" i="109"/>
  <c r="J64" i="109"/>
  <c r="K64" i="109"/>
  <c r="L64" i="109"/>
  <c r="M64" i="109"/>
  <c r="N64" i="109"/>
  <c r="C65" i="109"/>
  <c r="D65" i="109"/>
  <c r="E65" i="109"/>
  <c r="F65" i="109"/>
  <c r="G65" i="109"/>
  <c r="H65" i="109"/>
  <c r="I65" i="109"/>
  <c r="J65" i="109"/>
  <c r="K65" i="109"/>
  <c r="L65" i="109"/>
  <c r="M65" i="109"/>
  <c r="N65" i="109"/>
  <c r="C66" i="109"/>
  <c r="D66" i="109"/>
  <c r="E66" i="109"/>
  <c r="F66" i="109"/>
  <c r="G66" i="109"/>
  <c r="H66" i="109"/>
  <c r="I66" i="109"/>
  <c r="J66" i="109"/>
  <c r="K66" i="109"/>
  <c r="L66" i="109"/>
  <c r="M66" i="109"/>
  <c r="N66" i="109"/>
  <c r="C67" i="109"/>
  <c r="D67" i="109"/>
  <c r="E67" i="109"/>
  <c r="F67" i="109"/>
  <c r="G67" i="109"/>
  <c r="H67" i="109"/>
  <c r="I67" i="109"/>
  <c r="J67" i="109"/>
  <c r="K67" i="109"/>
  <c r="L67" i="109"/>
  <c r="M67" i="109"/>
  <c r="N67" i="109"/>
  <c r="C68" i="109"/>
  <c r="D68" i="109"/>
  <c r="E68" i="109"/>
  <c r="F68" i="109"/>
  <c r="G68" i="109"/>
  <c r="H68" i="109"/>
  <c r="I68" i="109"/>
  <c r="J68" i="109"/>
  <c r="K68" i="109"/>
  <c r="L68" i="109"/>
  <c r="M68" i="109"/>
  <c r="N68" i="109"/>
  <c r="C100" i="109"/>
  <c r="D100" i="109"/>
  <c r="E100" i="109"/>
  <c r="F100" i="109"/>
  <c r="G100" i="109"/>
  <c r="H100" i="109"/>
  <c r="I100" i="109"/>
  <c r="J100" i="109"/>
  <c r="K100" i="109"/>
  <c r="L100" i="109"/>
  <c r="M100" i="109"/>
  <c r="N100" i="109"/>
  <c r="C101" i="109"/>
  <c r="D101" i="109"/>
  <c r="E101" i="109"/>
  <c r="F101" i="109"/>
  <c r="G101" i="109"/>
  <c r="H101" i="109"/>
  <c r="I101" i="109"/>
  <c r="J101" i="109"/>
  <c r="K101" i="109"/>
  <c r="L101" i="109"/>
  <c r="M101" i="109"/>
  <c r="N101" i="109"/>
  <c r="C102" i="109"/>
  <c r="D102" i="109"/>
  <c r="E102" i="109"/>
  <c r="F102" i="109"/>
  <c r="G102" i="109"/>
  <c r="H102" i="109"/>
  <c r="I102" i="109"/>
  <c r="J102" i="109"/>
  <c r="K102" i="109"/>
  <c r="L102" i="109"/>
  <c r="M102" i="109"/>
  <c r="N102" i="109"/>
  <c r="C103" i="109"/>
  <c r="D103" i="109"/>
  <c r="E103" i="109"/>
  <c r="F103" i="109"/>
  <c r="G103" i="109"/>
  <c r="H103" i="109"/>
  <c r="I103" i="109"/>
  <c r="J103" i="109"/>
  <c r="K103" i="109"/>
  <c r="L103" i="109"/>
  <c r="M103" i="109"/>
  <c r="N103" i="109"/>
  <c r="C104" i="109"/>
  <c r="D104" i="109"/>
  <c r="E104" i="109"/>
  <c r="F104" i="109"/>
  <c r="G104" i="109"/>
  <c r="H104" i="109"/>
  <c r="I104" i="109"/>
  <c r="J104" i="109"/>
  <c r="K104" i="109"/>
  <c r="L104" i="109"/>
  <c r="M104" i="109"/>
  <c r="N104" i="109"/>
  <c r="C105" i="109"/>
  <c r="D105" i="109"/>
  <c r="E105" i="109"/>
  <c r="F105" i="109"/>
  <c r="G105" i="109"/>
  <c r="H105" i="109"/>
  <c r="I105" i="109"/>
  <c r="J105" i="109"/>
  <c r="K105" i="109"/>
  <c r="L105" i="109"/>
  <c r="M105" i="109"/>
  <c r="N105" i="109"/>
  <c r="D58" i="109"/>
  <c r="E58" i="109"/>
  <c r="F58" i="109"/>
  <c r="G58" i="109"/>
  <c r="H58" i="109"/>
  <c r="I58" i="109"/>
  <c r="J58" i="109"/>
  <c r="K58" i="109"/>
  <c r="L58" i="109"/>
  <c r="M58" i="109"/>
  <c r="N58" i="109"/>
  <c r="C58" i="109"/>
  <c r="C94" i="101"/>
  <c r="D94" i="101"/>
  <c r="E94" i="101"/>
  <c r="F94" i="101"/>
  <c r="G94" i="101"/>
  <c r="H94" i="101"/>
  <c r="I94" i="101"/>
  <c r="J94" i="101"/>
  <c r="K94" i="101"/>
  <c r="L94" i="101"/>
  <c r="M94" i="101"/>
  <c r="N94" i="101"/>
  <c r="C95" i="101"/>
  <c r="D95" i="101"/>
  <c r="E95" i="101"/>
  <c r="F95" i="101"/>
  <c r="G95" i="101"/>
  <c r="H95" i="101"/>
  <c r="I95" i="101"/>
  <c r="J95" i="101"/>
  <c r="K95" i="101"/>
  <c r="L95" i="101"/>
  <c r="M95" i="101"/>
  <c r="N95" i="101"/>
  <c r="C96" i="101"/>
  <c r="D96" i="101"/>
  <c r="E96" i="101"/>
  <c r="F96" i="101"/>
  <c r="G96" i="101"/>
  <c r="H96" i="101"/>
  <c r="I96" i="101"/>
  <c r="J96" i="101"/>
  <c r="K96" i="101"/>
  <c r="L96" i="101"/>
  <c r="M96" i="101"/>
  <c r="N96" i="101"/>
  <c r="C97" i="101"/>
  <c r="D97" i="101"/>
  <c r="E97" i="101"/>
  <c r="F97" i="101"/>
  <c r="G97" i="101"/>
  <c r="H97" i="101"/>
  <c r="I97" i="101"/>
  <c r="J97" i="101"/>
  <c r="K97" i="101"/>
  <c r="L97" i="101"/>
  <c r="M97" i="101"/>
  <c r="N97" i="101"/>
  <c r="C98" i="101"/>
  <c r="D98" i="101"/>
  <c r="E98" i="101"/>
  <c r="F98" i="101"/>
  <c r="G98" i="101"/>
  <c r="H98" i="101"/>
  <c r="I98" i="101"/>
  <c r="J98" i="101"/>
  <c r="K98" i="101"/>
  <c r="L98" i="101"/>
  <c r="M98" i="101"/>
  <c r="N98" i="101"/>
  <c r="D93" i="101"/>
  <c r="E93" i="101"/>
  <c r="F93" i="101"/>
  <c r="G93" i="101"/>
  <c r="H93" i="101"/>
  <c r="I93" i="101"/>
  <c r="J93" i="101"/>
  <c r="K93" i="101"/>
  <c r="L93" i="101"/>
  <c r="M93" i="101"/>
  <c r="N93" i="101"/>
  <c r="C93" i="101"/>
  <c r="C87" i="101"/>
  <c r="D87" i="101"/>
  <c r="E87" i="101"/>
  <c r="F87" i="101"/>
  <c r="G87" i="101"/>
  <c r="H87" i="101"/>
  <c r="I87" i="101"/>
  <c r="J87" i="101"/>
  <c r="K87" i="101"/>
  <c r="L87" i="101"/>
  <c r="M87" i="101"/>
  <c r="N87" i="101"/>
  <c r="C88" i="101"/>
  <c r="D88" i="101"/>
  <c r="E88" i="101"/>
  <c r="F88" i="101"/>
  <c r="G88" i="101"/>
  <c r="H88" i="101"/>
  <c r="I88" i="101"/>
  <c r="J88" i="101"/>
  <c r="K88" i="101"/>
  <c r="L88" i="101"/>
  <c r="M88" i="101"/>
  <c r="N88" i="101"/>
  <c r="C89" i="101"/>
  <c r="D89" i="101"/>
  <c r="E89" i="101"/>
  <c r="F89" i="101"/>
  <c r="G89" i="101"/>
  <c r="H89" i="101"/>
  <c r="I89" i="101"/>
  <c r="J89" i="101"/>
  <c r="K89" i="101"/>
  <c r="L89" i="101"/>
  <c r="M89" i="101"/>
  <c r="N89" i="101"/>
  <c r="C90" i="101"/>
  <c r="D90" i="101"/>
  <c r="E90" i="101"/>
  <c r="F90" i="101"/>
  <c r="G90" i="101"/>
  <c r="H90" i="101"/>
  <c r="I90" i="101"/>
  <c r="J90" i="101"/>
  <c r="K90" i="101"/>
  <c r="L90" i="101"/>
  <c r="M90" i="101"/>
  <c r="N90" i="101"/>
  <c r="C91" i="101"/>
  <c r="D91" i="101"/>
  <c r="E91" i="101"/>
  <c r="F91" i="101"/>
  <c r="G91" i="101"/>
  <c r="H91" i="101"/>
  <c r="I91" i="101"/>
  <c r="J91" i="101"/>
  <c r="K91" i="101"/>
  <c r="L91" i="101"/>
  <c r="M91" i="101"/>
  <c r="N91" i="101"/>
  <c r="C92" i="101"/>
  <c r="D92" i="101"/>
  <c r="E92" i="101"/>
  <c r="F92" i="101"/>
  <c r="G92" i="101"/>
  <c r="H92" i="101"/>
  <c r="I92" i="101"/>
  <c r="J92" i="101"/>
  <c r="K92" i="101"/>
  <c r="L92" i="101"/>
  <c r="M92" i="101"/>
  <c r="N92" i="101"/>
  <c r="D86" i="101"/>
  <c r="E86" i="101"/>
  <c r="F86" i="101"/>
  <c r="G86" i="101"/>
  <c r="H86" i="101"/>
  <c r="I86" i="101"/>
  <c r="J86" i="101"/>
  <c r="K86" i="101"/>
  <c r="L86" i="101"/>
  <c r="M86" i="101"/>
  <c r="N86" i="101"/>
  <c r="C86" i="101"/>
  <c r="C81" i="101"/>
  <c r="D81" i="101"/>
  <c r="E81" i="101"/>
  <c r="F81" i="101"/>
  <c r="G81" i="101"/>
  <c r="H81" i="101"/>
  <c r="I81" i="101"/>
  <c r="J81" i="101"/>
  <c r="K81" i="101"/>
  <c r="L81" i="101"/>
  <c r="M81" i="101"/>
  <c r="N81" i="101"/>
  <c r="C82" i="101"/>
  <c r="D82" i="101"/>
  <c r="E82" i="101"/>
  <c r="F82" i="101"/>
  <c r="G82" i="101"/>
  <c r="H82" i="101"/>
  <c r="I82" i="101"/>
  <c r="J82" i="101"/>
  <c r="K82" i="101"/>
  <c r="L82" i="101"/>
  <c r="M82" i="101"/>
  <c r="N82" i="101"/>
  <c r="C83" i="101"/>
  <c r="D83" i="101"/>
  <c r="E83" i="101"/>
  <c r="F83" i="101"/>
  <c r="G83" i="101"/>
  <c r="H83" i="101"/>
  <c r="I83" i="101"/>
  <c r="J83" i="101"/>
  <c r="K83" i="101"/>
  <c r="L83" i="101"/>
  <c r="M83" i="101"/>
  <c r="N83" i="101"/>
  <c r="C84" i="101"/>
  <c r="D84" i="101"/>
  <c r="E84" i="101"/>
  <c r="F84" i="101"/>
  <c r="G84" i="101"/>
  <c r="H84" i="101"/>
  <c r="I84" i="101"/>
  <c r="J84" i="101"/>
  <c r="K84" i="101"/>
  <c r="L84" i="101"/>
  <c r="M84" i="101"/>
  <c r="N84" i="101"/>
  <c r="C85" i="101"/>
  <c r="D85" i="101"/>
  <c r="E85" i="101"/>
  <c r="F85" i="101"/>
  <c r="G85" i="101"/>
  <c r="H85" i="101"/>
  <c r="I85" i="101"/>
  <c r="J85" i="101"/>
  <c r="K85" i="101"/>
  <c r="L85" i="101"/>
  <c r="M85" i="101"/>
  <c r="N85" i="101"/>
  <c r="D80" i="101"/>
  <c r="E80" i="101"/>
  <c r="F80" i="101"/>
  <c r="G80" i="101"/>
  <c r="H80" i="101"/>
  <c r="I80" i="101"/>
  <c r="J80" i="101"/>
  <c r="K80" i="101"/>
  <c r="L80" i="101"/>
  <c r="M80" i="101"/>
  <c r="N80" i="101"/>
  <c r="C80" i="101"/>
  <c r="C77" i="101"/>
  <c r="D77" i="101"/>
  <c r="E77" i="101"/>
  <c r="F77" i="101"/>
  <c r="G77" i="101"/>
  <c r="H77" i="101"/>
  <c r="I77" i="101"/>
  <c r="J77" i="101"/>
  <c r="K77" i="101"/>
  <c r="L77" i="101"/>
  <c r="M77" i="101"/>
  <c r="N77" i="101"/>
  <c r="C78" i="101"/>
  <c r="D78" i="101"/>
  <c r="E78" i="101"/>
  <c r="F78" i="101"/>
  <c r="G78" i="101"/>
  <c r="H78" i="101"/>
  <c r="I78" i="101"/>
  <c r="J78" i="101"/>
  <c r="K78" i="101"/>
  <c r="L78" i="101"/>
  <c r="M78" i="101"/>
  <c r="N78" i="101"/>
  <c r="C79" i="101"/>
  <c r="D79" i="101"/>
  <c r="E79" i="101"/>
  <c r="F79" i="101"/>
  <c r="G79" i="101"/>
  <c r="H79" i="101"/>
  <c r="I79" i="101"/>
  <c r="J79" i="101"/>
  <c r="K79" i="101"/>
  <c r="L79" i="101"/>
  <c r="M79" i="101"/>
  <c r="N79" i="101"/>
  <c r="D76" i="101"/>
  <c r="E76" i="101"/>
  <c r="F76" i="101"/>
  <c r="G76" i="101"/>
  <c r="H76" i="101"/>
  <c r="I76" i="101"/>
  <c r="J76" i="101"/>
  <c r="K76" i="101"/>
  <c r="L76" i="101"/>
  <c r="M76" i="101"/>
  <c r="N76" i="101"/>
  <c r="C76" i="101"/>
  <c r="C69" i="101"/>
  <c r="D69" i="101"/>
  <c r="E69" i="101"/>
  <c r="F69" i="101"/>
  <c r="G69" i="101"/>
  <c r="H69" i="101"/>
  <c r="I69" i="101"/>
  <c r="J69" i="101"/>
  <c r="K69" i="101"/>
  <c r="L69" i="101"/>
  <c r="M69" i="101"/>
  <c r="N69" i="101"/>
  <c r="C70" i="101"/>
  <c r="D70" i="101"/>
  <c r="E70" i="101"/>
  <c r="F70" i="101"/>
  <c r="G70" i="101"/>
  <c r="H70" i="101"/>
  <c r="I70" i="101"/>
  <c r="J70" i="101"/>
  <c r="K70" i="101"/>
  <c r="L70" i="101"/>
  <c r="M70" i="101"/>
  <c r="N70" i="101"/>
  <c r="C71" i="101"/>
  <c r="D71" i="101"/>
  <c r="E71" i="101"/>
  <c r="F71" i="101"/>
  <c r="G71" i="101"/>
  <c r="H71" i="101"/>
  <c r="I71" i="101"/>
  <c r="J71" i="101"/>
  <c r="K71" i="101"/>
  <c r="L71" i="101"/>
  <c r="M71" i="101"/>
  <c r="N71" i="101"/>
  <c r="C72" i="101"/>
  <c r="D72" i="101"/>
  <c r="E72" i="101"/>
  <c r="F72" i="101"/>
  <c r="G72" i="101"/>
  <c r="H72" i="101"/>
  <c r="I72" i="101"/>
  <c r="J72" i="101"/>
  <c r="K72" i="101"/>
  <c r="L72" i="101"/>
  <c r="M72" i="101"/>
  <c r="N72" i="101"/>
  <c r="C73" i="101"/>
  <c r="D73" i="101"/>
  <c r="E73" i="101"/>
  <c r="F73" i="101"/>
  <c r="G73" i="101"/>
  <c r="H73" i="101"/>
  <c r="I73" i="101"/>
  <c r="J73" i="101"/>
  <c r="K73" i="101"/>
  <c r="L73" i="101"/>
  <c r="M73" i="101"/>
  <c r="N73" i="101"/>
  <c r="C74" i="101"/>
  <c r="D74" i="101"/>
  <c r="E74" i="101"/>
  <c r="F74" i="101"/>
  <c r="G74" i="101"/>
  <c r="H74" i="101"/>
  <c r="I74" i="101"/>
  <c r="J74" i="101"/>
  <c r="K74" i="101"/>
  <c r="L74" i="101"/>
  <c r="M74" i="101"/>
  <c r="N74" i="101"/>
  <c r="C75" i="101"/>
  <c r="D75" i="101"/>
  <c r="E75" i="101"/>
  <c r="F75" i="101"/>
  <c r="G75" i="101"/>
  <c r="H75" i="101"/>
  <c r="I75" i="101"/>
  <c r="J75" i="101"/>
  <c r="K75" i="101"/>
  <c r="L75" i="101"/>
  <c r="M75" i="101"/>
  <c r="N75" i="101"/>
  <c r="D68" i="101"/>
  <c r="E68" i="101"/>
  <c r="F68" i="101"/>
  <c r="G68" i="101"/>
  <c r="H68" i="101"/>
  <c r="I68" i="101"/>
  <c r="J68" i="101"/>
  <c r="K68" i="101"/>
  <c r="L68" i="101"/>
  <c r="M68" i="101"/>
  <c r="N68" i="101"/>
  <c r="C68" i="101"/>
  <c r="C59" i="101"/>
  <c r="D59" i="101"/>
  <c r="E59" i="101"/>
  <c r="F59" i="101"/>
  <c r="G59" i="101"/>
  <c r="H59" i="101"/>
  <c r="I59" i="101"/>
  <c r="J59" i="101"/>
  <c r="K59" i="101"/>
  <c r="L59" i="101"/>
  <c r="M59" i="101"/>
  <c r="N59" i="101"/>
  <c r="C60" i="101"/>
  <c r="D60" i="101"/>
  <c r="E60" i="101"/>
  <c r="F60" i="101"/>
  <c r="G60" i="101"/>
  <c r="H60" i="101"/>
  <c r="I60" i="101"/>
  <c r="J60" i="101"/>
  <c r="K60" i="101"/>
  <c r="L60" i="101"/>
  <c r="M60" i="101"/>
  <c r="N60" i="101"/>
  <c r="C61" i="101"/>
  <c r="D61" i="101"/>
  <c r="E61" i="101"/>
  <c r="F61" i="101"/>
  <c r="G61" i="101"/>
  <c r="H61" i="101"/>
  <c r="I61" i="101"/>
  <c r="J61" i="101"/>
  <c r="K61" i="101"/>
  <c r="L61" i="101"/>
  <c r="M61" i="101"/>
  <c r="N61" i="101"/>
  <c r="C62" i="101"/>
  <c r="D62" i="101"/>
  <c r="E62" i="101"/>
  <c r="F62" i="101"/>
  <c r="G62" i="101"/>
  <c r="H62" i="101"/>
  <c r="I62" i="101"/>
  <c r="J62" i="101"/>
  <c r="K62" i="101"/>
  <c r="L62" i="101"/>
  <c r="M62" i="101"/>
  <c r="N62" i="101"/>
  <c r="C63" i="101"/>
  <c r="D63" i="101"/>
  <c r="E63" i="101"/>
  <c r="F63" i="101"/>
  <c r="G63" i="101"/>
  <c r="H63" i="101"/>
  <c r="I63" i="101"/>
  <c r="J63" i="101"/>
  <c r="K63" i="101"/>
  <c r="L63" i="101"/>
  <c r="M63" i="101"/>
  <c r="N63" i="101"/>
  <c r="C64" i="101"/>
  <c r="D64" i="101"/>
  <c r="E64" i="101"/>
  <c r="F64" i="101"/>
  <c r="G64" i="101"/>
  <c r="H64" i="101"/>
  <c r="I64" i="101"/>
  <c r="J64" i="101"/>
  <c r="K64" i="101"/>
  <c r="L64" i="101"/>
  <c r="M64" i="101"/>
  <c r="N64" i="101"/>
  <c r="C65" i="101"/>
  <c r="D65" i="101"/>
  <c r="E65" i="101"/>
  <c r="F65" i="101"/>
  <c r="G65" i="101"/>
  <c r="H65" i="101"/>
  <c r="I65" i="101"/>
  <c r="J65" i="101"/>
  <c r="K65" i="101"/>
  <c r="L65" i="101"/>
  <c r="M65" i="101"/>
  <c r="N65" i="101"/>
  <c r="C66" i="101"/>
  <c r="D66" i="101"/>
  <c r="E66" i="101"/>
  <c r="F66" i="101"/>
  <c r="G66" i="101"/>
  <c r="H66" i="101"/>
  <c r="I66" i="101"/>
  <c r="J66" i="101"/>
  <c r="K66" i="101"/>
  <c r="L66" i="101"/>
  <c r="M66" i="101"/>
  <c r="N66" i="101"/>
  <c r="C67" i="101"/>
  <c r="D67" i="101"/>
  <c r="E67" i="101"/>
  <c r="F67" i="101"/>
  <c r="G67" i="101"/>
  <c r="H67" i="101"/>
  <c r="I67" i="101"/>
  <c r="J67" i="101"/>
  <c r="K67" i="101"/>
  <c r="L67" i="101"/>
  <c r="M67" i="101"/>
  <c r="N67" i="101"/>
  <c r="C99" i="101"/>
  <c r="D99" i="101"/>
  <c r="E99" i="101"/>
  <c r="F99" i="101"/>
  <c r="G99" i="101"/>
  <c r="H99" i="101"/>
  <c r="I99" i="101"/>
  <c r="J99" i="101"/>
  <c r="K99" i="101"/>
  <c r="L99" i="101"/>
  <c r="M99" i="101"/>
  <c r="N99" i="101"/>
  <c r="C100" i="101"/>
  <c r="D100" i="101"/>
  <c r="E100" i="101"/>
  <c r="F100" i="101"/>
  <c r="G100" i="101"/>
  <c r="H100" i="101"/>
  <c r="I100" i="101"/>
  <c r="J100" i="101"/>
  <c r="K100" i="101"/>
  <c r="L100" i="101"/>
  <c r="M100" i="101"/>
  <c r="N100" i="101"/>
  <c r="C101" i="101"/>
  <c r="D101" i="101"/>
  <c r="E101" i="101"/>
  <c r="F101" i="101"/>
  <c r="G101" i="101"/>
  <c r="H101" i="101"/>
  <c r="I101" i="101"/>
  <c r="J101" i="101"/>
  <c r="K101" i="101"/>
  <c r="L101" i="101"/>
  <c r="M101" i="101"/>
  <c r="N101" i="101"/>
  <c r="C102" i="101"/>
  <c r="D102" i="101"/>
  <c r="E102" i="101"/>
  <c r="F102" i="101"/>
  <c r="G102" i="101"/>
  <c r="H102" i="101"/>
  <c r="I102" i="101"/>
  <c r="J102" i="101"/>
  <c r="K102" i="101"/>
  <c r="L102" i="101"/>
  <c r="M102" i="101"/>
  <c r="N102" i="101"/>
  <c r="C103" i="101"/>
  <c r="D103" i="101"/>
  <c r="E103" i="101"/>
  <c r="F103" i="101"/>
  <c r="G103" i="101"/>
  <c r="H103" i="101"/>
  <c r="I103" i="101"/>
  <c r="J103" i="101"/>
  <c r="K103" i="101"/>
  <c r="L103" i="101"/>
  <c r="M103" i="101"/>
  <c r="N103" i="101"/>
  <c r="C104" i="101"/>
  <c r="D104" i="101"/>
  <c r="E104" i="101"/>
  <c r="F104" i="101"/>
  <c r="G104" i="101"/>
  <c r="H104" i="101"/>
  <c r="I104" i="101"/>
  <c r="J104" i="101"/>
  <c r="K104" i="101"/>
  <c r="L104" i="101"/>
  <c r="M104" i="101"/>
  <c r="N104" i="101"/>
  <c r="C105" i="101"/>
  <c r="D105" i="101"/>
  <c r="E105" i="101"/>
  <c r="F105" i="101"/>
  <c r="G105" i="101"/>
  <c r="H105" i="101"/>
  <c r="I105" i="101"/>
  <c r="J105" i="101"/>
  <c r="K105" i="101"/>
  <c r="L105" i="101"/>
  <c r="M105" i="101"/>
  <c r="N105" i="101"/>
  <c r="D58" i="101"/>
  <c r="E58" i="101"/>
  <c r="F58" i="101"/>
  <c r="G58" i="101"/>
  <c r="H58" i="101"/>
  <c r="I58" i="101"/>
  <c r="J58" i="101"/>
  <c r="K58" i="101"/>
  <c r="L58" i="101"/>
  <c r="M58" i="101"/>
  <c r="N58" i="101"/>
  <c r="C58" i="101"/>
  <c r="C3" i="94" l="1"/>
  <c r="K6" i="98" l="1"/>
  <c r="K6" i="99" s="1"/>
  <c r="K6" i="100" s="1"/>
  <c r="K6" i="101" s="1"/>
  <c r="K6" i="109" s="1"/>
  <c r="K6" i="105" s="1"/>
  <c r="K6" i="110" s="1"/>
  <c r="K6" i="103" s="1"/>
  <c r="K5" i="98"/>
  <c r="K5" i="99" s="1"/>
  <c r="K5" i="100" s="1"/>
  <c r="K5" i="101" s="1"/>
  <c r="K5" i="109" s="1"/>
  <c r="K5" i="105" s="1"/>
  <c r="K5" i="110" s="1"/>
  <c r="K5" i="103" s="1"/>
  <c r="G5" i="98"/>
  <c r="G5" i="99" s="1"/>
  <c r="G5" i="100" s="1"/>
  <c r="G5" i="101" s="1"/>
  <c r="G5" i="109" s="1"/>
  <c r="G5" i="105" s="1"/>
  <c r="G5" i="110" s="1"/>
  <c r="G5" i="103" s="1"/>
  <c r="K6" i="97"/>
  <c r="K5" i="97"/>
  <c r="G5" i="97"/>
  <c r="K6" i="96"/>
  <c r="K5" i="96"/>
  <c r="G5" i="96"/>
  <c r="K6" i="95"/>
  <c r="K5" i="95"/>
  <c r="G5" i="95"/>
  <c r="K6" i="94"/>
  <c r="K5" i="94"/>
  <c r="G5" i="94"/>
  <c r="G6" i="104"/>
  <c r="G6" i="108" s="1"/>
  <c r="G6" i="110"/>
  <c r="G6" i="100"/>
  <c r="G6" i="98"/>
  <c r="G6" i="96"/>
  <c r="G6" i="109" s="1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96"/>
  <c r="D6" i="103"/>
  <c r="D6" i="107" s="1"/>
  <c r="D6" i="105"/>
  <c r="D6" i="101"/>
  <c r="D6" i="99"/>
  <c r="D6" i="97"/>
  <c r="D6" i="95"/>
  <c r="D5" i="104"/>
  <c r="D5" i="109"/>
  <c r="D5" i="100"/>
  <c r="D5" i="98"/>
  <c r="D5" i="96"/>
  <c r="D5" i="94"/>
  <c r="K5" i="107" l="1"/>
  <c r="K5" i="104"/>
  <c r="K5" i="108" s="1"/>
  <c r="K5" i="111" s="1"/>
  <c r="K6" i="104"/>
  <c r="K6" i="108" s="1"/>
  <c r="K6" i="111" s="1"/>
  <c r="K6" i="107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C19" i="105"/>
  <c r="AB19" i="105"/>
  <c r="AA19" i="105"/>
  <c r="AA39" i="105" s="1"/>
  <c r="Z19" i="105"/>
  <c r="Z39" i="105" s="1"/>
  <c r="Y19" i="105"/>
  <c r="X19" i="105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AA27" i="99" l="1"/>
  <c r="X39" i="105"/>
  <c r="X26" i="98"/>
  <c r="AA26" i="95"/>
  <c r="AA39" i="101"/>
  <c r="AD39" i="10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B26" i="98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O101" i="101"/>
  <c r="P100" i="101"/>
  <c r="O99" i="101"/>
  <c r="P98" i="10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E10" i="107"/>
  <c r="F10" i="107"/>
  <c r="G10" i="107"/>
  <c r="H10" i="107"/>
  <c r="I10" i="107"/>
  <c r="J10" i="107"/>
  <c r="K10" i="107"/>
  <c r="L10" i="107"/>
  <c r="M10" i="107"/>
  <c r="N10" i="107"/>
  <c r="C10" i="107"/>
  <c r="AF28" i="101" l="1"/>
  <c r="AF25" i="101"/>
  <c r="AF32" i="101"/>
  <c r="AF33" i="101"/>
  <c r="Z26" i="95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AA18" i="111" s="1"/>
  <c r="I42" i="111"/>
  <c r="E42" i="111"/>
  <c r="C42" i="111"/>
  <c r="S18" i="111" s="1"/>
  <c r="K41" i="111"/>
  <c r="G41" i="111"/>
  <c r="C41" i="111"/>
  <c r="K40" i="111"/>
  <c r="G40" i="111"/>
  <c r="C40" i="111"/>
  <c r="K39" i="111"/>
  <c r="G39" i="111"/>
  <c r="C39" i="111"/>
  <c r="K38" i="111"/>
  <c r="AA17" i="111" s="1"/>
  <c r="E38" i="111"/>
  <c r="C38" i="111"/>
  <c r="S17" i="111" s="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X21" i="111" s="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X20" i="111" s="1"/>
  <c r="D50" i="111"/>
  <c r="T20" i="111" s="1"/>
  <c r="L49" i="111"/>
  <c r="H49" i="111"/>
  <c r="D49" i="111"/>
  <c r="L48" i="111"/>
  <c r="H48" i="111"/>
  <c r="D48" i="111"/>
  <c r="L47" i="111"/>
  <c r="H47" i="111"/>
  <c r="D47" i="111"/>
  <c r="L46" i="111"/>
  <c r="AB19" i="111" s="1"/>
  <c r="H46" i="111"/>
  <c r="X19" i="111" s="1"/>
  <c r="D46" i="111"/>
  <c r="T19" i="111" s="1"/>
  <c r="L45" i="111"/>
  <c r="H45" i="111"/>
  <c r="D45" i="111"/>
  <c r="L44" i="111"/>
  <c r="H44" i="111"/>
  <c r="D44" i="111"/>
  <c r="L43" i="111"/>
  <c r="H43" i="111"/>
  <c r="D43" i="111"/>
  <c r="L42" i="111"/>
  <c r="AB18" i="111" s="1"/>
  <c r="H42" i="111"/>
  <c r="X18" i="111" s="1"/>
  <c r="D42" i="111"/>
  <c r="T18" i="111" s="1"/>
  <c r="L41" i="111"/>
  <c r="H41" i="111"/>
  <c r="D41" i="111"/>
  <c r="L40" i="111"/>
  <c r="H40" i="111"/>
  <c r="D40" i="111"/>
  <c r="L39" i="111"/>
  <c r="H39" i="111"/>
  <c r="D39" i="111"/>
  <c r="L38" i="111"/>
  <c r="AB17" i="111" s="1"/>
  <c r="H38" i="111"/>
  <c r="D38" i="111"/>
  <c r="T17" i="111" s="1"/>
  <c r="L37" i="111"/>
  <c r="H37" i="111"/>
  <c r="D37" i="111"/>
  <c r="L36" i="111"/>
  <c r="H36" i="111"/>
  <c r="D36" i="111"/>
  <c r="L35" i="111"/>
  <c r="H35" i="111"/>
  <c r="D35" i="111"/>
  <c r="L34" i="111"/>
  <c r="AB16" i="111" s="1"/>
  <c r="H34" i="111"/>
  <c r="X16" i="111" s="1"/>
  <c r="D34" i="111"/>
  <c r="T16" i="111" s="1"/>
  <c r="L33" i="111"/>
  <c r="H33" i="111"/>
  <c r="D33" i="111"/>
  <c r="L32" i="111"/>
  <c r="H32" i="111"/>
  <c r="D32" i="111"/>
  <c r="L31" i="111"/>
  <c r="H31" i="111"/>
  <c r="D31" i="111"/>
  <c r="L30" i="111"/>
  <c r="AB15" i="111" s="1"/>
  <c r="H30" i="111"/>
  <c r="X15" i="111" s="1"/>
  <c r="D30" i="111"/>
  <c r="T15" i="111" s="1"/>
  <c r="L29" i="111"/>
  <c r="H29" i="111"/>
  <c r="D29" i="111"/>
  <c r="L28" i="111"/>
  <c r="H28" i="111"/>
  <c r="D28" i="111"/>
  <c r="L27" i="111"/>
  <c r="H27" i="111"/>
  <c r="D27" i="111"/>
  <c r="L26" i="111"/>
  <c r="AB14" i="111" s="1"/>
  <c r="H26" i="111"/>
  <c r="X14" i="111" s="1"/>
  <c r="D26" i="111"/>
  <c r="T14" i="111" s="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AA16" i="111" s="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AA15" i="111" s="1"/>
  <c r="I30" i="111"/>
  <c r="G30" i="111"/>
  <c r="W15" i="111" s="1"/>
  <c r="M29" i="111"/>
  <c r="I29" i="111"/>
  <c r="E29" i="111"/>
  <c r="M28" i="111"/>
  <c r="I28" i="111"/>
  <c r="E28" i="111"/>
  <c r="M27" i="111"/>
  <c r="I27" i="111"/>
  <c r="E27" i="111"/>
  <c r="M26" i="111"/>
  <c r="AC14" i="111" s="1"/>
  <c r="K26" i="111"/>
  <c r="E26" i="111"/>
  <c r="U14" i="111" s="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W13" i="111" s="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W12" i="111" s="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W11" i="111" s="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AD21" i="111" s="1"/>
  <c r="J54" i="111"/>
  <c r="F54" i="111"/>
  <c r="V21" i="111" s="1"/>
  <c r="N53" i="111"/>
  <c r="J53" i="111"/>
  <c r="F53" i="111"/>
  <c r="N52" i="111"/>
  <c r="J52" i="111"/>
  <c r="F52" i="111"/>
  <c r="N51" i="111"/>
  <c r="J51" i="111"/>
  <c r="F51" i="111"/>
  <c r="N50" i="111"/>
  <c r="AD20" i="111" s="1"/>
  <c r="J50" i="111"/>
  <c r="F50" i="111"/>
  <c r="V20" i="111" s="1"/>
  <c r="N49" i="111"/>
  <c r="J49" i="111"/>
  <c r="F49" i="111"/>
  <c r="N48" i="111"/>
  <c r="J48" i="111"/>
  <c r="F48" i="111"/>
  <c r="N47" i="111"/>
  <c r="J47" i="111"/>
  <c r="F47" i="111"/>
  <c r="N46" i="111"/>
  <c r="AD19" i="111" s="1"/>
  <c r="J46" i="111"/>
  <c r="F46" i="111"/>
  <c r="V19" i="111" s="1"/>
  <c r="N45" i="111"/>
  <c r="J45" i="111"/>
  <c r="F45" i="111"/>
  <c r="N44" i="111"/>
  <c r="J44" i="111"/>
  <c r="F44" i="111"/>
  <c r="N43" i="111"/>
  <c r="J43" i="111"/>
  <c r="F43" i="111"/>
  <c r="N42" i="111"/>
  <c r="AD18" i="111" s="1"/>
  <c r="J42" i="111"/>
  <c r="F42" i="111"/>
  <c r="V18" i="111" s="1"/>
  <c r="N41" i="111"/>
  <c r="J41" i="111"/>
  <c r="F41" i="111"/>
  <c r="N40" i="111"/>
  <c r="J40" i="111"/>
  <c r="F40" i="111"/>
  <c r="N39" i="111"/>
  <c r="J39" i="111"/>
  <c r="F39" i="111"/>
  <c r="N38" i="111"/>
  <c r="AD17" i="111" s="1"/>
  <c r="J38" i="111"/>
  <c r="F38" i="111"/>
  <c r="V17" i="111" s="1"/>
  <c r="N37" i="111"/>
  <c r="J37" i="111"/>
  <c r="F37" i="111"/>
  <c r="N36" i="111"/>
  <c r="J36" i="111"/>
  <c r="F36" i="111"/>
  <c r="N35" i="111"/>
  <c r="J35" i="111"/>
  <c r="F35" i="111"/>
  <c r="N34" i="111"/>
  <c r="AD16" i="111" s="1"/>
  <c r="J34" i="111"/>
  <c r="F34" i="111"/>
  <c r="V16" i="111" s="1"/>
  <c r="N33" i="111"/>
  <c r="J33" i="111"/>
  <c r="F33" i="111"/>
  <c r="N32" i="111"/>
  <c r="J32" i="111"/>
  <c r="F32" i="111"/>
  <c r="N31" i="111"/>
  <c r="J31" i="111"/>
  <c r="F31" i="111"/>
  <c r="N30" i="111"/>
  <c r="AD15" i="111" s="1"/>
  <c r="J30" i="111"/>
  <c r="F30" i="111"/>
  <c r="V15" i="111" s="1"/>
  <c r="N29" i="111"/>
  <c r="J29" i="111"/>
  <c r="F29" i="111"/>
  <c r="N28" i="111"/>
  <c r="J28" i="111"/>
  <c r="F28" i="111"/>
  <c r="N27" i="111"/>
  <c r="J27" i="111"/>
  <c r="F27" i="111"/>
  <c r="N26" i="111"/>
  <c r="AD14" i="111" s="1"/>
  <c r="J26" i="111"/>
  <c r="F26" i="111"/>
  <c r="V14" i="111" s="1"/>
  <c r="N25" i="111"/>
  <c r="J25" i="111"/>
  <c r="F25" i="111"/>
  <c r="N24" i="111"/>
  <c r="L24" i="111"/>
  <c r="J24" i="111"/>
  <c r="D24" i="111"/>
  <c r="H23" i="111"/>
  <c r="F23" i="111"/>
  <c r="L22" i="111"/>
  <c r="AB13" i="111" s="1"/>
  <c r="J22" i="111"/>
  <c r="F22" i="111"/>
  <c r="V13" i="111" s="1"/>
  <c r="D22" i="111"/>
  <c r="T13" i="111" s="1"/>
  <c r="J21" i="111"/>
  <c r="H21" i="111"/>
  <c r="N20" i="111"/>
  <c r="L20" i="111"/>
  <c r="J20" i="111"/>
  <c r="D20" i="111"/>
  <c r="N19" i="111"/>
  <c r="H19" i="111"/>
  <c r="N18" i="111"/>
  <c r="AD12" i="111" s="1"/>
  <c r="L18" i="111"/>
  <c r="AB12" i="111" s="1"/>
  <c r="F18" i="111"/>
  <c r="V12" i="111" s="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Z11" i="111" s="1"/>
  <c r="D14" i="111"/>
  <c r="T11" i="111" s="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AC21" i="111" s="1"/>
  <c r="E54" i="111"/>
  <c r="C54" i="111"/>
  <c r="S21" i="111" s="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W20" i="111" s="1"/>
  <c r="G49" i="111"/>
  <c r="E49" i="111"/>
  <c r="K48" i="111"/>
  <c r="E48" i="111"/>
  <c r="C48" i="111"/>
  <c r="M47" i="111"/>
  <c r="I47" i="111"/>
  <c r="G47" i="111"/>
  <c r="M46" i="111"/>
  <c r="K46" i="111"/>
  <c r="AA19" i="111" s="1"/>
  <c r="I46" i="111"/>
  <c r="Y19" i="111" s="1"/>
  <c r="C46" i="111"/>
  <c r="S19" i="111" s="1"/>
  <c r="M45" i="111"/>
  <c r="I45" i="111"/>
  <c r="E45" i="111"/>
  <c r="M44" i="111"/>
  <c r="I44" i="111"/>
  <c r="E44" i="111"/>
  <c r="M43" i="111"/>
  <c r="I43" i="111"/>
  <c r="E43" i="111"/>
  <c r="M42" i="111"/>
  <c r="AC18" i="111" s="1"/>
  <c r="G42" i="111"/>
  <c r="W18" i="111" s="1"/>
  <c r="M41" i="111"/>
  <c r="I41" i="111"/>
  <c r="E41" i="111"/>
  <c r="M40" i="111"/>
  <c r="I40" i="111"/>
  <c r="E40" i="111"/>
  <c r="M39" i="111"/>
  <c r="I39" i="111"/>
  <c r="E39" i="111"/>
  <c r="M38" i="111"/>
  <c r="I38" i="111"/>
  <c r="Y17" i="111" s="1"/>
  <c r="G38" i="111"/>
  <c r="W17" i="111" s="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W16" i="111" s="1"/>
  <c r="C34" i="111"/>
  <c r="S16" i="111" s="1"/>
  <c r="M33" i="111"/>
  <c r="I33" i="111"/>
  <c r="E33" i="111"/>
  <c r="M32" i="111"/>
  <c r="I32" i="111"/>
  <c r="E32" i="111"/>
  <c r="M31" i="111"/>
  <c r="I31" i="111"/>
  <c r="E31" i="111"/>
  <c r="M30" i="111"/>
  <c r="E30" i="111"/>
  <c r="U15" i="111" s="1"/>
  <c r="C30" i="111"/>
  <c r="S15" i="111" s="1"/>
  <c r="K29" i="111"/>
  <c r="G29" i="111"/>
  <c r="C29" i="111"/>
  <c r="K28" i="111"/>
  <c r="G28" i="111"/>
  <c r="C28" i="111"/>
  <c r="K27" i="111"/>
  <c r="G27" i="111"/>
  <c r="C27" i="111"/>
  <c r="I26" i="111"/>
  <c r="Y14" i="111" s="1"/>
  <c r="G26" i="111"/>
  <c r="W14" i="111" s="1"/>
  <c r="M25" i="111"/>
  <c r="I25" i="111"/>
  <c r="E25" i="111"/>
  <c r="M24" i="111"/>
  <c r="I24" i="111"/>
  <c r="E24" i="111"/>
  <c r="M23" i="111"/>
  <c r="I23" i="111"/>
  <c r="E23" i="111"/>
  <c r="M22" i="111"/>
  <c r="AC13" i="111" s="1"/>
  <c r="I22" i="111"/>
  <c r="E22" i="111"/>
  <c r="U13" i="111" s="1"/>
  <c r="M21" i="111"/>
  <c r="I21" i="111"/>
  <c r="E21" i="111"/>
  <c r="M20" i="111"/>
  <c r="I20" i="111"/>
  <c r="E20" i="111"/>
  <c r="M19" i="111"/>
  <c r="I19" i="111"/>
  <c r="E19" i="111"/>
  <c r="M18" i="111"/>
  <c r="AC12" i="111" s="1"/>
  <c r="I18" i="111"/>
  <c r="E18" i="111"/>
  <c r="U12" i="111" s="1"/>
  <c r="M17" i="111"/>
  <c r="I17" i="111"/>
  <c r="E17" i="111"/>
  <c r="M16" i="111"/>
  <c r="I16" i="111"/>
  <c r="E16" i="111"/>
  <c r="M15" i="111"/>
  <c r="I15" i="111"/>
  <c r="E15" i="111"/>
  <c r="M14" i="111"/>
  <c r="AC11" i="111" s="1"/>
  <c r="I14" i="111"/>
  <c r="E14" i="111"/>
  <c r="U11" i="111" s="1"/>
  <c r="M13" i="111"/>
  <c r="I13" i="111"/>
  <c r="E13" i="111"/>
  <c r="M12" i="111"/>
  <c r="I12" i="111"/>
  <c r="E12" i="111"/>
  <c r="M11" i="111"/>
  <c r="I11" i="111"/>
  <c r="E11" i="111"/>
  <c r="X22" i="100"/>
  <c r="AC26" i="96"/>
  <c r="AA35" i="110"/>
  <c r="W35" i="110"/>
  <c r="Z39" i="110"/>
  <c r="AD38" i="110"/>
  <c r="Z38" i="110"/>
  <c r="V38" i="110"/>
  <c r="X37" i="110"/>
  <c r="AD36" i="110"/>
  <c r="V36" i="110"/>
  <c r="AC35" i="109"/>
  <c r="AC38" i="110"/>
  <c r="K10" i="111"/>
  <c r="G10" i="11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AA35" i="109"/>
  <c r="U36" i="110"/>
  <c r="V35" i="109"/>
  <c r="S41" i="110"/>
  <c r="AF32" i="110"/>
  <c r="S35" i="109"/>
  <c r="V24" i="98"/>
  <c r="X23" i="97"/>
  <c r="AD23" i="99"/>
  <c r="AB38" i="109"/>
  <c r="AD35" i="110"/>
  <c r="V35" i="110"/>
  <c r="AA40" i="110"/>
  <c r="Y36" i="110"/>
  <c r="S37" i="110"/>
  <c r="W40" i="110"/>
  <c r="AD36" i="109"/>
  <c r="Z39" i="109"/>
  <c r="S26" i="97"/>
  <c r="AF33" i="110"/>
  <c r="AF31" i="110"/>
  <c r="AB35" i="110"/>
  <c r="X38" i="110"/>
  <c r="AA41" i="110"/>
  <c r="AA42" i="110" s="1"/>
  <c r="W41" i="110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A24" i="94"/>
  <c r="AC23" i="96"/>
  <c r="AB36" i="105"/>
  <c r="P16" i="108"/>
  <c r="O56" i="108"/>
  <c r="O11" i="108"/>
  <c r="O57" i="108"/>
  <c r="P40" i="108"/>
  <c r="O35" i="108"/>
  <c r="O10" i="108"/>
  <c r="AA26" i="94"/>
  <c r="P29" i="108"/>
  <c r="O16" i="108"/>
  <c r="P49" i="108"/>
  <c r="P22" i="108"/>
  <c r="O49" i="108"/>
  <c r="P43" i="108"/>
  <c r="O28" i="108"/>
  <c r="O36" i="108"/>
  <c r="O20" i="108"/>
  <c r="P57" i="108"/>
  <c r="P55" i="108"/>
  <c r="P52" i="108"/>
  <c r="P35" i="108"/>
  <c r="P21" i="108"/>
  <c r="O13" i="108"/>
  <c r="P12" i="108"/>
  <c r="O53" i="108"/>
  <c r="O48" i="108"/>
  <c r="P46" i="108"/>
  <c r="O38" i="108"/>
  <c r="P45" i="108"/>
  <c r="P38" i="108"/>
  <c r="P32" i="108"/>
  <c r="O30" i="108"/>
  <c r="O31" i="108"/>
  <c r="P24" i="108"/>
  <c r="P17" i="108"/>
  <c r="O14" i="108"/>
  <c r="O43" i="108"/>
  <c r="P56" i="108"/>
  <c r="O55" i="108"/>
  <c r="P53" i="108"/>
  <c r="P51" i="108"/>
  <c r="P48" i="108"/>
  <c r="O39" i="108"/>
  <c r="P37" i="108"/>
  <c r="P27" i="108"/>
  <c r="P13" i="108"/>
  <c r="O12" i="108"/>
  <c r="P11" i="108"/>
  <c r="P10" i="108"/>
  <c r="O52" i="108"/>
  <c r="P47" i="108"/>
  <c r="P26" i="108"/>
  <c r="U24" i="94"/>
  <c r="AC26" i="94"/>
  <c r="O51" i="108"/>
  <c r="O47" i="108"/>
  <c r="O26" i="108"/>
  <c r="O22" i="108"/>
  <c r="O18" i="108"/>
  <c r="P54" i="108"/>
  <c r="O50" i="108"/>
  <c r="O44" i="108"/>
  <c r="O46" i="108"/>
  <c r="O45" i="108"/>
  <c r="P41" i="108"/>
  <c r="P39" i="108"/>
  <c r="O37" i="108"/>
  <c r="O32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P20" i="108"/>
  <c r="O17" i="108"/>
  <c r="P15" i="108"/>
  <c r="P14" i="108"/>
  <c r="O41" i="108"/>
  <c r="O33" i="108"/>
  <c r="O25" i="108"/>
  <c r="O23" i="108"/>
  <c r="O19" i="108"/>
  <c r="O15" i="108"/>
  <c r="P50" i="108"/>
  <c r="P42" i="108"/>
  <c r="P34" i="108"/>
  <c r="O54" i="108"/>
  <c r="O42" i="108"/>
  <c r="O34" i="108"/>
  <c r="P18" i="108"/>
  <c r="Z38" i="105"/>
  <c r="V38" i="105"/>
  <c r="X38" i="105"/>
  <c r="O57" i="107"/>
  <c r="AC35" i="105"/>
  <c r="U38" i="105"/>
  <c r="O37" i="107"/>
  <c r="P36" i="107"/>
  <c r="P35" i="107"/>
  <c r="O32" i="107"/>
  <c r="P31" i="107"/>
  <c r="P28" i="107"/>
  <c r="O25" i="107"/>
  <c r="O19" i="107"/>
  <c r="P18" i="107"/>
  <c r="O17" i="107"/>
  <c r="O15" i="107"/>
  <c r="P14" i="107"/>
  <c r="P33" i="107"/>
  <c r="O33" i="107"/>
  <c r="O29" i="107"/>
  <c r="O27" i="107"/>
  <c r="P24" i="107"/>
  <c r="P22" i="107"/>
  <c r="O22" i="107"/>
  <c r="O20" i="107"/>
  <c r="O13" i="107"/>
  <c r="O11" i="107"/>
  <c r="P57" i="107"/>
  <c r="P56" i="107"/>
  <c r="O56" i="107"/>
  <c r="P55" i="107"/>
  <c r="O55" i="107"/>
  <c r="P54" i="107"/>
  <c r="O54" i="107"/>
  <c r="P53" i="107"/>
  <c r="O53" i="107"/>
  <c r="O52" i="107"/>
  <c r="P52" i="107"/>
  <c r="O51" i="107"/>
  <c r="P51" i="107"/>
  <c r="O50" i="107"/>
  <c r="P50" i="107"/>
  <c r="P49" i="107"/>
  <c r="O49" i="107"/>
  <c r="P48" i="107"/>
  <c r="O48" i="107"/>
  <c r="P47" i="107"/>
  <c r="O47" i="107"/>
  <c r="O46" i="107"/>
  <c r="P46" i="107"/>
  <c r="P45" i="107"/>
  <c r="O45" i="107"/>
  <c r="O44" i="107"/>
  <c r="P44" i="107"/>
  <c r="O43" i="107"/>
  <c r="P43" i="107"/>
  <c r="O42" i="107"/>
  <c r="P42" i="107"/>
  <c r="P41" i="107"/>
  <c r="O41" i="107"/>
  <c r="P40" i="107"/>
  <c r="P39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P20" i="107"/>
  <c r="P19" i="107"/>
  <c r="P16" i="107"/>
  <c r="P15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P34" i="107"/>
  <c r="O30" i="107"/>
  <c r="AB38" i="105"/>
  <c r="T38" i="105"/>
  <c r="P10" i="107"/>
  <c r="O10" i="107"/>
  <c r="X35" i="105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AB20" i="111" l="1"/>
  <c r="T21" i="111"/>
  <c r="X17" i="111"/>
  <c r="G106" i="111"/>
  <c r="W10" i="111"/>
  <c r="F106" i="111"/>
  <c r="V10" i="111"/>
  <c r="N106" i="111"/>
  <c r="AD10" i="111"/>
  <c r="V35" i="111"/>
  <c r="V38" i="111"/>
  <c r="AB38" i="111"/>
  <c r="AB35" i="111"/>
  <c r="V39" i="111"/>
  <c r="V36" i="111"/>
  <c r="AD39" i="111"/>
  <c r="AD36" i="111"/>
  <c r="W38" i="111"/>
  <c r="W35" i="111"/>
  <c r="U16" i="111"/>
  <c r="X11" i="111"/>
  <c r="Z12" i="111"/>
  <c r="AD13" i="111"/>
  <c r="T36" i="111"/>
  <c r="T39" i="111"/>
  <c r="AB21" i="111"/>
  <c r="AB36" i="111" s="1"/>
  <c r="E106" i="111"/>
  <c r="U10" i="111"/>
  <c r="M106" i="111"/>
  <c r="AC10" i="111"/>
  <c r="U17" i="111"/>
  <c r="U18" i="111"/>
  <c r="U19" i="111"/>
  <c r="S20" i="111"/>
  <c r="S36" i="111" s="1"/>
  <c r="AA20" i="111"/>
  <c r="W21" i="111"/>
  <c r="AA21" i="111"/>
  <c r="D106" i="111"/>
  <c r="T10" i="111"/>
  <c r="L106" i="111"/>
  <c r="AB10" i="111"/>
  <c r="K106" i="111"/>
  <c r="AA10" i="111"/>
  <c r="Y11" i="111"/>
  <c r="Y12" i="111"/>
  <c r="Y13" i="111"/>
  <c r="AC15" i="111"/>
  <c r="AC16" i="111"/>
  <c r="AC17" i="111"/>
  <c r="AC19" i="111"/>
  <c r="Y20" i="111"/>
  <c r="U21" i="111"/>
  <c r="H106" i="111"/>
  <c r="X10" i="111"/>
  <c r="AB11" i="111"/>
  <c r="T38" i="111"/>
  <c r="T35" i="111"/>
  <c r="Z13" i="111"/>
  <c r="Z14" i="111"/>
  <c r="Z15" i="111"/>
  <c r="Z16" i="111"/>
  <c r="Z17" i="111"/>
  <c r="Z18" i="111"/>
  <c r="Z19" i="111"/>
  <c r="Z20" i="111"/>
  <c r="Z21" i="111"/>
  <c r="S11" i="111"/>
  <c r="AA11" i="111"/>
  <c r="S12" i="111"/>
  <c r="AA12" i="111"/>
  <c r="S13" i="111"/>
  <c r="AA13" i="111"/>
  <c r="S14" i="111"/>
  <c r="AA14" i="111"/>
  <c r="Y15" i="111"/>
  <c r="Y16" i="111"/>
  <c r="V11" i="111"/>
  <c r="AD11" i="111"/>
  <c r="X12" i="111"/>
  <c r="X13" i="111"/>
  <c r="X36" i="111"/>
  <c r="X39" i="111"/>
  <c r="I106" i="111"/>
  <c r="Y10" i="111"/>
  <c r="C106" i="111"/>
  <c r="S10" i="111"/>
  <c r="Y18" i="111"/>
  <c r="W19" i="111"/>
  <c r="U20" i="111"/>
  <c r="U36" i="111" s="1"/>
  <c r="AC20" i="111"/>
  <c r="AC36" i="111" s="1"/>
  <c r="Y21" i="111"/>
  <c r="J106" i="111"/>
  <c r="Z10" i="111"/>
  <c r="S42" i="110"/>
  <c r="O47" i="111"/>
  <c r="O52" i="111"/>
  <c r="O12" i="111"/>
  <c r="P26" i="111"/>
  <c r="P46" i="111"/>
  <c r="P10" i="111"/>
  <c r="O22" i="111"/>
  <c r="P31" i="111"/>
  <c r="O34" i="111"/>
  <c r="P17" i="111"/>
  <c r="O21" i="111"/>
  <c r="O37" i="111"/>
  <c r="P41" i="111"/>
  <c r="O42" i="111"/>
  <c r="P53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P38" i="111"/>
  <c r="P39" i="111"/>
  <c r="O40" i="111"/>
  <c r="P44" i="111"/>
  <c r="P47" i="111"/>
  <c r="P50" i="111"/>
  <c r="P51" i="111"/>
  <c r="P54" i="111"/>
  <c r="O55" i="111"/>
  <c r="P23" i="111"/>
  <c r="O23" i="111"/>
  <c r="O43" i="111"/>
  <c r="O49" i="111"/>
  <c r="P49" i="111"/>
  <c r="P56" i="111"/>
  <c r="O10" i="111"/>
  <c r="C108" i="110"/>
  <c r="P15" i="111"/>
  <c r="O28" i="111"/>
  <c r="O35" i="111"/>
  <c r="O25" i="111"/>
  <c r="O44" i="111"/>
  <c r="O54" i="111"/>
  <c r="P36" i="111"/>
  <c r="O57" i="111"/>
  <c r="O11" i="111"/>
  <c r="O13" i="111"/>
  <c r="O16" i="111"/>
  <c r="O20" i="111"/>
  <c r="P21" i="111"/>
  <c r="P24" i="111"/>
  <c r="P29" i="111"/>
  <c r="O30" i="111"/>
  <c r="O33" i="111"/>
  <c r="P34" i="111"/>
  <c r="AF16" i="111" s="1"/>
  <c r="P35" i="111"/>
  <c r="O36" i="111"/>
  <c r="P37" i="111"/>
  <c r="O38" i="111"/>
  <c r="O41" i="111"/>
  <c r="P42" i="111"/>
  <c r="P45" i="111"/>
  <c r="O46" i="111"/>
  <c r="AE19" i="111" s="1"/>
  <c r="O48" i="111"/>
  <c r="O50" i="111"/>
  <c r="O51" i="111"/>
  <c r="O53" i="111"/>
  <c r="P55" i="111"/>
  <c r="O56" i="111"/>
  <c r="P57" i="111"/>
  <c r="P14" i="111"/>
  <c r="AF11" i="111" s="1"/>
  <c r="P16" i="111"/>
  <c r="O18" i="111"/>
  <c r="AE12" i="111" s="1"/>
  <c r="O27" i="111"/>
  <c r="O29" i="111"/>
  <c r="O39" i="111"/>
  <c r="P48" i="111"/>
  <c r="P52" i="111"/>
  <c r="P12" i="111"/>
  <c r="P19" i="111"/>
  <c r="O24" i="111"/>
  <c r="O31" i="111"/>
  <c r="O45" i="111"/>
  <c r="P11" i="111"/>
  <c r="P18" i="111"/>
  <c r="AF12" i="111" s="1"/>
  <c r="P22" i="111"/>
  <c r="AF13" i="111" s="1"/>
  <c r="P27" i="111"/>
  <c r="P32" i="111"/>
  <c r="P40" i="111"/>
  <c r="P43" i="111"/>
  <c r="F108" i="110"/>
  <c r="H108" i="110"/>
  <c r="N108" i="110"/>
  <c r="AE39" i="110"/>
  <c r="W42" i="110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H108" i="108"/>
  <c r="C107" i="107"/>
  <c r="F107" i="105"/>
  <c r="H107" i="108"/>
  <c r="E107" i="105"/>
  <c r="D107" i="105"/>
  <c r="C107" i="105"/>
  <c r="AF35" i="105"/>
  <c r="H108" i="107"/>
  <c r="D108" i="105"/>
  <c r="F108" i="105"/>
  <c r="C108" i="105"/>
  <c r="E108" i="105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Y38" i="111" l="1"/>
  <c r="U35" i="111"/>
  <c r="AC35" i="111"/>
  <c r="AA36" i="111"/>
  <c r="O106" i="111"/>
  <c r="AE10" i="111"/>
  <c r="AF21" i="111"/>
  <c r="AF20" i="111"/>
  <c r="AF15" i="111"/>
  <c r="AE14" i="111"/>
  <c r="AE11" i="111"/>
  <c r="AE16" i="111"/>
  <c r="AE13" i="111"/>
  <c r="AF19" i="111"/>
  <c r="Z40" i="111"/>
  <c r="Z42" i="111" s="1"/>
  <c r="Z41" i="111"/>
  <c r="Z34" i="111"/>
  <c r="Z37" i="111"/>
  <c r="C108" i="111"/>
  <c r="I108" i="111"/>
  <c r="S38" i="111"/>
  <c r="S35" i="111"/>
  <c r="S37" i="111"/>
  <c r="H108" i="111"/>
  <c r="Y36" i="111"/>
  <c r="Y39" i="111"/>
  <c r="AA40" i="111"/>
  <c r="AA41" i="111"/>
  <c r="AA34" i="111"/>
  <c r="AA37" i="111"/>
  <c r="AB40" i="111"/>
  <c r="AB37" i="111"/>
  <c r="AB41" i="111"/>
  <c r="AB42" i="111" s="1"/>
  <c r="AB34" i="111"/>
  <c r="T40" i="111"/>
  <c r="T37" i="111"/>
  <c r="T41" i="111"/>
  <c r="T42" i="111" s="1"/>
  <c r="T34" i="111"/>
  <c r="U39" i="111"/>
  <c r="E108" i="111"/>
  <c r="AB39" i="111"/>
  <c r="AD35" i="111"/>
  <c r="AD38" i="111"/>
  <c r="AC38" i="111"/>
  <c r="AD41" i="111"/>
  <c r="AD34" i="111"/>
  <c r="AD37" i="111"/>
  <c r="AD40" i="111"/>
  <c r="V41" i="111"/>
  <c r="V34" i="111"/>
  <c r="V37" i="111"/>
  <c r="V40" i="111"/>
  <c r="AA39" i="111"/>
  <c r="S39" i="111"/>
  <c r="W40" i="111"/>
  <c r="W41" i="111"/>
  <c r="W34" i="111"/>
  <c r="W37" i="111"/>
  <c r="AE20" i="111"/>
  <c r="AE39" i="111" s="1"/>
  <c r="AF18" i="111"/>
  <c r="AE17" i="111"/>
  <c r="AE15" i="111"/>
  <c r="AE21" i="111"/>
  <c r="AF17" i="111"/>
  <c r="AE18" i="111"/>
  <c r="P106" i="111"/>
  <c r="C107" i="111" s="1"/>
  <c r="AF10" i="111"/>
  <c r="AF14" i="111"/>
  <c r="AF38" i="111" s="1"/>
  <c r="J108" i="111"/>
  <c r="W39" i="111"/>
  <c r="W36" i="111"/>
  <c r="S40" i="111"/>
  <c r="S34" i="111"/>
  <c r="S41" i="111"/>
  <c r="S42" i="111" s="1"/>
  <c r="Y40" i="111"/>
  <c r="Y34" i="111"/>
  <c r="Y41" i="111"/>
  <c r="Y37" i="111"/>
  <c r="X38" i="111"/>
  <c r="X35" i="111"/>
  <c r="AA35" i="111"/>
  <c r="AA38" i="111"/>
  <c r="Z39" i="111"/>
  <c r="Z36" i="111"/>
  <c r="Z35" i="111"/>
  <c r="Z38" i="111"/>
  <c r="X40" i="111"/>
  <c r="X37" i="111"/>
  <c r="X41" i="111"/>
  <c r="X42" i="111" s="1"/>
  <c r="X34" i="111"/>
  <c r="AC39" i="111"/>
  <c r="Y35" i="111"/>
  <c r="K107" i="111"/>
  <c r="K108" i="111"/>
  <c r="L107" i="111"/>
  <c r="L108" i="111"/>
  <c r="D107" i="111"/>
  <c r="D108" i="111"/>
  <c r="AC40" i="111"/>
  <c r="AC37" i="111"/>
  <c r="AC34" i="111"/>
  <c r="AC41" i="111"/>
  <c r="U34" i="111"/>
  <c r="U37" i="111"/>
  <c r="U41" i="111"/>
  <c r="U40" i="111"/>
  <c r="U38" i="111"/>
  <c r="N108" i="111"/>
  <c r="N107" i="111"/>
  <c r="F107" i="111"/>
  <c r="F108" i="111"/>
  <c r="G107" i="111"/>
  <c r="G108" i="111"/>
  <c r="M107" i="107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F108" i="108"/>
  <c r="C108" i="108"/>
  <c r="K108" i="108"/>
  <c r="N108" i="108"/>
  <c r="K108" i="107"/>
  <c r="L108" i="108"/>
  <c r="D108" i="108"/>
  <c r="I108" i="108"/>
  <c r="E108" i="108"/>
  <c r="J108" i="108"/>
  <c r="D107" i="107"/>
  <c r="G107" i="107"/>
  <c r="J107" i="107"/>
  <c r="N108" i="107"/>
  <c r="G108" i="107"/>
  <c r="D107" i="108"/>
  <c r="M107" i="108"/>
  <c r="K107" i="108"/>
  <c r="L108" i="107"/>
  <c r="F107" i="107"/>
  <c r="I107" i="107"/>
  <c r="E107" i="107"/>
  <c r="N107" i="107"/>
  <c r="C107" i="108"/>
  <c r="N107" i="108"/>
  <c r="F107" i="108"/>
  <c r="I107" i="108"/>
  <c r="E107" i="108"/>
  <c r="H107" i="107"/>
  <c r="D108" i="107"/>
  <c r="J108" i="107"/>
  <c r="I108" i="107"/>
  <c r="E108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U42" i="111" l="1"/>
  <c r="AE36" i="111"/>
  <c r="W42" i="111"/>
  <c r="V42" i="111"/>
  <c r="AA42" i="111"/>
  <c r="AC42" i="111"/>
  <c r="J107" i="111"/>
  <c r="AF40" i="111"/>
  <c r="AF37" i="111"/>
  <c r="AF41" i="111"/>
  <c r="AF42" i="111" s="1"/>
  <c r="AF34" i="111"/>
  <c r="AD42" i="111"/>
  <c r="E107" i="111"/>
  <c r="H107" i="111"/>
  <c r="AF36" i="111"/>
  <c r="AF39" i="111"/>
  <c r="AE40" i="111"/>
  <c r="AE41" i="111"/>
  <c r="AE42" i="111" s="1"/>
  <c r="AE37" i="111"/>
  <c r="AE34" i="111"/>
  <c r="AF35" i="111"/>
  <c r="Y42" i="111"/>
  <c r="M107" i="111"/>
  <c r="I107" i="111"/>
  <c r="AE38" i="111"/>
  <c r="AE35" i="111"/>
</calcChain>
</file>

<file path=xl/sharedStrings.xml><?xml version="1.0" encoding="utf-8"?>
<sst xmlns="http://schemas.openxmlformats.org/spreadsheetml/2006/main" count="2325" uniqueCount="176">
  <si>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</si>
  <si>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</si>
  <si>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</si>
  <si>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</si>
  <si>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</si>
  <si>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</si>
  <si>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</si>
  <si>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</si>
  <si>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</si>
  <si>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</si>
  <si>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</si>
  <si>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</si>
  <si>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</si>
  <si>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</si>
  <si>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</si>
  <si>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</si>
  <si>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</si>
  <si>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</si>
  <si>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</si>
  <si>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</si>
  <si>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</si>
  <si>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</si>
  <si>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</si>
  <si>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</si>
  <si>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</si>
  <si>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</si>
  <si>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</si>
  <si>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</si>
  <si>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</si>
  <si>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</si>
  <si>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</si>
  <si>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</si>
  <si>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</si>
  <si>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</si>
  <si>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</si>
  <si>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</si>
  <si>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</si>
  <si>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</si>
  <si>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</si>
  <si>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</si>
  <si>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</si>
  <si>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</si>
  <si>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</si>
  <si>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</si>
  <si>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</si>
  <si>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</si>
  <si>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</si>
  <si>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</si>
  <si>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</si>
  <si>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</si>
  <si>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</si>
  <si>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</si>
  <si>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</si>
  <si>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</si>
  <si>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</si>
  <si>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</si>
  <si>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</si>
  <si>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</si>
  <si>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</si>
  <si>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</si>
  <si>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</si>
  <si>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</si>
  <si>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</si>
  <si>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</si>
  <si>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</si>
  <si>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</si>
  <si>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</si>
  <si>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</si>
  <si>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</si>
  <si>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</si>
  <si>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</si>
  <si>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</si>
  <si>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</si>
  <si>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</si>
  <si>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</si>
  <si>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</si>
  <si>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</si>
  <si>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</si>
  <si>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</si>
  <si>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</si>
  <si>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</si>
  <si>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</si>
  <si>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</si>
  <si>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</si>
  <si>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</si>
  <si>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</si>
  <si>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</si>
  <si>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</si>
  <si>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</si>
  <si>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</si>
  <si>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</si>
  <si>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</si>
  <si>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</si>
  <si>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</si>
  <si>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</si>
  <si>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</si>
  <si>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</si>
  <si>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</si>
  <si>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</si>
  <si>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</si>
  <si>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</si>
  <si>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</si>
  <si>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</si>
  <si>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</si>
  <si>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</si>
  <si>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</si>
  <si>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</si>
  <si>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</si>
  <si>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</si>
  <si>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</si>
  <si>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</si>
  <si>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</si>
  <si>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</si>
  <si>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</si>
  <si>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</si>
  <si>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</si>
  <si>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</si>
  <si>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</si>
  <si>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</si>
  <si>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</si>
  <si>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</si>
  <si>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</si>
  <si>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</si>
  <si>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</si>
  <si>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</si>
  <si>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</si>
  <si>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</si>
  <si>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</si>
  <si>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</si>
  <si>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</si>
  <si>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</si>
  <si>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</si>
  <si>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</si>
  <si>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</si>
  <si>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</si>
  <si>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</si>
  <si>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</si>
  <si>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</si>
  <si>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</si>
  <si>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</si>
  <si>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</si>
  <si>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</si>
  <si>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</si>
  <si>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</si>
  <si>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</si>
  <si>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</si>
  <si>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</si>
  <si>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</si>
  <si>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</si>
  <si>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</si>
  <si>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</si>
  <si>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</si>
  <si>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</si>
  <si>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</si>
  <si>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</si>
  <si>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</si>
  <si>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</si>
  <si>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</si>
  <si>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</si>
  <si>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</si>
  <si>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</si>
  <si>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</si>
  <si>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xxx</t>
  </si>
  <si>
    <t>AVERAGE WEEK</t>
  </si>
  <si>
    <t>MCC - C3 - STN85 - HOIMA ROAD</t>
  </si>
  <si>
    <t>11.08.19</t>
  </si>
  <si>
    <t>BUSUNJU</t>
  </si>
  <si>
    <t>KAMPALA</t>
  </si>
  <si>
    <t>12.08.19</t>
  </si>
  <si>
    <t>14.08.19</t>
  </si>
  <si>
    <t>15.08.19</t>
  </si>
  <si>
    <t>16.08.19</t>
  </si>
  <si>
    <t>17.08.19</t>
  </si>
  <si>
    <t>13.08.19</t>
  </si>
  <si>
    <t>MATTE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</si>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</sst>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BUSUNJU-KAMPALA'!$AE$9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BUSUNJU-KAMPALA'!$AE$10:$AE$21</c:f>
              <c:numCache>
                <c:formatCode>0</c:formatCode>
                <c:ptCount val="12"/>
                <c:pt idx="0">
                  <c:v>3</c:v>
                </c:pt>
                <c:pt idx="1">
                  <c:v>8</c:v>
                </c:pt>
                <c:pt idx="2">
                  <c:v>13</c:v>
                </c:pt>
                <c:pt idx="3">
                  <c:v>11</c:v>
                </c:pt>
                <c:pt idx="4">
                  <c:v>15</c:v>
                </c:pt>
                <c:pt idx="5">
                  <c:v>13</c:v>
                </c:pt>
                <c:pt idx="6">
                  <c:v>11</c:v>
                </c:pt>
                <c:pt idx="7">
                  <c:v>9</c:v>
                </c:pt>
                <c:pt idx="8">
                  <c:v>13</c:v>
                </c:pt>
                <c:pt idx="9">
                  <c:v>5</c:v>
                </c:pt>
                <c:pt idx="10">
                  <c:v>12</c:v>
                </c:pt>
                <c:pt idx="11">
                  <c:v>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'11.08 BUSUNJU-KAMPALA'!$AF$9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BUSUNJU-KAMPALA'!$AF$10:$AF$21</c:f>
              <c:numCache>
                <c:formatCode>0</c:formatCode>
                <c:ptCount val="12"/>
                <c:pt idx="0">
                  <c:v>47</c:v>
                </c:pt>
                <c:pt idx="1">
                  <c:v>59</c:v>
                </c:pt>
                <c:pt idx="2">
                  <c:v>88</c:v>
                </c:pt>
                <c:pt idx="3">
                  <c:v>84</c:v>
                </c:pt>
                <c:pt idx="4">
                  <c:v>100</c:v>
                </c:pt>
                <c:pt idx="5">
                  <c:v>77</c:v>
                </c:pt>
                <c:pt idx="6">
                  <c:v>59</c:v>
                </c:pt>
                <c:pt idx="7">
                  <c:v>61</c:v>
                </c:pt>
                <c:pt idx="8">
                  <c:v>68</c:v>
                </c:pt>
                <c:pt idx="9">
                  <c:v>59</c:v>
                </c:pt>
                <c:pt idx="10">
                  <c:v>74</c:v>
                </c:pt>
                <c:pt idx="11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338848"/>
        <c:axId val="194336888"/>
      </c:lineChart>
      <c:catAx>
        <c:axId val="1943388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336888"/>
        <c:crosses val="autoZero"/>
        <c:auto val="1"/>
        <c:lblAlgn val="ctr"/>
        <c:lblOffset val="100"/>
        <c:noMultiLvlLbl val="0"/>
      </c:catAx>
      <c:valAx>
        <c:axId val="194336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33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BUSUNJU-KAMPALA'!$C$59:$N$59</c:f>
              <c:numCache>
                <c:formatCode>0.0%</c:formatCode>
                <c:ptCount val="12"/>
                <c:pt idx="0">
                  <c:v>6.8925233644859807E-2</c:v>
                </c:pt>
                <c:pt idx="1">
                  <c:v>0</c:v>
                </c:pt>
                <c:pt idx="2">
                  <c:v>4.6728971962616821E-2</c:v>
                </c:pt>
                <c:pt idx="3">
                  <c:v>1.2850467289719626E-2</c:v>
                </c:pt>
                <c:pt idx="4">
                  <c:v>0</c:v>
                </c:pt>
                <c:pt idx="5">
                  <c:v>0</c:v>
                </c:pt>
                <c:pt idx="6">
                  <c:v>9.3457943925233638E-3</c:v>
                </c:pt>
                <c:pt idx="7">
                  <c:v>1.6355140186915886E-2</c:v>
                </c:pt>
                <c:pt idx="8">
                  <c:v>0</c:v>
                </c:pt>
                <c:pt idx="9">
                  <c:v>0</c:v>
                </c:pt>
                <c:pt idx="10">
                  <c:v>0.84579439252336452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BUSUNJU-KAMPALA'!$C$60:$N$60</c:f>
              <c:numCache>
                <c:formatCode>0.00%</c:formatCode>
                <c:ptCount val="12"/>
                <c:pt idx="0">
                  <c:v>0.44696969696969696</c:v>
                </c:pt>
                <c:pt idx="1">
                  <c:v>0</c:v>
                </c:pt>
                <c:pt idx="2">
                  <c:v>0.30303030303030304</c:v>
                </c:pt>
                <c:pt idx="3">
                  <c:v>8.3333333333333329E-2</c:v>
                </c:pt>
                <c:pt idx="4">
                  <c:v>0</c:v>
                </c:pt>
                <c:pt idx="5">
                  <c:v>0</c:v>
                </c:pt>
                <c:pt idx="6">
                  <c:v>6.0606060606060608E-2</c:v>
                </c:pt>
                <c:pt idx="7">
                  <c:v>0.10606060606060606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KAMPALA-BUSUNJU'!$AE$9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'11.08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KAMPALA-BUSUNJU'!$AE$10:$AE$21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12</c:v>
                </c:pt>
                <c:pt idx="3">
                  <c:v>15</c:v>
                </c:pt>
                <c:pt idx="4">
                  <c:v>20</c:v>
                </c:pt>
                <c:pt idx="5">
                  <c:v>13</c:v>
                </c:pt>
                <c:pt idx="6">
                  <c:v>17</c:v>
                </c:pt>
                <c:pt idx="7">
                  <c:v>12</c:v>
                </c:pt>
                <c:pt idx="8">
                  <c:v>13</c:v>
                </c:pt>
                <c:pt idx="9">
                  <c:v>15</c:v>
                </c:pt>
                <c:pt idx="10">
                  <c:v>8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'11.08 KAMPALA-BUSUNJU'!$AF$9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'11.08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KAMPALA-BUSUNJU'!$AF$10:$AF$21</c:f>
              <c:numCache>
                <c:formatCode>0</c:formatCode>
                <c:ptCount val="12"/>
                <c:pt idx="0">
                  <c:v>38</c:v>
                </c:pt>
                <c:pt idx="1">
                  <c:v>54</c:v>
                </c:pt>
                <c:pt idx="2">
                  <c:v>79</c:v>
                </c:pt>
                <c:pt idx="3">
                  <c:v>92</c:v>
                </c:pt>
                <c:pt idx="4">
                  <c:v>90</c:v>
                </c:pt>
                <c:pt idx="5">
                  <c:v>80</c:v>
                </c:pt>
                <c:pt idx="6">
                  <c:v>62</c:v>
                </c:pt>
                <c:pt idx="7">
                  <c:v>69</c:v>
                </c:pt>
                <c:pt idx="8">
                  <c:v>70</c:v>
                </c:pt>
                <c:pt idx="9">
                  <c:v>71</c:v>
                </c:pt>
                <c:pt idx="10">
                  <c:v>74</c:v>
                </c:pt>
                <c:pt idx="11">
                  <c:v>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09048"/>
        <c:axId val="223511400"/>
      </c:lineChart>
      <c:catAx>
        <c:axId val="223509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511400"/>
        <c:crosses val="autoZero"/>
        <c:auto val="1"/>
        <c:lblAlgn val="ctr"/>
        <c:lblOffset val="100"/>
        <c:noMultiLvlLbl val="0"/>
      </c:catAx>
      <c:valAx>
        <c:axId val="2235114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509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KAMPALA-BUSUNJU'!$C$59:$N$59</c:f>
              <c:numCache>
                <c:formatCode>0.0%</c:formatCode>
                <c:ptCount val="12"/>
                <c:pt idx="0">
                  <c:v>6.9524913093858637E-2</c:v>
                </c:pt>
                <c:pt idx="1">
                  <c:v>0</c:v>
                </c:pt>
                <c:pt idx="2">
                  <c:v>5.4461181923522596E-2</c:v>
                </c:pt>
                <c:pt idx="3">
                  <c:v>1.5063731170336037E-2</c:v>
                </c:pt>
                <c:pt idx="4">
                  <c:v>0</c:v>
                </c:pt>
                <c:pt idx="5">
                  <c:v>0</c:v>
                </c:pt>
                <c:pt idx="6">
                  <c:v>3.8238702201622246E-2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0.82271147161066049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'11.08 KAMPALA-BUSUNJU'!$S$9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'11.08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KAMPALA-BUSUNJU'!$S$10:$S$21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7</c:v>
                </c:pt>
                <c:pt idx="10">
                  <c:v>4</c:v>
                </c:pt>
                <c:pt idx="11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'11.08 KAMPALA-BUSUNJU'!$T$9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'11.08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'11.08 KAMPALA-BUSUNJU'!$T$10:$T$21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'11.08 KAMPALA-BUSUNJU'!$U$9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'11.08 KAMPALA-BUSUNJU'!$U$10:$U$21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7</c:v>
                </c:pt>
                <c:pt idx="7">
                  <c:v>7</c:v>
                </c:pt>
                <c:pt idx="8">
                  <c:v>4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'11.08 KAMPALA-BUSUNJU'!$V$9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'11.08 KAMPALA-BUSUNJU'!$V$10:$V$21</c:f>
              <c:numCache>
                <c:formatCode>0</c:formatCode>
                <c:ptCount val="12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'11.08 KAMPALA-BUSUNJU'!$W$9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'11.08 KAMPALA-BUSUNJU'!$W$10:$W$21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'11.08 KAMPALA-BUSUNJU'!$X$9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'11.08 KAMPALA-BUSUNJU'!$X$10:$X$21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'11.08 KAMPALA-BUSUNJU'!$Y$9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KAMPALA-BUSUNJU'!$Y$10:$Y$21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0</c:v>
                </c:pt>
                <c:pt idx="8">
                  <c:v>4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'11.08 KAMPALA-BUSUNJU'!$Z$9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KAMPALA-BUSUNJU'!$Z$10:$Z$21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'11.08 KAMPALA-BUSUNJU'!$AA$9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KAMPALA-BUSUNJU'!$AA$10:$AA$21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'11.08 KAMPALA-BUSUNJU'!$AB$9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KAMPALA-BUSUNJU'!$AB$10:$AB$21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'11.08 KAMPALA-BUSUNJU'!$AC$9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KAMPALA-BUSUNJU'!$AC$10:$AC$21</c:f>
              <c:numCache>
                <c:formatCode>0</c:formatCode>
                <c:ptCount val="12"/>
                <c:pt idx="0">
                  <c:v>32</c:v>
                </c:pt>
                <c:pt idx="1">
                  <c:v>50</c:v>
                </c:pt>
                <c:pt idx="2">
                  <c:v>67</c:v>
                </c:pt>
                <c:pt idx="3">
                  <c:v>77</c:v>
                </c:pt>
                <c:pt idx="4">
                  <c:v>70</c:v>
                </c:pt>
                <c:pt idx="5">
                  <c:v>67</c:v>
                </c:pt>
                <c:pt idx="6">
                  <c:v>45</c:v>
                </c:pt>
                <c:pt idx="7">
                  <c:v>57</c:v>
                </c:pt>
                <c:pt idx="8">
                  <c:v>57</c:v>
                </c:pt>
                <c:pt idx="9">
                  <c:v>56</c:v>
                </c:pt>
                <c:pt idx="10">
                  <c:v>66</c:v>
                </c:pt>
                <c:pt idx="11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'11.08 KAMPALA-BUSUNJU'!$AD$9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'11.08 KAMPALA-BUSUNJU'!$AD$10:$AD$21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512184"/>
        <c:axId val="223507088"/>
      </c:lineChart>
      <c:catAx>
        <c:axId val="223512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507088"/>
        <c:crosses val="autoZero"/>
        <c:auto val="1"/>
        <c:lblAlgn val="ctr"/>
        <c:lblOffset val="100"/>
        <c:noMultiLvlLbl val="0"/>
      </c:catAx>
      <c:valAx>
        <c:axId val="22350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512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'11.08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'11.08 KAMPALA-BUSUNJU'!$C$60:$N$60</c:f>
              <c:numCache>
                <c:formatCode>0.00%</c:formatCode>
                <c:ptCount val="12"/>
                <c:pt idx="0">
                  <c:v>0.39215686274509803</c:v>
                </c:pt>
                <c:pt idx="1">
                  <c:v>0</c:v>
                </c:pt>
                <c:pt idx="2">
                  <c:v>0.30718954248366015</c:v>
                </c:pt>
                <c:pt idx="3">
                  <c:v>8.4967320261437912E-2</c:v>
                </c:pt>
                <c:pt idx="4">
                  <c:v>0</c:v>
                </c:pt>
                <c:pt idx="5">
                  <c:v>0</c:v>
                </c:pt>
                <c:pt idx="6">
                  <c:v>0.21568627450980393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BUSUNJU-KAMPALA'!$AE$9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BUSUNJU-KAMPALA'!$AE$10:$AE$21</c:f>
              <c:numCache>
                <c:formatCode>0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5</c:v>
                </c:pt>
                <c:pt idx="3">
                  <c:v>13</c:v>
                </c:pt>
                <c:pt idx="4">
                  <c:v>13</c:v>
                </c:pt>
                <c:pt idx="5">
                  <c:v>10</c:v>
                </c:pt>
                <c:pt idx="6">
                  <c:v>16</c:v>
                </c:pt>
                <c:pt idx="7">
                  <c:v>11</c:v>
                </c:pt>
                <c:pt idx="8">
                  <c:v>9</c:v>
                </c:pt>
                <c:pt idx="9">
                  <c:v>16</c:v>
                </c:pt>
                <c:pt idx="10">
                  <c:v>20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'12.08 BUSUNJU-KAMPALA'!$AF$9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BUSUNJU-KAMPALA'!$AF$10:$AF$21</c:f>
              <c:numCache>
                <c:formatCode>0</c:formatCode>
                <c:ptCount val="12"/>
                <c:pt idx="0">
                  <c:v>57</c:v>
                </c:pt>
                <c:pt idx="1">
                  <c:v>77</c:v>
                </c:pt>
                <c:pt idx="2">
                  <c:v>55</c:v>
                </c:pt>
                <c:pt idx="3">
                  <c:v>75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57</c:v>
                </c:pt>
                <c:pt idx="8">
                  <c:v>56</c:v>
                </c:pt>
                <c:pt idx="9">
                  <c:v>69</c:v>
                </c:pt>
                <c:pt idx="10">
                  <c:v>69</c:v>
                </c:pt>
                <c:pt idx="11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510224"/>
        <c:axId val="223507480"/>
      </c:lineChart>
      <c:catAx>
        <c:axId val="2235102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507480"/>
        <c:crosses val="autoZero"/>
        <c:auto val="1"/>
        <c:lblAlgn val="ctr"/>
        <c:lblOffset val="100"/>
        <c:noMultiLvlLbl val="0"/>
      </c:catAx>
      <c:valAx>
        <c:axId val="2235074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51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BUSUNJU-KAMPALA'!$C$59:$N$59</c:f>
              <c:numCache>
                <c:formatCode>0.0%</c:formatCode>
                <c:ptCount val="12"/>
                <c:pt idx="0">
                  <c:v>5.0649350649350652E-2</c:v>
                </c:pt>
                <c:pt idx="1">
                  <c:v>0</c:v>
                </c:pt>
                <c:pt idx="2">
                  <c:v>4.8051948051948054E-2</c:v>
                </c:pt>
                <c:pt idx="3">
                  <c:v>2.0779220779220779E-2</c:v>
                </c:pt>
                <c:pt idx="4">
                  <c:v>1.2987012987012987E-3</c:v>
                </c:pt>
                <c:pt idx="5">
                  <c:v>0</c:v>
                </c:pt>
                <c:pt idx="6">
                  <c:v>6.2337662337662338E-2</c:v>
                </c:pt>
                <c:pt idx="7">
                  <c:v>1.2987012987012987E-3</c:v>
                </c:pt>
                <c:pt idx="8">
                  <c:v>0</c:v>
                </c:pt>
                <c:pt idx="9">
                  <c:v>0</c:v>
                </c:pt>
                <c:pt idx="10">
                  <c:v>0.81558441558441563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BUSUNJU-KAMPALA'!$S$9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'12.08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BUSUNJU-KAMPALA'!$S$10:$S$21</c:f>
              <c:numCache>
                <c:formatCode>0</c:formatCode>
                <c:ptCount val="12"/>
                <c:pt idx="0">
                  <c:v>7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1</c:v>
                </c:pt>
                <c:pt idx="9">
                  <c:v>5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'12.08 BUSUNJU-KAMPALA'!$T$9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'12.08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BUSUNJU-KAMPALA'!$T$10:$T$21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'12.08 BUSUNJU-KAMPALA'!$U$9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'12.08 BUSUNJU-KAMPALA'!$U$10:$U$21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'12.08 BUSUNJU-KAMPALA'!$V$9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'12.08 BUSUNJU-KAMPALA'!$V$10:$V$21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'12.08 BUSUNJU-KAMPALA'!$W$9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'12.08 BUSUNJU-KAMPALA'!$W$10:$W$21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'12.08 BUSUNJU-KAMPALA'!$X$9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'12.08 BUSUNJU-KAMPALA'!$X$10:$X$21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'12.08 BUSUNJU-KAMPALA'!$Y$9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BUSUNJU-KAMPALA'!$Y$10:$Y$21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7</c:v>
                </c:pt>
                <c:pt idx="9">
                  <c:v>6</c:v>
                </c:pt>
                <c:pt idx="10">
                  <c:v>8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'12.08 BUSUNJU-KAMPALA'!$Z$9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BUSUNJU-KAMPALA'!$Z$10:$Z$21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'12.08 BUSUNJU-KAMPALA'!$AA$9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BUSUNJU-KAMPALA'!$AA$10:$AA$21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'12.08 BUSUNJU-KAMPALA'!$AB$9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BUSUNJU-KAMPALA'!$AB$10:$AB$21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'12.08 BUSUNJU-KAMPALA'!$AC$9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BUSUNJU-KAMPALA'!$AC$10:$AC$21</c:f>
              <c:numCache>
                <c:formatCode>0</c:formatCode>
                <c:ptCount val="12"/>
                <c:pt idx="0">
                  <c:v>46</c:v>
                </c:pt>
                <c:pt idx="1">
                  <c:v>66</c:v>
                </c:pt>
                <c:pt idx="2">
                  <c:v>50</c:v>
                </c:pt>
                <c:pt idx="3">
                  <c:v>62</c:v>
                </c:pt>
                <c:pt idx="4">
                  <c:v>47</c:v>
                </c:pt>
                <c:pt idx="5">
                  <c:v>60</c:v>
                </c:pt>
                <c:pt idx="6">
                  <c:v>64</c:v>
                </c:pt>
                <c:pt idx="7">
                  <c:v>46</c:v>
                </c:pt>
                <c:pt idx="8">
                  <c:v>47</c:v>
                </c:pt>
                <c:pt idx="9">
                  <c:v>53</c:v>
                </c:pt>
                <c:pt idx="10">
                  <c:v>49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'12.08 BUSUNJU-KAMPALA'!$AD$9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BUSUNJU-KAMPALA'!$AD$10:$AD$21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3509832"/>
        <c:axId val="223505912"/>
      </c:lineChart>
      <c:catAx>
        <c:axId val="223509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505912"/>
        <c:crosses val="autoZero"/>
        <c:auto val="1"/>
        <c:lblAlgn val="ctr"/>
        <c:lblOffset val="100"/>
        <c:noMultiLvlLbl val="0"/>
      </c:catAx>
      <c:valAx>
        <c:axId val="22350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509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BUSUNJU-KAMPALA'!$C$60:$N$60</c:f>
              <c:numCache>
                <c:formatCode>0.00%</c:formatCode>
                <c:ptCount val="12"/>
                <c:pt idx="0">
                  <c:v>0.27464788732394368</c:v>
                </c:pt>
                <c:pt idx="1">
                  <c:v>0</c:v>
                </c:pt>
                <c:pt idx="2">
                  <c:v>0.26056338028169013</c:v>
                </c:pt>
                <c:pt idx="3">
                  <c:v>0.11267605633802817</c:v>
                </c:pt>
                <c:pt idx="4">
                  <c:v>7.0422535211267607E-3</c:v>
                </c:pt>
                <c:pt idx="5">
                  <c:v>0</c:v>
                </c:pt>
                <c:pt idx="6">
                  <c:v>0.3380281690140845</c:v>
                </c:pt>
                <c:pt idx="7">
                  <c:v>7.0422535211267607E-3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KAMPALA-BUSUNJU'!$AE$9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'12.08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KAMPALA-BUSUNJU'!$AE$10:$AE$21</c:f>
              <c:numCache>
                <c:formatCode>0</c:formatCode>
                <c:ptCount val="12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8</c:v>
                </c:pt>
                <c:pt idx="4">
                  <c:v>22</c:v>
                </c:pt>
                <c:pt idx="5">
                  <c:v>15</c:v>
                </c:pt>
                <c:pt idx="6">
                  <c:v>11</c:v>
                </c:pt>
                <c:pt idx="7">
                  <c:v>14</c:v>
                </c:pt>
                <c:pt idx="8">
                  <c:v>11</c:v>
                </c:pt>
                <c:pt idx="9">
                  <c:v>11</c:v>
                </c:pt>
                <c:pt idx="10">
                  <c:v>14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'12.08 KAMPALA-BUSUNJU'!$AF$9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'12.08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KAMPALA-BUSUNJU'!$AF$10:$AF$21</c:f>
              <c:numCache>
                <c:formatCode>0</c:formatCode>
                <c:ptCount val="12"/>
                <c:pt idx="0">
                  <c:v>57</c:v>
                </c:pt>
                <c:pt idx="1">
                  <c:v>56</c:v>
                </c:pt>
                <c:pt idx="2">
                  <c:v>51</c:v>
                </c:pt>
                <c:pt idx="3">
                  <c:v>66</c:v>
                </c:pt>
                <c:pt idx="4">
                  <c:v>69</c:v>
                </c:pt>
                <c:pt idx="5">
                  <c:v>64</c:v>
                </c:pt>
                <c:pt idx="6">
                  <c:v>67</c:v>
                </c:pt>
                <c:pt idx="7">
                  <c:v>65</c:v>
                </c:pt>
                <c:pt idx="8">
                  <c:v>57</c:v>
                </c:pt>
                <c:pt idx="9">
                  <c:v>75</c:v>
                </c:pt>
                <c:pt idx="10">
                  <c:v>62</c:v>
                </c:pt>
                <c:pt idx="11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293008"/>
        <c:axId val="337296144"/>
      </c:lineChart>
      <c:catAx>
        <c:axId val="337293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7296144"/>
        <c:crosses val="autoZero"/>
        <c:auto val="1"/>
        <c:lblAlgn val="ctr"/>
        <c:lblOffset val="100"/>
        <c:noMultiLvlLbl val="0"/>
      </c:catAx>
      <c:valAx>
        <c:axId val="3372961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729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KAMPALA-BUSUNJU'!$C$59:$N$59</c:f>
              <c:numCache>
                <c:formatCode>0.0%</c:formatCode>
                <c:ptCount val="12"/>
                <c:pt idx="0">
                  <c:v>4.5329670329670328E-2</c:v>
                </c:pt>
                <c:pt idx="1">
                  <c:v>0</c:v>
                </c:pt>
                <c:pt idx="2">
                  <c:v>4.2582417582417584E-2</c:v>
                </c:pt>
                <c:pt idx="3">
                  <c:v>1.9230769230769232E-2</c:v>
                </c:pt>
                <c:pt idx="4">
                  <c:v>1.3736263736263737E-3</c:v>
                </c:pt>
                <c:pt idx="5">
                  <c:v>0</c:v>
                </c:pt>
                <c:pt idx="6">
                  <c:v>7.0054945054945056E-2</c:v>
                </c:pt>
                <c:pt idx="7">
                  <c:v>1.3736263736263737E-3</c:v>
                </c:pt>
                <c:pt idx="8">
                  <c:v>0</c:v>
                </c:pt>
                <c:pt idx="9">
                  <c:v>0</c:v>
                </c:pt>
                <c:pt idx="10">
                  <c:v>0.82005494505494503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'12.08 KAMPALA-BUSUNJU'!$S$9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'12.08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KAMPALA-BUSUNJU'!$S$10:$S$21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9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'12.08 KAMPALA-BUSUNJU'!$T$9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'12.08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'12.08 KAMPALA-BUSUNJU'!$T$10:$T$21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'12.08 KAMPALA-BUSUNJU'!$U$9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'12.08 KAMPALA-BUSUNJU'!$U$10:$U$21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11</c:v>
                </c:pt>
                <c:pt idx="5">
                  <c:v>5</c:v>
                </c:pt>
                <c:pt idx="6">
                  <c:v>0</c:v>
                </c:pt>
                <c:pt idx="7">
                  <c:v>4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'12.08 KAMPALA-BUSUNJU'!$V$9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'12.08 KAMPALA-BUSUNJU'!$V$10:$V$21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'12.08 KAMPALA-BUSUNJU'!$W$9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'12.08 KAMPALA-BUSUNJU'!$W$10:$W$21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'12.08 KAMPALA-BUSUNJU'!$X$9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'12.08 KAMPALA-BUSUNJU'!$X$10:$X$21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'12.08 KAMPALA-BUSUNJU'!$Y$9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KAMPALA-BUSUNJU'!$Y$10:$Y$21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7</c:v>
                </c:pt>
                <c:pt idx="7">
                  <c:v>9</c:v>
                </c:pt>
                <c:pt idx="8">
                  <c:v>3</c:v>
                </c:pt>
                <c:pt idx="9">
                  <c:v>7</c:v>
                </c:pt>
                <c:pt idx="10">
                  <c:v>5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'12.08 KAMPALA-BUSUNJU'!$Z$9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KAMPALA-BUSUNJU'!$Z$10:$Z$21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'12.08 KAMPALA-BUSUNJU'!$AA$9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KAMPALA-BUSUNJU'!$AA$10:$AA$21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'12.08 KAMPALA-BUSUNJU'!$AB$9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KAMPALA-BUSUNJU'!$AB$10:$AB$21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'12.08 KAMPALA-BUSUNJU'!$AC$9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KAMPALA-BUSUNJU'!$AC$10:$AC$21</c:f>
              <c:numCache>
                <c:formatCode>0</c:formatCode>
                <c:ptCount val="12"/>
                <c:pt idx="0">
                  <c:v>49</c:v>
                </c:pt>
                <c:pt idx="1">
                  <c:v>49</c:v>
                </c:pt>
                <c:pt idx="2">
                  <c:v>45</c:v>
                </c:pt>
                <c:pt idx="3">
                  <c:v>58</c:v>
                </c:pt>
                <c:pt idx="4">
                  <c:v>47</c:v>
                </c:pt>
                <c:pt idx="5">
                  <c:v>49</c:v>
                </c:pt>
                <c:pt idx="6">
                  <c:v>56</c:v>
                </c:pt>
                <c:pt idx="7">
                  <c:v>51</c:v>
                </c:pt>
                <c:pt idx="8">
                  <c:v>46</c:v>
                </c:pt>
                <c:pt idx="9">
                  <c:v>64</c:v>
                </c:pt>
                <c:pt idx="10">
                  <c:v>48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'12.08 KAMPALA-BUSUNJU'!$AD$9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'12.08 KAMPALA-BUSUNJU'!$AD$10:$AD$21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297712"/>
        <c:axId val="337293792"/>
      </c:lineChart>
      <c:catAx>
        <c:axId val="33729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7293792"/>
        <c:crosses val="autoZero"/>
        <c:auto val="1"/>
        <c:lblAlgn val="ctr"/>
        <c:lblOffset val="100"/>
        <c:noMultiLvlLbl val="0"/>
      </c:catAx>
      <c:valAx>
        <c:axId val="33729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729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'12.08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'12.08 KAMPALA-BUSUNJU'!$C$60:$N$60</c:f>
              <c:numCache>
                <c:formatCode>0.00%</c:formatCode>
                <c:ptCount val="12"/>
                <c:pt idx="0">
                  <c:v>0.25190839694656486</c:v>
                </c:pt>
                <c:pt idx="1">
                  <c:v>0</c:v>
                </c:pt>
                <c:pt idx="2">
                  <c:v>0.23664122137404581</c:v>
                </c:pt>
                <c:pt idx="3">
                  <c:v>0.10687022900763359</c:v>
                </c:pt>
                <c:pt idx="4">
                  <c:v>7.6335877862595417E-3</c:v>
                </c:pt>
                <c:pt idx="5">
                  <c:v>0</c:v>
                </c:pt>
                <c:pt idx="6">
                  <c:v>0.38931297709923662</c:v>
                </c:pt>
                <c:pt idx="7">
                  <c:v>7.6335877862595417E-3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BUSUNJU-KAMPALA'!$AE$9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BUSUNJU-KAMPALA'!$AE$10:$AE$21</c:f>
              <c:numCache>
                <c:formatCode>0</c:formatCode>
                <c:ptCount val="12"/>
                <c:pt idx="0">
                  <c:v>12</c:v>
                </c:pt>
                <c:pt idx="1">
                  <c:v>14</c:v>
                </c:pt>
                <c:pt idx="2">
                  <c:v>10</c:v>
                </c:pt>
                <c:pt idx="3">
                  <c:v>12</c:v>
                </c:pt>
                <c:pt idx="4">
                  <c:v>12</c:v>
                </c:pt>
                <c:pt idx="5">
                  <c:v>17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  <c:pt idx="9">
                  <c:v>23</c:v>
                </c:pt>
                <c:pt idx="10">
                  <c:v>29</c:v>
                </c:pt>
                <c:pt idx="11">
                  <c:v>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'13.08 BUSUNJU-KAMPALA'!$AF$9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BUSUNJU-KAMPALA'!$AF$10:$AF$21</c:f>
              <c:numCache>
                <c:formatCode>0</c:formatCode>
                <c:ptCount val="12"/>
                <c:pt idx="0">
                  <c:v>52</c:v>
                </c:pt>
                <c:pt idx="1">
                  <c:v>81</c:v>
                </c:pt>
                <c:pt idx="2">
                  <c:v>73</c:v>
                </c:pt>
                <c:pt idx="3">
                  <c:v>71</c:v>
                </c:pt>
                <c:pt idx="4">
                  <c:v>86</c:v>
                </c:pt>
                <c:pt idx="5">
                  <c:v>96</c:v>
                </c:pt>
                <c:pt idx="6">
                  <c:v>74</c:v>
                </c:pt>
                <c:pt idx="7">
                  <c:v>91</c:v>
                </c:pt>
                <c:pt idx="8">
                  <c:v>97</c:v>
                </c:pt>
                <c:pt idx="9">
                  <c:v>110</c:v>
                </c:pt>
                <c:pt idx="10">
                  <c:v>111</c:v>
                </c:pt>
                <c:pt idx="11">
                  <c:v>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296536"/>
        <c:axId val="337295360"/>
      </c:lineChart>
      <c:catAx>
        <c:axId val="3372965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7295360"/>
        <c:crosses val="autoZero"/>
        <c:auto val="1"/>
        <c:lblAlgn val="ctr"/>
        <c:lblOffset val="100"/>
        <c:noMultiLvlLbl val="0"/>
      </c:catAx>
      <c:valAx>
        <c:axId val="33729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7296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BUSUNJU-KAMPALA'!$C$59:$N$59</c:f>
              <c:numCache>
                <c:formatCode>0.0%</c:formatCode>
                <c:ptCount val="12"/>
                <c:pt idx="0">
                  <c:v>4.6738072054527749E-2</c:v>
                </c:pt>
                <c:pt idx="1">
                  <c:v>0</c:v>
                </c:pt>
                <c:pt idx="2">
                  <c:v>4.4790652385589096E-2</c:v>
                </c:pt>
                <c:pt idx="3">
                  <c:v>1.9474196689386564E-2</c:v>
                </c:pt>
                <c:pt idx="4">
                  <c:v>9.7370983446932818E-4</c:v>
                </c:pt>
                <c:pt idx="5">
                  <c:v>0</c:v>
                </c:pt>
                <c:pt idx="6">
                  <c:v>6.718597857838364E-2</c:v>
                </c:pt>
                <c:pt idx="7">
                  <c:v>1.9474196689386564E-3</c:v>
                </c:pt>
                <c:pt idx="8">
                  <c:v>9.7370983446932818E-4</c:v>
                </c:pt>
                <c:pt idx="9">
                  <c:v>0</c:v>
                </c:pt>
                <c:pt idx="10">
                  <c:v>0.81791626095423564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BUSUNJU-KAMPALA'!$S$9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'13.08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BUSUNJU-KAMPALA'!$S$10:$S$21</c:f>
              <c:numCache>
                <c:formatCode>0</c:formatCode>
                <c:ptCount val="12"/>
                <c:pt idx="0">
                  <c:v>6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  <c:pt idx="10">
                  <c:v>12</c:v>
                </c:pt>
                <c:pt idx="11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'13.08 BUSUNJU-KAMPALA'!$T$9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'13.08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BUSUNJU-KAMPALA'!$T$10:$T$21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'13.08 BUSUNJU-KAMPALA'!$U$9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'13.08 BUSUNJU-KAMPALA'!$U$10:$U$21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8</c:v>
                </c:pt>
                <c:pt idx="10">
                  <c:v>9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'13.08 BUSUNJU-KAMPALA'!$V$9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'13.08 BUSUNJU-KAMPALA'!$V$10:$V$21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'13.08 BUSUNJU-KAMPALA'!$W$9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'13.08 BUSUNJU-KAMPALA'!$W$10:$W$21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'13.08 BUSUNJU-KAMPALA'!$X$9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'13.08 BUSUNJU-KAMPALA'!$X$10:$X$21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'13.08 BUSUNJU-KAMPALA'!$Y$9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BUSUNJU-KAMPALA'!$Y$10:$Y$21</c:f>
              <c:numCache>
                <c:formatCode>0</c:formatCode>
                <c:ptCount val="12"/>
                <c:pt idx="0">
                  <c:v>4</c:v>
                </c:pt>
                <c:pt idx="1">
                  <c:v>7</c:v>
                </c:pt>
                <c:pt idx="2">
                  <c:v>6</c:v>
                </c:pt>
                <c:pt idx="3">
                  <c:v>8</c:v>
                </c:pt>
                <c:pt idx="4">
                  <c:v>5</c:v>
                </c:pt>
                <c:pt idx="5">
                  <c:v>8</c:v>
                </c:pt>
                <c:pt idx="6">
                  <c:v>3</c:v>
                </c:pt>
                <c:pt idx="7">
                  <c:v>5</c:v>
                </c:pt>
                <c:pt idx="8">
                  <c:v>9</c:v>
                </c:pt>
                <c:pt idx="9">
                  <c:v>7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'13.08 BUSUNJU-KAMPALA'!$Z$9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BUSUNJU-KAMPALA'!$Z$10:$Z$21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'13.08 BUSUNJU-KAMPALA'!$AA$9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BUSUNJU-KAMPALA'!$AA$10:$AA$21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'13.08 BUSUNJU-KAMPALA'!$AB$9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BUSUNJU-KAMPALA'!$AB$10:$AB$21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'13.08 BUSUNJU-KAMPALA'!$AC$9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BUSUNJU-KAMPALA'!$AC$10:$AC$21</c:f>
              <c:numCache>
                <c:formatCode>0</c:formatCode>
                <c:ptCount val="12"/>
                <c:pt idx="0">
                  <c:v>40</c:v>
                </c:pt>
                <c:pt idx="1">
                  <c:v>67</c:v>
                </c:pt>
                <c:pt idx="2">
                  <c:v>63</c:v>
                </c:pt>
                <c:pt idx="3">
                  <c:v>59</c:v>
                </c:pt>
                <c:pt idx="4">
                  <c:v>74</c:v>
                </c:pt>
                <c:pt idx="5">
                  <c:v>79</c:v>
                </c:pt>
                <c:pt idx="6">
                  <c:v>64</c:v>
                </c:pt>
                <c:pt idx="7">
                  <c:v>76</c:v>
                </c:pt>
                <c:pt idx="8">
                  <c:v>82</c:v>
                </c:pt>
                <c:pt idx="9">
                  <c:v>87</c:v>
                </c:pt>
                <c:pt idx="10">
                  <c:v>82</c:v>
                </c:pt>
                <c:pt idx="11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'13.08 BUSUNJU-KAMPALA'!$AD$9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'13.08 BUSUNJU-KAMPALA'!$AD$10:$AD$21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7294576"/>
        <c:axId val="337294184"/>
      </c:lineChart>
      <c:catAx>
        <c:axId val="33729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7294184"/>
        <c:crosses val="autoZero"/>
        <c:auto val="1"/>
        <c:lblAlgn val="ctr"/>
        <c:lblOffset val="100"/>
        <c:noMultiLvlLbl val="0"/>
      </c:catAx>
      <c:valAx>
        <c:axId val="337294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729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BUSUNJU-KAMPALA'!$C$60:$N$60</c:f>
              <c:numCache>
                <c:formatCode>0.00%</c:formatCode>
                <c:ptCount val="12"/>
                <c:pt idx="0">
                  <c:v>0.25668449197860965</c:v>
                </c:pt>
                <c:pt idx="1">
                  <c:v>0</c:v>
                </c:pt>
                <c:pt idx="2">
                  <c:v>0.24598930481283424</c:v>
                </c:pt>
                <c:pt idx="3">
                  <c:v>0.10695187165775401</c:v>
                </c:pt>
                <c:pt idx="4">
                  <c:v>5.3475935828877002E-3</c:v>
                </c:pt>
                <c:pt idx="5">
                  <c:v>0</c:v>
                </c:pt>
                <c:pt idx="6">
                  <c:v>0.36898395721925131</c:v>
                </c:pt>
                <c:pt idx="7">
                  <c:v>1.06951871657754E-2</c:v>
                </c:pt>
                <c:pt idx="8">
                  <c:v>5.3475935828877002E-3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'13.08 KAMPALA-BUSUNJU'!$AE$9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'13.08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KAMPALA-BUSUNJU'!$AE$10:$AE$21</c:f>
              <c:numCache>
                <c:formatCode>0</c:formatCode>
                <c:ptCount val="12"/>
                <c:pt idx="0">
                  <c:v>11</c:v>
                </c:pt>
                <c:pt idx="1">
                  <c:v>9</c:v>
                </c:pt>
                <c:pt idx="2">
                  <c:v>6</c:v>
                </c:pt>
                <c:pt idx="3">
                  <c:v>10</c:v>
                </c:pt>
                <c:pt idx="4">
                  <c:v>12</c:v>
                </c:pt>
                <c:pt idx="5">
                  <c:v>14</c:v>
                </c:pt>
                <c:pt idx="6">
                  <c:v>18</c:v>
                </c:pt>
                <c:pt idx="7">
                  <c:v>16</c:v>
                </c:pt>
                <c:pt idx="8">
                  <c:v>26</c:v>
                </c:pt>
                <c:pt idx="9">
                  <c:v>31</c:v>
                </c:pt>
                <c:pt idx="10">
                  <c:v>13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'13.08 KAMPALA-BUSUNJU'!$AF$9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'13.08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'13.08 KAMPALA-BUSUNJU'!$AF$10:$AF$21</c:f>
              <c:numCache>
                <c:formatCode>0</c:formatCode>
                <c:ptCount val="12"/>
                <c:pt idx="0">
                  <c:v>47</c:v>
                </c:pt>
                <c:pt idx="1">
                  <c:v>60</c:v>
                </c:pt>
                <c:pt idx="2">
                  <c:v>67</c:v>
                </c:pt>
                <c:pt idx="3">
                  <c:v>68</c:v>
                </c:pt>
                <c:pt idx="4">
                  <c:v>82</c:v>
                </c:pt>
                <c:pt idx="5">
                  <c:v>91</c:v>
                </c:pt>
                <c:pt idx="6">
                  <c:v>117</c:v>
                </c:pt>
                <c:pt idx="7">
                  <c:v>105</c:v>
                </c:pt>
                <c:pt idx="8">
                  <c:v>118</c:v>
                </c:pt>
                <c:pt idx="9">
                  <c:v>85</c:v>
                </c:pt>
                <c:pt idx="10">
                  <c:v>93</c:v>
                </c:pt>
                <c:pt idx="11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296928"/>
        <c:axId val="223511792"/>
      </c:lineChart>
      <c:catAx>
        <c:axId val="33729692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511792"/>
        <c:crosses val="autoZero"/>
        <c:auto val="1"/>
        <c:lblAlgn val="ctr"/>
        <c:lblOffset val="100"/>
        <c:noMultiLvlLbl val="0"/>
      </c:catAx>
      <c:valAx>
        <c:axId val="2235117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729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KAMPALA-BUSUNJU'!$C$59:$N$59</c:f>
              <c:numCache>
                <c:formatCode>0.0%</c:formatCode>
                <c:ptCount val="12"/>
                <c:pt idx="0">
                  <c:v>5.0049067713444556E-2</c:v>
                </c:pt>
                <c:pt idx="1">
                  <c:v>0</c:v>
                </c:pt>
                <c:pt idx="2">
                  <c:v>3.8272816486751716E-2</c:v>
                </c:pt>
                <c:pt idx="3">
                  <c:v>2.2571148184494603E-2</c:v>
                </c:pt>
                <c:pt idx="4">
                  <c:v>9.813542688910696E-4</c:v>
                </c:pt>
                <c:pt idx="5">
                  <c:v>0</c:v>
                </c:pt>
                <c:pt idx="6">
                  <c:v>6.2806673209028455E-2</c:v>
                </c:pt>
                <c:pt idx="7">
                  <c:v>9.813542688910696E-4</c:v>
                </c:pt>
                <c:pt idx="8">
                  <c:v>0</c:v>
                </c:pt>
                <c:pt idx="9">
                  <c:v>0</c:v>
                </c:pt>
                <c:pt idx="10">
                  <c:v>0.82433758586849848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'13.08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'13.08 KAMPALA-BUSUNJU'!$C$60:$N$60</c:f>
              <c:numCache>
                <c:formatCode>0.00%</c:formatCode>
                <c:ptCount val="12"/>
                <c:pt idx="0">
                  <c:v>0.28491620111731841</c:v>
                </c:pt>
                <c:pt idx="1">
                  <c:v>0</c:v>
                </c:pt>
                <c:pt idx="2">
                  <c:v>0.21787709497206703</c:v>
                </c:pt>
                <c:pt idx="3">
                  <c:v>0.12849162011173185</c:v>
                </c:pt>
                <c:pt idx="4">
                  <c:v>5.5865921787709499E-3</c:v>
                </c:pt>
                <c:pt idx="5">
                  <c:v>0</c:v>
                </c:pt>
                <c:pt idx="6">
                  <c:v>0.35754189944134079</c:v>
                </c:pt>
                <c:pt idx="7">
                  <c:v>5.5865921787709499E-3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BUSUNJU-KAMPALA'!$AE$9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BUSUNJU-KAMPALA'!$AE$10:$AE$21</c:f>
              <c:numCache>
                <c:formatCode>0</c:formatCode>
                <c:ptCount val="12"/>
                <c:pt idx="0">
                  <c:v>9</c:v>
                </c:pt>
                <c:pt idx="1">
                  <c:v>14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17</c:v>
                </c:pt>
                <c:pt idx="6">
                  <c:v>13</c:v>
                </c:pt>
                <c:pt idx="7">
                  <c:v>10</c:v>
                </c:pt>
                <c:pt idx="8">
                  <c:v>20</c:v>
                </c:pt>
                <c:pt idx="9">
                  <c:v>14</c:v>
                </c:pt>
                <c:pt idx="10">
                  <c:v>14</c:v>
                </c:pt>
                <c:pt idx="11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'14.08 BUSUNJU-KAMPALA'!$AF$9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BUSUNJU-KAMPALA'!$AF$10:$AF$21</c:f>
              <c:numCache>
                <c:formatCode>0</c:formatCode>
                <c:ptCount val="12"/>
                <c:pt idx="0">
                  <c:v>51</c:v>
                </c:pt>
                <c:pt idx="1">
                  <c:v>74</c:v>
                </c:pt>
                <c:pt idx="2">
                  <c:v>71</c:v>
                </c:pt>
                <c:pt idx="3">
                  <c:v>44</c:v>
                </c:pt>
                <c:pt idx="4">
                  <c:v>52</c:v>
                </c:pt>
                <c:pt idx="5">
                  <c:v>68</c:v>
                </c:pt>
                <c:pt idx="6">
                  <c:v>55</c:v>
                </c:pt>
                <c:pt idx="7">
                  <c:v>54</c:v>
                </c:pt>
                <c:pt idx="8">
                  <c:v>72</c:v>
                </c:pt>
                <c:pt idx="9">
                  <c:v>67</c:v>
                </c:pt>
                <c:pt idx="10">
                  <c:v>68</c:v>
                </c:pt>
                <c:pt idx="11">
                  <c:v>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719760"/>
        <c:axId val="226722896"/>
      </c:lineChart>
      <c:catAx>
        <c:axId val="2267197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722896"/>
        <c:crosses val="autoZero"/>
        <c:auto val="1"/>
        <c:lblAlgn val="ctr"/>
        <c:lblOffset val="100"/>
        <c:noMultiLvlLbl val="0"/>
      </c:catAx>
      <c:valAx>
        <c:axId val="2267228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71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BUSUNJU-KAMPALA'!$C$59:$N$59</c:f>
              <c:numCache>
                <c:formatCode>0.0%</c:formatCode>
                <c:ptCount val="12"/>
                <c:pt idx="0">
                  <c:v>5.9523809523809521E-2</c:v>
                </c:pt>
                <c:pt idx="1">
                  <c:v>0</c:v>
                </c:pt>
                <c:pt idx="2">
                  <c:v>5.5555555555555552E-2</c:v>
                </c:pt>
                <c:pt idx="3">
                  <c:v>1.984126984126984E-2</c:v>
                </c:pt>
                <c:pt idx="4">
                  <c:v>2.6455026455026454E-3</c:v>
                </c:pt>
                <c:pt idx="5">
                  <c:v>0</c:v>
                </c:pt>
                <c:pt idx="6">
                  <c:v>6.6137566137566134E-2</c:v>
                </c:pt>
                <c:pt idx="7">
                  <c:v>2.6455026455026454E-3</c:v>
                </c:pt>
                <c:pt idx="8">
                  <c:v>0</c:v>
                </c:pt>
                <c:pt idx="9">
                  <c:v>0</c:v>
                </c:pt>
                <c:pt idx="10">
                  <c:v>0.79365079365079361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BUSUNJU-KAMPALA'!$S$9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'14.08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BUSUNJU-KAMPALA'!$S$10:$S$21</c:f>
              <c:numCache>
                <c:formatCode>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4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</c:v>
                </c:pt>
                <c:pt idx="10">
                  <c:v>1</c:v>
                </c:pt>
                <c:pt idx="11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'14.08 BUSUNJU-KAMPALA'!$T$9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'14.08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BUSUNJU-KAMPALA'!$T$10:$T$21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'14.08 BUSUNJU-KAMPALA'!$U$9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'14.08 BUSUNJU-KAMPALA'!$U$10:$U$21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0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'14.08 BUSUNJU-KAMPALA'!$V$9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'14.08 BUSUNJU-KAMPALA'!$V$10:$V$21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1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'14.08 BUSUNJU-KAMPALA'!$W$9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'14.08 BUSUNJU-KAMPALA'!$W$10:$W$21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'14.08 BUSUNJU-KAMPALA'!$X$9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'14.08 BUSUNJU-KAMPALA'!$X$10:$X$21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'14.08 BUSUNJU-KAMPALA'!$Y$9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BUSUNJU-KAMPALA'!$Y$10:$Y$21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7</c:v>
                </c:pt>
                <c:pt idx="6">
                  <c:v>3</c:v>
                </c:pt>
                <c:pt idx="7">
                  <c:v>6</c:v>
                </c:pt>
                <c:pt idx="8">
                  <c:v>7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'14.08 BUSUNJU-KAMPALA'!$Z$9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BUSUNJU-KAMPALA'!$Z$10:$Z$21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'14.08 BUSUNJU-KAMPALA'!$AA$9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BUSUNJU-KAMPALA'!$AA$10:$AA$21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'14.08 BUSUNJU-KAMPALA'!$AB$9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BUSUNJU-KAMPALA'!$AB$10:$AB$21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'14.08 BUSUNJU-KAMPALA'!$AC$9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BUSUNJU-KAMPALA'!$AC$10:$AC$21</c:f>
              <c:numCache>
                <c:formatCode>0</c:formatCode>
                <c:ptCount val="12"/>
                <c:pt idx="0">
                  <c:v>42</c:v>
                </c:pt>
                <c:pt idx="1">
                  <c:v>60</c:v>
                </c:pt>
                <c:pt idx="2">
                  <c:v>64</c:v>
                </c:pt>
                <c:pt idx="3">
                  <c:v>36</c:v>
                </c:pt>
                <c:pt idx="4">
                  <c:v>42</c:v>
                </c:pt>
                <c:pt idx="5">
                  <c:v>51</c:v>
                </c:pt>
                <c:pt idx="6">
                  <c:v>42</c:v>
                </c:pt>
                <c:pt idx="7">
                  <c:v>44</c:v>
                </c:pt>
                <c:pt idx="8">
                  <c:v>52</c:v>
                </c:pt>
                <c:pt idx="9">
                  <c:v>53</c:v>
                </c:pt>
                <c:pt idx="10">
                  <c:v>54</c:v>
                </c:pt>
                <c:pt idx="11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'14.08 BUSUNJU-KAMPALA'!$AD$9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BUSUNJU-KAMPALA'!$AD$10:$AD$21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718192"/>
        <c:axId val="226721720"/>
      </c:lineChart>
      <c:catAx>
        <c:axId val="226718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721720"/>
        <c:crosses val="autoZero"/>
        <c:auto val="1"/>
        <c:lblAlgn val="ctr"/>
        <c:lblOffset val="100"/>
        <c:noMultiLvlLbl val="0"/>
      </c:catAx>
      <c:valAx>
        <c:axId val="226721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71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BUSUNJU-KAMPALA'!$C$60:$N$60</c:f>
              <c:numCache>
                <c:formatCode>0.00%</c:formatCode>
                <c:ptCount val="12"/>
                <c:pt idx="0">
                  <c:v>0.28846153846153844</c:v>
                </c:pt>
                <c:pt idx="1">
                  <c:v>0</c:v>
                </c:pt>
                <c:pt idx="2">
                  <c:v>0.26923076923076922</c:v>
                </c:pt>
                <c:pt idx="3">
                  <c:v>9.6153846153846159E-2</c:v>
                </c:pt>
                <c:pt idx="4">
                  <c:v>1.282051282051282E-2</c:v>
                </c:pt>
                <c:pt idx="5">
                  <c:v>0</c:v>
                </c:pt>
                <c:pt idx="6">
                  <c:v>0.32051282051282054</c:v>
                </c:pt>
                <c:pt idx="7">
                  <c:v>1.282051282051282E-2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KAMPALA-BUSUNJU'!$AE$9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'14.08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KAMPALA-BUSUNJU'!$AE$10:$AE$21</c:f>
              <c:numCache>
                <c:formatCode>0</c:formatCode>
                <c:ptCount val="12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14</c:v>
                </c:pt>
                <c:pt idx="4">
                  <c:v>16</c:v>
                </c:pt>
                <c:pt idx="5">
                  <c:v>12</c:v>
                </c:pt>
                <c:pt idx="6">
                  <c:v>8</c:v>
                </c:pt>
                <c:pt idx="7">
                  <c:v>14</c:v>
                </c:pt>
                <c:pt idx="8">
                  <c:v>10</c:v>
                </c:pt>
                <c:pt idx="9">
                  <c:v>16</c:v>
                </c:pt>
                <c:pt idx="10">
                  <c:v>17</c:v>
                </c:pt>
                <c:pt idx="11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'14.08 KAMPALA-BUSUNJU'!$AF$9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'14.08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KAMPALA-BUSUNJU'!$AF$10:$AF$21</c:f>
              <c:numCache>
                <c:formatCode>0</c:formatCode>
                <c:ptCount val="12"/>
                <c:pt idx="0">
                  <c:v>37</c:v>
                </c:pt>
                <c:pt idx="1">
                  <c:v>55</c:v>
                </c:pt>
                <c:pt idx="2">
                  <c:v>71</c:v>
                </c:pt>
                <c:pt idx="3">
                  <c:v>50</c:v>
                </c:pt>
                <c:pt idx="4">
                  <c:v>54</c:v>
                </c:pt>
                <c:pt idx="5">
                  <c:v>61</c:v>
                </c:pt>
                <c:pt idx="6">
                  <c:v>52</c:v>
                </c:pt>
                <c:pt idx="7">
                  <c:v>54</c:v>
                </c:pt>
                <c:pt idx="8">
                  <c:v>67</c:v>
                </c:pt>
                <c:pt idx="9">
                  <c:v>69</c:v>
                </c:pt>
                <c:pt idx="10">
                  <c:v>78</c:v>
                </c:pt>
                <c:pt idx="11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6724464"/>
        <c:axId val="226723680"/>
      </c:lineChart>
      <c:catAx>
        <c:axId val="2267244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723680"/>
        <c:crosses val="autoZero"/>
        <c:auto val="1"/>
        <c:lblAlgn val="ctr"/>
        <c:lblOffset val="100"/>
        <c:noMultiLvlLbl val="0"/>
      </c:catAx>
      <c:valAx>
        <c:axId val="2267236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72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KAMPALA-BUSUNJU'!$C$59:$N$59</c:f>
              <c:numCache>
                <c:formatCode>0.0%</c:formatCode>
                <c:ptCount val="12"/>
                <c:pt idx="0">
                  <c:v>4.5643153526970952E-2</c:v>
                </c:pt>
                <c:pt idx="1">
                  <c:v>0</c:v>
                </c:pt>
                <c:pt idx="2">
                  <c:v>4.4260027662517291E-2</c:v>
                </c:pt>
                <c:pt idx="3">
                  <c:v>2.4896265560165973E-2</c:v>
                </c:pt>
                <c:pt idx="4">
                  <c:v>1.3831258644536654E-3</c:v>
                </c:pt>
                <c:pt idx="5">
                  <c:v>0</c:v>
                </c:pt>
                <c:pt idx="6">
                  <c:v>6.6390041493775934E-2</c:v>
                </c:pt>
                <c:pt idx="7">
                  <c:v>4.1493775933609959E-3</c:v>
                </c:pt>
                <c:pt idx="8">
                  <c:v>0</c:v>
                </c:pt>
                <c:pt idx="9">
                  <c:v>0</c:v>
                </c:pt>
                <c:pt idx="10">
                  <c:v>0.81327800829875518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'14.08 KAMPALA-BUSUNJU'!$S$9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'14.08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KAMPALA-BUSUNJU'!$S$10:$S$21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8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'14.08 KAMPALA-BUSUNJU'!$T$9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'14.08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'14.08 KAMPALA-BUSUNJU'!$T$10:$T$21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'14.08 KAMPALA-BUSUNJU'!$U$9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'14.08 KAMPALA-BUSUNJU'!$U$10:$U$21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4</c:v>
                </c:pt>
                <c:pt idx="8">
                  <c:v>2</c:v>
                </c:pt>
                <c:pt idx="9">
                  <c:v>6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'14.08 KAMPALA-BUSUNJU'!$V$9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'14.08 KAMPALA-BUSUNJU'!$V$10:$V$21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'14.08 KAMPALA-BUSUNJU'!$W$9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'14.08 KAMPALA-BUSUNJU'!$W$10:$W$21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'14.08 KAMPALA-BUSUNJU'!$X$9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'14.08 KAMPALA-BUSUNJU'!$X$10:$X$21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'14.08 KAMPALA-BUSUNJU'!$Y$9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KAMPALA-BUSUNJU'!$Y$10:$Y$21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7</c:v>
                </c:pt>
                <c:pt idx="8">
                  <c:v>5</c:v>
                </c:pt>
                <c:pt idx="9">
                  <c:v>4</c:v>
                </c:pt>
                <c:pt idx="10">
                  <c:v>4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'14.08 KAMPALA-BUSUNJU'!$Z$9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KAMPALA-BUSUNJU'!$Z$10:$Z$21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'14.08 KAMPALA-BUSUNJU'!$AA$9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KAMPALA-BUSUNJU'!$AA$10:$AA$21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'14.08 KAMPALA-BUSUNJU'!$AB$9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KAMPALA-BUSUNJU'!$AB$10:$AB$21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'14.08 KAMPALA-BUSUNJU'!$AC$9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KAMPALA-BUSUNJU'!$AC$10:$AC$21</c:f>
              <c:numCache>
                <c:formatCode>0</c:formatCode>
                <c:ptCount val="12"/>
                <c:pt idx="0">
                  <c:v>33</c:v>
                </c:pt>
                <c:pt idx="1">
                  <c:v>50</c:v>
                </c:pt>
                <c:pt idx="2">
                  <c:v>65</c:v>
                </c:pt>
                <c:pt idx="3">
                  <c:v>36</c:v>
                </c:pt>
                <c:pt idx="4">
                  <c:v>38</c:v>
                </c:pt>
                <c:pt idx="5">
                  <c:v>49</c:v>
                </c:pt>
                <c:pt idx="6">
                  <c:v>44</c:v>
                </c:pt>
                <c:pt idx="7">
                  <c:v>40</c:v>
                </c:pt>
                <c:pt idx="8">
                  <c:v>57</c:v>
                </c:pt>
                <c:pt idx="9">
                  <c:v>53</c:v>
                </c:pt>
                <c:pt idx="10">
                  <c:v>61</c:v>
                </c:pt>
                <c:pt idx="11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'14.08 KAMPALA-BUSUNJU'!$AD$9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'14.08 KAMPALA-BUSUNJU'!$AD$10:$AD$21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719368"/>
        <c:axId val="226721328"/>
      </c:lineChart>
      <c:catAx>
        <c:axId val="226719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721328"/>
        <c:crosses val="autoZero"/>
        <c:auto val="1"/>
        <c:lblAlgn val="ctr"/>
        <c:lblOffset val="100"/>
        <c:noMultiLvlLbl val="0"/>
      </c:catAx>
      <c:valAx>
        <c:axId val="22672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671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'14.08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'14.08 KAMPALA-BUSUNJU'!$C$60:$N$60</c:f>
              <c:numCache>
                <c:formatCode>0.00%</c:formatCode>
                <c:ptCount val="12"/>
                <c:pt idx="0">
                  <c:v>0.24444444444444444</c:v>
                </c:pt>
                <c:pt idx="1">
                  <c:v>0</c:v>
                </c:pt>
                <c:pt idx="2">
                  <c:v>0.23703703703703705</c:v>
                </c:pt>
                <c:pt idx="3">
                  <c:v>0.13333333333333333</c:v>
                </c:pt>
                <c:pt idx="4">
                  <c:v>7.4074074074074077E-3</c:v>
                </c:pt>
                <c:pt idx="5">
                  <c:v>0</c:v>
                </c:pt>
                <c:pt idx="6">
                  <c:v>0.35555555555555557</c:v>
                </c:pt>
                <c:pt idx="7">
                  <c:v>2.2222222222222223E-2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BUSUNJU-KAMPALA'!$AE$9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BUSUNJU-KAMPALA'!$AE$10:$AE$21</c:f>
              <c:numCache>
                <c:formatCode>0</c:formatCode>
                <c:ptCount val="12"/>
                <c:pt idx="0">
                  <c:v>6</c:v>
                </c:pt>
                <c:pt idx="1">
                  <c:v>17</c:v>
                </c:pt>
                <c:pt idx="2">
                  <c:v>7</c:v>
                </c:pt>
                <c:pt idx="3">
                  <c:v>16</c:v>
                </c:pt>
                <c:pt idx="4">
                  <c:v>15</c:v>
                </c:pt>
                <c:pt idx="5">
                  <c:v>20</c:v>
                </c:pt>
                <c:pt idx="6">
                  <c:v>22</c:v>
                </c:pt>
                <c:pt idx="7">
                  <c:v>9</c:v>
                </c:pt>
                <c:pt idx="8">
                  <c:v>24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'15.08 BUSUNJU-KAMPALA'!$AF$9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BUSUNJU-KAMPALA'!$AF$10:$AF$21</c:f>
              <c:numCache>
                <c:formatCode>0</c:formatCode>
                <c:ptCount val="12"/>
                <c:pt idx="0">
                  <c:v>54</c:v>
                </c:pt>
                <c:pt idx="1">
                  <c:v>69</c:v>
                </c:pt>
                <c:pt idx="2">
                  <c:v>67</c:v>
                </c:pt>
                <c:pt idx="3">
                  <c:v>75</c:v>
                </c:pt>
                <c:pt idx="4">
                  <c:v>64</c:v>
                </c:pt>
                <c:pt idx="5">
                  <c:v>82</c:v>
                </c:pt>
                <c:pt idx="6">
                  <c:v>66</c:v>
                </c:pt>
                <c:pt idx="7">
                  <c:v>62</c:v>
                </c:pt>
                <c:pt idx="8">
                  <c:v>62</c:v>
                </c:pt>
                <c:pt idx="9">
                  <c:v>58</c:v>
                </c:pt>
                <c:pt idx="10">
                  <c:v>70</c:v>
                </c:pt>
                <c:pt idx="11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179864"/>
        <c:axId val="339177904"/>
      </c:lineChart>
      <c:catAx>
        <c:axId val="33917986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177904"/>
        <c:crosses val="autoZero"/>
        <c:auto val="1"/>
        <c:lblAlgn val="ctr"/>
        <c:lblOffset val="100"/>
        <c:noMultiLvlLbl val="0"/>
      </c:catAx>
      <c:valAx>
        <c:axId val="3391779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179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BUSUNJU-KAMPALA'!$C$59:$N$59</c:f>
              <c:numCache>
                <c:formatCode>0.0%</c:formatCode>
                <c:ptCount val="12"/>
                <c:pt idx="0">
                  <c:v>5.9701492537313432E-2</c:v>
                </c:pt>
                <c:pt idx="1">
                  <c:v>0</c:v>
                </c:pt>
                <c:pt idx="2">
                  <c:v>4.6019900497512436E-2</c:v>
                </c:pt>
                <c:pt idx="3">
                  <c:v>1.8656716417910446E-2</c:v>
                </c:pt>
                <c:pt idx="4">
                  <c:v>7.462686567164179E-3</c:v>
                </c:pt>
                <c:pt idx="5">
                  <c:v>0</c:v>
                </c:pt>
                <c:pt idx="6">
                  <c:v>7.7114427860696513E-2</c:v>
                </c:pt>
                <c:pt idx="7">
                  <c:v>4.9751243781094526E-3</c:v>
                </c:pt>
                <c:pt idx="8">
                  <c:v>0</c:v>
                </c:pt>
                <c:pt idx="9">
                  <c:v>0</c:v>
                </c:pt>
                <c:pt idx="10">
                  <c:v>0.78606965174129351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BUSUNJU-KAMPALA'!$S$9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'15.08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BUSUNJU-KAMPALA'!$S$10:$S$21</c:f>
              <c:numCache>
                <c:formatCode>0</c:formatCode>
                <c:ptCount val="12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6</c:v>
                </c:pt>
                <c:pt idx="5">
                  <c:v>5</c:v>
                </c:pt>
                <c:pt idx="6">
                  <c:v>7</c:v>
                </c:pt>
                <c:pt idx="7">
                  <c:v>2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'15.08 BUSUNJU-KAMPALA'!$T$9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'15.08 BUSUNJU-KAMPALA'!$R$10:$R$21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BUSUNJU-KAMPALA'!$T$10:$T$21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'15.08 BUSUNJU-KAMPALA'!$U$9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'15.08 BUSUNJU-KAMPALA'!$U$10:$U$21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  <c:pt idx="8">
                  <c:v>6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'15.08 BUSUNJU-KAMPALA'!$V$9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'15.08 BUSUNJU-KAMPALA'!$V$10:$V$21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'15.08 BUSUNJU-KAMPALA'!$W$9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'15.08 BUSUNJU-KAMPALA'!$W$10:$W$21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'15.08 BUSUNJU-KAMPALA'!$X$9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'15.08 BUSUNJU-KAMPALA'!$X$10:$X$21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'15.08 BUSUNJU-KAMPALA'!$Y$9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BUSUNJU-KAMPALA'!$Y$10:$Y$21</c:f>
              <c:numCache>
                <c:formatCode>0</c:formatCode>
                <c:ptCount val="12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12</c:v>
                </c:pt>
                <c:pt idx="9">
                  <c:v>3</c:v>
                </c:pt>
                <c:pt idx="10">
                  <c:v>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'15.08 BUSUNJU-KAMPALA'!$Z$9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BUSUNJU-KAMPALA'!$Z$10:$Z$21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'15.08 BUSUNJU-KAMPALA'!$AA$9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BUSUNJU-KAMPALA'!$AA$10:$AA$21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'15.08 BUSUNJU-KAMPALA'!$AB$9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BUSUNJU-KAMPALA'!$AB$10:$AB$21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'15.08 BUSUNJU-KAMPALA'!$AC$9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BUSUNJU-KAMPALA'!$AC$10:$AC$21</c:f>
              <c:numCache>
                <c:formatCode>0</c:formatCode>
                <c:ptCount val="12"/>
                <c:pt idx="0">
                  <c:v>48</c:v>
                </c:pt>
                <c:pt idx="1">
                  <c:v>52</c:v>
                </c:pt>
                <c:pt idx="2">
                  <c:v>60</c:v>
                </c:pt>
                <c:pt idx="3">
                  <c:v>59</c:v>
                </c:pt>
                <c:pt idx="4">
                  <c:v>49</c:v>
                </c:pt>
                <c:pt idx="5">
                  <c:v>62</c:v>
                </c:pt>
                <c:pt idx="6">
                  <c:v>44</c:v>
                </c:pt>
                <c:pt idx="7">
                  <c:v>53</c:v>
                </c:pt>
                <c:pt idx="8">
                  <c:v>38</c:v>
                </c:pt>
                <c:pt idx="9">
                  <c:v>46</c:v>
                </c:pt>
                <c:pt idx="10">
                  <c:v>58</c:v>
                </c:pt>
                <c:pt idx="1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'15.08 BUSUNJU-KAMPALA'!$AD$9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BUSUNJU-KAMPALA'!$AD$10:$AD$21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9094032"/>
        <c:axId val="339088936"/>
      </c:lineChart>
      <c:catAx>
        <c:axId val="33909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088936"/>
        <c:crosses val="autoZero"/>
        <c:auto val="1"/>
        <c:lblAlgn val="ctr"/>
        <c:lblOffset val="100"/>
        <c:noMultiLvlLbl val="0"/>
      </c:catAx>
      <c:valAx>
        <c:axId val="339088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09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BUSUNJU-KAMPALA'!$C$60:$N$60</c:f>
              <c:numCache>
                <c:formatCode>0.00%</c:formatCode>
                <c:ptCount val="12"/>
                <c:pt idx="0">
                  <c:v>0.27906976744186046</c:v>
                </c:pt>
                <c:pt idx="1">
                  <c:v>0</c:v>
                </c:pt>
                <c:pt idx="2">
                  <c:v>0.21511627906976744</c:v>
                </c:pt>
                <c:pt idx="3">
                  <c:v>8.7209302325581398E-2</c:v>
                </c:pt>
                <c:pt idx="4">
                  <c:v>3.4883720930232558E-2</c:v>
                </c:pt>
                <c:pt idx="5">
                  <c:v>0</c:v>
                </c:pt>
                <c:pt idx="6">
                  <c:v>0.36046511627906974</c:v>
                </c:pt>
                <c:pt idx="7">
                  <c:v>2.3255813953488372E-2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KAMPALA-BUSUNJU'!$AE$9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'15.08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KAMPALA-BUSUNJU'!$AE$10:$AE$21</c:f>
              <c:numCache>
                <c:formatCode>0</c:formatCode>
                <c:ptCount val="12"/>
                <c:pt idx="0">
                  <c:v>10</c:v>
                </c:pt>
                <c:pt idx="1">
                  <c:v>5</c:v>
                </c:pt>
                <c:pt idx="2">
                  <c:v>9</c:v>
                </c:pt>
                <c:pt idx="3">
                  <c:v>16</c:v>
                </c:pt>
                <c:pt idx="4">
                  <c:v>14</c:v>
                </c:pt>
                <c:pt idx="5">
                  <c:v>23</c:v>
                </c:pt>
                <c:pt idx="6">
                  <c:v>14</c:v>
                </c:pt>
                <c:pt idx="7">
                  <c:v>13</c:v>
                </c:pt>
                <c:pt idx="8">
                  <c:v>14</c:v>
                </c:pt>
                <c:pt idx="9">
                  <c:v>12</c:v>
                </c:pt>
                <c:pt idx="10">
                  <c:v>17</c:v>
                </c:pt>
                <c:pt idx="11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'15.08 KAMPALA-BUSUNJU'!$AF$9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'15.08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KAMPALA-BUSUNJU'!$AF$10:$AF$21</c:f>
              <c:numCache>
                <c:formatCode>0</c:formatCode>
                <c:ptCount val="12"/>
                <c:pt idx="0">
                  <c:v>53</c:v>
                </c:pt>
                <c:pt idx="1">
                  <c:v>46</c:v>
                </c:pt>
                <c:pt idx="2">
                  <c:v>60</c:v>
                </c:pt>
                <c:pt idx="3">
                  <c:v>76</c:v>
                </c:pt>
                <c:pt idx="4">
                  <c:v>68</c:v>
                </c:pt>
                <c:pt idx="5">
                  <c:v>75</c:v>
                </c:pt>
                <c:pt idx="6">
                  <c:v>57</c:v>
                </c:pt>
                <c:pt idx="7">
                  <c:v>66</c:v>
                </c:pt>
                <c:pt idx="8">
                  <c:v>66</c:v>
                </c:pt>
                <c:pt idx="9">
                  <c:v>53</c:v>
                </c:pt>
                <c:pt idx="10">
                  <c:v>77</c:v>
                </c:pt>
                <c:pt idx="11">
                  <c:v>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827592"/>
        <c:axId val="341827984"/>
      </c:lineChart>
      <c:catAx>
        <c:axId val="3418275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1827984"/>
        <c:crosses val="autoZero"/>
        <c:auto val="1"/>
        <c:lblAlgn val="ctr"/>
        <c:lblOffset val="100"/>
        <c:noMultiLvlLbl val="0"/>
      </c:catAx>
      <c:valAx>
        <c:axId val="341827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182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KAMPALA-BUSUNJU'!$C$59:$N$59</c:f>
              <c:numCache>
                <c:formatCode>0.0%</c:formatCode>
                <c:ptCount val="12"/>
                <c:pt idx="0">
                  <c:v>5.8139534883720929E-2</c:v>
                </c:pt>
                <c:pt idx="1">
                  <c:v>0</c:v>
                </c:pt>
                <c:pt idx="2">
                  <c:v>4.6511627906976744E-2</c:v>
                </c:pt>
                <c:pt idx="3">
                  <c:v>2.3255813953488372E-2</c:v>
                </c:pt>
                <c:pt idx="4">
                  <c:v>3.875968992248062E-3</c:v>
                </c:pt>
                <c:pt idx="5">
                  <c:v>0</c:v>
                </c:pt>
                <c:pt idx="6">
                  <c:v>7.4935400516795869E-2</c:v>
                </c:pt>
                <c:pt idx="7">
                  <c:v>2.5839793281653748E-3</c:v>
                </c:pt>
                <c:pt idx="8">
                  <c:v>1.2919896640826874E-3</c:v>
                </c:pt>
                <c:pt idx="9">
                  <c:v>0</c:v>
                </c:pt>
                <c:pt idx="10">
                  <c:v>0.789405684754522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'15.08 KAMPALA-BUSUNJU'!$S$9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'15.08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KAMPALA-BUSUNJU'!$S$10:$S$21</c:f>
              <c:numCache>
                <c:formatCode>0</c:formatCode>
                <c:ptCount val="12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4</c:v>
                </c:pt>
                <c:pt idx="11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'15.08 KAMPALA-BUSUNJU'!$T$9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'15.08 KAMPALA-BUSUNJU'!$R$10:$R$21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'15.08 KAMPALA-BUSUNJU'!$T$10:$T$21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'15.08 KAMPALA-BUSUNJU'!$U$9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'15.08 KAMPALA-BUSUNJU'!$U$10:$U$21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4</c:v>
                </c:pt>
                <c:pt idx="5">
                  <c:v>6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'15.08 KAMPALA-BUSUNJU'!$V$9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'15.08 KAMPALA-BUSUNJU'!$V$10:$V$21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'15.08 KAMPALA-BUSUNJU'!$W$9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'15.08 KAMPALA-BUSUNJU'!$W$10:$W$21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'15.08 KAMPALA-BUSUNJU'!$X$9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'15.08 KAMPALA-BUSUNJU'!$X$10:$X$21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'15.08 KAMPALA-BUSUNJU'!$Y$9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KAMPALA-BUSUNJU'!$Y$10:$Y$21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11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'15.08 KAMPALA-BUSUNJU'!$Z$9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KAMPALA-BUSUNJU'!$Z$10:$Z$21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'15.08 KAMPALA-BUSUNJU'!$AA$9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KAMPALA-BUSUNJU'!$AA$10:$AA$21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'15.08 KAMPALA-BUSUNJU'!$AB$9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KAMPALA-BUSUNJU'!$AB$10:$AB$21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'15.08 KAMPALA-BUSUNJU'!$AC$9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KAMPALA-BUSUNJU'!$AC$10:$AC$21</c:f>
              <c:numCache>
                <c:formatCode>0</c:formatCode>
                <c:ptCount val="12"/>
                <c:pt idx="0">
                  <c:v>43</c:v>
                </c:pt>
                <c:pt idx="1">
                  <c:v>41</c:v>
                </c:pt>
                <c:pt idx="2">
                  <c:v>51</c:v>
                </c:pt>
                <c:pt idx="3">
                  <c:v>60</c:v>
                </c:pt>
                <c:pt idx="4">
                  <c:v>54</c:v>
                </c:pt>
                <c:pt idx="5">
                  <c:v>52</c:v>
                </c:pt>
                <c:pt idx="6">
                  <c:v>43</c:v>
                </c:pt>
                <c:pt idx="7">
                  <c:v>53</c:v>
                </c:pt>
                <c:pt idx="8">
                  <c:v>52</c:v>
                </c:pt>
                <c:pt idx="9">
                  <c:v>41</c:v>
                </c:pt>
                <c:pt idx="10">
                  <c:v>60</c:v>
                </c:pt>
                <c:pt idx="1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'15.08 KAMPALA-BUSUNJU'!$AD$9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'15.08 KAMPALA-BUSUNJU'!$AD$10:$AD$21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1824064"/>
        <c:axId val="341828376"/>
      </c:lineChart>
      <c:catAx>
        <c:axId val="34182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1828376"/>
        <c:crosses val="autoZero"/>
        <c:auto val="1"/>
        <c:lblAlgn val="ctr"/>
        <c:lblOffset val="100"/>
        <c:noMultiLvlLbl val="0"/>
      </c:catAx>
      <c:valAx>
        <c:axId val="34182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182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'15.08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'15.08 KAMPALA-BUSUNJU'!$C$60:$N$60</c:f>
              <c:numCache>
                <c:formatCode>0.00%</c:formatCode>
                <c:ptCount val="12"/>
                <c:pt idx="0">
                  <c:v>0.27607361963190186</c:v>
                </c:pt>
                <c:pt idx="1">
                  <c:v>0</c:v>
                </c:pt>
                <c:pt idx="2">
                  <c:v>0.22085889570552147</c:v>
                </c:pt>
                <c:pt idx="3">
                  <c:v>0.11042944785276074</c:v>
                </c:pt>
                <c:pt idx="4">
                  <c:v>1.8404907975460124E-2</c:v>
                </c:pt>
                <c:pt idx="5">
                  <c:v>0</c:v>
                </c:pt>
                <c:pt idx="6">
                  <c:v>0.35582822085889571</c:v>
                </c:pt>
                <c:pt idx="7">
                  <c:v>1.2269938650306749E-2</c:v>
                </c:pt>
                <c:pt idx="8">
                  <c:v>6.1349693251533744E-3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'16.08 BUSUNJU-KAMPALA-24h'!$AE$9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'16.08 BUSUNJU-KAMPALA-24h'!$R$10:$R$33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BUSUNJU-KAMPALA-24h'!$AE$10:$AE$33</c:f>
              <c:numCache>
                <c:formatCode>0</c:formatCode>
                <c:ptCount val="24"/>
                <c:pt idx="0">
                  <c:v>6</c:v>
                </c:pt>
                <c:pt idx="1">
                  <c:v>9</c:v>
                </c:pt>
                <c:pt idx="2">
                  <c:v>12</c:v>
                </c:pt>
                <c:pt idx="3">
                  <c:v>16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18</c:v>
                </c:pt>
                <c:pt idx="8">
                  <c:v>20</c:v>
                </c:pt>
                <c:pt idx="9">
                  <c:v>18</c:v>
                </c:pt>
                <c:pt idx="10">
                  <c:v>9</c:v>
                </c:pt>
                <c:pt idx="11">
                  <c:v>17</c:v>
                </c:pt>
                <c:pt idx="12">
                  <c:v>6</c:v>
                </c:pt>
                <c:pt idx="13">
                  <c:v>9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10</c:v>
                </c:pt>
                <c:pt idx="22">
                  <c:v>14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'16.08 BUSUNJU-KAMPALA-24h'!$AF$9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'16.08 BUSUNJU-KAMPALA-24h'!$R$10:$R$33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BUSUNJU-KAMPALA-24h'!$AF$10:$AF$33</c:f>
              <c:numCache>
                <c:formatCode>0</c:formatCode>
                <c:ptCount val="24"/>
                <c:pt idx="0">
                  <c:v>46</c:v>
                </c:pt>
                <c:pt idx="1">
                  <c:v>76</c:v>
                </c:pt>
                <c:pt idx="2">
                  <c:v>68</c:v>
                </c:pt>
                <c:pt idx="3">
                  <c:v>81</c:v>
                </c:pt>
                <c:pt idx="4">
                  <c:v>84</c:v>
                </c:pt>
                <c:pt idx="5">
                  <c:v>63</c:v>
                </c:pt>
                <c:pt idx="6">
                  <c:v>70</c:v>
                </c:pt>
                <c:pt idx="7">
                  <c:v>63</c:v>
                </c:pt>
                <c:pt idx="8">
                  <c:v>65</c:v>
                </c:pt>
                <c:pt idx="9">
                  <c:v>76</c:v>
                </c:pt>
                <c:pt idx="10">
                  <c:v>60</c:v>
                </c:pt>
                <c:pt idx="11">
                  <c:v>74</c:v>
                </c:pt>
                <c:pt idx="12">
                  <c:v>42</c:v>
                </c:pt>
                <c:pt idx="13">
                  <c:v>57</c:v>
                </c:pt>
                <c:pt idx="14">
                  <c:v>52</c:v>
                </c:pt>
                <c:pt idx="15">
                  <c:v>47</c:v>
                </c:pt>
                <c:pt idx="16">
                  <c:v>42</c:v>
                </c:pt>
                <c:pt idx="17">
                  <c:v>29</c:v>
                </c:pt>
                <c:pt idx="18">
                  <c:v>16</c:v>
                </c:pt>
                <c:pt idx="19">
                  <c:v>12</c:v>
                </c:pt>
                <c:pt idx="20">
                  <c:v>21</c:v>
                </c:pt>
                <c:pt idx="21">
                  <c:v>48</c:v>
                </c:pt>
                <c:pt idx="22">
                  <c:v>60</c:v>
                </c:pt>
                <c:pt idx="23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086976"/>
        <c:axId val="339087368"/>
      </c:lineChart>
      <c:catAx>
        <c:axId val="3390869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087368"/>
        <c:crosses val="autoZero"/>
        <c:auto val="1"/>
        <c:lblAlgn val="ctr"/>
        <c:lblOffset val="100"/>
        <c:noMultiLvlLbl val="0"/>
      </c:catAx>
      <c:valAx>
        <c:axId val="339087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08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BUSUNJU-KAMPALA-24h'!$C$9:$N$9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BUSUNJU-KAMPALA-24h'!$C$107:$N$107</c:f>
              <c:numCache>
                <c:formatCode>0.0%</c:formatCode>
                <c:ptCount val="12"/>
                <c:pt idx="0">
                  <c:v>5.0458715596330278E-2</c:v>
                </c:pt>
                <c:pt idx="1">
                  <c:v>4.2048929663608563E-2</c:v>
                </c:pt>
                <c:pt idx="2">
                  <c:v>2.5993883792048929E-2</c:v>
                </c:pt>
                <c:pt idx="3">
                  <c:v>3.8226299694189602E-3</c:v>
                </c:pt>
                <c:pt idx="4">
                  <c:v>7.6452599388379206E-4</c:v>
                </c:pt>
                <c:pt idx="5">
                  <c:v>0</c:v>
                </c:pt>
                <c:pt idx="6">
                  <c:v>5.1223241590214068E-2</c:v>
                </c:pt>
                <c:pt idx="7">
                  <c:v>7.6452599388379206E-4</c:v>
                </c:pt>
                <c:pt idx="8">
                  <c:v>0</c:v>
                </c:pt>
                <c:pt idx="9">
                  <c:v>0</c:v>
                </c:pt>
                <c:pt idx="10">
                  <c:v>0.82492354740061158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BUSUNJU-KAMPALA-24h'!$C$9:$N$9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BUSUNJU-KAMPALA-24h'!$C$108:$N$108</c:f>
              <c:numCache>
                <c:formatCode>0.00%</c:formatCode>
                <c:ptCount val="12"/>
                <c:pt idx="0">
                  <c:v>0.28820960698689957</c:v>
                </c:pt>
                <c:pt idx="1">
                  <c:v>0.24017467248908297</c:v>
                </c:pt>
                <c:pt idx="2">
                  <c:v>0.14847161572052403</c:v>
                </c:pt>
                <c:pt idx="3">
                  <c:v>2.1834061135371178E-2</c:v>
                </c:pt>
                <c:pt idx="4">
                  <c:v>4.3668122270742356E-3</c:v>
                </c:pt>
                <c:pt idx="5">
                  <c:v>0</c:v>
                </c:pt>
                <c:pt idx="6">
                  <c:v>0.29257641921397382</c:v>
                </c:pt>
                <c:pt idx="7">
                  <c:v>4.3668122270742356E-3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'16.08 KAMPALA-BUSUNJU-24h'!$AE$9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'16.08 KAMPALA-BUSUNJU-24h'!$R$10:$R$33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KAMPALA-BUSUNJU-24h'!$AE$10:$AE$33</c:f>
              <c:numCache>
                <c:formatCode>0</c:formatCode>
                <c:ptCount val="24"/>
                <c:pt idx="0">
                  <c:v>4</c:v>
                </c:pt>
                <c:pt idx="1">
                  <c:v>3</c:v>
                </c:pt>
                <c:pt idx="2">
                  <c:v>8</c:v>
                </c:pt>
                <c:pt idx="3">
                  <c:v>14</c:v>
                </c:pt>
                <c:pt idx="4">
                  <c:v>13</c:v>
                </c:pt>
                <c:pt idx="5">
                  <c:v>14</c:v>
                </c:pt>
                <c:pt idx="6">
                  <c:v>17</c:v>
                </c:pt>
                <c:pt idx="7">
                  <c:v>17</c:v>
                </c:pt>
                <c:pt idx="8">
                  <c:v>14</c:v>
                </c:pt>
                <c:pt idx="9">
                  <c:v>16</c:v>
                </c:pt>
                <c:pt idx="10">
                  <c:v>14</c:v>
                </c:pt>
                <c:pt idx="11">
                  <c:v>12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8</c:v>
                </c:pt>
                <c:pt idx="16">
                  <c:v>12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0</c:v>
                </c:pt>
                <c:pt idx="21">
                  <c:v>3</c:v>
                </c:pt>
                <c:pt idx="22">
                  <c:v>12</c:v>
                </c:pt>
                <c:pt idx="2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'16.08 KAMPALA-BUSUNJU-24h'!$AF$9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'16.08 KAMPALA-BUSUNJU-24h'!$R$10:$R$33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'16.08 KAMPALA-BUSUNJU-24h'!$AF$10:$AF$33</c:f>
              <c:numCache>
                <c:formatCode>0</c:formatCode>
                <c:ptCount val="24"/>
                <c:pt idx="0">
                  <c:v>44</c:v>
                </c:pt>
                <c:pt idx="1">
                  <c:v>56</c:v>
                </c:pt>
                <c:pt idx="2">
                  <c:v>55</c:v>
                </c:pt>
                <c:pt idx="3">
                  <c:v>76</c:v>
                </c:pt>
                <c:pt idx="4">
                  <c:v>89</c:v>
                </c:pt>
                <c:pt idx="5">
                  <c:v>65</c:v>
                </c:pt>
                <c:pt idx="6">
                  <c:v>72</c:v>
                </c:pt>
                <c:pt idx="7">
                  <c:v>69</c:v>
                </c:pt>
                <c:pt idx="8">
                  <c:v>63</c:v>
                </c:pt>
                <c:pt idx="9">
                  <c:v>72</c:v>
                </c:pt>
                <c:pt idx="10">
                  <c:v>73</c:v>
                </c:pt>
                <c:pt idx="11">
                  <c:v>68</c:v>
                </c:pt>
                <c:pt idx="12">
                  <c:v>35</c:v>
                </c:pt>
                <c:pt idx="13">
                  <c:v>42</c:v>
                </c:pt>
                <c:pt idx="14">
                  <c:v>48</c:v>
                </c:pt>
                <c:pt idx="15">
                  <c:v>46</c:v>
                </c:pt>
                <c:pt idx="16">
                  <c:v>48</c:v>
                </c:pt>
                <c:pt idx="17">
                  <c:v>33</c:v>
                </c:pt>
                <c:pt idx="18">
                  <c:v>27</c:v>
                </c:pt>
                <c:pt idx="19">
                  <c:v>26</c:v>
                </c:pt>
                <c:pt idx="20">
                  <c:v>11</c:v>
                </c:pt>
                <c:pt idx="21">
                  <c:v>20</c:v>
                </c:pt>
                <c:pt idx="22">
                  <c:v>59</c:v>
                </c:pt>
                <c:pt idx="23">
                  <c:v>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088152"/>
        <c:axId val="339089328"/>
      </c:lineChart>
      <c:catAx>
        <c:axId val="3390881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089328"/>
        <c:crosses val="autoZero"/>
        <c:auto val="1"/>
        <c:lblAlgn val="ctr"/>
        <c:lblOffset val="100"/>
        <c:noMultiLvlLbl val="0"/>
      </c:catAx>
      <c:valAx>
        <c:axId val="3390893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088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KAMPALA-BUSUNJU-24h'!$C$9:$N$9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KAMPALA-BUSUNJU-24h'!$C$107:$N$107</c:f>
              <c:numCache>
                <c:formatCode>0.0%</c:formatCode>
                <c:ptCount val="12"/>
                <c:pt idx="0">
                  <c:v>4.3096568236233042E-2</c:v>
                </c:pt>
                <c:pt idx="1">
                  <c:v>0</c:v>
                </c:pt>
                <c:pt idx="2">
                  <c:v>5.1077414205905829E-2</c:v>
                </c:pt>
                <c:pt idx="3">
                  <c:v>1.5163607342378291E-2</c:v>
                </c:pt>
                <c:pt idx="4">
                  <c:v>7.9808459696727857E-4</c:v>
                </c:pt>
                <c:pt idx="5">
                  <c:v>0</c:v>
                </c:pt>
                <c:pt idx="6">
                  <c:v>5.7462090981644051E-2</c:v>
                </c:pt>
                <c:pt idx="7">
                  <c:v>7.9808459696727857E-4</c:v>
                </c:pt>
                <c:pt idx="8">
                  <c:v>0</c:v>
                </c:pt>
                <c:pt idx="9">
                  <c:v>0</c:v>
                </c:pt>
                <c:pt idx="10">
                  <c:v>0.83160415003990418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'16.08 KAMPALA-BUSUNJU-24h'!$C$9:$N$9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'16.08 KAMPALA-BUSUNJU-24h'!$C$108:$N$108</c:f>
              <c:numCache>
                <c:formatCode>0.00%</c:formatCode>
                <c:ptCount val="12"/>
                <c:pt idx="0">
                  <c:v>0.25592417061611372</c:v>
                </c:pt>
                <c:pt idx="1">
                  <c:v>0</c:v>
                </c:pt>
                <c:pt idx="2">
                  <c:v>0.30331753554502372</c:v>
                </c:pt>
                <c:pt idx="3">
                  <c:v>9.004739336492891E-2</c:v>
                </c:pt>
                <c:pt idx="4">
                  <c:v>4.7393364928909956E-3</c:v>
                </c:pt>
                <c:pt idx="5">
                  <c:v>0</c:v>
                </c:pt>
                <c:pt idx="6">
                  <c:v>0.34123222748815168</c:v>
                </c:pt>
                <c:pt idx="7">
                  <c:v>4.7393364928909956E-3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'17.08 BUSUNJU-KAMPALA-24h'!$AE$9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'17.08 BUSUNJU-KAMPALA-24h'!$R$10:$R$33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BUSUNJU-KAMPALA-24h'!$AE$10:$AE$33</c:f>
              <c:numCache>
                <c:formatCode>0</c:formatCode>
                <c:ptCount val="24"/>
                <c:pt idx="0">
                  <c:v>9</c:v>
                </c:pt>
                <c:pt idx="1">
                  <c:v>12</c:v>
                </c:pt>
                <c:pt idx="2">
                  <c:v>13</c:v>
                </c:pt>
                <c:pt idx="3">
                  <c:v>17</c:v>
                </c:pt>
                <c:pt idx="4">
                  <c:v>19</c:v>
                </c:pt>
                <c:pt idx="5">
                  <c:v>19</c:v>
                </c:pt>
                <c:pt idx="6">
                  <c:v>20</c:v>
                </c:pt>
                <c:pt idx="7">
                  <c:v>13</c:v>
                </c:pt>
                <c:pt idx="8">
                  <c:v>15</c:v>
                </c:pt>
                <c:pt idx="9">
                  <c:v>19</c:v>
                </c:pt>
                <c:pt idx="10">
                  <c:v>15</c:v>
                </c:pt>
                <c:pt idx="11">
                  <c:v>23</c:v>
                </c:pt>
                <c:pt idx="12">
                  <c:v>6</c:v>
                </c:pt>
                <c:pt idx="13">
                  <c:v>9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10</c:v>
                </c:pt>
                <c:pt idx="22">
                  <c:v>14</c:v>
                </c:pt>
                <c:pt idx="23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'17.08 BUSUNJU-KAMPALA-24h'!$AF$9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'17.08 BUSUNJU-KAMPALA-24h'!$R$10:$R$33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BUSUNJU-KAMPALA-24h'!$AF$10:$AF$33</c:f>
              <c:numCache>
                <c:formatCode>0</c:formatCode>
                <c:ptCount val="24"/>
                <c:pt idx="0">
                  <c:v>50</c:v>
                </c:pt>
                <c:pt idx="1">
                  <c:v>51</c:v>
                </c:pt>
                <c:pt idx="2">
                  <c:v>69</c:v>
                </c:pt>
                <c:pt idx="3">
                  <c:v>64</c:v>
                </c:pt>
                <c:pt idx="4">
                  <c:v>77</c:v>
                </c:pt>
                <c:pt idx="5">
                  <c:v>82</c:v>
                </c:pt>
                <c:pt idx="6">
                  <c:v>74</c:v>
                </c:pt>
                <c:pt idx="7">
                  <c:v>71</c:v>
                </c:pt>
                <c:pt idx="8">
                  <c:v>62</c:v>
                </c:pt>
                <c:pt idx="9">
                  <c:v>80</c:v>
                </c:pt>
                <c:pt idx="10">
                  <c:v>81</c:v>
                </c:pt>
                <c:pt idx="11">
                  <c:v>82</c:v>
                </c:pt>
                <c:pt idx="12">
                  <c:v>25</c:v>
                </c:pt>
                <c:pt idx="13">
                  <c:v>35</c:v>
                </c:pt>
                <c:pt idx="14">
                  <c:v>29</c:v>
                </c:pt>
                <c:pt idx="15">
                  <c:v>28</c:v>
                </c:pt>
                <c:pt idx="16">
                  <c:v>26</c:v>
                </c:pt>
                <c:pt idx="17">
                  <c:v>18</c:v>
                </c:pt>
                <c:pt idx="18">
                  <c:v>8</c:v>
                </c:pt>
                <c:pt idx="19">
                  <c:v>8</c:v>
                </c:pt>
                <c:pt idx="20">
                  <c:v>13</c:v>
                </c:pt>
                <c:pt idx="21">
                  <c:v>29</c:v>
                </c:pt>
                <c:pt idx="22">
                  <c:v>38</c:v>
                </c:pt>
                <c:pt idx="23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182216"/>
        <c:axId val="339178296"/>
      </c:lineChart>
      <c:catAx>
        <c:axId val="33918221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178296"/>
        <c:crosses val="autoZero"/>
        <c:auto val="1"/>
        <c:lblAlgn val="ctr"/>
        <c:lblOffset val="100"/>
        <c:noMultiLvlLbl val="0"/>
      </c:catAx>
      <c:valAx>
        <c:axId val="339178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182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BUSUNJU-KAMPALA-24h'!$C$9:$N$9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BUSUNJU-KAMPALA-24h'!$C$107:$N$107</c:f>
              <c:numCache>
                <c:formatCode>0.0%</c:formatCode>
                <c:ptCount val="12"/>
                <c:pt idx="0">
                  <c:v>7.9365079365079361E-2</c:v>
                </c:pt>
                <c:pt idx="1">
                  <c:v>0</c:v>
                </c:pt>
                <c:pt idx="2">
                  <c:v>6.3492063492063489E-2</c:v>
                </c:pt>
                <c:pt idx="3">
                  <c:v>1.4991181657848324E-2</c:v>
                </c:pt>
                <c:pt idx="4">
                  <c:v>8.8183421516754845E-4</c:v>
                </c:pt>
                <c:pt idx="5">
                  <c:v>0</c:v>
                </c:pt>
                <c:pt idx="6">
                  <c:v>7.3192239858906522E-2</c:v>
                </c:pt>
                <c:pt idx="7">
                  <c:v>3.5273368606701938E-3</c:v>
                </c:pt>
                <c:pt idx="8">
                  <c:v>0</c:v>
                </c:pt>
                <c:pt idx="9">
                  <c:v>0</c:v>
                </c:pt>
                <c:pt idx="10">
                  <c:v>0.76455026455026454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BUSUNJU-KAMPALA-24h'!$C$9:$N$9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BUSUNJU-KAMPALA-24h'!$C$108:$N$108</c:f>
              <c:numCache>
                <c:formatCode>0.00%</c:formatCode>
                <c:ptCount val="12"/>
                <c:pt idx="0">
                  <c:v>0.33707865168539325</c:v>
                </c:pt>
                <c:pt idx="1">
                  <c:v>0</c:v>
                </c:pt>
                <c:pt idx="2">
                  <c:v>0.2696629213483146</c:v>
                </c:pt>
                <c:pt idx="3">
                  <c:v>6.3670411985018729E-2</c:v>
                </c:pt>
                <c:pt idx="4">
                  <c:v>3.7453183520599251E-3</c:v>
                </c:pt>
                <c:pt idx="5">
                  <c:v>0</c:v>
                </c:pt>
                <c:pt idx="6">
                  <c:v>0.31086142322097376</c:v>
                </c:pt>
                <c:pt idx="7">
                  <c:v>1.4981273408239701E-2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'17.08 KAMPALA-BUSUNJU-24h'!$AE$9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'17.08 KAMPALA-BUSUNJU-24h'!$R$10:$R$33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KAMPALA-BUSUNJU-24h'!$AE$10:$AE$33</c:f>
              <c:numCache>
                <c:formatCode>0</c:formatCode>
                <c:ptCount val="24"/>
                <c:pt idx="0">
                  <c:v>5</c:v>
                </c:pt>
                <c:pt idx="1">
                  <c:v>13</c:v>
                </c:pt>
                <c:pt idx="2">
                  <c:v>10</c:v>
                </c:pt>
                <c:pt idx="3">
                  <c:v>13</c:v>
                </c:pt>
                <c:pt idx="4">
                  <c:v>11</c:v>
                </c:pt>
                <c:pt idx="5">
                  <c:v>21</c:v>
                </c:pt>
                <c:pt idx="6">
                  <c:v>4</c:v>
                </c:pt>
                <c:pt idx="7">
                  <c:v>15</c:v>
                </c:pt>
                <c:pt idx="8">
                  <c:v>14</c:v>
                </c:pt>
                <c:pt idx="9">
                  <c:v>18</c:v>
                </c:pt>
                <c:pt idx="10">
                  <c:v>18</c:v>
                </c:pt>
                <c:pt idx="11">
                  <c:v>15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8</c:v>
                </c:pt>
                <c:pt idx="16">
                  <c:v>11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0</c:v>
                </c:pt>
                <c:pt idx="21">
                  <c:v>3</c:v>
                </c:pt>
                <c:pt idx="22">
                  <c:v>12</c:v>
                </c:pt>
                <c:pt idx="2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'17.08 KAMPALA-BUSUNJU-24h'!$AF$9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'17.08 KAMPALA-BUSUNJU-24h'!$R$10:$R$33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'17.08 KAMPALA-BUSUNJU-24h'!$AF$10:$AF$33</c:f>
              <c:numCache>
                <c:formatCode>0</c:formatCode>
                <c:ptCount val="24"/>
                <c:pt idx="0">
                  <c:v>34</c:v>
                </c:pt>
                <c:pt idx="1">
                  <c:v>46</c:v>
                </c:pt>
                <c:pt idx="2">
                  <c:v>63</c:v>
                </c:pt>
                <c:pt idx="3">
                  <c:v>65</c:v>
                </c:pt>
                <c:pt idx="4">
                  <c:v>72</c:v>
                </c:pt>
                <c:pt idx="5">
                  <c:v>65</c:v>
                </c:pt>
                <c:pt idx="6">
                  <c:v>69</c:v>
                </c:pt>
                <c:pt idx="7">
                  <c:v>66</c:v>
                </c:pt>
                <c:pt idx="8">
                  <c:v>54</c:v>
                </c:pt>
                <c:pt idx="9">
                  <c:v>84</c:v>
                </c:pt>
                <c:pt idx="10">
                  <c:v>82</c:v>
                </c:pt>
                <c:pt idx="11">
                  <c:v>70</c:v>
                </c:pt>
                <c:pt idx="12">
                  <c:v>26</c:v>
                </c:pt>
                <c:pt idx="13">
                  <c:v>31</c:v>
                </c:pt>
                <c:pt idx="14">
                  <c:v>35</c:v>
                </c:pt>
                <c:pt idx="15">
                  <c:v>34</c:v>
                </c:pt>
                <c:pt idx="16">
                  <c:v>36</c:v>
                </c:pt>
                <c:pt idx="17">
                  <c:v>24</c:v>
                </c:pt>
                <c:pt idx="18">
                  <c:v>20</c:v>
                </c:pt>
                <c:pt idx="19">
                  <c:v>20</c:v>
                </c:pt>
                <c:pt idx="20">
                  <c:v>7</c:v>
                </c:pt>
                <c:pt idx="21">
                  <c:v>15</c:v>
                </c:pt>
                <c:pt idx="22">
                  <c:v>46</c:v>
                </c:pt>
                <c:pt idx="23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9184176"/>
        <c:axId val="339181040"/>
      </c:lineChart>
      <c:catAx>
        <c:axId val="3391841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181040"/>
        <c:crosses val="autoZero"/>
        <c:auto val="1"/>
        <c:lblAlgn val="ctr"/>
        <c:lblOffset val="100"/>
        <c:noMultiLvlLbl val="0"/>
      </c:catAx>
      <c:valAx>
        <c:axId val="3391810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3918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KAMPALA-BUSUNJU-24h'!$C$9:$N$9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KAMPALA-BUSUNJU-24h'!$C$107:$N$107</c:f>
              <c:numCache>
                <c:formatCode>0.0%</c:formatCode>
                <c:ptCount val="12"/>
                <c:pt idx="0">
                  <c:v>6.148282097649186E-2</c:v>
                </c:pt>
                <c:pt idx="1">
                  <c:v>0</c:v>
                </c:pt>
                <c:pt idx="2">
                  <c:v>4.7920433996383363E-2</c:v>
                </c:pt>
                <c:pt idx="3">
                  <c:v>1.5370705244122965E-2</c:v>
                </c:pt>
                <c:pt idx="4">
                  <c:v>0</c:v>
                </c:pt>
                <c:pt idx="5">
                  <c:v>0</c:v>
                </c:pt>
                <c:pt idx="6">
                  <c:v>7.3236889692585891E-2</c:v>
                </c:pt>
                <c:pt idx="7">
                  <c:v>1.8083182640144665E-3</c:v>
                </c:pt>
                <c:pt idx="8">
                  <c:v>0</c:v>
                </c:pt>
                <c:pt idx="9">
                  <c:v>0</c:v>
                </c:pt>
                <c:pt idx="10">
                  <c:v>0.80018083182640143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'17.08 KAMPALA-BUSUNJU-24h'!$C$9:$N$9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'17.08 KAMPALA-BUSUNJU-24h'!$C$108:$N$108</c:f>
              <c:numCache>
                <c:formatCode>0.00%</c:formatCode>
                <c:ptCount val="12"/>
                <c:pt idx="0">
                  <c:v>0.30769230769230771</c:v>
                </c:pt>
                <c:pt idx="1">
                  <c:v>0</c:v>
                </c:pt>
                <c:pt idx="2">
                  <c:v>0.23981900452488689</c:v>
                </c:pt>
                <c:pt idx="3">
                  <c:v>7.6923076923076927E-2</c:v>
                </c:pt>
                <c:pt idx="4">
                  <c:v>0</c:v>
                </c:pt>
                <c:pt idx="5">
                  <c:v>0</c:v>
                </c:pt>
                <c:pt idx="6">
                  <c:v>0.36651583710407237</c:v>
                </c:pt>
                <c:pt idx="7">
                  <c:v>9.0497737556561094E-3</c:v>
                </c:pt>
                <c:pt idx="8">
                  <c:v>0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BUSUNJU-KAMPALA'!$AE$9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BUSUNJU-KAMPALA'!$R$10:$R$33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BUSUNJU-KAMPALA'!$AE$10:$AE$33</c:f>
              <c:numCache>
                <c:formatCode>0</c:formatCode>
                <c:ptCount val="24"/>
                <c:pt idx="0">
                  <c:v>8</c:v>
                </c:pt>
                <c:pt idx="1">
                  <c:v>12.142857142857141</c:v>
                </c:pt>
                <c:pt idx="2">
                  <c:v>9.5714285714285712</c:v>
                </c:pt>
                <c:pt idx="3">
                  <c:v>13.285714285714285</c:v>
                </c:pt>
                <c:pt idx="4">
                  <c:v>13.142857142857141</c:v>
                </c:pt>
                <c:pt idx="5">
                  <c:v>15.142857142857142</c:v>
                </c:pt>
                <c:pt idx="6">
                  <c:v>14.714285714285715</c:v>
                </c:pt>
                <c:pt idx="7">
                  <c:v>12.142857142857142</c:v>
                </c:pt>
                <c:pt idx="8">
                  <c:v>16.571428571428569</c:v>
                </c:pt>
                <c:pt idx="9">
                  <c:v>15.285714285714286</c:v>
                </c:pt>
                <c:pt idx="10">
                  <c:v>15.857142857142858</c:v>
                </c:pt>
                <c:pt idx="11">
                  <c:v>16.571428571428569</c:v>
                </c:pt>
                <c:pt idx="12">
                  <c:v>6</c:v>
                </c:pt>
                <c:pt idx="13">
                  <c:v>9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3.5</c:v>
                </c:pt>
                <c:pt idx="21">
                  <c:v>10</c:v>
                </c:pt>
                <c:pt idx="22">
                  <c:v>14</c:v>
                </c:pt>
                <c:pt idx="23">
                  <c:v>10.5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BUSUNJU-KAMPALA'!$AF$9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BUSUNJU-KAMPALA'!$R$10:$R$33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BUSUNJU-KAMPALA'!$AF$10:$AF$33</c:f>
              <c:numCache>
                <c:formatCode>0</c:formatCode>
                <c:ptCount val="24"/>
                <c:pt idx="0">
                  <c:v>51</c:v>
                </c:pt>
                <c:pt idx="1">
                  <c:v>69.571428571428569</c:v>
                </c:pt>
                <c:pt idx="2">
                  <c:v>70.142857142857139</c:v>
                </c:pt>
                <c:pt idx="3">
                  <c:v>70.571428571428555</c:v>
                </c:pt>
                <c:pt idx="4">
                  <c:v>74.714285714285708</c:v>
                </c:pt>
                <c:pt idx="5">
                  <c:v>76.857142857142861</c:v>
                </c:pt>
                <c:pt idx="6">
                  <c:v>68.285714285714292</c:v>
                </c:pt>
                <c:pt idx="7">
                  <c:v>65.571428571428569</c:v>
                </c:pt>
                <c:pt idx="8">
                  <c:v>68.857142857142861</c:v>
                </c:pt>
                <c:pt idx="9">
                  <c:v>74.142857142857153</c:v>
                </c:pt>
                <c:pt idx="10">
                  <c:v>76.142857142857139</c:v>
                </c:pt>
                <c:pt idx="11">
                  <c:v>74.428571428571431</c:v>
                </c:pt>
                <c:pt idx="12">
                  <c:v>33.5</c:v>
                </c:pt>
                <c:pt idx="13">
                  <c:v>46</c:v>
                </c:pt>
                <c:pt idx="14">
                  <c:v>40.5</c:v>
                </c:pt>
                <c:pt idx="15">
                  <c:v>37.5</c:v>
                </c:pt>
                <c:pt idx="16">
                  <c:v>34</c:v>
                </c:pt>
                <c:pt idx="17">
                  <c:v>23.5</c:v>
                </c:pt>
                <c:pt idx="18">
                  <c:v>12</c:v>
                </c:pt>
                <c:pt idx="19">
                  <c:v>10</c:v>
                </c:pt>
                <c:pt idx="20">
                  <c:v>17</c:v>
                </c:pt>
                <c:pt idx="21">
                  <c:v>38.5</c:v>
                </c:pt>
                <c:pt idx="22">
                  <c:v>49</c:v>
                </c:pt>
                <c:pt idx="23">
                  <c:v>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1829552"/>
        <c:axId val="341829944"/>
      </c:lineChart>
      <c:catAx>
        <c:axId val="3418295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1829944"/>
        <c:crosses val="autoZero"/>
        <c:auto val="1"/>
        <c:lblAlgn val="ctr"/>
        <c:lblOffset val="100"/>
        <c:noMultiLvlLbl val="0"/>
      </c:catAx>
      <c:valAx>
        <c:axId val="341829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1829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BUSUNJU-KAMPALA'!$C$107:$N$107</c:f>
              <c:numCache>
                <c:formatCode>0.0%</c:formatCode>
                <c:ptCount val="12"/>
                <c:pt idx="0">
                  <c:v>6.2008733624454151E-2</c:v>
                </c:pt>
                <c:pt idx="1">
                  <c:v>6.404657933042214E-3</c:v>
                </c:pt>
                <c:pt idx="2">
                  <c:v>4.6928675400291116E-2</c:v>
                </c:pt>
                <c:pt idx="3">
                  <c:v>1.3857350800582242E-2</c:v>
                </c:pt>
                <c:pt idx="4">
                  <c:v>1.9796215429403203E-3</c:v>
                </c:pt>
                <c:pt idx="5">
                  <c:v>0</c:v>
                </c:pt>
                <c:pt idx="6">
                  <c:v>5.8165938864628841E-2</c:v>
                </c:pt>
                <c:pt idx="7">
                  <c:v>3.2605531295487621E-3</c:v>
                </c:pt>
                <c:pt idx="8">
                  <c:v>1.1644832605531295E-4</c:v>
                </c:pt>
                <c:pt idx="9">
                  <c:v>0</c:v>
                </c:pt>
                <c:pt idx="10">
                  <c:v>0.80727802037845697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BUSUNJU-KAMPALA'!$C$9:$N$9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BUSUNJU-KAMPALA'!$C$108:$N$108</c:f>
              <c:numCache>
                <c:formatCode>0.00%</c:formatCode>
                <c:ptCount val="12"/>
                <c:pt idx="0">
                  <c:v>0.32175226586102718</c:v>
                </c:pt>
                <c:pt idx="1">
                  <c:v>3.3232628398791549E-2</c:v>
                </c:pt>
                <c:pt idx="2">
                  <c:v>0.24350453172205436</c:v>
                </c:pt>
                <c:pt idx="3">
                  <c:v>7.190332326283988E-2</c:v>
                </c:pt>
                <c:pt idx="4">
                  <c:v>1.0271903323262839E-2</c:v>
                </c:pt>
                <c:pt idx="5">
                  <c:v>0</c:v>
                </c:pt>
                <c:pt idx="6">
                  <c:v>0.30181268882175238</c:v>
                </c:pt>
                <c:pt idx="7">
                  <c:v>1.6918429003021145E-2</c:v>
                </c:pt>
                <c:pt idx="8">
                  <c:v>6.0422960725075529E-4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KAMPALA-BUSUNJU'!$AE$9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KAMPALA-BUSUNJU'!$R$10:$R$33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KAMPALA-BUSUNJU'!$AE$10:$AE$33</c:f>
              <c:numCache>
                <c:formatCode>0</c:formatCode>
                <c:ptCount val="24"/>
                <c:pt idx="0">
                  <c:v>6.8571428571428568</c:v>
                </c:pt>
                <c:pt idx="1">
                  <c:v>6.5714285714285712</c:v>
                </c:pt>
                <c:pt idx="2">
                  <c:v>8.1428571428571423</c:v>
                </c:pt>
                <c:pt idx="3">
                  <c:v>12.857142857142858</c:v>
                </c:pt>
                <c:pt idx="4">
                  <c:v>15.428571428571431</c:v>
                </c:pt>
                <c:pt idx="5">
                  <c:v>15.999999999999998</c:v>
                </c:pt>
                <c:pt idx="6">
                  <c:v>12.714285714285714</c:v>
                </c:pt>
                <c:pt idx="7">
                  <c:v>14.428571428571429</c:v>
                </c:pt>
                <c:pt idx="8">
                  <c:v>14.571428571428571</c:v>
                </c:pt>
                <c:pt idx="9">
                  <c:v>17</c:v>
                </c:pt>
                <c:pt idx="10">
                  <c:v>14.428571428571427</c:v>
                </c:pt>
                <c:pt idx="11">
                  <c:v>12.999999999999998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8</c:v>
                </c:pt>
                <c:pt idx="16">
                  <c:v>11.5</c:v>
                </c:pt>
                <c:pt idx="17">
                  <c:v>5</c:v>
                </c:pt>
                <c:pt idx="18">
                  <c:v>4</c:v>
                </c:pt>
                <c:pt idx="19">
                  <c:v>3</c:v>
                </c:pt>
                <c:pt idx="20">
                  <c:v>0</c:v>
                </c:pt>
                <c:pt idx="21">
                  <c:v>3</c:v>
                </c:pt>
                <c:pt idx="22">
                  <c:v>12</c:v>
                </c:pt>
                <c:pt idx="23">
                  <c:v>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KAMPALA-BUSUNJU'!$AF$9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KAMPALA-BUSUNJU'!$R$10:$R$33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KAMPALA-BUSUNJU'!$AF$10:$AF$33</c:f>
              <c:numCache>
                <c:formatCode>0</c:formatCode>
                <c:ptCount val="24"/>
                <c:pt idx="0">
                  <c:v>44.285714285714285</c:v>
                </c:pt>
                <c:pt idx="1">
                  <c:v>53.285714285714285</c:v>
                </c:pt>
                <c:pt idx="2">
                  <c:v>63.714285714285708</c:v>
                </c:pt>
                <c:pt idx="3">
                  <c:v>70.428571428571416</c:v>
                </c:pt>
                <c:pt idx="4">
                  <c:v>74.857142857142847</c:v>
                </c:pt>
                <c:pt idx="5">
                  <c:v>71.571428571428569</c:v>
                </c:pt>
                <c:pt idx="6">
                  <c:v>70.857142857142861</c:v>
                </c:pt>
                <c:pt idx="7">
                  <c:v>70.571428571428584</c:v>
                </c:pt>
                <c:pt idx="8">
                  <c:v>70.714285714285722</c:v>
                </c:pt>
                <c:pt idx="9">
                  <c:v>72.714285714285708</c:v>
                </c:pt>
                <c:pt idx="10">
                  <c:v>77</c:v>
                </c:pt>
                <c:pt idx="11">
                  <c:v>71.285714285714292</c:v>
                </c:pt>
                <c:pt idx="12">
                  <c:v>30.5</c:v>
                </c:pt>
                <c:pt idx="13">
                  <c:v>36.5</c:v>
                </c:pt>
                <c:pt idx="14">
                  <c:v>41.5</c:v>
                </c:pt>
                <c:pt idx="15">
                  <c:v>40</c:v>
                </c:pt>
                <c:pt idx="16">
                  <c:v>42</c:v>
                </c:pt>
                <c:pt idx="17">
                  <c:v>28.5</c:v>
                </c:pt>
                <c:pt idx="18">
                  <c:v>23.5</c:v>
                </c:pt>
                <c:pt idx="19">
                  <c:v>23</c:v>
                </c:pt>
                <c:pt idx="20">
                  <c:v>9</c:v>
                </c:pt>
                <c:pt idx="21">
                  <c:v>17.5</c:v>
                </c:pt>
                <c:pt idx="22">
                  <c:v>52.5</c:v>
                </c:pt>
                <c:pt idx="23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684296"/>
        <c:axId val="343685864"/>
      </c:lineChart>
      <c:catAx>
        <c:axId val="34368429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3685864"/>
        <c:crosses val="autoZero"/>
        <c:auto val="1"/>
        <c:lblAlgn val="ctr"/>
        <c:lblOffset val="100"/>
        <c:noMultiLvlLbl val="0"/>
      </c:catAx>
      <c:valAx>
        <c:axId val="3436858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343684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1947846374155137E-2"/>
          <c:y val="0.16002814333522994"/>
          <c:w val="0.82101228366016787"/>
          <c:h val="0.7446058403538719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KAMPALA-BUSUNJU'!$C$107:$N$107</c:f>
              <c:numCache>
                <c:formatCode>0.0%</c:formatCode>
                <c:ptCount val="12"/>
                <c:pt idx="0">
                  <c:v>5.2350744056441571E-2</c:v>
                </c:pt>
                <c:pt idx="1">
                  <c:v>0</c:v>
                </c:pt>
                <c:pt idx="2">
                  <c:v>4.4702673860200381E-2</c:v>
                </c:pt>
                <c:pt idx="3">
                  <c:v>1.6837611904903068E-2</c:v>
                </c:pt>
                <c:pt idx="4">
                  <c:v>8.3002312207268631E-4</c:v>
                </c:pt>
                <c:pt idx="5">
                  <c:v>0</c:v>
                </c:pt>
                <c:pt idx="6">
                  <c:v>6.3674630936147517E-2</c:v>
                </c:pt>
                <c:pt idx="7">
                  <c:v>1.1857473172466946E-3</c:v>
                </c:pt>
                <c:pt idx="8">
                  <c:v>1.1857473172466947E-4</c:v>
                </c:pt>
                <c:pt idx="9">
                  <c:v>0</c:v>
                </c:pt>
                <c:pt idx="10">
                  <c:v>0.82029999407126319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KAMPALA-BUSUNJU'!$C$9:$N$9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KAMPALA-BUSUNJU'!$C$108:$N$108</c:f>
              <c:numCache>
                <c:formatCode>0.00%</c:formatCode>
                <c:ptCount val="12"/>
                <c:pt idx="0">
                  <c:v>0.29132299571098641</c:v>
                </c:pt>
                <c:pt idx="1">
                  <c:v>0</c:v>
                </c:pt>
                <c:pt idx="2">
                  <c:v>0.2487627845595512</c:v>
                </c:pt>
                <c:pt idx="3">
                  <c:v>9.3698449356647964E-2</c:v>
                </c:pt>
                <c:pt idx="4">
                  <c:v>4.6189376443418004E-3</c:v>
                </c:pt>
                <c:pt idx="5">
                  <c:v>0</c:v>
                </c:pt>
                <c:pt idx="6">
                  <c:v>0.35433850214450674</c:v>
                </c:pt>
                <c:pt idx="7">
                  <c:v>6.5984823490597144E-3</c:v>
                </c:pt>
                <c:pt idx="8">
                  <c:v>6.5984823490597151E-4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BUSUNJU-KAMPALA-2Dir'!$C$9:$N$9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BUSUNJU-KAMPALA-2Dir'!$C$107:$N$107</c:f>
              <c:numCache>
                <c:formatCode>0.0%</c:formatCode>
                <c:ptCount val="12"/>
                <c:pt idx="0">
                  <c:v>5.722342988073556E-2</c:v>
                </c:pt>
                <c:pt idx="1">
                  <c:v>3.2313025086657668E-3</c:v>
                </c:pt>
                <c:pt idx="2">
                  <c:v>4.5825744668350855E-2</c:v>
                </c:pt>
                <c:pt idx="3">
                  <c:v>1.5333999177486634E-2</c:v>
                </c:pt>
                <c:pt idx="4">
                  <c:v>1.4100229128723341E-3</c:v>
                </c:pt>
                <c:pt idx="5">
                  <c:v>0</c:v>
                </c:pt>
                <c:pt idx="6">
                  <c:v>6.0895364549673932E-2</c:v>
                </c:pt>
                <c:pt idx="7">
                  <c:v>2.2325362787145296E-3</c:v>
                </c:pt>
                <c:pt idx="8">
                  <c:v>1.1750190940602784E-4</c:v>
                </c:pt>
                <c:pt idx="9">
                  <c:v>0</c:v>
                </c:pt>
                <c:pt idx="10">
                  <c:v>0.81373009811409436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BUSUNJU-KAMPALA-2Dir'!$C$9:$N$9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BUSUNJU-KAMPALA-2Dir'!$C$108:$N$108</c:f>
              <c:numCache>
                <c:formatCode>0.00%</c:formatCode>
                <c:ptCount val="12"/>
                <c:pt idx="0">
                  <c:v>0.30720706513168267</c:v>
                </c:pt>
                <c:pt idx="1">
                  <c:v>1.7347421542343481E-2</c:v>
                </c:pt>
                <c:pt idx="2">
                  <c:v>0.24601797823687113</c:v>
                </c:pt>
                <c:pt idx="3">
                  <c:v>8.2321400410029957E-2</c:v>
                </c:pt>
                <c:pt idx="4">
                  <c:v>7.5697839457498813E-3</c:v>
                </c:pt>
                <c:pt idx="5">
                  <c:v>0</c:v>
                </c:pt>
                <c:pt idx="6">
                  <c:v>0.32692004415707299</c:v>
                </c:pt>
                <c:pt idx="7">
                  <c:v>1.1985491247437315E-2</c:v>
                </c:pt>
                <c:pt idx="8">
                  <c:v>6.308153288124901E-4</c:v>
                </c:pt>
                <c:pt idx="9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BUSUNJU-KAMPALA-2Dir'!$AE$9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BUSUNJU-KAMPALA-2Dir'!$R$10:$R$33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BUSUNJU-KAMPALA-2Dir'!$AE$10:$AE$33</c:f>
              <c:numCache>
                <c:formatCode>0</c:formatCode>
                <c:ptCount val="24"/>
                <c:pt idx="0">
                  <c:v>14.857142857142856</c:v>
                </c:pt>
                <c:pt idx="1">
                  <c:v>18.714285714285712</c:v>
                </c:pt>
                <c:pt idx="2">
                  <c:v>17.714285714285712</c:v>
                </c:pt>
                <c:pt idx="3">
                  <c:v>26.142857142857142</c:v>
                </c:pt>
                <c:pt idx="4">
                  <c:v>28.571428571428569</c:v>
                </c:pt>
                <c:pt idx="5">
                  <c:v>31.142857142857142</c:v>
                </c:pt>
                <c:pt idx="6">
                  <c:v>27.428571428571427</c:v>
                </c:pt>
                <c:pt idx="7">
                  <c:v>26.571428571428566</c:v>
                </c:pt>
                <c:pt idx="8">
                  <c:v>31.142857142857146</c:v>
                </c:pt>
                <c:pt idx="9">
                  <c:v>32.285714285714285</c:v>
                </c:pt>
                <c:pt idx="10">
                  <c:v>30.285714285714285</c:v>
                </c:pt>
                <c:pt idx="11">
                  <c:v>29.571428571428569</c:v>
                </c:pt>
                <c:pt idx="12">
                  <c:v>9</c:v>
                </c:pt>
                <c:pt idx="13">
                  <c:v>12</c:v>
                </c:pt>
                <c:pt idx="14">
                  <c:v>8</c:v>
                </c:pt>
                <c:pt idx="15">
                  <c:v>15</c:v>
                </c:pt>
                <c:pt idx="16">
                  <c:v>17.5</c:v>
                </c:pt>
                <c:pt idx="17">
                  <c:v>9</c:v>
                </c:pt>
                <c:pt idx="18">
                  <c:v>4</c:v>
                </c:pt>
                <c:pt idx="19">
                  <c:v>3</c:v>
                </c:pt>
                <c:pt idx="20">
                  <c:v>3.5</c:v>
                </c:pt>
                <c:pt idx="21">
                  <c:v>13</c:v>
                </c:pt>
                <c:pt idx="22">
                  <c:v>26</c:v>
                </c:pt>
                <c:pt idx="23">
                  <c:v>18.5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69-4EAC-874C-0EA6FB6E8AE2}"/>
            </c:ext>
          </c:extLst>
        </c:ser>
        <c:ser>
          <c:idx val="1"/>
          <c:order val="1"/>
          <c:tx>
            <c:strRef>
              <c:f>'Avg Week BUSUNJU-KAMPALA-2Dir'!$AF$9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BUSUNJU-KAMPALA-2Dir'!$R$10:$R$33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BUSUNJU-KAMPALA-2Dir'!$AF$10:$AF$33</c:f>
              <c:numCache>
                <c:formatCode>0</c:formatCode>
                <c:ptCount val="24"/>
                <c:pt idx="0">
                  <c:v>95.285714285714292</c:v>
                </c:pt>
                <c:pt idx="1">
                  <c:v>122.85714285714286</c:v>
                </c:pt>
                <c:pt idx="2">
                  <c:v>133.85714285714286</c:v>
                </c:pt>
                <c:pt idx="3">
                  <c:v>141</c:v>
                </c:pt>
                <c:pt idx="4">
                  <c:v>149.57142857142858</c:v>
                </c:pt>
                <c:pt idx="5">
                  <c:v>148.42857142857142</c:v>
                </c:pt>
                <c:pt idx="6">
                  <c:v>139.14285714285714</c:v>
                </c:pt>
                <c:pt idx="7">
                  <c:v>136.14285714285714</c:v>
                </c:pt>
                <c:pt idx="8">
                  <c:v>139.57142857142856</c:v>
                </c:pt>
                <c:pt idx="9">
                  <c:v>146.85714285714286</c:v>
                </c:pt>
                <c:pt idx="10">
                  <c:v>153.14285714285714</c:v>
                </c:pt>
                <c:pt idx="11">
                  <c:v>145.71428571428572</c:v>
                </c:pt>
                <c:pt idx="12">
                  <c:v>64</c:v>
                </c:pt>
                <c:pt idx="13">
                  <c:v>82.5</c:v>
                </c:pt>
                <c:pt idx="14">
                  <c:v>82</c:v>
                </c:pt>
                <c:pt idx="15">
                  <c:v>77.5</c:v>
                </c:pt>
                <c:pt idx="16">
                  <c:v>76</c:v>
                </c:pt>
                <c:pt idx="17">
                  <c:v>52</c:v>
                </c:pt>
                <c:pt idx="18">
                  <c:v>35.5</c:v>
                </c:pt>
                <c:pt idx="19">
                  <c:v>33</c:v>
                </c:pt>
                <c:pt idx="20">
                  <c:v>26</c:v>
                </c:pt>
                <c:pt idx="21">
                  <c:v>56</c:v>
                </c:pt>
                <c:pt idx="22">
                  <c:v>101.5</c:v>
                </c:pt>
                <c:pt idx="23">
                  <c:v>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469-4EAC-874C-0EA6FB6E8AE2}"/>
            </c:ext>
          </c:extLst>
        </c:ser>
        <c:ser>
          <c:idx val="5"/>
          <c:order val="2"/>
          <c:tx>
            <c:strRef>
              <c:f>'Avg Week BUSUNJU-KAMPALA-2Dir'!$AC$9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BUSUNJU-KAMPALA-2Dir'!$R$10:$R$33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BUSUNJU-KAMPALA-2Dir'!$AC$10:$AC$33</c:f>
              <c:numCache>
                <c:formatCode>0</c:formatCode>
                <c:ptCount val="24"/>
                <c:pt idx="0">
                  <c:v>80.428571428571431</c:v>
                </c:pt>
                <c:pt idx="1">
                  <c:v>104.14285714285714</c:v>
                </c:pt>
                <c:pt idx="2">
                  <c:v>116.14285714285715</c:v>
                </c:pt>
                <c:pt idx="3">
                  <c:v>114.85714285714286</c:v>
                </c:pt>
                <c:pt idx="4">
                  <c:v>121</c:v>
                </c:pt>
                <c:pt idx="5">
                  <c:v>117.28571428571428</c:v>
                </c:pt>
                <c:pt idx="6">
                  <c:v>111.71428571428572</c:v>
                </c:pt>
                <c:pt idx="7">
                  <c:v>109.57142857142857</c:v>
                </c:pt>
                <c:pt idx="8">
                  <c:v>108.42857142857143</c:v>
                </c:pt>
                <c:pt idx="9">
                  <c:v>114.57142857142858</c:v>
                </c:pt>
                <c:pt idx="10">
                  <c:v>122.85714285714286</c:v>
                </c:pt>
                <c:pt idx="11">
                  <c:v>116.14285714285714</c:v>
                </c:pt>
                <c:pt idx="12">
                  <c:v>55</c:v>
                </c:pt>
                <c:pt idx="13">
                  <c:v>70.5</c:v>
                </c:pt>
                <c:pt idx="14">
                  <c:v>74</c:v>
                </c:pt>
                <c:pt idx="15">
                  <c:v>62.5</c:v>
                </c:pt>
                <c:pt idx="16">
                  <c:v>58.5</c:v>
                </c:pt>
                <c:pt idx="17">
                  <c:v>43</c:v>
                </c:pt>
                <c:pt idx="18">
                  <c:v>31.5</c:v>
                </c:pt>
                <c:pt idx="19">
                  <c:v>30</c:v>
                </c:pt>
                <c:pt idx="20">
                  <c:v>22.5</c:v>
                </c:pt>
                <c:pt idx="21">
                  <c:v>43</c:v>
                </c:pt>
                <c:pt idx="22">
                  <c:v>75.5</c:v>
                </c:pt>
                <c:pt idx="23">
                  <c:v>75.5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69-4EAC-874C-0EA6FB6E8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BUSUNJU-KAMPALA-2Dir'!$S$9:$AF$9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BUSUNJU-KAMPALA-2Dir'!$S$41:$AF$41</c:f>
              <c:numCache>
                <c:formatCode>0</c:formatCode>
                <c:ptCount val="14"/>
                <c:pt idx="0">
                  <c:v>139.14285714285714</c:v>
                </c:pt>
                <c:pt idx="1">
                  <c:v>7.8571428571428577</c:v>
                </c:pt>
                <c:pt idx="2">
                  <c:v>111.42857142857142</c:v>
                </c:pt>
                <c:pt idx="3">
                  <c:v>37.285714285714278</c:v>
                </c:pt>
                <c:pt idx="4">
                  <c:v>3.4285714285714284</c:v>
                </c:pt>
                <c:pt idx="5">
                  <c:v>0</c:v>
                </c:pt>
                <c:pt idx="6">
                  <c:v>148.07142857142856</c:v>
                </c:pt>
                <c:pt idx="7">
                  <c:v>5.4285714285714288</c:v>
                </c:pt>
                <c:pt idx="8">
                  <c:v>0.2857142857142857</c:v>
                </c:pt>
                <c:pt idx="9">
                  <c:v>0</c:v>
                </c:pt>
                <c:pt idx="10">
                  <c:v>1978.6428571428573</c:v>
                </c:pt>
                <c:pt idx="11">
                  <c:v>0</c:v>
                </c:pt>
                <c:pt idx="12">
                  <c:v>452.92857142857139</c:v>
                </c:pt>
                <c:pt idx="13">
                  <c:v>2431.5714285714284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3-4123-A458-0F5F53CA38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BUSUNJU-KAMPALA-2Dir'!$S$9:$AF$9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BUSUNJU-KAMPALA-2Dir'!$S$42:$AF$42</c:f>
              <c:numCache>
                <c:formatCode>0.000</c:formatCode>
                <c:ptCount val="14"/>
                <c:pt idx="0">
                  <c:v>1.510077519379845</c:v>
                </c:pt>
                <c:pt idx="1">
                  <c:v>1</c:v>
                </c:pt>
                <c:pt idx="2">
                  <c:v>1.4391143911439115</c:v>
                </c:pt>
                <c:pt idx="3">
                  <c:v>1.2731707317073171</c:v>
                </c:pt>
                <c:pt idx="4">
                  <c:v>1.411764705882353</c:v>
                </c:pt>
                <c:pt idx="5">
                  <c:v>0</c:v>
                </c:pt>
                <c:pt idx="6">
                  <c:v>1.4870875179340028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1.4797542735042735</c:v>
                </c:pt>
                <c:pt idx="11">
                  <c:v>0</c:v>
                </c:pt>
                <c:pt idx="12">
                  <c:v>1.4404815992730577</c:v>
                </c:pt>
                <c:pt idx="13">
                  <c:v>1.4722774846466569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0E-4B48-BB7A-0622D344DB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26.xml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6" Type="http://schemas.openxmlformats.org/officeDocument/2006/relationships/chart" Target="../charts/chart30.xml"/><Relationship Id="rId1" Type="http://schemas.openxmlformats.org/officeDocument/2006/relationships/chart" Target="../charts/chart2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34.xml"/><Relationship Id="rId1" Type="http://schemas.openxmlformats.org/officeDocument/2006/relationships/chart" Target="../charts/chart3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6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8.png"/><Relationship Id="rId2" Type="http://schemas.openxmlformats.org/officeDocument/2006/relationships/image" Target="../media/image1.emf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3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5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4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6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4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9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5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0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8.pn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43</xdr:row>
      <xdr:rowOff>38099</xdr:rowOff>
    </xdr:from>
    <xdr:to>
      <xdr:col>28</xdr:col>
      <xdr:colOff>0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</xdr:colOff>
      <xdr:row>59</xdr:row>
      <xdr:rowOff>247650</xdr:rowOff>
    </xdr:from>
    <xdr:to>
      <xdr:col>23</xdr:col>
      <xdr:colOff>1</xdr:colOff>
      <xdr:row>73</xdr:row>
      <xdr:rowOff>238125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15876</xdr:colOff>
      <xdr:row>60</xdr:row>
      <xdr:rowOff>15876</xdr:rowOff>
    </xdr:from>
    <xdr:to>
      <xdr:col>31</xdr:col>
      <xdr:colOff>1</xdr:colOff>
      <xdr:row>73</xdr:row>
      <xdr:rowOff>269876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22224</xdr:rowOff>
    </xdr:from>
    <xdr:to>
      <xdr:col>27</xdr:col>
      <xdr:colOff>714374</xdr:colOff>
      <xdr:row>58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60</xdr:row>
      <xdr:rowOff>9525</xdr:rowOff>
    </xdr:from>
    <xdr:to>
      <xdr:col>23</xdr:col>
      <xdr:colOff>0</xdr:colOff>
      <xdr:row>74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60</xdr:row>
      <xdr:rowOff>15876</xdr:rowOff>
    </xdr:from>
    <xdr:to>
      <xdr:col>31</xdr:col>
      <xdr:colOff>0</xdr:colOff>
      <xdr:row>74</xdr:row>
      <xdr:rowOff>15876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58</xdr:row>
      <xdr:rowOff>269875</xdr:rowOff>
    </xdr:from>
    <xdr:to>
      <xdr:col>23</xdr:col>
      <xdr:colOff>650875</xdr:colOff>
      <xdr:row>76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76</xdr:row>
      <xdr:rowOff>31750</xdr:rowOff>
    </xdr:from>
    <xdr:to>
      <xdr:col>23</xdr:col>
      <xdr:colOff>650874</xdr:colOff>
      <xdr:row>92</xdr:row>
      <xdr:rowOff>79375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</xdr:colOff>
      <xdr:row>42</xdr:row>
      <xdr:rowOff>254000</xdr:rowOff>
    </xdr:from>
    <xdr:to>
      <xdr:col>28</xdr:col>
      <xdr:colOff>15876</xdr:colOff>
      <xdr:row>58</xdr:row>
      <xdr:rowOff>269876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087BF31-B436-44BC-B512-3663E353F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666750</xdr:colOff>
      <xdr:row>58</xdr:row>
      <xdr:rowOff>269875</xdr:rowOff>
    </xdr:from>
    <xdr:to>
      <xdr:col>30</xdr:col>
      <xdr:colOff>650875</xdr:colOff>
      <xdr:row>76</xdr:row>
      <xdr:rowOff>14290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B6674EA-3665-4282-B9B6-54FBB5FFD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666750</xdr:colOff>
      <xdr:row>76</xdr:row>
      <xdr:rowOff>15875</xdr:rowOff>
    </xdr:from>
    <xdr:to>
      <xdr:col>30</xdr:col>
      <xdr:colOff>650875</xdr:colOff>
      <xdr:row>92</xdr:row>
      <xdr:rowOff>79375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CB60FB22-8E21-4816-A45F-EE95041429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O5" sqref="O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164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165</v>
      </c>
      <c r="E5" s="3"/>
      <c r="F5" s="41" t="s">
        <v>1</v>
      </c>
      <c r="G5" s="54" t="s">
        <v>174</v>
      </c>
      <c r="H5" s="55"/>
      <c r="I5" s="14"/>
      <c r="J5" s="2" t="s">
        <v>5</v>
      </c>
      <c r="K5" s="54" t="s">
        <v>162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166</v>
      </c>
      <c r="E6" s="55"/>
      <c r="F6" s="2" t="s">
        <v>2</v>
      </c>
      <c r="G6" s="54" t="s">
        <v>167</v>
      </c>
      <c r="H6" s="55"/>
      <c r="J6" s="2" t="s">
        <v>21</v>
      </c>
      <c r="K6" s="54" t="s">
        <v>162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5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5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44</v>
      </c>
      <c r="AD10" s="17">
        <f t="shared" si="2"/>
        <v>0</v>
      </c>
      <c r="AE10" s="31">
        <f t="shared" si="2"/>
        <v>3</v>
      </c>
      <c r="AF10" s="31">
        <f t="shared" si="2"/>
        <v>47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16</v>
      </c>
      <c r="N11" s="50">
        <v>0</v>
      </c>
      <c r="O11" s="15">
        <f t="shared" si="0"/>
        <v>0</v>
      </c>
      <c r="P11" s="15">
        <f t="shared" si="1"/>
        <v>16</v>
      </c>
      <c r="R11" s="1" t="s">
        <v>7</v>
      </c>
      <c r="S11" s="17">
        <f t="shared" ref="S11:AF11" si="3">SUM(C14:C17)</f>
        <v>6</v>
      </c>
      <c r="T11" s="17">
        <f t="shared" si="3"/>
        <v>0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51</v>
      </c>
      <c r="AD11" s="17">
        <f t="shared" si="3"/>
        <v>0</v>
      </c>
      <c r="AE11" s="31">
        <f t="shared" si="3"/>
        <v>8</v>
      </c>
      <c r="AF11" s="31">
        <f t="shared" si="3"/>
        <v>59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2</v>
      </c>
      <c r="P12" s="15">
        <f t="shared" si="1"/>
        <v>10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3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0</v>
      </c>
      <c r="Z12" s="17">
        <f t="shared" si="4"/>
        <v>2</v>
      </c>
      <c r="AA12" s="17">
        <f t="shared" si="4"/>
        <v>0</v>
      </c>
      <c r="AB12" s="17">
        <f t="shared" si="4"/>
        <v>0</v>
      </c>
      <c r="AC12" s="17">
        <f t="shared" si="4"/>
        <v>75</v>
      </c>
      <c r="AD12" s="17">
        <f t="shared" si="4"/>
        <v>0</v>
      </c>
      <c r="AE12" s="31">
        <f t="shared" si="4"/>
        <v>13</v>
      </c>
      <c r="AF12" s="31">
        <f t="shared" si="4"/>
        <v>88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15</v>
      </c>
      <c r="N13" s="50">
        <v>0</v>
      </c>
      <c r="O13" s="15">
        <f t="shared" si="0"/>
        <v>1</v>
      </c>
      <c r="P13" s="15">
        <f t="shared" si="1"/>
        <v>16</v>
      </c>
      <c r="R13" s="1" t="s">
        <v>9</v>
      </c>
      <c r="S13" s="17">
        <f t="shared" ref="S13:AF13" si="5">SUM(C22:C25)</f>
        <v>5</v>
      </c>
      <c r="T13" s="17">
        <f t="shared" si="5"/>
        <v>0</v>
      </c>
      <c r="U13" s="17">
        <f t="shared" si="5"/>
        <v>2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1</v>
      </c>
      <c r="Z13" s="17">
        <f t="shared" si="5"/>
        <v>2</v>
      </c>
      <c r="AA13" s="17">
        <f t="shared" si="5"/>
        <v>0</v>
      </c>
      <c r="AB13" s="17">
        <f t="shared" si="5"/>
        <v>0</v>
      </c>
      <c r="AC13" s="17">
        <f t="shared" si="5"/>
        <v>73</v>
      </c>
      <c r="AD13" s="17">
        <f t="shared" si="5"/>
        <v>0</v>
      </c>
      <c r="AE13" s="31">
        <f t="shared" si="5"/>
        <v>11</v>
      </c>
      <c r="AF13" s="31">
        <f t="shared" si="5"/>
        <v>84</v>
      </c>
    </row>
    <row r="14" spans="2:32" ht="23.1" customHeight="1" x14ac:dyDescent="0.25">
      <c r="B14" s="23" t="s">
        <v>41</v>
      </c>
      <c r="C14" s="50">
        <v>2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13</v>
      </c>
      <c r="N14" s="50">
        <v>0</v>
      </c>
      <c r="O14" s="15">
        <f t="shared" si="0"/>
        <v>3</v>
      </c>
      <c r="P14" s="15">
        <f t="shared" si="1"/>
        <v>16</v>
      </c>
      <c r="R14" s="1" t="s">
        <v>10</v>
      </c>
      <c r="S14" s="17">
        <f t="shared" ref="S14:AF14" si="6">SUM(C26:C29)</f>
        <v>6</v>
      </c>
      <c r="T14" s="17">
        <f t="shared" si="6"/>
        <v>0</v>
      </c>
      <c r="U14" s="17">
        <f t="shared" si="6"/>
        <v>4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85</v>
      </c>
      <c r="AD14" s="17">
        <f t="shared" si="6"/>
        <v>0</v>
      </c>
      <c r="AE14" s="31">
        <f t="shared" si="6"/>
        <v>15</v>
      </c>
      <c r="AF14" s="31">
        <f t="shared" si="6"/>
        <v>100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2</v>
      </c>
      <c r="P15" s="15">
        <f t="shared" si="1"/>
        <v>12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4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0</v>
      </c>
      <c r="Z15" s="17">
        <f t="shared" si="7"/>
        <v>3</v>
      </c>
      <c r="AA15" s="17">
        <f t="shared" si="7"/>
        <v>0</v>
      </c>
      <c r="AB15" s="17">
        <f t="shared" si="7"/>
        <v>0</v>
      </c>
      <c r="AC15" s="17">
        <f t="shared" si="7"/>
        <v>64</v>
      </c>
      <c r="AD15" s="17">
        <f t="shared" si="7"/>
        <v>0</v>
      </c>
      <c r="AE15" s="31">
        <f t="shared" si="7"/>
        <v>13</v>
      </c>
      <c r="AF15" s="31">
        <f t="shared" si="7"/>
        <v>77</v>
      </c>
    </row>
    <row r="16" spans="2:32" ht="23.1" customHeight="1" x14ac:dyDescent="0.25">
      <c r="B16" s="23" t="s">
        <v>43</v>
      </c>
      <c r="C16" s="50">
        <v>3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10</v>
      </c>
      <c r="N16" s="50">
        <v>0</v>
      </c>
      <c r="O16" s="15">
        <f t="shared" si="0"/>
        <v>3</v>
      </c>
      <c r="P16" s="15">
        <f t="shared" si="1"/>
        <v>13</v>
      </c>
      <c r="R16" s="1" t="s">
        <v>12</v>
      </c>
      <c r="S16" s="17">
        <f t="shared" ref="S16:AF16" si="8">SUM(C34:C37)</f>
        <v>3</v>
      </c>
      <c r="T16" s="17">
        <f t="shared" si="8"/>
        <v>0</v>
      </c>
      <c r="U16" s="17">
        <f t="shared" si="8"/>
        <v>6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0</v>
      </c>
      <c r="Z16" s="17">
        <f t="shared" si="8"/>
        <v>2</v>
      </c>
      <c r="AA16" s="17">
        <f t="shared" si="8"/>
        <v>0</v>
      </c>
      <c r="AB16" s="17">
        <f t="shared" si="8"/>
        <v>0</v>
      </c>
      <c r="AC16" s="17">
        <f t="shared" si="8"/>
        <v>48</v>
      </c>
      <c r="AD16" s="17">
        <f t="shared" si="8"/>
        <v>0</v>
      </c>
      <c r="AE16" s="31">
        <f t="shared" si="8"/>
        <v>11</v>
      </c>
      <c r="AF16" s="31">
        <f t="shared" si="8"/>
        <v>59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18</v>
      </c>
      <c r="N17" s="50">
        <v>0</v>
      </c>
      <c r="O17" s="15">
        <f t="shared" si="0"/>
        <v>0</v>
      </c>
      <c r="P17" s="15">
        <f t="shared" si="1"/>
        <v>18</v>
      </c>
      <c r="R17" s="1" t="s">
        <v>13</v>
      </c>
      <c r="S17" s="17">
        <f t="shared" ref="S17:AF17" si="9">SUM(C38:C41)</f>
        <v>5</v>
      </c>
      <c r="T17" s="17">
        <f t="shared" si="9"/>
        <v>0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1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52</v>
      </c>
      <c r="AD17" s="17">
        <f t="shared" si="9"/>
        <v>0</v>
      </c>
      <c r="AE17" s="31">
        <f t="shared" si="9"/>
        <v>9</v>
      </c>
      <c r="AF17" s="31">
        <f t="shared" si="9"/>
        <v>61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2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18</v>
      </c>
      <c r="N18" s="50">
        <v>0</v>
      </c>
      <c r="O18" s="15">
        <f t="shared" si="0"/>
        <v>4</v>
      </c>
      <c r="P18" s="15">
        <f t="shared" si="1"/>
        <v>22</v>
      </c>
      <c r="R18" s="1" t="s">
        <v>14</v>
      </c>
      <c r="S18" s="17">
        <f t="shared" ref="S18:AF18" si="10">SUM(C42:C45)</f>
        <v>5</v>
      </c>
      <c r="T18" s="17">
        <f t="shared" si="10"/>
        <v>0</v>
      </c>
      <c r="U18" s="17">
        <f t="shared" si="10"/>
        <v>6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1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55</v>
      </c>
      <c r="AD18" s="17">
        <f t="shared" si="10"/>
        <v>0</v>
      </c>
      <c r="AE18" s="31">
        <f t="shared" si="10"/>
        <v>13</v>
      </c>
      <c r="AF18" s="31">
        <f t="shared" si="10"/>
        <v>68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14</v>
      </c>
      <c r="N19" s="50">
        <v>0</v>
      </c>
      <c r="O19" s="15">
        <f t="shared" si="0"/>
        <v>1</v>
      </c>
      <c r="P19" s="15">
        <f t="shared" si="1"/>
        <v>15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0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0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54</v>
      </c>
      <c r="AD19" s="17">
        <f t="shared" si="11"/>
        <v>0</v>
      </c>
      <c r="AE19" s="31">
        <f t="shared" si="11"/>
        <v>5</v>
      </c>
      <c r="AF19" s="31">
        <f t="shared" si="11"/>
        <v>59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1</v>
      </c>
      <c r="K20" s="50">
        <v>0</v>
      </c>
      <c r="L20" s="50">
        <v>0</v>
      </c>
      <c r="M20" s="50">
        <v>22</v>
      </c>
      <c r="N20" s="50">
        <v>0</v>
      </c>
      <c r="O20" s="15">
        <f t="shared" si="0"/>
        <v>3</v>
      </c>
      <c r="P20" s="15">
        <f t="shared" si="1"/>
        <v>25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6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62</v>
      </c>
      <c r="AD20" s="17">
        <f t="shared" si="12"/>
        <v>0</v>
      </c>
      <c r="AE20" s="31">
        <f t="shared" si="12"/>
        <v>12</v>
      </c>
      <c r="AF20" s="31">
        <f t="shared" si="12"/>
        <v>74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1</v>
      </c>
      <c r="F21" s="50">
        <v>1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21</v>
      </c>
      <c r="N21" s="50">
        <v>0</v>
      </c>
      <c r="O21" s="15">
        <f t="shared" si="0"/>
        <v>5</v>
      </c>
      <c r="P21" s="15">
        <f t="shared" si="1"/>
        <v>26</v>
      </c>
      <c r="R21" s="36" t="s">
        <v>20</v>
      </c>
      <c r="S21" s="34">
        <f t="shared" ref="S21:AF21" si="13">SUM(C54:C57)</f>
        <v>11</v>
      </c>
      <c r="T21" s="17">
        <f t="shared" si="13"/>
        <v>0</v>
      </c>
      <c r="U21" s="17">
        <f t="shared" si="13"/>
        <v>3</v>
      </c>
      <c r="V21" s="17">
        <f t="shared" si="13"/>
        <v>2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61</v>
      </c>
      <c r="AD21" s="17">
        <f t="shared" si="13"/>
        <v>0</v>
      </c>
      <c r="AE21" s="31">
        <f t="shared" si="13"/>
        <v>19</v>
      </c>
      <c r="AF21" s="31">
        <f t="shared" si="13"/>
        <v>80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0</v>
      </c>
      <c r="J22" s="50">
        <v>1</v>
      </c>
      <c r="K22" s="50">
        <v>0</v>
      </c>
      <c r="L22" s="50">
        <v>0</v>
      </c>
      <c r="M22" s="50">
        <v>22</v>
      </c>
      <c r="N22" s="50">
        <v>0</v>
      </c>
      <c r="O22" s="15">
        <f t="shared" si="0"/>
        <v>2</v>
      </c>
      <c r="P22" s="15">
        <f t="shared" si="1"/>
        <v>24</v>
      </c>
      <c r="R22" s="38" t="s">
        <v>90</v>
      </c>
      <c r="S22" s="39">
        <f>MAX(S10:S12)</f>
        <v>6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0</v>
      </c>
      <c r="Z22" s="39">
        <f t="shared" si="14"/>
        <v>2</v>
      </c>
      <c r="AA22" s="39">
        <f t="shared" si="14"/>
        <v>0</v>
      </c>
      <c r="AB22" s="39">
        <f t="shared" si="14"/>
        <v>0</v>
      </c>
      <c r="AC22" s="39">
        <f t="shared" si="14"/>
        <v>75</v>
      </c>
      <c r="AD22" s="39">
        <f t="shared" si="14"/>
        <v>0</v>
      </c>
      <c r="AE22" s="40">
        <f t="shared" si="14"/>
        <v>13</v>
      </c>
      <c r="AF22" s="40">
        <f t="shared" si="14"/>
        <v>88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4</v>
      </c>
      <c r="P23" s="15">
        <f t="shared" si="1"/>
        <v>17</v>
      </c>
      <c r="R23" s="38" t="s">
        <v>91</v>
      </c>
      <c r="S23" s="39">
        <f>MAX(S13:S18)</f>
        <v>6</v>
      </c>
      <c r="T23" s="39">
        <f t="shared" ref="T23:AF23" si="15">MAX(T13:T18)</f>
        <v>0</v>
      </c>
      <c r="U23" s="39">
        <f t="shared" si="15"/>
        <v>6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1</v>
      </c>
      <c r="Z23" s="39">
        <f t="shared" si="15"/>
        <v>3</v>
      </c>
      <c r="AA23" s="39">
        <f t="shared" si="15"/>
        <v>0</v>
      </c>
      <c r="AB23" s="39">
        <f t="shared" si="15"/>
        <v>0</v>
      </c>
      <c r="AC23" s="39">
        <f t="shared" si="15"/>
        <v>85</v>
      </c>
      <c r="AD23" s="39">
        <f t="shared" si="15"/>
        <v>0</v>
      </c>
      <c r="AE23" s="40">
        <f t="shared" si="15"/>
        <v>15</v>
      </c>
      <c r="AF23" s="40">
        <f t="shared" si="15"/>
        <v>100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1</v>
      </c>
      <c r="K24" s="50">
        <v>0</v>
      </c>
      <c r="L24" s="50">
        <v>0</v>
      </c>
      <c r="M24" s="50">
        <v>22</v>
      </c>
      <c r="N24" s="50">
        <v>0</v>
      </c>
      <c r="O24" s="15">
        <f t="shared" si="0"/>
        <v>2</v>
      </c>
      <c r="P24" s="15">
        <f t="shared" si="1"/>
        <v>24</v>
      </c>
      <c r="R24" s="38" t="s">
        <v>92</v>
      </c>
      <c r="S24" s="39">
        <f>MAX(S19:S21)</f>
        <v>11</v>
      </c>
      <c r="T24" s="39">
        <f t="shared" ref="T24:AF24" si="16">MAX(T19:T21)</f>
        <v>0</v>
      </c>
      <c r="U24" s="39">
        <f t="shared" si="16"/>
        <v>6</v>
      </c>
      <c r="V24" s="39">
        <f t="shared" si="16"/>
        <v>2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62</v>
      </c>
      <c r="AD24" s="39">
        <f t="shared" si="16"/>
        <v>0</v>
      </c>
      <c r="AE24" s="40">
        <f t="shared" si="16"/>
        <v>19</v>
      </c>
      <c r="AF24" s="40">
        <f t="shared" si="16"/>
        <v>80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16</v>
      </c>
      <c r="N25" s="50">
        <v>0</v>
      </c>
      <c r="O25" s="15">
        <f t="shared" si="0"/>
        <v>3</v>
      </c>
      <c r="P25" s="15">
        <f t="shared" si="1"/>
        <v>19</v>
      </c>
      <c r="R25" s="37" t="s">
        <v>85</v>
      </c>
      <c r="S25" s="35">
        <f t="shared" ref="S25:AF25" si="17">SUM(S10:S12)</f>
        <v>13</v>
      </c>
      <c r="T25" s="16">
        <f t="shared" si="17"/>
        <v>0</v>
      </c>
      <c r="U25" s="16">
        <f t="shared" si="17"/>
        <v>6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0</v>
      </c>
      <c r="Z25" s="16">
        <f t="shared" si="17"/>
        <v>2</v>
      </c>
      <c r="AA25" s="16">
        <f t="shared" si="17"/>
        <v>0</v>
      </c>
      <c r="AB25" s="16">
        <f t="shared" si="17"/>
        <v>0</v>
      </c>
      <c r="AC25" s="16">
        <f t="shared" si="17"/>
        <v>170</v>
      </c>
      <c r="AD25" s="16">
        <f t="shared" si="17"/>
        <v>0</v>
      </c>
      <c r="AE25" s="32">
        <f t="shared" si="17"/>
        <v>24</v>
      </c>
      <c r="AF25" s="32">
        <f t="shared" si="17"/>
        <v>194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1</v>
      </c>
      <c r="K26" s="50">
        <v>0</v>
      </c>
      <c r="L26" s="50">
        <v>0</v>
      </c>
      <c r="M26" s="50">
        <v>16</v>
      </c>
      <c r="N26" s="50">
        <v>0</v>
      </c>
      <c r="O26" s="15">
        <f t="shared" si="0"/>
        <v>4</v>
      </c>
      <c r="P26" s="15">
        <f t="shared" si="1"/>
        <v>20</v>
      </c>
      <c r="R26" s="28" t="s">
        <v>86</v>
      </c>
      <c r="S26" s="16">
        <f t="shared" ref="S26:AF26" si="18">SUM(S13:S18)</f>
        <v>28</v>
      </c>
      <c r="T26" s="16">
        <f t="shared" si="18"/>
        <v>0</v>
      </c>
      <c r="U26" s="16">
        <f t="shared" si="18"/>
        <v>25</v>
      </c>
      <c r="V26" s="16">
        <f t="shared" si="18"/>
        <v>5</v>
      </c>
      <c r="W26" s="16">
        <f t="shared" si="18"/>
        <v>0</v>
      </c>
      <c r="X26" s="16">
        <f t="shared" si="18"/>
        <v>0</v>
      </c>
      <c r="Y26" s="16">
        <f t="shared" si="18"/>
        <v>4</v>
      </c>
      <c r="Z26" s="16">
        <f t="shared" si="18"/>
        <v>10</v>
      </c>
      <c r="AA26" s="16">
        <f t="shared" si="18"/>
        <v>0</v>
      </c>
      <c r="AB26" s="16">
        <f t="shared" si="18"/>
        <v>0</v>
      </c>
      <c r="AC26" s="16">
        <f t="shared" si="18"/>
        <v>377</v>
      </c>
      <c r="AD26" s="16">
        <f t="shared" si="18"/>
        <v>0</v>
      </c>
      <c r="AE26" s="32">
        <f t="shared" si="18"/>
        <v>72</v>
      </c>
      <c r="AF26" s="32">
        <f t="shared" si="18"/>
        <v>449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1</v>
      </c>
      <c r="F27" s="50">
        <v>1</v>
      </c>
      <c r="G27" s="50">
        <v>0</v>
      </c>
      <c r="H27" s="50">
        <v>0</v>
      </c>
      <c r="I27" s="50">
        <v>0</v>
      </c>
      <c r="J27" s="50">
        <v>1</v>
      </c>
      <c r="K27" s="50">
        <v>0</v>
      </c>
      <c r="L27" s="50">
        <v>0</v>
      </c>
      <c r="M27" s="50">
        <v>27</v>
      </c>
      <c r="N27" s="50">
        <v>0</v>
      </c>
      <c r="O27" s="15">
        <f t="shared" si="0"/>
        <v>5</v>
      </c>
      <c r="P27" s="15">
        <f t="shared" si="1"/>
        <v>32</v>
      </c>
      <c r="R27" s="29" t="s">
        <v>87</v>
      </c>
      <c r="S27" s="16">
        <f t="shared" ref="S27:AF27" si="19">SUM(S19:S21)</f>
        <v>18</v>
      </c>
      <c r="T27" s="16">
        <f t="shared" si="19"/>
        <v>0</v>
      </c>
      <c r="U27" s="16">
        <f t="shared" si="19"/>
        <v>9</v>
      </c>
      <c r="V27" s="16">
        <f t="shared" si="19"/>
        <v>3</v>
      </c>
      <c r="W27" s="16">
        <f t="shared" si="19"/>
        <v>0</v>
      </c>
      <c r="X27" s="16">
        <f t="shared" si="19"/>
        <v>0</v>
      </c>
      <c r="Y27" s="16">
        <f t="shared" si="19"/>
        <v>4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177</v>
      </c>
      <c r="AD27" s="16">
        <f t="shared" si="19"/>
        <v>0</v>
      </c>
      <c r="AE27" s="32">
        <f t="shared" si="19"/>
        <v>36</v>
      </c>
      <c r="AF27" s="32">
        <f t="shared" si="19"/>
        <v>213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24</v>
      </c>
      <c r="N28" s="50">
        <v>0</v>
      </c>
      <c r="O28" s="15">
        <f t="shared" si="0"/>
        <v>3</v>
      </c>
      <c r="P28" s="15">
        <f t="shared" si="1"/>
        <v>27</v>
      </c>
      <c r="R28" s="5" t="s">
        <v>17</v>
      </c>
      <c r="S28" s="16">
        <f t="shared" ref="S28:AF28" si="20">SUM(S10:S21)</f>
        <v>59</v>
      </c>
      <c r="T28" s="16">
        <f t="shared" si="20"/>
        <v>0</v>
      </c>
      <c r="U28" s="16">
        <f t="shared" si="20"/>
        <v>40</v>
      </c>
      <c r="V28" s="16">
        <f t="shared" si="20"/>
        <v>11</v>
      </c>
      <c r="W28" s="16">
        <f t="shared" si="20"/>
        <v>0</v>
      </c>
      <c r="X28" s="16">
        <f t="shared" si="20"/>
        <v>0</v>
      </c>
      <c r="Y28" s="16">
        <f t="shared" si="20"/>
        <v>8</v>
      </c>
      <c r="Z28" s="16">
        <f t="shared" si="20"/>
        <v>14</v>
      </c>
      <c r="AA28" s="16">
        <f t="shared" si="20"/>
        <v>0</v>
      </c>
      <c r="AB28" s="16">
        <f t="shared" si="20"/>
        <v>0</v>
      </c>
      <c r="AC28" s="16">
        <f t="shared" si="20"/>
        <v>724</v>
      </c>
      <c r="AD28" s="16">
        <f t="shared" si="20"/>
        <v>0</v>
      </c>
      <c r="AE28" s="32">
        <f t="shared" si="20"/>
        <v>132</v>
      </c>
      <c r="AF28" s="32">
        <f t="shared" si="20"/>
        <v>856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0</v>
      </c>
      <c r="J29" s="50">
        <v>1</v>
      </c>
      <c r="K29" s="50">
        <v>0</v>
      </c>
      <c r="L29" s="50">
        <v>0</v>
      </c>
      <c r="M29" s="50">
        <v>18</v>
      </c>
      <c r="N29" s="50">
        <v>0</v>
      </c>
      <c r="O29" s="15">
        <f t="shared" si="0"/>
        <v>3</v>
      </c>
      <c r="P29" s="15">
        <f t="shared" si="1"/>
        <v>21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0</v>
      </c>
      <c r="J30" s="50">
        <v>2</v>
      </c>
      <c r="K30" s="50">
        <v>0</v>
      </c>
      <c r="L30" s="50">
        <v>0</v>
      </c>
      <c r="M30" s="50">
        <v>17</v>
      </c>
      <c r="N30" s="50">
        <v>0</v>
      </c>
      <c r="O30" s="15">
        <f t="shared" si="0"/>
        <v>5</v>
      </c>
      <c r="P30" s="15">
        <f t="shared" si="1"/>
        <v>22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6</v>
      </c>
      <c r="N31" s="50">
        <v>0</v>
      </c>
      <c r="O31" s="15">
        <f t="shared" si="0"/>
        <v>2</v>
      </c>
      <c r="P31" s="15">
        <f t="shared" si="1"/>
        <v>8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21</v>
      </c>
      <c r="N32" s="50">
        <v>0</v>
      </c>
      <c r="O32" s="15">
        <f t="shared" si="0"/>
        <v>3</v>
      </c>
      <c r="P32" s="15">
        <f t="shared" si="1"/>
        <v>24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0</v>
      </c>
      <c r="J33" s="50">
        <v>1</v>
      </c>
      <c r="K33" s="50">
        <v>0</v>
      </c>
      <c r="L33" s="50">
        <v>0</v>
      </c>
      <c r="M33" s="50">
        <v>20</v>
      </c>
      <c r="N33" s="50">
        <v>0</v>
      </c>
      <c r="O33" s="15">
        <f t="shared" si="0"/>
        <v>3</v>
      </c>
      <c r="P33" s="15">
        <f t="shared" si="1"/>
        <v>23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2</v>
      </c>
      <c r="F34" s="50">
        <v>0</v>
      </c>
      <c r="G34" s="50">
        <v>0</v>
      </c>
      <c r="H34" s="50">
        <v>0</v>
      </c>
      <c r="I34" s="50">
        <v>0</v>
      </c>
      <c r="J34" s="50">
        <v>2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4</v>
      </c>
      <c r="P34" s="15">
        <f t="shared" si="1"/>
        <v>18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20</v>
      </c>
      <c r="N35" s="50">
        <v>0</v>
      </c>
      <c r="O35" s="15">
        <f t="shared" si="0"/>
        <v>4</v>
      </c>
      <c r="P35" s="15">
        <f t="shared" si="1"/>
        <v>24</v>
      </c>
    </row>
    <row r="36" spans="2:20" ht="23.1" customHeight="1" x14ac:dyDescent="0.25">
      <c r="B36" s="24" t="s">
        <v>63</v>
      </c>
      <c r="C36" s="50">
        <v>1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6</v>
      </c>
      <c r="N36" s="50">
        <v>0</v>
      </c>
      <c r="O36" s="15">
        <f t="shared" si="0"/>
        <v>2</v>
      </c>
      <c r="P36" s="15">
        <f t="shared" si="1"/>
        <v>8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1</v>
      </c>
      <c r="P37" s="15">
        <f t="shared" si="1"/>
        <v>9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11</v>
      </c>
      <c r="N38" s="50">
        <v>0</v>
      </c>
      <c r="O38" s="15">
        <f t="shared" si="0"/>
        <v>3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13</v>
      </c>
      <c r="N39" s="50">
        <v>0</v>
      </c>
      <c r="O39" s="15">
        <f t="shared" si="0"/>
        <v>0</v>
      </c>
      <c r="P39" s="15">
        <f t="shared" si="1"/>
        <v>13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14</v>
      </c>
      <c r="N40" s="50">
        <v>0</v>
      </c>
      <c r="O40" s="15">
        <f t="shared" si="0"/>
        <v>2</v>
      </c>
      <c r="P40" s="15">
        <f t="shared" si="1"/>
        <v>16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2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14</v>
      </c>
      <c r="N41" s="50">
        <v>0</v>
      </c>
      <c r="O41" s="15">
        <f t="shared" si="0"/>
        <v>4</v>
      </c>
      <c r="P41" s="15">
        <f t="shared" si="1"/>
        <v>18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15</v>
      </c>
      <c r="N42" s="50">
        <v>0</v>
      </c>
      <c r="O42" s="15">
        <f t="shared" si="0"/>
        <v>3</v>
      </c>
      <c r="P42" s="15">
        <f t="shared" si="1"/>
        <v>18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5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6</v>
      </c>
      <c r="P43" s="15">
        <f t="shared" si="1"/>
        <v>21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2</v>
      </c>
      <c r="P44" s="15">
        <f t="shared" si="1"/>
        <v>12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2</v>
      </c>
      <c r="P45" s="15">
        <f t="shared" si="1"/>
        <v>17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8</v>
      </c>
      <c r="N46" s="50">
        <v>0</v>
      </c>
      <c r="O46" s="15">
        <f t="shared" si="0"/>
        <v>2</v>
      </c>
      <c r="P46" s="15">
        <f t="shared" si="1"/>
        <v>10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17</v>
      </c>
      <c r="N47" s="50">
        <v>0</v>
      </c>
      <c r="O47" s="15">
        <f t="shared" si="0"/>
        <v>1</v>
      </c>
      <c r="P47" s="15">
        <f t="shared" si="1"/>
        <v>18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18</v>
      </c>
      <c r="N48" s="50">
        <v>0</v>
      </c>
      <c r="O48" s="15">
        <f t="shared" si="0"/>
        <v>1</v>
      </c>
      <c r="P48" s="15">
        <f t="shared" si="1"/>
        <v>19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1</v>
      </c>
      <c r="P49" s="15">
        <f t="shared" si="1"/>
        <v>12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2</v>
      </c>
      <c r="F50" s="50">
        <v>0</v>
      </c>
      <c r="G50" s="50">
        <v>0</v>
      </c>
      <c r="H50" s="50">
        <v>0</v>
      </c>
      <c r="I50" s="50">
        <v>1</v>
      </c>
      <c r="J50" s="50">
        <v>1</v>
      </c>
      <c r="K50" s="50">
        <v>0</v>
      </c>
      <c r="L50" s="50">
        <v>0</v>
      </c>
      <c r="M50" s="50">
        <v>14</v>
      </c>
      <c r="N50" s="50">
        <v>0</v>
      </c>
      <c r="O50" s="15">
        <f t="shared" si="0"/>
        <v>5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3</v>
      </c>
      <c r="F51" s="50">
        <v>0</v>
      </c>
      <c r="G51" s="50">
        <v>0</v>
      </c>
      <c r="H51" s="50">
        <v>0</v>
      </c>
      <c r="I51" s="50">
        <v>1</v>
      </c>
      <c r="J51" s="50">
        <v>0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5</v>
      </c>
      <c r="P51" s="15">
        <f t="shared" si="1"/>
        <v>21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17</v>
      </c>
      <c r="N52" s="50">
        <v>0</v>
      </c>
      <c r="O52" s="15">
        <f t="shared" si="0"/>
        <v>1</v>
      </c>
      <c r="P52" s="15">
        <f t="shared" si="1"/>
        <v>18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15</v>
      </c>
      <c r="N53" s="50">
        <v>0</v>
      </c>
      <c r="O53" s="15">
        <f t="shared" si="0"/>
        <v>1</v>
      </c>
      <c r="P53" s="15">
        <f t="shared" si="1"/>
        <v>16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0</v>
      </c>
      <c r="J54" s="50">
        <v>1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4</v>
      </c>
      <c r="P54" s="15">
        <f t="shared" si="1"/>
        <v>19</v>
      </c>
      <c r="R54" s="8"/>
      <c r="T54"/>
    </row>
    <row r="55" spans="2:20" ht="23.1" customHeight="1" x14ac:dyDescent="0.25">
      <c r="B55" s="23" t="s">
        <v>82</v>
      </c>
      <c r="C55" s="50">
        <v>4</v>
      </c>
      <c r="D55" s="50">
        <v>0</v>
      </c>
      <c r="E55" s="50">
        <v>1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12</v>
      </c>
      <c r="N55" s="50">
        <v>0</v>
      </c>
      <c r="O55" s="15">
        <f t="shared" si="0"/>
        <v>7</v>
      </c>
      <c r="P55" s="15">
        <f t="shared" si="1"/>
        <v>19</v>
      </c>
      <c r="R55" s="8"/>
      <c r="T55"/>
    </row>
    <row r="56" spans="2:20" ht="23.1" customHeight="1" x14ac:dyDescent="0.25">
      <c r="B56" s="23" t="s">
        <v>83</v>
      </c>
      <c r="C56" s="50">
        <v>4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16</v>
      </c>
      <c r="N56" s="50">
        <v>0</v>
      </c>
      <c r="O56" s="15">
        <f t="shared" si="0"/>
        <v>5</v>
      </c>
      <c r="P56" s="15">
        <f t="shared" si="1"/>
        <v>21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18</v>
      </c>
      <c r="N57" s="50">
        <v>0</v>
      </c>
      <c r="O57" s="15">
        <f t="shared" si="0"/>
        <v>3</v>
      </c>
      <c r="P57" s="15">
        <f t="shared" si="1"/>
        <v>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59</v>
      </c>
      <c r="D58" s="16">
        <f t="shared" si="21"/>
        <v>0</v>
      </c>
      <c r="E58" s="16">
        <f t="shared" si="21"/>
        <v>40</v>
      </c>
      <c r="F58" s="16">
        <f t="shared" si="21"/>
        <v>11</v>
      </c>
      <c r="G58" s="16">
        <f t="shared" si="21"/>
        <v>0</v>
      </c>
      <c r="H58" s="16">
        <f t="shared" si="21"/>
        <v>0</v>
      </c>
      <c r="I58" s="16">
        <f t="shared" si="21"/>
        <v>8</v>
      </c>
      <c r="J58" s="16">
        <f t="shared" si="21"/>
        <v>14</v>
      </c>
      <c r="K58" s="16">
        <f t="shared" si="21"/>
        <v>0</v>
      </c>
      <c r="L58" s="16">
        <f t="shared" si="21"/>
        <v>0</v>
      </c>
      <c r="M58" s="16">
        <f t="shared" si="21"/>
        <v>724</v>
      </c>
      <c r="N58" s="16">
        <f t="shared" si="21"/>
        <v>0</v>
      </c>
      <c r="O58" s="16">
        <f t="shared" si="21"/>
        <v>132</v>
      </c>
      <c r="P58" s="16">
        <f t="shared" si="21"/>
        <v>856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6.8925233644859807E-2</v>
      </c>
      <c r="D59" s="43">
        <f t="shared" si="22"/>
        <v>0</v>
      </c>
      <c r="E59" s="43">
        <f t="shared" si="22"/>
        <v>4.6728971962616821E-2</v>
      </c>
      <c r="F59" s="43">
        <f t="shared" si="22"/>
        <v>1.2850467289719626E-2</v>
      </c>
      <c r="G59" s="43">
        <f t="shared" si="22"/>
        <v>0</v>
      </c>
      <c r="H59" s="43">
        <f t="shared" si="22"/>
        <v>0</v>
      </c>
      <c r="I59" s="43">
        <f t="shared" si="22"/>
        <v>9.3457943925233638E-3</v>
      </c>
      <c r="J59" s="43">
        <f t="shared" si="22"/>
        <v>1.6355140186915886E-2</v>
      </c>
      <c r="K59" s="43">
        <f t="shared" si="22"/>
        <v>0</v>
      </c>
      <c r="L59" s="43">
        <f t="shared" si="22"/>
        <v>0</v>
      </c>
      <c r="M59" s="43">
        <f t="shared" si="22"/>
        <v>0.84579439252336452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0.44696969696969696</v>
      </c>
      <c r="D60" s="44">
        <f t="shared" ref="D60:N60" si="23">D58/$O$58</f>
        <v>0</v>
      </c>
      <c r="E60" s="44">
        <f t="shared" si="23"/>
        <v>0.30303030303030304</v>
      </c>
      <c r="F60" s="44">
        <f t="shared" si="23"/>
        <v>8.3333333333333329E-2</v>
      </c>
      <c r="G60" s="44">
        <f t="shared" si="23"/>
        <v>0</v>
      </c>
      <c r="H60" s="44">
        <f t="shared" si="23"/>
        <v>0</v>
      </c>
      <c r="I60" s="44">
        <f t="shared" si="23"/>
        <v>6.0606060606060608E-2</v>
      </c>
      <c r="J60" s="44">
        <f t="shared" si="23"/>
        <v>0.10606060606060606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N10" sqref="N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BUSUNJU-KAMPALA'!C3:G3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'11.08 BUSUNJU-KAMPALA'!D5</f>
        <v>11.08.19</v>
      </c>
      <c r="E5" s="3"/>
      <c r="F5" s="41" t="s">
        <v>1</v>
      </c>
      <c r="G5" s="60" t="str">
        <f>'11.08 BUSUNJU-KAMPALA'!G5:H5</f>
        <v>MATTE</v>
      </c>
      <c r="H5" s="61"/>
      <c r="I5" s="14"/>
      <c r="J5" s="2" t="s">
        <v>5</v>
      </c>
      <c r="K5" s="60" t="str">
        <f>'11.08 BUSUNJU-KAMPALA'!K5:L5</f>
        <v>xxx</v>
      </c>
      <c r="L5" s="61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167</v>
      </c>
      <c r="E6" s="55"/>
      <c r="F6" s="2" t="s">
        <v>2</v>
      </c>
      <c r="G6" s="54" t="s">
        <v>166</v>
      </c>
      <c r="H6" s="55"/>
      <c r="J6" s="2" t="s">
        <v>21</v>
      </c>
      <c r="K6" s="60" t="str">
        <f>'11.08 BUSUNJU-KAMPALA'!K6:L6</f>
        <v>xxx</v>
      </c>
      <c r="L6" s="61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12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0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32</v>
      </c>
      <c r="AD10" s="17">
        <f t="shared" si="2"/>
        <v>0</v>
      </c>
      <c r="AE10" s="31">
        <f t="shared" si="2"/>
        <v>6</v>
      </c>
      <c r="AF10" s="31">
        <f t="shared" si="2"/>
        <v>38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5</v>
      </c>
      <c r="N11" s="50">
        <v>0</v>
      </c>
      <c r="O11" s="15">
        <f t="shared" si="0"/>
        <v>1</v>
      </c>
      <c r="P11" s="15">
        <f t="shared" si="1"/>
        <v>6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1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50</v>
      </c>
      <c r="AD11" s="17">
        <f t="shared" si="3"/>
        <v>0</v>
      </c>
      <c r="AE11" s="31">
        <f t="shared" si="3"/>
        <v>4</v>
      </c>
      <c r="AF11" s="31">
        <f t="shared" si="3"/>
        <v>54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1</v>
      </c>
      <c r="P12" s="15">
        <f t="shared" si="1"/>
        <v>9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0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67</v>
      </c>
      <c r="AD12" s="17">
        <f t="shared" si="4"/>
        <v>0</v>
      </c>
      <c r="AE12" s="31">
        <f t="shared" si="4"/>
        <v>12</v>
      </c>
      <c r="AF12" s="31">
        <f t="shared" si="4"/>
        <v>79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3</v>
      </c>
      <c r="P13" s="15">
        <f t="shared" si="1"/>
        <v>10</v>
      </c>
      <c r="R13" s="1" t="s">
        <v>9</v>
      </c>
      <c r="S13" s="17">
        <f t="shared" ref="S13:AF13" si="5">SUM(C22:C25)</f>
        <v>4</v>
      </c>
      <c r="T13" s="17">
        <f t="shared" si="5"/>
        <v>0</v>
      </c>
      <c r="U13" s="17">
        <f t="shared" si="5"/>
        <v>5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77</v>
      </c>
      <c r="AD13" s="17">
        <f t="shared" si="5"/>
        <v>0</v>
      </c>
      <c r="AE13" s="31">
        <f t="shared" si="5"/>
        <v>15</v>
      </c>
      <c r="AF13" s="31">
        <f t="shared" si="5"/>
        <v>92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0</v>
      </c>
      <c r="P14" s="15">
        <f t="shared" si="1"/>
        <v>10</v>
      </c>
      <c r="R14" s="1" t="s">
        <v>10</v>
      </c>
      <c r="S14" s="17">
        <f t="shared" ref="S14:AF14" si="6">SUM(C26:C29)</f>
        <v>6</v>
      </c>
      <c r="T14" s="17">
        <f t="shared" si="6"/>
        <v>0</v>
      </c>
      <c r="U14" s="17">
        <f t="shared" si="6"/>
        <v>7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70</v>
      </c>
      <c r="AD14" s="17">
        <f t="shared" si="6"/>
        <v>0</v>
      </c>
      <c r="AE14" s="31">
        <f t="shared" si="6"/>
        <v>20</v>
      </c>
      <c r="AF14" s="31">
        <f t="shared" si="6"/>
        <v>90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3</v>
      </c>
      <c r="P15" s="15">
        <f t="shared" si="1"/>
        <v>13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4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67</v>
      </c>
      <c r="AD15" s="17">
        <f t="shared" si="7"/>
        <v>0</v>
      </c>
      <c r="AE15" s="31">
        <f t="shared" si="7"/>
        <v>13</v>
      </c>
      <c r="AF15" s="31">
        <f t="shared" si="7"/>
        <v>80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13</v>
      </c>
      <c r="N16" s="50">
        <v>0</v>
      </c>
      <c r="O16" s="15">
        <f t="shared" si="0"/>
        <v>1</v>
      </c>
      <c r="P16" s="15">
        <f t="shared" si="1"/>
        <v>14</v>
      </c>
      <c r="R16" s="1" t="s">
        <v>12</v>
      </c>
      <c r="S16" s="17">
        <f t="shared" ref="S16:AF16" si="8">SUM(C34:C37)</f>
        <v>6</v>
      </c>
      <c r="T16" s="17">
        <f t="shared" si="8"/>
        <v>0</v>
      </c>
      <c r="U16" s="17">
        <f t="shared" si="8"/>
        <v>7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45</v>
      </c>
      <c r="AD16" s="17">
        <f t="shared" si="8"/>
        <v>0</v>
      </c>
      <c r="AE16" s="31">
        <f t="shared" si="8"/>
        <v>17</v>
      </c>
      <c r="AF16" s="31">
        <f t="shared" si="8"/>
        <v>62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17</v>
      </c>
      <c r="N17" s="50">
        <v>0</v>
      </c>
      <c r="O17" s="15">
        <f t="shared" si="0"/>
        <v>0</v>
      </c>
      <c r="P17" s="15">
        <f t="shared" si="1"/>
        <v>17</v>
      </c>
      <c r="R17" s="1" t="s">
        <v>13</v>
      </c>
      <c r="S17" s="17">
        <f t="shared" ref="S17:AF17" si="9">SUM(C38:C41)</f>
        <v>4</v>
      </c>
      <c r="T17" s="17">
        <f t="shared" si="9"/>
        <v>0</v>
      </c>
      <c r="U17" s="17">
        <f t="shared" si="9"/>
        <v>7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0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57</v>
      </c>
      <c r="AD17" s="17">
        <f t="shared" si="9"/>
        <v>0</v>
      </c>
      <c r="AE17" s="31">
        <f t="shared" si="9"/>
        <v>12</v>
      </c>
      <c r="AF17" s="31">
        <f t="shared" si="9"/>
        <v>69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1</v>
      </c>
      <c r="P18" s="15">
        <f t="shared" si="1"/>
        <v>16</v>
      </c>
      <c r="R18" s="1" t="s">
        <v>14</v>
      </c>
      <c r="S18" s="17">
        <f t="shared" ref="S18:AF18" si="10">SUM(C42:C45)</f>
        <v>4</v>
      </c>
      <c r="T18" s="17">
        <f t="shared" si="10"/>
        <v>0</v>
      </c>
      <c r="U18" s="17">
        <f t="shared" si="10"/>
        <v>4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57</v>
      </c>
      <c r="AD18" s="17">
        <f t="shared" si="10"/>
        <v>0</v>
      </c>
      <c r="AE18" s="31">
        <f t="shared" si="10"/>
        <v>13</v>
      </c>
      <c r="AF18" s="31">
        <f t="shared" si="10"/>
        <v>70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16</v>
      </c>
      <c r="N19" s="50">
        <v>0</v>
      </c>
      <c r="O19" s="15">
        <f t="shared" si="0"/>
        <v>1</v>
      </c>
      <c r="P19" s="15">
        <f t="shared" si="1"/>
        <v>17</v>
      </c>
      <c r="R19" s="1" t="s">
        <v>15</v>
      </c>
      <c r="S19" s="17">
        <f t="shared" ref="S19:AF19" si="11">SUM(C46:C49)</f>
        <v>7</v>
      </c>
      <c r="T19" s="17">
        <f t="shared" si="11"/>
        <v>0</v>
      </c>
      <c r="U19" s="17">
        <f t="shared" si="11"/>
        <v>5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2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56</v>
      </c>
      <c r="AD19" s="17">
        <f t="shared" si="11"/>
        <v>0</v>
      </c>
      <c r="AE19" s="31">
        <f t="shared" si="11"/>
        <v>15</v>
      </c>
      <c r="AF19" s="31">
        <f t="shared" si="11"/>
        <v>71</v>
      </c>
    </row>
    <row r="20" spans="2:32" ht="23.1" customHeight="1" x14ac:dyDescent="0.25">
      <c r="B20" s="23" t="s">
        <v>47</v>
      </c>
      <c r="C20" s="50">
        <v>2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3</v>
      </c>
      <c r="J20" s="50">
        <v>0</v>
      </c>
      <c r="K20" s="50">
        <v>0</v>
      </c>
      <c r="L20" s="50">
        <v>0</v>
      </c>
      <c r="M20" s="50">
        <v>18</v>
      </c>
      <c r="N20" s="50">
        <v>0</v>
      </c>
      <c r="O20" s="15">
        <f t="shared" si="0"/>
        <v>6</v>
      </c>
      <c r="P20" s="15">
        <f t="shared" si="1"/>
        <v>24</v>
      </c>
      <c r="R20" s="1" t="s">
        <v>16</v>
      </c>
      <c r="S20" s="17">
        <f t="shared" ref="S20:AF20" si="12">SUM(C50:C53)</f>
        <v>4</v>
      </c>
      <c r="T20" s="17">
        <f t="shared" si="12"/>
        <v>0</v>
      </c>
      <c r="U20" s="17">
        <f t="shared" si="12"/>
        <v>3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0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66</v>
      </c>
      <c r="AD20" s="17">
        <f t="shared" si="12"/>
        <v>0</v>
      </c>
      <c r="AE20" s="31">
        <f t="shared" si="12"/>
        <v>8</v>
      </c>
      <c r="AF20" s="31">
        <f t="shared" si="12"/>
        <v>74</v>
      </c>
    </row>
    <row r="21" spans="2:32" ht="23.1" customHeight="1" x14ac:dyDescent="0.25">
      <c r="B21" s="23" t="s">
        <v>48</v>
      </c>
      <c r="C21" s="50">
        <v>2</v>
      </c>
      <c r="D21" s="50">
        <v>0</v>
      </c>
      <c r="E21" s="50">
        <v>0</v>
      </c>
      <c r="F21" s="50">
        <v>1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18</v>
      </c>
      <c r="N21" s="50">
        <v>0</v>
      </c>
      <c r="O21" s="15">
        <f t="shared" si="0"/>
        <v>4</v>
      </c>
      <c r="P21" s="15">
        <f t="shared" si="1"/>
        <v>22</v>
      </c>
      <c r="R21" s="36" t="s">
        <v>20</v>
      </c>
      <c r="S21" s="34">
        <f t="shared" ref="S21:AF21" si="13">SUM(C54:C57)</f>
        <v>11</v>
      </c>
      <c r="T21" s="17">
        <f t="shared" si="13"/>
        <v>0</v>
      </c>
      <c r="U21" s="17">
        <f t="shared" si="13"/>
        <v>4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66</v>
      </c>
      <c r="AD21" s="17">
        <f t="shared" si="13"/>
        <v>0</v>
      </c>
      <c r="AE21" s="31">
        <f t="shared" si="13"/>
        <v>18</v>
      </c>
      <c r="AF21" s="31">
        <f t="shared" si="13"/>
        <v>84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22</v>
      </c>
      <c r="N22" s="50">
        <v>0</v>
      </c>
      <c r="O22" s="15">
        <f t="shared" si="0"/>
        <v>3</v>
      </c>
      <c r="P22" s="15">
        <f t="shared" si="1"/>
        <v>25</v>
      </c>
      <c r="R22" s="38" t="s">
        <v>90</v>
      </c>
      <c r="S22" s="39">
        <f>MAX(S10:S12)</f>
        <v>6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67</v>
      </c>
      <c r="AD22" s="39">
        <f t="shared" si="14"/>
        <v>0</v>
      </c>
      <c r="AE22" s="40">
        <f t="shared" si="14"/>
        <v>12</v>
      </c>
      <c r="AF22" s="40">
        <f t="shared" si="14"/>
        <v>79</v>
      </c>
    </row>
    <row r="23" spans="2:32" ht="23.1" customHeight="1" x14ac:dyDescent="0.25">
      <c r="B23" s="23" t="s">
        <v>50</v>
      </c>
      <c r="C23" s="50">
        <v>2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20</v>
      </c>
      <c r="N23" s="50">
        <v>0</v>
      </c>
      <c r="O23" s="15">
        <f t="shared" si="0"/>
        <v>4</v>
      </c>
      <c r="P23" s="15">
        <f t="shared" si="1"/>
        <v>24</v>
      </c>
      <c r="R23" s="38" t="s">
        <v>91</v>
      </c>
      <c r="S23" s="39">
        <f>MAX(S13:S18)</f>
        <v>6</v>
      </c>
      <c r="T23" s="39">
        <f t="shared" ref="T23:AF23" si="15">MAX(T13:T18)</f>
        <v>0</v>
      </c>
      <c r="U23" s="39">
        <f t="shared" si="15"/>
        <v>7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6</v>
      </c>
      <c r="Z23" s="39">
        <f t="shared" si="15"/>
        <v>0</v>
      </c>
      <c r="AA23" s="39">
        <f t="shared" si="15"/>
        <v>0</v>
      </c>
      <c r="AB23" s="39">
        <f t="shared" si="15"/>
        <v>0</v>
      </c>
      <c r="AC23" s="39">
        <f t="shared" si="15"/>
        <v>77</v>
      </c>
      <c r="AD23" s="39">
        <f t="shared" si="15"/>
        <v>0</v>
      </c>
      <c r="AE23" s="40">
        <f t="shared" si="15"/>
        <v>20</v>
      </c>
      <c r="AF23" s="40">
        <f t="shared" si="15"/>
        <v>92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3</v>
      </c>
      <c r="J24" s="50">
        <v>0</v>
      </c>
      <c r="K24" s="50">
        <v>0</v>
      </c>
      <c r="L24" s="50">
        <v>0</v>
      </c>
      <c r="M24" s="50">
        <v>19</v>
      </c>
      <c r="N24" s="50">
        <v>0</v>
      </c>
      <c r="O24" s="15">
        <f t="shared" si="0"/>
        <v>4</v>
      </c>
      <c r="P24" s="15">
        <f t="shared" si="1"/>
        <v>23</v>
      </c>
      <c r="R24" s="38" t="s">
        <v>92</v>
      </c>
      <c r="S24" s="39">
        <f>MAX(S19:S21)</f>
        <v>11</v>
      </c>
      <c r="T24" s="39">
        <f t="shared" ref="T24:AF24" si="16">MAX(T19:T21)</f>
        <v>0</v>
      </c>
      <c r="U24" s="39">
        <f t="shared" si="16"/>
        <v>5</v>
      </c>
      <c r="V24" s="39">
        <f t="shared" si="16"/>
        <v>1</v>
      </c>
      <c r="W24" s="39">
        <f t="shared" si="16"/>
        <v>0</v>
      </c>
      <c r="X24" s="39">
        <f t="shared" si="16"/>
        <v>0</v>
      </c>
      <c r="Y24" s="39">
        <f t="shared" si="16"/>
        <v>2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66</v>
      </c>
      <c r="AD24" s="39">
        <f t="shared" si="16"/>
        <v>0</v>
      </c>
      <c r="AE24" s="40">
        <f t="shared" si="16"/>
        <v>18</v>
      </c>
      <c r="AF24" s="40">
        <f t="shared" si="16"/>
        <v>84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3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16</v>
      </c>
      <c r="N25" s="50">
        <v>0</v>
      </c>
      <c r="O25" s="15">
        <f t="shared" si="0"/>
        <v>4</v>
      </c>
      <c r="P25" s="15">
        <f t="shared" si="1"/>
        <v>20</v>
      </c>
      <c r="R25" s="37" t="s">
        <v>85</v>
      </c>
      <c r="S25" s="35">
        <f t="shared" ref="S25:AF25" si="17">SUM(S10:S12)</f>
        <v>10</v>
      </c>
      <c r="T25" s="16">
        <f t="shared" si="17"/>
        <v>0</v>
      </c>
      <c r="U25" s="16">
        <f t="shared" si="17"/>
        <v>1</v>
      </c>
      <c r="V25" s="16">
        <f t="shared" si="17"/>
        <v>4</v>
      </c>
      <c r="W25" s="16">
        <f t="shared" si="17"/>
        <v>0</v>
      </c>
      <c r="X25" s="16">
        <f t="shared" si="17"/>
        <v>0</v>
      </c>
      <c r="Y25" s="16">
        <f t="shared" si="17"/>
        <v>7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149</v>
      </c>
      <c r="AD25" s="16">
        <f t="shared" si="17"/>
        <v>0</v>
      </c>
      <c r="AE25" s="32">
        <f t="shared" si="17"/>
        <v>22</v>
      </c>
      <c r="AF25" s="32">
        <f t="shared" si="17"/>
        <v>171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2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17</v>
      </c>
      <c r="N26" s="50">
        <v>0</v>
      </c>
      <c r="O26" s="15">
        <f t="shared" si="0"/>
        <v>2</v>
      </c>
      <c r="P26" s="15">
        <f t="shared" si="1"/>
        <v>19</v>
      </c>
      <c r="R26" s="28" t="s">
        <v>86</v>
      </c>
      <c r="S26" s="16">
        <f t="shared" ref="S26:AF26" si="18">SUM(S13:S18)</f>
        <v>28</v>
      </c>
      <c r="T26" s="16">
        <f t="shared" si="18"/>
        <v>0</v>
      </c>
      <c r="U26" s="16">
        <f t="shared" si="18"/>
        <v>34</v>
      </c>
      <c r="V26" s="16">
        <f t="shared" si="18"/>
        <v>6</v>
      </c>
      <c r="W26" s="16">
        <f t="shared" si="18"/>
        <v>0</v>
      </c>
      <c r="X26" s="16">
        <f t="shared" si="18"/>
        <v>0</v>
      </c>
      <c r="Y26" s="16">
        <f t="shared" si="18"/>
        <v>22</v>
      </c>
      <c r="Z26" s="16">
        <f t="shared" si="18"/>
        <v>0</v>
      </c>
      <c r="AA26" s="16">
        <f t="shared" si="18"/>
        <v>0</v>
      </c>
      <c r="AB26" s="16">
        <f t="shared" si="18"/>
        <v>0</v>
      </c>
      <c r="AC26" s="16">
        <f t="shared" si="18"/>
        <v>373</v>
      </c>
      <c r="AD26" s="16">
        <f t="shared" si="18"/>
        <v>0</v>
      </c>
      <c r="AE26" s="32">
        <f t="shared" si="18"/>
        <v>90</v>
      </c>
      <c r="AF26" s="32">
        <f t="shared" si="18"/>
        <v>463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3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21</v>
      </c>
      <c r="N27" s="50">
        <v>0</v>
      </c>
      <c r="O27" s="15">
        <f t="shared" si="0"/>
        <v>6</v>
      </c>
      <c r="P27" s="15">
        <f t="shared" si="1"/>
        <v>27</v>
      </c>
      <c r="R27" s="29" t="s">
        <v>87</v>
      </c>
      <c r="S27" s="16">
        <f t="shared" ref="S27:AF27" si="19">SUM(S19:S21)</f>
        <v>22</v>
      </c>
      <c r="T27" s="16">
        <f t="shared" si="19"/>
        <v>0</v>
      </c>
      <c r="U27" s="16">
        <f t="shared" si="19"/>
        <v>12</v>
      </c>
      <c r="V27" s="16">
        <f t="shared" si="19"/>
        <v>3</v>
      </c>
      <c r="W27" s="16">
        <f t="shared" si="19"/>
        <v>0</v>
      </c>
      <c r="X27" s="16">
        <f t="shared" si="19"/>
        <v>0</v>
      </c>
      <c r="Y27" s="16">
        <f t="shared" si="19"/>
        <v>4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188</v>
      </c>
      <c r="AD27" s="16">
        <f t="shared" si="19"/>
        <v>0</v>
      </c>
      <c r="AE27" s="32">
        <f t="shared" si="19"/>
        <v>41</v>
      </c>
      <c r="AF27" s="32">
        <f t="shared" si="19"/>
        <v>229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3</v>
      </c>
      <c r="J28" s="50">
        <v>0</v>
      </c>
      <c r="K28" s="50">
        <v>0</v>
      </c>
      <c r="L28" s="50">
        <v>0</v>
      </c>
      <c r="M28" s="50">
        <v>17</v>
      </c>
      <c r="N28" s="50">
        <v>0</v>
      </c>
      <c r="O28" s="15">
        <f t="shared" si="0"/>
        <v>6</v>
      </c>
      <c r="P28" s="15">
        <f t="shared" si="1"/>
        <v>23</v>
      </c>
      <c r="R28" s="5" t="s">
        <v>17</v>
      </c>
      <c r="S28" s="16">
        <f t="shared" ref="S28:AF28" si="20">SUM(S10:S21)</f>
        <v>60</v>
      </c>
      <c r="T28" s="16">
        <f t="shared" si="20"/>
        <v>0</v>
      </c>
      <c r="U28" s="16">
        <f t="shared" si="20"/>
        <v>47</v>
      </c>
      <c r="V28" s="16">
        <f t="shared" si="20"/>
        <v>13</v>
      </c>
      <c r="W28" s="16">
        <f t="shared" si="20"/>
        <v>0</v>
      </c>
      <c r="X28" s="16">
        <f t="shared" si="20"/>
        <v>0</v>
      </c>
      <c r="Y28" s="16">
        <f t="shared" si="20"/>
        <v>33</v>
      </c>
      <c r="Z28" s="16">
        <f t="shared" si="20"/>
        <v>0</v>
      </c>
      <c r="AA28" s="16">
        <f t="shared" si="20"/>
        <v>0</v>
      </c>
      <c r="AB28" s="16">
        <f t="shared" si="20"/>
        <v>0</v>
      </c>
      <c r="AC28" s="16">
        <f t="shared" si="20"/>
        <v>710</v>
      </c>
      <c r="AD28" s="16">
        <f t="shared" si="20"/>
        <v>0</v>
      </c>
      <c r="AE28" s="32">
        <f t="shared" si="20"/>
        <v>153</v>
      </c>
      <c r="AF28" s="32">
        <f t="shared" si="20"/>
        <v>863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3</v>
      </c>
      <c r="F29" s="50">
        <v>1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6</v>
      </c>
      <c r="P29" s="15">
        <f t="shared" si="1"/>
        <v>21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2</v>
      </c>
      <c r="P30" s="15">
        <f t="shared" si="1"/>
        <v>21</v>
      </c>
    </row>
    <row r="31" spans="2:32" ht="23.1" customHeight="1" x14ac:dyDescent="0.25">
      <c r="B31" s="24" t="s">
        <v>58</v>
      </c>
      <c r="C31" s="50">
        <v>2</v>
      </c>
      <c r="D31" s="50">
        <v>0</v>
      </c>
      <c r="E31" s="50">
        <v>1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15</v>
      </c>
      <c r="N31" s="50">
        <v>0</v>
      </c>
      <c r="O31" s="15">
        <f t="shared" si="0"/>
        <v>5</v>
      </c>
      <c r="P31" s="15">
        <f t="shared" si="1"/>
        <v>20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1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3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17</v>
      </c>
      <c r="N33" s="50">
        <v>0</v>
      </c>
      <c r="O33" s="15">
        <f t="shared" si="0"/>
        <v>5</v>
      </c>
      <c r="P33" s="15">
        <f t="shared" si="1"/>
        <v>22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19</v>
      </c>
      <c r="N34" s="50">
        <v>0</v>
      </c>
      <c r="O34" s="15">
        <f t="shared" si="0"/>
        <v>6</v>
      </c>
      <c r="P34" s="15">
        <f t="shared" si="1"/>
        <v>25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3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4</v>
      </c>
      <c r="P35" s="15">
        <f t="shared" si="1"/>
        <v>19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</v>
      </c>
      <c r="N36" s="50">
        <v>0</v>
      </c>
      <c r="O36" s="15">
        <f t="shared" si="0"/>
        <v>2</v>
      </c>
      <c r="P36" s="15">
        <f t="shared" si="1"/>
        <v>3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2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5</v>
      </c>
      <c r="P37" s="15">
        <f t="shared" si="1"/>
        <v>15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20</v>
      </c>
      <c r="N38" s="50">
        <v>0</v>
      </c>
      <c r="O38" s="15">
        <f t="shared" si="0"/>
        <v>3</v>
      </c>
      <c r="P38" s="15">
        <f t="shared" si="1"/>
        <v>23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3</v>
      </c>
      <c r="F39" s="50">
        <v>0</v>
      </c>
      <c r="G39" s="50">
        <v>0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11</v>
      </c>
      <c r="N39" s="50">
        <v>0</v>
      </c>
      <c r="O39" s="15">
        <f t="shared" si="0"/>
        <v>3</v>
      </c>
      <c r="P39" s="15">
        <f t="shared" si="1"/>
        <v>14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2</v>
      </c>
      <c r="F40" s="50">
        <v>1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9</v>
      </c>
      <c r="N40" s="50">
        <v>0</v>
      </c>
      <c r="O40" s="15">
        <f t="shared" si="0"/>
        <v>4</v>
      </c>
      <c r="P40" s="15">
        <f t="shared" si="1"/>
        <v>13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17</v>
      </c>
      <c r="N41" s="50">
        <v>0</v>
      </c>
      <c r="O41" s="15">
        <f t="shared" si="0"/>
        <v>2</v>
      </c>
      <c r="P41" s="15">
        <f t="shared" si="1"/>
        <v>19</v>
      </c>
    </row>
    <row r="42" spans="2:20" ht="23.1" customHeight="1" x14ac:dyDescent="0.25">
      <c r="B42" s="24" t="s">
        <v>69</v>
      </c>
      <c r="C42" s="50">
        <v>1</v>
      </c>
      <c r="D42" s="50">
        <v>0</v>
      </c>
      <c r="E42" s="50">
        <v>3</v>
      </c>
      <c r="F42" s="50">
        <v>1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16</v>
      </c>
      <c r="N42" s="50">
        <v>0</v>
      </c>
      <c r="O42" s="15">
        <f t="shared" si="0"/>
        <v>7</v>
      </c>
      <c r="P42" s="15">
        <f t="shared" si="1"/>
        <v>23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14</v>
      </c>
      <c r="N43" s="50">
        <v>0</v>
      </c>
      <c r="O43" s="15">
        <f t="shared" si="0"/>
        <v>3</v>
      </c>
      <c r="P43" s="15">
        <f t="shared" si="1"/>
        <v>17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2</v>
      </c>
      <c r="J44" s="50">
        <v>0</v>
      </c>
      <c r="K44" s="50">
        <v>0</v>
      </c>
      <c r="L44" s="50">
        <v>0</v>
      </c>
      <c r="M44" s="50">
        <v>12</v>
      </c>
      <c r="N44" s="50">
        <v>0</v>
      </c>
      <c r="O44" s="15">
        <f t="shared" si="0"/>
        <v>3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0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2</v>
      </c>
      <c r="P46" s="15">
        <f t="shared" si="1"/>
        <v>11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4</v>
      </c>
      <c r="P47" s="15">
        <f t="shared" si="1"/>
        <v>20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1</v>
      </c>
      <c r="F48" s="50">
        <v>1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19</v>
      </c>
      <c r="N48" s="50">
        <v>0</v>
      </c>
      <c r="O48" s="15">
        <f t="shared" si="0"/>
        <v>5</v>
      </c>
      <c r="P48" s="15">
        <f t="shared" si="1"/>
        <v>24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12</v>
      </c>
      <c r="N49" s="50">
        <v>0</v>
      </c>
      <c r="O49" s="15">
        <f t="shared" si="0"/>
        <v>4</v>
      </c>
      <c r="P49" s="15">
        <f t="shared" si="1"/>
        <v>16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13</v>
      </c>
      <c r="N50" s="50">
        <v>0</v>
      </c>
      <c r="O50" s="15">
        <f t="shared" si="0"/>
        <v>0</v>
      </c>
      <c r="P50" s="15">
        <f t="shared" si="1"/>
        <v>13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16</v>
      </c>
      <c r="N51" s="50">
        <v>0</v>
      </c>
      <c r="O51" s="15">
        <f t="shared" si="0"/>
        <v>3</v>
      </c>
      <c r="P51" s="15">
        <f t="shared" si="1"/>
        <v>19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24</v>
      </c>
      <c r="N52" s="50">
        <v>0</v>
      </c>
      <c r="O52" s="15">
        <f t="shared" si="0"/>
        <v>3</v>
      </c>
      <c r="P52" s="15">
        <f t="shared" si="1"/>
        <v>27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1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2</v>
      </c>
      <c r="P53" s="15">
        <f t="shared" si="1"/>
        <v>15</v>
      </c>
      <c r="R53" s="8"/>
      <c r="T53"/>
    </row>
    <row r="54" spans="2:20" ht="23.1" customHeight="1" x14ac:dyDescent="0.25">
      <c r="B54" s="23" t="s">
        <v>81</v>
      </c>
      <c r="C54" s="50">
        <v>3</v>
      </c>
      <c r="D54" s="50">
        <v>0</v>
      </c>
      <c r="E54" s="50">
        <v>2</v>
      </c>
      <c r="F54" s="50">
        <v>1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21</v>
      </c>
      <c r="N54" s="50">
        <v>0</v>
      </c>
      <c r="O54" s="15">
        <f t="shared" si="0"/>
        <v>8</v>
      </c>
      <c r="P54" s="15">
        <f t="shared" si="1"/>
        <v>29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2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17</v>
      </c>
      <c r="N55" s="50">
        <v>0</v>
      </c>
      <c r="O55" s="15">
        <f t="shared" si="0"/>
        <v>4</v>
      </c>
      <c r="P55" s="15">
        <f t="shared" si="1"/>
        <v>21</v>
      </c>
      <c r="R55" s="8"/>
      <c r="T55"/>
    </row>
    <row r="56" spans="2:20" ht="23.1" customHeight="1" x14ac:dyDescent="0.25">
      <c r="B56" s="23" t="s">
        <v>83</v>
      </c>
      <c r="C56" s="50">
        <v>2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11</v>
      </c>
      <c r="N56" s="50">
        <v>0</v>
      </c>
      <c r="O56" s="15">
        <f t="shared" si="0"/>
        <v>2</v>
      </c>
      <c r="P56" s="15">
        <f t="shared" si="1"/>
        <v>13</v>
      </c>
      <c r="R56" s="8"/>
      <c r="T56"/>
    </row>
    <row r="57" spans="2:20" ht="23.1" customHeight="1" x14ac:dyDescent="0.25">
      <c r="B57" s="23" t="s">
        <v>84</v>
      </c>
      <c r="C57" s="50">
        <v>4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17</v>
      </c>
      <c r="N57" s="50">
        <v>0</v>
      </c>
      <c r="O57" s="15">
        <f t="shared" si="0"/>
        <v>4</v>
      </c>
      <c r="P57" s="15">
        <f t="shared" si="1"/>
        <v>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60</v>
      </c>
      <c r="D58" s="16">
        <f t="shared" si="21"/>
        <v>0</v>
      </c>
      <c r="E58" s="16">
        <f t="shared" si="21"/>
        <v>47</v>
      </c>
      <c r="F58" s="16">
        <f t="shared" si="21"/>
        <v>13</v>
      </c>
      <c r="G58" s="16">
        <f t="shared" si="21"/>
        <v>0</v>
      </c>
      <c r="H58" s="16">
        <f t="shared" si="21"/>
        <v>0</v>
      </c>
      <c r="I58" s="16">
        <f t="shared" si="21"/>
        <v>33</v>
      </c>
      <c r="J58" s="16">
        <f t="shared" si="21"/>
        <v>0</v>
      </c>
      <c r="K58" s="16">
        <f t="shared" si="21"/>
        <v>0</v>
      </c>
      <c r="L58" s="16">
        <f t="shared" si="21"/>
        <v>0</v>
      </c>
      <c r="M58" s="16">
        <f t="shared" si="21"/>
        <v>710</v>
      </c>
      <c r="N58" s="16">
        <f t="shared" si="21"/>
        <v>0</v>
      </c>
      <c r="O58" s="16">
        <f t="shared" si="21"/>
        <v>153</v>
      </c>
      <c r="P58" s="16">
        <f t="shared" si="21"/>
        <v>863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6.9524913093858637E-2</v>
      </c>
      <c r="D59" s="43">
        <f t="shared" si="22"/>
        <v>0</v>
      </c>
      <c r="E59" s="43">
        <f t="shared" si="22"/>
        <v>5.4461181923522596E-2</v>
      </c>
      <c r="F59" s="43">
        <f t="shared" si="22"/>
        <v>1.5063731170336037E-2</v>
      </c>
      <c r="G59" s="43">
        <f t="shared" si="22"/>
        <v>0</v>
      </c>
      <c r="H59" s="43">
        <f t="shared" si="22"/>
        <v>0</v>
      </c>
      <c r="I59" s="43">
        <f t="shared" si="22"/>
        <v>3.8238702201622246E-2</v>
      </c>
      <c r="J59" s="43">
        <f t="shared" si="22"/>
        <v>0</v>
      </c>
      <c r="K59" s="43">
        <f t="shared" si="22"/>
        <v>0</v>
      </c>
      <c r="L59" s="43">
        <f t="shared" si="22"/>
        <v>0</v>
      </c>
      <c r="M59" s="43">
        <f t="shared" si="22"/>
        <v>0.82271147161066049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0.39215686274509803</v>
      </c>
      <c r="D60" s="44">
        <f t="shared" ref="D60:N60" si="23">D58/$O$58</f>
        <v>0</v>
      </c>
      <c r="E60" s="44">
        <f t="shared" si="23"/>
        <v>0.30718954248366015</v>
      </c>
      <c r="F60" s="44">
        <f t="shared" si="23"/>
        <v>8.4967320261437912E-2</v>
      </c>
      <c r="G60" s="44">
        <f t="shared" si="23"/>
        <v>0</v>
      </c>
      <c r="H60" s="44">
        <f t="shared" si="23"/>
        <v>0</v>
      </c>
      <c r="I60" s="44">
        <f t="shared" si="23"/>
        <v>0.21568627450980393</v>
      </c>
      <c r="J60" s="44">
        <f t="shared" si="23"/>
        <v>0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" zoomScale="60" workbookViewId="0">
      <selection activeCell="N10" sqref="N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BUSUNJU-KAMPALA'!C3:G3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168</v>
      </c>
      <c r="E5" s="3"/>
      <c r="F5" s="41" t="s">
        <v>1</v>
      </c>
      <c r="G5" s="63" t="str">
        <f>'11.08 BUSUNJU-KAMPALA'!G5:H5</f>
        <v>MATTE</v>
      </c>
      <c r="H5" s="64"/>
      <c r="I5" s="14"/>
      <c r="J5" s="2" t="s">
        <v>5</v>
      </c>
      <c r="K5" s="63" t="str">
        <f>'11.08 BUSUNJU-KAMPALA'!K5:L5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BUSUNJU-KAMPALA'!D6:E6</f>
        <v>BUSUNJU</v>
      </c>
      <c r="E6" s="64"/>
      <c r="F6" s="2" t="s">
        <v>2</v>
      </c>
      <c r="G6" s="63" t="str">
        <f>'11.08 BUSUNJU-KAMPALA'!G6:H6</f>
        <v>KAMPALA</v>
      </c>
      <c r="H6" s="64"/>
      <c r="J6" s="2" t="s">
        <v>21</v>
      </c>
      <c r="K6" s="63" t="str">
        <f>'11.08 BUSUNJU-KAMPALA'!K6:L6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4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12</v>
      </c>
      <c r="R10" s="1" t="s">
        <v>6</v>
      </c>
      <c r="S10" s="17">
        <f t="shared" ref="S10:AF10" si="2">SUM(C10:C13)</f>
        <v>7</v>
      </c>
      <c r="T10" s="17">
        <f t="shared" si="2"/>
        <v>0</v>
      </c>
      <c r="U10" s="17">
        <f t="shared" si="2"/>
        <v>1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46</v>
      </c>
      <c r="AD10" s="17">
        <f t="shared" si="2"/>
        <v>0</v>
      </c>
      <c r="AE10" s="31">
        <f t="shared" si="2"/>
        <v>11</v>
      </c>
      <c r="AF10" s="31">
        <f t="shared" si="2"/>
        <v>57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2</v>
      </c>
      <c r="P11" s="15">
        <f t="shared" si="1"/>
        <v>11</v>
      </c>
      <c r="R11" s="1" t="s">
        <v>7</v>
      </c>
      <c r="S11" s="17">
        <f t="shared" ref="S11:AF11" si="3">SUM(C14:C17)</f>
        <v>3</v>
      </c>
      <c r="T11" s="17">
        <f t="shared" si="3"/>
        <v>0</v>
      </c>
      <c r="U11" s="17">
        <f t="shared" si="3"/>
        <v>3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66</v>
      </c>
      <c r="AD11" s="17">
        <f t="shared" si="3"/>
        <v>0</v>
      </c>
      <c r="AE11" s="31">
        <f t="shared" si="3"/>
        <v>11</v>
      </c>
      <c r="AF11" s="31">
        <f t="shared" si="3"/>
        <v>77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15</v>
      </c>
      <c r="N12" s="50">
        <v>0</v>
      </c>
      <c r="O12" s="15">
        <f t="shared" si="0"/>
        <v>1</v>
      </c>
      <c r="P12" s="15">
        <f t="shared" si="1"/>
        <v>16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3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50</v>
      </c>
      <c r="AD12" s="17">
        <f t="shared" si="4"/>
        <v>0</v>
      </c>
      <c r="AE12" s="31">
        <f t="shared" si="4"/>
        <v>5</v>
      </c>
      <c r="AF12" s="31">
        <f t="shared" si="4"/>
        <v>55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14</v>
      </c>
      <c r="N13" s="50">
        <v>0</v>
      </c>
      <c r="O13" s="15">
        <f t="shared" si="0"/>
        <v>4</v>
      </c>
      <c r="P13" s="15">
        <f t="shared" si="1"/>
        <v>18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5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62</v>
      </c>
      <c r="AD13" s="17">
        <f t="shared" si="5"/>
        <v>0</v>
      </c>
      <c r="AE13" s="31">
        <f t="shared" si="5"/>
        <v>13</v>
      </c>
      <c r="AF13" s="31">
        <f t="shared" si="5"/>
        <v>75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17</v>
      </c>
      <c r="N14" s="50">
        <v>0</v>
      </c>
      <c r="O14" s="15">
        <f t="shared" si="0"/>
        <v>1</v>
      </c>
      <c r="P14" s="15">
        <f t="shared" si="1"/>
        <v>18</v>
      </c>
      <c r="R14" s="1" t="s">
        <v>10</v>
      </c>
      <c r="S14" s="17">
        <f t="shared" ref="S14:AF14" si="6">SUM(C26:C29)</f>
        <v>3</v>
      </c>
      <c r="T14" s="17">
        <f t="shared" si="6"/>
        <v>0</v>
      </c>
      <c r="U14" s="17">
        <f t="shared" si="6"/>
        <v>4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47</v>
      </c>
      <c r="AD14" s="17">
        <f t="shared" si="6"/>
        <v>0</v>
      </c>
      <c r="AE14" s="31">
        <f t="shared" si="6"/>
        <v>13</v>
      </c>
      <c r="AF14" s="31">
        <f t="shared" si="6"/>
        <v>60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15</v>
      </c>
      <c r="N15" s="50">
        <v>0</v>
      </c>
      <c r="O15" s="15">
        <f t="shared" si="0"/>
        <v>2</v>
      </c>
      <c r="P15" s="15">
        <f t="shared" si="1"/>
        <v>17</v>
      </c>
      <c r="R15" s="1" t="s">
        <v>11</v>
      </c>
      <c r="S15" s="17">
        <f t="shared" ref="S15:AF15" si="7">SUM(C30:C33)</f>
        <v>5</v>
      </c>
      <c r="T15" s="17">
        <f t="shared" si="7"/>
        <v>0</v>
      </c>
      <c r="U15" s="17">
        <f t="shared" si="7"/>
        <v>1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2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60</v>
      </c>
      <c r="AD15" s="17">
        <f t="shared" si="7"/>
        <v>0</v>
      </c>
      <c r="AE15" s="31">
        <f t="shared" si="7"/>
        <v>10</v>
      </c>
      <c r="AF15" s="31">
        <f t="shared" si="7"/>
        <v>70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1</v>
      </c>
      <c r="F16" s="50">
        <v>1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15</v>
      </c>
      <c r="N16" s="50">
        <v>0</v>
      </c>
      <c r="O16" s="15">
        <f t="shared" si="0"/>
        <v>4</v>
      </c>
      <c r="P16" s="15">
        <f t="shared" si="1"/>
        <v>19</v>
      </c>
      <c r="R16" s="1" t="s">
        <v>12</v>
      </c>
      <c r="S16" s="17">
        <f t="shared" ref="S16:AF16" si="8">SUM(C34:C37)</f>
        <v>5</v>
      </c>
      <c r="T16" s="17">
        <f t="shared" si="8"/>
        <v>0</v>
      </c>
      <c r="U16" s="17">
        <f t="shared" si="8"/>
        <v>4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64</v>
      </c>
      <c r="AD16" s="17">
        <f t="shared" si="8"/>
        <v>0</v>
      </c>
      <c r="AE16" s="31">
        <f t="shared" si="8"/>
        <v>16</v>
      </c>
      <c r="AF16" s="31">
        <f t="shared" si="8"/>
        <v>80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0</v>
      </c>
      <c r="F17" s="50">
        <v>1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19</v>
      </c>
      <c r="N17" s="50">
        <v>0</v>
      </c>
      <c r="O17" s="15">
        <f t="shared" si="0"/>
        <v>4</v>
      </c>
      <c r="P17" s="15">
        <f t="shared" si="1"/>
        <v>23</v>
      </c>
      <c r="R17" s="1" t="s">
        <v>13</v>
      </c>
      <c r="S17" s="17">
        <f t="shared" ref="S17:AF17" si="9">SUM(C38:C41)</f>
        <v>6</v>
      </c>
      <c r="T17" s="17">
        <f t="shared" si="9"/>
        <v>0</v>
      </c>
      <c r="U17" s="17">
        <f t="shared" si="9"/>
        <v>1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46</v>
      </c>
      <c r="AD17" s="17">
        <f t="shared" si="9"/>
        <v>0</v>
      </c>
      <c r="AE17" s="31">
        <f t="shared" si="9"/>
        <v>11</v>
      </c>
      <c r="AF17" s="31">
        <f t="shared" si="9"/>
        <v>57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1</v>
      </c>
      <c r="P18" s="15">
        <f t="shared" si="1"/>
        <v>16</v>
      </c>
      <c r="R18" s="1" t="s">
        <v>14</v>
      </c>
      <c r="S18" s="17">
        <f t="shared" ref="S18:AF18" si="10">SUM(C42:C45)</f>
        <v>1</v>
      </c>
      <c r="T18" s="17">
        <f t="shared" si="10"/>
        <v>0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47</v>
      </c>
      <c r="AD18" s="17">
        <f t="shared" si="10"/>
        <v>0</v>
      </c>
      <c r="AE18" s="31">
        <f t="shared" si="10"/>
        <v>9</v>
      </c>
      <c r="AF18" s="31">
        <f t="shared" si="10"/>
        <v>56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12</v>
      </c>
      <c r="N19" s="50">
        <v>0</v>
      </c>
      <c r="O19" s="15">
        <f t="shared" si="0"/>
        <v>1</v>
      </c>
      <c r="P19" s="15">
        <f t="shared" si="1"/>
        <v>13</v>
      </c>
      <c r="R19" s="1" t="s">
        <v>15</v>
      </c>
      <c r="S19" s="17">
        <f t="shared" ref="S19:AF19" si="11">SUM(C46:C49)</f>
        <v>5</v>
      </c>
      <c r="T19" s="17">
        <f t="shared" si="11"/>
        <v>0</v>
      </c>
      <c r="U19" s="17">
        <f t="shared" si="11"/>
        <v>4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53</v>
      </c>
      <c r="AD19" s="17">
        <f t="shared" si="11"/>
        <v>0</v>
      </c>
      <c r="AE19" s="31">
        <f t="shared" si="11"/>
        <v>16</v>
      </c>
      <c r="AF19" s="31">
        <f t="shared" si="11"/>
        <v>69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3</v>
      </c>
      <c r="P20" s="15">
        <f t="shared" si="1"/>
        <v>13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6</v>
      </c>
      <c r="V20" s="17">
        <f t="shared" si="12"/>
        <v>3</v>
      </c>
      <c r="W20" s="17">
        <f t="shared" si="12"/>
        <v>0</v>
      </c>
      <c r="X20" s="17">
        <f t="shared" si="12"/>
        <v>0</v>
      </c>
      <c r="Y20" s="17">
        <f t="shared" si="12"/>
        <v>8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49</v>
      </c>
      <c r="AD20" s="17">
        <f t="shared" si="12"/>
        <v>0</v>
      </c>
      <c r="AE20" s="31">
        <f t="shared" si="12"/>
        <v>20</v>
      </c>
      <c r="AF20" s="31">
        <f t="shared" si="12"/>
        <v>69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13</v>
      </c>
      <c r="N21" s="50">
        <v>0</v>
      </c>
      <c r="O21" s="15">
        <f t="shared" si="0"/>
        <v>0</v>
      </c>
      <c r="P21" s="15">
        <f t="shared" si="1"/>
        <v>13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4</v>
      </c>
      <c r="V21" s="17">
        <f t="shared" si="13"/>
        <v>1</v>
      </c>
      <c r="W21" s="17">
        <f t="shared" si="13"/>
        <v>1</v>
      </c>
      <c r="X21" s="17">
        <f t="shared" si="13"/>
        <v>0</v>
      </c>
      <c r="Y21" s="17">
        <f t="shared" si="13"/>
        <v>1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38</v>
      </c>
      <c r="AD21" s="17">
        <f t="shared" si="13"/>
        <v>0</v>
      </c>
      <c r="AE21" s="31">
        <f t="shared" si="13"/>
        <v>7</v>
      </c>
      <c r="AF21" s="31">
        <f t="shared" si="13"/>
        <v>45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1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2</v>
      </c>
      <c r="P22" s="15">
        <f t="shared" si="1"/>
        <v>15</v>
      </c>
      <c r="R22" s="38" t="s">
        <v>90</v>
      </c>
      <c r="S22" s="39">
        <f>MAX(S10:S12)</f>
        <v>7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66</v>
      </c>
      <c r="AD22" s="39">
        <f t="shared" si="14"/>
        <v>0</v>
      </c>
      <c r="AE22" s="40">
        <f t="shared" si="14"/>
        <v>11</v>
      </c>
      <c r="AF22" s="40">
        <f t="shared" si="14"/>
        <v>77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3</v>
      </c>
      <c r="F23" s="50">
        <v>0</v>
      </c>
      <c r="G23" s="50">
        <v>0</v>
      </c>
      <c r="H23" s="50">
        <v>0</v>
      </c>
      <c r="I23" s="50">
        <v>2</v>
      </c>
      <c r="J23" s="50">
        <v>0</v>
      </c>
      <c r="K23" s="50">
        <v>0</v>
      </c>
      <c r="L23" s="50">
        <v>0</v>
      </c>
      <c r="M23" s="50">
        <v>20</v>
      </c>
      <c r="N23" s="50">
        <v>0</v>
      </c>
      <c r="O23" s="15">
        <f t="shared" si="0"/>
        <v>5</v>
      </c>
      <c r="P23" s="15">
        <f t="shared" si="1"/>
        <v>25</v>
      </c>
      <c r="R23" s="38" t="s">
        <v>91</v>
      </c>
      <c r="S23" s="39">
        <f>MAX(S13:S18)</f>
        <v>6</v>
      </c>
      <c r="T23" s="39">
        <f t="shared" ref="T23:AF23" si="15">MAX(T13:T18)</f>
        <v>0</v>
      </c>
      <c r="U23" s="39">
        <f t="shared" si="15"/>
        <v>5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7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64</v>
      </c>
      <c r="AD23" s="39">
        <f t="shared" si="15"/>
        <v>0</v>
      </c>
      <c r="AE23" s="40">
        <f t="shared" si="15"/>
        <v>16</v>
      </c>
      <c r="AF23" s="40">
        <f t="shared" si="15"/>
        <v>80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2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4</v>
      </c>
      <c r="P24" s="15">
        <f t="shared" si="1"/>
        <v>13</v>
      </c>
      <c r="R24" s="38" t="s">
        <v>92</v>
      </c>
      <c r="S24" s="39">
        <f>MAX(S19:S21)</f>
        <v>5</v>
      </c>
      <c r="T24" s="39">
        <f t="shared" ref="T24:AF24" si="16">MAX(T19:T21)</f>
        <v>0</v>
      </c>
      <c r="U24" s="39">
        <f t="shared" si="16"/>
        <v>6</v>
      </c>
      <c r="V24" s="39">
        <f t="shared" si="16"/>
        <v>3</v>
      </c>
      <c r="W24" s="39">
        <f t="shared" si="16"/>
        <v>1</v>
      </c>
      <c r="X24" s="39">
        <f t="shared" si="16"/>
        <v>0</v>
      </c>
      <c r="Y24" s="39">
        <f t="shared" si="16"/>
        <v>8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53</v>
      </c>
      <c r="AD24" s="39">
        <f t="shared" si="16"/>
        <v>0</v>
      </c>
      <c r="AE24" s="40">
        <f t="shared" si="16"/>
        <v>20</v>
      </c>
      <c r="AF24" s="40">
        <f t="shared" si="16"/>
        <v>69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20</v>
      </c>
      <c r="N25" s="50">
        <v>0</v>
      </c>
      <c r="O25" s="15">
        <f t="shared" si="0"/>
        <v>2</v>
      </c>
      <c r="P25" s="15">
        <f t="shared" si="1"/>
        <v>22</v>
      </c>
      <c r="R25" s="37" t="s">
        <v>85</v>
      </c>
      <c r="S25" s="35">
        <f t="shared" ref="S25:AF25" si="17">SUM(S10:S12)</f>
        <v>10</v>
      </c>
      <c r="T25" s="16">
        <f t="shared" si="17"/>
        <v>0</v>
      </c>
      <c r="U25" s="16">
        <f t="shared" si="17"/>
        <v>7</v>
      </c>
      <c r="V25" s="16">
        <f t="shared" si="17"/>
        <v>4</v>
      </c>
      <c r="W25" s="16">
        <f t="shared" si="17"/>
        <v>0</v>
      </c>
      <c r="X25" s="16">
        <f t="shared" si="17"/>
        <v>0</v>
      </c>
      <c r="Y25" s="16">
        <f t="shared" si="17"/>
        <v>6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162</v>
      </c>
      <c r="AD25" s="16">
        <f t="shared" si="17"/>
        <v>0</v>
      </c>
      <c r="AE25" s="32">
        <f t="shared" si="17"/>
        <v>27</v>
      </c>
      <c r="AF25" s="32">
        <f t="shared" si="17"/>
        <v>189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2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15</v>
      </c>
      <c r="N26" s="50">
        <v>0</v>
      </c>
      <c r="O26" s="15">
        <f t="shared" si="0"/>
        <v>6</v>
      </c>
      <c r="P26" s="15">
        <f t="shared" si="1"/>
        <v>21</v>
      </c>
      <c r="R26" s="28" t="s">
        <v>86</v>
      </c>
      <c r="S26" s="16">
        <f t="shared" ref="S26:AF26" si="18">SUM(S13:S18)</f>
        <v>21</v>
      </c>
      <c r="T26" s="16">
        <f t="shared" si="18"/>
        <v>0</v>
      </c>
      <c r="U26" s="16">
        <f t="shared" si="18"/>
        <v>16</v>
      </c>
      <c r="V26" s="16">
        <f t="shared" si="18"/>
        <v>7</v>
      </c>
      <c r="W26" s="16">
        <f t="shared" si="18"/>
        <v>0</v>
      </c>
      <c r="X26" s="16">
        <f t="shared" si="18"/>
        <v>0</v>
      </c>
      <c r="Y26" s="16">
        <f t="shared" si="18"/>
        <v>27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326</v>
      </c>
      <c r="AD26" s="16">
        <f t="shared" si="18"/>
        <v>0</v>
      </c>
      <c r="AE26" s="32">
        <f t="shared" si="18"/>
        <v>72</v>
      </c>
      <c r="AF26" s="32">
        <f t="shared" si="18"/>
        <v>398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10</v>
      </c>
      <c r="N27" s="50">
        <v>0</v>
      </c>
      <c r="O27" s="15">
        <f t="shared" si="0"/>
        <v>2</v>
      </c>
      <c r="P27" s="15">
        <f t="shared" si="1"/>
        <v>12</v>
      </c>
      <c r="R27" s="29" t="s">
        <v>87</v>
      </c>
      <c r="S27" s="16">
        <f t="shared" ref="S27:AF27" si="19">SUM(S19:S21)</f>
        <v>8</v>
      </c>
      <c r="T27" s="16">
        <f t="shared" si="19"/>
        <v>0</v>
      </c>
      <c r="U27" s="16">
        <f t="shared" si="19"/>
        <v>14</v>
      </c>
      <c r="V27" s="16">
        <f t="shared" si="19"/>
        <v>5</v>
      </c>
      <c r="W27" s="16">
        <f t="shared" si="19"/>
        <v>1</v>
      </c>
      <c r="X27" s="16">
        <f t="shared" si="19"/>
        <v>0</v>
      </c>
      <c r="Y27" s="16">
        <f t="shared" si="19"/>
        <v>15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140</v>
      </c>
      <c r="AD27" s="16">
        <f t="shared" si="19"/>
        <v>0</v>
      </c>
      <c r="AE27" s="32">
        <f t="shared" si="19"/>
        <v>43</v>
      </c>
      <c r="AF27" s="32">
        <f t="shared" si="19"/>
        <v>183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8</v>
      </c>
      <c r="N28" s="50">
        <v>0</v>
      </c>
      <c r="O28" s="15">
        <f t="shared" si="0"/>
        <v>2</v>
      </c>
      <c r="P28" s="15">
        <f t="shared" si="1"/>
        <v>10</v>
      </c>
      <c r="R28" s="5" t="s">
        <v>17</v>
      </c>
      <c r="S28" s="16">
        <f t="shared" ref="S28:AF28" si="20">SUM(S10:S21)</f>
        <v>39</v>
      </c>
      <c r="T28" s="16">
        <f t="shared" si="20"/>
        <v>0</v>
      </c>
      <c r="U28" s="16">
        <f t="shared" si="20"/>
        <v>37</v>
      </c>
      <c r="V28" s="16">
        <f t="shared" si="20"/>
        <v>16</v>
      </c>
      <c r="W28" s="16">
        <f t="shared" si="20"/>
        <v>1</v>
      </c>
      <c r="X28" s="16">
        <f t="shared" si="20"/>
        <v>0</v>
      </c>
      <c r="Y28" s="16">
        <f t="shared" si="20"/>
        <v>48</v>
      </c>
      <c r="Z28" s="16">
        <f t="shared" si="20"/>
        <v>1</v>
      </c>
      <c r="AA28" s="16">
        <f t="shared" si="20"/>
        <v>0</v>
      </c>
      <c r="AB28" s="16">
        <f t="shared" si="20"/>
        <v>0</v>
      </c>
      <c r="AC28" s="16">
        <f t="shared" si="20"/>
        <v>628</v>
      </c>
      <c r="AD28" s="16">
        <f t="shared" si="20"/>
        <v>0</v>
      </c>
      <c r="AE28" s="32">
        <f t="shared" si="20"/>
        <v>142</v>
      </c>
      <c r="AF28" s="32">
        <f t="shared" si="20"/>
        <v>770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14</v>
      </c>
      <c r="N29" s="50">
        <v>0</v>
      </c>
      <c r="O29" s="15">
        <f t="shared" si="0"/>
        <v>3</v>
      </c>
      <c r="P29" s="15">
        <f t="shared" si="1"/>
        <v>17</v>
      </c>
      <c r="R29"/>
      <c r="S29" s="20"/>
      <c r="T29" s="19"/>
    </row>
    <row r="30" spans="2:32" ht="23.1" customHeight="1" x14ac:dyDescent="0.25">
      <c r="B30" s="23" t="s">
        <v>57</v>
      </c>
      <c r="C30" s="50">
        <v>3</v>
      </c>
      <c r="D30" s="50">
        <v>0</v>
      </c>
      <c r="E30" s="50">
        <v>1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21</v>
      </c>
      <c r="N30" s="50">
        <v>0</v>
      </c>
      <c r="O30" s="15">
        <f t="shared" si="0"/>
        <v>5</v>
      </c>
      <c r="P30" s="15">
        <f t="shared" si="1"/>
        <v>26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16</v>
      </c>
      <c r="N31" s="50">
        <v>0</v>
      </c>
      <c r="O31" s="15">
        <f t="shared" si="0"/>
        <v>1</v>
      </c>
      <c r="P31" s="15">
        <f t="shared" si="1"/>
        <v>17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2</v>
      </c>
      <c r="P32" s="15">
        <f t="shared" si="1"/>
        <v>13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0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12</v>
      </c>
      <c r="N33" s="50">
        <v>0</v>
      </c>
      <c r="O33" s="15">
        <f t="shared" si="0"/>
        <v>2</v>
      </c>
      <c r="P33" s="15">
        <f t="shared" si="1"/>
        <v>14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2</v>
      </c>
      <c r="F34" s="50">
        <v>0</v>
      </c>
      <c r="G34" s="50">
        <v>0</v>
      </c>
      <c r="H34" s="50">
        <v>0</v>
      </c>
      <c r="I34" s="50">
        <v>0</v>
      </c>
      <c r="J34" s="50">
        <v>1</v>
      </c>
      <c r="K34" s="50">
        <v>0</v>
      </c>
      <c r="L34" s="50">
        <v>0</v>
      </c>
      <c r="M34" s="50">
        <v>20</v>
      </c>
      <c r="N34" s="50">
        <v>0</v>
      </c>
      <c r="O34" s="15">
        <f t="shared" si="0"/>
        <v>5</v>
      </c>
      <c r="P34" s="15">
        <f t="shared" si="1"/>
        <v>25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2</v>
      </c>
      <c r="G35" s="50">
        <v>0</v>
      </c>
      <c r="H35" s="50">
        <v>0</v>
      </c>
      <c r="I35" s="50">
        <v>3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5</v>
      </c>
      <c r="P35" s="15">
        <f t="shared" si="1"/>
        <v>19</v>
      </c>
    </row>
    <row r="36" spans="2:20" ht="23.1" customHeight="1" x14ac:dyDescent="0.25">
      <c r="B36" s="24" t="s">
        <v>63</v>
      </c>
      <c r="C36" s="50">
        <v>3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16</v>
      </c>
      <c r="N36" s="50">
        <v>0</v>
      </c>
      <c r="O36" s="15">
        <f t="shared" si="0"/>
        <v>4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14</v>
      </c>
      <c r="N37" s="50">
        <v>0</v>
      </c>
      <c r="O37" s="15">
        <f t="shared" si="0"/>
        <v>2</v>
      </c>
      <c r="P37" s="15">
        <f t="shared" si="1"/>
        <v>16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11</v>
      </c>
      <c r="N38" s="50">
        <v>0</v>
      </c>
      <c r="O38" s="15">
        <f t="shared" si="0"/>
        <v>1</v>
      </c>
      <c r="P38" s="15">
        <f t="shared" si="1"/>
        <v>12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17</v>
      </c>
      <c r="N39" s="50">
        <v>0</v>
      </c>
      <c r="O39" s="15">
        <f t="shared" si="0"/>
        <v>3</v>
      </c>
      <c r="P39" s="15">
        <f t="shared" si="1"/>
        <v>20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8</v>
      </c>
      <c r="N40" s="50">
        <v>0</v>
      </c>
      <c r="O40" s="15">
        <f t="shared" si="0"/>
        <v>1</v>
      </c>
      <c r="P40" s="15">
        <f t="shared" si="1"/>
        <v>9</v>
      </c>
    </row>
    <row r="41" spans="2:20" ht="23.1" customHeight="1" x14ac:dyDescent="0.25">
      <c r="B41" s="23" t="s">
        <v>68</v>
      </c>
      <c r="C41" s="50">
        <v>3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10</v>
      </c>
      <c r="N41" s="50">
        <v>0</v>
      </c>
      <c r="O41" s="15">
        <f t="shared" si="0"/>
        <v>6</v>
      </c>
      <c r="P41" s="15">
        <f t="shared" si="1"/>
        <v>16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13</v>
      </c>
      <c r="N42" s="50">
        <v>0</v>
      </c>
      <c r="O42" s="15">
        <f t="shared" si="0"/>
        <v>1</v>
      </c>
      <c r="P42" s="15">
        <f t="shared" si="1"/>
        <v>14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14</v>
      </c>
      <c r="N43" s="50">
        <v>0</v>
      </c>
      <c r="O43" s="15">
        <f t="shared" si="0"/>
        <v>2</v>
      </c>
      <c r="P43" s="15">
        <f t="shared" si="1"/>
        <v>16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4</v>
      </c>
      <c r="P44" s="15">
        <f t="shared" si="1"/>
        <v>14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10</v>
      </c>
      <c r="N45" s="50">
        <v>0</v>
      </c>
      <c r="O45" s="15">
        <f t="shared" si="0"/>
        <v>2</v>
      </c>
      <c r="P45" s="15">
        <f t="shared" si="1"/>
        <v>12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3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7</v>
      </c>
      <c r="P46" s="15">
        <f t="shared" si="1"/>
        <v>18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17</v>
      </c>
      <c r="N47" s="50">
        <v>0</v>
      </c>
      <c r="O47" s="15">
        <f t="shared" si="0"/>
        <v>0</v>
      </c>
      <c r="P47" s="15">
        <f t="shared" si="1"/>
        <v>17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14</v>
      </c>
      <c r="N48" s="50">
        <v>0</v>
      </c>
      <c r="O48" s="15">
        <f t="shared" si="0"/>
        <v>3</v>
      </c>
      <c r="P48" s="15">
        <f t="shared" si="1"/>
        <v>17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3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6</v>
      </c>
      <c r="P49" s="15">
        <f t="shared" si="1"/>
        <v>17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3</v>
      </c>
      <c r="J50" s="50">
        <v>0</v>
      </c>
      <c r="K50" s="50">
        <v>0</v>
      </c>
      <c r="L50" s="50">
        <v>0</v>
      </c>
      <c r="M50" s="50">
        <v>20</v>
      </c>
      <c r="N50" s="50">
        <v>0</v>
      </c>
      <c r="O50" s="15">
        <f t="shared" si="0"/>
        <v>4</v>
      </c>
      <c r="P50" s="15">
        <f t="shared" si="1"/>
        <v>24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3</v>
      </c>
      <c r="F51" s="50">
        <v>0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11</v>
      </c>
      <c r="N51" s="50">
        <v>0</v>
      </c>
      <c r="O51" s="15">
        <f t="shared" si="0"/>
        <v>6</v>
      </c>
      <c r="P51" s="15">
        <f t="shared" si="1"/>
        <v>17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2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8</v>
      </c>
      <c r="N52" s="50">
        <v>0</v>
      </c>
      <c r="O52" s="15">
        <f t="shared" si="0"/>
        <v>4</v>
      </c>
      <c r="P52" s="15">
        <f t="shared" si="1"/>
        <v>12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1</v>
      </c>
      <c r="F53" s="50">
        <v>3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10</v>
      </c>
      <c r="N53" s="50">
        <v>0</v>
      </c>
      <c r="O53" s="15">
        <f t="shared" si="0"/>
        <v>6</v>
      </c>
      <c r="P53" s="15">
        <f t="shared" si="1"/>
        <v>16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2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20</v>
      </c>
      <c r="N54" s="50">
        <v>0</v>
      </c>
      <c r="O54" s="15">
        <f t="shared" si="0"/>
        <v>3</v>
      </c>
      <c r="P54" s="15">
        <f t="shared" si="1"/>
        <v>23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2</v>
      </c>
      <c r="F55" s="50">
        <v>1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14</v>
      </c>
      <c r="N55" s="50">
        <v>0</v>
      </c>
      <c r="O55" s="15">
        <f t="shared" si="0"/>
        <v>3</v>
      </c>
      <c r="P55" s="15">
        <f t="shared" si="1"/>
        <v>17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1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4</v>
      </c>
      <c r="N56" s="50">
        <v>0</v>
      </c>
      <c r="O56" s="15">
        <f t="shared" si="0"/>
        <v>1</v>
      </c>
      <c r="P56" s="15">
        <f t="shared" si="1"/>
        <v>5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39</v>
      </c>
      <c r="D58" s="16">
        <f t="shared" si="21"/>
        <v>0</v>
      </c>
      <c r="E58" s="16">
        <f t="shared" si="21"/>
        <v>37</v>
      </c>
      <c r="F58" s="16">
        <f t="shared" si="21"/>
        <v>16</v>
      </c>
      <c r="G58" s="16">
        <f t="shared" si="21"/>
        <v>1</v>
      </c>
      <c r="H58" s="16">
        <f t="shared" si="21"/>
        <v>0</v>
      </c>
      <c r="I58" s="16">
        <f t="shared" si="21"/>
        <v>48</v>
      </c>
      <c r="J58" s="16">
        <f t="shared" si="21"/>
        <v>1</v>
      </c>
      <c r="K58" s="16">
        <f t="shared" si="21"/>
        <v>0</v>
      </c>
      <c r="L58" s="16">
        <f t="shared" si="21"/>
        <v>0</v>
      </c>
      <c r="M58" s="16">
        <f t="shared" si="21"/>
        <v>628</v>
      </c>
      <c r="N58" s="16">
        <f t="shared" si="21"/>
        <v>0</v>
      </c>
      <c r="O58" s="16">
        <f t="shared" si="21"/>
        <v>142</v>
      </c>
      <c r="P58" s="16">
        <f t="shared" si="21"/>
        <v>770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5.0649350649350652E-2</v>
      </c>
      <c r="D59" s="43">
        <f t="shared" si="22"/>
        <v>0</v>
      </c>
      <c r="E59" s="43">
        <f t="shared" si="22"/>
        <v>4.8051948051948054E-2</v>
      </c>
      <c r="F59" s="43">
        <f t="shared" si="22"/>
        <v>2.0779220779220779E-2</v>
      </c>
      <c r="G59" s="43">
        <f t="shared" si="22"/>
        <v>1.2987012987012987E-3</v>
      </c>
      <c r="H59" s="43">
        <f t="shared" si="22"/>
        <v>0</v>
      </c>
      <c r="I59" s="43">
        <f t="shared" si="22"/>
        <v>6.2337662337662338E-2</v>
      </c>
      <c r="J59" s="43">
        <f t="shared" si="22"/>
        <v>1.2987012987012987E-3</v>
      </c>
      <c r="K59" s="43">
        <f t="shared" si="22"/>
        <v>0</v>
      </c>
      <c r="L59" s="43">
        <f t="shared" si="22"/>
        <v>0</v>
      </c>
      <c r="M59" s="43">
        <f t="shared" si="22"/>
        <v>0.81558441558441563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0.27464788732394368</v>
      </c>
      <c r="D60" s="44">
        <f t="shared" ref="D60:N60" si="23">D58/$O$58</f>
        <v>0</v>
      </c>
      <c r="E60" s="44">
        <f t="shared" si="23"/>
        <v>0.26056338028169013</v>
      </c>
      <c r="F60" s="44">
        <f t="shared" si="23"/>
        <v>0.11267605633802817</v>
      </c>
      <c r="G60" s="44">
        <f t="shared" si="23"/>
        <v>7.0422535211267607E-3</v>
      </c>
      <c r="H60" s="44">
        <f t="shared" si="23"/>
        <v>0</v>
      </c>
      <c r="I60" s="44">
        <f t="shared" si="23"/>
        <v>0.3380281690140845</v>
      </c>
      <c r="J60" s="44">
        <f t="shared" si="23"/>
        <v>7.0422535211267607E-3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2" zoomScale="60" workbookViewId="0">
      <selection activeCell="L10" sqref="L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KAMPALA-BUSUNJU'!C3:G3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'12.08 BUSUNJU-KAMPALA'!D5</f>
        <v>12.08.19</v>
      </c>
      <c r="E5" s="3"/>
      <c r="F5" s="41" t="s">
        <v>1</v>
      </c>
      <c r="G5" s="63" t="str">
        <f>'11.08 BUSUNJU-KAMPALA'!G5:H5</f>
        <v>MATTE</v>
      </c>
      <c r="H5" s="64"/>
      <c r="I5" s="14"/>
      <c r="J5" s="2" t="s">
        <v>5</v>
      </c>
      <c r="K5" s="63" t="str">
        <f>'11.08 BUSUNJU-KAMPALA'!K5:L5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KAMPALA-BUSUNJU'!D6:E6</f>
        <v>KAMPALA</v>
      </c>
      <c r="E6" s="64"/>
      <c r="F6" s="2" t="s">
        <v>2</v>
      </c>
      <c r="G6" s="63" t="str">
        <f>'11.08 KAMPALA-BUSUNJU'!G6:H6</f>
        <v>BUSUNJU</v>
      </c>
      <c r="H6" s="64"/>
      <c r="J6" s="2" t="s">
        <v>21</v>
      </c>
      <c r="K6" s="63" t="str">
        <f>'11.08 BUSUNJU-KAMPALA'!K6:L6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11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13</v>
      </c>
      <c r="R10" s="1" t="s">
        <v>6</v>
      </c>
      <c r="S10" s="17">
        <f t="shared" ref="S10:AF10" si="2">SUM(C10:C13)</f>
        <v>2</v>
      </c>
      <c r="T10" s="17">
        <f t="shared" si="2"/>
        <v>0</v>
      </c>
      <c r="U10" s="17">
        <f t="shared" si="2"/>
        <v>0</v>
      </c>
      <c r="V10" s="17">
        <f t="shared" si="2"/>
        <v>2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49</v>
      </c>
      <c r="AD10" s="17">
        <f t="shared" si="2"/>
        <v>0</v>
      </c>
      <c r="AE10" s="31">
        <f t="shared" si="2"/>
        <v>8</v>
      </c>
      <c r="AF10" s="31">
        <f t="shared" si="2"/>
        <v>57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1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12</v>
      </c>
      <c r="N11" s="50">
        <v>0</v>
      </c>
      <c r="O11" s="15">
        <f t="shared" si="0"/>
        <v>1</v>
      </c>
      <c r="P11" s="15">
        <f t="shared" si="1"/>
        <v>13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1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49</v>
      </c>
      <c r="AD11" s="17">
        <f t="shared" si="3"/>
        <v>0</v>
      </c>
      <c r="AE11" s="31">
        <f t="shared" si="3"/>
        <v>7</v>
      </c>
      <c r="AF11" s="31">
        <f t="shared" si="3"/>
        <v>56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1</v>
      </c>
      <c r="P12" s="15">
        <f t="shared" si="1"/>
        <v>13</v>
      </c>
      <c r="R12" s="1" t="s">
        <v>8</v>
      </c>
      <c r="S12" s="17">
        <f t="shared" ref="S12:AF12" si="4">SUM(C18:C21)</f>
        <v>0</v>
      </c>
      <c r="T12" s="17">
        <f t="shared" si="4"/>
        <v>0</v>
      </c>
      <c r="U12" s="17">
        <f t="shared" si="4"/>
        <v>1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45</v>
      </c>
      <c r="AD12" s="17">
        <f t="shared" si="4"/>
        <v>0</v>
      </c>
      <c r="AE12" s="31">
        <f t="shared" si="4"/>
        <v>6</v>
      </c>
      <c r="AF12" s="31">
        <f t="shared" si="4"/>
        <v>51</v>
      </c>
    </row>
    <row r="13" spans="2:32" ht="23.1" customHeight="1" x14ac:dyDescent="0.25">
      <c r="B13" s="23" t="s">
        <v>40</v>
      </c>
      <c r="C13" s="50">
        <v>2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14</v>
      </c>
      <c r="N13" s="50">
        <v>0</v>
      </c>
      <c r="O13" s="15">
        <f t="shared" si="0"/>
        <v>4</v>
      </c>
      <c r="P13" s="15">
        <f t="shared" si="1"/>
        <v>18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2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58</v>
      </c>
      <c r="AD13" s="17">
        <f t="shared" si="5"/>
        <v>0</v>
      </c>
      <c r="AE13" s="31">
        <f t="shared" si="5"/>
        <v>8</v>
      </c>
      <c r="AF13" s="31">
        <f t="shared" si="5"/>
        <v>66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12</v>
      </c>
      <c r="N14" s="50">
        <v>0</v>
      </c>
      <c r="O14" s="15">
        <f t="shared" si="0"/>
        <v>2</v>
      </c>
      <c r="P14" s="15">
        <f t="shared" si="1"/>
        <v>14</v>
      </c>
      <c r="R14" s="1" t="s">
        <v>10</v>
      </c>
      <c r="S14" s="17">
        <f t="shared" ref="S14:AF14" si="6">SUM(C26:C29)</f>
        <v>9</v>
      </c>
      <c r="T14" s="17">
        <f t="shared" si="6"/>
        <v>0</v>
      </c>
      <c r="U14" s="17">
        <f t="shared" si="6"/>
        <v>11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47</v>
      </c>
      <c r="AD14" s="17">
        <f t="shared" si="6"/>
        <v>0</v>
      </c>
      <c r="AE14" s="31">
        <f t="shared" si="6"/>
        <v>22</v>
      </c>
      <c r="AF14" s="31">
        <f t="shared" si="6"/>
        <v>69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2</v>
      </c>
      <c r="P15" s="15">
        <f t="shared" si="1"/>
        <v>14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5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49</v>
      </c>
      <c r="AD15" s="17">
        <f t="shared" si="7"/>
        <v>0</v>
      </c>
      <c r="AE15" s="31">
        <f t="shared" si="7"/>
        <v>15</v>
      </c>
      <c r="AF15" s="31">
        <f t="shared" si="7"/>
        <v>64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13</v>
      </c>
      <c r="N16" s="50">
        <v>0</v>
      </c>
      <c r="O16" s="15">
        <f t="shared" si="0"/>
        <v>2</v>
      </c>
      <c r="P16" s="15">
        <f t="shared" si="1"/>
        <v>15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0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56</v>
      </c>
      <c r="AD16" s="17">
        <f t="shared" si="8"/>
        <v>0</v>
      </c>
      <c r="AE16" s="31">
        <f t="shared" si="8"/>
        <v>11</v>
      </c>
      <c r="AF16" s="31">
        <f t="shared" si="8"/>
        <v>67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12</v>
      </c>
      <c r="N17" s="50">
        <v>0</v>
      </c>
      <c r="O17" s="15">
        <f t="shared" si="0"/>
        <v>1</v>
      </c>
      <c r="P17" s="15">
        <f t="shared" si="1"/>
        <v>13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4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9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51</v>
      </c>
      <c r="AD17" s="17">
        <f t="shared" si="9"/>
        <v>0</v>
      </c>
      <c r="AE17" s="31">
        <f t="shared" si="9"/>
        <v>14</v>
      </c>
      <c r="AF17" s="31">
        <f t="shared" si="9"/>
        <v>65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11</v>
      </c>
      <c r="N18" s="50">
        <v>0</v>
      </c>
      <c r="O18" s="15">
        <f t="shared" si="0"/>
        <v>1</v>
      </c>
      <c r="P18" s="15">
        <f t="shared" si="1"/>
        <v>12</v>
      </c>
      <c r="R18" s="1" t="s">
        <v>14</v>
      </c>
      <c r="S18" s="17">
        <f t="shared" ref="S18:AF18" si="10">SUM(C42:C45)</f>
        <v>4</v>
      </c>
      <c r="T18" s="17">
        <f t="shared" si="10"/>
        <v>0</v>
      </c>
      <c r="U18" s="17">
        <f t="shared" si="10"/>
        <v>4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46</v>
      </c>
      <c r="AD18" s="17">
        <f t="shared" si="10"/>
        <v>0</v>
      </c>
      <c r="AE18" s="31">
        <f t="shared" si="10"/>
        <v>11</v>
      </c>
      <c r="AF18" s="31">
        <f t="shared" si="10"/>
        <v>57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11</v>
      </c>
      <c r="N19" s="50">
        <v>0</v>
      </c>
      <c r="O19" s="15">
        <f t="shared" si="0"/>
        <v>1</v>
      </c>
      <c r="P19" s="15">
        <f t="shared" si="1"/>
        <v>12</v>
      </c>
      <c r="R19" s="1" t="s">
        <v>15</v>
      </c>
      <c r="S19" s="17">
        <f t="shared" ref="S19:AF19" si="11">SUM(C46:C49)</f>
        <v>3</v>
      </c>
      <c r="T19" s="17">
        <f t="shared" si="11"/>
        <v>0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64</v>
      </c>
      <c r="AD19" s="17">
        <f t="shared" si="11"/>
        <v>0</v>
      </c>
      <c r="AE19" s="31">
        <f t="shared" si="11"/>
        <v>11</v>
      </c>
      <c r="AF19" s="31">
        <f t="shared" si="11"/>
        <v>75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10</v>
      </c>
      <c r="N20" s="50">
        <v>0</v>
      </c>
      <c r="O20" s="15">
        <f t="shared" si="0"/>
        <v>2</v>
      </c>
      <c r="P20" s="15">
        <f t="shared" si="1"/>
        <v>12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2</v>
      </c>
      <c r="V20" s="17">
        <f t="shared" si="12"/>
        <v>4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48</v>
      </c>
      <c r="AD20" s="17">
        <f t="shared" si="12"/>
        <v>0</v>
      </c>
      <c r="AE20" s="31">
        <f t="shared" si="12"/>
        <v>14</v>
      </c>
      <c r="AF20" s="31">
        <f t="shared" si="12"/>
        <v>62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13</v>
      </c>
      <c r="N21" s="50">
        <v>0</v>
      </c>
      <c r="O21" s="15">
        <f t="shared" si="0"/>
        <v>2</v>
      </c>
      <c r="P21" s="15">
        <f t="shared" si="1"/>
        <v>15</v>
      </c>
      <c r="R21" s="36" t="s">
        <v>20</v>
      </c>
      <c r="S21" s="34">
        <f t="shared" ref="S21:AF21" si="13">SUM(C54:C57)</f>
        <v>2</v>
      </c>
      <c r="T21" s="17">
        <f t="shared" si="13"/>
        <v>0</v>
      </c>
      <c r="U21" s="17">
        <f t="shared" si="13"/>
        <v>0</v>
      </c>
      <c r="V21" s="17">
        <f t="shared" si="13"/>
        <v>1</v>
      </c>
      <c r="W21" s="17">
        <f t="shared" si="13"/>
        <v>1</v>
      </c>
      <c r="X21" s="17">
        <f t="shared" si="13"/>
        <v>0</v>
      </c>
      <c r="Y21" s="17">
        <f t="shared" si="13"/>
        <v>0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35</v>
      </c>
      <c r="AD21" s="17">
        <f t="shared" si="13"/>
        <v>0</v>
      </c>
      <c r="AE21" s="31">
        <f t="shared" si="13"/>
        <v>4</v>
      </c>
      <c r="AF21" s="31">
        <f t="shared" si="13"/>
        <v>39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15</v>
      </c>
      <c r="N22" s="50">
        <v>0</v>
      </c>
      <c r="O22" s="15">
        <f t="shared" si="0"/>
        <v>3</v>
      </c>
      <c r="P22" s="15">
        <f t="shared" si="1"/>
        <v>18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1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4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49</v>
      </c>
      <c r="AD22" s="39">
        <f t="shared" si="14"/>
        <v>0</v>
      </c>
      <c r="AE22" s="40">
        <f t="shared" si="14"/>
        <v>8</v>
      </c>
      <c r="AF22" s="40">
        <f t="shared" si="14"/>
        <v>57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16</v>
      </c>
      <c r="N23" s="50">
        <v>0</v>
      </c>
      <c r="O23" s="15">
        <f t="shared" si="0"/>
        <v>1</v>
      </c>
      <c r="P23" s="15">
        <f t="shared" si="1"/>
        <v>17</v>
      </c>
      <c r="R23" s="38" t="s">
        <v>91</v>
      </c>
      <c r="S23" s="39">
        <f>MAX(S13:S18)</f>
        <v>9</v>
      </c>
      <c r="T23" s="39">
        <f t="shared" ref="T23:AF23" si="15">MAX(T13:T18)</f>
        <v>0</v>
      </c>
      <c r="U23" s="39">
        <f t="shared" si="15"/>
        <v>11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9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58</v>
      </c>
      <c r="AD23" s="39">
        <f t="shared" si="15"/>
        <v>0</v>
      </c>
      <c r="AE23" s="40">
        <f t="shared" si="15"/>
        <v>22</v>
      </c>
      <c r="AF23" s="40">
        <f t="shared" si="15"/>
        <v>69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13</v>
      </c>
      <c r="N24" s="50">
        <v>0</v>
      </c>
      <c r="O24" s="15">
        <f t="shared" si="0"/>
        <v>1</v>
      </c>
      <c r="P24" s="15">
        <f t="shared" si="1"/>
        <v>14</v>
      </c>
      <c r="R24" s="38" t="s">
        <v>92</v>
      </c>
      <c r="S24" s="39">
        <f>MAX(S19:S21)</f>
        <v>3</v>
      </c>
      <c r="T24" s="39">
        <f t="shared" ref="T24:AF24" si="16">MAX(T19:T21)</f>
        <v>0</v>
      </c>
      <c r="U24" s="39">
        <f t="shared" si="16"/>
        <v>2</v>
      </c>
      <c r="V24" s="39">
        <f t="shared" si="16"/>
        <v>4</v>
      </c>
      <c r="W24" s="39">
        <f t="shared" si="16"/>
        <v>1</v>
      </c>
      <c r="X24" s="39">
        <f t="shared" si="16"/>
        <v>0</v>
      </c>
      <c r="Y24" s="39">
        <f t="shared" si="16"/>
        <v>7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64</v>
      </c>
      <c r="AD24" s="39">
        <f t="shared" si="16"/>
        <v>0</v>
      </c>
      <c r="AE24" s="40">
        <f t="shared" si="16"/>
        <v>14</v>
      </c>
      <c r="AF24" s="40">
        <f t="shared" si="16"/>
        <v>75</v>
      </c>
    </row>
    <row r="25" spans="2:32" ht="23.1" customHeight="1" x14ac:dyDescent="0.25">
      <c r="B25" s="23" t="s">
        <v>52</v>
      </c>
      <c r="C25" s="50">
        <v>2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14</v>
      </c>
      <c r="N25" s="50">
        <v>0</v>
      </c>
      <c r="O25" s="15">
        <f t="shared" si="0"/>
        <v>3</v>
      </c>
      <c r="P25" s="15">
        <f t="shared" si="1"/>
        <v>17</v>
      </c>
      <c r="R25" s="37" t="s">
        <v>85</v>
      </c>
      <c r="S25" s="35">
        <f t="shared" ref="S25:AF25" si="17">SUM(S10:S12)</f>
        <v>4</v>
      </c>
      <c r="T25" s="16">
        <f t="shared" si="17"/>
        <v>0</v>
      </c>
      <c r="U25" s="16">
        <f t="shared" si="17"/>
        <v>2</v>
      </c>
      <c r="V25" s="16">
        <f t="shared" si="17"/>
        <v>4</v>
      </c>
      <c r="W25" s="16">
        <f t="shared" si="17"/>
        <v>0</v>
      </c>
      <c r="X25" s="16">
        <f t="shared" si="17"/>
        <v>0</v>
      </c>
      <c r="Y25" s="16">
        <f t="shared" si="17"/>
        <v>11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143</v>
      </c>
      <c r="AD25" s="16">
        <f t="shared" si="17"/>
        <v>0</v>
      </c>
      <c r="AE25" s="32">
        <f t="shared" si="17"/>
        <v>21</v>
      </c>
      <c r="AF25" s="32">
        <f t="shared" si="17"/>
        <v>164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5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7</v>
      </c>
      <c r="P26" s="15">
        <f t="shared" si="1"/>
        <v>15</v>
      </c>
      <c r="R26" s="28" t="s">
        <v>86</v>
      </c>
      <c r="S26" s="16">
        <f t="shared" ref="S26:AF26" si="18">SUM(S13:S18)</f>
        <v>21</v>
      </c>
      <c r="T26" s="16">
        <f t="shared" si="18"/>
        <v>0</v>
      </c>
      <c r="U26" s="16">
        <f t="shared" si="18"/>
        <v>26</v>
      </c>
      <c r="V26" s="16">
        <f t="shared" si="18"/>
        <v>5</v>
      </c>
      <c r="W26" s="16">
        <f t="shared" si="18"/>
        <v>0</v>
      </c>
      <c r="X26" s="16">
        <f t="shared" si="18"/>
        <v>0</v>
      </c>
      <c r="Y26" s="16">
        <f t="shared" si="18"/>
        <v>28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307</v>
      </c>
      <c r="AD26" s="16">
        <f t="shared" si="18"/>
        <v>0</v>
      </c>
      <c r="AE26" s="32">
        <f t="shared" si="18"/>
        <v>81</v>
      </c>
      <c r="AF26" s="32">
        <f t="shared" si="18"/>
        <v>388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4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12</v>
      </c>
      <c r="N27" s="50">
        <v>0</v>
      </c>
      <c r="O27" s="15">
        <f t="shared" si="0"/>
        <v>8</v>
      </c>
      <c r="P27" s="15">
        <f t="shared" si="1"/>
        <v>20</v>
      </c>
      <c r="R27" s="29" t="s">
        <v>87</v>
      </c>
      <c r="S27" s="16">
        <f t="shared" ref="S27:AF27" si="19">SUM(S19:S21)</f>
        <v>8</v>
      </c>
      <c r="T27" s="16">
        <f t="shared" si="19"/>
        <v>0</v>
      </c>
      <c r="U27" s="16">
        <f t="shared" si="19"/>
        <v>3</v>
      </c>
      <c r="V27" s="16">
        <f t="shared" si="19"/>
        <v>5</v>
      </c>
      <c r="W27" s="16">
        <f t="shared" si="19"/>
        <v>1</v>
      </c>
      <c r="X27" s="16">
        <f t="shared" si="19"/>
        <v>0</v>
      </c>
      <c r="Y27" s="16">
        <f t="shared" si="19"/>
        <v>12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147</v>
      </c>
      <c r="AD27" s="16">
        <f t="shared" si="19"/>
        <v>0</v>
      </c>
      <c r="AE27" s="32">
        <f t="shared" si="19"/>
        <v>29</v>
      </c>
      <c r="AF27" s="32">
        <f t="shared" si="19"/>
        <v>176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18</v>
      </c>
      <c r="N28" s="50">
        <v>0</v>
      </c>
      <c r="O28" s="15">
        <f t="shared" si="0"/>
        <v>1</v>
      </c>
      <c r="P28" s="15">
        <f t="shared" si="1"/>
        <v>19</v>
      </c>
      <c r="R28" s="5" t="s">
        <v>17</v>
      </c>
      <c r="S28" s="16">
        <f t="shared" ref="S28:AF28" si="20">SUM(S10:S21)</f>
        <v>33</v>
      </c>
      <c r="T28" s="16">
        <f t="shared" si="20"/>
        <v>0</v>
      </c>
      <c r="U28" s="16">
        <f t="shared" si="20"/>
        <v>31</v>
      </c>
      <c r="V28" s="16">
        <f t="shared" si="20"/>
        <v>14</v>
      </c>
      <c r="W28" s="16">
        <f t="shared" si="20"/>
        <v>1</v>
      </c>
      <c r="X28" s="16">
        <f t="shared" si="20"/>
        <v>0</v>
      </c>
      <c r="Y28" s="16">
        <f t="shared" si="20"/>
        <v>51</v>
      </c>
      <c r="Z28" s="16">
        <f t="shared" si="20"/>
        <v>1</v>
      </c>
      <c r="AA28" s="16">
        <f t="shared" si="20"/>
        <v>0</v>
      </c>
      <c r="AB28" s="16">
        <f t="shared" si="20"/>
        <v>0</v>
      </c>
      <c r="AC28" s="16">
        <f t="shared" si="20"/>
        <v>597</v>
      </c>
      <c r="AD28" s="16">
        <f t="shared" si="20"/>
        <v>0</v>
      </c>
      <c r="AE28" s="32">
        <f t="shared" si="20"/>
        <v>131</v>
      </c>
      <c r="AF28" s="32">
        <f t="shared" si="20"/>
        <v>728</v>
      </c>
    </row>
    <row r="29" spans="2:32" ht="23.1" customHeight="1" x14ac:dyDescent="0.25">
      <c r="B29" s="23" t="s">
        <v>56</v>
      </c>
      <c r="C29" s="50">
        <v>3</v>
      </c>
      <c r="D29" s="50">
        <v>0</v>
      </c>
      <c r="E29" s="50">
        <v>2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9</v>
      </c>
      <c r="N29" s="50">
        <v>0</v>
      </c>
      <c r="O29" s="15">
        <f t="shared" si="0"/>
        <v>6</v>
      </c>
      <c r="P29" s="15">
        <f t="shared" si="1"/>
        <v>15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3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12</v>
      </c>
      <c r="N30" s="50">
        <v>0</v>
      </c>
      <c r="O30" s="15">
        <f t="shared" si="0"/>
        <v>4</v>
      </c>
      <c r="P30" s="15">
        <f t="shared" si="1"/>
        <v>16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1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3</v>
      </c>
      <c r="P31" s="15">
        <f t="shared" si="1"/>
        <v>12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13</v>
      </c>
      <c r="N32" s="50">
        <v>0</v>
      </c>
      <c r="O32" s="15">
        <f t="shared" si="0"/>
        <v>4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1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15</v>
      </c>
      <c r="N33" s="50">
        <v>0</v>
      </c>
      <c r="O33" s="15">
        <f t="shared" si="0"/>
        <v>4</v>
      </c>
      <c r="P33" s="15">
        <f t="shared" si="1"/>
        <v>19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11</v>
      </c>
      <c r="N34" s="50">
        <v>0</v>
      </c>
      <c r="O34" s="15">
        <f t="shared" si="0"/>
        <v>2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2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4</v>
      </c>
      <c r="P35" s="15">
        <f t="shared" si="1"/>
        <v>18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18</v>
      </c>
      <c r="N36" s="50">
        <v>0</v>
      </c>
      <c r="O36" s="15">
        <f t="shared" si="0"/>
        <v>2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0</v>
      </c>
      <c r="F37" s="50">
        <v>1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13</v>
      </c>
      <c r="N37" s="50">
        <v>0</v>
      </c>
      <c r="O37" s="15">
        <f t="shared" si="0"/>
        <v>3</v>
      </c>
      <c r="P37" s="15">
        <f t="shared" si="1"/>
        <v>16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1</v>
      </c>
      <c r="P38" s="15">
        <f t="shared" si="1"/>
        <v>14</v>
      </c>
    </row>
    <row r="39" spans="2:20" ht="23.1" customHeight="1" x14ac:dyDescent="0.25">
      <c r="B39" s="24" t="s">
        <v>66</v>
      </c>
      <c r="C39" s="50">
        <v>0</v>
      </c>
      <c r="D39" s="50">
        <v>0</v>
      </c>
      <c r="E39" s="50">
        <v>2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4</v>
      </c>
      <c r="P39" s="15">
        <f t="shared" si="1"/>
        <v>18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12</v>
      </c>
      <c r="N40" s="50">
        <v>0</v>
      </c>
      <c r="O40" s="15">
        <f t="shared" si="0"/>
        <v>4</v>
      </c>
      <c r="P40" s="15">
        <f t="shared" si="1"/>
        <v>16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5</v>
      </c>
      <c r="J41" s="50">
        <v>0</v>
      </c>
      <c r="K41" s="50">
        <v>0</v>
      </c>
      <c r="L41" s="50">
        <v>0</v>
      </c>
      <c r="M41" s="50">
        <v>12</v>
      </c>
      <c r="N41" s="50">
        <v>0</v>
      </c>
      <c r="O41" s="15">
        <f t="shared" si="0"/>
        <v>5</v>
      </c>
      <c r="P41" s="15">
        <f t="shared" si="1"/>
        <v>17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2</v>
      </c>
      <c r="F42" s="50">
        <v>0</v>
      </c>
      <c r="G42" s="50">
        <v>0</v>
      </c>
      <c r="H42" s="50">
        <v>0</v>
      </c>
      <c r="I42" s="50">
        <v>0</v>
      </c>
      <c r="J42" s="50">
        <v>0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4</v>
      </c>
      <c r="P42" s="15">
        <f t="shared" si="1"/>
        <v>15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15</v>
      </c>
      <c r="N43" s="50">
        <v>0</v>
      </c>
      <c r="O43" s="15">
        <f t="shared" si="0"/>
        <v>0</v>
      </c>
      <c r="P43" s="15">
        <f t="shared" si="1"/>
        <v>15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5</v>
      </c>
      <c r="N44" s="50">
        <v>0</v>
      </c>
      <c r="O44" s="15">
        <f t="shared" si="0"/>
        <v>3</v>
      </c>
      <c r="P44" s="15">
        <f t="shared" si="1"/>
        <v>8</v>
      </c>
    </row>
    <row r="45" spans="2:20" ht="23.1" customHeight="1" x14ac:dyDescent="0.25">
      <c r="B45" s="23" t="s">
        <v>72</v>
      </c>
      <c r="C45" s="50">
        <v>1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4</v>
      </c>
      <c r="P45" s="15">
        <f t="shared" si="1"/>
        <v>19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17</v>
      </c>
      <c r="N46" s="50">
        <v>0</v>
      </c>
      <c r="O46" s="15">
        <f t="shared" si="0"/>
        <v>2</v>
      </c>
      <c r="P46" s="15">
        <f t="shared" si="1"/>
        <v>19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21</v>
      </c>
      <c r="N47" s="50">
        <v>0</v>
      </c>
      <c r="O47" s="15">
        <f t="shared" si="0"/>
        <v>2</v>
      </c>
      <c r="P47" s="15">
        <f t="shared" si="1"/>
        <v>23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4</v>
      </c>
      <c r="P48" s="15">
        <f t="shared" si="1"/>
        <v>17</v>
      </c>
      <c r="R48" s="8"/>
      <c r="T48"/>
    </row>
    <row r="49" spans="2:20" ht="23.1" customHeight="1" x14ac:dyDescent="0.25">
      <c r="B49" s="23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13</v>
      </c>
      <c r="N49" s="50">
        <v>0</v>
      </c>
      <c r="O49" s="15">
        <f t="shared" si="0"/>
        <v>3</v>
      </c>
      <c r="P49" s="15">
        <f t="shared" si="1"/>
        <v>16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8</v>
      </c>
      <c r="N50" s="50">
        <v>0</v>
      </c>
      <c r="O50" s="15">
        <f t="shared" si="0"/>
        <v>3</v>
      </c>
      <c r="P50" s="15">
        <f t="shared" si="1"/>
        <v>11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1</v>
      </c>
      <c r="F51" s="50">
        <v>1</v>
      </c>
      <c r="G51" s="50">
        <v>0</v>
      </c>
      <c r="H51" s="50">
        <v>0</v>
      </c>
      <c r="I51" s="50">
        <v>3</v>
      </c>
      <c r="J51" s="50">
        <v>0</v>
      </c>
      <c r="K51" s="50">
        <v>0</v>
      </c>
      <c r="L51" s="50">
        <v>0</v>
      </c>
      <c r="M51" s="50">
        <v>14</v>
      </c>
      <c r="N51" s="50">
        <v>0</v>
      </c>
      <c r="O51" s="15">
        <f t="shared" si="0"/>
        <v>5</v>
      </c>
      <c r="P51" s="15">
        <f t="shared" si="1"/>
        <v>19</v>
      </c>
      <c r="R51" s="8"/>
      <c r="T51"/>
    </row>
    <row r="52" spans="2:20" ht="23.1" customHeight="1" x14ac:dyDescent="0.25">
      <c r="B52" s="24" t="s">
        <v>79</v>
      </c>
      <c r="C52" s="50">
        <v>1</v>
      </c>
      <c r="D52" s="50">
        <v>0</v>
      </c>
      <c r="E52" s="50">
        <v>1</v>
      </c>
      <c r="F52" s="50">
        <v>3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5</v>
      </c>
      <c r="P52" s="15">
        <f t="shared" si="1"/>
        <v>17</v>
      </c>
      <c r="R52" s="8"/>
      <c r="T52"/>
    </row>
    <row r="53" spans="2:20" ht="23.1" customHeight="1" x14ac:dyDescent="0.25">
      <c r="B53" s="23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1</v>
      </c>
      <c r="P53" s="15">
        <f t="shared" si="1"/>
        <v>15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1</v>
      </c>
      <c r="G54" s="50">
        <v>1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18</v>
      </c>
      <c r="N54" s="50">
        <v>0</v>
      </c>
      <c r="O54" s="15">
        <f t="shared" si="0"/>
        <v>3</v>
      </c>
      <c r="P54" s="15">
        <f t="shared" si="1"/>
        <v>21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15</v>
      </c>
      <c r="N55" s="50">
        <v>0</v>
      </c>
      <c r="O55" s="15">
        <f t="shared" si="0"/>
        <v>1</v>
      </c>
      <c r="P55" s="15">
        <f t="shared" si="1"/>
        <v>16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</v>
      </c>
      <c r="N56" s="50">
        <v>0</v>
      </c>
      <c r="O56" s="15">
        <f t="shared" si="0"/>
        <v>0</v>
      </c>
      <c r="P56" s="15">
        <f t="shared" si="1"/>
        <v>2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0</v>
      </c>
      <c r="N57" s="50">
        <v>0</v>
      </c>
      <c r="O57" s="15">
        <f t="shared" si="0"/>
        <v>0</v>
      </c>
      <c r="P57" s="15">
        <f t="shared" si="1"/>
        <v>0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</v>
      </c>
      <c r="D58" s="16">
        <f t="shared" si="21"/>
        <v>0</v>
      </c>
      <c r="E58" s="16">
        <f t="shared" si="21"/>
        <v>31</v>
      </c>
      <c r="F58" s="16">
        <f t="shared" si="21"/>
        <v>14</v>
      </c>
      <c r="G58" s="16">
        <f t="shared" si="21"/>
        <v>1</v>
      </c>
      <c r="H58" s="16">
        <f t="shared" si="21"/>
        <v>0</v>
      </c>
      <c r="I58" s="16">
        <f t="shared" si="21"/>
        <v>51</v>
      </c>
      <c r="J58" s="16">
        <f t="shared" si="21"/>
        <v>1</v>
      </c>
      <c r="K58" s="16">
        <f t="shared" si="21"/>
        <v>0</v>
      </c>
      <c r="L58" s="16">
        <f t="shared" si="21"/>
        <v>0</v>
      </c>
      <c r="M58" s="16">
        <f t="shared" si="21"/>
        <v>597</v>
      </c>
      <c r="N58" s="16">
        <f t="shared" si="21"/>
        <v>0</v>
      </c>
      <c r="O58" s="16">
        <f t="shared" si="21"/>
        <v>131</v>
      </c>
      <c r="P58" s="16">
        <f t="shared" si="21"/>
        <v>728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4.5329670329670328E-2</v>
      </c>
      <c r="D59" s="43">
        <f t="shared" si="22"/>
        <v>0</v>
      </c>
      <c r="E59" s="43">
        <f t="shared" si="22"/>
        <v>4.2582417582417584E-2</v>
      </c>
      <c r="F59" s="43">
        <f t="shared" si="22"/>
        <v>1.9230769230769232E-2</v>
      </c>
      <c r="G59" s="43">
        <f t="shared" si="22"/>
        <v>1.3736263736263737E-3</v>
      </c>
      <c r="H59" s="43">
        <f t="shared" si="22"/>
        <v>0</v>
      </c>
      <c r="I59" s="43">
        <f t="shared" si="22"/>
        <v>7.0054945054945056E-2</v>
      </c>
      <c r="J59" s="43">
        <f t="shared" si="22"/>
        <v>1.3736263736263737E-3</v>
      </c>
      <c r="K59" s="43">
        <f t="shared" si="22"/>
        <v>0</v>
      </c>
      <c r="L59" s="43">
        <f t="shared" si="22"/>
        <v>0</v>
      </c>
      <c r="M59" s="43">
        <f t="shared" si="22"/>
        <v>0.82005494505494503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0.25190839694656486</v>
      </c>
      <c r="D60" s="44">
        <f t="shared" ref="D60:N60" si="23">D58/$O$58</f>
        <v>0</v>
      </c>
      <c r="E60" s="44">
        <f t="shared" si="23"/>
        <v>0.23664122137404581</v>
      </c>
      <c r="F60" s="44">
        <f t="shared" si="23"/>
        <v>0.10687022900763359</v>
      </c>
      <c r="G60" s="44">
        <f t="shared" si="23"/>
        <v>7.6335877862595417E-3</v>
      </c>
      <c r="H60" s="44">
        <f t="shared" si="23"/>
        <v>0</v>
      </c>
      <c r="I60" s="44">
        <f t="shared" si="23"/>
        <v>0.38931297709923662</v>
      </c>
      <c r="J60" s="44">
        <f t="shared" si="23"/>
        <v>7.6335877862595417E-3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R57" sqref="R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BUSUNJU-KAMPALA'!C3:G3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173</v>
      </c>
      <c r="E5" s="3"/>
      <c r="F5" s="41" t="s">
        <v>1</v>
      </c>
      <c r="G5" s="63" t="str">
        <f>'11.08 BUSUNJU-KAMPALA'!G5:H5</f>
        <v>MATTE</v>
      </c>
      <c r="H5" s="64"/>
      <c r="I5" s="14"/>
      <c r="J5" s="2" t="s">
        <v>5</v>
      </c>
      <c r="K5" s="63" t="str">
        <f>'11.08 BUSUNJU-KAMPALA'!K5:L5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BUSUNJU-KAMPALA'!D6:E6</f>
        <v>BUSUNJU</v>
      </c>
      <c r="E6" s="64"/>
      <c r="F6" s="2" t="s">
        <v>2</v>
      </c>
      <c r="G6" s="63" t="str">
        <f>'11.08 BUSUNJU-KAMPALA'!G6:H6</f>
        <v>KAMPALA</v>
      </c>
      <c r="H6" s="64"/>
      <c r="J6" s="2" t="s">
        <v>21</v>
      </c>
      <c r="K6" s="63" t="str">
        <f>'11.08 BUSUNJU-KAMPALA'!K6:L6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57" si="0">SUM(C10:L10,N10)</f>
        <v>4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6</v>
      </c>
      <c r="T10" s="17">
        <f t="shared" si="2"/>
        <v>0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40</v>
      </c>
      <c r="AD10" s="17">
        <f t="shared" si="2"/>
        <v>0</v>
      </c>
      <c r="AE10" s="31">
        <f t="shared" si="2"/>
        <v>12</v>
      </c>
      <c r="AF10" s="31">
        <f t="shared" si="2"/>
        <v>52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0</v>
      </c>
      <c r="P11" s="15">
        <f t="shared" si="1"/>
        <v>8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3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67</v>
      </c>
      <c r="AD11" s="17">
        <f t="shared" si="3"/>
        <v>0</v>
      </c>
      <c r="AE11" s="31">
        <f t="shared" si="3"/>
        <v>14</v>
      </c>
      <c r="AF11" s="31">
        <f t="shared" si="3"/>
        <v>81</v>
      </c>
    </row>
    <row r="12" spans="2:32" ht="23.1" customHeight="1" x14ac:dyDescent="0.25">
      <c r="B12" s="23" t="s">
        <v>39</v>
      </c>
      <c r="C12" s="50">
        <v>3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13</v>
      </c>
      <c r="N12" s="50">
        <v>0</v>
      </c>
      <c r="O12" s="15">
        <f t="shared" si="0"/>
        <v>4</v>
      </c>
      <c r="P12" s="15">
        <f t="shared" si="1"/>
        <v>17</v>
      </c>
      <c r="R12" s="1" t="s">
        <v>8</v>
      </c>
      <c r="S12" s="17">
        <f t="shared" ref="S12:AF12" si="4">SUM(C18:C21)</f>
        <v>1</v>
      </c>
      <c r="T12" s="17">
        <f t="shared" si="4"/>
        <v>0</v>
      </c>
      <c r="U12" s="17">
        <f t="shared" si="4"/>
        <v>2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63</v>
      </c>
      <c r="AD12" s="17">
        <f t="shared" si="4"/>
        <v>0</v>
      </c>
      <c r="AE12" s="31">
        <f t="shared" si="4"/>
        <v>10</v>
      </c>
      <c r="AF12" s="31">
        <f t="shared" si="4"/>
        <v>73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12</v>
      </c>
      <c r="N13" s="50">
        <v>0</v>
      </c>
      <c r="O13" s="15">
        <f t="shared" si="0"/>
        <v>4</v>
      </c>
      <c r="P13" s="15">
        <f t="shared" si="1"/>
        <v>16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59</v>
      </c>
      <c r="AD13" s="17">
        <f t="shared" si="5"/>
        <v>0</v>
      </c>
      <c r="AE13" s="31">
        <f t="shared" si="5"/>
        <v>12</v>
      </c>
      <c r="AF13" s="31">
        <f t="shared" si="5"/>
        <v>71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13</v>
      </c>
      <c r="N14" s="50">
        <v>0</v>
      </c>
      <c r="O14" s="15">
        <f t="shared" si="0"/>
        <v>2</v>
      </c>
      <c r="P14" s="15">
        <f t="shared" si="1"/>
        <v>15</v>
      </c>
      <c r="R14" s="1" t="s">
        <v>10</v>
      </c>
      <c r="S14" s="17">
        <f t="shared" ref="S14:AF14" si="6">SUM(C26:C29)</f>
        <v>3</v>
      </c>
      <c r="T14" s="17">
        <f t="shared" si="6"/>
        <v>0</v>
      </c>
      <c r="U14" s="17">
        <f t="shared" si="6"/>
        <v>1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1</v>
      </c>
      <c r="AA14" s="17">
        <f t="shared" si="6"/>
        <v>1</v>
      </c>
      <c r="AB14" s="17">
        <f t="shared" si="6"/>
        <v>0</v>
      </c>
      <c r="AC14" s="17">
        <f t="shared" si="6"/>
        <v>74</v>
      </c>
      <c r="AD14" s="17">
        <f t="shared" si="6"/>
        <v>0</v>
      </c>
      <c r="AE14" s="31">
        <f t="shared" si="6"/>
        <v>12</v>
      </c>
      <c r="AF14" s="31">
        <f t="shared" si="6"/>
        <v>86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2</v>
      </c>
      <c r="J15" s="50">
        <v>0</v>
      </c>
      <c r="K15" s="50">
        <v>0</v>
      </c>
      <c r="L15" s="50">
        <v>0</v>
      </c>
      <c r="M15" s="50">
        <v>16</v>
      </c>
      <c r="N15" s="50">
        <v>0</v>
      </c>
      <c r="O15" s="15">
        <f t="shared" si="0"/>
        <v>2</v>
      </c>
      <c r="P15" s="15">
        <f t="shared" si="1"/>
        <v>18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2</v>
      </c>
      <c r="V15" s="17">
        <f t="shared" si="7"/>
        <v>4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79</v>
      </c>
      <c r="AD15" s="17">
        <f t="shared" si="7"/>
        <v>0</v>
      </c>
      <c r="AE15" s="31">
        <f t="shared" si="7"/>
        <v>17</v>
      </c>
      <c r="AF15" s="31">
        <f t="shared" si="7"/>
        <v>96</v>
      </c>
    </row>
    <row r="16" spans="2:32" ht="23.1" customHeight="1" x14ac:dyDescent="0.25">
      <c r="B16" s="23" t="s">
        <v>43</v>
      </c>
      <c r="C16" s="50">
        <v>1</v>
      </c>
      <c r="D16" s="50">
        <v>0</v>
      </c>
      <c r="E16" s="50">
        <v>2</v>
      </c>
      <c r="F16" s="50">
        <v>1</v>
      </c>
      <c r="G16" s="50">
        <v>0</v>
      </c>
      <c r="H16" s="50">
        <v>0</v>
      </c>
      <c r="I16" s="50">
        <v>3</v>
      </c>
      <c r="J16" s="50">
        <v>0</v>
      </c>
      <c r="K16" s="50">
        <v>0</v>
      </c>
      <c r="L16" s="50">
        <v>0</v>
      </c>
      <c r="M16" s="50">
        <v>21</v>
      </c>
      <c r="N16" s="50">
        <v>0</v>
      </c>
      <c r="O16" s="15">
        <f t="shared" si="0"/>
        <v>7</v>
      </c>
      <c r="P16" s="15">
        <f t="shared" si="1"/>
        <v>28</v>
      </c>
      <c r="R16" s="1" t="s">
        <v>12</v>
      </c>
      <c r="S16" s="17">
        <f t="shared" ref="S16:AF16" si="8">SUM(C34:C37)</f>
        <v>1</v>
      </c>
      <c r="T16" s="17">
        <f t="shared" si="8"/>
        <v>0</v>
      </c>
      <c r="U16" s="17">
        <f t="shared" si="8"/>
        <v>6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64</v>
      </c>
      <c r="AD16" s="17">
        <f t="shared" si="8"/>
        <v>0</v>
      </c>
      <c r="AE16" s="31">
        <f t="shared" si="8"/>
        <v>10</v>
      </c>
      <c r="AF16" s="31">
        <f t="shared" si="8"/>
        <v>74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17</v>
      </c>
      <c r="N17" s="50">
        <v>0</v>
      </c>
      <c r="O17" s="15">
        <f t="shared" si="0"/>
        <v>3</v>
      </c>
      <c r="P17" s="15">
        <f t="shared" si="1"/>
        <v>20</v>
      </c>
      <c r="R17" s="1" t="s">
        <v>13</v>
      </c>
      <c r="S17" s="17">
        <f t="shared" ref="S17:AF17" si="9">SUM(C38:C41)</f>
        <v>5</v>
      </c>
      <c r="T17" s="17">
        <f t="shared" si="9"/>
        <v>0</v>
      </c>
      <c r="U17" s="17">
        <f t="shared" si="9"/>
        <v>4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76</v>
      </c>
      <c r="AD17" s="17">
        <f t="shared" si="9"/>
        <v>0</v>
      </c>
      <c r="AE17" s="31">
        <f t="shared" si="9"/>
        <v>15</v>
      </c>
      <c r="AF17" s="31">
        <f t="shared" si="9"/>
        <v>91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1</v>
      </c>
      <c r="P18" s="15">
        <f t="shared" si="1"/>
        <v>16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2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9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82</v>
      </c>
      <c r="AD18" s="17">
        <f t="shared" si="10"/>
        <v>0</v>
      </c>
      <c r="AE18" s="31">
        <f t="shared" si="10"/>
        <v>15</v>
      </c>
      <c r="AF18" s="31">
        <f t="shared" si="10"/>
        <v>97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17</v>
      </c>
      <c r="N19" s="50">
        <v>0</v>
      </c>
      <c r="O19" s="15">
        <f t="shared" si="0"/>
        <v>2</v>
      </c>
      <c r="P19" s="15">
        <f t="shared" si="1"/>
        <v>19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8</v>
      </c>
      <c r="V19" s="17">
        <f t="shared" si="11"/>
        <v>4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87</v>
      </c>
      <c r="AD19" s="17">
        <f t="shared" si="11"/>
        <v>0</v>
      </c>
      <c r="AE19" s="31">
        <f t="shared" si="11"/>
        <v>23</v>
      </c>
      <c r="AF19" s="31">
        <f t="shared" si="11"/>
        <v>110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0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14</v>
      </c>
      <c r="N20" s="50">
        <v>0</v>
      </c>
      <c r="O20" s="15">
        <f t="shared" si="0"/>
        <v>2</v>
      </c>
      <c r="P20" s="15">
        <f t="shared" si="1"/>
        <v>16</v>
      </c>
      <c r="R20" s="1" t="s">
        <v>16</v>
      </c>
      <c r="S20" s="17">
        <f t="shared" ref="S20:AF20" si="12">SUM(C50:C53)</f>
        <v>12</v>
      </c>
      <c r="T20" s="17">
        <f t="shared" si="12"/>
        <v>0</v>
      </c>
      <c r="U20" s="17">
        <f t="shared" si="12"/>
        <v>9</v>
      </c>
      <c r="V20" s="17">
        <f t="shared" si="12"/>
        <v>4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82</v>
      </c>
      <c r="AD20" s="17">
        <f t="shared" si="12"/>
        <v>0</v>
      </c>
      <c r="AE20" s="31">
        <f t="shared" si="12"/>
        <v>29</v>
      </c>
      <c r="AF20" s="31">
        <f t="shared" si="12"/>
        <v>111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4</v>
      </c>
      <c r="J21" s="50">
        <v>0</v>
      </c>
      <c r="K21" s="50">
        <v>0</v>
      </c>
      <c r="L21" s="50">
        <v>0</v>
      </c>
      <c r="M21" s="50">
        <v>17</v>
      </c>
      <c r="N21" s="50">
        <v>0</v>
      </c>
      <c r="O21" s="15">
        <f t="shared" si="0"/>
        <v>5</v>
      </c>
      <c r="P21" s="15">
        <f t="shared" si="1"/>
        <v>22</v>
      </c>
      <c r="R21" s="36" t="s">
        <v>20</v>
      </c>
      <c r="S21" s="34">
        <f t="shared" ref="S21:AF21" si="13">SUM(C54:C57)</f>
        <v>5</v>
      </c>
      <c r="T21" s="17">
        <f t="shared" si="13"/>
        <v>0</v>
      </c>
      <c r="U21" s="17">
        <f t="shared" si="13"/>
        <v>6</v>
      </c>
      <c r="V21" s="17">
        <f t="shared" si="13"/>
        <v>3</v>
      </c>
      <c r="W21" s="17">
        <f t="shared" si="13"/>
        <v>1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67</v>
      </c>
      <c r="AD21" s="17">
        <f t="shared" si="13"/>
        <v>0</v>
      </c>
      <c r="AE21" s="31">
        <f t="shared" si="13"/>
        <v>18</v>
      </c>
      <c r="AF21" s="31">
        <f t="shared" si="13"/>
        <v>85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1</v>
      </c>
      <c r="P22" s="15">
        <f t="shared" si="1"/>
        <v>14</v>
      </c>
      <c r="R22" s="38" t="s">
        <v>90</v>
      </c>
      <c r="S22" s="39">
        <f>MAX(S10:S12)</f>
        <v>6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7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67</v>
      </c>
      <c r="AD22" s="39">
        <f t="shared" si="14"/>
        <v>0</v>
      </c>
      <c r="AE22" s="40">
        <f t="shared" si="14"/>
        <v>14</v>
      </c>
      <c r="AF22" s="40">
        <f t="shared" si="14"/>
        <v>81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4</v>
      </c>
      <c r="J23" s="50">
        <v>0</v>
      </c>
      <c r="K23" s="50">
        <v>0</v>
      </c>
      <c r="L23" s="50">
        <v>0</v>
      </c>
      <c r="M23" s="50">
        <v>13</v>
      </c>
      <c r="N23" s="50">
        <v>0</v>
      </c>
      <c r="O23" s="15">
        <f t="shared" si="0"/>
        <v>6</v>
      </c>
      <c r="P23" s="15">
        <f t="shared" si="1"/>
        <v>19</v>
      </c>
      <c r="R23" s="38" t="s">
        <v>91</v>
      </c>
      <c r="S23" s="39">
        <f>MAX(S13:S18)</f>
        <v>5</v>
      </c>
      <c r="T23" s="39">
        <f t="shared" ref="T23:AF23" si="15">MAX(T13:T18)</f>
        <v>0</v>
      </c>
      <c r="U23" s="39">
        <f t="shared" si="15"/>
        <v>6</v>
      </c>
      <c r="V23" s="39">
        <f t="shared" si="15"/>
        <v>4</v>
      </c>
      <c r="W23" s="39">
        <f t="shared" si="15"/>
        <v>0</v>
      </c>
      <c r="X23" s="39">
        <f t="shared" si="15"/>
        <v>0</v>
      </c>
      <c r="Y23" s="39">
        <f t="shared" si="15"/>
        <v>9</v>
      </c>
      <c r="Z23" s="39">
        <f t="shared" si="15"/>
        <v>1</v>
      </c>
      <c r="AA23" s="39">
        <f t="shared" si="15"/>
        <v>1</v>
      </c>
      <c r="AB23" s="39">
        <f t="shared" si="15"/>
        <v>0</v>
      </c>
      <c r="AC23" s="39">
        <f t="shared" si="15"/>
        <v>82</v>
      </c>
      <c r="AD23" s="39">
        <f t="shared" si="15"/>
        <v>0</v>
      </c>
      <c r="AE23" s="40">
        <f t="shared" si="15"/>
        <v>17</v>
      </c>
      <c r="AF23" s="40">
        <f t="shared" si="15"/>
        <v>97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16</v>
      </c>
      <c r="N24" s="50">
        <v>0</v>
      </c>
      <c r="O24" s="15">
        <f t="shared" si="0"/>
        <v>3</v>
      </c>
      <c r="P24" s="15">
        <f t="shared" si="1"/>
        <v>19</v>
      </c>
      <c r="R24" s="38" t="s">
        <v>92</v>
      </c>
      <c r="S24" s="39">
        <f>MAX(S19:S21)</f>
        <v>12</v>
      </c>
      <c r="T24" s="39">
        <f t="shared" ref="T24:AF24" si="16">MAX(T19:T21)</f>
        <v>0</v>
      </c>
      <c r="U24" s="39">
        <f t="shared" si="16"/>
        <v>9</v>
      </c>
      <c r="V24" s="39">
        <f t="shared" si="16"/>
        <v>4</v>
      </c>
      <c r="W24" s="39">
        <f t="shared" si="16"/>
        <v>1</v>
      </c>
      <c r="X24" s="39">
        <f t="shared" si="16"/>
        <v>0</v>
      </c>
      <c r="Y24" s="39">
        <f t="shared" si="16"/>
        <v>7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87</v>
      </c>
      <c r="AD24" s="39">
        <f t="shared" si="16"/>
        <v>0</v>
      </c>
      <c r="AE24" s="40">
        <f t="shared" si="16"/>
        <v>29</v>
      </c>
      <c r="AF24" s="40">
        <f t="shared" si="16"/>
        <v>111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17</v>
      </c>
      <c r="N25" s="50">
        <v>0</v>
      </c>
      <c r="O25" s="15">
        <f t="shared" si="0"/>
        <v>2</v>
      </c>
      <c r="P25" s="15">
        <f t="shared" si="1"/>
        <v>19</v>
      </c>
      <c r="R25" s="37" t="s">
        <v>85</v>
      </c>
      <c r="S25" s="35">
        <f t="shared" ref="S25:AF25" si="17">SUM(S10:S12)</f>
        <v>9</v>
      </c>
      <c r="T25" s="16">
        <f t="shared" si="17"/>
        <v>0</v>
      </c>
      <c r="U25" s="16">
        <f t="shared" si="17"/>
        <v>7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17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170</v>
      </c>
      <c r="AD25" s="16">
        <f t="shared" si="17"/>
        <v>0</v>
      </c>
      <c r="AE25" s="32">
        <f t="shared" si="17"/>
        <v>36</v>
      </c>
      <c r="AF25" s="32">
        <f t="shared" si="17"/>
        <v>206</v>
      </c>
    </row>
    <row r="26" spans="2:32" ht="23.1" customHeight="1" x14ac:dyDescent="0.25">
      <c r="B26" s="23" t="s">
        <v>53</v>
      </c>
      <c r="C26" s="50">
        <v>1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17</v>
      </c>
      <c r="N26" s="50">
        <v>0</v>
      </c>
      <c r="O26" s="15">
        <f t="shared" si="0"/>
        <v>5</v>
      </c>
      <c r="P26" s="15">
        <f t="shared" si="1"/>
        <v>22</v>
      </c>
      <c r="R26" s="28" t="s">
        <v>86</v>
      </c>
      <c r="S26" s="16">
        <f t="shared" ref="S26:AF26" si="18">SUM(S13:S18)</f>
        <v>18</v>
      </c>
      <c r="T26" s="16">
        <f t="shared" si="18"/>
        <v>0</v>
      </c>
      <c r="U26" s="16">
        <f t="shared" si="18"/>
        <v>16</v>
      </c>
      <c r="V26" s="16">
        <f t="shared" si="18"/>
        <v>6</v>
      </c>
      <c r="W26" s="16">
        <f t="shared" si="18"/>
        <v>0</v>
      </c>
      <c r="X26" s="16">
        <f t="shared" si="18"/>
        <v>0</v>
      </c>
      <c r="Y26" s="16">
        <f t="shared" si="18"/>
        <v>38</v>
      </c>
      <c r="Z26" s="16">
        <f t="shared" si="18"/>
        <v>2</v>
      </c>
      <c r="AA26" s="16">
        <f t="shared" si="18"/>
        <v>1</v>
      </c>
      <c r="AB26" s="16">
        <f t="shared" si="18"/>
        <v>0</v>
      </c>
      <c r="AC26" s="16">
        <f t="shared" si="18"/>
        <v>434</v>
      </c>
      <c r="AD26" s="16">
        <f t="shared" si="18"/>
        <v>0</v>
      </c>
      <c r="AE26" s="32">
        <f t="shared" si="18"/>
        <v>81</v>
      </c>
      <c r="AF26" s="32">
        <f t="shared" si="18"/>
        <v>515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1</v>
      </c>
      <c r="K27" s="50">
        <v>1</v>
      </c>
      <c r="L27" s="50">
        <v>0</v>
      </c>
      <c r="M27" s="50">
        <v>17</v>
      </c>
      <c r="N27" s="50">
        <v>0</v>
      </c>
      <c r="O27" s="15">
        <f t="shared" si="0"/>
        <v>5</v>
      </c>
      <c r="P27" s="15">
        <f t="shared" si="1"/>
        <v>22</v>
      </c>
      <c r="R27" s="29" t="s">
        <v>87</v>
      </c>
      <c r="S27" s="16">
        <f t="shared" ref="S27:AF27" si="19">SUM(S19:S21)</f>
        <v>21</v>
      </c>
      <c r="T27" s="16">
        <f t="shared" si="19"/>
        <v>0</v>
      </c>
      <c r="U27" s="16">
        <f t="shared" si="19"/>
        <v>23</v>
      </c>
      <c r="V27" s="16">
        <f t="shared" si="19"/>
        <v>11</v>
      </c>
      <c r="W27" s="16">
        <f t="shared" si="19"/>
        <v>1</v>
      </c>
      <c r="X27" s="16">
        <f t="shared" si="19"/>
        <v>0</v>
      </c>
      <c r="Y27" s="16">
        <f t="shared" si="19"/>
        <v>14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236</v>
      </c>
      <c r="AD27" s="16">
        <f t="shared" si="19"/>
        <v>0</v>
      </c>
      <c r="AE27" s="32">
        <f t="shared" si="19"/>
        <v>70</v>
      </c>
      <c r="AF27" s="32">
        <f t="shared" si="19"/>
        <v>306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27</v>
      </c>
      <c r="N28" s="50">
        <v>0</v>
      </c>
      <c r="O28" s="15">
        <f t="shared" si="0"/>
        <v>0</v>
      </c>
      <c r="P28" s="15">
        <f t="shared" si="1"/>
        <v>27</v>
      </c>
      <c r="R28" s="5" t="s">
        <v>17</v>
      </c>
      <c r="S28" s="16">
        <f t="shared" ref="S28:AF28" si="20">SUM(S10:S21)</f>
        <v>48</v>
      </c>
      <c r="T28" s="16">
        <f t="shared" si="20"/>
        <v>0</v>
      </c>
      <c r="U28" s="16">
        <f t="shared" si="20"/>
        <v>46</v>
      </c>
      <c r="V28" s="16">
        <f t="shared" si="20"/>
        <v>20</v>
      </c>
      <c r="W28" s="16">
        <f t="shared" si="20"/>
        <v>1</v>
      </c>
      <c r="X28" s="16">
        <f t="shared" si="20"/>
        <v>0</v>
      </c>
      <c r="Y28" s="16">
        <f t="shared" si="20"/>
        <v>69</v>
      </c>
      <c r="Z28" s="16">
        <f t="shared" si="20"/>
        <v>2</v>
      </c>
      <c r="AA28" s="16">
        <f t="shared" si="20"/>
        <v>1</v>
      </c>
      <c r="AB28" s="16">
        <f t="shared" si="20"/>
        <v>0</v>
      </c>
      <c r="AC28" s="16">
        <f t="shared" si="20"/>
        <v>840</v>
      </c>
      <c r="AD28" s="16">
        <f t="shared" si="20"/>
        <v>0</v>
      </c>
      <c r="AE28" s="32">
        <f t="shared" si="20"/>
        <v>187</v>
      </c>
      <c r="AF28" s="32">
        <f t="shared" si="20"/>
        <v>1027</v>
      </c>
    </row>
    <row r="29" spans="2:32" ht="23.1" customHeight="1" x14ac:dyDescent="0.25">
      <c r="B29" s="23" t="s">
        <v>56</v>
      </c>
      <c r="C29" s="50">
        <v>1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13</v>
      </c>
      <c r="N29" s="50">
        <v>0</v>
      </c>
      <c r="O29" s="15">
        <f t="shared" si="0"/>
        <v>2</v>
      </c>
      <c r="P29" s="15">
        <f t="shared" si="1"/>
        <v>15</v>
      </c>
      <c r="R29"/>
      <c r="S29" s="20"/>
      <c r="T29" s="19"/>
    </row>
    <row r="30" spans="2:32" ht="23.1" customHeight="1" x14ac:dyDescent="0.25">
      <c r="B30" s="23" t="s">
        <v>57</v>
      </c>
      <c r="C30" s="50">
        <v>1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18</v>
      </c>
      <c r="N30" s="50">
        <v>0</v>
      </c>
      <c r="O30" s="15">
        <f t="shared" si="0"/>
        <v>3</v>
      </c>
      <c r="P30" s="15">
        <f t="shared" si="1"/>
        <v>21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16</v>
      </c>
      <c r="N31" s="50">
        <v>0</v>
      </c>
      <c r="O31" s="15">
        <f t="shared" si="0"/>
        <v>3</v>
      </c>
      <c r="P31" s="15">
        <f t="shared" si="1"/>
        <v>19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22</v>
      </c>
      <c r="N32" s="50">
        <v>0</v>
      </c>
      <c r="O32" s="15">
        <f t="shared" si="0"/>
        <v>7</v>
      </c>
      <c r="P32" s="15">
        <f t="shared" si="1"/>
        <v>29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1</v>
      </c>
      <c r="F33" s="50">
        <v>2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23</v>
      </c>
      <c r="N33" s="50">
        <v>0</v>
      </c>
      <c r="O33" s="15">
        <f t="shared" si="0"/>
        <v>4</v>
      </c>
      <c r="P33" s="15">
        <f t="shared" si="1"/>
        <v>27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14</v>
      </c>
      <c r="N34" s="50">
        <v>0</v>
      </c>
      <c r="O34" s="15">
        <f t="shared" si="0"/>
        <v>2</v>
      </c>
      <c r="P34" s="15">
        <f t="shared" si="1"/>
        <v>16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1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1</v>
      </c>
      <c r="P35" s="15">
        <f t="shared" si="1"/>
        <v>14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4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19</v>
      </c>
      <c r="N36" s="50">
        <v>0</v>
      </c>
      <c r="O36" s="15">
        <f t="shared" si="0"/>
        <v>4</v>
      </c>
      <c r="P36" s="15">
        <f t="shared" si="1"/>
        <v>23</v>
      </c>
    </row>
    <row r="37" spans="2:20" ht="23.1" customHeight="1" x14ac:dyDescent="0.25">
      <c r="B37" s="23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18</v>
      </c>
      <c r="N37" s="50">
        <v>0</v>
      </c>
      <c r="O37" s="15">
        <f t="shared" si="0"/>
        <v>3</v>
      </c>
      <c r="P37" s="15">
        <f t="shared" si="1"/>
        <v>21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24</v>
      </c>
      <c r="N38" s="50">
        <v>0</v>
      </c>
      <c r="O38" s="15">
        <f t="shared" si="0"/>
        <v>3</v>
      </c>
      <c r="P38" s="15">
        <f t="shared" si="1"/>
        <v>27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2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15</v>
      </c>
      <c r="N39" s="50">
        <v>0</v>
      </c>
      <c r="O39" s="15">
        <f t="shared" si="0"/>
        <v>6</v>
      </c>
      <c r="P39" s="15">
        <f t="shared" si="1"/>
        <v>21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17</v>
      </c>
      <c r="N40" s="50">
        <v>0</v>
      </c>
      <c r="O40" s="15">
        <f t="shared" si="0"/>
        <v>2</v>
      </c>
      <c r="P40" s="15">
        <f t="shared" si="1"/>
        <v>19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20</v>
      </c>
      <c r="N41" s="50">
        <v>0</v>
      </c>
      <c r="O41" s="15">
        <f t="shared" si="0"/>
        <v>4</v>
      </c>
      <c r="P41" s="15">
        <f t="shared" si="1"/>
        <v>24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1</v>
      </c>
      <c r="J42" s="50">
        <v>0</v>
      </c>
      <c r="K42" s="50">
        <v>0</v>
      </c>
      <c r="L42" s="50">
        <v>0</v>
      </c>
      <c r="M42" s="50">
        <v>19</v>
      </c>
      <c r="N42" s="50">
        <v>0</v>
      </c>
      <c r="O42" s="15">
        <f t="shared" si="0"/>
        <v>1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1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21</v>
      </c>
      <c r="N43" s="50">
        <v>0</v>
      </c>
      <c r="O43" s="15">
        <f t="shared" si="0"/>
        <v>2</v>
      </c>
      <c r="P43" s="15">
        <f t="shared" si="1"/>
        <v>23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50">
        <v>23</v>
      </c>
      <c r="N44" s="50">
        <v>0</v>
      </c>
      <c r="O44" s="15">
        <f t="shared" si="0"/>
        <v>4</v>
      </c>
      <c r="P44" s="15">
        <f t="shared" si="1"/>
        <v>27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6</v>
      </c>
      <c r="J45" s="50">
        <v>0</v>
      </c>
      <c r="K45" s="50">
        <v>0</v>
      </c>
      <c r="L45" s="50">
        <v>0</v>
      </c>
      <c r="M45" s="50">
        <v>19</v>
      </c>
      <c r="N45" s="50">
        <v>0</v>
      </c>
      <c r="O45" s="15">
        <f t="shared" si="0"/>
        <v>8</v>
      </c>
      <c r="P45" s="15">
        <f t="shared" si="1"/>
        <v>27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21</v>
      </c>
      <c r="N46" s="50">
        <v>0</v>
      </c>
      <c r="O46" s="15">
        <f t="shared" si="0"/>
        <v>2</v>
      </c>
      <c r="P46" s="15">
        <f t="shared" si="1"/>
        <v>23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4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16</v>
      </c>
      <c r="N47" s="50">
        <v>0</v>
      </c>
      <c r="O47" s="15">
        <f t="shared" si="0"/>
        <v>6</v>
      </c>
      <c r="P47" s="15">
        <f t="shared" si="1"/>
        <v>22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2</v>
      </c>
      <c r="F48" s="50">
        <v>3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29</v>
      </c>
      <c r="N48" s="50">
        <v>0</v>
      </c>
      <c r="O48" s="15">
        <f t="shared" si="0"/>
        <v>8</v>
      </c>
      <c r="P48" s="15">
        <f t="shared" si="1"/>
        <v>37</v>
      </c>
      <c r="R48" s="8"/>
      <c r="T48"/>
    </row>
    <row r="49" spans="2:20" ht="23.1" customHeight="1" x14ac:dyDescent="0.25">
      <c r="B49" s="23" t="s">
        <v>76</v>
      </c>
      <c r="C49" s="50">
        <v>3</v>
      </c>
      <c r="D49" s="50">
        <v>0</v>
      </c>
      <c r="E49" s="50">
        <v>1</v>
      </c>
      <c r="F49" s="50">
        <v>1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21</v>
      </c>
      <c r="N49" s="50">
        <v>0</v>
      </c>
      <c r="O49" s="15">
        <f t="shared" si="0"/>
        <v>7</v>
      </c>
      <c r="P49" s="15">
        <f t="shared" si="1"/>
        <v>28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5</v>
      </c>
      <c r="F50" s="50">
        <v>2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24</v>
      </c>
      <c r="N50" s="50">
        <v>0</v>
      </c>
      <c r="O50" s="15">
        <f t="shared" si="0"/>
        <v>10</v>
      </c>
      <c r="P50" s="15">
        <f t="shared" si="1"/>
        <v>34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2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19</v>
      </c>
      <c r="N51" s="50">
        <v>0</v>
      </c>
      <c r="O51" s="15">
        <f t="shared" si="0"/>
        <v>3</v>
      </c>
      <c r="P51" s="15">
        <f t="shared" si="1"/>
        <v>22</v>
      </c>
      <c r="R51" s="8"/>
      <c r="T51"/>
    </row>
    <row r="52" spans="2:20" ht="23.1" customHeight="1" x14ac:dyDescent="0.25">
      <c r="B52" s="24" t="s">
        <v>79</v>
      </c>
      <c r="C52" s="50">
        <v>4</v>
      </c>
      <c r="D52" s="50">
        <v>0</v>
      </c>
      <c r="E52" s="50">
        <v>1</v>
      </c>
      <c r="F52" s="50">
        <v>2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26</v>
      </c>
      <c r="N52" s="50">
        <v>0</v>
      </c>
      <c r="O52" s="15">
        <f t="shared" si="0"/>
        <v>7</v>
      </c>
      <c r="P52" s="15">
        <f t="shared" si="1"/>
        <v>33</v>
      </c>
      <c r="R52" s="8"/>
      <c r="T52"/>
    </row>
    <row r="53" spans="2:20" ht="23.1" customHeight="1" x14ac:dyDescent="0.25">
      <c r="B53" s="23" t="s">
        <v>80</v>
      </c>
      <c r="C53" s="50">
        <v>4</v>
      </c>
      <c r="D53" s="50">
        <v>0</v>
      </c>
      <c r="E53" s="50">
        <v>1</v>
      </c>
      <c r="F53" s="50">
        <v>0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9</v>
      </c>
      <c r="P53" s="15">
        <f t="shared" si="1"/>
        <v>22</v>
      </c>
      <c r="R53" s="8"/>
      <c r="T53"/>
    </row>
    <row r="54" spans="2:20" ht="23.1" customHeight="1" x14ac:dyDescent="0.25">
      <c r="B54" s="23" t="s">
        <v>81</v>
      </c>
      <c r="C54" s="50">
        <v>2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16</v>
      </c>
      <c r="N54" s="50">
        <v>0</v>
      </c>
      <c r="O54" s="15">
        <f t="shared" si="0"/>
        <v>4</v>
      </c>
      <c r="P54" s="15">
        <f t="shared" si="1"/>
        <v>20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4</v>
      </c>
      <c r="F55" s="50">
        <v>1</v>
      </c>
      <c r="G55" s="50">
        <v>1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15</v>
      </c>
      <c r="N55" s="50">
        <v>0</v>
      </c>
      <c r="O55" s="15">
        <f t="shared" si="0"/>
        <v>7</v>
      </c>
      <c r="P55" s="15">
        <f t="shared" si="1"/>
        <v>22</v>
      </c>
      <c r="R55" s="8"/>
      <c r="T55"/>
    </row>
    <row r="56" spans="2:20" ht="23.1" customHeight="1" x14ac:dyDescent="0.25">
      <c r="B56" s="23" t="s">
        <v>83</v>
      </c>
      <c r="C56" s="50">
        <v>1</v>
      </c>
      <c r="D56" s="50">
        <v>0</v>
      </c>
      <c r="E56" s="50">
        <v>1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16</v>
      </c>
      <c r="N56" s="50">
        <v>0</v>
      </c>
      <c r="O56" s="15">
        <f t="shared" si="0"/>
        <v>3</v>
      </c>
      <c r="P56" s="15">
        <f t="shared" si="1"/>
        <v>19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1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20</v>
      </c>
      <c r="N57" s="50">
        <v>0</v>
      </c>
      <c r="O57" s="15">
        <f t="shared" si="0"/>
        <v>4</v>
      </c>
      <c r="P57" s="15">
        <f t="shared" si="1"/>
        <v>24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48</v>
      </c>
      <c r="D58" s="16">
        <f t="shared" si="21"/>
        <v>0</v>
      </c>
      <c r="E58" s="16">
        <f t="shared" si="21"/>
        <v>46</v>
      </c>
      <c r="F58" s="16">
        <f t="shared" si="21"/>
        <v>20</v>
      </c>
      <c r="G58" s="16">
        <f t="shared" si="21"/>
        <v>1</v>
      </c>
      <c r="H58" s="16">
        <f t="shared" si="21"/>
        <v>0</v>
      </c>
      <c r="I58" s="16">
        <f t="shared" si="21"/>
        <v>69</v>
      </c>
      <c r="J58" s="16">
        <f t="shared" si="21"/>
        <v>2</v>
      </c>
      <c r="K58" s="16">
        <f t="shared" si="21"/>
        <v>1</v>
      </c>
      <c r="L58" s="16">
        <f t="shared" si="21"/>
        <v>0</v>
      </c>
      <c r="M58" s="16">
        <f t="shared" si="21"/>
        <v>840</v>
      </c>
      <c r="N58" s="16">
        <f t="shared" si="21"/>
        <v>0</v>
      </c>
      <c r="O58" s="16">
        <f t="shared" si="21"/>
        <v>187</v>
      </c>
      <c r="P58" s="16">
        <f t="shared" si="21"/>
        <v>1027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4.6738072054527749E-2</v>
      </c>
      <c r="D59" s="43">
        <f t="shared" si="22"/>
        <v>0</v>
      </c>
      <c r="E59" s="43">
        <f t="shared" si="22"/>
        <v>4.4790652385589096E-2</v>
      </c>
      <c r="F59" s="43">
        <f t="shared" si="22"/>
        <v>1.9474196689386564E-2</v>
      </c>
      <c r="G59" s="43">
        <f t="shared" si="22"/>
        <v>9.7370983446932818E-4</v>
      </c>
      <c r="H59" s="43">
        <f t="shared" si="22"/>
        <v>0</v>
      </c>
      <c r="I59" s="43">
        <f t="shared" si="22"/>
        <v>6.718597857838364E-2</v>
      </c>
      <c r="J59" s="43">
        <f t="shared" si="22"/>
        <v>1.9474196689386564E-3</v>
      </c>
      <c r="K59" s="43">
        <f t="shared" si="22"/>
        <v>9.7370983446932818E-4</v>
      </c>
      <c r="L59" s="43">
        <f t="shared" si="22"/>
        <v>0</v>
      </c>
      <c r="M59" s="43">
        <f t="shared" si="22"/>
        <v>0.81791626095423564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0.25668449197860965</v>
      </c>
      <c r="D60" s="44">
        <f t="shared" ref="D60:N60" si="23">D58/$O$58</f>
        <v>0</v>
      </c>
      <c r="E60" s="44">
        <f t="shared" si="23"/>
        <v>0.24598930481283424</v>
      </c>
      <c r="F60" s="44">
        <f t="shared" si="23"/>
        <v>0.10695187165775401</v>
      </c>
      <c r="G60" s="44">
        <f t="shared" si="23"/>
        <v>5.3475935828877002E-3</v>
      </c>
      <c r="H60" s="44">
        <f t="shared" si="23"/>
        <v>0</v>
      </c>
      <c r="I60" s="44">
        <f t="shared" si="23"/>
        <v>0.36898395721925131</v>
      </c>
      <c r="J60" s="44">
        <f t="shared" si="23"/>
        <v>1.06951871657754E-2</v>
      </c>
      <c r="K60" s="44">
        <f t="shared" si="23"/>
        <v>5.3475935828877002E-3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KAMPALA-BUSUNJU'!C3:G3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'13.08 BUSUNJU-KAMPALA'!D5</f>
        <v>13.08.19</v>
      </c>
      <c r="E5" s="3"/>
      <c r="F5" s="41" t="s">
        <v>1</v>
      </c>
      <c r="G5" s="63" t="str">
        <f>'11.08 BUSUNJU-KAMPALA'!G5:H5</f>
        <v>MATTE</v>
      </c>
      <c r="H5" s="64"/>
      <c r="I5" s="14"/>
      <c r="J5" s="2" t="s">
        <v>5</v>
      </c>
      <c r="K5" s="63" t="str">
        <f>'11.08 BUSUNJU-KAMPALA'!K5:L5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KAMPALA-BUSUNJU'!D6:E6</f>
        <v>KAMPALA</v>
      </c>
      <c r="E6" s="64"/>
      <c r="F6" s="2" t="s">
        <v>2</v>
      </c>
      <c r="G6" s="63" t="str">
        <f>'11.08 KAMPALA-BUSUNJU'!G6:H6</f>
        <v>BUSUNJU</v>
      </c>
      <c r="H6" s="64"/>
      <c r="J6" s="2" t="s">
        <v>21</v>
      </c>
      <c r="K6" s="63" t="str">
        <f>'11.08 BUSUNJU-KAMPALA'!K6:L6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8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2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7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36</v>
      </c>
      <c r="AD10" s="17">
        <f t="shared" si="2"/>
        <v>0</v>
      </c>
      <c r="AE10" s="31">
        <f t="shared" si="2"/>
        <v>11</v>
      </c>
      <c r="AF10" s="31">
        <f t="shared" si="2"/>
        <v>47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</v>
      </c>
      <c r="N11" s="50">
        <v>0</v>
      </c>
      <c r="O11" s="15">
        <f t="shared" si="0"/>
        <v>2</v>
      </c>
      <c r="P11" s="15">
        <f t="shared" si="1"/>
        <v>5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2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51</v>
      </c>
      <c r="AD11" s="17">
        <f t="shared" si="3"/>
        <v>0</v>
      </c>
      <c r="AE11" s="31">
        <f t="shared" si="3"/>
        <v>9</v>
      </c>
      <c r="AF11" s="31">
        <f t="shared" si="3"/>
        <v>60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1</v>
      </c>
      <c r="F12" s="50">
        <v>1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18</v>
      </c>
      <c r="N12" s="50">
        <v>0</v>
      </c>
      <c r="O12" s="15">
        <f t="shared" si="0"/>
        <v>5</v>
      </c>
      <c r="P12" s="15">
        <f t="shared" si="1"/>
        <v>23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0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61</v>
      </c>
      <c r="AD12" s="17">
        <f t="shared" si="4"/>
        <v>0</v>
      </c>
      <c r="AE12" s="31">
        <f t="shared" si="4"/>
        <v>6</v>
      </c>
      <c r="AF12" s="31">
        <f t="shared" si="4"/>
        <v>67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2</v>
      </c>
      <c r="P13" s="15">
        <f t="shared" si="1"/>
        <v>11</v>
      </c>
      <c r="R13" s="1" t="s">
        <v>9</v>
      </c>
      <c r="S13" s="17">
        <f t="shared" ref="S13:AF13" si="5">SUM(C22:C25)</f>
        <v>1</v>
      </c>
      <c r="T13" s="17">
        <f t="shared" si="5"/>
        <v>0</v>
      </c>
      <c r="U13" s="17">
        <f t="shared" si="5"/>
        <v>1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8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58</v>
      </c>
      <c r="AD13" s="17">
        <f t="shared" si="5"/>
        <v>0</v>
      </c>
      <c r="AE13" s="31">
        <f t="shared" si="5"/>
        <v>10</v>
      </c>
      <c r="AF13" s="31">
        <f t="shared" si="5"/>
        <v>68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9</v>
      </c>
      <c r="N14" s="50">
        <v>0</v>
      </c>
      <c r="O14" s="15">
        <f t="shared" si="0"/>
        <v>2</v>
      </c>
      <c r="P14" s="15">
        <f t="shared" si="1"/>
        <v>11</v>
      </c>
      <c r="R14" s="1" t="s">
        <v>10</v>
      </c>
      <c r="S14" s="17">
        <f t="shared" ref="S14:AF14" si="6">SUM(C26:C29)</f>
        <v>3</v>
      </c>
      <c r="T14" s="17">
        <f t="shared" si="6"/>
        <v>0</v>
      </c>
      <c r="U14" s="17">
        <f t="shared" si="6"/>
        <v>1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70</v>
      </c>
      <c r="AD14" s="17">
        <f t="shared" si="6"/>
        <v>0</v>
      </c>
      <c r="AE14" s="31">
        <f t="shared" si="6"/>
        <v>12</v>
      </c>
      <c r="AF14" s="31">
        <f t="shared" si="6"/>
        <v>82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1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14</v>
      </c>
      <c r="N15" s="50">
        <v>0</v>
      </c>
      <c r="O15" s="15">
        <f t="shared" si="0"/>
        <v>5</v>
      </c>
      <c r="P15" s="15">
        <f t="shared" si="1"/>
        <v>19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5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77</v>
      </c>
      <c r="AD15" s="17">
        <f t="shared" si="7"/>
        <v>0</v>
      </c>
      <c r="AE15" s="31">
        <f t="shared" si="7"/>
        <v>14</v>
      </c>
      <c r="AF15" s="31">
        <f t="shared" si="7"/>
        <v>91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17</v>
      </c>
      <c r="N16" s="50">
        <v>0</v>
      </c>
      <c r="O16" s="15">
        <f t="shared" si="0"/>
        <v>1</v>
      </c>
      <c r="P16" s="15">
        <f t="shared" si="1"/>
        <v>18</v>
      </c>
      <c r="R16" s="1" t="s">
        <v>12</v>
      </c>
      <c r="S16" s="17">
        <f t="shared" ref="S16:AF16" si="8">SUM(C34:C37)</f>
        <v>4</v>
      </c>
      <c r="T16" s="17">
        <f t="shared" si="8"/>
        <v>0</v>
      </c>
      <c r="U16" s="17">
        <f t="shared" si="8"/>
        <v>6</v>
      </c>
      <c r="V16" s="17">
        <f t="shared" si="8"/>
        <v>3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99</v>
      </c>
      <c r="AD16" s="17">
        <f t="shared" si="8"/>
        <v>0</v>
      </c>
      <c r="AE16" s="31">
        <f t="shared" si="8"/>
        <v>18</v>
      </c>
      <c r="AF16" s="31">
        <f t="shared" si="8"/>
        <v>117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11</v>
      </c>
      <c r="N17" s="50">
        <v>0</v>
      </c>
      <c r="O17" s="15">
        <f t="shared" si="0"/>
        <v>1</v>
      </c>
      <c r="P17" s="15">
        <f t="shared" si="1"/>
        <v>12</v>
      </c>
      <c r="R17" s="1" t="s">
        <v>13</v>
      </c>
      <c r="S17" s="17">
        <f t="shared" ref="S17:AF17" si="9">SUM(C38:C41)</f>
        <v>6</v>
      </c>
      <c r="T17" s="17">
        <f t="shared" si="9"/>
        <v>0</v>
      </c>
      <c r="U17" s="17">
        <f t="shared" si="9"/>
        <v>0</v>
      </c>
      <c r="V17" s="17">
        <f t="shared" si="9"/>
        <v>3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1</v>
      </c>
      <c r="AA17" s="17">
        <f t="shared" si="9"/>
        <v>0</v>
      </c>
      <c r="AB17" s="17">
        <f t="shared" si="9"/>
        <v>0</v>
      </c>
      <c r="AC17" s="17">
        <f t="shared" si="9"/>
        <v>89</v>
      </c>
      <c r="AD17" s="17">
        <f t="shared" si="9"/>
        <v>0</v>
      </c>
      <c r="AE17" s="31">
        <f t="shared" si="9"/>
        <v>16</v>
      </c>
      <c r="AF17" s="31">
        <f t="shared" si="9"/>
        <v>105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1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14</v>
      </c>
      <c r="N18" s="50">
        <v>0</v>
      </c>
      <c r="O18" s="15">
        <f t="shared" si="0"/>
        <v>3</v>
      </c>
      <c r="P18" s="15">
        <f t="shared" si="1"/>
        <v>17</v>
      </c>
      <c r="R18" s="1" t="s">
        <v>14</v>
      </c>
      <c r="S18" s="17">
        <f t="shared" ref="S18:AF18" si="10">SUM(C42:C45)</f>
        <v>13</v>
      </c>
      <c r="T18" s="17">
        <f t="shared" si="10"/>
        <v>0</v>
      </c>
      <c r="U18" s="17">
        <f t="shared" si="10"/>
        <v>5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92</v>
      </c>
      <c r="AD18" s="17">
        <f t="shared" si="10"/>
        <v>0</v>
      </c>
      <c r="AE18" s="31">
        <f t="shared" si="10"/>
        <v>26</v>
      </c>
      <c r="AF18" s="31">
        <f t="shared" si="10"/>
        <v>118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10</v>
      </c>
      <c r="N19" s="50">
        <v>0</v>
      </c>
      <c r="O19" s="15">
        <f t="shared" si="0"/>
        <v>2</v>
      </c>
      <c r="P19" s="15">
        <f t="shared" si="1"/>
        <v>12</v>
      </c>
      <c r="R19" s="1" t="s">
        <v>15</v>
      </c>
      <c r="S19" s="17">
        <f t="shared" ref="S19:AF19" si="11">SUM(C46:C49)</f>
        <v>10</v>
      </c>
      <c r="T19" s="17">
        <f t="shared" si="11"/>
        <v>0</v>
      </c>
      <c r="U19" s="17">
        <f t="shared" si="11"/>
        <v>11</v>
      </c>
      <c r="V19" s="17">
        <f t="shared" si="11"/>
        <v>3</v>
      </c>
      <c r="W19" s="17">
        <f t="shared" si="11"/>
        <v>0</v>
      </c>
      <c r="X19" s="17">
        <f t="shared" si="11"/>
        <v>0</v>
      </c>
      <c r="Y19" s="17">
        <f t="shared" si="11"/>
        <v>7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54</v>
      </c>
      <c r="AD19" s="17">
        <f t="shared" si="11"/>
        <v>0</v>
      </c>
      <c r="AE19" s="31">
        <f t="shared" si="11"/>
        <v>31</v>
      </c>
      <c r="AF19" s="31">
        <f t="shared" si="11"/>
        <v>85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14</v>
      </c>
      <c r="N20" s="50">
        <v>0</v>
      </c>
      <c r="O20" s="15">
        <f t="shared" si="0"/>
        <v>1</v>
      </c>
      <c r="P20" s="15">
        <f t="shared" si="1"/>
        <v>15</v>
      </c>
      <c r="R20" s="1" t="s">
        <v>16</v>
      </c>
      <c r="S20" s="17">
        <f t="shared" ref="S20:AF20" si="12">SUM(C50:C53)</f>
        <v>3</v>
      </c>
      <c r="T20" s="17">
        <f t="shared" si="12"/>
        <v>0</v>
      </c>
      <c r="U20" s="17">
        <f t="shared" si="12"/>
        <v>5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80</v>
      </c>
      <c r="AD20" s="17">
        <f t="shared" si="12"/>
        <v>0</v>
      </c>
      <c r="AE20" s="31">
        <f t="shared" si="12"/>
        <v>13</v>
      </c>
      <c r="AF20" s="31">
        <f t="shared" si="12"/>
        <v>93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23</v>
      </c>
      <c r="N21" s="50">
        <v>0</v>
      </c>
      <c r="O21" s="15">
        <f t="shared" si="0"/>
        <v>0</v>
      </c>
      <c r="P21" s="15">
        <f t="shared" si="1"/>
        <v>23</v>
      </c>
      <c r="R21" s="36" t="s">
        <v>20</v>
      </c>
      <c r="S21" s="34">
        <f t="shared" ref="S21:AF21" si="13">SUM(C54:C57)</f>
        <v>3</v>
      </c>
      <c r="T21" s="17">
        <f t="shared" si="13"/>
        <v>0</v>
      </c>
      <c r="U21" s="17">
        <f t="shared" si="13"/>
        <v>1</v>
      </c>
      <c r="V21" s="17">
        <f t="shared" si="13"/>
        <v>4</v>
      </c>
      <c r="W21" s="17">
        <f t="shared" si="13"/>
        <v>1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73</v>
      </c>
      <c r="AD21" s="17">
        <f t="shared" si="13"/>
        <v>0</v>
      </c>
      <c r="AE21" s="31">
        <f t="shared" si="13"/>
        <v>13</v>
      </c>
      <c r="AF21" s="31">
        <f t="shared" si="13"/>
        <v>86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13</v>
      </c>
      <c r="N22" s="50">
        <v>0</v>
      </c>
      <c r="O22" s="15">
        <f t="shared" si="0"/>
        <v>3</v>
      </c>
      <c r="P22" s="15">
        <f t="shared" si="1"/>
        <v>16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2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7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61</v>
      </c>
      <c r="AD22" s="39">
        <f t="shared" si="14"/>
        <v>0</v>
      </c>
      <c r="AE22" s="40">
        <f t="shared" si="14"/>
        <v>11</v>
      </c>
      <c r="AF22" s="40">
        <f t="shared" si="14"/>
        <v>67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16</v>
      </c>
      <c r="N23" s="50">
        <v>0</v>
      </c>
      <c r="O23" s="15">
        <f t="shared" si="0"/>
        <v>2</v>
      </c>
      <c r="P23" s="15">
        <f t="shared" si="1"/>
        <v>18</v>
      </c>
      <c r="R23" s="38" t="s">
        <v>91</v>
      </c>
      <c r="S23" s="39">
        <f>MAX(S13:S18)</f>
        <v>13</v>
      </c>
      <c r="T23" s="39">
        <f t="shared" ref="T23:AF23" si="15">MAX(T13:T18)</f>
        <v>0</v>
      </c>
      <c r="U23" s="39">
        <f t="shared" si="15"/>
        <v>6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8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99</v>
      </c>
      <c r="AD23" s="39">
        <f t="shared" si="15"/>
        <v>0</v>
      </c>
      <c r="AE23" s="40">
        <f t="shared" si="15"/>
        <v>26</v>
      </c>
      <c r="AF23" s="40">
        <f t="shared" si="15"/>
        <v>118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11</v>
      </c>
      <c r="N24" s="50">
        <v>0</v>
      </c>
      <c r="O24" s="15">
        <f t="shared" si="0"/>
        <v>2</v>
      </c>
      <c r="P24" s="15">
        <f t="shared" si="1"/>
        <v>13</v>
      </c>
      <c r="R24" s="38" t="s">
        <v>92</v>
      </c>
      <c r="S24" s="39">
        <f>MAX(S19:S21)</f>
        <v>10</v>
      </c>
      <c r="T24" s="39">
        <f t="shared" ref="T24:AF24" si="16">MAX(T19:T21)</f>
        <v>0</v>
      </c>
      <c r="U24" s="39">
        <f t="shared" si="16"/>
        <v>11</v>
      </c>
      <c r="V24" s="39">
        <f t="shared" si="16"/>
        <v>4</v>
      </c>
      <c r="W24" s="39">
        <f t="shared" si="16"/>
        <v>1</v>
      </c>
      <c r="X24" s="39">
        <f t="shared" si="16"/>
        <v>0</v>
      </c>
      <c r="Y24" s="39">
        <f t="shared" si="16"/>
        <v>7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80</v>
      </c>
      <c r="AD24" s="39">
        <f t="shared" si="16"/>
        <v>0</v>
      </c>
      <c r="AE24" s="40">
        <f t="shared" si="16"/>
        <v>31</v>
      </c>
      <c r="AF24" s="40">
        <f t="shared" si="16"/>
        <v>93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3</v>
      </c>
      <c r="P25" s="15">
        <f t="shared" si="1"/>
        <v>21</v>
      </c>
      <c r="R25" s="37" t="s">
        <v>85</v>
      </c>
      <c r="S25" s="35">
        <f t="shared" ref="S25:AF25" si="17">SUM(S10:S12)</f>
        <v>5</v>
      </c>
      <c r="T25" s="16">
        <f t="shared" si="17"/>
        <v>0</v>
      </c>
      <c r="U25" s="16">
        <f t="shared" si="17"/>
        <v>4</v>
      </c>
      <c r="V25" s="16">
        <f t="shared" si="17"/>
        <v>3</v>
      </c>
      <c r="W25" s="16">
        <f t="shared" si="17"/>
        <v>0</v>
      </c>
      <c r="X25" s="16">
        <f t="shared" si="17"/>
        <v>0</v>
      </c>
      <c r="Y25" s="16">
        <f t="shared" si="17"/>
        <v>14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148</v>
      </c>
      <c r="AD25" s="16">
        <f t="shared" si="17"/>
        <v>0</v>
      </c>
      <c r="AE25" s="32">
        <f t="shared" si="17"/>
        <v>26</v>
      </c>
      <c r="AF25" s="32">
        <f t="shared" si="17"/>
        <v>174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3</v>
      </c>
      <c r="J26" s="50">
        <v>0</v>
      </c>
      <c r="K26" s="50">
        <v>0</v>
      </c>
      <c r="L26" s="50">
        <v>0</v>
      </c>
      <c r="M26" s="50">
        <v>22</v>
      </c>
      <c r="N26" s="50">
        <v>0</v>
      </c>
      <c r="O26" s="15">
        <f t="shared" si="0"/>
        <v>4</v>
      </c>
      <c r="P26" s="15">
        <f t="shared" si="1"/>
        <v>26</v>
      </c>
      <c r="R26" s="28" t="s">
        <v>86</v>
      </c>
      <c r="S26" s="16">
        <f t="shared" ref="S26:AF26" si="18">SUM(S13:S18)</f>
        <v>30</v>
      </c>
      <c r="T26" s="16">
        <f t="shared" si="18"/>
        <v>0</v>
      </c>
      <c r="U26" s="16">
        <f t="shared" si="18"/>
        <v>18</v>
      </c>
      <c r="V26" s="16">
        <f t="shared" si="18"/>
        <v>12</v>
      </c>
      <c r="W26" s="16">
        <f t="shared" si="18"/>
        <v>0</v>
      </c>
      <c r="X26" s="16">
        <f t="shared" si="18"/>
        <v>0</v>
      </c>
      <c r="Y26" s="16">
        <f t="shared" si="18"/>
        <v>35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485</v>
      </c>
      <c r="AD26" s="16">
        <f t="shared" si="18"/>
        <v>0</v>
      </c>
      <c r="AE26" s="32">
        <f t="shared" si="18"/>
        <v>96</v>
      </c>
      <c r="AF26" s="32">
        <f t="shared" si="18"/>
        <v>581</v>
      </c>
    </row>
    <row r="27" spans="2:32" ht="23.1" customHeight="1" x14ac:dyDescent="0.25">
      <c r="B27" s="23" t="s">
        <v>54</v>
      </c>
      <c r="C27" s="50">
        <v>3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15</v>
      </c>
      <c r="N27" s="50">
        <v>0</v>
      </c>
      <c r="O27" s="15">
        <f t="shared" si="0"/>
        <v>4</v>
      </c>
      <c r="P27" s="15">
        <f t="shared" si="1"/>
        <v>19</v>
      </c>
      <c r="R27" s="29" t="s">
        <v>87</v>
      </c>
      <c r="S27" s="16">
        <f t="shared" ref="S27:AF27" si="19">SUM(S19:S21)</f>
        <v>16</v>
      </c>
      <c r="T27" s="16">
        <f t="shared" si="19"/>
        <v>0</v>
      </c>
      <c r="U27" s="16">
        <f t="shared" si="19"/>
        <v>17</v>
      </c>
      <c r="V27" s="16">
        <f t="shared" si="19"/>
        <v>8</v>
      </c>
      <c r="W27" s="16">
        <f t="shared" si="19"/>
        <v>1</v>
      </c>
      <c r="X27" s="16">
        <f t="shared" si="19"/>
        <v>0</v>
      </c>
      <c r="Y27" s="16">
        <f t="shared" si="19"/>
        <v>15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207</v>
      </c>
      <c r="AD27" s="16">
        <f t="shared" si="19"/>
        <v>0</v>
      </c>
      <c r="AE27" s="32">
        <f t="shared" si="19"/>
        <v>57</v>
      </c>
      <c r="AF27" s="32">
        <f t="shared" si="19"/>
        <v>264</v>
      </c>
    </row>
    <row r="28" spans="2:32" ht="23.1" customHeight="1" x14ac:dyDescent="0.25">
      <c r="B28" s="23" t="s">
        <v>55</v>
      </c>
      <c r="C28" s="50">
        <v>0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18</v>
      </c>
      <c r="N28" s="50">
        <v>0</v>
      </c>
      <c r="O28" s="15">
        <f t="shared" si="0"/>
        <v>2</v>
      </c>
      <c r="P28" s="15">
        <f t="shared" si="1"/>
        <v>20</v>
      </c>
      <c r="R28" s="5" t="s">
        <v>17</v>
      </c>
      <c r="S28" s="16">
        <f t="shared" ref="S28:AF28" si="20">SUM(S10:S21)</f>
        <v>51</v>
      </c>
      <c r="T28" s="16">
        <f t="shared" si="20"/>
        <v>0</v>
      </c>
      <c r="U28" s="16">
        <f t="shared" si="20"/>
        <v>39</v>
      </c>
      <c r="V28" s="16">
        <f t="shared" si="20"/>
        <v>23</v>
      </c>
      <c r="W28" s="16">
        <f t="shared" si="20"/>
        <v>1</v>
      </c>
      <c r="X28" s="16">
        <f t="shared" si="20"/>
        <v>0</v>
      </c>
      <c r="Y28" s="16">
        <f t="shared" si="20"/>
        <v>64</v>
      </c>
      <c r="Z28" s="16">
        <f t="shared" si="20"/>
        <v>1</v>
      </c>
      <c r="AA28" s="16">
        <f t="shared" si="20"/>
        <v>0</v>
      </c>
      <c r="AB28" s="16">
        <f t="shared" si="20"/>
        <v>0</v>
      </c>
      <c r="AC28" s="16">
        <f t="shared" si="20"/>
        <v>840</v>
      </c>
      <c r="AD28" s="16">
        <f t="shared" si="20"/>
        <v>0</v>
      </c>
      <c r="AE28" s="32">
        <f t="shared" si="20"/>
        <v>179</v>
      </c>
      <c r="AF28" s="32">
        <f t="shared" si="20"/>
        <v>1019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1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2</v>
      </c>
      <c r="P29" s="15">
        <f t="shared" si="1"/>
        <v>17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19</v>
      </c>
      <c r="N30" s="50">
        <v>0</v>
      </c>
      <c r="O30" s="15">
        <f t="shared" si="0"/>
        <v>4</v>
      </c>
      <c r="P30" s="15">
        <f t="shared" si="1"/>
        <v>23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2</v>
      </c>
      <c r="F31" s="50">
        <v>1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22</v>
      </c>
      <c r="N31" s="50">
        <v>0</v>
      </c>
      <c r="O31" s="15">
        <f t="shared" si="0"/>
        <v>4</v>
      </c>
      <c r="P31" s="15">
        <f t="shared" si="1"/>
        <v>26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0</v>
      </c>
      <c r="G32" s="50">
        <v>0</v>
      </c>
      <c r="H32" s="50">
        <v>0</v>
      </c>
      <c r="I32" s="50">
        <v>0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1</v>
      </c>
      <c r="P32" s="15">
        <f t="shared" si="1"/>
        <v>17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2</v>
      </c>
      <c r="F33" s="50">
        <v>1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20</v>
      </c>
      <c r="N33" s="50">
        <v>0</v>
      </c>
      <c r="O33" s="15">
        <f t="shared" si="0"/>
        <v>5</v>
      </c>
      <c r="P33" s="15">
        <f t="shared" si="1"/>
        <v>25</v>
      </c>
    </row>
    <row r="34" spans="2:20" ht="23.1" customHeight="1" x14ac:dyDescent="0.25">
      <c r="B34" s="24" t="s">
        <v>61</v>
      </c>
      <c r="C34" s="50">
        <v>2</v>
      </c>
      <c r="D34" s="50">
        <v>0</v>
      </c>
      <c r="E34" s="50">
        <v>3</v>
      </c>
      <c r="F34" s="50">
        <v>0</v>
      </c>
      <c r="G34" s="50">
        <v>0</v>
      </c>
      <c r="H34" s="50">
        <v>0</v>
      </c>
      <c r="I34" s="50">
        <v>3</v>
      </c>
      <c r="J34" s="50">
        <v>0</v>
      </c>
      <c r="K34" s="50">
        <v>0</v>
      </c>
      <c r="L34" s="50">
        <v>0</v>
      </c>
      <c r="M34" s="50">
        <v>25</v>
      </c>
      <c r="N34" s="50">
        <v>0</v>
      </c>
      <c r="O34" s="15">
        <f t="shared" si="0"/>
        <v>8</v>
      </c>
      <c r="P34" s="15">
        <f t="shared" si="1"/>
        <v>33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2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20</v>
      </c>
      <c r="N35" s="50">
        <v>0</v>
      </c>
      <c r="O35" s="15">
        <f t="shared" si="0"/>
        <v>3</v>
      </c>
      <c r="P35" s="15">
        <f t="shared" si="1"/>
        <v>23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3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37</v>
      </c>
      <c r="N36" s="50">
        <v>0</v>
      </c>
      <c r="O36" s="15">
        <f t="shared" si="0"/>
        <v>4</v>
      </c>
      <c r="P36" s="15">
        <f t="shared" si="1"/>
        <v>41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17</v>
      </c>
      <c r="N37" s="50">
        <v>0</v>
      </c>
      <c r="O37" s="15">
        <f t="shared" si="0"/>
        <v>3</v>
      </c>
      <c r="P37" s="15">
        <f t="shared" si="1"/>
        <v>20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1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26</v>
      </c>
      <c r="N38" s="50">
        <v>0</v>
      </c>
      <c r="O38" s="15">
        <f t="shared" si="0"/>
        <v>2</v>
      </c>
      <c r="P38" s="15">
        <f t="shared" si="1"/>
        <v>28</v>
      </c>
    </row>
    <row r="39" spans="2:20" ht="23.1" customHeight="1" x14ac:dyDescent="0.25">
      <c r="B39" s="24" t="s">
        <v>66</v>
      </c>
      <c r="C39" s="50">
        <v>2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20</v>
      </c>
      <c r="N39" s="50">
        <v>0</v>
      </c>
      <c r="O39" s="15">
        <f t="shared" si="0"/>
        <v>4</v>
      </c>
      <c r="P39" s="15">
        <f t="shared" si="1"/>
        <v>24</v>
      </c>
    </row>
    <row r="40" spans="2:20" ht="23.1" customHeight="1" x14ac:dyDescent="0.25">
      <c r="B40" s="24" t="s">
        <v>67</v>
      </c>
      <c r="C40" s="50">
        <v>2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3</v>
      </c>
      <c r="J40" s="50">
        <v>0</v>
      </c>
      <c r="K40" s="50">
        <v>0</v>
      </c>
      <c r="L40" s="50">
        <v>0</v>
      </c>
      <c r="M40" s="50">
        <v>17</v>
      </c>
      <c r="N40" s="50">
        <v>0</v>
      </c>
      <c r="O40" s="15">
        <f t="shared" si="0"/>
        <v>5</v>
      </c>
      <c r="P40" s="15">
        <f t="shared" si="1"/>
        <v>22</v>
      </c>
    </row>
    <row r="41" spans="2:20" ht="23.1" customHeight="1" x14ac:dyDescent="0.25">
      <c r="B41" s="23" t="s">
        <v>68</v>
      </c>
      <c r="C41" s="50">
        <v>2</v>
      </c>
      <c r="D41" s="50">
        <v>0</v>
      </c>
      <c r="E41" s="50">
        <v>0</v>
      </c>
      <c r="F41" s="50">
        <v>2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26</v>
      </c>
      <c r="N41" s="50">
        <v>0</v>
      </c>
      <c r="O41" s="15">
        <f t="shared" si="0"/>
        <v>5</v>
      </c>
      <c r="P41" s="15">
        <f t="shared" si="1"/>
        <v>31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20</v>
      </c>
      <c r="N42" s="50">
        <v>0</v>
      </c>
      <c r="O42" s="15">
        <f t="shared" si="0"/>
        <v>6</v>
      </c>
      <c r="P42" s="15">
        <f t="shared" si="1"/>
        <v>26</v>
      </c>
    </row>
    <row r="43" spans="2:20" ht="23.1" customHeight="1" x14ac:dyDescent="0.25">
      <c r="B43" s="23" t="s">
        <v>70</v>
      </c>
      <c r="C43" s="50">
        <v>4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27</v>
      </c>
      <c r="N43" s="50">
        <v>0</v>
      </c>
      <c r="O43" s="15">
        <f t="shared" si="0"/>
        <v>5</v>
      </c>
      <c r="P43" s="15">
        <f t="shared" si="1"/>
        <v>32</v>
      </c>
    </row>
    <row r="44" spans="2:20" ht="23.1" customHeight="1" x14ac:dyDescent="0.25">
      <c r="B44" s="25" t="s">
        <v>71</v>
      </c>
      <c r="C44" s="50">
        <v>2</v>
      </c>
      <c r="D44" s="50">
        <v>0</v>
      </c>
      <c r="E44" s="50">
        <v>3</v>
      </c>
      <c r="F44" s="50">
        <v>0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17</v>
      </c>
      <c r="N44" s="50">
        <v>0</v>
      </c>
      <c r="O44" s="15">
        <f t="shared" si="0"/>
        <v>8</v>
      </c>
      <c r="P44" s="15">
        <f t="shared" si="1"/>
        <v>25</v>
      </c>
    </row>
    <row r="45" spans="2:20" ht="23.1" customHeight="1" x14ac:dyDescent="0.25">
      <c r="B45" s="23" t="s">
        <v>72</v>
      </c>
      <c r="C45" s="50">
        <v>5</v>
      </c>
      <c r="D45" s="50">
        <v>0</v>
      </c>
      <c r="E45" s="50">
        <v>1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28</v>
      </c>
      <c r="N45" s="50">
        <v>0</v>
      </c>
      <c r="O45" s="15">
        <f t="shared" si="0"/>
        <v>7</v>
      </c>
      <c r="P45" s="15">
        <f t="shared" si="1"/>
        <v>35</v>
      </c>
    </row>
    <row r="46" spans="2:20" ht="23.1" customHeight="1" x14ac:dyDescent="0.25">
      <c r="B46" s="24" t="s">
        <v>73</v>
      </c>
      <c r="C46" s="50">
        <v>3</v>
      </c>
      <c r="D46" s="50">
        <v>0</v>
      </c>
      <c r="E46" s="50">
        <v>3</v>
      </c>
      <c r="F46" s="50">
        <v>1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15</v>
      </c>
      <c r="N46" s="50">
        <v>0</v>
      </c>
      <c r="O46" s="15">
        <f t="shared" si="0"/>
        <v>9</v>
      </c>
      <c r="P46" s="15">
        <f t="shared" si="1"/>
        <v>24</v>
      </c>
      <c r="R46" s="8"/>
      <c r="T46"/>
    </row>
    <row r="47" spans="2:20" ht="23.1" customHeight="1" x14ac:dyDescent="0.25">
      <c r="B47" s="24" t="s">
        <v>74</v>
      </c>
      <c r="C47" s="50">
        <v>3</v>
      </c>
      <c r="D47" s="50">
        <v>0</v>
      </c>
      <c r="E47" s="50">
        <v>3</v>
      </c>
      <c r="F47" s="50">
        <v>1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10</v>
      </c>
      <c r="N47" s="50">
        <v>0</v>
      </c>
      <c r="O47" s="15">
        <f t="shared" si="0"/>
        <v>9</v>
      </c>
      <c r="P47" s="15">
        <f t="shared" si="1"/>
        <v>19</v>
      </c>
      <c r="R47" s="8"/>
      <c r="T47"/>
    </row>
    <row r="48" spans="2:20" ht="23.1" customHeight="1" x14ac:dyDescent="0.25">
      <c r="B48" s="24" t="s">
        <v>75</v>
      </c>
      <c r="C48" s="50">
        <v>3</v>
      </c>
      <c r="D48" s="50">
        <v>0</v>
      </c>
      <c r="E48" s="50">
        <v>2</v>
      </c>
      <c r="F48" s="50">
        <v>1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8</v>
      </c>
      <c r="P48" s="15">
        <f t="shared" si="1"/>
        <v>23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3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5</v>
      </c>
      <c r="P49" s="15">
        <f t="shared" si="1"/>
        <v>19</v>
      </c>
      <c r="R49" s="8"/>
      <c r="T49"/>
    </row>
    <row r="50" spans="2:20" ht="23.1" customHeight="1" x14ac:dyDescent="0.25">
      <c r="B50" s="24" t="s">
        <v>77</v>
      </c>
      <c r="C50" s="50">
        <v>2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26</v>
      </c>
      <c r="N50" s="50">
        <v>0</v>
      </c>
      <c r="O50" s="15">
        <f t="shared" si="0"/>
        <v>4</v>
      </c>
      <c r="P50" s="15">
        <f t="shared" si="1"/>
        <v>30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22</v>
      </c>
      <c r="N51" s="50">
        <v>0</v>
      </c>
      <c r="O51" s="15">
        <f t="shared" si="0"/>
        <v>4</v>
      </c>
      <c r="P51" s="15">
        <f t="shared" si="1"/>
        <v>26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19</v>
      </c>
      <c r="N52" s="50">
        <v>0</v>
      </c>
      <c r="O52" s="15">
        <f t="shared" si="0"/>
        <v>1</v>
      </c>
      <c r="P52" s="15">
        <f t="shared" si="1"/>
        <v>20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2</v>
      </c>
      <c r="F53" s="50">
        <v>1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13</v>
      </c>
      <c r="N53" s="50">
        <v>0</v>
      </c>
      <c r="O53" s="15">
        <f t="shared" si="0"/>
        <v>4</v>
      </c>
      <c r="P53" s="15">
        <f t="shared" si="1"/>
        <v>17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1</v>
      </c>
      <c r="F54" s="50">
        <v>4</v>
      </c>
      <c r="G54" s="50">
        <v>1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7</v>
      </c>
      <c r="P54" s="15">
        <f t="shared" si="1"/>
        <v>22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21</v>
      </c>
      <c r="N55" s="50">
        <v>0</v>
      </c>
      <c r="O55" s="15">
        <f t="shared" si="0"/>
        <v>2</v>
      </c>
      <c r="P55" s="15">
        <f t="shared" si="1"/>
        <v>23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21</v>
      </c>
      <c r="N56" s="50">
        <v>0</v>
      </c>
      <c r="O56" s="15">
        <f t="shared" si="0"/>
        <v>1</v>
      </c>
      <c r="P56" s="15">
        <f t="shared" si="1"/>
        <v>22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16</v>
      </c>
      <c r="N57" s="50">
        <v>0</v>
      </c>
      <c r="O57" s="15">
        <f t="shared" si="0"/>
        <v>3</v>
      </c>
      <c r="P57" s="15">
        <f t="shared" si="1"/>
        <v>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51</v>
      </c>
      <c r="D58" s="16">
        <f t="shared" si="21"/>
        <v>0</v>
      </c>
      <c r="E58" s="16">
        <f t="shared" si="21"/>
        <v>39</v>
      </c>
      <c r="F58" s="16">
        <f t="shared" si="21"/>
        <v>23</v>
      </c>
      <c r="G58" s="16">
        <f t="shared" si="21"/>
        <v>1</v>
      </c>
      <c r="H58" s="16">
        <f t="shared" si="21"/>
        <v>0</v>
      </c>
      <c r="I58" s="16">
        <f t="shared" si="21"/>
        <v>64</v>
      </c>
      <c r="J58" s="16">
        <f t="shared" si="21"/>
        <v>1</v>
      </c>
      <c r="K58" s="16">
        <f t="shared" si="21"/>
        <v>0</v>
      </c>
      <c r="L58" s="16">
        <f t="shared" si="21"/>
        <v>0</v>
      </c>
      <c r="M58" s="16">
        <f t="shared" si="21"/>
        <v>840</v>
      </c>
      <c r="N58" s="16">
        <f t="shared" si="21"/>
        <v>0</v>
      </c>
      <c r="O58" s="16">
        <f t="shared" si="21"/>
        <v>179</v>
      </c>
      <c r="P58" s="16">
        <f t="shared" si="21"/>
        <v>1019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5.0049067713444556E-2</v>
      </c>
      <c r="D59" s="43">
        <f t="shared" si="22"/>
        <v>0</v>
      </c>
      <c r="E59" s="43">
        <f t="shared" si="22"/>
        <v>3.8272816486751716E-2</v>
      </c>
      <c r="F59" s="43">
        <f t="shared" si="22"/>
        <v>2.2571148184494603E-2</v>
      </c>
      <c r="G59" s="43">
        <f t="shared" si="22"/>
        <v>9.813542688910696E-4</v>
      </c>
      <c r="H59" s="43">
        <f t="shared" si="22"/>
        <v>0</v>
      </c>
      <c r="I59" s="43">
        <f t="shared" si="22"/>
        <v>6.2806673209028455E-2</v>
      </c>
      <c r="J59" s="43">
        <f t="shared" si="22"/>
        <v>9.813542688910696E-4</v>
      </c>
      <c r="K59" s="43">
        <f t="shared" si="22"/>
        <v>0</v>
      </c>
      <c r="L59" s="43">
        <f t="shared" si="22"/>
        <v>0</v>
      </c>
      <c r="M59" s="43">
        <f t="shared" si="22"/>
        <v>0.82433758586849848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0.28491620111731841</v>
      </c>
      <c r="D60" s="44">
        <f t="shared" ref="D60:N60" si="23">D58/$O$58</f>
        <v>0</v>
      </c>
      <c r="E60" s="44">
        <f t="shared" si="23"/>
        <v>0.21787709497206703</v>
      </c>
      <c r="F60" s="44">
        <f t="shared" si="23"/>
        <v>0.12849162011173185</v>
      </c>
      <c r="G60" s="44">
        <f t="shared" si="23"/>
        <v>5.5865921787709499E-3</v>
      </c>
      <c r="H60" s="44">
        <f t="shared" si="23"/>
        <v>0</v>
      </c>
      <c r="I60" s="44">
        <f t="shared" si="23"/>
        <v>0.35754189944134079</v>
      </c>
      <c r="J60" s="44">
        <f t="shared" si="23"/>
        <v>5.5865921787709499E-3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BUSUNJU-KAMPALA'!C3:G3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169</v>
      </c>
      <c r="E5" s="3"/>
      <c r="F5" s="41" t="s">
        <v>1</v>
      </c>
      <c r="G5" s="63" t="str">
        <f>'13.08 KAMPALA-BUSUNJU'!G5:H5</f>
        <v>MATTE</v>
      </c>
      <c r="H5" s="64"/>
      <c r="I5" s="14"/>
      <c r="J5" s="2" t="s">
        <v>5</v>
      </c>
      <c r="K5" s="63" t="str">
        <f>'13.08 KAMPALA-BUSUNJU'!K5:L5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BUSUNJU-KAMPALA'!D6:E6</f>
        <v>BUSUNJU</v>
      </c>
      <c r="E6" s="64"/>
      <c r="F6" s="2" t="s">
        <v>2</v>
      </c>
      <c r="G6" s="63" t="str">
        <f>'11.08 BUSUNJU-KAMPALA'!G6:H6</f>
        <v>KAMPALA</v>
      </c>
      <c r="H6" s="64"/>
      <c r="J6" s="2" t="s">
        <v>21</v>
      </c>
      <c r="K6" s="63" t="str">
        <f>'13.08 KAMPALA-BUSUNJU'!K6:L6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11</v>
      </c>
      <c r="R10" s="1" t="s">
        <v>6</v>
      </c>
      <c r="S10" s="17">
        <f t="shared" ref="S10:AF10" si="2">SUM(C10:C13)</f>
        <v>4</v>
      </c>
      <c r="T10" s="17">
        <f t="shared" si="2"/>
        <v>0</v>
      </c>
      <c r="U10" s="17">
        <f t="shared" si="2"/>
        <v>3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42</v>
      </c>
      <c r="AD10" s="17">
        <f t="shared" si="2"/>
        <v>0</v>
      </c>
      <c r="AE10" s="31">
        <f t="shared" si="2"/>
        <v>9</v>
      </c>
      <c r="AF10" s="31">
        <f t="shared" si="2"/>
        <v>51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13</v>
      </c>
      <c r="N11" s="50">
        <v>0</v>
      </c>
      <c r="O11" s="15">
        <f t="shared" si="0"/>
        <v>2</v>
      </c>
      <c r="P11" s="15">
        <f t="shared" si="1"/>
        <v>15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5</v>
      </c>
      <c r="V11" s="17">
        <f t="shared" si="3"/>
        <v>1</v>
      </c>
      <c r="W11" s="17">
        <f t="shared" si="3"/>
        <v>1</v>
      </c>
      <c r="X11" s="17">
        <f t="shared" si="3"/>
        <v>0</v>
      </c>
      <c r="Y11" s="17">
        <f t="shared" si="3"/>
        <v>5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60</v>
      </c>
      <c r="AD11" s="17">
        <f t="shared" si="3"/>
        <v>0</v>
      </c>
      <c r="AE11" s="31">
        <f t="shared" si="3"/>
        <v>14</v>
      </c>
      <c r="AF11" s="31">
        <f t="shared" si="3"/>
        <v>74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2</v>
      </c>
      <c r="P12" s="15">
        <f t="shared" si="1"/>
        <v>13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64</v>
      </c>
      <c r="AD12" s="17">
        <f t="shared" si="4"/>
        <v>0</v>
      </c>
      <c r="AE12" s="31">
        <f t="shared" si="4"/>
        <v>7</v>
      </c>
      <c r="AF12" s="31">
        <f t="shared" si="4"/>
        <v>71</v>
      </c>
    </row>
    <row r="13" spans="2:32" ht="23.1" customHeight="1" x14ac:dyDescent="0.25">
      <c r="B13" s="23" t="s">
        <v>40</v>
      </c>
      <c r="C13" s="50">
        <v>1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9</v>
      </c>
      <c r="N13" s="50">
        <v>0</v>
      </c>
      <c r="O13" s="15">
        <f t="shared" si="0"/>
        <v>3</v>
      </c>
      <c r="P13" s="15">
        <f t="shared" si="1"/>
        <v>12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4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36</v>
      </c>
      <c r="AD13" s="17">
        <f t="shared" si="5"/>
        <v>0</v>
      </c>
      <c r="AE13" s="31">
        <f t="shared" si="5"/>
        <v>8</v>
      </c>
      <c r="AF13" s="31">
        <f t="shared" si="5"/>
        <v>44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10</v>
      </c>
      <c r="N14" s="50">
        <v>0</v>
      </c>
      <c r="O14" s="15">
        <f t="shared" si="0"/>
        <v>1</v>
      </c>
      <c r="P14" s="15">
        <f t="shared" si="1"/>
        <v>11</v>
      </c>
      <c r="R14" s="1" t="s">
        <v>10</v>
      </c>
      <c r="S14" s="17">
        <f t="shared" ref="S14:AF14" si="6">SUM(C26:C29)</f>
        <v>4</v>
      </c>
      <c r="T14" s="17">
        <f t="shared" si="6"/>
        <v>0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2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42</v>
      </c>
      <c r="AD14" s="17">
        <f t="shared" si="6"/>
        <v>0</v>
      </c>
      <c r="AE14" s="31">
        <f t="shared" si="6"/>
        <v>10</v>
      </c>
      <c r="AF14" s="31">
        <f t="shared" si="6"/>
        <v>52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1</v>
      </c>
      <c r="G15" s="50">
        <v>1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10</v>
      </c>
      <c r="N15" s="50">
        <v>0</v>
      </c>
      <c r="O15" s="15">
        <f t="shared" si="0"/>
        <v>4</v>
      </c>
      <c r="P15" s="15">
        <f t="shared" si="1"/>
        <v>14</v>
      </c>
      <c r="R15" s="1" t="s">
        <v>11</v>
      </c>
      <c r="S15" s="17">
        <f t="shared" ref="S15:AF15" si="7">SUM(C30:C33)</f>
        <v>3</v>
      </c>
      <c r="T15" s="17">
        <f t="shared" si="7"/>
        <v>0</v>
      </c>
      <c r="U15" s="17">
        <f t="shared" si="7"/>
        <v>6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7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51</v>
      </c>
      <c r="AD15" s="17">
        <f t="shared" si="7"/>
        <v>0</v>
      </c>
      <c r="AE15" s="31">
        <f t="shared" si="7"/>
        <v>17</v>
      </c>
      <c r="AF15" s="31">
        <f t="shared" si="7"/>
        <v>68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2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22</v>
      </c>
      <c r="N16" s="50">
        <v>0</v>
      </c>
      <c r="O16" s="15">
        <f t="shared" si="0"/>
        <v>4</v>
      </c>
      <c r="P16" s="15">
        <f t="shared" si="1"/>
        <v>26</v>
      </c>
      <c r="R16" s="1" t="s">
        <v>12</v>
      </c>
      <c r="S16" s="17">
        <f t="shared" ref="S16:AF16" si="8">SUM(C34:C37)</f>
        <v>5</v>
      </c>
      <c r="T16" s="17">
        <f t="shared" si="8"/>
        <v>0</v>
      </c>
      <c r="U16" s="17">
        <f t="shared" si="8"/>
        <v>3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42</v>
      </c>
      <c r="AD16" s="17">
        <f t="shared" si="8"/>
        <v>0</v>
      </c>
      <c r="AE16" s="31">
        <f t="shared" si="8"/>
        <v>13</v>
      </c>
      <c r="AF16" s="31">
        <f t="shared" si="8"/>
        <v>55</v>
      </c>
    </row>
    <row r="17" spans="2:32" ht="23.1" customHeight="1" x14ac:dyDescent="0.25">
      <c r="B17" s="23" t="s">
        <v>44</v>
      </c>
      <c r="C17" s="50">
        <v>2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18</v>
      </c>
      <c r="N17" s="50">
        <v>0</v>
      </c>
      <c r="O17" s="15">
        <f t="shared" si="0"/>
        <v>5</v>
      </c>
      <c r="P17" s="15">
        <f t="shared" si="1"/>
        <v>23</v>
      </c>
      <c r="R17" s="1" t="s">
        <v>13</v>
      </c>
      <c r="S17" s="17">
        <f t="shared" ref="S17:AF17" si="9">SUM(C38:C41)</f>
        <v>4</v>
      </c>
      <c r="T17" s="17">
        <f t="shared" si="9"/>
        <v>0</v>
      </c>
      <c r="U17" s="17">
        <f t="shared" si="9"/>
        <v>0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44</v>
      </c>
      <c r="AD17" s="17">
        <f t="shared" si="9"/>
        <v>0</v>
      </c>
      <c r="AE17" s="31">
        <f t="shared" si="9"/>
        <v>10</v>
      </c>
      <c r="AF17" s="31">
        <f t="shared" si="9"/>
        <v>54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20</v>
      </c>
      <c r="N18" s="50">
        <v>0</v>
      </c>
      <c r="O18" s="15">
        <f t="shared" si="0"/>
        <v>2</v>
      </c>
      <c r="P18" s="15">
        <f t="shared" si="1"/>
        <v>22</v>
      </c>
      <c r="R18" s="1" t="s">
        <v>14</v>
      </c>
      <c r="S18" s="17">
        <f t="shared" ref="S18:AF18" si="10">SUM(C42:C45)</f>
        <v>5</v>
      </c>
      <c r="T18" s="17">
        <f t="shared" si="10"/>
        <v>0</v>
      </c>
      <c r="U18" s="17">
        <f t="shared" si="10"/>
        <v>5</v>
      </c>
      <c r="V18" s="17">
        <f t="shared" si="10"/>
        <v>3</v>
      </c>
      <c r="W18" s="17">
        <f t="shared" si="10"/>
        <v>0</v>
      </c>
      <c r="X18" s="17">
        <f t="shared" si="10"/>
        <v>0</v>
      </c>
      <c r="Y18" s="17">
        <f t="shared" si="10"/>
        <v>7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52</v>
      </c>
      <c r="AD18" s="17">
        <f t="shared" si="10"/>
        <v>0</v>
      </c>
      <c r="AE18" s="31">
        <f t="shared" si="10"/>
        <v>20</v>
      </c>
      <c r="AF18" s="31">
        <f t="shared" si="10"/>
        <v>72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1</v>
      </c>
      <c r="P19" s="15">
        <f t="shared" si="1"/>
        <v>16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5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53</v>
      </c>
      <c r="AD19" s="17">
        <f t="shared" si="11"/>
        <v>0</v>
      </c>
      <c r="AE19" s="31">
        <f t="shared" si="11"/>
        <v>14</v>
      </c>
      <c r="AF19" s="31">
        <f t="shared" si="11"/>
        <v>67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2</v>
      </c>
      <c r="P20" s="15">
        <f t="shared" si="1"/>
        <v>15</v>
      </c>
      <c r="R20" s="1" t="s">
        <v>16</v>
      </c>
      <c r="S20" s="17">
        <f t="shared" ref="S20:AF20" si="12">SUM(C50:C53)</f>
        <v>1</v>
      </c>
      <c r="T20" s="17">
        <f t="shared" si="12"/>
        <v>0</v>
      </c>
      <c r="U20" s="17">
        <f t="shared" si="12"/>
        <v>3</v>
      </c>
      <c r="V20" s="17">
        <f t="shared" si="12"/>
        <v>4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54</v>
      </c>
      <c r="AD20" s="17">
        <f t="shared" si="12"/>
        <v>0</v>
      </c>
      <c r="AE20" s="31">
        <f t="shared" si="12"/>
        <v>14</v>
      </c>
      <c r="AF20" s="31">
        <f t="shared" si="12"/>
        <v>68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2</v>
      </c>
      <c r="J21" s="50">
        <v>0</v>
      </c>
      <c r="K21" s="50">
        <v>0</v>
      </c>
      <c r="L21" s="50">
        <v>0</v>
      </c>
      <c r="M21" s="50">
        <v>16</v>
      </c>
      <c r="N21" s="50">
        <v>0</v>
      </c>
      <c r="O21" s="15">
        <f t="shared" si="0"/>
        <v>2</v>
      </c>
      <c r="P21" s="15">
        <f t="shared" si="1"/>
        <v>18</v>
      </c>
      <c r="R21" s="36" t="s">
        <v>20</v>
      </c>
      <c r="S21" s="34">
        <f t="shared" ref="S21:AF21" si="13">SUM(C54:C57)</f>
        <v>9</v>
      </c>
      <c r="T21" s="17">
        <f t="shared" si="13"/>
        <v>0</v>
      </c>
      <c r="U21" s="17">
        <f t="shared" si="13"/>
        <v>4</v>
      </c>
      <c r="V21" s="17">
        <f t="shared" si="13"/>
        <v>1</v>
      </c>
      <c r="W21" s="17">
        <f t="shared" si="13"/>
        <v>1</v>
      </c>
      <c r="X21" s="17">
        <f t="shared" si="13"/>
        <v>0</v>
      </c>
      <c r="Y21" s="17">
        <f t="shared" si="13"/>
        <v>5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60</v>
      </c>
      <c r="AD21" s="17">
        <f t="shared" si="13"/>
        <v>0</v>
      </c>
      <c r="AE21" s="31">
        <f t="shared" si="13"/>
        <v>20</v>
      </c>
      <c r="AF21" s="31">
        <f t="shared" si="13"/>
        <v>80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1</v>
      </c>
      <c r="P22" s="15">
        <f t="shared" si="1"/>
        <v>10</v>
      </c>
      <c r="R22" s="38" t="s">
        <v>90</v>
      </c>
      <c r="S22" s="39">
        <f>MAX(S10:S12)</f>
        <v>4</v>
      </c>
      <c r="T22" s="39">
        <f t="shared" ref="T22:AF22" si="14">MAX(T10:T12)</f>
        <v>0</v>
      </c>
      <c r="U22" s="39">
        <f t="shared" si="14"/>
        <v>5</v>
      </c>
      <c r="V22" s="39">
        <f t="shared" si="14"/>
        <v>1</v>
      </c>
      <c r="W22" s="39">
        <f t="shared" si="14"/>
        <v>1</v>
      </c>
      <c r="X22" s="39">
        <f t="shared" si="14"/>
        <v>0</v>
      </c>
      <c r="Y22" s="39">
        <f t="shared" si="14"/>
        <v>5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64</v>
      </c>
      <c r="AD22" s="39">
        <f t="shared" si="14"/>
        <v>0</v>
      </c>
      <c r="AE22" s="40">
        <f t="shared" si="14"/>
        <v>14</v>
      </c>
      <c r="AF22" s="40">
        <f t="shared" si="14"/>
        <v>74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8</v>
      </c>
      <c r="N23" s="50">
        <v>0</v>
      </c>
      <c r="O23" s="15">
        <f t="shared" si="0"/>
        <v>4</v>
      </c>
      <c r="P23" s="15">
        <f t="shared" si="1"/>
        <v>12</v>
      </c>
      <c r="R23" s="38" t="s">
        <v>91</v>
      </c>
      <c r="S23" s="39">
        <f>MAX(S13:S18)</f>
        <v>5</v>
      </c>
      <c r="T23" s="39">
        <f t="shared" ref="T23:AF23" si="15">MAX(T13:T18)</f>
        <v>0</v>
      </c>
      <c r="U23" s="39">
        <f t="shared" si="15"/>
        <v>6</v>
      </c>
      <c r="V23" s="39">
        <f t="shared" si="15"/>
        <v>3</v>
      </c>
      <c r="W23" s="39">
        <f t="shared" si="15"/>
        <v>0</v>
      </c>
      <c r="X23" s="39">
        <f t="shared" si="15"/>
        <v>0</v>
      </c>
      <c r="Y23" s="39">
        <f t="shared" si="15"/>
        <v>7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52</v>
      </c>
      <c r="AD23" s="39">
        <f t="shared" si="15"/>
        <v>0</v>
      </c>
      <c r="AE23" s="40">
        <f t="shared" si="15"/>
        <v>20</v>
      </c>
      <c r="AF23" s="40">
        <f t="shared" si="15"/>
        <v>72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13</v>
      </c>
      <c r="N24" s="50">
        <v>0</v>
      </c>
      <c r="O24" s="15">
        <f t="shared" si="0"/>
        <v>1</v>
      </c>
      <c r="P24" s="15">
        <f t="shared" si="1"/>
        <v>14</v>
      </c>
      <c r="R24" s="38" t="s">
        <v>92</v>
      </c>
      <c r="S24" s="39">
        <f>MAX(S19:S21)</f>
        <v>9</v>
      </c>
      <c r="T24" s="39">
        <f t="shared" ref="T24:AF24" si="16">MAX(T19:T21)</f>
        <v>0</v>
      </c>
      <c r="U24" s="39">
        <f t="shared" si="16"/>
        <v>5</v>
      </c>
      <c r="V24" s="39">
        <f t="shared" si="16"/>
        <v>4</v>
      </c>
      <c r="W24" s="39">
        <f t="shared" si="16"/>
        <v>1</v>
      </c>
      <c r="X24" s="39">
        <f t="shared" si="16"/>
        <v>0</v>
      </c>
      <c r="Y24" s="39">
        <f t="shared" si="16"/>
        <v>5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60</v>
      </c>
      <c r="AD24" s="39">
        <f t="shared" si="16"/>
        <v>0</v>
      </c>
      <c r="AE24" s="40">
        <f t="shared" si="16"/>
        <v>20</v>
      </c>
      <c r="AF24" s="40">
        <f t="shared" si="16"/>
        <v>80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6</v>
      </c>
      <c r="N25" s="50">
        <v>0</v>
      </c>
      <c r="O25" s="15">
        <f t="shared" si="0"/>
        <v>2</v>
      </c>
      <c r="P25" s="15">
        <f t="shared" si="1"/>
        <v>8</v>
      </c>
      <c r="R25" s="37" t="s">
        <v>85</v>
      </c>
      <c r="S25" s="35">
        <f t="shared" ref="S25:AF25" si="17">SUM(S10:S12)</f>
        <v>8</v>
      </c>
      <c r="T25" s="16">
        <f t="shared" si="17"/>
        <v>0</v>
      </c>
      <c r="U25" s="16">
        <f t="shared" si="17"/>
        <v>10</v>
      </c>
      <c r="V25" s="16">
        <f t="shared" si="17"/>
        <v>2</v>
      </c>
      <c r="W25" s="16">
        <f t="shared" si="17"/>
        <v>1</v>
      </c>
      <c r="X25" s="16">
        <f t="shared" si="17"/>
        <v>0</v>
      </c>
      <c r="Y25" s="16">
        <f t="shared" si="17"/>
        <v>9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166</v>
      </c>
      <c r="AD25" s="16">
        <f t="shared" si="17"/>
        <v>0</v>
      </c>
      <c r="AE25" s="32">
        <f t="shared" si="17"/>
        <v>30</v>
      </c>
      <c r="AF25" s="32">
        <f t="shared" si="17"/>
        <v>196</v>
      </c>
    </row>
    <row r="26" spans="2:32" ht="23.1" customHeight="1" x14ac:dyDescent="0.25">
      <c r="B26" s="23" t="s">
        <v>53</v>
      </c>
      <c r="C26" s="50">
        <v>2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8</v>
      </c>
      <c r="N26" s="50">
        <v>0</v>
      </c>
      <c r="O26" s="15">
        <f t="shared" si="0"/>
        <v>3</v>
      </c>
      <c r="P26" s="15">
        <f t="shared" si="1"/>
        <v>11</v>
      </c>
      <c r="R26" s="28" t="s">
        <v>86</v>
      </c>
      <c r="S26" s="16">
        <f t="shared" ref="S26:AF26" si="18">SUM(S13:S18)</f>
        <v>23</v>
      </c>
      <c r="T26" s="16">
        <f t="shared" si="18"/>
        <v>0</v>
      </c>
      <c r="U26" s="16">
        <f t="shared" si="18"/>
        <v>20</v>
      </c>
      <c r="V26" s="16">
        <f t="shared" si="18"/>
        <v>7</v>
      </c>
      <c r="W26" s="16">
        <f t="shared" si="18"/>
        <v>0</v>
      </c>
      <c r="X26" s="16">
        <f t="shared" si="18"/>
        <v>0</v>
      </c>
      <c r="Y26" s="16">
        <f t="shared" si="18"/>
        <v>27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267</v>
      </c>
      <c r="AD26" s="16">
        <f t="shared" si="18"/>
        <v>0</v>
      </c>
      <c r="AE26" s="32">
        <f t="shared" si="18"/>
        <v>78</v>
      </c>
      <c r="AF26" s="32">
        <f t="shared" si="18"/>
        <v>345</v>
      </c>
    </row>
    <row r="27" spans="2:32" ht="23.1" customHeight="1" x14ac:dyDescent="0.25">
      <c r="B27" s="23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9</v>
      </c>
      <c r="N27" s="50">
        <v>0</v>
      </c>
      <c r="O27" s="15">
        <f t="shared" si="0"/>
        <v>1</v>
      </c>
      <c r="P27" s="15">
        <f t="shared" si="1"/>
        <v>10</v>
      </c>
      <c r="R27" s="29" t="s">
        <v>87</v>
      </c>
      <c r="S27" s="16">
        <f t="shared" ref="S27:AF27" si="19">SUM(S19:S21)</f>
        <v>14</v>
      </c>
      <c r="T27" s="16">
        <f t="shared" si="19"/>
        <v>0</v>
      </c>
      <c r="U27" s="16">
        <f t="shared" si="19"/>
        <v>12</v>
      </c>
      <c r="V27" s="16">
        <f t="shared" si="19"/>
        <v>6</v>
      </c>
      <c r="W27" s="16">
        <f t="shared" si="19"/>
        <v>1</v>
      </c>
      <c r="X27" s="16">
        <f t="shared" si="19"/>
        <v>0</v>
      </c>
      <c r="Y27" s="16">
        <f t="shared" si="19"/>
        <v>14</v>
      </c>
      <c r="Z27" s="16">
        <f t="shared" si="19"/>
        <v>1</v>
      </c>
      <c r="AA27" s="16">
        <f t="shared" si="19"/>
        <v>0</v>
      </c>
      <c r="AB27" s="16">
        <f t="shared" si="19"/>
        <v>0</v>
      </c>
      <c r="AC27" s="16">
        <f t="shared" si="19"/>
        <v>167</v>
      </c>
      <c r="AD27" s="16">
        <f t="shared" si="19"/>
        <v>0</v>
      </c>
      <c r="AE27" s="32">
        <f t="shared" si="19"/>
        <v>48</v>
      </c>
      <c r="AF27" s="32">
        <f t="shared" si="19"/>
        <v>215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1</v>
      </c>
      <c r="F28" s="50">
        <v>2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14</v>
      </c>
      <c r="N28" s="50">
        <v>0</v>
      </c>
      <c r="O28" s="15">
        <f t="shared" si="0"/>
        <v>6</v>
      </c>
      <c r="P28" s="15">
        <f t="shared" si="1"/>
        <v>20</v>
      </c>
      <c r="R28" s="5" t="s">
        <v>17</v>
      </c>
      <c r="S28" s="16">
        <f t="shared" ref="S28:AF28" si="20">SUM(S10:S21)</f>
        <v>45</v>
      </c>
      <c r="T28" s="16">
        <f t="shared" si="20"/>
        <v>0</v>
      </c>
      <c r="U28" s="16">
        <f t="shared" si="20"/>
        <v>42</v>
      </c>
      <c r="V28" s="16">
        <f t="shared" si="20"/>
        <v>15</v>
      </c>
      <c r="W28" s="16">
        <f t="shared" si="20"/>
        <v>2</v>
      </c>
      <c r="X28" s="16">
        <f t="shared" si="20"/>
        <v>0</v>
      </c>
      <c r="Y28" s="16">
        <f t="shared" si="20"/>
        <v>50</v>
      </c>
      <c r="Z28" s="16">
        <f t="shared" si="20"/>
        <v>2</v>
      </c>
      <c r="AA28" s="16">
        <f t="shared" si="20"/>
        <v>0</v>
      </c>
      <c r="AB28" s="16">
        <f t="shared" si="20"/>
        <v>0</v>
      </c>
      <c r="AC28" s="16">
        <f t="shared" si="20"/>
        <v>600</v>
      </c>
      <c r="AD28" s="16">
        <f t="shared" si="20"/>
        <v>0</v>
      </c>
      <c r="AE28" s="32">
        <f t="shared" si="20"/>
        <v>156</v>
      </c>
      <c r="AF28" s="32">
        <f t="shared" si="20"/>
        <v>756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11</v>
      </c>
      <c r="N29" s="50">
        <v>0</v>
      </c>
      <c r="O29" s="15">
        <f t="shared" si="0"/>
        <v>0</v>
      </c>
      <c r="P29" s="15">
        <f t="shared" si="1"/>
        <v>11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3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3</v>
      </c>
      <c r="P30" s="15">
        <f t="shared" si="1"/>
        <v>12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13</v>
      </c>
      <c r="N31" s="50">
        <v>0</v>
      </c>
      <c r="O31" s="15">
        <f t="shared" si="0"/>
        <v>3</v>
      </c>
      <c r="P31" s="15">
        <f t="shared" si="1"/>
        <v>16</v>
      </c>
    </row>
    <row r="32" spans="2:32" ht="23.1" customHeight="1" x14ac:dyDescent="0.25">
      <c r="B32" s="24" t="s">
        <v>59</v>
      </c>
      <c r="C32" s="50">
        <v>2</v>
      </c>
      <c r="D32" s="50">
        <v>0</v>
      </c>
      <c r="E32" s="50">
        <v>2</v>
      </c>
      <c r="F32" s="50">
        <v>1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8</v>
      </c>
      <c r="P32" s="15">
        <f t="shared" si="1"/>
        <v>20</v>
      </c>
    </row>
    <row r="33" spans="2:20" ht="23.1" customHeight="1" x14ac:dyDescent="0.25">
      <c r="B33" s="23" t="s">
        <v>60</v>
      </c>
      <c r="C33" s="50">
        <v>1</v>
      </c>
      <c r="D33" s="50">
        <v>0</v>
      </c>
      <c r="E33" s="50">
        <v>0</v>
      </c>
      <c r="F33" s="50">
        <v>0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17</v>
      </c>
      <c r="N33" s="50">
        <v>0</v>
      </c>
      <c r="O33" s="15">
        <f t="shared" si="0"/>
        <v>3</v>
      </c>
      <c r="P33" s="15">
        <f t="shared" si="1"/>
        <v>20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10</v>
      </c>
      <c r="N34" s="50">
        <v>0</v>
      </c>
      <c r="O34" s="15">
        <f t="shared" si="0"/>
        <v>3</v>
      </c>
      <c r="P34" s="15">
        <f t="shared" si="1"/>
        <v>13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3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13</v>
      </c>
      <c r="N35" s="50">
        <v>0</v>
      </c>
      <c r="O35" s="15">
        <f t="shared" si="0"/>
        <v>4</v>
      </c>
      <c r="P35" s="15">
        <f t="shared" si="1"/>
        <v>17</v>
      </c>
    </row>
    <row r="36" spans="2:20" ht="23.1" customHeight="1" x14ac:dyDescent="0.25">
      <c r="B36" s="24" t="s">
        <v>63</v>
      </c>
      <c r="C36" s="50">
        <v>2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0</v>
      </c>
      <c r="J36" s="50">
        <v>1</v>
      </c>
      <c r="K36" s="50">
        <v>0</v>
      </c>
      <c r="L36" s="50">
        <v>0</v>
      </c>
      <c r="M36" s="50">
        <v>11</v>
      </c>
      <c r="N36" s="50">
        <v>0</v>
      </c>
      <c r="O36" s="15">
        <f t="shared" si="0"/>
        <v>4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1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1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2</v>
      </c>
      <c r="P37" s="15">
        <f t="shared" si="1"/>
        <v>10</v>
      </c>
    </row>
    <row r="38" spans="2:20" ht="23.1" customHeight="1" x14ac:dyDescent="0.25">
      <c r="B38" s="24" t="s">
        <v>65</v>
      </c>
      <c r="C38" s="50">
        <v>2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3</v>
      </c>
      <c r="P38" s="15">
        <f t="shared" si="1"/>
        <v>16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4</v>
      </c>
      <c r="P39" s="15">
        <f t="shared" si="1"/>
        <v>14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2</v>
      </c>
      <c r="P40" s="15">
        <f t="shared" si="1"/>
        <v>15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8</v>
      </c>
      <c r="N41" s="50">
        <v>0</v>
      </c>
      <c r="O41" s="15">
        <f t="shared" si="0"/>
        <v>1</v>
      </c>
      <c r="P41" s="15">
        <f t="shared" si="1"/>
        <v>9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2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19</v>
      </c>
      <c r="N42" s="50">
        <v>0</v>
      </c>
      <c r="O42" s="15">
        <f t="shared" si="0"/>
        <v>5</v>
      </c>
      <c r="P42" s="15">
        <f t="shared" si="1"/>
        <v>24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12</v>
      </c>
      <c r="N43" s="50">
        <v>0</v>
      </c>
      <c r="O43" s="15">
        <f t="shared" si="0"/>
        <v>1</v>
      </c>
      <c r="P43" s="15">
        <f t="shared" si="1"/>
        <v>13</v>
      </c>
    </row>
    <row r="44" spans="2:20" ht="23.1" customHeight="1" x14ac:dyDescent="0.25">
      <c r="B44" s="25" t="s">
        <v>71</v>
      </c>
      <c r="C44" s="50">
        <v>3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15</v>
      </c>
      <c r="N44" s="50">
        <v>0</v>
      </c>
      <c r="O44" s="15">
        <f t="shared" si="0"/>
        <v>5</v>
      </c>
      <c r="P44" s="15">
        <f t="shared" si="1"/>
        <v>20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3</v>
      </c>
      <c r="F45" s="50">
        <v>0</v>
      </c>
      <c r="G45" s="50">
        <v>0</v>
      </c>
      <c r="H45" s="50">
        <v>0</v>
      </c>
      <c r="I45" s="50">
        <v>4</v>
      </c>
      <c r="J45" s="50">
        <v>0</v>
      </c>
      <c r="K45" s="50">
        <v>0</v>
      </c>
      <c r="L45" s="50">
        <v>0</v>
      </c>
      <c r="M45" s="50">
        <v>6</v>
      </c>
      <c r="N45" s="50">
        <v>0</v>
      </c>
      <c r="O45" s="15">
        <f t="shared" si="0"/>
        <v>9</v>
      </c>
      <c r="P45" s="15">
        <f t="shared" si="1"/>
        <v>15</v>
      </c>
    </row>
    <row r="46" spans="2:20" ht="23.1" customHeight="1" x14ac:dyDescent="0.25">
      <c r="B46" s="24" t="s">
        <v>73</v>
      </c>
      <c r="C46" s="50">
        <v>1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16</v>
      </c>
      <c r="N46" s="50">
        <v>0</v>
      </c>
      <c r="O46" s="15">
        <f t="shared" si="0"/>
        <v>2</v>
      </c>
      <c r="P46" s="15">
        <f t="shared" si="1"/>
        <v>18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2</v>
      </c>
      <c r="F47" s="50">
        <v>1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4</v>
      </c>
      <c r="P47" s="15">
        <f t="shared" si="1"/>
        <v>12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2</v>
      </c>
      <c r="F48" s="50">
        <v>0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18</v>
      </c>
      <c r="N48" s="50">
        <v>0</v>
      </c>
      <c r="O48" s="15">
        <f t="shared" si="0"/>
        <v>6</v>
      </c>
      <c r="P48" s="15">
        <f t="shared" si="1"/>
        <v>24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11</v>
      </c>
      <c r="N49" s="50">
        <v>0</v>
      </c>
      <c r="O49" s="15">
        <f t="shared" si="0"/>
        <v>2</v>
      </c>
      <c r="P49" s="15">
        <f t="shared" si="1"/>
        <v>13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15</v>
      </c>
      <c r="N50" s="50">
        <v>0</v>
      </c>
      <c r="O50" s="15">
        <f t="shared" si="0"/>
        <v>1</v>
      </c>
      <c r="P50" s="15">
        <f t="shared" si="1"/>
        <v>16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5</v>
      </c>
      <c r="N51" s="50">
        <v>0</v>
      </c>
      <c r="O51" s="15">
        <f t="shared" si="0"/>
        <v>3</v>
      </c>
      <c r="P51" s="15">
        <f t="shared" si="1"/>
        <v>8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1</v>
      </c>
      <c r="F52" s="50">
        <v>2</v>
      </c>
      <c r="G52" s="50">
        <v>0</v>
      </c>
      <c r="H52" s="50">
        <v>0</v>
      </c>
      <c r="I52" s="50">
        <v>3</v>
      </c>
      <c r="J52" s="50">
        <v>0</v>
      </c>
      <c r="K52" s="50">
        <v>0</v>
      </c>
      <c r="L52" s="50">
        <v>0</v>
      </c>
      <c r="M52" s="50">
        <v>20</v>
      </c>
      <c r="N52" s="50">
        <v>0</v>
      </c>
      <c r="O52" s="15">
        <f t="shared" si="0"/>
        <v>6</v>
      </c>
      <c r="P52" s="15">
        <f t="shared" si="1"/>
        <v>26</v>
      </c>
      <c r="R52" s="8"/>
      <c r="T52"/>
    </row>
    <row r="53" spans="2:20" ht="23.1" customHeight="1" x14ac:dyDescent="0.25">
      <c r="B53" s="23" t="s">
        <v>80</v>
      </c>
      <c r="C53" s="50">
        <v>0</v>
      </c>
      <c r="D53" s="50">
        <v>0</v>
      </c>
      <c r="E53" s="50">
        <v>2</v>
      </c>
      <c r="F53" s="50">
        <v>2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4</v>
      </c>
      <c r="P53" s="15">
        <f t="shared" si="1"/>
        <v>18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</v>
      </c>
      <c r="F54" s="50">
        <v>1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18</v>
      </c>
      <c r="N54" s="50">
        <v>0</v>
      </c>
      <c r="O54" s="15">
        <f t="shared" si="0"/>
        <v>4</v>
      </c>
      <c r="P54" s="15">
        <f t="shared" si="1"/>
        <v>22</v>
      </c>
      <c r="R54" s="8"/>
      <c r="T54"/>
    </row>
    <row r="55" spans="2:20" ht="23.1" customHeight="1" x14ac:dyDescent="0.25">
      <c r="B55" s="23" t="s">
        <v>82</v>
      </c>
      <c r="C55" s="50">
        <v>1</v>
      </c>
      <c r="D55" s="50">
        <v>0</v>
      </c>
      <c r="E55" s="50">
        <v>1</v>
      </c>
      <c r="F55" s="50">
        <v>0</v>
      </c>
      <c r="G55" s="50">
        <v>1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4</v>
      </c>
      <c r="P55" s="15">
        <f t="shared" si="1"/>
        <v>13</v>
      </c>
      <c r="R55" s="8"/>
      <c r="T55"/>
    </row>
    <row r="56" spans="2:20" ht="23.1" customHeight="1" x14ac:dyDescent="0.25">
      <c r="B56" s="23" t="s">
        <v>83</v>
      </c>
      <c r="C56" s="50">
        <v>5</v>
      </c>
      <c r="D56" s="50">
        <v>0</v>
      </c>
      <c r="E56" s="50">
        <v>2</v>
      </c>
      <c r="F56" s="50">
        <v>0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15</v>
      </c>
      <c r="N56" s="50">
        <v>0</v>
      </c>
      <c r="O56" s="15">
        <f t="shared" si="0"/>
        <v>9</v>
      </c>
      <c r="P56" s="15">
        <f t="shared" si="1"/>
        <v>24</v>
      </c>
      <c r="R56" s="8"/>
      <c r="T56"/>
    </row>
    <row r="57" spans="2:20" ht="23.1" customHeight="1" x14ac:dyDescent="0.25">
      <c r="B57" s="23" t="s">
        <v>84</v>
      </c>
      <c r="C57" s="50">
        <v>2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18</v>
      </c>
      <c r="N57" s="50">
        <v>0</v>
      </c>
      <c r="O57" s="15">
        <f t="shared" si="0"/>
        <v>3</v>
      </c>
      <c r="P57" s="15">
        <f t="shared" si="1"/>
        <v>21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45</v>
      </c>
      <c r="D58" s="16">
        <f t="shared" si="21"/>
        <v>0</v>
      </c>
      <c r="E58" s="16">
        <f t="shared" si="21"/>
        <v>42</v>
      </c>
      <c r="F58" s="16">
        <f t="shared" si="21"/>
        <v>15</v>
      </c>
      <c r="G58" s="16">
        <f t="shared" si="21"/>
        <v>2</v>
      </c>
      <c r="H58" s="16">
        <f t="shared" si="21"/>
        <v>0</v>
      </c>
      <c r="I58" s="16">
        <f t="shared" si="21"/>
        <v>50</v>
      </c>
      <c r="J58" s="16">
        <f t="shared" si="21"/>
        <v>2</v>
      </c>
      <c r="K58" s="16">
        <f t="shared" si="21"/>
        <v>0</v>
      </c>
      <c r="L58" s="16">
        <f t="shared" si="21"/>
        <v>0</v>
      </c>
      <c r="M58" s="16">
        <f t="shared" si="21"/>
        <v>600</v>
      </c>
      <c r="N58" s="16">
        <f t="shared" si="21"/>
        <v>0</v>
      </c>
      <c r="O58" s="16">
        <f t="shared" si="21"/>
        <v>156</v>
      </c>
      <c r="P58" s="16">
        <f t="shared" si="21"/>
        <v>756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5.9523809523809521E-2</v>
      </c>
      <c r="D59" s="43">
        <f t="shared" si="22"/>
        <v>0</v>
      </c>
      <c r="E59" s="43">
        <f t="shared" si="22"/>
        <v>5.5555555555555552E-2</v>
      </c>
      <c r="F59" s="43">
        <f t="shared" si="22"/>
        <v>1.984126984126984E-2</v>
      </c>
      <c r="G59" s="43">
        <f t="shared" si="22"/>
        <v>2.6455026455026454E-3</v>
      </c>
      <c r="H59" s="43">
        <f t="shared" si="22"/>
        <v>0</v>
      </c>
      <c r="I59" s="43">
        <f t="shared" si="22"/>
        <v>6.6137566137566134E-2</v>
      </c>
      <c r="J59" s="43">
        <f t="shared" si="22"/>
        <v>2.6455026455026454E-3</v>
      </c>
      <c r="K59" s="43">
        <f t="shared" si="22"/>
        <v>0</v>
      </c>
      <c r="L59" s="43">
        <f t="shared" si="22"/>
        <v>0</v>
      </c>
      <c r="M59" s="43">
        <f t="shared" si="22"/>
        <v>0.79365079365079361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0.28846153846153844</v>
      </c>
      <c r="D60" s="44">
        <f t="shared" ref="D60:N60" si="23">D58/$O$58</f>
        <v>0</v>
      </c>
      <c r="E60" s="44">
        <f t="shared" si="23"/>
        <v>0.26923076923076922</v>
      </c>
      <c r="F60" s="44">
        <f t="shared" si="23"/>
        <v>9.6153846153846159E-2</v>
      </c>
      <c r="G60" s="44">
        <f t="shared" si="23"/>
        <v>1.282051282051282E-2</v>
      </c>
      <c r="H60" s="44">
        <f t="shared" si="23"/>
        <v>0</v>
      </c>
      <c r="I60" s="44">
        <f t="shared" si="23"/>
        <v>0.32051282051282054</v>
      </c>
      <c r="J60" s="44">
        <f t="shared" si="23"/>
        <v>1.282051282051282E-2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X54" sqref="X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KAMPALA-BUSUNJU'!C3:G3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'14.08 BUSUNJU-KAMPALA'!D5</f>
        <v>14.08.19</v>
      </c>
      <c r="E5" s="3"/>
      <c r="F5" s="41" t="s">
        <v>1</v>
      </c>
      <c r="G5" s="63" t="str">
        <f>'14.08 BUSUNJU-KAMPALA'!G5:H5</f>
        <v>MATTE</v>
      </c>
      <c r="H5" s="64"/>
      <c r="I5" s="14"/>
      <c r="J5" s="2" t="s">
        <v>5</v>
      </c>
      <c r="K5" s="63" t="str">
        <f>'14.08 BUSUNJU-KAMPALA'!K5:L5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KAMPALA-BUSUNJU'!D6:E6</f>
        <v>KAMPALA</v>
      </c>
      <c r="E6" s="64"/>
      <c r="F6" s="2" t="s">
        <v>2</v>
      </c>
      <c r="G6" s="63" t="str">
        <f>'11.08 KAMPALA-BUSUNJU'!G6:H6</f>
        <v>BUSUNJU</v>
      </c>
      <c r="H6" s="64"/>
      <c r="J6" s="2" t="s">
        <v>21</v>
      </c>
      <c r="K6" s="63" t="str">
        <f>'14.08 BUSUNJU-KAMPALA'!K6:L6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1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10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33</v>
      </c>
      <c r="AD10" s="17">
        <f t="shared" si="2"/>
        <v>0</v>
      </c>
      <c r="AE10" s="31">
        <f t="shared" si="2"/>
        <v>4</v>
      </c>
      <c r="AF10" s="31">
        <f t="shared" si="2"/>
        <v>37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6</v>
      </c>
      <c r="N11" s="50">
        <v>0</v>
      </c>
      <c r="O11" s="15">
        <f t="shared" si="0"/>
        <v>0</v>
      </c>
      <c r="P11" s="15">
        <f t="shared" si="1"/>
        <v>6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2</v>
      </c>
      <c r="V11" s="17">
        <f t="shared" si="3"/>
        <v>1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50</v>
      </c>
      <c r="AD11" s="17">
        <f t="shared" si="3"/>
        <v>0</v>
      </c>
      <c r="AE11" s="31">
        <f t="shared" si="3"/>
        <v>5</v>
      </c>
      <c r="AF11" s="31">
        <f t="shared" si="3"/>
        <v>55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1</v>
      </c>
      <c r="P12" s="15">
        <f t="shared" si="1"/>
        <v>13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1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65</v>
      </c>
      <c r="AD12" s="17">
        <f t="shared" si="4"/>
        <v>0</v>
      </c>
      <c r="AE12" s="31">
        <f t="shared" si="4"/>
        <v>6</v>
      </c>
      <c r="AF12" s="31">
        <f t="shared" si="4"/>
        <v>71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1</v>
      </c>
      <c r="P13" s="15">
        <f t="shared" si="1"/>
        <v>8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5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36</v>
      </c>
      <c r="AD13" s="17">
        <f t="shared" si="5"/>
        <v>0</v>
      </c>
      <c r="AE13" s="31">
        <f t="shared" si="5"/>
        <v>14</v>
      </c>
      <c r="AF13" s="31">
        <f t="shared" si="5"/>
        <v>50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1</v>
      </c>
      <c r="F14" s="50">
        <v>1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8</v>
      </c>
      <c r="N14" s="50">
        <v>0</v>
      </c>
      <c r="O14" s="15">
        <f t="shared" si="0"/>
        <v>2</v>
      </c>
      <c r="P14" s="15">
        <f t="shared" si="1"/>
        <v>10</v>
      </c>
      <c r="R14" s="1" t="s">
        <v>10</v>
      </c>
      <c r="S14" s="17">
        <f t="shared" ref="S14:AF14" si="6">SUM(C26:C29)</f>
        <v>8</v>
      </c>
      <c r="T14" s="17">
        <f t="shared" si="6"/>
        <v>0</v>
      </c>
      <c r="U14" s="17">
        <f t="shared" si="6"/>
        <v>2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38</v>
      </c>
      <c r="AD14" s="17">
        <f t="shared" si="6"/>
        <v>0</v>
      </c>
      <c r="AE14" s="31">
        <f t="shared" si="6"/>
        <v>16</v>
      </c>
      <c r="AF14" s="31">
        <f t="shared" si="6"/>
        <v>54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1</v>
      </c>
      <c r="P15" s="15">
        <f t="shared" si="1"/>
        <v>13</v>
      </c>
      <c r="R15" s="1" t="s">
        <v>11</v>
      </c>
      <c r="S15" s="17">
        <f t="shared" ref="S15:AF15" si="7">SUM(C30:C33)</f>
        <v>1</v>
      </c>
      <c r="T15" s="17">
        <f t="shared" si="7"/>
        <v>0</v>
      </c>
      <c r="U15" s="17">
        <f t="shared" si="7"/>
        <v>4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49</v>
      </c>
      <c r="AD15" s="17">
        <f t="shared" si="7"/>
        <v>0</v>
      </c>
      <c r="AE15" s="31">
        <f t="shared" si="7"/>
        <v>12</v>
      </c>
      <c r="AF15" s="31">
        <f t="shared" si="7"/>
        <v>61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15</v>
      </c>
      <c r="N16" s="50">
        <v>0</v>
      </c>
      <c r="O16" s="15">
        <f t="shared" si="0"/>
        <v>1</v>
      </c>
      <c r="P16" s="15">
        <f t="shared" si="1"/>
        <v>16</v>
      </c>
      <c r="R16" s="1" t="s">
        <v>12</v>
      </c>
      <c r="S16" s="17">
        <f t="shared" ref="S16:AF16" si="8">SUM(C34:C37)</f>
        <v>2</v>
      </c>
      <c r="T16" s="17">
        <f t="shared" si="8"/>
        <v>0</v>
      </c>
      <c r="U16" s="17">
        <f t="shared" si="8"/>
        <v>1</v>
      </c>
      <c r="V16" s="17">
        <f t="shared" si="8"/>
        <v>1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44</v>
      </c>
      <c r="AD16" s="17">
        <f t="shared" si="8"/>
        <v>0</v>
      </c>
      <c r="AE16" s="31">
        <f t="shared" si="8"/>
        <v>8</v>
      </c>
      <c r="AF16" s="31">
        <f t="shared" si="8"/>
        <v>52</v>
      </c>
    </row>
    <row r="17" spans="2:32" ht="23.1" customHeight="1" x14ac:dyDescent="0.25">
      <c r="B17" s="23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1</v>
      </c>
      <c r="P17" s="15">
        <f t="shared" si="1"/>
        <v>16</v>
      </c>
      <c r="R17" s="1" t="s">
        <v>13</v>
      </c>
      <c r="S17" s="17">
        <f t="shared" ref="S17:AF17" si="9">SUM(C38:C41)</f>
        <v>1</v>
      </c>
      <c r="T17" s="17">
        <f t="shared" si="9"/>
        <v>0</v>
      </c>
      <c r="U17" s="17">
        <f t="shared" si="9"/>
        <v>4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40</v>
      </c>
      <c r="AD17" s="17">
        <f t="shared" si="9"/>
        <v>0</v>
      </c>
      <c r="AE17" s="31">
        <f t="shared" si="9"/>
        <v>14</v>
      </c>
      <c r="AF17" s="31">
        <f t="shared" si="9"/>
        <v>54</v>
      </c>
    </row>
    <row r="18" spans="2:32" ht="23.1" customHeight="1" x14ac:dyDescent="0.25">
      <c r="B18" s="23" t="s">
        <v>45</v>
      </c>
      <c r="C18" s="50">
        <v>1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15</v>
      </c>
      <c r="N18" s="50">
        <v>0</v>
      </c>
      <c r="O18" s="15">
        <f t="shared" si="0"/>
        <v>1</v>
      </c>
      <c r="P18" s="15">
        <f t="shared" si="1"/>
        <v>16</v>
      </c>
      <c r="R18" s="1" t="s">
        <v>14</v>
      </c>
      <c r="S18" s="17">
        <f t="shared" ref="S18:AF18" si="10">SUM(C42:C45)</f>
        <v>2</v>
      </c>
      <c r="T18" s="17">
        <f t="shared" si="10"/>
        <v>0</v>
      </c>
      <c r="U18" s="17">
        <f t="shared" si="10"/>
        <v>2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57</v>
      </c>
      <c r="AD18" s="17">
        <f t="shared" si="10"/>
        <v>0</v>
      </c>
      <c r="AE18" s="31">
        <f t="shared" si="10"/>
        <v>10</v>
      </c>
      <c r="AF18" s="31">
        <f t="shared" si="10"/>
        <v>67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2</v>
      </c>
      <c r="J19" s="50">
        <v>0</v>
      </c>
      <c r="K19" s="50">
        <v>0</v>
      </c>
      <c r="L19" s="50">
        <v>0</v>
      </c>
      <c r="M19" s="50">
        <v>14</v>
      </c>
      <c r="N19" s="50">
        <v>0</v>
      </c>
      <c r="O19" s="15">
        <f t="shared" si="0"/>
        <v>4</v>
      </c>
      <c r="P19" s="15">
        <f t="shared" si="1"/>
        <v>18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6</v>
      </c>
      <c r="V19" s="17">
        <f t="shared" si="11"/>
        <v>0</v>
      </c>
      <c r="W19" s="17">
        <f t="shared" si="11"/>
        <v>1</v>
      </c>
      <c r="X19" s="17">
        <f t="shared" si="11"/>
        <v>0</v>
      </c>
      <c r="Y19" s="17">
        <f t="shared" si="11"/>
        <v>4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53</v>
      </c>
      <c r="AD19" s="17">
        <f t="shared" si="11"/>
        <v>0</v>
      </c>
      <c r="AE19" s="31">
        <f t="shared" si="11"/>
        <v>16</v>
      </c>
      <c r="AF19" s="31">
        <f t="shared" si="11"/>
        <v>69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19</v>
      </c>
      <c r="N20" s="50">
        <v>0</v>
      </c>
      <c r="O20" s="15">
        <f t="shared" si="0"/>
        <v>1</v>
      </c>
      <c r="P20" s="15">
        <f t="shared" si="1"/>
        <v>20</v>
      </c>
      <c r="R20" s="1" t="s">
        <v>16</v>
      </c>
      <c r="S20" s="17">
        <f t="shared" ref="S20:AF20" si="12">SUM(C50:C53)</f>
        <v>4</v>
      </c>
      <c r="T20" s="17">
        <f t="shared" si="12"/>
        <v>0</v>
      </c>
      <c r="U20" s="17">
        <f t="shared" si="12"/>
        <v>2</v>
      </c>
      <c r="V20" s="17">
        <f t="shared" si="12"/>
        <v>7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61</v>
      </c>
      <c r="AD20" s="17">
        <f t="shared" si="12"/>
        <v>0</v>
      </c>
      <c r="AE20" s="31">
        <f t="shared" si="12"/>
        <v>17</v>
      </c>
      <c r="AF20" s="31">
        <f t="shared" si="12"/>
        <v>78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17</v>
      </c>
      <c r="N21" s="50">
        <v>0</v>
      </c>
      <c r="O21" s="15">
        <f t="shared" si="0"/>
        <v>0</v>
      </c>
      <c r="P21" s="15">
        <f t="shared" si="1"/>
        <v>17</v>
      </c>
      <c r="R21" s="36" t="s">
        <v>20</v>
      </c>
      <c r="S21" s="34">
        <f t="shared" ref="S21:AF21" si="13">SUM(C54:C57)</f>
        <v>4</v>
      </c>
      <c r="T21" s="17">
        <f t="shared" si="13"/>
        <v>0</v>
      </c>
      <c r="U21" s="17">
        <f t="shared" si="13"/>
        <v>2</v>
      </c>
      <c r="V21" s="17">
        <f t="shared" si="13"/>
        <v>0</v>
      </c>
      <c r="W21" s="17">
        <f t="shared" si="13"/>
        <v>0</v>
      </c>
      <c r="X21" s="17">
        <f t="shared" si="13"/>
        <v>0</v>
      </c>
      <c r="Y21" s="17">
        <f t="shared" si="13"/>
        <v>6</v>
      </c>
      <c r="Z21" s="17">
        <f t="shared" si="13"/>
        <v>1</v>
      </c>
      <c r="AA21" s="17">
        <f t="shared" si="13"/>
        <v>0</v>
      </c>
      <c r="AB21" s="17">
        <f t="shared" si="13"/>
        <v>0</v>
      </c>
      <c r="AC21" s="17">
        <f t="shared" si="13"/>
        <v>62</v>
      </c>
      <c r="AD21" s="17">
        <f t="shared" si="13"/>
        <v>0</v>
      </c>
      <c r="AE21" s="31">
        <f t="shared" si="13"/>
        <v>13</v>
      </c>
      <c r="AF21" s="31">
        <f t="shared" si="13"/>
        <v>75</v>
      </c>
    </row>
    <row r="22" spans="2:32" ht="23.1" customHeight="1" x14ac:dyDescent="0.25">
      <c r="B22" s="23" t="s">
        <v>49</v>
      </c>
      <c r="C22" s="50">
        <v>3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4</v>
      </c>
      <c r="P22" s="15">
        <f t="shared" si="1"/>
        <v>13</v>
      </c>
      <c r="R22" s="38" t="s">
        <v>90</v>
      </c>
      <c r="S22" s="39">
        <f>MAX(S10:S12)</f>
        <v>2</v>
      </c>
      <c r="T22" s="39">
        <f t="shared" ref="T22:AF22" si="14">MAX(T10:T12)</f>
        <v>0</v>
      </c>
      <c r="U22" s="39">
        <f t="shared" si="14"/>
        <v>2</v>
      </c>
      <c r="V22" s="39">
        <f t="shared" si="14"/>
        <v>1</v>
      </c>
      <c r="W22" s="39">
        <f t="shared" si="14"/>
        <v>0</v>
      </c>
      <c r="X22" s="39">
        <f t="shared" si="14"/>
        <v>0</v>
      </c>
      <c r="Y22" s="39">
        <f t="shared" si="14"/>
        <v>3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65</v>
      </c>
      <c r="AD22" s="39">
        <f t="shared" si="14"/>
        <v>0</v>
      </c>
      <c r="AE22" s="40">
        <f t="shared" si="14"/>
        <v>6</v>
      </c>
      <c r="AF22" s="40">
        <f t="shared" si="14"/>
        <v>71</v>
      </c>
    </row>
    <row r="23" spans="2:32" ht="23.1" customHeight="1" x14ac:dyDescent="0.25">
      <c r="B23" s="23" t="s">
        <v>50</v>
      </c>
      <c r="C23" s="50">
        <v>0</v>
      </c>
      <c r="D23" s="50">
        <v>0</v>
      </c>
      <c r="E23" s="50">
        <v>1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7</v>
      </c>
      <c r="N23" s="50">
        <v>0</v>
      </c>
      <c r="O23" s="15">
        <f t="shared" si="0"/>
        <v>3</v>
      </c>
      <c r="P23" s="15">
        <f t="shared" si="1"/>
        <v>10</v>
      </c>
      <c r="R23" s="38" t="s">
        <v>91</v>
      </c>
      <c r="S23" s="39">
        <f>MAX(S13:S18)</f>
        <v>8</v>
      </c>
      <c r="T23" s="39">
        <f t="shared" ref="T23:AF23" si="15">MAX(T13:T18)</f>
        <v>0</v>
      </c>
      <c r="U23" s="39">
        <f t="shared" si="15"/>
        <v>5</v>
      </c>
      <c r="V23" s="39">
        <f t="shared" si="15"/>
        <v>2</v>
      </c>
      <c r="W23" s="39">
        <f t="shared" si="15"/>
        <v>0</v>
      </c>
      <c r="X23" s="39">
        <f t="shared" si="15"/>
        <v>0</v>
      </c>
      <c r="Y23" s="39">
        <f t="shared" si="15"/>
        <v>7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57</v>
      </c>
      <c r="AD23" s="39">
        <f t="shared" si="15"/>
        <v>0</v>
      </c>
      <c r="AE23" s="40">
        <f t="shared" si="15"/>
        <v>16</v>
      </c>
      <c r="AF23" s="40">
        <f t="shared" si="15"/>
        <v>67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1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9</v>
      </c>
      <c r="N24" s="50">
        <v>0</v>
      </c>
      <c r="O24" s="15">
        <f t="shared" si="0"/>
        <v>3</v>
      </c>
      <c r="P24" s="15">
        <f t="shared" si="1"/>
        <v>12</v>
      </c>
      <c r="R24" s="38" t="s">
        <v>92</v>
      </c>
      <c r="S24" s="39">
        <f>MAX(S19:S21)</f>
        <v>4</v>
      </c>
      <c r="T24" s="39">
        <f t="shared" ref="T24:AF24" si="16">MAX(T19:T21)</f>
        <v>0</v>
      </c>
      <c r="U24" s="39">
        <f t="shared" si="16"/>
        <v>6</v>
      </c>
      <c r="V24" s="39">
        <f t="shared" si="16"/>
        <v>7</v>
      </c>
      <c r="W24" s="39">
        <f t="shared" si="16"/>
        <v>1</v>
      </c>
      <c r="X24" s="39">
        <f t="shared" si="16"/>
        <v>0</v>
      </c>
      <c r="Y24" s="39">
        <f t="shared" si="16"/>
        <v>6</v>
      </c>
      <c r="Z24" s="39">
        <f t="shared" si="16"/>
        <v>1</v>
      </c>
      <c r="AA24" s="39">
        <f t="shared" si="16"/>
        <v>0</v>
      </c>
      <c r="AB24" s="39">
        <f t="shared" si="16"/>
        <v>0</v>
      </c>
      <c r="AC24" s="39">
        <f t="shared" si="16"/>
        <v>62</v>
      </c>
      <c r="AD24" s="39">
        <f t="shared" si="16"/>
        <v>0</v>
      </c>
      <c r="AE24" s="40">
        <f t="shared" si="16"/>
        <v>17</v>
      </c>
      <c r="AF24" s="40">
        <f t="shared" si="16"/>
        <v>78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2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11</v>
      </c>
      <c r="N25" s="50">
        <v>0</v>
      </c>
      <c r="O25" s="15">
        <f t="shared" si="0"/>
        <v>4</v>
      </c>
      <c r="P25" s="15">
        <f t="shared" si="1"/>
        <v>15</v>
      </c>
      <c r="R25" s="37" t="s">
        <v>85</v>
      </c>
      <c r="S25" s="35">
        <f t="shared" ref="S25:AF25" si="17">SUM(S10:S12)</f>
        <v>4</v>
      </c>
      <c r="T25" s="16">
        <f t="shared" si="17"/>
        <v>0</v>
      </c>
      <c r="U25" s="16">
        <f t="shared" si="17"/>
        <v>4</v>
      </c>
      <c r="V25" s="16">
        <f t="shared" si="17"/>
        <v>2</v>
      </c>
      <c r="W25" s="16">
        <f t="shared" si="17"/>
        <v>0</v>
      </c>
      <c r="X25" s="16">
        <f t="shared" si="17"/>
        <v>0</v>
      </c>
      <c r="Y25" s="16">
        <f t="shared" si="17"/>
        <v>5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148</v>
      </c>
      <c r="AD25" s="16">
        <f t="shared" si="17"/>
        <v>0</v>
      </c>
      <c r="AE25" s="32">
        <f t="shared" si="17"/>
        <v>15</v>
      </c>
      <c r="AF25" s="32">
        <f t="shared" si="17"/>
        <v>163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11</v>
      </c>
      <c r="N26" s="50">
        <v>0</v>
      </c>
      <c r="O26" s="15">
        <f t="shared" si="0"/>
        <v>4</v>
      </c>
      <c r="P26" s="15">
        <f t="shared" si="1"/>
        <v>15</v>
      </c>
      <c r="R26" s="28" t="s">
        <v>86</v>
      </c>
      <c r="S26" s="16">
        <f t="shared" ref="S26:AF26" si="18">SUM(S13:S18)</f>
        <v>17</v>
      </c>
      <c r="T26" s="16">
        <f t="shared" si="18"/>
        <v>0</v>
      </c>
      <c r="U26" s="16">
        <f t="shared" si="18"/>
        <v>18</v>
      </c>
      <c r="V26" s="16">
        <f t="shared" si="18"/>
        <v>9</v>
      </c>
      <c r="W26" s="16">
        <f t="shared" si="18"/>
        <v>0</v>
      </c>
      <c r="X26" s="16">
        <f t="shared" si="18"/>
        <v>0</v>
      </c>
      <c r="Y26" s="16">
        <f t="shared" si="18"/>
        <v>29</v>
      </c>
      <c r="Z26" s="16">
        <f t="shared" si="18"/>
        <v>1</v>
      </c>
      <c r="AA26" s="16">
        <f t="shared" si="18"/>
        <v>0</v>
      </c>
      <c r="AB26" s="16">
        <f t="shared" si="18"/>
        <v>0</v>
      </c>
      <c r="AC26" s="16">
        <f t="shared" si="18"/>
        <v>264</v>
      </c>
      <c r="AD26" s="16">
        <f t="shared" si="18"/>
        <v>0</v>
      </c>
      <c r="AE26" s="32">
        <f t="shared" si="18"/>
        <v>74</v>
      </c>
      <c r="AF26" s="32">
        <f t="shared" si="18"/>
        <v>338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1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8</v>
      </c>
      <c r="N27" s="50">
        <v>0</v>
      </c>
      <c r="O27" s="15">
        <f t="shared" si="0"/>
        <v>3</v>
      </c>
      <c r="P27" s="15">
        <f t="shared" si="1"/>
        <v>11</v>
      </c>
      <c r="R27" s="29" t="s">
        <v>87</v>
      </c>
      <c r="S27" s="16">
        <f t="shared" ref="S27:AF27" si="19">SUM(S19:S21)</f>
        <v>12</v>
      </c>
      <c r="T27" s="16">
        <f t="shared" si="19"/>
        <v>0</v>
      </c>
      <c r="U27" s="16">
        <f t="shared" si="19"/>
        <v>10</v>
      </c>
      <c r="V27" s="16">
        <f t="shared" si="19"/>
        <v>7</v>
      </c>
      <c r="W27" s="16">
        <f t="shared" si="19"/>
        <v>1</v>
      </c>
      <c r="X27" s="16">
        <f t="shared" si="19"/>
        <v>0</v>
      </c>
      <c r="Y27" s="16">
        <f t="shared" si="19"/>
        <v>14</v>
      </c>
      <c r="Z27" s="16">
        <f t="shared" si="19"/>
        <v>2</v>
      </c>
      <c r="AA27" s="16">
        <f t="shared" si="19"/>
        <v>0</v>
      </c>
      <c r="AB27" s="16">
        <f t="shared" si="19"/>
        <v>0</v>
      </c>
      <c r="AC27" s="16">
        <f t="shared" si="19"/>
        <v>176</v>
      </c>
      <c r="AD27" s="16">
        <f t="shared" si="19"/>
        <v>0</v>
      </c>
      <c r="AE27" s="32">
        <f t="shared" si="19"/>
        <v>46</v>
      </c>
      <c r="AF27" s="32">
        <f t="shared" si="19"/>
        <v>222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1</v>
      </c>
      <c r="F28" s="50">
        <v>1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4</v>
      </c>
      <c r="P28" s="15">
        <f t="shared" si="1"/>
        <v>16</v>
      </c>
      <c r="R28" s="5" t="s">
        <v>17</v>
      </c>
      <c r="S28" s="16">
        <f t="shared" ref="S28:AF28" si="20">SUM(S10:S21)</f>
        <v>33</v>
      </c>
      <c r="T28" s="16">
        <f t="shared" si="20"/>
        <v>0</v>
      </c>
      <c r="U28" s="16">
        <f t="shared" si="20"/>
        <v>32</v>
      </c>
      <c r="V28" s="16">
        <f t="shared" si="20"/>
        <v>18</v>
      </c>
      <c r="W28" s="16">
        <f t="shared" si="20"/>
        <v>1</v>
      </c>
      <c r="X28" s="16">
        <f t="shared" si="20"/>
        <v>0</v>
      </c>
      <c r="Y28" s="16">
        <f t="shared" si="20"/>
        <v>48</v>
      </c>
      <c r="Z28" s="16">
        <f t="shared" si="20"/>
        <v>3</v>
      </c>
      <c r="AA28" s="16">
        <f t="shared" si="20"/>
        <v>0</v>
      </c>
      <c r="AB28" s="16">
        <f t="shared" si="20"/>
        <v>0</v>
      </c>
      <c r="AC28" s="16">
        <f t="shared" si="20"/>
        <v>588</v>
      </c>
      <c r="AD28" s="16">
        <f t="shared" si="20"/>
        <v>0</v>
      </c>
      <c r="AE28" s="32">
        <f t="shared" si="20"/>
        <v>135</v>
      </c>
      <c r="AF28" s="32">
        <f t="shared" si="20"/>
        <v>723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7</v>
      </c>
      <c r="N29" s="50">
        <v>0</v>
      </c>
      <c r="O29" s="15">
        <f t="shared" si="0"/>
        <v>5</v>
      </c>
      <c r="P29" s="15">
        <f t="shared" si="1"/>
        <v>12</v>
      </c>
      <c r="R29"/>
      <c r="S29" s="20"/>
      <c r="T29" s="19"/>
    </row>
    <row r="30" spans="2:32" ht="23.1" customHeight="1" x14ac:dyDescent="0.25">
      <c r="B30" s="23" t="s">
        <v>57</v>
      </c>
      <c r="C30" s="50">
        <v>0</v>
      </c>
      <c r="D30" s="50">
        <v>0</v>
      </c>
      <c r="E30" s="50">
        <v>0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10</v>
      </c>
      <c r="N30" s="50">
        <v>0</v>
      </c>
      <c r="O30" s="15">
        <f t="shared" si="0"/>
        <v>1</v>
      </c>
      <c r="P30" s="15">
        <f t="shared" si="1"/>
        <v>11</v>
      </c>
    </row>
    <row r="31" spans="2:32" ht="23.1" customHeight="1" x14ac:dyDescent="0.25">
      <c r="B31" s="24" t="s">
        <v>58</v>
      </c>
      <c r="C31" s="50">
        <v>0</v>
      </c>
      <c r="D31" s="50">
        <v>0</v>
      </c>
      <c r="E31" s="50">
        <v>2</v>
      </c>
      <c r="F31" s="50">
        <v>1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9</v>
      </c>
      <c r="N31" s="50">
        <v>0</v>
      </c>
      <c r="O31" s="15">
        <f t="shared" si="0"/>
        <v>5</v>
      </c>
      <c r="P31" s="15">
        <f t="shared" si="1"/>
        <v>14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0</v>
      </c>
      <c r="F32" s="50">
        <v>1</v>
      </c>
      <c r="G32" s="50">
        <v>0</v>
      </c>
      <c r="H32" s="50">
        <v>0</v>
      </c>
      <c r="I32" s="50">
        <v>0</v>
      </c>
      <c r="J32" s="50">
        <v>1</v>
      </c>
      <c r="K32" s="50">
        <v>0</v>
      </c>
      <c r="L32" s="50">
        <v>0</v>
      </c>
      <c r="M32" s="50">
        <v>13</v>
      </c>
      <c r="N32" s="50">
        <v>0</v>
      </c>
      <c r="O32" s="15">
        <f t="shared" si="0"/>
        <v>3</v>
      </c>
      <c r="P32" s="15">
        <f t="shared" si="1"/>
        <v>16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2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17</v>
      </c>
      <c r="N33" s="50">
        <v>0</v>
      </c>
      <c r="O33" s="15">
        <f t="shared" si="0"/>
        <v>3</v>
      </c>
      <c r="P33" s="15">
        <f t="shared" si="1"/>
        <v>20</v>
      </c>
    </row>
    <row r="34" spans="2:20" ht="23.1" customHeight="1" x14ac:dyDescent="0.25">
      <c r="B34" s="24" t="s">
        <v>61</v>
      </c>
      <c r="C34" s="50">
        <v>0</v>
      </c>
      <c r="D34" s="50">
        <v>0</v>
      </c>
      <c r="E34" s="50">
        <v>1</v>
      </c>
      <c r="F34" s="50">
        <v>1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15</v>
      </c>
      <c r="N34" s="50">
        <v>0</v>
      </c>
      <c r="O34" s="15">
        <f t="shared" si="0"/>
        <v>4</v>
      </c>
      <c r="P34" s="15">
        <f t="shared" si="1"/>
        <v>19</v>
      </c>
    </row>
    <row r="35" spans="2:20" ht="23.1" customHeight="1" x14ac:dyDescent="0.25">
      <c r="B35" s="24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1</v>
      </c>
      <c r="P35" s="15">
        <f t="shared" si="1"/>
        <v>11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1</v>
      </c>
      <c r="P36" s="15">
        <f t="shared" si="1"/>
        <v>9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2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2</v>
      </c>
      <c r="F38" s="50">
        <v>1</v>
      </c>
      <c r="G38" s="50">
        <v>0</v>
      </c>
      <c r="H38" s="50">
        <v>0</v>
      </c>
      <c r="I38" s="50">
        <v>4</v>
      </c>
      <c r="J38" s="50">
        <v>0</v>
      </c>
      <c r="K38" s="50">
        <v>0</v>
      </c>
      <c r="L38" s="50">
        <v>0</v>
      </c>
      <c r="M38" s="50">
        <v>11</v>
      </c>
      <c r="N38" s="50">
        <v>0</v>
      </c>
      <c r="O38" s="15">
        <f t="shared" si="0"/>
        <v>7</v>
      </c>
      <c r="P38" s="15">
        <f t="shared" si="1"/>
        <v>18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7</v>
      </c>
      <c r="N39" s="50">
        <v>0</v>
      </c>
      <c r="O39" s="15">
        <f t="shared" si="0"/>
        <v>2</v>
      </c>
      <c r="P39" s="15">
        <f t="shared" si="1"/>
        <v>9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13</v>
      </c>
      <c r="N40" s="50">
        <v>0</v>
      </c>
      <c r="O40" s="15">
        <f t="shared" si="0"/>
        <v>2</v>
      </c>
      <c r="P40" s="15">
        <f t="shared" si="1"/>
        <v>15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2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9</v>
      </c>
      <c r="N41" s="50">
        <v>0</v>
      </c>
      <c r="O41" s="15">
        <f t="shared" si="0"/>
        <v>3</v>
      </c>
      <c r="P41" s="15">
        <f t="shared" si="1"/>
        <v>12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16</v>
      </c>
      <c r="N42" s="50">
        <v>0</v>
      </c>
      <c r="O42" s="15">
        <f t="shared" si="0"/>
        <v>4</v>
      </c>
      <c r="P42" s="15">
        <f t="shared" si="1"/>
        <v>20</v>
      </c>
    </row>
    <row r="43" spans="2:20" ht="23.1" customHeight="1" x14ac:dyDescent="0.25">
      <c r="B43" s="23" t="s">
        <v>70</v>
      </c>
      <c r="C43" s="50">
        <v>0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17</v>
      </c>
      <c r="N43" s="50">
        <v>0</v>
      </c>
      <c r="O43" s="15">
        <f t="shared" si="0"/>
        <v>0</v>
      </c>
      <c r="P43" s="15">
        <f t="shared" si="1"/>
        <v>17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1</v>
      </c>
      <c r="P44" s="15">
        <f t="shared" si="1"/>
        <v>11</v>
      </c>
    </row>
    <row r="45" spans="2:20" ht="23.1" customHeight="1" x14ac:dyDescent="0.25">
      <c r="B45" s="23" t="s">
        <v>72</v>
      </c>
      <c r="C45" s="50">
        <v>0</v>
      </c>
      <c r="D45" s="50">
        <v>0</v>
      </c>
      <c r="E45" s="50">
        <v>2</v>
      </c>
      <c r="F45" s="50">
        <v>1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14</v>
      </c>
      <c r="N45" s="50">
        <v>0</v>
      </c>
      <c r="O45" s="15">
        <f t="shared" si="0"/>
        <v>5</v>
      </c>
      <c r="P45" s="15">
        <f t="shared" si="1"/>
        <v>19</v>
      </c>
    </row>
    <row r="46" spans="2:20" ht="23.1" customHeight="1" x14ac:dyDescent="0.25">
      <c r="B46" s="24" t="s">
        <v>73</v>
      </c>
      <c r="C46" s="50">
        <v>2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13</v>
      </c>
      <c r="N46" s="50">
        <v>0</v>
      </c>
      <c r="O46" s="15">
        <f t="shared" si="0"/>
        <v>4</v>
      </c>
      <c r="P46" s="15">
        <f t="shared" si="1"/>
        <v>17</v>
      </c>
      <c r="R46" s="8"/>
      <c r="T46"/>
    </row>
    <row r="47" spans="2:20" ht="23.1" customHeight="1" x14ac:dyDescent="0.25">
      <c r="B47" s="24" t="s">
        <v>74</v>
      </c>
      <c r="C47" s="50">
        <v>0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1</v>
      </c>
      <c r="J47" s="50">
        <v>1</v>
      </c>
      <c r="K47" s="50">
        <v>0</v>
      </c>
      <c r="L47" s="50">
        <v>0</v>
      </c>
      <c r="M47" s="50">
        <v>15</v>
      </c>
      <c r="N47" s="50">
        <v>0</v>
      </c>
      <c r="O47" s="15">
        <f t="shared" si="0"/>
        <v>3</v>
      </c>
      <c r="P47" s="15">
        <f t="shared" si="1"/>
        <v>18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2</v>
      </c>
      <c r="F48" s="50">
        <v>0</v>
      </c>
      <c r="G48" s="50">
        <v>1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4</v>
      </c>
      <c r="P48" s="15">
        <f t="shared" si="1"/>
        <v>19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3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5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1</v>
      </c>
      <c r="D50" s="50">
        <v>0</v>
      </c>
      <c r="E50" s="50">
        <v>1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12</v>
      </c>
      <c r="N50" s="50">
        <v>0</v>
      </c>
      <c r="O50" s="15">
        <f t="shared" si="0"/>
        <v>4</v>
      </c>
      <c r="P50" s="15">
        <f t="shared" si="1"/>
        <v>16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0</v>
      </c>
      <c r="F51" s="50">
        <v>3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13</v>
      </c>
      <c r="N51" s="50">
        <v>0</v>
      </c>
      <c r="O51" s="15">
        <f t="shared" si="0"/>
        <v>4</v>
      </c>
      <c r="P51" s="15">
        <f t="shared" si="1"/>
        <v>17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18</v>
      </c>
      <c r="N52" s="50">
        <v>0</v>
      </c>
      <c r="O52" s="15">
        <f t="shared" si="0"/>
        <v>1</v>
      </c>
      <c r="P52" s="15">
        <f t="shared" si="1"/>
        <v>19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1</v>
      </c>
      <c r="F53" s="50">
        <v>3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18</v>
      </c>
      <c r="N53" s="50">
        <v>0</v>
      </c>
      <c r="O53" s="15">
        <f t="shared" si="0"/>
        <v>8</v>
      </c>
      <c r="P53" s="15">
        <f t="shared" si="1"/>
        <v>26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1</v>
      </c>
      <c r="K54" s="50">
        <v>0</v>
      </c>
      <c r="L54" s="50">
        <v>0</v>
      </c>
      <c r="M54" s="50">
        <v>20</v>
      </c>
      <c r="N54" s="50">
        <v>0</v>
      </c>
      <c r="O54" s="15">
        <f t="shared" si="0"/>
        <v>3</v>
      </c>
      <c r="P54" s="15">
        <f t="shared" si="1"/>
        <v>23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1</v>
      </c>
      <c r="F55" s="50">
        <v>0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9</v>
      </c>
      <c r="N55" s="50">
        <v>0</v>
      </c>
      <c r="O55" s="15">
        <f t="shared" si="0"/>
        <v>5</v>
      </c>
      <c r="P55" s="15">
        <f t="shared" si="1"/>
        <v>14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20</v>
      </c>
      <c r="N56" s="50">
        <v>0</v>
      </c>
      <c r="O56" s="15">
        <f t="shared" si="0"/>
        <v>0</v>
      </c>
      <c r="P56" s="15">
        <f t="shared" si="1"/>
        <v>20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13</v>
      </c>
      <c r="N57" s="50">
        <v>0</v>
      </c>
      <c r="O57" s="15">
        <f t="shared" si="0"/>
        <v>5</v>
      </c>
      <c r="P57" s="15">
        <f t="shared" si="1"/>
        <v>18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33</v>
      </c>
      <c r="D58" s="16">
        <f t="shared" si="21"/>
        <v>0</v>
      </c>
      <c r="E58" s="16">
        <f t="shared" si="21"/>
        <v>32</v>
      </c>
      <c r="F58" s="16">
        <f t="shared" si="21"/>
        <v>18</v>
      </c>
      <c r="G58" s="16">
        <f t="shared" si="21"/>
        <v>1</v>
      </c>
      <c r="H58" s="16">
        <f t="shared" si="21"/>
        <v>0</v>
      </c>
      <c r="I58" s="16">
        <f t="shared" si="21"/>
        <v>48</v>
      </c>
      <c r="J58" s="16">
        <f t="shared" si="21"/>
        <v>3</v>
      </c>
      <c r="K58" s="16">
        <f t="shared" si="21"/>
        <v>0</v>
      </c>
      <c r="L58" s="16">
        <f t="shared" si="21"/>
        <v>0</v>
      </c>
      <c r="M58" s="16">
        <f t="shared" si="21"/>
        <v>588</v>
      </c>
      <c r="N58" s="16">
        <f t="shared" si="21"/>
        <v>0</v>
      </c>
      <c r="O58" s="16">
        <f t="shared" si="21"/>
        <v>135</v>
      </c>
      <c r="P58" s="16">
        <f t="shared" si="21"/>
        <v>723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4.5643153526970952E-2</v>
      </c>
      <c r="D59" s="43">
        <f t="shared" si="22"/>
        <v>0</v>
      </c>
      <c r="E59" s="43">
        <f t="shared" si="22"/>
        <v>4.4260027662517291E-2</v>
      </c>
      <c r="F59" s="43">
        <f t="shared" si="22"/>
        <v>2.4896265560165973E-2</v>
      </c>
      <c r="G59" s="43">
        <f t="shared" si="22"/>
        <v>1.3831258644536654E-3</v>
      </c>
      <c r="H59" s="43">
        <f t="shared" si="22"/>
        <v>0</v>
      </c>
      <c r="I59" s="43">
        <f t="shared" si="22"/>
        <v>6.6390041493775934E-2</v>
      </c>
      <c r="J59" s="43">
        <f t="shared" si="22"/>
        <v>4.1493775933609959E-3</v>
      </c>
      <c r="K59" s="43">
        <f t="shared" si="22"/>
        <v>0</v>
      </c>
      <c r="L59" s="43">
        <f t="shared" si="22"/>
        <v>0</v>
      </c>
      <c r="M59" s="43">
        <f t="shared" si="22"/>
        <v>0.81327800829875518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0.24444444444444444</v>
      </c>
      <c r="D60" s="44">
        <f t="shared" ref="D60:N60" si="23">D58/$O$58</f>
        <v>0</v>
      </c>
      <c r="E60" s="44">
        <f t="shared" si="23"/>
        <v>0.23703703703703705</v>
      </c>
      <c r="F60" s="44">
        <f t="shared" si="23"/>
        <v>0.13333333333333333</v>
      </c>
      <c r="G60" s="44">
        <f t="shared" si="23"/>
        <v>7.4074074074074077E-3</v>
      </c>
      <c r="H60" s="44">
        <f t="shared" si="23"/>
        <v>0</v>
      </c>
      <c r="I60" s="44">
        <f t="shared" si="23"/>
        <v>0.35555555555555557</v>
      </c>
      <c r="J60" s="44">
        <f t="shared" si="23"/>
        <v>2.2222222222222223E-2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7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BUSUNJU-KAMPALA'!C3:G3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63" t="str">
        <f>'17.08 KAMPALA-BUSUNJU-24h'!G5:H5</f>
        <v>MATTE</v>
      </c>
      <c r="H5" s="64"/>
      <c r="I5" s="14"/>
      <c r="J5" s="2" t="s">
        <v>5</v>
      </c>
      <c r="K5" s="63" t="str">
        <f>'17.08 KAMPALA-BUSUNJU-24h'!K5:L5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BUSUNJU-KAMPALA'!D6:E6</f>
        <v>BUSUNJU</v>
      </c>
      <c r="E6" s="64"/>
      <c r="F6" s="2" t="s">
        <v>2</v>
      </c>
      <c r="G6" s="63" t="str">
        <f>'11.08 BUSUNJU-KAMPALA'!G6:H6</f>
        <v>KAMPALA</v>
      </c>
      <c r="H6" s="64"/>
      <c r="J6" s="2" t="s">
        <v>21</v>
      </c>
      <c r="K6" s="63" t="str">
        <f>'17.08 KAMPALA-BUSUNJU-24h'!K6:L6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8</v>
      </c>
      <c r="N10" s="50">
        <v>0</v>
      </c>
      <c r="O10" s="15">
        <f t="shared" ref="O10:O57" si="0">SUM(C10:L10,N10)</f>
        <v>1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2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48</v>
      </c>
      <c r="AD10" s="17">
        <f t="shared" si="2"/>
        <v>0</v>
      </c>
      <c r="AE10" s="31">
        <f t="shared" si="2"/>
        <v>6</v>
      </c>
      <c r="AF10" s="31">
        <f t="shared" si="2"/>
        <v>54</v>
      </c>
    </row>
    <row r="11" spans="2:32" s="6" customFormat="1" ht="23.1" customHeight="1" x14ac:dyDescent="0.25">
      <c r="B11" s="23" t="s">
        <v>38</v>
      </c>
      <c r="C11" s="50">
        <v>2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14</v>
      </c>
      <c r="N11" s="50">
        <v>0</v>
      </c>
      <c r="O11" s="15">
        <f t="shared" si="0"/>
        <v>2</v>
      </c>
      <c r="P11" s="15">
        <f t="shared" si="1"/>
        <v>16</v>
      </c>
      <c r="R11" s="1" t="s">
        <v>7</v>
      </c>
      <c r="S11" s="17">
        <f t="shared" ref="S11:AF11" si="3">SUM(C14:C17)</f>
        <v>5</v>
      </c>
      <c r="T11" s="17">
        <f t="shared" si="3"/>
        <v>0</v>
      </c>
      <c r="U11" s="17">
        <f t="shared" si="3"/>
        <v>3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7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52</v>
      </c>
      <c r="AD11" s="17">
        <f t="shared" si="3"/>
        <v>0</v>
      </c>
      <c r="AE11" s="31">
        <f t="shared" si="3"/>
        <v>17</v>
      </c>
      <c r="AF11" s="31">
        <f t="shared" si="3"/>
        <v>69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8</v>
      </c>
      <c r="N12" s="50">
        <v>0</v>
      </c>
      <c r="O12" s="15">
        <f t="shared" si="0"/>
        <v>2</v>
      </c>
      <c r="P12" s="15">
        <f t="shared" si="1"/>
        <v>10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60</v>
      </c>
      <c r="AD12" s="17">
        <f t="shared" si="4"/>
        <v>0</v>
      </c>
      <c r="AE12" s="31">
        <f t="shared" si="4"/>
        <v>7</v>
      </c>
      <c r="AF12" s="31">
        <f t="shared" si="4"/>
        <v>67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18</v>
      </c>
      <c r="N13" s="50">
        <v>0</v>
      </c>
      <c r="O13" s="15">
        <f t="shared" si="0"/>
        <v>1</v>
      </c>
      <c r="P13" s="15">
        <f t="shared" si="1"/>
        <v>19</v>
      </c>
      <c r="R13" s="1" t="s">
        <v>9</v>
      </c>
      <c r="S13" s="17">
        <f t="shared" ref="S13:AF13" si="5">SUM(C22:C25)</f>
        <v>2</v>
      </c>
      <c r="T13" s="17">
        <f t="shared" si="5"/>
        <v>0</v>
      </c>
      <c r="U13" s="17">
        <f t="shared" si="5"/>
        <v>5</v>
      </c>
      <c r="V13" s="17">
        <f t="shared" si="5"/>
        <v>0</v>
      </c>
      <c r="W13" s="17">
        <f t="shared" si="5"/>
        <v>4</v>
      </c>
      <c r="X13" s="17">
        <f t="shared" si="5"/>
        <v>0</v>
      </c>
      <c r="Y13" s="17">
        <f t="shared" si="5"/>
        <v>4</v>
      </c>
      <c r="Z13" s="17">
        <f t="shared" si="5"/>
        <v>1</v>
      </c>
      <c r="AA13" s="17">
        <f t="shared" si="5"/>
        <v>0</v>
      </c>
      <c r="AB13" s="17">
        <f t="shared" si="5"/>
        <v>0</v>
      </c>
      <c r="AC13" s="17">
        <f t="shared" si="5"/>
        <v>59</v>
      </c>
      <c r="AD13" s="17">
        <f t="shared" si="5"/>
        <v>0</v>
      </c>
      <c r="AE13" s="31">
        <f t="shared" si="5"/>
        <v>16</v>
      </c>
      <c r="AF13" s="31">
        <f t="shared" si="5"/>
        <v>75</v>
      </c>
    </row>
    <row r="14" spans="2:32" ht="23.1" customHeight="1" x14ac:dyDescent="0.25">
      <c r="B14" s="23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13</v>
      </c>
      <c r="N14" s="50">
        <v>0</v>
      </c>
      <c r="O14" s="15">
        <f t="shared" si="0"/>
        <v>1</v>
      </c>
      <c r="P14" s="15">
        <f t="shared" si="1"/>
        <v>14</v>
      </c>
      <c r="R14" s="1" t="s">
        <v>10</v>
      </c>
      <c r="S14" s="17">
        <f t="shared" ref="S14:AF14" si="6">SUM(C26:C29)</f>
        <v>6</v>
      </c>
      <c r="T14" s="17">
        <f t="shared" si="6"/>
        <v>0</v>
      </c>
      <c r="U14" s="17">
        <f t="shared" si="6"/>
        <v>1</v>
      </c>
      <c r="V14" s="17">
        <f t="shared" si="6"/>
        <v>1</v>
      </c>
      <c r="W14" s="17">
        <f t="shared" si="6"/>
        <v>0</v>
      </c>
      <c r="X14" s="17">
        <f t="shared" si="6"/>
        <v>0</v>
      </c>
      <c r="Y14" s="17">
        <f t="shared" si="6"/>
        <v>6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49</v>
      </c>
      <c r="AD14" s="17">
        <f t="shared" si="6"/>
        <v>0</v>
      </c>
      <c r="AE14" s="31">
        <f t="shared" si="6"/>
        <v>15</v>
      </c>
      <c r="AF14" s="31">
        <f t="shared" si="6"/>
        <v>64</v>
      </c>
    </row>
    <row r="15" spans="2:32" ht="23.1" customHeight="1" x14ac:dyDescent="0.25">
      <c r="B15" s="23" t="s">
        <v>42</v>
      </c>
      <c r="C15" s="50">
        <v>2</v>
      </c>
      <c r="D15" s="50">
        <v>0</v>
      </c>
      <c r="E15" s="50">
        <v>2</v>
      </c>
      <c r="F15" s="50">
        <v>1</v>
      </c>
      <c r="G15" s="50">
        <v>0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17</v>
      </c>
      <c r="N15" s="50">
        <v>0</v>
      </c>
      <c r="O15" s="15">
        <f t="shared" si="0"/>
        <v>8</v>
      </c>
      <c r="P15" s="15">
        <f t="shared" si="1"/>
        <v>25</v>
      </c>
      <c r="R15" s="1" t="s">
        <v>11</v>
      </c>
      <c r="S15" s="17">
        <f t="shared" ref="S15:AF15" si="7">SUM(C30:C33)</f>
        <v>5</v>
      </c>
      <c r="T15" s="17">
        <f t="shared" si="7"/>
        <v>0</v>
      </c>
      <c r="U15" s="17">
        <f t="shared" si="7"/>
        <v>5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8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62</v>
      </c>
      <c r="AD15" s="17">
        <f t="shared" si="7"/>
        <v>0</v>
      </c>
      <c r="AE15" s="31">
        <f t="shared" si="7"/>
        <v>20</v>
      </c>
      <c r="AF15" s="31">
        <f t="shared" si="7"/>
        <v>82</v>
      </c>
    </row>
    <row r="16" spans="2:32" ht="23.1" customHeight="1" x14ac:dyDescent="0.25">
      <c r="B16" s="23" t="s">
        <v>43</v>
      </c>
      <c r="C16" s="50">
        <v>2</v>
      </c>
      <c r="D16" s="50">
        <v>0</v>
      </c>
      <c r="E16" s="50">
        <v>0</v>
      </c>
      <c r="F16" s="50">
        <v>1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12</v>
      </c>
      <c r="N16" s="50">
        <v>0</v>
      </c>
      <c r="O16" s="15">
        <f t="shared" si="0"/>
        <v>5</v>
      </c>
      <c r="P16" s="15">
        <f t="shared" si="1"/>
        <v>17</v>
      </c>
      <c r="R16" s="1" t="s">
        <v>12</v>
      </c>
      <c r="S16" s="17">
        <f t="shared" ref="S16:AF16" si="8">SUM(C34:C37)</f>
        <v>7</v>
      </c>
      <c r="T16" s="17">
        <f t="shared" si="8"/>
        <v>0</v>
      </c>
      <c r="U16" s="17">
        <f t="shared" si="8"/>
        <v>5</v>
      </c>
      <c r="V16" s="17">
        <f t="shared" si="8"/>
        <v>3</v>
      </c>
      <c r="W16" s="17">
        <f t="shared" si="8"/>
        <v>1</v>
      </c>
      <c r="X16" s="17">
        <f t="shared" si="8"/>
        <v>0</v>
      </c>
      <c r="Y16" s="17">
        <f t="shared" si="8"/>
        <v>5</v>
      </c>
      <c r="Z16" s="17">
        <f t="shared" si="8"/>
        <v>1</v>
      </c>
      <c r="AA16" s="17">
        <f t="shared" si="8"/>
        <v>0</v>
      </c>
      <c r="AB16" s="17">
        <f t="shared" si="8"/>
        <v>0</v>
      </c>
      <c r="AC16" s="17">
        <f t="shared" si="8"/>
        <v>44</v>
      </c>
      <c r="AD16" s="17">
        <f t="shared" si="8"/>
        <v>0</v>
      </c>
      <c r="AE16" s="31">
        <f t="shared" si="8"/>
        <v>22</v>
      </c>
      <c r="AF16" s="31">
        <f t="shared" si="8"/>
        <v>66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3</v>
      </c>
      <c r="P17" s="15">
        <f t="shared" si="1"/>
        <v>13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0</v>
      </c>
      <c r="V17" s="17">
        <f t="shared" si="9"/>
        <v>2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53</v>
      </c>
      <c r="AD17" s="17">
        <f t="shared" si="9"/>
        <v>0</v>
      </c>
      <c r="AE17" s="31">
        <f t="shared" si="9"/>
        <v>9</v>
      </c>
      <c r="AF17" s="31">
        <f t="shared" si="9"/>
        <v>62</v>
      </c>
    </row>
    <row r="18" spans="2:32" ht="23.1" customHeight="1" x14ac:dyDescent="0.25">
      <c r="B18" s="23" t="s">
        <v>45</v>
      </c>
      <c r="C18" s="50">
        <v>2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18</v>
      </c>
      <c r="N18" s="50">
        <v>0</v>
      </c>
      <c r="O18" s="15">
        <f t="shared" si="0"/>
        <v>3</v>
      </c>
      <c r="P18" s="15">
        <f t="shared" si="1"/>
        <v>21</v>
      </c>
      <c r="R18" s="1" t="s">
        <v>14</v>
      </c>
      <c r="S18" s="17">
        <f t="shared" ref="S18:AF18" si="10">SUM(C42:C45)</f>
        <v>6</v>
      </c>
      <c r="T18" s="17">
        <f t="shared" si="10"/>
        <v>0</v>
      </c>
      <c r="U18" s="17">
        <f t="shared" si="10"/>
        <v>6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38</v>
      </c>
      <c r="AD18" s="17">
        <f t="shared" si="10"/>
        <v>0</v>
      </c>
      <c r="AE18" s="31">
        <f t="shared" si="10"/>
        <v>24</v>
      </c>
      <c r="AF18" s="31">
        <f t="shared" si="10"/>
        <v>62</v>
      </c>
    </row>
    <row r="19" spans="2:32" ht="23.1" customHeight="1" x14ac:dyDescent="0.25">
      <c r="B19" s="23" t="s">
        <v>46</v>
      </c>
      <c r="C19" s="50">
        <v>0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15</v>
      </c>
      <c r="N19" s="50">
        <v>0</v>
      </c>
      <c r="O19" s="15">
        <f t="shared" si="0"/>
        <v>1</v>
      </c>
      <c r="P19" s="15">
        <f t="shared" si="1"/>
        <v>16</v>
      </c>
      <c r="R19" s="1" t="s">
        <v>15</v>
      </c>
      <c r="S19" s="17">
        <f t="shared" ref="S19:AF19" si="11">SUM(C46:C49)</f>
        <v>4</v>
      </c>
      <c r="T19" s="17">
        <f t="shared" si="11"/>
        <v>0</v>
      </c>
      <c r="U19" s="17">
        <f t="shared" si="11"/>
        <v>4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46</v>
      </c>
      <c r="AD19" s="17">
        <f t="shared" si="11"/>
        <v>0</v>
      </c>
      <c r="AE19" s="31">
        <f t="shared" si="11"/>
        <v>12</v>
      </c>
      <c r="AF19" s="31">
        <f t="shared" si="11"/>
        <v>58</v>
      </c>
    </row>
    <row r="20" spans="2:32" ht="23.1" customHeight="1" x14ac:dyDescent="0.25">
      <c r="B20" s="23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1</v>
      </c>
      <c r="K20" s="50">
        <v>0</v>
      </c>
      <c r="L20" s="50">
        <v>0</v>
      </c>
      <c r="M20" s="50">
        <v>16</v>
      </c>
      <c r="N20" s="50">
        <v>0</v>
      </c>
      <c r="O20" s="15">
        <f t="shared" si="0"/>
        <v>2</v>
      </c>
      <c r="P20" s="15">
        <f t="shared" si="1"/>
        <v>18</v>
      </c>
      <c r="R20" s="1" t="s">
        <v>16</v>
      </c>
      <c r="S20" s="17">
        <f t="shared" ref="S20:AF20" si="12">SUM(C50:C53)</f>
        <v>6</v>
      </c>
      <c r="T20" s="17">
        <f t="shared" si="12"/>
        <v>0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5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58</v>
      </c>
      <c r="AD20" s="17">
        <f t="shared" si="12"/>
        <v>0</v>
      </c>
      <c r="AE20" s="31">
        <f t="shared" si="12"/>
        <v>12</v>
      </c>
      <c r="AF20" s="31">
        <f t="shared" si="12"/>
        <v>70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1</v>
      </c>
      <c r="P21" s="15">
        <f t="shared" si="1"/>
        <v>12</v>
      </c>
      <c r="R21" s="36" t="s">
        <v>20</v>
      </c>
      <c r="S21" s="34">
        <f t="shared" ref="S21:AF21" si="13">SUM(C54:C57)</f>
        <v>0</v>
      </c>
      <c r="T21" s="17">
        <f t="shared" si="13"/>
        <v>0</v>
      </c>
      <c r="U21" s="17">
        <f t="shared" si="13"/>
        <v>3</v>
      </c>
      <c r="V21" s="17">
        <f t="shared" si="13"/>
        <v>4</v>
      </c>
      <c r="W21" s="17">
        <f t="shared" si="13"/>
        <v>1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63</v>
      </c>
      <c r="AD21" s="17">
        <f t="shared" si="13"/>
        <v>0</v>
      </c>
      <c r="AE21" s="31">
        <f t="shared" si="13"/>
        <v>12</v>
      </c>
      <c r="AF21" s="31">
        <f t="shared" si="13"/>
        <v>75</v>
      </c>
    </row>
    <row r="22" spans="2:32" ht="23.1" customHeight="1" x14ac:dyDescent="0.25">
      <c r="B22" s="23" t="s">
        <v>49</v>
      </c>
      <c r="C22" s="50">
        <v>1</v>
      </c>
      <c r="D22" s="50">
        <v>0</v>
      </c>
      <c r="E22" s="50">
        <v>1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17</v>
      </c>
      <c r="N22" s="50">
        <v>0</v>
      </c>
      <c r="O22" s="15">
        <f t="shared" si="0"/>
        <v>3</v>
      </c>
      <c r="P22" s="15">
        <f t="shared" si="1"/>
        <v>20</v>
      </c>
      <c r="R22" s="38" t="s">
        <v>90</v>
      </c>
      <c r="S22" s="39">
        <f>MAX(S10:S12)</f>
        <v>5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2</v>
      </c>
      <c r="W22" s="39">
        <f t="shared" si="14"/>
        <v>0</v>
      </c>
      <c r="X22" s="39">
        <f t="shared" si="14"/>
        <v>0</v>
      </c>
      <c r="Y22" s="39">
        <f t="shared" si="14"/>
        <v>7</v>
      </c>
      <c r="Z22" s="39">
        <f t="shared" si="14"/>
        <v>1</v>
      </c>
      <c r="AA22" s="39">
        <f t="shared" si="14"/>
        <v>0</v>
      </c>
      <c r="AB22" s="39">
        <f t="shared" si="14"/>
        <v>0</v>
      </c>
      <c r="AC22" s="39">
        <f t="shared" si="14"/>
        <v>60</v>
      </c>
      <c r="AD22" s="39">
        <f t="shared" si="14"/>
        <v>0</v>
      </c>
      <c r="AE22" s="40">
        <f t="shared" si="14"/>
        <v>17</v>
      </c>
      <c r="AF22" s="40">
        <f t="shared" si="14"/>
        <v>69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11</v>
      </c>
      <c r="N23" s="50">
        <v>0</v>
      </c>
      <c r="O23" s="15">
        <f t="shared" si="0"/>
        <v>2</v>
      </c>
      <c r="P23" s="15">
        <f t="shared" si="1"/>
        <v>13</v>
      </c>
      <c r="R23" s="38" t="s">
        <v>91</v>
      </c>
      <c r="S23" s="39">
        <f>MAX(S13:S18)</f>
        <v>7</v>
      </c>
      <c r="T23" s="39">
        <f t="shared" ref="T23:AF23" si="15">MAX(T13:T18)</f>
        <v>0</v>
      </c>
      <c r="U23" s="39">
        <f t="shared" si="15"/>
        <v>6</v>
      </c>
      <c r="V23" s="39">
        <f t="shared" si="15"/>
        <v>3</v>
      </c>
      <c r="W23" s="39">
        <f t="shared" si="15"/>
        <v>4</v>
      </c>
      <c r="X23" s="39">
        <f t="shared" si="15"/>
        <v>0</v>
      </c>
      <c r="Y23" s="39">
        <f t="shared" si="15"/>
        <v>12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62</v>
      </c>
      <c r="AD23" s="39">
        <f t="shared" si="15"/>
        <v>0</v>
      </c>
      <c r="AE23" s="40">
        <f t="shared" si="15"/>
        <v>24</v>
      </c>
      <c r="AF23" s="40">
        <f t="shared" si="15"/>
        <v>82</v>
      </c>
    </row>
    <row r="24" spans="2:32" ht="23.1" customHeight="1" x14ac:dyDescent="0.25">
      <c r="B24" s="23" t="s">
        <v>51</v>
      </c>
      <c r="C24" s="50">
        <v>0</v>
      </c>
      <c r="D24" s="50">
        <v>0</v>
      </c>
      <c r="E24" s="50">
        <v>2</v>
      </c>
      <c r="F24" s="50">
        <v>0</v>
      </c>
      <c r="G24" s="50">
        <v>4</v>
      </c>
      <c r="H24" s="50">
        <v>0</v>
      </c>
      <c r="I24" s="50">
        <v>3</v>
      </c>
      <c r="J24" s="50">
        <v>1</v>
      </c>
      <c r="K24" s="50">
        <v>0</v>
      </c>
      <c r="L24" s="50">
        <v>0</v>
      </c>
      <c r="M24" s="50">
        <v>22</v>
      </c>
      <c r="N24" s="50">
        <v>0</v>
      </c>
      <c r="O24" s="15">
        <f t="shared" si="0"/>
        <v>10</v>
      </c>
      <c r="P24" s="15">
        <f t="shared" si="1"/>
        <v>32</v>
      </c>
      <c r="R24" s="38" t="s">
        <v>92</v>
      </c>
      <c r="S24" s="39">
        <f>MAX(S19:S21)</f>
        <v>6</v>
      </c>
      <c r="T24" s="39">
        <f t="shared" ref="T24:AF24" si="16">MAX(T19:T21)</f>
        <v>0</v>
      </c>
      <c r="U24" s="39">
        <f t="shared" si="16"/>
        <v>4</v>
      </c>
      <c r="V24" s="39">
        <f t="shared" si="16"/>
        <v>4</v>
      </c>
      <c r="W24" s="39">
        <f t="shared" si="16"/>
        <v>1</v>
      </c>
      <c r="X24" s="39">
        <f t="shared" si="16"/>
        <v>0</v>
      </c>
      <c r="Y24" s="39">
        <f t="shared" si="16"/>
        <v>5</v>
      </c>
      <c r="Z24" s="39">
        <f t="shared" si="16"/>
        <v>0</v>
      </c>
      <c r="AA24" s="39">
        <f t="shared" si="16"/>
        <v>0</v>
      </c>
      <c r="AB24" s="39">
        <f t="shared" si="16"/>
        <v>0</v>
      </c>
      <c r="AC24" s="39">
        <f t="shared" si="16"/>
        <v>63</v>
      </c>
      <c r="AD24" s="39">
        <f t="shared" si="16"/>
        <v>0</v>
      </c>
      <c r="AE24" s="40">
        <f t="shared" si="16"/>
        <v>12</v>
      </c>
      <c r="AF24" s="40">
        <f t="shared" si="16"/>
        <v>75</v>
      </c>
    </row>
    <row r="25" spans="2:32" ht="23.1" customHeight="1" x14ac:dyDescent="0.25">
      <c r="B25" s="23" t="s">
        <v>52</v>
      </c>
      <c r="C25" s="50">
        <v>0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9</v>
      </c>
      <c r="N25" s="50">
        <v>0</v>
      </c>
      <c r="O25" s="15">
        <f t="shared" si="0"/>
        <v>1</v>
      </c>
      <c r="P25" s="15">
        <f t="shared" si="1"/>
        <v>10</v>
      </c>
      <c r="R25" s="37" t="s">
        <v>85</v>
      </c>
      <c r="S25" s="35">
        <f t="shared" ref="S25:AF25" si="17">SUM(S10:S12)</f>
        <v>10</v>
      </c>
      <c r="T25" s="16">
        <f t="shared" si="17"/>
        <v>0</v>
      </c>
      <c r="U25" s="16">
        <f t="shared" si="17"/>
        <v>7</v>
      </c>
      <c r="V25" s="16">
        <f t="shared" si="17"/>
        <v>2</v>
      </c>
      <c r="W25" s="16">
        <f t="shared" si="17"/>
        <v>0</v>
      </c>
      <c r="X25" s="16">
        <f t="shared" si="17"/>
        <v>0</v>
      </c>
      <c r="Y25" s="16">
        <f t="shared" si="17"/>
        <v>10</v>
      </c>
      <c r="Z25" s="16">
        <f t="shared" si="17"/>
        <v>1</v>
      </c>
      <c r="AA25" s="16">
        <f t="shared" si="17"/>
        <v>0</v>
      </c>
      <c r="AB25" s="16">
        <f t="shared" si="17"/>
        <v>0</v>
      </c>
      <c r="AC25" s="16">
        <f t="shared" si="17"/>
        <v>160</v>
      </c>
      <c r="AD25" s="16">
        <f t="shared" si="17"/>
        <v>0</v>
      </c>
      <c r="AE25" s="32">
        <f t="shared" si="17"/>
        <v>30</v>
      </c>
      <c r="AF25" s="32">
        <f t="shared" si="17"/>
        <v>190</v>
      </c>
    </row>
    <row r="26" spans="2:32" ht="23.1" customHeight="1" x14ac:dyDescent="0.25">
      <c r="B26" s="23" t="s">
        <v>53</v>
      </c>
      <c r="C26" s="50">
        <v>3</v>
      </c>
      <c r="D26" s="50">
        <v>0</v>
      </c>
      <c r="E26" s="50">
        <v>0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10</v>
      </c>
      <c r="N26" s="50">
        <v>0</v>
      </c>
      <c r="O26" s="15">
        <f t="shared" si="0"/>
        <v>5</v>
      </c>
      <c r="P26" s="15">
        <f t="shared" si="1"/>
        <v>15</v>
      </c>
      <c r="R26" s="28" t="s">
        <v>86</v>
      </c>
      <c r="S26" s="16">
        <f t="shared" ref="S26:AF26" si="18">SUM(S13:S18)</f>
        <v>28</v>
      </c>
      <c r="T26" s="16">
        <f t="shared" si="18"/>
        <v>0</v>
      </c>
      <c r="U26" s="16">
        <f t="shared" si="18"/>
        <v>22</v>
      </c>
      <c r="V26" s="16">
        <f t="shared" si="18"/>
        <v>8</v>
      </c>
      <c r="W26" s="16">
        <f t="shared" si="18"/>
        <v>5</v>
      </c>
      <c r="X26" s="16">
        <f t="shared" si="18"/>
        <v>0</v>
      </c>
      <c r="Y26" s="16">
        <f t="shared" si="18"/>
        <v>40</v>
      </c>
      <c r="Z26" s="16">
        <f t="shared" si="18"/>
        <v>3</v>
      </c>
      <c r="AA26" s="16">
        <f t="shared" si="18"/>
        <v>0</v>
      </c>
      <c r="AB26" s="16">
        <f t="shared" si="18"/>
        <v>0</v>
      </c>
      <c r="AC26" s="16">
        <f t="shared" si="18"/>
        <v>305</v>
      </c>
      <c r="AD26" s="16">
        <f t="shared" si="18"/>
        <v>0</v>
      </c>
      <c r="AE26" s="32">
        <f t="shared" si="18"/>
        <v>106</v>
      </c>
      <c r="AF26" s="32">
        <f t="shared" si="18"/>
        <v>411</v>
      </c>
    </row>
    <row r="27" spans="2:32" ht="23.1" customHeight="1" x14ac:dyDescent="0.25">
      <c r="B27" s="23" t="s">
        <v>54</v>
      </c>
      <c r="C27" s="50">
        <v>1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2</v>
      </c>
      <c r="J27" s="50">
        <v>1</v>
      </c>
      <c r="K27" s="50">
        <v>0</v>
      </c>
      <c r="L27" s="50">
        <v>0</v>
      </c>
      <c r="M27" s="50">
        <v>15</v>
      </c>
      <c r="N27" s="50">
        <v>0</v>
      </c>
      <c r="O27" s="15">
        <f t="shared" si="0"/>
        <v>4</v>
      </c>
      <c r="P27" s="15">
        <f t="shared" si="1"/>
        <v>19</v>
      </c>
      <c r="R27" s="29" t="s">
        <v>87</v>
      </c>
      <c r="S27" s="16">
        <f t="shared" ref="S27:AF27" si="19">SUM(S19:S21)</f>
        <v>10</v>
      </c>
      <c r="T27" s="16">
        <f t="shared" si="19"/>
        <v>0</v>
      </c>
      <c r="U27" s="16">
        <f t="shared" si="19"/>
        <v>8</v>
      </c>
      <c r="V27" s="16">
        <f t="shared" si="19"/>
        <v>5</v>
      </c>
      <c r="W27" s="16">
        <f t="shared" si="19"/>
        <v>1</v>
      </c>
      <c r="X27" s="16">
        <f t="shared" si="19"/>
        <v>0</v>
      </c>
      <c r="Y27" s="16">
        <f t="shared" si="19"/>
        <v>12</v>
      </c>
      <c r="Z27" s="16">
        <f t="shared" si="19"/>
        <v>0</v>
      </c>
      <c r="AA27" s="16">
        <f t="shared" si="19"/>
        <v>0</v>
      </c>
      <c r="AB27" s="16">
        <f t="shared" si="19"/>
        <v>0</v>
      </c>
      <c r="AC27" s="16">
        <f t="shared" si="19"/>
        <v>167</v>
      </c>
      <c r="AD27" s="16">
        <f t="shared" si="19"/>
        <v>0</v>
      </c>
      <c r="AE27" s="32">
        <f t="shared" si="19"/>
        <v>36</v>
      </c>
      <c r="AF27" s="32">
        <f t="shared" si="19"/>
        <v>203</v>
      </c>
    </row>
    <row r="28" spans="2:32" ht="23.1" customHeight="1" x14ac:dyDescent="0.25">
      <c r="B28" s="23" t="s">
        <v>55</v>
      </c>
      <c r="C28" s="50">
        <v>2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14</v>
      </c>
      <c r="N28" s="50">
        <v>0</v>
      </c>
      <c r="O28" s="15">
        <f t="shared" si="0"/>
        <v>3</v>
      </c>
      <c r="P28" s="15">
        <f t="shared" si="1"/>
        <v>17</v>
      </c>
      <c r="R28" s="5" t="s">
        <v>17</v>
      </c>
      <c r="S28" s="16">
        <f t="shared" ref="S28:AF28" si="20">SUM(S10:S21)</f>
        <v>48</v>
      </c>
      <c r="T28" s="16">
        <f t="shared" si="20"/>
        <v>0</v>
      </c>
      <c r="U28" s="16">
        <f t="shared" si="20"/>
        <v>37</v>
      </c>
      <c r="V28" s="16">
        <f t="shared" si="20"/>
        <v>15</v>
      </c>
      <c r="W28" s="16">
        <f t="shared" si="20"/>
        <v>6</v>
      </c>
      <c r="X28" s="16">
        <f t="shared" si="20"/>
        <v>0</v>
      </c>
      <c r="Y28" s="16">
        <f t="shared" si="20"/>
        <v>62</v>
      </c>
      <c r="Z28" s="16">
        <f t="shared" si="20"/>
        <v>4</v>
      </c>
      <c r="AA28" s="16">
        <f t="shared" si="20"/>
        <v>0</v>
      </c>
      <c r="AB28" s="16">
        <f t="shared" si="20"/>
        <v>0</v>
      </c>
      <c r="AC28" s="16">
        <f t="shared" si="20"/>
        <v>632</v>
      </c>
      <c r="AD28" s="16">
        <f t="shared" si="20"/>
        <v>0</v>
      </c>
      <c r="AE28" s="32">
        <f t="shared" si="20"/>
        <v>172</v>
      </c>
      <c r="AF28" s="32">
        <f t="shared" si="20"/>
        <v>804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10</v>
      </c>
      <c r="N29" s="50">
        <v>0</v>
      </c>
      <c r="O29" s="15">
        <f t="shared" si="0"/>
        <v>3</v>
      </c>
      <c r="P29" s="15">
        <f t="shared" si="1"/>
        <v>13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2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5</v>
      </c>
      <c r="P30" s="15">
        <f t="shared" si="1"/>
        <v>18</v>
      </c>
    </row>
    <row r="31" spans="2:32" ht="23.1" customHeight="1" x14ac:dyDescent="0.25">
      <c r="B31" s="24" t="s">
        <v>58</v>
      </c>
      <c r="C31" s="50">
        <v>3</v>
      </c>
      <c r="D31" s="50">
        <v>0</v>
      </c>
      <c r="E31" s="50">
        <v>1</v>
      </c>
      <c r="F31" s="50">
        <v>0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15</v>
      </c>
      <c r="N31" s="50">
        <v>0</v>
      </c>
      <c r="O31" s="15">
        <f t="shared" si="0"/>
        <v>6</v>
      </c>
      <c r="P31" s="15">
        <f t="shared" si="1"/>
        <v>21</v>
      </c>
    </row>
    <row r="32" spans="2:32" ht="23.1" customHeight="1" x14ac:dyDescent="0.25">
      <c r="B32" s="24" t="s">
        <v>59</v>
      </c>
      <c r="C32" s="50">
        <v>0</v>
      </c>
      <c r="D32" s="50">
        <v>0</v>
      </c>
      <c r="E32" s="50">
        <v>1</v>
      </c>
      <c r="F32" s="50">
        <v>1</v>
      </c>
      <c r="G32" s="50">
        <v>0</v>
      </c>
      <c r="H32" s="50">
        <v>0</v>
      </c>
      <c r="I32" s="50">
        <v>3</v>
      </c>
      <c r="J32" s="50">
        <v>0</v>
      </c>
      <c r="K32" s="50">
        <v>0</v>
      </c>
      <c r="L32" s="50">
        <v>0</v>
      </c>
      <c r="M32" s="50">
        <v>16</v>
      </c>
      <c r="N32" s="50">
        <v>0</v>
      </c>
      <c r="O32" s="15">
        <f t="shared" si="0"/>
        <v>5</v>
      </c>
      <c r="P32" s="15">
        <f t="shared" si="1"/>
        <v>21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18</v>
      </c>
      <c r="N33" s="50">
        <v>0</v>
      </c>
      <c r="O33" s="15">
        <f t="shared" si="0"/>
        <v>4</v>
      </c>
      <c r="P33" s="15">
        <f t="shared" si="1"/>
        <v>22</v>
      </c>
    </row>
    <row r="34" spans="2:20" ht="23.1" customHeight="1" x14ac:dyDescent="0.25">
      <c r="B34" s="24" t="s">
        <v>61</v>
      </c>
      <c r="C34" s="50">
        <v>1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2</v>
      </c>
      <c r="J34" s="50">
        <v>0</v>
      </c>
      <c r="K34" s="50">
        <v>0</v>
      </c>
      <c r="L34" s="50">
        <v>0</v>
      </c>
      <c r="M34" s="50">
        <v>12</v>
      </c>
      <c r="N34" s="50">
        <v>0</v>
      </c>
      <c r="O34" s="15">
        <f t="shared" si="0"/>
        <v>4</v>
      </c>
      <c r="P34" s="15">
        <f t="shared" si="1"/>
        <v>16</v>
      </c>
    </row>
    <row r="35" spans="2:20" ht="23.1" customHeight="1" x14ac:dyDescent="0.25">
      <c r="B35" s="24" t="s">
        <v>62</v>
      </c>
      <c r="C35" s="50">
        <v>4</v>
      </c>
      <c r="D35" s="50">
        <v>0</v>
      </c>
      <c r="E35" s="50">
        <v>2</v>
      </c>
      <c r="F35" s="50">
        <v>2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11</v>
      </c>
      <c r="P35" s="15">
        <f t="shared" si="1"/>
        <v>21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1</v>
      </c>
      <c r="F36" s="50">
        <v>1</v>
      </c>
      <c r="G36" s="50">
        <v>1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11</v>
      </c>
      <c r="N36" s="50">
        <v>0</v>
      </c>
      <c r="O36" s="15">
        <f t="shared" si="0"/>
        <v>4</v>
      </c>
      <c r="P36" s="15">
        <f t="shared" si="1"/>
        <v>15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11</v>
      </c>
      <c r="N37" s="50">
        <v>0</v>
      </c>
      <c r="O37" s="15">
        <f t="shared" si="0"/>
        <v>3</v>
      </c>
      <c r="P37" s="15">
        <f t="shared" si="1"/>
        <v>14</v>
      </c>
    </row>
    <row r="38" spans="2:20" ht="23.1" customHeight="1" x14ac:dyDescent="0.25">
      <c r="B38" s="24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11</v>
      </c>
      <c r="N38" s="50">
        <v>0</v>
      </c>
      <c r="O38" s="15">
        <f t="shared" si="0"/>
        <v>0</v>
      </c>
      <c r="P38" s="15">
        <f t="shared" si="1"/>
        <v>11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0</v>
      </c>
      <c r="G39" s="50">
        <v>0</v>
      </c>
      <c r="H39" s="50">
        <v>0</v>
      </c>
      <c r="I39" s="50">
        <v>4</v>
      </c>
      <c r="J39" s="50">
        <v>0</v>
      </c>
      <c r="K39" s="50">
        <v>0</v>
      </c>
      <c r="L39" s="50">
        <v>0</v>
      </c>
      <c r="M39" s="50">
        <v>10</v>
      </c>
      <c r="N39" s="50">
        <v>0</v>
      </c>
      <c r="O39" s="15">
        <f t="shared" si="0"/>
        <v>5</v>
      </c>
      <c r="P39" s="15">
        <f t="shared" si="1"/>
        <v>15</v>
      </c>
    </row>
    <row r="40" spans="2:20" ht="23.1" customHeight="1" x14ac:dyDescent="0.25">
      <c r="B40" s="24" t="s">
        <v>67</v>
      </c>
      <c r="C40" s="50">
        <v>1</v>
      </c>
      <c r="D40" s="50">
        <v>0</v>
      </c>
      <c r="E40" s="50">
        <v>0</v>
      </c>
      <c r="F40" s="50">
        <v>1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14</v>
      </c>
      <c r="N40" s="50">
        <v>0</v>
      </c>
      <c r="O40" s="15">
        <f t="shared" si="0"/>
        <v>3</v>
      </c>
      <c r="P40" s="15">
        <f t="shared" si="1"/>
        <v>17</v>
      </c>
    </row>
    <row r="41" spans="2:20" ht="23.1" customHeight="1" x14ac:dyDescent="0.25">
      <c r="B41" s="23" t="s">
        <v>68</v>
      </c>
      <c r="C41" s="50">
        <v>0</v>
      </c>
      <c r="D41" s="50">
        <v>0</v>
      </c>
      <c r="E41" s="50">
        <v>0</v>
      </c>
      <c r="F41" s="50">
        <v>1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18</v>
      </c>
      <c r="N41" s="50">
        <v>0</v>
      </c>
      <c r="O41" s="15">
        <f t="shared" si="0"/>
        <v>1</v>
      </c>
      <c r="P41" s="15">
        <f t="shared" si="1"/>
        <v>19</v>
      </c>
    </row>
    <row r="42" spans="2:20" ht="23.1" customHeight="1" x14ac:dyDescent="0.25">
      <c r="B42" s="24" t="s">
        <v>69</v>
      </c>
      <c r="C42" s="50">
        <v>2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4</v>
      </c>
      <c r="J42" s="50">
        <v>0</v>
      </c>
      <c r="K42" s="50">
        <v>0</v>
      </c>
      <c r="L42" s="50">
        <v>0</v>
      </c>
      <c r="M42" s="50">
        <v>10</v>
      </c>
      <c r="N42" s="50">
        <v>0</v>
      </c>
      <c r="O42" s="15">
        <f t="shared" si="0"/>
        <v>7</v>
      </c>
      <c r="P42" s="15">
        <f t="shared" si="1"/>
        <v>17</v>
      </c>
    </row>
    <row r="43" spans="2:20" ht="23.1" customHeight="1" x14ac:dyDescent="0.25">
      <c r="B43" s="23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3</v>
      </c>
      <c r="J43" s="50">
        <v>0</v>
      </c>
      <c r="K43" s="50">
        <v>0</v>
      </c>
      <c r="L43" s="50">
        <v>0</v>
      </c>
      <c r="M43" s="50">
        <v>8</v>
      </c>
      <c r="N43" s="50">
        <v>0</v>
      </c>
      <c r="O43" s="15">
        <f t="shared" si="0"/>
        <v>4</v>
      </c>
      <c r="P43" s="15">
        <f t="shared" si="1"/>
        <v>12</v>
      </c>
    </row>
    <row r="44" spans="2:20" ht="23.1" customHeight="1" x14ac:dyDescent="0.25">
      <c r="B44" s="25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3</v>
      </c>
      <c r="J44" s="50">
        <v>0</v>
      </c>
      <c r="K44" s="50">
        <v>0</v>
      </c>
      <c r="L44" s="50">
        <v>0</v>
      </c>
      <c r="M44" s="50">
        <v>12</v>
      </c>
      <c r="N44" s="50">
        <v>0</v>
      </c>
      <c r="O44" s="15">
        <f t="shared" si="0"/>
        <v>4</v>
      </c>
      <c r="P44" s="15">
        <f t="shared" si="1"/>
        <v>16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5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8</v>
      </c>
      <c r="N45" s="50">
        <v>0</v>
      </c>
      <c r="O45" s="15">
        <f t="shared" si="0"/>
        <v>9</v>
      </c>
      <c r="P45" s="15">
        <f t="shared" si="1"/>
        <v>17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2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19</v>
      </c>
      <c r="N46" s="50">
        <v>0</v>
      </c>
      <c r="O46" s="15">
        <f t="shared" si="0"/>
        <v>2</v>
      </c>
      <c r="P46" s="15">
        <f t="shared" si="1"/>
        <v>21</v>
      </c>
      <c r="R46" s="8"/>
      <c r="T46"/>
    </row>
    <row r="47" spans="2:20" ht="23.1" customHeight="1" x14ac:dyDescent="0.25">
      <c r="B47" s="24" t="s">
        <v>74</v>
      </c>
      <c r="C47" s="50">
        <v>2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7</v>
      </c>
      <c r="N47" s="50">
        <v>0</v>
      </c>
      <c r="O47" s="15">
        <f t="shared" si="0"/>
        <v>5</v>
      </c>
      <c r="P47" s="15">
        <f t="shared" si="1"/>
        <v>12</v>
      </c>
      <c r="R47" s="8"/>
      <c r="T47"/>
    </row>
    <row r="48" spans="2:20" ht="23.1" customHeight="1" x14ac:dyDescent="0.25">
      <c r="B48" s="24" t="s">
        <v>75</v>
      </c>
      <c r="C48" s="50">
        <v>1</v>
      </c>
      <c r="D48" s="50">
        <v>0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10</v>
      </c>
      <c r="N48" s="50">
        <v>0</v>
      </c>
      <c r="O48" s="15">
        <f t="shared" si="0"/>
        <v>2</v>
      </c>
      <c r="P48" s="15">
        <f t="shared" si="1"/>
        <v>12</v>
      </c>
      <c r="R48" s="8"/>
      <c r="T48"/>
    </row>
    <row r="49" spans="2:20" ht="23.1" customHeight="1" x14ac:dyDescent="0.25">
      <c r="B49" s="23" t="s">
        <v>76</v>
      </c>
      <c r="C49" s="50">
        <v>1</v>
      </c>
      <c r="D49" s="50">
        <v>0</v>
      </c>
      <c r="E49" s="50">
        <v>0</v>
      </c>
      <c r="F49" s="50">
        <v>1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3</v>
      </c>
      <c r="P49" s="15">
        <f t="shared" si="1"/>
        <v>13</v>
      </c>
      <c r="R49" s="8"/>
      <c r="T49"/>
    </row>
    <row r="50" spans="2:20" ht="23.1" customHeight="1" x14ac:dyDescent="0.25">
      <c r="B50" s="24" t="s">
        <v>77</v>
      </c>
      <c r="C50" s="50">
        <v>3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4</v>
      </c>
      <c r="P50" s="15">
        <f t="shared" si="1"/>
        <v>14</v>
      </c>
      <c r="R50" s="8"/>
      <c r="T50"/>
    </row>
    <row r="51" spans="2:20" ht="23.1" customHeight="1" x14ac:dyDescent="0.25">
      <c r="B51" s="24" t="s">
        <v>78</v>
      </c>
      <c r="C51" s="50">
        <v>1</v>
      </c>
      <c r="D51" s="50">
        <v>0</v>
      </c>
      <c r="E51" s="50">
        <v>1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18</v>
      </c>
      <c r="N51" s="50">
        <v>0</v>
      </c>
      <c r="O51" s="15">
        <f t="shared" si="0"/>
        <v>4</v>
      </c>
      <c r="P51" s="15">
        <f t="shared" si="1"/>
        <v>22</v>
      </c>
      <c r="R51" s="8"/>
      <c r="T51"/>
    </row>
    <row r="52" spans="2:20" ht="23.1" customHeight="1" x14ac:dyDescent="0.25">
      <c r="B52" s="24" t="s">
        <v>79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19</v>
      </c>
      <c r="N52" s="50">
        <v>0</v>
      </c>
      <c r="O52" s="15">
        <f t="shared" si="0"/>
        <v>2</v>
      </c>
      <c r="P52" s="15">
        <f t="shared" si="1"/>
        <v>21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11</v>
      </c>
      <c r="N53" s="50">
        <v>0</v>
      </c>
      <c r="O53" s="15">
        <f t="shared" si="0"/>
        <v>2</v>
      </c>
      <c r="P53" s="15">
        <f t="shared" si="1"/>
        <v>13</v>
      </c>
      <c r="R53" s="8"/>
      <c r="T53"/>
    </row>
    <row r="54" spans="2:20" ht="23.1" customHeight="1" x14ac:dyDescent="0.25">
      <c r="B54" s="23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1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2</v>
      </c>
      <c r="P54" s="15">
        <f t="shared" si="1"/>
        <v>17</v>
      </c>
      <c r="R54" s="8"/>
      <c r="T54"/>
    </row>
    <row r="55" spans="2:20" ht="23.1" customHeight="1" x14ac:dyDescent="0.25">
      <c r="B55" s="23" t="s">
        <v>82</v>
      </c>
      <c r="C55" s="50">
        <v>0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21</v>
      </c>
      <c r="N55" s="50">
        <v>0</v>
      </c>
      <c r="O55" s="15">
        <f t="shared" si="0"/>
        <v>0</v>
      </c>
      <c r="P55" s="15">
        <f t="shared" si="1"/>
        <v>21</v>
      </c>
      <c r="R55" s="8"/>
      <c r="T55"/>
    </row>
    <row r="56" spans="2:20" ht="23.1" customHeight="1" x14ac:dyDescent="0.25">
      <c r="B56" s="23" t="s">
        <v>83</v>
      </c>
      <c r="C56" s="50">
        <v>0</v>
      </c>
      <c r="D56" s="50">
        <v>0</v>
      </c>
      <c r="E56" s="50">
        <v>1</v>
      </c>
      <c r="F56" s="50">
        <v>1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14</v>
      </c>
      <c r="N56" s="50">
        <v>0</v>
      </c>
      <c r="O56" s="15">
        <f t="shared" si="0"/>
        <v>4</v>
      </c>
      <c r="P56" s="15">
        <f t="shared" si="1"/>
        <v>18</v>
      </c>
      <c r="R56" s="8"/>
      <c r="T56"/>
    </row>
    <row r="57" spans="2:20" ht="23.1" customHeight="1" x14ac:dyDescent="0.25">
      <c r="B57" s="23" t="s">
        <v>84</v>
      </c>
      <c r="C57" s="50">
        <v>0</v>
      </c>
      <c r="D57" s="50">
        <v>0</v>
      </c>
      <c r="E57" s="50">
        <v>2</v>
      </c>
      <c r="F57" s="50">
        <v>3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13</v>
      </c>
      <c r="N57" s="50">
        <v>0</v>
      </c>
      <c r="O57" s="15">
        <f t="shared" si="0"/>
        <v>6</v>
      </c>
      <c r="P57" s="15">
        <f t="shared" si="1"/>
        <v>19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48</v>
      </c>
      <c r="D58" s="16">
        <f t="shared" si="21"/>
        <v>0</v>
      </c>
      <c r="E58" s="16">
        <f t="shared" si="21"/>
        <v>37</v>
      </c>
      <c r="F58" s="16">
        <f t="shared" si="21"/>
        <v>15</v>
      </c>
      <c r="G58" s="16">
        <f t="shared" si="21"/>
        <v>6</v>
      </c>
      <c r="H58" s="16">
        <f t="shared" si="21"/>
        <v>0</v>
      </c>
      <c r="I58" s="16">
        <f t="shared" si="21"/>
        <v>62</v>
      </c>
      <c r="J58" s="16">
        <f t="shared" si="21"/>
        <v>4</v>
      </c>
      <c r="K58" s="16">
        <f t="shared" si="21"/>
        <v>0</v>
      </c>
      <c r="L58" s="16">
        <f t="shared" si="21"/>
        <v>0</v>
      </c>
      <c r="M58" s="16">
        <f t="shared" si="21"/>
        <v>632</v>
      </c>
      <c r="N58" s="16">
        <f t="shared" si="21"/>
        <v>0</v>
      </c>
      <c r="O58" s="16">
        <f t="shared" si="21"/>
        <v>172</v>
      </c>
      <c r="P58" s="16">
        <f t="shared" si="21"/>
        <v>804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5.9701492537313432E-2</v>
      </c>
      <c r="D59" s="43">
        <f t="shared" si="22"/>
        <v>0</v>
      </c>
      <c r="E59" s="43">
        <f t="shared" si="22"/>
        <v>4.6019900497512436E-2</v>
      </c>
      <c r="F59" s="43">
        <f t="shared" si="22"/>
        <v>1.8656716417910446E-2</v>
      </c>
      <c r="G59" s="43">
        <f t="shared" si="22"/>
        <v>7.462686567164179E-3</v>
      </c>
      <c r="H59" s="43">
        <f t="shared" si="22"/>
        <v>0</v>
      </c>
      <c r="I59" s="43">
        <f t="shared" si="22"/>
        <v>7.7114427860696513E-2</v>
      </c>
      <c r="J59" s="43">
        <f t="shared" si="22"/>
        <v>4.9751243781094526E-3</v>
      </c>
      <c r="K59" s="43">
        <f t="shared" si="22"/>
        <v>0</v>
      </c>
      <c r="L59" s="43">
        <f t="shared" si="22"/>
        <v>0</v>
      </c>
      <c r="M59" s="43">
        <f t="shared" si="22"/>
        <v>0.78606965174129351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0.27906976744186046</v>
      </c>
      <c r="D60" s="44">
        <f t="shared" ref="D60:N60" si="23">D58/$O$58</f>
        <v>0</v>
      </c>
      <c r="E60" s="44">
        <f t="shared" si="23"/>
        <v>0.21511627906976744</v>
      </c>
      <c r="F60" s="44">
        <f t="shared" si="23"/>
        <v>8.7209302325581398E-2</v>
      </c>
      <c r="G60" s="44">
        <f t="shared" si="23"/>
        <v>3.4883720930232558E-2</v>
      </c>
      <c r="H60" s="44">
        <f t="shared" si="23"/>
        <v>0</v>
      </c>
      <c r="I60" s="44">
        <f t="shared" si="23"/>
        <v>0.36046511627906974</v>
      </c>
      <c r="J60" s="44">
        <f t="shared" si="23"/>
        <v>2.3255813953488372E-2</v>
      </c>
      <c r="K60" s="44">
        <f t="shared" si="23"/>
        <v>0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" zoomScale="60" workbookViewId="0">
      <selection activeCell="C10" sqref="C10:N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KAMPALA-BUSUNJU'!C3:G3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'15.08 BUSUNJU-KAMPALA'!D5</f>
        <v>15.08.19</v>
      </c>
      <c r="E5" s="3"/>
      <c r="F5" s="41" t="s">
        <v>1</v>
      </c>
      <c r="G5" s="63" t="str">
        <f>'15.08 BUSUNJU-KAMPALA'!G5:H5</f>
        <v>MATTE</v>
      </c>
      <c r="H5" s="64"/>
      <c r="I5" s="14"/>
      <c r="J5" s="2" t="s">
        <v>5</v>
      </c>
      <c r="K5" s="63" t="str">
        <f>'15.08 BUSUNJU-KAMPALA'!K5:L5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KAMPALA-BUSUNJU'!D6:E6</f>
        <v>KAMPALA</v>
      </c>
      <c r="E6" s="64"/>
      <c r="F6" s="2" t="s">
        <v>2</v>
      </c>
      <c r="G6" s="63" t="str">
        <f>'11.08 KAMPALA-BUSUNJU'!G6:H6</f>
        <v>BUSUNJU</v>
      </c>
      <c r="H6" s="64"/>
      <c r="J6" s="2" t="s">
        <v>21</v>
      </c>
      <c r="K6" s="63" t="str">
        <f>'15.08 BUSUNJU-KAMPALA'!K6:L6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</v>
      </c>
      <c r="D10" s="50">
        <v>0</v>
      </c>
      <c r="E10" s="50">
        <v>2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6</v>
      </c>
      <c r="N10" s="50">
        <v>0</v>
      </c>
      <c r="O10" s="15">
        <f t="shared" ref="O10:O57" si="0">SUM(C10:L10,N10)</f>
        <v>3</v>
      </c>
      <c r="P10" s="15">
        <f t="shared" ref="P10:P57" si="1">SUM(C10:N10)</f>
        <v>9</v>
      </c>
      <c r="R10" s="1" t="s">
        <v>6</v>
      </c>
      <c r="S10" s="17">
        <f t="shared" ref="S10:AF10" si="2">SUM(C10:C13)</f>
        <v>3</v>
      </c>
      <c r="T10" s="17">
        <f t="shared" si="2"/>
        <v>0</v>
      </c>
      <c r="U10" s="17">
        <f t="shared" si="2"/>
        <v>3</v>
      </c>
      <c r="V10" s="17">
        <f t="shared" si="2"/>
        <v>1</v>
      </c>
      <c r="W10" s="17">
        <f t="shared" si="2"/>
        <v>1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43</v>
      </c>
      <c r="AD10" s="17">
        <f t="shared" si="2"/>
        <v>0</v>
      </c>
      <c r="AE10" s="31">
        <f t="shared" si="2"/>
        <v>10</v>
      </c>
      <c r="AF10" s="31">
        <f t="shared" si="2"/>
        <v>53</v>
      </c>
    </row>
    <row r="11" spans="2:32" s="6" customFormat="1" ht="23.1" customHeight="1" x14ac:dyDescent="0.25">
      <c r="B11" s="23" t="s">
        <v>38</v>
      </c>
      <c r="C11" s="50">
        <v>1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10</v>
      </c>
      <c r="N11" s="50">
        <v>0</v>
      </c>
      <c r="O11" s="15">
        <f t="shared" si="0"/>
        <v>2</v>
      </c>
      <c r="P11" s="15">
        <f t="shared" si="1"/>
        <v>12</v>
      </c>
      <c r="R11" s="1" t="s">
        <v>7</v>
      </c>
      <c r="S11" s="17">
        <f t="shared" ref="S11:AF11" si="3">SUM(C14:C17)</f>
        <v>1</v>
      </c>
      <c r="T11" s="17">
        <f t="shared" si="3"/>
        <v>0</v>
      </c>
      <c r="U11" s="17">
        <f t="shared" si="3"/>
        <v>0</v>
      </c>
      <c r="V11" s="17">
        <f t="shared" si="3"/>
        <v>2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41</v>
      </c>
      <c r="AD11" s="17">
        <f t="shared" si="3"/>
        <v>0</v>
      </c>
      <c r="AE11" s="31">
        <f t="shared" si="3"/>
        <v>5</v>
      </c>
      <c r="AF11" s="31">
        <f t="shared" si="3"/>
        <v>46</v>
      </c>
    </row>
    <row r="12" spans="2:32" ht="23.1" customHeight="1" x14ac:dyDescent="0.25">
      <c r="B12" s="23" t="s">
        <v>39</v>
      </c>
      <c r="C12" s="50">
        <v>1</v>
      </c>
      <c r="D12" s="50">
        <v>0</v>
      </c>
      <c r="E12" s="50">
        <v>1</v>
      </c>
      <c r="F12" s="50">
        <v>0</v>
      </c>
      <c r="G12" s="50">
        <v>1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16</v>
      </c>
      <c r="N12" s="50">
        <v>0</v>
      </c>
      <c r="O12" s="15">
        <f t="shared" si="0"/>
        <v>3</v>
      </c>
      <c r="P12" s="15">
        <f t="shared" si="1"/>
        <v>19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2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5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51</v>
      </c>
      <c r="AD12" s="17">
        <f t="shared" si="4"/>
        <v>0</v>
      </c>
      <c r="AE12" s="31">
        <f t="shared" si="4"/>
        <v>9</v>
      </c>
      <c r="AF12" s="31">
        <f t="shared" si="4"/>
        <v>60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11</v>
      </c>
      <c r="N13" s="50">
        <v>0</v>
      </c>
      <c r="O13" s="15">
        <f t="shared" si="0"/>
        <v>2</v>
      </c>
      <c r="P13" s="15">
        <f t="shared" si="1"/>
        <v>13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7</v>
      </c>
      <c r="V13" s="17">
        <f t="shared" si="5"/>
        <v>2</v>
      </c>
      <c r="W13" s="17">
        <f t="shared" si="5"/>
        <v>0</v>
      </c>
      <c r="X13" s="17">
        <f t="shared" si="5"/>
        <v>0</v>
      </c>
      <c r="Y13" s="17">
        <f t="shared" si="5"/>
        <v>4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60</v>
      </c>
      <c r="AD13" s="17">
        <f t="shared" si="5"/>
        <v>0</v>
      </c>
      <c r="AE13" s="31">
        <f t="shared" si="5"/>
        <v>16</v>
      </c>
      <c r="AF13" s="31">
        <f t="shared" si="5"/>
        <v>76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1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11</v>
      </c>
      <c r="N14" s="50">
        <v>0</v>
      </c>
      <c r="O14" s="15">
        <f t="shared" si="0"/>
        <v>2</v>
      </c>
      <c r="P14" s="15">
        <f t="shared" si="1"/>
        <v>13</v>
      </c>
      <c r="R14" s="1" t="s">
        <v>10</v>
      </c>
      <c r="S14" s="17">
        <f t="shared" ref="S14:AF14" si="6">SUM(C26:C29)</f>
        <v>5</v>
      </c>
      <c r="T14" s="17">
        <f t="shared" si="6"/>
        <v>0</v>
      </c>
      <c r="U14" s="17">
        <f t="shared" si="6"/>
        <v>4</v>
      </c>
      <c r="V14" s="17">
        <f t="shared" si="6"/>
        <v>0</v>
      </c>
      <c r="W14" s="17">
        <f t="shared" si="6"/>
        <v>1</v>
      </c>
      <c r="X14" s="17">
        <f t="shared" si="6"/>
        <v>0</v>
      </c>
      <c r="Y14" s="17">
        <f t="shared" si="6"/>
        <v>3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54</v>
      </c>
      <c r="AD14" s="17">
        <f t="shared" si="6"/>
        <v>0</v>
      </c>
      <c r="AE14" s="31">
        <f t="shared" si="6"/>
        <v>14</v>
      </c>
      <c r="AF14" s="31">
        <f t="shared" si="6"/>
        <v>68</v>
      </c>
    </row>
    <row r="15" spans="2:32" ht="23.1" customHeight="1" x14ac:dyDescent="0.25">
      <c r="B15" s="23" t="s">
        <v>42</v>
      </c>
      <c r="C15" s="50">
        <v>1</v>
      </c>
      <c r="D15" s="50">
        <v>0</v>
      </c>
      <c r="E15" s="50">
        <v>0</v>
      </c>
      <c r="F15" s="50">
        <v>1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8</v>
      </c>
      <c r="N15" s="50">
        <v>0</v>
      </c>
      <c r="O15" s="15">
        <f t="shared" si="0"/>
        <v>2</v>
      </c>
      <c r="P15" s="15">
        <f t="shared" si="1"/>
        <v>10</v>
      </c>
      <c r="R15" s="1" t="s">
        <v>11</v>
      </c>
      <c r="S15" s="17">
        <f t="shared" ref="S15:AF15" si="7">SUM(C30:C33)</f>
        <v>4</v>
      </c>
      <c r="T15" s="17">
        <f t="shared" si="7"/>
        <v>0</v>
      </c>
      <c r="U15" s="17">
        <f t="shared" si="7"/>
        <v>6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11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52</v>
      </c>
      <c r="AD15" s="17">
        <f t="shared" si="7"/>
        <v>0</v>
      </c>
      <c r="AE15" s="31">
        <f t="shared" si="7"/>
        <v>23</v>
      </c>
      <c r="AF15" s="31">
        <f t="shared" si="7"/>
        <v>75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10</v>
      </c>
      <c r="N16" s="50">
        <v>0</v>
      </c>
      <c r="O16" s="15">
        <f t="shared" si="0"/>
        <v>0</v>
      </c>
      <c r="P16" s="15">
        <f t="shared" si="1"/>
        <v>10</v>
      </c>
      <c r="R16" s="1" t="s">
        <v>12</v>
      </c>
      <c r="S16" s="17">
        <f t="shared" ref="S16:AF16" si="8">SUM(C34:C37)</f>
        <v>6</v>
      </c>
      <c r="T16" s="17">
        <f t="shared" si="8"/>
        <v>0</v>
      </c>
      <c r="U16" s="17">
        <f t="shared" si="8"/>
        <v>1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5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43</v>
      </c>
      <c r="AD16" s="17">
        <f t="shared" si="8"/>
        <v>0</v>
      </c>
      <c r="AE16" s="31">
        <f t="shared" si="8"/>
        <v>14</v>
      </c>
      <c r="AF16" s="31">
        <f t="shared" si="8"/>
        <v>57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12</v>
      </c>
      <c r="N17" s="50">
        <v>0</v>
      </c>
      <c r="O17" s="15">
        <f t="shared" si="0"/>
        <v>1</v>
      </c>
      <c r="P17" s="15">
        <f t="shared" si="1"/>
        <v>13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4</v>
      </c>
      <c r="V17" s="17">
        <f t="shared" si="9"/>
        <v>1</v>
      </c>
      <c r="W17" s="17">
        <f t="shared" si="9"/>
        <v>0</v>
      </c>
      <c r="X17" s="17">
        <f t="shared" si="9"/>
        <v>0</v>
      </c>
      <c r="Y17" s="17">
        <f t="shared" si="9"/>
        <v>5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53</v>
      </c>
      <c r="AD17" s="17">
        <f t="shared" si="9"/>
        <v>0</v>
      </c>
      <c r="AE17" s="31">
        <f t="shared" si="9"/>
        <v>13</v>
      </c>
      <c r="AF17" s="31">
        <f t="shared" si="9"/>
        <v>66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2</v>
      </c>
      <c r="J18" s="50">
        <v>0</v>
      </c>
      <c r="K18" s="50">
        <v>0</v>
      </c>
      <c r="L18" s="50">
        <v>0</v>
      </c>
      <c r="M18" s="50">
        <v>13</v>
      </c>
      <c r="N18" s="50">
        <v>0</v>
      </c>
      <c r="O18" s="15">
        <f t="shared" si="0"/>
        <v>2</v>
      </c>
      <c r="P18" s="15">
        <f t="shared" si="1"/>
        <v>15</v>
      </c>
      <c r="R18" s="1" t="s">
        <v>14</v>
      </c>
      <c r="S18" s="17">
        <f t="shared" ref="S18:AF18" si="10">SUM(C42:C45)</f>
        <v>4</v>
      </c>
      <c r="T18" s="17">
        <f t="shared" si="10"/>
        <v>0</v>
      </c>
      <c r="U18" s="17">
        <f t="shared" si="10"/>
        <v>3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52</v>
      </c>
      <c r="AD18" s="17">
        <f t="shared" si="10"/>
        <v>0</v>
      </c>
      <c r="AE18" s="31">
        <f t="shared" si="10"/>
        <v>14</v>
      </c>
      <c r="AF18" s="31">
        <f t="shared" si="10"/>
        <v>66</v>
      </c>
    </row>
    <row r="19" spans="2:32" ht="23.1" customHeight="1" x14ac:dyDescent="0.25">
      <c r="B19" s="23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17</v>
      </c>
      <c r="N19" s="50">
        <v>0</v>
      </c>
      <c r="O19" s="15">
        <f t="shared" si="0"/>
        <v>2</v>
      </c>
      <c r="P19" s="15">
        <f t="shared" si="1"/>
        <v>19</v>
      </c>
      <c r="R19" s="1" t="s">
        <v>15</v>
      </c>
      <c r="S19" s="17">
        <f t="shared" ref="S19:AF19" si="11">SUM(C46:C49)</f>
        <v>3</v>
      </c>
      <c r="T19" s="17">
        <f t="shared" si="11"/>
        <v>0</v>
      </c>
      <c r="U19" s="17">
        <f t="shared" si="11"/>
        <v>2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41</v>
      </c>
      <c r="AD19" s="17">
        <f t="shared" si="11"/>
        <v>0</v>
      </c>
      <c r="AE19" s="31">
        <f t="shared" si="11"/>
        <v>12</v>
      </c>
      <c r="AF19" s="31">
        <f t="shared" si="11"/>
        <v>53</v>
      </c>
    </row>
    <row r="20" spans="2:32" ht="23.1" customHeight="1" x14ac:dyDescent="0.25">
      <c r="B20" s="23" t="s">
        <v>47</v>
      </c>
      <c r="C20" s="50">
        <v>1</v>
      </c>
      <c r="D20" s="50">
        <v>0</v>
      </c>
      <c r="E20" s="50">
        <v>1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3</v>
      </c>
      <c r="P20" s="15">
        <f t="shared" si="1"/>
        <v>16</v>
      </c>
      <c r="R20" s="1" t="s">
        <v>16</v>
      </c>
      <c r="S20" s="17">
        <f t="shared" ref="S20:AF20" si="12">SUM(C50:C53)</f>
        <v>4</v>
      </c>
      <c r="T20" s="17">
        <f t="shared" si="12"/>
        <v>0</v>
      </c>
      <c r="U20" s="17">
        <f t="shared" si="12"/>
        <v>3</v>
      </c>
      <c r="V20" s="17">
        <f t="shared" si="12"/>
        <v>1</v>
      </c>
      <c r="W20" s="17">
        <f t="shared" si="12"/>
        <v>1</v>
      </c>
      <c r="X20" s="17">
        <f t="shared" si="12"/>
        <v>0</v>
      </c>
      <c r="Y20" s="17">
        <f t="shared" si="12"/>
        <v>8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60</v>
      </c>
      <c r="AD20" s="17">
        <f t="shared" si="12"/>
        <v>0</v>
      </c>
      <c r="AE20" s="31">
        <f t="shared" si="12"/>
        <v>17</v>
      </c>
      <c r="AF20" s="31">
        <f t="shared" si="12"/>
        <v>77</v>
      </c>
    </row>
    <row r="21" spans="2:32" ht="23.1" customHeight="1" x14ac:dyDescent="0.25">
      <c r="B21" s="23" t="s">
        <v>48</v>
      </c>
      <c r="C21" s="50">
        <v>0</v>
      </c>
      <c r="D21" s="50">
        <v>0</v>
      </c>
      <c r="E21" s="50">
        <v>1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8</v>
      </c>
      <c r="N21" s="50">
        <v>0</v>
      </c>
      <c r="O21" s="15">
        <f t="shared" si="0"/>
        <v>2</v>
      </c>
      <c r="P21" s="15">
        <f t="shared" si="1"/>
        <v>10</v>
      </c>
      <c r="R21" s="36" t="s">
        <v>20</v>
      </c>
      <c r="S21" s="34">
        <f t="shared" ref="S21:AF21" si="13">SUM(C54:C57)</f>
        <v>7</v>
      </c>
      <c r="T21" s="17">
        <f t="shared" si="13"/>
        <v>0</v>
      </c>
      <c r="U21" s="17">
        <f t="shared" si="13"/>
        <v>1</v>
      </c>
      <c r="V21" s="17">
        <f t="shared" si="13"/>
        <v>4</v>
      </c>
      <c r="W21" s="17">
        <f t="shared" si="13"/>
        <v>0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61</v>
      </c>
      <c r="AD21" s="17">
        <f t="shared" si="13"/>
        <v>0</v>
      </c>
      <c r="AE21" s="31">
        <f t="shared" si="13"/>
        <v>16</v>
      </c>
      <c r="AF21" s="31">
        <f t="shared" si="13"/>
        <v>77</v>
      </c>
    </row>
    <row r="22" spans="2:32" ht="23.1" customHeight="1" x14ac:dyDescent="0.25">
      <c r="B22" s="23" t="s">
        <v>49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17</v>
      </c>
      <c r="N22" s="50">
        <v>0</v>
      </c>
      <c r="O22" s="15">
        <f t="shared" si="0"/>
        <v>0</v>
      </c>
      <c r="P22" s="15">
        <f t="shared" si="1"/>
        <v>17</v>
      </c>
      <c r="R22" s="38" t="s">
        <v>90</v>
      </c>
      <c r="S22" s="39">
        <f>MAX(S10:S12)</f>
        <v>3</v>
      </c>
      <c r="T22" s="39">
        <f t="shared" ref="T22:AF22" si="14">MAX(T10:T12)</f>
        <v>0</v>
      </c>
      <c r="U22" s="39">
        <f t="shared" si="14"/>
        <v>3</v>
      </c>
      <c r="V22" s="39">
        <f t="shared" si="14"/>
        <v>2</v>
      </c>
      <c r="W22" s="39">
        <f t="shared" si="14"/>
        <v>1</v>
      </c>
      <c r="X22" s="39">
        <f t="shared" si="14"/>
        <v>0</v>
      </c>
      <c r="Y22" s="39">
        <f t="shared" si="14"/>
        <v>5</v>
      </c>
      <c r="Z22" s="39">
        <f t="shared" si="14"/>
        <v>0</v>
      </c>
      <c r="AA22" s="39">
        <f t="shared" si="14"/>
        <v>0</v>
      </c>
      <c r="AB22" s="39">
        <f t="shared" si="14"/>
        <v>0</v>
      </c>
      <c r="AC22" s="39">
        <f t="shared" si="14"/>
        <v>51</v>
      </c>
      <c r="AD22" s="39">
        <f t="shared" si="14"/>
        <v>0</v>
      </c>
      <c r="AE22" s="40">
        <f t="shared" si="14"/>
        <v>10</v>
      </c>
      <c r="AF22" s="40">
        <f t="shared" si="14"/>
        <v>60</v>
      </c>
    </row>
    <row r="23" spans="2:32" ht="23.1" customHeight="1" x14ac:dyDescent="0.25">
      <c r="B23" s="23" t="s">
        <v>50</v>
      </c>
      <c r="C23" s="50">
        <v>1</v>
      </c>
      <c r="D23" s="50">
        <v>0</v>
      </c>
      <c r="E23" s="50">
        <v>5</v>
      </c>
      <c r="F23" s="50">
        <v>0</v>
      </c>
      <c r="G23" s="50">
        <v>0</v>
      </c>
      <c r="H23" s="50">
        <v>0</v>
      </c>
      <c r="I23" s="50">
        <v>3</v>
      </c>
      <c r="J23" s="50">
        <v>0</v>
      </c>
      <c r="K23" s="50">
        <v>0</v>
      </c>
      <c r="L23" s="50">
        <v>0</v>
      </c>
      <c r="M23" s="50">
        <v>18</v>
      </c>
      <c r="N23" s="50">
        <v>0</v>
      </c>
      <c r="O23" s="15">
        <f t="shared" si="0"/>
        <v>9</v>
      </c>
      <c r="P23" s="15">
        <f t="shared" si="1"/>
        <v>27</v>
      </c>
      <c r="R23" s="38" t="s">
        <v>91</v>
      </c>
      <c r="S23" s="39">
        <f>MAX(S13:S18)</f>
        <v>6</v>
      </c>
      <c r="T23" s="39">
        <f t="shared" ref="T23:AF23" si="15">MAX(T13:T18)</f>
        <v>0</v>
      </c>
      <c r="U23" s="39">
        <f t="shared" si="15"/>
        <v>7</v>
      </c>
      <c r="V23" s="39">
        <f t="shared" si="15"/>
        <v>2</v>
      </c>
      <c r="W23" s="39">
        <f t="shared" si="15"/>
        <v>1</v>
      </c>
      <c r="X23" s="39">
        <f t="shared" si="15"/>
        <v>0</v>
      </c>
      <c r="Y23" s="39">
        <f t="shared" si="15"/>
        <v>11</v>
      </c>
      <c r="Z23" s="39">
        <f t="shared" si="15"/>
        <v>1</v>
      </c>
      <c r="AA23" s="39">
        <f t="shared" si="15"/>
        <v>0</v>
      </c>
      <c r="AB23" s="39">
        <f t="shared" si="15"/>
        <v>0</v>
      </c>
      <c r="AC23" s="39">
        <f t="shared" si="15"/>
        <v>60</v>
      </c>
      <c r="AD23" s="39">
        <f t="shared" si="15"/>
        <v>0</v>
      </c>
      <c r="AE23" s="40">
        <f t="shared" si="15"/>
        <v>23</v>
      </c>
      <c r="AF23" s="40">
        <f t="shared" si="15"/>
        <v>76</v>
      </c>
    </row>
    <row r="24" spans="2:32" ht="23.1" customHeight="1" x14ac:dyDescent="0.25">
      <c r="B24" s="23" t="s">
        <v>51</v>
      </c>
      <c r="C24" s="50">
        <v>1</v>
      </c>
      <c r="D24" s="50">
        <v>0</v>
      </c>
      <c r="E24" s="50">
        <v>1</v>
      </c>
      <c r="F24" s="50">
        <v>2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14</v>
      </c>
      <c r="N24" s="50">
        <v>0</v>
      </c>
      <c r="O24" s="15">
        <f t="shared" si="0"/>
        <v>5</v>
      </c>
      <c r="P24" s="15">
        <f t="shared" si="1"/>
        <v>19</v>
      </c>
      <c r="R24" s="38" t="s">
        <v>92</v>
      </c>
      <c r="S24" s="39">
        <f>MAX(S19:S21)</f>
        <v>7</v>
      </c>
      <c r="T24" s="39">
        <f t="shared" ref="T24:AF24" si="16">MAX(T19:T21)</f>
        <v>0</v>
      </c>
      <c r="U24" s="39">
        <f t="shared" si="16"/>
        <v>3</v>
      </c>
      <c r="V24" s="39">
        <f t="shared" si="16"/>
        <v>4</v>
      </c>
      <c r="W24" s="39">
        <f t="shared" si="16"/>
        <v>1</v>
      </c>
      <c r="X24" s="39">
        <f t="shared" si="16"/>
        <v>0</v>
      </c>
      <c r="Y24" s="39">
        <f t="shared" si="16"/>
        <v>8</v>
      </c>
      <c r="Z24" s="39">
        <f t="shared" si="16"/>
        <v>0</v>
      </c>
      <c r="AA24" s="39">
        <f t="shared" si="16"/>
        <v>1</v>
      </c>
      <c r="AB24" s="39">
        <f t="shared" si="16"/>
        <v>0</v>
      </c>
      <c r="AC24" s="39">
        <f t="shared" si="16"/>
        <v>61</v>
      </c>
      <c r="AD24" s="39">
        <f t="shared" si="16"/>
        <v>0</v>
      </c>
      <c r="AE24" s="40">
        <f t="shared" si="16"/>
        <v>17</v>
      </c>
      <c r="AF24" s="40">
        <f t="shared" si="16"/>
        <v>77</v>
      </c>
    </row>
    <row r="25" spans="2:32" ht="23.1" customHeight="1" x14ac:dyDescent="0.25">
      <c r="B25" s="23" t="s">
        <v>52</v>
      </c>
      <c r="C25" s="50">
        <v>1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11</v>
      </c>
      <c r="N25" s="50">
        <v>0</v>
      </c>
      <c r="O25" s="15">
        <f t="shared" si="0"/>
        <v>2</v>
      </c>
      <c r="P25" s="15">
        <f t="shared" si="1"/>
        <v>13</v>
      </c>
      <c r="R25" s="37" t="s">
        <v>85</v>
      </c>
      <c r="S25" s="35">
        <f t="shared" ref="S25:AF25" si="17">SUM(S10:S12)</f>
        <v>6</v>
      </c>
      <c r="T25" s="16">
        <f t="shared" si="17"/>
        <v>0</v>
      </c>
      <c r="U25" s="16">
        <f t="shared" si="17"/>
        <v>5</v>
      </c>
      <c r="V25" s="16">
        <f t="shared" si="17"/>
        <v>3</v>
      </c>
      <c r="W25" s="16">
        <f t="shared" si="17"/>
        <v>1</v>
      </c>
      <c r="X25" s="16">
        <f t="shared" si="17"/>
        <v>0</v>
      </c>
      <c r="Y25" s="16">
        <f t="shared" si="17"/>
        <v>9</v>
      </c>
      <c r="Z25" s="16">
        <f t="shared" si="17"/>
        <v>0</v>
      </c>
      <c r="AA25" s="16">
        <f t="shared" si="17"/>
        <v>0</v>
      </c>
      <c r="AB25" s="16">
        <f t="shared" si="17"/>
        <v>0</v>
      </c>
      <c r="AC25" s="16">
        <f t="shared" si="17"/>
        <v>135</v>
      </c>
      <c r="AD25" s="16">
        <f t="shared" si="17"/>
        <v>0</v>
      </c>
      <c r="AE25" s="32">
        <f t="shared" si="17"/>
        <v>24</v>
      </c>
      <c r="AF25" s="32">
        <f t="shared" si="17"/>
        <v>159</v>
      </c>
    </row>
    <row r="26" spans="2:32" ht="23.1" customHeight="1" x14ac:dyDescent="0.25">
      <c r="B26" s="23" t="s">
        <v>53</v>
      </c>
      <c r="C26" s="50">
        <v>0</v>
      </c>
      <c r="D26" s="50">
        <v>0</v>
      </c>
      <c r="E26" s="50">
        <v>2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12</v>
      </c>
      <c r="N26" s="50">
        <v>0</v>
      </c>
      <c r="O26" s="15">
        <f t="shared" si="0"/>
        <v>3</v>
      </c>
      <c r="P26" s="15">
        <f t="shared" si="1"/>
        <v>15</v>
      </c>
      <c r="R26" s="28" t="s">
        <v>86</v>
      </c>
      <c r="S26" s="16">
        <f t="shared" ref="S26:AF26" si="18">SUM(S13:S18)</f>
        <v>25</v>
      </c>
      <c r="T26" s="16">
        <f t="shared" si="18"/>
        <v>0</v>
      </c>
      <c r="U26" s="16">
        <f t="shared" si="18"/>
        <v>25</v>
      </c>
      <c r="V26" s="16">
        <f t="shared" si="18"/>
        <v>8</v>
      </c>
      <c r="W26" s="16">
        <f t="shared" si="18"/>
        <v>1</v>
      </c>
      <c r="X26" s="16">
        <f t="shared" si="18"/>
        <v>0</v>
      </c>
      <c r="Y26" s="16">
        <f t="shared" si="18"/>
        <v>33</v>
      </c>
      <c r="Z26" s="16">
        <f t="shared" si="18"/>
        <v>2</v>
      </c>
      <c r="AA26" s="16">
        <f t="shared" si="18"/>
        <v>0</v>
      </c>
      <c r="AB26" s="16">
        <f t="shared" si="18"/>
        <v>0</v>
      </c>
      <c r="AC26" s="16">
        <f t="shared" si="18"/>
        <v>314</v>
      </c>
      <c r="AD26" s="16">
        <f t="shared" si="18"/>
        <v>0</v>
      </c>
      <c r="AE26" s="32">
        <f t="shared" si="18"/>
        <v>94</v>
      </c>
      <c r="AF26" s="32">
        <f t="shared" si="18"/>
        <v>408</v>
      </c>
    </row>
    <row r="27" spans="2:32" ht="23.1" customHeight="1" x14ac:dyDescent="0.25">
      <c r="B27" s="23" t="s">
        <v>54</v>
      </c>
      <c r="C27" s="50">
        <v>2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4</v>
      </c>
      <c r="P27" s="15">
        <f t="shared" si="1"/>
        <v>18</v>
      </c>
      <c r="R27" s="29" t="s">
        <v>87</v>
      </c>
      <c r="S27" s="16">
        <f t="shared" ref="S27:AF27" si="19">SUM(S19:S21)</f>
        <v>14</v>
      </c>
      <c r="T27" s="16">
        <f t="shared" si="19"/>
        <v>0</v>
      </c>
      <c r="U27" s="16">
        <f t="shared" si="19"/>
        <v>6</v>
      </c>
      <c r="V27" s="16">
        <f t="shared" si="19"/>
        <v>7</v>
      </c>
      <c r="W27" s="16">
        <f t="shared" si="19"/>
        <v>1</v>
      </c>
      <c r="X27" s="16">
        <f t="shared" si="19"/>
        <v>0</v>
      </c>
      <c r="Y27" s="16">
        <f t="shared" si="19"/>
        <v>16</v>
      </c>
      <c r="Z27" s="16">
        <f t="shared" si="19"/>
        <v>0</v>
      </c>
      <c r="AA27" s="16">
        <f t="shared" si="19"/>
        <v>1</v>
      </c>
      <c r="AB27" s="16">
        <f t="shared" si="19"/>
        <v>0</v>
      </c>
      <c r="AC27" s="16">
        <f t="shared" si="19"/>
        <v>162</v>
      </c>
      <c r="AD27" s="16">
        <f t="shared" si="19"/>
        <v>0</v>
      </c>
      <c r="AE27" s="32">
        <f t="shared" si="19"/>
        <v>45</v>
      </c>
      <c r="AF27" s="32">
        <f t="shared" si="19"/>
        <v>207</v>
      </c>
    </row>
    <row r="28" spans="2:32" ht="23.1" customHeight="1" x14ac:dyDescent="0.25">
      <c r="B28" s="23" t="s">
        <v>55</v>
      </c>
      <c r="C28" s="50">
        <v>1</v>
      </c>
      <c r="D28" s="50">
        <v>0</v>
      </c>
      <c r="E28" s="50">
        <v>2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12</v>
      </c>
      <c r="N28" s="50">
        <v>0</v>
      </c>
      <c r="O28" s="15">
        <f t="shared" si="0"/>
        <v>3</v>
      </c>
      <c r="P28" s="15">
        <f t="shared" si="1"/>
        <v>15</v>
      </c>
      <c r="R28" s="5" t="s">
        <v>17</v>
      </c>
      <c r="S28" s="16">
        <f t="shared" ref="S28:AF28" si="20">SUM(S10:S21)</f>
        <v>45</v>
      </c>
      <c r="T28" s="16">
        <f t="shared" si="20"/>
        <v>0</v>
      </c>
      <c r="U28" s="16">
        <f t="shared" si="20"/>
        <v>36</v>
      </c>
      <c r="V28" s="16">
        <f t="shared" si="20"/>
        <v>18</v>
      </c>
      <c r="W28" s="16">
        <f t="shared" si="20"/>
        <v>3</v>
      </c>
      <c r="X28" s="16">
        <f t="shared" si="20"/>
        <v>0</v>
      </c>
      <c r="Y28" s="16">
        <f t="shared" si="20"/>
        <v>58</v>
      </c>
      <c r="Z28" s="16">
        <f t="shared" si="20"/>
        <v>2</v>
      </c>
      <c r="AA28" s="16">
        <f t="shared" si="20"/>
        <v>1</v>
      </c>
      <c r="AB28" s="16">
        <f t="shared" si="20"/>
        <v>0</v>
      </c>
      <c r="AC28" s="16">
        <f t="shared" si="20"/>
        <v>611</v>
      </c>
      <c r="AD28" s="16">
        <f t="shared" si="20"/>
        <v>0</v>
      </c>
      <c r="AE28" s="32">
        <f t="shared" si="20"/>
        <v>163</v>
      </c>
      <c r="AF28" s="32">
        <f t="shared" si="20"/>
        <v>774</v>
      </c>
    </row>
    <row r="29" spans="2:32" ht="23.1" customHeight="1" x14ac:dyDescent="0.25">
      <c r="B29" s="23" t="s">
        <v>56</v>
      </c>
      <c r="C29" s="50">
        <v>2</v>
      </c>
      <c r="D29" s="50">
        <v>0</v>
      </c>
      <c r="E29" s="50">
        <v>0</v>
      </c>
      <c r="F29" s="50">
        <v>0</v>
      </c>
      <c r="G29" s="50">
        <v>1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16</v>
      </c>
      <c r="N29" s="50">
        <v>0</v>
      </c>
      <c r="O29" s="15">
        <f t="shared" si="0"/>
        <v>4</v>
      </c>
      <c r="P29" s="15">
        <f t="shared" si="1"/>
        <v>20</v>
      </c>
      <c r="R29"/>
      <c r="S29" s="20"/>
      <c r="T29" s="19"/>
    </row>
    <row r="30" spans="2:32" ht="23.1" customHeight="1" x14ac:dyDescent="0.25">
      <c r="B30" s="23" t="s">
        <v>57</v>
      </c>
      <c r="C30" s="50">
        <v>2</v>
      </c>
      <c r="D30" s="50">
        <v>0</v>
      </c>
      <c r="E30" s="50">
        <v>0</v>
      </c>
      <c r="F30" s="50">
        <v>1</v>
      </c>
      <c r="G30" s="50">
        <v>0</v>
      </c>
      <c r="H30" s="50">
        <v>0</v>
      </c>
      <c r="I30" s="50">
        <v>3</v>
      </c>
      <c r="J30" s="50">
        <v>0</v>
      </c>
      <c r="K30" s="50">
        <v>0</v>
      </c>
      <c r="L30" s="50">
        <v>0</v>
      </c>
      <c r="M30" s="50">
        <v>9</v>
      </c>
      <c r="N30" s="50">
        <v>0</v>
      </c>
      <c r="O30" s="15">
        <f t="shared" si="0"/>
        <v>6</v>
      </c>
      <c r="P30" s="15">
        <f t="shared" si="1"/>
        <v>15</v>
      </c>
    </row>
    <row r="31" spans="2:32" ht="23.1" customHeight="1" x14ac:dyDescent="0.25">
      <c r="B31" s="24" t="s">
        <v>58</v>
      </c>
      <c r="C31" s="50">
        <v>1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5</v>
      </c>
      <c r="J31" s="50">
        <v>0</v>
      </c>
      <c r="K31" s="50">
        <v>0</v>
      </c>
      <c r="L31" s="50">
        <v>0</v>
      </c>
      <c r="M31" s="50">
        <v>15</v>
      </c>
      <c r="N31" s="50">
        <v>0</v>
      </c>
      <c r="O31" s="15">
        <f t="shared" si="0"/>
        <v>8</v>
      </c>
      <c r="P31" s="15">
        <f t="shared" si="1"/>
        <v>23</v>
      </c>
    </row>
    <row r="32" spans="2:32" ht="23.1" customHeight="1" x14ac:dyDescent="0.25">
      <c r="B32" s="24" t="s">
        <v>59</v>
      </c>
      <c r="C32" s="50">
        <v>1</v>
      </c>
      <c r="D32" s="50">
        <v>0</v>
      </c>
      <c r="E32" s="50">
        <v>2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11</v>
      </c>
      <c r="N32" s="50">
        <v>0</v>
      </c>
      <c r="O32" s="15">
        <f t="shared" si="0"/>
        <v>4</v>
      </c>
      <c r="P32" s="15">
        <f t="shared" si="1"/>
        <v>15</v>
      </c>
    </row>
    <row r="33" spans="2:20" ht="23.1" customHeight="1" x14ac:dyDescent="0.25">
      <c r="B33" s="23" t="s">
        <v>60</v>
      </c>
      <c r="C33" s="50">
        <v>0</v>
      </c>
      <c r="D33" s="50">
        <v>0</v>
      </c>
      <c r="E33" s="50">
        <v>2</v>
      </c>
      <c r="F33" s="50">
        <v>1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17</v>
      </c>
      <c r="N33" s="50">
        <v>0</v>
      </c>
      <c r="O33" s="15">
        <f t="shared" si="0"/>
        <v>5</v>
      </c>
      <c r="P33" s="15">
        <f t="shared" si="1"/>
        <v>22</v>
      </c>
    </row>
    <row r="34" spans="2:20" ht="23.1" customHeight="1" x14ac:dyDescent="0.25">
      <c r="B34" s="24" t="s">
        <v>61</v>
      </c>
      <c r="C34" s="50">
        <v>3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9</v>
      </c>
      <c r="N34" s="50">
        <v>0</v>
      </c>
      <c r="O34" s="15">
        <f t="shared" si="0"/>
        <v>3</v>
      </c>
      <c r="P34" s="15">
        <f t="shared" si="1"/>
        <v>12</v>
      </c>
    </row>
    <row r="35" spans="2:20" ht="23.1" customHeight="1" x14ac:dyDescent="0.25">
      <c r="B35" s="24" t="s">
        <v>62</v>
      </c>
      <c r="C35" s="50">
        <v>1</v>
      </c>
      <c r="D35" s="50">
        <v>0</v>
      </c>
      <c r="E35" s="50">
        <v>0</v>
      </c>
      <c r="F35" s="50">
        <v>1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10</v>
      </c>
      <c r="N35" s="50">
        <v>0</v>
      </c>
      <c r="O35" s="15">
        <f t="shared" si="0"/>
        <v>2</v>
      </c>
      <c r="P35" s="15">
        <f t="shared" si="1"/>
        <v>12</v>
      </c>
    </row>
    <row r="36" spans="2:20" ht="23.1" customHeight="1" x14ac:dyDescent="0.25">
      <c r="B36" s="24" t="s">
        <v>63</v>
      </c>
      <c r="C36" s="50">
        <v>0</v>
      </c>
      <c r="D36" s="50">
        <v>0</v>
      </c>
      <c r="E36" s="50">
        <v>0</v>
      </c>
      <c r="F36" s="50">
        <v>1</v>
      </c>
      <c r="G36" s="50">
        <v>0</v>
      </c>
      <c r="H36" s="50">
        <v>0</v>
      </c>
      <c r="I36" s="50">
        <v>3</v>
      </c>
      <c r="J36" s="50">
        <v>0</v>
      </c>
      <c r="K36" s="50">
        <v>0</v>
      </c>
      <c r="L36" s="50">
        <v>0</v>
      </c>
      <c r="M36" s="50">
        <v>16</v>
      </c>
      <c r="N36" s="50">
        <v>0</v>
      </c>
      <c r="O36" s="15">
        <f t="shared" si="0"/>
        <v>4</v>
      </c>
      <c r="P36" s="15">
        <f t="shared" si="1"/>
        <v>20</v>
      </c>
    </row>
    <row r="37" spans="2:20" ht="23.1" customHeight="1" x14ac:dyDescent="0.25">
      <c r="B37" s="23" t="s">
        <v>64</v>
      </c>
      <c r="C37" s="50">
        <v>2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8</v>
      </c>
      <c r="N37" s="50">
        <v>0</v>
      </c>
      <c r="O37" s="15">
        <f t="shared" si="0"/>
        <v>5</v>
      </c>
      <c r="P37" s="15">
        <f t="shared" si="1"/>
        <v>13</v>
      </c>
    </row>
    <row r="38" spans="2:20" ht="23.1" customHeight="1" x14ac:dyDescent="0.25">
      <c r="B38" s="24" t="s">
        <v>65</v>
      </c>
      <c r="C38" s="50">
        <v>1</v>
      </c>
      <c r="D38" s="50">
        <v>0</v>
      </c>
      <c r="E38" s="50">
        <v>1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3</v>
      </c>
      <c r="P38" s="15">
        <f t="shared" si="1"/>
        <v>15</v>
      </c>
    </row>
    <row r="39" spans="2:20" ht="23.1" customHeight="1" x14ac:dyDescent="0.25">
      <c r="B39" s="24" t="s">
        <v>66</v>
      </c>
      <c r="C39" s="50">
        <v>1</v>
      </c>
      <c r="D39" s="50">
        <v>0</v>
      </c>
      <c r="E39" s="50">
        <v>0</v>
      </c>
      <c r="F39" s="50">
        <v>1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5</v>
      </c>
      <c r="P39" s="15">
        <f t="shared" si="1"/>
        <v>19</v>
      </c>
    </row>
    <row r="40" spans="2:20" ht="23.1" customHeight="1" x14ac:dyDescent="0.25">
      <c r="B40" s="24" t="s">
        <v>67</v>
      </c>
      <c r="C40" s="50">
        <v>0</v>
      </c>
      <c r="D40" s="50">
        <v>0</v>
      </c>
      <c r="E40" s="50">
        <v>2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3</v>
      </c>
      <c r="P40" s="15">
        <f t="shared" si="1"/>
        <v>14</v>
      </c>
    </row>
    <row r="41" spans="2:20" ht="23.1" customHeight="1" x14ac:dyDescent="0.25">
      <c r="B41" s="23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16</v>
      </c>
      <c r="N41" s="50">
        <v>0</v>
      </c>
      <c r="O41" s="15">
        <f t="shared" si="0"/>
        <v>2</v>
      </c>
      <c r="P41" s="15">
        <f t="shared" si="1"/>
        <v>18</v>
      </c>
    </row>
    <row r="42" spans="2:20" ht="23.1" customHeight="1" x14ac:dyDescent="0.25">
      <c r="B42" s="24" t="s">
        <v>69</v>
      </c>
      <c r="C42" s="50">
        <v>0</v>
      </c>
      <c r="D42" s="50">
        <v>0</v>
      </c>
      <c r="E42" s="50">
        <v>1</v>
      </c>
      <c r="F42" s="50">
        <v>0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13</v>
      </c>
      <c r="N42" s="50">
        <v>0</v>
      </c>
      <c r="O42" s="15">
        <f t="shared" si="0"/>
        <v>4</v>
      </c>
      <c r="P42" s="15">
        <f t="shared" si="1"/>
        <v>17</v>
      </c>
    </row>
    <row r="43" spans="2:20" ht="23.1" customHeight="1" x14ac:dyDescent="0.25">
      <c r="B43" s="23" t="s">
        <v>70</v>
      </c>
      <c r="C43" s="50">
        <v>2</v>
      </c>
      <c r="D43" s="50">
        <v>0</v>
      </c>
      <c r="E43" s="50">
        <v>2</v>
      </c>
      <c r="F43" s="50">
        <v>0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0</v>
      </c>
      <c r="M43" s="50">
        <v>11</v>
      </c>
      <c r="N43" s="50">
        <v>0</v>
      </c>
      <c r="O43" s="15">
        <f t="shared" si="0"/>
        <v>6</v>
      </c>
      <c r="P43" s="15">
        <f t="shared" si="1"/>
        <v>17</v>
      </c>
    </row>
    <row r="44" spans="2:20" ht="23.1" customHeight="1" x14ac:dyDescent="0.25">
      <c r="B44" s="25" t="s">
        <v>71</v>
      </c>
      <c r="C44" s="50">
        <v>0</v>
      </c>
      <c r="D44" s="50">
        <v>0</v>
      </c>
      <c r="E44" s="50">
        <v>0</v>
      </c>
      <c r="F44" s="50">
        <v>1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13</v>
      </c>
      <c r="N44" s="50">
        <v>0</v>
      </c>
      <c r="O44" s="15">
        <f t="shared" si="0"/>
        <v>2</v>
      </c>
      <c r="P44" s="15">
        <f t="shared" si="1"/>
        <v>15</v>
      </c>
    </row>
    <row r="45" spans="2:20" ht="23.1" customHeight="1" x14ac:dyDescent="0.25">
      <c r="B45" s="23" t="s">
        <v>72</v>
      </c>
      <c r="C45" s="50">
        <v>2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2</v>
      </c>
      <c r="P45" s="15">
        <f t="shared" si="1"/>
        <v>17</v>
      </c>
    </row>
    <row r="46" spans="2:20" ht="23.1" customHeight="1" x14ac:dyDescent="0.25">
      <c r="B46" s="24" t="s">
        <v>73</v>
      </c>
      <c r="C46" s="50">
        <v>0</v>
      </c>
      <c r="D46" s="50">
        <v>0</v>
      </c>
      <c r="E46" s="50">
        <v>1</v>
      </c>
      <c r="F46" s="50">
        <v>1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9</v>
      </c>
      <c r="N46" s="50">
        <v>0</v>
      </c>
      <c r="O46" s="15">
        <f t="shared" si="0"/>
        <v>3</v>
      </c>
      <c r="P46" s="15">
        <f t="shared" si="1"/>
        <v>12</v>
      </c>
      <c r="R46" s="8"/>
      <c r="T46"/>
    </row>
    <row r="47" spans="2:20" ht="23.1" customHeight="1" x14ac:dyDescent="0.25">
      <c r="B47" s="24" t="s">
        <v>74</v>
      </c>
      <c r="C47" s="50">
        <v>1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8</v>
      </c>
      <c r="N47" s="50">
        <v>0</v>
      </c>
      <c r="O47" s="15">
        <f t="shared" si="0"/>
        <v>1</v>
      </c>
      <c r="P47" s="15">
        <f t="shared" si="1"/>
        <v>9</v>
      </c>
      <c r="R47" s="8"/>
      <c r="T47"/>
    </row>
    <row r="48" spans="2:20" ht="23.1" customHeight="1" x14ac:dyDescent="0.25">
      <c r="B48" s="24" t="s">
        <v>75</v>
      </c>
      <c r="C48" s="50">
        <v>0</v>
      </c>
      <c r="D48" s="50">
        <v>0</v>
      </c>
      <c r="E48" s="50">
        <v>0</v>
      </c>
      <c r="F48" s="50">
        <v>1</v>
      </c>
      <c r="G48" s="50">
        <v>0</v>
      </c>
      <c r="H48" s="50">
        <v>0</v>
      </c>
      <c r="I48" s="50">
        <v>2</v>
      </c>
      <c r="J48" s="50">
        <v>0</v>
      </c>
      <c r="K48" s="50">
        <v>0</v>
      </c>
      <c r="L48" s="50">
        <v>0</v>
      </c>
      <c r="M48" s="50">
        <v>14</v>
      </c>
      <c r="N48" s="50">
        <v>0</v>
      </c>
      <c r="O48" s="15">
        <f t="shared" si="0"/>
        <v>3</v>
      </c>
      <c r="P48" s="15">
        <f t="shared" si="1"/>
        <v>17</v>
      </c>
      <c r="R48" s="8"/>
      <c r="T48"/>
    </row>
    <row r="49" spans="2:20" ht="23.1" customHeight="1" x14ac:dyDescent="0.25">
      <c r="B49" s="23" t="s">
        <v>76</v>
      </c>
      <c r="C49" s="50">
        <v>2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10</v>
      </c>
      <c r="N49" s="50">
        <v>0</v>
      </c>
      <c r="O49" s="15">
        <f t="shared" si="0"/>
        <v>5</v>
      </c>
      <c r="P49" s="15">
        <f t="shared" si="1"/>
        <v>15</v>
      </c>
      <c r="R49" s="8"/>
      <c r="T49"/>
    </row>
    <row r="50" spans="2:20" ht="23.1" customHeight="1" x14ac:dyDescent="0.25">
      <c r="B50" s="24" t="s">
        <v>77</v>
      </c>
      <c r="C50" s="50">
        <v>0</v>
      </c>
      <c r="D50" s="50">
        <v>0</v>
      </c>
      <c r="E50" s="50">
        <v>2</v>
      </c>
      <c r="F50" s="50">
        <v>0</v>
      </c>
      <c r="G50" s="50">
        <v>0</v>
      </c>
      <c r="H50" s="50">
        <v>0</v>
      </c>
      <c r="I50" s="50">
        <v>4</v>
      </c>
      <c r="J50" s="50">
        <v>0</v>
      </c>
      <c r="K50" s="50">
        <v>0</v>
      </c>
      <c r="L50" s="50">
        <v>0</v>
      </c>
      <c r="M50" s="50">
        <v>19</v>
      </c>
      <c r="N50" s="50">
        <v>0</v>
      </c>
      <c r="O50" s="15">
        <f t="shared" si="0"/>
        <v>6</v>
      </c>
      <c r="P50" s="15">
        <f t="shared" si="1"/>
        <v>25</v>
      </c>
      <c r="R50" s="8"/>
      <c r="T50"/>
    </row>
    <row r="51" spans="2:20" ht="23.1" customHeight="1" x14ac:dyDescent="0.25">
      <c r="B51" s="24" t="s">
        <v>78</v>
      </c>
      <c r="C51" s="50">
        <v>0</v>
      </c>
      <c r="D51" s="50">
        <v>0</v>
      </c>
      <c r="E51" s="50">
        <v>0</v>
      </c>
      <c r="F51" s="50">
        <v>1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17</v>
      </c>
      <c r="N51" s="50">
        <v>0</v>
      </c>
      <c r="O51" s="15">
        <f t="shared" si="0"/>
        <v>3</v>
      </c>
      <c r="P51" s="15">
        <f t="shared" si="1"/>
        <v>20</v>
      </c>
      <c r="R51" s="8"/>
      <c r="T51"/>
    </row>
    <row r="52" spans="2:20" ht="23.1" customHeight="1" x14ac:dyDescent="0.25">
      <c r="B52" s="24" t="s">
        <v>79</v>
      </c>
      <c r="C52" s="50">
        <v>2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13</v>
      </c>
      <c r="N52" s="50">
        <v>0</v>
      </c>
      <c r="O52" s="15">
        <f t="shared" si="0"/>
        <v>3</v>
      </c>
      <c r="P52" s="15">
        <f t="shared" si="1"/>
        <v>16</v>
      </c>
      <c r="R52" s="8"/>
      <c r="T52"/>
    </row>
    <row r="53" spans="2:20" ht="23.1" customHeight="1" x14ac:dyDescent="0.25">
      <c r="B53" s="23" t="s">
        <v>80</v>
      </c>
      <c r="C53" s="50">
        <v>2</v>
      </c>
      <c r="D53" s="50">
        <v>0</v>
      </c>
      <c r="E53" s="50">
        <v>1</v>
      </c>
      <c r="F53" s="50">
        <v>0</v>
      </c>
      <c r="G53" s="50">
        <v>1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11</v>
      </c>
      <c r="N53" s="50">
        <v>0</v>
      </c>
      <c r="O53" s="15">
        <f t="shared" si="0"/>
        <v>5</v>
      </c>
      <c r="P53" s="15">
        <f t="shared" si="1"/>
        <v>16</v>
      </c>
      <c r="R53" s="8"/>
      <c r="T53"/>
    </row>
    <row r="54" spans="2:20" ht="23.1" customHeight="1" x14ac:dyDescent="0.25">
      <c r="B54" s="23" t="s">
        <v>81</v>
      </c>
      <c r="C54" s="50">
        <v>1</v>
      </c>
      <c r="D54" s="50">
        <v>0</v>
      </c>
      <c r="E54" s="50">
        <v>1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3</v>
      </c>
      <c r="P54" s="15">
        <f t="shared" si="1"/>
        <v>16</v>
      </c>
      <c r="R54" s="8"/>
      <c r="T54"/>
    </row>
    <row r="55" spans="2:20" ht="23.1" customHeight="1" x14ac:dyDescent="0.25">
      <c r="B55" s="23" t="s">
        <v>82</v>
      </c>
      <c r="C55" s="50">
        <v>2</v>
      </c>
      <c r="D55" s="50">
        <v>0</v>
      </c>
      <c r="E55" s="50">
        <v>0</v>
      </c>
      <c r="F55" s="50">
        <v>2</v>
      </c>
      <c r="G55" s="50">
        <v>0</v>
      </c>
      <c r="H55" s="50">
        <v>0</v>
      </c>
      <c r="I55" s="50">
        <v>1</v>
      </c>
      <c r="J55" s="50">
        <v>0</v>
      </c>
      <c r="K55" s="50">
        <v>1</v>
      </c>
      <c r="L55" s="50">
        <v>0</v>
      </c>
      <c r="M55" s="50">
        <v>17</v>
      </c>
      <c r="N55" s="50">
        <v>0</v>
      </c>
      <c r="O55" s="15">
        <f t="shared" si="0"/>
        <v>6</v>
      </c>
      <c r="P55" s="15">
        <f t="shared" si="1"/>
        <v>23</v>
      </c>
      <c r="R55" s="8"/>
      <c r="T55"/>
    </row>
    <row r="56" spans="2:20" ht="23.1" customHeight="1" x14ac:dyDescent="0.25">
      <c r="B56" s="23" t="s">
        <v>83</v>
      </c>
      <c r="C56" s="50">
        <v>3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4</v>
      </c>
      <c r="P56" s="15">
        <f t="shared" si="1"/>
        <v>16</v>
      </c>
      <c r="R56" s="8"/>
      <c r="T56"/>
    </row>
    <row r="57" spans="2:20" ht="23.1" customHeight="1" x14ac:dyDescent="0.25">
      <c r="B57" s="23" t="s">
        <v>84</v>
      </c>
      <c r="C57" s="50">
        <v>1</v>
      </c>
      <c r="D57" s="50">
        <v>0</v>
      </c>
      <c r="E57" s="50">
        <v>0</v>
      </c>
      <c r="F57" s="50">
        <v>1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19</v>
      </c>
      <c r="N57" s="50">
        <v>0</v>
      </c>
      <c r="O57" s="15">
        <f t="shared" si="0"/>
        <v>3</v>
      </c>
      <c r="P57" s="15">
        <f t="shared" si="1"/>
        <v>22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45</v>
      </c>
      <c r="D58" s="16">
        <f t="shared" si="21"/>
        <v>0</v>
      </c>
      <c r="E58" s="16">
        <f t="shared" si="21"/>
        <v>36</v>
      </c>
      <c r="F58" s="16">
        <f t="shared" si="21"/>
        <v>18</v>
      </c>
      <c r="G58" s="16">
        <f t="shared" si="21"/>
        <v>3</v>
      </c>
      <c r="H58" s="16">
        <f t="shared" si="21"/>
        <v>0</v>
      </c>
      <c r="I58" s="16">
        <f t="shared" si="21"/>
        <v>58</v>
      </c>
      <c r="J58" s="16">
        <f t="shared" si="21"/>
        <v>2</v>
      </c>
      <c r="K58" s="16">
        <f t="shared" si="21"/>
        <v>1</v>
      </c>
      <c r="L58" s="16">
        <f t="shared" si="21"/>
        <v>0</v>
      </c>
      <c r="M58" s="16">
        <f t="shared" si="21"/>
        <v>611</v>
      </c>
      <c r="N58" s="16">
        <f t="shared" si="21"/>
        <v>0</v>
      </c>
      <c r="O58" s="16">
        <f t="shared" si="21"/>
        <v>163</v>
      </c>
      <c r="P58" s="16">
        <f t="shared" si="21"/>
        <v>774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5.8139534883720929E-2</v>
      </c>
      <c r="D59" s="43">
        <f t="shared" si="22"/>
        <v>0</v>
      </c>
      <c r="E59" s="43">
        <f t="shared" si="22"/>
        <v>4.6511627906976744E-2</v>
      </c>
      <c r="F59" s="43">
        <f t="shared" si="22"/>
        <v>2.3255813953488372E-2</v>
      </c>
      <c r="G59" s="43">
        <f t="shared" si="22"/>
        <v>3.875968992248062E-3</v>
      </c>
      <c r="H59" s="43">
        <f t="shared" si="22"/>
        <v>0</v>
      </c>
      <c r="I59" s="43">
        <f t="shared" si="22"/>
        <v>7.4935400516795869E-2</v>
      </c>
      <c r="J59" s="43">
        <f t="shared" si="22"/>
        <v>2.5839793281653748E-3</v>
      </c>
      <c r="K59" s="43">
        <f t="shared" si="22"/>
        <v>1.2919896640826874E-3</v>
      </c>
      <c r="L59" s="43">
        <f t="shared" si="22"/>
        <v>0</v>
      </c>
      <c r="M59" s="43">
        <f t="shared" si="22"/>
        <v>0.789405684754522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0.27607361963190186</v>
      </c>
      <c r="D60" s="44">
        <f t="shared" ref="D60:N60" si="23">D58/$O$58</f>
        <v>0</v>
      </c>
      <c r="E60" s="44">
        <f t="shared" si="23"/>
        <v>0.22085889570552147</v>
      </c>
      <c r="F60" s="44">
        <f t="shared" si="23"/>
        <v>0.11042944785276074</v>
      </c>
      <c r="G60" s="44">
        <f t="shared" si="23"/>
        <v>1.8404907975460124E-2</v>
      </c>
      <c r="H60" s="44">
        <f t="shared" si="23"/>
        <v>0</v>
      </c>
      <c r="I60" s="44">
        <f t="shared" si="23"/>
        <v>0.35582822085889571</v>
      </c>
      <c r="J60" s="44">
        <f t="shared" si="23"/>
        <v>1.2269938650306749E-2</v>
      </c>
      <c r="K60" s="44">
        <f t="shared" si="23"/>
        <v>6.1349693251533744E-3</v>
      </c>
      <c r="L60" s="44">
        <f t="shared" si="23"/>
        <v>0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8" zoomScale="60" workbookViewId="0">
      <selection activeCell="T101" sqref="T10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BUSUNJU-KAMPALA'!C3:G3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63" t="str">
        <f>'14.08 KAMPALA-BUSUNJU'!G5:H5</f>
        <v>MATTE</v>
      </c>
      <c r="H5" s="64"/>
      <c r="I5" s="14"/>
      <c r="J5" s="2" t="s">
        <v>5</v>
      </c>
      <c r="K5" s="63" t="str">
        <f>'14.08 KAMPALA-BUSUNJU'!K5:L5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BUSUNJU-KAMPALA'!D6:E6</f>
        <v>BUSUNJU</v>
      </c>
      <c r="E6" s="64"/>
      <c r="F6" s="2" t="s">
        <v>2</v>
      </c>
      <c r="G6" s="63" t="str">
        <f>'11.08 BUSUNJU-KAMPALA'!G6:H6</f>
        <v>KAMPALA</v>
      </c>
      <c r="H6" s="64"/>
      <c r="J6" s="2" t="s">
        <v>21</v>
      </c>
      <c r="K6" s="63" t="str">
        <f>'14.08 KAMPALA-BUSUNJU'!K6:L6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2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13</v>
      </c>
      <c r="N10" s="50">
        <v>0</v>
      </c>
      <c r="O10" s="15">
        <f t="shared" ref="O10:O57" si="0">SUM(C10:L10,N10)</f>
        <v>2</v>
      </c>
      <c r="P10" s="15">
        <f t="shared" ref="P10:P57" si="1">SUM(C10:N10)</f>
        <v>15</v>
      </c>
      <c r="R10" s="1" t="s">
        <v>6</v>
      </c>
      <c r="S10" s="17">
        <f t="shared" ref="S10:AF10" si="2">SUM(C10:C13)</f>
        <v>1</v>
      </c>
      <c r="T10" s="17">
        <f t="shared" si="2"/>
        <v>4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1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40</v>
      </c>
      <c r="AD10" s="17">
        <f t="shared" si="2"/>
        <v>0</v>
      </c>
      <c r="AE10" s="31">
        <f t="shared" si="2"/>
        <v>6</v>
      </c>
      <c r="AF10" s="31">
        <f t="shared" si="2"/>
        <v>46</v>
      </c>
    </row>
    <row r="11" spans="2:32" s="6" customFormat="1" ht="23.1" customHeight="1" x14ac:dyDescent="0.25">
      <c r="B11" s="45" t="s">
        <v>38</v>
      </c>
      <c r="C11" s="50">
        <v>0</v>
      </c>
      <c r="D11" s="50">
        <v>1</v>
      </c>
      <c r="E11" s="50">
        <v>0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2</v>
      </c>
      <c r="P11" s="15">
        <f t="shared" si="1"/>
        <v>11</v>
      </c>
      <c r="R11" s="1" t="s">
        <v>7</v>
      </c>
      <c r="S11" s="17">
        <f t="shared" ref="S11:AF11" si="3">SUM(C14:C17)</f>
        <v>1</v>
      </c>
      <c r="T11" s="17">
        <f t="shared" si="3"/>
        <v>3</v>
      </c>
      <c r="U11" s="17">
        <f t="shared" si="3"/>
        <v>3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2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67</v>
      </c>
      <c r="AD11" s="17">
        <f t="shared" si="3"/>
        <v>0</v>
      </c>
      <c r="AE11" s="31">
        <f t="shared" si="3"/>
        <v>9</v>
      </c>
      <c r="AF11" s="31">
        <f t="shared" si="3"/>
        <v>76</v>
      </c>
    </row>
    <row r="12" spans="2:32" ht="23.1" customHeight="1" x14ac:dyDescent="0.25">
      <c r="B12" s="45" t="s">
        <v>39</v>
      </c>
      <c r="C12" s="50">
        <v>0</v>
      </c>
      <c r="D12" s="50">
        <v>1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10</v>
      </c>
      <c r="N12" s="50">
        <v>0</v>
      </c>
      <c r="O12" s="15">
        <f t="shared" si="0"/>
        <v>1</v>
      </c>
      <c r="P12" s="15">
        <f t="shared" si="1"/>
        <v>11</v>
      </c>
      <c r="R12" s="1" t="s">
        <v>8</v>
      </c>
      <c r="S12" s="17">
        <f t="shared" ref="S12:AF12" si="4">SUM(C18:C21)</f>
        <v>4</v>
      </c>
      <c r="T12" s="17">
        <f t="shared" si="4"/>
        <v>5</v>
      </c>
      <c r="U12" s="17">
        <f t="shared" si="4"/>
        <v>0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56</v>
      </c>
      <c r="AD12" s="17">
        <f t="shared" si="4"/>
        <v>0</v>
      </c>
      <c r="AE12" s="31">
        <f t="shared" si="4"/>
        <v>12</v>
      </c>
      <c r="AF12" s="31">
        <f t="shared" si="4"/>
        <v>68</v>
      </c>
    </row>
    <row r="13" spans="2:32" ht="23.1" customHeight="1" x14ac:dyDescent="0.25">
      <c r="B13" s="45" t="s">
        <v>40</v>
      </c>
      <c r="C13" s="50">
        <v>1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1</v>
      </c>
      <c r="P13" s="15">
        <f t="shared" si="1"/>
        <v>9</v>
      </c>
      <c r="R13" s="1" t="s">
        <v>9</v>
      </c>
      <c r="S13" s="17">
        <f t="shared" ref="S13:AF13" si="5">SUM(C22:C25)</f>
        <v>2</v>
      </c>
      <c r="T13" s="17">
        <f t="shared" si="5"/>
        <v>5</v>
      </c>
      <c r="U13" s="17">
        <f t="shared" si="5"/>
        <v>3</v>
      </c>
      <c r="V13" s="17">
        <f t="shared" si="5"/>
        <v>0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65</v>
      </c>
      <c r="AD13" s="17">
        <f t="shared" si="5"/>
        <v>0</v>
      </c>
      <c r="AE13" s="31">
        <f t="shared" si="5"/>
        <v>16</v>
      </c>
      <c r="AF13" s="31">
        <f t="shared" si="5"/>
        <v>81</v>
      </c>
    </row>
    <row r="14" spans="2:32" ht="23.1" customHeight="1" x14ac:dyDescent="0.25">
      <c r="B14" s="45" t="s">
        <v>41</v>
      </c>
      <c r="C14" s="50">
        <v>0</v>
      </c>
      <c r="D14" s="50">
        <v>1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14</v>
      </c>
      <c r="N14" s="50">
        <v>0</v>
      </c>
      <c r="O14" s="15">
        <f t="shared" si="0"/>
        <v>2</v>
      </c>
      <c r="P14" s="15">
        <f t="shared" si="1"/>
        <v>16</v>
      </c>
      <c r="R14" s="1" t="s">
        <v>10</v>
      </c>
      <c r="S14" s="17">
        <f t="shared" ref="S14:AF14" si="6">SUM(C26:C29)</f>
        <v>2</v>
      </c>
      <c r="T14" s="17">
        <f t="shared" si="6"/>
        <v>0</v>
      </c>
      <c r="U14" s="17">
        <f t="shared" si="6"/>
        <v>2</v>
      </c>
      <c r="V14" s="17">
        <f t="shared" si="6"/>
        <v>0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76</v>
      </c>
      <c r="AD14" s="17">
        <f t="shared" si="6"/>
        <v>0</v>
      </c>
      <c r="AE14" s="31">
        <f t="shared" si="6"/>
        <v>8</v>
      </c>
      <c r="AF14" s="31">
        <f t="shared" si="6"/>
        <v>84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17</v>
      </c>
      <c r="N15" s="50">
        <v>0</v>
      </c>
      <c r="O15" s="15">
        <f t="shared" si="0"/>
        <v>2</v>
      </c>
      <c r="P15" s="15">
        <f t="shared" si="1"/>
        <v>19</v>
      </c>
      <c r="R15" s="1" t="s">
        <v>11</v>
      </c>
      <c r="S15" s="17">
        <f t="shared" ref="S15:AF15" si="7">SUM(C30:C33)</f>
        <v>1</v>
      </c>
      <c r="T15" s="17">
        <f t="shared" si="7"/>
        <v>4</v>
      </c>
      <c r="U15" s="17">
        <f t="shared" si="7"/>
        <v>1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4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53</v>
      </c>
      <c r="AD15" s="17">
        <f t="shared" si="7"/>
        <v>0</v>
      </c>
      <c r="AE15" s="31">
        <f t="shared" si="7"/>
        <v>10</v>
      </c>
      <c r="AF15" s="31">
        <f t="shared" si="7"/>
        <v>63</v>
      </c>
    </row>
    <row r="16" spans="2:32" ht="23.1" customHeight="1" x14ac:dyDescent="0.25">
      <c r="B16" s="45" t="s">
        <v>43</v>
      </c>
      <c r="C16" s="50">
        <v>0</v>
      </c>
      <c r="D16" s="50">
        <v>2</v>
      </c>
      <c r="E16" s="50">
        <v>1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21</v>
      </c>
      <c r="N16" s="50">
        <v>0</v>
      </c>
      <c r="O16" s="15">
        <f t="shared" si="0"/>
        <v>4</v>
      </c>
      <c r="P16" s="15">
        <f t="shared" si="1"/>
        <v>25</v>
      </c>
      <c r="R16" s="1" t="s">
        <v>12</v>
      </c>
      <c r="S16" s="17">
        <f t="shared" ref="S16:AF16" si="8">SUM(C34:C37)</f>
        <v>1</v>
      </c>
      <c r="T16" s="17">
        <f t="shared" si="8"/>
        <v>5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4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59</v>
      </c>
      <c r="AD16" s="17">
        <f t="shared" si="8"/>
        <v>0</v>
      </c>
      <c r="AE16" s="31">
        <f t="shared" si="8"/>
        <v>11</v>
      </c>
      <c r="AF16" s="31">
        <f t="shared" si="8"/>
        <v>70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15</v>
      </c>
      <c r="N17" s="50">
        <v>0</v>
      </c>
      <c r="O17" s="15">
        <f t="shared" si="0"/>
        <v>1</v>
      </c>
      <c r="P17" s="15">
        <f t="shared" si="1"/>
        <v>16</v>
      </c>
      <c r="R17" s="1" t="s">
        <v>13</v>
      </c>
      <c r="S17" s="17">
        <f t="shared" ref="S17:AF17" si="9">SUM(C38:C41)</f>
        <v>7</v>
      </c>
      <c r="T17" s="17">
        <f t="shared" si="9"/>
        <v>7</v>
      </c>
      <c r="U17" s="17">
        <f t="shared" si="9"/>
        <v>1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45</v>
      </c>
      <c r="AD17" s="17">
        <f t="shared" si="9"/>
        <v>0</v>
      </c>
      <c r="AE17" s="31">
        <f t="shared" si="9"/>
        <v>18</v>
      </c>
      <c r="AF17" s="31">
        <f t="shared" si="9"/>
        <v>63</v>
      </c>
    </row>
    <row r="18" spans="2:32" ht="23.1" customHeight="1" x14ac:dyDescent="0.25">
      <c r="B18" s="45" t="s">
        <v>45</v>
      </c>
      <c r="C18" s="50">
        <v>2</v>
      </c>
      <c r="D18" s="50">
        <v>3</v>
      </c>
      <c r="E18" s="50">
        <v>0</v>
      </c>
      <c r="F18" s="50">
        <v>0</v>
      </c>
      <c r="G18" s="50">
        <v>0</v>
      </c>
      <c r="H18" s="50">
        <v>0</v>
      </c>
      <c r="I18" s="50">
        <v>1</v>
      </c>
      <c r="J18" s="50">
        <v>0</v>
      </c>
      <c r="K18" s="50">
        <v>0</v>
      </c>
      <c r="L18" s="50">
        <v>0</v>
      </c>
      <c r="M18" s="50">
        <v>19</v>
      </c>
      <c r="N18" s="50">
        <v>0</v>
      </c>
      <c r="O18" s="15">
        <f t="shared" si="0"/>
        <v>6</v>
      </c>
      <c r="P18" s="15">
        <f t="shared" si="1"/>
        <v>25</v>
      </c>
      <c r="R18" s="1" t="s">
        <v>14</v>
      </c>
      <c r="S18" s="17">
        <f t="shared" ref="S18:AF18" si="10">SUM(C42:C45)</f>
        <v>7</v>
      </c>
      <c r="T18" s="17">
        <f t="shared" si="10"/>
        <v>7</v>
      </c>
      <c r="U18" s="17">
        <f t="shared" si="10"/>
        <v>1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45</v>
      </c>
      <c r="AD18" s="17">
        <f t="shared" si="10"/>
        <v>0</v>
      </c>
      <c r="AE18" s="31">
        <f t="shared" si="10"/>
        <v>20</v>
      </c>
      <c r="AF18" s="31">
        <f t="shared" si="10"/>
        <v>65</v>
      </c>
    </row>
    <row r="19" spans="2:32" ht="23.1" customHeight="1" x14ac:dyDescent="0.25">
      <c r="B19" s="45" t="s">
        <v>46</v>
      </c>
      <c r="C19" s="50">
        <v>2</v>
      </c>
      <c r="D19" s="50">
        <v>2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11</v>
      </c>
      <c r="N19" s="50">
        <v>0</v>
      </c>
      <c r="O19" s="15">
        <f t="shared" si="0"/>
        <v>4</v>
      </c>
      <c r="P19" s="15">
        <f t="shared" si="1"/>
        <v>15</v>
      </c>
      <c r="R19" s="1" t="s">
        <v>15</v>
      </c>
      <c r="S19" s="17">
        <f t="shared" ref="S19:AF19" si="11">SUM(C46:C49)</f>
        <v>8</v>
      </c>
      <c r="T19" s="17">
        <f t="shared" si="11"/>
        <v>4</v>
      </c>
      <c r="U19" s="17">
        <f t="shared" si="11"/>
        <v>1</v>
      </c>
      <c r="V19" s="17">
        <f t="shared" si="11"/>
        <v>0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58</v>
      </c>
      <c r="AD19" s="17">
        <f t="shared" si="11"/>
        <v>0</v>
      </c>
      <c r="AE19" s="31">
        <f t="shared" si="11"/>
        <v>18</v>
      </c>
      <c r="AF19" s="31">
        <f t="shared" si="11"/>
        <v>76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0</v>
      </c>
      <c r="M20" s="50">
        <v>15</v>
      </c>
      <c r="N20" s="50">
        <v>0</v>
      </c>
      <c r="O20" s="15">
        <f t="shared" si="0"/>
        <v>2</v>
      </c>
      <c r="P20" s="15">
        <f t="shared" si="1"/>
        <v>17</v>
      </c>
      <c r="R20" s="1" t="s">
        <v>16</v>
      </c>
      <c r="S20" s="17">
        <f t="shared" ref="S20:AF20" si="12">SUM(C50:C53)</f>
        <v>1</v>
      </c>
      <c r="T20" s="17">
        <f t="shared" si="12"/>
        <v>3</v>
      </c>
      <c r="U20" s="17">
        <f t="shared" si="12"/>
        <v>1</v>
      </c>
      <c r="V20" s="17">
        <f t="shared" si="12"/>
        <v>0</v>
      </c>
      <c r="W20" s="17">
        <f t="shared" si="12"/>
        <v>0</v>
      </c>
      <c r="X20" s="17">
        <f t="shared" si="12"/>
        <v>0</v>
      </c>
      <c r="Y20" s="17">
        <f t="shared" si="12"/>
        <v>4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51</v>
      </c>
      <c r="AD20" s="17">
        <f t="shared" si="12"/>
        <v>0</v>
      </c>
      <c r="AE20" s="31">
        <f t="shared" si="12"/>
        <v>9</v>
      </c>
      <c r="AF20" s="31">
        <f t="shared" si="12"/>
        <v>60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0</v>
      </c>
      <c r="P21" s="15">
        <f t="shared" si="1"/>
        <v>11</v>
      </c>
      <c r="R21" s="36" t="s">
        <v>20</v>
      </c>
      <c r="S21" s="34">
        <f t="shared" ref="S21:AF21" si="13">SUM(C54:C57)</f>
        <v>3</v>
      </c>
      <c r="T21" s="17">
        <f t="shared" si="13"/>
        <v>8</v>
      </c>
      <c r="U21" s="17">
        <f t="shared" si="13"/>
        <v>1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57</v>
      </c>
      <c r="AD21" s="17">
        <f t="shared" si="13"/>
        <v>0</v>
      </c>
      <c r="AE21" s="31">
        <f t="shared" si="13"/>
        <v>17</v>
      </c>
      <c r="AF21" s="31">
        <f t="shared" si="13"/>
        <v>74</v>
      </c>
    </row>
    <row r="22" spans="2:32" ht="23.1" customHeight="1" x14ac:dyDescent="0.25">
      <c r="B22" s="45" t="s">
        <v>49</v>
      </c>
      <c r="C22" s="50">
        <v>0</v>
      </c>
      <c r="D22" s="50">
        <v>2</v>
      </c>
      <c r="E22" s="50">
        <v>0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15</v>
      </c>
      <c r="N22" s="50">
        <v>0</v>
      </c>
      <c r="O22" s="15">
        <f t="shared" si="0"/>
        <v>3</v>
      </c>
      <c r="P22" s="15">
        <f t="shared" si="1"/>
        <v>18</v>
      </c>
      <c r="R22" s="36" t="s">
        <v>146</v>
      </c>
      <c r="S22" s="34">
        <f>SUM(C58:C61)</f>
        <v>4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36</v>
      </c>
      <c r="AD22" s="34">
        <f t="shared" si="14"/>
        <v>0</v>
      </c>
      <c r="AE22" s="31">
        <f t="shared" si="14"/>
        <v>6</v>
      </c>
      <c r="AF22" s="31">
        <f t="shared" si="14"/>
        <v>42</v>
      </c>
    </row>
    <row r="23" spans="2:32" ht="23.1" customHeight="1" x14ac:dyDescent="0.25">
      <c r="B23" s="45" t="s">
        <v>50</v>
      </c>
      <c r="C23" s="50">
        <v>1</v>
      </c>
      <c r="D23" s="50">
        <v>1</v>
      </c>
      <c r="E23" s="50">
        <v>2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5</v>
      </c>
      <c r="P23" s="15">
        <f t="shared" si="1"/>
        <v>19</v>
      </c>
      <c r="R23" s="36" t="s">
        <v>147</v>
      </c>
      <c r="S23" s="34">
        <f>SUM(C62:C65)</f>
        <v>4</v>
      </c>
      <c r="T23" s="34">
        <f t="shared" ref="T23:AF23" si="15">SUM(D62:D65)</f>
        <v>0</v>
      </c>
      <c r="U23" s="34">
        <f t="shared" si="15"/>
        <v>2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48</v>
      </c>
      <c r="AD23" s="34">
        <f t="shared" si="15"/>
        <v>0</v>
      </c>
      <c r="AE23" s="31">
        <f t="shared" si="15"/>
        <v>9</v>
      </c>
      <c r="AF23" s="31">
        <f t="shared" si="15"/>
        <v>57</v>
      </c>
    </row>
    <row r="24" spans="2:32" ht="23.1" customHeight="1" x14ac:dyDescent="0.25">
      <c r="B24" s="45" t="s">
        <v>51</v>
      </c>
      <c r="C24" s="50">
        <v>0</v>
      </c>
      <c r="D24" s="50">
        <v>1</v>
      </c>
      <c r="E24" s="50">
        <v>1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18</v>
      </c>
      <c r="N24" s="50">
        <v>0</v>
      </c>
      <c r="O24" s="15">
        <f t="shared" si="0"/>
        <v>4</v>
      </c>
      <c r="P24" s="15">
        <f t="shared" si="1"/>
        <v>22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48</v>
      </c>
      <c r="AD24" s="34">
        <f t="shared" si="16"/>
        <v>0</v>
      </c>
      <c r="AE24" s="31">
        <f t="shared" si="16"/>
        <v>4</v>
      </c>
      <c r="AF24" s="31">
        <f t="shared" si="16"/>
        <v>52</v>
      </c>
    </row>
    <row r="25" spans="2:32" ht="23.1" customHeight="1" x14ac:dyDescent="0.25">
      <c r="B25" s="45" t="s">
        <v>52</v>
      </c>
      <c r="C25" s="50">
        <v>1</v>
      </c>
      <c r="D25" s="50">
        <v>1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18</v>
      </c>
      <c r="N25" s="50">
        <v>0</v>
      </c>
      <c r="O25" s="15">
        <f t="shared" si="0"/>
        <v>4</v>
      </c>
      <c r="P25" s="15">
        <f t="shared" si="1"/>
        <v>22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0</v>
      </c>
      <c r="W25" s="34">
        <f t="shared" si="17"/>
        <v>1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40</v>
      </c>
      <c r="AD25" s="34">
        <f t="shared" si="17"/>
        <v>0</v>
      </c>
      <c r="AE25" s="31">
        <f t="shared" si="17"/>
        <v>7</v>
      </c>
      <c r="AF25" s="31">
        <f t="shared" si="17"/>
        <v>47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1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16</v>
      </c>
      <c r="N26" s="50">
        <v>0</v>
      </c>
      <c r="O26" s="15">
        <f t="shared" si="0"/>
        <v>2</v>
      </c>
      <c r="P26" s="15">
        <f t="shared" si="1"/>
        <v>18</v>
      </c>
      <c r="R26" s="36" t="s">
        <v>150</v>
      </c>
      <c r="S26" s="34">
        <f>SUM(C74:C77)</f>
        <v>3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36</v>
      </c>
      <c r="AD26" s="34">
        <f t="shared" si="18"/>
        <v>0</v>
      </c>
      <c r="AE26" s="31">
        <f t="shared" si="18"/>
        <v>6</v>
      </c>
      <c r="AF26" s="31">
        <f t="shared" si="18"/>
        <v>42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0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14</v>
      </c>
      <c r="N27" s="50">
        <v>0</v>
      </c>
      <c r="O27" s="15">
        <f t="shared" si="0"/>
        <v>1</v>
      </c>
      <c r="P27" s="15">
        <f t="shared" si="1"/>
        <v>15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25</v>
      </c>
      <c r="AD27" s="34">
        <f t="shared" si="19"/>
        <v>0</v>
      </c>
      <c r="AE27" s="31">
        <f t="shared" si="19"/>
        <v>4</v>
      </c>
      <c r="AF27" s="31">
        <f t="shared" si="19"/>
        <v>29</v>
      </c>
    </row>
    <row r="28" spans="2:32" ht="23.1" customHeight="1" x14ac:dyDescent="0.25">
      <c r="B28" s="45" t="s">
        <v>55</v>
      </c>
      <c r="C28" s="50">
        <v>0</v>
      </c>
      <c r="D28" s="50">
        <v>0</v>
      </c>
      <c r="E28" s="50">
        <v>0</v>
      </c>
      <c r="F28" s="50">
        <v>0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19</v>
      </c>
      <c r="N28" s="50">
        <v>0</v>
      </c>
      <c r="O28" s="15">
        <f t="shared" si="0"/>
        <v>1</v>
      </c>
      <c r="P28" s="15">
        <f t="shared" si="1"/>
        <v>20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16</v>
      </c>
      <c r="AD28" s="34">
        <f t="shared" si="20"/>
        <v>0</v>
      </c>
      <c r="AE28" s="31">
        <f t="shared" si="20"/>
        <v>0</v>
      </c>
      <c r="AF28" s="31">
        <f t="shared" si="20"/>
        <v>16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1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27</v>
      </c>
      <c r="N29" s="50">
        <v>0</v>
      </c>
      <c r="O29" s="15">
        <f t="shared" si="0"/>
        <v>4</v>
      </c>
      <c r="P29" s="15">
        <f t="shared" si="1"/>
        <v>31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12</v>
      </c>
      <c r="AD29" s="34">
        <f t="shared" si="21"/>
        <v>0</v>
      </c>
      <c r="AE29" s="31">
        <f t="shared" si="21"/>
        <v>0</v>
      </c>
      <c r="AF29" s="31">
        <f t="shared" si="21"/>
        <v>12</v>
      </c>
    </row>
    <row r="30" spans="2:32" ht="23.1" customHeight="1" x14ac:dyDescent="0.25">
      <c r="B30" s="45" t="s">
        <v>57</v>
      </c>
      <c r="C30" s="50">
        <v>0</v>
      </c>
      <c r="D30" s="50">
        <v>1</v>
      </c>
      <c r="E30" s="50">
        <v>1</v>
      </c>
      <c r="F30" s="50">
        <v>0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16</v>
      </c>
      <c r="N30" s="50">
        <v>0</v>
      </c>
      <c r="O30" s="15">
        <f t="shared" si="0"/>
        <v>3</v>
      </c>
      <c r="P30" s="15">
        <f t="shared" si="1"/>
        <v>19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2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17</v>
      </c>
      <c r="AD30" s="34">
        <f t="shared" si="22"/>
        <v>0</v>
      </c>
      <c r="AE30" s="31">
        <f t="shared" si="22"/>
        <v>4</v>
      </c>
      <c r="AF30" s="31">
        <f t="shared" si="22"/>
        <v>21</v>
      </c>
    </row>
    <row r="31" spans="2:32" ht="23.1" customHeight="1" x14ac:dyDescent="0.25">
      <c r="B31" s="46" t="s">
        <v>58</v>
      </c>
      <c r="C31" s="50">
        <v>1</v>
      </c>
      <c r="D31" s="50">
        <v>0</v>
      </c>
      <c r="E31" s="50">
        <v>0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14</v>
      </c>
      <c r="N31" s="50">
        <v>0</v>
      </c>
      <c r="O31" s="15">
        <f t="shared" si="0"/>
        <v>2</v>
      </c>
      <c r="P31" s="15">
        <f t="shared" si="1"/>
        <v>16</v>
      </c>
      <c r="R31" s="36" t="s">
        <v>155</v>
      </c>
      <c r="S31" s="34">
        <f>SUM(C94:C97)</f>
        <v>4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38</v>
      </c>
      <c r="AD31" s="34">
        <f t="shared" si="23"/>
        <v>0</v>
      </c>
      <c r="AE31" s="31">
        <f t="shared" si="23"/>
        <v>10</v>
      </c>
      <c r="AF31" s="31">
        <f t="shared" si="23"/>
        <v>48</v>
      </c>
    </row>
    <row r="32" spans="2:32" ht="23.1" customHeight="1" x14ac:dyDescent="0.25">
      <c r="B32" s="46" t="s">
        <v>59</v>
      </c>
      <c r="C32" s="50">
        <v>0</v>
      </c>
      <c r="D32" s="50">
        <v>2</v>
      </c>
      <c r="E32" s="50">
        <v>0</v>
      </c>
      <c r="F32" s="50">
        <v>0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3</v>
      </c>
      <c r="P32" s="15">
        <f t="shared" si="1"/>
        <v>13</v>
      </c>
      <c r="R32" s="33" t="s">
        <v>156</v>
      </c>
      <c r="S32" s="34">
        <f>SUM(C98:C101)</f>
        <v>4</v>
      </c>
      <c r="T32" s="34">
        <f t="shared" ref="T32:AF32" si="24">SUM(D98:D101)</f>
        <v>0</v>
      </c>
      <c r="U32" s="34">
        <f t="shared" si="24"/>
        <v>4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46</v>
      </c>
      <c r="AD32" s="34">
        <f t="shared" si="24"/>
        <v>0</v>
      </c>
      <c r="AE32" s="31">
        <f t="shared" si="24"/>
        <v>14</v>
      </c>
      <c r="AF32" s="31">
        <f t="shared" si="24"/>
        <v>60</v>
      </c>
    </row>
    <row r="33" spans="2:32" ht="23.1" customHeight="1" x14ac:dyDescent="0.25">
      <c r="B33" s="45" t="s">
        <v>60</v>
      </c>
      <c r="C33" s="50">
        <v>0</v>
      </c>
      <c r="D33" s="50">
        <v>1</v>
      </c>
      <c r="E33" s="50">
        <v>0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13</v>
      </c>
      <c r="N33" s="50">
        <v>0</v>
      </c>
      <c r="O33" s="15">
        <f t="shared" si="0"/>
        <v>2</v>
      </c>
      <c r="P33" s="15">
        <f t="shared" si="1"/>
        <v>15</v>
      </c>
      <c r="R33" s="33" t="s">
        <v>157</v>
      </c>
      <c r="S33" s="34">
        <f>SUM(C102:C105)</f>
        <v>5</v>
      </c>
      <c r="T33" s="34">
        <f t="shared" ref="T33:AF33" si="25">SUM(D102:D105)</f>
        <v>0</v>
      </c>
      <c r="U33" s="34">
        <f t="shared" si="25"/>
        <v>3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45</v>
      </c>
      <c r="AD33" s="34">
        <f t="shared" si="25"/>
        <v>0</v>
      </c>
      <c r="AE33" s="31">
        <f t="shared" si="25"/>
        <v>11</v>
      </c>
      <c r="AF33" s="31">
        <f t="shared" si="25"/>
        <v>56</v>
      </c>
    </row>
    <row r="34" spans="2:32" ht="23.1" customHeight="1" x14ac:dyDescent="0.25">
      <c r="B34" s="46" t="s">
        <v>61</v>
      </c>
      <c r="C34" s="50">
        <v>1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19</v>
      </c>
      <c r="N34" s="50">
        <v>0</v>
      </c>
      <c r="O34" s="15">
        <f t="shared" si="0"/>
        <v>2</v>
      </c>
      <c r="P34" s="15">
        <f t="shared" si="1"/>
        <v>21</v>
      </c>
      <c r="R34" s="38" t="s">
        <v>90</v>
      </c>
      <c r="S34" s="39">
        <f t="shared" ref="S34:AF34" si="26">MAX(S10:S12)</f>
        <v>4</v>
      </c>
      <c r="T34" s="39">
        <f t="shared" si="26"/>
        <v>5</v>
      </c>
      <c r="U34" s="39">
        <f t="shared" si="26"/>
        <v>3</v>
      </c>
      <c r="V34" s="39">
        <f t="shared" si="26"/>
        <v>0</v>
      </c>
      <c r="W34" s="39">
        <f t="shared" si="26"/>
        <v>0</v>
      </c>
      <c r="X34" s="39">
        <f t="shared" si="26"/>
        <v>0</v>
      </c>
      <c r="Y34" s="39">
        <f t="shared" si="26"/>
        <v>3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67</v>
      </c>
      <c r="AD34" s="39">
        <f t="shared" si="26"/>
        <v>0</v>
      </c>
      <c r="AE34" s="40">
        <f t="shared" si="26"/>
        <v>12</v>
      </c>
      <c r="AF34" s="40">
        <f t="shared" si="26"/>
        <v>76</v>
      </c>
    </row>
    <row r="35" spans="2:32" ht="23.1" customHeight="1" x14ac:dyDescent="0.25">
      <c r="B35" s="46" t="s">
        <v>62</v>
      </c>
      <c r="C35" s="50">
        <v>0</v>
      </c>
      <c r="D35" s="50">
        <v>2</v>
      </c>
      <c r="E35" s="50">
        <v>0</v>
      </c>
      <c r="F35" s="50">
        <v>0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17</v>
      </c>
      <c r="N35" s="50">
        <v>0</v>
      </c>
      <c r="O35" s="15">
        <f t="shared" si="0"/>
        <v>2</v>
      </c>
      <c r="P35" s="15">
        <f t="shared" si="1"/>
        <v>19</v>
      </c>
      <c r="R35" s="38" t="s">
        <v>91</v>
      </c>
      <c r="S35" s="39">
        <f t="shared" ref="S35:AF35" si="27">MAX(S13:S18)</f>
        <v>7</v>
      </c>
      <c r="T35" s="39">
        <f t="shared" si="27"/>
        <v>7</v>
      </c>
      <c r="U35" s="39">
        <f t="shared" si="27"/>
        <v>3</v>
      </c>
      <c r="V35" s="39">
        <f t="shared" si="27"/>
        <v>0</v>
      </c>
      <c r="W35" s="39">
        <f t="shared" si="27"/>
        <v>0</v>
      </c>
      <c r="X35" s="39">
        <f t="shared" si="27"/>
        <v>0</v>
      </c>
      <c r="Y35" s="39">
        <f t="shared" si="27"/>
        <v>6</v>
      </c>
      <c r="Z35" s="39">
        <f t="shared" si="27"/>
        <v>0</v>
      </c>
      <c r="AA35" s="39">
        <f t="shared" si="27"/>
        <v>0</v>
      </c>
      <c r="AB35" s="39">
        <f t="shared" si="27"/>
        <v>0</v>
      </c>
      <c r="AC35" s="39">
        <f t="shared" si="27"/>
        <v>76</v>
      </c>
      <c r="AD35" s="39">
        <f t="shared" si="27"/>
        <v>0</v>
      </c>
      <c r="AE35" s="40">
        <f t="shared" si="27"/>
        <v>20</v>
      </c>
      <c r="AF35" s="40">
        <f t="shared" si="27"/>
        <v>84</v>
      </c>
    </row>
    <row r="36" spans="2:32" ht="23.1" customHeight="1" x14ac:dyDescent="0.25">
      <c r="B36" s="46" t="s">
        <v>63</v>
      </c>
      <c r="C36" s="50">
        <v>0</v>
      </c>
      <c r="D36" s="50">
        <v>3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14</v>
      </c>
      <c r="N36" s="50">
        <v>0</v>
      </c>
      <c r="O36" s="15">
        <f t="shared" si="0"/>
        <v>4</v>
      </c>
      <c r="P36" s="15">
        <f t="shared" si="1"/>
        <v>18</v>
      </c>
      <c r="R36" s="38" t="s">
        <v>92</v>
      </c>
      <c r="S36" s="39">
        <f t="shared" ref="S36:AF36" si="28">MAX(S19:S21)</f>
        <v>8</v>
      </c>
      <c r="T36" s="39">
        <f t="shared" si="28"/>
        <v>8</v>
      </c>
      <c r="U36" s="39">
        <f t="shared" si="28"/>
        <v>1</v>
      </c>
      <c r="V36" s="39">
        <f t="shared" si="28"/>
        <v>1</v>
      </c>
      <c r="W36" s="39">
        <f t="shared" si="28"/>
        <v>0</v>
      </c>
      <c r="X36" s="39">
        <f t="shared" si="28"/>
        <v>0</v>
      </c>
      <c r="Y36" s="39">
        <f t="shared" si="28"/>
        <v>4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58</v>
      </c>
      <c r="AD36" s="39">
        <f t="shared" si="28"/>
        <v>0</v>
      </c>
      <c r="AE36" s="40">
        <f t="shared" si="28"/>
        <v>18</v>
      </c>
      <c r="AF36" s="40">
        <f t="shared" si="28"/>
        <v>76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9</v>
      </c>
      <c r="N37" s="50">
        <v>0</v>
      </c>
      <c r="O37" s="15">
        <f t="shared" si="0"/>
        <v>3</v>
      </c>
      <c r="P37" s="15">
        <f t="shared" si="1"/>
        <v>12</v>
      </c>
      <c r="R37" s="37" t="s">
        <v>85</v>
      </c>
      <c r="S37" s="35">
        <f t="shared" ref="S37:AF37" si="29">SUM(S10:S12)</f>
        <v>6</v>
      </c>
      <c r="T37" s="16">
        <f t="shared" si="29"/>
        <v>12</v>
      </c>
      <c r="U37" s="16">
        <f t="shared" si="29"/>
        <v>3</v>
      </c>
      <c r="V37" s="16">
        <f t="shared" si="29"/>
        <v>0</v>
      </c>
      <c r="W37" s="16">
        <f t="shared" si="29"/>
        <v>0</v>
      </c>
      <c r="X37" s="16">
        <f t="shared" si="29"/>
        <v>0</v>
      </c>
      <c r="Y37" s="16">
        <f t="shared" si="29"/>
        <v>6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163</v>
      </c>
      <c r="AD37" s="16">
        <f t="shared" si="29"/>
        <v>0</v>
      </c>
      <c r="AE37" s="32">
        <f t="shared" si="29"/>
        <v>27</v>
      </c>
      <c r="AF37" s="32">
        <f t="shared" si="29"/>
        <v>190</v>
      </c>
    </row>
    <row r="38" spans="2:32" ht="23.1" customHeight="1" x14ac:dyDescent="0.25">
      <c r="B38" s="46" t="s">
        <v>65</v>
      </c>
      <c r="C38" s="50">
        <v>1</v>
      </c>
      <c r="D38" s="50">
        <v>1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3</v>
      </c>
      <c r="P38" s="15">
        <f t="shared" si="1"/>
        <v>16</v>
      </c>
      <c r="R38" s="28" t="s">
        <v>86</v>
      </c>
      <c r="S38" s="16">
        <f t="shared" ref="S38:AF38" si="30">SUM(S13:S18)</f>
        <v>20</v>
      </c>
      <c r="T38" s="16">
        <f t="shared" si="30"/>
        <v>28</v>
      </c>
      <c r="U38" s="16">
        <f t="shared" si="30"/>
        <v>9</v>
      </c>
      <c r="V38" s="16">
        <f t="shared" si="30"/>
        <v>0</v>
      </c>
      <c r="W38" s="16">
        <f t="shared" si="30"/>
        <v>0</v>
      </c>
      <c r="X38" s="16">
        <f t="shared" si="30"/>
        <v>0</v>
      </c>
      <c r="Y38" s="16">
        <f t="shared" si="30"/>
        <v>26</v>
      </c>
      <c r="Z38" s="16">
        <f t="shared" si="30"/>
        <v>0</v>
      </c>
      <c r="AA38" s="16">
        <f t="shared" si="30"/>
        <v>0</v>
      </c>
      <c r="AB38" s="16">
        <f t="shared" si="30"/>
        <v>0</v>
      </c>
      <c r="AC38" s="16">
        <f t="shared" si="30"/>
        <v>343</v>
      </c>
      <c r="AD38" s="16">
        <f t="shared" si="30"/>
        <v>0</v>
      </c>
      <c r="AE38" s="32">
        <f t="shared" si="30"/>
        <v>83</v>
      </c>
      <c r="AF38" s="32">
        <f t="shared" si="30"/>
        <v>426</v>
      </c>
    </row>
    <row r="39" spans="2:32" ht="23.1" customHeight="1" x14ac:dyDescent="0.25">
      <c r="B39" s="46" t="s">
        <v>66</v>
      </c>
      <c r="C39" s="50">
        <v>2</v>
      </c>
      <c r="D39" s="50">
        <v>3</v>
      </c>
      <c r="E39" s="50">
        <v>1</v>
      </c>
      <c r="F39" s="50">
        <v>0</v>
      </c>
      <c r="G39" s="50">
        <v>0</v>
      </c>
      <c r="H39" s="50">
        <v>0</v>
      </c>
      <c r="I39" s="50">
        <v>2</v>
      </c>
      <c r="J39" s="50">
        <v>0</v>
      </c>
      <c r="K39" s="50">
        <v>0</v>
      </c>
      <c r="L39" s="50">
        <v>0</v>
      </c>
      <c r="M39" s="50">
        <v>11</v>
      </c>
      <c r="N39" s="50">
        <v>0</v>
      </c>
      <c r="O39" s="15">
        <f t="shared" si="0"/>
        <v>8</v>
      </c>
      <c r="P39" s="15">
        <f t="shared" si="1"/>
        <v>19</v>
      </c>
      <c r="R39" s="29" t="s">
        <v>87</v>
      </c>
      <c r="S39" s="16">
        <f t="shared" ref="S39:AF39" si="31">SUM(S19:S21)</f>
        <v>12</v>
      </c>
      <c r="T39" s="16">
        <f t="shared" si="31"/>
        <v>15</v>
      </c>
      <c r="U39" s="16">
        <f t="shared" si="31"/>
        <v>3</v>
      </c>
      <c r="V39" s="16">
        <f t="shared" si="31"/>
        <v>1</v>
      </c>
      <c r="W39" s="16">
        <f t="shared" si="31"/>
        <v>0</v>
      </c>
      <c r="X39" s="16">
        <f t="shared" si="31"/>
        <v>0</v>
      </c>
      <c r="Y39" s="16">
        <f t="shared" si="31"/>
        <v>12</v>
      </c>
      <c r="Z39" s="16">
        <f t="shared" si="31"/>
        <v>1</v>
      </c>
      <c r="AA39" s="16">
        <f t="shared" si="31"/>
        <v>0</v>
      </c>
      <c r="AB39" s="16">
        <f t="shared" si="31"/>
        <v>0</v>
      </c>
      <c r="AC39" s="16">
        <f t="shared" si="31"/>
        <v>166</v>
      </c>
      <c r="AD39" s="16">
        <f t="shared" si="31"/>
        <v>0</v>
      </c>
      <c r="AE39" s="32">
        <f t="shared" si="31"/>
        <v>44</v>
      </c>
      <c r="AF39" s="32">
        <f t="shared" si="31"/>
        <v>210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15</v>
      </c>
      <c r="N40" s="50">
        <v>0</v>
      </c>
      <c r="O40" s="15">
        <f t="shared" si="0"/>
        <v>0</v>
      </c>
      <c r="P40" s="15">
        <f t="shared" si="1"/>
        <v>15</v>
      </c>
      <c r="R40" s="5" t="s">
        <v>17</v>
      </c>
      <c r="S40" s="16">
        <f t="shared" ref="S40:AF40" si="32">SUM(S10:S21)</f>
        <v>38</v>
      </c>
      <c r="T40" s="16">
        <f t="shared" si="32"/>
        <v>55</v>
      </c>
      <c r="U40" s="16">
        <f t="shared" si="32"/>
        <v>15</v>
      </c>
      <c r="V40" s="16">
        <f t="shared" si="32"/>
        <v>1</v>
      </c>
      <c r="W40" s="16">
        <f t="shared" si="32"/>
        <v>0</v>
      </c>
      <c r="X40" s="16">
        <f t="shared" si="32"/>
        <v>0</v>
      </c>
      <c r="Y40" s="16">
        <f t="shared" si="32"/>
        <v>44</v>
      </c>
      <c r="Z40" s="16">
        <f t="shared" si="32"/>
        <v>1</v>
      </c>
      <c r="AA40" s="16">
        <f t="shared" si="32"/>
        <v>0</v>
      </c>
      <c r="AB40" s="16">
        <f t="shared" si="32"/>
        <v>0</v>
      </c>
      <c r="AC40" s="16">
        <f t="shared" si="32"/>
        <v>672</v>
      </c>
      <c r="AD40" s="16">
        <f t="shared" si="32"/>
        <v>0</v>
      </c>
      <c r="AE40" s="32">
        <f t="shared" si="32"/>
        <v>154</v>
      </c>
      <c r="AF40" s="32">
        <f t="shared" si="32"/>
        <v>826</v>
      </c>
    </row>
    <row r="41" spans="2:32" ht="23.1" customHeight="1" x14ac:dyDescent="0.25">
      <c r="B41" s="45" t="s">
        <v>68</v>
      </c>
      <c r="C41" s="50">
        <v>4</v>
      </c>
      <c r="D41" s="50">
        <v>3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6</v>
      </c>
      <c r="N41" s="50">
        <v>0</v>
      </c>
      <c r="O41" s="15">
        <f t="shared" si="0"/>
        <v>7</v>
      </c>
      <c r="P41" s="15">
        <f t="shared" si="1"/>
        <v>13</v>
      </c>
      <c r="R41" s="5" t="s">
        <v>159</v>
      </c>
      <c r="S41" s="16">
        <f>SUM(S10:S33)</f>
        <v>66</v>
      </c>
      <c r="T41" s="16">
        <f t="shared" ref="T41:AF41" si="33">SUM(T10:T33)</f>
        <v>55</v>
      </c>
      <c r="U41" s="16">
        <f t="shared" si="33"/>
        <v>34</v>
      </c>
      <c r="V41" s="16">
        <f t="shared" si="33"/>
        <v>5</v>
      </c>
      <c r="W41" s="16">
        <f t="shared" si="33"/>
        <v>1</v>
      </c>
      <c r="X41" s="16">
        <f t="shared" si="33"/>
        <v>0</v>
      </c>
      <c r="Y41" s="16">
        <f t="shared" si="33"/>
        <v>67</v>
      </c>
      <c r="Z41" s="16">
        <f t="shared" si="33"/>
        <v>1</v>
      </c>
      <c r="AA41" s="16">
        <f t="shared" si="33"/>
        <v>0</v>
      </c>
      <c r="AB41" s="16">
        <f t="shared" si="33"/>
        <v>0</v>
      </c>
      <c r="AC41" s="16">
        <f t="shared" si="33"/>
        <v>1079</v>
      </c>
      <c r="AD41" s="16">
        <f t="shared" si="33"/>
        <v>0</v>
      </c>
      <c r="AE41" s="32">
        <f t="shared" si="33"/>
        <v>229</v>
      </c>
      <c r="AF41" s="32">
        <f t="shared" si="33"/>
        <v>1308</v>
      </c>
    </row>
    <row r="42" spans="2:32" ht="23.1" customHeight="1" x14ac:dyDescent="0.25">
      <c r="B42" s="46" t="s">
        <v>69</v>
      </c>
      <c r="C42" s="50">
        <v>2</v>
      </c>
      <c r="D42" s="50">
        <v>4</v>
      </c>
      <c r="E42" s="50">
        <v>0</v>
      </c>
      <c r="F42" s="50">
        <v>0</v>
      </c>
      <c r="G42" s="50">
        <v>0</v>
      </c>
      <c r="H42" s="50">
        <v>0</v>
      </c>
      <c r="I42" s="50">
        <v>3</v>
      </c>
      <c r="J42" s="50">
        <v>0</v>
      </c>
      <c r="K42" s="50">
        <v>0</v>
      </c>
      <c r="L42" s="50">
        <v>0</v>
      </c>
      <c r="M42" s="50">
        <v>16</v>
      </c>
      <c r="N42" s="50">
        <v>0</v>
      </c>
      <c r="O42" s="15">
        <f t="shared" si="0"/>
        <v>9</v>
      </c>
      <c r="P42" s="15">
        <f t="shared" si="1"/>
        <v>25</v>
      </c>
      <c r="R42" s="5" t="s">
        <v>160</v>
      </c>
      <c r="S42" s="48">
        <f>S41/S40</f>
        <v>1.736842105263158</v>
      </c>
      <c r="T42" s="48">
        <f t="shared" ref="T42:AF42" si="34">T41/T40</f>
        <v>1</v>
      </c>
      <c r="U42" s="48">
        <f t="shared" si="34"/>
        <v>2.2666666666666666</v>
      </c>
      <c r="V42" s="48">
        <f t="shared" si="34"/>
        <v>5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1.5227272727272727</v>
      </c>
      <c r="Z42" s="48">
        <f t="shared" si="34"/>
        <v>1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1.6056547619047619</v>
      </c>
      <c r="AD42" s="48" t="e">
        <f t="shared" si="34"/>
        <v>#DIV/0!</v>
      </c>
      <c r="AE42" s="48">
        <f t="shared" si="34"/>
        <v>1.4870129870129871</v>
      </c>
      <c r="AF42" s="48">
        <f t="shared" si="34"/>
        <v>1.5835351089588379</v>
      </c>
    </row>
    <row r="43" spans="2:32" ht="23.1" customHeight="1" x14ac:dyDescent="0.25">
      <c r="B43" s="45" t="s">
        <v>70</v>
      </c>
      <c r="C43" s="50">
        <v>1</v>
      </c>
      <c r="D43" s="50">
        <v>2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14</v>
      </c>
      <c r="N43" s="50">
        <v>0</v>
      </c>
      <c r="O43" s="15">
        <f t="shared" si="0"/>
        <v>4</v>
      </c>
      <c r="P43" s="15">
        <f t="shared" si="1"/>
        <v>18</v>
      </c>
    </row>
    <row r="44" spans="2:32" ht="23.1" customHeight="1" x14ac:dyDescent="0.25">
      <c r="B44" s="47" t="s">
        <v>71</v>
      </c>
      <c r="C44" s="50">
        <v>2</v>
      </c>
      <c r="D44" s="50">
        <v>1</v>
      </c>
      <c r="E44" s="50">
        <v>1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10</v>
      </c>
      <c r="N44" s="50">
        <v>0</v>
      </c>
      <c r="O44" s="15">
        <f t="shared" si="0"/>
        <v>5</v>
      </c>
      <c r="P44" s="15">
        <f t="shared" si="1"/>
        <v>15</v>
      </c>
    </row>
    <row r="45" spans="2:32" ht="23.1" customHeight="1" x14ac:dyDescent="0.25">
      <c r="B45" s="45" t="s">
        <v>72</v>
      </c>
      <c r="C45" s="50">
        <v>2</v>
      </c>
      <c r="D45" s="50">
        <v>0</v>
      </c>
      <c r="E45" s="50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5</v>
      </c>
      <c r="N45" s="50">
        <v>0</v>
      </c>
      <c r="O45" s="15">
        <f t="shared" si="0"/>
        <v>2</v>
      </c>
      <c r="P45" s="15">
        <f t="shared" si="1"/>
        <v>7</v>
      </c>
    </row>
    <row r="46" spans="2:32" ht="23.1" customHeight="1" x14ac:dyDescent="0.25">
      <c r="B46" s="46" t="s">
        <v>73</v>
      </c>
      <c r="C46" s="50">
        <v>4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11</v>
      </c>
      <c r="N46" s="50">
        <v>0</v>
      </c>
      <c r="O46" s="15">
        <f t="shared" si="0"/>
        <v>5</v>
      </c>
      <c r="P46" s="15">
        <f t="shared" si="1"/>
        <v>16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1</v>
      </c>
      <c r="E47" s="50">
        <v>0</v>
      </c>
      <c r="F47" s="50">
        <v>0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17</v>
      </c>
      <c r="N47" s="50">
        <v>0</v>
      </c>
      <c r="O47" s="15">
        <f t="shared" si="0"/>
        <v>5</v>
      </c>
      <c r="P47" s="15">
        <f t="shared" si="1"/>
        <v>22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3</v>
      </c>
      <c r="E48" s="50">
        <v>0</v>
      </c>
      <c r="F48" s="50">
        <v>0</v>
      </c>
      <c r="G48" s="50">
        <v>0</v>
      </c>
      <c r="H48" s="50">
        <v>0</v>
      </c>
      <c r="I48" s="50">
        <v>1</v>
      </c>
      <c r="J48" s="50">
        <v>1</v>
      </c>
      <c r="K48" s="50">
        <v>0</v>
      </c>
      <c r="L48" s="50">
        <v>0</v>
      </c>
      <c r="M48" s="50">
        <v>15</v>
      </c>
      <c r="N48" s="50">
        <v>0</v>
      </c>
      <c r="O48" s="15">
        <f t="shared" si="0"/>
        <v>7</v>
      </c>
      <c r="P48" s="15">
        <f t="shared" si="1"/>
        <v>22</v>
      </c>
      <c r="R48" s="8"/>
      <c r="T48"/>
    </row>
    <row r="49" spans="2:20" ht="23.1" customHeight="1" x14ac:dyDescent="0.25">
      <c r="B49" s="45" t="s">
        <v>76</v>
      </c>
      <c r="C49" s="50">
        <v>0</v>
      </c>
      <c r="D49" s="50">
        <v>0</v>
      </c>
      <c r="E49" s="50">
        <v>1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15</v>
      </c>
      <c r="N49" s="50">
        <v>0</v>
      </c>
      <c r="O49" s="15">
        <f t="shared" si="0"/>
        <v>1</v>
      </c>
      <c r="P49" s="15">
        <f t="shared" si="1"/>
        <v>16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0</v>
      </c>
      <c r="F50" s="50">
        <v>0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11</v>
      </c>
      <c r="N50" s="50">
        <v>0</v>
      </c>
      <c r="O50" s="15">
        <f t="shared" si="0"/>
        <v>2</v>
      </c>
      <c r="P50" s="15">
        <f t="shared" si="1"/>
        <v>13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17</v>
      </c>
      <c r="N51" s="50">
        <v>0</v>
      </c>
      <c r="O51" s="15">
        <f t="shared" si="0"/>
        <v>0</v>
      </c>
      <c r="P51" s="15">
        <f t="shared" si="1"/>
        <v>17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3</v>
      </c>
      <c r="E52" s="50">
        <v>1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14</v>
      </c>
      <c r="N52" s="50">
        <v>0</v>
      </c>
      <c r="O52" s="15">
        <f t="shared" si="0"/>
        <v>5</v>
      </c>
      <c r="P52" s="15">
        <f t="shared" si="1"/>
        <v>19</v>
      </c>
      <c r="R52" s="8"/>
      <c r="T52"/>
    </row>
    <row r="53" spans="2:20" ht="23.1" customHeight="1" x14ac:dyDescent="0.25">
      <c r="B53" s="45" t="s">
        <v>80</v>
      </c>
      <c r="C53" s="50">
        <v>0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9</v>
      </c>
      <c r="N53" s="50">
        <v>0</v>
      </c>
      <c r="O53" s="15">
        <f t="shared" si="0"/>
        <v>2</v>
      </c>
      <c r="P53" s="15">
        <f t="shared" si="1"/>
        <v>11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5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12</v>
      </c>
      <c r="N54" s="50">
        <v>0</v>
      </c>
      <c r="O54" s="15">
        <f t="shared" si="0"/>
        <v>6</v>
      </c>
      <c r="P54" s="15">
        <f t="shared" si="1"/>
        <v>18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1</v>
      </c>
      <c r="E55" s="50">
        <v>0</v>
      </c>
      <c r="F55" s="50">
        <v>0</v>
      </c>
      <c r="G55" s="50">
        <v>0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16</v>
      </c>
      <c r="N55" s="50">
        <v>0</v>
      </c>
      <c r="O55" s="15">
        <f t="shared" si="0"/>
        <v>1</v>
      </c>
      <c r="P55" s="15">
        <f t="shared" si="1"/>
        <v>17</v>
      </c>
      <c r="R55" s="8"/>
      <c r="T55"/>
    </row>
    <row r="56" spans="2:20" ht="23.1" customHeight="1" x14ac:dyDescent="0.25">
      <c r="B56" s="45" t="s">
        <v>83</v>
      </c>
      <c r="C56" s="50">
        <v>0</v>
      </c>
      <c r="D56" s="50">
        <v>1</v>
      </c>
      <c r="E56" s="50">
        <v>1</v>
      </c>
      <c r="F56" s="50">
        <v>1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13</v>
      </c>
      <c r="N56" s="50">
        <v>0</v>
      </c>
      <c r="O56" s="15">
        <f t="shared" si="0"/>
        <v>5</v>
      </c>
      <c r="P56" s="15">
        <f t="shared" si="1"/>
        <v>18</v>
      </c>
      <c r="R56" s="8"/>
      <c r="T56"/>
    </row>
    <row r="57" spans="2:20" ht="23.1" customHeight="1" x14ac:dyDescent="0.25">
      <c r="B57" s="45" t="s">
        <v>84</v>
      </c>
      <c r="C57" s="50">
        <v>3</v>
      </c>
      <c r="D57" s="50">
        <v>1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16</v>
      </c>
      <c r="N57" s="50">
        <v>0</v>
      </c>
      <c r="O57" s="15">
        <f t="shared" si="0"/>
        <v>5</v>
      </c>
      <c r="P57" s="15">
        <f t="shared" si="1"/>
        <v>21</v>
      </c>
      <c r="R57" s="8"/>
      <c r="T57"/>
    </row>
    <row r="58" spans="2:20" ht="23.1" customHeight="1" x14ac:dyDescent="0.25">
      <c r="B58" s="45" t="s">
        <v>99</v>
      </c>
      <c r="C58" s="50">
        <f>ROUND(0.8*AVERAGE('11.08 BUSUNJU-KAMPALA'!C10,'12.08 BUSUNJU-KAMPALA'!C10,'13.08 BUSUNJU-KAMPALA'!C10,'14.08 BUSUNJU-KAMPALA'!C10,'15.08 BUSUNJU-KAMPALA'!C10),0)</f>
        <v>1</v>
      </c>
      <c r="D58" s="50">
        <f>ROUND(0.8*AVERAGE('11.08 BUSUNJU-KAMPALA'!D10,'12.08 BUSUNJU-KAMPALA'!D10,'13.08 BUSUNJU-KAMPALA'!D10,'14.08 BUSUNJU-KAMPALA'!D10,'15.08 BUSUNJU-KAMPALA'!D10),0)</f>
        <v>0</v>
      </c>
      <c r="E58" s="50">
        <f>ROUND(0.8*AVERAGE('11.08 BUSUNJU-KAMPALA'!E10,'12.08 BUSUNJU-KAMPALA'!E10,'13.08 BUSUNJU-KAMPALA'!E10,'14.08 BUSUNJU-KAMPALA'!E10,'15.08 BUSUNJU-KAMPALA'!E10),0)</f>
        <v>0</v>
      </c>
      <c r="F58" s="50">
        <f>ROUND(0.8*AVERAGE('11.08 BUSUNJU-KAMPALA'!F10,'12.08 BUSUNJU-KAMPALA'!F10,'13.08 BUSUNJU-KAMPALA'!F10,'14.08 BUSUNJU-KAMPALA'!F10,'15.08 BUSUNJU-KAMPALA'!F10),0)</f>
        <v>0</v>
      </c>
      <c r="G58" s="50">
        <f>ROUND(0.8*AVERAGE('11.08 BUSUNJU-KAMPALA'!G10,'12.08 BUSUNJU-KAMPALA'!G10,'13.08 BUSUNJU-KAMPALA'!G10,'14.08 BUSUNJU-KAMPALA'!G10,'15.08 BUSUNJU-KAMPALA'!G10),0)</f>
        <v>0</v>
      </c>
      <c r="H58" s="50">
        <f>ROUND(0.8*AVERAGE('11.08 BUSUNJU-KAMPALA'!H10,'12.08 BUSUNJU-KAMPALA'!H10,'13.08 BUSUNJU-KAMPALA'!H10,'14.08 BUSUNJU-KAMPALA'!H10,'15.08 BUSUNJU-KAMPALA'!H10),0)</f>
        <v>0</v>
      </c>
      <c r="I58" s="50">
        <f>ROUND(0.8*AVERAGE('11.08 BUSUNJU-KAMPALA'!I10,'12.08 BUSUNJU-KAMPALA'!I10,'13.08 BUSUNJU-KAMPALA'!I10,'14.08 BUSUNJU-KAMPALA'!I10,'15.08 BUSUNJU-KAMPALA'!I10),0)</f>
        <v>0</v>
      </c>
      <c r="J58" s="50">
        <f>ROUND(0.8*AVERAGE('11.08 BUSUNJU-KAMPALA'!J10,'12.08 BUSUNJU-KAMPALA'!J10,'13.08 BUSUNJU-KAMPALA'!J10,'14.08 BUSUNJU-KAMPALA'!J10,'15.08 BUSUNJU-KAMPALA'!J10),0)</f>
        <v>0</v>
      </c>
      <c r="K58" s="50">
        <f>ROUND(0.8*AVERAGE('11.08 BUSUNJU-KAMPALA'!K10,'12.08 BUSUNJU-KAMPALA'!K10,'13.08 BUSUNJU-KAMPALA'!K10,'14.08 BUSUNJU-KAMPALA'!K10,'15.08 BUSUNJU-KAMPALA'!K10),0)</f>
        <v>0</v>
      </c>
      <c r="L58" s="50">
        <f>ROUND(0.8*AVERAGE('11.08 BUSUNJU-KAMPALA'!L10,'12.08 BUSUNJU-KAMPALA'!L10,'13.08 BUSUNJU-KAMPALA'!L10,'14.08 BUSUNJU-KAMPALA'!L10,'15.08 BUSUNJU-KAMPALA'!L10),0)</f>
        <v>0</v>
      </c>
      <c r="M58" s="50">
        <f>ROUND(0.8*AVERAGE('11.08 BUSUNJU-KAMPALA'!M10,'12.08 BUSUNJU-KAMPALA'!M10,'13.08 BUSUNJU-KAMPALA'!M10,'14.08 BUSUNJU-KAMPALA'!M10,'15.08 BUSUNJU-KAMPALA'!M10),0)</f>
        <v>6</v>
      </c>
      <c r="N58" s="50">
        <f>ROUND(0.8*AVERAGE('11.08 BUSUNJU-KAMPALA'!N10,'12.08 BUSUNJU-KAMPALA'!N10,'13.08 BUSUNJU-KAMPALA'!N10,'14.08 BUSUNJU-KAMPALA'!N10,'15.08 BUSUNJU-KAMPALA'!N10),0)</f>
        <v>0</v>
      </c>
      <c r="O58" s="15">
        <f t="shared" ref="O58:O105" si="35">SUM(C58:L58,N58)</f>
        <v>1</v>
      </c>
      <c r="P58" s="15">
        <f t="shared" ref="P58:P105" si="36">SUM(C58:N58)</f>
        <v>7</v>
      </c>
      <c r="R58" s="8"/>
      <c r="T58"/>
    </row>
    <row r="59" spans="2:20" ht="23.1" customHeight="1" x14ac:dyDescent="0.25">
      <c r="B59" s="45" t="s">
        <v>100</v>
      </c>
      <c r="C59" s="50">
        <f>ROUND(0.8*AVERAGE('11.08 BUSUNJU-KAMPALA'!C11,'12.08 BUSUNJU-KAMPALA'!C11,'13.08 BUSUNJU-KAMPALA'!C11,'14.08 BUSUNJU-KAMPALA'!C11,'15.08 BUSUNJU-KAMPALA'!C11),0)</f>
        <v>1</v>
      </c>
      <c r="D59" s="50">
        <f>ROUND(0.8*AVERAGE('11.08 BUSUNJU-KAMPALA'!D11,'12.08 BUSUNJU-KAMPALA'!D11,'13.08 BUSUNJU-KAMPALA'!D11,'14.08 BUSUNJU-KAMPALA'!D11,'15.08 BUSUNJU-KAMPALA'!D11),0)</f>
        <v>0</v>
      </c>
      <c r="E59" s="50">
        <f>ROUND(0.8*AVERAGE('11.08 BUSUNJU-KAMPALA'!E11,'12.08 BUSUNJU-KAMPALA'!E11,'13.08 BUSUNJU-KAMPALA'!E11,'14.08 BUSUNJU-KAMPALA'!E11,'15.08 BUSUNJU-KAMPALA'!E11),0)</f>
        <v>0</v>
      </c>
      <c r="F59" s="50">
        <f>ROUND(0.8*AVERAGE('11.08 BUSUNJU-KAMPALA'!F11,'12.08 BUSUNJU-KAMPALA'!F11,'13.08 BUSUNJU-KAMPALA'!F11,'14.08 BUSUNJU-KAMPALA'!F11,'15.08 BUSUNJU-KAMPALA'!F11),0)</f>
        <v>0</v>
      </c>
      <c r="G59" s="50">
        <f>ROUND(0.8*AVERAGE('11.08 BUSUNJU-KAMPALA'!G11,'12.08 BUSUNJU-KAMPALA'!G11,'13.08 BUSUNJU-KAMPALA'!G11,'14.08 BUSUNJU-KAMPALA'!G11,'15.08 BUSUNJU-KAMPALA'!G11),0)</f>
        <v>0</v>
      </c>
      <c r="H59" s="50">
        <f>ROUND(0.8*AVERAGE('11.08 BUSUNJU-KAMPALA'!H11,'12.08 BUSUNJU-KAMPALA'!H11,'13.08 BUSUNJU-KAMPALA'!H11,'14.08 BUSUNJU-KAMPALA'!H11,'15.08 BUSUNJU-KAMPALA'!H11),0)</f>
        <v>0</v>
      </c>
      <c r="I59" s="50">
        <f>ROUND(0.8*AVERAGE('11.08 BUSUNJU-KAMPALA'!I11,'12.08 BUSUNJU-KAMPALA'!I11,'13.08 BUSUNJU-KAMPALA'!I11,'14.08 BUSUNJU-KAMPALA'!I11,'15.08 BUSUNJU-KAMPALA'!I11),0)</f>
        <v>0</v>
      </c>
      <c r="J59" s="50">
        <f>ROUND(0.8*AVERAGE('11.08 BUSUNJU-KAMPALA'!J11,'12.08 BUSUNJU-KAMPALA'!J11,'13.08 BUSUNJU-KAMPALA'!J11,'14.08 BUSUNJU-KAMPALA'!J11,'15.08 BUSUNJU-KAMPALA'!J11),0)</f>
        <v>0</v>
      </c>
      <c r="K59" s="50">
        <f>ROUND(0.8*AVERAGE('11.08 BUSUNJU-KAMPALA'!K11,'12.08 BUSUNJU-KAMPALA'!K11,'13.08 BUSUNJU-KAMPALA'!K11,'14.08 BUSUNJU-KAMPALA'!K11,'15.08 BUSUNJU-KAMPALA'!K11),0)</f>
        <v>0</v>
      </c>
      <c r="L59" s="50">
        <f>ROUND(0.8*AVERAGE('11.08 BUSUNJU-KAMPALA'!L11,'12.08 BUSUNJU-KAMPALA'!L11,'13.08 BUSUNJU-KAMPALA'!L11,'14.08 BUSUNJU-KAMPALA'!L11,'15.08 BUSUNJU-KAMPALA'!L11),0)</f>
        <v>0</v>
      </c>
      <c r="M59" s="50">
        <f>ROUND(0.8*AVERAGE('11.08 BUSUNJU-KAMPALA'!M11,'12.08 BUSUNJU-KAMPALA'!M11,'13.08 BUSUNJU-KAMPALA'!M11,'14.08 BUSUNJU-KAMPALA'!M11,'15.08 BUSUNJU-KAMPALA'!M11),0)</f>
        <v>10</v>
      </c>
      <c r="N59" s="50">
        <f>ROUND(0.8*AVERAGE('11.08 BUSUNJU-KAMPALA'!N11,'12.08 BUSUNJU-KAMPALA'!N11,'13.08 BUSUNJU-KAMPALA'!N11,'14.08 BUSUNJU-KAMPALA'!N11,'15.08 BUSUNJU-KAMPALA'!N11),0)</f>
        <v>0</v>
      </c>
      <c r="O59" s="15">
        <f t="shared" si="35"/>
        <v>1</v>
      </c>
      <c r="P59" s="15">
        <f t="shared" si="36"/>
        <v>11</v>
      </c>
      <c r="R59" s="8"/>
      <c r="T59"/>
    </row>
    <row r="60" spans="2:20" ht="23.1" customHeight="1" x14ac:dyDescent="0.25">
      <c r="B60" s="45" t="s">
        <v>101</v>
      </c>
      <c r="C60" s="50">
        <f>ROUND(0.8*AVERAGE('11.08 BUSUNJU-KAMPALA'!C12,'12.08 BUSUNJU-KAMPALA'!C12,'13.08 BUSUNJU-KAMPALA'!C12,'14.08 BUSUNJU-KAMPALA'!C12,'15.08 BUSUNJU-KAMPALA'!C12),0)</f>
        <v>1</v>
      </c>
      <c r="D60" s="50">
        <f>ROUND(0.8*AVERAGE('11.08 BUSUNJU-KAMPALA'!D12,'12.08 BUSUNJU-KAMPALA'!D12,'13.08 BUSUNJU-KAMPALA'!D12,'14.08 BUSUNJU-KAMPALA'!D12,'15.08 BUSUNJU-KAMPALA'!D12),0)</f>
        <v>0</v>
      </c>
      <c r="E60" s="50">
        <f>ROUND(0.8*AVERAGE('11.08 BUSUNJU-KAMPALA'!E12,'12.08 BUSUNJU-KAMPALA'!E12,'13.08 BUSUNJU-KAMPALA'!E12,'14.08 BUSUNJU-KAMPALA'!E12,'15.08 BUSUNJU-KAMPALA'!E12),0)</f>
        <v>0</v>
      </c>
      <c r="F60" s="50">
        <f>ROUND(0.8*AVERAGE('11.08 BUSUNJU-KAMPALA'!F12,'12.08 BUSUNJU-KAMPALA'!F12,'13.08 BUSUNJU-KAMPALA'!F12,'14.08 BUSUNJU-KAMPALA'!F12,'15.08 BUSUNJU-KAMPALA'!F12),0)</f>
        <v>0</v>
      </c>
      <c r="G60" s="50">
        <f>ROUND(0.8*AVERAGE('11.08 BUSUNJU-KAMPALA'!G12,'12.08 BUSUNJU-KAMPALA'!G12,'13.08 BUSUNJU-KAMPALA'!G12,'14.08 BUSUNJU-KAMPALA'!G12,'15.08 BUSUNJU-KAMPALA'!G12),0)</f>
        <v>0</v>
      </c>
      <c r="H60" s="50">
        <f>ROUND(0.8*AVERAGE('11.08 BUSUNJU-KAMPALA'!H12,'12.08 BUSUNJU-KAMPALA'!H12,'13.08 BUSUNJU-KAMPALA'!H12,'14.08 BUSUNJU-KAMPALA'!H12,'15.08 BUSUNJU-KAMPALA'!H12),0)</f>
        <v>0</v>
      </c>
      <c r="I60" s="50">
        <f>ROUND(0.8*AVERAGE('11.08 BUSUNJU-KAMPALA'!I12,'12.08 BUSUNJU-KAMPALA'!I12,'13.08 BUSUNJU-KAMPALA'!I12,'14.08 BUSUNJU-KAMPALA'!I12,'15.08 BUSUNJU-KAMPALA'!I12),0)</f>
        <v>0</v>
      </c>
      <c r="J60" s="50">
        <f>ROUND(0.8*AVERAGE('11.08 BUSUNJU-KAMPALA'!J12,'12.08 BUSUNJU-KAMPALA'!J12,'13.08 BUSUNJU-KAMPALA'!J12,'14.08 BUSUNJU-KAMPALA'!J12,'15.08 BUSUNJU-KAMPALA'!J12),0)</f>
        <v>0</v>
      </c>
      <c r="K60" s="50">
        <f>ROUND(0.8*AVERAGE('11.08 BUSUNJU-KAMPALA'!K12,'12.08 BUSUNJU-KAMPALA'!K12,'13.08 BUSUNJU-KAMPALA'!K12,'14.08 BUSUNJU-KAMPALA'!K12,'15.08 BUSUNJU-KAMPALA'!K12),0)</f>
        <v>0</v>
      </c>
      <c r="L60" s="50">
        <f>ROUND(0.8*AVERAGE('11.08 BUSUNJU-KAMPALA'!L12,'12.08 BUSUNJU-KAMPALA'!L12,'13.08 BUSUNJU-KAMPALA'!L12,'14.08 BUSUNJU-KAMPALA'!L12,'15.08 BUSUNJU-KAMPALA'!L12),0)</f>
        <v>0</v>
      </c>
      <c r="M60" s="50">
        <f>ROUND(0.8*AVERAGE('11.08 BUSUNJU-KAMPALA'!M12,'12.08 BUSUNJU-KAMPALA'!M12,'13.08 BUSUNJU-KAMPALA'!M12,'14.08 BUSUNJU-KAMPALA'!M12,'15.08 BUSUNJU-KAMPALA'!M12),0)</f>
        <v>9</v>
      </c>
      <c r="N60" s="50">
        <f>ROUND(0.8*AVERAGE('11.08 BUSUNJU-KAMPALA'!N12,'12.08 BUSUNJU-KAMPALA'!N12,'13.08 BUSUNJU-KAMPALA'!N12,'14.08 BUSUNJU-KAMPALA'!N12,'15.08 BUSUNJU-KAMPALA'!N12),0)</f>
        <v>0</v>
      </c>
      <c r="O60" s="15">
        <f t="shared" si="35"/>
        <v>1</v>
      </c>
      <c r="P60" s="15">
        <f t="shared" si="36"/>
        <v>10</v>
      </c>
      <c r="R60" s="8"/>
      <c r="T60"/>
    </row>
    <row r="61" spans="2:20" ht="23.1" customHeight="1" x14ac:dyDescent="0.25">
      <c r="B61" s="45" t="s">
        <v>102</v>
      </c>
      <c r="C61" s="50">
        <f>ROUND(0.8*AVERAGE('11.08 BUSUNJU-KAMPALA'!C13,'12.08 BUSUNJU-KAMPALA'!C13,'13.08 BUSUNJU-KAMPALA'!C13,'14.08 BUSUNJU-KAMPALA'!C13,'15.08 BUSUNJU-KAMPALA'!C13),0)</f>
        <v>1</v>
      </c>
      <c r="D61" s="50">
        <f>ROUND(0.8*AVERAGE('11.08 BUSUNJU-KAMPALA'!D13,'12.08 BUSUNJU-KAMPALA'!D13,'13.08 BUSUNJU-KAMPALA'!D13,'14.08 BUSUNJU-KAMPALA'!D13,'15.08 BUSUNJU-KAMPALA'!D13),0)</f>
        <v>0</v>
      </c>
      <c r="E61" s="50">
        <f>ROUND(0.8*AVERAGE('11.08 BUSUNJU-KAMPALA'!E13,'12.08 BUSUNJU-KAMPALA'!E13,'13.08 BUSUNJU-KAMPALA'!E13,'14.08 BUSUNJU-KAMPALA'!E13,'15.08 BUSUNJU-KAMPALA'!E13),0)</f>
        <v>1</v>
      </c>
      <c r="F61" s="50">
        <f>ROUND(0.8*AVERAGE('11.08 BUSUNJU-KAMPALA'!F13,'12.08 BUSUNJU-KAMPALA'!F13,'13.08 BUSUNJU-KAMPALA'!F13,'14.08 BUSUNJU-KAMPALA'!F13,'15.08 BUSUNJU-KAMPALA'!F13),0)</f>
        <v>0</v>
      </c>
      <c r="G61" s="50">
        <f>ROUND(0.8*AVERAGE('11.08 BUSUNJU-KAMPALA'!G13,'12.08 BUSUNJU-KAMPALA'!G13,'13.08 BUSUNJU-KAMPALA'!G13,'14.08 BUSUNJU-KAMPALA'!G13,'15.08 BUSUNJU-KAMPALA'!G13),0)</f>
        <v>0</v>
      </c>
      <c r="H61" s="50">
        <f>ROUND(0.8*AVERAGE('11.08 BUSUNJU-KAMPALA'!H13,'12.08 BUSUNJU-KAMPALA'!H13,'13.08 BUSUNJU-KAMPALA'!H13,'14.08 BUSUNJU-KAMPALA'!H13,'15.08 BUSUNJU-KAMPALA'!H13),0)</f>
        <v>0</v>
      </c>
      <c r="I61" s="50">
        <f>ROUND(0.8*AVERAGE('11.08 BUSUNJU-KAMPALA'!I13,'12.08 BUSUNJU-KAMPALA'!I13,'13.08 BUSUNJU-KAMPALA'!I13,'14.08 BUSUNJU-KAMPALA'!I13,'15.08 BUSUNJU-KAMPALA'!I13),0)</f>
        <v>1</v>
      </c>
      <c r="J61" s="50">
        <f>ROUND(0.8*AVERAGE('11.08 BUSUNJU-KAMPALA'!J13,'12.08 BUSUNJU-KAMPALA'!J13,'13.08 BUSUNJU-KAMPALA'!J13,'14.08 BUSUNJU-KAMPALA'!J13,'15.08 BUSUNJU-KAMPALA'!J13),0)</f>
        <v>0</v>
      </c>
      <c r="K61" s="50">
        <f>ROUND(0.8*AVERAGE('11.08 BUSUNJU-KAMPALA'!K13,'12.08 BUSUNJU-KAMPALA'!K13,'13.08 BUSUNJU-KAMPALA'!K13,'14.08 BUSUNJU-KAMPALA'!K13,'15.08 BUSUNJU-KAMPALA'!K13),0)</f>
        <v>0</v>
      </c>
      <c r="L61" s="50">
        <f>ROUND(0.8*AVERAGE('11.08 BUSUNJU-KAMPALA'!L13,'12.08 BUSUNJU-KAMPALA'!L13,'13.08 BUSUNJU-KAMPALA'!L13,'14.08 BUSUNJU-KAMPALA'!L13,'15.08 BUSUNJU-KAMPALA'!L13),0)</f>
        <v>0</v>
      </c>
      <c r="M61" s="50">
        <f>ROUND(0.8*AVERAGE('11.08 BUSUNJU-KAMPALA'!M13,'12.08 BUSUNJU-KAMPALA'!M13,'13.08 BUSUNJU-KAMPALA'!M13,'14.08 BUSUNJU-KAMPALA'!M13,'15.08 BUSUNJU-KAMPALA'!M13),0)</f>
        <v>11</v>
      </c>
      <c r="N61" s="50">
        <f>ROUND(0.8*AVERAGE('11.08 BUSUNJU-KAMPALA'!N13,'12.08 BUSUNJU-KAMPALA'!N13,'13.08 BUSUNJU-KAMPALA'!N13,'14.08 BUSUNJU-KAMPALA'!N13,'15.08 BUSUNJU-KAMPALA'!N13),0)</f>
        <v>0</v>
      </c>
      <c r="O61" s="15">
        <f t="shared" si="35"/>
        <v>3</v>
      </c>
      <c r="P61" s="15">
        <f t="shared" si="36"/>
        <v>14</v>
      </c>
      <c r="R61" s="8"/>
      <c r="T61"/>
    </row>
    <row r="62" spans="2:20" ht="23.1" customHeight="1" x14ac:dyDescent="0.25">
      <c r="B62" s="45" t="s">
        <v>107</v>
      </c>
      <c r="C62" s="50">
        <f>ROUND(0.8*AVERAGE('11.08 BUSUNJU-KAMPALA'!C14,'12.08 BUSUNJU-KAMPALA'!C14,'13.08 BUSUNJU-KAMPALA'!C14,'14.08 BUSUNJU-KAMPALA'!C14,'15.08 BUSUNJU-KAMPALA'!C14),0)</f>
        <v>1</v>
      </c>
      <c r="D62" s="50">
        <f>ROUND(0.8*AVERAGE('11.08 BUSUNJU-KAMPALA'!D14,'12.08 BUSUNJU-KAMPALA'!D14,'13.08 BUSUNJU-KAMPALA'!D14,'14.08 BUSUNJU-KAMPALA'!D14,'15.08 BUSUNJU-KAMPALA'!D14),0)</f>
        <v>0</v>
      </c>
      <c r="E62" s="50">
        <f>ROUND(0.8*AVERAGE('11.08 BUSUNJU-KAMPALA'!E14,'12.08 BUSUNJU-KAMPALA'!E14,'13.08 BUSUNJU-KAMPALA'!E14,'14.08 BUSUNJU-KAMPALA'!E14,'15.08 BUSUNJU-KAMPALA'!E14),0)</f>
        <v>0</v>
      </c>
      <c r="F62" s="50">
        <f>ROUND(0.8*AVERAGE('11.08 BUSUNJU-KAMPALA'!F14,'12.08 BUSUNJU-KAMPALA'!F14,'13.08 BUSUNJU-KAMPALA'!F14,'14.08 BUSUNJU-KAMPALA'!F14,'15.08 BUSUNJU-KAMPALA'!F14),0)</f>
        <v>0</v>
      </c>
      <c r="G62" s="50">
        <f>ROUND(0.8*AVERAGE('11.08 BUSUNJU-KAMPALA'!G14,'12.08 BUSUNJU-KAMPALA'!G14,'13.08 BUSUNJU-KAMPALA'!G14,'14.08 BUSUNJU-KAMPALA'!G14,'15.08 BUSUNJU-KAMPALA'!G14),0)</f>
        <v>0</v>
      </c>
      <c r="H62" s="50">
        <f>ROUND(0.8*AVERAGE('11.08 BUSUNJU-KAMPALA'!H14,'12.08 BUSUNJU-KAMPALA'!H14,'13.08 BUSUNJU-KAMPALA'!H14,'14.08 BUSUNJU-KAMPALA'!H14,'15.08 BUSUNJU-KAMPALA'!H14),0)</f>
        <v>0</v>
      </c>
      <c r="I62" s="50">
        <f>ROUND(0.8*AVERAGE('11.08 BUSUNJU-KAMPALA'!I14,'12.08 BUSUNJU-KAMPALA'!I14,'13.08 BUSUNJU-KAMPALA'!I14,'14.08 BUSUNJU-KAMPALA'!I14,'15.08 BUSUNJU-KAMPALA'!I14),0)</f>
        <v>0</v>
      </c>
      <c r="J62" s="50">
        <f>ROUND(0.8*AVERAGE('11.08 BUSUNJU-KAMPALA'!J14,'12.08 BUSUNJU-KAMPALA'!J14,'13.08 BUSUNJU-KAMPALA'!J14,'14.08 BUSUNJU-KAMPALA'!J14,'15.08 BUSUNJU-KAMPALA'!J14),0)</f>
        <v>0</v>
      </c>
      <c r="K62" s="50">
        <f>ROUND(0.8*AVERAGE('11.08 BUSUNJU-KAMPALA'!K14,'12.08 BUSUNJU-KAMPALA'!K14,'13.08 BUSUNJU-KAMPALA'!K14,'14.08 BUSUNJU-KAMPALA'!K14,'15.08 BUSUNJU-KAMPALA'!K14),0)</f>
        <v>0</v>
      </c>
      <c r="L62" s="50">
        <f>ROUND(0.8*AVERAGE('11.08 BUSUNJU-KAMPALA'!L14,'12.08 BUSUNJU-KAMPALA'!L14,'13.08 BUSUNJU-KAMPALA'!L14,'14.08 BUSUNJU-KAMPALA'!L14,'15.08 BUSUNJU-KAMPALA'!L14),0)</f>
        <v>0</v>
      </c>
      <c r="M62" s="50">
        <f>ROUND(0.8*AVERAGE('11.08 BUSUNJU-KAMPALA'!M14,'12.08 BUSUNJU-KAMPALA'!M14,'13.08 BUSUNJU-KAMPALA'!M14,'14.08 BUSUNJU-KAMPALA'!M14,'15.08 BUSUNJU-KAMPALA'!M14),0)</f>
        <v>11</v>
      </c>
      <c r="N62" s="50">
        <f>ROUND(0.8*AVERAGE('11.08 BUSUNJU-KAMPALA'!N14,'12.08 BUSUNJU-KAMPALA'!N14,'13.08 BUSUNJU-KAMPALA'!N14,'14.08 BUSUNJU-KAMPALA'!N14,'15.08 BUSUNJU-KAMPALA'!N14),0)</f>
        <v>0</v>
      </c>
      <c r="O62" s="15">
        <f t="shared" si="35"/>
        <v>1</v>
      </c>
      <c r="P62" s="15">
        <f t="shared" si="36"/>
        <v>12</v>
      </c>
      <c r="R62" s="8"/>
      <c r="T62"/>
    </row>
    <row r="63" spans="2:20" ht="23.1" customHeight="1" x14ac:dyDescent="0.25">
      <c r="B63" s="45" t="s">
        <v>108</v>
      </c>
      <c r="C63" s="50">
        <f>ROUND(0.8*AVERAGE('11.08 BUSUNJU-KAMPALA'!C15,'12.08 BUSUNJU-KAMPALA'!C15,'13.08 BUSUNJU-KAMPALA'!C15,'14.08 BUSUNJU-KAMPALA'!C15,'15.08 BUSUNJU-KAMPALA'!C15),0)</f>
        <v>1</v>
      </c>
      <c r="D63" s="50">
        <f>ROUND(0.8*AVERAGE('11.08 BUSUNJU-KAMPALA'!D15,'12.08 BUSUNJU-KAMPALA'!D15,'13.08 BUSUNJU-KAMPALA'!D15,'14.08 BUSUNJU-KAMPALA'!D15,'15.08 BUSUNJU-KAMPALA'!D15),0)</f>
        <v>0</v>
      </c>
      <c r="E63" s="50">
        <f>ROUND(0.8*AVERAGE('11.08 BUSUNJU-KAMPALA'!E15,'12.08 BUSUNJU-KAMPALA'!E15,'13.08 BUSUNJU-KAMPALA'!E15,'14.08 BUSUNJU-KAMPALA'!E15,'15.08 BUSUNJU-KAMPALA'!E15),0)</f>
        <v>1</v>
      </c>
      <c r="F63" s="50">
        <f>ROUND(0.8*AVERAGE('11.08 BUSUNJU-KAMPALA'!F15,'12.08 BUSUNJU-KAMPALA'!F15,'13.08 BUSUNJU-KAMPALA'!F15,'14.08 BUSUNJU-KAMPALA'!F15,'15.08 BUSUNJU-KAMPALA'!F15),0)</f>
        <v>0</v>
      </c>
      <c r="G63" s="50">
        <f>ROUND(0.8*AVERAGE('11.08 BUSUNJU-KAMPALA'!G15,'12.08 BUSUNJU-KAMPALA'!G15,'13.08 BUSUNJU-KAMPALA'!G15,'14.08 BUSUNJU-KAMPALA'!G15,'15.08 BUSUNJU-KAMPALA'!G15),0)</f>
        <v>0</v>
      </c>
      <c r="H63" s="50">
        <f>ROUND(0.8*AVERAGE('11.08 BUSUNJU-KAMPALA'!H15,'12.08 BUSUNJU-KAMPALA'!H15,'13.08 BUSUNJU-KAMPALA'!H15,'14.08 BUSUNJU-KAMPALA'!H15,'15.08 BUSUNJU-KAMPALA'!H15),0)</f>
        <v>0</v>
      </c>
      <c r="I63" s="50">
        <f>ROUND(0.8*AVERAGE('11.08 BUSUNJU-KAMPALA'!I15,'12.08 BUSUNJU-KAMPALA'!I15,'13.08 BUSUNJU-KAMPALA'!I15,'14.08 BUSUNJU-KAMPALA'!I15,'15.08 BUSUNJU-KAMPALA'!I15),0)</f>
        <v>1</v>
      </c>
      <c r="J63" s="50">
        <f>ROUND(0.8*AVERAGE('11.08 BUSUNJU-KAMPALA'!J15,'12.08 BUSUNJU-KAMPALA'!J15,'13.08 BUSUNJU-KAMPALA'!J15,'14.08 BUSUNJU-KAMPALA'!J15,'15.08 BUSUNJU-KAMPALA'!J15),0)</f>
        <v>0</v>
      </c>
      <c r="K63" s="50">
        <f>ROUND(0.8*AVERAGE('11.08 BUSUNJU-KAMPALA'!K15,'12.08 BUSUNJU-KAMPALA'!K15,'13.08 BUSUNJU-KAMPALA'!K15,'14.08 BUSUNJU-KAMPALA'!K15,'15.08 BUSUNJU-KAMPALA'!K15),0)</f>
        <v>0</v>
      </c>
      <c r="L63" s="50">
        <f>ROUND(0.8*AVERAGE('11.08 BUSUNJU-KAMPALA'!L15,'12.08 BUSUNJU-KAMPALA'!L15,'13.08 BUSUNJU-KAMPALA'!L15,'14.08 BUSUNJU-KAMPALA'!L15,'15.08 BUSUNJU-KAMPALA'!L15),0)</f>
        <v>0</v>
      </c>
      <c r="M63" s="50">
        <f>ROUND(0.8*AVERAGE('11.08 BUSUNJU-KAMPALA'!M15,'12.08 BUSUNJU-KAMPALA'!M15,'13.08 BUSUNJU-KAMPALA'!M15,'14.08 BUSUNJU-KAMPALA'!M15,'15.08 BUSUNJU-KAMPALA'!M15),0)</f>
        <v>11</v>
      </c>
      <c r="N63" s="50">
        <f>ROUND(0.8*AVERAGE('11.08 BUSUNJU-KAMPALA'!N15,'12.08 BUSUNJU-KAMPALA'!N15,'13.08 BUSUNJU-KAMPALA'!N15,'14.08 BUSUNJU-KAMPALA'!N15,'15.08 BUSUNJU-KAMPALA'!N15),0)</f>
        <v>0</v>
      </c>
      <c r="O63" s="15">
        <f t="shared" si="35"/>
        <v>3</v>
      </c>
      <c r="P63" s="15">
        <f t="shared" si="36"/>
        <v>14</v>
      </c>
      <c r="R63" s="8"/>
      <c r="T63"/>
    </row>
    <row r="64" spans="2:20" ht="23.1" customHeight="1" x14ac:dyDescent="0.25">
      <c r="B64" s="45" t="s">
        <v>109</v>
      </c>
      <c r="C64" s="50">
        <f>ROUND(0.8*AVERAGE('11.08 BUSUNJU-KAMPALA'!C16,'12.08 BUSUNJU-KAMPALA'!C16,'13.08 BUSUNJU-KAMPALA'!C16,'14.08 BUSUNJU-KAMPALA'!C16,'15.08 BUSUNJU-KAMPALA'!C16),0)</f>
        <v>1</v>
      </c>
      <c r="D64" s="50">
        <f>ROUND(0.8*AVERAGE('11.08 BUSUNJU-KAMPALA'!D16,'12.08 BUSUNJU-KAMPALA'!D16,'13.08 BUSUNJU-KAMPALA'!D16,'14.08 BUSUNJU-KAMPALA'!D16,'15.08 BUSUNJU-KAMPALA'!D16),0)</f>
        <v>0</v>
      </c>
      <c r="E64" s="50">
        <f>ROUND(0.8*AVERAGE('11.08 BUSUNJU-KAMPALA'!E16,'12.08 BUSUNJU-KAMPALA'!E16,'13.08 BUSUNJU-KAMPALA'!E16,'14.08 BUSUNJU-KAMPALA'!E16,'15.08 BUSUNJU-KAMPALA'!E16),0)</f>
        <v>1</v>
      </c>
      <c r="F64" s="50">
        <f>ROUND(0.8*AVERAGE('11.08 BUSUNJU-KAMPALA'!F16,'12.08 BUSUNJU-KAMPALA'!F16,'13.08 BUSUNJU-KAMPALA'!F16,'14.08 BUSUNJU-KAMPALA'!F16,'15.08 BUSUNJU-KAMPALA'!F16),0)</f>
        <v>0</v>
      </c>
      <c r="G64" s="50">
        <f>ROUND(0.8*AVERAGE('11.08 BUSUNJU-KAMPALA'!G16,'12.08 BUSUNJU-KAMPALA'!G16,'13.08 BUSUNJU-KAMPALA'!G16,'14.08 BUSUNJU-KAMPALA'!G16,'15.08 BUSUNJU-KAMPALA'!G16),0)</f>
        <v>0</v>
      </c>
      <c r="H64" s="50">
        <f>ROUND(0.8*AVERAGE('11.08 BUSUNJU-KAMPALA'!H16,'12.08 BUSUNJU-KAMPALA'!H16,'13.08 BUSUNJU-KAMPALA'!H16,'14.08 BUSUNJU-KAMPALA'!H16,'15.08 BUSUNJU-KAMPALA'!H16),0)</f>
        <v>0</v>
      </c>
      <c r="I64" s="50">
        <f>ROUND(0.8*AVERAGE('11.08 BUSUNJU-KAMPALA'!I16,'12.08 BUSUNJU-KAMPALA'!I16,'13.08 BUSUNJU-KAMPALA'!I16,'14.08 BUSUNJU-KAMPALA'!I16,'15.08 BUSUNJU-KAMPALA'!I16),0)</f>
        <v>1</v>
      </c>
      <c r="J64" s="50">
        <f>ROUND(0.8*AVERAGE('11.08 BUSUNJU-KAMPALA'!J16,'12.08 BUSUNJU-KAMPALA'!J16,'13.08 BUSUNJU-KAMPALA'!J16,'14.08 BUSUNJU-KAMPALA'!J16,'15.08 BUSUNJU-KAMPALA'!J16),0)</f>
        <v>0</v>
      </c>
      <c r="K64" s="50">
        <f>ROUND(0.8*AVERAGE('11.08 BUSUNJU-KAMPALA'!K16,'12.08 BUSUNJU-KAMPALA'!K16,'13.08 BUSUNJU-KAMPALA'!K16,'14.08 BUSUNJU-KAMPALA'!K16,'15.08 BUSUNJU-KAMPALA'!K16),0)</f>
        <v>0</v>
      </c>
      <c r="L64" s="50">
        <f>ROUND(0.8*AVERAGE('11.08 BUSUNJU-KAMPALA'!L16,'12.08 BUSUNJU-KAMPALA'!L16,'13.08 BUSUNJU-KAMPALA'!L16,'14.08 BUSUNJU-KAMPALA'!L16,'15.08 BUSUNJU-KAMPALA'!L16),0)</f>
        <v>0</v>
      </c>
      <c r="M64" s="50">
        <f>ROUND(0.8*AVERAGE('11.08 BUSUNJU-KAMPALA'!M16,'12.08 BUSUNJU-KAMPALA'!M16,'13.08 BUSUNJU-KAMPALA'!M16,'14.08 BUSUNJU-KAMPALA'!M16,'15.08 BUSUNJU-KAMPALA'!M16),0)</f>
        <v>13</v>
      </c>
      <c r="N64" s="50">
        <f>ROUND(0.8*AVERAGE('11.08 BUSUNJU-KAMPALA'!N16,'12.08 BUSUNJU-KAMPALA'!N16,'13.08 BUSUNJU-KAMPALA'!N16,'14.08 BUSUNJU-KAMPALA'!N16,'15.08 BUSUNJU-KAMPALA'!N16),0)</f>
        <v>0</v>
      </c>
      <c r="O64" s="15">
        <f t="shared" si="35"/>
        <v>3</v>
      </c>
      <c r="P64" s="15">
        <f t="shared" si="36"/>
        <v>16</v>
      </c>
      <c r="R64" s="8"/>
      <c r="T64"/>
    </row>
    <row r="65" spans="2:20" ht="23.1" customHeight="1" x14ac:dyDescent="0.25">
      <c r="B65" s="45" t="s">
        <v>158</v>
      </c>
      <c r="C65" s="50">
        <f>ROUND(0.8*AVERAGE('11.08 BUSUNJU-KAMPALA'!C17,'12.08 BUSUNJU-KAMPALA'!C17,'13.08 BUSUNJU-KAMPALA'!C17,'14.08 BUSUNJU-KAMPALA'!C17,'15.08 BUSUNJU-KAMPALA'!C17),0)</f>
        <v>1</v>
      </c>
      <c r="D65" s="50">
        <f>ROUND(0.8*AVERAGE('11.08 BUSUNJU-KAMPALA'!D17,'12.08 BUSUNJU-KAMPALA'!D17,'13.08 BUSUNJU-KAMPALA'!D17,'14.08 BUSUNJU-KAMPALA'!D17,'15.08 BUSUNJU-KAMPALA'!D17),0)</f>
        <v>0</v>
      </c>
      <c r="E65" s="50">
        <f>ROUND(0.8*AVERAGE('11.08 BUSUNJU-KAMPALA'!E17,'12.08 BUSUNJU-KAMPALA'!E17,'13.08 BUSUNJU-KAMPALA'!E17,'14.08 BUSUNJU-KAMPALA'!E17,'15.08 BUSUNJU-KAMPALA'!E17),0)</f>
        <v>0</v>
      </c>
      <c r="F65" s="50">
        <f>ROUND(0.8*AVERAGE('11.08 BUSUNJU-KAMPALA'!F17,'12.08 BUSUNJU-KAMPALA'!F17,'13.08 BUSUNJU-KAMPALA'!F17,'14.08 BUSUNJU-KAMPALA'!F17,'15.08 BUSUNJU-KAMPALA'!F17),0)</f>
        <v>0</v>
      </c>
      <c r="G65" s="50">
        <f>ROUND(0.8*AVERAGE('11.08 BUSUNJU-KAMPALA'!G17,'12.08 BUSUNJU-KAMPALA'!G17,'13.08 BUSUNJU-KAMPALA'!G17,'14.08 BUSUNJU-KAMPALA'!G17,'15.08 BUSUNJU-KAMPALA'!G17),0)</f>
        <v>0</v>
      </c>
      <c r="H65" s="50">
        <f>ROUND(0.8*AVERAGE('11.08 BUSUNJU-KAMPALA'!H17,'12.08 BUSUNJU-KAMPALA'!H17,'13.08 BUSUNJU-KAMPALA'!H17,'14.08 BUSUNJU-KAMPALA'!H17,'15.08 BUSUNJU-KAMPALA'!H17),0)</f>
        <v>0</v>
      </c>
      <c r="I65" s="50">
        <f>ROUND(0.8*AVERAGE('11.08 BUSUNJU-KAMPALA'!I17,'12.08 BUSUNJU-KAMPALA'!I17,'13.08 BUSUNJU-KAMPALA'!I17,'14.08 BUSUNJU-KAMPALA'!I17,'15.08 BUSUNJU-KAMPALA'!I17),0)</f>
        <v>1</v>
      </c>
      <c r="J65" s="50">
        <f>ROUND(0.8*AVERAGE('11.08 BUSUNJU-KAMPALA'!J17,'12.08 BUSUNJU-KAMPALA'!J17,'13.08 BUSUNJU-KAMPALA'!J17,'14.08 BUSUNJU-KAMPALA'!J17,'15.08 BUSUNJU-KAMPALA'!J17),0)</f>
        <v>0</v>
      </c>
      <c r="K65" s="50">
        <f>ROUND(0.8*AVERAGE('11.08 BUSUNJU-KAMPALA'!K17,'12.08 BUSUNJU-KAMPALA'!K17,'13.08 BUSUNJU-KAMPALA'!K17,'14.08 BUSUNJU-KAMPALA'!K17,'15.08 BUSUNJU-KAMPALA'!K17),0)</f>
        <v>0</v>
      </c>
      <c r="L65" s="50">
        <f>ROUND(0.8*AVERAGE('11.08 BUSUNJU-KAMPALA'!L17,'12.08 BUSUNJU-KAMPALA'!L17,'13.08 BUSUNJU-KAMPALA'!L17,'14.08 BUSUNJU-KAMPALA'!L17,'15.08 BUSUNJU-KAMPALA'!L17),0)</f>
        <v>0</v>
      </c>
      <c r="M65" s="50">
        <f>ROUND(0.8*AVERAGE('11.08 BUSUNJU-KAMPALA'!M17,'12.08 BUSUNJU-KAMPALA'!M17,'13.08 BUSUNJU-KAMPALA'!M17,'14.08 BUSUNJU-KAMPALA'!M17,'15.08 BUSUNJU-KAMPALA'!M17),0)</f>
        <v>13</v>
      </c>
      <c r="N65" s="50">
        <f>ROUND(0.8*AVERAGE('11.08 BUSUNJU-KAMPALA'!N17,'12.08 BUSUNJU-KAMPALA'!N17,'13.08 BUSUNJU-KAMPALA'!N17,'14.08 BUSUNJU-KAMPALA'!N17,'15.08 BUSUNJU-KAMPALA'!N17),0)</f>
        <v>0</v>
      </c>
      <c r="O65" s="15">
        <f t="shared" si="35"/>
        <v>2</v>
      </c>
      <c r="P65" s="15">
        <f t="shared" si="36"/>
        <v>15</v>
      </c>
      <c r="R65" s="8"/>
      <c r="T65"/>
    </row>
    <row r="66" spans="2:20" ht="23.1" customHeight="1" x14ac:dyDescent="0.25">
      <c r="B66" s="45" t="s">
        <v>103</v>
      </c>
      <c r="C66" s="50">
        <f>ROUND(0.8*AVERAGE('11.08 BUSUNJU-KAMPALA'!C18,'12.08 BUSUNJU-KAMPALA'!C18,'13.08 BUSUNJU-KAMPALA'!C18,'14.08 BUSUNJU-KAMPALA'!C18,'15.08 BUSUNJU-KAMPALA'!C18),0)</f>
        <v>1</v>
      </c>
      <c r="D66" s="50">
        <f>ROUND(0.8*AVERAGE('11.08 BUSUNJU-KAMPALA'!D18,'12.08 BUSUNJU-KAMPALA'!D18,'13.08 BUSUNJU-KAMPALA'!D18,'14.08 BUSUNJU-KAMPALA'!D18,'15.08 BUSUNJU-KAMPALA'!D18),0)</f>
        <v>0</v>
      </c>
      <c r="E66" s="50">
        <f>ROUND(0.8*AVERAGE('11.08 BUSUNJU-KAMPALA'!E18,'12.08 BUSUNJU-KAMPALA'!E18,'13.08 BUSUNJU-KAMPALA'!E18,'14.08 BUSUNJU-KAMPALA'!E18,'15.08 BUSUNJU-KAMPALA'!E18),0)</f>
        <v>1</v>
      </c>
      <c r="F66" s="50">
        <f>ROUND(0.8*AVERAGE('11.08 BUSUNJU-KAMPALA'!F18,'12.08 BUSUNJU-KAMPALA'!F18,'13.08 BUSUNJU-KAMPALA'!F18,'14.08 BUSUNJU-KAMPALA'!F18,'15.08 BUSUNJU-KAMPALA'!F18),0)</f>
        <v>0</v>
      </c>
      <c r="G66" s="50">
        <f>ROUND(0.8*AVERAGE('11.08 BUSUNJU-KAMPALA'!G18,'12.08 BUSUNJU-KAMPALA'!G18,'13.08 BUSUNJU-KAMPALA'!G18,'14.08 BUSUNJU-KAMPALA'!G18,'15.08 BUSUNJU-KAMPALA'!G18),0)</f>
        <v>0</v>
      </c>
      <c r="H66" s="50">
        <f>ROUND(0.8*AVERAGE('11.08 BUSUNJU-KAMPALA'!H18,'12.08 BUSUNJU-KAMPALA'!H18,'13.08 BUSUNJU-KAMPALA'!H18,'14.08 BUSUNJU-KAMPALA'!H18,'15.08 BUSUNJU-KAMPALA'!H18),0)</f>
        <v>0</v>
      </c>
      <c r="I66" s="50">
        <f>ROUND(0.8*AVERAGE('11.08 BUSUNJU-KAMPALA'!I18,'12.08 BUSUNJU-KAMPALA'!I18,'13.08 BUSUNJU-KAMPALA'!I18,'14.08 BUSUNJU-KAMPALA'!I18,'15.08 BUSUNJU-KAMPALA'!I18),0)</f>
        <v>0</v>
      </c>
      <c r="J66" s="50">
        <f>ROUND(0.8*AVERAGE('11.08 BUSUNJU-KAMPALA'!J18,'12.08 BUSUNJU-KAMPALA'!J18,'13.08 BUSUNJU-KAMPALA'!J18,'14.08 BUSUNJU-KAMPALA'!J18,'15.08 BUSUNJU-KAMPALA'!J18),0)</f>
        <v>0</v>
      </c>
      <c r="K66" s="50">
        <f>ROUND(0.8*AVERAGE('11.08 BUSUNJU-KAMPALA'!K18,'12.08 BUSUNJU-KAMPALA'!K18,'13.08 BUSUNJU-KAMPALA'!K18,'14.08 BUSUNJU-KAMPALA'!K18,'15.08 BUSUNJU-KAMPALA'!K18),0)</f>
        <v>0</v>
      </c>
      <c r="L66" s="50">
        <f>ROUND(0.8*AVERAGE('11.08 BUSUNJU-KAMPALA'!L18,'12.08 BUSUNJU-KAMPALA'!L18,'13.08 BUSUNJU-KAMPALA'!L18,'14.08 BUSUNJU-KAMPALA'!L18,'15.08 BUSUNJU-KAMPALA'!L18),0)</f>
        <v>0</v>
      </c>
      <c r="M66" s="50">
        <f>ROUND(0.8*AVERAGE('11.08 BUSUNJU-KAMPALA'!M18,'12.08 BUSUNJU-KAMPALA'!M18,'13.08 BUSUNJU-KAMPALA'!M18,'14.08 BUSUNJU-KAMPALA'!M18,'15.08 BUSUNJU-KAMPALA'!M18),0)</f>
        <v>14</v>
      </c>
      <c r="N66" s="50">
        <f>ROUND(0.8*AVERAGE('11.08 BUSUNJU-KAMPALA'!N18,'12.08 BUSUNJU-KAMPALA'!N18,'13.08 BUSUNJU-KAMPALA'!N18,'14.08 BUSUNJU-KAMPALA'!N18,'15.08 BUSUNJU-KAMPALA'!N18),0)</f>
        <v>0</v>
      </c>
      <c r="O66" s="15">
        <f t="shared" si="35"/>
        <v>2</v>
      </c>
      <c r="P66" s="15">
        <f t="shared" si="36"/>
        <v>16</v>
      </c>
      <c r="R66" s="8"/>
      <c r="T66"/>
    </row>
    <row r="67" spans="2:20" ht="23.1" customHeight="1" x14ac:dyDescent="0.25">
      <c r="B67" s="45" t="s">
        <v>104</v>
      </c>
      <c r="C67" s="50">
        <f>ROUND(0.8*AVERAGE('11.08 BUSUNJU-KAMPALA'!C19,'12.08 BUSUNJU-KAMPALA'!C19,'13.08 BUSUNJU-KAMPALA'!C19,'14.08 BUSUNJU-KAMPALA'!C19,'15.08 BUSUNJU-KAMPALA'!C19),0)</f>
        <v>0</v>
      </c>
      <c r="D67" s="50">
        <f>ROUND(0.8*AVERAGE('11.08 BUSUNJU-KAMPALA'!D19,'12.08 BUSUNJU-KAMPALA'!D19,'13.08 BUSUNJU-KAMPALA'!D19,'14.08 BUSUNJU-KAMPALA'!D19,'15.08 BUSUNJU-KAMPALA'!D19),0)</f>
        <v>0</v>
      </c>
      <c r="E67" s="50">
        <f>ROUND(0.8*AVERAGE('11.08 BUSUNJU-KAMPALA'!E19,'12.08 BUSUNJU-KAMPALA'!E19,'13.08 BUSUNJU-KAMPALA'!E19,'14.08 BUSUNJU-KAMPALA'!E19,'15.08 BUSUNJU-KAMPALA'!E19),0)</f>
        <v>0</v>
      </c>
      <c r="F67" s="50">
        <f>ROUND(0.8*AVERAGE('11.08 BUSUNJU-KAMPALA'!F19,'12.08 BUSUNJU-KAMPALA'!F19,'13.08 BUSUNJU-KAMPALA'!F19,'14.08 BUSUNJU-KAMPALA'!F19,'15.08 BUSUNJU-KAMPALA'!F19),0)</f>
        <v>0</v>
      </c>
      <c r="G67" s="50">
        <f>ROUND(0.8*AVERAGE('11.08 BUSUNJU-KAMPALA'!G19,'12.08 BUSUNJU-KAMPALA'!G19,'13.08 BUSUNJU-KAMPALA'!G19,'14.08 BUSUNJU-KAMPALA'!G19,'15.08 BUSUNJU-KAMPALA'!G19),0)</f>
        <v>0</v>
      </c>
      <c r="H67" s="50">
        <f>ROUND(0.8*AVERAGE('11.08 BUSUNJU-KAMPALA'!H19,'12.08 BUSUNJU-KAMPALA'!H19,'13.08 BUSUNJU-KAMPALA'!H19,'14.08 BUSUNJU-KAMPALA'!H19,'15.08 BUSUNJU-KAMPALA'!H19),0)</f>
        <v>0</v>
      </c>
      <c r="I67" s="50">
        <f>ROUND(0.8*AVERAGE('11.08 BUSUNJU-KAMPALA'!I19,'12.08 BUSUNJU-KAMPALA'!I19,'13.08 BUSUNJU-KAMPALA'!I19,'14.08 BUSUNJU-KAMPALA'!I19,'15.08 BUSUNJU-KAMPALA'!I19),0)</f>
        <v>0</v>
      </c>
      <c r="J67" s="50">
        <f>ROUND(0.8*AVERAGE('11.08 BUSUNJU-KAMPALA'!J19,'12.08 BUSUNJU-KAMPALA'!J19,'13.08 BUSUNJU-KAMPALA'!J19,'14.08 BUSUNJU-KAMPALA'!J19,'15.08 BUSUNJU-KAMPALA'!J19),0)</f>
        <v>0</v>
      </c>
      <c r="K67" s="50">
        <f>ROUND(0.8*AVERAGE('11.08 BUSUNJU-KAMPALA'!K19,'12.08 BUSUNJU-KAMPALA'!K19,'13.08 BUSUNJU-KAMPALA'!K19,'14.08 BUSUNJU-KAMPALA'!K19,'15.08 BUSUNJU-KAMPALA'!K19),0)</f>
        <v>0</v>
      </c>
      <c r="L67" s="50">
        <f>ROUND(0.8*AVERAGE('11.08 BUSUNJU-KAMPALA'!L19,'12.08 BUSUNJU-KAMPALA'!L19,'13.08 BUSUNJU-KAMPALA'!L19,'14.08 BUSUNJU-KAMPALA'!L19,'15.08 BUSUNJU-KAMPALA'!L19),0)</f>
        <v>0</v>
      </c>
      <c r="M67" s="50">
        <f>ROUND(0.8*AVERAGE('11.08 BUSUNJU-KAMPALA'!M19,'12.08 BUSUNJU-KAMPALA'!M19,'13.08 BUSUNJU-KAMPALA'!M19,'14.08 BUSUNJU-KAMPALA'!M19,'15.08 BUSUNJU-KAMPALA'!M19),0)</f>
        <v>12</v>
      </c>
      <c r="N67" s="50">
        <f>ROUND(0.8*AVERAGE('11.08 BUSUNJU-KAMPALA'!N19,'12.08 BUSUNJU-KAMPALA'!N19,'13.08 BUSUNJU-KAMPALA'!N19,'14.08 BUSUNJU-KAMPALA'!N19,'15.08 BUSUNJU-KAMPALA'!N19),0)</f>
        <v>0</v>
      </c>
      <c r="O67" s="15">
        <f t="shared" si="35"/>
        <v>0</v>
      </c>
      <c r="P67" s="15">
        <f t="shared" si="36"/>
        <v>12</v>
      </c>
      <c r="R67" s="8"/>
      <c r="T67"/>
    </row>
    <row r="68" spans="2:20" ht="23.1" customHeight="1" x14ac:dyDescent="0.25">
      <c r="B68" s="45" t="s">
        <v>105</v>
      </c>
      <c r="C68" s="50">
        <f>ROUND(0.7*AVERAGE('11.08 BUSUNJU-KAMPALA'!C20,'12.08 BUSUNJU-KAMPALA'!C20,'13.08 BUSUNJU-KAMPALA'!C20,'14.08 BUSUNJU-KAMPALA'!C20,'15.08 BUSUNJU-KAMPALA'!C20),0)</f>
        <v>0</v>
      </c>
      <c r="D68" s="50">
        <f>ROUND(0.7*AVERAGE('11.08 BUSUNJU-KAMPALA'!D20,'12.08 BUSUNJU-KAMPALA'!D20,'13.08 BUSUNJU-KAMPALA'!D20,'14.08 BUSUNJU-KAMPALA'!D20,'15.08 BUSUNJU-KAMPALA'!D20),0)</f>
        <v>0</v>
      </c>
      <c r="E68" s="50">
        <f>ROUND(0.7*AVERAGE('11.08 BUSUNJU-KAMPALA'!E20,'12.08 BUSUNJU-KAMPALA'!E20,'13.08 BUSUNJU-KAMPALA'!E20,'14.08 BUSUNJU-KAMPALA'!E20,'15.08 BUSUNJU-KAMPALA'!E20),0)</f>
        <v>0</v>
      </c>
      <c r="F68" s="50">
        <f>ROUND(0.7*AVERAGE('11.08 BUSUNJU-KAMPALA'!F20,'12.08 BUSUNJU-KAMPALA'!F20,'13.08 BUSUNJU-KAMPALA'!F20,'14.08 BUSUNJU-KAMPALA'!F20,'15.08 BUSUNJU-KAMPALA'!F20),0)</f>
        <v>0</v>
      </c>
      <c r="G68" s="50">
        <f>ROUND(0.7*AVERAGE('11.08 BUSUNJU-KAMPALA'!G20,'12.08 BUSUNJU-KAMPALA'!G20,'13.08 BUSUNJU-KAMPALA'!G20,'14.08 BUSUNJU-KAMPALA'!G20,'15.08 BUSUNJU-KAMPALA'!G20),0)</f>
        <v>0</v>
      </c>
      <c r="H68" s="50">
        <f>ROUND(0.7*AVERAGE('11.08 BUSUNJU-KAMPALA'!H20,'12.08 BUSUNJU-KAMPALA'!H20,'13.08 BUSUNJU-KAMPALA'!H20,'14.08 BUSUNJU-KAMPALA'!H20,'15.08 BUSUNJU-KAMPALA'!H20),0)</f>
        <v>0</v>
      </c>
      <c r="I68" s="50">
        <f>ROUND(0.7*AVERAGE('11.08 BUSUNJU-KAMPALA'!I20,'12.08 BUSUNJU-KAMPALA'!I20,'13.08 BUSUNJU-KAMPALA'!I20,'14.08 BUSUNJU-KAMPALA'!I20,'15.08 BUSUNJU-KAMPALA'!I20),0)</f>
        <v>1</v>
      </c>
      <c r="J68" s="50">
        <f>ROUND(0.7*AVERAGE('11.08 BUSUNJU-KAMPALA'!J20,'12.08 BUSUNJU-KAMPALA'!J20,'13.08 BUSUNJU-KAMPALA'!J20,'14.08 BUSUNJU-KAMPALA'!J20,'15.08 BUSUNJU-KAMPALA'!J20),0)</f>
        <v>0</v>
      </c>
      <c r="K68" s="50">
        <f>ROUND(0.7*AVERAGE('11.08 BUSUNJU-KAMPALA'!K20,'12.08 BUSUNJU-KAMPALA'!K20,'13.08 BUSUNJU-KAMPALA'!K20,'14.08 BUSUNJU-KAMPALA'!K20,'15.08 BUSUNJU-KAMPALA'!K20),0)</f>
        <v>0</v>
      </c>
      <c r="L68" s="50">
        <f>ROUND(0.7*AVERAGE('11.08 BUSUNJU-KAMPALA'!L20,'12.08 BUSUNJU-KAMPALA'!L20,'13.08 BUSUNJU-KAMPALA'!L20,'14.08 BUSUNJU-KAMPALA'!L20,'15.08 BUSUNJU-KAMPALA'!L20),0)</f>
        <v>0</v>
      </c>
      <c r="M68" s="50">
        <f>ROUND(0.7*AVERAGE('11.08 BUSUNJU-KAMPALA'!M20,'12.08 BUSUNJU-KAMPALA'!M20,'13.08 BUSUNJU-KAMPALA'!M20,'14.08 BUSUNJU-KAMPALA'!M20,'15.08 BUSUNJU-KAMPALA'!M20),0)</f>
        <v>11</v>
      </c>
      <c r="N68" s="50">
        <f>ROUND(0.7*AVERAGE('11.08 BUSUNJU-KAMPALA'!N20,'12.08 BUSUNJU-KAMPALA'!N20,'13.08 BUSUNJU-KAMPALA'!N20,'14.08 BUSUNJU-KAMPALA'!N20,'15.08 BUSUNJU-KAMPALA'!N20),0)</f>
        <v>0</v>
      </c>
      <c r="O68" s="15">
        <f t="shared" si="35"/>
        <v>1</v>
      </c>
      <c r="P68" s="15">
        <f t="shared" si="36"/>
        <v>12</v>
      </c>
      <c r="R68" s="8"/>
      <c r="T68"/>
    </row>
    <row r="69" spans="2:20" ht="23.1" customHeight="1" x14ac:dyDescent="0.25">
      <c r="B69" s="45" t="s">
        <v>106</v>
      </c>
      <c r="C69" s="50">
        <f>ROUND(0.7*AVERAGE('11.08 BUSUNJU-KAMPALA'!C21,'12.08 BUSUNJU-KAMPALA'!C21,'13.08 BUSUNJU-KAMPALA'!C21,'14.08 BUSUNJU-KAMPALA'!C21,'15.08 BUSUNJU-KAMPALA'!C21),0)</f>
        <v>0</v>
      </c>
      <c r="D69" s="50">
        <f>ROUND(0.7*AVERAGE('11.08 BUSUNJU-KAMPALA'!D21,'12.08 BUSUNJU-KAMPALA'!D21,'13.08 BUSUNJU-KAMPALA'!D21,'14.08 BUSUNJU-KAMPALA'!D21,'15.08 BUSUNJU-KAMPALA'!D21),0)</f>
        <v>0</v>
      </c>
      <c r="E69" s="50">
        <f>ROUND(0.7*AVERAGE('11.08 BUSUNJU-KAMPALA'!E21,'12.08 BUSUNJU-KAMPALA'!E21,'13.08 BUSUNJU-KAMPALA'!E21,'14.08 BUSUNJU-KAMPALA'!E21,'15.08 BUSUNJU-KAMPALA'!E21),0)</f>
        <v>0</v>
      </c>
      <c r="F69" s="50">
        <f>ROUND(0.7*AVERAGE('11.08 BUSUNJU-KAMPALA'!F21,'12.08 BUSUNJU-KAMPALA'!F21,'13.08 BUSUNJU-KAMPALA'!F21,'14.08 BUSUNJU-KAMPALA'!F21,'15.08 BUSUNJU-KAMPALA'!F21),0)</f>
        <v>0</v>
      </c>
      <c r="G69" s="50">
        <f>ROUND(0.7*AVERAGE('11.08 BUSUNJU-KAMPALA'!G21,'12.08 BUSUNJU-KAMPALA'!G21,'13.08 BUSUNJU-KAMPALA'!G21,'14.08 BUSUNJU-KAMPALA'!G21,'15.08 BUSUNJU-KAMPALA'!G21),0)</f>
        <v>0</v>
      </c>
      <c r="H69" s="50">
        <f>ROUND(0.7*AVERAGE('11.08 BUSUNJU-KAMPALA'!H21,'12.08 BUSUNJU-KAMPALA'!H21,'13.08 BUSUNJU-KAMPALA'!H21,'14.08 BUSUNJU-KAMPALA'!H21,'15.08 BUSUNJU-KAMPALA'!H21),0)</f>
        <v>0</v>
      </c>
      <c r="I69" s="50">
        <f>ROUND(0.7*AVERAGE('11.08 BUSUNJU-KAMPALA'!I21,'12.08 BUSUNJU-KAMPALA'!I21,'13.08 BUSUNJU-KAMPALA'!I21,'14.08 BUSUNJU-KAMPALA'!I21,'15.08 BUSUNJU-KAMPALA'!I21),0)</f>
        <v>1</v>
      </c>
      <c r="J69" s="50">
        <f>ROUND(0.7*AVERAGE('11.08 BUSUNJU-KAMPALA'!J21,'12.08 BUSUNJU-KAMPALA'!J21,'13.08 BUSUNJU-KAMPALA'!J21,'14.08 BUSUNJU-KAMPALA'!J21,'15.08 BUSUNJU-KAMPALA'!J21),0)</f>
        <v>0</v>
      </c>
      <c r="K69" s="50">
        <f>ROUND(0.7*AVERAGE('11.08 BUSUNJU-KAMPALA'!K21,'12.08 BUSUNJU-KAMPALA'!K21,'13.08 BUSUNJU-KAMPALA'!K21,'14.08 BUSUNJU-KAMPALA'!K21,'15.08 BUSUNJU-KAMPALA'!K21),0)</f>
        <v>0</v>
      </c>
      <c r="L69" s="50">
        <f>ROUND(0.7*AVERAGE('11.08 BUSUNJU-KAMPALA'!L21,'12.08 BUSUNJU-KAMPALA'!L21,'13.08 BUSUNJU-KAMPALA'!L21,'14.08 BUSUNJU-KAMPALA'!L21,'15.08 BUSUNJU-KAMPALA'!L21),0)</f>
        <v>0</v>
      </c>
      <c r="M69" s="50">
        <f>ROUND(0.7*AVERAGE('11.08 BUSUNJU-KAMPALA'!M21,'12.08 BUSUNJU-KAMPALA'!M21,'13.08 BUSUNJU-KAMPALA'!M21,'14.08 BUSUNJU-KAMPALA'!M21,'15.08 BUSUNJU-KAMPALA'!M21),0)</f>
        <v>11</v>
      </c>
      <c r="N69" s="50">
        <f>ROUND(0.7*AVERAGE('11.08 BUSUNJU-KAMPALA'!N21,'12.08 BUSUNJU-KAMPALA'!N21,'13.08 BUSUNJU-KAMPALA'!N21,'14.08 BUSUNJU-KAMPALA'!N21,'15.08 BUSUNJU-KAMPALA'!N21),0)</f>
        <v>0</v>
      </c>
      <c r="O69" s="15">
        <f t="shared" si="35"/>
        <v>1</v>
      </c>
      <c r="P69" s="15">
        <f t="shared" si="36"/>
        <v>12</v>
      </c>
      <c r="R69" s="8"/>
      <c r="T69"/>
    </row>
    <row r="70" spans="2:20" ht="23.1" customHeight="1" x14ac:dyDescent="0.25">
      <c r="B70" s="45" t="s">
        <v>110</v>
      </c>
      <c r="C70" s="50">
        <f>ROUND(0.7*AVERAGE('11.08 BUSUNJU-KAMPALA'!C22,'12.08 BUSUNJU-KAMPALA'!C22,'13.08 BUSUNJU-KAMPALA'!C22,'14.08 BUSUNJU-KAMPALA'!C22,'15.08 BUSUNJU-KAMPALA'!C22),0)</f>
        <v>0</v>
      </c>
      <c r="D70" s="50">
        <f>ROUND(0.7*AVERAGE('11.08 BUSUNJU-KAMPALA'!D22,'12.08 BUSUNJU-KAMPALA'!D22,'13.08 BUSUNJU-KAMPALA'!D22,'14.08 BUSUNJU-KAMPALA'!D22,'15.08 BUSUNJU-KAMPALA'!D22),0)</f>
        <v>0</v>
      </c>
      <c r="E70" s="50">
        <f>ROUND(0.7*AVERAGE('11.08 BUSUNJU-KAMPALA'!E22,'12.08 BUSUNJU-KAMPALA'!E22,'13.08 BUSUNJU-KAMPALA'!E22,'14.08 BUSUNJU-KAMPALA'!E22,'15.08 BUSUNJU-KAMPALA'!E22),0)</f>
        <v>0</v>
      </c>
      <c r="F70" s="50">
        <f>ROUND(0.7*AVERAGE('11.08 BUSUNJU-KAMPALA'!F22,'12.08 BUSUNJU-KAMPALA'!F22,'13.08 BUSUNJU-KAMPALA'!F22,'14.08 BUSUNJU-KAMPALA'!F22,'15.08 BUSUNJU-KAMPALA'!F22),0)</f>
        <v>0</v>
      </c>
      <c r="G70" s="50">
        <f>ROUND(0.7*AVERAGE('11.08 BUSUNJU-KAMPALA'!G22,'12.08 BUSUNJU-KAMPALA'!G22,'13.08 BUSUNJU-KAMPALA'!G22,'14.08 BUSUNJU-KAMPALA'!G22,'15.08 BUSUNJU-KAMPALA'!G22),0)</f>
        <v>0</v>
      </c>
      <c r="H70" s="50">
        <f>ROUND(0.7*AVERAGE('11.08 BUSUNJU-KAMPALA'!H22,'12.08 BUSUNJU-KAMPALA'!H22,'13.08 BUSUNJU-KAMPALA'!H22,'14.08 BUSUNJU-KAMPALA'!H22,'15.08 BUSUNJU-KAMPALA'!H22),0)</f>
        <v>0</v>
      </c>
      <c r="I70" s="50">
        <f>ROUND(0.7*AVERAGE('11.08 BUSUNJU-KAMPALA'!I22,'12.08 BUSUNJU-KAMPALA'!I22,'13.08 BUSUNJU-KAMPALA'!I22,'14.08 BUSUNJU-KAMPALA'!I22,'15.08 BUSUNJU-KAMPALA'!I22),0)</f>
        <v>0</v>
      </c>
      <c r="J70" s="50">
        <f>ROUND(0.7*AVERAGE('11.08 BUSUNJU-KAMPALA'!J22,'12.08 BUSUNJU-KAMPALA'!J22,'13.08 BUSUNJU-KAMPALA'!J22,'14.08 BUSUNJU-KAMPALA'!J22,'15.08 BUSUNJU-KAMPALA'!J22),0)</f>
        <v>0</v>
      </c>
      <c r="K70" s="50">
        <f>ROUND(0.7*AVERAGE('11.08 BUSUNJU-KAMPALA'!K22,'12.08 BUSUNJU-KAMPALA'!K22,'13.08 BUSUNJU-KAMPALA'!K22,'14.08 BUSUNJU-KAMPALA'!K22,'15.08 BUSUNJU-KAMPALA'!K22),0)</f>
        <v>0</v>
      </c>
      <c r="L70" s="50">
        <f>ROUND(0.7*AVERAGE('11.08 BUSUNJU-KAMPALA'!L22,'12.08 BUSUNJU-KAMPALA'!L22,'13.08 BUSUNJU-KAMPALA'!L22,'14.08 BUSUNJU-KAMPALA'!L22,'15.08 BUSUNJU-KAMPALA'!L22),0)</f>
        <v>0</v>
      </c>
      <c r="M70" s="50">
        <f>ROUND(0.7*AVERAGE('11.08 BUSUNJU-KAMPALA'!M22,'12.08 BUSUNJU-KAMPALA'!M22,'13.08 BUSUNJU-KAMPALA'!M22,'14.08 BUSUNJU-KAMPALA'!M22,'15.08 BUSUNJU-KAMPALA'!M22),0)</f>
        <v>10</v>
      </c>
      <c r="N70" s="50">
        <f>ROUND(0.7*AVERAGE('11.08 BUSUNJU-KAMPALA'!N22,'12.08 BUSUNJU-KAMPALA'!N22,'13.08 BUSUNJU-KAMPALA'!N22,'14.08 BUSUNJU-KAMPALA'!N22,'15.08 BUSUNJU-KAMPALA'!N22),0)</f>
        <v>0</v>
      </c>
      <c r="O70" s="15">
        <f t="shared" si="35"/>
        <v>0</v>
      </c>
      <c r="P70" s="15">
        <f t="shared" si="36"/>
        <v>10</v>
      </c>
      <c r="R70" s="8"/>
      <c r="T70"/>
    </row>
    <row r="71" spans="2:20" ht="23.1" customHeight="1" x14ac:dyDescent="0.25">
      <c r="B71" s="45" t="s">
        <v>111</v>
      </c>
      <c r="C71" s="50">
        <f>ROUND(0.7*AVERAGE('11.08 BUSUNJU-KAMPALA'!C23,'12.08 BUSUNJU-KAMPALA'!C23,'13.08 BUSUNJU-KAMPALA'!C23,'14.08 BUSUNJU-KAMPALA'!C23,'15.08 BUSUNJU-KAMPALA'!C23),0)</f>
        <v>1</v>
      </c>
      <c r="D71" s="50">
        <f>ROUND(0.7*AVERAGE('11.08 BUSUNJU-KAMPALA'!D23,'12.08 BUSUNJU-KAMPALA'!D23,'13.08 BUSUNJU-KAMPALA'!D23,'14.08 BUSUNJU-KAMPALA'!D23,'15.08 BUSUNJU-KAMPALA'!D23),0)</f>
        <v>0</v>
      </c>
      <c r="E71" s="50">
        <f>ROUND(0.7*AVERAGE('11.08 BUSUNJU-KAMPALA'!E23,'12.08 BUSUNJU-KAMPALA'!E23,'13.08 BUSUNJU-KAMPALA'!E23,'14.08 BUSUNJU-KAMPALA'!E23,'15.08 BUSUNJU-KAMPALA'!E23),0)</f>
        <v>1</v>
      </c>
      <c r="F71" s="50">
        <f>ROUND(0.7*AVERAGE('11.08 BUSUNJU-KAMPALA'!F23,'12.08 BUSUNJU-KAMPALA'!F23,'13.08 BUSUNJU-KAMPALA'!F23,'14.08 BUSUNJU-KAMPALA'!F23,'15.08 BUSUNJU-KAMPALA'!F23),0)</f>
        <v>0</v>
      </c>
      <c r="G71" s="50">
        <f>ROUND(0.7*AVERAGE('11.08 BUSUNJU-KAMPALA'!G23,'12.08 BUSUNJU-KAMPALA'!G23,'13.08 BUSUNJU-KAMPALA'!G23,'14.08 BUSUNJU-KAMPALA'!G23,'15.08 BUSUNJU-KAMPALA'!G23),0)</f>
        <v>0</v>
      </c>
      <c r="H71" s="50">
        <f>ROUND(0.7*AVERAGE('11.08 BUSUNJU-KAMPALA'!H23,'12.08 BUSUNJU-KAMPALA'!H23,'13.08 BUSUNJU-KAMPALA'!H23,'14.08 BUSUNJU-KAMPALA'!H23,'15.08 BUSUNJU-KAMPALA'!H23),0)</f>
        <v>0</v>
      </c>
      <c r="I71" s="50">
        <f>ROUND(0.7*AVERAGE('11.08 BUSUNJU-KAMPALA'!I23,'12.08 BUSUNJU-KAMPALA'!I23,'13.08 BUSUNJU-KAMPALA'!I23,'14.08 BUSUNJU-KAMPALA'!I23,'15.08 BUSUNJU-KAMPALA'!I23),0)</f>
        <v>1</v>
      </c>
      <c r="J71" s="50">
        <f>ROUND(0.7*AVERAGE('11.08 BUSUNJU-KAMPALA'!J23,'12.08 BUSUNJU-KAMPALA'!J23,'13.08 BUSUNJU-KAMPALA'!J23,'14.08 BUSUNJU-KAMPALA'!J23,'15.08 BUSUNJU-KAMPALA'!J23),0)</f>
        <v>0</v>
      </c>
      <c r="K71" s="50">
        <f>ROUND(0.7*AVERAGE('11.08 BUSUNJU-KAMPALA'!K23,'12.08 BUSUNJU-KAMPALA'!K23,'13.08 BUSUNJU-KAMPALA'!K23,'14.08 BUSUNJU-KAMPALA'!K23,'15.08 BUSUNJU-KAMPALA'!K23),0)</f>
        <v>0</v>
      </c>
      <c r="L71" s="50">
        <f>ROUND(0.7*AVERAGE('11.08 BUSUNJU-KAMPALA'!L23,'12.08 BUSUNJU-KAMPALA'!L23,'13.08 BUSUNJU-KAMPALA'!L23,'14.08 BUSUNJU-KAMPALA'!L23,'15.08 BUSUNJU-KAMPALA'!L23),0)</f>
        <v>0</v>
      </c>
      <c r="M71" s="50">
        <f>ROUND(0.7*AVERAGE('11.08 BUSUNJU-KAMPALA'!M23,'12.08 BUSUNJU-KAMPALA'!M23,'13.08 BUSUNJU-KAMPALA'!M23,'14.08 BUSUNJU-KAMPALA'!M23,'15.08 BUSUNJU-KAMPALA'!M23),0)</f>
        <v>9</v>
      </c>
      <c r="N71" s="50">
        <f>ROUND(0.7*AVERAGE('11.08 BUSUNJU-KAMPALA'!N23,'12.08 BUSUNJU-KAMPALA'!N23,'13.08 BUSUNJU-KAMPALA'!N23,'14.08 BUSUNJU-KAMPALA'!N23,'15.08 BUSUNJU-KAMPALA'!N23),0)</f>
        <v>0</v>
      </c>
      <c r="O71" s="15">
        <f t="shared" si="35"/>
        <v>3</v>
      </c>
      <c r="P71" s="15">
        <f t="shared" si="36"/>
        <v>12</v>
      </c>
      <c r="R71" s="8"/>
      <c r="T71"/>
    </row>
    <row r="72" spans="2:20" ht="23.1" customHeight="1" x14ac:dyDescent="0.25">
      <c r="B72" s="45" t="s">
        <v>112</v>
      </c>
      <c r="C72" s="50">
        <f>ROUND(0.7*AVERAGE('11.08 BUSUNJU-KAMPALA'!C24,'12.08 BUSUNJU-KAMPALA'!C24,'13.08 BUSUNJU-KAMPALA'!C24,'14.08 BUSUNJU-KAMPALA'!C24,'15.08 BUSUNJU-KAMPALA'!C24),0)</f>
        <v>0</v>
      </c>
      <c r="D72" s="50">
        <f>ROUND(0.7*AVERAGE('11.08 BUSUNJU-KAMPALA'!D24,'12.08 BUSUNJU-KAMPALA'!D24,'13.08 BUSUNJU-KAMPALA'!D24,'14.08 BUSUNJU-KAMPALA'!D24,'15.08 BUSUNJU-KAMPALA'!D24),0)</f>
        <v>0</v>
      </c>
      <c r="E72" s="50">
        <f>ROUND(0.7*AVERAGE('11.08 BUSUNJU-KAMPALA'!E24,'12.08 BUSUNJU-KAMPALA'!E24,'13.08 BUSUNJU-KAMPALA'!E24,'14.08 BUSUNJU-KAMPALA'!E24,'15.08 BUSUNJU-KAMPALA'!E24),0)</f>
        <v>1</v>
      </c>
      <c r="F72" s="50">
        <f>ROUND(0.7*AVERAGE('11.08 BUSUNJU-KAMPALA'!F24,'12.08 BUSUNJU-KAMPALA'!F24,'13.08 BUSUNJU-KAMPALA'!F24,'14.08 BUSUNJU-KAMPALA'!F24,'15.08 BUSUNJU-KAMPALA'!F24),0)</f>
        <v>0</v>
      </c>
      <c r="G72" s="50">
        <f>ROUND(0.7*AVERAGE('11.08 BUSUNJU-KAMPALA'!G24,'12.08 BUSUNJU-KAMPALA'!G24,'13.08 BUSUNJU-KAMPALA'!G24,'14.08 BUSUNJU-KAMPALA'!G24,'15.08 BUSUNJU-KAMPALA'!G24),0)</f>
        <v>1</v>
      </c>
      <c r="H72" s="50">
        <f>ROUND(0.7*AVERAGE('11.08 BUSUNJU-KAMPALA'!H24,'12.08 BUSUNJU-KAMPALA'!H24,'13.08 BUSUNJU-KAMPALA'!H24,'14.08 BUSUNJU-KAMPALA'!H24,'15.08 BUSUNJU-KAMPALA'!H24),0)</f>
        <v>0</v>
      </c>
      <c r="I72" s="50">
        <f>ROUND(0.7*AVERAGE('11.08 BUSUNJU-KAMPALA'!I24,'12.08 BUSUNJU-KAMPALA'!I24,'13.08 BUSUNJU-KAMPALA'!I24,'14.08 BUSUNJU-KAMPALA'!I24,'15.08 BUSUNJU-KAMPALA'!I24),0)</f>
        <v>1</v>
      </c>
      <c r="J72" s="50">
        <f>ROUND(0.7*AVERAGE('11.08 BUSUNJU-KAMPALA'!J24,'12.08 BUSUNJU-KAMPALA'!J24,'13.08 BUSUNJU-KAMPALA'!J24,'14.08 BUSUNJU-KAMPALA'!J24,'15.08 BUSUNJU-KAMPALA'!J24),0)</f>
        <v>0</v>
      </c>
      <c r="K72" s="50">
        <f>ROUND(0.7*AVERAGE('11.08 BUSUNJU-KAMPALA'!K24,'12.08 BUSUNJU-KAMPALA'!K24,'13.08 BUSUNJU-KAMPALA'!K24,'14.08 BUSUNJU-KAMPALA'!K24,'15.08 BUSUNJU-KAMPALA'!K24),0)</f>
        <v>0</v>
      </c>
      <c r="L72" s="50">
        <f>ROUND(0.7*AVERAGE('11.08 BUSUNJU-KAMPALA'!L24,'12.08 BUSUNJU-KAMPALA'!L24,'13.08 BUSUNJU-KAMPALA'!L24,'14.08 BUSUNJU-KAMPALA'!L24,'15.08 BUSUNJU-KAMPALA'!L24),0)</f>
        <v>0</v>
      </c>
      <c r="M72" s="50">
        <f>ROUND(0.7*AVERAGE('11.08 BUSUNJU-KAMPALA'!M24,'12.08 BUSUNJU-KAMPALA'!M24,'13.08 BUSUNJU-KAMPALA'!M24,'14.08 BUSUNJU-KAMPALA'!M24,'15.08 BUSUNJU-KAMPALA'!M24),0)</f>
        <v>11</v>
      </c>
      <c r="N72" s="50">
        <f>ROUND(0.7*AVERAGE('11.08 BUSUNJU-KAMPALA'!N24,'12.08 BUSUNJU-KAMPALA'!N24,'13.08 BUSUNJU-KAMPALA'!N24,'14.08 BUSUNJU-KAMPALA'!N24,'15.08 BUSUNJU-KAMPALA'!N24),0)</f>
        <v>0</v>
      </c>
      <c r="O72" s="15">
        <f t="shared" si="35"/>
        <v>3</v>
      </c>
      <c r="P72" s="15">
        <f t="shared" si="36"/>
        <v>14</v>
      </c>
      <c r="R72" s="8"/>
      <c r="T72"/>
    </row>
    <row r="73" spans="2:20" ht="23.1" customHeight="1" x14ac:dyDescent="0.25">
      <c r="B73" s="45" t="s">
        <v>113</v>
      </c>
      <c r="C73" s="50">
        <f>ROUND(0.7*AVERAGE('11.08 BUSUNJU-KAMPALA'!C25,'12.08 BUSUNJU-KAMPALA'!C25,'13.08 BUSUNJU-KAMPALA'!C25,'14.08 BUSUNJU-KAMPALA'!C25,'15.08 BUSUNJU-KAMPALA'!C25),0)</f>
        <v>0</v>
      </c>
      <c r="D73" s="50">
        <f>ROUND(0.7*AVERAGE('11.08 BUSUNJU-KAMPALA'!D25,'12.08 BUSUNJU-KAMPALA'!D25,'13.08 BUSUNJU-KAMPALA'!D25,'14.08 BUSUNJU-KAMPALA'!D25,'15.08 BUSUNJU-KAMPALA'!D25),0)</f>
        <v>0</v>
      </c>
      <c r="E73" s="50">
        <f>ROUND(0.7*AVERAGE('11.08 BUSUNJU-KAMPALA'!E25,'12.08 BUSUNJU-KAMPALA'!E25,'13.08 BUSUNJU-KAMPALA'!E25,'14.08 BUSUNJU-KAMPALA'!E25,'15.08 BUSUNJU-KAMPALA'!E25),0)</f>
        <v>0</v>
      </c>
      <c r="F73" s="50">
        <f>ROUND(0.7*AVERAGE('11.08 BUSUNJU-KAMPALA'!F25,'12.08 BUSUNJU-KAMPALA'!F25,'13.08 BUSUNJU-KAMPALA'!F25,'14.08 BUSUNJU-KAMPALA'!F25,'15.08 BUSUNJU-KAMPALA'!F25),0)</f>
        <v>0</v>
      </c>
      <c r="G73" s="50">
        <f>ROUND(0.7*AVERAGE('11.08 BUSUNJU-KAMPALA'!G25,'12.08 BUSUNJU-KAMPALA'!G25,'13.08 BUSUNJU-KAMPALA'!G25,'14.08 BUSUNJU-KAMPALA'!G25,'15.08 BUSUNJU-KAMPALA'!G25),0)</f>
        <v>0</v>
      </c>
      <c r="H73" s="50">
        <f>ROUND(0.7*AVERAGE('11.08 BUSUNJU-KAMPALA'!H25,'12.08 BUSUNJU-KAMPALA'!H25,'13.08 BUSUNJU-KAMPALA'!H25,'14.08 BUSUNJU-KAMPALA'!H25,'15.08 BUSUNJU-KAMPALA'!H25),0)</f>
        <v>0</v>
      </c>
      <c r="I73" s="50">
        <f>ROUND(0.7*AVERAGE('11.08 BUSUNJU-KAMPALA'!I25,'12.08 BUSUNJU-KAMPALA'!I25,'13.08 BUSUNJU-KAMPALA'!I25,'14.08 BUSUNJU-KAMPALA'!I25,'15.08 BUSUNJU-KAMPALA'!I25),0)</f>
        <v>1</v>
      </c>
      <c r="J73" s="50">
        <f>ROUND(0.7*AVERAGE('11.08 BUSUNJU-KAMPALA'!J25,'12.08 BUSUNJU-KAMPALA'!J25,'13.08 BUSUNJU-KAMPALA'!J25,'14.08 BUSUNJU-KAMPALA'!J25,'15.08 BUSUNJU-KAMPALA'!J25),0)</f>
        <v>0</v>
      </c>
      <c r="K73" s="50">
        <f>ROUND(0.7*AVERAGE('11.08 BUSUNJU-KAMPALA'!K25,'12.08 BUSUNJU-KAMPALA'!K25,'13.08 BUSUNJU-KAMPALA'!K25,'14.08 BUSUNJU-KAMPALA'!K25,'15.08 BUSUNJU-KAMPALA'!K25),0)</f>
        <v>0</v>
      </c>
      <c r="L73" s="50">
        <f>ROUND(0.7*AVERAGE('11.08 BUSUNJU-KAMPALA'!L25,'12.08 BUSUNJU-KAMPALA'!L25,'13.08 BUSUNJU-KAMPALA'!L25,'14.08 BUSUNJU-KAMPALA'!L25,'15.08 BUSUNJU-KAMPALA'!L25),0)</f>
        <v>0</v>
      </c>
      <c r="M73" s="50">
        <f>ROUND(0.7*AVERAGE('11.08 BUSUNJU-KAMPALA'!M25,'12.08 BUSUNJU-KAMPALA'!M25,'13.08 BUSUNJU-KAMPALA'!M25,'14.08 BUSUNJU-KAMPALA'!M25,'15.08 BUSUNJU-KAMPALA'!M25),0)</f>
        <v>10</v>
      </c>
      <c r="N73" s="50">
        <f>ROUND(0.7*AVERAGE('11.08 BUSUNJU-KAMPALA'!N25,'12.08 BUSUNJU-KAMPALA'!N25,'13.08 BUSUNJU-KAMPALA'!N25,'14.08 BUSUNJU-KAMPALA'!N25,'15.08 BUSUNJU-KAMPALA'!N25),0)</f>
        <v>0</v>
      </c>
      <c r="O73" s="15">
        <f t="shared" si="35"/>
        <v>1</v>
      </c>
      <c r="P73" s="15">
        <f t="shared" si="36"/>
        <v>11</v>
      </c>
      <c r="R73" s="8"/>
      <c r="T73"/>
    </row>
    <row r="74" spans="2:20" ht="23.1" customHeight="1" x14ac:dyDescent="0.25">
      <c r="B74" s="45" t="s">
        <v>114</v>
      </c>
      <c r="C74" s="50">
        <f>ROUND(0.7*AVERAGE('11.08 BUSUNJU-KAMPALA'!C26,'12.08 BUSUNJU-KAMPALA'!C26,'13.08 BUSUNJU-KAMPALA'!C26,'14.08 BUSUNJU-KAMPALA'!C26,'15.08 BUSUNJU-KAMPALA'!C26),0)</f>
        <v>1</v>
      </c>
      <c r="D74" s="50">
        <f>ROUND(0.7*AVERAGE('11.08 BUSUNJU-KAMPALA'!D26,'12.08 BUSUNJU-KAMPALA'!D26,'13.08 BUSUNJU-KAMPALA'!D26,'14.08 BUSUNJU-KAMPALA'!D26,'15.08 BUSUNJU-KAMPALA'!D26),0)</f>
        <v>0</v>
      </c>
      <c r="E74" s="50">
        <f>ROUND(0.7*AVERAGE('11.08 BUSUNJU-KAMPALA'!E26,'12.08 BUSUNJU-KAMPALA'!E26,'13.08 BUSUNJU-KAMPALA'!E26,'14.08 BUSUNJU-KAMPALA'!E26,'15.08 BUSUNJU-KAMPALA'!E26),0)</f>
        <v>1</v>
      </c>
      <c r="F74" s="50">
        <f>ROUND(0.7*AVERAGE('11.08 BUSUNJU-KAMPALA'!F26,'12.08 BUSUNJU-KAMPALA'!F26,'13.08 BUSUNJU-KAMPALA'!F26,'14.08 BUSUNJU-KAMPALA'!F26,'15.08 BUSUNJU-KAMPALA'!F26),0)</f>
        <v>0</v>
      </c>
      <c r="G74" s="50">
        <f>ROUND(0.7*AVERAGE('11.08 BUSUNJU-KAMPALA'!G26,'12.08 BUSUNJU-KAMPALA'!G26,'13.08 BUSUNJU-KAMPALA'!G26,'14.08 BUSUNJU-KAMPALA'!G26,'15.08 BUSUNJU-KAMPALA'!G26),0)</f>
        <v>0</v>
      </c>
      <c r="H74" s="50">
        <f>ROUND(0.7*AVERAGE('11.08 BUSUNJU-KAMPALA'!H26,'12.08 BUSUNJU-KAMPALA'!H26,'13.08 BUSUNJU-KAMPALA'!H26,'14.08 BUSUNJU-KAMPALA'!H26,'15.08 BUSUNJU-KAMPALA'!H26),0)</f>
        <v>0</v>
      </c>
      <c r="I74" s="50">
        <f>ROUND(0.7*AVERAGE('11.08 BUSUNJU-KAMPALA'!I26,'12.08 BUSUNJU-KAMPALA'!I26,'13.08 BUSUNJU-KAMPALA'!I26,'14.08 BUSUNJU-KAMPALA'!I26,'15.08 BUSUNJU-KAMPALA'!I26),0)</f>
        <v>1</v>
      </c>
      <c r="J74" s="50">
        <f>ROUND(0.7*AVERAGE('11.08 BUSUNJU-KAMPALA'!J26,'12.08 BUSUNJU-KAMPALA'!J26,'13.08 BUSUNJU-KAMPALA'!J26,'14.08 BUSUNJU-KAMPALA'!J26,'15.08 BUSUNJU-KAMPALA'!J26),0)</f>
        <v>0</v>
      </c>
      <c r="K74" s="50">
        <f>ROUND(0.7*AVERAGE('11.08 BUSUNJU-KAMPALA'!K26,'12.08 BUSUNJU-KAMPALA'!K26,'13.08 BUSUNJU-KAMPALA'!K26,'14.08 BUSUNJU-KAMPALA'!K26,'15.08 BUSUNJU-KAMPALA'!K26),0)</f>
        <v>0</v>
      </c>
      <c r="L74" s="50">
        <f>ROUND(0.7*AVERAGE('11.08 BUSUNJU-KAMPALA'!L26,'12.08 BUSUNJU-KAMPALA'!L26,'13.08 BUSUNJU-KAMPALA'!L26,'14.08 BUSUNJU-KAMPALA'!L26,'15.08 BUSUNJU-KAMPALA'!L26),0)</f>
        <v>0</v>
      </c>
      <c r="M74" s="50">
        <f>ROUND(0.7*AVERAGE('11.08 BUSUNJU-KAMPALA'!M26,'12.08 BUSUNJU-KAMPALA'!M26,'13.08 BUSUNJU-KAMPALA'!M26,'14.08 BUSUNJU-KAMPALA'!M26,'15.08 BUSUNJU-KAMPALA'!M26),0)</f>
        <v>9</v>
      </c>
      <c r="N74" s="50">
        <f>ROUND(0.7*AVERAGE('11.08 BUSUNJU-KAMPALA'!N26,'12.08 BUSUNJU-KAMPALA'!N26,'13.08 BUSUNJU-KAMPALA'!N26,'14.08 BUSUNJU-KAMPALA'!N26,'15.08 BUSUNJU-KAMPALA'!N26),0)</f>
        <v>0</v>
      </c>
      <c r="O74" s="15">
        <f t="shared" si="35"/>
        <v>3</v>
      </c>
      <c r="P74" s="15">
        <f t="shared" si="36"/>
        <v>12</v>
      </c>
      <c r="R74" s="8"/>
      <c r="T74"/>
    </row>
    <row r="75" spans="2:20" ht="23.1" customHeight="1" x14ac:dyDescent="0.25">
      <c r="B75" s="45" t="s">
        <v>115</v>
      </c>
      <c r="C75" s="50">
        <f>ROUND(0.7*AVERAGE('11.08 BUSUNJU-KAMPALA'!C27,'12.08 BUSUNJU-KAMPALA'!C27,'13.08 BUSUNJU-KAMPALA'!C27,'14.08 BUSUNJU-KAMPALA'!C27,'15.08 BUSUNJU-KAMPALA'!C27),0)</f>
        <v>1</v>
      </c>
      <c r="D75" s="50">
        <f>ROUND(0.7*AVERAGE('11.08 BUSUNJU-KAMPALA'!D27,'12.08 BUSUNJU-KAMPALA'!D27,'13.08 BUSUNJU-KAMPALA'!D27,'14.08 BUSUNJU-KAMPALA'!D27,'15.08 BUSUNJU-KAMPALA'!D27),0)</f>
        <v>0</v>
      </c>
      <c r="E75" s="50">
        <f>ROUND(0.7*AVERAGE('11.08 BUSUNJU-KAMPALA'!E27,'12.08 BUSUNJU-KAMPALA'!E27,'13.08 BUSUNJU-KAMPALA'!E27,'14.08 BUSUNJU-KAMPALA'!E27,'15.08 BUSUNJU-KAMPALA'!E27),0)</f>
        <v>0</v>
      </c>
      <c r="F75" s="50">
        <f>ROUND(0.7*AVERAGE('11.08 BUSUNJU-KAMPALA'!F27,'12.08 BUSUNJU-KAMPALA'!F27,'13.08 BUSUNJU-KAMPALA'!F27,'14.08 BUSUNJU-KAMPALA'!F27,'15.08 BUSUNJU-KAMPALA'!F27),0)</f>
        <v>0</v>
      </c>
      <c r="G75" s="50">
        <f>ROUND(0.7*AVERAGE('11.08 BUSUNJU-KAMPALA'!G27,'12.08 BUSUNJU-KAMPALA'!G27,'13.08 BUSUNJU-KAMPALA'!G27,'14.08 BUSUNJU-KAMPALA'!G27,'15.08 BUSUNJU-KAMPALA'!G27),0)</f>
        <v>0</v>
      </c>
      <c r="H75" s="50">
        <f>ROUND(0.7*AVERAGE('11.08 BUSUNJU-KAMPALA'!H27,'12.08 BUSUNJU-KAMPALA'!H27,'13.08 BUSUNJU-KAMPALA'!H27,'14.08 BUSUNJU-KAMPALA'!H27,'15.08 BUSUNJU-KAMPALA'!H27),0)</f>
        <v>0</v>
      </c>
      <c r="I75" s="50">
        <f>ROUND(0.7*AVERAGE('11.08 BUSUNJU-KAMPALA'!I27,'12.08 BUSUNJU-KAMPALA'!I27,'13.08 BUSUNJU-KAMPALA'!I27,'14.08 BUSUNJU-KAMPALA'!I27,'15.08 BUSUNJU-KAMPALA'!I27),0)</f>
        <v>1</v>
      </c>
      <c r="J75" s="50">
        <f>ROUND(0.7*AVERAGE('11.08 BUSUNJU-KAMPALA'!J27,'12.08 BUSUNJU-KAMPALA'!J27,'13.08 BUSUNJU-KAMPALA'!J27,'14.08 BUSUNJU-KAMPALA'!J27,'15.08 BUSUNJU-KAMPALA'!J27),0)</f>
        <v>0</v>
      </c>
      <c r="K75" s="50">
        <f>ROUND(0.7*AVERAGE('11.08 BUSUNJU-KAMPALA'!K27,'12.08 BUSUNJU-KAMPALA'!K27,'13.08 BUSUNJU-KAMPALA'!K27,'14.08 BUSUNJU-KAMPALA'!K27,'15.08 BUSUNJU-KAMPALA'!K27),0)</f>
        <v>0</v>
      </c>
      <c r="L75" s="50">
        <f>ROUND(0.7*AVERAGE('11.08 BUSUNJU-KAMPALA'!L27,'12.08 BUSUNJU-KAMPALA'!L27,'13.08 BUSUNJU-KAMPALA'!L27,'14.08 BUSUNJU-KAMPALA'!L27,'15.08 BUSUNJU-KAMPALA'!L27),0)</f>
        <v>0</v>
      </c>
      <c r="M75" s="50">
        <f>ROUND(0.7*AVERAGE('11.08 BUSUNJU-KAMPALA'!M27,'12.08 BUSUNJU-KAMPALA'!M27,'13.08 BUSUNJU-KAMPALA'!M27,'14.08 BUSUNJU-KAMPALA'!M27,'15.08 BUSUNJU-KAMPALA'!M27),0)</f>
        <v>11</v>
      </c>
      <c r="N75" s="50">
        <f>ROUND(0.7*AVERAGE('11.08 BUSUNJU-KAMPALA'!N27,'12.08 BUSUNJU-KAMPALA'!N27,'13.08 BUSUNJU-KAMPALA'!N27,'14.08 BUSUNJU-KAMPALA'!N27,'15.08 BUSUNJU-KAMPALA'!N27),0)</f>
        <v>0</v>
      </c>
      <c r="O75" s="15">
        <f t="shared" si="35"/>
        <v>2</v>
      </c>
      <c r="P75" s="15">
        <f t="shared" si="36"/>
        <v>13</v>
      </c>
      <c r="R75" s="8"/>
      <c r="T75"/>
    </row>
    <row r="76" spans="2:20" ht="23.1" customHeight="1" x14ac:dyDescent="0.25">
      <c r="B76" s="45" t="s">
        <v>116</v>
      </c>
      <c r="C76" s="50">
        <f>ROUND(0.5*AVERAGE('11.08 BUSUNJU-KAMPALA'!C28,'12.08 BUSUNJU-KAMPALA'!C28,'13.08 BUSUNJU-KAMPALA'!C28,'14.08 BUSUNJU-KAMPALA'!C28,'15.08 BUSUNJU-KAMPALA'!C28),0)</f>
        <v>1</v>
      </c>
      <c r="D76" s="50">
        <f>ROUND(0.5*AVERAGE('11.08 BUSUNJU-KAMPALA'!D28,'12.08 BUSUNJU-KAMPALA'!D28,'13.08 BUSUNJU-KAMPALA'!D28,'14.08 BUSUNJU-KAMPALA'!D28,'15.08 BUSUNJU-KAMPALA'!D28),0)</f>
        <v>0</v>
      </c>
      <c r="E76" s="50">
        <f>ROUND(0.5*AVERAGE('11.08 BUSUNJU-KAMPALA'!E28,'12.08 BUSUNJU-KAMPALA'!E28,'13.08 BUSUNJU-KAMPALA'!E28,'14.08 BUSUNJU-KAMPALA'!E28,'15.08 BUSUNJU-KAMPALA'!E28),0)</f>
        <v>0</v>
      </c>
      <c r="F76" s="50">
        <f>ROUND(0.5*AVERAGE('11.08 BUSUNJU-KAMPALA'!F28,'12.08 BUSUNJU-KAMPALA'!F28,'13.08 BUSUNJU-KAMPALA'!F28,'14.08 BUSUNJU-KAMPALA'!F28,'15.08 BUSUNJU-KAMPALA'!F28),0)</f>
        <v>0</v>
      </c>
      <c r="G76" s="50">
        <f>ROUND(0.5*AVERAGE('11.08 BUSUNJU-KAMPALA'!G28,'12.08 BUSUNJU-KAMPALA'!G28,'13.08 BUSUNJU-KAMPALA'!G28,'14.08 BUSUNJU-KAMPALA'!G28,'15.08 BUSUNJU-KAMPALA'!G28),0)</f>
        <v>0</v>
      </c>
      <c r="H76" s="50">
        <f>ROUND(0.5*AVERAGE('11.08 BUSUNJU-KAMPALA'!H28,'12.08 BUSUNJU-KAMPALA'!H28,'13.08 BUSUNJU-KAMPALA'!H28,'14.08 BUSUNJU-KAMPALA'!H28,'15.08 BUSUNJU-KAMPALA'!H28),0)</f>
        <v>0</v>
      </c>
      <c r="I76" s="50">
        <f>ROUND(0.5*AVERAGE('11.08 BUSUNJU-KAMPALA'!I28,'12.08 BUSUNJU-KAMPALA'!I28,'13.08 BUSUNJU-KAMPALA'!I28,'14.08 BUSUNJU-KAMPALA'!I28,'15.08 BUSUNJU-KAMPALA'!I28),0)</f>
        <v>0</v>
      </c>
      <c r="J76" s="50">
        <f>ROUND(0.5*AVERAGE('11.08 BUSUNJU-KAMPALA'!J28,'12.08 BUSUNJU-KAMPALA'!J28,'13.08 BUSUNJU-KAMPALA'!J28,'14.08 BUSUNJU-KAMPALA'!J28,'15.08 BUSUNJU-KAMPALA'!J28),0)</f>
        <v>0</v>
      </c>
      <c r="K76" s="50">
        <f>ROUND(0.5*AVERAGE('11.08 BUSUNJU-KAMPALA'!K28,'12.08 BUSUNJU-KAMPALA'!K28,'13.08 BUSUNJU-KAMPALA'!K28,'14.08 BUSUNJU-KAMPALA'!K28,'15.08 BUSUNJU-KAMPALA'!K28),0)</f>
        <v>0</v>
      </c>
      <c r="L76" s="50">
        <f>ROUND(0.5*AVERAGE('11.08 BUSUNJU-KAMPALA'!L28,'12.08 BUSUNJU-KAMPALA'!L28,'13.08 BUSUNJU-KAMPALA'!L28,'14.08 BUSUNJU-KAMPALA'!L28,'15.08 BUSUNJU-KAMPALA'!L28),0)</f>
        <v>0</v>
      </c>
      <c r="M76" s="50">
        <f>ROUND(0.5*AVERAGE('11.08 BUSUNJU-KAMPALA'!M28,'12.08 BUSUNJU-KAMPALA'!M28,'13.08 BUSUNJU-KAMPALA'!M28,'14.08 BUSUNJU-KAMPALA'!M28,'15.08 BUSUNJU-KAMPALA'!M28),0)</f>
        <v>9</v>
      </c>
      <c r="N76" s="50">
        <f>ROUND(0.5*AVERAGE('11.08 BUSUNJU-KAMPALA'!N28,'12.08 BUSUNJU-KAMPALA'!N28,'13.08 BUSUNJU-KAMPALA'!N28,'14.08 BUSUNJU-KAMPALA'!N28,'15.08 BUSUNJU-KAMPALA'!N28),0)</f>
        <v>0</v>
      </c>
      <c r="O76" s="15">
        <f t="shared" si="35"/>
        <v>1</v>
      </c>
      <c r="P76" s="15">
        <f t="shared" si="36"/>
        <v>10</v>
      </c>
      <c r="R76" s="8"/>
      <c r="T76"/>
    </row>
    <row r="77" spans="2:20" ht="23.1" customHeight="1" x14ac:dyDescent="0.25">
      <c r="B77" s="45" t="s">
        <v>117</v>
      </c>
      <c r="C77" s="50">
        <f>ROUND(0.5*AVERAGE('11.08 BUSUNJU-KAMPALA'!C29,'12.08 BUSUNJU-KAMPALA'!C29,'13.08 BUSUNJU-KAMPALA'!C29,'14.08 BUSUNJU-KAMPALA'!C29,'15.08 BUSUNJU-KAMPALA'!C29),0)</f>
        <v>0</v>
      </c>
      <c r="D77" s="50">
        <f>ROUND(0.5*AVERAGE('11.08 BUSUNJU-KAMPALA'!D29,'12.08 BUSUNJU-KAMPALA'!D29,'13.08 BUSUNJU-KAMPALA'!D29,'14.08 BUSUNJU-KAMPALA'!D29,'15.08 BUSUNJU-KAMPALA'!D29),0)</f>
        <v>0</v>
      </c>
      <c r="E77" s="50">
        <f>ROUND(0.5*AVERAGE('11.08 BUSUNJU-KAMPALA'!E29,'12.08 BUSUNJU-KAMPALA'!E29,'13.08 BUSUNJU-KAMPALA'!E29,'14.08 BUSUNJU-KAMPALA'!E29,'15.08 BUSUNJU-KAMPALA'!E29),0)</f>
        <v>0</v>
      </c>
      <c r="F77" s="50">
        <f>ROUND(0.5*AVERAGE('11.08 BUSUNJU-KAMPALA'!F29,'12.08 BUSUNJU-KAMPALA'!F29,'13.08 BUSUNJU-KAMPALA'!F29,'14.08 BUSUNJU-KAMPALA'!F29,'15.08 BUSUNJU-KAMPALA'!F29),0)</f>
        <v>0</v>
      </c>
      <c r="G77" s="50">
        <f>ROUND(0.5*AVERAGE('11.08 BUSUNJU-KAMPALA'!G29,'12.08 BUSUNJU-KAMPALA'!G29,'13.08 BUSUNJU-KAMPALA'!G29,'14.08 BUSUNJU-KAMPALA'!G29,'15.08 BUSUNJU-KAMPALA'!G29),0)</f>
        <v>0</v>
      </c>
      <c r="H77" s="50">
        <f>ROUND(0.5*AVERAGE('11.08 BUSUNJU-KAMPALA'!H29,'12.08 BUSUNJU-KAMPALA'!H29,'13.08 BUSUNJU-KAMPALA'!H29,'14.08 BUSUNJU-KAMPALA'!H29,'15.08 BUSUNJU-KAMPALA'!H29),0)</f>
        <v>0</v>
      </c>
      <c r="I77" s="50">
        <f>ROUND(0.5*AVERAGE('11.08 BUSUNJU-KAMPALA'!I29,'12.08 BUSUNJU-KAMPALA'!I29,'13.08 BUSUNJU-KAMPALA'!I29,'14.08 BUSUNJU-KAMPALA'!I29,'15.08 BUSUNJU-KAMPALA'!I29),0)</f>
        <v>0</v>
      </c>
      <c r="J77" s="50">
        <f>ROUND(0.5*AVERAGE('11.08 BUSUNJU-KAMPALA'!J29,'12.08 BUSUNJU-KAMPALA'!J29,'13.08 BUSUNJU-KAMPALA'!J29,'14.08 BUSUNJU-KAMPALA'!J29,'15.08 BUSUNJU-KAMPALA'!J29),0)</f>
        <v>0</v>
      </c>
      <c r="K77" s="50">
        <f>ROUND(0.5*AVERAGE('11.08 BUSUNJU-KAMPALA'!K29,'12.08 BUSUNJU-KAMPALA'!K29,'13.08 BUSUNJU-KAMPALA'!K29,'14.08 BUSUNJU-KAMPALA'!K29,'15.08 BUSUNJU-KAMPALA'!K29),0)</f>
        <v>0</v>
      </c>
      <c r="L77" s="50">
        <f>ROUND(0.5*AVERAGE('11.08 BUSUNJU-KAMPALA'!L29,'12.08 BUSUNJU-KAMPALA'!L29,'13.08 BUSUNJU-KAMPALA'!L29,'14.08 BUSUNJU-KAMPALA'!L29,'15.08 BUSUNJU-KAMPALA'!L29),0)</f>
        <v>0</v>
      </c>
      <c r="M77" s="50">
        <f>ROUND(0.5*AVERAGE('11.08 BUSUNJU-KAMPALA'!M29,'12.08 BUSUNJU-KAMPALA'!M29,'13.08 BUSUNJU-KAMPALA'!M29,'14.08 BUSUNJU-KAMPALA'!M29,'15.08 BUSUNJU-KAMPALA'!M29),0)</f>
        <v>7</v>
      </c>
      <c r="N77" s="50">
        <f>ROUND(0.5*AVERAGE('11.08 BUSUNJU-KAMPALA'!N29,'12.08 BUSUNJU-KAMPALA'!N29,'13.08 BUSUNJU-KAMPALA'!N29,'14.08 BUSUNJU-KAMPALA'!N29,'15.08 BUSUNJU-KAMPALA'!N29),0)</f>
        <v>0</v>
      </c>
      <c r="O77" s="15">
        <f t="shared" si="35"/>
        <v>0</v>
      </c>
      <c r="P77" s="15">
        <f t="shared" si="36"/>
        <v>7</v>
      </c>
      <c r="R77" s="8"/>
      <c r="T77"/>
    </row>
    <row r="78" spans="2:20" ht="23.1" customHeight="1" x14ac:dyDescent="0.25">
      <c r="B78" s="46" t="s">
        <v>118</v>
      </c>
      <c r="C78" s="50">
        <f>ROUND(0.5*AVERAGE('11.08 BUSUNJU-KAMPALA'!C30,'12.08 BUSUNJU-KAMPALA'!C30,'13.08 BUSUNJU-KAMPALA'!C30,'14.08 BUSUNJU-KAMPALA'!C30,'15.08 BUSUNJU-KAMPALA'!C30),0)</f>
        <v>1</v>
      </c>
      <c r="D78" s="50">
        <f>ROUND(0.5*AVERAGE('11.08 BUSUNJU-KAMPALA'!D30,'12.08 BUSUNJU-KAMPALA'!D30,'13.08 BUSUNJU-KAMPALA'!D30,'14.08 BUSUNJU-KAMPALA'!D30,'15.08 BUSUNJU-KAMPALA'!D30),0)</f>
        <v>0</v>
      </c>
      <c r="E78" s="50">
        <f>ROUND(0.5*AVERAGE('11.08 BUSUNJU-KAMPALA'!E30,'12.08 BUSUNJU-KAMPALA'!E30,'13.08 BUSUNJU-KAMPALA'!E30,'14.08 BUSUNJU-KAMPALA'!E30,'15.08 BUSUNJU-KAMPALA'!E30),0)</f>
        <v>1</v>
      </c>
      <c r="F78" s="50">
        <f>ROUND(0.5*AVERAGE('11.08 BUSUNJU-KAMPALA'!F30,'12.08 BUSUNJU-KAMPALA'!F30,'13.08 BUSUNJU-KAMPALA'!F30,'14.08 BUSUNJU-KAMPALA'!F30,'15.08 BUSUNJU-KAMPALA'!F30),0)</f>
        <v>0</v>
      </c>
      <c r="G78" s="50">
        <f>ROUND(0.5*AVERAGE('11.08 BUSUNJU-KAMPALA'!G30,'12.08 BUSUNJU-KAMPALA'!G30,'13.08 BUSUNJU-KAMPALA'!G30,'14.08 BUSUNJU-KAMPALA'!G30,'15.08 BUSUNJU-KAMPALA'!G30),0)</f>
        <v>0</v>
      </c>
      <c r="H78" s="50">
        <f>ROUND(0.5*AVERAGE('11.08 BUSUNJU-KAMPALA'!H30,'12.08 BUSUNJU-KAMPALA'!H30,'13.08 BUSUNJU-KAMPALA'!H30,'14.08 BUSUNJU-KAMPALA'!H30,'15.08 BUSUNJU-KAMPALA'!H30),0)</f>
        <v>0</v>
      </c>
      <c r="I78" s="50">
        <f>ROUND(0.5*AVERAGE('11.08 BUSUNJU-KAMPALA'!I30,'12.08 BUSUNJU-KAMPALA'!I30,'13.08 BUSUNJU-KAMPALA'!I30,'14.08 BUSUNJU-KAMPALA'!I30,'15.08 BUSUNJU-KAMPALA'!I30),0)</f>
        <v>0</v>
      </c>
      <c r="J78" s="50">
        <f>ROUND(0.5*AVERAGE('11.08 BUSUNJU-KAMPALA'!J30,'12.08 BUSUNJU-KAMPALA'!J30,'13.08 BUSUNJU-KAMPALA'!J30,'14.08 BUSUNJU-KAMPALA'!J30,'15.08 BUSUNJU-KAMPALA'!J30),0)</f>
        <v>0</v>
      </c>
      <c r="K78" s="50">
        <f>ROUND(0.5*AVERAGE('11.08 BUSUNJU-KAMPALA'!K30,'12.08 BUSUNJU-KAMPALA'!K30,'13.08 BUSUNJU-KAMPALA'!K30,'14.08 BUSUNJU-KAMPALA'!K30,'15.08 BUSUNJU-KAMPALA'!K30),0)</f>
        <v>0</v>
      </c>
      <c r="L78" s="50">
        <f>ROUND(0.5*AVERAGE('11.08 BUSUNJU-KAMPALA'!L30,'12.08 BUSUNJU-KAMPALA'!L30,'13.08 BUSUNJU-KAMPALA'!L30,'14.08 BUSUNJU-KAMPALA'!L30,'15.08 BUSUNJU-KAMPALA'!L30),0)</f>
        <v>0</v>
      </c>
      <c r="M78" s="50">
        <f>ROUND(0.5*AVERAGE('11.08 BUSUNJU-KAMPALA'!M30,'12.08 BUSUNJU-KAMPALA'!M30,'13.08 BUSUNJU-KAMPALA'!M30,'14.08 BUSUNJU-KAMPALA'!M30,'15.08 BUSUNJU-KAMPALA'!M30),0)</f>
        <v>8</v>
      </c>
      <c r="N78" s="50">
        <f>ROUND(0.5*AVERAGE('11.08 BUSUNJU-KAMPALA'!N30,'12.08 BUSUNJU-KAMPALA'!N30,'13.08 BUSUNJU-KAMPALA'!N30,'14.08 BUSUNJU-KAMPALA'!N30,'15.08 BUSUNJU-KAMPALA'!N30),0)</f>
        <v>0</v>
      </c>
      <c r="O78" s="15">
        <f t="shared" si="35"/>
        <v>2</v>
      </c>
      <c r="P78" s="15">
        <f t="shared" si="36"/>
        <v>10</v>
      </c>
      <c r="R78" s="8"/>
      <c r="T78"/>
    </row>
    <row r="79" spans="2:20" ht="23.1" customHeight="1" x14ac:dyDescent="0.25">
      <c r="B79" s="45" t="s">
        <v>119</v>
      </c>
      <c r="C79" s="50">
        <f>ROUND(0.5*AVERAGE('11.08 BUSUNJU-KAMPALA'!C31,'12.08 BUSUNJU-KAMPALA'!C31,'13.08 BUSUNJU-KAMPALA'!C31,'14.08 BUSUNJU-KAMPALA'!C31,'15.08 BUSUNJU-KAMPALA'!C31),0)</f>
        <v>0</v>
      </c>
      <c r="D79" s="50">
        <f>ROUND(0.5*AVERAGE('11.08 BUSUNJU-KAMPALA'!D31,'12.08 BUSUNJU-KAMPALA'!D31,'13.08 BUSUNJU-KAMPALA'!D31,'14.08 BUSUNJU-KAMPALA'!D31,'15.08 BUSUNJU-KAMPALA'!D31),0)</f>
        <v>0</v>
      </c>
      <c r="E79" s="50">
        <f>ROUND(0.5*AVERAGE('11.08 BUSUNJU-KAMPALA'!E31,'12.08 BUSUNJU-KAMPALA'!E31,'13.08 BUSUNJU-KAMPALA'!E31,'14.08 BUSUNJU-KAMPALA'!E31,'15.08 BUSUNJU-KAMPALA'!E31),0)</f>
        <v>0</v>
      </c>
      <c r="F79" s="50">
        <f>ROUND(0.5*AVERAGE('11.08 BUSUNJU-KAMPALA'!F31,'12.08 BUSUNJU-KAMPALA'!F31,'13.08 BUSUNJU-KAMPALA'!F31,'14.08 BUSUNJU-KAMPALA'!F31,'15.08 BUSUNJU-KAMPALA'!F31),0)</f>
        <v>0</v>
      </c>
      <c r="G79" s="50">
        <f>ROUND(0.5*AVERAGE('11.08 BUSUNJU-KAMPALA'!G31,'12.08 BUSUNJU-KAMPALA'!G31,'13.08 BUSUNJU-KAMPALA'!G31,'14.08 BUSUNJU-KAMPALA'!G31,'15.08 BUSUNJU-KAMPALA'!G31),0)</f>
        <v>0</v>
      </c>
      <c r="H79" s="50">
        <f>ROUND(0.5*AVERAGE('11.08 BUSUNJU-KAMPALA'!H31,'12.08 BUSUNJU-KAMPALA'!H31,'13.08 BUSUNJU-KAMPALA'!H31,'14.08 BUSUNJU-KAMPALA'!H31,'15.08 BUSUNJU-KAMPALA'!H31),0)</f>
        <v>0</v>
      </c>
      <c r="I79" s="50">
        <f>ROUND(0.5*AVERAGE('11.08 BUSUNJU-KAMPALA'!I31,'12.08 BUSUNJU-KAMPALA'!I31,'13.08 BUSUNJU-KAMPALA'!I31,'14.08 BUSUNJU-KAMPALA'!I31,'15.08 BUSUNJU-KAMPALA'!I31),0)</f>
        <v>1</v>
      </c>
      <c r="J79" s="50">
        <f>ROUND(0.5*AVERAGE('11.08 BUSUNJU-KAMPALA'!J31,'12.08 BUSUNJU-KAMPALA'!J31,'13.08 BUSUNJU-KAMPALA'!J31,'14.08 BUSUNJU-KAMPALA'!J31,'15.08 BUSUNJU-KAMPALA'!J31),0)</f>
        <v>0</v>
      </c>
      <c r="K79" s="50">
        <f>ROUND(0.5*AVERAGE('11.08 BUSUNJU-KAMPALA'!K31,'12.08 BUSUNJU-KAMPALA'!K31,'13.08 BUSUNJU-KAMPALA'!K31,'14.08 BUSUNJU-KAMPALA'!K31,'15.08 BUSUNJU-KAMPALA'!K31),0)</f>
        <v>0</v>
      </c>
      <c r="L79" s="50">
        <f>ROUND(0.5*AVERAGE('11.08 BUSUNJU-KAMPALA'!L31,'12.08 BUSUNJU-KAMPALA'!L31,'13.08 BUSUNJU-KAMPALA'!L31,'14.08 BUSUNJU-KAMPALA'!L31,'15.08 BUSUNJU-KAMPALA'!L31),0)</f>
        <v>0</v>
      </c>
      <c r="M79" s="50">
        <f>ROUND(0.5*AVERAGE('11.08 BUSUNJU-KAMPALA'!M31,'12.08 BUSUNJU-KAMPALA'!M31,'13.08 BUSUNJU-KAMPALA'!M31,'14.08 BUSUNJU-KAMPALA'!M31,'15.08 BUSUNJU-KAMPALA'!M31),0)</f>
        <v>7</v>
      </c>
      <c r="N79" s="50">
        <f>ROUND(0.5*AVERAGE('11.08 BUSUNJU-KAMPALA'!N31,'12.08 BUSUNJU-KAMPALA'!N31,'13.08 BUSUNJU-KAMPALA'!N31,'14.08 BUSUNJU-KAMPALA'!N31,'15.08 BUSUNJU-KAMPALA'!N31),0)</f>
        <v>0</v>
      </c>
      <c r="O79" s="15">
        <f t="shared" si="35"/>
        <v>1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f>ROUND(0.3*AVERAGE('11.08 BUSUNJU-KAMPALA'!C32,'12.08 BUSUNJU-KAMPALA'!C32,'13.08 BUSUNJU-KAMPALA'!C32,'14.08 BUSUNJU-KAMPALA'!C32,'15.08 BUSUNJU-KAMPALA'!C32),0)</f>
        <v>0</v>
      </c>
      <c r="D80" s="50">
        <f>ROUND(0.3*AVERAGE('11.08 BUSUNJU-KAMPALA'!D32,'12.08 BUSUNJU-KAMPALA'!D32,'13.08 BUSUNJU-KAMPALA'!D32,'14.08 BUSUNJU-KAMPALA'!D32,'15.08 BUSUNJU-KAMPALA'!D32),0)</f>
        <v>0</v>
      </c>
      <c r="E80" s="50">
        <f>ROUND(0.3*AVERAGE('11.08 BUSUNJU-KAMPALA'!E32,'12.08 BUSUNJU-KAMPALA'!E32,'13.08 BUSUNJU-KAMPALA'!E32,'14.08 BUSUNJU-KAMPALA'!E32,'15.08 BUSUNJU-KAMPALA'!E32),0)</f>
        <v>0</v>
      </c>
      <c r="F80" s="50">
        <f>ROUND(0.3*AVERAGE('11.08 BUSUNJU-KAMPALA'!F32,'12.08 BUSUNJU-KAMPALA'!F32,'13.08 BUSUNJU-KAMPALA'!F32,'14.08 BUSUNJU-KAMPALA'!F32,'15.08 BUSUNJU-KAMPALA'!F32),0)</f>
        <v>0</v>
      </c>
      <c r="G80" s="50">
        <f>ROUND(0.3*AVERAGE('11.08 BUSUNJU-KAMPALA'!G32,'12.08 BUSUNJU-KAMPALA'!G32,'13.08 BUSUNJU-KAMPALA'!G32,'14.08 BUSUNJU-KAMPALA'!G32,'15.08 BUSUNJU-KAMPALA'!G32),0)</f>
        <v>0</v>
      </c>
      <c r="H80" s="50">
        <f>ROUND(0.3*AVERAGE('11.08 BUSUNJU-KAMPALA'!H32,'12.08 BUSUNJU-KAMPALA'!H32,'13.08 BUSUNJU-KAMPALA'!H32,'14.08 BUSUNJU-KAMPALA'!H32,'15.08 BUSUNJU-KAMPALA'!H32),0)</f>
        <v>0</v>
      </c>
      <c r="I80" s="50">
        <f>ROUND(0.3*AVERAGE('11.08 BUSUNJU-KAMPALA'!I32,'12.08 BUSUNJU-KAMPALA'!I32,'13.08 BUSUNJU-KAMPALA'!I32,'14.08 BUSUNJU-KAMPALA'!I32,'15.08 BUSUNJU-KAMPALA'!I32),0)</f>
        <v>1</v>
      </c>
      <c r="J80" s="50">
        <f>ROUND(0.3*AVERAGE('11.08 BUSUNJU-KAMPALA'!J32,'12.08 BUSUNJU-KAMPALA'!J32,'13.08 BUSUNJU-KAMPALA'!J32,'14.08 BUSUNJU-KAMPALA'!J32,'15.08 BUSUNJU-KAMPALA'!J32),0)</f>
        <v>0</v>
      </c>
      <c r="K80" s="50">
        <f>ROUND(0.3*AVERAGE('11.08 BUSUNJU-KAMPALA'!K32,'12.08 BUSUNJU-KAMPALA'!K32,'13.08 BUSUNJU-KAMPALA'!K32,'14.08 BUSUNJU-KAMPALA'!K32,'15.08 BUSUNJU-KAMPALA'!K32),0)</f>
        <v>0</v>
      </c>
      <c r="L80" s="50">
        <f>ROUND(0.3*AVERAGE('11.08 BUSUNJU-KAMPALA'!L32,'12.08 BUSUNJU-KAMPALA'!L32,'13.08 BUSUNJU-KAMPALA'!L32,'14.08 BUSUNJU-KAMPALA'!L32,'15.08 BUSUNJU-KAMPALA'!L32),0)</f>
        <v>0</v>
      </c>
      <c r="M80" s="50">
        <f>ROUND(0.3*AVERAGE('11.08 BUSUNJU-KAMPALA'!M32,'12.08 BUSUNJU-KAMPALA'!M32,'13.08 BUSUNJU-KAMPALA'!M32,'14.08 BUSUNJU-KAMPALA'!M32,'15.08 BUSUNJU-KAMPALA'!M32),0)</f>
        <v>5</v>
      </c>
      <c r="N80" s="50">
        <f>ROUND(0.3*AVERAGE('11.08 BUSUNJU-KAMPALA'!N32,'12.08 BUSUNJU-KAMPALA'!N32,'13.08 BUSUNJU-KAMPALA'!N32,'14.08 BUSUNJU-KAMPALA'!N32,'15.08 BUSUNJU-KAMPALA'!N32),0)</f>
        <v>0</v>
      </c>
      <c r="O80" s="15">
        <f t="shared" si="35"/>
        <v>1</v>
      </c>
      <c r="P80" s="15">
        <f t="shared" si="36"/>
        <v>6</v>
      </c>
      <c r="R80" s="8"/>
      <c r="T80"/>
    </row>
    <row r="81" spans="2:20" ht="23.1" customHeight="1" x14ac:dyDescent="0.25">
      <c r="B81" s="45" t="s">
        <v>121</v>
      </c>
      <c r="C81" s="50">
        <f>ROUND(0.3*AVERAGE('11.08 BUSUNJU-KAMPALA'!C33,'12.08 BUSUNJU-KAMPALA'!C33,'13.08 BUSUNJU-KAMPALA'!C33,'14.08 BUSUNJU-KAMPALA'!C33,'15.08 BUSUNJU-KAMPALA'!C33),0)</f>
        <v>0</v>
      </c>
      <c r="D81" s="50">
        <f>ROUND(0.3*AVERAGE('11.08 BUSUNJU-KAMPALA'!D33,'12.08 BUSUNJU-KAMPALA'!D33,'13.08 BUSUNJU-KAMPALA'!D33,'14.08 BUSUNJU-KAMPALA'!D33,'15.08 BUSUNJU-KAMPALA'!D33),0)</f>
        <v>0</v>
      </c>
      <c r="E81" s="50">
        <f>ROUND(0.3*AVERAGE('11.08 BUSUNJU-KAMPALA'!E33,'12.08 BUSUNJU-KAMPALA'!E33,'13.08 BUSUNJU-KAMPALA'!E33,'14.08 BUSUNJU-KAMPALA'!E33,'15.08 BUSUNJU-KAMPALA'!E33),0)</f>
        <v>0</v>
      </c>
      <c r="F81" s="50">
        <f>ROUND(0.3*AVERAGE('11.08 BUSUNJU-KAMPALA'!F33,'12.08 BUSUNJU-KAMPALA'!F33,'13.08 BUSUNJU-KAMPALA'!F33,'14.08 BUSUNJU-KAMPALA'!F33,'15.08 BUSUNJU-KAMPALA'!F33),0)</f>
        <v>0</v>
      </c>
      <c r="G81" s="50">
        <f>ROUND(0.3*AVERAGE('11.08 BUSUNJU-KAMPALA'!G33,'12.08 BUSUNJU-KAMPALA'!G33,'13.08 BUSUNJU-KAMPALA'!G33,'14.08 BUSUNJU-KAMPALA'!G33,'15.08 BUSUNJU-KAMPALA'!G33),0)</f>
        <v>0</v>
      </c>
      <c r="H81" s="50">
        <f>ROUND(0.3*AVERAGE('11.08 BUSUNJU-KAMPALA'!H33,'12.08 BUSUNJU-KAMPALA'!H33,'13.08 BUSUNJU-KAMPALA'!H33,'14.08 BUSUNJU-KAMPALA'!H33,'15.08 BUSUNJU-KAMPALA'!H33),0)</f>
        <v>0</v>
      </c>
      <c r="I81" s="50">
        <f>ROUND(0.3*AVERAGE('11.08 BUSUNJU-KAMPALA'!I33,'12.08 BUSUNJU-KAMPALA'!I33,'13.08 BUSUNJU-KAMPALA'!I33,'14.08 BUSUNJU-KAMPALA'!I33,'15.08 BUSUNJU-KAMPALA'!I33),0)</f>
        <v>0</v>
      </c>
      <c r="J81" s="50">
        <f>ROUND(0.3*AVERAGE('11.08 BUSUNJU-KAMPALA'!J33,'12.08 BUSUNJU-KAMPALA'!J33,'13.08 BUSUNJU-KAMPALA'!J33,'14.08 BUSUNJU-KAMPALA'!J33,'15.08 BUSUNJU-KAMPALA'!J33),0)</f>
        <v>0</v>
      </c>
      <c r="K81" s="50">
        <f>ROUND(0.3*AVERAGE('11.08 BUSUNJU-KAMPALA'!K33,'12.08 BUSUNJU-KAMPALA'!K33,'13.08 BUSUNJU-KAMPALA'!K33,'14.08 BUSUNJU-KAMPALA'!K33,'15.08 BUSUNJU-KAMPALA'!K33),0)</f>
        <v>0</v>
      </c>
      <c r="L81" s="50">
        <f>ROUND(0.3*AVERAGE('11.08 BUSUNJU-KAMPALA'!L33,'12.08 BUSUNJU-KAMPALA'!L33,'13.08 BUSUNJU-KAMPALA'!L33,'14.08 BUSUNJU-KAMPALA'!L33,'15.08 BUSUNJU-KAMPALA'!L33),0)</f>
        <v>0</v>
      </c>
      <c r="M81" s="50">
        <f>ROUND(0.3*AVERAGE('11.08 BUSUNJU-KAMPALA'!M33,'12.08 BUSUNJU-KAMPALA'!M33,'13.08 BUSUNJU-KAMPALA'!M33,'14.08 BUSUNJU-KAMPALA'!M33,'15.08 BUSUNJU-KAMPALA'!M33),0)</f>
        <v>5</v>
      </c>
      <c r="N81" s="50">
        <f>ROUND(0.3*AVERAGE('11.08 BUSUNJU-KAMPALA'!N33,'12.08 BUSUNJU-KAMPALA'!N33,'13.08 BUSUNJU-KAMPALA'!N33,'14.08 BUSUNJU-KAMPALA'!N33,'15.08 BUSUNJU-KAMPALA'!N33),0)</f>
        <v>0</v>
      </c>
      <c r="O81" s="15">
        <f t="shared" si="35"/>
        <v>0</v>
      </c>
      <c r="P81" s="15">
        <f t="shared" si="36"/>
        <v>5</v>
      </c>
      <c r="R81" s="8"/>
      <c r="T81"/>
    </row>
    <row r="82" spans="2:20" ht="23.1" customHeight="1" x14ac:dyDescent="0.25">
      <c r="B82" s="46" t="s">
        <v>122</v>
      </c>
      <c r="C82" s="50">
        <f>ROUND(0.3*AVERAGE('11.08 BUSUNJU-KAMPALA'!C34,'12.08 BUSUNJU-KAMPALA'!C34,'13.08 BUSUNJU-KAMPALA'!C34,'14.08 BUSUNJU-KAMPALA'!C34,'15.08 BUSUNJU-KAMPALA'!C34),0)</f>
        <v>0</v>
      </c>
      <c r="D82" s="50">
        <f>ROUND(0.3*AVERAGE('11.08 BUSUNJU-KAMPALA'!D34,'12.08 BUSUNJU-KAMPALA'!D34,'13.08 BUSUNJU-KAMPALA'!D34,'14.08 BUSUNJU-KAMPALA'!D34,'15.08 BUSUNJU-KAMPALA'!D34),0)</f>
        <v>0</v>
      </c>
      <c r="E82" s="50">
        <f>ROUND(0.3*AVERAGE('11.08 BUSUNJU-KAMPALA'!E34,'12.08 BUSUNJU-KAMPALA'!E34,'13.08 BUSUNJU-KAMPALA'!E34,'14.08 BUSUNJU-KAMPALA'!E34,'15.08 BUSUNJU-KAMPALA'!E34),0)</f>
        <v>0</v>
      </c>
      <c r="F82" s="50">
        <f>ROUND(0.3*AVERAGE('11.08 BUSUNJU-KAMPALA'!F34,'12.08 BUSUNJU-KAMPALA'!F34,'13.08 BUSUNJU-KAMPALA'!F34,'14.08 BUSUNJU-KAMPALA'!F34,'15.08 BUSUNJU-KAMPALA'!F34),0)</f>
        <v>0</v>
      </c>
      <c r="G82" s="50">
        <f>ROUND(0.3*AVERAGE('11.08 BUSUNJU-KAMPALA'!G34,'12.08 BUSUNJU-KAMPALA'!G34,'13.08 BUSUNJU-KAMPALA'!G34,'14.08 BUSUNJU-KAMPALA'!G34,'15.08 BUSUNJU-KAMPALA'!G34),0)</f>
        <v>0</v>
      </c>
      <c r="H82" s="50">
        <f>ROUND(0.3*AVERAGE('11.08 BUSUNJU-KAMPALA'!H34,'12.08 BUSUNJU-KAMPALA'!H34,'13.08 BUSUNJU-KAMPALA'!H34,'14.08 BUSUNJU-KAMPALA'!H34,'15.08 BUSUNJU-KAMPALA'!H34),0)</f>
        <v>0</v>
      </c>
      <c r="I82" s="50">
        <f>ROUND(0.3*AVERAGE('11.08 BUSUNJU-KAMPALA'!I34,'12.08 BUSUNJU-KAMPALA'!I34,'13.08 BUSUNJU-KAMPALA'!I34,'14.08 BUSUNJU-KAMPALA'!I34,'15.08 BUSUNJU-KAMPALA'!I34),0)</f>
        <v>0</v>
      </c>
      <c r="J82" s="50">
        <f>ROUND(0.3*AVERAGE('11.08 BUSUNJU-KAMPALA'!J34,'12.08 BUSUNJU-KAMPALA'!J34,'13.08 BUSUNJU-KAMPALA'!J34,'14.08 BUSUNJU-KAMPALA'!J34,'15.08 BUSUNJU-KAMPALA'!J34),0)</f>
        <v>0</v>
      </c>
      <c r="K82" s="50">
        <f>ROUND(0.3*AVERAGE('11.08 BUSUNJU-KAMPALA'!K34,'12.08 BUSUNJU-KAMPALA'!K34,'13.08 BUSUNJU-KAMPALA'!K34,'14.08 BUSUNJU-KAMPALA'!K34,'15.08 BUSUNJU-KAMPALA'!K34),0)</f>
        <v>0</v>
      </c>
      <c r="L82" s="50">
        <f>ROUND(0.3*AVERAGE('11.08 BUSUNJU-KAMPALA'!L34,'12.08 BUSUNJU-KAMPALA'!L34,'13.08 BUSUNJU-KAMPALA'!L34,'14.08 BUSUNJU-KAMPALA'!L34,'15.08 BUSUNJU-KAMPALA'!L34),0)</f>
        <v>0</v>
      </c>
      <c r="M82" s="50">
        <f>ROUND(0.3*AVERAGE('11.08 BUSUNJU-KAMPALA'!M34,'12.08 BUSUNJU-KAMPALA'!M34,'13.08 BUSUNJU-KAMPALA'!M34,'14.08 BUSUNJU-KAMPALA'!M34,'15.08 BUSUNJU-KAMPALA'!M34),0)</f>
        <v>4</v>
      </c>
      <c r="N82" s="50">
        <f>ROUND(0.3*AVERAGE('11.08 BUSUNJU-KAMPALA'!N34,'12.08 BUSUNJU-KAMPALA'!N34,'13.08 BUSUNJU-KAMPALA'!N34,'14.08 BUSUNJU-KAMPALA'!N34,'15.08 BUSUNJU-KAMPALA'!N34),0)</f>
        <v>0</v>
      </c>
      <c r="O82" s="15">
        <f t="shared" si="35"/>
        <v>0</v>
      </c>
      <c r="P82" s="15">
        <f t="shared" si="36"/>
        <v>4</v>
      </c>
      <c r="R82" s="8"/>
      <c r="T82"/>
    </row>
    <row r="83" spans="2:20" ht="23.1" customHeight="1" x14ac:dyDescent="0.25">
      <c r="B83" s="45" t="s">
        <v>123</v>
      </c>
      <c r="C83" s="50">
        <f>ROUND(0.3*AVERAGE('11.08 BUSUNJU-KAMPALA'!C35,'12.08 BUSUNJU-KAMPALA'!C35,'13.08 BUSUNJU-KAMPALA'!C35,'14.08 BUSUNJU-KAMPALA'!C35,'15.08 BUSUNJU-KAMPALA'!C35),0)</f>
        <v>0</v>
      </c>
      <c r="D83" s="50">
        <f>ROUND(0.3*AVERAGE('11.08 BUSUNJU-KAMPALA'!D35,'12.08 BUSUNJU-KAMPALA'!D35,'13.08 BUSUNJU-KAMPALA'!D35,'14.08 BUSUNJU-KAMPALA'!D35,'15.08 BUSUNJU-KAMPALA'!D35),0)</f>
        <v>0</v>
      </c>
      <c r="E83" s="50">
        <f>ROUND(0.3*AVERAGE('11.08 BUSUNJU-KAMPALA'!E35,'12.08 BUSUNJU-KAMPALA'!E35,'13.08 BUSUNJU-KAMPALA'!E35,'14.08 BUSUNJU-KAMPALA'!E35,'15.08 BUSUNJU-KAMPALA'!E35),0)</f>
        <v>0</v>
      </c>
      <c r="F83" s="50">
        <f>ROUND(0.3*AVERAGE('11.08 BUSUNJU-KAMPALA'!F35,'12.08 BUSUNJU-KAMPALA'!F35,'13.08 BUSUNJU-KAMPALA'!F35,'14.08 BUSUNJU-KAMPALA'!F35,'15.08 BUSUNJU-KAMPALA'!F35),0)</f>
        <v>0</v>
      </c>
      <c r="G83" s="50">
        <f>ROUND(0.3*AVERAGE('11.08 BUSUNJU-KAMPALA'!G35,'12.08 BUSUNJU-KAMPALA'!G35,'13.08 BUSUNJU-KAMPALA'!G35,'14.08 BUSUNJU-KAMPALA'!G35,'15.08 BUSUNJU-KAMPALA'!G35),0)</f>
        <v>0</v>
      </c>
      <c r="H83" s="50">
        <f>ROUND(0.3*AVERAGE('11.08 BUSUNJU-KAMPALA'!H35,'12.08 BUSUNJU-KAMPALA'!H35,'13.08 BUSUNJU-KAMPALA'!H35,'14.08 BUSUNJU-KAMPALA'!H35,'15.08 BUSUNJU-KAMPALA'!H35),0)</f>
        <v>0</v>
      </c>
      <c r="I83" s="50">
        <f>ROUND(0.3*AVERAGE('11.08 BUSUNJU-KAMPALA'!I35,'12.08 BUSUNJU-KAMPALA'!I35,'13.08 BUSUNJU-KAMPALA'!I35,'14.08 BUSUNJU-KAMPALA'!I35,'15.08 BUSUNJU-KAMPALA'!I35),0)</f>
        <v>0</v>
      </c>
      <c r="J83" s="50">
        <f>ROUND(0.3*AVERAGE('11.08 BUSUNJU-KAMPALA'!J35,'12.08 BUSUNJU-KAMPALA'!J35,'13.08 BUSUNJU-KAMPALA'!J35,'14.08 BUSUNJU-KAMPALA'!J35,'15.08 BUSUNJU-KAMPALA'!J35),0)</f>
        <v>0</v>
      </c>
      <c r="K83" s="50">
        <f>ROUND(0.3*AVERAGE('11.08 BUSUNJU-KAMPALA'!K35,'12.08 BUSUNJU-KAMPALA'!K35,'13.08 BUSUNJU-KAMPALA'!K35,'14.08 BUSUNJU-KAMPALA'!K35,'15.08 BUSUNJU-KAMPALA'!K35),0)</f>
        <v>0</v>
      </c>
      <c r="L83" s="50">
        <f>ROUND(0.3*AVERAGE('11.08 BUSUNJU-KAMPALA'!L35,'12.08 BUSUNJU-KAMPALA'!L35,'13.08 BUSUNJU-KAMPALA'!L35,'14.08 BUSUNJU-KAMPALA'!L35,'15.08 BUSUNJU-KAMPALA'!L35),0)</f>
        <v>0</v>
      </c>
      <c r="M83" s="50">
        <f>ROUND(0.3*AVERAGE('11.08 BUSUNJU-KAMPALA'!M35,'12.08 BUSUNJU-KAMPALA'!M35,'13.08 BUSUNJU-KAMPALA'!M35,'14.08 BUSUNJU-KAMPALA'!M35,'15.08 BUSUNJU-KAMPALA'!M35),0)</f>
        <v>4</v>
      </c>
      <c r="N83" s="50">
        <f>ROUND(0.3*AVERAGE('11.08 BUSUNJU-KAMPALA'!N35,'12.08 BUSUNJU-KAMPALA'!N35,'13.08 BUSUNJU-KAMPALA'!N35,'14.08 BUSUNJU-KAMPALA'!N35,'15.08 BUSUNJU-KAMPALA'!N35),0)</f>
        <v>0</v>
      </c>
      <c r="O83" s="15">
        <f t="shared" si="35"/>
        <v>0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f>ROUND(0.3*AVERAGE('11.08 BUSUNJU-KAMPALA'!C36,'12.08 BUSUNJU-KAMPALA'!C36,'13.08 BUSUNJU-KAMPALA'!C36,'14.08 BUSUNJU-KAMPALA'!C36,'15.08 BUSUNJU-KAMPALA'!C36),0)</f>
        <v>0</v>
      </c>
      <c r="D84" s="50">
        <f>ROUND(0.3*AVERAGE('11.08 BUSUNJU-KAMPALA'!D36,'12.08 BUSUNJU-KAMPALA'!D36,'13.08 BUSUNJU-KAMPALA'!D36,'14.08 BUSUNJU-KAMPALA'!D36,'15.08 BUSUNJU-KAMPALA'!D36),0)</f>
        <v>0</v>
      </c>
      <c r="E84" s="50">
        <f>ROUND(0.3*AVERAGE('11.08 BUSUNJU-KAMPALA'!E36,'12.08 BUSUNJU-KAMPALA'!E36,'13.08 BUSUNJU-KAMPALA'!E36,'14.08 BUSUNJU-KAMPALA'!E36,'15.08 BUSUNJU-KAMPALA'!E36),0)</f>
        <v>0</v>
      </c>
      <c r="F84" s="50">
        <f>ROUND(0.3*AVERAGE('11.08 BUSUNJU-KAMPALA'!F36,'12.08 BUSUNJU-KAMPALA'!F36,'13.08 BUSUNJU-KAMPALA'!F36,'14.08 BUSUNJU-KAMPALA'!F36,'15.08 BUSUNJU-KAMPALA'!F36),0)</f>
        <v>0</v>
      </c>
      <c r="G84" s="50">
        <f>ROUND(0.3*AVERAGE('11.08 BUSUNJU-KAMPALA'!G36,'12.08 BUSUNJU-KAMPALA'!G36,'13.08 BUSUNJU-KAMPALA'!G36,'14.08 BUSUNJU-KAMPALA'!G36,'15.08 BUSUNJU-KAMPALA'!G36),0)</f>
        <v>0</v>
      </c>
      <c r="H84" s="50">
        <f>ROUND(0.3*AVERAGE('11.08 BUSUNJU-KAMPALA'!H36,'12.08 BUSUNJU-KAMPALA'!H36,'13.08 BUSUNJU-KAMPALA'!H36,'14.08 BUSUNJU-KAMPALA'!H36,'15.08 BUSUNJU-KAMPALA'!H36),0)</f>
        <v>0</v>
      </c>
      <c r="I84" s="50">
        <f>ROUND(0.3*AVERAGE('11.08 BUSUNJU-KAMPALA'!I36,'12.08 BUSUNJU-KAMPALA'!I36,'13.08 BUSUNJU-KAMPALA'!I36,'14.08 BUSUNJU-KAMPALA'!I36,'15.08 BUSUNJU-KAMPALA'!I36),0)</f>
        <v>0</v>
      </c>
      <c r="J84" s="50">
        <f>ROUND(0.3*AVERAGE('11.08 BUSUNJU-KAMPALA'!J36,'12.08 BUSUNJU-KAMPALA'!J36,'13.08 BUSUNJU-KAMPALA'!J36,'14.08 BUSUNJU-KAMPALA'!J36,'15.08 BUSUNJU-KAMPALA'!J36),0)</f>
        <v>0</v>
      </c>
      <c r="K84" s="50">
        <f>ROUND(0.3*AVERAGE('11.08 BUSUNJU-KAMPALA'!K36,'12.08 BUSUNJU-KAMPALA'!K36,'13.08 BUSUNJU-KAMPALA'!K36,'14.08 BUSUNJU-KAMPALA'!K36,'15.08 BUSUNJU-KAMPALA'!K36),0)</f>
        <v>0</v>
      </c>
      <c r="L84" s="50">
        <f>ROUND(0.3*AVERAGE('11.08 BUSUNJU-KAMPALA'!L36,'12.08 BUSUNJU-KAMPALA'!L36,'13.08 BUSUNJU-KAMPALA'!L36,'14.08 BUSUNJU-KAMPALA'!L36,'15.08 BUSUNJU-KAMPALA'!L36),0)</f>
        <v>0</v>
      </c>
      <c r="M84" s="50">
        <f>ROUND(0.3*AVERAGE('11.08 BUSUNJU-KAMPALA'!M36,'12.08 BUSUNJU-KAMPALA'!M36,'13.08 BUSUNJU-KAMPALA'!M36,'14.08 BUSUNJU-KAMPALA'!M36,'15.08 BUSUNJU-KAMPALA'!M36),0)</f>
        <v>4</v>
      </c>
      <c r="N84" s="50">
        <f>ROUND(0.3*AVERAGE('11.08 BUSUNJU-KAMPALA'!N36,'12.08 BUSUNJU-KAMPALA'!N36,'13.08 BUSUNJU-KAMPALA'!N36,'14.08 BUSUNJU-KAMPALA'!N36,'15.08 BUSUNJU-KAMPALA'!N36),0)</f>
        <v>0</v>
      </c>
      <c r="O84" s="15">
        <f t="shared" si="35"/>
        <v>0</v>
      </c>
      <c r="P84" s="15">
        <f t="shared" si="36"/>
        <v>4</v>
      </c>
      <c r="R84" s="8"/>
      <c r="T84"/>
    </row>
    <row r="85" spans="2:20" ht="23.1" customHeight="1" x14ac:dyDescent="0.25">
      <c r="B85" s="45" t="s">
        <v>125</v>
      </c>
      <c r="C85" s="50">
        <f>ROUND(0.3*AVERAGE('11.08 BUSUNJU-KAMPALA'!C37,'12.08 BUSUNJU-KAMPALA'!C37,'13.08 BUSUNJU-KAMPALA'!C37,'14.08 BUSUNJU-KAMPALA'!C37,'15.08 BUSUNJU-KAMPALA'!C37),0)</f>
        <v>0</v>
      </c>
      <c r="D85" s="50">
        <f>ROUND(0.3*AVERAGE('11.08 BUSUNJU-KAMPALA'!D37,'12.08 BUSUNJU-KAMPALA'!D37,'13.08 BUSUNJU-KAMPALA'!D37,'14.08 BUSUNJU-KAMPALA'!D37,'15.08 BUSUNJU-KAMPALA'!D37),0)</f>
        <v>0</v>
      </c>
      <c r="E85" s="50">
        <f>ROUND(0.3*AVERAGE('11.08 BUSUNJU-KAMPALA'!E37,'12.08 BUSUNJU-KAMPALA'!E37,'13.08 BUSUNJU-KAMPALA'!E37,'14.08 BUSUNJU-KAMPALA'!E37,'15.08 BUSUNJU-KAMPALA'!E37),0)</f>
        <v>0</v>
      </c>
      <c r="F85" s="50">
        <f>ROUND(0.3*AVERAGE('11.08 BUSUNJU-KAMPALA'!F37,'12.08 BUSUNJU-KAMPALA'!F37,'13.08 BUSUNJU-KAMPALA'!F37,'14.08 BUSUNJU-KAMPALA'!F37,'15.08 BUSUNJU-KAMPALA'!F37),0)</f>
        <v>0</v>
      </c>
      <c r="G85" s="50">
        <f>ROUND(0.3*AVERAGE('11.08 BUSUNJU-KAMPALA'!G37,'12.08 BUSUNJU-KAMPALA'!G37,'13.08 BUSUNJU-KAMPALA'!G37,'14.08 BUSUNJU-KAMPALA'!G37,'15.08 BUSUNJU-KAMPALA'!G37),0)</f>
        <v>0</v>
      </c>
      <c r="H85" s="50">
        <f>ROUND(0.3*AVERAGE('11.08 BUSUNJU-KAMPALA'!H37,'12.08 BUSUNJU-KAMPALA'!H37,'13.08 BUSUNJU-KAMPALA'!H37,'14.08 BUSUNJU-KAMPALA'!H37,'15.08 BUSUNJU-KAMPALA'!H37),0)</f>
        <v>0</v>
      </c>
      <c r="I85" s="50">
        <f>ROUND(0.3*AVERAGE('11.08 BUSUNJU-KAMPALA'!I37,'12.08 BUSUNJU-KAMPALA'!I37,'13.08 BUSUNJU-KAMPALA'!I37,'14.08 BUSUNJU-KAMPALA'!I37,'15.08 BUSUNJU-KAMPALA'!I37),0)</f>
        <v>0</v>
      </c>
      <c r="J85" s="50">
        <f>ROUND(0.3*AVERAGE('11.08 BUSUNJU-KAMPALA'!J37,'12.08 BUSUNJU-KAMPALA'!J37,'13.08 BUSUNJU-KAMPALA'!J37,'14.08 BUSUNJU-KAMPALA'!J37,'15.08 BUSUNJU-KAMPALA'!J37),0)</f>
        <v>0</v>
      </c>
      <c r="K85" s="50">
        <f>ROUND(0.3*AVERAGE('11.08 BUSUNJU-KAMPALA'!K37,'12.08 BUSUNJU-KAMPALA'!K37,'13.08 BUSUNJU-KAMPALA'!K37,'14.08 BUSUNJU-KAMPALA'!K37,'15.08 BUSUNJU-KAMPALA'!K37),0)</f>
        <v>0</v>
      </c>
      <c r="L85" s="50">
        <f>ROUND(0.3*AVERAGE('11.08 BUSUNJU-KAMPALA'!L37,'12.08 BUSUNJU-KAMPALA'!L37,'13.08 BUSUNJU-KAMPALA'!L37,'14.08 BUSUNJU-KAMPALA'!L37,'15.08 BUSUNJU-KAMPALA'!L37),0)</f>
        <v>0</v>
      </c>
      <c r="M85" s="50">
        <f>ROUND(0.3*AVERAGE('11.08 BUSUNJU-KAMPALA'!M37,'12.08 BUSUNJU-KAMPALA'!M37,'13.08 BUSUNJU-KAMPALA'!M37,'14.08 BUSUNJU-KAMPALA'!M37,'15.08 BUSUNJU-KAMPALA'!M37),0)</f>
        <v>4</v>
      </c>
      <c r="N85" s="50">
        <f>ROUND(0.3*AVERAGE('11.08 BUSUNJU-KAMPALA'!N37,'12.08 BUSUNJU-KAMPALA'!N37,'13.08 BUSUNJU-KAMPALA'!N37,'14.08 BUSUNJU-KAMPALA'!N37,'15.08 BUSUNJU-KAMPALA'!N37),0)</f>
        <v>0</v>
      </c>
      <c r="O85" s="15">
        <f t="shared" si="35"/>
        <v>0</v>
      </c>
      <c r="P85" s="15">
        <f t="shared" si="36"/>
        <v>4</v>
      </c>
      <c r="R85" s="8"/>
      <c r="T85"/>
    </row>
    <row r="86" spans="2:20" ht="23.1" customHeight="1" x14ac:dyDescent="0.25">
      <c r="B86" s="46" t="s">
        <v>126</v>
      </c>
      <c r="C86" s="50">
        <f>ROUND(0.2*AVERAGE('11.08 BUSUNJU-KAMPALA'!C38,'12.08 BUSUNJU-KAMPALA'!C38,'13.08 BUSUNJU-KAMPALA'!C38,'14.08 BUSUNJU-KAMPALA'!C38,'15.08 BUSUNJU-KAMPALA'!C38),0)</f>
        <v>0</v>
      </c>
      <c r="D86" s="50">
        <f>ROUND(0.2*AVERAGE('11.08 BUSUNJU-KAMPALA'!D38,'12.08 BUSUNJU-KAMPALA'!D38,'13.08 BUSUNJU-KAMPALA'!D38,'14.08 BUSUNJU-KAMPALA'!D38,'15.08 BUSUNJU-KAMPALA'!D38),0)</f>
        <v>0</v>
      </c>
      <c r="E86" s="50">
        <f>ROUND(0.2*AVERAGE('11.08 BUSUNJU-KAMPALA'!E38,'12.08 BUSUNJU-KAMPALA'!E38,'13.08 BUSUNJU-KAMPALA'!E38,'14.08 BUSUNJU-KAMPALA'!E38,'15.08 BUSUNJU-KAMPALA'!E38),0)</f>
        <v>0</v>
      </c>
      <c r="F86" s="50">
        <f>ROUND(0.2*AVERAGE('11.08 BUSUNJU-KAMPALA'!F38,'12.08 BUSUNJU-KAMPALA'!F38,'13.08 BUSUNJU-KAMPALA'!F38,'14.08 BUSUNJU-KAMPALA'!F38,'15.08 BUSUNJU-KAMPALA'!F38),0)</f>
        <v>0</v>
      </c>
      <c r="G86" s="50">
        <f>ROUND(0.2*AVERAGE('11.08 BUSUNJU-KAMPALA'!G38,'12.08 BUSUNJU-KAMPALA'!G38,'13.08 BUSUNJU-KAMPALA'!G38,'14.08 BUSUNJU-KAMPALA'!G38,'15.08 BUSUNJU-KAMPALA'!G38),0)</f>
        <v>0</v>
      </c>
      <c r="H86" s="50">
        <f>ROUND(0.2*AVERAGE('11.08 BUSUNJU-KAMPALA'!H38,'12.08 BUSUNJU-KAMPALA'!H38,'13.08 BUSUNJU-KAMPALA'!H38,'14.08 BUSUNJU-KAMPALA'!H38,'15.08 BUSUNJU-KAMPALA'!H38),0)</f>
        <v>0</v>
      </c>
      <c r="I86" s="50">
        <f>ROUND(0.2*AVERAGE('11.08 BUSUNJU-KAMPALA'!I38,'12.08 BUSUNJU-KAMPALA'!I38,'13.08 BUSUNJU-KAMPALA'!I38,'14.08 BUSUNJU-KAMPALA'!I38,'15.08 BUSUNJU-KAMPALA'!I38),0)</f>
        <v>0</v>
      </c>
      <c r="J86" s="50">
        <f>ROUND(0.2*AVERAGE('11.08 BUSUNJU-KAMPALA'!J38,'12.08 BUSUNJU-KAMPALA'!J38,'13.08 BUSUNJU-KAMPALA'!J38,'14.08 BUSUNJU-KAMPALA'!J38,'15.08 BUSUNJU-KAMPALA'!J38),0)</f>
        <v>0</v>
      </c>
      <c r="K86" s="50">
        <f>ROUND(0.2*AVERAGE('11.08 BUSUNJU-KAMPALA'!K38,'12.08 BUSUNJU-KAMPALA'!K38,'13.08 BUSUNJU-KAMPALA'!K38,'14.08 BUSUNJU-KAMPALA'!K38,'15.08 BUSUNJU-KAMPALA'!K38),0)</f>
        <v>0</v>
      </c>
      <c r="L86" s="50">
        <f>ROUND(0.2*AVERAGE('11.08 BUSUNJU-KAMPALA'!L38,'12.08 BUSUNJU-KAMPALA'!L38,'13.08 BUSUNJU-KAMPALA'!L38,'14.08 BUSUNJU-KAMPALA'!L38,'15.08 BUSUNJU-KAMPALA'!L38),0)</f>
        <v>0</v>
      </c>
      <c r="M86" s="50">
        <f>ROUND(0.2*AVERAGE('11.08 BUSUNJU-KAMPALA'!M38,'12.08 BUSUNJU-KAMPALA'!M38,'13.08 BUSUNJU-KAMPALA'!M38,'14.08 BUSUNJU-KAMPALA'!M38,'15.08 BUSUNJU-KAMPALA'!M38),0)</f>
        <v>3</v>
      </c>
      <c r="N86" s="50">
        <f>ROUND(0.2*AVERAGE('11.08 BUSUNJU-KAMPALA'!N38,'12.08 BUSUNJU-KAMPALA'!N38,'13.08 BUSUNJU-KAMPALA'!N38,'14.08 BUSUNJU-KAMPALA'!N38,'15.08 BUSUNJU-KAMPALA'!N38),0)</f>
        <v>0</v>
      </c>
      <c r="O86" s="15">
        <f t="shared" si="35"/>
        <v>0</v>
      </c>
      <c r="P86" s="15">
        <f t="shared" si="36"/>
        <v>3</v>
      </c>
      <c r="R86" s="8"/>
      <c r="T86"/>
    </row>
    <row r="87" spans="2:20" ht="23.1" customHeight="1" x14ac:dyDescent="0.25">
      <c r="B87" s="45" t="s">
        <v>127</v>
      </c>
      <c r="C87" s="50">
        <f>ROUND(0.2*AVERAGE('11.08 BUSUNJU-KAMPALA'!C39,'12.08 BUSUNJU-KAMPALA'!C39,'13.08 BUSUNJU-KAMPALA'!C39,'14.08 BUSUNJU-KAMPALA'!C39,'15.08 BUSUNJU-KAMPALA'!C39),0)</f>
        <v>0</v>
      </c>
      <c r="D87" s="50">
        <f>ROUND(0.2*AVERAGE('11.08 BUSUNJU-KAMPALA'!D39,'12.08 BUSUNJU-KAMPALA'!D39,'13.08 BUSUNJU-KAMPALA'!D39,'14.08 BUSUNJU-KAMPALA'!D39,'15.08 BUSUNJU-KAMPALA'!D39),0)</f>
        <v>0</v>
      </c>
      <c r="E87" s="50">
        <f>ROUND(0.2*AVERAGE('11.08 BUSUNJU-KAMPALA'!E39,'12.08 BUSUNJU-KAMPALA'!E39,'13.08 BUSUNJU-KAMPALA'!E39,'14.08 BUSUNJU-KAMPALA'!E39,'15.08 BUSUNJU-KAMPALA'!E39),0)</f>
        <v>0</v>
      </c>
      <c r="F87" s="50">
        <f>ROUND(0.2*AVERAGE('11.08 BUSUNJU-KAMPALA'!F39,'12.08 BUSUNJU-KAMPALA'!F39,'13.08 BUSUNJU-KAMPALA'!F39,'14.08 BUSUNJU-KAMPALA'!F39,'15.08 BUSUNJU-KAMPALA'!F39),0)</f>
        <v>0</v>
      </c>
      <c r="G87" s="50">
        <f>ROUND(0.2*AVERAGE('11.08 BUSUNJU-KAMPALA'!G39,'12.08 BUSUNJU-KAMPALA'!G39,'13.08 BUSUNJU-KAMPALA'!G39,'14.08 BUSUNJU-KAMPALA'!G39,'15.08 BUSUNJU-KAMPALA'!G39),0)</f>
        <v>0</v>
      </c>
      <c r="H87" s="50">
        <f>ROUND(0.2*AVERAGE('11.08 BUSUNJU-KAMPALA'!H39,'12.08 BUSUNJU-KAMPALA'!H39,'13.08 BUSUNJU-KAMPALA'!H39,'14.08 BUSUNJU-KAMPALA'!H39,'15.08 BUSUNJU-KAMPALA'!H39),0)</f>
        <v>0</v>
      </c>
      <c r="I87" s="50">
        <f>ROUND(0.2*AVERAGE('11.08 BUSUNJU-KAMPALA'!I39,'12.08 BUSUNJU-KAMPALA'!I39,'13.08 BUSUNJU-KAMPALA'!I39,'14.08 BUSUNJU-KAMPALA'!I39,'15.08 BUSUNJU-KAMPALA'!I39),0)</f>
        <v>0</v>
      </c>
      <c r="J87" s="50">
        <f>ROUND(0.2*AVERAGE('11.08 BUSUNJU-KAMPALA'!J39,'12.08 BUSUNJU-KAMPALA'!J39,'13.08 BUSUNJU-KAMPALA'!J39,'14.08 BUSUNJU-KAMPALA'!J39,'15.08 BUSUNJU-KAMPALA'!J39),0)</f>
        <v>0</v>
      </c>
      <c r="K87" s="50">
        <f>ROUND(0.2*AVERAGE('11.08 BUSUNJU-KAMPALA'!K39,'12.08 BUSUNJU-KAMPALA'!K39,'13.08 BUSUNJU-KAMPALA'!K39,'14.08 BUSUNJU-KAMPALA'!K39,'15.08 BUSUNJU-KAMPALA'!K39),0)</f>
        <v>0</v>
      </c>
      <c r="L87" s="50">
        <f>ROUND(0.2*AVERAGE('11.08 BUSUNJU-KAMPALA'!L39,'12.08 BUSUNJU-KAMPALA'!L39,'13.08 BUSUNJU-KAMPALA'!L39,'14.08 BUSUNJU-KAMPALA'!L39,'15.08 BUSUNJU-KAMPALA'!L39),0)</f>
        <v>0</v>
      </c>
      <c r="M87" s="50">
        <f>ROUND(0.2*AVERAGE('11.08 BUSUNJU-KAMPALA'!M39,'12.08 BUSUNJU-KAMPALA'!M39,'13.08 BUSUNJU-KAMPALA'!M39,'14.08 BUSUNJU-KAMPALA'!M39,'15.08 BUSUNJU-KAMPALA'!M39),0)</f>
        <v>3</v>
      </c>
      <c r="N87" s="50">
        <f>ROUND(0.2*AVERAGE('11.08 BUSUNJU-KAMPALA'!N39,'12.08 BUSUNJU-KAMPALA'!N39,'13.08 BUSUNJU-KAMPALA'!N39,'14.08 BUSUNJU-KAMPALA'!N39,'15.08 BUSUNJU-KAMPALA'!N39),0)</f>
        <v>0</v>
      </c>
      <c r="O87" s="15">
        <f t="shared" si="35"/>
        <v>0</v>
      </c>
      <c r="P87" s="15">
        <f t="shared" si="36"/>
        <v>3</v>
      </c>
      <c r="R87" s="8"/>
      <c r="T87"/>
    </row>
    <row r="88" spans="2:20" ht="23.1" customHeight="1" x14ac:dyDescent="0.25">
      <c r="B88" s="47" t="s">
        <v>128</v>
      </c>
      <c r="C88" s="50">
        <f>ROUND(0.2*AVERAGE('11.08 BUSUNJU-KAMPALA'!C40,'12.08 BUSUNJU-KAMPALA'!C40,'13.08 BUSUNJU-KAMPALA'!C40,'14.08 BUSUNJU-KAMPALA'!C40,'15.08 BUSUNJU-KAMPALA'!C40),0)</f>
        <v>0</v>
      </c>
      <c r="D88" s="50">
        <f>ROUND(0.2*AVERAGE('11.08 BUSUNJU-KAMPALA'!D40,'12.08 BUSUNJU-KAMPALA'!D40,'13.08 BUSUNJU-KAMPALA'!D40,'14.08 BUSUNJU-KAMPALA'!D40,'15.08 BUSUNJU-KAMPALA'!D40),0)</f>
        <v>0</v>
      </c>
      <c r="E88" s="50">
        <f>ROUND(0.2*AVERAGE('11.08 BUSUNJU-KAMPALA'!E40,'12.08 BUSUNJU-KAMPALA'!E40,'13.08 BUSUNJU-KAMPALA'!E40,'14.08 BUSUNJU-KAMPALA'!E40,'15.08 BUSUNJU-KAMPALA'!E40),0)</f>
        <v>0</v>
      </c>
      <c r="F88" s="50">
        <f>ROUND(0.2*AVERAGE('11.08 BUSUNJU-KAMPALA'!F40,'12.08 BUSUNJU-KAMPALA'!F40,'13.08 BUSUNJU-KAMPALA'!F40,'14.08 BUSUNJU-KAMPALA'!F40,'15.08 BUSUNJU-KAMPALA'!F40),0)</f>
        <v>0</v>
      </c>
      <c r="G88" s="50">
        <f>ROUND(0.2*AVERAGE('11.08 BUSUNJU-KAMPALA'!G40,'12.08 BUSUNJU-KAMPALA'!G40,'13.08 BUSUNJU-KAMPALA'!G40,'14.08 BUSUNJU-KAMPALA'!G40,'15.08 BUSUNJU-KAMPALA'!G40),0)</f>
        <v>0</v>
      </c>
      <c r="H88" s="50">
        <f>ROUND(0.2*AVERAGE('11.08 BUSUNJU-KAMPALA'!H40,'12.08 BUSUNJU-KAMPALA'!H40,'13.08 BUSUNJU-KAMPALA'!H40,'14.08 BUSUNJU-KAMPALA'!H40,'15.08 BUSUNJU-KAMPALA'!H40),0)</f>
        <v>0</v>
      </c>
      <c r="I88" s="50">
        <f>ROUND(0.2*AVERAGE('11.08 BUSUNJU-KAMPALA'!I40,'12.08 BUSUNJU-KAMPALA'!I40,'13.08 BUSUNJU-KAMPALA'!I40,'14.08 BUSUNJU-KAMPALA'!I40,'15.08 BUSUNJU-KAMPALA'!I40),0)</f>
        <v>0</v>
      </c>
      <c r="J88" s="50">
        <f>ROUND(0.2*AVERAGE('11.08 BUSUNJU-KAMPALA'!J40,'12.08 BUSUNJU-KAMPALA'!J40,'13.08 BUSUNJU-KAMPALA'!J40,'14.08 BUSUNJU-KAMPALA'!J40,'15.08 BUSUNJU-KAMPALA'!J40),0)</f>
        <v>0</v>
      </c>
      <c r="K88" s="50">
        <f>ROUND(0.2*AVERAGE('11.08 BUSUNJU-KAMPALA'!K40,'12.08 BUSUNJU-KAMPALA'!K40,'13.08 BUSUNJU-KAMPALA'!K40,'14.08 BUSUNJU-KAMPALA'!K40,'15.08 BUSUNJU-KAMPALA'!K40),0)</f>
        <v>0</v>
      </c>
      <c r="L88" s="50">
        <f>ROUND(0.2*AVERAGE('11.08 BUSUNJU-KAMPALA'!L40,'12.08 BUSUNJU-KAMPALA'!L40,'13.08 BUSUNJU-KAMPALA'!L40,'14.08 BUSUNJU-KAMPALA'!L40,'15.08 BUSUNJU-KAMPALA'!L40),0)</f>
        <v>0</v>
      </c>
      <c r="M88" s="50">
        <f>ROUND(0.2*AVERAGE('11.08 BUSUNJU-KAMPALA'!M40,'12.08 BUSUNJU-KAMPALA'!M40,'13.08 BUSUNJU-KAMPALA'!M40,'14.08 BUSUNJU-KAMPALA'!M40,'15.08 BUSUNJU-KAMPALA'!M40),0)</f>
        <v>3</v>
      </c>
      <c r="N88" s="50">
        <f>ROUND(0.2*AVERAGE('11.08 BUSUNJU-KAMPALA'!N40,'12.08 BUSUNJU-KAMPALA'!N40,'13.08 BUSUNJU-KAMPALA'!N40,'14.08 BUSUNJU-KAMPALA'!N40,'15.08 BUSUNJU-KAMPALA'!N40),0)</f>
        <v>0</v>
      </c>
      <c r="O88" s="15">
        <f t="shared" si="35"/>
        <v>0</v>
      </c>
      <c r="P88" s="15">
        <f t="shared" si="36"/>
        <v>3</v>
      </c>
      <c r="R88" s="8"/>
      <c r="T88"/>
    </row>
    <row r="89" spans="2:20" ht="23.1" customHeight="1" x14ac:dyDescent="0.25">
      <c r="B89" s="45" t="s">
        <v>129</v>
      </c>
      <c r="C89" s="50">
        <f>ROUND(0.2*AVERAGE('11.08 BUSUNJU-KAMPALA'!C41,'12.08 BUSUNJU-KAMPALA'!C41,'13.08 BUSUNJU-KAMPALA'!C41,'14.08 BUSUNJU-KAMPALA'!C41,'15.08 BUSUNJU-KAMPALA'!C41),0)</f>
        <v>0</v>
      </c>
      <c r="D89" s="50">
        <f>ROUND(0.2*AVERAGE('11.08 BUSUNJU-KAMPALA'!D41,'12.08 BUSUNJU-KAMPALA'!D41,'13.08 BUSUNJU-KAMPALA'!D41,'14.08 BUSUNJU-KAMPALA'!D41,'15.08 BUSUNJU-KAMPALA'!D41),0)</f>
        <v>0</v>
      </c>
      <c r="E89" s="50">
        <f>ROUND(0.2*AVERAGE('11.08 BUSUNJU-KAMPALA'!E41,'12.08 BUSUNJU-KAMPALA'!E41,'13.08 BUSUNJU-KAMPALA'!E41,'14.08 BUSUNJU-KAMPALA'!E41,'15.08 BUSUNJU-KAMPALA'!E41),0)</f>
        <v>0</v>
      </c>
      <c r="F89" s="50">
        <f>ROUND(0.2*AVERAGE('11.08 BUSUNJU-KAMPALA'!F41,'12.08 BUSUNJU-KAMPALA'!F41,'13.08 BUSUNJU-KAMPALA'!F41,'14.08 BUSUNJU-KAMPALA'!F41,'15.08 BUSUNJU-KAMPALA'!F41),0)</f>
        <v>0</v>
      </c>
      <c r="G89" s="50">
        <f>ROUND(0.2*AVERAGE('11.08 BUSUNJU-KAMPALA'!G41,'12.08 BUSUNJU-KAMPALA'!G41,'13.08 BUSUNJU-KAMPALA'!G41,'14.08 BUSUNJU-KAMPALA'!G41,'15.08 BUSUNJU-KAMPALA'!G41),0)</f>
        <v>0</v>
      </c>
      <c r="H89" s="50">
        <f>ROUND(0.2*AVERAGE('11.08 BUSUNJU-KAMPALA'!H41,'12.08 BUSUNJU-KAMPALA'!H41,'13.08 BUSUNJU-KAMPALA'!H41,'14.08 BUSUNJU-KAMPALA'!H41,'15.08 BUSUNJU-KAMPALA'!H41),0)</f>
        <v>0</v>
      </c>
      <c r="I89" s="50">
        <f>ROUND(0.2*AVERAGE('11.08 BUSUNJU-KAMPALA'!I41,'12.08 BUSUNJU-KAMPALA'!I41,'13.08 BUSUNJU-KAMPALA'!I41,'14.08 BUSUNJU-KAMPALA'!I41,'15.08 BUSUNJU-KAMPALA'!I41),0)</f>
        <v>0</v>
      </c>
      <c r="J89" s="50">
        <f>ROUND(0.2*AVERAGE('11.08 BUSUNJU-KAMPALA'!J41,'12.08 BUSUNJU-KAMPALA'!J41,'13.08 BUSUNJU-KAMPALA'!J41,'14.08 BUSUNJU-KAMPALA'!J41,'15.08 BUSUNJU-KAMPALA'!J41),0)</f>
        <v>0</v>
      </c>
      <c r="K89" s="50">
        <f>ROUND(0.2*AVERAGE('11.08 BUSUNJU-KAMPALA'!K41,'12.08 BUSUNJU-KAMPALA'!K41,'13.08 BUSUNJU-KAMPALA'!K41,'14.08 BUSUNJU-KAMPALA'!K41,'15.08 BUSUNJU-KAMPALA'!K41),0)</f>
        <v>0</v>
      </c>
      <c r="L89" s="50">
        <f>ROUND(0.2*AVERAGE('11.08 BUSUNJU-KAMPALA'!L41,'12.08 BUSUNJU-KAMPALA'!L41,'13.08 BUSUNJU-KAMPALA'!L41,'14.08 BUSUNJU-KAMPALA'!L41,'15.08 BUSUNJU-KAMPALA'!L41),0)</f>
        <v>0</v>
      </c>
      <c r="M89" s="50">
        <f>ROUND(0.2*AVERAGE('11.08 BUSUNJU-KAMPALA'!M41,'12.08 BUSUNJU-KAMPALA'!M41,'13.08 BUSUNJU-KAMPALA'!M41,'14.08 BUSUNJU-KAMPALA'!M41,'15.08 BUSUNJU-KAMPALA'!M41),0)</f>
        <v>3</v>
      </c>
      <c r="N89" s="50">
        <f>ROUND(0.2*AVERAGE('11.08 BUSUNJU-KAMPALA'!N41,'12.08 BUSUNJU-KAMPALA'!N41,'13.08 BUSUNJU-KAMPALA'!N41,'14.08 BUSUNJU-KAMPALA'!N41,'15.08 BUSUNJU-KAMPALA'!N41),0)</f>
        <v>0</v>
      </c>
      <c r="O89" s="15">
        <f t="shared" si="35"/>
        <v>0</v>
      </c>
      <c r="P89" s="15">
        <f t="shared" si="36"/>
        <v>3</v>
      </c>
      <c r="R89" s="8"/>
      <c r="T89"/>
    </row>
    <row r="90" spans="2:20" ht="23.1" customHeight="1" x14ac:dyDescent="0.25">
      <c r="B90" s="46" t="s">
        <v>130</v>
      </c>
      <c r="C90" s="50">
        <f>ROUND(0.2*AVERAGE('11.08 BUSUNJU-KAMPALA'!C42,'12.08 BUSUNJU-KAMPALA'!C42,'13.08 BUSUNJU-KAMPALA'!C42,'14.08 BUSUNJU-KAMPALA'!C42,'15.08 BUSUNJU-KAMPALA'!C42),0)</f>
        <v>0</v>
      </c>
      <c r="D90" s="50">
        <f>ROUND(0.2*AVERAGE('11.08 BUSUNJU-KAMPALA'!D42,'12.08 BUSUNJU-KAMPALA'!D42,'13.08 BUSUNJU-KAMPALA'!D42,'14.08 BUSUNJU-KAMPALA'!D42,'15.08 BUSUNJU-KAMPALA'!D42),0)</f>
        <v>0</v>
      </c>
      <c r="E90" s="50">
        <f>ROUND(0.2*AVERAGE('11.08 BUSUNJU-KAMPALA'!E42,'12.08 BUSUNJU-KAMPALA'!E42,'13.08 BUSUNJU-KAMPALA'!E42,'14.08 BUSUNJU-KAMPALA'!E42,'15.08 BUSUNJU-KAMPALA'!E42),0)</f>
        <v>0</v>
      </c>
      <c r="F90" s="50">
        <f>ROUND(0.2*AVERAGE('11.08 BUSUNJU-KAMPALA'!F42,'12.08 BUSUNJU-KAMPALA'!F42,'13.08 BUSUNJU-KAMPALA'!F42,'14.08 BUSUNJU-KAMPALA'!F42,'15.08 BUSUNJU-KAMPALA'!F42),0)</f>
        <v>0</v>
      </c>
      <c r="G90" s="50">
        <f>ROUND(0.2*AVERAGE('11.08 BUSUNJU-KAMPALA'!G42,'12.08 BUSUNJU-KAMPALA'!G42,'13.08 BUSUNJU-KAMPALA'!G42,'14.08 BUSUNJU-KAMPALA'!G42,'15.08 BUSUNJU-KAMPALA'!G42),0)</f>
        <v>0</v>
      </c>
      <c r="H90" s="50">
        <f>ROUND(0.2*AVERAGE('11.08 BUSUNJU-KAMPALA'!H42,'12.08 BUSUNJU-KAMPALA'!H42,'13.08 BUSUNJU-KAMPALA'!H42,'14.08 BUSUNJU-KAMPALA'!H42,'15.08 BUSUNJU-KAMPALA'!H42),0)</f>
        <v>0</v>
      </c>
      <c r="I90" s="50">
        <f>ROUND(0.2*AVERAGE('11.08 BUSUNJU-KAMPALA'!I42,'12.08 BUSUNJU-KAMPALA'!I42,'13.08 BUSUNJU-KAMPALA'!I42,'14.08 BUSUNJU-KAMPALA'!I42,'15.08 BUSUNJU-KAMPALA'!I42),0)</f>
        <v>0</v>
      </c>
      <c r="J90" s="50">
        <f>ROUND(0.2*AVERAGE('11.08 BUSUNJU-KAMPALA'!J42,'12.08 BUSUNJU-KAMPALA'!J42,'13.08 BUSUNJU-KAMPALA'!J42,'14.08 BUSUNJU-KAMPALA'!J42,'15.08 BUSUNJU-KAMPALA'!J42),0)</f>
        <v>0</v>
      </c>
      <c r="K90" s="50">
        <f>ROUND(0.2*AVERAGE('11.08 BUSUNJU-KAMPALA'!K42,'12.08 BUSUNJU-KAMPALA'!K42,'13.08 BUSUNJU-KAMPALA'!K42,'14.08 BUSUNJU-KAMPALA'!K42,'15.08 BUSUNJU-KAMPALA'!K42),0)</f>
        <v>0</v>
      </c>
      <c r="L90" s="50">
        <f>ROUND(0.2*AVERAGE('11.08 BUSUNJU-KAMPALA'!L42,'12.08 BUSUNJU-KAMPALA'!L42,'13.08 BUSUNJU-KAMPALA'!L42,'14.08 BUSUNJU-KAMPALA'!L42,'15.08 BUSUNJU-KAMPALA'!L42),0)</f>
        <v>0</v>
      </c>
      <c r="M90" s="50">
        <f>ROUND(0.2*AVERAGE('11.08 BUSUNJU-KAMPALA'!M42,'12.08 BUSUNJU-KAMPALA'!M42,'13.08 BUSUNJU-KAMPALA'!M42,'14.08 BUSUNJU-KAMPALA'!M42,'15.08 BUSUNJU-KAMPALA'!M42),0)</f>
        <v>3</v>
      </c>
      <c r="N90" s="50">
        <f>ROUND(0.2*AVERAGE('11.08 BUSUNJU-KAMPALA'!N42,'12.08 BUSUNJU-KAMPALA'!N42,'13.08 BUSUNJU-KAMPALA'!N42,'14.08 BUSUNJU-KAMPALA'!N42,'15.08 BUSUNJU-KAMPALA'!N42),0)</f>
        <v>0</v>
      </c>
      <c r="O90" s="15">
        <f t="shared" si="35"/>
        <v>0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f>ROUND(0.2*AVERAGE('11.08 BUSUNJU-KAMPALA'!C43,'12.08 BUSUNJU-KAMPALA'!C43,'13.08 BUSUNJU-KAMPALA'!C43,'14.08 BUSUNJU-KAMPALA'!C43,'15.08 BUSUNJU-KAMPALA'!C43),0)</f>
        <v>0</v>
      </c>
      <c r="D91" s="50">
        <f>ROUND(0.2*AVERAGE('11.08 BUSUNJU-KAMPALA'!D43,'12.08 BUSUNJU-KAMPALA'!D43,'13.08 BUSUNJU-KAMPALA'!D43,'14.08 BUSUNJU-KAMPALA'!D43,'15.08 BUSUNJU-KAMPALA'!D43),0)</f>
        <v>0</v>
      </c>
      <c r="E91" s="50">
        <f>ROUND(0.2*AVERAGE('11.08 BUSUNJU-KAMPALA'!E43,'12.08 BUSUNJU-KAMPALA'!E43,'13.08 BUSUNJU-KAMPALA'!E43,'14.08 BUSUNJU-KAMPALA'!E43,'15.08 BUSUNJU-KAMPALA'!E43),0)</f>
        <v>0</v>
      </c>
      <c r="F91" s="50">
        <f>ROUND(0.2*AVERAGE('11.08 BUSUNJU-KAMPALA'!F43,'12.08 BUSUNJU-KAMPALA'!F43,'13.08 BUSUNJU-KAMPALA'!F43,'14.08 BUSUNJU-KAMPALA'!F43,'15.08 BUSUNJU-KAMPALA'!F43),0)</f>
        <v>0</v>
      </c>
      <c r="G91" s="50">
        <f>ROUND(0.2*AVERAGE('11.08 BUSUNJU-KAMPALA'!G43,'12.08 BUSUNJU-KAMPALA'!G43,'13.08 BUSUNJU-KAMPALA'!G43,'14.08 BUSUNJU-KAMPALA'!G43,'15.08 BUSUNJU-KAMPALA'!G43),0)</f>
        <v>0</v>
      </c>
      <c r="H91" s="50">
        <f>ROUND(0.2*AVERAGE('11.08 BUSUNJU-KAMPALA'!H43,'12.08 BUSUNJU-KAMPALA'!H43,'13.08 BUSUNJU-KAMPALA'!H43,'14.08 BUSUNJU-KAMPALA'!H43,'15.08 BUSUNJU-KAMPALA'!H43),0)</f>
        <v>0</v>
      </c>
      <c r="I91" s="50">
        <f>ROUND(0.2*AVERAGE('11.08 BUSUNJU-KAMPALA'!I43,'12.08 BUSUNJU-KAMPALA'!I43,'13.08 BUSUNJU-KAMPALA'!I43,'14.08 BUSUNJU-KAMPALA'!I43,'15.08 BUSUNJU-KAMPALA'!I43),0)</f>
        <v>0</v>
      </c>
      <c r="J91" s="50">
        <f>ROUND(0.2*AVERAGE('11.08 BUSUNJU-KAMPALA'!J43,'12.08 BUSUNJU-KAMPALA'!J43,'13.08 BUSUNJU-KAMPALA'!J43,'14.08 BUSUNJU-KAMPALA'!J43,'15.08 BUSUNJU-KAMPALA'!J43),0)</f>
        <v>0</v>
      </c>
      <c r="K91" s="50">
        <f>ROUND(0.2*AVERAGE('11.08 BUSUNJU-KAMPALA'!K43,'12.08 BUSUNJU-KAMPALA'!K43,'13.08 BUSUNJU-KAMPALA'!K43,'14.08 BUSUNJU-KAMPALA'!K43,'15.08 BUSUNJU-KAMPALA'!K43),0)</f>
        <v>0</v>
      </c>
      <c r="L91" s="50">
        <f>ROUND(0.2*AVERAGE('11.08 BUSUNJU-KAMPALA'!L43,'12.08 BUSUNJU-KAMPALA'!L43,'13.08 BUSUNJU-KAMPALA'!L43,'14.08 BUSUNJU-KAMPALA'!L43,'15.08 BUSUNJU-KAMPALA'!L43),0)</f>
        <v>0</v>
      </c>
      <c r="M91" s="50">
        <f>ROUND(0.2*AVERAGE('11.08 BUSUNJU-KAMPALA'!M43,'12.08 BUSUNJU-KAMPALA'!M43,'13.08 BUSUNJU-KAMPALA'!M43,'14.08 BUSUNJU-KAMPALA'!M43,'15.08 BUSUNJU-KAMPALA'!M43),0)</f>
        <v>3</v>
      </c>
      <c r="N91" s="50">
        <f>ROUND(0.2*AVERAGE('11.08 BUSUNJU-KAMPALA'!N43,'12.08 BUSUNJU-KAMPALA'!N43,'13.08 BUSUNJU-KAMPALA'!N43,'14.08 BUSUNJU-KAMPALA'!N43,'15.08 BUSUNJU-KAMPALA'!N43),0)</f>
        <v>0</v>
      </c>
      <c r="O91" s="15">
        <f t="shared" si="35"/>
        <v>0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f>ROUND(0.2*AVERAGE('11.08 BUSUNJU-KAMPALA'!C44,'12.08 BUSUNJU-KAMPALA'!C44,'13.08 BUSUNJU-KAMPALA'!C44,'14.08 BUSUNJU-KAMPALA'!C44,'15.08 BUSUNJU-KAMPALA'!C44),0)</f>
        <v>0</v>
      </c>
      <c r="D92" s="50">
        <f>ROUND(0.2*AVERAGE('11.08 BUSUNJU-KAMPALA'!D44,'12.08 BUSUNJU-KAMPALA'!D44,'13.08 BUSUNJU-KAMPALA'!D44,'14.08 BUSUNJU-KAMPALA'!D44,'15.08 BUSUNJU-KAMPALA'!D44),0)</f>
        <v>0</v>
      </c>
      <c r="E92" s="50">
        <f>ROUND(0.2*AVERAGE('11.08 BUSUNJU-KAMPALA'!E44,'12.08 BUSUNJU-KAMPALA'!E44,'13.08 BUSUNJU-KAMPALA'!E44,'14.08 BUSUNJU-KAMPALA'!E44,'15.08 BUSUNJU-KAMPALA'!E44),0)</f>
        <v>0</v>
      </c>
      <c r="F92" s="50">
        <f>ROUND(0.2*AVERAGE('11.08 BUSUNJU-KAMPALA'!F44,'12.08 BUSUNJU-KAMPALA'!F44,'13.08 BUSUNJU-KAMPALA'!F44,'14.08 BUSUNJU-KAMPALA'!F44,'15.08 BUSUNJU-KAMPALA'!F44),0)</f>
        <v>0</v>
      </c>
      <c r="G92" s="50">
        <f>ROUND(0.2*AVERAGE('11.08 BUSUNJU-KAMPALA'!G44,'12.08 BUSUNJU-KAMPALA'!G44,'13.08 BUSUNJU-KAMPALA'!G44,'14.08 BUSUNJU-KAMPALA'!G44,'15.08 BUSUNJU-KAMPALA'!G44),0)</f>
        <v>0</v>
      </c>
      <c r="H92" s="50">
        <f>ROUND(0.2*AVERAGE('11.08 BUSUNJU-KAMPALA'!H44,'12.08 BUSUNJU-KAMPALA'!H44,'13.08 BUSUNJU-KAMPALA'!H44,'14.08 BUSUNJU-KAMPALA'!H44,'15.08 BUSUNJU-KAMPALA'!H44),0)</f>
        <v>0</v>
      </c>
      <c r="I92" s="50">
        <f>ROUND(0.2*AVERAGE('11.08 BUSUNJU-KAMPALA'!I44,'12.08 BUSUNJU-KAMPALA'!I44,'13.08 BUSUNJU-KAMPALA'!I44,'14.08 BUSUNJU-KAMPALA'!I44,'15.08 BUSUNJU-KAMPALA'!I44),0)</f>
        <v>0</v>
      </c>
      <c r="J92" s="50">
        <f>ROUND(0.2*AVERAGE('11.08 BUSUNJU-KAMPALA'!J44,'12.08 BUSUNJU-KAMPALA'!J44,'13.08 BUSUNJU-KAMPALA'!J44,'14.08 BUSUNJU-KAMPALA'!J44,'15.08 BUSUNJU-KAMPALA'!J44),0)</f>
        <v>0</v>
      </c>
      <c r="K92" s="50">
        <f>ROUND(0.2*AVERAGE('11.08 BUSUNJU-KAMPALA'!K44,'12.08 BUSUNJU-KAMPALA'!K44,'13.08 BUSUNJU-KAMPALA'!K44,'14.08 BUSUNJU-KAMPALA'!K44,'15.08 BUSUNJU-KAMPALA'!K44),0)</f>
        <v>0</v>
      </c>
      <c r="L92" s="50">
        <f>ROUND(0.2*AVERAGE('11.08 BUSUNJU-KAMPALA'!L44,'12.08 BUSUNJU-KAMPALA'!L44,'13.08 BUSUNJU-KAMPALA'!L44,'14.08 BUSUNJU-KAMPALA'!L44,'15.08 BUSUNJU-KAMPALA'!L44),0)</f>
        <v>0</v>
      </c>
      <c r="M92" s="50">
        <f>ROUND(0.2*AVERAGE('11.08 BUSUNJU-KAMPALA'!M44,'12.08 BUSUNJU-KAMPALA'!M44,'13.08 BUSUNJU-KAMPALA'!M44,'14.08 BUSUNJU-KAMPALA'!M44,'15.08 BUSUNJU-KAMPALA'!M44),0)</f>
        <v>3</v>
      </c>
      <c r="N92" s="50">
        <f>ROUND(0.2*AVERAGE('11.08 BUSUNJU-KAMPALA'!N44,'12.08 BUSUNJU-KAMPALA'!N44,'13.08 BUSUNJU-KAMPALA'!N44,'14.08 BUSUNJU-KAMPALA'!N44,'15.08 BUSUNJU-KAMPALA'!N44),0)</f>
        <v>0</v>
      </c>
      <c r="O92" s="15">
        <f t="shared" si="35"/>
        <v>0</v>
      </c>
      <c r="P92" s="15">
        <f t="shared" si="36"/>
        <v>3</v>
      </c>
      <c r="R92" s="8"/>
      <c r="T92"/>
    </row>
    <row r="93" spans="2:20" ht="23.1" customHeight="1" x14ac:dyDescent="0.25">
      <c r="B93" s="45" t="s">
        <v>133</v>
      </c>
      <c r="C93" s="50">
        <f>ROUND(0.65*AVERAGE('11.08 BUSUNJU-KAMPALA'!C45,'12.08 BUSUNJU-KAMPALA'!C45,'13.08 BUSUNJU-KAMPALA'!C45,'14.08 BUSUNJU-KAMPALA'!C45,'15.08 BUSUNJU-KAMPALA'!C45),0)</f>
        <v>1</v>
      </c>
      <c r="D93" s="50">
        <f>ROUND(0.65*AVERAGE('11.08 BUSUNJU-KAMPALA'!D45,'12.08 BUSUNJU-KAMPALA'!D45,'13.08 BUSUNJU-KAMPALA'!D45,'14.08 BUSUNJU-KAMPALA'!D45,'15.08 BUSUNJU-KAMPALA'!D45),0)</f>
        <v>0</v>
      </c>
      <c r="E93" s="50">
        <f>ROUND(0.65*AVERAGE('11.08 BUSUNJU-KAMPALA'!E45,'12.08 BUSUNJU-KAMPALA'!E45,'13.08 BUSUNJU-KAMPALA'!E45,'14.08 BUSUNJU-KAMPALA'!E45,'15.08 BUSUNJU-KAMPALA'!E45),0)</f>
        <v>1</v>
      </c>
      <c r="F93" s="50">
        <f>ROUND(0.65*AVERAGE('11.08 BUSUNJU-KAMPALA'!F45,'12.08 BUSUNJU-KAMPALA'!F45,'13.08 BUSUNJU-KAMPALA'!F45,'14.08 BUSUNJU-KAMPALA'!F45,'15.08 BUSUNJU-KAMPALA'!F45),0)</f>
        <v>0</v>
      </c>
      <c r="G93" s="50">
        <f>ROUND(0.65*AVERAGE('11.08 BUSUNJU-KAMPALA'!G45,'12.08 BUSUNJU-KAMPALA'!G45,'13.08 BUSUNJU-KAMPALA'!G45,'14.08 BUSUNJU-KAMPALA'!G45,'15.08 BUSUNJU-KAMPALA'!G45),0)</f>
        <v>0</v>
      </c>
      <c r="H93" s="50">
        <f>ROUND(0.65*AVERAGE('11.08 BUSUNJU-KAMPALA'!H45,'12.08 BUSUNJU-KAMPALA'!H45,'13.08 BUSUNJU-KAMPALA'!H45,'14.08 BUSUNJU-KAMPALA'!H45,'15.08 BUSUNJU-KAMPALA'!H45),0)</f>
        <v>0</v>
      </c>
      <c r="I93" s="50">
        <f>ROUND(0.65*AVERAGE('11.08 BUSUNJU-KAMPALA'!I45,'12.08 BUSUNJU-KAMPALA'!I45,'13.08 BUSUNJU-KAMPALA'!I45,'14.08 BUSUNJU-KAMPALA'!I45,'15.08 BUSUNJU-KAMPALA'!I45),0)</f>
        <v>2</v>
      </c>
      <c r="J93" s="50">
        <f>ROUND(0.65*AVERAGE('11.08 BUSUNJU-KAMPALA'!J45,'12.08 BUSUNJU-KAMPALA'!J45,'13.08 BUSUNJU-KAMPALA'!J45,'14.08 BUSUNJU-KAMPALA'!J45,'15.08 BUSUNJU-KAMPALA'!J45),0)</f>
        <v>0</v>
      </c>
      <c r="K93" s="50">
        <f>ROUND(0.65*AVERAGE('11.08 BUSUNJU-KAMPALA'!K45,'12.08 BUSUNJU-KAMPALA'!K45,'13.08 BUSUNJU-KAMPALA'!K45,'14.08 BUSUNJU-KAMPALA'!K45,'15.08 BUSUNJU-KAMPALA'!K45),0)</f>
        <v>0</v>
      </c>
      <c r="L93" s="50">
        <f>ROUND(0.65*AVERAGE('11.08 BUSUNJU-KAMPALA'!L45,'12.08 BUSUNJU-KAMPALA'!L45,'13.08 BUSUNJU-KAMPALA'!L45,'14.08 BUSUNJU-KAMPALA'!L45,'15.08 BUSUNJU-KAMPALA'!L45),0)</f>
        <v>0</v>
      </c>
      <c r="M93" s="50">
        <f>ROUND(0.65*AVERAGE('11.08 BUSUNJU-KAMPALA'!M45,'12.08 BUSUNJU-KAMPALA'!M45,'13.08 BUSUNJU-KAMPALA'!M45,'14.08 BUSUNJU-KAMPALA'!M45,'15.08 BUSUNJU-KAMPALA'!M45),0)</f>
        <v>8</v>
      </c>
      <c r="N93" s="50">
        <f>ROUND(0.65*AVERAGE('11.08 BUSUNJU-KAMPALA'!N45,'12.08 BUSUNJU-KAMPALA'!N45,'13.08 BUSUNJU-KAMPALA'!N45,'14.08 BUSUNJU-KAMPALA'!N45,'15.08 BUSUNJU-KAMPALA'!N45),0)</f>
        <v>0</v>
      </c>
      <c r="O93" s="15">
        <f t="shared" si="35"/>
        <v>4</v>
      </c>
      <c r="P93" s="15">
        <f t="shared" si="36"/>
        <v>12</v>
      </c>
      <c r="R93" s="8"/>
      <c r="T93"/>
    </row>
    <row r="94" spans="2:20" ht="23.1" customHeight="1" x14ac:dyDescent="0.25">
      <c r="B94" s="46" t="s">
        <v>134</v>
      </c>
      <c r="C94" s="50">
        <f>ROUND(0.65*AVERAGE('11.08 BUSUNJU-KAMPALA'!C46,'12.08 BUSUNJU-KAMPALA'!C46,'13.08 BUSUNJU-KAMPALA'!C46,'14.08 BUSUNJU-KAMPALA'!C46,'15.08 BUSUNJU-KAMPALA'!C46),0)</f>
        <v>1</v>
      </c>
      <c r="D94" s="50">
        <f>ROUND(0.65*AVERAGE('11.08 BUSUNJU-KAMPALA'!D46,'12.08 BUSUNJU-KAMPALA'!D46,'13.08 BUSUNJU-KAMPALA'!D46,'14.08 BUSUNJU-KAMPALA'!D46,'15.08 BUSUNJU-KAMPALA'!D46),0)</f>
        <v>0</v>
      </c>
      <c r="E94" s="50">
        <f>ROUND(0.65*AVERAGE('11.08 BUSUNJU-KAMPALA'!E46,'12.08 BUSUNJU-KAMPALA'!E46,'13.08 BUSUNJU-KAMPALA'!E46,'14.08 BUSUNJU-KAMPALA'!E46,'15.08 BUSUNJU-KAMPALA'!E46),0)</f>
        <v>1</v>
      </c>
      <c r="F94" s="50">
        <f>ROUND(0.65*AVERAGE('11.08 BUSUNJU-KAMPALA'!F46,'12.08 BUSUNJU-KAMPALA'!F46,'13.08 BUSUNJU-KAMPALA'!F46,'14.08 BUSUNJU-KAMPALA'!F46,'15.08 BUSUNJU-KAMPALA'!F46),0)</f>
        <v>0</v>
      </c>
      <c r="G94" s="50">
        <f>ROUND(0.65*AVERAGE('11.08 BUSUNJU-KAMPALA'!G46,'12.08 BUSUNJU-KAMPALA'!G46,'13.08 BUSUNJU-KAMPALA'!G46,'14.08 BUSUNJU-KAMPALA'!G46,'15.08 BUSUNJU-KAMPALA'!G46),0)</f>
        <v>0</v>
      </c>
      <c r="H94" s="50">
        <f>ROUND(0.65*AVERAGE('11.08 BUSUNJU-KAMPALA'!H46,'12.08 BUSUNJU-KAMPALA'!H46,'13.08 BUSUNJU-KAMPALA'!H46,'14.08 BUSUNJU-KAMPALA'!H46,'15.08 BUSUNJU-KAMPALA'!H46),0)</f>
        <v>0</v>
      </c>
      <c r="I94" s="50">
        <f>ROUND(0.65*AVERAGE('11.08 BUSUNJU-KAMPALA'!I46,'12.08 BUSUNJU-KAMPALA'!I46,'13.08 BUSUNJU-KAMPALA'!I46,'14.08 BUSUNJU-KAMPALA'!I46,'15.08 BUSUNJU-KAMPALA'!I46),0)</f>
        <v>0</v>
      </c>
      <c r="J94" s="50">
        <f>ROUND(0.65*AVERAGE('11.08 BUSUNJU-KAMPALA'!J46,'12.08 BUSUNJU-KAMPALA'!J46,'13.08 BUSUNJU-KAMPALA'!J46,'14.08 BUSUNJU-KAMPALA'!J46,'15.08 BUSUNJU-KAMPALA'!J46),0)</f>
        <v>0</v>
      </c>
      <c r="K94" s="50">
        <f>ROUND(0.65*AVERAGE('11.08 BUSUNJU-KAMPALA'!K46,'12.08 BUSUNJU-KAMPALA'!K46,'13.08 BUSUNJU-KAMPALA'!K46,'14.08 BUSUNJU-KAMPALA'!K46,'15.08 BUSUNJU-KAMPALA'!K46),0)</f>
        <v>0</v>
      </c>
      <c r="L94" s="50">
        <f>ROUND(0.65*AVERAGE('11.08 BUSUNJU-KAMPALA'!L46,'12.08 BUSUNJU-KAMPALA'!L46,'13.08 BUSUNJU-KAMPALA'!L46,'14.08 BUSUNJU-KAMPALA'!L46,'15.08 BUSUNJU-KAMPALA'!L46),0)</f>
        <v>0</v>
      </c>
      <c r="M94" s="50">
        <f>ROUND(0.65*AVERAGE('11.08 BUSUNJU-KAMPALA'!M46,'12.08 BUSUNJU-KAMPALA'!M46,'13.08 BUSUNJU-KAMPALA'!M46,'14.08 BUSUNJU-KAMPALA'!M46,'15.08 BUSUNJU-KAMPALA'!M46),0)</f>
        <v>10</v>
      </c>
      <c r="N94" s="50">
        <f>ROUND(0.65*AVERAGE('11.08 BUSUNJU-KAMPALA'!N46,'12.08 BUSUNJU-KAMPALA'!N46,'13.08 BUSUNJU-KAMPALA'!N46,'14.08 BUSUNJU-KAMPALA'!N46,'15.08 BUSUNJU-KAMPALA'!N46),0)</f>
        <v>0</v>
      </c>
      <c r="O94" s="15">
        <f t="shared" si="35"/>
        <v>2</v>
      </c>
      <c r="P94" s="15">
        <f t="shared" si="36"/>
        <v>12</v>
      </c>
      <c r="R94" s="8"/>
      <c r="T94"/>
    </row>
    <row r="95" spans="2:20" ht="23.1" customHeight="1" x14ac:dyDescent="0.25">
      <c r="B95" s="45" t="s">
        <v>135</v>
      </c>
      <c r="C95" s="50">
        <f>ROUND(0.65*AVERAGE('11.08 BUSUNJU-KAMPALA'!C47,'12.08 BUSUNJU-KAMPALA'!C47,'13.08 BUSUNJU-KAMPALA'!C47,'14.08 BUSUNJU-KAMPALA'!C47,'15.08 BUSUNJU-KAMPALA'!C47),0)</f>
        <v>1</v>
      </c>
      <c r="D95" s="50">
        <f>ROUND(0.65*AVERAGE('11.08 BUSUNJU-KAMPALA'!D47,'12.08 BUSUNJU-KAMPALA'!D47,'13.08 BUSUNJU-KAMPALA'!D47,'14.08 BUSUNJU-KAMPALA'!D47,'15.08 BUSUNJU-KAMPALA'!D47),0)</f>
        <v>0</v>
      </c>
      <c r="E95" s="50">
        <f>ROUND(0.65*AVERAGE('11.08 BUSUNJU-KAMPALA'!E47,'12.08 BUSUNJU-KAMPALA'!E47,'13.08 BUSUNJU-KAMPALA'!E47,'14.08 BUSUNJU-KAMPALA'!E47,'15.08 BUSUNJU-KAMPALA'!E47),0)</f>
        <v>1</v>
      </c>
      <c r="F95" s="50">
        <f>ROUND(0.65*AVERAGE('11.08 BUSUNJU-KAMPALA'!F47,'12.08 BUSUNJU-KAMPALA'!F47,'13.08 BUSUNJU-KAMPALA'!F47,'14.08 BUSUNJU-KAMPALA'!F47,'15.08 BUSUNJU-KAMPALA'!F47),0)</f>
        <v>0</v>
      </c>
      <c r="G95" s="50">
        <f>ROUND(0.65*AVERAGE('11.08 BUSUNJU-KAMPALA'!G47,'12.08 BUSUNJU-KAMPALA'!G47,'13.08 BUSUNJU-KAMPALA'!G47,'14.08 BUSUNJU-KAMPALA'!G47,'15.08 BUSUNJU-KAMPALA'!G47),0)</f>
        <v>0</v>
      </c>
      <c r="H95" s="50">
        <f>ROUND(0.65*AVERAGE('11.08 BUSUNJU-KAMPALA'!H47,'12.08 BUSUNJU-KAMPALA'!H47,'13.08 BUSUNJU-KAMPALA'!H47,'14.08 BUSUNJU-KAMPALA'!H47,'15.08 BUSUNJU-KAMPALA'!H47),0)</f>
        <v>0</v>
      </c>
      <c r="I95" s="50">
        <f>ROUND(0.65*AVERAGE('11.08 BUSUNJU-KAMPALA'!I47,'12.08 BUSUNJU-KAMPALA'!I47,'13.08 BUSUNJU-KAMPALA'!I47,'14.08 BUSUNJU-KAMPALA'!I47,'15.08 BUSUNJU-KAMPALA'!I47),0)</f>
        <v>0</v>
      </c>
      <c r="J95" s="50">
        <f>ROUND(0.65*AVERAGE('11.08 BUSUNJU-KAMPALA'!J47,'12.08 BUSUNJU-KAMPALA'!J47,'13.08 BUSUNJU-KAMPALA'!J47,'14.08 BUSUNJU-KAMPALA'!J47,'15.08 BUSUNJU-KAMPALA'!J47),0)</f>
        <v>0</v>
      </c>
      <c r="K95" s="50">
        <f>ROUND(0.65*AVERAGE('11.08 BUSUNJU-KAMPALA'!K47,'12.08 BUSUNJU-KAMPALA'!K47,'13.08 BUSUNJU-KAMPALA'!K47,'14.08 BUSUNJU-KAMPALA'!K47,'15.08 BUSUNJU-KAMPALA'!K47),0)</f>
        <v>0</v>
      </c>
      <c r="L95" s="50">
        <f>ROUND(0.65*AVERAGE('11.08 BUSUNJU-KAMPALA'!L47,'12.08 BUSUNJU-KAMPALA'!L47,'13.08 BUSUNJU-KAMPALA'!L47,'14.08 BUSUNJU-KAMPALA'!L47,'15.08 BUSUNJU-KAMPALA'!L47),0)</f>
        <v>0</v>
      </c>
      <c r="M95" s="50">
        <f>ROUND(0.65*AVERAGE('11.08 BUSUNJU-KAMPALA'!M47,'12.08 BUSUNJU-KAMPALA'!M47,'13.08 BUSUNJU-KAMPALA'!M47,'14.08 BUSUNJU-KAMPALA'!M47,'15.08 BUSUNJU-KAMPALA'!M47),0)</f>
        <v>8</v>
      </c>
      <c r="N95" s="50">
        <f>ROUND(0.65*AVERAGE('11.08 BUSUNJU-KAMPALA'!N47,'12.08 BUSUNJU-KAMPALA'!N47,'13.08 BUSUNJU-KAMPALA'!N47,'14.08 BUSUNJU-KAMPALA'!N47,'15.08 BUSUNJU-KAMPALA'!N47),0)</f>
        <v>0</v>
      </c>
      <c r="O95" s="15">
        <f t="shared" si="35"/>
        <v>2</v>
      </c>
      <c r="P95" s="15">
        <f t="shared" si="36"/>
        <v>10</v>
      </c>
      <c r="R95" s="8"/>
      <c r="T95"/>
    </row>
    <row r="96" spans="2:20" ht="23.1" customHeight="1" x14ac:dyDescent="0.25">
      <c r="B96" s="47" t="s">
        <v>136</v>
      </c>
      <c r="C96" s="50">
        <f>ROUND(0.65*AVERAGE('11.08 BUSUNJU-KAMPALA'!C48,'12.08 BUSUNJU-KAMPALA'!C48,'13.08 BUSUNJU-KAMPALA'!C48,'14.08 BUSUNJU-KAMPALA'!C48,'15.08 BUSUNJU-KAMPALA'!C48),0)</f>
        <v>1</v>
      </c>
      <c r="D96" s="50">
        <f>ROUND(0.65*AVERAGE('11.08 BUSUNJU-KAMPALA'!D48,'12.08 BUSUNJU-KAMPALA'!D48,'13.08 BUSUNJU-KAMPALA'!D48,'14.08 BUSUNJU-KAMPALA'!D48,'15.08 BUSUNJU-KAMPALA'!D48),0)</f>
        <v>0</v>
      </c>
      <c r="E96" s="50">
        <f>ROUND(0.65*AVERAGE('11.08 BUSUNJU-KAMPALA'!E48,'12.08 BUSUNJU-KAMPALA'!E48,'13.08 BUSUNJU-KAMPALA'!E48,'14.08 BUSUNJU-KAMPALA'!E48,'15.08 BUSUNJU-KAMPALA'!E48),0)</f>
        <v>1</v>
      </c>
      <c r="F96" s="50">
        <f>ROUND(0.65*AVERAGE('11.08 BUSUNJU-KAMPALA'!F48,'12.08 BUSUNJU-KAMPALA'!F48,'13.08 BUSUNJU-KAMPALA'!F48,'14.08 BUSUNJU-KAMPALA'!F48,'15.08 BUSUNJU-KAMPALA'!F48),0)</f>
        <v>1</v>
      </c>
      <c r="G96" s="50">
        <f>ROUND(0.65*AVERAGE('11.08 BUSUNJU-KAMPALA'!G48,'12.08 BUSUNJU-KAMPALA'!G48,'13.08 BUSUNJU-KAMPALA'!G48,'14.08 BUSUNJU-KAMPALA'!G48,'15.08 BUSUNJU-KAMPALA'!G48),0)</f>
        <v>0</v>
      </c>
      <c r="H96" s="50">
        <f>ROUND(0.65*AVERAGE('11.08 BUSUNJU-KAMPALA'!H48,'12.08 BUSUNJU-KAMPALA'!H48,'13.08 BUSUNJU-KAMPALA'!H48,'14.08 BUSUNJU-KAMPALA'!H48,'15.08 BUSUNJU-KAMPALA'!H48),0)</f>
        <v>0</v>
      </c>
      <c r="I96" s="50">
        <f>ROUND(0.65*AVERAGE('11.08 BUSUNJU-KAMPALA'!I48,'12.08 BUSUNJU-KAMPALA'!I48,'13.08 BUSUNJU-KAMPALA'!I48,'14.08 BUSUNJU-KAMPALA'!I48,'15.08 BUSUNJU-KAMPALA'!I48),0)</f>
        <v>1</v>
      </c>
      <c r="J96" s="50">
        <f>ROUND(0.65*AVERAGE('11.08 BUSUNJU-KAMPALA'!J48,'12.08 BUSUNJU-KAMPALA'!J48,'13.08 BUSUNJU-KAMPALA'!J48,'14.08 BUSUNJU-KAMPALA'!J48,'15.08 BUSUNJU-KAMPALA'!J48),0)</f>
        <v>0</v>
      </c>
      <c r="K96" s="50">
        <f>ROUND(0.65*AVERAGE('11.08 BUSUNJU-KAMPALA'!K48,'12.08 BUSUNJU-KAMPALA'!K48,'13.08 BUSUNJU-KAMPALA'!K48,'14.08 BUSUNJU-KAMPALA'!K48,'15.08 BUSUNJU-KAMPALA'!K48),0)</f>
        <v>0</v>
      </c>
      <c r="L96" s="50">
        <f>ROUND(0.65*AVERAGE('11.08 BUSUNJU-KAMPALA'!L48,'12.08 BUSUNJU-KAMPALA'!L48,'13.08 BUSUNJU-KAMPALA'!L48,'14.08 BUSUNJU-KAMPALA'!L48,'15.08 BUSUNJU-KAMPALA'!L48),0)</f>
        <v>0</v>
      </c>
      <c r="M96" s="50">
        <f>ROUND(0.65*AVERAGE('11.08 BUSUNJU-KAMPALA'!M48,'12.08 BUSUNJU-KAMPALA'!M48,'13.08 BUSUNJU-KAMPALA'!M48,'14.08 BUSUNJU-KAMPALA'!M48,'15.08 BUSUNJU-KAMPALA'!M48),0)</f>
        <v>12</v>
      </c>
      <c r="N96" s="50">
        <f>ROUND(0.65*AVERAGE('11.08 BUSUNJU-KAMPALA'!N48,'12.08 BUSUNJU-KAMPALA'!N48,'13.08 BUSUNJU-KAMPALA'!N48,'14.08 BUSUNJU-KAMPALA'!N48,'15.08 BUSUNJU-KAMPALA'!N48),0)</f>
        <v>0</v>
      </c>
      <c r="O96" s="15">
        <f t="shared" si="35"/>
        <v>4</v>
      </c>
      <c r="P96" s="15">
        <f t="shared" si="36"/>
        <v>16</v>
      </c>
      <c r="R96" s="8"/>
      <c r="T96"/>
    </row>
    <row r="97" spans="2:20" ht="23.1" customHeight="1" x14ac:dyDescent="0.25">
      <c r="B97" s="45" t="s">
        <v>137</v>
      </c>
      <c r="C97" s="50">
        <f>ROUND(0.65*AVERAGE('11.08 BUSUNJU-KAMPALA'!C49,'12.08 BUSUNJU-KAMPALA'!C49,'13.08 BUSUNJU-KAMPALA'!C49,'14.08 BUSUNJU-KAMPALA'!C49,'15.08 BUSUNJU-KAMPALA'!C49),0)</f>
        <v>1</v>
      </c>
      <c r="D97" s="50">
        <f>ROUND(0.65*AVERAGE('11.08 BUSUNJU-KAMPALA'!D49,'12.08 BUSUNJU-KAMPALA'!D49,'13.08 BUSUNJU-KAMPALA'!D49,'14.08 BUSUNJU-KAMPALA'!D49,'15.08 BUSUNJU-KAMPALA'!D49),0)</f>
        <v>0</v>
      </c>
      <c r="E97" s="50">
        <f>ROUND(0.65*AVERAGE('11.08 BUSUNJU-KAMPALA'!E49,'12.08 BUSUNJU-KAMPALA'!E49,'13.08 BUSUNJU-KAMPALA'!E49,'14.08 BUSUNJU-KAMPALA'!E49,'15.08 BUSUNJU-KAMPALA'!E49),0)</f>
        <v>0</v>
      </c>
      <c r="F97" s="50">
        <f>ROUND(0.65*AVERAGE('11.08 BUSUNJU-KAMPALA'!F49,'12.08 BUSUNJU-KAMPALA'!F49,'13.08 BUSUNJU-KAMPALA'!F49,'14.08 BUSUNJU-KAMPALA'!F49,'15.08 BUSUNJU-KAMPALA'!F49),0)</f>
        <v>0</v>
      </c>
      <c r="G97" s="50">
        <f>ROUND(0.65*AVERAGE('11.08 BUSUNJU-KAMPALA'!G49,'12.08 BUSUNJU-KAMPALA'!G49,'13.08 BUSUNJU-KAMPALA'!G49,'14.08 BUSUNJU-KAMPALA'!G49,'15.08 BUSUNJU-KAMPALA'!G49),0)</f>
        <v>0</v>
      </c>
      <c r="H97" s="50">
        <f>ROUND(0.65*AVERAGE('11.08 BUSUNJU-KAMPALA'!H49,'12.08 BUSUNJU-KAMPALA'!H49,'13.08 BUSUNJU-KAMPALA'!H49,'14.08 BUSUNJU-KAMPALA'!H49,'15.08 BUSUNJU-KAMPALA'!H49),0)</f>
        <v>0</v>
      </c>
      <c r="I97" s="50">
        <f>ROUND(0.65*AVERAGE('11.08 BUSUNJU-KAMPALA'!I49,'12.08 BUSUNJU-KAMPALA'!I49,'13.08 BUSUNJU-KAMPALA'!I49,'14.08 BUSUNJU-KAMPALA'!I49,'15.08 BUSUNJU-KAMPALA'!I49),0)</f>
        <v>1</v>
      </c>
      <c r="J97" s="50">
        <f>ROUND(0.65*AVERAGE('11.08 BUSUNJU-KAMPALA'!J49,'12.08 BUSUNJU-KAMPALA'!J49,'13.08 BUSUNJU-KAMPALA'!J49,'14.08 BUSUNJU-KAMPALA'!J49,'15.08 BUSUNJU-KAMPALA'!J49),0)</f>
        <v>0</v>
      </c>
      <c r="K97" s="50">
        <f>ROUND(0.65*AVERAGE('11.08 BUSUNJU-KAMPALA'!K49,'12.08 BUSUNJU-KAMPALA'!K49,'13.08 BUSUNJU-KAMPALA'!K49,'14.08 BUSUNJU-KAMPALA'!K49,'15.08 BUSUNJU-KAMPALA'!K49),0)</f>
        <v>0</v>
      </c>
      <c r="L97" s="50">
        <f>ROUND(0.65*AVERAGE('11.08 BUSUNJU-KAMPALA'!L49,'12.08 BUSUNJU-KAMPALA'!L49,'13.08 BUSUNJU-KAMPALA'!L49,'14.08 BUSUNJU-KAMPALA'!L49,'15.08 BUSUNJU-KAMPALA'!L49),0)</f>
        <v>0</v>
      </c>
      <c r="M97" s="50">
        <f>ROUND(0.65*AVERAGE('11.08 BUSUNJU-KAMPALA'!M49,'12.08 BUSUNJU-KAMPALA'!M49,'13.08 BUSUNJU-KAMPALA'!M49,'14.08 BUSUNJU-KAMPALA'!M49,'15.08 BUSUNJU-KAMPALA'!M49),0)</f>
        <v>8</v>
      </c>
      <c r="N97" s="50">
        <f>ROUND(0.65*AVERAGE('11.08 BUSUNJU-KAMPALA'!N49,'12.08 BUSUNJU-KAMPALA'!N49,'13.08 BUSUNJU-KAMPALA'!N49,'14.08 BUSUNJU-KAMPALA'!N49,'15.08 BUSUNJU-KAMPALA'!N49),0)</f>
        <v>0</v>
      </c>
      <c r="O97" s="15">
        <f t="shared" si="35"/>
        <v>2</v>
      </c>
      <c r="P97" s="15">
        <f t="shared" si="36"/>
        <v>10</v>
      </c>
      <c r="R97" s="8"/>
      <c r="T97"/>
    </row>
    <row r="98" spans="2:20" ht="23.1" customHeight="1" x14ac:dyDescent="0.25">
      <c r="B98" s="46" t="s">
        <v>138</v>
      </c>
      <c r="C98" s="50">
        <f>ROUND(0.65*AVERAGE('11.08 BUSUNJU-KAMPALA'!C50,'12.08 BUSUNJU-KAMPALA'!C50,'13.08 BUSUNJU-KAMPALA'!C50,'14.08 BUSUNJU-KAMPALA'!C50,'15.08 BUSUNJU-KAMPALA'!C50),0)</f>
        <v>1</v>
      </c>
      <c r="D98" s="50">
        <f>ROUND(0.65*AVERAGE('11.08 BUSUNJU-KAMPALA'!D50,'12.08 BUSUNJU-KAMPALA'!D50,'13.08 BUSUNJU-KAMPALA'!D50,'14.08 BUSUNJU-KAMPALA'!D50,'15.08 BUSUNJU-KAMPALA'!D50),0)</f>
        <v>0</v>
      </c>
      <c r="E98" s="50">
        <f>ROUND(0.65*AVERAGE('11.08 BUSUNJU-KAMPALA'!E50,'12.08 BUSUNJU-KAMPALA'!E50,'13.08 BUSUNJU-KAMPALA'!E50,'14.08 BUSUNJU-KAMPALA'!E50,'15.08 BUSUNJU-KAMPALA'!E50),0)</f>
        <v>1</v>
      </c>
      <c r="F98" s="50">
        <f>ROUND(0.65*AVERAGE('11.08 BUSUNJU-KAMPALA'!F50,'12.08 BUSUNJU-KAMPALA'!F50,'13.08 BUSUNJU-KAMPALA'!F50,'14.08 BUSUNJU-KAMPALA'!F50,'15.08 BUSUNJU-KAMPALA'!F50),0)</f>
        <v>0</v>
      </c>
      <c r="G98" s="50">
        <f>ROUND(0.65*AVERAGE('11.08 BUSUNJU-KAMPALA'!G50,'12.08 BUSUNJU-KAMPALA'!G50,'13.08 BUSUNJU-KAMPALA'!G50,'14.08 BUSUNJU-KAMPALA'!G50,'15.08 BUSUNJU-KAMPALA'!G50),0)</f>
        <v>0</v>
      </c>
      <c r="H98" s="50">
        <f>ROUND(0.65*AVERAGE('11.08 BUSUNJU-KAMPALA'!H50,'12.08 BUSUNJU-KAMPALA'!H50,'13.08 BUSUNJU-KAMPALA'!H50,'14.08 BUSUNJU-KAMPALA'!H50,'15.08 BUSUNJU-KAMPALA'!H50),0)</f>
        <v>0</v>
      </c>
      <c r="I98" s="50">
        <f>ROUND(0.65*AVERAGE('11.08 BUSUNJU-KAMPALA'!I50,'12.08 BUSUNJU-KAMPALA'!I50,'13.08 BUSUNJU-KAMPALA'!I50,'14.08 BUSUNJU-KAMPALA'!I50,'15.08 BUSUNJU-KAMPALA'!I50),0)</f>
        <v>1</v>
      </c>
      <c r="J98" s="50">
        <f>ROUND(0.65*AVERAGE('11.08 BUSUNJU-KAMPALA'!J50,'12.08 BUSUNJU-KAMPALA'!J50,'13.08 BUSUNJU-KAMPALA'!J50,'14.08 BUSUNJU-KAMPALA'!J50,'15.08 BUSUNJU-KAMPALA'!J50),0)</f>
        <v>0</v>
      </c>
      <c r="K98" s="50">
        <f>ROUND(0.65*AVERAGE('11.08 BUSUNJU-KAMPALA'!K50,'12.08 BUSUNJU-KAMPALA'!K50,'13.08 BUSUNJU-KAMPALA'!K50,'14.08 BUSUNJU-KAMPALA'!K50,'15.08 BUSUNJU-KAMPALA'!K50),0)</f>
        <v>0</v>
      </c>
      <c r="L98" s="50">
        <f>ROUND(0.65*AVERAGE('11.08 BUSUNJU-KAMPALA'!L50,'12.08 BUSUNJU-KAMPALA'!L50,'13.08 BUSUNJU-KAMPALA'!L50,'14.08 BUSUNJU-KAMPALA'!L50,'15.08 BUSUNJU-KAMPALA'!L50),0)</f>
        <v>0</v>
      </c>
      <c r="M98" s="50">
        <f>ROUND(0.65*AVERAGE('11.08 BUSUNJU-KAMPALA'!M50,'12.08 BUSUNJU-KAMPALA'!M50,'13.08 BUSUNJU-KAMPALA'!M50,'14.08 BUSUNJU-KAMPALA'!M50,'15.08 BUSUNJU-KAMPALA'!M50),0)</f>
        <v>11</v>
      </c>
      <c r="N98" s="50">
        <f>ROUND(0.65*AVERAGE('11.08 BUSUNJU-KAMPALA'!N50,'12.08 BUSUNJU-KAMPALA'!N50,'13.08 BUSUNJU-KAMPALA'!N50,'14.08 BUSUNJU-KAMPALA'!N50,'15.08 BUSUNJU-KAMPALA'!N50),0)</f>
        <v>0</v>
      </c>
      <c r="O98" s="15">
        <f t="shared" si="35"/>
        <v>3</v>
      </c>
      <c r="P98" s="15">
        <f t="shared" si="36"/>
        <v>14</v>
      </c>
      <c r="R98" s="8"/>
      <c r="T98"/>
    </row>
    <row r="99" spans="2:20" ht="23.1" customHeight="1" x14ac:dyDescent="0.25">
      <c r="B99" s="45" t="s">
        <v>139</v>
      </c>
      <c r="C99" s="50">
        <f>ROUND(0.8*AVERAGE('11.08 BUSUNJU-KAMPALA'!C51,'12.08 BUSUNJU-KAMPALA'!C51,'13.08 BUSUNJU-KAMPALA'!C51,'14.08 BUSUNJU-KAMPALA'!C51,'15.08 BUSUNJU-KAMPALA'!C51),0)</f>
        <v>1</v>
      </c>
      <c r="D99" s="50">
        <f>ROUND(0.8*AVERAGE('11.08 BUSUNJU-KAMPALA'!D51,'12.08 BUSUNJU-KAMPALA'!D51,'13.08 BUSUNJU-KAMPALA'!D51,'14.08 BUSUNJU-KAMPALA'!D51,'15.08 BUSUNJU-KAMPALA'!D51),0)</f>
        <v>0</v>
      </c>
      <c r="E99" s="50">
        <f>ROUND(0.8*AVERAGE('11.08 BUSUNJU-KAMPALA'!E51,'12.08 BUSUNJU-KAMPALA'!E51,'13.08 BUSUNJU-KAMPALA'!E51,'14.08 BUSUNJU-KAMPALA'!E51,'15.08 BUSUNJU-KAMPALA'!E51),0)</f>
        <v>1</v>
      </c>
      <c r="F99" s="50">
        <f>ROUND(0.8*AVERAGE('11.08 BUSUNJU-KAMPALA'!F51,'12.08 BUSUNJU-KAMPALA'!F51,'13.08 BUSUNJU-KAMPALA'!F51,'14.08 BUSUNJU-KAMPALA'!F51,'15.08 BUSUNJU-KAMPALA'!F51),0)</f>
        <v>0</v>
      </c>
      <c r="G99" s="50">
        <f>ROUND(0.8*AVERAGE('11.08 BUSUNJU-KAMPALA'!G51,'12.08 BUSUNJU-KAMPALA'!G51,'13.08 BUSUNJU-KAMPALA'!G51,'14.08 BUSUNJU-KAMPALA'!G51,'15.08 BUSUNJU-KAMPALA'!G51),0)</f>
        <v>0</v>
      </c>
      <c r="H99" s="50">
        <f>ROUND(0.8*AVERAGE('11.08 BUSUNJU-KAMPALA'!H51,'12.08 BUSUNJU-KAMPALA'!H51,'13.08 BUSUNJU-KAMPALA'!H51,'14.08 BUSUNJU-KAMPALA'!H51,'15.08 BUSUNJU-KAMPALA'!H51),0)</f>
        <v>0</v>
      </c>
      <c r="I99" s="50">
        <f>ROUND(0.8*AVERAGE('11.08 BUSUNJU-KAMPALA'!I51,'12.08 BUSUNJU-KAMPALA'!I51,'13.08 BUSUNJU-KAMPALA'!I51,'14.08 BUSUNJU-KAMPALA'!I51,'15.08 BUSUNJU-KAMPALA'!I51),0)</f>
        <v>1</v>
      </c>
      <c r="J99" s="50">
        <f>ROUND(0.8*AVERAGE('11.08 BUSUNJU-KAMPALA'!J51,'12.08 BUSUNJU-KAMPALA'!J51,'13.08 BUSUNJU-KAMPALA'!J51,'14.08 BUSUNJU-KAMPALA'!J51,'15.08 BUSUNJU-KAMPALA'!J51),0)</f>
        <v>0</v>
      </c>
      <c r="K99" s="50">
        <f>ROUND(0.8*AVERAGE('11.08 BUSUNJU-KAMPALA'!K51,'12.08 BUSUNJU-KAMPALA'!K51,'13.08 BUSUNJU-KAMPALA'!K51,'14.08 BUSUNJU-KAMPALA'!K51,'15.08 BUSUNJU-KAMPALA'!K51),0)</f>
        <v>0</v>
      </c>
      <c r="L99" s="50">
        <f>ROUND(0.8*AVERAGE('11.08 BUSUNJU-KAMPALA'!L51,'12.08 BUSUNJU-KAMPALA'!L51,'13.08 BUSUNJU-KAMPALA'!L51,'14.08 BUSUNJU-KAMPALA'!L51,'15.08 BUSUNJU-KAMPALA'!L51),0)</f>
        <v>0</v>
      </c>
      <c r="M99" s="50">
        <f>ROUND(0.8*AVERAGE('11.08 BUSUNJU-KAMPALA'!M51,'12.08 BUSUNJU-KAMPALA'!M51,'13.08 BUSUNJU-KAMPALA'!M51,'14.08 BUSUNJU-KAMPALA'!M51,'15.08 BUSUNJU-KAMPALA'!M51),0)</f>
        <v>11</v>
      </c>
      <c r="N99" s="50">
        <f>ROUND(0.8*AVERAGE('11.08 BUSUNJU-KAMPALA'!N51,'12.08 BUSUNJU-KAMPALA'!N51,'13.08 BUSUNJU-KAMPALA'!N51,'14.08 BUSUNJU-KAMPALA'!N51,'15.08 BUSUNJU-KAMPALA'!N51),0)</f>
        <v>0</v>
      </c>
      <c r="O99" s="15">
        <f t="shared" si="35"/>
        <v>3</v>
      </c>
      <c r="P99" s="15">
        <f t="shared" si="36"/>
        <v>14</v>
      </c>
      <c r="R99" s="8"/>
      <c r="T99"/>
    </row>
    <row r="100" spans="2:20" ht="23.1" customHeight="1" x14ac:dyDescent="0.25">
      <c r="B100" s="47" t="s">
        <v>140</v>
      </c>
      <c r="C100" s="50">
        <f>ROUND(0.8*AVERAGE('11.08 BUSUNJU-KAMPALA'!C52,'12.08 BUSUNJU-KAMPALA'!C52,'13.08 BUSUNJU-KAMPALA'!C52,'14.08 BUSUNJU-KAMPALA'!C52,'15.08 BUSUNJU-KAMPALA'!C52),0)</f>
        <v>1</v>
      </c>
      <c r="D100" s="50">
        <f>ROUND(0.8*AVERAGE('11.08 BUSUNJU-KAMPALA'!D52,'12.08 BUSUNJU-KAMPALA'!D52,'13.08 BUSUNJU-KAMPALA'!D52,'14.08 BUSUNJU-KAMPALA'!D52,'15.08 BUSUNJU-KAMPALA'!D52),0)</f>
        <v>0</v>
      </c>
      <c r="E100" s="50">
        <f>ROUND(0.8*AVERAGE('11.08 BUSUNJU-KAMPALA'!E52,'12.08 BUSUNJU-KAMPALA'!E52,'13.08 BUSUNJU-KAMPALA'!E52,'14.08 BUSUNJU-KAMPALA'!E52,'15.08 BUSUNJU-KAMPALA'!E52),0)</f>
        <v>1</v>
      </c>
      <c r="F100" s="50">
        <f>ROUND(0.8*AVERAGE('11.08 BUSUNJU-KAMPALA'!F52,'12.08 BUSUNJU-KAMPALA'!F52,'13.08 BUSUNJU-KAMPALA'!F52,'14.08 BUSUNJU-KAMPALA'!F52,'15.08 BUSUNJU-KAMPALA'!F52),0)</f>
        <v>1</v>
      </c>
      <c r="G100" s="50">
        <f>ROUND(0.8*AVERAGE('11.08 BUSUNJU-KAMPALA'!G52,'12.08 BUSUNJU-KAMPALA'!G52,'13.08 BUSUNJU-KAMPALA'!G52,'14.08 BUSUNJU-KAMPALA'!G52,'15.08 BUSUNJU-KAMPALA'!G52),0)</f>
        <v>0</v>
      </c>
      <c r="H100" s="50">
        <f>ROUND(0.8*AVERAGE('11.08 BUSUNJU-KAMPALA'!H52,'12.08 BUSUNJU-KAMPALA'!H52,'13.08 BUSUNJU-KAMPALA'!H52,'14.08 BUSUNJU-KAMPALA'!H52,'15.08 BUSUNJU-KAMPALA'!H52),0)</f>
        <v>0</v>
      </c>
      <c r="I100" s="50">
        <f>ROUND(0.8*AVERAGE('11.08 BUSUNJU-KAMPALA'!I52,'12.08 BUSUNJU-KAMPALA'!I52,'13.08 BUSUNJU-KAMPALA'!I52,'14.08 BUSUNJU-KAMPALA'!I52,'15.08 BUSUNJU-KAMPALA'!I52),0)</f>
        <v>1</v>
      </c>
      <c r="J100" s="50">
        <f>ROUND(0.8*AVERAGE('11.08 BUSUNJU-KAMPALA'!J52,'12.08 BUSUNJU-KAMPALA'!J52,'13.08 BUSUNJU-KAMPALA'!J52,'14.08 BUSUNJU-KAMPALA'!J52,'15.08 BUSUNJU-KAMPALA'!J52),0)</f>
        <v>0</v>
      </c>
      <c r="K100" s="50">
        <f>ROUND(0.8*AVERAGE('11.08 BUSUNJU-KAMPALA'!K52,'12.08 BUSUNJU-KAMPALA'!K52,'13.08 BUSUNJU-KAMPALA'!K52,'14.08 BUSUNJU-KAMPALA'!K52,'15.08 BUSUNJU-KAMPALA'!K52),0)</f>
        <v>0</v>
      </c>
      <c r="L100" s="50">
        <f>ROUND(0.8*AVERAGE('11.08 BUSUNJU-KAMPALA'!L52,'12.08 BUSUNJU-KAMPALA'!L52,'13.08 BUSUNJU-KAMPALA'!L52,'14.08 BUSUNJU-KAMPALA'!L52,'15.08 BUSUNJU-KAMPALA'!L52),0)</f>
        <v>0</v>
      </c>
      <c r="M100" s="50">
        <f>ROUND(0.8*AVERAGE('11.08 BUSUNJU-KAMPALA'!M52,'12.08 BUSUNJU-KAMPALA'!M52,'13.08 BUSUNJU-KAMPALA'!M52,'14.08 BUSUNJU-KAMPALA'!M52,'15.08 BUSUNJU-KAMPALA'!M52),0)</f>
        <v>14</v>
      </c>
      <c r="N100" s="50">
        <f>ROUND(0.8*AVERAGE('11.08 BUSUNJU-KAMPALA'!N52,'12.08 BUSUNJU-KAMPALA'!N52,'13.08 BUSUNJU-KAMPALA'!N52,'14.08 BUSUNJU-KAMPALA'!N52,'15.08 BUSUNJU-KAMPALA'!N52),0)</f>
        <v>0</v>
      </c>
      <c r="O100" s="15">
        <f t="shared" si="35"/>
        <v>4</v>
      </c>
      <c r="P100" s="15">
        <f t="shared" si="36"/>
        <v>18</v>
      </c>
      <c r="R100" s="8"/>
      <c r="T100"/>
    </row>
    <row r="101" spans="2:20" ht="23.1" customHeight="1" x14ac:dyDescent="0.25">
      <c r="B101" s="45" t="s">
        <v>141</v>
      </c>
      <c r="C101" s="50">
        <f>ROUND(0.8*AVERAGE('11.08 BUSUNJU-KAMPALA'!C53,'12.08 BUSUNJU-KAMPALA'!C53,'13.08 BUSUNJU-KAMPALA'!C53,'14.08 BUSUNJU-KAMPALA'!C53,'15.08 BUSUNJU-KAMPALA'!C53),0)</f>
        <v>1</v>
      </c>
      <c r="D101" s="50">
        <f>ROUND(0.8*AVERAGE('11.08 BUSUNJU-KAMPALA'!D53,'12.08 BUSUNJU-KAMPALA'!D53,'13.08 BUSUNJU-KAMPALA'!D53,'14.08 BUSUNJU-KAMPALA'!D53,'15.08 BUSUNJU-KAMPALA'!D53),0)</f>
        <v>0</v>
      </c>
      <c r="E101" s="50">
        <f>ROUND(0.8*AVERAGE('11.08 BUSUNJU-KAMPALA'!E53,'12.08 BUSUNJU-KAMPALA'!E53,'13.08 BUSUNJU-KAMPALA'!E53,'14.08 BUSUNJU-KAMPALA'!E53,'15.08 BUSUNJU-KAMPALA'!E53),0)</f>
        <v>1</v>
      </c>
      <c r="F101" s="50">
        <f>ROUND(0.8*AVERAGE('11.08 BUSUNJU-KAMPALA'!F53,'12.08 BUSUNJU-KAMPALA'!F53,'13.08 BUSUNJU-KAMPALA'!F53,'14.08 BUSUNJU-KAMPALA'!F53,'15.08 BUSUNJU-KAMPALA'!F53),0)</f>
        <v>1</v>
      </c>
      <c r="G101" s="50">
        <f>ROUND(0.8*AVERAGE('11.08 BUSUNJU-KAMPALA'!G53,'12.08 BUSUNJU-KAMPALA'!G53,'13.08 BUSUNJU-KAMPALA'!G53,'14.08 BUSUNJU-KAMPALA'!G53,'15.08 BUSUNJU-KAMPALA'!G53),0)</f>
        <v>0</v>
      </c>
      <c r="H101" s="50">
        <f>ROUND(0.8*AVERAGE('11.08 BUSUNJU-KAMPALA'!H53,'12.08 BUSUNJU-KAMPALA'!H53,'13.08 BUSUNJU-KAMPALA'!H53,'14.08 BUSUNJU-KAMPALA'!H53,'15.08 BUSUNJU-KAMPALA'!H53),0)</f>
        <v>0</v>
      </c>
      <c r="I101" s="50">
        <f>ROUND(0.8*AVERAGE('11.08 BUSUNJU-KAMPALA'!I53,'12.08 BUSUNJU-KAMPALA'!I53,'13.08 BUSUNJU-KAMPALA'!I53,'14.08 BUSUNJU-KAMPALA'!I53,'15.08 BUSUNJU-KAMPALA'!I53),0)</f>
        <v>1</v>
      </c>
      <c r="J101" s="50">
        <f>ROUND(0.8*AVERAGE('11.08 BUSUNJU-KAMPALA'!J53,'12.08 BUSUNJU-KAMPALA'!J53,'13.08 BUSUNJU-KAMPALA'!J53,'14.08 BUSUNJU-KAMPALA'!J53,'15.08 BUSUNJU-KAMPALA'!J53),0)</f>
        <v>0</v>
      </c>
      <c r="K101" s="50">
        <f>ROUND(0.8*AVERAGE('11.08 BUSUNJU-KAMPALA'!K53,'12.08 BUSUNJU-KAMPALA'!K53,'13.08 BUSUNJU-KAMPALA'!K53,'14.08 BUSUNJU-KAMPALA'!K53,'15.08 BUSUNJU-KAMPALA'!K53),0)</f>
        <v>0</v>
      </c>
      <c r="L101" s="50">
        <f>ROUND(0.8*AVERAGE('11.08 BUSUNJU-KAMPALA'!L53,'12.08 BUSUNJU-KAMPALA'!L53,'13.08 BUSUNJU-KAMPALA'!L53,'14.08 BUSUNJU-KAMPALA'!L53,'15.08 BUSUNJU-KAMPALA'!L53),0)</f>
        <v>0</v>
      </c>
      <c r="M101" s="50">
        <f>ROUND(0.8*AVERAGE('11.08 BUSUNJU-KAMPALA'!M53,'12.08 BUSUNJU-KAMPALA'!M53,'13.08 BUSUNJU-KAMPALA'!M53,'14.08 BUSUNJU-KAMPALA'!M53,'15.08 BUSUNJU-KAMPALA'!M53),0)</f>
        <v>10</v>
      </c>
      <c r="N101" s="50">
        <f>ROUND(0.8*AVERAGE('11.08 BUSUNJU-KAMPALA'!N53,'12.08 BUSUNJU-KAMPALA'!N53,'13.08 BUSUNJU-KAMPALA'!N53,'14.08 BUSUNJU-KAMPALA'!N53,'15.08 BUSUNJU-KAMPALA'!N53),0)</f>
        <v>0</v>
      </c>
      <c r="O101" s="15">
        <f t="shared" si="35"/>
        <v>4</v>
      </c>
      <c r="P101" s="15">
        <f t="shared" si="36"/>
        <v>14</v>
      </c>
      <c r="R101" s="8"/>
      <c r="T101"/>
    </row>
    <row r="102" spans="2:20" ht="23.1" customHeight="1" x14ac:dyDescent="0.25">
      <c r="B102" s="46" t="s">
        <v>142</v>
      </c>
      <c r="C102" s="50">
        <f>ROUND(0.8*AVERAGE('11.08 BUSUNJU-KAMPALA'!C54,'12.08 BUSUNJU-KAMPALA'!C54,'13.08 BUSUNJU-KAMPALA'!C54,'14.08 BUSUNJU-KAMPALA'!C54,'15.08 BUSUNJU-KAMPALA'!C54),0)</f>
        <v>1</v>
      </c>
      <c r="D102" s="50">
        <f>ROUND(0.8*AVERAGE('11.08 BUSUNJU-KAMPALA'!D54,'12.08 BUSUNJU-KAMPALA'!D54,'13.08 BUSUNJU-KAMPALA'!D54,'14.08 BUSUNJU-KAMPALA'!D54,'15.08 BUSUNJU-KAMPALA'!D54),0)</f>
        <v>0</v>
      </c>
      <c r="E102" s="50">
        <f>ROUND(0.8*AVERAGE('11.08 BUSUNJU-KAMPALA'!E54,'12.08 BUSUNJU-KAMPALA'!E54,'13.08 BUSUNJU-KAMPALA'!E54,'14.08 BUSUNJU-KAMPALA'!E54,'15.08 BUSUNJU-KAMPALA'!E54),0)</f>
        <v>1</v>
      </c>
      <c r="F102" s="50">
        <f>ROUND(0.8*AVERAGE('11.08 BUSUNJU-KAMPALA'!F54,'12.08 BUSUNJU-KAMPALA'!F54,'13.08 BUSUNJU-KAMPALA'!F54,'14.08 BUSUNJU-KAMPALA'!F54,'15.08 BUSUNJU-KAMPALA'!F54),0)</f>
        <v>0</v>
      </c>
      <c r="G102" s="50">
        <f>ROUND(0.8*AVERAGE('11.08 BUSUNJU-KAMPALA'!G54,'12.08 BUSUNJU-KAMPALA'!G54,'13.08 BUSUNJU-KAMPALA'!G54,'14.08 BUSUNJU-KAMPALA'!G54,'15.08 BUSUNJU-KAMPALA'!G54),0)</f>
        <v>0</v>
      </c>
      <c r="H102" s="50">
        <f>ROUND(0.8*AVERAGE('11.08 BUSUNJU-KAMPALA'!H54,'12.08 BUSUNJU-KAMPALA'!H54,'13.08 BUSUNJU-KAMPALA'!H54,'14.08 BUSUNJU-KAMPALA'!H54,'15.08 BUSUNJU-KAMPALA'!H54),0)</f>
        <v>0</v>
      </c>
      <c r="I102" s="50">
        <f>ROUND(0.8*AVERAGE('11.08 BUSUNJU-KAMPALA'!I54,'12.08 BUSUNJU-KAMPALA'!I54,'13.08 BUSUNJU-KAMPALA'!I54,'14.08 BUSUNJU-KAMPALA'!I54,'15.08 BUSUNJU-KAMPALA'!I54),0)</f>
        <v>1</v>
      </c>
      <c r="J102" s="50">
        <f>ROUND(0.8*AVERAGE('11.08 BUSUNJU-KAMPALA'!J54,'12.08 BUSUNJU-KAMPALA'!J54,'13.08 BUSUNJU-KAMPALA'!J54,'14.08 BUSUNJU-KAMPALA'!J54,'15.08 BUSUNJU-KAMPALA'!J54),0)</f>
        <v>0</v>
      </c>
      <c r="K102" s="50">
        <f>ROUND(0.8*AVERAGE('11.08 BUSUNJU-KAMPALA'!K54,'12.08 BUSUNJU-KAMPALA'!K54,'13.08 BUSUNJU-KAMPALA'!K54,'14.08 BUSUNJU-KAMPALA'!K54,'15.08 BUSUNJU-KAMPALA'!K54),0)</f>
        <v>0</v>
      </c>
      <c r="L102" s="50">
        <f>ROUND(0.8*AVERAGE('11.08 BUSUNJU-KAMPALA'!L54,'12.08 BUSUNJU-KAMPALA'!L54,'13.08 BUSUNJU-KAMPALA'!L54,'14.08 BUSUNJU-KAMPALA'!L54,'15.08 BUSUNJU-KAMPALA'!L54),0)</f>
        <v>0</v>
      </c>
      <c r="M102" s="50">
        <f>ROUND(0.8*AVERAGE('11.08 BUSUNJU-KAMPALA'!M54,'12.08 BUSUNJU-KAMPALA'!M54,'13.08 BUSUNJU-KAMPALA'!M54,'14.08 BUSUNJU-KAMPALA'!M54,'15.08 BUSUNJU-KAMPALA'!M54),0)</f>
        <v>13</v>
      </c>
      <c r="N102" s="50">
        <f>ROUND(0.8*AVERAGE('11.08 BUSUNJU-KAMPALA'!N54,'12.08 BUSUNJU-KAMPALA'!N54,'13.08 BUSUNJU-KAMPALA'!N54,'14.08 BUSUNJU-KAMPALA'!N54,'15.08 BUSUNJU-KAMPALA'!N54),0)</f>
        <v>0</v>
      </c>
      <c r="O102" s="15">
        <f t="shared" si="35"/>
        <v>3</v>
      </c>
      <c r="P102" s="15">
        <f t="shared" si="36"/>
        <v>16</v>
      </c>
      <c r="R102" s="8"/>
      <c r="T102"/>
    </row>
    <row r="103" spans="2:20" ht="23.1" customHeight="1" x14ac:dyDescent="0.25">
      <c r="B103" s="45" t="s">
        <v>143</v>
      </c>
      <c r="C103" s="50">
        <f>ROUND(0.8*AVERAGE('11.08 BUSUNJU-KAMPALA'!C55,'12.08 BUSUNJU-KAMPALA'!C55,'13.08 BUSUNJU-KAMPALA'!C55,'14.08 BUSUNJU-KAMPALA'!C55,'15.08 BUSUNJU-KAMPALA'!C55),0)</f>
        <v>1</v>
      </c>
      <c r="D103" s="50">
        <f>ROUND(0.8*AVERAGE('11.08 BUSUNJU-KAMPALA'!D55,'12.08 BUSUNJU-KAMPALA'!D55,'13.08 BUSUNJU-KAMPALA'!D55,'14.08 BUSUNJU-KAMPALA'!D55,'15.08 BUSUNJU-KAMPALA'!D55),0)</f>
        <v>0</v>
      </c>
      <c r="E103" s="50">
        <f>ROUND(0.8*AVERAGE('11.08 BUSUNJU-KAMPALA'!E55,'12.08 BUSUNJU-KAMPALA'!E55,'13.08 BUSUNJU-KAMPALA'!E55,'14.08 BUSUNJU-KAMPALA'!E55,'15.08 BUSUNJU-KAMPALA'!E55),0)</f>
        <v>1</v>
      </c>
      <c r="F103" s="50">
        <f>ROUND(0.8*AVERAGE('11.08 BUSUNJU-KAMPALA'!F55,'12.08 BUSUNJU-KAMPALA'!F55,'13.08 BUSUNJU-KAMPALA'!F55,'14.08 BUSUNJU-KAMPALA'!F55,'15.08 BUSUNJU-KAMPALA'!F55),0)</f>
        <v>0</v>
      </c>
      <c r="G103" s="50">
        <f>ROUND(0.8*AVERAGE('11.08 BUSUNJU-KAMPALA'!G55,'12.08 BUSUNJU-KAMPALA'!G55,'13.08 BUSUNJU-KAMPALA'!G55,'14.08 BUSUNJU-KAMPALA'!G55,'15.08 BUSUNJU-KAMPALA'!G55),0)</f>
        <v>0</v>
      </c>
      <c r="H103" s="50">
        <f>ROUND(0.8*AVERAGE('11.08 BUSUNJU-KAMPALA'!H55,'12.08 BUSUNJU-KAMPALA'!H55,'13.08 BUSUNJU-KAMPALA'!H55,'14.08 BUSUNJU-KAMPALA'!H55,'15.08 BUSUNJU-KAMPALA'!H55),0)</f>
        <v>0</v>
      </c>
      <c r="I103" s="50">
        <f>ROUND(0.8*AVERAGE('11.08 BUSUNJU-KAMPALA'!I55,'12.08 BUSUNJU-KAMPALA'!I55,'13.08 BUSUNJU-KAMPALA'!I55,'14.08 BUSUNJU-KAMPALA'!I55,'15.08 BUSUNJU-KAMPALA'!I55),0)</f>
        <v>0</v>
      </c>
      <c r="J103" s="50">
        <f>ROUND(0.8*AVERAGE('11.08 BUSUNJU-KAMPALA'!J55,'12.08 BUSUNJU-KAMPALA'!J55,'13.08 BUSUNJU-KAMPALA'!J55,'14.08 BUSUNJU-KAMPALA'!J55,'15.08 BUSUNJU-KAMPALA'!J55),0)</f>
        <v>0</v>
      </c>
      <c r="K103" s="50">
        <f>ROUND(0.8*AVERAGE('11.08 BUSUNJU-KAMPALA'!K55,'12.08 BUSUNJU-KAMPALA'!K55,'13.08 BUSUNJU-KAMPALA'!K55,'14.08 BUSUNJU-KAMPALA'!K55,'15.08 BUSUNJU-KAMPALA'!K55),0)</f>
        <v>0</v>
      </c>
      <c r="L103" s="50">
        <f>ROUND(0.8*AVERAGE('11.08 BUSUNJU-KAMPALA'!L55,'12.08 BUSUNJU-KAMPALA'!L55,'13.08 BUSUNJU-KAMPALA'!L55,'14.08 BUSUNJU-KAMPALA'!L55,'15.08 BUSUNJU-KAMPALA'!L55),0)</f>
        <v>0</v>
      </c>
      <c r="M103" s="50">
        <f>ROUND(0.8*AVERAGE('11.08 BUSUNJU-KAMPALA'!M55,'12.08 BUSUNJU-KAMPALA'!M55,'13.08 BUSUNJU-KAMPALA'!M55,'14.08 BUSUNJU-KAMPALA'!M55,'15.08 BUSUNJU-KAMPALA'!M55),0)</f>
        <v>11</v>
      </c>
      <c r="N103" s="50">
        <f>ROUND(0.8*AVERAGE('11.08 BUSUNJU-KAMPALA'!N55,'12.08 BUSUNJU-KAMPALA'!N55,'13.08 BUSUNJU-KAMPALA'!N55,'14.08 BUSUNJU-KAMPALA'!N55,'15.08 BUSUNJU-KAMPALA'!N55),0)</f>
        <v>0</v>
      </c>
      <c r="O103" s="15">
        <f t="shared" si="35"/>
        <v>2</v>
      </c>
      <c r="P103" s="15">
        <f t="shared" si="36"/>
        <v>13</v>
      </c>
      <c r="R103" s="8"/>
      <c r="T103"/>
    </row>
    <row r="104" spans="2:20" ht="23.1" customHeight="1" x14ac:dyDescent="0.25">
      <c r="B104" s="47" t="s">
        <v>144</v>
      </c>
      <c r="C104" s="50">
        <f>ROUND(0.8*AVERAGE('11.08 BUSUNJU-KAMPALA'!C56,'12.08 BUSUNJU-KAMPALA'!C56,'13.08 BUSUNJU-KAMPALA'!C56,'14.08 BUSUNJU-KAMPALA'!C56,'15.08 BUSUNJU-KAMPALA'!C56),0)</f>
        <v>2</v>
      </c>
      <c r="D104" s="50">
        <f>ROUND(0.8*AVERAGE('11.08 BUSUNJU-KAMPALA'!D56,'12.08 BUSUNJU-KAMPALA'!D56,'13.08 BUSUNJU-KAMPALA'!D56,'14.08 BUSUNJU-KAMPALA'!D56,'15.08 BUSUNJU-KAMPALA'!D56),0)</f>
        <v>0</v>
      </c>
      <c r="E104" s="50">
        <f>ROUND(0.8*AVERAGE('11.08 BUSUNJU-KAMPALA'!E56,'12.08 BUSUNJU-KAMPALA'!E56,'13.08 BUSUNJU-KAMPALA'!E56,'14.08 BUSUNJU-KAMPALA'!E56,'15.08 BUSUNJU-KAMPALA'!E56),0)</f>
        <v>1</v>
      </c>
      <c r="F104" s="50">
        <f>ROUND(0.8*AVERAGE('11.08 BUSUNJU-KAMPALA'!F56,'12.08 BUSUNJU-KAMPALA'!F56,'13.08 BUSUNJU-KAMPALA'!F56,'14.08 BUSUNJU-KAMPALA'!F56,'15.08 BUSUNJU-KAMPALA'!F56),0)</f>
        <v>0</v>
      </c>
      <c r="G104" s="50">
        <f>ROUND(0.8*AVERAGE('11.08 BUSUNJU-KAMPALA'!G56,'12.08 BUSUNJU-KAMPALA'!G56,'13.08 BUSUNJU-KAMPALA'!G56,'14.08 BUSUNJU-KAMPALA'!G56,'15.08 BUSUNJU-KAMPALA'!G56),0)</f>
        <v>0</v>
      </c>
      <c r="H104" s="50">
        <f>ROUND(0.8*AVERAGE('11.08 BUSUNJU-KAMPALA'!H56,'12.08 BUSUNJU-KAMPALA'!H56,'13.08 BUSUNJU-KAMPALA'!H56,'14.08 BUSUNJU-KAMPALA'!H56,'15.08 BUSUNJU-KAMPALA'!H56),0)</f>
        <v>0</v>
      </c>
      <c r="I104" s="50">
        <f>ROUND(0.8*AVERAGE('11.08 BUSUNJU-KAMPALA'!I56,'12.08 BUSUNJU-KAMPALA'!I56,'13.08 BUSUNJU-KAMPALA'!I56,'14.08 BUSUNJU-KAMPALA'!I56,'15.08 BUSUNJU-KAMPALA'!I56),0)</f>
        <v>1</v>
      </c>
      <c r="J104" s="50">
        <f>ROUND(0.8*AVERAGE('11.08 BUSUNJU-KAMPALA'!J56,'12.08 BUSUNJU-KAMPALA'!J56,'13.08 BUSUNJU-KAMPALA'!J56,'14.08 BUSUNJU-KAMPALA'!J56,'15.08 BUSUNJU-KAMPALA'!J56),0)</f>
        <v>0</v>
      </c>
      <c r="K104" s="50">
        <f>ROUND(0.8*AVERAGE('11.08 BUSUNJU-KAMPALA'!K56,'12.08 BUSUNJU-KAMPALA'!K56,'13.08 BUSUNJU-KAMPALA'!K56,'14.08 BUSUNJU-KAMPALA'!K56,'15.08 BUSUNJU-KAMPALA'!K56),0)</f>
        <v>0</v>
      </c>
      <c r="L104" s="50">
        <f>ROUND(0.8*AVERAGE('11.08 BUSUNJU-KAMPALA'!L56,'12.08 BUSUNJU-KAMPALA'!L56,'13.08 BUSUNJU-KAMPALA'!L56,'14.08 BUSUNJU-KAMPALA'!L56,'15.08 BUSUNJU-KAMPALA'!L56),0)</f>
        <v>0</v>
      </c>
      <c r="M104" s="50">
        <f>ROUND(0.8*AVERAGE('11.08 BUSUNJU-KAMPALA'!M56,'12.08 BUSUNJU-KAMPALA'!M56,'13.08 BUSUNJU-KAMPALA'!M56,'14.08 BUSUNJU-KAMPALA'!M56,'15.08 BUSUNJU-KAMPALA'!M56),0)</f>
        <v>10</v>
      </c>
      <c r="N104" s="50">
        <f>ROUND(0.8*AVERAGE('11.08 BUSUNJU-KAMPALA'!N56,'12.08 BUSUNJU-KAMPALA'!N56,'13.08 BUSUNJU-KAMPALA'!N56,'14.08 BUSUNJU-KAMPALA'!N56,'15.08 BUSUNJU-KAMPALA'!N56),0)</f>
        <v>0</v>
      </c>
      <c r="O104" s="15">
        <f t="shared" si="35"/>
        <v>4</v>
      </c>
      <c r="P104" s="15">
        <f t="shared" si="36"/>
        <v>14</v>
      </c>
      <c r="R104" s="8"/>
      <c r="T104"/>
    </row>
    <row r="105" spans="2:20" ht="23.1" customHeight="1" x14ac:dyDescent="0.25">
      <c r="B105" s="45" t="s">
        <v>145</v>
      </c>
      <c r="C105" s="50">
        <f>ROUND(0.8*AVERAGE('11.08 BUSUNJU-KAMPALA'!C57,'12.08 BUSUNJU-KAMPALA'!C57,'13.08 BUSUNJU-KAMPALA'!C57,'14.08 BUSUNJU-KAMPALA'!C57,'15.08 BUSUNJU-KAMPALA'!C57),0)</f>
        <v>1</v>
      </c>
      <c r="D105" s="50">
        <f>ROUND(0.8*AVERAGE('11.08 BUSUNJU-KAMPALA'!D57,'12.08 BUSUNJU-KAMPALA'!D57,'13.08 BUSUNJU-KAMPALA'!D57,'14.08 BUSUNJU-KAMPALA'!D57,'15.08 BUSUNJU-KAMPALA'!D57),0)</f>
        <v>0</v>
      </c>
      <c r="E105" s="50">
        <f>ROUND(0.8*AVERAGE('11.08 BUSUNJU-KAMPALA'!E57,'12.08 BUSUNJU-KAMPALA'!E57,'13.08 BUSUNJU-KAMPALA'!E57,'14.08 BUSUNJU-KAMPALA'!E57,'15.08 BUSUNJU-KAMPALA'!E57),0)</f>
        <v>0</v>
      </c>
      <c r="F105" s="50">
        <f>ROUND(0.8*AVERAGE('11.08 BUSUNJU-KAMPALA'!F57,'12.08 BUSUNJU-KAMPALA'!F57,'13.08 BUSUNJU-KAMPALA'!F57,'14.08 BUSUNJU-KAMPALA'!F57,'15.08 BUSUNJU-KAMPALA'!F57),0)</f>
        <v>1</v>
      </c>
      <c r="G105" s="50">
        <f>ROUND(0.8*AVERAGE('11.08 BUSUNJU-KAMPALA'!G57,'12.08 BUSUNJU-KAMPALA'!G57,'13.08 BUSUNJU-KAMPALA'!G57,'14.08 BUSUNJU-KAMPALA'!G57,'15.08 BUSUNJU-KAMPALA'!G57),0)</f>
        <v>0</v>
      </c>
      <c r="H105" s="50">
        <f>ROUND(0.8*AVERAGE('11.08 BUSUNJU-KAMPALA'!H57,'12.08 BUSUNJU-KAMPALA'!H57,'13.08 BUSUNJU-KAMPALA'!H57,'14.08 BUSUNJU-KAMPALA'!H57,'15.08 BUSUNJU-KAMPALA'!H57),0)</f>
        <v>0</v>
      </c>
      <c r="I105" s="50">
        <f>ROUND(0.8*AVERAGE('11.08 BUSUNJU-KAMPALA'!I57,'12.08 BUSUNJU-KAMPALA'!I57,'13.08 BUSUNJU-KAMPALA'!I57,'14.08 BUSUNJU-KAMPALA'!I57,'15.08 BUSUNJU-KAMPALA'!I57),0)</f>
        <v>0</v>
      </c>
      <c r="J105" s="50">
        <f>ROUND(0.8*AVERAGE('11.08 BUSUNJU-KAMPALA'!J57,'12.08 BUSUNJU-KAMPALA'!J57,'13.08 BUSUNJU-KAMPALA'!J57,'14.08 BUSUNJU-KAMPALA'!J57,'15.08 BUSUNJU-KAMPALA'!J57),0)</f>
        <v>0</v>
      </c>
      <c r="K105" s="50">
        <f>ROUND(0.8*AVERAGE('11.08 BUSUNJU-KAMPALA'!K57,'12.08 BUSUNJU-KAMPALA'!K57,'13.08 BUSUNJU-KAMPALA'!K57,'14.08 BUSUNJU-KAMPALA'!K57,'15.08 BUSUNJU-KAMPALA'!K57),0)</f>
        <v>0</v>
      </c>
      <c r="L105" s="50">
        <f>ROUND(0.8*AVERAGE('11.08 BUSUNJU-KAMPALA'!L57,'12.08 BUSUNJU-KAMPALA'!L57,'13.08 BUSUNJU-KAMPALA'!L57,'14.08 BUSUNJU-KAMPALA'!L57,'15.08 BUSUNJU-KAMPALA'!L57),0)</f>
        <v>0</v>
      </c>
      <c r="M105" s="50">
        <f>ROUND(0.8*AVERAGE('11.08 BUSUNJU-KAMPALA'!M57,'12.08 BUSUNJU-KAMPALA'!M57,'13.08 BUSUNJU-KAMPALA'!M57,'14.08 BUSUNJU-KAMPALA'!M57,'15.08 BUSUNJU-KAMPALA'!M57),0)</f>
        <v>11</v>
      </c>
      <c r="N105" s="50">
        <f>ROUND(0.8*AVERAGE('11.08 BUSUNJU-KAMPALA'!N57,'12.08 BUSUNJU-KAMPALA'!N57,'13.08 BUSUNJU-KAMPALA'!N57,'14.08 BUSUNJU-KAMPALA'!N57,'15.08 BUSUNJU-KAMPALA'!N57),0)</f>
        <v>0</v>
      </c>
      <c r="O105" s="15">
        <f t="shared" si="35"/>
        <v>2</v>
      </c>
      <c r="P105" s="15">
        <f t="shared" si="36"/>
        <v>13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66</v>
      </c>
      <c r="D106" s="16">
        <f t="shared" ref="D106:P106" si="37">SUM(D10:D105)</f>
        <v>55</v>
      </c>
      <c r="E106" s="16">
        <f t="shared" si="37"/>
        <v>34</v>
      </c>
      <c r="F106" s="16">
        <f t="shared" si="37"/>
        <v>5</v>
      </c>
      <c r="G106" s="16">
        <f t="shared" si="37"/>
        <v>1</v>
      </c>
      <c r="H106" s="16">
        <f t="shared" si="37"/>
        <v>0</v>
      </c>
      <c r="I106" s="16">
        <f t="shared" si="37"/>
        <v>67</v>
      </c>
      <c r="J106" s="16">
        <f t="shared" si="37"/>
        <v>1</v>
      </c>
      <c r="K106" s="16">
        <f t="shared" si="37"/>
        <v>0</v>
      </c>
      <c r="L106" s="16">
        <f t="shared" si="37"/>
        <v>0</v>
      </c>
      <c r="M106" s="16">
        <f t="shared" si="37"/>
        <v>1079</v>
      </c>
      <c r="N106" s="16">
        <f t="shared" si="37"/>
        <v>0</v>
      </c>
      <c r="O106" s="16">
        <f t="shared" si="37"/>
        <v>229</v>
      </c>
      <c r="P106" s="16">
        <f t="shared" si="37"/>
        <v>1308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5.0458715596330278E-2</v>
      </c>
      <c r="D107" s="43">
        <f t="shared" si="38"/>
        <v>4.2048929663608563E-2</v>
      </c>
      <c r="E107" s="43">
        <f t="shared" si="38"/>
        <v>2.5993883792048929E-2</v>
      </c>
      <c r="F107" s="43">
        <f t="shared" si="38"/>
        <v>3.8226299694189602E-3</v>
      </c>
      <c r="G107" s="43">
        <f t="shared" si="38"/>
        <v>7.6452599388379206E-4</v>
      </c>
      <c r="H107" s="43">
        <f t="shared" si="38"/>
        <v>0</v>
      </c>
      <c r="I107" s="43">
        <f t="shared" si="38"/>
        <v>5.1223241590214068E-2</v>
      </c>
      <c r="J107" s="43">
        <f t="shared" si="38"/>
        <v>7.6452599388379206E-4</v>
      </c>
      <c r="K107" s="43">
        <f t="shared" si="38"/>
        <v>0</v>
      </c>
      <c r="L107" s="43">
        <f t="shared" si="38"/>
        <v>0</v>
      </c>
      <c r="M107" s="43">
        <f t="shared" si="38"/>
        <v>0.82492354740061158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0.28820960698689957</v>
      </c>
      <c r="D108" s="44">
        <f t="shared" ref="D108:N108" si="39">D106/$O$106</f>
        <v>0.24017467248908297</v>
      </c>
      <c r="E108" s="44">
        <f t="shared" si="39"/>
        <v>0.14847161572052403</v>
      </c>
      <c r="F108" s="44">
        <f t="shared" si="39"/>
        <v>2.1834061135371178E-2</v>
      </c>
      <c r="G108" s="44">
        <f t="shared" si="39"/>
        <v>4.3668122270742356E-3</v>
      </c>
      <c r="H108" s="44">
        <f t="shared" si="39"/>
        <v>0</v>
      </c>
      <c r="I108" s="44">
        <f t="shared" si="39"/>
        <v>0.29257641921397382</v>
      </c>
      <c r="J108" s="44">
        <f t="shared" si="39"/>
        <v>4.3668122270742356E-3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7" zoomScale="60" workbookViewId="0">
      <selection activeCell="T97" sqref="T9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BUSUNJU-KAMPALA'!C3:G3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'16.08 BUSUNJU-KAMPALA-24h'!D5</f>
        <v>16.08.19</v>
      </c>
      <c r="E5" s="3"/>
      <c r="F5" s="41" t="s">
        <v>1</v>
      </c>
      <c r="G5" s="63" t="str">
        <f>'16.08 BUSUNJU-KAMPALA-24h'!G5:H5</f>
        <v>MATTE</v>
      </c>
      <c r="H5" s="64"/>
      <c r="I5" s="14"/>
      <c r="J5" s="2" t="s">
        <v>5</v>
      </c>
      <c r="K5" s="63" t="str">
        <f>'16.08 BUSUNJU-KAMPALA-24h'!K5:L5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KAMPALA-BUSUNJU'!D6:E6</f>
        <v>KAMPALA</v>
      </c>
      <c r="E6" s="64"/>
      <c r="F6" s="2" t="s">
        <v>2</v>
      </c>
      <c r="G6" s="63" t="str">
        <f>'12.08 KAMPALA-BUSUNJU'!G6:H6</f>
        <v>BUSUNJU</v>
      </c>
      <c r="H6" s="64"/>
      <c r="J6" s="2" t="s">
        <v>21</v>
      </c>
      <c r="K6" s="63" t="str">
        <f>'16.08 BUSUNJU-KAMPALA-24h'!K6:L6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9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9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1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40</v>
      </c>
      <c r="AD10" s="17">
        <f t="shared" si="2"/>
        <v>0</v>
      </c>
      <c r="AE10" s="31">
        <f t="shared" si="2"/>
        <v>4</v>
      </c>
      <c r="AF10" s="31">
        <f t="shared" si="2"/>
        <v>44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11</v>
      </c>
      <c r="N11" s="50">
        <v>0</v>
      </c>
      <c r="O11" s="15">
        <f t="shared" si="0"/>
        <v>0</v>
      </c>
      <c r="P11" s="15">
        <f t="shared" si="1"/>
        <v>11</v>
      </c>
      <c r="R11" s="1" t="s">
        <v>7</v>
      </c>
      <c r="S11" s="17">
        <f t="shared" ref="S11:AF11" si="3">SUM(C14:C17)</f>
        <v>2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1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53</v>
      </c>
      <c r="AD11" s="17">
        <f t="shared" si="3"/>
        <v>0</v>
      </c>
      <c r="AE11" s="31">
        <f t="shared" si="3"/>
        <v>3</v>
      </c>
      <c r="AF11" s="31">
        <f t="shared" si="3"/>
        <v>56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1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12</v>
      </c>
      <c r="N12" s="50">
        <v>0</v>
      </c>
      <c r="O12" s="15">
        <f t="shared" si="0"/>
        <v>1</v>
      </c>
      <c r="P12" s="15">
        <f t="shared" si="1"/>
        <v>13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1</v>
      </c>
      <c r="V12" s="17">
        <f t="shared" si="4"/>
        <v>2</v>
      </c>
      <c r="W12" s="17">
        <f t="shared" si="4"/>
        <v>0</v>
      </c>
      <c r="X12" s="17">
        <f t="shared" si="4"/>
        <v>0</v>
      </c>
      <c r="Y12" s="17">
        <f t="shared" si="4"/>
        <v>3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47</v>
      </c>
      <c r="AD12" s="17">
        <f t="shared" si="4"/>
        <v>0</v>
      </c>
      <c r="AE12" s="31">
        <f t="shared" si="4"/>
        <v>8</v>
      </c>
      <c r="AF12" s="31">
        <f t="shared" si="4"/>
        <v>55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1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8</v>
      </c>
      <c r="N13" s="50">
        <v>0</v>
      </c>
      <c r="O13" s="15">
        <f t="shared" si="0"/>
        <v>3</v>
      </c>
      <c r="P13" s="15">
        <f t="shared" si="1"/>
        <v>11</v>
      </c>
      <c r="R13" s="1" t="s">
        <v>9</v>
      </c>
      <c r="S13" s="17">
        <f t="shared" ref="S13:AF13" si="5">SUM(C22:C25)</f>
        <v>4</v>
      </c>
      <c r="T13" s="17">
        <f t="shared" si="5"/>
        <v>0</v>
      </c>
      <c r="U13" s="17">
        <f t="shared" si="5"/>
        <v>3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62</v>
      </c>
      <c r="AD13" s="17">
        <f t="shared" si="5"/>
        <v>0</v>
      </c>
      <c r="AE13" s="31">
        <f t="shared" si="5"/>
        <v>14</v>
      </c>
      <c r="AF13" s="31">
        <f t="shared" si="5"/>
        <v>76</v>
      </c>
    </row>
    <row r="14" spans="2:32" ht="23.1" customHeight="1" x14ac:dyDescent="0.25">
      <c r="B14" s="45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9</v>
      </c>
      <c r="N14" s="50">
        <v>0</v>
      </c>
      <c r="O14" s="15">
        <f t="shared" si="0"/>
        <v>0</v>
      </c>
      <c r="P14" s="15">
        <f t="shared" si="1"/>
        <v>9</v>
      </c>
      <c r="R14" s="1" t="s">
        <v>10</v>
      </c>
      <c r="S14" s="17">
        <f t="shared" ref="S14:AF14" si="6">SUM(C26:C29)</f>
        <v>3</v>
      </c>
      <c r="T14" s="17">
        <f t="shared" si="6"/>
        <v>0</v>
      </c>
      <c r="U14" s="17">
        <f t="shared" si="6"/>
        <v>3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76</v>
      </c>
      <c r="AD14" s="17">
        <f t="shared" si="6"/>
        <v>0</v>
      </c>
      <c r="AE14" s="31">
        <f t="shared" si="6"/>
        <v>13</v>
      </c>
      <c r="AF14" s="31">
        <f t="shared" si="6"/>
        <v>89</v>
      </c>
    </row>
    <row r="15" spans="2:32" ht="23.1" customHeight="1" x14ac:dyDescent="0.25">
      <c r="B15" s="45" t="s">
        <v>42</v>
      </c>
      <c r="C15" s="50">
        <v>1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17</v>
      </c>
      <c r="N15" s="50">
        <v>0</v>
      </c>
      <c r="O15" s="15">
        <f t="shared" si="0"/>
        <v>2</v>
      </c>
      <c r="P15" s="15">
        <f t="shared" si="1"/>
        <v>19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5</v>
      </c>
      <c r="V15" s="17">
        <f t="shared" si="7"/>
        <v>2</v>
      </c>
      <c r="W15" s="17">
        <f t="shared" si="7"/>
        <v>0</v>
      </c>
      <c r="X15" s="17">
        <f t="shared" si="7"/>
        <v>0</v>
      </c>
      <c r="Y15" s="17">
        <f t="shared" si="7"/>
        <v>5</v>
      </c>
      <c r="Z15" s="17">
        <f t="shared" si="7"/>
        <v>0</v>
      </c>
      <c r="AA15" s="17">
        <f t="shared" si="7"/>
        <v>0</v>
      </c>
      <c r="AB15" s="17">
        <f t="shared" si="7"/>
        <v>0</v>
      </c>
      <c r="AC15" s="17">
        <f t="shared" si="7"/>
        <v>51</v>
      </c>
      <c r="AD15" s="17">
        <f t="shared" si="7"/>
        <v>0</v>
      </c>
      <c r="AE15" s="31">
        <f t="shared" si="7"/>
        <v>14</v>
      </c>
      <c r="AF15" s="31">
        <f t="shared" si="7"/>
        <v>65</v>
      </c>
    </row>
    <row r="16" spans="2:32" ht="23.1" customHeight="1" x14ac:dyDescent="0.25">
      <c r="B16" s="45" t="s">
        <v>43</v>
      </c>
      <c r="C16" s="50">
        <v>1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13</v>
      </c>
      <c r="N16" s="50">
        <v>0</v>
      </c>
      <c r="O16" s="15">
        <f t="shared" si="0"/>
        <v>1</v>
      </c>
      <c r="P16" s="15">
        <f t="shared" si="1"/>
        <v>14</v>
      </c>
      <c r="R16" s="1" t="s">
        <v>12</v>
      </c>
      <c r="S16" s="17">
        <f t="shared" ref="S16:AF16" si="8">SUM(C34:C37)</f>
        <v>4</v>
      </c>
      <c r="T16" s="17">
        <f t="shared" si="8"/>
        <v>0</v>
      </c>
      <c r="U16" s="17">
        <f t="shared" si="8"/>
        <v>8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55</v>
      </c>
      <c r="AD16" s="17">
        <f t="shared" si="8"/>
        <v>0</v>
      </c>
      <c r="AE16" s="31">
        <f t="shared" si="8"/>
        <v>17</v>
      </c>
      <c r="AF16" s="31">
        <f t="shared" si="8"/>
        <v>72</v>
      </c>
    </row>
    <row r="17" spans="2:32" ht="23.1" customHeight="1" x14ac:dyDescent="0.25">
      <c r="B17" s="45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14</v>
      </c>
      <c r="N17" s="50">
        <v>0</v>
      </c>
      <c r="O17" s="15">
        <f t="shared" si="0"/>
        <v>0</v>
      </c>
      <c r="P17" s="15">
        <f t="shared" si="1"/>
        <v>14</v>
      </c>
      <c r="R17" s="1" t="s">
        <v>13</v>
      </c>
      <c r="S17" s="17">
        <f t="shared" ref="S17:AF17" si="9">SUM(C38:C41)</f>
        <v>2</v>
      </c>
      <c r="T17" s="17">
        <f t="shared" si="9"/>
        <v>0</v>
      </c>
      <c r="U17" s="17">
        <f t="shared" si="9"/>
        <v>9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52</v>
      </c>
      <c r="AD17" s="17">
        <f t="shared" si="9"/>
        <v>0</v>
      </c>
      <c r="AE17" s="31">
        <f t="shared" si="9"/>
        <v>17</v>
      </c>
      <c r="AF17" s="31">
        <f t="shared" si="9"/>
        <v>69</v>
      </c>
    </row>
    <row r="18" spans="2:32" ht="23.1" customHeight="1" x14ac:dyDescent="0.25">
      <c r="B18" s="45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13</v>
      </c>
      <c r="N18" s="50">
        <v>0</v>
      </c>
      <c r="O18" s="15">
        <f t="shared" si="0"/>
        <v>0</v>
      </c>
      <c r="P18" s="15">
        <f t="shared" si="1"/>
        <v>13</v>
      </c>
      <c r="R18" s="1" t="s">
        <v>14</v>
      </c>
      <c r="S18" s="17">
        <f t="shared" ref="S18:AF18" si="10">SUM(C42:C45)</f>
        <v>4</v>
      </c>
      <c r="T18" s="17">
        <f t="shared" si="10"/>
        <v>0</v>
      </c>
      <c r="U18" s="17">
        <f t="shared" si="10"/>
        <v>5</v>
      </c>
      <c r="V18" s="17">
        <f t="shared" si="10"/>
        <v>0</v>
      </c>
      <c r="W18" s="17">
        <f t="shared" si="10"/>
        <v>0</v>
      </c>
      <c r="X18" s="17">
        <f t="shared" si="10"/>
        <v>0</v>
      </c>
      <c r="Y18" s="17">
        <f t="shared" si="10"/>
        <v>4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49</v>
      </c>
      <c r="AD18" s="17">
        <f t="shared" si="10"/>
        <v>0</v>
      </c>
      <c r="AE18" s="31">
        <f t="shared" si="10"/>
        <v>14</v>
      </c>
      <c r="AF18" s="31">
        <f t="shared" si="10"/>
        <v>63</v>
      </c>
    </row>
    <row r="19" spans="2:32" ht="23.1" customHeight="1" x14ac:dyDescent="0.25">
      <c r="B19" s="45" t="s">
        <v>46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14</v>
      </c>
      <c r="N19" s="50">
        <v>0</v>
      </c>
      <c r="O19" s="15">
        <f t="shared" si="0"/>
        <v>1</v>
      </c>
      <c r="P19" s="15">
        <f t="shared" si="1"/>
        <v>15</v>
      </c>
      <c r="R19" s="1" t="s">
        <v>15</v>
      </c>
      <c r="S19" s="17">
        <f t="shared" ref="S19:AF19" si="11">SUM(C46:C49)</f>
        <v>5</v>
      </c>
      <c r="T19" s="17">
        <f t="shared" si="11"/>
        <v>0</v>
      </c>
      <c r="U19" s="17">
        <f t="shared" si="11"/>
        <v>4</v>
      </c>
      <c r="V19" s="17">
        <f t="shared" si="11"/>
        <v>2</v>
      </c>
      <c r="W19" s="17">
        <f t="shared" si="11"/>
        <v>0</v>
      </c>
      <c r="X19" s="17">
        <f t="shared" si="11"/>
        <v>0</v>
      </c>
      <c r="Y19" s="17">
        <f t="shared" si="11"/>
        <v>5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56</v>
      </c>
      <c r="AD19" s="17">
        <f t="shared" si="11"/>
        <v>0</v>
      </c>
      <c r="AE19" s="31">
        <f t="shared" si="11"/>
        <v>16</v>
      </c>
      <c r="AF19" s="31">
        <f t="shared" si="11"/>
        <v>72</v>
      </c>
    </row>
    <row r="20" spans="2:32" ht="23.1" customHeight="1" x14ac:dyDescent="0.25">
      <c r="B20" s="45" t="s">
        <v>47</v>
      </c>
      <c r="C20" s="50">
        <v>2</v>
      </c>
      <c r="D20" s="50">
        <v>0</v>
      </c>
      <c r="E20" s="50">
        <v>0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9</v>
      </c>
      <c r="N20" s="50">
        <v>0</v>
      </c>
      <c r="O20" s="15">
        <f t="shared" si="0"/>
        <v>3</v>
      </c>
      <c r="P20" s="15">
        <f t="shared" si="1"/>
        <v>12</v>
      </c>
      <c r="R20" s="1" t="s">
        <v>16</v>
      </c>
      <c r="S20" s="17">
        <f t="shared" ref="S20:AF20" si="12">SUM(C50:C53)</f>
        <v>4</v>
      </c>
      <c r="T20" s="17">
        <f t="shared" si="12"/>
        <v>0</v>
      </c>
      <c r="U20" s="17">
        <f t="shared" si="12"/>
        <v>5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3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59</v>
      </c>
      <c r="AD20" s="17">
        <f t="shared" si="12"/>
        <v>0</v>
      </c>
      <c r="AE20" s="31">
        <f t="shared" si="12"/>
        <v>14</v>
      </c>
      <c r="AF20" s="31">
        <f t="shared" si="12"/>
        <v>73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1</v>
      </c>
      <c r="F21" s="50">
        <v>2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4</v>
      </c>
      <c r="P21" s="15">
        <f t="shared" si="1"/>
        <v>15</v>
      </c>
      <c r="R21" s="36" t="s">
        <v>20</v>
      </c>
      <c r="S21" s="34">
        <f t="shared" ref="S21:AF21" si="13">SUM(C54:C57)</f>
        <v>2</v>
      </c>
      <c r="T21" s="17">
        <f t="shared" si="13"/>
        <v>0</v>
      </c>
      <c r="U21" s="17">
        <f t="shared" si="13"/>
        <v>5</v>
      </c>
      <c r="V21" s="17">
        <f t="shared" si="13"/>
        <v>1</v>
      </c>
      <c r="W21" s="17">
        <f t="shared" si="13"/>
        <v>1</v>
      </c>
      <c r="X21" s="17">
        <f t="shared" si="13"/>
        <v>0</v>
      </c>
      <c r="Y21" s="17">
        <f t="shared" si="13"/>
        <v>3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56</v>
      </c>
      <c r="AD21" s="17">
        <f t="shared" si="13"/>
        <v>0</v>
      </c>
      <c r="AE21" s="31">
        <f t="shared" si="13"/>
        <v>12</v>
      </c>
      <c r="AF21" s="31">
        <f t="shared" si="13"/>
        <v>68</v>
      </c>
    </row>
    <row r="22" spans="2:32" ht="23.1" customHeight="1" x14ac:dyDescent="0.25">
      <c r="B22" s="45" t="s">
        <v>49</v>
      </c>
      <c r="C22" s="50">
        <v>0</v>
      </c>
      <c r="D22" s="50">
        <v>0</v>
      </c>
      <c r="E22" s="50">
        <v>1</v>
      </c>
      <c r="F22" s="50">
        <v>1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15</v>
      </c>
      <c r="N22" s="50">
        <v>0</v>
      </c>
      <c r="O22" s="15">
        <f t="shared" si="0"/>
        <v>5</v>
      </c>
      <c r="P22" s="15">
        <f t="shared" si="1"/>
        <v>20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32</v>
      </c>
      <c r="AD22" s="34">
        <f t="shared" si="14"/>
        <v>0</v>
      </c>
      <c r="AE22" s="31">
        <f t="shared" si="14"/>
        <v>3</v>
      </c>
      <c r="AF22" s="31">
        <f t="shared" si="14"/>
        <v>35</v>
      </c>
    </row>
    <row r="23" spans="2:32" ht="23.1" customHeight="1" x14ac:dyDescent="0.25">
      <c r="B23" s="45" t="s">
        <v>50</v>
      </c>
      <c r="C23" s="50">
        <v>1</v>
      </c>
      <c r="D23" s="50">
        <v>0</v>
      </c>
      <c r="E23" s="50">
        <v>1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14</v>
      </c>
      <c r="N23" s="50">
        <v>0</v>
      </c>
      <c r="O23" s="15">
        <f t="shared" si="0"/>
        <v>3</v>
      </c>
      <c r="P23" s="15">
        <f t="shared" si="1"/>
        <v>17</v>
      </c>
      <c r="R23" s="36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39</v>
      </c>
      <c r="AD23" s="34">
        <f t="shared" si="15"/>
        <v>0</v>
      </c>
      <c r="AE23" s="31">
        <f t="shared" si="15"/>
        <v>3</v>
      </c>
      <c r="AF23" s="31">
        <f t="shared" si="15"/>
        <v>42</v>
      </c>
    </row>
    <row r="24" spans="2:32" ht="23.1" customHeight="1" x14ac:dyDescent="0.25">
      <c r="B24" s="45" t="s">
        <v>51</v>
      </c>
      <c r="C24" s="50">
        <v>1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0</v>
      </c>
      <c r="M24" s="50">
        <v>10</v>
      </c>
      <c r="N24" s="50">
        <v>0</v>
      </c>
      <c r="O24" s="15">
        <f t="shared" si="0"/>
        <v>2</v>
      </c>
      <c r="P24" s="15">
        <f t="shared" si="1"/>
        <v>12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44</v>
      </c>
      <c r="AD24" s="34">
        <f t="shared" si="16"/>
        <v>0</v>
      </c>
      <c r="AE24" s="31">
        <f t="shared" si="16"/>
        <v>4</v>
      </c>
      <c r="AF24" s="31">
        <f t="shared" si="16"/>
        <v>48</v>
      </c>
    </row>
    <row r="25" spans="2:32" ht="23.1" customHeight="1" x14ac:dyDescent="0.25">
      <c r="B25" s="45" t="s">
        <v>52</v>
      </c>
      <c r="C25" s="50">
        <v>2</v>
      </c>
      <c r="D25" s="50">
        <v>0</v>
      </c>
      <c r="E25" s="50">
        <v>1</v>
      </c>
      <c r="F25" s="50">
        <v>0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23</v>
      </c>
      <c r="N25" s="50">
        <v>0</v>
      </c>
      <c r="O25" s="15">
        <f t="shared" si="0"/>
        <v>4</v>
      </c>
      <c r="P25" s="15">
        <f t="shared" si="1"/>
        <v>27</v>
      </c>
      <c r="R25" s="36" t="s">
        <v>149</v>
      </c>
      <c r="S25" s="34">
        <f>SUM(C70:C73)</f>
        <v>2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38</v>
      </c>
      <c r="AD25" s="34">
        <f t="shared" si="17"/>
        <v>0</v>
      </c>
      <c r="AE25" s="31">
        <f t="shared" si="17"/>
        <v>8</v>
      </c>
      <c r="AF25" s="31">
        <f t="shared" si="17"/>
        <v>46</v>
      </c>
    </row>
    <row r="26" spans="2:32" ht="23.1" customHeight="1" x14ac:dyDescent="0.25">
      <c r="B26" s="45" t="s">
        <v>53</v>
      </c>
      <c r="C26" s="50">
        <v>1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19</v>
      </c>
      <c r="N26" s="50">
        <v>0</v>
      </c>
      <c r="O26" s="15">
        <f t="shared" si="0"/>
        <v>4</v>
      </c>
      <c r="P26" s="15">
        <f t="shared" si="1"/>
        <v>23</v>
      </c>
      <c r="R26" s="36" t="s">
        <v>150</v>
      </c>
      <c r="S26" s="34">
        <f>SUM(C74:C77)</f>
        <v>5</v>
      </c>
      <c r="T26" s="34">
        <f t="shared" ref="T26:AF26" si="18">SUM(D74:D77)</f>
        <v>0</v>
      </c>
      <c r="U26" s="34">
        <f t="shared" si="18"/>
        <v>4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36</v>
      </c>
      <c r="AD26" s="34">
        <f t="shared" si="18"/>
        <v>0</v>
      </c>
      <c r="AE26" s="31">
        <f t="shared" si="18"/>
        <v>12</v>
      </c>
      <c r="AF26" s="31">
        <f t="shared" si="18"/>
        <v>48</v>
      </c>
    </row>
    <row r="27" spans="2:32" ht="23.1" customHeight="1" x14ac:dyDescent="0.25">
      <c r="B27" s="45" t="s">
        <v>54</v>
      </c>
      <c r="C27" s="50">
        <v>0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1</v>
      </c>
      <c r="J27" s="50">
        <v>0</v>
      </c>
      <c r="K27" s="50">
        <v>0</v>
      </c>
      <c r="L27" s="50">
        <v>0</v>
      </c>
      <c r="M27" s="50">
        <v>15</v>
      </c>
      <c r="N27" s="50">
        <v>0</v>
      </c>
      <c r="O27" s="15">
        <f t="shared" si="0"/>
        <v>3</v>
      </c>
      <c r="P27" s="15">
        <f t="shared" si="1"/>
        <v>18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2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28</v>
      </c>
      <c r="AD27" s="34">
        <f t="shared" si="19"/>
        <v>0</v>
      </c>
      <c r="AE27" s="31">
        <f t="shared" si="19"/>
        <v>5</v>
      </c>
      <c r="AF27" s="31">
        <f t="shared" si="19"/>
        <v>33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0</v>
      </c>
      <c r="F28" s="50">
        <v>1</v>
      </c>
      <c r="G28" s="50">
        <v>0</v>
      </c>
      <c r="H28" s="50">
        <v>0</v>
      </c>
      <c r="I28" s="50">
        <v>1</v>
      </c>
      <c r="J28" s="50">
        <v>0</v>
      </c>
      <c r="K28" s="50">
        <v>0</v>
      </c>
      <c r="L28" s="50">
        <v>0</v>
      </c>
      <c r="M28" s="50">
        <v>23</v>
      </c>
      <c r="N28" s="50">
        <v>0</v>
      </c>
      <c r="O28" s="15">
        <f t="shared" si="0"/>
        <v>4</v>
      </c>
      <c r="P28" s="15">
        <f t="shared" si="1"/>
        <v>27</v>
      </c>
      <c r="R28" s="36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23</v>
      </c>
      <c r="AD28" s="34">
        <f t="shared" si="20"/>
        <v>0</v>
      </c>
      <c r="AE28" s="31">
        <f t="shared" si="20"/>
        <v>4</v>
      </c>
      <c r="AF28" s="31">
        <f t="shared" si="20"/>
        <v>27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2</v>
      </c>
      <c r="J29" s="50">
        <v>0</v>
      </c>
      <c r="K29" s="50">
        <v>0</v>
      </c>
      <c r="L29" s="50">
        <v>0</v>
      </c>
      <c r="M29" s="50">
        <v>19</v>
      </c>
      <c r="N29" s="50">
        <v>0</v>
      </c>
      <c r="O29" s="15">
        <f t="shared" si="0"/>
        <v>2</v>
      </c>
      <c r="P29" s="15">
        <f t="shared" si="1"/>
        <v>21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23</v>
      </c>
      <c r="AD29" s="34">
        <f t="shared" si="21"/>
        <v>0</v>
      </c>
      <c r="AE29" s="31">
        <f t="shared" si="21"/>
        <v>3</v>
      </c>
      <c r="AF29" s="31">
        <f t="shared" si="21"/>
        <v>26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2</v>
      </c>
      <c r="F30" s="50">
        <v>1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18</v>
      </c>
      <c r="N30" s="50">
        <v>0</v>
      </c>
      <c r="O30" s="15">
        <f t="shared" si="0"/>
        <v>4</v>
      </c>
      <c r="P30" s="15">
        <f t="shared" si="1"/>
        <v>22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11</v>
      </c>
      <c r="AD30" s="34">
        <f t="shared" si="22"/>
        <v>0</v>
      </c>
      <c r="AE30" s="31">
        <f t="shared" si="22"/>
        <v>0</v>
      </c>
      <c r="AF30" s="31">
        <f t="shared" si="22"/>
        <v>11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2</v>
      </c>
      <c r="F31" s="50">
        <v>1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7</v>
      </c>
      <c r="N31" s="50">
        <v>0</v>
      </c>
      <c r="O31" s="15">
        <f t="shared" si="0"/>
        <v>5</v>
      </c>
      <c r="P31" s="15">
        <f t="shared" si="1"/>
        <v>12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17</v>
      </c>
      <c r="AD31" s="34">
        <f t="shared" si="23"/>
        <v>0</v>
      </c>
      <c r="AE31" s="31">
        <f t="shared" si="23"/>
        <v>3</v>
      </c>
      <c r="AF31" s="31">
        <f t="shared" si="23"/>
        <v>20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0</v>
      </c>
      <c r="F32" s="50">
        <v>0</v>
      </c>
      <c r="G32" s="50">
        <v>0</v>
      </c>
      <c r="H32" s="50">
        <v>0</v>
      </c>
      <c r="I32" s="50">
        <v>2</v>
      </c>
      <c r="J32" s="50">
        <v>0</v>
      </c>
      <c r="K32" s="50">
        <v>0</v>
      </c>
      <c r="L32" s="50">
        <v>0</v>
      </c>
      <c r="M32" s="50">
        <v>12</v>
      </c>
      <c r="N32" s="50">
        <v>0</v>
      </c>
      <c r="O32" s="15">
        <f t="shared" si="0"/>
        <v>4</v>
      </c>
      <c r="P32" s="15">
        <f t="shared" si="1"/>
        <v>16</v>
      </c>
      <c r="R32" s="33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3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47</v>
      </c>
      <c r="AD32" s="34">
        <f t="shared" si="24"/>
        <v>0</v>
      </c>
      <c r="AE32" s="31">
        <f t="shared" si="24"/>
        <v>12</v>
      </c>
      <c r="AF32" s="31">
        <f t="shared" si="24"/>
        <v>59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50">
        <v>14</v>
      </c>
      <c r="N33" s="50">
        <v>0</v>
      </c>
      <c r="O33" s="15">
        <f t="shared" si="0"/>
        <v>1</v>
      </c>
      <c r="P33" s="15">
        <f t="shared" si="1"/>
        <v>15</v>
      </c>
      <c r="R33" s="33" t="s">
        <v>157</v>
      </c>
      <c r="S33" s="34">
        <f>SUM(C102:C105)</f>
        <v>4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48</v>
      </c>
      <c r="AD33" s="34">
        <f t="shared" si="25"/>
        <v>0</v>
      </c>
      <c r="AE33" s="31">
        <f t="shared" si="25"/>
        <v>8</v>
      </c>
      <c r="AF33" s="31">
        <f t="shared" si="25"/>
        <v>56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2</v>
      </c>
      <c r="F34" s="50">
        <v>1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21</v>
      </c>
      <c r="N34" s="50">
        <v>0</v>
      </c>
      <c r="O34" s="15">
        <f t="shared" si="0"/>
        <v>3</v>
      </c>
      <c r="P34" s="15">
        <f t="shared" si="1"/>
        <v>24</v>
      </c>
      <c r="R34" s="38" t="s">
        <v>90</v>
      </c>
      <c r="S34" s="39">
        <f t="shared" ref="S34:AF34" si="26">MAX(S10:S12)</f>
        <v>2</v>
      </c>
      <c r="T34" s="39">
        <f t="shared" si="26"/>
        <v>0</v>
      </c>
      <c r="U34" s="39">
        <f t="shared" si="26"/>
        <v>1</v>
      </c>
      <c r="V34" s="39">
        <f t="shared" si="26"/>
        <v>2</v>
      </c>
      <c r="W34" s="39">
        <f t="shared" si="26"/>
        <v>0</v>
      </c>
      <c r="X34" s="39">
        <f t="shared" si="26"/>
        <v>0</v>
      </c>
      <c r="Y34" s="39">
        <f t="shared" si="26"/>
        <v>3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53</v>
      </c>
      <c r="AD34" s="39">
        <f t="shared" si="26"/>
        <v>0</v>
      </c>
      <c r="AE34" s="40">
        <f t="shared" si="26"/>
        <v>8</v>
      </c>
      <c r="AF34" s="40">
        <f t="shared" si="26"/>
        <v>56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3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5</v>
      </c>
      <c r="P35" s="15">
        <f t="shared" si="1"/>
        <v>20</v>
      </c>
      <c r="R35" s="38" t="s">
        <v>91</v>
      </c>
      <c r="S35" s="39">
        <f t="shared" ref="S35:AF35" si="27">MAX(S13:S18)</f>
        <v>4</v>
      </c>
      <c r="T35" s="39">
        <f t="shared" si="27"/>
        <v>0</v>
      </c>
      <c r="U35" s="39">
        <f t="shared" si="27"/>
        <v>9</v>
      </c>
      <c r="V35" s="39">
        <f t="shared" si="27"/>
        <v>2</v>
      </c>
      <c r="W35" s="39">
        <f t="shared" si="27"/>
        <v>0</v>
      </c>
      <c r="X35" s="39">
        <f t="shared" si="27"/>
        <v>0</v>
      </c>
      <c r="Y35" s="39">
        <f t="shared" si="27"/>
        <v>6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76</v>
      </c>
      <c r="AD35" s="39">
        <f t="shared" si="27"/>
        <v>0</v>
      </c>
      <c r="AE35" s="40">
        <f t="shared" si="27"/>
        <v>17</v>
      </c>
      <c r="AF35" s="40">
        <f t="shared" si="27"/>
        <v>89</v>
      </c>
    </row>
    <row r="36" spans="2:32" ht="23.1" customHeight="1" x14ac:dyDescent="0.25">
      <c r="B36" s="46" t="s">
        <v>63</v>
      </c>
      <c r="C36" s="50">
        <v>3</v>
      </c>
      <c r="D36" s="50">
        <v>0</v>
      </c>
      <c r="E36" s="50">
        <v>1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9</v>
      </c>
      <c r="N36" s="50">
        <v>0</v>
      </c>
      <c r="O36" s="15">
        <f t="shared" si="0"/>
        <v>4</v>
      </c>
      <c r="P36" s="15">
        <f t="shared" si="1"/>
        <v>13</v>
      </c>
      <c r="R36" s="38" t="s">
        <v>92</v>
      </c>
      <c r="S36" s="39">
        <f t="shared" ref="S36:AF36" si="28">MAX(S19:S21)</f>
        <v>5</v>
      </c>
      <c r="T36" s="39">
        <f t="shared" si="28"/>
        <v>0</v>
      </c>
      <c r="U36" s="39">
        <f t="shared" si="28"/>
        <v>5</v>
      </c>
      <c r="V36" s="39">
        <f t="shared" si="28"/>
        <v>2</v>
      </c>
      <c r="W36" s="39">
        <f t="shared" si="28"/>
        <v>1</v>
      </c>
      <c r="X36" s="39">
        <f t="shared" si="28"/>
        <v>0</v>
      </c>
      <c r="Y36" s="39">
        <f t="shared" si="28"/>
        <v>5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59</v>
      </c>
      <c r="AD36" s="39">
        <f t="shared" si="28"/>
        <v>0</v>
      </c>
      <c r="AE36" s="40">
        <f t="shared" si="28"/>
        <v>16</v>
      </c>
      <c r="AF36" s="40">
        <f t="shared" si="28"/>
        <v>73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2</v>
      </c>
      <c r="F37" s="50">
        <v>1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10</v>
      </c>
      <c r="N37" s="50">
        <v>0</v>
      </c>
      <c r="O37" s="15">
        <f t="shared" si="0"/>
        <v>5</v>
      </c>
      <c r="P37" s="15">
        <f t="shared" si="1"/>
        <v>15</v>
      </c>
      <c r="R37" s="37" t="s">
        <v>85</v>
      </c>
      <c r="S37" s="35">
        <f t="shared" ref="S37:AF37" si="29">SUM(S10:S12)</f>
        <v>4</v>
      </c>
      <c r="T37" s="16">
        <f t="shared" si="29"/>
        <v>0</v>
      </c>
      <c r="U37" s="16">
        <f t="shared" si="29"/>
        <v>2</v>
      </c>
      <c r="V37" s="16">
        <f t="shared" si="29"/>
        <v>3</v>
      </c>
      <c r="W37" s="16">
        <f t="shared" si="29"/>
        <v>0</v>
      </c>
      <c r="X37" s="16">
        <f t="shared" si="29"/>
        <v>0</v>
      </c>
      <c r="Y37" s="16">
        <f t="shared" si="29"/>
        <v>6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140</v>
      </c>
      <c r="AD37" s="16">
        <f t="shared" si="29"/>
        <v>0</v>
      </c>
      <c r="AE37" s="32">
        <f t="shared" si="29"/>
        <v>15</v>
      </c>
      <c r="AF37" s="32">
        <f t="shared" si="29"/>
        <v>155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3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13</v>
      </c>
      <c r="N38" s="50">
        <v>0</v>
      </c>
      <c r="O38" s="15">
        <f t="shared" si="0"/>
        <v>4</v>
      </c>
      <c r="P38" s="15">
        <f t="shared" si="1"/>
        <v>17</v>
      </c>
      <c r="R38" s="28" t="s">
        <v>86</v>
      </c>
      <c r="S38" s="16">
        <f t="shared" ref="S38:AF38" si="30">SUM(S13:S18)</f>
        <v>19</v>
      </c>
      <c r="T38" s="16">
        <f t="shared" si="30"/>
        <v>0</v>
      </c>
      <c r="U38" s="16">
        <f t="shared" si="30"/>
        <v>33</v>
      </c>
      <c r="V38" s="16">
        <f t="shared" si="30"/>
        <v>7</v>
      </c>
      <c r="W38" s="16">
        <f t="shared" si="30"/>
        <v>0</v>
      </c>
      <c r="X38" s="16">
        <f t="shared" si="30"/>
        <v>0</v>
      </c>
      <c r="Y38" s="16">
        <f t="shared" si="30"/>
        <v>29</v>
      </c>
      <c r="Z38" s="16">
        <f t="shared" si="30"/>
        <v>1</v>
      </c>
      <c r="AA38" s="16">
        <f t="shared" si="30"/>
        <v>0</v>
      </c>
      <c r="AB38" s="16">
        <f t="shared" si="30"/>
        <v>0</v>
      </c>
      <c r="AC38" s="16">
        <f t="shared" si="30"/>
        <v>345</v>
      </c>
      <c r="AD38" s="16">
        <f t="shared" si="30"/>
        <v>0</v>
      </c>
      <c r="AE38" s="32">
        <f t="shared" si="30"/>
        <v>89</v>
      </c>
      <c r="AF38" s="32">
        <f t="shared" si="30"/>
        <v>434</v>
      </c>
    </row>
    <row r="39" spans="2:32" ht="23.1" customHeight="1" x14ac:dyDescent="0.25">
      <c r="B39" s="46" t="s">
        <v>66</v>
      </c>
      <c r="C39" s="50">
        <v>0</v>
      </c>
      <c r="D39" s="50">
        <v>0</v>
      </c>
      <c r="E39" s="50">
        <v>4</v>
      </c>
      <c r="F39" s="50">
        <v>0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14</v>
      </c>
      <c r="N39" s="50">
        <v>0</v>
      </c>
      <c r="O39" s="15">
        <f t="shared" si="0"/>
        <v>7</v>
      </c>
      <c r="P39" s="15">
        <f t="shared" si="1"/>
        <v>21</v>
      </c>
      <c r="R39" s="29" t="s">
        <v>87</v>
      </c>
      <c r="S39" s="16">
        <f t="shared" ref="S39:AF39" si="31">SUM(S19:S21)</f>
        <v>11</v>
      </c>
      <c r="T39" s="16">
        <f t="shared" si="31"/>
        <v>0</v>
      </c>
      <c r="U39" s="16">
        <f t="shared" si="31"/>
        <v>14</v>
      </c>
      <c r="V39" s="16">
        <f t="shared" si="31"/>
        <v>5</v>
      </c>
      <c r="W39" s="16">
        <f t="shared" si="31"/>
        <v>1</v>
      </c>
      <c r="X39" s="16">
        <f t="shared" si="31"/>
        <v>0</v>
      </c>
      <c r="Y39" s="16">
        <f t="shared" si="31"/>
        <v>11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171</v>
      </c>
      <c r="AD39" s="16">
        <f t="shared" si="31"/>
        <v>0</v>
      </c>
      <c r="AE39" s="32">
        <f t="shared" si="31"/>
        <v>42</v>
      </c>
      <c r="AF39" s="32">
        <f t="shared" si="31"/>
        <v>213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3</v>
      </c>
      <c r="P40" s="15">
        <f t="shared" si="1"/>
        <v>14</v>
      </c>
      <c r="R40" s="5" t="s">
        <v>17</v>
      </c>
      <c r="S40" s="16">
        <f t="shared" ref="S40:AF40" si="32">SUM(S10:S21)</f>
        <v>34</v>
      </c>
      <c r="T40" s="16">
        <f t="shared" si="32"/>
        <v>0</v>
      </c>
      <c r="U40" s="16">
        <f t="shared" si="32"/>
        <v>49</v>
      </c>
      <c r="V40" s="16">
        <f t="shared" si="32"/>
        <v>15</v>
      </c>
      <c r="W40" s="16">
        <f t="shared" si="32"/>
        <v>1</v>
      </c>
      <c r="X40" s="16">
        <f t="shared" si="32"/>
        <v>0</v>
      </c>
      <c r="Y40" s="16">
        <f t="shared" si="32"/>
        <v>46</v>
      </c>
      <c r="Z40" s="16">
        <f t="shared" si="32"/>
        <v>1</v>
      </c>
      <c r="AA40" s="16">
        <f t="shared" si="32"/>
        <v>0</v>
      </c>
      <c r="AB40" s="16">
        <f t="shared" si="32"/>
        <v>0</v>
      </c>
      <c r="AC40" s="16">
        <f t="shared" si="32"/>
        <v>656</v>
      </c>
      <c r="AD40" s="16">
        <f t="shared" si="32"/>
        <v>0</v>
      </c>
      <c r="AE40" s="32">
        <f t="shared" si="32"/>
        <v>146</v>
      </c>
      <c r="AF40" s="32">
        <f t="shared" si="32"/>
        <v>802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14</v>
      </c>
      <c r="N41" s="50">
        <v>0</v>
      </c>
      <c r="O41" s="15">
        <f t="shared" si="0"/>
        <v>3</v>
      </c>
      <c r="P41" s="15">
        <f t="shared" si="1"/>
        <v>17</v>
      </c>
      <c r="R41" s="5" t="s">
        <v>159</v>
      </c>
      <c r="S41" s="16">
        <f>SUM(S10:S33)</f>
        <v>54</v>
      </c>
      <c r="T41" s="16">
        <f t="shared" ref="T41:AF41" si="33">SUM(T10:T33)</f>
        <v>0</v>
      </c>
      <c r="U41" s="16">
        <f t="shared" si="33"/>
        <v>64</v>
      </c>
      <c r="V41" s="16">
        <f t="shared" si="33"/>
        <v>19</v>
      </c>
      <c r="W41" s="16">
        <f t="shared" si="33"/>
        <v>1</v>
      </c>
      <c r="X41" s="16">
        <f t="shared" si="33"/>
        <v>0</v>
      </c>
      <c r="Y41" s="16">
        <f t="shared" si="33"/>
        <v>72</v>
      </c>
      <c r="Z41" s="16">
        <f t="shared" si="33"/>
        <v>1</v>
      </c>
      <c r="AA41" s="16">
        <f t="shared" si="33"/>
        <v>0</v>
      </c>
      <c r="AB41" s="16">
        <f t="shared" si="33"/>
        <v>0</v>
      </c>
      <c r="AC41" s="16">
        <f t="shared" si="33"/>
        <v>1042</v>
      </c>
      <c r="AD41" s="16">
        <f t="shared" si="33"/>
        <v>0</v>
      </c>
      <c r="AE41" s="32">
        <f t="shared" si="33"/>
        <v>211</v>
      </c>
      <c r="AF41" s="32">
        <f t="shared" si="33"/>
        <v>1253</v>
      </c>
    </row>
    <row r="42" spans="2:32" ht="23.1" customHeight="1" x14ac:dyDescent="0.25">
      <c r="B42" s="46" t="s">
        <v>69</v>
      </c>
      <c r="C42" s="50">
        <v>2</v>
      </c>
      <c r="D42" s="50">
        <v>0</v>
      </c>
      <c r="E42" s="50">
        <v>2</v>
      </c>
      <c r="F42" s="50">
        <v>0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14</v>
      </c>
      <c r="N42" s="50">
        <v>0</v>
      </c>
      <c r="O42" s="15">
        <f t="shared" si="0"/>
        <v>6</v>
      </c>
      <c r="P42" s="15">
        <f t="shared" si="1"/>
        <v>20</v>
      </c>
      <c r="R42" s="5" t="s">
        <v>160</v>
      </c>
      <c r="S42" s="48">
        <f>S41/S40</f>
        <v>1.588235294117647</v>
      </c>
      <c r="T42" s="48" t="e">
        <f t="shared" ref="T42:AF42" si="34">T41/T40</f>
        <v>#DIV/0!</v>
      </c>
      <c r="U42" s="48">
        <f t="shared" si="34"/>
        <v>1.3061224489795917</v>
      </c>
      <c r="V42" s="48">
        <f t="shared" si="34"/>
        <v>1.2666666666666666</v>
      </c>
      <c r="W42" s="48">
        <f t="shared" si="34"/>
        <v>1</v>
      </c>
      <c r="X42" s="48" t="e">
        <f t="shared" si="34"/>
        <v>#DIV/0!</v>
      </c>
      <c r="Y42" s="48">
        <f t="shared" si="34"/>
        <v>1.5652173913043479</v>
      </c>
      <c r="Z42" s="48">
        <f t="shared" si="34"/>
        <v>1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1.5884146341463414</v>
      </c>
      <c r="AD42" s="48" t="e">
        <f t="shared" si="34"/>
        <v>#DIV/0!</v>
      </c>
      <c r="AE42" s="48">
        <f t="shared" si="34"/>
        <v>1.4452054794520548</v>
      </c>
      <c r="AF42" s="48">
        <f t="shared" si="34"/>
        <v>1.5623441396508728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0</v>
      </c>
      <c r="F43" s="50">
        <v>0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3</v>
      </c>
      <c r="P43" s="15">
        <f t="shared" si="1"/>
        <v>10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14</v>
      </c>
      <c r="N44" s="50">
        <v>0</v>
      </c>
      <c r="O44" s="15">
        <f t="shared" si="0"/>
        <v>1</v>
      </c>
      <c r="P44" s="15">
        <f t="shared" si="1"/>
        <v>15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3</v>
      </c>
      <c r="F45" s="50">
        <v>0</v>
      </c>
      <c r="G45" s="50">
        <v>0</v>
      </c>
      <c r="H45" s="50">
        <v>0</v>
      </c>
      <c r="I45" s="50">
        <v>1</v>
      </c>
      <c r="J45" s="50">
        <v>0</v>
      </c>
      <c r="K45" s="50">
        <v>0</v>
      </c>
      <c r="L45" s="50">
        <v>0</v>
      </c>
      <c r="M45" s="50">
        <v>14</v>
      </c>
      <c r="N45" s="50">
        <v>0</v>
      </c>
      <c r="O45" s="15">
        <f t="shared" si="0"/>
        <v>4</v>
      </c>
      <c r="P45" s="15">
        <f t="shared" si="1"/>
        <v>18</v>
      </c>
    </row>
    <row r="46" spans="2:32" ht="23.1" customHeight="1" x14ac:dyDescent="0.25">
      <c r="B46" s="46" t="s">
        <v>73</v>
      </c>
      <c r="C46" s="50">
        <v>0</v>
      </c>
      <c r="D46" s="50">
        <v>0</v>
      </c>
      <c r="E46" s="50">
        <v>0</v>
      </c>
      <c r="F46" s="50">
        <v>0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10</v>
      </c>
      <c r="N46" s="50">
        <v>0</v>
      </c>
      <c r="O46" s="15">
        <f t="shared" si="0"/>
        <v>2</v>
      </c>
      <c r="P46" s="15">
        <f t="shared" si="1"/>
        <v>12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1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50">
        <v>13</v>
      </c>
      <c r="N47" s="50">
        <v>0</v>
      </c>
      <c r="O47" s="15">
        <f t="shared" si="0"/>
        <v>2</v>
      </c>
      <c r="P47" s="15">
        <f t="shared" si="1"/>
        <v>15</v>
      </c>
      <c r="R47" s="8"/>
      <c r="T47"/>
    </row>
    <row r="48" spans="2:32" ht="23.1" customHeight="1" x14ac:dyDescent="0.25">
      <c r="B48" s="46" t="s">
        <v>75</v>
      </c>
      <c r="C48" s="50">
        <v>2</v>
      </c>
      <c r="D48" s="50">
        <v>0</v>
      </c>
      <c r="E48" s="50">
        <v>2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19</v>
      </c>
      <c r="N48" s="50">
        <v>0</v>
      </c>
      <c r="O48" s="15">
        <f t="shared" si="0"/>
        <v>6</v>
      </c>
      <c r="P48" s="15">
        <f t="shared" si="1"/>
        <v>25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1</v>
      </c>
      <c r="F49" s="50">
        <v>1</v>
      </c>
      <c r="G49" s="50">
        <v>0</v>
      </c>
      <c r="H49" s="50">
        <v>0</v>
      </c>
      <c r="I49" s="50">
        <v>2</v>
      </c>
      <c r="J49" s="50">
        <v>0</v>
      </c>
      <c r="K49" s="50">
        <v>0</v>
      </c>
      <c r="L49" s="50">
        <v>0</v>
      </c>
      <c r="M49" s="50">
        <v>14</v>
      </c>
      <c r="N49" s="50">
        <v>0</v>
      </c>
      <c r="O49" s="15">
        <f t="shared" si="0"/>
        <v>6</v>
      </c>
      <c r="P49" s="15">
        <f t="shared" si="1"/>
        <v>20</v>
      </c>
      <c r="R49" s="8"/>
      <c r="T49"/>
    </row>
    <row r="50" spans="2:20" ht="23.1" customHeight="1" x14ac:dyDescent="0.25">
      <c r="B50" s="46" t="s">
        <v>77</v>
      </c>
      <c r="C50" s="50">
        <v>2</v>
      </c>
      <c r="D50" s="50">
        <v>0</v>
      </c>
      <c r="E50" s="50">
        <v>3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10</v>
      </c>
      <c r="N50" s="50">
        <v>0</v>
      </c>
      <c r="O50" s="15">
        <f t="shared" si="0"/>
        <v>5</v>
      </c>
      <c r="P50" s="15">
        <f t="shared" si="1"/>
        <v>15</v>
      </c>
      <c r="R50" s="8"/>
      <c r="T50"/>
    </row>
    <row r="51" spans="2:20" ht="23.1" customHeight="1" x14ac:dyDescent="0.25">
      <c r="B51" s="46" t="s">
        <v>78</v>
      </c>
      <c r="C51" s="50">
        <v>0</v>
      </c>
      <c r="D51" s="50">
        <v>0</v>
      </c>
      <c r="E51" s="50">
        <v>2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19</v>
      </c>
      <c r="N51" s="50">
        <v>0</v>
      </c>
      <c r="O51" s="15">
        <f t="shared" si="0"/>
        <v>3</v>
      </c>
      <c r="P51" s="15">
        <f t="shared" si="1"/>
        <v>22</v>
      </c>
      <c r="R51" s="8"/>
      <c r="T51"/>
    </row>
    <row r="52" spans="2:20" ht="23.1" customHeight="1" x14ac:dyDescent="0.25">
      <c r="B52" s="46" t="s">
        <v>79</v>
      </c>
      <c r="C52" s="50">
        <v>1</v>
      </c>
      <c r="D52" s="50">
        <v>0</v>
      </c>
      <c r="E52" s="50">
        <v>0</v>
      </c>
      <c r="F52" s="50">
        <v>1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18</v>
      </c>
      <c r="N52" s="50">
        <v>0</v>
      </c>
      <c r="O52" s="15">
        <f t="shared" si="0"/>
        <v>3</v>
      </c>
      <c r="P52" s="15">
        <f t="shared" si="1"/>
        <v>21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0</v>
      </c>
      <c r="E53" s="50">
        <v>0</v>
      </c>
      <c r="F53" s="50">
        <v>0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12</v>
      </c>
      <c r="N53" s="50">
        <v>0</v>
      </c>
      <c r="O53" s="15">
        <f t="shared" si="0"/>
        <v>3</v>
      </c>
      <c r="P53" s="15">
        <f t="shared" si="1"/>
        <v>15</v>
      </c>
      <c r="R53" s="8"/>
      <c r="T53"/>
    </row>
    <row r="54" spans="2:20" ht="23.1" customHeight="1" x14ac:dyDescent="0.25">
      <c r="B54" s="45" t="s">
        <v>81</v>
      </c>
      <c r="C54" s="50">
        <v>0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13</v>
      </c>
      <c r="N54" s="50">
        <v>0</v>
      </c>
      <c r="O54" s="15">
        <f t="shared" si="0"/>
        <v>0</v>
      </c>
      <c r="P54" s="15">
        <f t="shared" si="1"/>
        <v>13</v>
      </c>
      <c r="R54" s="8"/>
      <c r="T54"/>
    </row>
    <row r="55" spans="2:20" ht="23.1" customHeight="1" x14ac:dyDescent="0.25">
      <c r="B55" s="45" t="s">
        <v>82</v>
      </c>
      <c r="C55" s="50">
        <v>0</v>
      </c>
      <c r="D55" s="50">
        <v>0</v>
      </c>
      <c r="E55" s="50">
        <v>3</v>
      </c>
      <c r="F55" s="50">
        <v>1</v>
      </c>
      <c r="G55" s="50">
        <v>1</v>
      </c>
      <c r="H55" s="50">
        <v>0</v>
      </c>
      <c r="I55" s="50">
        <v>1</v>
      </c>
      <c r="J55" s="50">
        <v>0</v>
      </c>
      <c r="K55" s="50">
        <v>0</v>
      </c>
      <c r="L55" s="50">
        <v>0</v>
      </c>
      <c r="M55" s="50">
        <v>17</v>
      </c>
      <c r="N55" s="50">
        <v>0</v>
      </c>
      <c r="O55" s="15">
        <f t="shared" si="0"/>
        <v>6</v>
      </c>
      <c r="P55" s="15">
        <f t="shared" si="1"/>
        <v>23</v>
      </c>
      <c r="R55" s="8"/>
      <c r="T55"/>
    </row>
    <row r="56" spans="2:20" ht="23.1" customHeight="1" x14ac:dyDescent="0.25">
      <c r="B56" s="45" t="s">
        <v>83</v>
      </c>
      <c r="C56" s="50">
        <v>1</v>
      </c>
      <c r="D56" s="50">
        <v>0</v>
      </c>
      <c r="E56" s="50">
        <v>2</v>
      </c>
      <c r="F56" s="50">
        <v>0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14</v>
      </c>
      <c r="N56" s="50">
        <v>0</v>
      </c>
      <c r="O56" s="15">
        <f t="shared" si="0"/>
        <v>4</v>
      </c>
      <c r="P56" s="15">
        <f t="shared" si="1"/>
        <v>18</v>
      </c>
      <c r="R56" s="8"/>
      <c r="T56"/>
    </row>
    <row r="57" spans="2:20" ht="23.1" customHeight="1" x14ac:dyDescent="0.25">
      <c r="B57" s="45" t="s">
        <v>84</v>
      </c>
      <c r="C57" s="50">
        <v>1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12</v>
      </c>
      <c r="N57" s="50">
        <v>0</v>
      </c>
      <c r="O57" s="15">
        <f t="shared" si="0"/>
        <v>2</v>
      </c>
      <c r="P57" s="15">
        <f t="shared" si="1"/>
        <v>14</v>
      </c>
      <c r="R57" s="8"/>
      <c r="T57"/>
    </row>
    <row r="58" spans="2:20" ht="23.1" customHeight="1" x14ac:dyDescent="0.25">
      <c r="B58" s="45" t="s">
        <v>99</v>
      </c>
      <c r="C58" s="50">
        <f>ROUND(0.8*AVERAGE('11.08 KAMPALA-BUSUNJU'!C10,'12.08 KAMPALA-BUSUNJU'!C10,'13.08 KAMPALA-BUSUNJU'!C10,'14.08 KAMPALA-BUSUNJU'!C10,'15.08 KAMPALA-BUSUNJU'!C10),0)</f>
        <v>0</v>
      </c>
      <c r="D58" s="50">
        <f>ROUND(0.8*AVERAGE('11.08 KAMPALA-BUSUNJU'!D10,'12.08 KAMPALA-BUSUNJU'!D10,'13.08 KAMPALA-BUSUNJU'!D10,'14.08 KAMPALA-BUSUNJU'!D10,'15.08 KAMPALA-BUSUNJU'!D10),0)</f>
        <v>0</v>
      </c>
      <c r="E58" s="50">
        <f>ROUND(0.8*AVERAGE('11.08 KAMPALA-BUSUNJU'!E10,'12.08 KAMPALA-BUSUNJU'!E10,'13.08 KAMPALA-BUSUNJU'!E10,'14.08 KAMPALA-BUSUNJU'!E10,'15.08 KAMPALA-BUSUNJU'!E10),0)</f>
        <v>1</v>
      </c>
      <c r="F58" s="50">
        <f>ROUND(0.8*AVERAGE('11.08 KAMPALA-BUSUNJU'!F10,'12.08 KAMPALA-BUSUNJU'!F10,'13.08 KAMPALA-BUSUNJU'!F10,'14.08 KAMPALA-BUSUNJU'!F10,'15.08 KAMPALA-BUSUNJU'!F10),0)</f>
        <v>0</v>
      </c>
      <c r="G58" s="50">
        <f>ROUND(0.8*AVERAGE('11.08 KAMPALA-BUSUNJU'!G10,'12.08 KAMPALA-BUSUNJU'!G10,'13.08 KAMPALA-BUSUNJU'!G10,'14.08 KAMPALA-BUSUNJU'!G10,'15.08 KAMPALA-BUSUNJU'!G10),0)</f>
        <v>0</v>
      </c>
      <c r="H58" s="50">
        <f>ROUND(0.8*AVERAGE('11.08 KAMPALA-BUSUNJU'!H10,'12.08 KAMPALA-BUSUNJU'!H10,'13.08 KAMPALA-BUSUNJU'!H10,'14.08 KAMPALA-BUSUNJU'!H10,'15.08 KAMPALA-BUSUNJU'!H10),0)</f>
        <v>0</v>
      </c>
      <c r="I58" s="50">
        <f>ROUND(0.8*AVERAGE('11.08 KAMPALA-BUSUNJU'!I10,'12.08 KAMPALA-BUSUNJU'!I10,'13.08 KAMPALA-BUSUNJU'!I10,'14.08 KAMPALA-BUSUNJU'!I10,'15.08 KAMPALA-BUSUNJU'!I10),0)</f>
        <v>0</v>
      </c>
      <c r="J58" s="50">
        <f>ROUND(0.8*AVERAGE('11.08 KAMPALA-BUSUNJU'!J10,'12.08 KAMPALA-BUSUNJU'!J10,'13.08 KAMPALA-BUSUNJU'!J10,'14.08 KAMPALA-BUSUNJU'!J10,'15.08 KAMPALA-BUSUNJU'!J10),0)</f>
        <v>0</v>
      </c>
      <c r="K58" s="50">
        <f>ROUND(0.8*AVERAGE('11.08 KAMPALA-BUSUNJU'!K10,'12.08 KAMPALA-BUSUNJU'!K10,'13.08 KAMPALA-BUSUNJU'!K10,'14.08 KAMPALA-BUSUNJU'!K10,'15.08 KAMPALA-BUSUNJU'!K10),0)</f>
        <v>0</v>
      </c>
      <c r="L58" s="50">
        <f>ROUND(0.8*AVERAGE('11.08 KAMPALA-BUSUNJU'!L10,'12.08 KAMPALA-BUSUNJU'!L10,'13.08 KAMPALA-BUSUNJU'!L10,'14.08 KAMPALA-BUSUNJU'!L10,'15.08 KAMPALA-BUSUNJU'!L10),0)</f>
        <v>0</v>
      </c>
      <c r="M58" s="50">
        <f>ROUND(0.8*AVERAGE('11.08 KAMPALA-BUSUNJU'!M10,'12.08 KAMPALA-BUSUNJU'!M10,'13.08 KAMPALA-BUSUNJU'!M10,'14.08 KAMPALA-BUSUNJU'!M10,'15.08 KAMPALA-BUSUNJU'!M10),0)</f>
        <v>7</v>
      </c>
      <c r="N58" s="50">
        <f>ROUND(0.8*AVERAGE('11.08 KAMPALA-BUSUNJU'!N10,'12.08 KAMPALA-BUSUNJU'!N10,'13.08 KAMPALA-BUSUNJU'!N10,'14.08 KAMPALA-BUSUNJU'!N10,'15.08 KAMPALA-BUSUNJU'!N10),0)</f>
        <v>0</v>
      </c>
      <c r="O58" s="15">
        <f t="shared" si="0"/>
        <v>1</v>
      </c>
      <c r="P58" s="15">
        <f t="shared" si="1"/>
        <v>8</v>
      </c>
      <c r="R58" s="8"/>
      <c r="T58"/>
    </row>
    <row r="59" spans="2:20" ht="23.1" customHeight="1" x14ac:dyDescent="0.25">
      <c r="B59" s="45" t="s">
        <v>100</v>
      </c>
      <c r="C59" s="50">
        <f>ROUND(0.8*AVERAGE('11.08 KAMPALA-BUSUNJU'!C11,'12.08 KAMPALA-BUSUNJU'!C11,'13.08 KAMPALA-BUSUNJU'!C11,'14.08 KAMPALA-BUSUNJU'!C11,'15.08 KAMPALA-BUSUNJU'!C11),0)</f>
        <v>0</v>
      </c>
      <c r="D59" s="50">
        <f>ROUND(0.8*AVERAGE('11.08 KAMPALA-BUSUNJU'!D11,'12.08 KAMPALA-BUSUNJU'!D11,'13.08 KAMPALA-BUSUNJU'!D11,'14.08 KAMPALA-BUSUNJU'!D11,'15.08 KAMPALA-BUSUNJU'!D11),0)</f>
        <v>0</v>
      </c>
      <c r="E59" s="50">
        <f>ROUND(0.8*AVERAGE('11.08 KAMPALA-BUSUNJU'!E11,'12.08 KAMPALA-BUSUNJU'!E11,'13.08 KAMPALA-BUSUNJU'!E11,'14.08 KAMPALA-BUSUNJU'!E11,'15.08 KAMPALA-BUSUNJU'!E11),0)</f>
        <v>0</v>
      </c>
      <c r="F59" s="50">
        <f>ROUND(0.8*AVERAGE('11.08 KAMPALA-BUSUNJU'!F11,'12.08 KAMPALA-BUSUNJU'!F11,'13.08 KAMPALA-BUSUNJU'!F11,'14.08 KAMPALA-BUSUNJU'!F11,'15.08 KAMPALA-BUSUNJU'!F11),0)</f>
        <v>0</v>
      </c>
      <c r="G59" s="50">
        <f>ROUND(0.8*AVERAGE('11.08 KAMPALA-BUSUNJU'!G11,'12.08 KAMPALA-BUSUNJU'!G11,'13.08 KAMPALA-BUSUNJU'!G11,'14.08 KAMPALA-BUSUNJU'!G11,'15.08 KAMPALA-BUSUNJU'!G11),0)</f>
        <v>0</v>
      </c>
      <c r="H59" s="50">
        <f>ROUND(0.8*AVERAGE('11.08 KAMPALA-BUSUNJU'!H11,'12.08 KAMPALA-BUSUNJU'!H11,'13.08 KAMPALA-BUSUNJU'!H11,'14.08 KAMPALA-BUSUNJU'!H11,'15.08 KAMPALA-BUSUNJU'!H11),0)</f>
        <v>0</v>
      </c>
      <c r="I59" s="50">
        <f>ROUND(0.8*AVERAGE('11.08 KAMPALA-BUSUNJU'!I11,'12.08 KAMPALA-BUSUNJU'!I11,'13.08 KAMPALA-BUSUNJU'!I11,'14.08 KAMPALA-BUSUNJU'!I11,'15.08 KAMPALA-BUSUNJU'!I11),0)</f>
        <v>0</v>
      </c>
      <c r="J59" s="50">
        <f>ROUND(0.8*AVERAGE('11.08 KAMPALA-BUSUNJU'!J11,'12.08 KAMPALA-BUSUNJU'!J11,'13.08 KAMPALA-BUSUNJU'!J11,'14.08 KAMPALA-BUSUNJU'!J11,'15.08 KAMPALA-BUSUNJU'!J11),0)</f>
        <v>0</v>
      </c>
      <c r="K59" s="50">
        <f>ROUND(0.8*AVERAGE('11.08 KAMPALA-BUSUNJU'!K11,'12.08 KAMPALA-BUSUNJU'!K11,'13.08 KAMPALA-BUSUNJU'!K11,'14.08 KAMPALA-BUSUNJU'!K11,'15.08 KAMPALA-BUSUNJU'!K11),0)</f>
        <v>0</v>
      </c>
      <c r="L59" s="50">
        <f>ROUND(0.8*AVERAGE('11.08 KAMPALA-BUSUNJU'!L11,'12.08 KAMPALA-BUSUNJU'!L11,'13.08 KAMPALA-BUSUNJU'!L11,'14.08 KAMPALA-BUSUNJU'!L11,'15.08 KAMPALA-BUSUNJU'!L11),0)</f>
        <v>0</v>
      </c>
      <c r="M59" s="50">
        <f>ROUND(0.8*AVERAGE('11.08 KAMPALA-BUSUNJU'!M11,'12.08 KAMPALA-BUSUNJU'!M11,'13.08 KAMPALA-BUSUNJU'!M11,'14.08 KAMPALA-BUSUNJU'!M11,'15.08 KAMPALA-BUSUNJU'!M11),0)</f>
        <v>6</v>
      </c>
      <c r="N59" s="50">
        <f>ROUND(0.8*AVERAGE('11.08 KAMPALA-BUSUNJU'!N11,'12.08 KAMPALA-BUSUNJU'!N11,'13.08 KAMPALA-BUSUNJU'!N11,'14.08 KAMPALA-BUSUNJU'!N11,'15.08 KAMPALA-BUSUNJU'!N11),0)</f>
        <v>0</v>
      </c>
      <c r="O59" s="15">
        <f t="shared" si="0"/>
        <v>0</v>
      </c>
      <c r="P59" s="15">
        <f t="shared" si="1"/>
        <v>6</v>
      </c>
      <c r="R59" s="8"/>
      <c r="T59"/>
    </row>
    <row r="60" spans="2:20" ht="23.1" customHeight="1" x14ac:dyDescent="0.25">
      <c r="B60" s="45" t="s">
        <v>101</v>
      </c>
      <c r="C60" s="50">
        <f>ROUND(0.8*AVERAGE('11.08 KAMPALA-BUSUNJU'!C12,'12.08 KAMPALA-BUSUNJU'!C12,'13.08 KAMPALA-BUSUNJU'!C12,'14.08 KAMPALA-BUSUNJU'!C12,'15.08 KAMPALA-BUSUNJU'!C12),0)</f>
        <v>0</v>
      </c>
      <c r="D60" s="50">
        <f>ROUND(0.8*AVERAGE('11.08 KAMPALA-BUSUNJU'!D12,'12.08 KAMPALA-BUSUNJU'!D12,'13.08 KAMPALA-BUSUNJU'!D12,'14.08 KAMPALA-BUSUNJU'!D12,'15.08 KAMPALA-BUSUNJU'!D12),0)</f>
        <v>0</v>
      </c>
      <c r="E60" s="50">
        <f>ROUND(0.8*AVERAGE('11.08 KAMPALA-BUSUNJU'!E12,'12.08 KAMPALA-BUSUNJU'!E12,'13.08 KAMPALA-BUSUNJU'!E12,'14.08 KAMPALA-BUSUNJU'!E12,'15.08 KAMPALA-BUSUNJU'!E12),0)</f>
        <v>0</v>
      </c>
      <c r="F60" s="50">
        <f>ROUND(0.8*AVERAGE('11.08 KAMPALA-BUSUNJU'!F12,'12.08 KAMPALA-BUSUNJU'!F12,'13.08 KAMPALA-BUSUNJU'!F12,'14.08 KAMPALA-BUSUNJU'!F12,'15.08 KAMPALA-BUSUNJU'!F12),0)</f>
        <v>0</v>
      </c>
      <c r="G60" s="50">
        <f>ROUND(0.8*AVERAGE('11.08 KAMPALA-BUSUNJU'!G12,'12.08 KAMPALA-BUSUNJU'!G12,'13.08 KAMPALA-BUSUNJU'!G12,'14.08 KAMPALA-BUSUNJU'!G12,'15.08 KAMPALA-BUSUNJU'!G12),0)</f>
        <v>0</v>
      </c>
      <c r="H60" s="50">
        <f>ROUND(0.8*AVERAGE('11.08 KAMPALA-BUSUNJU'!H12,'12.08 KAMPALA-BUSUNJU'!H12,'13.08 KAMPALA-BUSUNJU'!H12,'14.08 KAMPALA-BUSUNJU'!H12,'15.08 KAMPALA-BUSUNJU'!H12),0)</f>
        <v>0</v>
      </c>
      <c r="I60" s="50">
        <f>ROUND(0.8*AVERAGE('11.08 KAMPALA-BUSUNJU'!I12,'12.08 KAMPALA-BUSUNJU'!I12,'13.08 KAMPALA-BUSUNJU'!I12,'14.08 KAMPALA-BUSUNJU'!I12,'15.08 KAMPALA-BUSUNJU'!I12),0)</f>
        <v>1</v>
      </c>
      <c r="J60" s="50">
        <f>ROUND(0.8*AVERAGE('11.08 KAMPALA-BUSUNJU'!J12,'12.08 KAMPALA-BUSUNJU'!J12,'13.08 KAMPALA-BUSUNJU'!J12,'14.08 KAMPALA-BUSUNJU'!J12,'15.08 KAMPALA-BUSUNJU'!J12),0)</f>
        <v>0</v>
      </c>
      <c r="K60" s="50">
        <f>ROUND(0.8*AVERAGE('11.08 KAMPALA-BUSUNJU'!K12,'12.08 KAMPALA-BUSUNJU'!K12,'13.08 KAMPALA-BUSUNJU'!K12,'14.08 KAMPALA-BUSUNJU'!K12,'15.08 KAMPALA-BUSUNJU'!K12),0)</f>
        <v>0</v>
      </c>
      <c r="L60" s="50">
        <f>ROUND(0.8*AVERAGE('11.08 KAMPALA-BUSUNJU'!L12,'12.08 KAMPALA-BUSUNJU'!L12,'13.08 KAMPALA-BUSUNJU'!L12,'14.08 KAMPALA-BUSUNJU'!L12,'15.08 KAMPALA-BUSUNJU'!L12),0)</f>
        <v>0</v>
      </c>
      <c r="M60" s="50">
        <f>ROUND(0.8*AVERAGE('11.08 KAMPALA-BUSUNJU'!M12,'12.08 KAMPALA-BUSUNJU'!M12,'13.08 KAMPALA-BUSUNJU'!M12,'14.08 KAMPALA-BUSUNJU'!M12,'15.08 KAMPALA-BUSUNJU'!M12),0)</f>
        <v>11</v>
      </c>
      <c r="N60" s="50">
        <f>ROUND(0.8*AVERAGE('11.08 KAMPALA-BUSUNJU'!N12,'12.08 KAMPALA-BUSUNJU'!N12,'13.08 KAMPALA-BUSUNJU'!N12,'14.08 KAMPALA-BUSUNJU'!N12,'15.08 KAMPALA-BUSUNJU'!N12),0)</f>
        <v>0</v>
      </c>
      <c r="O60" s="15">
        <f t="shared" si="0"/>
        <v>1</v>
      </c>
      <c r="P60" s="15">
        <f t="shared" si="1"/>
        <v>12</v>
      </c>
      <c r="R60" s="8"/>
      <c r="T60"/>
    </row>
    <row r="61" spans="2:20" ht="23.1" customHeight="1" x14ac:dyDescent="0.25">
      <c r="B61" s="45" t="s">
        <v>102</v>
      </c>
      <c r="C61" s="50">
        <f>ROUND(0.8*AVERAGE('11.08 KAMPALA-BUSUNJU'!C13,'12.08 KAMPALA-BUSUNJU'!C13,'13.08 KAMPALA-BUSUNJU'!C13,'14.08 KAMPALA-BUSUNJU'!C13,'15.08 KAMPALA-BUSUNJU'!C13),0)</f>
        <v>0</v>
      </c>
      <c r="D61" s="50">
        <f>ROUND(0.8*AVERAGE('11.08 KAMPALA-BUSUNJU'!D13,'12.08 KAMPALA-BUSUNJU'!D13,'13.08 KAMPALA-BUSUNJU'!D13,'14.08 KAMPALA-BUSUNJU'!D13,'15.08 KAMPALA-BUSUNJU'!D13),0)</f>
        <v>0</v>
      </c>
      <c r="E61" s="50">
        <f>ROUND(0.8*AVERAGE('11.08 KAMPALA-BUSUNJU'!E13,'12.08 KAMPALA-BUSUNJU'!E13,'13.08 KAMPALA-BUSUNJU'!E13,'14.08 KAMPALA-BUSUNJU'!E13,'15.08 KAMPALA-BUSUNJU'!E13),0)</f>
        <v>0</v>
      </c>
      <c r="F61" s="50">
        <f>ROUND(0.8*AVERAGE('11.08 KAMPALA-BUSUNJU'!F13,'12.08 KAMPALA-BUSUNJU'!F13,'13.08 KAMPALA-BUSUNJU'!F13,'14.08 KAMPALA-BUSUNJU'!F13,'15.08 KAMPALA-BUSUNJU'!F13),0)</f>
        <v>0</v>
      </c>
      <c r="G61" s="50">
        <f>ROUND(0.8*AVERAGE('11.08 KAMPALA-BUSUNJU'!G13,'12.08 KAMPALA-BUSUNJU'!G13,'13.08 KAMPALA-BUSUNJU'!G13,'14.08 KAMPALA-BUSUNJU'!G13,'15.08 KAMPALA-BUSUNJU'!G13),0)</f>
        <v>0</v>
      </c>
      <c r="H61" s="50">
        <f>ROUND(0.8*AVERAGE('11.08 KAMPALA-BUSUNJU'!H13,'12.08 KAMPALA-BUSUNJU'!H13,'13.08 KAMPALA-BUSUNJU'!H13,'14.08 KAMPALA-BUSUNJU'!H13,'15.08 KAMPALA-BUSUNJU'!H13),0)</f>
        <v>0</v>
      </c>
      <c r="I61" s="50">
        <f>ROUND(0.8*AVERAGE('11.08 KAMPALA-BUSUNJU'!I13,'12.08 KAMPALA-BUSUNJU'!I13,'13.08 KAMPALA-BUSUNJU'!I13,'14.08 KAMPALA-BUSUNJU'!I13,'15.08 KAMPALA-BUSUNJU'!I13),0)</f>
        <v>1</v>
      </c>
      <c r="J61" s="50">
        <f>ROUND(0.8*AVERAGE('11.08 KAMPALA-BUSUNJU'!J13,'12.08 KAMPALA-BUSUNJU'!J13,'13.08 KAMPALA-BUSUNJU'!J13,'14.08 KAMPALA-BUSUNJU'!J13,'15.08 KAMPALA-BUSUNJU'!J13),0)</f>
        <v>0</v>
      </c>
      <c r="K61" s="50">
        <f>ROUND(0.8*AVERAGE('11.08 KAMPALA-BUSUNJU'!K13,'12.08 KAMPALA-BUSUNJU'!K13,'13.08 KAMPALA-BUSUNJU'!K13,'14.08 KAMPALA-BUSUNJU'!K13,'15.08 KAMPALA-BUSUNJU'!K13),0)</f>
        <v>0</v>
      </c>
      <c r="L61" s="50">
        <f>ROUND(0.8*AVERAGE('11.08 KAMPALA-BUSUNJU'!L13,'12.08 KAMPALA-BUSUNJU'!L13,'13.08 KAMPALA-BUSUNJU'!L13,'14.08 KAMPALA-BUSUNJU'!L13,'15.08 KAMPALA-BUSUNJU'!L13),0)</f>
        <v>0</v>
      </c>
      <c r="M61" s="50">
        <f>ROUND(0.8*AVERAGE('11.08 KAMPALA-BUSUNJU'!M13,'12.08 KAMPALA-BUSUNJU'!M13,'13.08 KAMPALA-BUSUNJU'!M13,'14.08 KAMPALA-BUSUNJU'!M13,'15.08 KAMPALA-BUSUNJU'!M13),0)</f>
        <v>8</v>
      </c>
      <c r="N61" s="50">
        <f>ROUND(0.8*AVERAGE('11.08 KAMPALA-BUSUNJU'!N13,'12.08 KAMPALA-BUSUNJU'!N13,'13.08 KAMPALA-BUSUNJU'!N13,'14.08 KAMPALA-BUSUNJU'!N13,'15.08 KAMPALA-BUSUNJU'!N13),0)</f>
        <v>0</v>
      </c>
      <c r="O61" s="15">
        <f t="shared" si="0"/>
        <v>1</v>
      </c>
      <c r="P61" s="15">
        <f t="shared" si="1"/>
        <v>9</v>
      </c>
      <c r="R61" s="8"/>
      <c r="T61"/>
    </row>
    <row r="62" spans="2:20" ht="23.1" customHeight="1" x14ac:dyDescent="0.25">
      <c r="B62" s="45" t="s">
        <v>107</v>
      </c>
      <c r="C62" s="50">
        <f>ROUND(0.8*AVERAGE('11.08 KAMPALA-BUSUNJU'!C14,'12.08 KAMPALA-BUSUNJU'!C14,'13.08 KAMPALA-BUSUNJU'!C14,'14.08 KAMPALA-BUSUNJU'!C14,'15.08 KAMPALA-BUSUNJU'!C14),0)</f>
        <v>0</v>
      </c>
      <c r="D62" s="50">
        <f>ROUND(0.8*AVERAGE('11.08 KAMPALA-BUSUNJU'!D14,'12.08 KAMPALA-BUSUNJU'!D14,'13.08 KAMPALA-BUSUNJU'!D14,'14.08 KAMPALA-BUSUNJU'!D14,'15.08 KAMPALA-BUSUNJU'!D14),0)</f>
        <v>0</v>
      </c>
      <c r="E62" s="50">
        <f>ROUND(0.8*AVERAGE('11.08 KAMPALA-BUSUNJU'!E14,'12.08 KAMPALA-BUSUNJU'!E14,'13.08 KAMPALA-BUSUNJU'!E14,'14.08 KAMPALA-BUSUNJU'!E14,'15.08 KAMPALA-BUSUNJU'!E14),0)</f>
        <v>0</v>
      </c>
      <c r="F62" s="50">
        <f>ROUND(0.8*AVERAGE('11.08 KAMPALA-BUSUNJU'!F14,'12.08 KAMPALA-BUSUNJU'!F14,'13.08 KAMPALA-BUSUNJU'!F14,'14.08 KAMPALA-BUSUNJU'!F14,'15.08 KAMPALA-BUSUNJU'!F14),0)</f>
        <v>0</v>
      </c>
      <c r="G62" s="50">
        <f>ROUND(0.8*AVERAGE('11.08 KAMPALA-BUSUNJU'!G14,'12.08 KAMPALA-BUSUNJU'!G14,'13.08 KAMPALA-BUSUNJU'!G14,'14.08 KAMPALA-BUSUNJU'!G14,'15.08 KAMPALA-BUSUNJU'!G14),0)</f>
        <v>0</v>
      </c>
      <c r="H62" s="50">
        <f>ROUND(0.8*AVERAGE('11.08 KAMPALA-BUSUNJU'!H14,'12.08 KAMPALA-BUSUNJU'!H14,'13.08 KAMPALA-BUSUNJU'!H14,'14.08 KAMPALA-BUSUNJU'!H14,'15.08 KAMPALA-BUSUNJU'!H14),0)</f>
        <v>0</v>
      </c>
      <c r="I62" s="50">
        <f>ROUND(0.8*AVERAGE('11.08 KAMPALA-BUSUNJU'!I14,'12.08 KAMPALA-BUSUNJU'!I14,'13.08 KAMPALA-BUSUNJU'!I14,'14.08 KAMPALA-BUSUNJU'!I14,'15.08 KAMPALA-BUSUNJU'!I14),0)</f>
        <v>1</v>
      </c>
      <c r="J62" s="50">
        <f>ROUND(0.8*AVERAGE('11.08 KAMPALA-BUSUNJU'!J14,'12.08 KAMPALA-BUSUNJU'!J14,'13.08 KAMPALA-BUSUNJU'!J14,'14.08 KAMPALA-BUSUNJU'!J14,'15.08 KAMPALA-BUSUNJU'!J14),0)</f>
        <v>0</v>
      </c>
      <c r="K62" s="50">
        <f>ROUND(0.8*AVERAGE('11.08 KAMPALA-BUSUNJU'!K14,'12.08 KAMPALA-BUSUNJU'!K14,'13.08 KAMPALA-BUSUNJU'!K14,'14.08 KAMPALA-BUSUNJU'!K14,'15.08 KAMPALA-BUSUNJU'!K14),0)</f>
        <v>0</v>
      </c>
      <c r="L62" s="50">
        <f>ROUND(0.8*AVERAGE('11.08 KAMPALA-BUSUNJU'!L14,'12.08 KAMPALA-BUSUNJU'!L14,'13.08 KAMPALA-BUSUNJU'!L14,'14.08 KAMPALA-BUSUNJU'!L14,'15.08 KAMPALA-BUSUNJU'!L14),0)</f>
        <v>0</v>
      </c>
      <c r="M62" s="50">
        <f>ROUND(0.8*AVERAGE('11.08 KAMPALA-BUSUNJU'!M14,'12.08 KAMPALA-BUSUNJU'!M14,'13.08 KAMPALA-BUSUNJU'!M14,'14.08 KAMPALA-BUSUNJU'!M14,'15.08 KAMPALA-BUSUNJU'!M14),0)</f>
        <v>8</v>
      </c>
      <c r="N62" s="50">
        <f>ROUND(0.8*AVERAGE('11.08 KAMPALA-BUSUNJU'!N14,'12.08 KAMPALA-BUSUNJU'!N14,'13.08 KAMPALA-BUSUNJU'!N14,'14.08 KAMPALA-BUSUNJU'!N14,'15.08 KAMPALA-BUSUNJU'!N14),0)</f>
        <v>0</v>
      </c>
      <c r="O62" s="15">
        <f t="shared" si="0"/>
        <v>1</v>
      </c>
      <c r="P62" s="15">
        <f t="shared" si="1"/>
        <v>9</v>
      </c>
      <c r="R62" s="8"/>
      <c r="T62"/>
    </row>
    <row r="63" spans="2:20" ht="23.1" customHeight="1" x14ac:dyDescent="0.25">
      <c r="B63" s="45" t="s">
        <v>108</v>
      </c>
      <c r="C63" s="50">
        <f>ROUND(0.8*AVERAGE('11.08 KAMPALA-BUSUNJU'!C15,'12.08 KAMPALA-BUSUNJU'!C15,'13.08 KAMPALA-BUSUNJU'!C15,'14.08 KAMPALA-BUSUNJU'!C15,'15.08 KAMPALA-BUSUNJU'!C15),0)</f>
        <v>1</v>
      </c>
      <c r="D63" s="50">
        <f>ROUND(0.8*AVERAGE('11.08 KAMPALA-BUSUNJU'!D15,'12.08 KAMPALA-BUSUNJU'!D15,'13.08 KAMPALA-BUSUNJU'!D15,'14.08 KAMPALA-BUSUNJU'!D15,'15.08 KAMPALA-BUSUNJU'!D15),0)</f>
        <v>0</v>
      </c>
      <c r="E63" s="50">
        <f>ROUND(0.8*AVERAGE('11.08 KAMPALA-BUSUNJU'!E15,'12.08 KAMPALA-BUSUNJU'!E15,'13.08 KAMPALA-BUSUNJU'!E15,'14.08 KAMPALA-BUSUNJU'!E15,'15.08 KAMPALA-BUSUNJU'!E15),0)</f>
        <v>1</v>
      </c>
      <c r="F63" s="50">
        <f>ROUND(0.8*AVERAGE('11.08 KAMPALA-BUSUNJU'!F15,'12.08 KAMPALA-BUSUNJU'!F15,'13.08 KAMPALA-BUSUNJU'!F15,'14.08 KAMPALA-BUSUNJU'!F15,'15.08 KAMPALA-BUSUNJU'!F15),0)</f>
        <v>0</v>
      </c>
      <c r="G63" s="50">
        <f>ROUND(0.8*AVERAGE('11.08 KAMPALA-BUSUNJU'!G15,'12.08 KAMPALA-BUSUNJU'!G15,'13.08 KAMPALA-BUSUNJU'!G15,'14.08 KAMPALA-BUSUNJU'!G15,'15.08 KAMPALA-BUSUNJU'!G15),0)</f>
        <v>0</v>
      </c>
      <c r="H63" s="50">
        <f>ROUND(0.8*AVERAGE('11.08 KAMPALA-BUSUNJU'!H15,'12.08 KAMPALA-BUSUNJU'!H15,'13.08 KAMPALA-BUSUNJU'!H15,'14.08 KAMPALA-BUSUNJU'!H15,'15.08 KAMPALA-BUSUNJU'!H15),0)</f>
        <v>0</v>
      </c>
      <c r="I63" s="50">
        <f>ROUND(0.8*AVERAGE('11.08 KAMPALA-BUSUNJU'!I15,'12.08 KAMPALA-BUSUNJU'!I15,'13.08 KAMPALA-BUSUNJU'!I15,'14.08 KAMPALA-BUSUNJU'!I15,'15.08 KAMPALA-BUSUNJU'!I15),0)</f>
        <v>0</v>
      </c>
      <c r="J63" s="50">
        <f>ROUND(0.8*AVERAGE('11.08 KAMPALA-BUSUNJU'!J15,'12.08 KAMPALA-BUSUNJU'!J15,'13.08 KAMPALA-BUSUNJU'!J15,'14.08 KAMPALA-BUSUNJU'!J15,'15.08 KAMPALA-BUSUNJU'!J15),0)</f>
        <v>0</v>
      </c>
      <c r="K63" s="50">
        <f>ROUND(0.8*AVERAGE('11.08 KAMPALA-BUSUNJU'!K15,'12.08 KAMPALA-BUSUNJU'!K15,'13.08 KAMPALA-BUSUNJU'!K15,'14.08 KAMPALA-BUSUNJU'!K15,'15.08 KAMPALA-BUSUNJU'!K15),0)</f>
        <v>0</v>
      </c>
      <c r="L63" s="50">
        <f>ROUND(0.8*AVERAGE('11.08 KAMPALA-BUSUNJU'!L15,'12.08 KAMPALA-BUSUNJU'!L15,'13.08 KAMPALA-BUSUNJU'!L15,'14.08 KAMPALA-BUSUNJU'!L15,'15.08 KAMPALA-BUSUNJU'!L15),0)</f>
        <v>0</v>
      </c>
      <c r="M63" s="50">
        <f>ROUND(0.8*AVERAGE('11.08 KAMPALA-BUSUNJU'!M15,'12.08 KAMPALA-BUSUNJU'!M15,'13.08 KAMPALA-BUSUNJU'!M15,'14.08 KAMPALA-BUSUNJU'!M15,'15.08 KAMPALA-BUSUNJU'!M15),0)</f>
        <v>9</v>
      </c>
      <c r="N63" s="50">
        <f>ROUND(0.8*AVERAGE('11.08 KAMPALA-BUSUNJU'!N15,'12.08 KAMPALA-BUSUNJU'!N15,'13.08 KAMPALA-BUSUNJU'!N15,'14.08 KAMPALA-BUSUNJU'!N15,'15.08 KAMPALA-BUSUNJU'!N15),0)</f>
        <v>0</v>
      </c>
      <c r="O63" s="15">
        <f t="shared" si="0"/>
        <v>2</v>
      </c>
      <c r="P63" s="15">
        <f t="shared" si="1"/>
        <v>11</v>
      </c>
      <c r="R63" s="8"/>
      <c r="T63"/>
    </row>
    <row r="64" spans="2:20" ht="23.1" customHeight="1" x14ac:dyDescent="0.25">
      <c r="B64" s="45" t="s">
        <v>109</v>
      </c>
      <c r="C64" s="50">
        <f>ROUND(0.8*AVERAGE('11.08 KAMPALA-BUSUNJU'!C16,'12.08 KAMPALA-BUSUNJU'!C16,'13.08 KAMPALA-BUSUNJU'!C16,'14.08 KAMPALA-BUSUNJU'!C16,'15.08 KAMPALA-BUSUNJU'!C16),0)</f>
        <v>0</v>
      </c>
      <c r="D64" s="50">
        <f>ROUND(0.8*AVERAGE('11.08 KAMPALA-BUSUNJU'!D16,'12.08 KAMPALA-BUSUNJU'!D16,'13.08 KAMPALA-BUSUNJU'!D16,'14.08 KAMPALA-BUSUNJU'!D16,'15.08 KAMPALA-BUSUNJU'!D16),0)</f>
        <v>0</v>
      </c>
      <c r="E64" s="50">
        <f>ROUND(0.8*AVERAGE('11.08 KAMPALA-BUSUNJU'!E16,'12.08 KAMPALA-BUSUNJU'!E16,'13.08 KAMPALA-BUSUNJU'!E16,'14.08 KAMPALA-BUSUNJU'!E16,'15.08 KAMPALA-BUSUNJU'!E16),0)</f>
        <v>0</v>
      </c>
      <c r="F64" s="50">
        <f>ROUND(0.8*AVERAGE('11.08 KAMPALA-BUSUNJU'!F16,'12.08 KAMPALA-BUSUNJU'!F16,'13.08 KAMPALA-BUSUNJU'!F16,'14.08 KAMPALA-BUSUNJU'!F16,'15.08 KAMPALA-BUSUNJU'!F16),0)</f>
        <v>0</v>
      </c>
      <c r="G64" s="50">
        <f>ROUND(0.8*AVERAGE('11.08 KAMPALA-BUSUNJU'!G16,'12.08 KAMPALA-BUSUNJU'!G16,'13.08 KAMPALA-BUSUNJU'!G16,'14.08 KAMPALA-BUSUNJU'!G16,'15.08 KAMPALA-BUSUNJU'!G16),0)</f>
        <v>0</v>
      </c>
      <c r="H64" s="50">
        <f>ROUND(0.8*AVERAGE('11.08 KAMPALA-BUSUNJU'!H16,'12.08 KAMPALA-BUSUNJU'!H16,'13.08 KAMPALA-BUSUNJU'!H16,'14.08 KAMPALA-BUSUNJU'!H16,'15.08 KAMPALA-BUSUNJU'!H16),0)</f>
        <v>0</v>
      </c>
      <c r="I64" s="50">
        <f>ROUND(0.8*AVERAGE('11.08 KAMPALA-BUSUNJU'!I16,'12.08 KAMPALA-BUSUNJU'!I16,'13.08 KAMPALA-BUSUNJU'!I16,'14.08 KAMPALA-BUSUNJU'!I16,'15.08 KAMPALA-BUSUNJU'!I16),0)</f>
        <v>0</v>
      </c>
      <c r="J64" s="50">
        <f>ROUND(0.8*AVERAGE('11.08 KAMPALA-BUSUNJU'!J16,'12.08 KAMPALA-BUSUNJU'!J16,'13.08 KAMPALA-BUSUNJU'!J16,'14.08 KAMPALA-BUSUNJU'!J16,'15.08 KAMPALA-BUSUNJU'!J16),0)</f>
        <v>0</v>
      </c>
      <c r="K64" s="50">
        <f>ROUND(0.8*AVERAGE('11.08 KAMPALA-BUSUNJU'!K16,'12.08 KAMPALA-BUSUNJU'!K16,'13.08 KAMPALA-BUSUNJU'!K16,'14.08 KAMPALA-BUSUNJU'!K16,'15.08 KAMPALA-BUSUNJU'!K16),0)</f>
        <v>0</v>
      </c>
      <c r="L64" s="50">
        <f>ROUND(0.8*AVERAGE('11.08 KAMPALA-BUSUNJU'!L16,'12.08 KAMPALA-BUSUNJU'!L16,'13.08 KAMPALA-BUSUNJU'!L16,'14.08 KAMPALA-BUSUNJU'!L16,'15.08 KAMPALA-BUSUNJU'!L16),0)</f>
        <v>0</v>
      </c>
      <c r="M64" s="50">
        <f>ROUND(0.8*AVERAGE('11.08 KAMPALA-BUSUNJU'!M16,'12.08 KAMPALA-BUSUNJU'!M16,'13.08 KAMPALA-BUSUNJU'!M16,'14.08 KAMPALA-BUSUNJU'!M16,'15.08 KAMPALA-BUSUNJU'!M16),0)</f>
        <v>11</v>
      </c>
      <c r="N64" s="50">
        <f>ROUND(0.8*AVERAGE('11.08 KAMPALA-BUSUNJU'!N16,'12.08 KAMPALA-BUSUNJU'!N16,'13.08 KAMPALA-BUSUNJU'!N16,'14.08 KAMPALA-BUSUNJU'!N16,'15.08 KAMPALA-BUSUNJU'!N16),0)</f>
        <v>0</v>
      </c>
      <c r="O64" s="15">
        <f t="shared" si="0"/>
        <v>0</v>
      </c>
      <c r="P64" s="15">
        <f t="shared" si="1"/>
        <v>11</v>
      </c>
      <c r="R64" s="8"/>
      <c r="T64"/>
    </row>
    <row r="65" spans="2:20" ht="23.1" customHeight="1" x14ac:dyDescent="0.25">
      <c r="B65" s="45" t="s">
        <v>158</v>
      </c>
      <c r="C65" s="50">
        <f>ROUND(0.8*AVERAGE('11.08 KAMPALA-BUSUNJU'!C17,'12.08 KAMPALA-BUSUNJU'!C17,'13.08 KAMPALA-BUSUNJU'!C17,'14.08 KAMPALA-BUSUNJU'!C17,'15.08 KAMPALA-BUSUNJU'!C17),0)</f>
        <v>0</v>
      </c>
      <c r="D65" s="50">
        <f>ROUND(0.8*AVERAGE('11.08 KAMPALA-BUSUNJU'!D17,'12.08 KAMPALA-BUSUNJU'!D17,'13.08 KAMPALA-BUSUNJU'!D17,'14.08 KAMPALA-BUSUNJU'!D17,'15.08 KAMPALA-BUSUNJU'!D17),0)</f>
        <v>0</v>
      </c>
      <c r="E65" s="50">
        <f>ROUND(0.8*AVERAGE('11.08 KAMPALA-BUSUNJU'!E17,'12.08 KAMPALA-BUSUNJU'!E17,'13.08 KAMPALA-BUSUNJU'!E17,'14.08 KAMPALA-BUSUNJU'!E17,'15.08 KAMPALA-BUSUNJU'!E17),0)</f>
        <v>0</v>
      </c>
      <c r="F65" s="50">
        <f>ROUND(0.8*AVERAGE('11.08 KAMPALA-BUSUNJU'!F17,'12.08 KAMPALA-BUSUNJU'!F17,'13.08 KAMPALA-BUSUNJU'!F17,'14.08 KAMPALA-BUSUNJU'!F17,'15.08 KAMPALA-BUSUNJU'!F17),0)</f>
        <v>0</v>
      </c>
      <c r="G65" s="50">
        <f>ROUND(0.8*AVERAGE('11.08 KAMPALA-BUSUNJU'!G17,'12.08 KAMPALA-BUSUNJU'!G17,'13.08 KAMPALA-BUSUNJU'!G17,'14.08 KAMPALA-BUSUNJU'!G17,'15.08 KAMPALA-BUSUNJU'!G17),0)</f>
        <v>0</v>
      </c>
      <c r="H65" s="50">
        <f>ROUND(0.8*AVERAGE('11.08 KAMPALA-BUSUNJU'!H17,'12.08 KAMPALA-BUSUNJU'!H17,'13.08 KAMPALA-BUSUNJU'!H17,'14.08 KAMPALA-BUSUNJU'!H17,'15.08 KAMPALA-BUSUNJU'!H17),0)</f>
        <v>0</v>
      </c>
      <c r="I65" s="50">
        <f>ROUND(0.8*AVERAGE('11.08 KAMPALA-BUSUNJU'!I17,'12.08 KAMPALA-BUSUNJU'!I17,'13.08 KAMPALA-BUSUNJU'!I17,'14.08 KAMPALA-BUSUNJU'!I17,'15.08 KAMPALA-BUSUNJU'!I17),0)</f>
        <v>0</v>
      </c>
      <c r="J65" s="50">
        <f>ROUND(0.8*AVERAGE('11.08 KAMPALA-BUSUNJU'!J17,'12.08 KAMPALA-BUSUNJU'!J17,'13.08 KAMPALA-BUSUNJU'!J17,'14.08 KAMPALA-BUSUNJU'!J17,'15.08 KAMPALA-BUSUNJU'!J17),0)</f>
        <v>0</v>
      </c>
      <c r="K65" s="50">
        <f>ROUND(0.8*AVERAGE('11.08 KAMPALA-BUSUNJU'!K17,'12.08 KAMPALA-BUSUNJU'!K17,'13.08 KAMPALA-BUSUNJU'!K17,'14.08 KAMPALA-BUSUNJU'!K17,'15.08 KAMPALA-BUSUNJU'!K17),0)</f>
        <v>0</v>
      </c>
      <c r="L65" s="50">
        <f>ROUND(0.8*AVERAGE('11.08 KAMPALA-BUSUNJU'!L17,'12.08 KAMPALA-BUSUNJU'!L17,'13.08 KAMPALA-BUSUNJU'!L17,'14.08 KAMPALA-BUSUNJU'!L17,'15.08 KAMPALA-BUSUNJU'!L17),0)</f>
        <v>0</v>
      </c>
      <c r="M65" s="50">
        <f>ROUND(0.8*AVERAGE('11.08 KAMPALA-BUSUNJU'!M17,'12.08 KAMPALA-BUSUNJU'!M17,'13.08 KAMPALA-BUSUNJU'!M17,'14.08 KAMPALA-BUSUNJU'!M17,'15.08 KAMPALA-BUSUNJU'!M17),0)</f>
        <v>11</v>
      </c>
      <c r="N65" s="50">
        <f>ROUND(0.8*AVERAGE('11.08 KAMPALA-BUSUNJU'!N17,'12.08 KAMPALA-BUSUNJU'!N17,'13.08 KAMPALA-BUSUNJU'!N17,'14.08 KAMPALA-BUSUNJU'!N17,'15.08 KAMPALA-BUSUNJU'!N17),0)</f>
        <v>0</v>
      </c>
      <c r="O65" s="15">
        <f t="shared" si="0"/>
        <v>0</v>
      </c>
      <c r="P65" s="15">
        <f t="shared" si="1"/>
        <v>11</v>
      </c>
      <c r="R65" s="8"/>
      <c r="T65"/>
    </row>
    <row r="66" spans="2:20" ht="23.1" customHeight="1" x14ac:dyDescent="0.25">
      <c r="B66" s="45" t="s">
        <v>103</v>
      </c>
      <c r="C66" s="50">
        <f>ROUND(0.8*AVERAGE('11.08 KAMPALA-BUSUNJU'!C18,'12.08 KAMPALA-BUSUNJU'!C18,'13.08 KAMPALA-BUSUNJU'!C18,'14.08 KAMPALA-BUSUNJU'!C18,'15.08 KAMPALA-BUSUNJU'!C18),0)</f>
        <v>0</v>
      </c>
      <c r="D66" s="50">
        <f>ROUND(0.8*AVERAGE('11.08 KAMPALA-BUSUNJU'!D18,'12.08 KAMPALA-BUSUNJU'!D18,'13.08 KAMPALA-BUSUNJU'!D18,'14.08 KAMPALA-BUSUNJU'!D18,'15.08 KAMPALA-BUSUNJU'!D18),0)</f>
        <v>0</v>
      </c>
      <c r="E66" s="50">
        <f>ROUND(0.8*AVERAGE('11.08 KAMPALA-BUSUNJU'!E18,'12.08 KAMPALA-BUSUNJU'!E18,'13.08 KAMPALA-BUSUNJU'!E18,'14.08 KAMPALA-BUSUNJU'!E18,'15.08 KAMPALA-BUSUNJU'!E18),0)</f>
        <v>0</v>
      </c>
      <c r="F66" s="50">
        <f>ROUND(0.8*AVERAGE('11.08 KAMPALA-BUSUNJU'!F18,'12.08 KAMPALA-BUSUNJU'!F18,'13.08 KAMPALA-BUSUNJU'!F18,'14.08 KAMPALA-BUSUNJU'!F18,'15.08 KAMPALA-BUSUNJU'!F18),0)</f>
        <v>0</v>
      </c>
      <c r="G66" s="50">
        <f>ROUND(0.8*AVERAGE('11.08 KAMPALA-BUSUNJU'!G18,'12.08 KAMPALA-BUSUNJU'!G18,'13.08 KAMPALA-BUSUNJU'!G18,'14.08 KAMPALA-BUSUNJU'!G18,'15.08 KAMPALA-BUSUNJU'!G18),0)</f>
        <v>0</v>
      </c>
      <c r="H66" s="50">
        <f>ROUND(0.8*AVERAGE('11.08 KAMPALA-BUSUNJU'!H18,'12.08 KAMPALA-BUSUNJU'!H18,'13.08 KAMPALA-BUSUNJU'!H18,'14.08 KAMPALA-BUSUNJU'!H18,'15.08 KAMPALA-BUSUNJU'!H18),0)</f>
        <v>0</v>
      </c>
      <c r="I66" s="50">
        <f>ROUND(0.8*AVERAGE('11.08 KAMPALA-BUSUNJU'!I18,'12.08 KAMPALA-BUSUNJU'!I18,'13.08 KAMPALA-BUSUNJU'!I18,'14.08 KAMPALA-BUSUNJU'!I18,'15.08 KAMPALA-BUSUNJU'!I18),0)</f>
        <v>1</v>
      </c>
      <c r="J66" s="50">
        <f>ROUND(0.8*AVERAGE('11.08 KAMPALA-BUSUNJU'!J18,'12.08 KAMPALA-BUSUNJU'!J18,'13.08 KAMPALA-BUSUNJU'!J18,'14.08 KAMPALA-BUSUNJU'!J18,'15.08 KAMPALA-BUSUNJU'!J18),0)</f>
        <v>0</v>
      </c>
      <c r="K66" s="50">
        <f>ROUND(0.8*AVERAGE('11.08 KAMPALA-BUSUNJU'!K18,'12.08 KAMPALA-BUSUNJU'!K18,'13.08 KAMPALA-BUSUNJU'!K18,'14.08 KAMPALA-BUSUNJU'!K18,'15.08 KAMPALA-BUSUNJU'!K18),0)</f>
        <v>0</v>
      </c>
      <c r="L66" s="50">
        <f>ROUND(0.8*AVERAGE('11.08 KAMPALA-BUSUNJU'!L18,'12.08 KAMPALA-BUSUNJU'!L18,'13.08 KAMPALA-BUSUNJU'!L18,'14.08 KAMPALA-BUSUNJU'!L18,'15.08 KAMPALA-BUSUNJU'!L18),0)</f>
        <v>0</v>
      </c>
      <c r="M66" s="50">
        <f>ROUND(0.8*AVERAGE('11.08 KAMPALA-BUSUNJU'!M18,'12.08 KAMPALA-BUSUNJU'!M18,'13.08 KAMPALA-BUSUNJU'!M18,'14.08 KAMPALA-BUSUNJU'!M18,'15.08 KAMPALA-BUSUNJU'!M18),0)</f>
        <v>11</v>
      </c>
      <c r="N66" s="50">
        <f>ROUND(0.8*AVERAGE('11.08 KAMPALA-BUSUNJU'!N18,'12.08 KAMPALA-BUSUNJU'!N18,'13.08 KAMPALA-BUSUNJU'!N18,'14.08 KAMPALA-BUSUNJU'!N18,'15.08 KAMPALA-BUSUNJU'!N18),0)</f>
        <v>0</v>
      </c>
      <c r="O66" s="15">
        <f t="shared" si="0"/>
        <v>1</v>
      </c>
      <c r="P66" s="15">
        <f t="shared" si="1"/>
        <v>12</v>
      </c>
      <c r="R66" s="8"/>
      <c r="T66"/>
    </row>
    <row r="67" spans="2:20" ht="23.1" customHeight="1" x14ac:dyDescent="0.25">
      <c r="B67" s="45" t="s">
        <v>104</v>
      </c>
      <c r="C67" s="50">
        <f>ROUND(0.8*AVERAGE('11.08 KAMPALA-BUSUNJU'!C19,'12.08 KAMPALA-BUSUNJU'!C19,'13.08 KAMPALA-BUSUNJU'!C19,'14.08 KAMPALA-BUSUNJU'!C19,'15.08 KAMPALA-BUSUNJU'!C19),0)</f>
        <v>1</v>
      </c>
      <c r="D67" s="50">
        <f>ROUND(0.8*AVERAGE('11.08 KAMPALA-BUSUNJU'!D19,'12.08 KAMPALA-BUSUNJU'!D19,'13.08 KAMPALA-BUSUNJU'!D19,'14.08 KAMPALA-BUSUNJU'!D19,'15.08 KAMPALA-BUSUNJU'!D19),0)</f>
        <v>0</v>
      </c>
      <c r="E67" s="50">
        <f>ROUND(0.8*AVERAGE('11.08 KAMPALA-BUSUNJU'!E19,'12.08 KAMPALA-BUSUNJU'!E19,'13.08 KAMPALA-BUSUNJU'!E19,'14.08 KAMPALA-BUSUNJU'!E19,'15.08 KAMPALA-BUSUNJU'!E19),0)</f>
        <v>0</v>
      </c>
      <c r="F67" s="50">
        <f>ROUND(0.8*AVERAGE('11.08 KAMPALA-BUSUNJU'!F19,'12.08 KAMPALA-BUSUNJU'!F19,'13.08 KAMPALA-BUSUNJU'!F19,'14.08 KAMPALA-BUSUNJU'!F19,'15.08 KAMPALA-BUSUNJU'!F19),0)</f>
        <v>0</v>
      </c>
      <c r="G67" s="50">
        <f>ROUND(0.8*AVERAGE('11.08 KAMPALA-BUSUNJU'!G19,'12.08 KAMPALA-BUSUNJU'!G19,'13.08 KAMPALA-BUSUNJU'!G19,'14.08 KAMPALA-BUSUNJU'!G19,'15.08 KAMPALA-BUSUNJU'!G19),0)</f>
        <v>0</v>
      </c>
      <c r="H67" s="50">
        <f>ROUND(0.8*AVERAGE('11.08 KAMPALA-BUSUNJU'!H19,'12.08 KAMPALA-BUSUNJU'!H19,'13.08 KAMPALA-BUSUNJU'!H19,'14.08 KAMPALA-BUSUNJU'!H19,'15.08 KAMPALA-BUSUNJU'!H19),0)</f>
        <v>0</v>
      </c>
      <c r="I67" s="50">
        <f>ROUND(0.8*AVERAGE('11.08 KAMPALA-BUSUNJU'!I19,'12.08 KAMPALA-BUSUNJU'!I19,'13.08 KAMPALA-BUSUNJU'!I19,'14.08 KAMPALA-BUSUNJU'!I19,'15.08 KAMPALA-BUSUNJU'!I19),0)</f>
        <v>1</v>
      </c>
      <c r="J67" s="50">
        <f>ROUND(0.8*AVERAGE('11.08 KAMPALA-BUSUNJU'!J19,'12.08 KAMPALA-BUSUNJU'!J19,'13.08 KAMPALA-BUSUNJU'!J19,'14.08 KAMPALA-BUSUNJU'!J19,'15.08 KAMPALA-BUSUNJU'!J19),0)</f>
        <v>0</v>
      </c>
      <c r="K67" s="50">
        <f>ROUND(0.8*AVERAGE('11.08 KAMPALA-BUSUNJU'!K19,'12.08 KAMPALA-BUSUNJU'!K19,'13.08 KAMPALA-BUSUNJU'!K19,'14.08 KAMPALA-BUSUNJU'!K19,'15.08 KAMPALA-BUSUNJU'!K19),0)</f>
        <v>0</v>
      </c>
      <c r="L67" s="50">
        <f>ROUND(0.8*AVERAGE('11.08 KAMPALA-BUSUNJU'!L19,'12.08 KAMPALA-BUSUNJU'!L19,'13.08 KAMPALA-BUSUNJU'!L19,'14.08 KAMPALA-BUSUNJU'!L19,'15.08 KAMPALA-BUSUNJU'!L19),0)</f>
        <v>0</v>
      </c>
      <c r="M67" s="50">
        <f>ROUND(0.8*AVERAGE('11.08 KAMPALA-BUSUNJU'!M19,'12.08 KAMPALA-BUSUNJU'!M19,'13.08 KAMPALA-BUSUNJU'!M19,'14.08 KAMPALA-BUSUNJU'!M19,'15.08 KAMPALA-BUSUNJU'!M19),0)</f>
        <v>11</v>
      </c>
      <c r="N67" s="50">
        <f>ROUND(0.8*AVERAGE('11.08 KAMPALA-BUSUNJU'!N19,'12.08 KAMPALA-BUSUNJU'!N19,'13.08 KAMPALA-BUSUNJU'!N19,'14.08 KAMPALA-BUSUNJU'!N19,'15.08 KAMPALA-BUSUNJU'!N19),0)</f>
        <v>0</v>
      </c>
      <c r="O67" s="15">
        <f t="shared" si="0"/>
        <v>2</v>
      </c>
      <c r="P67" s="15">
        <f t="shared" si="1"/>
        <v>13</v>
      </c>
      <c r="R67" s="8"/>
      <c r="T67"/>
    </row>
    <row r="68" spans="2:20" ht="23.1" customHeight="1" x14ac:dyDescent="0.25">
      <c r="B68" s="45" t="s">
        <v>105</v>
      </c>
      <c r="C68" s="50">
        <f>ROUND(0.8*AVERAGE('11.08 KAMPALA-BUSUNJU'!C20,'12.08 KAMPALA-BUSUNJU'!C20,'13.08 KAMPALA-BUSUNJU'!C20,'14.08 KAMPALA-BUSUNJU'!C20,'15.08 KAMPALA-BUSUNJU'!C20),0)</f>
        <v>0</v>
      </c>
      <c r="D68" s="50">
        <f>ROUND(0.8*AVERAGE('11.08 KAMPALA-BUSUNJU'!D20,'12.08 KAMPALA-BUSUNJU'!D20,'13.08 KAMPALA-BUSUNJU'!D20,'14.08 KAMPALA-BUSUNJU'!D20,'15.08 KAMPALA-BUSUNJU'!D20),0)</f>
        <v>0</v>
      </c>
      <c r="E68" s="50">
        <f>ROUND(0.8*AVERAGE('11.08 KAMPALA-BUSUNJU'!E20,'12.08 KAMPALA-BUSUNJU'!E20,'13.08 KAMPALA-BUSUNJU'!E20,'14.08 KAMPALA-BUSUNJU'!E20,'15.08 KAMPALA-BUSUNJU'!E20),0)</f>
        <v>0</v>
      </c>
      <c r="F68" s="50">
        <f>ROUND(0.8*AVERAGE('11.08 KAMPALA-BUSUNJU'!F20,'12.08 KAMPALA-BUSUNJU'!F20,'13.08 KAMPALA-BUSUNJU'!F20,'14.08 KAMPALA-BUSUNJU'!F20,'15.08 KAMPALA-BUSUNJU'!F20),0)</f>
        <v>0</v>
      </c>
      <c r="G68" s="50">
        <f>ROUND(0.8*AVERAGE('11.08 KAMPALA-BUSUNJU'!G20,'12.08 KAMPALA-BUSUNJU'!G20,'13.08 KAMPALA-BUSUNJU'!G20,'14.08 KAMPALA-BUSUNJU'!G20,'15.08 KAMPALA-BUSUNJU'!G20),0)</f>
        <v>0</v>
      </c>
      <c r="H68" s="50">
        <f>ROUND(0.8*AVERAGE('11.08 KAMPALA-BUSUNJU'!H20,'12.08 KAMPALA-BUSUNJU'!H20,'13.08 KAMPALA-BUSUNJU'!H20,'14.08 KAMPALA-BUSUNJU'!H20,'15.08 KAMPALA-BUSUNJU'!H20),0)</f>
        <v>0</v>
      </c>
      <c r="I68" s="50">
        <f>ROUND(0.8*AVERAGE('11.08 KAMPALA-BUSUNJU'!I20,'12.08 KAMPALA-BUSUNJU'!I20,'13.08 KAMPALA-BUSUNJU'!I20,'14.08 KAMPALA-BUSUNJU'!I20,'15.08 KAMPALA-BUSUNJU'!I20),0)</f>
        <v>1</v>
      </c>
      <c r="J68" s="50">
        <f>ROUND(0.8*AVERAGE('11.08 KAMPALA-BUSUNJU'!J20,'12.08 KAMPALA-BUSUNJU'!J20,'13.08 KAMPALA-BUSUNJU'!J20,'14.08 KAMPALA-BUSUNJU'!J20,'15.08 KAMPALA-BUSUNJU'!J20),0)</f>
        <v>0</v>
      </c>
      <c r="K68" s="50">
        <f>ROUND(0.8*AVERAGE('11.08 KAMPALA-BUSUNJU'!K20,'12.08 KAMPALA-BUSUNJU'!K20,'13.08 KAMPALA-BUSUNJU'!K20,'14.08 KAMPALA-BUSUNJU'!K20,'15.08 KAMPALA-BUSUNJU'!K20),0)</f>
        <v>0</v>
      </c>
      <c r="L68" s="50">
        <f>ROUND(0.8*AVERAGE('11.08 KAMPALA-BUSUNJU'!L20,'12.08 KAMPALA-BUSUNJU'!L20,'13.08 KAMPALA-BUSUNJU'!L20,'14.08 KAMPALA-BUSUNJU'!L20,'15.08 KAMPALA-BUSUNJU'!L20),0)</f>
        <v>0</v>
      </c>
      <c r="M68" s="50">
        <f>ROUND(0.8*AVERAGE('11.08 KAMPALA-BUSUNJU'!M20,'12.08 KAMPALA-BUSUNJU'!M20,'13.08 KAMPALA-BUSUNJU'!M20,'14.08 KAMPALA-BUSUNJU'!M20,'15.08 KAMPALA-BUSUNJU'!M20),0)</f>
        <v>12</v>
      </c>
      <c r="N68" s="50">
        <f>ROUND(0.8*AVERAGE('11.08 KAMPALA-BUSUNJU'!N20,'12.08 KAMPALA-BUSUNJU'!N20,'13.08 KAMPALA-BUSUNJU'!N20,'14.08 KAMPALA-BUSUNJU'!N20,'15.08 KAMPALA-BUSUNJU'!N20),0)</f>
        <v>0</v>
      </c>
      <c r="O68" s="15">
        <f t="shared" si="0"/>
        <v>1</v>
      </c>
      <c r="P68" s="15">
        <f t="shared" si="1"/>
        <v>13</v>
      </c>
      <c r="R68" s="8"/>
      <c r="T68"/>
    </row>
    <row r="69" spans="2:20" ht="23.1" customHeight="1" x14ac:dyDescent="0.25">
      <c r="B69" s="45" t="s">
        <v>106</v>
      </c>
      <c r="C69" s="50">
        <f>ROUND(0.65*AVERAGE('11.08 KAMPALA-BUSUNJU'!C21,'12.08 KAMPALA-BUSUNJU'!C21,'13.08 KAMPALA-BUSUNJU'!C21,'14.08 KAMPALA-BUSUNJU'!C21,'15.08 KAMPALA-BUSUNJU'!C21),0)</f>
        <v>0</v>
      </c>
      <c r="D69" s="50">
        <f>ROUND(0.65*AVERAGE('11.08 KAMPALA-BUSUNJU'!D21,'12.08 KAMPALA-BUSUNJU'!D21,'13.08 KAMPALA-BUSUNJU'!D21,'14.08 KAMPALA-BUSUNJU'!D21,'15.08 KAMPALA-BUSUNJU'!D21),0)</f>
        <v>0</v>
      </c>
      <c r="E69" s="50">
        <f>ROUND(0.65*AVERAGE('11.08 KAMPALA-BUSUNJU'!E21,'12.08 KAMPALA-BUSUNJU'!E21,'13.08 KAMPALA-BUSUNJU'!E21,'14.08 KAMPALA-BUSUNJU'!E21,'15.08 KAMPALA-BUSUNJU'!E21),0)</f>
        <v>0</v>
      </c>
      <c r="F69" s="50">
        <f>ROUND(0.65*AVERAGE('11.08 KAMPALA-BUSUNJU'!F21,'12.08 KAMPALA-BUSUNJU'!F21,'13.08 KAMPALA-BUSUNJU'!F21,'14.08 KAMPALA-BUSUNJU'!F21,'15.08 KAMPALA-BUSUNJU'!F21),0)</f>
        <v>0</v>
      </c>
      <c r="G69" s="50">
        <f>ROUND(0.65*AVERAGE('11.08 KAMPALA-BUSUNJU'!G21,'12.08 KAMPALA-BUSUNJU'!G21,'13.08 KAMPALA-BUSUNJU'!G21,'14.08 KAMPALA-BUSUNJU'!G21,'15.08 KAMPALA-BUSUNJU'!G21),0)</f>
        <v>0</v>
      </c>
      <c r="H69" s="50">
        <f>ROUND(0.65*AVERAGE('11.08 KAMPALA-BUSUNJU'!H21,'12.08 KAMPALA-BUSUNJU'!H21,'13.08 KAMPALA-BUSUNJU'!H21,'14.08 KAMPALA-BUSUNJU'!H21,'15.08 KAMPALA-BUSUNJU'!H21),0)</f>
        <v>0</v>
      </c>
      <c r="I69" s="50">
        <f>ROUND(0.65*AVERAGE('11.08 KAMPALA-BUSUNJU'!I21,'12.08 KAMPALA-BUSUNJU'!I21,'13.08 KAMPALA-BUSUNJU'!I21,'14.08 KAMPALA-BUSUNJU'!I21,'15.08 KAMPALA-BUSUNJU'!I21),0)</f>
        <v>0</v>
      </c>
      <c r="J69" s="50">
        <f>ROUND(0.65*AVERAGE('11.08 KAMPALA-BUSUNJU'!J21,'12.08 KAMPALA-BUSUNJU'!J21,'13.08 KAMPALA-BUSUNJU'!J21,'14.08 KAMPALA-BUSUNJU'!J21,'15.08 KAMPALA-BUSUNJU'!J21),0)</f>
        <v>0</v>
      </c>
      <c r="K69" s="50">
        <f>ROUND(0.65*AVERAGE('11.08 KAMPALA-BUSUNJU'!K21,'12.08 KAMPALA-BUSUNJU'!K21,'13.08 KAMPALA-BUSUNJU'!K21,'14.08 KAMPALA-BUSUNJU'!K21,'15.08 KAMPALA-BUSUNJU'!K21),0)</f>
        <v>0</v>
      </c>
      <c r="L69" s="50">
        <f>ROUND(0.65*AVERAGE('11.08 KAMPALA-BUSUNJU'!L21,'12.08 KAMPALA-BUSUNJU'!L21,'13.08 KAMPALA-BUSUNJU'!L21,'14.08 KAMPALA-BUSUNJU'!L21,'15.08 KAMPALA-BUSUNJU'!L21),0)</f>
        <v>0</v>
      </c>
      <c r="M69" s="50">
        <f>ROUND(0.65*AVERAGE('11.08 KAMPALA-BUSUNJU'!M21,'12.08 KAMPALA-BUSUNJU'!M21,'13.08 KAMPALA-BUSUNJU'!M21,'14.08 KAMPALA-BUSUNJU'!M21,'15.08 KAMPALA-BUSUNJU'!M21),0)</f>
        <v>10</v>
      </c>
      <c r="N69" s="50">
        <f>ROUND(0.65*AVERAGE('11.08 KAMPALA-BUSUNJU'!N21,'12.08 KAMPALA-BUSUNJU'!N21,'13.08 KAMPALA-BUSUNJU'!N21,'14.08 KAMPALA-BUSUNJU'!N21,'15.08 KAMPALA-BUSUNJU'!N21),0)</f>
        <v>0</v>
      </c>
      <c r="O69" s="15">
        <f t="shared" si="0"/>
        <v>0</v>
      </c>
      <c r="P69" s="15">
        <f t="shared" si="1"/>
        <v>10</v>
      </c>
      <c r="R69" s="8"/>
      <c r="T69"/>
    </row>
    <row r="70" spans="2:20" ht="23.1" customHeight="1" x14ac:dyDescent="0.25">
      <c r="B70" s="45" t="s">
        <v>110</v>
      </c>
      <c r="C70" s="50">
        <f>ROUND(0.65*AVERAGE('11.08 KAMPALA-BUSUNJU'!C22,'12.08 KAMPALA-BUSUNJU'!C22,'13.08 KAMPALA-BUSUNJU'!C22,'14.08 KAMPALA-BUSUNJU'!C22,'15.08 KAMPALA-BUSUNJU'!C22),0)</f>
        <v>1</v>
      </c>
      <c r="D70" s="50">
        <f>ROUND(0.65*AVERAGE('11.08 KAMPALA-BUSUNJU'!D22,'12.08 KAMPALA-BUSUNJU'!D22,'13.08 KAMPALA-BUSUNJU'!D22,'14.08 KAMPALA-BUSUNJU'!D22,'15.08 KAMPALA-BUSUNJU'!D22),0)</f>
        <v>0</v>
      </c>
      <c r="E70" s="50">
        <f>ROUND(0.65*AVERAGE('11.08 KAMPALA-BUSUNJU'!E22,'12.08 KAMPALA-BUSUNJU'!E22,'13.08 KAMPALA-BUSUNJU'!E22,'14.08 KAMPALA-BUSUNJU'!E22,'15.08 KAMPALA-BUSUNJU'!E22),0)</f>
        <v>0</v>
      </c>
      <c r="F70" s="50">
        <f>ROUND(0.65*AVERAGE('11.08 KAMPALA-BUSUNJU'!F22,'12.08 KAMPALA-BUSUNJU'!F22,'13.08 KAMPALA-BUSUNJU'!F22,'14.08 KAMPALA-BUSUNJU'!F22,'15.08 KAMPALA-BUSUNJU'!F22),0)</f>
        <v>0</v>
      </c>
      <c r="G70" s="50">
        <f>ROUND(0.65*AVERAGE('11.08 KAMPALA-BUSUNJU'!G22,'12.08 KAMPALA-BUSUNJU'!G22,'13.08 KAMPALA-BUSUNJU'!G22,'14.08 KAMPALA-BUSUNJU'!G22,'15.08 KAMPALA-BUSUNJU'!G22),0)</f>
        <v>0</v>
      </c>
      <c r="H70" s="50">
        <f>ROUND(0.65*AVERAGE('11.08 KAMPALA-BUSUNJU'!H22,'12.08 KAMPALA-BUSUNJU'!H22,'13.08 KAMPALA-BUSUNJU'!H22,'14.08 KAMPALA-BUSUNJU'!H22,'15.08 KAMPALA-BUSUNJU'!H22),0)</f>
        <v>0</v>
      </c>
      <c r="I70" s="50">
        <f>ROUND(0.65*AVERAGE('11.08 KAMPALA-BUSUNJU'!I22,'12.08 KAMPALA-BUSUNJU'!I22,'13.08 KAMPALA-BUSUNJU'!I22,'14.08 KAMPALA-BUSUNJU'!I22,'15.08 KAMPALA-BUSUNJU'!I22),0)</f>
        <v>1</v>
      </c>
      <c r="J70" s="50">
        <f>ROUND(0.65*AVERAGE('11.08 KAMPALA-BUSUNJU'!J22,'12.08 KAMPALA-BUSUNJU'!J22,'13.08 KAMPALA-BUSUNJU'!J22,'14.08 KAMPALA-BUSUNJU'!J22,'15.08 KAMPALA-BUSUNJU'!J22),0)</f>
        <v>0</v>
      </c>
      <c r="K70" s="50">
        <f>ROUND(0.65*AVERAGE('11.08 KAMPALA-BUSUNJU'!K22,'12.08 KAMPALA-BUSUNJU'!K22,'13.08 KAMPALA-BUSUNJU'!K22,'14.08 KAMPALA-BUSUNJU'!K22,'15.08 KAMPALA-BUSUNJU'!K22),0)</f>
        <v>0</v>
      </c>
      <c r="L70" s="50">
        <f>ROUND(0.65*AVERAGE('11.08 KAMPALA-BUSUNJU'!L22,'12.08 KAMPALA-BUSUNJU'!L22,'13.08 KAMPALA-BUSUNJU'!L22,'14.08 KAMPALA-BUSUNJU'!L22,'15.08 KAMPALA-BUSUNJU'!L22),0)</f>
        <v>0</v>
      </c>
      <c r="M70" s="50">
        <f>ROUND(0.65*AVERAGE('11.08 KAMPALA-BUSUNJU'!M22,'12.08 KAMPALA-BUSUNJU'!M22,'13.08 KAMPALA-BUSUNJU'!M22,'14.08 KAMPALA-BUSUNJU'!M22,'15.08 KAMPALA-BUSUNJU'!M22),0)</f>
        <v>10</v>
      </c>
      <c r="N70" s="50">
        <f>ROUND(0.65*AVERAGE('11.08 KAMPALA-BUSUNJU'!N22,'12.08 KAMPALA-BUSUNJU'!N22,'13.08 KAMPALA-BUSUNJU'!N22,'14.08 KAMPALA-BUSUNJU'!N22,'15.08 KAMPALA-BUSUNJU'!N22),0)</f>
        <v>0</v>
      </c>
      <c r="O70" s="15">
        <f t="shared" si="0"/>
        <v>2</v>
      </c>
      <c r="P70" s="15">
        <f t="shared" si="1"/>
        <v>12</v>
      </c>
      <c r="R70" s="8"/>
      <c r="T70"/>
    </row>
    <row r="71" spans="2:20" ht="23.1" customHeight="1" x14ac:dyDescent="0.25">
      <c r="B71" s="45" t="s">
        <v>111</v>
      </c>
      <c r="C71" s="50">
        <f>ROUND(0.65*AVERAGE('11.08 KAMPALA-BUSUNJU'!C23,'12.08 KAMPALA-BUSUNJU'!C23,'13.08 KAMPALA-BUSUNJU'!C23,'14.08 KAMPALA-BUSUNJU'!C23,'15.08 KAMPALA-BUSUNJU'!C23),0)</f>
        <v>1</v>
      </c>
      <c r="D71" s="50">
        <f>ROUND(0.65*AVERAGE('11.08 KAMPALA-BUSUNJU'!D23,'12.08 KAMPALA-BUSUNJU'!D23,'13.08 KAMPALA-BUSUNJU'!D23,'14.08 KAMPALA-BUSUNJU'!D23,'15.08 KAMPALA-BUSUNJU'!D23),0)</f>
        <v>0</v>
      </c>
      <c r="E71" s="50">
        <f>ROUND(0.65*AVERAGE('11.08 KAMPALA-BUSUNJU'!E23,'12.08 KAMPALA-BUSUNJU'!E23,'13.08 KAMPALA-BUSUNJU'!E23,'14.08 KAMPALA-BUSUNJU'!E23,'15.08 KAMPALA-BUSUNJU'!E23),0)</f>
        <v>1</v>
      </c>
      <c r="F71" s="50">
        <f>ROUND(0.65*AVERAGE('11.08 KAMPALA-BUSUNJU'!F23,'12.08 KAMPALA-BUSUNJU'!F23,'13.08 KAMPALA-BUSUNJU'!F23,'14.08 KAMPALA-BUSUNJU'!F23,'15.08 KAMPALA-BUSUNJU'!F23),0)</f>
        <v>0</v>
      </c>
      <c r="G71" s="50">
        <f>ROUND(0.65*AVERAGE('11.08 KAMPALA-BUSUNJU'!G23,'12.08 KAMPALA-BUSUNJU'!G23,'13.08 KAMPALA-BUSUNJU'!G23,'14.08 KAMPALA-BUSUNJU'!G23,'15.08 KAMPALA-BUSUNJU'!G23),0)</f>
        <v>0</v>
      </c>
      <c r="H71" s="50">
        <f>ROUND(0.65*AVERAGE('11.08 KAMPALA-BUSUNJU'!H23,'12.08 KAMPALA-BUSUNJU'!H23,'13.08 KAMPALA-BUSUNJU'!H23,'14.08 KAMPALA-BUSUNJU'!H23,'15.08 KAMPALA-BUSUNJU'!H23),0)</f>
        <v>0</v>
      </c>
      <c r="I71" s="50">
        <f>ROUND(0.65*AVERAGE('11.08 KAMPALA-BUSUNJU'!I23,'12.08 KAMPALA-BUSUNJU'!I23,'13.08 KAMPALA-BUSUNJU'!I23,'14.08 KAMPALA-BUSUNJU'!I23,'15.08 KAMPALA-BUSUNJU'!I23),0)</f>
        <v>1</v>
      </c>
      <c r="J71" s="50">
        <f>ROUND(0.65*AVERAGE('11.08 KAMPALA-BUSUNJU'!J23,'12.08 KAMPALA-BUSUNJU'!J23,'13.08 KAMPALA-BUSUNJU'!J23,'14.08 KAMPALA-BUSUNJU'!J23,'15.08 KAMPALA-BUSUNJU'!J23),0)</f>
        <v>0</v>
      </c>
      <c r="K71" s="50">
        <f>ROUND(0.65*AVERAGE('11.08 KAMPALA-BUSUNJU'!K23,'12.08 KAMPALA-BUSUNJU'!K23,'13.08 KAMPALA-BUSUNJU'!K23,'14.08 KAMPALA-BUSUNJU'!K23,'15.08 KAMPALA-BUSUNJU'!K23),0)</f>
        <v>0</v>
      </c>
      <c r="L71" s="50">
        <f>ROUND(0.65*AVERAGE('11.08 KAMPALA-BUSUNJU'!L23,'12.08 KAMPALA-BUSUNJU'!L23,'13.08 KAMPALA-BUSUNJU'!L23,'14.08 KAMPALA-BUSUNJU'!L23,'15.08 KAMPALA-BUSUNJU'!L23),0)</f>
        <v>0</v>
      </c>
      <c r="M71" s="50">
        <f>ROUND(0.65*AVERAGE('11.08 KAMPALA-BUSUNJU'!M23,'12.08 KAMPALA-BUSUNJU'!M23,'13.08 KAMPALA-BUSUNJU'!M23,'14.08 KAMPALA-BUSUNJU'!M23,'15.08 KAMPALA-BUSUNJU'!M23),0)</f>
        <v>10</v>
      </c>
      <c r="N71" s="50">
        <f>ROUND(0.65*AVERAGE('11.08 KAMPALA-BUSUNJU'!N23,'12.08 KAMPALA-BUSUNJU'!N23,'13.08 KAMPALA-BUSUNJU'!N23,'14.08 KAMPALA-BUSUNJU'!N23,'15.08 KAMPALA-BUSUNJU'!N23),0)</f>
        <v>0</v>
      </c>
      <c r="O71" s="15">
        <f t="shared" si="0"/>
        <v>3</v>
      </c>
      <c r="P71" s="15">
        <f t="shared" si="1"/>
        <v>13</v>
      </c>
      <c r="R71" s="8"/>
      <c r="T71"/>
    </row>
    <row r="72" spans="2:20" ht="23.1" customHeight="1" x14ac:dyDescent="0.25">
      <c r="B72" s="45" t="s">
        <v>112</v>
      </c>
      <c r="C72" s="50">
        <f>ROUND(0.65*AVERAGE('11.08 KAMPALA-BUSUNJU'!C24,'12.08 KAMPALA-BUSUNJU'!C24,'13.08 KAMPALA-BUSUNJU'!C24,'14.08 KAMPALA-BUSUNJU'!C24,'15.08 KAMPALA-BUSUNJU'!C24),0)</f>
        <v>0</v>
      </c>
      <c r="D72" s="50">
        <f>ROUND(0.65*AVERAGE('11.08 KAMPALA-BUSUNJU'!D24,'12.08 KAMPALA-BUSUNJU'!D24,'13.08 KAMPALA-BUSUNJU'!D24,'14.08 KAMPALA-BUSUNJU'!D24,'15.08 KAMPALA-BUSUNJU'!D24),0)</f>
        <v>0</v>
      </c>
      <c r="E72" s="50">
        <f>ROUND(0.65*AVERAGE('11.08 KAMPALA-BUSUNJU'!E24,'12.08 KAMPALA-BUSUNJU'!E24,'13.08 KAMPALA-BUSUNJU'!E24,'14.08 KAMPALA-BUSUNJU'!E24,'15.08 KAMPALA-BUSUNJU'!E24),0)</f>
        <v>0</v>
      </c>
      <c r="F72" s="50">
        <f>ROUND(0.65*AVERAGE('11.08 KAMPALA-BUSUNJU'!F24,'12.08 KAMPALA-BUSUNJU'!F24,'13.08 KAMPALA-BUSUNJU'!F24,'14.08 KAMPALA-BUSUNJU'!F24,'15.08 KAMPALA-BUSUNJU'!F24),0)</f>
        <v>0</v>
      </c>
      <c r="G72" s="50">
        <f>ROUND(0.65*AVERAGE('11.08 KAMPALA-BUSUNJU'!G24,'12.08 KAMPALA-BUSUNJU'!G24,'13.08 KAMPALA-BUSUNJU'!G24,'14.08 KAMPALA-BUSUNJU'!G24,'15.08 KAMPALA-BUSUNJU'!G24),0)</f>
        <v>0</v>
      </c>
      <c r="H72" s="50">
        <f>ROUND(0.65*AVERAGE('11.08 KAMPALA-BUSUNJU'!H24,'12.08 KAMPALA-BUSUNJU'!H24,'13.08 KAMPALA-BUSUNJU'!H24,'14.08 KAMPALA-BUSUNJU'!H24,'15.08 KAMPALA-BUSUNJU'!H24),0)</f>
        <v>0</v>
      </c>
      <c r="I72" s="50">
        <f>ROUND(0.65*AVERAGE('11.08 KAMPALA-BUSUNJU'!I24,'12.08 KAMPALA-BUSUNJU'!I24,'13.08 KAMPALA-BUSUNJU'!I24,'14.08 KAMPALA-BUSUNJU'!I24,'15.08 KAMPALA-BUSUNJU'!I24),0)</f>
        <v>1</v>
      </c>
      <c r="J72" s="50">
        <f>ROUND(0.65*AVERAGE('11.08 KAMPALA-BUSUNJU'!J24,'12.08 KAMPALA-BUSUNJU'!J24,'13.08 KAMPALA-BUSUNJU'!J24,'14.08 KAMPALA-BUSUNJU'!J24,'15.08 KAMPALA-BUSUNJU'!J24),0)</f>
        <v>0</v>
      </c>
      <c r="K72" s="50">
        <f>ROUND(0.65*AVERAGE('11.08 KAMPALA-BUSUNJU'!K24,'12.08 KAMPALA-BUSUNJU'!K24,'13.08 KAMPALA-BUSUNJU'!K24,'14.08 KAMPALA-BUSUNJU'!K24,'15.08 KAMPALA-BUSUNJU'!K24),0)</f>
        <v>0</v>
      </c>
      <c r="L72" s="50">
        <f>ROUND(0.65*AVERAGE('11.08 KAMPALA-BUSUNJU'!L24,'12.08 KAMPALA-BUSUNJU'!L24,'13.08 KAMPALA-BUSUNJU'!L24,'14.08 KAMPALA-BUSUNJU'!L24,'15.08 KAMPALA-BUSUNJU'!L24),0)</f>
        <v>0</v>
      </c>
      <c r="M72" s="50">
        <f>ROUND(0.65*AVERAGE('11.08 KAMPALA-BUSUNJU'!M24,'12.08 KAMPALA-BUSUNJU'!M24,'13.08 KAMPALA-BUSUNJU'!M24,'14.08 KAMPALA-BUSUNJU'!M24,'15.08 KAMPALA-BUSUNJU'!M24),0)</f>
        <v>9</v>
      </c>
      <c r="N72" s="50">
        <f>ROUND(0.65*AVERAGE('11.08 KAMPALA-BUSUNJU'!N24,'12.08 KAMPALA-BUSUNJU'!N24,'13.08 KAMPALA-BUSUNJU'!N24,'14.08 KAMPALA-BUSUNJU'!N24,'15.08 KAMPALA-BUSUNJU'!N24),0)</f>
        <v>0</v>
      </c>
      <c r="O72" s="15">
        <f t="shared" si="0"/>
        <v>1</v>
      </c>
      <c r="P72" s="15">
        <f t="shared" si="1"/>
        <v>10</v>
      </c>
      <c r="R72" s="8"/>
      <c r="T72"/>
    </row>
    <row r="73" spans="2:20" ht="23.1" customHeight="1" x14ac:dyDescent="0.25">
      <c r="B73" s="45" t="s">
        <v>113</v>
      </c>
      <c r="C73" s="50">
        <f>ROUND(0.65*AVERAGE('11.08 KAMPALA-BUSUNJU'!C25,'12.08 KAMPALA-BUSUNJU'!C25,'13.08 KAMPALA-BUSUNJU'!C25,'14.08 KAMPALA-BUSUNJU'!C25,'15.08 KAMPALA-BUSUNJU'!C25),0)</f>
        <v>0</v>
      </c>
      <c r="D73" s="50">
        <f>ROUND(0.65*AVERAGE('11.08 KAMPALA-BUSUNJU'!D25,'12.08 KAMPALA-BUSUNJU'!D25,'13.08 KAMPALA-BUSUNJU'!D25,'14.08 KAMPALA-BUSUNJU'!D25,'15.08 KAMPALA-BUSUNJU'!D25),0)</f>
        <v>0</v>
      </c>
      <c r="E73" s="50">
        <f>ROUND(0.65*AVERAGE('11.08 KAMPALA-BUSUNJU'!E25,'12.08 KAMPALA-BUSUNJU'!E25,'13.08 KAMPALA-BUSUNJU'!E25,'14.08 KAMPALA-BUSUNJU'!E25,'15.08 KAMPALA-BUSUNJU'!E25),0)</f>
        <v>1</v>
      </c>
      <c r="F73" s="50">
        <f>ROUND(0.65*AVERAGE('11.08 KAMPALA-BUSUNJU'!F25,'12.08 KAMPALA-BUSUNJU'!F25,'13.08 KAMPALA-BUSUNJU'!F25,'14.08 KAMPALA-BUSUNJU'!F25,'15.08 KAMPALA-BUSUNJU'!F25),0)</f>
        <v>0</v>
      </c>
      <c r="G73" s="50">
        <f>ROUND(0.65*AVERAGE('11.08 KAMPALA-BUSUNJU'!G25,'12.08 KAMPALA-BUSUNJU'!G25,'13.08 KAMPALA-BUSUNJU'!G25,'14.08 KAMPALA-BUSUNJU'!G25,'15.08 KAMPALA-BUSUNJU'!G25),0)</f>
        <v>0</v>
      </c>
      <c r="H73" s="50">
        <f>ROUND(0.65*AVERAGE('11.08 KAMPALA-BUSUNJU'!H25,'12.08 KAMPALA-BUSUNJU'!H25,'13.08 KAMPALA-BUSUNJU'!H25,'14.08 KAMPALA-BUSUNJU'!H25,'15.08 KAMPALA-BUSUNJU'!H25),0)</f>
        <v>0</v>
      </c>
      <c r="I73" s="50">
        <f>ROUND(0.65*AVERAGE('11.08 KAMPALA-BUSUNJU'!I25,'12.08 KAMPALA-BUSUNJU'!I25,'13.08 KAMPALA-BUSUNJU'!I25,'14.08 KAMPALA-BUSUNJU'!I25,'15.08 KAMPALA-BUSUNJU'!I25),0)</f>
        <v>1</v>
      </c>
      <c r="J73" s="50">
        <f>ROUND(0.65*AVERAGE('11.08 KAMPALA-BUSUNJU'!J25,'12.08 KAMPALA-BUSUNJU'!J25,'13.08 KAMPALA-BUSUNJU'!J25,'14.08 KAMPALA-BUSUNJU'!J25,'15.08 KAMPALA-BUSUNJU'!J25),0)</f>
        <v>0</v>
      </c>
      <c r="K73" s="50">
        <f>ROUND(0.65*AVERAGE('11.08 KAMPALA-BUSUNJU'!K25,'12.08 KAMPALA-BUSUNJU'!K25,'13.08 KAMPALA-BUSUNJU'!K25,'14.08 KAMPALA-BUSUNJU'!K25,'15.08 KAMPALA-BUSUNJU'!K25),0)</f>
        <v>0</v>
      </c>
      <c r="L73" s="50">
        <f>ROUND(0.65*AVERAGE('11.08 KAMPALA-BUSUNJU'!L25,'12.08 KAMPALA-BUSUNJU'!L25,'13.08 KAMPALA-BUSUNJU'!L25,'14.08 KAMPALA-BUSUNJU'!L25,'15.08 KAMPALA-BUSUNJU'!L25),0)</f>
        <v>0</v>
      </c>
      <c r="M73" s="50">
        <f>ROUND(0.65*AVERAGE('11.08 KAMPALA-BUSUNJU'!M25,'12.08 KAMPALA-BUSUNJU'!M25,'13.08 KAMPALA-BUSUNJU'!M25,'14.08 KAMPALA-BUSUNJU'!M25,'15.08 KAMPALA-BUSUNJU'!M25),0)</f>
        <v>9</v>
      </c>
      <c r="N73" s="50">
        <f>ROUND(0.65*AVERAGE('11.08 KAMPALA-BUSUNJU'!N25,'12.08 KAMPALA-BUSUNJU'!N25,'13.08 KAMPALA-BUSUNJU'!N25,'14.08 KAMPALA-BUSUNJU'!N25,'15.08 KAMPALA-BUSUNJU'!N25),0)</f>
        <v>0</v>
      </c>
      <c r="O73" s="15">
        <f t="shared" si="0"/>
        <v>2</v>
      </c>
      <c r="P73" s="15">
        <f t="shared" si="1"/>
        <v>11</v>
      </c>
      <c r="R73" s="8"/>
      <c r="T73"/>
    </row>
    <row r="74" spans="2:20" ht="23.1" customHeight="1" x14ac:dyDescent="0.25">
      <c r="B74" s="45" t="s">
        <v>114</v>
      </c>
      <c r="C74" s="50">
        <f>ROUND(0.65*AVERAGE('11.08 KAMPALA-BUSUNJU'!C26,'12.08 KAMPALA-BUSUNJU'!C26,'13.08 KAMPALA-BUSUNJU'!C26,'14.08 KAMPALA-BUSUNJU'!C26,'15.08 KAMPALA-BUSUNJU'!C26),0)</f>
        <v>1</v>
      </c>
      <c r="D74" s="50">
        <f>ROUND(0.65*AVERAGE('11.08 KAMPALA-BUSUNJU'!D26,'12.08 KAMPALA-BUSUNJU'!D26,'13.08 KAMPALA-BUSUNJU'!D26,'14.08 KAMPALA-BUSUNJU'!D26,'15.08 KAMPALA-BUSUNJU'!D26),0)</f>
        <v>0</v>
      </c>
      <c r="E74" s="50">
        <f>ROUND(0.65*AVERAGE('11.08 KAMPALA-BUSUNJU'!E26,'12.08 KAMPALA-BUSUNJU'!E26,'13.08 KAMPALA-BUSUNJU'!E26,'14.08 KAMPALA-BUSUNJU'!E26,'15.08 KAMPALA-BUSUNJU'!E26),0)</f>
        <v>1</v>
      </c>
      <c r="F74" s="50">
        <f>ROUND(0.65*AVERAGE('11.08 KAMPALA-BUSUNJU'!F26,'12.08 KAMPALA-BUSUNJU'!F26,'13.08 KAMPALA-BUSUNJU'!F26,'14.08 KAMPALA-BUSUNJU'!F26,'15.08 KAMPALA-BUSUNJU'!F26),0)</f>
        <v>0</v>
      </c>
      <c r="G74" s="50">
        <f>ROUND(0.65*AVERAGE('11.08 KAMPALA-BUSUNJU'!G26,'12.08 KAMPALA-BUSUNJU'!G26,'13.08 KAMPALA-BUSUNJU'!G26,'14.08 KAMPALA-BUSUNJU'!G26,'15.08 KAMPALA-BUSUNJU'!G26),0)</f>
        <v>0</v>
      </c>
      <c r="H74" s="50">
        <f>ROUND(0.65*AVERAGE('11.08 KAMPALA-BUSUNJU'!H26,'12.08 KAMPALA-BUSUNJU'!H26,'13.08 KAMPALA-BUSUNJU'!H26,'14.08 KAMPALA-BUSUNJU'!H26,'15.08 KAMPALA-BUSUNJU'!H26),0)</f>
        <v>0</v>
      </c>
      <c r="I74" s="50">
        <f>ROUND(0.65*AVERAGE('11.08 KAMPALA-BUSUNJU'!I26,'12.08 KAMPALA-BUSUNJU'!I26,'13.08 KAMPALA-BUSUNJU'!I26,'14.08 KAMPALA-BUSUNJU'!I26,'15.08 KAMPALA-BUSUNJU'!I26),0)</f>
        <v>1</v>
      </c>
      <c r="J74" s="50">
        <f>ROUND(0.65*AVERAGE('11.08 KAMPALA-BUSUNJU'!J26,'12.08 KAMPALA-BUSUNJU'!J26,'13.08 KAMPALA-BUSUNJU'!J26,'14.08 KAMPALA-BUSUNJU'!J26,'15.08 KAMPALA-BUSUNJU'!J26),0)</f>
        <v>0</v>
      </c>
      <c r="K74" s="50">
        <f>ROUND(0.65*AVERAGE('11.08 KAMPALA-BUSUNJU'!K26,'12.08 KAMPALA-BUSUNJU'!K26,'13.08 KAMPALA-BUSUNJU'!K26,'14.08 KAMPALA-BUSUNJU'!K26,'15.08 KAMPALA-BUSUNJU'!K26),0)</f>
        <v>0</v>
      </c>
      <c r="L74" s="50">
        <f>ROUND(0.65*AVERAGE('11.08 KAMPALA-BUSUNJU'!L26,'12.08 KAMPALA-BUSUNJU'!L26,'13.08 KAMPALA-BUSUNJU'!L26,'14.08 KAMPALA-BUSUNJU'!L26,'15.08 KAMPALA-BUSUNJU'!L26),0)</f>
        <v>0</v>
      </c>
      <c r="M74" s="50">
        <f>ROUND(0.65*AVERAGE('11.08 KAMPALA-BUSUNJU'!M26,'12.08 KAMPALA-BUSUNJU'!M26,'13.08 KAMPALA-BUSUNJU'!M26,'14.08 KAMPALA-BUSUNJU'!M26,'15.08 KAMPALA-BUSUNJU'!M26),0)</f>
        <v>9</v>
      </c>
      <c r="N74" s="50">
        <f>ROUND(0.65*AVERAGE('11.08 KAMPALA-BUSUNJU'!N26,'12.08 KAMPALA-BUSUNJU'!N26,'13.08 KAMPALA-BUSUNJU'!N26,'14.08 KAMPALA-BUSUNJU'!N26,'15.08 KAMPALA-BUSUNJU'!N26),0)</f>
        <v>0</v>
      </c>
      <c r="O74" s="15">
        <f t="shared" ref="O74:O105" si="35">SUM(C74:L74,N74)</f>
        <v>3</v>
      </c>
      <c r="P74" s="15">
        <f t="shared" ref="P74:P105" si="36">SUM(C74:N74)</f>
        <v>12</v>
      </c>
      <c r="R74" s="8"/>
      <c r="T74"/>
    </row>
    <row r="75" spans="2:20" ht="23.1" customHeight="1" x14ac:dyDescent="0.25">
      <c r="B75" s="45" t="s">
        <v>115</v>
      </c>
      <c r="C75" s="50">
        <f>ROUND(0.65*AVERAGE('11.08 KAMPALA-BUSUNJU'!C27,'12.08 KAMPALA-BUSUNJU'!C27,'13.08 KAMPALA-BUSUNJU'!C27,'14.08 KAMPALA-BUSUNJU'!C27,'15.08 KAMPALA-BUSUNJU'!C27),0)</f>
        <v>2</v>
      </c>
      <c r="D75" s="50">
        <f>ROUND(0.65*AVERAGE('11.08 KAMPALA-BUSUNJU'!D27,'12.08 KAMPALA-BUSUNJU'!D27,'13.08 KAMPALA-BUSUNJU'!D27,'14.08 KAMPALA-BUSUNJU'!D27,'15.08 KAMPALA-BUSUNJU'!D27),0)</f>
        <v>0</v>
      </c>
      <c r="E75" s="50">
        <f>ROUND(0.65*AVERAGE('11.08 KAMPALA-BUSUNJU'!E27,'12.08 KAMPALA-BUSUNJU'!E27,'13.08 KAMPALA-BUSUNJU'!E27,'14.08 KAMPALA-BUSUNJU'!E27,'15.08 KAMPALA-BUSUNJU'!E27),0)</f>
        <v>1</v>
      </c>
      <c r="F75" s="50">
        <f>ROUND(0.65*AVERAGE('11.08 KAMPALA-BUSUNJU'!F27,'12.08 KAMPALA-BUSUNJU'!F27,'13.08 KAMPALA-BUSUNJU'!F27,'14.08 KAMPALA-BUSUNJU'!F27,'15.08 KAMPALA-BUSUNJU'!F27),0)</f>
        <v>0</v>
      </c>
      <c r="G75" s="50">
        <f>ROUND(0.65*AVERAGE('11.08 KAMPALA-BUSUNJU'!G27,'12.08 KAMPALA-BUSUNJU'!G27,'13.08 KAMPALA-BUSUNJU'!G27,'14.08 KAMPALA-BUSUNJU'!G27,'15.08 KAMPALA-BUSUNJU'!G27),0)</f>
        <v>0</v>
      </c>
      <c r="H75" s="50">
        <f>ROUND(0.65*AVERAGE('11.08 KAMPALA-BUSUNJU'!H27,'12.08 KAMPALA-BUSUNJU'!H27,'13.08 KAMPALA-BUSUNJU'!H27,'14.08 KAMPALA-BUSUNJU'!H27,'15.08 KAMPALA-BUSUNJU'!H27),0)</f>
        <v>0</v>
      </c>
      <c r="I75" s="50">
        <f>ROUND(0.65*AVERAGE('11.08 KAMPALA-BUSUNJU'!I27,'12.08 KAMPALA-BUSUNJU'!I27,'13.08 KAMPALA-BUSUNJU'!I27,'14.08 KAMPALA-BUSUNJU'!I27,'15.08 KAMPALA-BUSUNJU'!I27),0)</f>
        <v>0</v>
      </c>
      <c r="J75" s="50">
        <f>ROUND(0.65*AVERAGE('11.08 KAMPALA-BUSUNJU'!J27,'12.08 KAMPALA-BUSUNJU'!J27,'13.08 KAMPALA-BUSUNJU'!J27,'14.08 KAMPALA-BUSUNJU'!J27,'15.08 KAMPALA-BUSUNJU'!J27),0)</f>
        <v>0</v>
      </c>
      <c r="K75" s="50">
        <f>ROUND(0.65*AVERAGE('11.08 KAMPALA-BUSUNJU'!K27,'12.08 KAMPALA-BUSUNJU'!K27,'13.08 KAMPALA-BUSUNJU'!K27,'14.08 KAMPALA-BUSUNJU'!K27,'15.08 KAMPALA-BUSUNJU'!K27),0)</f>
        <v>0</v>
      </c>
      <c r="L75" s="50">
        <f>ROUND(0.65*AVERAGE('11.08 KAMPALA-BUSUNJU'!L27,'12.08 KAMPALA-BUSUNJU'!L27,'13.08 KAMPALA-BUSUNJU'!L27,'14.08 KAMPALA-BUSUNJU'!L27,'15.08 KAMPALA-BUSUNJU'!L27),0)</f>
        <v>0</v>
      </c>
      <c r="M75" s="50">
        <f>ROUND(0.65*AVERAGE('11.08 KAMPALA-BUSUNJU'!M27,'12.08 KAMPALA-BUSUNJU'!M27,'13.08 KAMPALA-BUSUNJU'!M27,'14.08 KAMPALA-BUSUNJU'!M27,'15.08 KAMPALA-BUSUNJU'!M27),0)</f>
        <v>9</v>
      </c>
      <c r="N75" s="50">
        <f>ROUND(0.65*AVERAGE('11.08 KAMPALA-BUSUNJU'!N27,'12.08 KAMPALA-BUSUNJU'!N27,'13.08 KAMPALA-BUSUNJU'!N27,'14.08 KAMPALA-BUSUNJU'!N27,'15.08 KAMPALA-BUSUNJU'!N27),0)</f>
        <v>0</v>
      </c>
      <c r="O75" s="15">
        <f t="shared" si="35"/>
        <v>3</v>
      </c>
      <c r="P75" s="15">
        <f t="shared" si="36"/>
        <v>12</v>
      </c>
      <c r="R75" s="8"/>
      <c r="T75"/>
    </row>
    <row r="76" spans="2:20" ht="23.1" customHeight="1" x14ac:dyDescent="0.25">
      <c r="B76" s="45" t="s">
        <v>116</v>
      </c>
      <c r="C76" s="50">
        <f>ROUND(0.65*AVERAGE('11.08 KAMPALA-BUSUNJU'!C28,'12.08 KAMPALA-BUSUNJU'!C28,'13.08 KAMPALA-BUSUNJU'!C28,'14.08 KAMPALA-BUSUNJU'!C28,'15.08 KAMPALA-BUSUNJU'!C28),0)</f>
        <v>1</v>
      </c>
      <c r="D76" s="50">
        <f>ROUND(0.65*AVERAGE('11.08 KAMPALA-BUSUNJU'!D28,'12.08 KAMPALA-BUSUNJU'!D28,'13.08 KAMPALA-BUSUNJU'!D28,'14.08 KAMPALA-BUSUNJU'!D28,'15.08 KAMPALA-BUSUNJU'!D28),0)</f>
        <v>0</v>
      </c>
      <c r="E76" s="50">
        <f>ROUND(0.65*AVERAGE('11.08 KAMPALA-BUSUNJU'!E28,'12.08 KAMPALA-BUSUNJU'!E28,'13.08 KAMPALA-BUSUNJU'!E28,'14.08 KAMPALA-BUSUNJU'!E28,'15.08 KAMPALA-BUSUNJU'!E28),0)</f>
        <v>1</v>
      </c>
      <c r="F76" s="50">
        <f>ROUND(0.65*AVERAGE('11.08 KAMPALA-BUSUNJU'!F28,'12.08 KAMPALA-BUSUNJU'!F28,'13.08 KAMPALA-BUSUNJU'!F28,'14.08 KAMPALA-BUSUNJU'!F28,'15.08 KAMPALA-BUSUNJU'!F28),0)</f>
        <v>0</v>
      </c>
      <c r="G76" s="50">
        <f>ROUND(0.65*AVERAGE('11.08 KAMPALA-BUSUNJU'!G28,'12.08 KAMPALA-BUSUNJU'!G28,'13.08 KAMPALA-BUSUNJU'!G28,'14.08 KAMPALA-BUSUNJU'!G28,'15.08 KAMPALA-BUSUNJU'!G28),0)</f>
        <v>0</v>
      </c>
      <c r="H76" s="50">
        <f>ROUND(0.65*AVERAGE('11.08 KAMPALA-BUSUNJU'!H28,'12.08 KAMPALA-BUSUNJU'!H28,'13.08 KAMPALA-BUSUNJU'!H28,'14.08 KAMPALA-BUSUNJU'!H28,'15.08 KAMPALA-BUSUNJU'!H28),0)</f>
        <v>0</v>
      </c>
      <c r="I76" s="50">
        <f>ROUND(0.65*AVERAGE('11.08 KAMPALA-BUSUNJU'!I28,'12.08 KAMPALA-BUSUNJU'!I28,'13.08 KAMPALA-BUSUNJU'!I28,'14.08 KAMPALA-BUSUNJU'!I28,'15.08 KAMPALA-BUSUNJU'!I28),0)</f>
        <v>1</v>
      </c>
      <c r="J76" s="50">
        <f>ROUND(0.65*AVERAGE('11.08 KAMPALA-BUSUNJU'!J28,'12.08 KAMPALA-BUSUNJU'!J28,'13.08 KAMPALA-BUSUNJU'!J28,'14.08 KAMPALA-BUSUNJU'!J28,'15.08 KAMPALA-BUSUNJU'!J28),0)</f>
        <v>0</v>
      </c>
      <c r="K76" s="50">
        <f>ROUND(0.65*AVERAGE('11.08 KAMPALA-BUSUNJU'!K28,'12.08 KAMPALA-BUSUNJU'!K28,'13.08 KAMPALA-BUSUNJU'!K28,'14.08 KAMPALA-BUSUNJU'!K28,'15.08 KAMPALA-BUSUNJU'!K28),0)</f>
        <v>0</v>
      </c>
      <c r="L76" s="50">
        <f>ROUND(0.65*AVERAGE('11.08 KAMPALA-BUSUNJU'!L28,'12.08 KAMPALA-BUSUNJU'!L28,'13.08 KAMPALA-BUSUNJU'!L28,'14.08 KAMPALA-BUSUNJU'!L28,'15.08 KAMPALA-BUSUNJU'!L28),0)</f>
        <v>0</v>
      </c>
      <c r="M76" s="50">
        <f>ROUND(0.65*AVERAGE('11.08 KAMPALA-BUSUNJU'!M28,'12.08 KAMPALA-BUSUNJU'!M28,'13.08 KAMPALA-BUSUNJU'!M28,'14.08 KAMPALA-BUSUNJU'!M28,'15.08 KAMPALA-BUSUNJU'!M28),0)</f>
        <v>10</v>
      </c>
      <c r="N76" s="50">
        <f>ROUND(0.65*AVERAGE('11.08 KAMPALA-BUSUNJU'!N28,'12.08 KAMPALA-BUSUNJU'!N28,'13.08 KAMPALA-BUSUNJU'!N28,'14.08 KAMPALA-BUSUNJU'!N28,'15.08 KAMPALA-BUSUNJU'!N28),0)</f>
        <v>0</v>
      </c>
      <c r="O76" s="15">
        <f t="shared" si="35"/>
        <v>3</v>
      </c>
      <c r="P76" s="15">
        <f t="shared" si="36"/>
        <v>13</v>
      </c>
      <c r="R76" s="8"/>
      <c r="T76"/>
    </row>
    <row r="77" spans="2:20" ht="23.1" customHeight="1" x14ac:dyDescent="0.25">
      <c r="B77" s="45" t="s">
        <v>117</v>
      </c>
      <c r="C77" s="50">
        <f>ROUND(0.65*AVERAGE('11.08 KAMPALA-BUSUNJU'!C29,'12.08 KAMPALA-BUSUNJU'!C29,'13.08 KAMPALA-BUSUNJU'!C29,'14.08 KAMPALA-BUSUNJU'!C29,'15.08 KAMPALA-BUSUNJU'!C29),0)</f>
        <v>1</v>
      </c>
      <c r="D77" s="50">
        <f>ROUND(0.65*AVERAGE('11.08 KAMPALA-BUSUNJU'!D29,'12.08 KAMPALA-BUSUNJU'!D29,'13.08 KAMPALA-BUSUNJU'!D29,'14.08 KAMPALA-BUSUNJU'!D29,'15.08 KAMPALA-BUSUNJU'!D29),0)</f>
        <v>0</v>
      </c>
      <c r="E77" s="50">
        <f>ROUND(0.65*AVERAGE('11.08 KAMPALA-BUSUNJU'!E29,'12.08 KAMPALA-BUSUNJU'!E29,'13.08 KAMPALA-BUSUNJU'!E29,'14.08 KAMPALA-BUSUNJU'!E29,'15.08 KAMPALA-BUSUNJU'!E29),0)</f>
        <v>1</v>
      </c>
      <c r="F77" s="50">
        <f>ROUND(0.65*AVERAGE('11.08 KAMPALA-BUSUNJU'!F29,'12.08 KAMPALA-BUSUNJU'!F29,'13.08 KAMPALA-BUSUNJU'!F29,'14.08 KAMPALA-BUSUNJU'!F29,'15.08 KAMPALA-BUSUNJU'!F29),0)</f>
        <v>0</v>
      </c>
      <c r="G77" s="50">
        <f>ROUND(0.65*AVERAGE('11.08 KAMPALA-BUSUNJU'!G29,'12.08 KAMPALA-BUSUNJU'!G29,'13.08 KAMPALA-BUSUNJU'!G29,'14.08 KAMPALA-BUSUNJU'!G29,'15.08 KAMPALA-BUSUNJU'!G29),0)</f>
        <v>0</v>
      </c>
      <c r="H77" s="50">
        <f>ROUND(0.65*AVERAGE('11.08 KAMPALA-BUSUNJU'!H29,'12.08 KAMPALA-BUSUNJU'!H29,'13.08 KAMPALA-BUSUNJU'!H29,'14.08 KAMPALA-BUSUNJU'!H29,'15.08 KAMPALA-BUSUNJU'!H29),0)</f>
        <v>0</v>
      </c>
      <c r="I77" s="50">
        <f>ROUND(0.65*AVERAGE('11.08 KAMPALA-BUSUNJU'!I29,'12.08 KAMPALA-BUSUNJU'!I29,'13.08 KAMPALA-BUSUNJU'!I29,'14.08 KAMPALA-BUSUNJU'!I29,'15.08 KAMPALA-BUSUNJU'!I29),0)</f>
        <v>1</v>
      </c>
      <c r="J77" s="50">
        <f>ROUND(0.65*AVERAGE('11.08 KAMPALA-BUSUNJU'!J29,'12.08 KAMPALA-BUSUNJU'!J29,'13.08 KAMPALA-BUSUNJU'!J29,'14.08 KAMPALA-BUSUNJU'!J29,'15.08 KAMPALA-BUSUNJU'!J29),0)</f>
        <v>0</v>
      </c>
      <c r="K77" s="50">
        <f>ROUND(0.65*AVERAGE('11.08 KAMPALA-BUSUNJU'!K29,'12.08 KAMPALA-BUSUNJU'!K29,'13.08 KAMPALA-BUSUNJU'!K29,'14.08 KAMPALA-BUSUNJU'!K29,'15.08 KAMPALA-BUSUNJU'!K29),0)</f>
        <v>0</v>
      </c>
      <c r="L77" s="50">
        <f>ROUND(0.65*AVERAGE('11.08 KAMPALA-BUSUNJU'!L29,'12.08 KAMPALA-BUSUNJU'!L29,'13.08 KAMPALA-BUSUNJU'!L29,'14.08 KAMPALA-BUSUNJU'!L29,'15.08 KAMPALA-BUSUNJU'!L29),0)</f>
        <v>0</v>
      </c>
      <c r="M77" s="50">
        <f>ROUND(0.65*AVERAGE('11.08 KAMPALA-BUSUNJU'!M29,'12.08 KAMPALA-BUSUNJU'!M29,'13.08 KAMPALA-BUSUNJU'!M29,'14.08 KAMPALA-BUSUNJU'!M29,'15.08 KAMPALA-BUSUNJU'!M29),0)</f>
        <v>8</v>
      </c>
      <c r="N77" s="50">
        <f>ROUND(0.65*AVERAGE('11.08 KAMPALA-BUSUNJU'!N29,'12.08 KAMPALA-BUSUNJU'!N29,'13.08 KAMPALA-BUSUNJU'!N29,'14.08 KAMPALA-BUSUNJU'!N29,'15.08 KAMPALA-BUSUNJU'!N29),0)</f>
        <v>0</v>
      </c>
      <c r="O77" s="15">
        <f t="shared" si="35"/>
        <v>3</v>
      </c>
      <c r="P77" s="15">
        <f t="shared" si="36"/>
        <v>11</v>
      </c>
      <c r="R77" s="8"/>
      <c r="T77"/>
    </row>
    <row r="78" spans="2:20" ht="23.1" customHeight="1" x14ac:dyDescent="0.25">
      <c r="B78" s="46" t="s">
        <v>118</v>
      </c>
      <c r="C78" s="50">
        <f>ROUND(0.65*AVERAGE('11.08 KAMPALA-BUSUNJU'!C30,'12.08 KAMPALA-BUSUNJU'!C30,'13.08 KAMPALA-BUSUNJU'!C30,'14.08 KAMPALA-BUSUNJU'!C30,'15.08 KAMPALA-BUSUNJU'!C30),0)</f>
        <v>1</v>
      </c>
      <c r="D78" s="50">
        <f>ROUND(0.65*AVERAGE('11.08 KAMPALA-BUSUNJU'!D30,'12.08 KAMPALA-BUSUNJU'!D30,'13.08 KAMPALA-BUSUNJU'!D30,'14.08 KAMPALA-BUSUNJU'!D30,'15.08 KAMPALA-BUSUNJU'!D30),0)</f>
        <v>0</v>
      </c>
      <c r="E78" s="50">
        <f>ROUND(0.65*AVERAGE('11.08 KAMPALA-BUSUNJU'!E30,'12.08 KAMPALA-BUSUNJU'!E30,'13.08 KAMPALA-BUSUNJU'!E30,'14.08 KAMPALA-BUSUNJU'!E30,'15.08 KAMPALA-BUSUNJU'!E30),0)</f>
        <v>0</v>
      </c>
      <c r="F78" s="50">
        <f>ROUND(0.65*AVERAGE('11.08 KAMPALA-BUSUNJU'!F30,'12.08 KAMPALA-BUSUNJU'!F30,'13.08 KAMPALA-BUSUNJU'!F30,'14.08 KAMPALA-BUSUNJU'!F30,'15.08 KAMPALA-BUSUNJU'!F30),0)</f>
        <v>0</v>
      </c>
      <c r="G78" s="50">
        <f>ROUND(0.65*AVERAGE('11.08 KAMPALA-BUSUNJU'!G30,'12.08 KAMPALA-BUSUNJU'!G30,'13.08 KAMPALA-BUSUNJU'!G30,'14.08 KAMPALA-BUSUNJU'!G30,'15.08 KAMPALA-BUSUNJU'!G30),0)</f>
        <v>0</v>
      </c>
      <c r="H78" s="50">
        <f>ROUND(0.65*AVERAGE('11.08 KAMPALA-BUSUNJU'!H30,'12.08 KAMPALA-BUSUNJU'!H30,'13.08 KAMPALA-BUSUNJU'!H30,'14.08 KAMPALA-BUSUNJU'!H30,'15.08 KAMPALA-BUSUNJU'!H30),0)</f>
        <v>0</v>
      </c>
      <c r="I78" s="50">
        <f>ROUND(0.65*AVERAGE('11.08 KAMPALA-BUSUNJU'!I30,'12.08 KAMPALA-BUSUNJU'!I30,'13.08 KAMPALA-BUSUNJU'!I30,'14.08 KAMPALA-BUSUNJU'!I30,'15.08 KAMPALA-BUSUNJU'!I30),0)</f>
        <v>1</v>
      </c>
      <c r="J78" s="50">
        <f>ROUND(0.65*AVERAGE('11.08 KAMPALA-BUSUNJU'!J30,'12.08 KAMPALA-BUSUNJU'!J30,'13.08 KAMPALA-BUSUNJU'!J30,'14.08 KAMPALA-BUSUNJU'!J30,'15.08 KAMPALA-BUSUNJU'!J30),0)</f>
        <v>0</v>
      </c>
      <c r="K78" s="50">
        <f>ROUND(0.65*AVERAGE('11.08 KAMPALA-BUSUNJU'!K30,'12.08 KAMPALA-BUSUNJU'!K30,'13.08 KAMPALA-BUSUNJU'!K30,'14.08 KAMPALA-BUSUNJU'!K30,'15.08 KAMPALA-BUSUNJU'!K30),0)</f>
        <v>0</v>
      </c>
      <c r="L78" s="50">
        <f>ROUND(0.65*AVERAGE('11.08 KAMPALA-BUSUNJU'!L30,'12.08 KAMPALA-BUSUNJU'!L30,'13.08 KAMPALA-BUSUNJU'!L30,'14.08 KAMPALA-BUSUNJU'!L30,'15.08 KAMPALA-BUSUNJU'!L30),0)</f>
        <v>0</v>
      </c>
      <c r="M78" s="50">
        <f>ROUND(0.65*AVERAGE('11.08 KAMPALA-BUSUNJU'!M30,'12.08 KAMPALA-BUSUNJU'!M30,'13.08 KAMPALA-BUSUNJU'!M30,'14.08 KAMPALA-BUSUNJU'!M30,'15.08 KAMPALA-BUSUNJU'!M30),0)</f>
        <v>9</v>
      </c>
      <c r="N78" s="50">
        <f>ROUND(0.65*AVERAGE('11.08 KAMPALA-BUSUNJU'!N30,'12.08 KAMPALA-BUSUNJU'!N30,'13.08 KAMPALA-BUSUNJU'!N30,'14.08 KAMPALA-BUSUNJU'!N30,'15.08 KAMPALA-BUSUNJU'!N30),0)</f>
        <v>0</v>
      </c>
      <c r="O78" s="15">
        <f t="shared" si="35"/>
        <v>2</v>
      </c>
      <c r="P78" s="15">
        <f t="shared" si="36"/>
        <v>11</v>
      </c>
      <c r="R78" s="8"/>
      <c r="T78"/>
    </row>
    <row r="79" spans="2:20" ht="23.1" customHeight="1" x14ac:dyDescent="0.25">
      <c r="B79" s="45" t="s">
        <v>119</v>
      </c>
      <c r="C79" s="50">
        <f>ROUND(0.4*AVERAGE('11.08 KAMPALA-BUSUNJU'!C31,'12.08 KAMPALA-BUSUNJU'!C31,'13.08 KAMPALA-BUSUNJU'!C31,'14.08 KAMPALA-BUSUNJU'!C31,'15.08 KAMPALA-BUSUNJU'!C31),0)</f>
        <v>0</v>
      </c>
      <c r="D79" s="50">
        <f>ROUND(0.4*AVERAGE('11.08 KAMPALA-BUSUNJU'!D31,'12.08 KAMPALA-BUSUNJU'!D31,'13.08 KAMPALA-BUSUNJU'!D31,'14.08 KAMPALA-BUSUNJU'!D31,'15.08 KAMPALA-BUSUNJU'!D31),0)</f>
        <v>0</v>
      </c>
      <c r="E79" s="50">
        <f>ROUND(0.4*AVERAGE('11.08 KAMPALA-BUSUNJU'!E31,'12.08 KAMPALA-BUSUNJU'!E31,'13.08 KAMPALA-BUSUNJU'!E31,'14.08 KAMPALA-BUSUNJU'!E31,'15.08 KAMPALA-BUSUNJU'!E31),0)</f>
        <v>1</v>
      </c>
      <c r="F79" s="50">
        <f>ROUND(0.4*AVERAGE('11.08 KAMPALA-BUSUNJU'!F31,'12.08 KAMPALA-BUSUNJU'!F31,'13.08 KAMPALA-BUSUNJU'!F31,'14.08 KAMPALA-BUSUNJU'!F31,'15.08 KAMPALA-BUSUNJU'!F31),0)</f>
        <v>0</v>
      </c>
      <c r="G79" s="50">
        <f>ROUND(0.4*AVERAGE('11.08 KAMPALA-BUSUNJU'!G31,'12.08 KAMPALA-BUSUNJU'!G31,'13.08 KAMPALA-BUSUNJU'!G31,'14.08 KAMPALA-BUSUNJU'!G31,'15.08 KAMPALA-BUSUNJU'!G31),0)</f>
        <v>0</v>
      </c>
      <c r="H79" s="50">
        <f>ROUND(0.4*AVERAGE('11.08 KAMPALA-BUSUNJU'!H31,'12.08 KAMPALA-BUSUNJU'!H31,'13.08 KAMPALA-BUSUNJU'!H31,'14.08 KAMPALA-BUSUNJU'!H31,'15.08 KAMPALA-BUSUNJU'!H31),0)</f>
        <v>0</v>
      </c>
      <c r="I79" s="50">
        <f>ROUND(0.4*AVERAGE('11.08 KAMPALA-BUSUNJU'!I31,'12.08 KAMPALA-BUSUNJU'!I31,'13.08 KAMPALA-BUSUNJU'!I31,'14.08 KAMPALA-BUSUNJU'!I31,'15.08 KAMPALA-BUSUNJU'!I31),0)</f>
        <v>1</v>
      </c>
      <c r="J79" s="50">
        <f>ROUND(0.4*AVERAGE('11.08 KAMPALA-BUSUNJU'!J31,'12.08 KAMPALA-BUSUNJU'!J31,'13.08 KAMPALA-BUSUNJU'!J31,'14.08 KAMPALA-BUSUNJU'!J31,'15.08 KAMPALA-BUSUNJU'!J31),0)</f>
        <v>0</v>
      </c>
      <c r="K79" s="50">
        <f>ROUND(0.4*AVERAGE('11.08 KAMPALA-BUSUNJU'!K31,'12.08 KAMPALA-BUSUNJU'!K31,'13.08 KAMPALA-BUSUNJU'!K31,'14.08 KAMPALA-BUSUNJU'!K31,'15.08 KAMPALA-BUSUNJU'!K31),0)</f>
        <v>0</v>
      </c>
      <c r="L79" s="50">
        <f>ROUND(0.4*AVERAGE('11.08 KAMPALA-BUSUNJU'!L31,'12.08 KAMPALA-BUSUNJU'!L31,'13.08 KAMPALA-BUSUNJU'!L31,'14.08 KAMPALA-BUSUNJU'!L31,'15.08 KAMPALA-BUSUNJU'!L31),0)</f>
        <v>0</v>
      </c>
      <c r="M79" s="50">
        <f>ROUND(0.4*AVERAGE('11.08 KAMPALA-BUSUNJU'!M31,'12.08 KAMPALA-BUSUNJU'!M31,'13.08 KAMPALA-BUSUNJU'!M31,'14.08 KAMPALA-BUSUNJU'!M31,'15.08 KAMPALA-BUSUNJU'!M31),0)</f>
        <v>6</v>
      </c>
      <c r="N79" s="50">
        <f>ROUND(0.4*AVERAGE('11.08 KAMPALA-BUSUNJU'!N31,'12.08 KAMPALA-BUSUNJU'!N31,'13.08 KAMPALA-BUSUNJU'!N31,'14.08 KAMPALA-BUSUNJU'!N31,'15.08 KAMPALA-BUSUNJU'!N31),0)</f>
        <v>0</v>
      </c>
      <c r="O79" s="15">
        <f t="shared" si="35"/>
        <v>2</v>
      </c>
      <c r="P79" s="15">
        <f t="shared" si="36"/>
        <v>8</v>
      </c>
      <c r="R79" s="8"/>
      <c r="T79"/>
    </row>
    <row r="80" spans="2:20" ht="23.1" customHeight="1" x14ac:dyDescent="0.25">
      <c r="B80" s="47" t="s">
        <v>120</v>
      </c>
      <c r="C80" s="50">
        <f>ROUND(0.4*AVERAGE('11.08 KAMPALA-BUSUNJU'!C32,'12.08 KAMPALA-BUSUNJU'!C32,'13.08 KAMPALA-BUSUNJU'!C32,'14.08 KAMPALA-BUSUNJU'!C32,'15.08 KAMPALA-BUSUNJU'!C32),0)</f>
        <v>0</v>
      </c>
      <c r="D80" s="50">
        <f>ROUND(0.4*AVERAGE('11.08 KAMPALA-BUSUNJU'!D32,'12.08 KAMPALA-BUSUNJU'!D32,'13.08 KAMPALA-BUSUNJU'!D32,'14.08 KAMPALA-BUSUNJU'!D32,'15.08 KAMPALA-BUSUNJU'!D32),0)</f>
        <v>0</v>
      </c>
      <c r="E80" s="50">
        <f>ROUND(0.4*AVERAGE('11.08 KAMPALA-BUSUNJU'!E32,'12.08 KAMPALA-BUSUNJU'!E32,'13.08 KAMPALA-BUSUNJU'!E32,'14.08 KAMPALA-BUSUNJU'!E32,'15.08 KAMPALA-BUSUNJU'!E32),0)</f>
        <v>0</v>
      </c>
      <c r="F80" s="50">
        <f>ROUND(0.4*AVERAGE('11.08 KAMPALA-BUSUNJU'!F32,'12.08 KAMPALA-BUSUNJU'!F32,'13.08 KAMPALA-BUSUNJU'!F32,'14.08 KAMPALA-BUSUNJU'!F32,'15.08 KAMPALA-BUSUNJU'!F32),0)</f>
        <v>0</v>
      </c>
      <c r="G80" s="50">
        <f>ROUND(0.4*AVERAGE('11.08 KAMPALA-BUSUNJU'!G32,'12.08 KAMPALA-BUSUNJU'!G32,'13.08 KAMPALA-BUSUNJU'!G32,'14.08 KAMPALA-BUSUNJU'!G32,'15.08 KAMPALA-BUSUNJU'!G32),0)</f>
        <v>0</v>
      </c>
      <c r="H80" s="50">
        <f>ROUND(0.4*AVERAGE('11.08 KAMPALA-BUSUNJU'!H32,'12.08 KAMPALA-BUSUNJU'!H32,'13.08 KAMPALA-BUSUNJU'!H32,'14.08 KAMPALA-BUSUNJU'!H32,'15.08 KAMPALA-BUSUNJU'!H32),0)</f>
        <v>0</v>
      </c>
      <c r="I80" s="50">
        <f>ROUND(0.4*AVERAGE('11.08 KAMPALA-BUSUNJU'!I32,'12.08 KAMPALA-BUSUNJU'!I32,'13.08 KAMPALA-BUSUNJU'!I32,'14.08 KAMPALA-BUSUNJU'!I32,'15.08 KAMPALA-BUSUNJU'!I32),0)</f>
        <v>0</v>
      </c>
      <c r="J80" s="50">
        <f>ROUND(0.4*AVERAGE('11.08 KAMPALA-BUSUNJU'!J32,'12.08 KAMPALA-BUSUNJU'!J32,'13.08 KAMPALA-BUSUNJU'!J32,'14.08 KAMPALA-BUSUNJU'!J32,'15.08 KAMPALA-BUSUNJU'!J32),0)</f>
        <v>0</v>
      </c>
      <c r="K80" s="50">
        <f>ROUND(0.4*AVERAGE('11.08 KAMPALA-BUSUNJU'!K32,'12.08 KAMPALA-BUSUNJU'!K32,'13.08 KAMPALA-BUSUNJU'!K32,'14.08 KAMPALA-BUSUNJU'!K32,'15.08 KAMPALA-BUSUNJU'!K32),0)</f>
        <v>0</v>
      </c>
      <c r="L80" s="50">
        <f>ROUND(0.4*AVERAGE('11.08 KAMPALA-BUSUNJU'!L32,'12.08 KAMPALA-BUSUNJU'!L32,'13.08 KAMPALA-BUSUNJU'!L32,'14.08 KAMPALA-BUSUNJU'!L32,'15.08 KAMPALA-BUSUNJU'!L32),0)</f>
        <v>0</v>
      </c>
      <c r="M80" s="50">
        <f>ROUND(0.4*AVERAGE('11.08 KAMPALA-BUSUNJU'!M32,'12.08 KAMPALA-BUSUNJU'!M32,'13.08 KAMPALA-BUSUNJU'!M32,'14.08 KAMPALA-BUSUNJU'!M32,'15.08 KAMPALA-BUSUNJU'!M32),0)</f>
        <v>6</v>
      </c>
      <c r="N80" s="50">
        <f>ROUND(0.4*AVERAGE('11.08 KAMPALA-BUSUNJU'!N32,'12.08 KAMPALA-BUSUNJU'!N32,'13.08 KAMPALA-BUSUNJU'!N32,'14.08 KAMPALA-BUSUNJU'!N32,'15.08 KAMPALA-BUSUNJU'!N32),0)</f>
        <v>0</v>
      </c>
      <c r="O80" s="15">
        <f t="shared" si="35"/>
        <v>0</v>
      </c>
      <c r="P80" s="15">
        <f t="shared" si="36"/>
        <v>6</v>
      </c>
      <c r="R80" s="8"/>
      <c r="T80"/>
    </row>
    <row r="81" spans="2:20" ht="23.1" customHeight="1" x14ac:dyDescent="0.25">
      <c r="B81" s="45" t="s">
        <v>121</v>
      </c>
      <c r="C81" s="50">
        <f>ROUND(0.4*AVERAGE('11.08 KAMPALA-BUSUNJU'!C33,'12.08 KAMPALA-BUSUNJU'!C33,'13.08 KAMPALA-BUSUNJU'!C33,'14.08 KAMPALA-BUSUNJU'!C33,'15.08 KAMPALA-BUSUNJU'!C33),0)</f>
        <v>0</v>
      </c>
      <c r="D81" s="50">
        <f>ROUND(0.4*AVERAGE('11.08 KAMPALA-BUSUNJU'!D33,'12.08 KAMPALA-BUSUNJU'!D33,'13.08 KAMPALA-BUSUNJU'!D33,'14.08 KAMPALA-BUSUNJU'!D33,'15.08 KAMPALA-BUSUNJU'!D33),0)</f>
        <v>0</v>
      </c>
      <c r="E81" s="50">
        <f>ROUND(0.4*AVERAGE('11.08 KAMPALA-BUSUNJU'!E33,'12.08 KAMPALA-BUSUNJU'!E33,'13.08 KAMPALA-BUSUNJU'!E33,'14.08 KAMPALA-BUSUNJU'!E33,'15.08 KAMPALA-BUSUNJU'!E33),0)</f>
        <v>1</v>
      </c>
      <c r="F81" s="50">
        <f>ROUND(0.4*AVERAGE('11.08 KAMPALA-BUSUNJU'!F33,'12.08 KAMPALA-BUSUNJU'!F33,'13.08 KAMPALA-BUSUNJU'!F33,'14.08 KAMPALA-BUSUNJU'!F33,'15.08 KAMPALA-BUSUNJU'!F33),0)</f>
        <v>0</v>
      </c>
      <c r="G81" s="50">
        <f>ROUND(0.4*AVERAGE('11.08 KAMPALA-BUSUNJU'!G33,'12.08 KAMPALA-BUSUNJU'!G33,'13.08 KAMPALA-BUSUNJU'!G33,'14.08 KAMPALA-BUSUNJU'!G33,'15.08 KAMPALA-BUSUNJU'!G33),0)</f>
        <v>0</v>
      </c>
      <c r="H81" s="50">
        <f>ROUND(0.4*AVERAGE('11.08 KAMPALA-BUSUNJU'!H33,'12.08 KAMPALA-BUSUNJU'!H33,'13.08 KAMPALA-BUSUNJU'!H33,'14.08 KAMPALA-BUSUNJU'!H33,'15.08 KAMPALA-BUSUNJU'!H33),0)</f>
        <v>0</v>
      </c>
      <c r="I81" s="50">
        <f>ROUND(0.4*AVERAGE('11.08 KAMPALA-BUSUNJU'!I33,'12.08 KAMPALA-BUSUNJU'!I33,'13.08 KAMPALA-BUSUNJU'!I33,'14.08 KAMPALA-BUSUNJU'!I33,'15.08 KAMPALA-BUSUNJU'!I33),0)</f>
        <v>0</v>
      </c>
      <c r="J81" s="50">
        <f>ROUND(0.4*AVERAGE('11.08 KAMPALA-BUSUNJU'!J33,'12.08 KAMPALA-BUSUNJU'!J33,'13.08 KAMPALA-BUSUNJU'!J33,'14.08 KAMPALA-BUSUNJU'!J33,'15.08 KAMPALA-BUSUNJU'!J33),0)</f>
        <v>0</v>
      </c>
      <c r="K81" s="50">
        <f>ROUND(0.4*AVERAGE('11.08 KAMPALA-BUSUNJU'!K33,'12.08 KAMPALA-BUSUNJU'!K33,'13.08 KAMPALA-BUSUNJU'!K33,'14.08 KAMPALA-BUSUNJU'!K33,'15.08 KAMPALA-BUSUNJU'!K33),0)</f>
        <v>0</v>
      </c>
      <c r="L81" s="50">
        <f>ROUND(0.4*AVERAGE('11.08 KAMPALA-BUSUNJU'!L33,'12.08 KAMPALA-BUSUNJU'!L33,'13.08 KAMPALA-BUSUNJU'!L33,'14.08 KAMPALA-BUSUNJU'!L33,'15.08 KAMPALA-BUSUNJU'!L33),0)</f>
        <v>0</v>
      </c>
      <c r="M81" s="50">
        <f>ROUND(0.4*AVERAGE('11.08 KAMPALA-BUSUNJU'!M33,'12.08 KAMPALA-BUSUNJU'!M33,'13.08 KAMPALA-BUSUNJU'!M33,'14.08 KAMPALA-BUSUNJU'!M33,'15.08 KAMPALA-BUSUNJU'!M33),0)</f>
        <v>7</v>
      </c>
      <c r="N81" s="50">
        <f>ROUND(0.4*AVERAGE('11.08 KAMPALA-BUSUNJU'!N33,'12.08 KAMPALA-BUSUNJU'!N33,'13.08 KAMPALA-BUSUNJU'!N33,'14.08 KAMPALA-BUSUNJU'!N33,'15.08 KAMPALA-BUSUNJU'!N33),0)</f>
        <v>0</v>
      </c>
      <c r="O81" s="15">
        <f t="shared" si="35"/>
        <v>1</v>
      </c>
      <c r="P81" s="15">
        <f t="shared" si="36"/>
        <v>8</v>
      </c>
      <c r="R81" s="8"/>
      <c r="T81"/>
    </row>
    <row r="82" spans="2:20" ht="23.1" customHeight="1" x14ac:dyDescent="0.25">
      <c r="B82" s="46" t="s">
        <v>122</v>
      </c>
      <c r="C82" s="50">
        <f>ROUND(0.4*AVERAGE('11.08 KAMPALA-BUSUNJU'!C34,'12.08 KAMPALA-BUSUNJU'!C34,'13.08 KAMPALA-BUSUNJU'!C34,'14.08 KAMPALA-BUSUNJU'!C34,'15.08 KAMPALA-BUSUNJU'!C34),0)</f>
        <v>1</v>
      </c>
      <c r="D82" s="50">
        <f>ROUND(0.4*AVERAGE('11.08 KAMPALA-BUSUNJU'!D34,'12.08 KAMPALA-BUSUNJU'!D34,'13.08 KAMPALA-BUSUNJU'!D34,'14.08 KAMPALA-BUSUNJU'!D34,'15.08 KAMPALA-BUSUNJU'!D34),0)</f>
        <v>0</v>
      </c>
      <c r="E82" s="50">
        <f>ROUND(0.4*AVERAGE('11.08 KAMPALA-BUSUNJU'!E34,'12.08 KAMPALA-BUSUNJU'!E34,'13.08 KAMPALA-BUSUNJU'!E34,'14.08 KAMPALA-BUSUNJU'!E34,'15.08 KAMPALA-BUSUNJU'!E34),0)</f>
        <v>0</v>
      </c>
      <c r="F82" s="50">
        <f>ROUND(0.4*AVERAGE('11.08 KAMPALA-BUSUNJU'!F34,'12.08 KAMPALA-BUSUNJU'!F34,'13.08 KAMPALA-BUSUNJU'!F34,'14.08 KAMPALA-BUSUNJU'!F34,'15.08 KAMPALA-BUSUNJU'!F34),0)</f>
        <v>0</v>
      </c>
      <c r="G82" s="50">
        <f>ROUND(0.4*AVERAGE('11.08 KAMPALA-BUSUNJU'!G34,'12.08 KAMPALA-BUSUNJU'!G34,'13.08 KAMPALA-BUSUNJU'!G34,'14.08 KAMPALA-BUSUNJU'!G34,'15.08 KAMPALA-BUSUNJU'!G34),0)</f>
        <v>0</v>
      </c>
      <c r="H82" s="50">
        <f>ROUND(0.4*AVERAGE('11.08 KAMPALA-BUSUNJU'!H34,'12.08 KAMPALA-BUSUNJU'!H34,'13.08 KAMPALA-BUSUNJU'!H34,'14.08 KAMPALA-BUSUNJU'!H34,'15.08 KAMPALA-BUSUNJU'!H34),0)</f>
        <v>0</v>
      </c>
      <c r="I82" s="50">
        <f>ROUND(0.4*AVERAGE('11.08 KAMPALA-BUSUNJU'!I34,'12.08 KAMPALA-BUSUNJU'!I34,'13.08 KAMPALA-BUSUNJU'!I34,'14.08 KAMPALA-BUSUNJU'!I34,'15.08 KAMPALA-BUSUNJU'!I34),0)</f>
        <v>1</v>
      </c>
      <c r="J82" s="50">
        <f>ROUND(0.4*AVERAGE('11.08 KAMPALA-BUSUNJU'!J34,'12.08 KAMPALA-BUSUNJU'!J34,'13.08 KAMPALA-BUSUNJU'!J34,'14.08 KAMPALA-BUSUNJU'!J34,'15.08 KAMPALA-BUSUNJU'!J34),0)</f>
        <v>0</v>
      </c>
      <c r="K82" s="50">
        <f>ROUND(0.4*AVERAGE('11.08 KAMPALA-BUSUNJU'!K34,'12.08 KAMPALA-BUSUNJU'!K34,'13.08 KAMPALA-BUSUNJU'!K34,'14.08 KAMPALA-BUSUNJU'!K34,'15.08 KAMPALA-BUSUNJU'!K34),0)</f>
        <v>0</v>
      </c>
      <c r="L82" s="50">
        <f>ROUND(0.4*AVERAGE('11.08 KAMPALA-BUSUNJU'!L34,'12.08 KAMPALA-BUSUNJU'!L34,'13.08 KAMPALA-BUSUNJU'!L34,'14.08 KAMPALA-BUSUNJU'!L34,'15.08 KAMPALA-BUSUNJU'!L34),0)</f>
        <v>0</v>
      </c>
      <c r="M82" s="50">
        <f>ROUND(0.4*AVERAGE('11.08 KAMPALA-BUSUNJU'!M34,'12.08 KAMPALA-BUSUNJU'!M34,'13.08 KAMPALA-BUSUNJU'!M34,'14.08 KAMPALA-BUSUNJU'!M34,'15.08 KAMPALA-BUSUNJU'!M34),0)</f>
        <v>6</v>
      </c>
      <c r="N82" s="50">
        <f>ROUND(0.4*AVERAGE('11.08 KAMPALA-BUSUNJU'!N34,'12.08 KAMPALA-BUSUNJU'!N34,'13.08 KAMPALA-BUSUNJU'!N34,'14.08 KAMPALA-BUSUNJU'!N34,'15.08 KAMPALA-BUSUNJU'!N34),0)</f>
        <v>0</v>
      </c>
      <c r="O82" s="15">
        <f t="shared" si="35"/>
        <v>2</v>
      </c>
      <c r="P82" s="15">
        <f t="shared" si="36"/>
        <v>8</v>
      </c>
      <c r="R82" s="8"/>
      <c r="T82"/>
    </row>
    <row r="83" spans="2:20" ht="23.1" customHeight="1" x14ac:dyDescent="0.25">
      <c r="B83" s="45" t="s">
        <v>123</v>
      </c>
      <c r="C83" s="50">
        <f>ROUND(0.4*AVERAGE('11.08 KAMPALA-BUSUNJU'!C35,'12.08 KAMPALA-BUSUNJU'!C35,'13.08 KAMPALA-BUSUNJU'!C35,'14.08 KAMPALA-BUSUNJU'!C35,'15.08 KAMPALA-BUSUNJU'!C35),0)</f>
        <v>0</v>
      </c>
      <c r="D83" s="50">
        <f>ROUND(0.4*AVERAGE('11.08 KAMPALA-BUSUNJU'!D35,'12.08 KAMPALA-BUSUNJU'!D35,'13.08 KAMPALA-BUSUNJU'!D35,'14.08 KAMPALA-BUSUNJU'!D35,'15.08 KAMPALA-BUSUNJU'!D35),0)</f>
        <v>0</v>
      </c>
      <c r="E83" s="50">
        <f>ROUND(0.4*AVERAGE('11.08 KAMPALA-BUSUNJU'!E35,'12.08 KAMPALA-BUSUNJU'!E35,'13.08 KAMPALA-BUSUNJU'!E35,'14.08 KAMPALA-BUSUNJU'!E35,'15.08 KAMPALA-BUSUNJU'!E35),0)</f>
        <v>0</v>
      </c>
      <c r="F83" s="50">
        <f>ROUND(0.4*AVERAGE('11.08 KAMPALA-BUSUNJU'!F35,'12.08 KAMPALA-BUSUNJU'!F35,'13.08 KAMPALA-BUSUNJU'!F35,'14.08 KAMPALA-BUSUNJU'!F35,'15.08 KAMPALA-BUSUNJU'!F35),0)</f>
        <v>0</v>
      </c>
      <c r="G83" s="50">
        <f>ROUND(0.4*AVERAGE('11.08 KAMPALA-BUSUNJU'!G35,'12.08 KAMPALA-BUSUNJU'!G35,'13.08 KAMPALA-BUSUNJU'!G35,'14.08 KAMPALA-BUSUNJU'!G35,'15.08 KAMPALA-BUSUNJU'!G35),0)</f>
        <v>0</v>
      </c>
      <c r="H83" s="50">
        <f>ROUND(0.4*AVERAGE('11.08 KAMPALA-BUSUNJU'!H35,'12.08 KAMPALA-BUSUNJU'!H35,'13.08 KAMPALA-BUSUNJU'!H35,'14.08 KAMPALA-BUSUNJU'!H35,'15.08 KAMPALA-BUSUNJU'!H35),0)</f>
        <v>0</v>
      </c>
      <c r="I83" s="50">
        <f>ROUND(0.4*AVERAGE('11.08 KAMPALA-BUSUNJU'!I35,'12.08 KAMPALA-BUSUNJU'!I35,'13.08 KAMPALA-BUSUNJU'!I35,'14.08 KAMPALA-BUSUNJU'!I35,'15.08 KAMPALA-BUSUNJU'!I35),0)</f>
        <v>0</v>
      </c>
      <c r="J83" s="50">
        <f>ROUND(0.4*AVERAGE('11.08 KAMPALA-BUSUNJU'!J35,'12.08 KAMPALA-BUSUNJU'!J35,'13.08 KAMPALA-BUSUNJU'!J35,'14.08 KAMPALA-BUSUNJU'!J35,'15.08 KAMPALA-BUSUNJU'!J35),0)</f>
        <v>0</v>
      </c>
      <c r="K83" s="50">
        <f>ROUND(0.4*AVERAGE('11.08 KAMPALA-BUSUNJU'!K35,'12.08 KAMPALA-BUSUNJU'!K35,'13.08 KAMPALA-BUSUNJU'!K35,'14.08 KAMPALA-BUSUNJU'!K35,'15.08 KAMPALA-BUSUNJU'!K35),0)</f>
        <v>0</v>
      </c>
      <c r="L83" s="50">
        <f>ROUND(0.4*AVERAGE('11.08 KAMPALA-BUSUNJU'!L35,'12.08 KAMPALA-BUSUNJU'!L35,'13.08 KAMPALA-BUSUNJU'!L35,'14.08 KAMPALA-BUSUNJU'!L35,'15.08 KAMPALA-BUSUNJU'!L35),0)</f>
        <v>0</v>
      </c>
      <c r="M83" s="50">
        <f>ROUND(0.4*AVERAGE('11.08 KAMPALA-BUSUNJU'!M35,'12.08 KAMPALA-BUSUNJU'!M35,'13.08 KAMPALA-BUSUNJU'!M35,'14.08 KAMPALA-BUSUNJU'!M35,'15.08 KAMPALA-BUSUNJU'!M35),0)</f>
        <v>6</v>
      </c>
      <c r="N83" s="50">
        <f>ROUND(0.4*AVERAGE('11.08 KAMPALA-BUSUNJU'!N35,'12.08 KAMPALA-BUSUNJU'!N35,'13.08 KAMPALA-BUSUNJU'!N35,'14.08 KAMPALA-BUSUNJU'!N35,'15.08 KAMPALA-BUSUNJU'!N35),0)</f>
        <v>0</v>
      </c>
      <c r="O83" s="15">
        <f t="shared" si="35"/>
        <v>0</v>
      </c>
      <c r="P83" s="15">
        <f t="shared" si="36"/>
        <v>6</v>
      </c>
      <c r="R83" s="8"/>
      <c r="T83"/>
    </row>
    <row r="84" spans="2:20" ht="23.1" customHeight="1" x14ac:dyDescent="0.25">
      <c r="B84" s="47" t="s">
        <v>124</v>
      </c>
      <c r="C84" s="50">
        <f>ROUND(0.4*AVERAGE('11.08 KAMPALA-BUSUNJU'!C36,'12.08 KAMPALA-BUSUNJU'!C36,'13.08 KAMPALA-BUSUNJU'!C36,'14.08 KAMPALA-BUSUNJU'!C36,'15.08 KAMPALA-BUSUNJU'!C36),0)</f>
        <v>0</v>
      </c>
      <c r="D84" s="50">
        <f>ROUND(0.4*AVERAGE('11.08 KAMPALA-BUSUNJU'!D36,'12.08 KAMPALA-BUSUNJU'!D36,'13.08 KAMPALA-BUSUNJU'!D36,'14.08 KAMPALA-BUSUNJU'!D36,'15.08 KAMPALA-BUSUNJU'!D36),0)</f>
        <v>0</v>
      </c>
      <c r="E84" s="50">
        <f>ROUND(0.4*AVERAGE('11.08 KAMPALA-BUSUNJU'!E36,'12.08 KAMPALA-BUSUNJU'!E36,'13.08 KAMPALA-BUSUNJU'!E36,'14.08 KAMPALA-BUSUNJU'!E36,'15.08 KAMPALA-BUSUNJU'!E36),0)</f>
        <v>0</v>
      </c>
      <c r="F84" s="50">
        <f>ROUND(0.4*AVERAGE('11.08 KAMPALA-BUSUNJU'!F36,'12.08 KAMPALA-BUSUNJU'!F36,'13.08 KAMPALA-BUSUNJU'!F36,'14.08 KAMPALA-BUSUNJU'!F36,'15.08 KAMPALA-BUSUNJU'!F36),0)</f>
        <v>0</v>
      </c>
      <c r="G84" s="50">
        <f>ROUND(0.4*AVERAGE('11.08 KAMPALA-BUSUNJU'!G36,'12.08 KAMPALA-BUSUNJU'!G36,'13.08 KAMPALA-BUSUNJU'!G36,'14.08 KAMPALA-BUSUNJU'!G36,'15.08 KAMPALA-BUSUNJU'!G36),0)</f>
        <v>0</v>
      </c>
      <c r="H84" s="50">
        <f>ROUND(0.4*AVERAGE('11.08 KAMPALA-BUSUNJU'!H36,'12.08 KAMPALA-BUSUNJU'!H36,'13.08 KAMPALA-BUSUNJU'!H36,'14.08 KAMPALA-BUSUNJU'!H36,'15.08 KAMPALA-BUSUNJU'!H36),0)</f>
        <v>0</v>
      </c>
      <c r="I84" s="50">
        <f>ROUND(0.4*AVERAGE('11.08 KAMPALA-BUSUNJU'!I36,'12.08 KAMPALA-BUSUNJU'!I36,'13.08 KAMPALA-BUSUNJU'!I36,'14.08 KAMPALA-BUSUNJU'!I36,'15.08 KAMPALA-BUSUNJU'!I36),0)</f>
        <v>1</v>
      </c>
      <c r="J84" s="50">
        <f>ROUND(0.4*AVERAGE('11.08 KAMPALA-BUSUNJU'!J36,'12.08 KAMPALA-BUSUNJU'!J36,'13.08 KAMPALA-BUSUNJU'!J36,'14.08 KAMPALA-BUSUNJU'!J36,'15.08 KAMPALA-BUSUNJU'!J36),0)</f>
        <v>0</v>
      </c>
      <c r="K84" s="50">
        <f>ROUND(0.4*AVERAGE('11.08 KAMPALA-BUSUNJU'!K36,'12.08 KAMPALA-BUSUNJU'!K36,'13.08 KAMPALA-BUSUNJU'!K36,'14.08 KAMPALA-BUSUNJU'!K36,'15.08 KAMPALA-BUSUNJU'!K36),0)</f>
        <v>0</v>
      </c>
      <c r="L84" s="50">
        <f>ROUND(0.4*AVERAGE('11.08 KAMPALA-BUSUNJU'!L36,'12.08 KAMPALA-BUSUNJU'!L36,'13.08 KAMPALA-BUSUNJU'!L36,'14.08 KAMPALA-BUSUNJU'!L36,'15.08 KAMPALA-BUSUNJU'!L36),0)</f>
        <v>0</v>
      </c>
      <c r="M84" s="50">
        <f>ROUND(0.4*AVERAGE('11.08 KAMPALA-BUSUNJU'!M36,'12.08 KAMPALA-BUSUNJU'!M36,'13.08 KAMPALA-BUSUNJU'!M36,'14.08 KAMPALA-BUSUNJU'!M36,'15.08 KAMPALA-BUSUNJU'!M36),0)</f>
        <v>6</v>
      </c>
      <c r="N84" s="50">
        <f>ROUND(0.4*AVERAGE('11.08 KAMPALA-BUSUNJU'!N36,'12.08 KAMPALA-BUSUNJU'!N36,'13.08 KAMPALA-BUSUNJU'!N36,'14.08 KAMPALA-BUSUNJU'!N36,'15.08 KAMPALA-BUSUNJU'!N36),0)</f>
        <v>0</v>
      </c>
      <c r="O84" s="15">
        <f t="shared" si="35"/>
        <v>1</v>
      </c>
      <c r="P84" s="15">
        <f t="shared" si="36"/>
        <v>7</v>
      </c>
      <c r="R84" s="8"/>
      <c r="T84"/>
    </row>
    <row r="85" spans="2:20" ht="23.1" customHeight="1" x14ac:dyDescent="0.25">
      <c r="B85" s="45" t="s">
        <v>125</v>
      </c>
      <c r="C85" s="50">
        <f>ROUND(0.4*AVERAGE('11.08 KAMPALA-BUSUNJU'!C37,'12.08 KAMPALA-BUSUNJU'!C37,'13.08 KAMPALA-BUSUNJU'!C37,'14.08 KAMPALA-BUSUNJU'!C37,'15.08 KAMPALA-BUSUNJU'!C37),0)</f>
        <v>1</v>
      </c>
      <c r="D85" s="50">
        <f>ROUND(0.4*AVERAGE('11.08 KAMPALA-BUSUNJU'!D37,'12.08 KAMPALA-BUSUNJU'!D37,'13.08 KAMPALA-BUSUNJU'!D37,'14.08 KAMPALA-BUSUNJU'!D37,'15.08 KAMPALA-BUSUNJU'!D37),0)</f>
        <v>0</v>
      </c>
      <c r="E85" s="50">
        <f>ROUND(0.4*AVERAGE('11.08 KAMPALA-BUSUNJU'!E37,'12.08 KAMPALA-BUSUNJU'!E37,'13.08 KAMPALA-BUSUNJU'!E37,'14.08 KAMPALA-BUSUNJU'!E37,'15.08 KAMPALA-BUSUNJU'!E37),0)</f>
        <v>0</v>
      </c>
      <c r="F85" s="50">
        <f>ROUND(0.4*AVERAGE('11.08 KAMPALA-BUSUNJU'!F37,'12.08 KAMPALA-BUSUNJU'!F37,'13.08 KAMPALA-BUSUNJU'!F37,'14.08 KAMPALA-BUSUNJU'!F37,'15.08 KAMPALA-BUSUNJU'!F37),0)</f>
        <v>0</v>
      </c>
      <c r="G85" s="50">
        <f>ROUND(0.4*AVERAGE('11.08 KAMPALA-BUSUNJU'!G37,'12.08 KAMPALA-BUSUNJU'!G37,'13.08 KAMPALA-BUSUNJU'!G37,'14.08 KAMPALA-BUSUNJU'!G37,'15.08 KAMPALA-BUSUNJU'!G37),0)</f>
        <v>0</v>
      </c>
      <c r="H85" s="50">
        <f>ROUND(0.4*AVERAGE('11.08 KAMPALA-BUSUNJU'!H37,'12.08 KAMPALA-BUSUNJU'!H37,'13.08 KAMPALA-BUSUNJU'!H37,'14.08 KAMPALA-BUSUNJU'!H37,'15.08 KAMPALA-BUSUNJU'!H37),0)</f>
        <v>0</v>
      </c>
      <c r="I85" s="50">
        <f>ROUND(0.4*AVERAGE('11.08 KAMPALA-BUSUNJU'!I37,'12.08 KAMPALA-BUSUNJU'!I37,'13.08 KAMPALA-BUSUNJU'!I37,'14.08 KAMPALA-BUSUNJU'!I37,'15.08 KAMPALA-BUSUNJU'!I37),0)</f>
        <v>0</v>
      </c>
      <c r="J85" s="50">
        <f>ROUND(0.4*AVERAGE('11.08 KAMPALA-BUSUNJU'!J37,'12.08 KAMPALA-BUSUNJU'!J37,'13.08 KAMPALA-BUSUNJU'!J37,'14.08 KAMPALA-BUSUNJU'!J37,'15.08 KAMPALA-BUSUNJU'!J37),0)</f>
        <v>0</v>
      </c>
      <c r="K85" s="50">
        <f>ROUND(0.4*AVERAGE('11.08 KAMPALA-BUSUNJU'!K37,'12.08 KAMPALA-BUSUNJU'!K37,'13.08 KAMPALA-BUSUNJU'!K37,'14.08 KAMPALA-BUSUNJU'!K37,'15.08 KAMPALA-BUSUNJU'!K37),0)</f>
        <v>0</v>
      </c>
      <c r="L85" s="50">
        <f>ROUND(0.4*AVERAGE('11.08 KAMPALA-BUSUNJU'!L37,'12.08 KAMPALA-BUSUNJU'!L37,'13.08 KAMPALA-BUSUNJU'!L37,'14.08 KAMPALA-BUSUNJU'!L37,'15.08 KAMPALA-BUSUNJU'!L37),0)</f>
        <v>0</v>
      </c>
      <c r="M85" s="50">
        <f>ROUND(0.4*AVERAGE('11.08 KAMPALA-BUSUNJU'!M37,'12.08 KAMPALA-BUSUNJU'!M37,'13.08 KAMPALA-BUSUNJU'!M37,'14.08 KAMPALA-BUSUNJU'!M37,'15.08 KAMPALA-BUSUNJU'!M37),0)</f>
        <v>5</v>
      </c>
      <c r="N85" s="50">
        <f>ROUND(0.4*AVERAGE('11.08 KAMPALA-BUSUNJU'!N37,'12.08 KAMPALA-BUSUNJU'!N37,'13.08 KAMPALA-BUSUNJU'!N37,'14.08 KAMPALA-BUSUNJU'!N37,'15.08 KAMPALA-BUSUNJU'!N37),0)</f>
        <v>0</v>
      </c>
      <c r="O85" s="15">
        <f t="shared" si="35"/>
        <v>1</v>
      </c>
      <c r="P85" s="15">
        <f t="shared" si="36"/>
        <v>6</v>
      </c>
      <c r="R85" s="8"/>
      <c r="T85"/>
    </row>
    <row r="86" spans="2:20" ht="23.1" customHeight="1" x14ac:dyDescent="0.25">
      <c r="B86" s="46" t="s">
        <v>126</v>
      </c>
      <c r="C86" s="50">
        <f>ROUND(0.4*AVERAGE('11.08 KAMPALA-BUSUNJU'!C38,'12.08 KAMPALA-BUSUNJU'!C38,'13.08 KAMPALA-BUSUNJU'!C38,'14.08 KAMPALA-BUSUNJU'!C38,'15.08 KAMPALA-BUSUNJU'!C38),0)</f>
        <v>0</v>
      </c>
      <c r="D86" s="50">
        <f>ROUND(0.4*AVERAGE('11.08 KAMPALA-BUSUNJU'!D38,'12.08 KAMPALA-BUSUNJU'!D38,'13.08 KAMPALA-BUSUNJU'!D38,'14.08 KAMPALA-BUSUNJU'!D38,'15.08 KAMPALA-BUSUNJU'!D38),0)</f>
        <v>0</v>
      </c>
      <c r="E86" s="50">
        <f>ROUND(0.4*AVERAGE('11.08 KAMPALA-BUSUNJU'!E38,'12.08 KAMPALA-BUSUNJU'!E38,'13.08 KAMPALA-BUSUNJU'!E38,'14.08 KAMPALA-BUSUNJU'!E38,'15.08 KAMPALA-BUSUNJU'!E38),0)</f>
        <v>0</v>
      </c>
      <c r="F86" s="50">
        <f>ROUND(0.4*AVERAGE('11.08 KAMPALA-BUSUNJU'!F38,'12.08 KAMPALA-BUSUNJU'!F38,'13.08 KAMPALA-BUSUNJU'!F38,'14.08 KAMPALA-BUSUNJU'!F38,'15.08 KAMPALA-BUSUNJU'!F38),0)</f>
        <v>0</v>
      </c>
      <c r="G86" s="50">
        <f>ROUND(0.4*AVERAGE('11.08 KAMPALA-BUSUNJU'!G38,'12.08 KAMPALA-BUSUNJU'!G38,'13.08 KAMPALA-BUSUNJU'!G38,'14.08 KAMPALA-BUSUNJU'!G38,'15.08 KAMPALA-BUSUNJU'!G38),0)</f>
        <v>0</v>
      </c>
      <c r="H86" s="50">
        <f>ROUND(0.4*AVERAGE('11.08 KAMPALA-BUSUNJU'!H38,'12.08 KAMPALA-BUSUNJU'!H38,'13.08 KAMPALA-BUSUNJU'!H38,'14.08 KAMPALA-BUSUNJU'!H38,'15.08 KAMPALA-BUSUNJU'!H38),0)</f>
        <v>0</v>
      </c>
      <c r="I86" s="50">
        <f>ROUND(0.4*AVERAGE('11.08 KAMPALA-BUSUNJU'!I38,'12.08 KAMPALA-BUSUNJU'!I38,'13.08 KAMPALA-BUSUNJU'!I38,'14.08 KAMPALA-BUSUNJU'!I38,'15.08 KAMPALA-BUSUNJU'!I38),0)</f>
        <v>0</v>
      </c>
      <c r="J86" s="50">
        <f>ROUND(0.4*AVERAGE('11.08 KAMPALA-BUSUNJU'!J38,'12.08 KAMPALA-BUSUNJU'!J38,'13.08 KAMPALA-BUSUNJU'!J38,'14.08 KAMPALA-BUSUNJU'!J38,'15.08 KAMPALA-BUSUNJU'!J38),0)</f>
        <v>0</v>
      </c>
      <c r="K86" s="50">
        <f>ROUND(0.4*AVERAGE('11.08 KAMPALA-BUSUNJU'!K38,'12.08 KAMPALA-BUSUNJU'!K38,'13.08 KAMPALA-BUSUNJU'!K38,'14.08 KAMPALA-BUSUNJU'!K38,'15.08 KAMPALA-BUSUNJU'!K38),0)</f>
        <v>0</v>
      </c>
      <c r="L86" s="50">
        <f>ROUND(0.4*AVERAGE('11.08 KAMPALA-BUSUNJU'!L38,'12.08 KAMPALA-BUSUNJU'!L38,'13.08 KAMPALA-BUSUNJU'!L38,'14.08 KAMPALA-BUSUNJU'!L38,'15.08 KAMPALA-BUSUNJU'!L38),0)</f>
        <v>0</v>
      </c>
      <c r="M86" s="50">
        <f>ROUND(0.4*AVERAGE('11.08 KAMPALA-BUSUNJU'!M38,'12.08 KAMPALA-BUSUNJU'!M38,'13.08 KAMPALA-BUSUNJU'!M38,'14.08 KAMPALA-BUSUNJU'!M38,'15.08 KAMPALA-BUSUNJU'!M38),0)</f>
        <v>7</v>
      </c>
      <c r="N86" s="50">
        <f>ROUND(0.4*AVERAGE('11.08 KAMPALA-BUSUNJU'!N38,'12.08 KAMPALA-BUSUNJU'!N38,'13.08 KAMPALA-BUSUNJU'!N38,'14.08 KAMPALA-BUSUNJU'!N38,'15.08 KAMPALA-BUSUNJU'!N38),0)</f>
        <v>0</v>
      </c>
      <c r="O86" s="15">
        <f t="shared" si="35"/>
        <v>0</v>
      </c>
      <c r="P86" s="15">
        <f t="shared" si="36"/>
        <v>7</v>
      </c>
      <c r="R86" s="8"/>
      <c r="T86"/>
    </row>
    <row r="87" spans="2:20" ht="23.1" customHeight="1" x14ac:dyDescent="0.25">
      <c r="B87" s="45" t="s">
        <v>127</v>
      </c>
      <c r="C87" s="50">
        <f>ROUND(0.4*AVERAGE('11.08 KAMPALA-BUSUNJU'!C39,'12.08 KAMPALA-BUSUNJU'!C39,'13.08 KAMPALA-BUSUNJU'!C39,'14.08 KAMPALA-BUSUNJU'!C39,'15.08 KAMPALA-BUSUNJU'!C39),0)</f>
        <v>0</v>
      </c>
      <c r="D87" s="50">
        <f>ROUND(0.4*AVERAGE('11.08 KAMPALA-BUSUNJU'!D39,'12.08 KAMPALA-BUSUNJU'!D39,'13.08 KAMPALA-BUSUNJU'!D39,'14.08 KAMPALA-BUSUNJU'!D39,'15.08 KAMPALA-BUSUNJU'!D39),0)</f>
        <v>0</v>
      </c>
      <c r="E87" s="50">
        <f>ROUND(0.4*AVERAGE('11.08 KAMPALA-BUSUNJU'!E39,'12.08 KAMPALA-BUSUNJU'!E39,'13.08 KAMPALA-BUSUNJU'!E39,'14.08 KAMPALA-BUSUNJU'!E39,'15.08 KAMPALA-BUSUNJU'!E39),0)</f>
        <v>0</v>
      </c>
      <c r="F87" s="50">
        <f>ROUND(0.4*AVERAGE('11.08 KAMPALA-BUSUNJU'!F39,'12.08 KAMPALA-BUSUNJU'!F39,'13.08 KAMPALA-BUSUNJU'!F39,'14.08 KAMPALA-BUSUNJU'!F39,'15.08 KAMPALA-BUSUNJU'!F39),0)</f>
        <v>0</v>
      </c>
      <c r="G87" s="50">
        <f>ROUND(0.4*AVERAGE('11.08 KAMPALA-BUSUNJU'!G39,'12.08 KAMPALA-BUSUNJU'!G39,'13.08 KAMPALA-BUSUNJU'!G39,'14.08 KAMPALA-BUSUNJU'!G39,'15.08 KAMPALA-BUSUNJU'!G39),0)</f>
        <v>0</v>
      </c>
      <c r="H87" s="50">
        <f>ROUND(0.4*AVERAGE('11.08 KAMPALA-BUSUNJU'!H39,'12.08 KAMPALA-BUSUNJU'!H39,'13.08 KAMPALA-BUSUNJU'!H39,'14.08 KAMPALA-BUSUNJU'!H39,'15.08 KAMPALA-BUSUNJU'!H39),0)</f>
        <v>0</v>
      </c>
      <c r="I87" s="50">
        <f>ROUND(0.4*AVERAGE('11.08 KAMPALA-BUSUNJU'!I39,'12.08 KAMPALA-BUSUNJU'!I39,'13.08 KAMPALA-BUSUNJU'!I39,'14.08 KAMPALA-BUSUNJU'!I39,'15.08 KAMPALA-BUSUNJU'!I39),0)</f>
        <v>1</v>
      </c>
      <c r="J87" s="50">
        <f>ROUND(0.4*AVERAGE('11.08 KAMPALA-BUSUNJU'!J39,'12.08 KAMPALA-BUSUNJU'!J39,'13.08 KAMPALA-BUSUNJU'!J39,'14.08 KAMPALA-BUSUNJU'!J39,'15.08 KAMPALA-BUSUNJU'!J39),0)</f>
        <v>0</v>
      </c>
      <c r="K87" s="50">
        <f>ROUND(0.4*AVERAGE('11.08 KAMPALA-BUSUNJU'!K39,'12.08 KAMPALA-BUSUNJU'!K39,'13.08 KAMPALA-BUSUNJU'!K39,'14.08 KAMPALA-BUSUNJU'!K39,'15.08 KAMPALA-BUSUNJU'!K39),0)</f>
        <v>0</v>
      </c>
      <c r="L87" s="50">
        <f>ROUND(0.4*AVERAGE('11.08 KAMPALA-BUSUNJU'!L39,'12.08 KAMPALA-BUSUNJU'!L39,'13.08 KAMPALA-BUSUNJU'!L39,'14.08 KAMPALA-BUSUNJU'!L39,'15.08 KAMPALA-BUSUNJU'!L39),0)</f>
        <v>0</v>
      </c>
      <c r="M87" s="50">
        <f>ROUND(0.4*AVERAGE('11.08 KAMPALA-BUSUNJU'!M39,'12.08 KAMPALA-BUSUNJU'!M39,'13.08 KAMPALA-BUSUNJU'!M39,'14.08 KAMPALA-BUSUNJU'!M39,'15.08 KAMPALA-BUSUNJU'!M39),0)</f>
        <v>5</v>
      </c>
      <c r="N87" s="50">
        <f>ROUND(0.4*AVERAGE('11.08 KAMPALA-BUSUNJU'!N39,'12.08 KAMPALA-BUSUNJU'!N39,'13.08 KAMPALA-BUSUNJU'!N39,'14.08 KAMPALA-BUSUNJU'!N39,'15.08 KAMPALA-BUSUNJU'!N39),0)</f>
        <v>0</v>
      </c>
      <c r="O87" s="15">
        <f t="shared" si="35"/>
        <v>1</v>
      </c>
      <c r="P87" s="15">
        <f t="shared" si="36"/>
        <v>6</v>
      </c>
      <c r="R87" s="8"/>
      <c r="T87"/>
    </row>
    <row r="88" spans="2:20" ht="23.1" customHeight="1" x14ac:dyDescent="0.25">
      <c r="B88" s="47" t="s">
        <v>128</v>
      </c>
      <c r="C88" s="50">
        <f>ROUND(0.4*AVERAGE('11.08 KAMPALA-BUSUNJU'!C40,'12.08 KAMPALA-BUSUNJU'!C40,'13.08 KAMPALA-BUSUNJU'!C40,'14.08 KAMPALA-BUSUNJU'!C40,'15.08 KAMPALA-BUSUNJU'!C40),0)</f>
        <v>0</v>
      </c>
      <c r="D88" s="50">
        <f>ROUND(0.4*AVERAGE('11.08 KAMPALA-BUSUNJU'!D40,'12.08 KAMPALA-BUSUNJU'!D40,'13.08 KAMPALA-BUSUNJU'!D40,'14.08 KAMPALA-BUSUNJU'!D40,'15.08 KAMPALA-BUSUNJU'!D40),0)</f>
        <v>0</v>
      </c>
      <c r="E88" s="50">
        <f>ROUND(0.4*AVERAGE('11.08 KAMPALA-BUSUNJU'!E40,'12.08 KAMPALA-BUSUNJU'!E40,'13.08 KAMPALA-BUSUNJU'!E40,'14.08 KAMPALA-BUSUNJU'!E40,'15.08 KAMPALA-BUSUNJU'!E40),0)</f>
        <v>0</v>
      </c>
      <c r="F88" s="50">
        <f>ROUND(0.4*AVERAGE('11.08 KAMPALA-BUSUNJU'!F40,'12.08 KAMPALA-BUSUNJU'!F40,'13.08 KAMPALA-BUSUNJU'!F40,'14.08 KAMPALA-BUSUNJU'!F40,'15.08 KAMPALA-BUSUNJU'!F40),0)</f>
        <v>0</v>
      </c>
      <c r="G88" s="50">
        <f>ROUND(0.4*AVERAGE('11.08 KAMPALA-BUSUNJU'!G40,'12.08 KAMPALA-BUSUNJU'!G40,'13.08 KAMPALA-BUSUNJU'!G40,'14.08 KAMPALA-BUSUNJU'!G40,'15.08 KAMPALA-BUSUNJU'!G40),0)</f>
        <v>0</v>
      </c>
      <c r="H88" s="50">
        <f>ROUND(0.4*AVERAGE('11.08 KAMPALA-BUSUNJU'!H40,'12.08 KAMPALA-BUSUNJU'!H40,'13.08 KAMPALA-BUSUNJU'!H40,'14.08 KAMPALA-BUSUNJU'!H40,'15.08 KAMPALA-BUSUNJU'!H40),0)</f>
        <v>0</v>
      </c>
      <c r="I88" s="50">
        <f>ROUND(0.4*AVERAGE('11.08 KAMPALA-BUSUNJU'!I40,'12.08 KAMPALA-BUSUNJU'!I40,'13.08 KAMPALA-BUSUNJU'!I40,'14.08 KAMPALA-BUSUNJU'!I40,'15.08 KAMPALA-BUSUNJU'!I40),0)</f>
        <v>1</v>
      </c>
      <c r="J88" s="50">
        <f>ROUND(0.4*AVERAGE('11.08 KAMPALA-BUSUNJU'!J40,'12.08 KAMPALA-BUSUNJU'!J40,'13.08 KAMPALA-BUSUNJU'!J40,'14.08 KAMPALA-BUSUNJU'!J40,'15.08 KAMPALA-BUSUNJU'!J40),0)</f>
        <v>0</v>
      </c>
      <c r="K88" s="50">
        <f>ROUND(0.4*AVERAGE('11.08 KAMPALA-BUSUNJU'!K40,'12.08 KAMPALA-BUSUNJU'!K40,'13.08 KAMPALA-BUSUNJU'!K40,'14.08 KAMPALA-BUSUNJU'!K40,'15.08 KAMPALA-BUSUNJU'!K40),0)</f>
        <v>0</v>
      </c>
      <c r="L88" s="50">
        <f>ROUND(0.4*AVERAGE('11.08 KAMPALA-BUSUNJU'!L40,'12.08 KAMPALA-BUSUNJU'!L40,'13.08 KAMPALA-BUSUNJU'!L40,'14.08 KAMPALA-BUSUNJU'!L40,'15.08 KAMPALA-BUSUNJU'!L40),0)</f>
        <v>0</v>
      </c>
      <c r="M88" s="50">
        <f>ROUND(0.4*AVERAGE('11.08 KAMPALA-BUSUNJU'!M40,'12.08 KAMPALA-BUSUNJU'!M40,'13.08 KAMPALA-BUSUNJU'!M40,'14.08 KAMPALA-BUSUNJU'!M40,'15.08 KAMPALA-BUSUNJU'!M40),0)</f>
        <v>5</v>
      </c>
      <c r="N88" s="50">
        <f>ROUND(0.4*AVERAGE('11.08 KAMPALA-BUSUNJU'!N40,'12.08 KAMPALA-BUSUNJU'!N40,'13.08 KAMPALA-BUSUNJU'!N40,'14.08 KAMPALA-BUSUNJU'!N40,'15.08 KAMPALA-BUSUNJU'!N40),0)</f>
        <v>0</v>
      </c>
      <c r="O88" s="15">
        <f t="shared" si="35"/>
        <v>1</v>
      </c>
      <c r="P88" s="15">
        <f t="shared" si="36"/>
        <v>6</v>
      </c>
      <c r="R88" s="8"/>
      <c r="T88"/>
    </row>
    <row r="89" spans="2:20" ht="23.1" customHeight="1" x14ac:dyDescent="0.25">
      <c r="B89" s="45" t="s">
        <v>129</v>
      </c>
      <c r="C89" s="50">
        <f>ROUND(0.4*AVERAGE('11.08 KAMPALA-BUSUNJU'!C41,'12.08 KAMPALA-BUSUNJU'!C41,'13.08 KAMPALA-BUSUNJU'!C41,'14.08 KAMPALA-BUSUNJU'!C41,'15.08 KAMPALA-BUSUNJU'!C41),0)</f>
        <v>0</v>
      </c>
      <c r="D89" s="50">
        <f>ROUND(0.4*AVERAGE('11.08 KAMPALA-BUSUNJU'!D41,'12.08 KAMPALA-BUSUNJU'!D41,'13.08 KAMPALA-BUSUNJU'!D41,'14.08 KAMPALA-BUSUNJU'!D41,'15.08 KAMPALA-BUSUNJU'!D41),0)</f>
        <v>0</v>
      </c>
      <c r="E89" s="50">
        <f>ROUND(0.4*AVERAGE('11.08 KAMPALA-BUSUNJU'!E41,'12.08 KAMPALA-BUSUNJU'!E41,'13.08 KAMPALA-BUSUNJU'!E41,'14.08 KAMPALA-BUSUNJU'!E41,'15.08 KAMPALA-BUSUNJU'!E41),0)</f>
        <v>0</v>
      </c>
      <c r="F89" s="50">
        <f>ROUND(0.4*AVERAGE('11.08 KAMPALA-BUSUNJU'!F41,'12.08 KAMPALA-BUSUNJU'!F41,'13.08 KAMPALA-BUSUNJU'!F41,'14.08 KAMPALA-BUSUNJU'!F41,'15.08 KAMPALA-BUSUNJU'!F41),0)</f>
        <v>0</v>
      </c>
      <c r="G89" s="50">
        <f>ROUND(0.4*AVERAGE('11.08 KAMPALA-BUSUNJU'!G41,'12.08 KAMPALA-BUSUNJU'!G41,'13.08 KAMPALA-BUSUNJU'!G41,'14.08 KAMPALA-BUSUNJU'!G41,'15.08 KAMPALA-BUSUNJU'!G41),0)</f>
        <v>0</v>
      </c>
      <c r="H89" s="50">
        <f>ROUND(0.4*AVERAGE('11.08 KAMPALA-BUSUNJU'!H41,'12.08 KAMPALA-BUSUNJU'!H41,'13.08 KAMPALA-BUSUNJU'!H41,'14.08 KAMPALA-BUSUNJU'!H41,'15.08 KAMPALA-BUSUNJU'!H41),0)</f>
        <v>0</v>
      </c>
      <c r="I89" s="50">
        <f>ROUND(0.4*AVERAGE('11.08 KAMPALA-BUSUNJU'!I41,'12.08 KAMPALA-BUSUNJU'!I41,'13.08 KAMPALA-BUSUNJU'!I41,'14.08 KAMPALA-BUSUNJU'!I41,'15.08 KAMPALA-BUSUNJU'!I41),0)</f>
        <v>1</v>
      </c>
      <c r="J89" s="50">
        <f>ROUND(0.4*AVERAGE('11.08 KAMPALA-BUSUNJU'!J41,'12.08 KAMPALA-BUSUNJU'!J41,'13.08 KAMPALA-BUSUNJU'!J41,'14.08 KAMPALA-BUSUNJU'!J41,'15.08 KAMPALA-BUSUNJU'!J41),0)</f>
        <v>0</v>
      </c>
      <c r="K89" s="50">
        <f>ROUND(0.4*AVERAGE('11.08 KAMPALA-BUSUNJU'!K41,'12.08 KAMPALA-BUSUNJU'!K41,'13.08 KAMPALA-BUSUNJU'!K41,'14.08 KAMPALA-BUSUNJU'!K41,'15.08 KAMPALA-BUSUNJU'!K41),0)</f>
        <v>0</v>
      </c>
      <c r="L89" s="50">
        <f>ROUND(0.4*AVERAGE('11.08 KAMPALA-BUSUNJU'!L41,'12.08 KAMPALA-BUSUNJU'!L41,'13.08 KAMPALA-BUSUNJU'!L41,'14.08 KAMPALA-BUSUNJU'!L41,'15.08 KAMPALA-BUSUNJU'!L41),0)</f>
        <v>0</v>
      </c>
      <c r="M89" s="50">
        <f>ROUND(0.4*AVERAGE('11.08 KAMPALA-BUSUNJU'!M41,'12.08 KAMPALA-BUSUNJU'!M41,'13.08 KAMPALA-BUSUNJU'!M41,'14.08 KAMPALA-BUSUNJU'!M41,'15.08 KAMPALA-BUSUNJU'!M41),0)</f>
        <v>6</v>
      </c>
      <c r="N89" s="50">
        <f>ROUND(0.4*AVERAGE('11.08 KAMPALA-BUSUNJU'!N41,'12.08 KAMPALA-BUSUNJU'!N41,'13.08 KAMPALA-BUSUNJU'!N41,'14.08 KAMPALA-BUSUNJU'!N41,'15.08 KAMPALA-BUSUNJU'!N41),0)</f>
        <v>0</v>
      </c>
      <c r="O89" s="15">
        <f t="shared" si="35"/>
        <v>1</v>
      </c>
      <c r="P89" s="15">
        <f t="shared" si="36"/>
        <v>7</v>
      </c>
      <c r="R89" s="8"/>
      <c r="T89"/>
    </row>
    <row r="90" spans="2:20" ht="23.1" customHeight="1" x14ac:dyDescent="0.25">
      <c r="B90" s="46" t="s">
        <v>130</v>
      </c>
      <c r="C90" s="50">
        <f>ROUND(0.2*AVERAGE('11.08 KAMPALA-BUSUNJU'!C42,'12.08 KAMPALA-BUSUNJU'!C42,'13.08 KAMPALA-BUSUNJU'!C42,'14.08 KAMPALA-BUSUNJU'!C42,'15.08 KAMPALA-BUSUNJU'!C42),0)</f>
        <v>0</v>
      </c>
      <c r="D90" s="50">
        <f>ROUND(0.2*AVERAGE('11.08 KAMPALA-BUSUNJU'!D42,'12.08 KAMPALA-BUSUNJU'!D42,'13.08 KAMPALA-BUSUNJU'!D42,'14.08 KAMPALA-BUSUNJU'!D42,'15.08 KAMPALA-BUSUNJU'!D42),0)</f>
        <v>0</v>
      </c>
      <c r="E90" s="50">
        <f>ROUND(0.2*AVERAGE('11.08 KAMPALA-BUSUNJU'!E42,'12.08 KAMPALA-BUSUNJU'!E42,'13.08 KAMPALA-BUSUNJU'!E42,'14.08 KAMPALA-BUSUNJU'!E42,'15.08 KAMPALA-BUSUNJU'!E42),0)</f>
        <v>0</v>
      </c>
      <c r="F90" s="50">
        <f>ROUND(0.2*AVERAGE('11.08 KAMPALA-BUSUNJU'!F42,'12.08 KAMPALA-BUSUNJU'!F42,'13.08 KAMPALA-BUSUNJU'!F42,'14.08 KAMPALA-BUSUNJU'!F42,'15.08 KAMPALA-BUSUNJU'!F42),0)</f>
        <v>0</v>
      </c>
      <c r="G90" s="50">
        <f>ROUND(0.2*AVERAGE('11.08 KAMPALA-BUSUNJU'!G42,'12.08 KAMPALA-BUSUNJU'!G42,'13.08 KAMPALA-BUSUNJU'!G42,'14.08 KAMPALA-BUSUNJU'!G42,'15.08 KAMPALA-BUSUNJU'!G42),0)</f>
        <v>0</v>
      </c>
      <c r="H90" s="50">
        <f>ROUND(0.2*AVERAGE('11.08 KAMPALA-BUSUNJU'!H42,'12.08 KAMPALA-BUSUNJU'!H42,'13.08 KAMPALA-BUSUNJU'!H42,'14.08 KAMPALA-BUSUNJU'!H42,'15.08 KAMPALA-BUSUNJU'!H42),0)</f>
        <v>0</v>
      </c>
      <c r="I90" s="50">
        <f>ROUND(0.2*AVERAGE('11.08 KAMPALA-BUSUNJU'!I42,'12.08 KAMPALA-BUSUNJU'!I42,'13.08 KAMPALA-BUSUNJU'!I42,'14.08 KAMPALA-BUSUNJU'!I42,'15.08 KAMPALA-BUSUNJU'!I42),0)</f>
        <v>0</v>
      </c>
      <c r="J90" s="50">
        <f>ROUND(0.2*AVERAGE('11.08 KAMPALA-BUSUNJU'!J42,'12.08 KAMPALA-BUSUNJU'!J42,'13.08 KAMPALA-BUSUNJU'!J42,'14.08 KAMPALA-BUSUNJU'!J42,'15.08 KAMPALA-BUSUNJU'!J42),0)</f>
        <v>0</v>
      </c>
      <c r="K90" s="50">
        <f>ROUND(0.2*AVERAGE('11.08 KAMPALA-BUSUNJU'!K42,'12.08 KAMPALA-BUSUNJU'!K42,'13.08 KAMPALA-BUSUNJU'!K42,'14.08 KAMPALA-BUSUNJU'!K42,'15.08 KAMPALA-BUSUNJU'!K42),0)</f>
        <v>0</v>
      </c>
      <c r="L90" s="50">
        <f>ROUND(0.2*AVERAGE('11.08 KAMPALA-BUSUNJU'!L42,'12.08 KAMPALA-BUSUNJU'!L42,'13.08 KAMPALA-BUSUNJU'!L42,'14.08 KAMPALA-BUSUNJU'!L42,'15.08 KAMPALA-BUSUNJU'!L42),0)</f>
        <v>0</v>
      </c>
      <c r="M90" s="50">
        <f>ROUND(0.2*AVERAGE('11.08 KAMPALA-BUSUNJU'!M42,'12.08 KAMPALA-BUSUNJU'!M42,'13.08 KAMPALA-BUSUNJU'!M42,'14.08 KAMPALA-BUSUNJU'!M42,'15.08 KAMPALA-BUSUNJU'!M42),0)</f>
        <v>3</v>
      </c>
      <c r="N90" s="50">
        <f>ROUND(0.2*AVERAGE('11.08 KAMPALA-BUSUNJU'!N42,'12.08 KAMPALA-BUSUNJU'!N42,'13.08 KAMPALA-BUSUNJU'!N42,'14.08 KAMPALA-BUSUNJU'!N42,'15.08 KAMPALA-BUSUNJU'!N42),0)</f>
        <v>0</v>
      </c>
      <c r="O90" s="15">
        <f t="shared" si="35"/>
        <v>0</v>
      </c>
      <c r="P90" s="15">
        <f t="shared" si="36"/>
        <v>3</v>
      </c>
      <c r="R90" s="8"/>
      <c r="T90"/>
    </row>
    <row r="91" spans="2:20" ht="23.1" customHeight="1" x14ac:dyDescent="0.25">
      <c r="B91" s="45" t="s">
        <v>131</v>
      </c>
      <c r="C91" s="50">
        <f>ROUND(0.2*AVERAGE('11.08 KAMPALA-BUSUNJU'!C43,'12.08 KAMPALA-BUSUNJU'!C43,'13.08 KAMPALA-BUSUNJU'!C43,'14.08 KAMPALA-BUSUNJU'!C43,'15.08 KAMPALA-BUSUNJU'!C43),0)</f>
        <v>0</v>
      </c>
      <c r="D91" s="50">
        <f>ROUND(0.2*AVERAGE('11.08 KAMPALA-BUSUNJU'!D43,'12.08 KAMPALA-BUSUNJU'!D43,'13.08 KAMPALA-BUSUNJU'!D43,'14.08 KAMPALA-BUSUNJU'!D43,'15.08 KAMPALA-BUSUNJU'!D43),0)</f>
        <v>0</v>
      </c>
      <c r="E91" s="50">
        <f>ROUND(0.2*AVERAGE('11.08 KAMPALA-BUSUNJU'!E43,'12.08 KAMPALA-BUSUNJU'!E43,'13.08 KAMPALA-BUSUNJU'!E43,'14.08 KAMPALA-BUSUNJU'!E43,'15.08 KAMPALA-BUSUNJU'!E43),0)</f>
        <v>0</v>
      </c>
      <c r="F91" s="50">
        <f>ROUND(0.2*AVERAGE('11.08 KAMPALA-BUSUNJU'!F43,'12.08 KAMPALA-BUSUNJU'!F43,'13.08 KAMPALA-BUSUNJU'!F43,'14.08 KAMPALA-BUSUNJU'!F43,'15.08 KAMPALA-BUSUNJU'!F43),0)</f>
        <v>0</v>
      </c>
      <c r="G91" s="50">
        <f>ROUND(0.2*AVERAGE('11.08 KAMPALA-BUSUNJU'!G43,'12.08 KAMPALA-BUSUNJU'!G43,'13.08 KAMPALA-BUSUNJU'!G43,'14.08 KAMPALA-BUSUNJU'!G43,'15.08 KAMPALA-BUSUNJU'!G43),0)</f>
        <v>0</v>
      </c>
      <c r="H91" s="50">
        <f>ROUND(0.2*AVERAGE('11.08 KAMPALA-BUSUNJU'!H43,'12.08 KAMPALA-BUSUNJU'!H43,'13.08 KAMPALA-BUSUNJU'!H43,'14.08 KAMPALA-BUSUNJU'!H43,'15.08 KAMPALA-BUSUNJU'!H43),0)</f>
        <v>0</v>
      </c>
      <c r="I91" s="50">
        <f>ROUND(0.2*AVERAGE('11.08 KAMPALA-BUSUNJU'!I43,'12.08 KAMPALA-BUSUNJU'!I43,'13.08 KAMPALA-BUSUNJU'!I43,'14.08 KAMPALA-BUSUNJU'!I43,'15.08 KAMPALA-BUSUNJU'!I43),0)</f>
        <v>0</v>
      </c>
      <c r="J91" s="50">
        <f>ROUND(0.2*AVERAGE('11.08 KAMPALA-BUSUNJU'!J43,'12.08 KAMPALA-BUSUNJU'!J43,'13.08 KAMPALA-BUSUNJU'!J43,'14.08 KAMPALA-BUSUNJU'!J43,'15.08 KAMPALA-BUSUNJU'!J43),0)</f>
        <v>0</v>
      </c>
      <c r="K91" s="50">
        <f>ROUND(0.2*AVERAGE('11.08 KAMPALA-BUSUNJU'!K43,'12.08 KAMPALA-BUSUNJU'!K43,'13.08 KAMPALA-BUSUNJU'!K43,'14.08 KAMPALA-BUSUNJU'!K43,'15.08 KAMPALA-BUSUNJU'!K43),0)</f>
        <v>0</v>
      </c>
      <c r="L91" s="50">
        <f>ROUND(0.2*AVERAGE('11.08 KAMPALA-BUSUNJU'!L43,'12.08 KAMPALA-BUSUNJU'!L43,'13.08 KAMPALA-BUSUNJU'!L43,'14.08 KAMPALA-BUSUNJU'!L43,'15.08 KAMPALA-BUSUNJU'!L43),0)</f>
        <v>0</v>
      </c>
      <c r="M91" s="50">
        <f>ROUND(0.2*AVERAGE('11.08 KAMPALA-BUSUNJU'!M43,'12.08 KAMPALA-BUSUNJU'!M43,'13.08 KAMPALA-BUSUNJU'!M43,'14.08 KAMPALA-BUSUNJU'!M43,'15.08 KAMPALA-BUSUNJU'!M43),0)</f>
        <v>3</v>
      </c>
      <c r="N91" s="50">
        <f>ROUND(0.2*AVERAGE('11.08 KAMPALA-BUSUNJU'!N43,'12.08 KAMPALA-BUSUNJU'!N43,'13.08 KAMPALA-BUSUNJU'!N43,'14.08 KAMPALA-BUSUNJU'!N43,'15.08 KAMPALA-BUSUNJU'!N43),0)</f>
        <v>0</v>
      </c>
      <c r="O91" s="15">
        <f t="shared" si="35"/>
        <v>0</v>
      </c>
      <c r="P91" s="15">
        <f t="shared" si="36"/>
        <v>3</v>
      </c>
      <c r="R91" s="8"/>
      <c r="T91"/>
    </row>
    <row r="92" spans="2:20" ht="23.1" customHeight="1" x14ac:dyDescent="0.25">
      <c r="B92" s="47" t="s">
        <v>132</v>
      </c>
      <c r="C92" s="50">
        <f>ROUND(0.2*AVERAGE('11.08 KAMPALA-BUSUNJU'!C44,'12.08 KAMPALA-BUSUNJU'!C44,'13.08 KAMPALA-BUSUNJU'!C44,'14.08 KAMPALA-BUSUNJU'!C44,'15.08 KAMPALA-BUSUNJU'!C44),0)</f>
        <v>0</v>
      </c>
      <c r="D92" s="50">
        <f>ROUND(0.2*AVERAGE('11.08 KAMPALA-BUSUNJU'!D44,'12.08 KAMPALA-BUSUNJU'!D44,'13.08 KAMPALA-BUSUNJU'!D44,'14.08 KAMPALA-BUSUNJU'!D44,'15.08 KAMPALA-BUSUNJU'!D44),0)</f>
        <v>0</v>
      </c>
      <c r="E92" s="50">
        <f>ROUND(0.2*AVERAGE('11.08 KAMPALA-BUSUNJU'!E44,'12.08 KAMPALA-BUSUNJU'!E44,'13.08 KAMPALA-BUSUNJU'!E44,'14.08 KAMPALA-BUSUNJU'!E44,'15.08 KAMPALA-BUSUNJU'!E44),0)</f>
        <v>0</v>
      </c>
      <c r="F92" s="50">
        <f>ROUND(0.2*AVERAGE('11.08 KAMPALA-BUSUNJU'!F44,'12.08 KAMPALA-BUSUNJU'!F44,'13.08 KAMPALA-BUSUNJU'!F44,'14.08 KAMPALA-BUSUNJU'!F44,'15.08 KAMPALA-BUSUNJU'!F44),0)</f>
        <v>0</v>
      </c>
      <c r="G92" s="50">
        <f>ROUND(0.2*AVERAGE('11.08 KAMPALA-BUSUNJU'!G44,'12.08 KAMPALA-BUSUNJU'!G44,'13.08 KAMPALA-BUSUNJU'!G44,'14.08 KAMPALA-BUSUNJU'!G44,'15.08 KAMPALA-BUSUNJU'!G44),0)</f>
        <v>0</v>
      </c>
      <c r="H92" s="50">
        <f>ROUND(0.2*AVERAGE('11.08 KAMPALA-BUSUNJU'!H44,'12.08 KAMPALA-BUSUNJU'!H44,'13.08 KAMPALA-BUSUNJU'!H44,'14.08 KAMPALA-BUSUNJU'!H44,'15.08 KAMPALA-BUSUNJU'!H44),0)</f>
        <v>0</v>
      </c>
      <c r="I92" s="50">
        <f>ROUND(0.2*AVERAGE('11.08 KAMPALA-BUSUNJU'!I44,'12.08 KAMPALA-BUSUNJU'!I44,'13.08 KAMPALA-BUSUNJU'!I44,'14.08 KAMPALA-BUSUNJU'!I44,'15.08 KAMPALA-BUSUNJU'!I44),0)</f>
        <v>0</v>
      </c>
      <c r="J92" s="50">
        <f>ROUND(0.2*AVERAGE('11.08 KAMPALA-BUSUNJU'!J44,'12.08 KAMPALA-BUSUNJU'!J44,'13.08 KAMPALA-BUSUNJU'!J44,'14.08 KAMPALA-BUSUNJU'!J44,'15.08 KAMPALA-BUSUNJU'!J44),0)</f>
        <v>0</v>
      </c>
      <c r="K92" s="50">
        <f>ROUND(0.2*AVERAGE('11.08 KAMPALA-BUSUNJU'!K44,'12.08 KAMPALA-BUSUNJU'!K44,'13.08 KAMPALA-BUSUNJU'!K44,'14.08 KAMPALA-BUSUNJU'!K44,'15.08 KAMPALA-BUSUNJU'!K44),0)</f>
        <v>0</v>
      </c>
      <c r="L92" s="50">
        <f>ROUND(0.2*AVERAGE('11.08 KAMPALA-BUSUNJU'!L44,'12.08 KAMPALA-BUSUNJU'!L44,'13.08 KAMPALA-BUSUNJU'!L44,'14.08 KAMPALA-BUSUNJU'!L44,'15.08 KAMPALA-BUSUNJU'!L44),0)</f>
        <v>0</v>
      </c>
      <c r="M92" s="50">
        <f>ROUND(0.2*AVERAGE('11.08 KAMPALA-BUSUNJU'!M44,'12.08 KAMPALA-BUSUNJU'!M44,'13.08 KAMPALA-BUSUNJU'!M44,'14.08 KAMPALA-BUSUNJU'!M44,'15.08 KAMPALA-BUSUNJU'!M44),0)</f>
        <v>2</v>
      </c>
      <c r="N92" s="50">
        <f>ROUND(0.2*AVERAGE('11.08 KAMPALA-BUSUNJU'!N44,'12.08 KAMPALA-BUSUNJU'!N44,'13.08 KAMPALA-BUSUNJU'!N44,'14.08 KAMPALA-BUSUNJU'!N44,'15.08 KAMPALA-BUSUNJU'!N44),0)</f>
        <v>0</v>
      </c>
      <c r="O92" s="15">
        <f t="shared" si="35"/>
        <v>0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f>ROUND(0.2*AVERAGE('11.08 KAMPALA-BUSUNJU'!C45,'12.08 KAMPALA-BUSUNJU'!C45,'13.08 KAMPALA-BUSUNJU'!C45,'14.08 KAMPALA-BUSUNJU'!C45,'15.08 KAMPALA-BUSUNJU'!C45),0)</f>
        <v>0</v>
      </c>
      <c r="D93" s="50">
        <f>ROUND(0.2*AVERAGE('11.08 KAMPALA-BUSUNJU'!D45,'12.08 KAMPALA-BUSUNJU'!D45,'13.08 KAMPALA-BUSUNJU'!D45,'14.08 KAMPALA-BUSUNJU'!D45,'15.08 KAMPALA-BUSUNJU'!D45),0)</f>
        <v>0</v>
      </c>
      <c r="E93" s="50">
        <f>ROUND(0.2*AVERAGE('11.08 KAMPALA-BUSUNJU'!E45,'12.08 KAMPALA-BUSUNJU'!E45,'13.08 KAMPALA-BUSUNJU'!E45,'14.08 KAMPALA-BUSUNJU'!E45,'15.08 KAMPALA-BUSUNJU'!E45),0)</f>
        <v>0</v>
      </c>
      <c r="F93" s="50">
        <f>ROUND(0.2*AVERAGE('11.08 KAMPALA-BUSUNJU'!F45,'12.08 KAMPALA-BUSUNJU'!F45,'13.08 KAMPALA-BUSUNJU'!F45,'14.08 KAMPALA-BUSUNJU'!F45,'15.08 KAMPALA-BUSUNJU'!F45),0)</f>
        <v>0</v>
      </c>
      <c r="G93" s="50">
        <f>ROUND(0.2*AVERAGE('11.08 KAMPALA-BUSUNJU'!G45,'12.08 KAMPALA-BUSUNJU'!G45,'13.08 KAMPALA-BUSUNJU'!G45,'14.08 KAMPALA-BUSUNJU'!G45,'15.08 KAMPALA-BUSUNJU'!G45),0)</f>
        <v>0</v>
      </c>
      <c r="H93" s="50">
        <f>ROUND(0.2*AVERAGE('11.08 KAMPALA-BUSUNJU'!H45,'12.08 KAMPALA-BUSUNJU'!H45,'13.08 KAMPALA-BUSUNJU'!H45,'14.08 KAMPALA-BUSUNJU'!H45,'15.08 KAMPALA-BUSUNJU'!H45),0)</f>
        <v>0</v>
      </c>
      <c r="I93" s="50">
        <f>ROUND(0.2*AVERAGE('11.08 KAMPALA-BUSUNJU'!I45,'12.08 KAMPALA-BUSUNJU'!I45,'13.08 KAMPALA-BUSUNJU'!I45,'14.08 KAMPALA-BUSUNJU'!I45,'15.08 KAMPALA-BUSUNJU'!I45),0)</f>
        <v>0</v>
      </c>
      <c r="J93" s="50">
        <f>ROUND(0.2*AVERAGE('11.08 KAMPALA-BUSUNJU'!J45,'12.08 KAMPALA-BUSUNJU'!J45,'13.08 KAMPALA-BUSUNJU'!J45,'14.08 KAMPALA-BUSUNJU'!J45,'15.08 KAMPALA-BUSUNJU'!J45),0)</f>
        <v>0</v>
      </c>
      <c r="K93" s="50">
        <f>ROUND(0.2*AVERAGE('11.08 KAMPALA-BUSUNJU'!K45,'12.08 KAMPALA-BUSUNJU'!K45,'13.08 KAMPALA-BUSUNJU'!K45,'14.08 KAMPALA-BUSUNJU'!K45,'15.08 KAMPALA-BUSUNJU'!K45),0)</f>
        <v>0</v>
      </c>
      <c r="L93" s="50">
        <f>ROUND(0.2*AVERAGE('11.08 KAMPALA-BUSUNJU'!L45,'12.08 KAMPALA-BUSUNJU'!L45,'13.08 KAMPALA-BUSUNJU'!L45,'14.08 KAMPALA-BUSUNJU'!L45,'15.08 KAMPALA-BUSUNJU'!L45),0)</f>
        <v>0</v>
      </c>
      <c r="M93" s="50">
        <f>ROUND(0.2*AVERAGE('11.08 KAMPALA-BUSUNJU'!M45,'12.08 KAMPALA-BUSUNJU'!M45,'13.08 KAMPALA-BUSUNJU'!M45,'14.08 KAMPALA-BUSUNJU'!M45,'15.08 KAMPALA-BUSUNJU'!M45),0)</f>
        <v>3</v>
      </c>
      <c r="N93" s="50">
        <f>ROUND(0.2*AVERAGE('11.08 KAMPALA-BUSUNJU'!N45,'12.08 KAMPALA-BUSUNJU'!N45,'13.08 KAMPALA-BUSUNJU'!N45,'14.08 KAMPALA-BUSUNJU'!N45,'15.08 KAMPALA-BUSUNJU'!N45),0)</f>
        <v>0</v>
      </c>
      <c r="O93" s="15">
        <f t="shared" si="35"/>
        <v>0</v>
      </c>
      <c r="P93" s="15">
        <f t="shared" si="36"/>
        <v>3</v>
      </c>
      <c r="R93" s="8"/>
      <c r="T93"/>
    </row>
    <row r="94" spans="2:20" ht="23.1" customHeight="1" x14ac:dyDescent="0.25">
      <c r="B94" s="46" t="s">
        <v>134</v>
      </c>
      <c r="C94" s="50">
        <f>ROUND(0.2*AVERAGE('11.08 KAMPALA-BUSUNJU'!C46,'12.08 KAMPALA-BUSUNJU'!C46,'13.08 KAMPALA-BUSUNJU'!C46,'14.08 KAMPALA-BUSUNJU'!C46,'15.08 KAMPALA-BUSUNJU'!C46),0)</f>
        <v>0</v>
      </c>
      <c r="D94" s="50">
        <f>ROUND(0.2*AVERAGE('11.08 KAMPALA-BUSUNJU'!D46,'12.08 KAMPALA-BUSUNJU'!D46,'13.08 KAMPALA-BUSUNJU'!D46,'14.08 KAMPALA-BUSUNJU'!D46,'15.08 KAMPALA-BUSUNJU'!D46),0)</f>
        <v>0</v>
      </c>
      <c r="E94" s="50">
        <f>ROUND(0.2*AVERAGE('11.08 KAMPALA-BUSUNJU'!E46,'12.08 KAMPALA-BUSUNJU'!E46,'13.08 KAMPALA-BUSUNJU'!E46,'14.08 KAMPALA-BUSUNJU'!E46,'15.08 KAMPALA-BUSUNJU'!E46),0)</f>
        <v>0</v>
      </c>
      <c r="F94" s="50">
        <f>ROUND(0.2*AVERAGE('11.08 KAMPALA-BUSUNJU'!F46,'12.08 KAMPALA-BUSUNJU'!F46,'13.08 KAMPALA-BUSUNJU'!F46,'14.08 KAMPALA-BUSUNJU'!F46,'15.08 KAMPALA-BUSUNJU'!F46),0)</f>
        <v>0</v>
      </c>
      <c r="G94" s="50">
        <f>ROUND(0.2*AVERAGE('11.08 KAMPALA-BUSUNJU'!G46,'12.08 KAMPALA-BUSUNJU'!G46,'13.08 KAMPALA-BUSUNJU'!G46,'14.08 KAMPALA-BUSUNJU'!G46,'15.08 KAMPALA-BUSUNJU'!G46),0)</f>
        <v>0</v>
      </c>
      <c r="H94" s="50">
        <f>ROUND(0.2*AVERAGE('11.08 KAMPALA-BUSUNJU'!H46,'12.08 KAMPALA-BUSUNJU'!H46,'13.08 KAMPALA-BUSUNJU'!H46,'14.08 KAMPALA-BUSUNJU'!H46,'15.08 KAMPALA-BUSUNJU'!H46),0)</f>
        <v>0</v>
      </c>
      <c r="I94" s="50">
        <f>ROUND(0.2*AVERAGE('11.08 KAMPALA-BUSUNJU'!I46,'12.08 KAMPALA-BUSUNJU'!I46,'13.08 KAMPALA-BUSUNJU'!I46,'14.08 KAMPALA-BUSUNJU'!I46,'15.08 KAMPALA-BUSUNJU'!I46),0)</f>
        <v>0</v>
      </c>
      <c r="J94" s="50">
        <f>ROUND(0.2*AVERAGE('11.08 KAMPALA-BUSUNJU'!J46,'12.08 KAMPALA-BUSUNJU'!J46,'13.08 KAMPALA-BUSUNJU'!J46,'14.08 KAMPALA-BUSUNJU'!J46,'15.08 KAMPALA-BUSUNJU'!J46),0)</f>
        <v>0</v>
      </c>
      <c r="K94" s="50">
        <f>ROUND(0.2*AVERAGE('11.08 KAMPALA-BUSUNJU'!K46,'12.08 KAMPALA-BUSUNJU'!K46,'13.08 KAMPALA-BUSUNJU'!K46,'14.08 KAMPALA-BUSUNJU'!K46,'15.08 KAMPALA-BUSUNJU'!K46),0)</f>
        <v>0</v>
      </c>
      <c r="L94" s="50">
        <f>ROUND(0.2*AVERAGE('11.08 KAMPALA-BUSUNJU'!L46,'12.08 KAMPALA-BUSUNJU'!L46,'13.08 KAMPALA-BUSUNJU'!L46,'14.08 KAMPALA-BUSUNJU'!L46,'15.08 KAMPALA-BUSUNJU'!L46),0)</f>
        <v>0</v>
      </c>
      <c r="M94" s="50">
        <f>ROUND(0.2*AVERAGE('11.08 KAMPALA-BUSUNJU'!M46,'12.08 KAMPALA-BUSUNJU'!M46,'13.08 KAMPALA-BUSUNJU'!M46,'14.08 KAMPALA-BUSUNJU'!M46,'15.08 KAMPALA-BUSUNJU'!M46),0)</f>
        <v>3</v>
      </c>
      <c r="N94" s="50">
        <f>ROUND(0.2*AVERAGE('11.08 KAMPALA-BUSUNJU'!N46,'12.08 KAMPALA-BUSUNJU'!N46,'13.08 KAMPALA-BUSUNJU'!N46,'14.08 KAMPALA-BUSUNJU'!N46,'15.08 KAMPALA-BUSUNJU'!N46),0)</f>
        <v>0</v>
      </c>
      <c r="O94" s="15">
        <f t="shared" si="35"/>
        <v>0</v>
      </c>
      <c r="P94" s="15">
        <f t="shared" si="36"/>
        <v>3</v>
      </c>
      <c r="R94" s="8"/>
      <c r="T94"/>
    </row>
    <row r="95" spans="2:20" ht="23.1" customHeight="1" x14ac:dyDescent="0.25">
      <c r="B95" s="45" t="s">
        <v>135</v>
      </c>
      <c r="C95" s="50">
        <f>ROUND(0.2*AVERAGE('11.08 KAMPALA-BUSUNJU'!C47,'12.08 KAMPALA-BUSUNJU'!C47,'13.08 KAMPALA-BUSUNJU'!C47,'14.08 KAMPALA-BUSUNJU'!C47,'15.08 KAMPALA-BUSUNJU'!C47),0)</f>
        <v>0</v>
      </c>
      <c r="D95" s="50">
        <f>ROUND(0.2*AVERAGE('11.08 KAMPALA-BUSUNJU'!D47,'12.08 KAMPALA-BUSUNJU'!D47,'13.08 KAMPALA-BUSUNJU'!D47,'14.08 KAMPALA-BUSUNJU'!D47,'15.08 KAMPALA-BUSUNJU'!D47),0)</f>
        <v>0</v>
      </c>
      <c r="E95" s="50">
        <f>ROUND(0.2*AVERAGE('11.08 KAMPALA-BUSUNJU'!E47,'12.08 KAMPALA-BUSUNJU'!E47,'13.08 KAMPALA-BUSUNJU'!E47,'14.08 KAMPALA-BUSUNJU'!E47,'15.08 KAMPALA-BUSUNJU'!E47),0)</f>
        <v>0</v>
      </c>
      <c r="F95" s="50">
        <f>ROUND(0.2*AVERAGE('11.08 KAMPALA-BUSUNJU'!F47,'12.08 KAMPALA-BUSUNJU'!F47,'13.08 KAMPALA-BUSUNJU'!F47,'14.08 KAMPALA-BUSUNJU'!F47,'15.08 KAMPALA-BUSUNJU'!F47),0)</f>
        <v>0</v>
      </c>
      <c r="G95" s="50">
        <f>ROUND(0.2*AVERAGE('11.08 KAMPALA-BUSUNJU'!G47,'12.08 KAMPALA-BUSUNJU'!G47,'13.08 KAMPALA-BUSUNJU'!G47,'14.08 KAMPALA-BUSUNJU'!G47,'15.08 KAMPALA-BUSUNJU'!G47),0)</f>
        <v>0</v>
      </c>
      <c r="H95" s="50">
        <f>ROUND(0.2*AVERAGE('11.08 KAMPALA-BUSUNJU'!H47,'12.08 KAMPALA-BUSUNJU'!H47,'13.08 KAMPALA-BUSUNJU'!H47,'14.08 KAMPALA-BUSUNJU'!H47,'15.08 KAMPALA-BUSUNJU'!H47),0)</f>
        <v>0</v>
      </c>
      <c r="I95" s="50">
        <f>ROUND(0.2*AVERAGE('11.08 KAMPALA-BUSUNJU'!I47,'12.08 KAMPALA-BUSUNJU'!I47,'13.08 KAMPALA-BUSUNJU'!I47,'14.08 KAMPALA-BUSUNJU'!I47,'15.08 KAMPALA-BUSUNJU'!I47),0)</f>
        <v>0</v>
      </c>
      <c r="J95" s="50">
        <f>ROUND(0.2*AVERAGE('11.08 KAMPALA-BUSUNJU'!J47,'12.08 KAMPALA-BUSUNJU'!J47,'13.08 KAMPALA-BUSUNJU'!J47,'14.08 KAMPALA-BUSUNJU'!J47,'15.08 KAMPALA-BUSUNJU'!J47),0)</f>
        <v>0</v>
      </c>
      <c r="K95" s="50">
        <f>ROUND(0.2*AVERAGE('11.08 KAMPALA-BUSUNJU'!K47,'12.08 KAMPALA-BUSUNJU'!K47,'13.08 KAMPALA-BUSUNJU'!K47,'14.08 KAMPALA-BUSUNJU'!K47,'15.08 KAMPALA-BUSUNJU'!K47),0)</f>
        <v>0</v>
      </c>
      <c r="L95" s="50">
        <f>ROUND(0.2*AVERAGE('11.08 KAMPALA-BUSUNJU'!L47,'12.08 KAMPALA-BUSUNJU'!L47,'13.08 KAMPALA-BUSUNJU'!L47,'14.08 KAMPALA-BUSUNJU'!L47,'15.08 KAMPALA-BUSUNJU'!L47),0)</f>
        <v>0</v>
      </c>
      <c r="M95" s="50">
        <f>ROUND(0.2*AVERAGE('11.08 KAMPALA-BUSUNJU'!M47,'12.08 KAMPALA-BUSUNJU'!M47,'13.08 KAMPALA-BUSUNJU'!M47,'14.08 KAMPALA-BUSUNJU'!M47,'15.08 KAMPALA-BUSUNJU'!M47),0)</f>
        <v>3</v>
      </c>
      <c r="N95" s="50">
        <f>ROUND(0.2*AVERAGE('11.08 KAMPALA-BUSUNJU'!N47,'12.08 KAMPALA-BUSUNJU'!N47,'13.08 KAMPALA-BUSUNJU'!N47,'14.08 KAMPALA-BUSUNJU'!N47,'15.08 KAMPALA-BUSUNJU'!N47),0)</f>
        <v>0</v>
      </c>
      <c r="O95" s="15">
        <f t="shared" si="35"/>
        <v>0</v>
      </c>
      <c r="P95" s="15">
        <f t="shared" si="36"/>
        <v>3</v>
      </c>
      <c r="R95" s="8"/>
      <c r="T95"/>
    </row>
    <row r="96" spans="2:20" ht="23.1" customHeight="1" x14ac:dyDescent="0.25">
      <c r="B96" s="47" t="s">
        <v>136</v>
      </c>
      <c r="C96" s="50">
        <f>ROUND(0.2*AVERAGE('11.08 KAMPALA-BUSUNJU'!C48,'12.08 KAMPALA-BUSUNJU'!C48,'13.08 KAMPALA-BUSUNJU'!C48,'14.08 KAMPALA-BUSUNJU'!C48,'15.08 KAMPALA-BUSUNJU'!C48),0)</f>
        <v>0</v>
      </c>
      <c r="D96" s="50">
        <f>ROUND(0.2*AVERAGE('11.08 KAMPALA-BUSUNJU'!D48,'12.08 KAMPALA-BUSUNJU'!D48,'13.08 KAMPALA-BUSUNJU'!D48,'14.08 KAMPALA-BUSUNJU'!D48,'15.08 KAMPALA-BUSUNJU'!D48),0)</f>
        <v>0</v>
      </c>
      <c r="E96" s="50">
        <f>ROUND(0.2*AVERAGE('11.08 KAMPALA-BUSUNJU'!E48,'12.08 KAMPALA-BUSUNJU'!E48,'13.08 KAMPALA-BUSUNJU'!E48,'14.08 KAMPALA-BUSUNJU'!E48,'15.08 KAMPALA-BUSUNJU'!E48),0)</f>
        <v>0</v>
      </c>
      <c r="F96" s="50">
        <f>ROUND(0.2*AVERAGE('11.08 KAMPALA-BUSUNJU'!F48,'12.08 KAMPALA-BUSUNJU'!F48,'13.08 KAMPALA-BUSUNJU'!F48,'14.08 KAMPALA-BUSUNJU'!F48,'15.08 KAMPALA-BUSUNJU'!F48),0)</f>
        <v>0</v>
      </c>
      <c r="G96" s="50">
        <f>ROUND(0.2*AVERAGE('11.08 KAMPALA-BUSUNJU'!G48,'12.08 KAMPALA-BUSUNJU'!G48,'13.08 KAMPALA-BUSUNJU'!G48,'14.08 KAMPALA-BUSUNJU'!G48,'15.08 KAMPALA-BUSUNJU'!G48),0)</f>
        <v>0</v>
      </c>
      <c r="H96" s="50">
        <f>ROUND(0.2*AVERAGE('11.08 KAMPALA-BUSUNJU'!H48,'12.08 KAMPALA-BUSUNJU'!H48,'13.08 KAMPALA-BUSUNJU'!H48,'14.08 KAMPALA-BUSUNJU'!H48,'15.08 KAMPALA-BUSUNJU'!H48),0)</f>
        <v>0</v>
      </c>
      <c r="I96" s="50">
        <f>ROUND(0.2*AVERAGE('11.08 KAMPALA-BUSUNJU'!I48,'12.08 KAMPALA-BUSUNJU'!I48,'13.08 KAMPALA-BUSUNJU'!I48,'14.08 KAMPALA-BUSUNJU'!I48,'15.08 KAMPALA-BUSUNJU'!I48),0)</f>
        <v>0</v>
      </c>
      <c r="J96" s="50">
        <f>ROUND(0.2*AVERAGE('11.08 KAMPALA-BUSUNJU'!J48,'12.08 KAMPALA-BUSUNJU'!J48,'13.08 KAMPALA-BUSUNJU'!J48,'14.08 KAMPALA-BUSUNJU'!J48,'15.08 KAMPALA-BUSUNJU'!J48),0)</f>
        <v>0</v>
      </c>
      <c r="K96" s="50">
        <f>ROUND(0.2*AVERAGE('11.08 KAMPALA-BUSUNJU'!K48,'12.08 KAMPALA-BUSUNJU'!K48,'13.08 KAMPALA-BUSUNJU'!K48,'14.08 KAMPALA-BUSUNJU'!K48,'15.08 KAMPALA-BUSUNJU'!K48),0)</f>
        <v>0</v>
      </c>
      <c r="L96" s="50">
        <f>ROUND(0.2*AVERAGE('11.08 KAMPALA-BUSUNJU'!L48,'12.08 KAMPALA-BUSUNJU'!L48,'13.08 KAMPALA-BUSUNJU'!L48,'14.08 KAMPALA-BUSUNJU'!L48,'15.08 KAMPALA-BUSUNJU'!L48),0)</f>
        <v>0</v>
      </c>
      <c r="M96" s="50">
        <f>ROUND(0.2*AVERAGE('11.08 KAMPALA-BUSUNJU'!M48,'12.08 KAMPALA-BUSUNJU'!M48,'13.08 KAMPALA-BUSUNJU'!M48,'14.08 KAMPALA-BUSUNJU'!M48,'15.08 KAMPALA-BUSUNJU'!M48),0)</f>
        <v>3</v>
      </c>
      <c r="N96" s="50">
        <f>ROUND(0.2*AVERAGE('11.08 KAMPALA-BUSUNJU'!N48,'12.08 KAMPALA-BUSUNJU'!N48,'13.08 KAMPALA-BUSUNJU'!N48,'14.08 KAMPALA-BUSUNJU'!N48,'15.08 KAMPALA-BUSUNJU'!N48),0)</f>
        <v>0</v>
      </c>
      <c r="O96" s="15">
        <f t="shared" si="35"/>
        <v>0</v>
      </c>
      <c r="P96" s="15">
        <f t="shared" si="36"/>
        <v>3</v>
      </c>
      <c r="R96" s="8"/>
      <c r="T96"/>
    </row>
    <row r="97" spans="2:20" ht="23.1" customHeight="1" x14ac:dyDescent="0.25">
      <c r="B97" s="45" t="s">
        <v>137</v>
      </c>
      <c r="C97" s="50">
        <f>ROUND(0.7*AVERAGE('11.08 KAMPALA-BUSUNJU'!C49,'12.08 KAMPALA-BUSUNJU'!C49,'13.08 KAMPALA-BUSUNJU'!C49,'14.08 KAMPALA-BUSUNJU'!C49,'15.08 KAMPALA-BUSUNJU'!C49),0)</f>
        <v>1</v>
      </c>
      <c r="D97" s="50">
        <f>ROUND(0.7*AVERAGE('11.08 KAMPALA-BUSUNJU'!D49,'12.08 KAMPALA-BUSUNJU'!D49,'13.08 KAMPALA-BUSUNJU'!D49,'14.08 KAMPALA-BUSUNJU'!D49,'15.08 KAMPALA-BUSUNJU'!D49),0)</f>
        <v>0</v>
      </c>
      <c r="E97" s="50">
        <f>ROUND(0.7*AVERAGE('11.08 KAMPALA-BUSUNJU'!E49,'12.08 KAMPALA-BUSUNJU'!E49,'13.08 KAMPALA-BUSUNJU'!E49,'14.08 KAMPALA-BUSUNJU'!E49,'15.08 KAMPALA-BUSUNJU'!E49),0)</f>
        <v>1</v>
      </c>
      <c r="F97" s="50">
        <f>ROUND(0.7*AVERAGE('11.08 KAMPALA-BUSUNJU'!F49,'12.08 KAMPALA-BUSUNJU'!F49,'13.08 KAMPALA-BUSUNJU'!F49,'14.08 KAMPALA-BUSUNJU'!F49,'15.08 KAMPALA-BUSUNJU'!F49),0)</f>
        <v>0</v>
      </c>
      <c r="G97" s="50">
        <f>ROUND(0.7*AVERAGE('11.08 KAMPALA-BUSUNJU'!G49,'12.08 KAMPALA-BUSUNJU'!G49,'13.08 KAMPALA-BUSUNJU'!G49,'14.08 KAMPALA-BUSUNJU'!G49,'15.08 KAMPALA-BUSUNJU'!G49),0)</f>
        <v>0</v>
      </c>
      <c r="H97" s="50">
        <f>ROUND(0.7*AVERAGE('11.08 KAMPALA-BUSUNJU'!H49,'12.08 KAMPALA-BUSUNJU'!H49,'13.08 KAMPALA-BUSUNJU'!H49,'14.08 KAMPALA-BUSUNJU'!H49,'15.08 KAMPALA-BUSUNJU'!H49),0)</f>
        <v>0</v>
      </c>
      <c r="I97" s="50">
        <f>ROUND(0.7*AVERAGE('11.08 KAMPALA-BUSUNJU'!I49,'12.08 KAMPALA-BUSUNJU'!I49,'13.08 KAMPALA-BUSUNJU'!I49,'14.08 KAMPALA-BUSUNJU'!I49,'15.08 KAMPALA-BUSUNJU'!I49),0)</f>
        <v>1</v>
      </c>
      <c r="J97" s="50">
        <f>ROUND(0.7*AVERAGE('11.08 KAMPALA-BUSUNJU'!J49,'12.08 KAMPALA-BUSUNJU'!J49,'13.08 KAMPALA-BUSUNJU'!J49,'14.08 KAMPALA-BUSUNJU'!J49,'15.08 KAMPALA-BUSUNJU'!J49),0)</f>
        <v>0</v>
      </c>
      <c r="K97" s="50">
        <f>ROUND(0.7*AVERAGE('11.08 KAMPALA-BUSUNJU'!K49,'12.08 KAMPALA-BUSUNJU'!K49,'13.08 KAMPALA-BUSUNJU'!K49,'14.08 KAMPALA-BUSUNJU'!K49,'15.08 KAMPALA-BUSUNJU'!K49),0)</f>
        <v>0</v>
      </c>
      <c r="L97" s="50">
        <f>ROUND(0.7*AVERAGE('11.08 KAMPALA-BUSUNJU'!L49,'12.08 KAMPALA-BUSUNJU'!L49,'13.08 KAMPALA-BUSUNJU'!L49,'14.08 KAMPALA-BUSUNJU'!L49,'15.08 KAMPALA-BUSUNJU'!L49),0)</f>
        <v>0</v>
      </c>
      <c r="M97" s="50">
        <f>ROUND(0.7*AVERAGE('11.08 KAMPALA-BUSUNJU'!M49,'12.08 KAMPALA-BUSUNJU'!M49,'13.08 KAMPALA-BUSUNJU'!M49,'14.08 KAMPALA-BUSUNJU'!M49,'15.08 KAMPALA-BUSUNJU'!M49),0)</f>
        <v>8</v>
      </c>
      <c r="N97" s="50">
        <f>ROUND(0.7*AVERAGE('11.08 KAMPALA-BUSUNJU'!N49,'12.08 KAMPALA-BUSUNJU'!N49,'13.08 KAMPALA-BUSUNJU'!N49,'14.08 KAMPALA-BUSUNJU'!N49,'15.08 KAMPALA-BUSUNJU'!N49),0)</f>
        <v>0</v>
      </c>
      <c r="O97" s="15">
        <f t="shared" si="35"/>
        <v>3</v>
      </c>
      <c r="P97" s="15">
        <f t="shared" si="36"/>
        <v>11</v>
      </c>
      <c r="R97" s="8"/>
      <c r="T97"/>
    </row>
    <row r="98" spans="2:20" ht="23.1" customHeight="1" x14ac:dyDescent="0.25">
      <c r="B98" s="46" t="s">
        <v>138</v>
      </c>
      <c r="C98" s="50">
        <f>ROUND(0.7*AVERAGE('11.08 KAMPALA-BUSUNJU'!C50,'12.08 KAMPALA-BUSUNJU'!C50,'13.08 KAMPALA-BUSUNJU'!C50,'14.08 KAMPALA-BUSUNJU'!C50,'15.08 KAMPALA-BUSUNJU'!C50),0)</f>
        <v>1</v>
      </c>
      <c r="D98" s="50">
        <f>ROUND(0.7*AVERAGE('11.08 KAMPALA-BUSUNJU'!D50,'12.08 KAMPALA-BUSUNJU'!D50,'13.08 KAMPALA-BUSUNJU'!D50,'14.08 KAMPALA-BUSUNJU'!D50,'15.08 KAMPALA-BUSUNJU'!D50),0)</f>
        <v>0</v>
      </c>
      <c r="E98" s="50">
        <f>ROUND(0.7*AVERAGE('11.08 KAMPALA-BUSUNJU'!E50,'12.08 KAMPALA-BUSUNJU'!E50,'13.08 KAMPALA-BUSUNJU'!E50,'14.08 KAMPALA-BUSUNJU'!E50,'15.08 KAMPALA-BUSUNJU'!E50),0)</f>
        <v>1</v>
      </c>
      <c r="F98" s="50">
        <f>ROUND(0.7*AVERAGE('11.08 KAMPALA-BUSUNJU'!F50,'12.08 KAMPALA-BUSUNJU'!F50,'13.08 KAMPALA-BUSUNJU'!F50,'14.08 KAMPALA-BUSUNJU'!F50,'15.08 KAMPALA-BUSUNJU'!F50),0)</f>
        <v>0</v>
      </c>
      <c r="G98" s="50">
        <f>ROUND(0.7*AVERAGE('11.08 KAMPALA-BUSUNJU'!G50,'12.08 KAMPALA-BUSUNJU'!G50,'13.08 KAMPALA-BUSUNJU'!G50,'14.08 KAMPALA-BUSUNJU'!G50,'15.08 KAMPALA-BUSUNJU'!G50),0)</f>
        <v>0</v>
      </c>
      <c r="H98" s="50">
        <f>ROUND(0.7*AVERAGE('11.08 KAMPALA-BUSUNJU'!H50,'12.08 KAMPALA-BUSUNJU'!H50,'13.08 KAMPALA-BUSUNJU'!H50,'14.08 KAMPALA-BUSUNJU'!H50,'15.08 KAMPALA-BUSUNJU'!H50),0)</f>
        <v>0</v>
      </c>
      <c r="I98" s="50">
        <f>ROUND(0.7*AVERAGE('11.08 KAMPALA-BUSUNJU'!I50,'12.08 KAMPALA-BUSUNJU'!I50,'13.08 KAMPALA-BUSUNJU'!I50,'14.08 KAMPALA-BUSUNJU'!I50,'15.08 KAMPALA-BUSUNJU'!I50),0)</f>
        <v>1</v>
      </c>
      <c r="J98" s="50">
        <f>ROUND(0.7*AVERAGE('11.08 KAMPALA-BUSUNJU'!J50,'12.08 KAMPALA-BUSUNJU'!J50,'13.08 KAMPALA-BUSUNJU'!J50,'14.08 KAMPALA-BUSUNJU'!J50,'15.08 KAMPALA-BUSUNJU'!J50),0)</f>
        <v>0</v>
      </c>
      <c r="K98" s="50">
        <f>ROUND(0.7*AVERAGE('11.08 KAMPALA-BUSUNJU'!K50,'12.08 KAMPALA-BUSUNJU'!K50,'13.08 KAMPALA-BUSUNJU'!K50,'14.08 KAMPALA-BUSUNJU'!K50,'15.08 KAMPALA-BUSUNJU'!K50),0)</f>
        <v>0</v>
      </c>
      <c r="L98" s="50">
        <f>ROUND(0.7*AVERAGE('11.08 KAMPALA-BUSUNJU'!L50,'12.08 KAMPALA-BUSUNJU'!L50,'13.08 KAMPALA-BUSUNJU'!L50,'14.08 KAMPALA-BUSUNJU'!L50,'15.08 KAMPALA-BUSUNJU'!L50),0)</f>
        <v>0</v>
      </c>
      <c r="M98" s="50">
        <f>ROUND(0.7*AVERAGE('11.08 KAMPALA-BUSUNJU'!M50,'12.08 KAMPALA-BUSUNJU'!M50,'13.08 KAMPALA-BUSUNJU'!M50,'14.08 KAMPALA-BUSUNJU'!M50,'15.08 KAMPALA-BUSUNJU'!M50),0)</f>
        <v>11</v>
      </c>
      <c r="N98" s="50">
        <f>ROUND(0.7*AVERAGE('11.08 KAMPALA-BUSUNJU'!N50,'12.08 KAMPALA-BUSUNJU'!N50,'13.08 KAMPALA-BUSUNJU'!N50,'14.08 KAMPALA-BUSUNJU'!N50,'15.08 KAMPALA-BUSUNJU'!N50),0)</f>
        <v>0</v>
      </c>
      <c r="O98" s="15">
        <f t="shared" si="35"/>
        <v>3</v>
      </c>
      <c r="P98" s="15">
        <f t="shared" si="36"/>
        <v>14</v>
      </c>
      <c r="R98" s="8"/>
      <c r="T98"/>
    </row>
    <row r="99" spans="2:20" ht="23.1" customHeight="1" x14ac:dyDescent="0.25">
      <c r="B99" s="45" t="s">
        <v>139</v>
      </c>
      <c r="C99" s="50">
        <f>ROUND(0.7*AVERAGE('11.08 KAMPALA-BUSUNJU'!C51,'12.08 KAMPALA-BUSUNJU'!C51,'13.08 KAMPALA-BUSUNJU'!C51,'14.08 KAMPALA-BUSUNJU'!C51,'15.08 KAMPALA-BUSUNJU'!C51),0)</f>
        <v>0</v>
      </c>
      <c r="D99" s="50">
        <f>ROUND(0.7*AVERAGE('11.08 KAMPALA-BUSUNJU'!D51,'12.08 KAMPALA-BUSUNJU'!D51,'13.08 KAMPALA-BUSUNJU'!D51,'14.08 KAMPALA-BUSUNJU'!D51,'15.08 KAMPALA-BUSUNJU'!D51),0)</f>
        <v>0</v>
      </c>
      <c r="E99" s="50">
        <f>ROUND(0.7*AVERAGE('11.08 KAMPALA-BUSUNJU'!E51,'12.08 KAMPALA-BUSUNJU'!E51,'13.08 KAMPALA-BUSUNJU'!E51,'14.08 KAMPALA-BUSUNJU'!E51,'15.08 KAMPALA-BUSUNJU'!E51),0)</f>
        <v>1</v>
      </c>
      <c r="F99" s="50">
        <f>ROUND(0.7*AVERAGE('11.08 KAMPALA-BUSUNJU'!F51,'12.08 KAMPALA-BUSUNJU'!F51,'13.08 KAMPALA-BUSUNJU'!F51,'14.08 KAMPALA-BUSUNJU'!F51,'15.08 KAMPALA-BUSUNJU'!F51),0)</f>
        <v>1</v>
      </c>
      <c r="G99" s="50">
        <f>ROUND(0.7*AVERAGE('11.08 KAMPALA-BUSUNJU'!G51,'12.08 KAMPALA-BUSUNJU'!G51,'13.08 KAMPALA-BUSUNJU'!G51,'14.08 KAMPALA-BUSUNJU'!G51,'15.08 KAMPALA-BUSUNJU'!G51),0)</f>
        <v>0</v>
      </c>
      <c r="H99" s="50">
        <f>ROUND(0.7*AVERAGE('11.08 KAMPALA-BUSUNJU'!H51,'12.08 KAMPALA-BUSUNJU'!H51,'13.08 KAMPALA-BUSUNJU'!H51,'14.08 KAMPALA-BUSUNJU'!H51,'15.08 KAMPALA-BUSUNJU'!H51),0)</f>
        <v>0</v>
      </c>
      <c r="I99" s="50">
        <f>ROUND(0.7*AVERAGE('11.08 KAMPALA-BUSUNJU'!I51,'12.08 KAMPALA-BUSUNJU'!I51,'13.08 KAMPALA-BUSUNJU'!I51,'14.08 KAMPALA-BUSUNJU'!I51,'15.08 KAMPALA-BUSUNJU'!I51),0)</f>
        <v>1</v>
      </c>
      <c r="J99" s="50">
        <f>ROUND(0.7*AVERAGE('11.08 KAMPALA-BUSUNJU'!J51,'12.08 KAMPALA-BUSUNJU'!J51,'13.08 KAMPALA-BUSUNJU'!J51,'14.08 KAMPALA-BUSUNJU'!J51,'15.08 KAMPALA-BUSUNJU'!J51),0)</f>
        <v>0</v>
      </c>
      <c r="K99" s="50">
        <f>ROUND(0.7*AVERAGE('11.08 KAMPALA-BUSUNJU'!K51,'12.08 KAMPALA-BUSUNJU'!K51,'13.08 KAMPALA-BUSUNJU'!K51,'14.08 KAMPALA-BUSUNJU'!K51,'15.08 KAMPALA-BUSUNJU'!K51),0)</f>
        <v>0</v>
      </c>
      <c r="L99" s="50">
        <f>ROUND(0.7*AVERAGE('11.08 KAMPALA-BUSUNJU'!L51,'12.08 KAMPALA-BUSUNJU'!L51,'13.08 KAMPALA-BUSUNJU'!L51,'14.08 KAMPALA-BUSUNJU'!L51,'15.08 KAMPALA-BUSUNJU'!L51),0)</f>
        <v>0</v>
      </c>
      <c r="M99" s="50">
        <f>ROUND(0.7*AVERAGE('11.08 KAMPALA-BUSUNJU'!M51,'12.08 KAMPALA-BUSUNJU'!M51,'13.08 KAMPALA-BUSUNJU'!M51,'14.08 KAMPALA-BUSUNJU'!M51,'15.08 KAMPALA-BUSUNJU'!M51),0)</f>
        <v>11</v>
      </c>
      <c r="N99" s="50">
        <f>ROUND(0.7*AVERAGE('11.08 KAMPALA-BUSUNJU'!N51,'12.08 KAMPALA-BUSUNJU'!N51,'13.08 KAMPALA-BUSUNJU'!N51,'14.08 KAMPALA-BUSUNJU'!N51,'15.08 KAMPALA-BUSUNJU'!N51),0)</f>
        <v>0</v>
      </c>
      <c r="O99" s="15">
        <f t="shared" si="35"/>
        <v>3</v>
      </c>
      <c r="P99" s="15">
        <f t="shared" si="36"/>
        <v>14</v>
      </c>
      <c r="R99" s="8"/>
      <c r="T99"/>
    </row>
    <row r="100" spans="2:20" ht="23.1" customHeight="1" x14ac:dyDescent="0.25">
      <c r="B100" s="47" t="s">
        <v>140</v>
      </c>
      <c r="C100" s="50">
        <f>ROUND(0.8*AVERAGE('11.08 KAMPALA-BUSUNJU'!C52,'12.08 KAMPALA-BUSUNJU'!C52,'13.08 KAMPALA-BUSUNJU'!C52,'14.08 KAMPALA-BUSUNJU'!C52,'15.08 KAMPALA-BUSUNJU'!C52),0)</f>
        <v>1</v>
      </c>
      <c r="D100" s="50">
        <f>ROUND(0.8*AVERAGE('11.08 KAMPALA-BUSUNJU'!D52,'12.08 KAMPALA-BUSUNJU'!D52,'13.08 KAMPALA-BUSUNJU'!D52,'14.08 KAMPALA-BUSUNJU'!D52,'15.08 KAMPALA-BUSUNJU'!D52),0)</f>
        <v>0</v>
      </c>
      <c r="E100" s="50">
        <f>ROUND(0.8*AVERAGE('11.08 KAMPALA-BUSUNJU'!E52,'12.08 KAMPALA-BUSUNJU'!E52,'13.08 KAMPALA-BUSUNJU'!E52,'14.08 KAMPALA-BUSUNJU'!E52,'15.08 KAMPALA-BUSUNJU'!E52),0)</f>
        <v>0</v>
      </c>
      <c r="F100" s="50">
        <f>ROUND(0.8*AVERAGE('11.08 KAMPALA-BUSUNJU'!F52,'12.08 KAMPALA-BUSUNJU'!F52,'13.08 KAMPALA-BUSUNJU'!F52,'14.08 KAMPALA-BUSUNJU'!F52,'15.08 KAMPALA-BUSUNJU'!F52),0)</f>
        <v>1</v>
      </c>
      <c r="G100" s="50">
        <f>ROUND(0.8*AVERAGE('11.08 KAMPALA-BUSUNJU'!G52,'12.08 KAMPALA-BUSUNJU'!G52,'13.08 KAMPALA-BUSUNJU'!G52,'14.08 KAMPALA-BUSUNJU'!G52,'15.08 KAMPALA-BUSUNJU'!G52),0)</f>
        <v>0</v>
      </c>
      <c r="H100" s="50">
        <f>ROUND(0.8*AVERAGE('11.08 KAMPALA-BUSUNJU'!H52,'12.08 KAMPALA-BUSUNJU'!H52,'13.08 KAMPALA-BUSUNJU'!H52,'14.08 KAMPALA-BUSUNJU'!H52,'15.08 KAMPALA-BUSUNJU'!H52),0)</f>
        <v>0</v>
      </c>
      <c r="I100" s="50">
        <f>ROUND(0.8*AVERAGE('11.08 KAMPALA-BUSUNJU'!I52,'12.08 KAMPALA-BUSUNJU'!I52,'13.08 KAMPALA-BUSUNJU'!I52,'14.08 KAMPALA-BUSUNJU'!I52,'15.08 KAMPALA-BUSUNJU'!I52),0)</f>
        <v>0</v>
      </c>
      <c r="J100" s="50">
        <f>ROUND(0.8*AVERAGE('11.08 KAMPALA-BUSUNJU'!J52,'12.08 KAMPALA-BUSUNJU'!J52,'13.08 KAMPALA-BUSUNJU'!J52,'14.08 KAMPALA-BUSUNJU'!J52,'15.08 KAMPALA-BUSUNJU'!J52),0)</f>
        <v>0</v>
      </c>
      <c r="K100" s="50">
        <f>ROUND(0.8*AVERAGE('11.08 KAMPALA-BUSUNJU'!K52,'12.08 KAMPALA-BUSUNJU'!K52,'13.08 KAMPALA-BUSUNJU'!K52,'14.08 KAMPALA-BUSUNJU'!K52,'15.08 KAMPALA-BUSUNJU'!K52),0)</f>
        <v>0</v>
      </c>
      <c r="L100" s="50">
        <f>ROUND(0.8*AVERAGE('11.08 KAMPALA-BUSUNJU'!L52,'12.08 KAMPALA-BUSUNJU'!L52,'13.08 KAMPALA-BUSUNJU'!L52,'14.08 KAMPALA-BUSUNJU'!L52,'15.08 KAMPALA-BUSUNJU'!L52),0)</f>
        <v>0</v>
      </c>
      <c r="M100" s="50">
        <f>ROUND(0.8*AVERAGE('11.08 KAMPALA-BUSUNJU'!M52,'12.08 KAMPALA-BUSUNJU'!M52,'13.08 KAMPALA-BUSUNJU'!M52,'14.08 KAMPALA-BUSUNJU'!M52,'15.08 KAMPALA-BUSUNJU'!M52),0)</f>
        <v>14</v>
      </c>
      <c r="N100" s="50">
        <f>ROUND(0.8*AVERAGE('11.08 KAMPALA-BUSUNJU'!N52,'12.08 KAMPALA-BUSUNJU'!N52,'13.08 KAMPALA-BUSUNJU'!N52,'14.08 KAMPALA-BUSUNJU'!N52,'15.08 KAMPALA-BUSUNJU'!N52),0)</f>
        <v>0</v>
      </c>
      <c r="O100" s="15">
        <f t="shared" si="35"/>
        <v>2</v>
      </c>
      <c r="P100" s="15">
        <f t="shared" si="36"/>
        <v>16</v>
      </c>
      <c r="R100" s="8"/>
      <c r="T100"/>
    </row>
    <row r="101" spans="2:20" ht="23.1" customHeight="1" x14ac:dyDescent="0.25">
      <c r="B101" s="45" t="s">
        <v>141</v>
      </c>
      <c r="C101" s="50">
        <f>ROUND(0.8*AVERAGE('11.08 KAMPALA-BUSUNJU'!C53,'12.08 KAMPALA-BUSUNJU'!C53,'13.08 KAMPALA-BUSUNJU'!C53,'14.08 KAMPALA-BUSUNJU'!C53,'15.08 KAMPALA-BUSUNJU'!C53),0)</f>
        <v>1</v>
      </c>
      <c r="D101" s="50">
        <f>ROUND(0.8*AVERAGE('11.08 KAMPALA-BUSUNJU'!D53,'12.08 KAMPALA-BUSUNJU'!D53,'13.08 KAMPALA-BUSUNJU'!D53,'14.08 KAMPALA-BUSUNJU'!D53,'15.08 KAMPALA-BUSUNJU'!D53),0)</f>
        <v>0</v>
      </c>
      <c r="E101" s="50">
        <f>ROUND(0.8*AVERAGE('11.08 KAMPALA-BUSUNJU'!E53,'12.08 KAMPALA-BUSUNJU'!E53,'13.08 KAMPALA-BUSUNJU'!E53,'14.08 KAMPALA-BUSUNJU'!E53,'15.08 KAMPALA-BUSUNJU'!E53),0)</f>
        <v>1</v>
      </c>
      <c r="F101" s="50">
        <f>ROUND(0.8*AVERAGE('11.08 KAMPALA-BUSUNJU'!F53,'12.08 KAMPALA-BUSUNJU'!F53,'13.08 KAMPALA-BUSUNJU'!F53,'14.08 KAMPALA-BUSUNJU'!F53,'15.08 KAMPALA-BUSUNJU'!F53),0)</f>
        <v>1</v>
      </c>
      <c r="G101" s="50">
        <f>ROUND(0.8*AVERAGE('11.08 KAMPALA-BUSUNJU'!G53,'12.08 KAMPALA-BUSUNJU'!G53,'13.08 KAMPALA-BUSUNJU'!G53,'14.08 KAMPALA-BUSUNJU'!G53,'15.08 KAMPALA-BUSUNJU'!G53),0)</f>
        <v>0</v>
      </c>
      <c r="H101" s="50">
        <f>ROUND(0.8*AVERAGE('11.08 KAMPALA-BUSUNJU'!H53,'12.08 KAMPALA-BUSUNJU'!H53,'13.08 KAMPALA-BUSUNJU'!H53,'14.08 KAMPALA-BUSUNJU'!H53,'15.08 KAMPALA-BUSUNJU'!H53),0)</f>
        <v>0</v>
      </c>
      <c r="I101" s="50">
        <f>ROUND(0.8*AVERAGE('11.08 KAMPALA-BUSUNJU'!I53,'12.08 KAMPALA-BUSUNJU'!I53,'13.08 KAMPALA-BUSUNJU'!I53,'14.08 KAMPALA-BUSUNJU'!I53,'15.08 KAMPALA-BUSUNJU'!I53),0)</f>
        <v>1</v>
      </c>
      <c r="J101" s="50">
        <f>ROUND(0.8*AVERAGE('11.08 KAMPALA-BUSUNJU'!J53,'12.08 KAMPALA-BUSUNJU'!J53,'13.08 KAMPALA-BUSUNJU'!J53,'14.08 KAMPALA-BUSUNJU'!J53,'15.08 KAMPALA-BUSUNJU'!J53),0)</f>
        <v>0</v>
      </c>
      <c r="K101" s="50">
        <f>ROUND(0.8*AVERAGE('11.08 KAMPALA-BUSUNJU'!K53,'12.08 KAMPALA-BUSUNJU'!K53,'13.08 KAMPALA-BUSUNJU'!K53,'14.08 KAMPALA-BUSUNJU'!K53,'15.08 KAMPALA-BUSUNJU'!K53),0)</f>
        <v>0</v>
      </c>
      <c r="L101" s="50">
        <f>ROUND(0.8*AVERAGE('11.08 KAMPALA-BUSUNJU'!L53,'12.08 KAMPALA-BUSUNJU'!L53,'13.08 KAMPALA-BUSUNJU'!L53,'14.08 KAMPALA-BUSUNJU'!L53,'15.08 KAMPALA-BUSUNJU'!L53),0)</f>
        <v>0</v>
      </c>
      <c r="M101" s="50">
        <f>ROUND(0.8*AVERAGE('11.08 KAMPALA-BUSUNJU'!M53,'12.08 KAMPALA-BUSUNJU'!M53,'13.08 KAMPALA-BUSUNJU'!M53,'14.08 KAMPALA-BUSUNJU'!M53,'15.08 KAMPALA-BUSUNJU'!M53),0)</f>
        <v>11</v>
      </c>
      <c r="N101" s="50">
        <f>ROUND(0.8*AVERAGE('11.08 KAMPALA-BUSUNJU'!N53,'12.08 KAMPALA-BUSUNJU'!N53,'13.08 KAMPALA-BUSUNJU'!N53,'14.08 KAMPALA-BUSUNJU'!N53,'15.08 KAMPALA-BUSUNJU'!N53),0)</f>
        <v>0</v>
      </c>
      <c r="O101" s="15">
        <f t="shared" si="35"/>
        <v>4</v>
      </c>
      <c r="P101" s="15">
        <f t="shared" si="36"/>
        <v>15</v>
      </c>
      <c r="R101" s="8"/>
      <c r="T101"/>
    </row>
    <row r="102" spans="2:20" ht="23.1" customHeight="1" x14ac:dyDescent="0.25">
      <c r="B102" s="46" t="s">
        <v>142</v>
      </c>
      <c r="C102" s="50">
        <f>ROUND(0.8*AVERAGE('11.08 KAMPALA-BUSUNJU'!C54,'12.08 KAMPALA-BUSUNJU'!C54,'13.08 KAMPALA-BUSUNJU'!C54,'14.08 KAMPALA-BUSUNJU'!C54,'15.08 KAMPALA-BUSUNJU'!C54),0)</f>
        <v>1</v>
      </c>
      <c r="D102" s="50">
        <f>ROUND(0.8*AVERAGE('11.08 KAMPALA-BUSUNJU'!D54,'12.08 KAMPALA-BUSUNJU'!D54,'13.08 KAMPALA-BUSUNJU'!D54,'14.08 KAMPALA-BUSUNJU'!D54,'15.08 KAMPALA-BUSUNJU'!D54),0)</f>
        <v>0</v>
      </c>
      <c r="E102" s="50">
        <f>ROUND(0.8*AVERAGE('11.08 KAMPALA-BUSUNJU'!E54,'12.08 KAMPALA-BUSUNJU'!E54,'13.08 KAMPALA-BUSUNJU'!E54,'14.08 KAMPALA-BUSUNJU'!E54,'15.08 KAMPALA-BUSUNJU'!E54),0)</f>
        <v>1</v>
      </c>
      <c r="F102" s="50">
        <f>ROUND(0.8*AVERAGE('11.08 KAMPALA-BUSUNJU'!F54,'12.08 KAMPALA-BUSUNJU'!F54,'13.08 KAMPALA-BUSUNJU'!F54,'14.08 KAMPALA-BUSUNJU'!F54,'15.08 KAMPALA-BUSUNJU'!F54),0)</f>
        <v>1</v>
      </c>
      <c r="G102" s="50">
        <f>ROUND(0.8*AVERAGE('11.08 KAMPALA-BUSUNJU'!G54,'12.08 KAMPALA-BUSUNJU'!G54,'13.08 KAMPALA-BUSUNJU'!G54,'14.08 KAMPALA-BUSUNJU'!G54,'15.08 KAMPALA-BUSUNJU'!G54),0)</f>
        <v>0</v>
      </c>
      <c r="H102" s="50">
        <f>ROUND(0.8*AVERAGE('11.08 KAMPALA-BUSUNJU'!H54,'12.08 KAMPALA-BUSUNJU'!H54,'13.08 KAMPALA-BUSUNJU'!H54,'14.08 KAMPALA-BUSUNJU'!H54,'15.08 KAMPALA-BUSUNJU'!H54),0)</f>
        <v>0</v>
      </c>
      <c r="I102" s="50">
        <f>ROUND(0.8*AVERAGE('11.08 KAMPALA-BUSUNJU'!I54,'12.08 KAMPALA-BUSUNJU'!I54,'13.08 KAMPALA-BUSUNJU'!I54,'14.08 KAMPALA-BUSUNJU'!I54,'15.08 KAMPALA-BUSUNJU'!I54),0)</f>
        <v>1</v>
      </c>
      <c r="J102" s="50">
        <f>ROUND(0.8*AVERAGE('11.08 KAMPALA-BUSUNJU'!J54,'12.08 KAMPALA-BUSUNJU'!J54,'13.08 KAMPALA-BUSUNJU'!J54,'14.08 KAMPALA-BUSUNJU'!J54,'15.08 KAMPALA-BUSUNJU'!J54),0)</f>
        <v>0</v>
      </c>
      <c r="K102" s="50">
        <f>ROUND(0.8*AVERAGE('11.08 KAMPALA-BUSUNJU'!K54,'12.08 KAMPALA-BUSUNJU'!K54,'13.08 KAMPALA-BUSUNJU'!K54,'14.08 KAMPALA-BUSUNJU'!K54,'15.08 KAMPALA-BUSUNJU'!K54),0)</f>
        <v>0</v>
      </c>
      <c r="L102" s="50">
        <f>ROUND(0.8*AVERAGE('11.08 KAMPALA-BUSUNJU'!L54,'12.08 KAMPALA-BUSUNJU'!L54,'13.08 KAMPALA-BUSUNJU'!L54,'14.08 KAMPALA-BUSUNJU'!L54,'15.08 KAMPALA-BUSUNJU'!L54),0)</f>
        <v>0</v>
      </c>
      <c r="M102" s="50">
        <f>ROUND(0.8*AVERAGE('11.08 KAMPALA-BUSUNJU'!M54,'12.08 KAMPALA-BUSUNJU'!M54,'13.08 KAMPALA-BUSUNJU'!M54,'14.08 KAMPALA-BUSUNJU'!M54,'15.08 KAMPALA-BUSUNJU'!M54),0)</f>
        <v>14</v>
      </c>
      <c r="N102" s="50">
        <f>ROUND(0.8*AVERAGE('11.08 KAMPALA-BUSUNJU'!N54,'12.08 KAMPALA-BUSUNJU'!N54,'13.08 KAMPALA-BUSUNJU'!N54,'14.08 KAMPALA-BUSUNJU'!N54,'15.08 KAMPALA-BUSUNJU'!N54),0)</f>
        <v>0</v>
      </c>
      <c r="O102" s="15">
        <f t="shared" si="35"/>
        <v>4</v>
      </c>
      <c r="P102" s="15">
        <f t="shared" si="36"/>
        <v>18</v>
      </c>
      <c r="R102" s="8"/>
      <c r="T102"/>
    </row>
    <row r="103" spans="2:20" ht="23.1" customHeight="1" x14ac:dyDescent="0.25">
      <c r="B103" s="45" t="s">
        <v>143</v>
      </c>
      <c r="C103" s="50">
        <f>ROUND(0.8*AVERAGE('11.08 KAMPALA-BUSUNJU'!C55,'12.08 KAMPALA-BUSUNJU'!C55,'13.08 KAMPALA-BUSUNJU'!C55,'14.08 KAMPALA-BUSUNJU'!C55,'15.08 KAMPALA-BUSUNJU'!C55),0)</f>
        <v>1</v>
      </c>
      <c r="D103" s="50">
        <f>ROUND(0.8*AVERAGE('11.08 KAMPALA-BUSUNJU'!D55,'12.08 KAMPALA-BUSUNJU'!D55,'13.08 KAMPALA-BUSUNJU'!D55,'14.08 KAMPALA-BUSUNJU'!D55,'15.08 KAMPALA-BUSUNJU'!D55),0)</f>
        <v>0</v>
      </c>
      <c r="E103" s="50">
        <f>ROUND(0.8*AVERAGE('11.08 KAMPALA-BUSUNJU'!E55,'12.08 KAMPALA-BUSUNJU'!E55,'13.08 KAMPALA-BUSUNJU'!E55,'14.08 KAMPALA-BUSUNJU'!E55,'15.08 KAMPALA-BUSUNJU'!E55),0)</f>
        <v>0</v>
      </c>
      <c r="F103" s="50">
        <f>ROUND(0.8*AVERAGE('11.08 KAMPALA-BUSUNJU'!F55,'12.08 KAMPALA-BUSUNJU'!F55,'13.08 KAMPALA-BUSUNJU'!F55,'14.08 KAMPALA-BUSUNJU'!F55,'15.08 KAMPALA-BUSUNJU'!F55),0)</f>
        <v>0</v>
      </c>
      <c r="G103" s="50">
        <f>ROUND(0.8*AVERAGE('11.08 KAMPALA-BUSUNJU'!G55,'12.08 KAMPALA-BUSUNJU'!G55,'13.08 KAMPALA-BUSUNJU'!G55,'14.08 KAMPALA-BUSUNJU'!G55,'15.08 KAMPALA-BUSUNJU'!G55),0)</f>
        <v>0</v>
      </c>
      <c r="H103" s="50">
        <f>ROUND(0.8*AVERAGE('11.08 KAMPALA-BUSUNJU'!H55,'12.08 KAMPALA-BUSUNJU'!H55,'13.08 KAMPALA-BUSUNJU'!H55,'14.08 KAMPALA-BUSUNJU'!H55,'15.08 KAMPALA-BUSUNJU'!H55),0)</f>
        <v>0</v>
      </c>
      <c r="I103" s="50">
        <f>ROUND(0.8*AVERAGE('11.08 KAMPALA-BUSUNJU'!I55,'12.08 KAMPALA-BUSUNJU'!I55,'13.08 KAMPALA-BUSUNJU'!I55,'14.08 KAMPALA-BUSUNJU'!I55,'15.08 KAMPALA-BUSUNJU'!I55),0)</f>
        <v>0</v>
      </c>
      <c r="J103" s="50">
        <f>ROUND(0.8*AVERAGE('11.08 KAMPALA-BUSUNJU'!J55,'12.08 KAMPALA-BUSUNJU'!J55,'13.08 KAMPALA-BUSUNJU'!J55,'14.08 KAMPALA-BUSUNJU'!J55,'15.08 KAMPALA-BUSUNJU'!J55),0)</f>
        <v>0</v>
      </c>
      <c r="K103" s="50">
        <f>ROUND(0.8*AVERAGE('11.08 KAMPALA-BUSUNJU'!K55,'12.08 KAMPALA-BUSUNJU'!K55,'13.08 KAMPALA-BUSUNJU'!K55,'14.08 KAMPALA-BUSUNJU'!K55,'15.08 KAMPALA-BUSUNJU'!K55),0)</f>
        <v>0</v>
      </c>
      <c r="L103" s="50">
        <f>ROUND(0.8*AVERAGE('11.08 KAMPALA-BUSUNJU'!L55,'12.08 KAMPALA-BUSUNJU'!L55,'13.08 KAMPALA-BUSUNJU'!L55,'14.08 KAMPALA-BUSUNJU'!L55,'15.08 KAMPALA-BUSUNJU'!L55),0)</f>
        <v>0</v>
      </c>
      <c r="M103" s="50">
        <f>ROUND(0.8*AVERAGE('11.08 KAMPALA-BUSUNJU'!M55,'12.08 KAMPALA-BUSUNJU'!M55,'13.08 KAMPALA-BUSUNJU'!M55,'14.08 KAMPALA-BUSUNJU'!M55,'15.08 KAMPALA-BUSUNJU'!M55),0)</f>
        <v>13</v>
      </c>
      <c r="N103" s="50">
        <f>ROUND(0.8*AVERAGE('11.08 KAMPALA-BUSUNJU'!N55,'12.08 KAMPALA-BUSUNJU'!N55,'13.08 KAMPALA-BUSUNJU'!N55,'14.08 KAMPALA-BUSUNJU'!N55,'15.08 KAMPALA-BUSUNJU'!N55),0)</f>
        <v>0</v>
      </c>
      <c r="O103" s="15">
        <f t="shared" si="35"/>
        <v>1</v>
      </c>
      <c r="P103" s="15">
        <f t="shared" si="36"/>
        <v>14</v>
      </c>
      <c r="R103" s="8"/>
      <c r="T103"/>
    </row>
    <row r="104" spans="2:20" ht="23.1" customHeight="1" x14ac:dyDescent="0.25">
      <c r="B104" s="47" t="s">
        <v>144</v>
      </c>
      <c r="C104" s="50">
        <f>ROUND(0.8*AVERAGE('11.08 KAMPALA-BUSUNJU'!C56,'12.08 KAMPALA-BUSUNJU'!C56,'13.08 KAMPALA-BUSUNJU'!C56,'14.08 KAMPALA-BUSUNJU'!C56,'15.08 KAMPALA-BUSUNJU'!C56),0)</f>
        <v>1</v>
      </c>
      <c r="D104" s="50">
        <f>ROUND(0.8*AVERAGE('11.08 KAMPALA-BUSUNJU'!D56,'12.08 KAMPALA-BUSUNJU'!D56,'13.08 KAMPALA-BUSUNJU'!D56,'14.08 KAMPALA-BUSUNJU'!D56,'15.08 KAMPALA-BUSUNJU'!D56),0)</f>
        <v>0</v>
      </c>
      <c r="E104" s="50">
        <f>ROUND(0.8*AVERAGE('11.08 KAMPALA-BUSUNJU'!E56,'12.08 KAMPALA-BUSUNJU'!E56,'13.08 KAMPALA-BUSUNJU'!E56,'14.08 KAMPALA-BUSUNJU'!E56,'15.08 KAMPALA-BUSUNJU'!E56),0)</f>
        <v>0</v>
      </c>
      <c r="F104" s="50">
        <f>ROUND(0.8*AVERAGE('11.08 KAMPALA-BUSUNJU'!F56,'12.08 KAMPALA-BUSUNJU'!F56,'13.08 KAMPALA-BUSUNJU'!F56,'14.08 KAMPALA-BUSUNJU'!F56,'15.08 KAMPALA-BUSUNJU'!F56),0)</f>
        <v>0</v>
      </c>
      <c r="G104" s="50">
        <f>ROUND(0.8*AVERAGE('11.08 KAMPALA-BUSUNJU'!G56,'12.08 KAMPALA-BUSUNJU'!G56,'13.08 KAMPALA-BUSUNJU'!G56,'14.08 KAMPALA-BUSUNJU'!G56,'15.08 KAMPALA-BUSUNJU'!G56),0)</f>
        <v>0</v>
      </c>
      <c r="H104" s="50">
        <f>ROUND(0.8*AVERAGE('11.08 KAMPALA-BUSUNJU'!H56,'12.08 KAMPALA-BUSUNJU'!H56,'13.08 KAMPALA-BUSUNJU'!H56,'14.08 KAMPALA-BUSUNJU'!H56,'15.08 KAMPALA-BUSUNJU'!H56),0)</f>
        <v>0</v>
      </c>
      <c r="I104" s="50">
        <f>ROUND(0.8*AVERAGE('11.08 KAMPALA-BUSUNJU'!I56,'12.08 KAMPALA-BUSUNJU'!I56,'13.08 KAMPALA-BUSUNJU'!I56,'14.08 KAMPALA-BUSUNJU'!I56,'15.08 KAMPALA-BUSUNJU'!I56),0)</f>
        <v>0</v>
      </c>
      <c r="J104" s="50">
        <f>ROUND(0.8*AVERAGE('11.08 KAMPALA-BUSUNJU'!J56,'12.08 KAMPALA-BUSUNJU'!J56,'13.08 KAMPALA-BUSUNJU'!J56,'14.08 KAMPALA-BUSUNJU'!J56,'15.08 KAMPALA-BUSUNJU'!J56),0)</f>
        <v>0</v>
      </c>
      <c r="K104" s="50">
        <f>ROUND(0.8*AVERAGE('11.08 KAMPALA-BUSUNJU'!K56,'12.08 KAMPALA-BUSUNJU'!K56,'13.08 KAMPALA-BUSUNJU'!K56,'14.08 KAMPALA-BUSUNJU'!K56,'15.08 KAMPALA-BUSUNJU'!K56),0)</f>
        <v>0</v>
      </c>
      <c r="L104" s="50">
        <f>ROUND(0.8*AVERAGE('11.08 KAMPALA-BUSUNJU'!L56,'12.08 KAMPALA-BUSUNJU'!L56,'13.08 KAMPALA-BUSUNJU'!L56,'14.08 KAMPALA-BUSUNJU'!L56,'15.08 KAMPALA-BUSUNJU'!L56),0)</f>
        <v>0</v>
      </c>
      <c r="M104" s="50">
        <f>ROUND(0.8*AVERAGE('11.08 KAMPALA-BUSUNJU'!M56,'12.08 KAMPALA-BUSUNJU'!M56,'13.08 KAMPALA-BUSUNJU'!M56,'14.08 KAMPALA-BUSUNJU'!M56,'15.08 KAMPALA-BUSUNJU'!M56),0)</f>
        <v>11</v>
      </c>
      <c r="N104" s="50">
        <f>ROUND(0.8*AVERAGE('11.08 KAMPALA-BUSUNJU'!N56,'12.08 KAMPALA-BUSUNJU'!N56,'13.08 KAMPALA-BUSUNJU'!N56,'14.08 KAMPALA-BUSUNJU'!N56,'15.08 KAMPALA-BUSUNJU'!N56),0)</f>
        <v>0</v>
      </c>
      <c r="O104" s="15">
        <f t="shared" si="35"/>
        <v>1</v>
      </c>
      <c r="P104" s="15">
        <f t="shared" si="36"/>
        <v>12</v>
      </c>
      <c r="R104" s="8"/>
      <c r="T104"/>
    </row>
    <row r="105" spans="2:20" ht="23.1" customHeight="1" x14ac:dyDescent="0.25">
      <c r="B105" s="45" t="s">
        <v>145</v>
      </c>
      <c r="C105" s="50">
        <f>ROUND(0.8*AVERAGE('11.08 KAMPALA-BUSUNJU'!C57,'12.08 KAMPALA-BUSUNJU'!C57,'13.08 KAMPALA-BUSUNJU'!C57,'14.08 KAMPALA-BUSUNJU'!C57,'15.08 KAMPALA-BUSUNJU'!C57),0)</f>
        <v>1</v>
      </c>
      <c r="D105" s="50">
        <f>ROUND(0.8*AVERAGE('11.08 KAMPALA-BUSUNJU'!D57,'12.08 KAMPALA-BUSUNJU'!D57,'13.08 KAMPALA-BUSUNJU'!D57,'14.08 KAMPALA-BUSUNJU'!D57,'15.08 KAMPALA-BUSUNJU'!D57),0)</f>
        <v>0</v>
      </c>
      <c r="E105" s="50">
        <f>ROUND(0.8*AVERAGE('11.08 KAMPALA-BUSUNJU'!E57,'12.08 KAMPALA-BUSUNJU'!E57,'13.08 KAMPALA-BUSUNJU'!E57,'14.08 KAMPALA-BUSUNJU'!E57,'15.08 KAMPALA-BUSUNJU'!E57),0)</f>
        <v>0</v>
      </c>
      <c r="F105" s="50">
        <f>ROUND(0.8*AVERAGE('11.08 KAMPALA-BUSUNJU'!F57,'12.08 KAMPALA-BUSUNJU'!F57,'13.08 KAMPALA-BUSUNJU'!F57,'14.08 KAMPALA-BUSUNJU'!F57,'15.08 KAMPALA-BUSUNJU'!F57),0)</f>
        <v>0</v>
      </c>
      <c r="G105" s="50">
        <f>ROUND(0.8*AVERAGE('11.08 KAMPALA-BUSUNJU'!G57,'12.08 KAMPALA-BUSUNJU'!G57,'13.08 KAMPALA-BUSUNJU'!G57,'14.08 KAMPALA-BUSUNJU'!G57,'15.08 KAMPALA-BUSUNJU'!G57),0)</f>
        <v>0</v>
      </c>
      <c r="H105" s="50">
        <f>ROUND(0.8*AVERAGE('11.08 KAMPALA-BUSUNJU'!H57,'12.08 KAMPALA-BUSUNJU'!H57,'13.08 KAMPALA-BUSUNJU'!H57,'14.08 KAMPALA-BUSUNJU'!H57,'15.08 KAMPALA-BUSUNJU'!H57),0)</f>
        <v>0</v>
      </c>
      <c r="I105" s="50">
        <f>ROUND(0.8*AVERAGE('11.08 KAMPALA-BUSUNJU'!I57,'12.08 KAMPALA-BUSUNJU'!I57,'13.08 KAMPALA-BUSUNJU'!I57,'14.08 KAMPALA-BUSUNJU'!I57,'15.08 KAMPALA-BUSUNJU'!I57),0)</f>
        <v>1</v>
      </c>
      <c r="J105" s="50">
        <f>ROUND(0.8*AVERAGE('11.08 KAMPALA-BUSUNJU'!J57,'12.08 KAMPALA-BUSUNJU'!J57,'13.08 KAMPALA-BUSUNJU'!J57,'14.08 KAMPALA-BUSUNJU'!J57,'15.08 KAMPALA-BUSUNJU'!J57),0)</f>
        <v>0</v>
      </c>
      <c r="K105" s="50">
        <f>ROUND(0.8*AVERAGE('11.08 KAMPALA-BUSUNJU'!K57,'12.08 KAMPALA-BUSUNJU'!K57,'13.08 KAMPALA-BUSUNJU'!K57,'14.08 KAMPALA-BUSUNJU'!K57,'15.08 KAMPALA-BUSUNJU'!K57),0)</f>
        <v>0</v>
      </c>
      <c r="L105" s="50">
        <f>ROUND(0.8*AVERAGE('11.08 KAMPALA-BUSUNJU'!L57,'12.08 KAMPALA-BUSUNJU'!L57,'13.08 KAMPALA-BUSUNJU'!L57,'14.08 KAMPALA-BUSUNJU'!L57,'15.08 KAMPALA-BUSUNJU'!L57),0)</f>
        <v>0</v>
      </c>
      <c r="M105" s="50">
        <f>ROUND(0.8*AVERAGE('11.08 KAMPALA-BUSUNJU'!M57,'12.08 KAMPALA-BUSUNJU'!M57,'13.08 KAMPALA-BUSUNJU'!M57,'14.08 KAMPALA-BUSUNJU'!M57,'15.08 KAMPALA-BUSUNJU'!M57),0)</f>
        <v>10</v>
      </c>
      <c r="N105" s="50">
        <f>ROUND(0.8*AVERAGE('11.08 KAMPALA-BUSUNJU'!N57,'12.08 KAMPALA-BUSUNJU'!N57,'13.08 KAMPALA-BUSUNJU'!N57,'14.08 KAMPALA-BUSUNJU'!N57,'15.08 KAMPALA-BUSUNJU'!N57),0)</f>
        <v>0</v>
      </c>
      <c r="O105" s="15">
        <f t="shared" si="35"/>
        <v>2</v>
      </c>
      <c r="P105" s="15">
        <f t="shared" si="36"/>
        <v>12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54</v>
      </c>
      <c r="D106" s="16">
        <f t="shared" ref="D106:P106" si="37">SUM(D10:D105)</f>
        <v>0</v>
      </c>
      <c r="E106" s="16">
        <f t="shared" si="37"/>
        <v>64</v>
      </c>
      <c r="F106" s="16">
        <f t="shared" si="37"/>
        <v>19</v>
      </c>
      <c r="G106" s="16">
        <f t="shared" si="37"/>
        <v>1</v>
      </c>
      <c r="H106" s="16">
        <f t="shared" si="37"/>
        <v>0</v>
      </c>
      <c r="I106" s="16">
        <f t="shared" si="37"/>
        <v>72</v>
      </c>
      <c r="J106" s="16">
        <f t="shared" si="37"/>
        <v>1</v>
      </c>
      <c r="K106" s="16">
        <f t="shared" si="37"/>
        <v>0</v>
      </c>
      <c r="L106" s="16">
        <f t="shared" si="37"/>
        <v>0</v>
      </c>
      <c r="M106" s="16">
        <f t="shared" si="37"/>
        <v>1042</v>
      </c>
      <c r="N106" s="16">
        <f t="shared" si="37"/>
        <v>0</v>
      </c>
      <c r="O106" s="16">
        <f t="shared" si="37"/>
        <v>211</v>
      </c>
      <c r="P106" s="16">
        <f t="shared" si="37"/>
        <v>1253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4.3096568236233042E-2</v>
      </c>
      <c r="D107" s="43">
        <f t="shared" si="38"/>
        <v>0</v>
      </c>
      <c r="E107" s="43">
        <f t="shared" si="38"/>
        <v>5.1077414205905829E-2</v>
      </c>
      <c r="F107" s="43">
        <f t="shared" si="38"/>
        <v>1.5163607342378291E-2</v>
      </c>
      <c r="G107" s="43">
        <f t="shared" si="38"/>
        <v>7.9808459696727857E-4</v>
      </c>
      <c r="H107" s="43">
        <f t="shared" si="38"/>
        <v>0</v>
      </c>
      <c r="I107" s="43">
        <f t="shared" si="38"/>
        <v>5.7462090981644051E-2</v>
      </c>
      <c r="J107" s="43">
        <f t="shared" si="38"/>
        <v>7.9808459696727857E-4</v>
      </c>
      <c r="K107" s="43">
        <f t="shared" si="38"/>
        <v>0</v>
      </c>
      <c r="L107" s="43">
        <f t="shared" si="38"/>
        <v>0</v>
      </c>
      <c r="M107" s="43">
        <f t="shared" si="38"/>
        <v>0.83160415003990418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0.25592417061611372</v>
      </c>
      <c r="D108" s="44">
        <f t="shared" ref="D108:N108" si="39">D106/$O$106</f>
        <v>0</v>
      </c>
      <c r="E108" s="44">
        <f t="shared" si="39"/>
        <v>0.30331753554502372</v>
      </c>
      <c r="F108" s="44">
        <f t="shared" si="39"/>
        <v>9.004739336492891E-2</v>
      </c>
      <c r="G108" s="44">
        <f t="shared" si="39"/>
        <v>4.7393364928909956E-3</v>
      </c>
      <c r="H108" s="44">
        <f t="shared" si="39"/>
        <v>0</v>
      </c>
      <c r="I108" s="44">
        <f t="shared" si="39"/>
        <v>0.34123222748815168</v>
      </c>
      <c r="J108" s="44">
        <f t="shared" si="39"/>
        <v>4.7393364928909956E-3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50" zoomScale="60" workbookViewId="0">
      <selection activeCell="S100" sqref="S10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BUSUNJU-KAMPALA'!C3:G3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'16.08 KAMPALA-BUSUNJU-24h'!G5:H5</f>
        <v>MATTE</v>
      </c>
      <c r="H5" s="64"/>
      <c r="I5" s="14"/>
      <c r="J5" s="2" t="s">
        <v>5</v>
      </c>
      <c r="K5" s="63" t="str">
        <f>'16.08 KAMPALA-BUSUNJU-24h'!K5:L5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BUSUNJU-KAMPALA'!D6:E6</f>
        <v>BUSUNJU</v>
      </c>
      <c r="E6" s="64"/>
      <c r="F6" s="2" t="s">
        <v>2</v>
      </c>
      <c r="G6" s="63" t="str">
        <f>'11.08 BUSUNJU-KAMPALA'!G6:H6</f>
        <v>KAMPALA</v>
      </c>
      <c r="H6" s="64"/>
      <c r="J6" s="2" t="s">
        <v>21</v>
      </c>
      <c r="K6" s="63" t="str">
        <f>'16.08 KAMPALA-BUSUNJU-24h'!K6:L6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2</v>
      </c>
      <c r="F10" s="50">
        <v>1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10</v>
      </c>
      <c r="N10" s="50">
        <v>0</v>
      </c>
      <c r="O10" s="15">
        <f t="shared" ref="O10:O73" si="0">SUM(C10:L10,N10)</f>
        <v>4</v>
      </c>
      <c r="P10" s="15">
        <f t="shared" ref="P10:P73" si="1">SUM(C10:N10)</f>
        <v>14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5</v>
      </c>
      <c r="V10" s="17">
        <f t="shared" si="2"/>
        <v>1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41</v>
      </c>
      <c r="AD10" s="17">
        <f t="shared" si="2"/>
        <v>0</v>
      </c>
      <c r="AE10" s="31">
        <f t="shared" si="2"/>
        <v>9</v>
      </c>
      <c r="AF10" s="31">
        <f t="shared" si="2"/>
        <v>50</v>
      </c>
    </row>
    <row r="11" spans="2:32" s="6" customFormat="1" ht="23.1" customHeight="1" x14ac:dyDescent="0.25">
      <c r="B11" s="45" t="s">
        <v>38</v>
      </c>
      <c r="C11" s="50">
        <v>1</v>
      </c>
      <c r="D11" s="50">
        <v>0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9</v>
      </c>
      <c r="N11" s="50">
        <v>0</v>
      </c>
      <c r="O11" s="15">
        <f t="shared" si="0"/>
        <v>2</v>
      </c>
      <c r="P11" s="15">
        <f t="shared" si="1"/>
        <v>11</v>
      </c>
      <c r="R11" s="1" t="s">
        <v>7</v>
      </c>
      <c r="S11" s="17">
        <f t="shared" ref="S11:AF11" si="3">SUM(C14:C17)</f>
        <v>4</v>
      </c>
      <c r="T11" s="17">
        <f t="shared" si="3"/>
        <v>0</v>
      </c>
      <c r="U11" s="17">
        <f t="shared" si="3"/>
        <v>5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3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39</v>
      </c>
      <c r="AD11" s="17">
        <f t="shared" si="3"/>
        <v>0</v>
      </c>
      <c r="AE11" s="31">
        <f t="shared" si="3"/>
        <v>12</v>
      </c>
      <c r="AF11" s="31">
        <f t="shared" si="3"/>
        <v>51</v>
      </c>
    </row>
    <row r="12" spans="2:32" ht="23.1" customHeight="1" x14ac:dyDescent="0.25">
      <c r="B12" s="45" t="s">
        <v>39</v>
      </c>
      <c r="C12" s="50">
        <v>0</v>
      </c>
      <c r="D12" s="50">
        <v>0</v>
      </c>
      <c r="E12" s="50">
        <v>2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11</v>
      </c>
      <c r="N12" s="50">
        <v>0</v>
      </c>
      <c r="O12" s="15">
        <f t="shared" si="0"/>
        <v>2</v>
      </c>
      <c r="P12" s="15">
        <f t="shared" si="1"/>
        <v>13</v>
      </c>
      <c r="R12" s="1" t="s">
        <v>8</v>
      </c>
      <c r="S12" s="17">
        <f t="shared" ref="S12:AF12" si="4">SUM(C18:C21)</f>
        <v>6</v>
      </c>
      <c r="T12" s="17">
        <f t="shared" si="4"/>
        <v>0</v>
      </c>
      <c r="U12" s="17">
        <f t="shared" si="4"/>
        <v>4</v>
      </c>
      <c r="V12" s="17">
        <f t="shared" si="4"/>
        <v>0</v>
      </c>
      <c r="W12" s="17">
        <f t="shared" si="4"/>
        <v>0</v>
      </c>
      <c r="X12" s="17">
        <f t="shared" si="4"/>
        <v>0</v>
      </c>
      <c r="Y12" s="17">
        <f t="shared" si="4"/>
        <v>2</v>
      </c>
      <c r="Z12" s="17">
        <f t="shared" si="4"/>
        <v>1</v>
      </c>
      <c r="AA12" s="17">
        <f t="shared" si="4"/>
        <v>0</v>
      </c>
      <c r="AB12" s="17">
        <f t="shared" si="4"/>
        <v>0</v>
      </c>
      <c r="AC12" s="17">
        <f t="shared" si="4"/>
        <v>56</v>
      </c>
      <c r="AD12" s="17">
        <f t="shared" si="4"/>
        <v>0</v>
      </c>
      <c r="AE12" s="31">
        <f t="shared" si="4"/>
        <v>13</v>
      </c>
      <c r="AF12" s="31">
        <f t="shared" si="4"/>
        <v>69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11</v>
      </c>
      <c r="N13" s="50">
        <v>0</v>
      </c>
      <c r="O13" s="15">
        <f t="shared" si="0"/>
        <v>1</v>
      </c>
      <c r="P13" s="15">
        <f t="shared" si="1"/>
        <v>12</v>
      </c>
      <c r="R13" s="1" t="s">
        <v>9</v>
      </c>
      <c r="S13" s="17">
        <f t="shared" ref="S13:AF13" si="5">SUM(C22:C25)</f>
        <v>3</v>
      </c>
      <c r="T13" s="17">
        <f t="shared" si="5"/>
        <v>0</v>
      </c>
      <c r="U13" s="17">
        <f t="shared" si="5"/>
        <v>6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7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47</v>
      </c>
      <c r="AD13" s="17">
        <f t="shared" si="5"/>
        <v>0</v>
      </c>
      <c r="AE13" s="31">
        <f t="shared" si="5"/>
        <v>17</v>
      </c>
      <c r="AF13" s="31">
        <f t="shared" si="5"/>
        <v>64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1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12</v>
      </c>
      <c r="N14" s="50">
        <v>0</v>
      </c>
      <c r="O14" s="15">
        <f t="shared" si="0"/>
        <v>3</v>
      </c>
      <c r="P14" s="15">
        <f t="shared" si="1"/>
        <v>15</v>
      </c>
      <c r="R14" s="1" t="s">
        <v>10</v>
      </c>
      <c r="S14" s="17">
        <f t="shared" ref="S14:AF14" si="6">SUM(C26:C29)</f>
        <v>7</v>
      </c>
      <c r="T14" s="17">
        <f t="shared" si="6"/>
        <v>0</v>
      </c>
      <c r="U14" s="17">
        <f t="shared" si="6"/>
        <v>3</v>
      </c>
      <c r="V14" s="17">
        <f t="shared" si="6"/>
        <v>3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1</v>
      </c>
      <c r="AA14" s="17">
        <f t="shared" si="6"/>
        <v>0</v>
      </c>
      <c r="AB14" s="17">
        <f t="shared" si="6"/>
        <v>0</v>
      </c>
      <c r="AC14" s="17">
        <f t="shared" si="6"/>
        <v>58</v>
      </c>
      <c r="AD14" s="17">
        <f t="shared" si="6"/>
        <v>0</v>
      </c>
      <c r="AE14" s="31">
        <f t="shared" si="6"/>
        <v>19</v>
      </c>
      <c r="AF14" s="31">
        <f t="shared" si="6"/>
        <v>77</v>
      </c>
    </row>
    <row r="15" spans="2:32" ht="23.1" customHeight="1" x14ac:dyDescent="0.25">
      <c r="B15" s="45" t="s">
        <v>42</v>
      </c>
      <c r="C15" s="50">
        <v>0</v>
      </c>
      <c r="D15" s="50">
        <v>0</v>
      </c>
      <c r="E15" s="50">
        <v>2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9</v>
      </c>
      <c r="N15" s="50">
        <v>0</v>
      </c>
      <c r="O15" s="15">
        <f t="shared" si="0"/>
        <v>3</v>
      </c>
      <c r="P15" s="15">
        <f t="shared" si="1"/>
        <v>12</v>
      </c>
      <c r="R15" s="1" t="s">
        <v>11</v>
      </c>
      <c r="S15" s="17">
        <f t="shared" ref="S15:AF15" si="7">SUM(C30:C33)</f>
        <v>2</v>
      </c>
      <c r="T15" s="17">
        <f t="shared" si="7"/>
        <v>0</v>
      </c>
      <c r="U15" s="17">
        <f t="shared" si="7"/>
        <v>7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9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63</v>
      </c>
      <c r="AD15" s="17">
        <f t="shared" si="7"/>
        <v>0</v>
      </c>
      <c r="AE15" s="31">
        <f t="shared" si="7"/>
        <v>19</v>
      </c>
      <c r="AF15" s="31">
        <f t="shared" si="7"/>
        <v>82</v>
      </c>
    </row>
    <row r="16" spans="2:32" ht="23.1" customHeight="1" x14ac:dyDescent="0.25">
      <c r="B16" s="45" t="s">
        <v>43</v>
      </c>
      <c r="C16" s="50">
        <v>2</v>
      </c>
      <c r="D16" s="50">
        <v>0</v>
      </c>
      <c r="E16" s="50">
        <v>1</v>
      </c>
      <c r="F16" s="50">
        <v>0</v>
      </c>
      <c r="G16" s="50">
        <v>0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4</v>
      </c>
      <c r="P16" s="15">
        <f t="shared" si="1"/>
        <v>12</v>
      </c>
      <c r="R16" s="1" t="s">
        <v>12</v>
      </c>
      <c r="S16" s="17">
        <f t="shared" ref="S16:AF16" si="8">SUM(C34:C37)</f>
        <v>6</v>
      </c>
      <c r="T16" s="17">
        <f t="shared" si="8"/>
        <v>0</v>
      </c>
      <c r="U16" s="17">
        <f t="shared" si="8"/>
        <v>3</v>
      </c>
      <c r="V16" s="17">
        <f t="shared" si="8"/>
        <v>2</v>
      </c>
      <c r="W16" s="17">
        <f t="shared" si="8"/>
        <v>0</v>
      </c>
      <c r="X16" s="17">
        <f t="shared" si="8"/>
        <v>0</v>
      </c>
      <c r="Y16" s="17">
        <f t="shared" si="8"/>
        <v>9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54</v>
      </c>
      <c r="AD16" s="17">
        <f t="shared" si="8"/>
        <v>0</v>
      </c>
      <c r="AE16" s="31">
        <f t="shared" si="8"/>
        <v>20</v>
      </c>
      <c r="AF16" s="31">
        <f t="shared" si="8"/>
        <v>74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10</v>
      </c>
      <c r="N17" s="50">
        <v>0</v>
      </c>
      <c r="O17" s="15">
        <f t="shared" si="0"/>
        <v>2</v>
      </c>
      <c r="P17" s="15">
        <f t="shared" si="1"/>
        <v>12</v>
      </c>
      <c r="R17" s="1" t="s">
        <v>13</v>
      </c>
      <c r="S17" s="17">
        <f t="shared" ref="S17:AF17" si="9">SUM(C38:C41)</f>
        <v>5</v>
      </c>
      <c r="T17" s="17">
        <f t="shared" si="9"/>
        <v>0</v>
      </c>
      <c r="U17" s="17">
        <f t="shared" si="9"/>
        <v>2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58</v>
      </c>
      <c r="AD17" s="17">
        <f t="shared" si="9"/>
        <v>0</v>
      </c>
      <c r="AE17" s="31">
        <f t="shared" si="9"/>
        <v>13</v>
      </c>
      <c r="AF17" s="31">
        <f t="shared" si="9"/>
        <v>71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14</v>
      </c>
      <c r="N18" s="50">
        <v>0</v>
      </c>
      <c r="O18" s="15">
        <f t="shared" si="0"/>
        <v>2</v>
      </c>
      <c r="P18" s="15">
        <f t="shared" si="1"/>
        <v>16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6</v>
      </c>
      <c r="V18" s="17">
        <f t="shared" si="10"/>
        <v>1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0</v>
      </c>
      <c r="AA18" s="17">
        <f t="shared" si="10"/>
        <v>0</v>
      </c>
      <c r="AB18" s="17">
        <f t="shared" si="10"/>
        <v>0</v>
      </c>
      <c r="AC18" s="17">
        <f t="shared" si="10"/>
        <v>47</v>
      </c>
      <c r="AD18" s="17">
        <f t="shared" si="10"/>
        <v>0</v>
      </c>
      <c r="AE18" s="31">
        <f t="shared" si="10"/>
        <v>15</v>
      </c>
      <c r="AF18" s="31">
        <f t="shared" si="10"/>
        <v>62</v>
      </c>
    </row>
    <row r="19" spans="2:32" ht="23.1" customHeight="1" x14ac:dyDescent="0.25">
      <c r="B19" s="45" t="s">
        <v>46</v>
      </c>
      <c r="C19" s="50">
        <v>1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18</v>
      </c>
      <c r="N19" s="50">
        <v>0</v>
      </c>
      <c r="O19" s="15">
        <f t="shared" si="0"/>
        <v>2</v>
      </c>
      <c r="P19" s="15">
        <f t="shared" si="1"/>
        <v>20</v>
      </c>
      <c r="R19" s="1" t="s">
        <v>15</v>
      </c>
      <c r="S19" s="17">
        <f t="shared" ref="S19:AF19" si="11">SUM(C46:C49)</f>
        <v>6</v>
      </c>
      <c r="T19" s="17">
        <f t="shared" si="11"/>
        <v>0</v>
      </c>
      <c r="U19" s="17">
        <f t="shared" si="11"/>
        <v>8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61</v>
      </c>
      <c r="AD19" s="17">
        <f t="shared" si="11"/>
        <v>0</v>
      </c>
      <c r="AE19" s="31">
        <f t="shared" si="11"/>
        <v>19</v>
      </c>
      <c r="AF19" s="31">
        <f t="shared" si="11"/>
        <v>80</v>
      </c>
    </row>
    <row r="20" spans="2:32" ht="23.1" customHeight="1" x14ac:dyDescent="0.25">
      <c r="B20" s="45" t="s">
        <v>47</v>
      </c>
      <c r="C20" s="50">
        <v>1</v>
      </c>
      <c r="D20" s="50">
        <v>0</v>
      </c>
      <c r="E20" s="50">
        <v>3</v>
      </c>
      <c r="F20" s="50">
        <v>0</v>
      </c>
      <c r="G20" s="50">
        <v>0</v>
      </c>
      <c r="H20" s="50">
        <v>0</v>
      </c>
      <c r="I20" s="50">
        <v>1</v>
      </c>
      <c r="J20" s="50">
        <v>0</v>
      </c>
      <c r="K20" s="50">
        <v>0</v>
      </c>
      <c r="L20" s="50">
        <v>0</v>
      </c>
      <c r="M20" s="50">
        <v>13</v>
      </c>
      <c r="N20" s="50">
        <v>0</v>
      </c>
      <c r="O20" s="15">
        <f t="shared" si="0"/>
        <v>5</v>
      </c>
      <c r="P20" s="15">
        <f t="shared" si="1"/>
        <v>18</v>
      </c>
      <c r="R20" s="1" t="s">
        <v>16</v>
      </c>
      <c r="S20" s="17">
        <f t="shared" ref="S20:AF20" si="12">SUM(C50:C53)</f>
        <v>8</v>
      </c>
      <c r="T20" s="17">
        <f t="shared" si="12"/>
        <v>0</v>
      </c>
      <c r="U20" s="17">
        <f t="shared" si="12"/>
        <v>3</v>
      </c>
      <c r="V20" s="17">
        <f t="shared" si="12"/>
        <v>1</v>
      </c>
      <c r="W20" s="17">
        <f t="shared" si="12"/>
        <v>0</v>
      </c>
      <c r="X20" s="17">
        <f t="shared" si="12"/>
        <v>0</v>
      </c>
      <c r="Y20" s="17">
        <f t="shared" si="12"/>
        <v>2</v>
      </c>
      <c r="Z20" s="17">
        <f t="shared" si="12"/>
        <v>1</v>
      </c>
      <c r="AA20" s="17">
        <f t="shared" si="12"/>
        <v>0</v>
      </c>
      <c r="AB20" s="17">
        <f t="shared" si="12"/>
        <v>0</v>
      </c>
      <c r="AC20" s="17">
        <f t="shared" si="12"/>
        <v>66</v>
      </c>
      <c r="AD20" s="17">
        <f t="shared" si="12"/>
        <v>0</v>
      </c>
      <c r="AE20" s="31">
        <f t="shared" si="12"/>
        <v>15</v>
      </c>
      <c r="AF20" s="31">
        <f t="shared" si="12"/>
        <v>81</v>
      </c>
    </row>
    <row r="21" spans="2:32" ht="23.1" customHeight="1" x14ac:dyDescent="0.25">
      <c r="B21" s="45" t="s">
        <v>48</v>
      </c>
      <c r="C21" s="50">
        <v>3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1</v>
      </c>
      <c r="K21" s="50">
        <v>0</v>
      </c>
      <c r="L21" s="50">
        <v>0</v>
      </c>
      <c r="M21" s="50">
        <v>11</v>
      </c>
      <c r="N21" s="50">
        <v>0</v>
      </c>
      <c r="O21" s="15">
        <f t="shared" si="0"/>
        <v>4</v>
      </c>
      <c r="P21" s="15">
        <f t="shared" si="1"/>
        <v>15</v>
      </c>
      <c r="R21" s="36" t="s">
        <v>20</v>
      </c>
      <c r="S21" s="34">
        <f t="shared" ref="S21:AF21" si="13">SUM(C54:C57)</f>
        <v>12</v>
      </c>
      <c r="T21" s="17">
        <f t="shared" si="13"/>
        <v>0</v>
      </c>
      <c r="U21" s="17">
        <f t="shared" si="13"/>
        <v>1</v>
      </c>
      <c r="V21" s="17">
        <f t="shared" si="13"/>
        <v>3</v>
      </c>
      <c r="W21" s="17">
        <f t="shared" si="13"/>
        <v>0</v>
      </c>
      <c r="X21" s="17">
        <f t="shared" si="13"/>
        <v>0</v>
      </c>
      <c r="Y21" s="17">
        <f t="shared" si="13"/>
        <v>7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59</v>
      </c>
      <c r="AD21" s="17">
        <f t="shared" si="13"/>
        <v>0</v>
      </c>
      <c r="AE21" s="31">
        <f t="shared" si="13"/>
        <v>23</v>
      </c>
      <c r="AF21" s="31">
        <f t="shared" si="13"/>
        <v>82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3</v>
      </c>
      <c r="F22" s="50">
        <v>0</v>
      </c>
      <c r="G22" s="50">
        <v>0</v>
      </c>
      <c r="H22" s="50">
        <v>0</v>
      </c>
      <c r="I22" s="50">
        <v>1</v>
      </c>
      <c r="J22" s="50">
        <v>0</v>
      </c>
      <c r="K22" s="50">
        <v>0</v>
      </c>
      <c r="L22" s="50">
        <v>0</v>
      </c>
      <c r="M22" s="50">
        <v>9</v>
      </c>
      <c r="N22" s="50">
        <v>0</v>
      </c>
      <c r="O22" s="15">
        <f t="shared" si="0"/>
        <v>5</v>
      </c>
      <c r="P22" s="15">
        <f t="shared" si="1"/>
        <v>14</v>
      </c>
      <c r="R22" s="36" t="s">
        <v>146</v>
      </c>
      <c r="S22" s="34">
        <f>SUM(C58:C61)</f>
        <v>4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19</v>
      </c>
      <c r="AD22" s="34">
        <f t="shared" si="14"/>
        <v>0</v>
      </c>
      <c r="AE22" s="31">
        <f t="shared" si="14"/>
        <v>6</v>
      </c>
      <c r="AF22" s="31">
        <f t="shared" si="14"/>
        <v>25</v>
      </c>
    </row>
    <row r="23" spans="2:32" ht="23.1" customHeight="1" x14ac:dyDescent="0.25">
      <c r="B23" s="45" t="s">
        <v>50</v>
      </c>
      <c r="C23" s="50">
        <v>2</v>
      </c>
      <c r="D23" s="50">
        <v>0</v>
      </c>
      <c r="E23" s="50">
        <v>2</v>
      </c>
      <c r="F23" s="50">
        <v>0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18</v>
      </c>
      <c r="N23" s="50">
        <v>0</v>
      </c>
      <c r="O23" s="15">
        <f t="shared" si="0"/>
        <v>5</v>
      </c>
      <c r="P23" s="15">
        <f t="shared" si="1"/>
        <v>23</v>
      </c>
      <c r="R23" s="36" t="s">
        <v>147</v>
      </c>
      <c r="S23" s="34">
        <f>SUM(C62:C65)</f>
        <v>4</v>
      </c>
      <c r="T23" s="34">
        <f t="shared" ref="T23:AF23" si="15">SUM(D62:D65)</f>
        <v>0</v>
      </c>
      <c r="U23" s="34">
        <f t="shared" si="15"/>
        <v>2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26</v>
      </c>
      <c r="AD23" s="34">
        <f t="shared" si="15"/>
        <v>0</v>
      </c>
      <c r="AE23" s="31">
        <f t="shared" si="15"/>
        <v>9</v>
      </c>
      <c r="AF23" s="31">
        <f t="shared" si="15"/>
        <v>35</v>
      </c>
    </row>
    <row r="24" spans="2:32" ht="23.1" customHeight="1" x14ac:dyDescent="0.25">
      <c r="B24" s="45" t="s">
        <v>51</v>
      </c>
      <c r="C24" s="50">
        <v>0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50">
        <v>15</v>
      </c>
      <c r="N24" s="50">
        <v>0</v>
      </c>
      <c r="O24" s="15">
        <f t="shared" si="0"/>
        <v>2</v>
      </c>
      <c r="P24" s="15">
        <f t="shared" si="1"/>
        <v>17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25</v>
      </c>
      <c r="AD24" s="34">
        <f t="shared" si="16"/>
        <v>0</v>
      </c>
      <c r="AE24" s="31">
        <f t="shared" si="16"/>
        <v>4</v>
      </c>
      <c r="AF24" s="31">
        <f t="shared" si="16"/>
        <v>29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1</v>
      </c>
      <c r="F25" s="50">
        <v>1</v>
      </c>
      <c r="G25" s="50">
        <v>0</v>
      </c>
      <c r="H25" s="50">
        <v>0</v>
      </c>
      <c r="I25" s="50">
        <v>3</v>
      </c>
      <c r="J25" s="50">
        <v>0</v>
      </c>
      <c r="K25" s="50">
        <v>0</v>
      </c>
      <c r="L25" s="50">
        <v>0</v>
      </c>
      <c r="M25" s="50">
        <v>5</v>
      </c>
      <c r="N25" s="50">
        <v>0</v>
      </c>
      <c r="O25" s="15">
        <f t="shared" si="0"/>
        <v>5</v>
      </c>
      <c r="P25" s="15">
        <f t="shared" si="1"/>
        <v>10</v>
      </c>
      <c r="R25" s="36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0</v>
      </c>
      <c r="W25" s="34">
        <f t="shared" si="17"/>
        <v>1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21</v>
      </c>
      <c r="AD25" s="34">
        <f t="shared" si="17"/>
        <v>0</v>
      </c>
      <c r="AE25" s="31">
        <f t="shared" si="17"/>
        <v>7</v>
      </c>
      <c r="AF25" s="31">
        <f t="shared" si="17"/>
        <v>28</v>
      </c>
    </row>
    <row r="26" spans="2:32" ht="23.1" customHeight="1" x14ac:dyDescent="0.25">
      <c r="B26" s="45" t="s">
        <v>53</v>
      </c>
      <c r="C26" s="50">
        <v>3</v>
      </c>
      <c r="D26" s="50">
        <v>0</v>
      </c>
      <c r="E26" s="50">
        <v>0</v>
      </c>
      <c r="F26" s="50">
        <v>0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19</v>
      </c>
      <c r="N26" s="50">
        <v>0</v>
      </c>
      <c r="O26" s="15">
        <f t="shared" si="0"/>
        <v>4</v>
      </c>
      <c r="P26" s="15">
        <f t="shared" si="1"/>
        <v>23</v>
      </c>
      <c r="R26" s="36" t="s">
        <v>150</v>
      </c>
      <c r="S26" s="34">
        <f>SUM(C74:C77)</f>
        <v>3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20</v>
      </c>
      <c r="AD26" s="34">
        <f t="shared" si="18"/>
        <v>0</v>
      </c>
      <c r="AE26" s="31">
        <f t="shared" si="18"/>
        <v>6</v>
      </c>
      <c r="AF26" s="31">
        <f t="shared" si="18"/>
        <v>26</v>
      </c>
    </row>
    <row r="27" spans="2:32" ht="23.1" customHeight="1" x14ac:dyDescent="0.25">
      <c r="B27" s="45" t="s">
        <v>54</v>
      </c>
      <c r="C27" s="50">
        <v>1</v>
      </c>
      <c r="D27" s="50">
        <v>0</v>
      </c>
      <c r="E27" s="50">
        <v>2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11</v>
      </c>
      <c r="N27" s="50">
        <v>0</v>
      </c>
      <c r="O27" s="15">
        <f t="shared" si="0"/>
        <v>3</v>
      </c>
      <c r="P27" s="15">
        <f t="shared" si="1"/>
        <v>14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14</v>
      </c>
      <c r="AD27" s="34">
        <f t="shared" si="19"/>
        <v>0</v>
      </c>
      <c r="AE27" s="31">
        <f t="shared" si="19"/>
        <v>4</v>
      </c>
      <c r="AF27" s="31">
        <f t="shared" si="19"/>
        <v>18</v>
      </c>
    </row>
    <row r="28" spans="2:32" ht="23.1" customHeight="1" x14ac:dyDescent="0.25">
      <c r="B28" s="45" t="s">
        <v>55</v>
      </c>
      <c r="C28" s="50">
        <v>2</v>
      </c>
      <c r="D28" s="50">
        <v>0</v>
      </c>
      <c r="E28" s="50">
        <v>1</v>
      </c>
      <c r="F28" s="50">
        <v>3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11</v>
      </c>
      <c r="N28" s="50">
        <v>0</v>
      </c>
      <c r="O28" s="15">
        <f t="shared" si="0"/>
        <v>8</v>
      </c>
      <c r="P28" s="15">
        <f t="shared" si="1"/>
        <v>19</v>
      </c>
      <c r="R28" s="36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8</v>
      </c>
      <c r="AD28" s="34">
        <f t="shared" si="20"/>
        <v>0</v>
      </c>
      <c r="AE28" s="31">
        <f t="shared" si="20"/>
        <v>0</v>
      </c>
      <c r="AF28" s="31">
        <f t="shared" si="20"/>
        <v>8</v>
      </c>
    </row>
    <row r="29" spans="2:32" ht="23.1" customHeight="1" x14ac:dyDescent="0.25">
      <c r="B29" s="45" t="s">
        <v>56</v>
      </c>
      <c r="C29" s="50">
        <v>1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2</v>
      </c>
      <c r="J29" s="50">
        <v>1</v>
      </c>
      <c r="K29" s="50">
        <v>0</v>
      </c>
      <c r="L29" s="50">
        <v>0</v>
      </c>
      <c r="M29" s="50">
        <v>17</v>
      </c>
      <c r="N29" s="50">
        <v>0</v>
      </c>
      <c r="O29" s="15">
        <f t="shared" si="0"/>
        <v>4</v>
      </c>
      <c r="P29" s="15">
        <f t="shared" si="1"/>
        <v>21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8</v>
      </c>
      <c r="AD29" s="34">
        <f t="shared" si="21"/>
        <v>0</v>
      </c>
      <c r="AE29" s="31">
        <f t="shared" si="21"/>
        <v>0</v>
      </c>
      <c r="AF29" s="31">
        <f t="shared" si="21"/>
        <v>8</v>
      </c>
    </row>
    <row r="30" spans="2:32" ht="23.1" customHeight="1" x14ac:dyDescent="0.25">
      <c r="B30" s="45" t="s">
        <v>57</v>
      </c>
      <c r="C30" s="50">
        <v>0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1</v>
      </c>
      <c r="J30" s="50">
        <v>1</v>
      </c>
      <c r="K30" s="50">
        <v>0</v>
      </c>
      <c r="L30" s="50">
        <v>0</v>
      </c>
      <c r="M30" s="50">
        <v>12</v>
      </c>
      <c r="N30" s="50">
        <v>0</v>
      </c>
      <c r="O30" s="15">
        <f t="shared" si="0"/>
        <v>3</v>
      </c>
      <c r="P30" s="15">
        <f t="shared" si="1"/>
        <v>15</v>
      </c>
      <c r="R30" s="36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10</v>
      </c>
      <c r="AD30" s="34">
        <f t="shared" si="22"/>
        <v>0</v>
      </c>
      <c r="AE30" s="31">
        <f t="shared" si="22"/>
        <v>3</v>
      </c>
      <c r="AF30" s="31">
        <f t="shared" si="22"/>
        <v>13</v>
      </c>
    </row>
    <row r="31" spans="2:32" ht="23.1" customHeight="1" x14ac:dyDescent="0.25">
      <c r="B31" s="46" t="s">
        <v>58</v>
      </c>
      <c r="C31" s="50">
        <v>0</v>
      </c>
      <c r="D31" s="50">
        <v>0</v>
      </c>
      <c r="E31" s="50">
        <v>2</v>
      </c>
      <c r="F31" s="50">
        <v>0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24</v>
      </c>
      <c r="N31" s="50">
        <v>0</v>
      </c>
      <c r="O31" s="15">
        <f t="shared" si="0"/>
        <v>3</v>
      </c>
      <c r="P31" s="15">
        <f t="shared" si="1"/>
        <v>27</v>
      </c>
      <c r="R31" s="36" t="s">
        <v>155</v>
      </c>
      <c r="S31" s="34">
        <f>SUM(C94:C97)</f>
        <v>4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19</v>
      </c>
      <c r="AD31" s="34">
        <f t="shared" si="23"/>
        <v>0</v>
      </c>
      <c r="AE31" s="31">
        <f t="shared" si="23"/>
        <v>10</v>
      </c>
      <c r="AF31" s="31">
        <f t="shared" si="23"/>
        <v>29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3</v>
      </c>
      <c r="F32" s="50">
        <v>0</v>
      </c>
      <c r="G32" s="50">
        <v>0</v>
      </c>
      <c r="H32" s="50">
        <v>0</v>
      </c>
      <c r="I32" s="50">
        <v>4</v>
      </c>
      <c r="J32" s="50">
        <v>0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9</v>
      </c>
      <c r="P32" s="15">
        <f t="shared" si="1"/>
        <v>19</v>
      </c>
      <c r="R32" s="33" t="s">
        <v>156</v>
      </c>
      <c r="S32" s="34">
        <f>SUM(C98:C101)</f>
        <v>4</v>
      </c>
      <c r="T32" s="34">
        <f t="shared" ref="T32:AF32" si="24">SUM(D98:D101)</f>
        <v>0</v>
      </c>
      <c r="U32" s="34">
        <f t="shared" si="24"/>
        <v>4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24</v>
      </c>
      <c r="AD32" s="34">
        <f t="shared" si="24"/>
        <v>0</v>
      </c>
      <c r="AE32" s="31">
        <f t="shared" si="24"/>
        <v>14</v>
      </c>
      <c r="AF32" s="31">
        <f t="shared" si="24"/>
        <v>38</v>
      </c>
    </row>
    <row r="33" spans="2:32" ht="23.1" customHeight="1" x14ac:dyDescent="0.25">
      <c r="B33" s="45" t="s">
        <v>60</v>
      </c>
      <c r="C33" s="50">
        <v>0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3</v>
      </c>
      <c r="J33" s="50">
        <v>0</v>
      </c>
      <c r="K33" s="50">
        <v>0</v>
      </c>
      <c r="L33" s="50">
        <v>0</v>
      </c>
      <c r="M33" s="50">
        <v>17</v>
      </c>
      <c r="N33" s="50">
        <v>0</v>
      </c>
      <c r="O33" s="15">
        <f t="shared" si="0"/>
        <v>4</v>
      </c>
      <c r="P33" s="15">
        <f t="shared" si="1"/>
        <v>21</v>
      </c>
      <c r="R33" s="33" t="s">
        <v>157</v>
      </c>
      <c r="S33" s="34">
        <f>SUM(C102:C105)</f>
        <v>4</v>
      </c>
      <c r="T33" s="34">
        <f t="shared" ref="T33:AF33" si="25">SUM(D102:D105)</f>
        <v>0</v>
      </c>
      <c r="U33" s="34">
        <f t="shared" si="25"/>
        <v>3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24</v>
      </c>
      <c r="AD33" s="34">
        <f t="shared" si="25"/>
        <v>0</v>
      </c>
      <c r="AE33" s="31">
        <f t="shared" si="25"/>
        <v>10</v>
      </c>
      <c r="AF33" s="31">
        <f t="shared" si="25"/>
        <v>34</v>
      </c>
    </row>
    <row r="34" spans="2:32" ht="23.1" customHeight="1" x14ac:dyDescent="0.25">
      <c r="B34" s="46" t="s">
        <v>61</v>
      </c>
      <c r="C34" s="50">
        <v>2</v>
      </c>
      <c r="D34" s="50">
        <v>0</v>
      </c>
      <c r="E34" s="50">
        <v>1</v>
      </c>
      <c r="F34" s="50">
        <v>0</v>
      </c>
      <c r="G34" s="50">
        <v>0</v>
      </c>
      <c r="H34" s="50">
        <v>0</v>
      </c>
      <c r="I34" s="50">
        <v>5</v>
      </c>
      <c r="J34" s="50">
        <v>0</v>
      </c>
      <c r="K34" s="50">
        <v>0</v>
      </c>
      <c r="L34" s="50">
        <v>0</v>
      </c>
      <c r="M34" s="50">
        <v>12</v>
      </c>
      <c r="N34" s="50">
        <v>0</v>
      </c>
      <c r="O34" s="15">
        <f t="shared" si="0"/>
        <v>8</v>
      </c>
      <c r="P34" s="15">
        <f t="shared" si="1"/>
        <v>20</v>
      </c>
      <c r="R34" s="38" t="s">
        <v>90</v>
      </c>
      <c r="S34" s="39">
        <f t="shared" ref="S34:AF34" si="26">MAX(S10:S12)</f>
        <v>6</v>
      </c>
      <c r="T34" s="39">
        <f t="shared" si="26"/>
        <v>0</v>
      </c>
      <c r="U34" s="39">
        <f t="shared" si="26"/>
        <v>5</v>
      </c>
      <c r="V34" s="39">
        <f t="shared" si="26"/>
        <v>1</v>
      </c>
      <c r="W34" s="39">
        <f t="shared" si="26"/>
        <v>0</v>
      </c>
      <c r="X34" s="39">
        <f t="shared" si="26"/>
        <v>0</v>
      </c>
      <c r="Y34" s="39">
        <f t="shared" si="26"/>
        <v>3</v>
      </c>
      <c r="Z34" s="39">
        <f t="shared" si="26"/>
        <v>1</v>
      </c>
      <c r="AA34" s="39">
        <f t="shared" si="26"/>
        <v>0</v>
      </c>
      <c r="AB34" s="39">
        <f t="shared" si="26"/>
        <v>0</v>
      </c>
      <c r="AC34" s="39">
        <f t="shared" si="26"/>
        <v>56</v>
      </c>
      <c r="AD34" s="39">
        <f t="shared" si="26"/>
        <v>0</v>
      </c>
      <c r="AE34" s="40">
        <f t="shared" si="26"/>
        <v>13</v>
      </c>
      <c r="AF34" s="40">
        <f t="shared" si="26"/>
        <v>69</v>
      </c>
    </row>
    <row r="35" spans="2:32" ht="23.1" customHeight="1" x14ac:dyDescent="0.25">
      <c r="B35" s="46" t="s">
        <v>62</v>
      </c>
      <c r="C35" s="50">
        <v>1</v>
      </c>
      <c r="D35" s="50">
        <v>0</v>
      </c>
      <c r="E35" s="50">
        <v>1</v>
      </c>
      <c r="F35" s="50">
        <v>1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15</v>
      </c>
      <c r="N35" s="50">
        <v>0</v>
      </c>
      <c r="O35" s="15">
        <f t="shared" si="0"/>
        <v>4</v>
      </c>
      <c r="P35" s="15">
        <f t="shared" si="1"/>
        <v>19</v>
      </c>
      <c r="R35" s="38" t="s">
        <v>91</v>
      </c>
      <c r="S35" s="39">
        <f t="shared" ref="S35:AF35" si="27">MAX(S13:S18)</f>
        <v>7</v>
      </c>
      <c r="T35" s="39">
        <f t="shared" si="27"/>
        <v>0</v>
      </c>
      <c r="U35" s="39">
        <f t="shared" si="27"/>
        <v>7</v>
      </c>
      <c r="V35" s="39">
        <f t="shared" si="27"/>
        <v>3</v>
      </c>
      <c r="W35" s="39">
        <f t="shared" si="27"/>
        <v>0</v>
      </c>
      <c r="X35" s="39">
        <f t="shared" si="27"/>
        <v>0</v>
      </c>
      <c r="Y35" s="39">
        <f t="shared" si="27"/>
        <v>9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63</v>
      </c>
      <c r="AD35" s="39">
        <f t="shared" si="27"/>
        <v>0</v>
      </c>
      <c r="AE35" s="40">
        <f t="shared" si="27"/>
        <v>20</v>
      </c>
      <c r="AF35" s="40">
        <f t="shared" si="27"/>
        <v>82</v>
      </c>
    </row>
    <row r="36" spans="2:32" ht="23.1" customHeight="1" x14ac:dyDescent="0.25">
      <c r="B36" s="46" t="s">
        <v>63</v>
      </c>
      <c r="C36" s="50">
        <v>1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1</v>
      </c>
      <c r="J36" s="50">
        <v>0</v>
      </c>
      <c r="K36" s="50">
        <v>0</v>
      </c>
      <c r="L36" s="50">
        <v>0</v>
      </c>
      <c r="M36" s="50">
        <v>11</v>
      </c>
      <c r="N36" s="50">
        <v>0</v>
      </c>
      <c r="O36" s="15">
        <f t="shared" si="0"/>
        <v>2</v>
      </c>
      <c r="P36" s="15">
        <f t="shared" si="1"/>
        <v>13</v>
      </c>
      <c r="R36" s="38" t="s">
        <v>92</v>
      </c>
      <c r="S36" s="39">
        <f t="shared" ref="S36:AF36" si="28">MAX(S19:S21)</f>
        <v>12</v>
      </c>
      <c r="T36" s="39">
        <f t="shared" si="28"/>
        <v>0</v>
      </c>
      <c r="U36" s="39">
        <f t="shared" si="28"/>
        <v>8</v>
      </c>
      <c r="V36" s="39">
        <f t="shared" si="28"/>
        <v>3</v>
      </c>
      <c r="W36" s="39">
        <f t="shared" si="28"/>
        <v>0</v>
      </c>
      <c r="X36" s="39">
        <f t="shared" si="28"/>
        <v>0</v>
      </c>
      <c r="Y36" s="39">
        <f t="shared" si="28"/>
        <v>7</v>
      </c>
      <c r="Z36" s="39">
        <f t="shared" si="28"/>
        <v>1</v>
      </c>
      <c r="AA36" s="39">
        <f t="shared" si="28"/>
        <v>0</v>
      </c>
      <c r="AB36" s="39">
        <f t="shared" si="28"/>
        <v>0</v>
      </c>
      <c r="AC36" s="39">
        <f t="shared" si="28"/>
        <v>66</v>
      </c>
      <c r="AD36" s="39">
        <f t="shared" si="28"/>
        <v>0</v>
      </c>
      <c r="AE36" s="40">
        <f t="shared" si="28"/>
        <v>23</v>
      </c>
      <c r="AF36" s="40">
        <f t="shared" si="28"/>
        <v>82</v>
      </c>
    </row>
    <row r="37" spans="2:32" ht="23.1" customHeight="1" x14ac:dyDescent="0.25">
      <c r="B37" s="45" t="s">
        <v>64</v>
      </c>
      <c r="C37" s="50">
        <v>2</v>
      </c>
      <c r="D37" s="50">
        <v>0</v>
      </c>
      <c r="E37" s="50">
        <v>1</v>
      </c>
      <c r="F37" s="50">
        <v>1</v>
      </c>
      <c r="G37" s="50">
        <v>0</v>
      </c>
      <c r="H37" s="50">
        <v>0</v>
      </c>
      <c r="I37" s="50">
        <v>2</v>
      </c>
      <c r="J37" s="50">
        <v>0</v>
      </c>
      <c r="K37" s="50">
        <v>0</v>
      </c>
      <c r="L37" s="50">
        <v>0</v>
      </c>
      <c r="M37" s="50">
        <v>16</v>
      </c>
      <c r="N37" s="50">
        <v>0</v>
      </c>
      <c r="O37" s="15">
        <f t="shared" si="0"/>
        <v>6</v>
      </c>
      <c r="P37" s="15">
        <f t="shared" si="1"/>
        <v>22</v>
      </c>
      <c r="R37" s="37" t="s">
        <v>85</v>
      </c>
      <c r="S37" s="35">
        <f t="shared" ref="S37:AF37" si="29">SUM(S10:S12)</f>
        <v>11</v>
      </c>
      <c r="T37" s="16">
        <f t="shared" si="29"/>
        <v>0</v>
      </c>
      <c r="U37" s="16">
        <f t="shared" si="29"/>
        <v>14</v>
      </c>
      <c r="V37" s="16">
        <f t="shared" si="29"/>
        <v>1</v>
      </c>
      <c r="W37" s="16">
        <f t="shared" si="29"/>
        <v>0</v>
      </c>
      <c r="X37" s="16">
        <f t="shared" si="29"/>
        <v>0</v>
      </c>
      <c r="Y37" s="16">
        <f t="shared" si="29"/>
        <v>7</v>
      </c>
      <c r="Z37" s="16">
        <f t="shared" si="29"/>
        <v>1</v>
      </c>
      <c r="AA37" s="16">
        <f t="shared" si="29"/>
        <v>0</v>
      </c>
      <c r="AB37" s="16">
        <f t="shared" si="29"/>
        <v>0</v>
      </c>
      <c r="AC37" s="16">
        <f t="shared" si="29"/>
        <v>136</v>
      </c>
      <c r="AD37" s="16">
        <f t="shared" si="29"/>
        <v>0</v>
      </c>
      <c r="AE37" s="32">
        <f t="shared" si="29"/>
        <v>34</v>
      </c>
      <c r="AF37" s="32">
        <f t="shared" si="29"/>
        <v>170</v>
      </c>
    </row>
    <row r="38" spans="2:32" ht="23.1" customHeight="1" x14ac:dyDescent="0.25">
      <c r="B38" s="46" t="s">
        <v>65</v>
      </c>
      <c r="C38" s="50">
        <v>1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1</v>
      </c>
      <c r="J38" s="50">
        <v>0</v>
      </c>
      <c r="K38" s="50">
        <v>0</v>
      </c>
      <c r="L38" s="50">
        <v>0</v>
      </c>
      <c r="M38" s="50">
        <v>9</v>
      </c>
      <c r="N38" s="50">
        <v>0</v>
      </c>
      <c r="O38" s="15">
        <f t="shared" si="0"/>
        <v>2</v>
      </c>
      <c r="P38" s="15">
        <f t="shared" si="1"/>
        <v>11</v>
      </c>
      <c r="R38" s="28" t="s">
        <v>86</v>
      </c>
      <c r="S38" s="16">
        <f t="shared" ref="S38:AF38" si="30">SUM(S13:S18)</f>
        <v>26</v>
      </c>
      <c r="T38" s="16">
        <f t="shared" si="30"/>
        <v>0</v>
      </c>
      <c r="U38" s="16">
        <f t="shared" si="30"/>
        <v>27</v>
      </c>
      <c r="V38" s="16">
        <f t="shared" si="30"/>
        <v>7</v>
      </c>
      <c r="W38" s="16">
        <f t="shared" si="30"/>
        <v>0</v>
      </c>
      <c r="X38" s="16">
        <f t="shared" si="30"/>
        <v>0</v>
      </c>
      <c r="Y38" s="16">
        <f t="shared" si="30"/>
        <v>41</v>
      </c>
      <c r="Z38" s="16">
        <f t="shared" si="30"/>
        <v>2</v>
      </c>
      <c r="AA38" s="16">
        <f t="shared" si="30"/>
        <v>0</v>
      </c>
      <c r="AB38" s="16">
        <f t="shared" si="30"/>
        <v>0</v>
      </c>
      <c r="AC38" s="16">
        <f t="shared" si="30"/>
        <v>327</v>
      </c>
      <c r="AD38" s="16">
        <f t="shared" si="30"/>
        <v>0</v>
      </c>
      <c r="AE38" s="32">
        <f t="shared" si="30"/>
        <v>103</v>
      </c>
      <c r="AF38" s="32">
        <f t="shared" si="30"/>
        <v>430</v>
      </c>
    </row>
    <row r="39" spans="2:32" ht="23.1" customHeight="1" x14ac:dyDescent="0.25">
      <c r="B39" s="46" t="s">
        <v>66</v>
      </c>
      <c r="C39" s="50">
        <v>1</v>
      </c>
      <c r="D39" s="50">
        <v>0</v>
      </c>
      <c r="E39" s="50">
        <v>2</v>
      </c>
      <c r="F39" s="50">
        <v>0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0</v>
      </c>
      <c r="M39" s="50">
        <v>21</v>
      </c>
      <c r="N39" s="50">
        <v>0</v>
      </c>
      <c r="O39" s="15">
        <f t="shared" si="0"/>
        <v>4</v>
      </c>
      <c r="P39" s="15">
        <f t="shared" si="1"/>
        <v>25</v>
      </c>
      <c r="R39" s="29" t="s">
        <v>87</v>
      </c>
      <c r="S39" s="16">
        <f t="shared" ref="S39:AF39" si="31">SUM(S19:S21)</f>
        <v>26</v>
      </c>
      <c r="T39" s="16">
        <f t="shared" si="31"/>
        <v>0</v>
      </c>
      <c r="U39" s="16">
        <f t="shared" si="31"/>
        <v>12</v>
      </c>
      <c r="V39" s="16">
        <f t="shared" si="31"/>
        <v>5</v>
      </c>
      <c r="W39" s="16">
        <f t="shared" si="31"/>
        <v>0</v>
      </c>
      <c r="X39" s="16">
        <f t="shared" si="31"/>
        <v>0</v>
      </c>
      <c r="Y39" s="16">
        <f t="shared" si="31"/>
        <v>13</v>
      </c>
      <c r="Z39" s="16">
        <f t="shared" si="31"/>
        <v>1</v>
      </c>
      <c r="AA39" s="16">
        <f t="shared" si="31"/>
        <v>0</v>
      </c>
      <c r="AB39" s="16">
        <f t="shared" si="31"/>
        <v>0</v>
      </c>
      <c r="AC39" s="16">
        <f t="shared" si="31"/>
        <v>186</v>
      </c>
      <c r="AD39" s="16">
        <f t="shared" si="31"/>
        <v>0</v>
      </c>
      <c r="AE39" s="32">
        <f t="shared" si="31"/>
        <v>57</v>
      </c>
      <c r="AF39" s="32">
        <f t="shared" si="31"/>
        <v>243</v>
      </c>
    </row>
    <row r="40" spans="2:32" ht="23.1" customHeight="1" x14ac:dyDescent="0.25">
      <c r="B40" s="46" t="s">
        <v>67</v>
      </c>
      <c r="C40" s="50">
        <v>0</v>
      </c>
      <c r="D40" s="50">
        <v>0</v>
      </c>
      <c r="E40" s="50">
        <v>0</v>
      </c>
      <c r="F40" s="50">
        <v>0</v>
      </c>
      <c r="G40" s="50">
        <v>0</v>
      </c>
      <c r="H40" s="50">
        <v>0</v>
      </c>
      <c r="I40" s="50">
        <v>2</v>
      </c>
      <c r="J40" s="50">
        <v>0</v>
      </c>
      <c r="K40" s="50">
        <v>0</v>
      </c>
      <c r="L40" s="50">
        <v>0</v>
      </c>
      <c r="M40" s="50">
        <v>10</v>
      </c>
      <c r="N40" s="50">
        <v>0</v>
      </c>
      <c r="O40" s="15">
        <f t="shared" si="0"/>
        <v>2</v>
      </c>
      <c r="P40" s="15">
        <f t="shared" si="1"/>
        <v>12</v>
      </c>
      <c r="R40" s="5" t="s">
        <v>17</v>
      </c>
      <c r="S40" s="16">
        <f t="shared" ref="S40:AF40" si="32">SUM(S10:S21)</f>
        <v>63</v>
      </c>
      <c r="T40" s="16">
        <f t="shared" si="32"/>
        <v>0</v>
      </c>
      <c r="U40" s="16">
        <f t="shared" si="32"/>
        <v>53</v>
      </c>
      <c r="V40" s="16">
        <f t="shared" si="32"/>
        <v>13</v>
      </c>
      <c r="W40" s="16">
        <f t="shared" si="32"/>
        <v>0</v>
      </c>
      <c r="X40" s="16">
        <f t="shared" si="32"/>
        <v>0</v>
      </c>
      <c r="Y40" s="16">
        <f t="shared" si="32"/>
        <v>61</v>
      </c>
      <c r="Z40" s="16">
        <f t="shared" si="32"/>
        <v>4</v>
      </c>
      <c r="AA40" s="16">
        <f t="shared" si="32"/>
        <v>0</v>
      </c>
      <c r="AB40" s="16">
        <f t="shared" si="32"/>
        <v>0</v>
      </c>
      <c r="AC40" s="16">
        <f t="shared" si="32"/>
        <v>649</v>
      </c>
      <c r="AD40" s="16">
        <f t="shared" si="32"/>
        <v>0</v>
      </c>
      <c r="AE40" s="32">
        <f t="shared" si="32"/>
        <v>194</v>
      </c>
      <c r="AF40" s="32">
        <f t="shared" si="32"/>
        <v>843</v>
      </c>
    </row>
    <row r="41" spans="2:32" ht="23.1" customHeight="1" x14ac:dyDescent="0.25">
      <c r="B41" s="45" t="s">
        <v>68</v>
      </c>
      <c r="C41" s="50">
        <v>3</v>
      </c>
      <c r="D41" s="50">
        <v>0</v>
      </c>
      <c r="E41" s="50">
        <v>0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18</v>
      </c>
      <c r="N41" s="50">
        <v>0</v>
      </c>
      <c r="O41" s="15">
        <f t="shared" si="0"/>
        <v>5</v>
      </c>
      <c r="P41" s="15">
        <f t="shared" si="1"/>
        <v>23</v>
      </c>
      <c r="R41" s="5" t="s">
        <v>159</v>
      </c>
      <c r="S41" s="16">
        <f>SUM(S10:S33)</f>
        <v>90</v>
      </c>
      <c r="T41" s="16">
        <f t="shared" ref="T41:AF41" si="33">SUM(T10:T33)</f>
        <v>0</v>
      </c>
      <c r="U41" s="16">
        <f t="shared" si="33"/>
        <v>72</v>
      </c>
      <c r="V41" s="16">
        <f t="shared" si="33"/>
        <v>17</v>
      </c>
      <c r="W41" s="16">
        <f t="shared" si="33"/>
        <v>1</v>
      </c>
      <c r="X41" s="16">
        <f t="shared" si="33"/>
        <v>0</v>
      </c>
      <c r="Y41" s="16">
        <f t="shared" si="33"/>
        <v>83</v>
      </c>
      <c r="Z41" s="16">
        <f t="shared" si="33"/>
        <v>4</v>
      </c>
      <c r="AA41" s="16">
        <f t="shared" si="33"/>
        <v>0</v>
      </c>
      <c r="AB41" s="16">
        <f t="shared" si="33"/>
        <v>0</v>
      </c>
      <c r="AC41" s="16">
        <f t="shared" si="33"/>
        <v>867</v>
      </c>
      <c r="AD41" s="16">
        <f t="shared" si="33"/>
        <v>0</v>
      </c>
      <c r="AE41" s="32">
        <f t="shared" si="33"/>
        <v>267</v>
      </c>
      <c r="AF41" s="32">
        <f t="shared" si="33"/>
        <v>1134</v>
      </c>
    </row>
    <row r="42" spans="2:32" ht="23.1" customHeight="1" x14ac:dyDescent="0.25">
      <c r="B42" s="46" t="s">
        <v>69</v>
      </c>
      <c r="C42" s="50">
        <v>1</v>
      </c>
      <c r="D42" s="50">
        <v>0</v>
      </c>
      <c r="E42" s="50">
        <v>1</v>
      </c>
      <c r="F42" s="50">
        <v>1</v>
      </c>
      <c r="G42" s="50">
        <v>0</v>
      </c>
      <c r="H42" s="50">
        <v>0</v>
      </c>
      <c r="I42" s="50">
        <v>2</v>
      </c>
      <c r="J42" s="50">
        <v>0</v>
      </c>
      <c r="K42" s="50">
        <v>0</v>
      </c>
      <c r="L42" s="50">
        <v>0</v>
      </c>
      <c r="M42" s="50">
        <v>17</v>
      </c>
      <c r="N42" s="50">
        <v>0</v>
      </c>
      <c r="O42" s="15">
        <f t="shared" si="0"/>
        <v>5</v>
      </c>
      <c r="P42" s="15">
        <f t="shared" si="1"/>
        <v>22</v>
      </c>
      <c r="R42" s="5" t="s">
        <v>160</v>
      </c>
      <c r="S42" s="48">
        <f>S41/S40</f>
        <v>1.4285714285714286</v>
      </c>
      <c r="T42" s="48" t="e">
        <f t="shared" ref="T42:AF42" si="34">T41/T40</f>
        <v>#DIV/0!</v>
      </c>
      <c r="U42" s="48">
        <f t="shared" si="34"/>
        <v>1.3584905660377358</v>
      </c>
      <c r="V42" s="48">
        <f t="shared" si="34"/>
        <v>1.3076923076923077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1.360655737704918</v>
      </c>
      <c r="Z42" s="48">
        <f t="shared" si="34"/>
        <v>1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1.3359013867488443</v>
      </c>
      <c r="AD42" s="48" t="e">
        <f t="shared" si="34"/>
        <v>#DIV/0!</v>
      </c>
      <c r="AE42" s="48">
        <f t="shared" si="34"/>
        <v>1.3762886597938144</v>
      </c>
      <c r="AF42" s="48">
        <f t="shared" si="34"/>
        <v>1.3451957295373667</v>
      </c>
    </row>
    <row r="43" spans="2:32" ht="23.1" customHeight="1" x14ac:dyDescent="0.25">
      <c r="B43" s="45" t="s">
        <v>70</v>
      </c>
      <c r="C43" s="50">
        <v>0</v>
      </c>
      <c r="D43" s="50">
        <v>0</v>
      </c>
      <c r="E43" s="50">
        <v>2</v>
      </c>
      <c r="F43" s="50">
        <v>0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12</v>
      </c>
      <c r="N43" s="50">
        <v>0</v>
      </c>
      <c r="O43" s="15">
        <f t="shared" si="0"/>
        <v>3</v>
      </c>
      <c r="P43" s="15">
        <f t="shared" si="1"/>
        <v>15</v>
      </c>
    </row>
    <row r="44" spans="2:32" ht="23.1" customHeight="1" x14ac:dyDescent="0.25">
      <c r="B44" s="47" t="s">
        <v>71</v>
      </c>
      <c r="C44" s="50">
        <v>1</v>
      </c>
      <c r="D44" s="50">
        <v>0</v>
      </c>
      <c r="E44" s="50">
        <v>0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8</v>
      </c>
      <c r="N44" s="50">
        <v>0</v>
      </c>
      <c r="O44" s="15">
        <f t="shared" si="0"/>
        <v>1</v>
      </c>
      <c r="P44" s="15">
        <f t="shared" si="1"/>
        <v>9</v>
      </c>
    </row>
    <row r="45" spans="2:32" ht="23.1" customHeight="1" x14ac:dyDescent="0.25">
      <c r="B45" s="45" t="s">
        <v>72</v>
      </c>
      <c r="C45" s="50">
        <v>1</v>
      </c>
      <c r="D45" s="50">
        <v>0</v>
      </c>
      <c r="E45" s="50">
        <v>3</v>
      </c>
      <c r="F45" s="50">
        <v>0</v>
      </c>
      <c r="G45" s="50">
        <v>0</v>
      </c>
      <c r="H45" s="50">
        <v>0</v>
      </c>
      <c r="I45" s="50">
        <v>2</v>
      </c>
      <c r="J45" s="50">
        <v>0</v>
      </c>
      <c r="K45" s="50">
        <v>0</v>
      </c>
      <c r="L45" s="50">
        <v>0</v>
      </c>
      <c r="M45" s="50">
        <v>10</v>
      </c>
      <c r="N45" s="50">
        <v>0</v>
      </c>
      <c r="O45" s="15">
        <f t="shared" si="0"/>
        <v>6</v>
      </c>
      <c r="P45" s="15">
        <f t="shared" si="1"/>
        <v>16</v>
      </c>
    </row>
    <row r="46" spans="2:32" ht="23.1" customHeight="1" x14ac:dyDescent="0.25">
      <c r="B46" s="46" t="s">
        <v>73</v>
      </c>
      <c r="C46" s="50">
        <v>1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18</v>
      </c>
      <c r="N46" s="50">
        <v>0</v>
      </c>
      <c r="O46" s="15">
        <f t="shared" si="0"/>
        <v>2</v>
      </c>
      <c r="P46" s="15">
        <f t="shared" si="1"/>
        <v>20</v>
      </c>
      <c r="R46" s="8"/>
      <c r="T46"/>
    </row>
    <row r="47" spans="2:32" ht="23.1" customHeight="1" x14ac:dyDescent="0.25">
      <c r="B47" s="46" t="s">
        <v>74</v>
      </c>
      <c r="C47" s="50">
        <v>1</v>
      </c>
      <c r="D47" s="50">
        <v>0</v>
      </c>
      <c r="E47" s="50">
        <v>2</v>
      </c>
      <c r="F47" s="50">
        <v>0</v>
      </c>
      <c r="G47" s="50">
        <v>0</v>
      </c>
      <c r="H47" s="50">
        <v>0</v>
      </c>
      <c r="I47" s="50">
        <v>3</v>
      </c>
      <c r="J47" s="50">
        <v>0</v>
      </c>
      <c r="K47" s="50">
        <v>0</v>
      </c>
      <c r="L47" s="50">
        <v>0</v>
      </c>
      <c r="M47" s="50">
        <v>10</v>
      </c>
      <c r="N47" s="50">
        <v>0</v>
      </c>
      <c r="O47" s="15">
        <f t="shared" si="0"/>
        <v>6</v>
      </c>
      <c r="P47" s="15">
        <f t="shared" si="1"/>
        <v>16</v>
      </c>
      <c r="R47" s="8"/>
      <c r="T47"/>
    </row>
    <row r="48" spans="2:32" ht="23.1" customHeight="1" x14ac:dyDescent="0.25">
      <c r="B48" s="46" t="s">
        <v>75</v>
      </c>
      <c r="C48" s="50">
        <v>1</v>
      </c>
      <c r="D48" s="50">
        <v>0</v>
      </c>
      <c r="E48" s="50">
        <v>2</v>
      </c>
      <c r="F48" s="50">
        <v>1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13</v>
      </c>
      <c r="N48" s="50">
        <v>0</v>
      </c>
      <c r="O48" s="15">
        <f t="shared" si="0"/>
        <v>5</v>
      </c>
      <c r="P48" s="15">
        <f t="shared" si="1"/>
        <v>18</v>
      </c>
      <c r="R48" s="8"/>
      <c r="T48"/>
    </row>
    <row r="49" spans="2:20" ht="23.1" customHeight="1" x14ac:dyDescent="0.25">
      <c r="B49" s="45" t="s">
        <v>76</v>
      </c>
      <c r="C49" s="50">
        <v>3</v>
      </c>
      <c r="D49" s="50">
        <v>0</v>
      </c>
      <c r="E49" s="50">
        <v>3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20</v>
      </c>
      <c r="N49" s="50">
        <v>0</v>
      </c>
      <c r="O49" s="15">
        <f t="shared" si="0"/>
        <v>6</v>
      </c>
      <c r="P49" s="15">
        <f t="shared" si="1"/>
        <v>26</v>
      </c>
      <c r="R49" s="8"/>
      <c r="T49"/>
    </row>
    <row r="50" spans="2:20" ht="23.1" customHeight="1" x14ac:dyDescent="0.25">
      <c r="B50" s="46" t="s">
        <v>77</v>
      </c>
      <c r="C50" s="50">
        <v>0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20</v>
      </c>
      <c r="N50" s="50">
        <v>0</v>
      </c>
      <c r="O50" s="15">
        <f t="shared" si="0"/>
        <v>3</v>
      </c>
      <c r="P50" s="15">
        <f t="shared" si="1"/>
        <v>23</v>
      </c>
      <c r="R50" s="8"/>
      <c r="T50"/>
    </row>
    <row r="51" spans="2:20" ht="23.1" customHeight="1" x14ac:dyDescent="0.25">
      <c r="B51" s="46" t="s">
        <v>78</v>
      </c>
      <c r="C51" s="50">
        <v>2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23</v>
      </c>
      <c r="N51" s="50">
        <v>0</v>
      </c>
      <c r="O51" s="15">
        <f t="shared" si="0"/>
        <v>2</v>
      </c>
      <c r="P51" s="15">
        <f t="shared" si="1"/>
        <v>25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0</v>
      </c>
      <c r="E52" s="50">
        <v>0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12</v>
      </c>
      <c r="N52" s="50">
        <v>0</v>
      </c>
      <c r="O52" s="15">
        <f t="shared" si="0"/>
        <v>4</v>
      </c>
      <c r="P52" s="15">
        <f t="shared" si="1"/>
        <v>16</v>
      </c>
      <c r="R52" s="8"/>
      <c r="T52"/>
    </row>
    <row r="53" spans="2:20" ht="23.1" customHeight="1" x14ac:dyDescent="0.25">
      <c r="B53" s="45" t="s">
        <v>80</v>
      </c>
      <c r="C53" s="50">
        <v>3</v>
      </c>
      <c r="D53" s="50">
        <v>0</v>
      </c>
      <c r="E53" s="50">
        <v>2</v>
      </c>
      <c r="F53" s="50">
        <v>0</v>
      </c>
      <c r="G53" s="50">
        <v>0</v>
      </c>
      <c r="H53" s="50">
        <v>0</v>
      </c>
      <c r="I53" s="50">
        <v>1</v>
      </c>
      <c r="J53" s="50">
        <v>0</v>
      </c>
      <c r="K53" s="50">
        <v>0</v>
      </c>
      <c r="L53" s="50">
        <v>0</v>
      </c>
      <c r="M53" s="50">
        <v>11</v>
      </c>
      <c r="N53" s="50">
        <v>0</v>
      </c>
      <c r="O53" s="15">
        <f t="shared" si="0"/>
        <v>6</v>
      </c>
      <c r="P53" s="15">
        <f t="shared" si="1"/>
        <v>17</v>
      </c>
      <c r="R53" s="8"/>
      <c r="T53"/>
    </row>
    <row r="54" spans="2:20" ht="23.1" customHeight="1" x14ac:dyDescent="0.25">
      <c r="B54" s="45" t="s">
        <v>81</v>
      </c>
      <c r="C54" s="50">
        <v>2</v>
      </c>
      <c r="D54" s="50">
        <v>0</v>
      </c>
      <c r="E54" s="50">
        <v>0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20</v>
      </c>
      <c r="N54" s="50">
        <v>0</v>
      </c>
      <c r="O54" s="15">
        <f t="shared" si="0"/>
        <v>3</v>
      </c>
      <c r="P54" s="15">
        <f t="shared" si="1"/>
        <v>23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1</v>
      </c>
      <c r="F55" s="50">
        <v>1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22</v>
      </c>
      <c r="N55" s="50">
        <v>0</v>
      </c>
      <c r="O55" s="15">
        <f t="shared" si="0"/>
        <v>6</v>
      </c>
      <c r="P55" s="15">
        <f t="shared" si="1"/>
        <v>28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0</v>
      </c>
      <c r="E56" s="50">
        <v>0</v>
      </c>
      <c r="F56" s="50">
        <v>1</v>
      </c>
      <c r="G56" s="50">
        <v>0</v>
      </c>
      <c r="H56" s="50">
        <v>0</v>
      </c>
      <c r="I56" s="50">
        <v>4</v>
      </c>
      <c r="J56" s="50">
        <v>0</v>
      </c>
      <c r="K56" s="50">
        <v>0</v>
      </c>
      <c r="L56" s="50">
        <v>0</v>
      </c>
      <c r="M56" s="50">
        <v>11</v>
      </c>
      <c r="N56" s="50">
        <v>0</v>
      </c>
      <c r="O56" s="15">
        <f t="shared" si="0"/>
        <v>8</v>
      </c>
      <c r="P56" s="15">
        <f t="shared" si="1"/>
        <v>19</v>
      </c>
      <c r="R56" s="8"/>
      <c r="T56"/>
    </row>
    <row r="57" spans="2:20" ht="23.1" customHeight="1" x14ac:dyDescent="0.25">
      <c r="B57" s="45" t="s">
        <v>84</v>
      </c>
      <c r="C57" s="50">
        <v>5</v>
      </c>
      <c r="D57" s="50">
        <v>0</v>
      </c>
      <c r="E57" s="50">
        <v>0</v>
      </c>
      <c r="F57" s="50">
        <v>0</v>
      </c>
      <c r="G57" s="50">
        <v>0</v>
      </c>
      <c r="H57" s="50">
        <v>0</v>
      </c>
      <c r="I57" s="50">
        <v>1</v>
      </c>
      <c r="J57" s="50">
        <v>0</v>
      </c>
      <c r="K57" s="50">
        <v>0</v>
      </c>
      <c r="L57" s="50">
        <v>0</v>
      </c>
      <c r="M57" s="50">
        <v>6</v>
      </c>
      <c r="N57" s="50">
        <v>0</v>
      </c>
      <c r="O57" s="15">
        <f t="shared" si="0"/>
        <v>6</v>
      </c>
      <c r="P57" s="15">
        <f t="shared" si="1"/>
        <v>12</v>
      </c>
      <c r="R57" s="8"/>
      <c r="T57"/>
    </row>
    <row r="58" spans="2:20" ht="23.1" customHeight="1" x14ac:dyDescent="0.25">
      <c r="B58" s="45" t="s">
        <v>99</v>
      </c>
      <c r="C58" s="50">
        <f>ROUND((0.5*'16.08 BUSUNJU-KAMPALA-24h'!C58),0)</f>
        <v>1</v>
      </c>
      <c r="D58" s="50">
        <f>ROUND((0.5*'16.08 BUSUNJU-KAMPALA-24h'!D58),0)</f>
        <v>0</v>
      </c>
      <c r="E58" s="50">
        <f>ROUND((0.5*'16.08 BUSUNJU-KAMPALA-24h'!E58),0)</f>
        <v>0</v>
      </c>
      <c r="F58" s="50">
        <f>ROUND((0.5*'16.08 BUSUNJU-KAMPALA-24h'!F58),0)</f>
        <v>0</v>
      </c>
      <c r="G58" s="50">
        <f>ROUND((0.5*'16.08 BUSUNJU-KAMPALA-24h'!G58),0)</f>
        <v>0</v>
      </c>
      <c r="H58" s="50">
        <f>ROUND((0.5*'16.08 BUSUNJU-KAMPALA-24h'!H58),0)</f>
        <v>0</v>
      </c>
      <c r="I58" s="50">
        <f>ROUND((0.5*'16.08 BUSUNJU-KAMPALA-24h'!I58),0)</f>
        <v>0</v>
      </c>
      <c r="J58" s="50">
        <f>ROUND((0.5*'16.08 BUSUNJU-KAMPALA-24h'!J58),0)</f>
        <v>0</v>
      </c>
      <c r="K58" s="50">
        <f>ROUND((0.5*'16.08 BUSUNJU-KAMPALA-24h'!K58),0)</f>
        <v>0</v>
      </c>
      <c r="L58" s="50">
        <f>ROUND((0.5*'16.08 BUSUNJU-KAMPALA-24h'!L58),0)</f>
        <v>0</v>
      </c>
      <c r="M58" s="50">
        <f>ROUND((0.5*'16.08 BUSUNJU-KAMPALA-24h'!M58),0)</f>
        <v>3</v>
      </c>
      <c r="N58" s="50">
        <f>ROUND((0.5*'16.08 BUSUNJU-KAMPALA-24h'!N58),0)</f>
        <v>0</v>
      </c>
      <c r="O58" s="15">
        <f t="shared" si="0"/>
        <v>1</v>
      </c>
      <c r="P58" s="15">
        <f t="shared" si="1"/>
        <v>4</v>
      </c>
      <c r="R58" s="8"/>
      <c r="T58"/>
    </row>
    <row r="59" spans="2:20" ht="23.1" customHeight="1" x14ac:dyDescent="0.25">
      <c r="B59" s="45" t="s">
        <v>100</v>
      </c>
      <c r="C59" s="50">
        <f>ROUND((0.5*'16.08 BUSUNJU-KAMPALA-24h'!C59),0)</f>
        <v>1</v>
      </c>
      <c r="D59" s="50">
        <f>ROUND((0.5*'16.08 BUSUNJU-KAMPALA-24h'!D59),0)</f>
        <v>0</v>
      </c>
      <c r="E59" s="50">
        <f>ROUND((0.5*'16.08 BUSUNJU-KAMPALA-24h'!E59),0)</f>
        <v>0</v>
      </c>
      <c r="F59" s="50">
        <f>ROUND((0.5*'16.08 BUSUNJU-KAMPALA-24h'!F59),0)</f>
        <v>0</v>
      </c>
      <c r="G59" s="50">
        <f>ROUND((0.5*'16.08 BUSUNJU-KAMPALA-24h'!G59),0)</f>
        <v>0</v>
      </c>
      <c r="H59" s="50">
        <f>ROUND((0.5*'16.08 BUSUNJU-KAMPALA-24h'!H59),0)</f>
        <v>0</v>
      </c>
      <c r="I59" s="50">
        <f>ROUND((0.5*'16.08 BUSUNJU-KAMPALA-24h'!I59),0)</f>
        <v>0</v>
      </c>
      <c r="J59" s="50">
        <f>ROUND((0.5*'16.08 BUSUNJU-KAMPALA-24h'!J59),0)</f>
        <v>0</v>
      </c>
      <c r="K59" s="50">
        <f>ROUND((0.5*'16.08 BUSUNJU-KAMPALA-24h'!K59),0)</f>
        <v>0</v>
      </c>
      <c r="L59" s="50">
        <f>ROUND((0.5*'16.08 BUSUNJU-KAMPALA-24h'!L59),0)</f>
        <v>0</v>
      </c>
      <c r="M59" s="50">
        <f>ROUND((0.5*'16.08 BUSUNJU-KAMPALA-24h'!M59),0)</f>
        <v>5</v>
      </c>
      <c r="N59" s="50">
        <f>ROUND((0.5*'16.08 BUSUNJU-KAMPALA-24h'!N59),0)</f>
        <v>0</v>
      </c>
      <c r="O59" s="15">
        <f t="shared" si="0"/>
        <v>1</v>
      </c>
      <c r="P59" s="15">
        <f t="shared" si="1"/>
        <v>6</v>
      </c>
      <c r="R59" s="8"/>
      <c r="T59"/>
    </row>
    <row r="60" spans="2:20" ht="23.1" customHeight="1" x14ac:dyDescent="0.25">
      <c r="B60" s="45" t="s">
        <v>101</v>
      </c>
      <c r="C60" s="50">
        <f>ROUND((0.5*'16.08 BUSUNJU-KAMPALA-24h'!C60),0)</f>
        <v>1</v>
      </c>
      <c r="D60" s="50">
        <f>ROUND((0.5*'16.08 BUSUNJU-KAMPALA-24h'!D60),0)</f>
        <v>0</v>
      </c>
      <c r="E60" s="50">
        <f>ROUND((0.5*'16.08 BUSUNJU-KAMPALA-24h'!E60),0)</f>
        <v>0</v>
      </c>
      <c r="F60" s="50">
        <f>ROUND((0.5*'16.08 BUSUNJU-KAMPALA-24h'!F60),0)</f>
        <v>0</v>
      </c>
      <c r="G60" s="50">
        <f>ROUND((0.5*'16.08 BUSUNJU-KAMPALA-24h'!G60),0)</f>
        <v>0</v>
      </c>
      <c r="H60" s="50">
        <f>ROUND((0.5*'16.08 BUSUNJU-KAMPALA-24h'!H60),0)</f>
        <v>0</v>
      </c>
      <c r="I60" s="50">
        <f>ROUND((0.5*'16.08 BUSUNJU-KAMPALA-24h'!I60),0)</f>
        <v>0</v>
      </c>
      <c r="J60" s="50">
        <f>ROUND((0.5*'16.08 BUSUNJU-KAMPALA-24h'!J60),0)</f>
        <v>0</v>
      </c>
      <c r="K60" s="50">
        <f>ROUND((0.5*'16.08 BUSUNJU-KAMPALA-24h'!K60),0)</f>
        <v>0</v>
      </c>
      <c r="L60" s="50">
        <f>ROUND((0.5*'16.08 BUSUNJU-KAMPALA-24h'!L60),0)</f>
        <v>0</v>
      </c>
      <c r="M60" s="50">
        <f>ROUND((0.5*'16.08 BUSUNJU-KAMPALA-24h'!M60),0)</f>
        <v>5</v>
      </c>
      <c r="N60" s="50">
        <f>ROUND((0.5*'16.08 BUSUNJU-KAMPALA-24h'!N60),0)</f>
        <v>0</v>
      </c>
      <c r="O60" s="15">
        <f t="shared" si="0"/>
        <v>1</v>
      </c>
      <c r="P60" s="15">
        <f t="shared" si="1"/>
        <v>6</v>
      </c>
      <c r="R60" s="8"/>
      <c r="T60"/>
    </row>
    <row r="61" spans="2:20" ht="23.1" customHeight="1" x14ac:dyDescent="0.25">
      <c r="B61" s="45" t="s">
        <v>102</v>
      </c>
      <c r="C61" s="50">
        <f>ROUND((0.5*'16.08 BUSUNJU-KAMPALA-24h'!C61),0)</f>
        <v>1</v>
      </c>
      <c r="D61" s="50">
        <f>ROUND((0.5*'16.08 BUSUNJU-KAMPALA-24h'!D61),0)</f>
        <v>0</v>
      </c>
      <c r="E61" s="50">
        <f>ROUND((0.5*'16.08 BUSUNJU-KAMPALA-24h'!E61),0)</f>
        <v>1</v>
      </c>
      <c r="F61" s="50">
        <f>ROUND((0.5*'16.08 BUSUNJU-KAMPALA-24h'!F61),0)</f>
        <v>0</v>
      </c>
      <c r="G61" s="50">
        <f>ROUND((0.5*'16.08 BUSUNJU-KAMPALA-24h'!G61),0)</f>
        <v>0</v>
      </c>
      <c r="H61" s="50">
        <f>ROUND((0.5*'16.08 BUSUNJU-KAMPALA-24h'!H61),0)</f>
        <v>0</v>
      </c>
      <c r="I61" s="50">
        <f>ROUND((0.5*'16.08 BUSUNJU-KAMPALA-24h'!I61),0)</f>
        <v>1</v>
      </c>
      <c r="J61" s="50">
        <f>ROUND((0.5*'16.08 BUSUNJU-KAMPALA-24h'!J61),0)</f>
        <v>0</v>
      </c>
      <c r="K61" s="50">
        <f>ROUND((0.5*'16.08 BUSUNJU-KAMPALA-24h'!K61),0)</f>
        <v>0</v>
      </c>
      <c r="L61" s="50">
        <f>ROUND((0.5*'16.08 BUSUNJU-KAMPALA-24h'!L61),0)</f>
        <v>0</v>
      </c>
      <c r="M61" s="50">
        <f>ROUND((0.5*'16.08 BUSUNJU-KAMPALA-24h'!M61),0)</f>
        <v>6</v>
      </c>
      <c r="N61" s="50">
        <f>ROUND((0.5*'16.08 BUSUNJU-KAMPALA-24h'!N61),0)</f>
        <v>0</v>
      </c>
      <c r="O61" s="15">
        <f t="shared" si="0"/>
        <v>3</v>
      </c>
      <c r="P61" s="15">
        <f t="shared" si="1"/>
        <v>9</v>
      </c>
      <c r="R61" s="8"/>
      <c r="T61"/>
    </row>
    <row r="62" spans="2:20" ht="23.1" customHeight="1" x14ac:dyDescent="0.25">
      <c r="B62" s="45" t="s">
        <v>107</v>
      </c>
      <c r="C62" s="50">
        <f>ROUND((0.5*'16.08 BUSUNJU-KAMPALA-24h'!C62),0)</f>
        <v>1</v>
      </c>
      <c r="D62" s="50">
        <f>ROUND((0.5*'16.08 BUSUNJU-KAMPALA-24h'!D62),0)</f>
        <v>0</v>
      </c>
      <c r="E62" s="50">
        <f>ROUND((0.5*'16.08 BUSUNJU-KAMPALA-24h'!E62),0)</f>
        <v>0</v>
      </c>
      <c r="F62" s="50">
        <f>ROUND((0.5*'16.08 BUSUNJU-KAMPALA-24h'!F62),0)</f>
        <v>0</v>
      </c>
      <c r="G62" s="50">
        <f>ROUND((0.5*'16.08 BUSUNJU-KAMPALA-24h'!G62),0)</f>
        <v>0</v>
      </c>
      <c r="H62" s="50">
        <f>ROUND((0.5*'16.08 BUSUNJU-KAMPALA-24h'!H62),0)</f>
        <v>0</v>
      </c>
      <c r="I62" s="50">
        <f>ROUND((0.5*'16.08 BUSUNJU-KAMPALA-24h'!I62),0)</f>
        <v>0</v>
      </c>
      <c r="J62" s="50">
        <f>ROUND((0.5*'16.08 BUSUNJU-KAMPALA-24h'!J62),0)</f>
        <v>0</v>
      </c>
      <c r="K62" s="50">
        <f>ROUND((0.5*'16.08 BUSUNJU-KAMPALA-24h'!K62),0)</f>
        <v>0</v>
      </c>
      <c r="L62" s="50">
        <f>ROUND((0.5*'16.08 BUSUNJU-KAMPALA-24h'!L62),0)</f>
        <v>0</v>
      </c>
      <c r="M62" s="50">
        <f>ROUND((0.5*'16.08 BUSUNJU-KAMPALA-24h'!M62),0)</f>
        <v>6</v>
      </c>
      <c r="N62" s="50">
        <f>ROUND((0.5*'16.08 BUSUNJU-KAMPALA-24h'!N62),0)</f>
        <v>0</v>
      </c>
      <c r="O62" s="15">
        <f t="shared" si="0"/>
        <v>1</v>
      </c>
      <c r="P62" s="15">
        <f t="shared" si="1"/>
        <v>7</v>
      </c>
      <c r="R62" s="8"/>
      <c r="T62"/>
    </row>
    <row r="63" spans="2:20" ht="23.1" customHeight="1" x14ac:dyDescent="0.25">
      <c r="B63" s="45" t="s">
        <v>108</v>
      </c>
      <c r="C63" s="50">
        <f>ROUND((0.5*'16.08 BUSUNJU-KAMPALA-24h'!C63),0)</f>
        <v>1</v>
      </c>
      <c r="D63" s="50">
        <f>ROUND((0.5*'16.08 BUSUNJU-KAMPALA-24h'!D63),0)</f>
        <v>0</v>
      </c>
      <c r="E63" s="50">
        <f>ROUND((0.5*'16.08 BUSUNJU-KAMPALA-24h'!E63),0)</f>
        <v>1</v>
      </c>
      <c r="F63" s="50">
        <f>ROUND((0.5*'16.08 BUSUNJU-KAMPALA-24h'!F63),0)</f>
        <v>0</v>
      </c>
      <c r="G63" s="50">
        <f>ROUND((0.5*'16.08 BUSUNJU-KAMPALA-24h'!G63),0)</f>
        <v>0</v>
      </c>
      <c r="H63" s="50">
        <f>ROUND((0.5*'16.08 BUSUNJU-KAMPALA-24h'!H63),0)</f>
        <v>0</v>
      </c>
      <c r="I63" s="50">
        <f>ROUND((0.5*'16.08 BUSUNJU-KAMPALA-24h'!I63),0)</f>
        <v>1</v>
      </c>
      <c r="J63" s="50">
        <f>ROUND((0.5*'16.08 BUSUNJU-KAMPALA-24h'!J63),0)</f>
        <v>0</v>
      </c>
      <c r="K63" s="50">
        <f>ROUND((0.5*'16.08 BUSUNJU-KAMPALA-24h'!K63),0)</f>
        <v>0</v>
      </c>
      <c r="L63" s="50">
        <f>ROUND((0.5*'16.08 BUSUNJU-KAMPALA-24h'!L63),0)</f>
        <v>0</v>
      </c>
      <c r="M63" s="50">
        <f>ROUND((0.5*'16.08 BUSUNJU-KAMPALA-24h'!M63),0)</f>
        <v>6</v>
      </c>
      <c r="N63" s="50">
        <f>ROUND((0.5*'16.08 BUSUNJU-KAMPALA-24h'!N63),0)</f>
        <v>0</v>
      </c>
      <c r="O63" s="15">
        <f t="shared" si="0"/>
        <v>3</v>
      </c>
      <c r="P63" s="15">
        <f t="shared" si="1"/>
        <v>9</v>
      </c>
      <c r="R63" s="8"/>
      <c r="T63"/>
    </row>
    <row r="64" spans="2:20" ht="23.1" customHeight="1" x14ac:dyDescent="0.25">
      <c r="B64" s="45" t="s">
        <v>109</v>
      </c>
      <c r="C64" s="50">
        <f>ROUND((0.5*'16.08 BUSUNJU-KAMPALA-24h'!C64),0)</f>
        <v>1</v>
      </c>
      <c r="D64" s="50">
        <f>ROUND((0.5*'16.08 BUSUNJU-KAMPALA-24h'!D64),0)</f>
        <v>0</v>
      </c>
      <c r="E64" s="50">
        <f>ROUND((0.5*'16.08 BUSUNJU-KAMPALA-24h'!E64),0)</f>
        <v>1</v>
      </c>
      <c r="F64" s="50">
        <f>ROUND((0.5*'16.08 BUSUNJU-KAMPALA-24h'!F64),0)</f>
        <v>0</v>
      </c>
      <c r="G64" s="50">
        <f>ROUND((0.5*'16.08 BUSUNJU-KAMPALA-24h'!G64),0)</f>
        <v>0</v>
      </c>
      <c r="H64" s="50">
        <f>ROUND((0.5*'16.08 BUSUNJU-KAMPALA-24h'!H64),0)</f>
        <v>0</v>
      </c>
      <c r="I64" s="50">
        <f>ROUND((0.5*'16.08 BUSUNJU-KAMPALA-24h'!I64),0)</f>
        <v>1</v>
      </c>
      <c r="J64" s="50">
        <f>ROUND((0.5*'16.08 BUSUNJU-KAMPALA-24h'!J64),0)</f>
        <v>0</v>
      </c>
      <c r="K64" s="50">
        <f>ROUND((0.5*'16.08 BUSUNJU-KAMPALA-24h'!K64),0)</f>
        <v>0</v>
      </c>
      <c r="L64" s="50">
        <f>ROUND((0.5*'16.08 BUSUNJU-KAMPALA-24h'!L64),0)</f>
        <v>0</v>
      </c>
      <c r="M64" s="50">
        <f>ROUND((0.5*'16.08 BUSUNJU-KAMPALA-24h'!M64),0)</f>
        <v>7</v>
      </c>
      <c r="N64" s="50">
        <f>ROUND((0.5*'16.08 BUSUNJU-KAMPALA-24h'!N64),0)</f>
        <v>0</v>
      </c>
      <c r="O64" s="15">
        <f t="shared" si="0"/>
        <v>3</v>
      </c>
      <c r="P64" s="15">
        <f t="shared" si="1"/>
        <v>10</v>
      </c>
      <c r="R64" s="8"/>
      <c r="T64"/>
    </row>
    <row r="65" spans="2:20" ht="23.1" customHeight="1" x14ac:dyDescent="0.25">
      <c r="B65" s="45" t="s">
        <v>158</v>
      </c>
      <c r="C65" s="50">
        <f>ROUND((0.5*'16.08 BUSUNJU-KAMPALA-24h'!C65),0)</f>
        <v>1</v>
      </c>
      <c r="D65" s="50">
        <f>ROUND((0.5*'16.08 BUSUNJU-KAMPALA-24h'!D65),0)</f>
        <v>0</v>
      </c>
      <c r="E65" s="50">
        <f>ROUND((0.5*'16.08 BUSUNJU-KAMPALA-24h'!E65),0)</f>
        <v>0</v>
      </c>
      <c r="F65" s="50">
        <f>ROUND((0.5*'16.08 BUSUNJU-KAMPALA-24h'!F65),0)</f>
        <v>0</v>
      </c>
      <c r="G65" s="50">
        <f>ROUND((0.5*'16.08 BUSUNJU-KAMPALA-24h'!G65),0)</f>
        <v>0</v>
      </c>
      <c r="H65" s="50">
        <f>ROUND((0.5*'16.08 BUSUNJU-KAMPALA-24h'!H65),0)</f>
        <v>0</v>
      </c>
      <c r="I65" s="50">
        <f>ROUND((0.5*'16.08 BUSUNJU-KAMPALA-24h'!I65),0)</f>
        <v>1</v>
      </c>
      <c r="J65" s="50">
        <f>ROUND((0.5*'16.08 BUSUNJU-KAMPALA-24h'!J65),0)</f>
        <v>0</v>
      </c>
      <c r="K65" s="50">
        <f>ROUND((0.5*'16.08 BUSUNJU-KAMPALA-24h'!K65),0)</f>
        <v>0</v>
      </c>
      <c r="L65" s="50">
        <f>ROUND((0.5*'16.08 BUSUNJU-KAMPALA-24h'!L65),0)</f>
        <v>0</v>
      </c>
      <c r="M65" s="50">
        <f>ROUND((0.5*'16.08 BUSUNJU-KAMPALA-24h'!M65),0)</f>
        <v>7</v>
      </c>
      <c r="N65" s="50">
        <f>ROUND((0.5*'16.08 BUSUNJU-KAMPALA-24h'!N65),0)</f>
        <v>0</v>
      </c>
      <c r="O65" s="15">
        <f t="shared" si="0"/>
        <v>2</v>
      </c>
      <c r="P65" s="15">
        <f t="shared" si="1"/>
        <v>9</v>
      </c>
      <c r="R65" s="8"/>
      <c r="T65"/>
    </row>
    <row r="66" spans="2:20" ht="23.1" customHeight="1" x14ac:dyDescent="0.25">
      <c r="B66" s="45" t="s">
        <v>103</v>
      </c>
      <c r="C66" s="50">
        <f>ROUND((0.5*'16.08 BUSUNJU-KAMPALA-24h'!C66),0)</f>
        <v>1</v>
      </c>
      <c r="D66" s="50">
        <f>ROUND((0.5*'16.08 BUSUNJU-KAMPALA-24h'!D66),0)</f>
        <v>0</v>
      </c>
      <c r="E66" s="50">
        <f>ROUND((0.5*'16.08 BUSUNJU-KAMPALA-24h'!E66),0)</f>
        <v>1</v>
      </c>
      <c r="F66" s="50">
        <f>ROUND((0.5*'16.08 BUSUNJU-KAMPALA-24h'!F66),0)</f>
        <v>0</v>
      </c>
      <c r="G66" s="50">
        <f>ROUND((0.5*'16.08 BUSUNJU-KAMPALA-24h'!G66),0)</f>
        <v>0</v>
      </c>
      <c r="H66" s="50">
        <f>ROUND((0.5*'16.08 BUSUNJU-KAMPALA-24h'!H66),0)</f>
        <v>0</v>
      </c>
      <c r="I66" s="50">
        <f>ROUND((0.5*'16.08 BUSUNJU-KAMPALA-24h'!I66),0)</f>
        <v>0</v>
      </c>
      <c r="J66" s="50">
        <f>ROUND((0.5*'16.08 BUSUNJU-KAMPALA-24h'!J66),0)</f>
        <v>0</v>
      </c>
      <c r="K66" s="50">
        <f>ROUND((0.5*'16.08 BUSUNJU-KAMPALA-24h'!K66),0)</f>
        <v>0</v>
      </c>
      <c r="L66" s="50">
        <f>ROUND((0.5*'16.08 BUSUNJU-KAMPALA-24h'!L66),0)</f>
        <v>0</v>
      </c>
      <c r="M66" s="50">
        <f>ROUND((0.5*'16.08 BUSUNJU-KAMPALA-24h'!M66),0)</f>
        <v>7</v>
      </c>
      <c r="N66" s="50">
        <f>ROUND((0.5*'16.08 BUSUNJU-KAMPALA-24h'!N66),0)</f>
        <v>0</v>
      </c>
      <c r="O66" s="15">
        <f t="shared" si="0"/>
        <v>2</v>
      </c>
      <c r="P66" s="15">
        <f t="shared" si="1"/>
        <v>9</v>
      </c>
      <c r="R66" s="8"/>
      <c r="T66"/>
    </row>
    <row r="67" spans="2:20" ht="23.1" customHeight="1" x14ac:dyDescent="0.25">
      <c r="B67" s="45" t="s">
        <v>104</v>
      </c>
      <c r="C67" s="50">
        <f>ROUND((0.5*'16.08 BUSUNJU-KAMPALA-24h'!C67),0)</f>
        <v>0</v>
      </c>
      <c r="D67" s="50">
        <f>ROUND((0.5*'16.08 BUSUNJU-KAMPALA-24h'!D67),0)</f>
        <v>0</v>
      </c>
      <c r="E67" s="50">
        <f>ROUND((0.5*'16.08 BUSUNJU-KAMPALA-24h'!E67),0)</f>
        <v>0</v>
      </c>
      <c r="F67" s="50">
        <f>ROUND((0.5*'16.08 BUSUNJU-KAMPALA-24h'!F67),0)</f>
        <v>0</v>
      </c>
      <c r="G67" s="50">
        <f>ROUND((0.5*'16.08 BUSUNJU-KAMPALA-24h'!G67),0)</f>
        <v>0</v>
      </c>
      <c r="H67" s="50">
        <f>ROUND((0.5*'16.08 BUSUNJU-KAMPALA-24h'!H67),0)</f>
        <v>0</v>
      </c>
      <c r="I67" s="50">
        <f>ROUND((0.5*'16.08 BUSUNJU-KAMPALA-24h'!I67),0)</f>
        <v>0</v>
      </c>
      <c r="J67" s="50">
        <f>ROUND((0.5*'16.08 BUSUNJU-KAMPALA-24h'!J67),0)</f>
        <v>0</v>
      </c>
      <c r="K67" s="50">
        <f>ROUND((0.5*'16.08 BUSUNJU-KAMPALA-24h'!K67),0)</f>
        <v>0</v>
      </c>
      <c r="L67" s="50">
        <f>ROUND((0.5*'16.08 BUSUNJU-KAMPALA-24h'!L67),0)</f>
        <v>0</v>
      </c>
      <c r="M67" s="50">
        <f>ROUND((0.5*'16.08 BUSUNJU-KAMPALA-24h'!M67),0)</f>
        <v>6</v>
      </c>
      <c r="N67" s="50">
        <f>ROUND((0.5*'16.08 BUSUNJU-KAMPALA-24h'!N67),0)</f>
        <v>0</v>
      </c>
      <c r="O67" s="15">
        <f t="shared" si="0"/>
        <v>0</v>
      </c>
      <c r="P67" s="15">
        <f t="shared" si="1"/>
        <v>6</v>
      </c>
      <c r="R67" s="8"/>
      <c r="T67"/>
    </row>
    <row r="68" spans="2:20" ht="23.1" customHeight="1" x14ac:dyDescent="0.25">
      <c r="B68" s="45" t="s">
        <v>105</v>
      </c>
      <c r="C68" s="50">
        <f>ROUND((0.5*'16.08 BUSUNJU-KAMPALA-24h'!C68),0)</f>
        <v>0</v>
      </c>
      <c r="D68" s="50">
        <f>ROUND((0.5*'16.08 BUSUNJU-KAMPALA-24h'!D68),0)</f>
        <v>0</v>
      </c>
      <c r="E68" s="50">
        <f>ROUND((0.5*'16.08 BUSUNJU-KAMPALA-24h'!E68),0)</f>
        <v>0</v>
      </c>
      <c r="F68" s="50">
        <f>ROUND((0.5*'16.08 BUSUNJU-KAMPALA-24h'!F68),0)</f>
        <v>0</v>
      </c>
      <c r="G68" s="50">
        <f>ROUND((0.5*'16.08 BUSUNJU-KAMPALA-24h'!G68),0)</f>
        <v>0</v>
      </c>
      <c r="H68" s="50">
        <f>ROUND((0.5*'16.08 BUSUNJU-KAMPALA-24h'!H68),0)</f>
        <v>0</v>
      </c>
      <c r="I68" s="50">
        <f>ROUND((0.5*'16.08 BUSUNJU-KAMPALA-24h'!I68),0)</f>
        <v>1</v>
      </c>
      <c r="J68" s="50">
        <f>ROUND((0.5*'16.08 BUSUNJU-KAMPALA-24h'!J68),0)</f>
        <v>0</v>
      </c>
      <c r="K68" s="50">
        <f>ROUND((0.5*'16.08 BUSUNJU-KAMPALA-24h'!K68),0)</f>
        <v>0</v>
      </c>
      <c r="L68" s="50">
        <f>ROUND((0.5*'16.08 BUSUNJU-KAMPALA-24h'!L68),0)</f>
        <v>0</v>
      </c>
      <c r="M68" s="50">
        <f>ROUND((0.5*'16.08 BUSUNJU-KAMPALA-24h'!M68),0)</f>
        <v>6</v>
      </c>
      <c r="N68" s="50">
        <f>ROUND((0.5*'16.08 BUSUNJU-KAMPALA-24h'!N68),0)</f>
        <v>0</v>
      </c>
      <c r="O68" s="15">
        <f t="shared" si="0"/>
        <v>1</v>
      </c>
      <c r="P68" s="15">
        <f t="shared" si="1"/>
        <v>7</v>
      </c>
      <c r="R68" s="8"/>
      <c r="T68"/>
    </row>
    <row r="69" spans="2:20" ht="23.1" customHeight="1" x14ac:dyDescent="0.25">
      <c r="B69" s="45" t="s">
        <v>106</v>
      </c>
      <c r="C69" s="50">
        <f>ROUND((0.5*'16.08 BUSUNJU-KAMPALA-24h'!C69),0)</f>
        <v>0</v>
      </c>
      <c r="D69" s="50">
        <f>ROUND((0.5*'16.08 BUSUNJU-KAMPALA-24h'!D69),0)</f>
        <v>0</v>
      </c>
      <c r="E69" s="50">
        <f>ROUND((0.5*'16.08 BUSUNJU-KAMPALA-24h'!E69),0)</f>
        <v>0</v>
      </c>
      <c r="F69" s="50">
        <f>ROUND((0.5*'16.08 BUSUNJU-KAMPALA-24h'!F69),0)</f>
        <v>0</v>
      </c>
      <c r="G69" s="50">
        <f>ROUND((0.5*'16.08 BUSUNJU-KAMPALA-24h'!G69),0)</f>
        <v>0</v>
      </c>
      <c r="H69" s="50">
        <f>ROUND((0.5*'16.08 BUSUNJU-KAMPALA-24h'!H69),0)</f>
        <v>0</v>
      </c>
      <c r="I69" s="50">
        <f>ROUND((0.5*'16.08 BUSUNJU-KAMPALA-24h'!I69),0)</f>
        <v>1</v>
      </c>
      <c r="J69" s="50">
        <f>ROUND((0.5*'16.08 BUSUNJU-KAMPALA-24h'!J69),0)</f>
        <v>0</v>
      </c>
      <c r="K69" s="50">
        <f>ROUND((0.5*'16.08 BUSUNJU-KAMPALA-24h'!K69),0)</f>
        <v>0</v>
      </c>
      <c r="L69" s="50">
        <f>ROUND((0.5*'16.08 BUSUNJU-KAMPALA-24h'!L69),0)</f>
        <v>0</v>
      </c>
      <c r="M69" s="50">
        <f>ROUND((0.5*'16.08 BUSUNJU-KAMPALA-24h'!M69),0)</f>
        <v>6</v>
      </c>
      <c r="N69" s="50">
        <f>ROUND((0.5*'16.08 BUSUNJU-KAMPALA-24h'!N69),0)</f>
        <v>0</v>
      </c>
      <c r="O69" s="15">
        <f t="shared" si="0"/>
        <v>1</v>
      </c>
      <c r="P69" s="15">
        <f t="shared" si="1"/>
        <v>7</v>
      </c>
      <c r="R69" s="8"/>
      <c r="T69"/>
    </row>
    <row r="70" spans="2:20" ht="23.1" customHeight="1" x14ac:dyDescent="0.25">
      <c r="B70" s="45" t="s">
        <v>110</v>
      </c>
      <c r="C70" s="50">
        <f>ROUND((0.5*'16.08 BUSUNJU-KAMPALA-24h'!C70),0)</f>
        <v>0</v>
      </c>
      <c r="D70" s="50">
        <f>ROUND((0.5*'16.08 BUSUNJU-KAMPALA-24h'!D70),0)</f>
        <v>0</v>
      </c>
      <c r="E70" s="50">
        <f>ROUND((0.5*'16.08 BUSUNJU-KAMPALA-24h'!E70),0)</f>
        <v>0</v>
      </c>
      <c r="F70" s="50">
        <f>ROUND((0.5*'16.08 BUSUNJU-KAMPALA-24h'!F70),0)</f>
        <v>0</v>
      </c>
      <c r="G70" s="50">
        <f>ROUND((0.5*'16.08 BUSUNJU-KAMPALA-24h'!G70),0)</f>
        <v>0</v>
      </c>
      <c r="H70" s="50">
        <f>ROUND((0.5*'16.08 BUSUNJU-KAMPALA-24h'!H70),0)</f>
        <v>0</v>
      </c>
      <c r="I70" s="50">
        <f>ROUND((0.5*'16.08 BUSUNJU-KAMPALA-24h'!I70),0)</f>
        <v>0</v>
      </c>
      <c r="J70" s="50">
        <f>ROUND((0.5*'16.08 BUSUNJU-KAMPALA-24h'!J70),0)</f>
        <v>0</v>
      </c>
      <c r="K70" s="50">
        <f>ROUND((0.5*'16.08 BUSUNJU-KAMPALA-24h'!K70),0)</f>
        <v>0</v>
      </c>
      <c r="L70" s="50">
        <f>ROUND((0.5*'16.08 BUSUNJU-KAMPALA-24h'!L70),0)</f>
        <v>0</v>
      </c>
      <c r="M70" s="50">
        <f>ROUND((0.5*'16.08 BUSUNJU-KAMPALA-24h'!M70),0)</f>
        <v>5</v>
      </c>
      <c r="N70" s="50">
        <f>ROUND((0.5*'16.08 BUSUNJU-KAMPALA-24h'!N70),0)</f>
        <v>0</v>
      </c>
      <c r="O70" s="15">
        <f t="shared" si="0"/>
        <v>0</v>
      </c>
      <c r="P70" s="15">
        <f t="shared" si="1"/>
        <v>5</v>
      </c>
      <c r="R70" s="8"/>
      <c r="T70"/>
    </row>
    <row r="71" spans="2:20" ht="23.1" customHeight="1" x14ac:dyDescent="0.25">
      <c r="B71" s="45" t="s">
        <v>111</v>
      </c>
      <c r="C71" s="50">
        <f>ROUND((0.5*'16.08 BUSUNJU-KAMPALA-24h'!C71),0)</f>
        <v>1</v>
      </c>
      <c r="D71" s="50">
        <f>ROUND((0.5*'16.08 BUSUNJU-KAMPALA-24h'!D71),0)</f>
        <v>0</v>
      </c>
      <c r="E71" s="50">
        <f>ROUND((0.5*'16.08 BUSUNJU-KAMPALA-24h'!E71),0)</f>
        <v>1</v>
      </c>
      <c r="F71" s="50">
        <f>ROUND((0.5*'16.08 BUSUNJU-KAMPALA-24h'!F71),0)</f>
        <v>0</v>
      </c>
      <c r="G71" s="50">
        <f>ROUND((0.5*'16.08 BUSUNJU-KAMPALA-24h'!G71),0)</f>
        <v>0</v>
      </c>
      <c r="H71" s="50">
        <f>ROUND((0.5*'16.08 BUSUNJU-KAMPALA-24h'!H71),0)</f>
        <v>0</v>
      </c>
      <c r="I71" s="50">
        <f>ROUND((0.5*'16.08 BUSUNJU-KAMPALA-24h'!I71),0)</f>
        <v>1</v>
      </c>
      <c r="J71" s="50">
        <f>ROUND((0.5*'16.08 BUSUNJU-KAMPALA-24h'!J71),0)</f>
        <v>0</v>
      </c>
      <c r="K71" s="50">
        <f>ROUND((0.5*'16.08 BUSUNJU-KAMPALA-24h'!K71),0)</f>
        <v>0</v>
      </c>
      <c r="L71" s="50">
        <f>ROUND((0.5*'16.08 BUSUNJU-KAMPALA-24h'!L71),0)</f>
        <v>0</v>
      </c>
      <c r="M71" s="50">
        <f>ROUND((0.5*'16.08 BUSUNJU-KAMPALA-24h'!M71),0)</f>
        <v>5</v>
      </c>
      <c r="N71" s="50">
        <f>ROUND((0.5*'16.08 BUSUNJU-KAMPALA-24h'!N71),0)</f>
        <v>0</v>
      </c>
      <c r="O71" s="15">
        <f t="shared" si="0"/>
        <v>3</v>
      </c>
      <c r="P71" s="15">
        <f t="shared" si="1"/>
        <v>8</v>
      </c>
      <c r="R71" s="8"/>
      <c r="T71"/>
    </row>
    <row r="72" spans="2:20" ht="23.1" customHeight="1" x14ac:dyDescent="0.25">
      <c r="B72" s="45" t="s">
        <v>112</v>
      </c>
      <c r="C72" s="50">
        <f>ROUND((0.5*'16.08 BUSUNJU-KAMPALA-24h'!C72),0)</f>
        <v>0</v>
      </c>
      <c r="D72" s="50">
        <f>ROUND((0.5*'16.08 BUSUNJU-KAMPALA-24h'!D72),0)</f>
        <v>0</v>
      </c>
      <c r="E72" s="50">
        <f>ROUND((0.5*'16.08 BUSUNJU-KAMPALA-24h'!E72),0)</f>
        <v>1</v>
      </c>
      <c r="F72" s="50">
        <f>ROUND((0.5*'16.08 BUSUNJU-KAMPALA-24h'!F72),0)</f>
        <v>0</v>
      </c>
      <c r="G72" s="50">
        <f>ROUND((0.5*'16.08 BUSUNJU-KAMPALA-24h'!G72),0)</f>
        <v>1</v>
      </c>
      <c r="H72" s="50">
        <f>ROUND((0.5*'16.08 BUSUNJU-KAMPALA-24h'!H72),0)</f>
        <v>0</v>
      </c>
      <c r="I72" s="50">
        <f>ROUND((0.5*'16.08 BUSUNJU-KAMPALA-24h'!I72),0)</f>
        <v>1</v>
      </c>
      <c r="J72" s="50">
        <f>ROUND((0.5*'16.08 BUSUNJU-KAMPALA-24h'!J72),0)</f>
        <v>0</v>
      </c>
      <c r="K72" s="50">
        <f>ROUND((0.5*'16.08 BUSUNJU-KAMPALA-24h'!K72),0)</f>
        <v>0</v>
      </c>
      <c r="L72" s="50">
        <f>ROUND((0.5*'16.08 BUSUNJU-KAMPALA-24h'!L72),0)</f>
        <v>0</v>
      </c>
      <c r="M72" s="50">
        <f>ROUND((0.5*'16.08 BUSUNJU-KAMPALA-24h'!M72),0)</f>
        <v>6</v>
      </c>
      <c r="N72" s="50">
        <f>ROUND((0.5*'16.08 BUSUNJU-KAMPALA-24h'!N72),0)</f>
        <v>0</v>
      </c>
      <c r="O72" s="15">
        <f t="shared" si="0"/>
        <v>3</v>
      </c>
      <c r="P72" s="15">
        <f t="shared" si="1"/>
        <v>9</v>
      </c>
      <c r="R72" s="8"/>
      <c r="T72"/>
    </row>
    <row r="73" spans="2:20" ht="23.1" customHeight="1" x14ac:dyDescent="0.25">
      <c r="B73" s="45" t="s">
        <v>113</v>
      </c>
      <c r="C73" s="50">
        <f>ROUND((0.5*'16.08 BUSUNJU-KAMPALA-24h'!C73),0)</f>
        <v>0</v>
      </c>
      <c r="D73" s="50">
        <f>ROUND((0.5*'16.08 BUSUNJU-KAMPALA-24h'!D73),0)</f>
        <v>0</v>
      </c>
      <c r="E73" s="50">
        <f>ROUND((0.5*'16.08 BUSUNJU-KAMPALA-24h'!E73),0)</f>
        <v>0</v>
      </c>
      <c r="F73" s="50">
        <f>ROUND((0.5*'16.08 BUSUNJU-KAMPALA-24h'!F73),0)</f>
        <v>0</v>
      </c>
      <c r="G73" s="50">
        <f>ROUND((0.5*'16.08 BUSUNJU-KAMPALA-24h'!G73),0)</f>
        <v>0</v>
      </c>
      <c r="H73" s="50">
        <f>ROUND((0.5*'16.08 BUSUNJU-KAMPALA-24h'!H73),0)</f>
        <v>0</v>
      </c>
      <c r="I73" s="50">
        <f>ROUND((0.5*'16.08 BUSUNJU-KAMPALA-24h'!I73),0)</f>
        <v>1</v>
      </c>
      <c r="J73" s="50">
        <f>ROUND((0.5*'16.08 BUSUNJU-KAMPALA-24h'!J73),0)</f>
        <v>0</v>
      </c>
      <c r="K73" s="50">
        <f>ROUND((0.5*'16.08 BUSUNJU-KAMPALA-24h'!K73),0)</f>
        <v>0</v>
      </c>
      <c r="L73" s="50">
        <f>ROUND((0.5*'16.08 BUSUNJU-KAMPALA-24h'!L73),0)</f>
        <v>0</v>
      </c>
      <c r="M73" s="50">
        <f>ROUND((0.5*'16.08 BUSUNJU-KAMPALA-24h'!M73),0)</f>
        <v>5</v>
      </c>
      <c r="N73" s="50">
        <f>ROUND((0.5*'16.08 BUSUNJU-KAMPALA-24h'!N73),0)</f>
        <v>0</v>
      </c>
      <c r="O73" s="15">
        <f t="shared" si="0"/>
        <v>1</v>
      </c>
      <c r="P73" s="15">
        <f t="shared" si="1"/>
        <v>6</v>
      </c>
      <c r="R73" s="8"/>
      <c r="T73"/>
    </row>
    <row r="74" spans="2:20" ht="23.1" customHeight="1" x14ac:dyDescent="0.25">
      <c r="B74" s="45" t="s">
        <v>114</v>
      </c>
      <c r="C74" s="50">
        <f>ROUND((0.5*'16.08 BUSUNJU-KAMPALA-24h'!C74),0)</f>
        <v>1</v>
      </c>
      <c r="D74" s="50">
        <f>ROUND((0.5*'16.08 BUSUNJU-KAMPALA-24h'!D74),0)</f>
        <v>0</v>
      </c>
      <c r="E74" s="50">
        <f>ROUND((0.5*'16.08 BUSUNJU-KAMPALA-24h'!E74),0)</f>
        <v>1</v>
      </c>
      <c r="F74" s="50">
        <f>ROUND((0.5*'16.08 BUSUNJU-KAMPALA-24h'!F74),0)</f>
        <v>0</v>
      </c>
      <c r="G74" s="50">
        <f>ROUND((0.5*'16.08 BUSUNJU-KAMPALA-24h'!G74),0)</f>
        <v>0</v>
      </c>
      <c r="H74" s="50">
        <f>ROUND((0.5*'16.08 BUSUNJU-KAMPALA-24h'!H74),0)</f>
        <v>0</v>
      </c>
      <c r="I74" s="50">
        <f>ROUND((0.5*'16.08 BUSUNJU-KAMPALA-24h'!I74),0)</f>
        <v>1</v>
      </c>
      <c r="J74" s="50">
        <f>ROUND((0.5*'16.08 BUSUNJU-KAMPALA-24h'!J74),0)</f>
        <v>0</v>
      </c>
      <c r="K74" s="50">
        <f>ROUND((0.5*'16.08 BUSUNJU-KAMPALA-24h'!K74),0)</f>
        <v>0</v>
      </c>
      <c r="L74" s="50">
        <f>ROUND((0.5*'16.08 BUSUNJU-KAMPALA-24h'!L74),0)</f>
        <v>0</v>
      </c>
      <c r="M74" s="50">
        <f>ROUND((0.5*'16.08 BUSUNJU-KAMPALA-24h'!M74),0)</f>
        <v>5</v>
      </c>
      <c r="N74" s="50">
        <f>ROUND((0.5*'16.08 BUSUNJU-KAMPALA-24h'!N74),0)</f>
        <v>0</v>
      </c>
      <c r="O74" s="15">
        <f t="shared" ref="O74:O105" si="35">SUM(C74:L74,N74)</f>
        <v>3</v>
      </c>
      <c r="P74" s="15">
        <f t="shared" ref="P74:P105" si="36">SUM(C74:N74)</f>
        <v>8</v>
      </c>
      <c r="R74" s="8"/>
      <c r="T74"/>
    </row>
    <row r="75" spans="2:20" ht="23.1" customHeight="1" x14ac:dyDescent="0.25">
      <c r="B75" s="45" t="s">
        <v>115</v>
      </c>
      <c r="C75" s="50">
        <f>ROUND((0.5*'16.08 BUSUNJU-KAMPALA-24h'!C75),0)</f>
        <v>1</v>
      </c>
      <c r="D75" s="50">
        <f>ROUND((0.5*'16.08 BUSUNJU-KAMPALA-24h'!D75),0)</f>
        <v>0</v>
      </c>
      <c r="E75" s="50">
        <f>ROUND((0.5*'16.08 BUSUNJU-KAMPALA-24h'!E75),0)</f>
        <v>0</v>
      </c>
      <c r="F75" s="50">
        <f>ROUND((0.5*'16.08 BUSUNJU-KAMPALA-24h'!F75),0)</f>
        <v>0</v>
      </c>
      <c r="G75" s="50">
        <f>ROUND((0.5*'16.08 BUSUNJU-KAMPALA-24h'!G75),0)</f>
        <v>0</v>
      </c>
      <c r="H75" s="50">
        <f>ROUND((0.5*'16.08 BUSUNJU-KAMPALA-24h'!H75),0)</f>
        <v>0</v>
      </c>
      <c r="I75" s="50">
        <f>ROUND((0.5*'16.08 BUSUNJU-KAMPALA-24h'!I75),0)</f>
        <v>1</v>
      </c>
      <c r="J75" s="50">
        <f>ROUND((0.5*'16.08 BUSUNJU-KAMPALA-24h'!J75),0)</f>
        <v>0</v>
      </c>
      <c r="K75" s="50">
        <f>ROUND((0.5*'16.08 BUSUNJU-KAMPALA-24h'!K75),0)</f>
        <v>0</v>
      </c>
      <c r="L75" s="50">
        <f>ROUND((0.5*'16.08 BUSUNJU-KAMPALA-24h'!L75),0)</f>
        <v>0</v>
      </c>
      <c r="M75" s="50">
        <f>ROUND((0.5*'16.08 BUSUNJU-KAMPALA-24h'!M75),0)</f>
        <v>6</v>
      </c>
      <c r="N75" s="50">
        <f>ROUND((0.5*'16.08 BUSUNJU-KAMPALA-24h'!N75),0)</f>
        <v>0</v>
      </c>
      <c r="O75" s="15">
        <f t="shared" si="35"/>
        <v>2</v>
      </c>
      <c r="P75" s="15">
        <f t="shared" si="36"/>
        <v>8</v>
      </c>
      <c r="R75" s="8"/>
      <c r="T75"/>
    </row>
    <row r="76" spans="2:20" ht="23.1" customHeight="1" x14ac:dyDescent="0.25">
      <c r="B76" s="45" t="s">
        <v>116</v>
      </c>
      <c r="C76" s="50">
        <f>ROUND((0.5*'16.08 BUSUNJU-KAMPALA-24h'!C76),0)</f>
        <v>1</v>
      </c>
      <c r="D76" s="50">
        <f>ROUND((0.5*'16.08 BUSUNJU-KAMPALA-24h'!D76),0)</f>
        <v>0</v>
      </c>
      <c r="E76" s="50">
        <f>ROUND((0.5*'16.08 BUSUNJU-KAMPALA-24h'!E76),0)</f>
        <v>0</v>
      </c>
      <c r="F76" s="50">
        <f>ROUND((0.5*'16.08 BUSUNJU-KAMPALA-24h'!F76),0)</f>
        <v>0</v>
      </c>
      <c r="G76" s="50">
        <f>ROUND((0.5*'16.08 BUSUNJU-KAMPALA-24h'!G76),0)</f>
        <v>0</v>
      </c>
      <c r="H76" s="50">
        <f>ROUND((0.5*'16.08 BUSUNJU-KAMPALA-24h'!H76),0)</f>
        <v>0</v>
      </c>
      <c r="I76" s="50">
        <f>ROUND((0.5*'16.08 BUSUNJU-KAMPALA-24h'!I76),0)</f>
        <v>0</v>
      </c>
      <c r="J76" s="50">
        <f>ROUND((0.5*'16.08 BUSUNJU-KAMPALA-24h'!J76),0)</f>
        <v>0</v>
      </c>
      <c r="K76" s="50">
        <f>ROUND((0.5*'16.08 BUSUNJU-KAMPALA-24h'!K76),0)</f>
        <v>0</v>
      </c>
      <c r="L76" s="50">
        <f>ROUND((0.5*'16.08 BUSUNJU-KAMPALA-24h'!L76),0)</f>
        <v>0</v>
      </c>
      <c r="M76" s="50">
        <f>ROUND((0.5*'16.08 BUSUNJU-KAMPALA-24h'!M76),0)</f>
        <v>5</v>
      </c>
      <c r="N76" s="50">
        <f>ROUND((0.5*'16.08 BUSUNJU-KAMPALA-24h'!N76),0)</f>
        <v>0</v>
      </c>
      <c r="O76" s="15">
        <f t="shared" si="35"/>
        <v>1</v>
      </c>
      <c r="P76" s="15">
        <f t="shared" si="36"/>
        <v>6</v>
      </c>
      <c r="R76" s="8"/>
      <c r="T76"/>
    </row>
    <row r="77" spans="2:20" ht="23.1" customHeight="1" x14ac:dyDescent="0.25">
      <c r="B77" s="45" t="s">
        <v>117</v>
      </c>
      <c r="C77" s="50">
        <f>ROUND((0.5*'16.08 BUSUNJU-KAMPALA-24h'!C77),0)</f>
        <v>0</v>
      </c>
      <c r="D77" s="50">
        <f>ROUND((0.5*'16.08 BUSUNJU-KAMPALA-24h'!D77),0)</f>
        <v>0</v>
      </c>
      <c r="E77" s="50">
        <f>ROUND((0.5*'16.08 BUSUNJU-KAMPALA-24h'!E77),0)</f>
        <v>0</v>
      </c>
      <c r="F77" s="50">
        <f>ROUND((0.5*'16.08 BUSUNJU-KAMPALA-24h'!F77),0)</f>
        <v>0</v>
      </c>
      <c r="G77" s="50">
        <f>ROUND((0.5*'16.08 BUSUNJU-KAMPALA-24h'!G77),0)</f>
        <v>0</v>
      </c>
      <c r="H77" s="50">
        <f>ROUND((0.5*'16.08 BUSUNJU-KAMPALA-24h'!H77),0)</f>
        <v>0</v>
      </c>
      <c r="I77" s="50">
        <f>ROUND((0.5*'16.08 BUSUNJU-KAMPALA-24h'!I77),0)</f>
        <v>0</v>
      </c>
      <c r="J77" s="50">
        <f>ROUND((0.5*'16.08 BUSUNJU-KAMPALA-24h'!J77),0)</f>
        <v>0</v>
      </c>
      <c r="K77" s="50">
        <f>ROUND((0.5*'16.08 BUSUNJU-KAMPALA-24h'!K77),0)</f>
        <v>0</v>
      </c>
      <c r="L77" s="50">
        <f>ROUND((0.5*'16.08 BUSUNJU-KAMPALA-24h'!L77),0)</f>
        <v>0</v>
      </c>
      <c r="M77" s="50">
        <f>ROUND((0.5*'16.08 BUSUNJU-KAMPALA-24h'!M77),0)</f>
        <v>4</v>
      </c>
      <c r="N77" s="50">
        <f>ROUND((0.5*'16.08 BUSUNJU-KAMPALA-24h'!N77),0)</f>
        <v>0</v>
      </c>
      <c r="O77" s="15">
        <f t="shared" si="35"/>
        <v>0</v>
      </c>
      <c r="P77" s="15">
        <f t="shared" si="36"/>
        <v>4</v>
      </c>
      <c r="R77" s="8"/>
      <c r="T77"/>
    </row>
    <row r="78" spans="2:20" ht="23.1" customHeight="1" x14ac:dyDescent="0.25">
      <c r="B78" s="46" t="s">
        <v>118</v>
      </c>
      <c r="C78" s="50">
        <f>ROUND((0.5*'16.08 BUSUNJU-KAMPALA-24h'!C78),0)</f>
        <v>1</v>
      </c>
      <c r="D78" s="50">
        <f>ROUND((0.5*'16.08 BUSUNJU-KAMPALA-24h'!D78),0)</f>
        <v>0</v>
      </c>
      <c r="E78" s="50">
        <f>ROUND((0.5*'16.08 BUSUNJU-KAMPALA-24h'!E78),0)</f>
        <v>1</v>
      </c>
      <c r="F78" s="50">
        <f>ROUND((0.5*'16.08 BUSUNJU-KAMPALA-24h'!F78),0)</f>
        <v>0</v>
      </c>
      <c r="G78" s="50">
        <f>ROUND((0.5*'16.08 BUSUNJU-KAMPALA-24h'!G78),0)</f>
        <v>0</v>
      </c>
      <c r="H78" s="50">
        <f>ROUND((0.5*'16.08 BUSUNJU-KAMPALA-24h'!H78),0)</f>
        <v>0</v>
      </c>
      <c r="I78" s="50">
        <f>ROUND((0.5*'16.08 BUSUNJU-KAMPALA-24h'!I78),0)</f>
        <v>0</v>
      </c>
      <c r="J78" s="50">
        <f>ROUND((0.5*'16.08 BUSUNJU-KAMPALA-24h'!J78),0)</f>
        <v>0</v>
      </c>
      <c r="K78" s="50">
        <f>ROUND((0.5*'16.08 BUSUNJU-KAMPALA-24h'!K78),0)</f>
        <v>0</v>
      </c>
      <c r="L78" s="50">
        <f>ROUND((0.5*'16.08 BUSUNJU-KAMPALA-24h'!L78),0)</f>
        <v>0</v>
      </c>
      <c r="M78" s="50">
        <f>ROUND((0.5*'16.08 BUSUNJU-KAMPALA-24h'!M78),0)</f>
        <v>4</v>
      </c>
      <c r="N78" s="50">
        <f>ROUND((0.5*'16.08 BUSUNJU-KAMPALA-24h'!N78),0)</f>
        <v>0</v>
      </c>
      <c r="O78" s="15">
        <f t="shared" si="35"/>
        <v>2</v>
      </c>
      <c r="P78" s="15">
        <f t="shared" si="36"/>
        <v>6</v>
      </c>
      <c r="R78" s="8"/>
      <c r="T78"/>
    </row>
    <row r="79" spans="2:20" ht="23.1" customHeight="1" x14ac:dyDescent="0.25">
      <c r="B79" s="45" t="s">
        <v>119</v>
      </c>
      <c r="C79" s="50">
        <f>ROUND((0.5*'16.08 BUSUNJU-KAMPALA-24h'!C79),0)</f>
        <v>0</v>
      </c>
      <c r="D79" s="50">
        <f>ROUND((0.5*'16.08 BUSUNJU-KAMPALA-24h'!D79),0)</f>
        <v>0</v>
      </c>
      <c r="E79" s="50">
        <f>ROUND((0.5*'16.08 BUSUNJU-KAMPALA-24h'!E79),0)</f>
        <v>0</v>
      </c>
      <c r="F79" s="50">
        <f>ROUND((0.5*'16.08 BUSUNJU-KAMPALA-24h'!F79),0)</f>
        <v>0</v>
      </c>
      <c r="G79" s="50">
        <f>ROUND((0.5*'16.08 BUSUNJU-KAMPALA-24h'!G79),0)</f>
        <v>0</v>
      </c>
      <c r="H79" s="50">
        <f>ROUND((0.5*'16.08 BUSUNJU-KAMPALA-24h'!H79),0)</f>
        <v>0</v>
      </c>
      <c r="I79" s="50">
        <f>ROUND((0.5*'16.08 BUSUNJU-KAMPALA-24h'!I79),0)</f>
        <v>1</v>
      </c>
      <c r="J79" s="50">
        <f>ROUND((0.5*'16.08 BUSUNJU-KAMPALA-24h'!J79),0)</f>
        <v>0</v>
      </c>
      <c r="K79" s="50">
        <f>ROUND((0.5*'16.08 BUSUNJU-KAMPALA-24h'!K79),0)</f>
        <v>0</v>
      </c>
      <c r="L79" s="50">
        <f>ROUND((0.5*'16.08 BUSUNJU-KAMPALA-24h'!L79),0)</f>
        <v>0</v>
      </c>
      <c r="M79" s="50">
        <f>ROUND((0.5*'16.08 BUSUNJU-KAMPALA-24h'!M79),0)</f>
        <v>4</v>
      </c>
      <c r="N79" s="50">
        <f>ROUND((0.5*'16.08 BUSUNJU-KAMPALA-24h'!N79),0)</f>
        <v>0</v>
      </c>
      <c r="O79" s="15">
        <f t="shared" si="35"/>
        <v>1</v>
      </c>
      <c r="P79" s="15">
        <f t="shared" si="36"/>
        <v>5</v>
      </c>
      <c r="R79" s="8"/>
      <c r="T79"/>
    </row>
    <row r="80" spans="2:20" ht="23.1" customHeight="1" x14ac:dyDescent="0.25">
      <c r="B80" s="47" t="s">
        <v>120</v>
      </c>
      <c r="C80" s="50">
        <f>ROUND((0.5*'16.08 BUSUNJU-KAMPALA-24h'!C80),0)</f>
        <v>0</v>
      </c>
      <c r="D80" s="50">
        <f>ROUND((0.5*'16.08 BUSUNJU-KAMPALA-24h'!D80),0)</f>
        <v>0</v>
      </c>
      <c r="E80" s="50">
        <f>ROUND((0.5*'16.08 BUSUNJU-KAMPALA-24h'!E80),0)</f>
        <v>0</v>
      </c>
      <c r="F80" s="50">
        <f>ROUND((0.5*'16.08 BUSUNJU-KAMPALA-24h'!F80),0)</f>
        <v>0</v>
      </c>
      <c r="G80" s="50">
        <f>ROUND((0.5*'16.08 BUSUNJU-KAMPALA-24h'!G80),0)</f>
        <v>0</v>
      </c>
      <c r="H80" s="50">
        <f>ROUND((0.5*'16.08 BUSUNJU-KAMPALA-24h'!H80),0)</f>
        <v>0</v>
      </c>
      <c r="I80" s="50">
        <f>ROUND((0.5*'16.08 BUSUNJU-KAMPALA-24h'!I80),0)</f>
        <v>1</v>
      </c>
      <c r="J80" s="50">
        <f>ROUND((0.5*'16.08 BUSUNJU-KAMPALA-24h'!J80),0)</f>
        <v>0</v>
      </c>
      <c r="K80" s="50">
        <f>ROUND((0.5*'16.08 BUSUNJU-KAMPALA-24h'!K80),0)</f>
        <v>0</v>
      </c>
      <c r="L80" s="50">
        <f>ROUND((0.5*'16.08 BUSUNJU-KAMPALA-24h'!L80),0)</f>
        <v>0</v>
      </c>
      <c r="M80" s="50">
        <f>ROUND((0.5*'16.08 BUSUNJU-KAMPALA-24h'!M80),0)</f>
        <v>3</v>
      </c>
      <c r="N80" s="50">
        <f>ROUND((0.5*'16.08 BUSUNJU-KAMPALA-24h'!N80),0)</f>
        <v>0</v>
      </c>
      <c r="O80" s="15">
        <f t="shared" si="35"/>
        <v>1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f>ROUND((0.5*'16.08 BUSUNJU-KAMPALA-24h'!C81),0)</f>
        <v>0</v>
      </c>
      <c r="D81" s="50">
        <f>ROUND((0.5*'16.08 BUSUNJU-KAMPALA-24h'!D81),0)</f>
        <v>0</v>
      </c>
      <c r="E81" s="50">
        <f>ROUND((0.5*'16.08 BUSUNJU-KAMPALA-24h'!E81),0)</f>
        <v>0</v>
      </c>
      <c r="F81" s="50">
        <f>ROUND((0.5*'16.08 BUSUNJU-KAMPALA-24h'!F81),0)</f>
        <v>0</v>
      </c>
      <c r="G81" s="50">
        <f>ROUND((0.5*'16.08 BUSUNJU-KAMPALA-24h'!G81),0)</f>
        <v>0</v>
      </c>
      <c r="H81" s="50">
        <f>ROUND((0.5*'16.08 BUSUNJU-KAMPALA-24h'!H81),0)</f>
        <v>0</v>
      </c>
      <c r="I81" s="50">
        <f>ROUND((0.5*'16.08 BUSUNJU-KAMPALA-24h'!I81),0)</f>
        <v>0</v>
      </c>
      <c r="J81" s="50">
        <f>ROUND((0.5*'16.08 BUSUNJU-KAMPALA-24h'!J81),0)</f>
        <v>0</v>
      </c>
      <c r="K81" s="50">
        <f>ROUND((0.5*'16.08 BUSUNJU-KAMPALA-24h'!K81),0)</f>
        <v>0</v>
      </c>
      <c r="L81" s="50">
        <f>ROUND((0.5*'16.08 BUSUNJU-KAMPALA-24h'!L81),0)</f>
        <v>0</v>
      </c>
      <c r="M81" s="50">
        <f>ROUND((0.5*'16.08 BUSUNJU-KAMPALA-24h'!M81),0)</f>
        <v>3</v>
      </c>
      <c r="N81" s="50">
        <f>ROUND((0.5*'16.08 BUSUNJU-KAMPALA-24h'!N81),0)</f>
        <v>0</v>
      </c>
      <c r="O81" s="15">
        <f t="shared" si="35"/>
        <v>0</v>
      </c>
      <c r="P81" s="15">
        <f t="shared" si="36"/>
        <v>3</v>
      </c>
      <c r="R81" s="8"/>
      <c r="T81"/>
    </row>
    <row r="82" spans="2:20" ht="23.1" customHeight="1" x14ac:dyDescent="0.25">
      <c r="B82" s="46" t="s">
        <v>122</v>
      </c>
      <c r="C82" s="50">
        <f>ROUND((0.5*'16.08 BUSUNJU-KAMPALA-24h'!C82),0)</f>
        <v>0</v>
      </c>
      <c r="D82" s="50">
        <f>ROUND((0.5*'16.08 BUSUNJU-KAMPALA-24h'!D82),0)</f>
        <v>0</v>
      </c>
      <c r="E82" s="50">
        <f>ROUND((0.5*'16.08 BUSUNJU-KAMPALA-24h'!E82),0)</f>
        <v>0</v>
      </c>
      <c r="F82" s="50">
        <f>ROUND((0.5*'16.08 BUSUNJU-KAMPALA-24h'!F82),0)</f>
        <v>0</v>
      </c>
      <c r="G82" s="50">
        <f>ROUND((0.5*'16.08 BUSUNJU-KAMPALA-24h'!G82),0)</f>
        <v>0</v>
      </c>
      <c r="H82" s="50">
        <f>ROUND((0.5*'16.08 BUSUNJU-KAMPALA-24h'!H82),0)</f>
        <v>0</v>
      </c>
      <c r="I82" s="50">
        <f>ROUND((0.5*'16.08 BUSUNJU-KAMPALA-24h'!I82),0)</f>
        <v>0</v>
      </c>
      <c r="J82" s="50">
        <f>ROUND((0.5*'16.08 BUSUNJU-KAMPALA-24h'!J82),0)</f>
        <v>0</v>
      </c>
      <c r="K82" s="50">
        <f>ROUND((0.5*'16.08 BUSUNJU-KAMPALA-24h'!K82),0)</f>
        <v>0</v>
      </c>
      <c r="L82" s="50">
        <f>ROUND((0.5*'16.08 BUSUNJU-KAMPALA-24h'!L82),0)</f>
        <v>0</v>
      </c>
      <c r="M82" s="50">
        <f>ROUND((0.5*'16.08 BUSUNJU-KAMPALA-24h'!M82),0)</f>
        <v>2</v>
      </c>
      <c r="N82" s="50">
        <f>ROUND((0.5*'16.08 BUSUNJU-KAMPALA-24h'!N82),0)</f>
        <v>0</v>
      </c>
      <c r="O82" s="15">
        <f t="shared" si="35"/>
        <v>0</v>
      </c>
      <c r="P82" s="15">
        <f t="shared" si="36"/>
        <v>2</v>
      </c>
      <c r="R82" s="8"/>
      <c r="T82"/>
    </row>
    <row r="83" spans="2:20" ht="23.1" customHeight="1" x14ac:dyDescent="0.25">
      <c r="B83" s="45" t="s">
        <v>123</v>
      </c>
      <c r="C83" s="50">
        <f>ROUND((0.5*'16.08 BUSUNJU-KAMPALA-24h'!C83),0)</f>
        <v>0</v>
      </c>
      <c r="D83" s="50">
        <f>ROUND((0.5*'16.08 BUSUNJU-KAMPALA-24h'!D83),0)</f>
        <v>0</v>
      </c>
      <c r="E83" s="50">
        <f>ROUND((0.5*'16.08 BUSUNJU-KAMPALA-24h'!E83),0)</f>
        <v>0</v>
      </c>
      <c r="F83" s="50">
        <f>ROUND((0.5*'16.08 BUSUNJU-KAMPALA-24h'!F83),0)</f>
        <v>0</v>
      </c>
      <c r="G83" s="50">
        <f>ROUND((0.5*'16.08 BUSUNJU-KAMPALA-24h'!G83),0)</f>
        <v>0</v>
      </c>
      <c r="H83" s="50">
        <f>ROUND((0.5*'16.08 BUSUNJU-KAMPALA-24h'!H83),0)</f>
        <v>0</v>
      </c>
      <c r="I83" s="50">
        <f>ROUND((0.5*'16.08 BUSUNJU-KAMPALA-24h'!I83),0)</f>
        <v>0</v>
      </c>
      <c r="J83" s="50">
        <f>ROUND((0.5*'16.08 BUSUNJU-KAMPALA-24h'!J83),0)</f>
        <v>0</v>
      </c>
      <c r="K83" s="50">
        <f>ROUND((0.5*'16.08 BUSUNJU-KAMPALA-24h'!K83),0)</f>
        <v>0</v>
      </c>
      <c r="L83" s="50">
        <f>ROUND((0.5*'16.08 BUSUNJU-KAMPALA-24h'!L83),0)</f>
        <v>0</v>
      </c>
      <c r="M83" s="50">
        <f>ROUND((0.5*'16.08 BUSUNJU-KAMPALA-24h'!M83),0)</f>
        <v>2</v>
      </c>
      <c r="N83" s="50">
        <f>ROUND((0.5*'16.08 BUSUNJU-KAMPALA-24h'!N83),0)</f>
        <v>0</v>
      </c>
      <c r="O83" s="15">
        <f t="shared" si="35"/>
        <v>0</v>
      </c>
      <c r="P83" s="15">
        <f t="shared" si="36"/>
        <v>2</v>
      </c>
      <c r="R83" s="8"/>
      <c r="T83"/>
    </row>
    <row r="84" spans="2:20" ht="23.1" customHeight="1" x14ac:dyDescent="0.25">
      <c r="B84" s="47" t="s">
        <v>124</v>
      </c>
      <c r="C84" s="50">
        <f>ROUND((0.5*'16.08 BUSUNJU-KAMPALA-24h'!C84),0)</f>
        <v>0</v>
      </c>
      <c r="D84" s="50">
        <f>ROUND((0.5*'16.08 BUSUNJU-KAMPALA-24h'!D84),0)</f>
        <v>0</v>
      </c>
      <c r="E84" s="50">
        <f>ROUND((0.5*'16.08 BUSUNJU-KAMPALA-24h'!E84),0)</f>
        <v>0</v>
      </c>
      <c r="F84" s="50">
        <f>ROUND((0.5*'16.08 BUSUNJU-KAMPALA-24h'!F84),0)</f>
        <v>0</v>
      </c>
      <c r="G84" s="50">
        <f>ROUND((0.5*'16.08 BUSUNJU-KAMPALA-24h'!G84),0)</f>
        <v>0</v>
      </c>
      <c r="H84" s="50">
        <f>ROUND((0.5*'16.08 BUSUNJU-KAMPALA-24h'!H84),0)</f>
        <v>0</v>
      </c>
      <c r="I84" s="50">
        <f>ROUND((0.5*'16.08 BUSUNJU-KAMPALA-24h'!I84),0)</f>
        <v>0</v>
      </c>
      <c r="J84" s="50">
        <f>ROUND((0.5*'16.08 BUSUNJU-KAMPALA-24h'!J84),0)</f>
        <v>0</v>
      </c>
      <c r="K84" s="50">
        <f>ROUND((0.5*'16.08 BUSUNJU-KAMPALA-24h'!K84),0)</f>
        <v>0</v>
      </c>
      <c r="L84" s="50">
        <f>ROUND((0.5*'16.08 BUSUNJU-KAMPALA-24h'!L84),0)</f>
        <v>0</v>
      </c>
      <c r="M84" s="50">
        <f>ROUND((0.5*'16.08 BUSUNJU-KAMPALA-24h'!M84),0)</f>
        <v>2</v>
      </c>
      <c r="N84" s="50">
        <f>ROUND((0.5*'16.08 BUSUNJU-KAMPALA-24h'!N84),0)</f>
        <v>0</v>
      </c>
      <c r="O84" s="15">
        <f t="shared" si="35"/>
        <v>0</v>
      </c>
      <c r="P84" s="15">
        <f t="shared" si="36"/>
        <v>2</v>
      </c>
      <c r="R84" s="8"/>
      <c r="T84"/>
    </row>
    <row r="85" spans="2:20" ht="23.1" customHeight="1" x14ac:dyDescent="0.25">
      <c r="B85" s="45" t="s">
        <v>125</v>
      </c>
      <c r="C85" s="50">
        <f>ROUND((0.5*'16.08 BUSUNJU-KAMPALA-24h'!C85),0)</f>
        <v>0</v>
      </c>
      <c r="D85" s="50">
        <f>ROUND((0.5*'16.08 BUSUNJU-KAMPALA-24h'!D85),0)</f>
        <v>0</v>
      </c>
      <c r="E85" s="50">
        <f>ROUND((0.5*'16.08 BUSUNJU-KAMPALA-24h'!E85),0)</f>
        <v>0</v>
      </c>
      <c r="F85" s="50">
        <f>ROUND((0.5*'16.08 BUSUNJU-KAMPALA-24h'!F85),0)</f>
        <v>0</v>
      </c>
      <c r="G85" s="50">
        <f>ROUND((0.5*'16.08 BUSUNJU-KAMPALA-24h'!G85),0)</f>
        <v>0</v>
      </c>
      <c r="H85" s="50">
        <f>ROUND((0.5*'16.08 BUSUNJU-KAMPALA-24h'!H85),0)</f>
        <v>0</v>
      </c>
      <c r="I85" s="50">
        <f>ROUND((0.5*'16.08 BUSUNJU-KAMPALA-24h'!I85),0)</f>
        <v>0</v>
      </c>
      <c r="J85" s="50">
        <f>ROUND((0.5*'16.08 BUSUNJU-KAMPALA-24h'!J85),0)</f>
        <v>0</v>
      </c>
      <c r="K85" s="50">
        <f>ROUND((0.5*'16.08 BUSUNJU-KAMPALA-24h'!K85),0)</f>
        <v>0</v>
      </c>
      <c r="L85" s="50">
        <f>ROUND((0.5*'16.08 BUSUNJU-KAMPALA-24h'!L85),0)</f>
        <v>0</v>
      </c>
      <c r="M85" s="50">
        <f>ROUND((0.5*'16.08 BUSUNJU-KAMPALA-24h'!M85),0)</f>
        <v>2</v>
      </c>
      <c r="N85" s="50">
        <f>ROUND((0.5*'16.08 BUSUNJU-KAMPALA-24h'!N85),0)</f>
        <v>0</v>
      </c>
      <c r="O85" s="15">
        <f t="shared" si="35"/>
        <v>0</v>
      </c>
      <c r="P85" s="15">
        <f t="shared" si="36"/>
        <v>2</v>
      </c>
      <c r="R85" s="8"/>
      <c r="T85"/>
    </row>
    <row r="86" spans="2:20" ht="23.1" customHeight="1" x14ac:dyDescent="0.25">
      <c r="B86" s="46" t="s">
        <v>126</v>
      </c>
      <c r="C86" s="50">
        <f>ROUND((0.5*'16.08 BUSUNJU-KAMPALA-24h'!C86),0)</f>
        <v>0</v>
      </c>
      <c r="D86" s="50">
        <f>ROUND((0.5*'16.08 BUSUNJU-KAMPALA-24h'!D86),0)</f>
        <v>0</v>
      </c>
      <c r="E86" s="50">
        <f>ROUND((0.5*'16.08 BUSUNJU-KAMPALA-24h'!E86),0)</f>
        <v>0</v>
      </c>
      <c r="F86" s="50">
        <f>ROUND((0.5*'16.08 BUSUNJU-KAMPALA-24h'!F86),0)</f>
        <v>0</v>
      </c>
      <c r="G86" s="50">
        <f>ROUND((0.5*'16.08 BUSUNJU-KAMPALA-24h'!G86),0)</f>
        <v>0</v>
      </c>
      <c r="H86" s="50">
        <f>ROUND((0.5*'16.08 BUSUNJU-KAMPALA-24h'!H86),0)</f>
        <v>0</v>
      </c>
      <c r="I86" s="50">
        <f>ROUND((0.5*'16.08 BUSUNJU-KAMPALA-24h'!I86),0)</f>
        <v>0</v>
      </c>
      <c r="J86" s="50">
        <f>ROUND((0.5*'16.08 BUSUNJU-KAMPALA-24h'!J86),0)</f>
        <v>0</v>
      </c>
      <c r="K86" s="50">
        <f>ROUND((0.5*'16.08 BUSUNJU-KAMPALA-24h'!K86),0)</f>
        <v>0</v>
      </c>
      <c r="L86" s="50">
        <f>ROUND((0.5*'16.08 BUSUNJU-KAMPALA-24h'!L86),0)</f>
        <v>0</v>
      </c>
      <c r="M86" s="50">
        <f>ROUND((0.5*'16.08 BUSUNJU-KAMPALA-24h'!M86),0)</f>
        <v>2</v>
      </c>
      <c r="N86" s="50">
        <f>ROUND((0.5*'16.08 BUSUNJU-KAMPALA-24h'!N86),0)</f>
        <v>0</v>
      </c>
      <c r="O86" s="15">
        <f t="shared" si="35"/>
        <v>0</v>
      </c>
      <c r="P86" s="15">
        <f t="shared" si="36"/>
        <v>2</v>
      </c>
      <c r="R86" s="8"/>
      <c r="T86"/>
    </row>
    <row r="87" spans="2:20" ht="23.1" customHeight="1" x14ac:dyDescent="0.25">
      <c r="B87" s="45" t="s">
        <v>127</v>
      </c>
      <c r="C87" s="50">
        <f>ROUND((0.5*'16.08 BUSUNJU-KAMPALA-24h'!C87),0)</f>
        <v>0</v>
      </c>
      <c r="D87" s="50">
        <f>ROUND((0.5*'16.08 BUSUNJU-KAMPALA-24h'!D87),0)</f>
        <v>0</v>
      </c>
      <c r="E87" s="50">
        <f>ROUND((0.5*'16.08 BUSUNJU-KAMPALA-24h'!E87),0)</f>
        <v>0</v>
      </c>
      <c r="F87" s="50">
        <f>ROUND((0.5*'16.08 BUSUNJU-KAMPALA-24h'!F87),0)</f>
        <v>0</v>
      </c>
      <c r="G87" s="50">
        <f>ROUND((0.5*'16.08 BUSUNJU-KAMPALA-24h'!G87),0)</f>
        <v>0</v>
      </c>
      <c r="H87" s="50">
        <f>ROUND((0.5*'16.08 BUSUNJU-KAMPALA-24h'!H87),0)</f>
        <v>0</v>
      </c>
      <c r="I87" s="50">
        <f>ROUND((0.5*'16.08 BUSUNJU-KAMPALA-24h'!I87),0)</f>
        <v>0</v>
      </c>
      <c r="J87" s="50">
        <f>ROUND((0.5*'16.08 BUSUNJU-KAMPALA-24h'!J87),0)</f>
        <v>0</v>
      </c>
      <c r="K87" s="50">
        <f>ROUND((0.5*'16.08 BUSUNJU-KAMPALA-24h'!K87),0)</f>
        <v>0</v>
      </c>
      <c r="L87" s="50">
        <f>ROUND((0.5*'16.08 BUSUNJU-KAMPALA-24h'!L87),0)</f>
        <v>0</v>
      </c>
      <c r="M87" s="50">
        <f>ROUND((0.5*'16.08 BUSUNJU-KAMPALA-24h'!M87),0)</f>
        <v>2</v>
      </c>
      <c r="N87" s="50">
        <f>ROUND((0.5*'16.08 BUSUNJU-KAMPALA-24h'!N87),0)</f>
        <v>0</v>
      </c>
      <c r="O87" s="15">
        <f t="shared" si="35"/>
        <v>0</v>
      </c>
      <c r="P87" s="15">
        <f t="shared" si="36"/>
        <v>2</v>
      </c>
      <c r="R87" s="8"/>
      <c r="T87"/>
    </row>
    <row r="88" spans="2:20" ht="23.1" customHeight="1" x14ac:dyDescent="0.25">
      <c r="B88" s="47" t="s">
        <v>128</v>
      </c>
      <c r="C88" s="50">
        <f>ROUND((0.5*'16.08 BUSUNJU-KAMPALA-24h'!C88),0)</f>
        <v>0</v>
      </c>
      <c r="D88" s="50">
        <f>ROUND((0.5*'16.08 BUSUNJU-KAMPALA-24h'!D88),0)</f>
        <v>0</v>
      </c>
      <c r="E88" s="50">
        <f>ROUND((0.5*'16.08 BUSUNJU-KAMPALA-24h'!E88),0)</f>
        <v>0</v>
      </c>
      <c r="F88" s="50">
        <f>ROUND((0.5*'16.08 BUSUNJU-KAMPALA-24h'!F88),0)</f>
        <v>0</v>
      </c>
      <c r="G88" s="50">
        <f>ROUND((0.5*'16.08 BUSUNJU-KAMPALA-24h'!G88),0)</f>
        <v>0</v>
      </c>
      <c r="H88" s="50">
        <f>ROUND((0.5*'16.08 BUSUNJU-KAMPALA-24h'!H88),0)</f>
        <v>0</v>
      </c>
      <c r="I88" s="50">
        <f>ROUND((0.5*'16.08 BUSUNJU-KAMPALA-24h'!I88),0)</f>
        <v>0</v>
      </c>
      <c r="J88" s="50">
        <f>ROUND((0.5*'16.08 BUSUNJU-KAMPALA-24h'!J88),0)</f>
        <v>0</v>
      </c>
      <c r="K88" s="50">
        <f>ROUND((0.5*'16.08 BUSUNJU-KAMPALA-24h'!K88),0)</f>
        <v>0</v>
      </c>
      <c r="L88" s="50">
        <f>ROUND((0.5*'16.08 BUSUNJU-KAMPALA-24h'!L88),0)</f>
        <v>0</v>
      </c>
      <c r="M88" s="50">
        <f>ROUND((0.5*'16.08 BUSUNJU-KAMPALA-24h'!M88),0)</f>
        <v>2</v>
      </c>
      <c r="N88" s="50">
        <f>ROUND((0.5*'16.08 BUSUNJU-KAMPALA-24h'!N88),0)</f>
        <v>0</v>
      </c>
      <c r="O88" s="15">
        <f t="shared" si="35"/>
        <v>0</v>
      </c>
      <c r="P88" s="15">
        <f t="shared" si="36"/>
        <v>2</v>
      </c>
      <c r="R88" s="8"/>
      <c r="T88"/>
    </row>
    <row r="89" spans="2:20" ht="23.1" customHeight="1" x14ac:dyDescent="0.25">
      <c r="B89" s="45" t="s">
        <v>129</v>
      </c>
      <c r="C89" s="50">
        <f>ROUND((0.5*'16.08 BUSUNJU-KAMPALA-24h'!C89),0)</f>
        <v>0</v>
      </c>
      <c r="D89" s="50">
        <f>ROUND((0.5*'16.08 BUSUNJU-KAMPALA-24h'!D89),0)</f>
        <v>0</v>
      </c>
      <c r="E89" s="50">
        <f>ROUND((0.5*'16.08 BUSUNJU-KAMPALA-24h'!E89),0)</f>
        <v>0</v>
      </c>
      <c r="F89" s="50">
        <f>ROUND((0.5*'16.08 BUSUNJU-KAMPALA-24h'!F89),0)</f>
        <v>0</v>
      </c>
      <c r="G89" s="50">
        <f>ROUND((0.5*'16.08 BUSUNJU-KAMPALA-24h'!G89),0)</f>
        <v>0</v>
      </c>
      <c r="H89" s="50">
        <f>ROUND((0.5*'16.08 BUSUNJU-KAMPALA-24h'!H89),0)</f>
        <v>0</v>
      </c>
      <c r="I89" s="50">
        <f>ROUND((0.5*'16.08 BUSUNJU-KAMPALA-24h'!I89),0)</f>
        <v>0</v>
      </c>
      <c r="J89" s="50">
        <f>ROUND((0.5*'16.08 BUSUNJU-KAMPALA-24h'!J89),0)</f>
        <v>0</v>
      </c>
      <c r="K89" s="50">
        <f>ROUND((0.5*'16.08 BUSUNJU-KAMPALA-24h'!K89),0)</f>
        <v>0</v>
      </c>
      <c r="L89" s="50">
        <f>ROUND((0.5*'16.08 BUSUNJU-KAMPALA-24h'!L89),0)</f>
        <v>0</v>
      </c>
      <c r="M89" s="50">
        <f>ROUND((0.5*'16.08 BUSUNJU-KAMPALA-24h'!M89),0)</f>
        <v>2</v>
      </c>
      <c r="N89" s="50">
        <f>ROUND((0.5*'16.08 BUSUNJU-KAMPALA-24h'!N89),0)</f>
        <v>0</v>
      </c>
      <c r="O89" s="15">
        <f t="shared" si="35"/>
        <v>0</v>
      </c>
      <c r="P89" s="15">
        <f t="shared" si="36"/>
        <v>2</v>
      </c>
      <c r="R89" s="8"/>
      <c r="T89"/>
    </row>
    <row r="90" spans="2:20" ht="23.1" customHeight="1" x14ac:dyDescent="0.25">
      <c r="B90" s="46" t="s">
        <v>130</v>
      </c>
      <c r="C90" s="50">
        <f>ROUND((0.5*'16.08 BUSUNJU-KAMPALA-24h'!C90),0)</f>
        <v>0</v>
      </c>
      <c r="D90" s="50">
        <f>ROUND((0.5*'16.08 BUSUNJU-KAMPALA-24h'!D90),0)</f>
        <v>0</v>
      </c>
      <c r="E90" s="50">
        <f>ROUND((0.5*'16.08 BUSUNJU-KAMPALA-24h'!E90),0)</f>
        <v>0</v>
      </c>
      <c r="F90" s="50">
        <f>ROUND((0.5*'16.08 BUSUNJU-KAMPALA-24h'!F90),0)</f>
        <v>0</v>
      </c>
      <c r="G90" s="50">
        <f>ROUND((0.5*'16.08 BUSUNJU-KAMPALA-24h'!G90),0)</f>
        <v>0</v>
      </c>
      <c r="H90" s="50">
        <f>ROUND((0.5*'16.08 BUSUNJU-KAMPALA-24h'!H90),0)</f>
        <v>0</v>
      </c>
      <c r="I90" s="50">
        <f>ROUND((0.5*'16.08 BUSUNJU-KAMPALA-24h'!I90),0)</f>
        <v>0</v>
      </c>
      <c r="J90" s="50">
        <f>ROUND((0.5*'16.08 BUSUNJU-KAMPALA-24h'!J90),0)</f>
        <v>0</v>
      </c>
      <c r="K90" s="50">
        <f>ROUND((0.5*'16.08 BUSUNJU-KAMPALA-24h'!K90),0)</f>
        <v>0</v>
      </c>
      <c r="L90" s="50">
        <f>ROUND((0.5*'16.08 BUSUNJU-KAMPALA-24h'!L90),0)</f>
        <v>0</v>
      </c>
      <c r="M90" s="50">
        <f>ROUND((0.5*'16.08 BUSUNJU-KAMPALA-24h'!M90),0)</f>
        <v>2</v>
      </c>
      <c r="N90" s="50">
        <f>ROUND((0.5*'16.08 BUSUNJU-KAMPALA-24h'!N90),0)</f>
        <v>0</v>
      </c>
      <c r="O90" s="15">
        <f t="shared" si="35"/>
        <v>0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f>ROUND((0.5*'16.08 BUSUNJU-KAMPALA-24h'!C91),0)</f>
        <v>0</v>
      </c>
      <c r="D91" s="50">
        <f>ROUND((0.5*'16.08 BUSUNJU-KAMPALA-24h'!D91),0)</f>
        <v>0</v>
      </c>
      <c r="E91" s="50">
        <f>ROUND((0.5*'16.08 BUSUNJU-KAMPALA-24h'!E91),0)</f>
        <v>0</v>
      </c>
      <c r="F91" s="50">
        <f>ROUND((0.5*'16.08 BUSUNJU-KAMPALA-24h'!F91),0)</f>
        <v>0</v>
      </c>
      <c r="G91" s="50">
        <f>ROUND((0.5*'16.08 BUSUNJU-KAMPALA-24h'!G91),0)</f>
        <v>0</v>
      </c>
      <c r="H91" s="50">
        <f>ROUND((0.5*'16.08 BUSUNJU-KAMPALA-24h'!H91),0)</f>
        <v>0</v>
      </c>
      <c r="I91" s="50">
        <f>ROUND((0.5*'16.08 BUSUNJU-KAMPALA-24h'!I91),0)</f>
        <v>0</v>
      </c>
      <c r="J91" s="50">
        <f>ROUND((0.5*'16.08 BUSUNJU-KAMPALA-24h'!J91),0)</f>
        <v>0</v>
      </c>
      <c r="K91" s="50">
        <f>ROUND((0.5*'16.08 BUSUNJU-KAMPALA-24h'!K91),0)</f>
        <v>0</v>
      </c>
      <c r="L91" s="50">
        <f>ROUND((0.5*'16.08 BUSUNJU-KAMPALA-24h'!L91),0)</f>
        <v>0</v>
      </c>
      <c r="M91" s="50">
        <f>ROUND((0.5*'16.08 BUSUNJU-KAMPALA-24h'!M91),0)</f>
        <v>2</v>
      </c>
      <c r="N91" s="50">
        <f>ROUND((0.5*'16.08 BUSUNJU-KAMPALA-24h'!N91),0)</f>
        <v>0</v>
      </c>
      <c r="O91" s="15">
        <f t="shared" si="35"/>
        <v>0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f>ROUND((0.5*'16.08 BUSUNJU-KAMPALA-24h'!C92),0)</f>
        <v>0</v>
      </c>
      <c r="D92" s="50">
        <f>ROUND((0.5*'16.08 BUSUNJU-KAMPALA-24h'!D92),0)</f>
        <v>0</v>
      </c>
      <c r="E92" s="50">
        <f>ROUND((0.5*'16.08 BUSUNJU-KAMPALA-24h'!E92),0)</f>
        <v>0</v>
      </c>
      <c r="F92" s="50">
        <f>ROUND((0.5*'16.08 BUSUNJU-KAMPALA-24h'!F92),0)</f>
        <v>0</v>
      </c>
      <c r="G92" s="50">
        <f>ROUND((0.5*'16.08 BUSUNJU-KAMPALA-24h'!G92),0)</f>
        <v>0</v>
      </c>
      <c r="H92" s="50">
        <f>ROUND((0.5*'16.08 BUSUNJU-KAMPALA-24h'!H92),0)</f>
        <v>0</v>
      </c>
      <c r="I92" s="50">
        <f>ROUND((0.5*'16.08 BUSUNJU-KAMPALA-24h'!I92),0)</f>
        <v>0</v>
      </c>
      <c r="J92" s="50">
        <f>ROUND((0.5*'16.08 BUSUNJU-KAMPALA-24h'!J92),0)</f>
        <v>0</v>
      </c>
      <c r="K92" s="50">
        <f>ROUND((0.5*'16.08 BUSUNJU-KAMPALA-24h'!K92),0)</f>
        <v>0</v>
      </c>
      <c r="L92" s="50">
        <f>ROUND((0.5*'16.08 BUSUNJU-KAMPALA-24h'!L92),0)</f>
        <v>0</v>
      </c>
      <c r="M92" s="50">
        <f>ROUND((0.5*'16.08 BUSUNJU-KAMPALA-24h'!M92),0)</f>
        <v>2</v>
      </c>
      <c r="N92" s="50">
        <f>ROUND((0.5*'16.08 BUSUNJU-KAMPALA-24h'!N92),0)</f>
        <v>0</v>
      </c>
      <c r="O92" s="15">
        <f t="shared" si="35"/>
        <v>0</v>
      </c>
      <c r="P92" s="15">
        <f t="shared" si="36"/>
        <v>2</v>
      </c>
      <c r="R92" s="8"/>
      <c r="T92"/>
    </row>
    <row r="93" spans="2:20" ht="23.1" customHeight="1" x14ac:dyDescent="0.25">
      <c r="B93" s="45" t="s">
        <v>133</v>
      </c>
      <c r="C93" s="50">
        <f>ROUND((0.5*'16.08 BUSUNJU-KAMPALA-24h'!C93),0)</f>
        <v>1</v>
      </c>
      <c r="D93" s="50">
        <f>ROUND((0.5*'16.08 BUSUNJU-KAMPALA-24h'!D93),0)</f>
        <v>0</v>
      </c>
      <c r="E93" s="50">
        <f>ROUND((0.5*'16.08 BUSUNJU-KAMPALA-24h'!E93),0)</f>
        <v>1</v>
      </c>
      <c r="F93" s="50">
        <f>ROUND((0.5*'16.08 BUSUNJU-KAMPALA-24h'!F93),0)</f>
        <v>0</v>
      </c>
      <c r="G93" s="50">
        <f>ROUND((0.5*'16.08 BUSUNJU-KAMPALA-24h'!G93),0)</f>
        <v>0</v>
      </c>
      <c r="H93" s="50">
        <f>ROUND((0.5*'16.08 BUSUNJU-KAMPALA-24h'!H93),0)</f>
        <v>0</v>
      </c>
      <c r="I93" s="50">
        <f>ROUND((0.5*'16.08 BUSUNJU-KAMPALA-24h'!I93),0)</f>
        <v>1</v>
      </c>
      <c r="J93" s="50">
        <f>ROUND((0.5*'16.08 BUSUNJU-KAMPALA-24h'!J93),0)</f>
        <v>0</v>
      </c>
      <c r="K93" s="50">
        <f>ROUND((0.5*'16.08 BUSUNJU-KAMPALA-24h'!K93),0)</f>
        <v>0</v>
      </c>
      <c r="L93" s="50">
        <f>ROUND((0.5*'16.08 BUSUNJU-KAMPALA-24h'!L93),0)</f>
        <v>0</v>
      </c>
      <c r="M93" s="50">
        <f>ROUND((0.5*'16.08 BUSUNJU-KAMPALA-24h'!M93),0)</f>
        <v>4</v>
      </c>
      <c r="N93" s="50">
        <f>ROUND((0.5*'16.08 BUSUNJU-KAMPALA-24h'!N93),0)</f>
        <v>0</v>
      </c>
      <c r="O93" s="15">
        <f t="shared" si="35"/>
        <v>3</v>
      </c>
      <c r="P93" s="15">
        <f t="shared" si="36"/>
        <v>7</v>
      </c>
      <c r="R93" s="8"/>
      <c r="T93"/>
    </row>
    <row r="94" spans="2:20" ht="23.1" customHeight="1" x14ac:dyDescent="0.25">
      <c r="B94" s="46" t="s">
        <v>134</v>
      </c>
      <c r="C94" s="50">
        <f>ROUND((0.5*'16.08 BUSUNJU-KAMPALA-24h'!C94),0)</f>
        <v>1</v>
      </c>
      <c r="D94" s="50">
        <f>ROUND((0.5*'16.08 BUSUNJU-KAMPALA-24h'!D94),0)</f>
        <v>0</v>
      </c>
      <c r="E94" s="50">
        <f>ROUND((0.5*'16.08 BUSUNJU-KAMPALA-24h'!E94),0)</f>
        <v>1</v>
      </c>
      <c r="F94" s="50">
        <f>ROUND((0.5*'16.08 BUSUNJU-KAMPALA-24h'!F94),0)</f>
        <v>0</v>
      </c>
      <c r="G94" s="50">
        <f>ROUND((0.5*'16.08 BUSUNJU-KAMPALA-24h'!G94),0)</f>
        <v>0</v>
      </c>
      <c r="H94" s="50">
        <f>ROUND((0.5*'16.08 BUSUNJU-KAMPALA-24h'!H94),0)</f>
        <v>0</v>
      </c>
      <c r="I94" s="50">
        <f>ROUND((0.5*'16.08 BUSUNJU-KAMPALA-24h'!I94),0)</f>
        <v>0</v>
      </c>
      <c r="J94" s="50">
        <f>ROUND((0.5*'16.08 BUSUNJU-KAMPALA-24h'!J94),0)</f>
        <v>0</v>
      </c>
      <c r="K94" s="50">
        <f>ROUND((0.5*'16.08 BUSUNJU-KAMPALA-24h'!K94),0)</f>
        <v>0</v>
      </c>
      <c r="L94" s="50">
        <f>ROUND((0.5*'16.08 BUSUNJU-KAMPALA-24h'!L94),0)</f>
        <v>0</v>
      </c>
      <c r="M94" s="50">
        <f>ROUND((0.5*'16.08 BUSUNJU-KAMPALA-24h'!M94),0)</f>
        <v>5</v>
      </c>
      <c r="N94" s="50">
        <f>ROUND((0.5*'16.08 BUSUNJU-KAMPALA-24h'!N94),0)</f>
        <v>0</v>
      </c>
      <c r="O94" s="15">
        <f t="shared" si="35"/>
        <v>2</v>
      </c>
      <c r="P94" s="15">
        <f t="shared" si="36"/>
        <v>7</v>
      </c>
      <c r="R94" s="8"/>
      <c r="T94"/>
    </row>
    <row r="95" spans="2:20" ht="23.1" customHeight="1" x14ac:dyDescent="0.25">
      <c r="B95" s="45" t="s">
        <v>135</v>
      </c>
      <c r="C95" s="50">
        <f>ROUND((0.5*'16.08 BUSUNJU-KAMPALA-24h'!C95),0)</f>
        <v>1</v>
      </c>
      <c r="D95" s="50">
        <f>ROUND((0.5*'16.08 BUSUNJU-KAMPALA-24h'!D95),0)</f>
        <v>0</v>
      </c>
      <c r="E95" s="50">
        <f>ROUND((0.5*'16.08 BUSUNJU-KAMPALA-24h'!E95),0)</f>
        <v>1</v>
      </c>
      <c r="F95" s="50">
        <f>ROUND((0.5*'16.08 BUSUNJU-KAMPALA-24h'!F95),0)</f>
        <v>0</v>
      </c>
      <c r="G95" s="50">
        <f>ROUND((0.5*'16.08 BUSUNJU-KAMPALA-24h'!G95),0)</f>
        <v>0</v>
      </c>
      <c r="H95" s="50">
        <f>ROUND((0.5*'16.08 BUSUNJU-KAMPALA-24h'!H95),0)</f>
        <v>0</v>
      </c>
      <c r="I95" s="50">
        <f>ROUND((0.5*'16.08 BUSUNJU-KAMPALA-24h'!I95),0)</f>
        <v>0</v>
      </c>
      <c r="J95" s="50">
        <f>ROUND((0.5*'16.08 BUSUNJU-KAMPALA-24h'!J95),0)</f>
        <v>0</v>
      </c>
      <c r="K95" s="50">
        <f>ROUND((0.5*'16.08 BUSUNJU-KAMPALA-24h'!K95),0)</f>
        <v>0</v>
      </c>
      <c r="L95" s="50">
        <f>ROUND((0.5*'16.08 BUSUNJU-KAMPALA-24h'!L95),0)</f>
        <v>0</v>
      </c>
      <c r="M95" s="50">
        <f>ROUND((0.5*'16.08 BUSUNJU-KAMPALA-24h'!M95),0)</f>
        <v>4</v>
      </c>
      <c r="N95" s="50">
        <f>ROUND((0.5*'16.08 BUSUNJU-KAMPALA-24h'!N95),0)</f>
        <v>0</v>
      </c>
      <c r="O95" s="15">
        <f t="shared" si="35"/>
        <v>2</v>
      </c>
      <c r="P95" s="15">
        <f t="shared" si="36"/>
        <v>6</v>
      </c>
      <c r="R95" s="8"/>
      <c r="T95"/>
    </row>
    <row r="96" spans="2:20" ht="23.1" customHeight="1" x14ac:dyDescent="0.25">
      <c r="B96" s="47" t="s">
        <v>136</v>
      </c>
      <c r="C96" s="50">
        <f>ROUND((0.5*'16.08 BUSUNJU-KAMPALA-24h'!C96),0)</f>
        <v>1</v>
      </c>
      <c r="D96" s="50">
        <f>ROUND((0.5*'16.08 BUSUNJU-KAMPALA-24h'!D96),0)</f>
        <v>0</v>
      </c>
      <c r="E96" s="50">
        <f>ROUND((0.5*'16.08 BUSUNJU-KAMPALA-24h'!E96),0)</f>
        <v>1</v>
      </c>
      <c r="F96" s="50">
        <f>ROUND((0.5*'16.08 BUSUNJU-KAMPALA-24h'!F96),0)</f>
        <v>1</v>
      </c>
      <c r="G96" s="50">
        <f>ROUND((0.5*'16.08 BUSUNJU-KAMPALA-24h'!G96),0)</f>
        <v>0</v>
      </c>
      <c r="H96" s="50">
        <f>ROUND((0.5*'16.08 BUSUNJU-KAMPALA-24h'!H96),0)</f>
        <v>0</v>
      </c>
      <c r="I96" s="50">
        <f>ROUND((0.5*'16.08 BUSUNJU-KAMPALA-24h'!I96),0)</f>
        <v>1</v>
      </c>
      <c r="J96" s="50">
        <f>ROUND((0.5*'16.08 BUSUNJU-KAMPALA-24h'!J96),0)</f>
        <v>0</v>
      </c>
      <c r="K96" s="50">
        <f>ROUND((0.5*'16.08 BUSUNJU-KAMPALA-24h'!K96),0)</f>
        <v>0</v>
      </c>
      <c r="L96" s="50">
        <f>ROUND((0.5*'16.08 BUSUNJU-KAMPALA-24h'!L96),0)</f>
        <v>0</v>
      </c>
      <c r="M96" s="50">
        <f>ROUND((0.5*'16.08 BUSUNJU-KAMPALA-24h'!M96),0)</f>
        <v>6</v>
      </c>
      <c r="N96" s="50">
        <f>ROUND((0.5*'16.08 BUSUNJU-KAMPALA-24h'!N96),0)</f>
        <v>0</v>
      </c>
      <c r="O96" s="15">
        <f t="shared" si="35"/>
        <v>4</v>
      </c>
      <c r="P96" s="15">
        <f t="shared" si="36"/>
        <v>10</v>
      </c>
      <c r="R96" s="8"/>
      <c r="T96"/>
    </row>
    <row r="97" spans="2:20" ht="23.1" customHeight="1" x14ac:dyDescent="0.25">
      <c r="B97" s="45" t="s">
        <v>137</v>
      </c>
      <c r="C97" s="50">
        <f>ROUND((0.5*'16.08 BUSUNJU-KAMPALA-24h'!C97),0)</f>
        <v>1</v>
      </c>
      <c r="D97" s="50">
        <f>ROUND((0.5*'16.08 BUSUNJU-KAMPALA-24h'!D97),0)</f>
        <v>0</v>
      </c>
      <c r="E97" s="50">
        <f>ROUND((0.5*'16.08 BUSUNJU-KAMPALA-24h'!E97),0)</f>
        <v>0</v>
      </c>
      <c r="F97" s="50">
        <f>ROUND((0.5*'16.08 BUSUNJU-KAMPALA-24h'!F97),0)</f>
        <v>0</v>
      </c>
      <c r="G97" s="50">
        <f>ROUND((0.5*'16.08 BUSUNJU-KAMPALA-24h'!G97),0)</f>
        <v>0</v>
      </c>
      <c r="H97" s="50">
        <f>ROUND((0.5*'16.08 BUSUNJU-KAMPALA-24h'!H97),0)</f>
        <v>0</v>
      </c>
      <c r="I97" s="50">
        <f>ROUND((0.5*'16.08 BUSUNJU-KAMPALA-24h'!I97),0)</f>
        <v>1</v>
      </c>
      <c r="J97" s="50">
        <f>ROUND((0.5*'16.08 BUSUNJU-KAMPALA-24h'!J97),0)</f>
        <v>0</v>
      </c>
      <c r="K97" s="50">
        <f>ROUND((0.5*'16.08 BUSUNJU-KAMPALA-24h'!K97),0)</f>
        <v>0</v>
      </c>
      <c r="L97" s="50">
        <f>ROUND((0.5*'16.08 BUSUNJU-KAMPALA-24h'!L97),0)</f>
        <v>0</v>
      </c>
      <c r="M97" s="50">
        <f>ROUND((0.5*'16.08 BUSUNJU-KAMPALA-24h'!M97),0)</f>
        <v>4</v>
      </c>
      <c r="N97" s="50">
        <f>ROUND((0.5*'16.08 BUSUNJU-KAMPALA-24h'!N97),0)</f>
        <v>0</v>
      </c>
      <c r="O97" s="15">
        <f t="shared" si="35"/>
        <v>2</v>
      </c>
      <c r="P97" s="15">
        <f t="shared" si="36"/>
        <v>6</v>
      </c>
      <c r="R97" s="8"/>
      <c r="T97"/>
    </row>
    <row r="98" spans="2:20" ht="23.1" customHeight="1" x14ac:dyDescent="0.25">
      <c r="B98" s="46" t="s">
        <v>138</v>
      </c>
      <c r="C98" s="50">
        <f>ROUND((0.5*'16.08 BUSUNJU-KAMPALA-24h'!C98),0)</f>
        <v>1</v>
      </c>
      <c r="D98" s="50">
        <f>ROUND((0.5*'16.08 BUSUNJU-KAMPALA-24h'!D98),0)</f>
        <v>0</v>
      </c>
      <c r="E98" s="50">
        <f>ROUND((0.5*'16.08 BUSUNJU-KAMPALA-24h'!E98),0)</f>
        <v>1</v>
      </c>
      <c r="F98" s="50">
        <f>ROUND((0.5*'16.08 BUSUNJU-KAMPALA-24h'!F98),0)</f>
        <v>0</v>
      </c>
      <c r="G98" s="50">
        <f>ROUND((0.5*'16.08 BUSUNJU-KAMPALA-24h'!G98),0)</f>
        <v>0</v>
      </c>
      <c r="H98" s="50">
        <f>ROUND((0.5*'16.08 BUSUNJU-KAMPALA-24h'!H98),0)</f>
        <v>0</v>
      </c>
      <c r="I98" s="50">
        <f>ROUND((0.5*'16.08 BUSUNJU-KAMPALA-24h'!I98),0)</f>
        <v>1</v>
      </c>
      <c r="J98" s="50">
        <f>ROUND((0.5*'16.08 BUSUNJU-KAMPALA-24h'!J98),0)</f>
        <v>0</v>
      </c>
      <c r="K98" s="50">
        <f>ROUND((0.5*'16.08 BUSUNJU-KAMPALA-24h'!K98),0)</f>
        <v>0</v>
      </c>
      <c r="L98" s="50">
        <f>ROUND((0.5*'16.08 BUSUNJU-KAMPALA-24h'!L98),0)</f>
        <v>0</v>
      </c>
      <c r="M98" s="50">
        <f>ROUND((0.5*'16.08 BUSUNJU-KAMPALA-24h'!M98),0)</f>
        <v>6</v>
      </c>
      <c r="N98" s="50">
        <f>ROUND((0.5*'16.08 BUSUNJU-KAMPALA-24h'!N98),0)</f>
        <v>0</v>
      </c>
      <c r="O98" s="15">
        <f t="shared" si="35"/>
        <v>3</v>
      </c>
      <c r="P98" s="15">
        <f t="shared" si="36"/>
        <v>9</v>
      </c>
      <c r="R98" s="8"/>
      <c r="T98"/>
    </row>
    <row r="99" spans="2:20" ht="23.1" customHeight="1" x14ac:dyDescent="0.25">
      <c r="B99" s="45" t="s">
        <v>139</v>
      </c>
      <c r="C99" s="50">
        <f>ROUND((0.5*'16.08 BUSUNJU-KAMPALA-24h'!C99),0)</f>
        <v>1</v>
      </c>
      <c r="D99" s="50">
        <f>ROUND((0.5*'16.08 BUSUNJU-KAMPALA-24h'!D99),0)</f>
        <v>0</v>
      </c>
      <c r="E99" s="50">
        <f>ROUND((0.5*'16.08 BUSUNJU-KAMPALA-24h'!E99),0)</f>
        <v>1</v>
      </c>
      <c r="F99" s="50">
        <f>ROUND((0.5*'16.08 BUSUNJU-KAMPALA-24h'!F99),0)</f>
        <v>0</v>
      </c>
      <c r="G99" s="50">
        <f>ROUND((0.5*'16.08 BUSUNJU-KAMPALA-24h'!G99),0)</f>
        <v>0</v>
      </c>
      <c r="H99" s="50">
        <f>ROUND((0.5*'16.08 BUSUNJU-KAMPALA-24h'!H99),0)</f>
        <v>0</v>
      </c>
      <c r="I99" s="50">
        <f>ROUND((0.5*'16.08 BUSUNJU-KAMPALA-24h'!I99),0)</f>
        <v>1</v>
      </c>
      <c r="J99" s="50">
        <f>ROUND((0.5*'16.08 BUSUNJU-KAMPALA-24h'!J99),0)</f>
        <v>0</v>
      </c>
      <c r="K99" s="50">
        <f>ROUND((0.5*'16.08 BUSUNJU-KAMPALA-24h'!K99),0)</f>
        <v>0</v>
      </c>
      <c r="L99" s="50">
        <f>ROUND((0.5*'16.08 BUSUNJU-KAMPALA-24h'!L99),0)</f>
        <v>0</v>
      </c>
      <c r="M99" s="50">
        <f>ROUND((0.5*'16.08 BUSUNJU-KAMPALA-24h'!M99),0)</f>
        <v>6</v>
      </c>
      <c r="N99" s="50">
        <f>ROUND((0.5*'16.08 BUSUNJU-KAMPALA-24h'!N99),0)</f>
        <v>0</v>
      </c>
      <c r="O99" s="15">
        <f t="shared" si="35"/>
        <v>3</v>
      </c>
      <c r="P99" s="15">
        <f t="shared" si="36"/>
        <v>9</v>
      </c>
      <c r="R99" s="8"/>
      <c r="T99"/>
    </row>
    <row r="100" spans="2:20" ht="23.1" customHeight="1" x14ac:dyDescent="0.25">
      <c r="B100" s="47" t="s">
        <v>140</v>
      </c>
      <c r="C100" s="50">
        <f>ROUND((0.5*'16.08 BUSUNJU-KAMPALA-24h'!C100),0)</f>
        <v>1</v>
      </c>
      <c r="D100" s="50">
        <f>ROUND((0.5*'16.08 BUSUNJU-KAMPALA-24h'!D100),0)</f>
        <v>0</v>
      </c>
      <c r="E100" s="50">
        <f>ROUND((0.5*'16.08 BUSUNJU-KAMPALA-24h'!E100),0)</f>
        <v>1</v>
      </c>
      <c r="F100" s="50">
        <f>ROUND((0.5*'16.08 BUSUNJU-KAMPALA-24h'!F100),0)</f>
        <v>1</v>
      </c>
      <c r="G100" s="50">
        <f>ROUND((0.5*'16.08 BUSUNJU-KAMPALA-24h'!G100),0)</f>
        <v>0</v>
      </c>
      <c r="H100" s="50">
        <f>ROUND((0.5*'16.08 BUSUNJU-KAMPALA-24h'!H100),0)</f>
        <v>0</v>
      </c>
      <c r="I100" s="50">
        <f>ROUND((0.5*'16.08 BUSUNJU-KAMPALA-24h'!I100),0)</f>
        <v>1</v>
      </c>
      <c r="J100" s="50">
        <f>ROUND((0.5*'16.08 BUSUNJU-KAMPALA-24h'!J100),0)</f>
        <v>0</v>
      </c>
      <c r="K100" s="50">
        <f>ROUND((0.5*'16.08 BUSUNJU-KAMPALA-24h'!K100),0)</f>
        <v>0</v>
      </c>
      <c r="L100" s="50">
        <f>ROUND((0.5*'16.08 BUSUNJU-KAMPALA-24h'!L100),0)</f>
        <v>0</v>
      </c>
      <c r="M100" s="50">
        <f>ROUND((0.5*'16.08 BUSUNJU-KAMPALA-24h'!M100),0)</f>
        <v>7</v>
      </c>
      <c r="N100" s="50">
        <f>ROUND((0.5*'16.08 BUSUNJU-KAMPALA-24h'!N100),0)</f>
        <v>0</v>
      </c>
      <c r="O100" s="15">
        <f t="shared" si="35"/>
        <v>4</v>
      </c>
      <c r="P100" s="15">
        <f t="shared" si="36"/>
        <v>11</v>
      </c>
      <c r="R100" s="8"/>
      <c r="T100"/>
    </row>
    <row r="101" spans="2:20" ht="23.1" customHeight="1" x14ac:dyDescent="0.25">
      <c r="B101" s="45" t="s">
        <v>141</v>
      </c>
      <c r="C101" s="50">
        <f>ROUND((0.5*'16.08 BUSUNJU-KAMPALA-24h'!C101),0)</f>
        <v>1</v>
      </c>
      <c r="D101" s="50">
        <f>ROUND((0.5*'16.08 BUSUNJU-KAMPALA-24h'!D101),0)</f>
        <v>0</v>
      </c>
      <c r="E101" s="50">
        <f>ROUND((0.5*'16.08 BUSUNJU-KAMPALA-24h'!E101),0)</f>
        <v>1</v>
      </c>
      <c r="F101" s="50">
        <f>ROUND((0.5*'16.08 BUSUNJU-KAMPALA-24h'!F101),0)</f>
        <v>1</v>
      </c>
      <c r="G101" s="50">
        <f>ROUND((0.5*'16.08 BUSUNJU-KAMPALA-24h'!G101),0)</f>
        <v>0</v>
      </c>
      <c r="H101" s="50">
        <f>ROUND((0.5*'16.08 BUSUNJU-KAMPALA-24h'!H101),0)</f>
        <v>0</v>
      </c>
      <c r="I101" s="50">
        <f>ROUND((0.5*'16.08 BUSUNJU-KAMPALA-24h'!I101),0)</f>
        <v>1</v>
      </c>
      <c r="J101" s="50">
        <f>ROUND((0.5*'16.08 BUSUNJU-KAMPALA-24h'!J101),0)</f>
        <v>0</v>
      </c>
      <c r="K101" s="50">
        <f>ROUND((0.5*'16.08 BUSUNJU-KAMPALA-24h'!K101),0)</f>
        <v>0</v>
      </c>
      <c r="L101" s="50">
        <f>ROUND((0.5*'16.08 BUSUNJU-KAMPALA-24h'!L101),0)</f>
        <v>0</v>
      </c>
      <c r="M101" s="50">
        <f>ROUND((0.5*'16.08 BUSUNJU-KAMPALA-24h'!M101),0)</f>
        <v>5</v>
      </c>
      <c r="N101" s="50">
        <f>ROUND((0.5*'16.08 BUSUNJU-KAMPALA-24h'!N101),0)</f>
        <v>0</v>
      </c>
      <c r="O101" s="15">
        <f t="shared" si="35"/>
        <v>4</v>
      </c>
      <c r="P101" s="15">
        <f t="shared" si="36"/>
        <v>9</v>
      </c>
      <c r="R101" s="8"/>
      <c r="T101"/>
    </row>
    <row r="102" spans="2:20" ht="23.1" customHeight="1" x14ac:dyDescent="0.25">
      <c r="B102" s="46" t="s">
        <v>142</v>
      </c>
      <c r="C102" s="50">
        <f>ROUND((0.5*'16.08 BUSUNJU-KAMPALA-24h'!C102),0)</f>
        <v>1</v>
      </c>
      <c r="D102" s="50">
        <f>ROUND((0.5*'16.08 BUSUNJU-KAMPALA-24h'!D102),0)</f>
        <v>0</v>
      </c>
      <c r="E102" s="50">
        <f>ROUND((0.5*'16.08 BUSUNJU-KAMPALA-24h'!E102),0)</f>
        <v>1</v>
      </c>
      <c r="F102" s="50">
        <f>ROUND((0.5*'16.08 BUSUNJU-KAMPALA-24h'!F102),0)</f>
        <v>0</v>
      </c>
      <c r="G102" s="50">
        <f>ROUND((0.5*'16.08 BUSUNJU-KAMPALA-24h'!G102),0)</f>
        <v>0</v>
      </c>
      <c r="H102" s="50">
        <f>ROUND((0.5*'16.08 BUSUNJU-KAMPALA-24h'!H102),0)</f>
        <v>0</v>
      </c>
      <c r="I102" s="50">
        <f>ROUND((0.5*'16.08 BUSUNJU-KAMPALA-24h'!I102),0)</f>
        <v>1</v>
      </c>
      <c r="J102" s="50">
        <f>ROUND((0.5*'16.08 BUSUNJU-KAMPALA-24h'!J102),0)</f>
        <v>0</v>
      </c>
      <c r="K102" s="50">
        <f>ROUND((0.5*'16.08 BUSUNJU-KAMPALA-24h'!K102),0)</f>
        <v>0</v>
      </c>
      <c r="L102" s="50">
        <f>ROUND((0.5*'16.08 BUSUNJU-KAMPALA-24h'!L102),0)</f>
        <v>0</v>
      </c>
      <c r="M102" s="50">
        <f>ROUND((0.5*'16.08 BUSUNJU-KAMPALA-24h'!M102),0)</f>
        <v>7</v>
      </c>
      <c r="N102" s="50">
        <f>ROUND((0.5*'16.08 BUSUNJU-KAMPALA-24h'!N102),0)</f>
        <v>0</v>
      </c>
      <c r="O102" s="15">
        <f t="shared" si="35"/>
        <v>3</v>
      </c>
      <c r="P102" s="15">
        <f t="shared" si="36"/>
        <v>10</v>
      </c>
      <c r="R102" s="8"/>
      <c r="T102"/>
    </row>
    <row r="103" spans="2:20" ht="23.1" customHeight="1" x14ac:dyDescent="0.25">
      <c r="B103" s="45" t="s">
        <v>143</v>
      </c>
      <c r="C103" s="50">
        <f>ROUND((0.5*'16.08 BUSUNJU-KAMPALA-24h'!C103),0)</f>
        <v>1</v>
      </c>
      <c r="D103" s="50">
        <f>ROUND((0.5*'16.08 BUSUNJU-KAMPALA-24h'!D103),0)</f>
        <v>0</v>
      </c>
      <c r="E103" s="50">
        <f>ROUND((0.5*'16.08 BUSUNJU-KAMPALA-24h'!E103),0)</f>
        <v>1</v>
      </c>
      <c r="F103" s="50">
        <f>ROUND((0.5*'16.08 BUSUNJU-KAMPALA-24h'!F103),0)</f>
        <v>0</v>
      </c>
      <c r="G103" s="50">
        <f>ROUND((0.5*'16.08 BUSUNJU-KAMPALA-24h'!G103),0)</f>
        <v>0</v>
      </c>
      <c r="H103" s="50">
        <f>ROUND((0.5*'16.08 BUSUNJU-KAMPALA-24h'!H103),0)</f>
        <v>0</v>
      </c>
      <c r="I103" s="50">
        <f>ROUND((0.5*'16.08 BUSUNJU-KAMPALA-24h'!I103),0)</f>
        <v>0</v>
      </c>
      <c r="J103" s="50">
        <f>ROUND((0.5*'16.08 BUSUNJU-KAMPALA-24h'!J103),0)</f>
        <v>0</v>
      </c>
      <c r="K103" s="50">
        <f>ROUND((0.5*'16.08 BUSUNJU-KAMPALA-24h'!K103),0)</f>
        <v>0</v>
      </c>
      <c r="L103" s="50">
        <f>ROUND((0.5*'16.08 BUSUNJU-KAMPALA-24h'!L103),0)</f>
        <v>0</v>
      </c>
      <c r="M103" s="50">
        <f>ROUND((0.5*'16.08 BUSUNJU-KAMPALA-24h'!M103),0)</f>
        <v>6</v>
      </c>
      <c r="N103" s="50">
        <f>ROUND((0.5*'16.08 BUSUNJU-KAMPALA-24h'!N103),0)</f>
        <v>0</v>
      </c>
      <c r="O103" s="15">
        <f t="shared" si="35"/>
        <v>2</v>
      </c>
      <c r="P103" s="15">
        <f t="shared" si="36"/>
        <v>8</v>
      </c>
      <c r="R103" s="8"/>
      <c r="T103"/>
    </row>
    <row r="104" spans="2:20" ht="23.1" customHeight="1" x14ac:dyDescent="0.25">
      <c r="B104" s="47" t="s">
        <v>144</v>
      </c>
      <c r="C104" s="50">
        <f>ROUND((0.5*'16.08 BUSUNJU-KAMPALA-24h'!C104),0)</f>
        <v>1</v>
      </c>
      <c r="D104" s="50">
        <f>ROUND((0.5*'16.08 BUSUNJU-KAMPALA-24h'!D104),0)</f>
        <v>0</v>
      </c>
      <c r="E104" s="50">
        <f>ROUND((0.5*'16.08 BUSUNJU-KAMPALA-24h'!E104),0)</f>
        <v>1</v>
      </c>
      <c r="F104" s="50">
        <f>ROUND((0.5*'16.08 BUSUNJU-KAMPALA-24h'!F104),0)</f>
        <v>0</v>
      </c>
      <c r="G104" s="50">
        <f>ROUND((0.5*'16.08 BUSUNJU-KAMPALA-24h'!G104),0)</f>
        <v>0</v>
      </c>
      <c r="H104" s="50">
        <f>ROUND((0.5*'16.08 BUSUNJU-KAMPALA-24h'!H104),0)</f>
        <v>0</v>
      </c>
      <c r="I104" s="50">
        <f>ROUND((0.5*'16.08 BUSUNJU-KAMPALA-24h'!I104),0)</f>
        <v>1</v>
      </c>
      <c r="J104" s="50">
        <f>ROUND((0.5*'16.08 BUSUNJU-KAMPALA-24h'!J104),0)</f>
        <v>0</v>
      </c>
      <c r="K104" s="50">
        <f>ROUND((0.5*'16.08 BUSUNJU-KAMPALA-24h'!K104),0)</f>
        <v>0</v>
      </c>
      <c r="L104" s="50">
        <f>ROUND((0.5*'16.08 BUSUNJU-KAMPALA-24h'!L104),0)</f>
        <v>0</v>
      </c>
      <c r="M104" s="50">
        <f>ROUND((0.5*'16.08 BUSUNJU-KAMPALA-24h'!M104),0)</f>
        <v>5</v>
      </c>
      <c r="N104" s="50">
        <f>ROUND((0.5*'16.08 BUSUNJU-KAMPALA-24h'!N104),0)</f>
        <v>0</v>
      </c>
      <c r="O104" s="15">
        <f t="shared" si="35"/>
        <v>3</v>
      </c>
      <c r="P104" s="15">
        <f t="shared" si="36"/>
        <v>8</v>
      </c>
      <c r="R104" s="8"/>
      <c r="T104"/>
    </row>
    <row r="105" spans="2:20" ht="23.1" customHeight="1" x14ac:dyDescent="0.25">
      <c r="B105" s="45" t="s">
        <v>145</v>
      </c>
      <c r="C105" s="50">
        <f>ROUND((0.5*'16.08 BUSUNJU-KAMPALA-24h'!C105),0)</f>
        <v>1</v>
      </c>
      <c r="D105" s="50">
        <f>ROUND((0.5*'16.08 BUSUNJU-KAMPALA-24h'!D105),0)</f>
        <v>0</v>
      </c>
      <c r="E105" s="50">
        <f>ROUND((0.5*'16.08 BUSUNJU-KAMPALA-24h'!E105),0)</f>
        <v>0</v>
      </c>
      <c r="F105" s="50">
        <f>ROUND((0.5*'16.08 BUSUNJU-KAMPALA-24h'!F105),0)</f>
        <v>1</v>
      </c>
      <c r="G105" s="50">
        <f>ROUND((0.5*'16.08 BUSUNJU-KAMPALA-24h'!G105),0)</f>
        <v>0</v>
      </c>
      <c r="H105" s="50">
        <f>ROUND((0.5*'16.08 BUSUNJU-KAMPALA-24h'!H105),0)</f>
        <v>0</v>
      </c>
      <c r="I105" s="50">
        <f>ROUND((0.5*'16.08 BUSUNJU-KAMPALA-24h'!I105),0)</f>
        <v>0</v>
      </c>
      <c r="J105" s="50">
        <f>ROUND((0.5*'16.08 BUSUNJU-KAMPALA-24h'!J105),0)</f>
        <v>0</v>
      </c>
      <c r="K105" s="50">
        <f>ROUND((0.5*'16.08 BUSUNJU-KAMPALA-24h'!K105),0)</f>
        <v>0</v>
      </c>
      <c r="L105" s="50">
        <f>ROUND((0.5*'16.08 BUSUNJU-KAMPALA-24h'!L105),0)</f>
        <v>0</v>
      </c>
      <c r="M105" s="50">
        <f>ROUND((0.5*'16.08 BUSUNJU-KAMPALA-24h'!M105),0)</f>
        <v>6</v>
      </c>
      <c r="N105" s="50">
        <f>ROUND((0.5*'16.08 BUSUNJU-KAMPALA-24h'!N105),0)</f>
        <v>0</v>
      </c>
      <c r="O105" s="15">
        <f t="shared" si="35"/>
        <v>2</v>
      </c>
      <c r="P105" s="15">
        <f t="shared" si="36"/>
        <v>8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90</v>
      </c>
      <c r="D106" s="16">
        <f t="shared" ref="D106:P106" si="37">SUM(D10:D105)</f>
        <v>0</v>
      </c>
      <c r="E106" s="16">
        <f t="shared" si="37"/>
        <v>72</v>
      </c>
      <c r="F106" s="16">
        <f t="shared" si="37"/>
        <v>17</v>
      </c>
      <c r="G106" s="16">
        <f t="shared" si="37"/>
        <v>1</v>
      </c>
      <c r="H106" s="16">
        <f t="shared" si="37"/>
        <v>0</v>
      </c>
      <c r="I106" s="16">
        <f t="shared" si="37"/>
        <v>83</v>
      </c>
      <c r="J106" s="16">
        <f t="shared" si="37"/>
        <v>4</v>
      </c>
      <c r="K106" s="16">
        <f t="shared" si="37"/>
        <v>0</v>
      </c>
      <c r="L106" s="16">
        <f t="shared" si="37"/>
        <v>0</v>
      </c>
      <c r="M106" s="16">
        <f t="shared" si="37"/>
        <v>867</v>
      </c>
      <c r="N106" s="16">
        <f t="shared" si="37"/>
        <v>0</v>
      </c>
      <c r="O106" s="16">
        <f t="shared" si="37"/>
        <v>267</v>
      </c>
      <c r="P106" s="16">
        <f t="shared" si="37"/>
        <v>1134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7.9365079365079361E-2</v>
      </c>
      <c r="D107" s="43">
        <f t="shared" si="38"/>
        <v>0</v>
      </c>
      <c r="E107" s="43">
        <f t="shared" si="38"/>
        <v>6.3492063492063489E-2</v>
      </c>
      <c r="F107" s="43">
        <f t="shared" si="38"/>
        <v>1.4991181657848324E-2</v>
      </c>
      <c r="G107" s="43">
        <f t="shared" si="38"/>
        <v>8.8183421516754845E-4</v>
      </c>
      <c r="H107" s="43">
        <f t="shared" si="38"/>
        <v>0</v>
      </c>
      <c r="I107" s="43">
        <f t="shared" si="38"/>
        <v>7.3192239858906522E-2</v>
      </c>
      <c r="J107" s="43">
        <f t="shared" si="38"/>
        <v>3.5273368606701938E-3</v>
      </c>
      <c r="K107" s="43">
        <f t="shared" si="38"/>
        <v>0</v>
      </c>
      <c r="L107" s="43">
        <f t="shared" si="38"/>
        <v>0</v>
      </c>
      <c r="M107" s="43">
        <f t="shared" si="38"/>
        <v>0.76455026455026454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0.33707865168539325</v>
      </c>
      <c r="D108" s="44">
        <f t="shared" ref="D108:N108" si="39">D106/$O$106</f>
        <v>0</v>
      </c>
      <c r="E108" s="44">
        <f t="shared" si="39"/>
        <v>0.2696629213483146</v>
      </c>
      <c r="F108" s="44">
        <f t="shared" si="39"/>
        <v>6.3670411985018729E-2</v>
      </c>
      <c r="G108" s="44">
        <f t="shared" si="39"/>
        <v>3.7453183520599251E-3</v>
      </c>
      <c r="H108" s="44">
        <f t="shared" si="39"/>
        <v>0</v>
      </c>
      <c r="I108" s="44">
        <f t="shared" si="39"/>
        <v>0.31086142322097376</v>
      </c>
      <c r="J108" s="44">
        <f t="shared" si="39"/>
        <v>1.4981273408239701E-2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T105" sqref="T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'11.08 BUSUNJU-KAMPALA'!C3:G3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3" t="str">
        <f>'17.08 BUSUNJU-KAMPALA-24h'!G5:H5</f>
        <v>MATTE</v>
      </c>
      <c r="H5" s="64"/>
      <c r="I5" s="14"/>
      <c r="J5" s="2" t="s">
        <v>5</v>
      </c>
      <c r="K5" s="63" t="str">
        <f>'17.08 BUSUNJU-KAMPALA-24h'!K5:L5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'11.08 KAMPALA-BUSUNJU'!D6:E6</f>
        <v>KAMPALA</v>
      </c>
      <c r="E6" s="64"/>
      <c r="F6" s="2" t="s">
        <v>2</v>
      </c>
      <c r="G6" s="63" t="str">
        <f>'11.08 KAMPALA-BUSUNJU'!G6:H6</f>
        <v>BUSUNJU</v>
      </c>
      <c r="H6" s="64"/>
      <c r="J6" s="2" t="s">
        <v>21</v>
      </c>
      <c r="K6" s="63" t="str">
        <f>'17.08 BUSUNJU-KAMPALA-24h'!K6:L6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</v>
      </c>
      <c r="N10" s="50">
        <v>0</v>
      </c>
      <c r="O10" s="15">
        <f t="shared" ref="O10:O73" si="0">SUM(C10:L10,N10)</f>
        <v>0</v>
      </c>
      <c r="P10" s="15">
        <f t="shared" ref="P10:P73" si="1">SUM(C10:N10)</f>
        <v>7</v>
      </c>
      <c r="R10" s="1" t="s">
        <v>6</v>
      </c>
      <c r="S10" s="17">
        <f t="shared" ref="S10:AF10" si="2">SUM(C10:C13)</f>
        <v>1</v>
      </c>
      <c r="T10" s="17">
        <f t="shared" si="2"/>
        <v>0</v>
      </c>
      <c r="U10" s="17">
        <f t="shared" si="2"/>
        <v>1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29</v>
      </c>
      <c r="AD10" s="17">
        <f t="shared" si="2"/>
        <v>0</v>
      </c>
      <c r="AE10" s="31">
        <f t="shared" si="2"/>
        <v>5</v>
      </c>
      <c r="AF10" s="31">
        <f t="shared" si="2"/>
        <v>34</v>
      </c>
    </row>
    <row r="11" spans="2:32" s="6" customFormat="1" ht="23.1" customHeight="1" x14ac:dyDescent="0.25">
      <c r="B11" s="45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2</v>
      </c>
      <c r="J11" s="50">
        <v>0</v>
      </c>
      <c r="K11" s="50">
        <v>0</v>
      </c>
      <c r="L11" s="50">
        <v>0</v>
      </c>
      <c r="M11" s="50">
        <v>8</v>
      </c>
      <c r="N11" s="50">
        <v>0</v>
      </c>
      <c r="O11" s="15">
        <f t="shared" si="0"/>
        <v>2</v>
      </c>
      <c r="P11" s="15">
        <f t="shared" si="1"/>
        <v>10</v>
      </c>
      <c r="R11" s="1" t="s">
        <v>7</v>
      </c>
      <c r="S11" s="17">
        <f t="shared" ref="S11:AF11" si="3">SUM(C14:C17)</f>
        <v>4</v>
      </c>
      <c r="T11" s="17">
        <f t="shared" si="3"/>
        <v>0</v>
      </c>
      <c r="U11" s="17">
        <f t="shared" si="3"/>
        <v>5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33</v>
      </c>
      <c r="AD11" s="17">
        <f t="shared" si="3"/>
        <v>0</v>
      </c>
      <c r="AE11" s="31">
        <f t="shared" si="3"/>
        <v>13</v>
      </c>
      <c r="AF11" s="31">
        <f t="shared" si="3"/>
        <v>46</v>
      </c>
    </row>
    <row r="12" spans="2:32" ht="23.1" customHeight="1" x14ac:dyDescent="0.25">
      <c r="B12" s="45" t="s">
        <v>39</v>
      </c>
      <c r="C12" s="50">
        <v>1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7</v>
      </c>
      <c r="N12" s="50">
        <v>0</v>
      </c>
      <c r="O12" s="15">
        <f t="shared" si="0"/>
        <v>2</v>
      </c>
      <c r="P12" s="15">
        <f t="shared" si="1"/>
        <v>9</v>
      </c>
      <c r="R12" s="1" t="s">
        <v>8</v>
      </c>
      <c r="S12" s="17">
        <f t="shared" ref="S12:AF12" si="4">SUM(C18:C21)</f>
        <v>2</v>
      </c>
      <c r="T12" s="17">
        <f t="shared" si="4"/>
        <v>0</v>
      </c>
      <c r="U12" s="17">
        <f t="shared" si="4"/>
        <v>3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53</v>
      </c>
      <c r="AD12" s="17">
        <f t="shared" si="4"/>
        <v>0</v>
      </c>
      <c r="AE12" s="31">
        <f t="shared" si="4"/>
        <v>10</v>
      </c>
      <c r="AF12" s="31">
        <f t="shared" si="4"/>
        <v>63</v>
      </c>
    </row>
    <row r="13" spans="2:32" ht="23.1" customHeight="1" x14ac:dyDescent="0.25">
      <c r="B13" s="45" t="s">
        <v>40</v>
      </c>
      <c r="C13" s="50">
        <v>0</v>
      </c>
      <c r="D13" s="50">
        <v>0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7</v>
      </c>
      <c r="N13" s="50">
        <v>0</v>
      </c>
      <c r="O13" s="15">
        <f t="shared" si="0"/>
        <v>1</v>
      </c>
      <c r="P13" s="15">
        <f t="shared" si="1"/>
        <v>8</v>
      </c>
      <c r="R13" s="1" t="s">
        <v>9</v>
      </c>
      <c r="S13" s="17">
        <f t="shared" ref="S13:AF13" si="5">SUM(C22:C25)</f>
        <v>6</v>
      </c>
      <c r="T13" s="17">
        <f t="shared" si="5"/>
        <v>0</v>
      </c>
      <c r="U13" s="17">
        <f t="shared" si="5"/>
        <v>0</v>
      </c>
      <c r="V13" s="17">
        <f t="shared" si="5"/>
        <v>1</v>
      </c>
      <c r="W13" s="17">
        <f t="shared" si="5"/>
        <v>0</v>
      </c>
      <c r="X13" s="17">
        <f t="shared" si="5"/>
        <v>0</v>
      </c>
      <c r="Y13" s="17">
        <f t="shared" si="5"/>
        <v>6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52</v>
      </c>
      <c r="AD13" s="17">
        <f t="shared" si="5"/>
        <v>0</v>
      </c>
      <c r="AE13" s="31">
        <f t="shared" si="5"/>
        <v>13</v>
      </c>
      <c r="AF13" s="31">
        <f t="shared" si="5"/>
        <v>65</v>
      </c>
    </row>
    <row r="14" spans="2:32" ht="23.1" customHeight="1" x14ac:dyDescent="0.25">
      <c r="B14" s="45" t="s">
        <v>41</v>
      </c>
      <c r="C14" s="50">
        <v>1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0</v>
      </c>
      <c r="M14" s="50">
        <v>9</v>
      </c>
      <c r="N14" s="50">
        <v>0</v>
      </c>
      <c r="O14" s="15">
        <f t="shared" si="0"/>
        <v>2</v>
      </c>
      <c r="P14" s="15">
        <f t="shared" si="1"/>
        <v>11</v>
      </c>
      <c r="R14" s="1" t="s">
        <v>10</v>
      </c>
      <c r="S14" s="17">
        <f t="shared" ref="S14:AF14" si="6">SUM(C26:C29)</f>
        <v>3</v>
      </c>
      <c r="T14" s="17">
        <f t="shared" si="6"/>
        <v>0</v>
      </c>
      <c r="U14" s="17">
        <f t="shared" si="6"/>
        <v>2</v>
      </c>
      <c r="V14" s="17">
        <f t="shared" si="6"/>
        <v>2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</v>
      </c>
      <c r="AA14" s="17">
        <f t="shared" si="6"/>
        <v>0</v>
      </c>
      <c r="AB14" s="17">
        <f t="shared" si="6"/>
        <v>0</v>
      </c>
      <c r="AC14" s="17">
        <f t="shared" si="6"/>
        <v>61</v>
      </c>
      <c r="AD14" s="17">
        <f t="shared" si="6"/>
        <v>0</v>
      </c>
      <c r="AE14" s="31">
        <f t="shared" si="6"/>
        <v>11</v>
      </c>
      <c r="AF14" s="31">
        <f t="shared" si="6"/>
        <v>72</v>
      </c>
    </row>
    <row r="15" spans="2:32" ht="23.1" customHeight="1" x14ac:dyDescent="0.25">
      <c r="B15" s="45" t="s">
        <v>42</v>
      </c>
      <c r="C15" s="50">
        <v>2</v>
      </c>
      <c r="D15" s="50">
        <v>0</v>
      </c>
      <c r="E15" s="50">
        <v>1</v>
      </c>
      <c r="F15" s="50">
        <v>0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12</v>
      </c>
      <c r="N15" s="50">
        <v>0</v>
      </c>
      <c r="O15" s="15">
        <f t="shared" si="0"/>
        <v>4</v>
      </c>
      <c r="P15" s="15">
        <f t="shared" si="1"/>
        <v>16</v>
      </c>
      <c r="R15" s="1" t="s">
        <v>11</v>
      </c>
      <c r="S15" s="17">
        <f t="shared" ref="S15:AF15" si="7">SUM(C30:C33)</f>
        <v>8</v>
      </c>
      <c r="T15" s="17">
        <f t="shared" si="7"/>
        <v>0</v>
      </c>
      <c r="U15" s="17">
        <f t="shared" si="7"/>
        <v>5</v>
      </c>
      <c r="V15" s="17">
        <f t="shared" si="7"/>
        <v>1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44</v>
      </c>
      <c r="AD15" s="17">
        <f t="shared" si="7"/>
        <v>0</v>
      </c>
      <c r="AE15" s="31">
        <f t="shared" si="7"/>
        <v>21</v>
      </c>
      <c r="AF15" s="31">
        <f t="shared" si="7"/>
        <v>65</v>
      </c>
    </row>
    <row r="16" spans="2:32" ht="23.1" customHeight="1" x14ac:dyDescent="0.25">
      <c r="B16" s="45" t="s">
        <v>43</v>
      </c>
      <c r="C16" s="50">
        <v>0</v>
      </c>
      <c r="D16" s="50">
        <v>0</v>
      </c>
      <c r="E16" s="50">
        <v>3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8</v>
      </c>
      <c r="N16" s="50">
        <v>0</v>
      </c>
      <c r="O16" s="15">
        <f t="shared" si="0"/>
        <v>3</v>
      </c>
      <c r="P16" s="15">
        <f t="shared" si="1"/>
        <v>11</v>
      </c>
      <c r="R16" s="1" t="s">
        <v>12</v>
      </c>
      <c r="S16" s="17">
        <f t="shared" ref="S16:AF16" si="8">SUM(C34:C37)</f>
        <v>0</v>
      </c>
      <c r="T16" s="17">
        <f t="shared" si="8"/>
        <v>0</v>
      </c>
      <c r="U16" s="17">
        <f t="shared" si="8"/>
        <v>1</v>
      </c>
      <c r="V16" s="17">
        <f t="shared" si="8"/>
        <v>0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65</v>
      </c>
      <c r="AD16" s="17">
        <f t="shared" si="8"/>
        <v>0</v>
      </c>
      <c r="AE16" s="31">
        <f t="shared" si="8"/>
        <v>4</v>
      </c>
      <c r="AF16" s="31">
        <f t="shared" si="8"/>
        <v>69</v>
      </c>
    </row>
    <row r="17" spans="2:32" ht="23.1" customHeight="1" x14ac:dyDescent="0.25">
      <c r="B17" s="45" t="s">
        <v>44</v>
      </c>
      <c r="C17" s="50">
        <v>1</v>
      </c>
      <c r="D17" s="50">
        <v>0</v>
      </c>
      <c r="E17" s="50">
        <v>1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4</v>
      </c>
      <c r="N17" s="50">
        <v>0</v>
      </c>
      <c r="O17" s="15">
        <f t="shared" si="0"/>
        <v>4</v>
      </c>
      <c r="P17" s="15">
        <f t="shared" si="1"/>
        <v>8</v>
      </c>
      <c r="R17" s="1" t="s">
        <v>13</v>
      </c>
      <c r="S17" s="17">
        <f t="shared" ref="S17:AF17" si="9">SUM(C38:C41)</f>
        <v>4</v>
      </c>
      <c r="T17" s="17">
        <f t="shared" si="9"/>
        <v>0</v>
      </c>
      <c r="U17" s="17">
        <f t="shared" si="9"/>
        <v>3</v>
      </c>
      <c r="V17" s="17">
        <f t="shared" si="9"/>
        <v>0</v>
      </c>
      <c r="W17" s="17">
        <f t="shared" si="9"/>
        <v>0</v>
      </c>
      <c r="X17" s="17">
        <f t="shared" si="9"/>
        <v>0</v>
      </c>
      <c r="Y17" s="17">
        <f t="shared" si="9"/>
        <v>8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51</v>
      </c>
      <c r="AD17" s="17">
        <f t="shared" si="9"/>
        <v>0</v>
      </c>
      <c r="AE17" s="31">
        <f t="shared" si="9"/>
        <v>15</v>
      </c>
      <c r="AF17" s="31">
        <f t="shared" si="9"/>
        <v>66</v>
      </c>
    </row>
    <row r="18" spans="2:32" ht="23.1" customHeight="1" x14ac:dyDescent="0.25">
      <c r="B18" s="45" t="s">
        <v>45</v>
      </c>
      <c r="C18" s="50">
        <v>1</v>
      </c>
      <c r="D18" s="50">
        <v>0</v>
      </c>
      <c r="E18" s="50">
        <v>1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13</v>
      </c>
      <c r="N18" s="50">
        <v>0</v>
      </c>
      <c r="O18" s="15">
        <f t="shared" si="0"/>
        <v>2</v>
      </c>
      <c r="P18" s="15">
        <f t="shared" si="1"/>
        <v>15</v>
      </c>
      <c r="R18" s="1" t="s">
        <v>14</v>
      </c>
      <c r="S18" s="17">
        <f t="shared" ref="S18:AF18" si="10">SUM(C42:C45)</f>
        <v>3</v>
      </c>
      <c r="T18" s="17">
        <f t="shared" si="10"/>
        <v>0</v>
      </c>
      <c r="U18" s="17">
        <f t="shared" si="10"/>
        <v>3</v>
      </c>
      <c r="V18" s="17">
        <f t="shared" si="10"/>
        <v>4</v>
      </c>
      <c r="W18" s="17">
        <f t="shared" si="10"/>
        <v>0</v>
      </c>
      <c r="X18" s="17">
        <f t="shared" si="10"/>
        <v>0</v>
      </c>
      <c r="Y18" s="17">
        <f t="shared" si="10"/>
        <v>3</v>
      </c>
      <c r="Z18" s="17">
        <f t="shared" si="10"/>
        <v>1</v>
      </c>
      <c r="AA18" s="17">
        <f t="shared" si="10"/>
        <v>0</v>
      </c>
      <c r="AB18" s="17">
        <f t="shared" si="10"/>
        <v>0</v>
      </c>
      <c r="AC18" s="17">
        <f t="shared" si="10"/>
        <v>40</v>
      </c>
      <c r="AD18" s="17">
        <f t="shared" si="10"/>
        <v>0</v>
      </c>
      <c r="AE18" s="31">
        <f t="shared" si="10"/>
        <v>14</v>
      </c>
      <c r="AF18" s="31">
        <f t="shared" si="10"/>
        <v>54</v>
      </c>
    </row>
    <row r="19" spans="2:32" ht="23.1" customHeight="1" x14ac:dyDescent="0.25">
      <c r="B19" s="45" t="s">
        <v>46</v>
      </c>
      <c r="C19" s="50">
        <v>1</v>
      </c>
      <c r="D19" s="50">
        <v>0</v>
      </c>
      <c r="E19" s="50">
        <v>1</v>
      </c>
      <c r="F19" s="50">
        <v>0</v>
      </c>
      <c r="G19" s="50">
        <v>0</v>
      </c>
      <c r="H19" s="50">
        <v>0</v>
      </c>
      <c r="I19" s="50">
        <v>3</v>
      </c>
      <c r="J19" s="50">
        <v>0</v>
      </c>
      <c r="K19" s="50">
        <v>0</v>
      </c>
      <c r="L19" s="50">
        <v>0</v>
      </c>
      <c r="M19" s="50">
        <v>11</v>
      </c>
      <c r="N19" s="50">
        <v>0</v>
      </c>
      <c r="O19" s="15">
        <f t="shared" si="0"/>
        <v>5</v>
      </c>
      <c r="P19" s="15">
        <f t="shared" si="1"/>
        <v>16</v>
      </c>
      <c r="R19" s="1" t="s">
        <v>15</v>
      </c>
      <c r="S19" s="17">
        <f t="shared" ref="S19:AF19" si="11">SUM(C46:C49)</f>
        <v>6</v>
      </c>
      <c r="T19" s="17">
        <f t="shared" si="11"/>
        <v>0</v>
      </c>
      <c r="U19" s="17">
        <f t="shared" si="11"/>
        <v>7</v>
      </c>
      <c r="V19" s="17">
        <f t="shared" si="11"/>
        <v>1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</v>
      </c>
      <c r="AA19" s="17">
        <f t="shared" si="11"/>
        <v>0</v>
      </c>
      <c r="AB19" s="17">
        <f t="shared" si="11"/>
        <v>0</v>
      </c>
      <c r="AC19" s="17">
        <f t="shared" si="11"/>
        <v>66</v>
      </c>
      <c r="AD19" s="17">
        <f t="shared" si="11"/>
        <v>0</v>
      </c>
      <c r="AE19" s="31">
        <f t="shared" si="11"/>
        <v>18</v>
      </c>
      <c r="AF19" s="31">
        <f t="shared" si="11"/>
        <v>84</v>
      </c>
    </row>
    <row r="20" spans="2:32" ht="23.1" customHeight="1" x14ac:dyDescent="0.25">
      <c r="B20" s="45" t="s">
        <v>47</v>
      </c>
      <c r="C20" s="50">
        <v>0</v>
      </c>
      <c r="D20" s="50">
        <v>0</v>
      </c>
      <c r="E20" s="50">
        <v>1</v>
      </c>
      <c r="F20" s="50">
        <v>1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12</v>
      </c>
      <c r="N20" s="50">
        <v>0</v>
      </c>
      <c r="O20" s="15">
        <f t="shared" si="0"/>
        <v>2</v>
      </c>
      <c r="P20" s="15">
        <f t="shared" si="1"/>
        <v>14</v>
      </c>
      <c r="R20" s="1" t="s">
        <v>16</v>
      </c>
      <c r="S20" s="17">
        <f t="shared" ref="S20:AF20" si="12">SUM(C50:C53)</f>
        <v>6</v>
      </c>
      <c r="T20" s="17">
        <f t="shared" si="12"/>
        <v>0</v>
      </c>
      <c r="U20" s="17">
        <f t="shared" si="12"/>
        <v>4</v>
      </c>
      <c r="V20" s="17">
        <f t="shared" si="12"/>
        <v>2</v>
      </c>
      <c r="W20" s="17">
        <f t="shared" si="12"/>
        <v>0</v>
      </c>
      <c r="X20" s="17">
        <f t="shared" si="12"/>
        <v>0</v>
      </c>
      <c r="Y20" s="17">
        <f t="shared" si="12"/>
        <v>6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64</v>
      </c>
      <c r="AD20" s="17">
        <f t="shared" si="12"/>
        <v>0</v>
      </c>
      <c r="AE20" s="31">
        <f t="shared" si="12"/>
        <v>18</v>
      </c>
      <c r="AF20" s="31">
        <f t="shared" si="12"/>
        <v>82</v>
      </c>
    </row>
    <row r="21" spans="2:32" ht="23.1" customHeight="1" x14ac:dyDescent="0.25">
      <c r="B21" s="45" t="s">
        <v>48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0</v>
      </c>
      <c r="M21" s="50">
        <v>17</v>
      </c>
      <c r="N21" s="50">
        <v>0</v>
      </c>
      <c r="O21" s="15">
        <f t="shared" si="0"/>
        <v>1</v>
      </c>
      <c r="P21" s="15">
        <f t="shared" si="1"/>
        <v>18</v>
      </c>
      <c r="R21" s="36" t="s">
        <v>20</v>
      </c>
      <c r="S21" s="34">
        <f t="shared" ref="S21:AF21" si="13">SUM(C54:C57)</f>
        <v>6</v>
      </c>
      <c r="T21" s="17">
        <f t="shared" si="13"/>
        <v>0</v>
      </c>
      <c r="U21" s="17">
        <f t="shared" si="13"/>
        <v>4</v>
      </c>
      <c r="V21" s="17">
        <f t="shared" si="13"/>
        <v>1</v>
      </c>
      <c r="W21" s="17">
        <f t="shared" si="13"/>
        <v>0</v>
      </c>
      <c r="X21" s="17">
        <f t="shared" si="13"/>
        <v>0</v>
      </c>
      <c r="Y21" s="17">
        <f t="shared" si="13"/>
        <v>4</v>
      </c>
      <c r="Z21" s="17">
        <f t="shared" si="13"/>
        <v>0</v>
      </c>
      <c r="AA21" s="17">
        <f t="shared" si="13"/>
        <v>0</v>
      </c>
      <c r="AB21" s="17">
        <f t="shared" si="13"/>
        <v>0</v>
      </c>
      <c r="AC21" s="17">
        <f t="shared" si="13"/>
        <v>55</v>
      </c>
      <c r="AD21" s="17">
        <f t="shared" si="13"/>
        <v>0</v>
      </c>
      <c r="AE21" s="31">
        <f t="shared" si="13"/>
        <v>15</v>
      </c>
      <c r="AF21" s="31">
        <f t="shared" si="13"/>
        <v>70</v>
      </c>
    </row>
    <row r="22" spans="2:32" ht="23.1" customHeight="1" x14ac:dyDescent="0.25">
      <c r="B22" s="45" t="s">
        <v>49</v>
      </c>
      <c r="C22" s="50">
        <v>1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3</v>
      </c>
      <c r="J22" s="50">
        <v>0</v>
      </c>
      <c r="K22" s="50">
        <v>0</v>
      </c>
      <c r="L22" s="50">
        <v>0</v>
      </c>
      <c r="M22" s="50">
        <v>10</v>
      </c>
      <c r="N22" s="50">
        <v>0</v>
      </c>
      <c r="O22" s="15">
        <f t="shared" si="0"/>
        <v>4</v>
      </c>
      <c r="P22" s="15">
        <f t="shared" si="1"/>
        <v>14</v>
      </c>
      <c r="R22" s="36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23</v>
      </c>
      <c r="AD22" s="34">
        <f t="shared" si="14"/>
        <v>0</v>
      </c>
      <c r="AE22" s="31">
        <f t="shared" si="14"/>
        <v>3</v>
      </c>
      <c r="AF22" s="31">
        <f t="shared" si="14"/>
        <v>26</v>
      </c>
    </row>
    <row r="23" spans="2:32" ht="23.1" customHeight="1" x14ac:dyDescent="0.25">
      <c r="B23" s="45" t="s">
        <v>50</v>
      </c>
      <c r="C23" s="50">
        <v>2</v>
      </c>
      <c r="D23" s="50">
        <v>0</v>
      </c>
      <c r="E23" s="50">
        <v>0</v>
      </c>
      <c r="F23" s="50">
        <v>1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17</v>
      </c>
      <c r="N23" s="50">
        <v>0</v>
      </c>
      <c r="O23" s="15">
        <f t="shared" si="0"/>
        <v>4</v>
      </c>
      <c r="P23" s="15">
        <f t="shared" si="1"/>
        <v>21</v>
      </c>
      <c r="R23" s="36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28</v>
      </c>
      <c r="AD23" s="34">
        <f t="shared" si="15"/>
        <v>0</v>
      </c>
      <c r="AE23" s="31">
        <f t="shared" si="15"/>
        <v>3</v>
      </c>
      <c r="AF23" s="31">
        <f t="shared" si="15"/>
        <v>31</v>
      </c>
    </row>
    <row r="24" spans="2:32" ht="23.1" customHeight="1" x14ac:dyDescent="0.25">
      <c r="B24" s="45" t="s">
        <v>51</v>
      </c>
      <c r="C24" s="50">
        <v>3</v>
      </c>
      <c r="D24" s="50">
        <v>0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10</v>
      </c>
      <c r="N24" s="50">
        <v>0</v>
      </c>
      <c r="O24" s="15">
        <f t="shared" si="0"/>
        <v>3</v>
      </c>
      <c r="P24" s="15">
        <f t="shared" si="1"/>
        <v>13</v>
      </c>
      <c r="R24" s="36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31</v>
      </c>
      <c r="AD24" s="34">
        <f t="shared" si="16"/>
        <v>0</v>
      </c>
      <c r="AE24" s="31">
        <f t="shared" si="16"/>
        <v>4</v>
      </c>
      <c r="AF24" s="31">
        <f t="shared" si="16"/>
        <v>35</v>
      </c>
    </row>
    <row r="25" spans="2:32" ht="23.1" customHeight="1" x14ac:dyDescent="0.25">
      <c r="B25" s="45" t="s">
        <v>52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0</v>
      </c>
      <c r="I25" s="50">
        <v>2</v>
      </c>
      <c r="J25" s="50">
        <v>0</v>
      </c>
      <c r="K25" s="50">
        <v>0</v>
      </c>
      <c r="L25" s="50">
        <v>0</v>
      </c>
      <c r="M25" s="50">
        <v>15</v>
      </c>
      <c r="N25" s="50">
        <v>0</v>
      </c>
      <c r="O25" s="15">
        <f t="shared" si="0"/>
        <v>2</v>
      </c>
      <c r="P25" s="15">
        <f t="shared" si="1"/>
        <v>17</v>
      </c>
      <c r="R25" s="36" t="s">
        <v>149</v>
      </c>
      <c r="S25" s="34">
        <f>SUM(C70:C73)</f>
        <v>2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26</v>
      </c>
      <c r="AD25" s="34">
        <f t="shared" si="17"/>
        <v>0</v>
      </c>
      <c r="AE25" s="31">
        <f t="shared" si="17"/>
        <v>8</v>
      </c>
      <c r="AF25" s="31">
        <f t="shared" si="17"/>
        <v>34</v>
      </c>
    </row>
    <row r="26" spans="2:32" ht="23.1" customHeight="1" x14ac:dyDescent="0.25">
      <c r="B26" s="45" t="s">
        <v>53</v>
      </c>
      <c r="C26" s="50">
        <v>0</v>
      </c>
      <c r="D26" s="50">
        <v>0</v>
      </c>
      <c r="E26" s="50">
        <v>1</v>
      </c>
      <c r="F26" s="50">
        <v>1</v>
      </c>
      <c r="G26" s="50">
        <v>0</v>
      </c>
      <c r="H26" s="50">
        <v>0</v>
      </c>
      <c r="I26" s="50">
        <v>1</v>
      </c>
      <c r="J26" s="50">
        <v>0</v>
      </c>
      <c r="K26" s="50">
        <v>0</v>
      </c>
      <c r="L26" s="50">
        <v>0</v>
      </c>
      <c r="M26" s="50">
        <v>14</v>
      </c>
      <c r="N26" s="50">
        <v>0</v>
      </c>
      <c r="O26" s="15">
        <f t="shared" si="0"/>
        <v>3</v>
      </c>
      <c r="P26" s="15">
        <f t="shared" si="1"/>
        <v>17</v>
      </c>
      <c r="R26" s="36" t="s">
        <v>150</v>
      </c>
      <c r="S26" s="34">
        <f>SUM(C74:C77)</f>
        <v>4</v>
      </c>
      <c r="T26" s="34">
        <f t="shared" ref="T26:AF26" si="18">SUM(D74:D77)</f>
        <v>0</v>
      </c>
      <c r="U26" s="34">
        <f t="shared" si="18"/>
        <v>4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25</v>
      </c>
      <c r="AD26" s="34">
        <f t="shared" si="18"/>
        <v>0</v>
      </c>
      <c r="AE26" s="31">
        <f t="shared" si="18"/>
        <v>11</v>
      </c>
      <c r="AF26" s="31">
        <f t="shared" si="18"/>
        <v>36</v>
      </c>
    </row>
    <row r="27" spans="2:32" ht="23.1" customHeight="1" x14ac:dyDescent="0.25">
      <c r="B27" s="45" t="s">
        <v>54</v>
      </c>
      <c r="C27" s="50">
        <v>2</v>
      </c>
      <c r="D27" s="50">
        <v>0</v>
      </c>
      <c r="E27" s="50">
        <v>0</v>
      </c>
      <c r="F27" s="50">
        <v>1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18</v>
      </c>
      <c r="N27" s="50">
        <v>0</v>
      </c>
      <c r="O27" s="15">
        <f t="shared" si="0"/>
        <v>3</v>
      </c>
      <c r="P27" s="15">
        <f t="shared" si="1"/>
        <v>21</v>
      </c>
      <c r="R27" s="36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2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19</v>
      </c>
      <c r="AD27" s="34">
        <f t="shared" si="19"/>
        <v>0</v>
      </c>
      <c r="AE27" s="31">
        <f t="shared" si="19"/>
        <v>5</v>
      </c>
      <c r="AF27" s="31">
        <f t="shared" si="19"/>
        <v>24</v>
      </c>
    </row>
    <row r="28" spans="2:32" ht="23.1" customHeight="1" x14ac:dyDescent="0.25">
      <c r="B28" s="45" t="s">
        <v>55</v>
      </c>
      <c r="C28" s="50">
        <v>1</v>
      </c>
      <c r="D28" s="50">
        <v>0</v>
      </c>
      <c r="E28" s="50">
        <v>1</v>
      </c>
      <c r="F28" s="50">
        <v>0</v>
      </c>
      <c r="G28" s="50">
        <v>0</v>
      </c>
      <c r="H28" s="50">
        <v>0</v>
      </c>
      <c r="I28" s="50">
        <v>2</v>
      </c>
      <c r="J28" s="50">
        <v>0</v>
      </c>
      <c r="K28" s="50">
        <v>0</v>
      </c>
      <c r="L28" s="50">
        <v>0</v>
      </c>
      <c r="M28" s="50">
        <v>14</v>
      </c>
      <c r="N28" s="50">
        <v>0</v>
      </c>
      <c r="O28" s="15">
        <f t="shared" si="0"/>
        <v>4</v>
      </c>
      <c r="P28" s="15">
        <f t="shared" si="1"/>
        <v>18</v>
      </c>
      <c r="R28" s="36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16</v>
      </c>
      <c r="AD28" s="34">
        <f t="shared" si="20"/>
        <v>0</v>
      </c>
      <c r="AE28" s="31">
        <f t="shared" si="20"/>
        <v>4</v>
      </c>
      <c r="AF28" s="31">
        <f t="shared" si="20"/>
        <v>20</v>
      </c>
    </row>
    <row r="29" spans="2:32" ht="23.1" customHeight="1" x14ac:dyDescent="0.25">
      <c r="B29" s="45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15</v>
      </c>
      <c r="N29" s="50">
        <v>0</v>
      </c>
      <c r="O29" s="15">
        <f t="shared" si="0"/>
        <v>1</v>
      </c>
      <c r="P29" s="15">
        <f t="shared" si="1"/>
        <v>16</v>
      </c>
      <c r="R29" s="36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17</v>
      </c>
      <c r="AD29" s="34">
        <f t="shared" si="21"/>
        <v>0</v>
      </c>
      <c r="AE29" s="31">
        <f t="shared" si="21"/>
        <v>3</v>
      </c>
      <c r="AF29" s="31">
        <f t="shared" si="21"/>
        <v>20</v>
      </c>
    </row>
    <row r="30" spans="2:32" ht="23.1" customHeight="1" x14ac:dyDescent="0.25">
      <c r="B30" s="45" t="s">
        <v>57</v>
      </c>
      <c r="C30" s="50">
        <v>3</v>
      </c>
      <c r="D30" s="50">
        <v>0</v>
      </c>
      <c r="E30" s="50">
        <v>1</v>
      </c>
      <c r="F30" s="50">
        <v>0</v>
      </c>
      <c r="G30" s="50">
        <v>0</v>
      </c>
      <c r="H30" s="50">
        <v>0</v>
      </c>
      <c r="I30" s="50">
        <v>2</v>
      </c>
      <c r="J30" s="50">
        <v>0</v>
      </c>
      <c r="K30" s="50">
        <v>0</v>
      </c>
      <c r="L30" s="50">
        <v>0</v>
      </c>
      <c r="M30" s="50">
        <v>13</v>
      </c>
      <c r="N30" s="50">
        <v>0</v>
      </c>
      <c r="O30" s="15">
        <f t="shared" si="0"/>
        <v>6</v>
      </c>
      <c r="P30" s="15">
        <f t="shared" si="1"/>
        <v>19</v>
      </c>
      <c r="R30" s="36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7</v>
      </c>
      <c r="AD30" s="34">
        <f t="shared" si="22"/>
        <v>0</v>
      </c>
      <c r="AE30" s="31">
        <f t="shared" si="22"/>
        <v>0</v>
      </c>
      <c r="AF30" s="31">
        <f t="shared" si="22"/>
        <v>7</v>
      </c>
    </row>
    <row r="31" spans="2:32" ht="23.1" customHeight="1" x14ac:dyDescent="0.25">
      <c r="B31" s="46" t="s">
        <v>58</v>
      </c>
      <c r="C31" s="50">
        <v>2</v>
      </c>
      <c r="D31" s="50">
        <v>0</v>
      </c>
      <c r="E31" s="50">
        <v>0</v>
      </c>
      <c r="F31" s="50">
        <v>1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11</v>
      </c>
      <c r="N31" s="50">
        <v>0</v>
      </c>
      <c r="O31" s="15">
        <f t="shared" si="0"/>
        <v>3</v>
      </c>
      <c r="P31" s="15">
        <f t="shared" si="1"/>
        <v>14</v>
      </c>
      <c r="R31" s="36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12</v>
      </c>
      <c r="AD31" s="34">
        <f t="shared" si="23"/>
        <v>0</v>
      </c>
      <c r="AE31" s="31">
        <f t="shared" si="23"/>
        <v>3</v>
      </c>
      <c r="AF31" s="31">
        <f t="shared" si="23"/>
        <v>15</v>
      </c>
    </row>
    <row r="32" spans="2:32" ht="23.1" customHeight="1" x14ac:dyDescent="0.25">
      <c r="B32" s="46" t="s">
        <v>59</v>
      </c>
      <c r="C32" s="50">
        <v>2</v>
      </c>
      <c r="D32" s="50">
        <v>0</v>
      </c>
      <c r="E32" s="50">
        <v>3</v>
      </c>
      <c r="F32" s="50">
        <v>0</v>
      </c>
      <c r="G32" s="50">
        <v>0</v>
      </c>
      <c r="H32" s="50">
        <v>0</v>
      </c>
      <c r="I32" s="50">
        <v>3</v>
      </c>
      <c r="J32" s="50">
        <v>1</v>
      </c>
      <c r="K32" s="50">
        <v>0</v>
      </c>
      <c r="L32" s="50">
        <v>0</v>
      </c>
      <c r="M32" s="50">
        <v>10</v>
      </c>
      <c r="N32" s="50">
        <v>0</v>
      </c>
      <c r="O32" s="15">
        <f t="shared" si="0"/>
        <v>9</v>
      </c>
      <c r="P32" s="15">
        <f t="shared" si="1"/>
        <v>19</v>
      </c>
      <c r="R32" s="33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3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34</v>
      </c>
      <c r="AD32" s="34">
        <f t="shared" si="24"/>
        <v>0</v>
      </c>
      <c r="AE32" s="31">
        <f t="shared" si="24"/>
        <v>12</v>
      </c>
      <c r="AF32" s="31">
        <f t="shared" si="24"/>
        <v>46</v>
      </c>
    </row>
    <row r="33" spans="2:32" ht="23.1" customHeight="1" x14ac:dyDescent="0.25">
      <c r="B33" s="45" t="s">
        <v>60</v>
      </c>
      <c r="C33" s="50">
        <v>1</v>
      </c>
      <c r="D33" s="50">
        <v>0</v>
      </c>
      <c r="E33" s="50">
        <v>1</v>
      </c>
      <c r="F33" s="50">
        <v>0</v>
      </c>
      <c r="G33" s="50">
        <v>0</v>
      </c>
      <c r="H33" s="50">
        <v>0</v>
      </c>
      <c r="I33" s="50">
        <v>1</v>
      </c>
      <c r="J33" s="50">
        <v>0</v>
      </c>
      <c r="K33" s="50">
        <v>0</v>
      </c>
      <c r="L33" s="50">
        <v>0</v>
      </c>
      <c r="M33" s="50">
        <v>10</v>
      </c>
      <c r="N33" s="50">
        <v>0</v>
      </c>
      <c r="O33" s="15">
        <f t="shared" si="0"/>
        <v>3</v>
      </c>
      <c r="P33" s="15">
        <f t="shared" si="1"/>
        <v>13</v>
      </c>
      <c r="R33" s="33" t="s">
        <v>157</v>
      </c>
      <c r="S33" s="34">
        <f>SUM(C102:C105)</f>
        <v>4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34</v>
      </c>
      <c r="AD33" s="34">
        <f t="shared" si="25"/>
        <v>0</v>
      </c>
      <c r="AE33" s="31">
        <f t="shared" si="25"/>
        <v>8</v>
      </c>
      <c r="AF33" s="31">
        <f t="shared" si="25"/>
        <v>42</v>
      </c>
    </row>
    <row r="34" spans="2:32" ht="23.1" customHeight="1" x14ac:dyDescent="0.25">
      <c r="B34" s="46" t="s">
        <v>61</v>
      </c>
      <c r="C34" s="50">
        <v>0</v>
      </c>
      <c r="D34" s="50">
        <v>0</v>
      </c>
      <c r="E34" s="50">
        <v>0</v>
      </c>
      <c r="F34" s="50">
        <v>0</v>
      </c>
      <c r="G34" s="50">
        <v>0</v>
      </c>
      <c r="H34" s="50">
        <v>0</v>
      </c>
      <c r="I34" s="50">
        <v>0</v>
      </c>
      <c r="J34" s="50">
        <v>0</v>
      </c>
      <c r="K34" s="50">
        <v>0</v>
      </c>
      <c r="L34" s="50">
        <v>0</v>
      </c>
      <c r="M34" s="50">
        <v>23</v>
      </c>
      <c r="N34" s="50">
        <v>0</v>
      </c>
      <c r="O34" s="15">
        <f t="shared" si="0"/>
        <v>0</v>
      </c>
      <c r="P34" s="15">
        <f t="shared" si="1"/>
        <v>23</v>
      </c>
      <c r="R34" s="38" t="s">
        <v>90</v>
      </c>
      <c r="S34" s="39">
        <f t="shared" ref="S34:AF34" si="26">MAX(S10:S12)</f>
        <v>4</v>
      </c>
      <c r="T34" s="39">
        <f t="shared" si="26"/>
        <v>0</v>
      </c>
      <c r="U34" s="39">
        <f t="shared" si="26"/>
        <v>5</v>
      </c>
      <c r="V34" s="39">
        <f t="shared" si="26"/>
        <v>1</v>
      </c>
      <c r="W34" s="39">
        <f t="shared" si="26"/>
        <v>0</v>
      </c>
      <c r="X34" s="39">
        <f t="shared" si="26"/>
        <v>0</v>
      </c>
      <c r="Y34" s="39">
        <f t="shared" si="26"/>
        <v>4</v>
      </c>
      <c r="Z34" s="39">
        <f t="shared" si="26"/>
        <v>0</v>
      </c>
      <c r="AA34" s="39">
        <f t="shared" si="26"/>
        <v>0</v>
      </c>
      <c r="AB34" s="39">
        <f t="shared" si="26"/>
        <v>0</v>
      </c>
      <c r="AC34" s="39">
        <f t="shared" si="26"/>
        <v>53</v>
      </c>
      <c r="AD34" s="39">
        <f t="shared" si="26"/>
        <v>0</v>
      </c>
      <c r="AE34" s="40">
        <f t="shared" si="26"/>
        <v>13</v>
      </c>
      <c r="AF34" s="40">
        <f t="shared" si="26"/>
        <v>63</v>
      </c>
    </row>
    <row r="35" spans="2:32" ht="23.1" customHeight="1" x14ac:dyDescent="0.25">
      <c r="B35" s="46" t="s">
        <v>62</v>
      </c>
      <c r="C35" s="50">
        <v>0</v>
      </c>
      <c r="D35" s="50">
        <v>0</v>
      </c>
      <c r="E35" s="50">
        <v>0</v>
      </c>
      <c r="F35" s="50">
        <v>0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14</v>
      </c>
      <c r="N35" s="50">
        <v>0</v>
      </c>
      <c r="O35" s="15">
        <f t="shared" si="0"/>
        <v>1</v>
      </c>
      <c r="P35" s="15">
        <f t="shared" si="1"/>
        <v>15</v>
      </c>
      <c r="R35" s="38" t="s">
        <v>91</v>
      </c>
      <c r="S35" s="39">
        <f t="shared" ref="S35:AF35" si="27">MAX(S13:S18)</f>
        <v>8</v>
      </c>
      <c r="T35" s="39">
        <f t="shared" si="27"/>
        <v>0</v>
      </c>
      <c r="U35" s="39">
        <f t="shared" si="27"/>
        <v>5</v>
      </c>
      <c r="V35" s="39">
        <f t="shared" si="27"/>
        <v>4</v>
      </c>
      <c r="W35" s="39">
        <f t="shared" si="27"/>
        <v>0</v>
      </c>
      <c r="X35" s="39">
        <f t="shared" si="27"/>
        <v>0</v>
      </c>
      <c r="Y35" s="39">
        <f t="shared" si="27"/>
        <v>8</v>
      </c>
      <c r="Z35" s="39">
        <f t="shared" si="27"/>
        <v>1</v>
      </c>
      <c r="AA35" s="39">
        <f t="shared" si="27"/>
        <v>0</v>
      </c>
      <c r="AB35" s="39">
        <f t="shared" si="27"/>
        <v>0</v>
      </c>
      <c r="AC35" s="39">
        <f t="shared" si="27"/>
        <v>65</v>
      </c>
      <c r="AD35" s="39">
        <f t="shared" si="27"/>
        <v>0</v>
      </c>
      <c r="AE35" s="40">
        <f t="shared" si="27"/>
        <v>21</v>
      </c>
      <c r="AF35" s="40">
        <f t="shared" si="27"/>
        <v>72</v>
      </c>
    </row>
    <row r="36" spans="2:32" ht="23.1" customHeight="1" x14ac:dyDescent="0.25">
      <c r="B36" s="46" t="s">
        <v>63</v>
      </c>
      <c r="C36" s="50">
        <v>0</v>
      </c>
      <c r="D36" s="50">
        <v>0</v>
      </c>
      <c r="E36" s="50">
        <v>0</v>
      </c>
      <c r="F36" s="50">
        <v>0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8</v>
      </c>
      <c r="N36" s="50">
        <v>0</v>
      </c>
      <c r="O36" s="15">
        <f t="shared" si="0"/>
        <v>2</v>
      </c>
      <c r="P36" s="15">
        <f t="shared" si="1"/>
        <v>10</v>
      </c>
      <c r="R36" s="38" t="s">
        <v>92</v>
      </c>
      <c r="S36" s="39">
        <f t="shared" ref="S36:AF36" si="28">MAX(S19:S21)</f>
        <v>6</v>
      </c>
      <c r="T36" s="39">
        <f t="shared" si="28"/>
        <v>0</v>
      </c>
      <c r="U36" s="39">
        <f t="shared" si="28"/>
        <v>7</v>
      </c>
      <c r="V36" s="39">
        <f t="shared" si="28"/>
        <v>2</v>
      </c>
      <c r="W36" s="39">
        <f t="shared" si="28"/>
        <v>0</v>
      </c>
      <c r="X36" s="39">
        <f t="shared" si="28"/>
        <v>0</v>
      </c>
      <c r="Y36" s="39">
        <f t="shared" si="28"/>
        <v>6</v>
      </c>
      <c r="Z36" s="39">
        <f t="shared" si="28"/>
        <v>0</v>
      </c>
      <c r="AA36" s="39">
        <f t="shared" si="28"/>
        <v>0</v>
      </c>
      <c r="AB36" s="39">
        <f t="shared" si="28"/>
        <v>0</v>
      </c>
      <c r="AC36" s="39">
        <f t="shared" si="28"/>
        <v>66</v>
      </c>
      <c r="AD36" s="39">
        <f t="shared" si="28"/>
        <v>0</v>
      </c>
      <c r="AE36" s="40">
        <f t="shared" si="28"/>
        <v>18</v>
      </c>
      <c r="AF36" s="40">
        <f t="shared" si="28"/>
        <v>84</v>
      </c>
    </row>
    <row r="37" spans="2:32" ht="23.1" customHeight="1" x14ac:dyDescent="0.25">
      <c r="B37" s="45" t="s">
        <v>64</v>
      </c>
      <c r="C37" s="50">
        <v>0</v>
      </c>
      <c r="D37" s="50">
        <v>0</v>
      </c>
      <c r="E37" s="50">
        <v>1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50">
        <v>20</v>
      </c>
      <c r="N37" s="50">
        <v>0</v>
      </c>
      <c r="O37" s="15">
        <f t="shared" si="0"/>
        <v>1</v>
      </c>
      <c r="P37" s="15">
        <f t="shared" si="1"/>
        <v>21</v>
      </c>
      <c r="R37" s="37" t="s">
        <v>85</v>
      </c>
      <c r="S37" s="35">
        <f t="shared" ref="S37:AF37" si="29">SUM(S10:S12)</f>
        <v>7</v>
      </c>
      <c r="T37" s="16">
        <f t="shared" si="29"/>
        <v>0</v>
      </c>
      <c r="U37" s="16">
        <f t="shared" si="29"/>
        <v>9</v>
      </c>
      <c r="V37" s="16">
        <f t="shared" si="29"/>
        <v>1</v>
      </c>
      <c r="W37" s="16">
        <f t="shared" si="29"/>
        <v>0</v>
      </c>
      <c r="X37" s="16">
        <f t="shared" si="29"/>
        <v>0</v>
      </c>
      <c r="Y37" s="16">
        <f t="shared" si="29"/>
        <v>11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115</v>
      </c>
      <c r="AD37" s="16">
        <f t="shared" si="29"/>
        <v>0</v>
      </c>
      <c r="AE37" s="32">
        <f t="shared" si="29"/>
        <v>28</v>
      </c>
      <c r="AF37" s="32">
        <f t="shared" si="29"/>
        <v>143</v>
      </c>
    </row>
    <row r="38" spans="2:32" ht="23.1" customHeight="1" x14ac:dyDescent="0.25">
      <c r="B38" s="46" t="s">
        <v>65</v>
      </c>
      <c r="C38" s="50">
        <v>0</v>
      </c>
      <c r="D38" s="50">
        <v>0</v>
      </c>
      <c r="E38" s="50">
        <v>0</v>
      </c>
      <c r="F38" s="50">
        <v>0</v>
      </c>
      <c r="G38" s="50">
        <v>0</v>
      </c>
      <c r="H38" s="50">
        <v>0</v>
      </c>
      <c r="I38" s="50">
        <v>2</v>
      </c>
      <c r="J38" s="50">
        <v>0</v>
      </c>
      <c r="K38" s="50">
        <v>0</v>
      </c>
      <c r="L38" s="50">
        <v>0</v>
      </c>
      <c r="M38" s="50">
        <v>12</v>
      </c>
      <c r="N38" s="50">
        <v>0</v>
      </c>
      <c r="O38" s="15">
        <f t="shared" si="0"/>
        <v>2</v>
      </c>
      <c r="P38" s="15">
        <f t="shared" si="1"/>
        <v>14</v>
      </c>
      <c r="R38" s="28" t="s">
        <v>86</v>
      </c>
      <c r="S38" s="16">
        <f t="shared" ref="S38:AF38" si="30">SUM(S13:S18)</f>
        <v>24</v>
      </c>
      <c r="T38" s="16">
        <f t="shared" si="30"/>
        <v>0</v>
      </c>
      <c r="U38" s="16">
        <f t="shared" si="30"/>
        <v>14</v>
      </c>
      <c r="V38" s="16">
        <f t="shared" si="30"/>
        <v>8</v>
      </c>
      <c r="W38" s="16">
        <f t="shared" si="30"/>
        <v>0</v>
      </c>
      <c r="X38" s="16">
        <f t="shared" si="30"/>
        <v>0</v>
      </c>
      <c r="Y38" s="16">
        <f t="shared" si="30"/>
        <v>30</v>
      </c>
      <c r="Z38" s="16">
        <f t="shared" si="30"/>
        <v>2</v>
      </c>
      <c r="AA38" s="16">
        <f t="shared" si="30"/>
        <v>0</v>
      </c>
      <c r="AB38" s="16">
        <f t="shared" si="30"/>
        <v>0</v>
      </c>
      <c r="AC38" s="16">
        <f t="shared" si="30"/>
        <v>313</v>
      </c>
      <c r="AD38" s="16">
        <f t="shared" si="30"/>
        <v>0</v>
      </c>
      <c r="AE38" s="32">
        <f t="shared" si="30"/>
        <v>78</v>
      </c>
      <c r="AF38" s="32">
        <f t="shared" si="30"/>
        <v>391</v>
      </c>
    </row>
    <row r="39" spans="2:32" ht="23.1" customHeight="1" x14ac:dyDescent="0.25">
      <c r="B39" s="46" t="s">
        <v>66</v>
      </c>
      <c r="C39" s="50">
        <v>2</v>
      </c>
      <c r="D39" s="50">
        <v>0</v>
      </c>
      <c r="E39" s="50">
        <v>1</v>
      </c>
      <c r="F39" s="50">
        <v>0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17</v>
      </c>
      <c r="N39" s="50">
        <v>0</v>
      </c>
      <c r="O39" s="15">
        <f t="shared" si="0"/>
        <v>6</v>
      </c>
      <c r="P39" s="15">
        <f t="shared" si="1"/>
        <v>23</v>
      </c>
      <c r="R39" s="29" t="s">
        <v>87</v>
      </c>
      <c r="S39" s="16">
        <f t="shared" ref="S39:AF39" si="31">SUM(S19:S21)</f>
        <v>18</v>
      </c>
      <c r="T39" s="16">
        <f t="shared" si="31"/>
        <v>0</v>
      </c>
      <c r="U39" s="16">
        <f t="shared" si="31"/>
        <v>15</v>
      </c>
      <c r="V39" s="16">
        <f t="shared" si="31"/>
        <v>4</v>
      </c>
      <c r="W39" s="16">
        <f t="shared" si="31"/>
        <v>0</v>
      </c>
      <c r="X39" s="16">
        <f t="shared" si="31"/>
        <v>0</v>
      </c>
      <c r="Y39" s="16">
        <f t="shared" si="31"/>
        <v>14</v>
      </c>
      <c r="Z39" s="16">
        <f t="shared" si="31"/>
        <v>0</v>
      </c>
      <c r="AA39" s="16">
        <f t="shared" si="31"/>
        <v>0</v>
      </c>
      <c r="AB39" s="16">
        <f t="shared" si="31"/>
        <v>0</v>
      </c>
      <c r="AC39" s="16">
        <f t="shared" si="31"/>
        <v>185</v>
      </c>
      <c r="AD39" s="16">
        <f t="shared" si="31"/>
        <v>0</v>
      </c>
      <c r="AE39" s="32">
        <f t="shared" si="31"/>
        <v>51</v>
      </c>
      <c r="AF39" s="32">
        <f t="shared" si="31"/>
        <v>236</v>
      </c>
    </row>
    <row r="40" spans="2:32" ht="23.1" customHeight="1" x14ac:dyDescent="0.25">
      <c r="B40" s="46" t="s">
        <v>67</v>
      </c>
      <c r="C40" s="50">
        <v>1</v>
      </c>
      <c r="D40" s="50">
        <v>0</v>
      </c>
      <c r="E40" s="50">
        <v>1</v>
      </c>
      <c r="F40" s="50">
        <v>0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0</v>
      </c>
      <c r="M40" s="50">
        <v>11</v>
      </c>
      <c r="N40" s="50">
        <v>0</v>
      </c>
      <c r="O40" s="15">
        <f t="shared" si="0"/>
        <v>3</v>
      </c>
      <c r="P40" s="15">
        <f t="shared" si="1"/>
        <v>14</v>
      </c>
      <c r="R40" s="5" t="s">
        <v>17</v>
      </c>
      <c r="S40" s="16">
        <f t="shared" ref="S40:AF40" si="32">SUM(S10:S21)</f>
        <v>49</v>
      </c>
      <c r="T40" s="16">
        <f t="shared" si="32"/>
        <v>0</v>
      </c>
      <c r="U40" s="16">
        <f t="shared" si="32"/>
        <v>38</v>
      </c>
      <c r="V40" s="16">
        <f t="shared" si="32"/>
        <v>13</v>
      </c>
      <c r="W40" s="16">
        <f t="shared" si="32"/>
        <v>0</v>
      </c>
      <c r="X40" s="16">
        <f t="shared" si="32"/>
        <v>0</v>
      </c>
      <c r="Y40" s="16">
        <f t="shared" si="32"/>
        <v>55</v>
      </c>
      <c r="Z40" s="16">
        <f t="shared" si="32"/>
        <v>2</v>
      </c>
      <c r="AA40" s="16">
        <f t="shared" si="32"/>
        <v>0</v>
      </c>
      <c r="AB40" s="16">
        <f t="shared" si="32"/>
        <v>0</v>
      </c>
      <c r="AC40" s="16">
        <f t="shared" si="32"/>
        <v>613</v>
      </c>
      <c r="AD40" s="16">
        <f t="shared" si="32"/>
        <v>0</v>
      </c>
      <c r="AE40" s="32">
        <f t="shared" si="32"/>
        <v>157</v>
      </c>
      <c r="AF40" s="32">
        <f t="shared" si="32"/>
        <v>770</v>
      </c>
    </row>
    <row r="41" spans="2:32" ht="23.1" customHeight="1" x14ac:dyDescent="0.25">
      <c r="B41" s="45" t="s">
        <v>68</v>
      </c>
      <c r="C41" s="50">
        <v>1</v>
      </c>
      <c r="D41" s="50">
        <v>0</v>
      </c>
      <c r="E41" s="50">
        <v>1</v>
      </c>
      <c r="F41" s="50">
        <v>0</v>
      </c>
      <c r="G41" s="50">
        <v>0</v>
      </c>
      <c r="H41" s="50">
        <v>0</v>
      </c>
      <c r="I41" s="50">
        <v>2</v>
      </c>
      <c r="J41" s="50">
        <v>0</v>
      </c>
      <c r="K41" s="50">
        <v>0</v>
      </c>
      <c r="L41" s="50">
        <v>0</v>
      </c>
      <c r="M41" s="50">
        <v>11</v>
      </c>
      <c r="N41" s="50">
        <v>0</v>
      </c>
      <c r="O41" s="15">
        <f t="shared" si="0"/>
        <v>4</v>
      </c>
      <c r="P41" s="15">
        <f t="shared" si="1"/>
        <v>15</v>
      </c>
      <c r="R41" s="5" t="s">
        <v>159</v>
      </c>
      <c r="S41" s="16">
        <f>SUM(S10:S33)</f>
        <v>68</v>
      </c>
      <c r="T41" s="16">
        <f t="shared" ref="T41:AF41" si="33">SUM(T10:T33)</f>
        <v>0</v>
      </c>
      <c r="U41" s="16">
        <f t="shared" si="33"/>
        <v>53</v>
      </c>
      <c r="V41" s="16">
        <f t="shared" si="33"/>
        <v>17</v>
      </c>
      <c r="W41" s="16">
        <f t="shared" si="33"/>
        <v>0</v>
      </c>
      <c r="X41" s="16">
        <f t="shared" si="33"/>
        <v>0</v>
      </c>
      <c r="Y41" s="16">
        <f t="shared" si="33"/>
        <v>81</v>
      </c>
      <c r="Z41" s="16">
        <f t="shared" si="33"/>
        <v>2</v>
      </c>
      <c r="AA41" s="16">
        <f t="shared" si="33"/>
        <v>0</v>
      </c>
      <c r="AB41" s="16">
        <f t="shared" si="33"/>
        <v>0</v>
      </c>
      <c r="AC41" s="16">
        <f t="shared" si="33"/>
        <v>885</v>
      </c>
      <c r="AD41" s="16">
        <f t="shared" si="33"/>
        <v>0</v>
      </c>
      <c r="AE41" s="32">
        <f t="shared" si="33"/>
        <v>221</v>
      </c>
      <c r="AF41" s="32">
        <f t="shared" si="33"/>
        <v>1106</v>
      </c>
    </row>
    <row r="42" spans="2:32" ht="23.1" customHeight="1" x14ac:dyDescent="0.25">
      <c r="B42" s="46" t="s">
        <v>69</v>
      </c>
      <c r="C42" s="50">
        <v>0</v>
      </c>
      <c r="D42" s="50">
        <v>0</v>
      </c>
      <c r="E42" s="50">
        <v>0</v>
      </c>
      <c r="F42" s="50">
        <v>0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11</v>
      </c>
      <c r="N42" s="50">
        <v>0</v>
      </c>
      <c r="O42" s="15">
        <f t="shared" si="0"/>
        <v>3</v>
      </c>
      <c r="P42" s="15">
        <f t="shared" si="1"/>
        <v>14</v>
      </c>
      <c r="R42" s="5" t="s">
        <v>160</v>
      </c>
      <c r="S42" s="48">
        <f>S41/S40</f>
        <v>1.3877551020408163</v>
      </c>
      <c r="T42" s="48" t="e">
        <f t="shared" ref="T42:AF42" si="34">T41/T40</f>
        <v>#DIV/0!</v>
      </c>
      <c r="U42" s="48">
        <f t="shared" si="34"/>
        <v>1.3947368421052631</v>
      </c>
      <c r="V42" s="48">
        <f t="shared" si="34"/>
        <v>1.3076923076923077</v>
      </c>
      <c r="W42" s="48" t="e">
        <f t="shared" si="34"/>
        <v>#DIV/0!</v>
      </c>
      <c r="X42" s="48" t="e">
        <f t="shared" si="34"/>
        <v>#DIV/0!</v>
      </c>
      <c r="Y42" s="48">
        <f t="shared" si="34"/>
        <v>1.4727272727272727</v>
      </c>
      <c r="Z42" s="48">
        <f t="shared" si="34"/>
        <v>1</v>
      </c>
      <c r="AA42" s="48" t="e">
        <f t="shared" si="34"/>
        <v>#DIV/0!</v>
      </c>
      <c r="AB42" s="48" t="e">
        <f t="shared" si="34"/>
        <v>#DIV/0!</v>
      </c>
      <c r="AC42" s="48">
        <f t="shared" si="34"/>
        <v>1.4437194127243067</v>
      </c>
      <c r="AD42" s="48" t="e">
        <f t="shared" si="34"/>
        <v>#DIV/0!</v>
      </c>
      <c r="AE42" s="48">
        <f t="shared" si="34"/>
        <v>1.4076433121019107</v>
      </c>
      <c r="AF42" s="48">
        <f t="shared" si="34"/>
        <v>1.4363636363636363</v>
      </c>
    </row>
    <row r="43" spans="2:32" ht="23.1" customHeight="1" x14ac:dyDescent="0.25">
      <c r="B43" s="45" t="s">
        <v>70</v>
      </c>
      <c r="C43" s="50">
        <v>1</v>
      </c>
      <c r="D43" s="50">
        <v>0</v>
      </c>
      <c r="E43" s="50">
        <v>2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7</v>
      </c>
      <c r="N43" s="50">
        <v>0</v>
      </c>
      <c r="O43" s="15">
        <f t="shared" si="0"/>
        <v>5</v>
      </c>
      <c r="P43" s="15">
        <f t="shared" si="1"/>
        <v>12</v>
      </c>
    </row>
    <row r="44" spans="2:32" ht="23.1" customHeight="1" x14ac:dyDescent="0.25">
      <c r="B44" s="47" t="s">
        <v>71</v>
      </c>
      <c r="C44" s="50">
        <v>2</v>
      </c>
      <c r="D44" s="50">
        <v>0</v>
      </c>
      <c r="E44" s="50">
        <v>1</v>
      </c>
      <c r="F44" s="50">
        <v>0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7</v>
      </c>
      <c r="N44" s="50">
        <v>0</v>
      </c>
      <c r="O44" s="15">
        <f t="shared" si="0"/>
        <v>3</v>
      </c>
      <c r="P44" s="15">
        <f t="shared" si="1"/>
        <v>10</v>
      </c>
    </row>
    <row r="45" spans="2:32" ht="23.1" customHeight="1" x14ac:dyDescent="0.25">
      <c r="B45" s="45" t="s">
        <v>72</v>
      </c>
      <c r="C45" s="50">
        <v>0</v>
      </c>
      <c r="D45" s="50">
        <v>0</v>
      </c>
      <c r="E45" s="50">
        <v>0</v>
      </c>
      <c r="F45" s="50">
        <v>3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50">
        <v>15</v>
      </c>
      <c r="N45" s="50">
        <v>0</v>
      </c>
      <c r="O45" s="15">
        <f t="shared" si="0"/>
        <v>3</v>
      </c>
      <c r="P45" s="15">
        <f t="shared" si="1"/>
        <v>18</v>
      </c>
    </row>
    <row r="46" spans="2:32" ht="23.1" customHeight="1" x14ac:dyDescent="0.25">
      <c r="B46" s="46" t="s">
        <v>73</v>
      </c>
      <c r="C46" s="50">
        <v>2</v>
      </c>
      <c r="D46" s="50">
        <v>0</v>
      </c>
      <c r="E46" s="50">
        <v>1</v>
      </c>
      <c r="F46" s="50">
        <v>0</v>
      </c>
      <c r="G46" s="50">
        <v>0</v>
      </c>
      <c r="H46" s="50">
        <v>0</v>
      </c>
      <c r="I46" s="50">
        <v>1</v>
      </c>
      <c r="J46" s="50">
        <v>0</v>
      </c>
      <c r="K46" s="50">
        <v>0</v>
      </c>
      <c r="L46" s="50">
        <v>0</v>
      </c>
      <c r="M46" s="50">
        <v>7</v>
      </c>
      <c r="N46" s="50">
        <v>0</v>
      </c>
      <c r="O46" s="15">
        <f t="shared" si="0"/>
        <v>4</v>
      </c>
      <c r="P46" s="15">
        <f t="shared" si="1"/>
        <v>11</v>
      </c>
      <c r="R46" s="8"/>
      <c r="T46"/>
    </row>
    <row r="47" spans="2:32" ht="23.1" customHeight="1" x14ac:dyDescent="0.25">
      <c r="B47" s="46" t="s">
        <v>74</v>
      </c>
      <c r="C47" s="50">
        <v>2</v>
      </c>
      <c r="D47" s="50">
        <v>0</v>
      </c>
      <c r="E47" s="50">
        <v>3</v>
      </c>
      <c r="F47" s="50">
        <v>1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21</v>
      </c>
      <c r="N47" s="50">
        <v>0</v>
      </c>
      <c r="O47" s="15">
        <f t="shared" si="0"/>
        <v>7</v>
      </c>
      <c r="P47" s="15">
        <f t="shared" si="1"/>
        <v>28</v>
      </c>
      <c r="R47" s="8"/>
      <c r="T47"/>
    </row>
    <row r="48" spans="2:32" ht="23.1" customHeight="1" x14ac:dyDescent="0.25">
      <c r="B48" s="46" t="s">
        <v>75</v>
      </c>
      <c r="C48" s="50">
        <v>0</v>
      </c>
      <c r="D48" s="50">
        <v>0</v>
      </c>
      <c r="E48" s="50">
        <v>1</v>
      </c>
      <c r="F48" s="50">
        <v>0</v>
      </c>
      <c r="G48" s="50">
        <v>0</v>
      </c>
      <c r="H48" s="50">
        <v>0</v>
      </c>
      <c r="I48" s="50">
        <v>1</v>
      </c>
      <c r="J48" s="50">
        <v>0</v>
      </c>
      <c r="K48" s="50">
        <v>0</v>
      </c>
      <c r="L48" s="50">
        <v>0</v>
      </c>
      <c r="M48" s="50">
        <v>22</v>
      </c>
      <c r="N48" s="50">
        <v>0</v>
      </c>
      <c r="O48" s="15">
        <f t="shared" si="0"/>
        <v>2</v>
      </c>
      <c r="P48" s="15">
        <f t="shared" si="1"/>
        <v>24</v>
      </c>
      <c r="R48" s="8"/>
      <c r="T48"/>
    </row>
    <row r="49" spans="2:20" ht="23.1" customHeight="1" x14ac:dyDescent="0.25">
      <c r="B49" s="45" t="s">
        <v>76</v>
      </c>
      <c r="C49" s="50">
        <v>2</v>
      </c>
      <c r="D49" s="50">
        <v>0</v>
      </c>
      <c r="E49" s="50">
        <v>2</v>
      </c>
      <c r="F49" s="50">
        <v>0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0</v>
      </c>
      <c r="M49" s="50">
        <v>16</v>
      </c>
      <c r="N49" s="50">
        <v>0</v>
      </c>
      <c r="O49" s="15">
        <f t="shared" si="0"/>
        <v>5</v>
      </c>
      <c r="P49" s="15">
        <f t="shared" si="1"/>
        <v>21</v>
      </c>
      <c r="R49" s="8"/>
      <c r="T49"/>
    </row>
    <row r="50" spans="2:20" ht="23.1" customHeight="1" x14ac:dyDescent="0.25">
      <c r="B50" s="46" t="s">
        <v>77</v>
      </c>
      <c r="C50" s="50">
        <v>1</v>
      </c>
      <c r="D50" s="50">
        <v>0</v>
      </c>
      <c r="E50" s="50">
        <v>1</v>
      </c>
      <c r="F50" s="50">
        <v>1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19</v>
      </c>
      <c r="N50" s="50">
        <v>0</v>
      </c>
      <c r="O50" s="15">
        <f t="shared" si="0"/>
        <v>4</v>
      </c>
      <c r="P50" s="15">
        <f t="shared" si="1"/>
        <v>23</v>
      </c>
      <c r="R50" s="8"/>
      <c r="T50"/>
    </row>
    <row r="51" spans="2:20" ht="23.1" customHeight="1" x14ac:dyDescent="0.25">
      <c r="B51" s="46" t="s">
        <v>78</v>
      </c>
      <c r="C51" s="50">
        <v>1</v>
      </c>
      <c r="D51" s="50">
        <v>0</v>
      </c>
      <c r="E51" s="50">
        <v>0</v>
      </c>
      <c r="F51" s="50">
        <v>0</v>
      </c>
      <c r="G51" s="50">
        <v>0</v>
      </c>
      <c r="H51" s="50">
        <v>0</v>
      </c>
      <c r="I51" s="50">
        <v>2</v>
      </c>
      <c r="J51" s="50">
        <v>0</v>
      </c>
      <c r="K51" s="50">
        <v>0</v>
      </c>
      <c r="L51" s="50">
        <v>0</v>
      </c>
      <c r="M51" s="50">
        <v>15</v>
      </c>
      <c r="N51" s="50">
        <v>0</v>
      </c>
      <c r="O51" s="15">
        <f t="shared" si="0"/>
        <v>3</v>
      </c>
      <c r="P51" s="15">
        <f t="shared" si="1"/>
        <v>18</v>
      </c>
      <c r="R51" s="8"/>
      <c r="T51"/>
    </row>
    <row r="52" spans="2:20" ht="23.1" customHeight="1" x14ac:dyDescent="0.25">
      <c r="B52" s="46" t="s">
        <v>79</v>
      </c>
      <c r="C52" s="50">
        <v>3</v>
      </c>
      <c r="D52" s="50">
        <v>0</v>
      </c>
      <c r="E52" s="50">
        <v>1</v>
      </c>
      <c r="F52" s="50">
        <v>0</v>
      </c>
      <c r="G52" s="50">
        <v>0</v>
      </c>
      <c r="H52" s="50">
        <v>0</v>
      </c>
      <c r="I52" s="50">
        <v>1</v>
      </c>
      <c r="J52" s="50">
        <v>0</v>
      </c>
      <c r="K52" s="50">
        <v>0</v>
      </c>
      <c r="L52" s="50">
        <v>0</v>
      </c>
      <c r="M52" s="50">
        <v>16</v>
      </c>
      <c r="N52" s="50">
        <v>0</v>
      </c>
      <c r="O52" s="15">
        <f t="shared" si="0"/>
        <v>5</v>
      </c>
      <c r="P52" s="15">
        <f t="shared" si="1"/>
        <v>21</v>
      </c>
      <c r="R52" s="8"/>
      <c r="T52"/>
    </row>
    <row r="53" spans="2:20" ht="23.1" customHeight="1" x14ac:dyDescent="0.25">
      <c r="B53" s="45" t="s">
        <v>80</v>
      </c>
      <c r="C53" s="50">
        <v>1</v>
      </c>
      <c r="D53" s="50">
        <v>0</v>
      </c>
      <c r="E53" s="50">
        <v>2</v>
      </c>
      <c r="F53" s="50">
        <v>1</v>
      </c>
      <c r="G53" s="50">
        <v>0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14</v>
      </c>
      <c r="N53" s="50">
        <v>0</v>
      </c>
      <c r="O53" s="15">
        <f t="shared" si="0"/>
        <v>6</v>
      </c>
      <c r="P53" s="15">
        <f t="shared" si="1"/>
        <v>20</v>
      </c>
      <c r="R53" s="8"/>
      <c r="T53"/>
    </row>
    <row r="54" spans="2:20" ht="23.1" customHeight="1" x14ac:dyDescent="0.25">
      <c r="B54" s="45" t="s">
        <v>81</v>
      </c>
      <c r="C54" s="50">
        <v>1</v>
      </c>
      <c r="D54" s="50">
        <v>0</v>
      </c>
      <c r="E54" s="50">
        <v>0</v>
      </c>
      <c r="F54" s="50">
        <v>0</v>
      </c>
      <c r="G54" s="50">
        <v>0</v>
      </c>
      <c r="H54" s="50">
        <v>0</v>
      </c>
      <c r="I54" s="50">
        <v>1</v>
      </c>
      <c r="J54" s="50">
        <v>0</v>
      </c>
      <c r="K54" s="50">
        <v>0</v>
      </c>
      <c r="L54" s="50">
        <v>0</v>
      </c>
      <c r="M54" s="50">
        <v>15</v>
      </c>
      <c r="N54" s="50">
        <v>0</v>
      </c>
      <c r="O54" s="15">
        <f t="shared" si="0"/>
        <v>2</v>
      </c>
      <c r="P54" s="15">
        <f t="shared" si="1"/>
        <v>17</v>
      </c>
      <c r="R54" s="8"/>
      <c r="T54"/>
    </row>
    <row r="55" spans="2:20" ht="23.1" customHeight="1" x14ac:dyDescent="0.25">
      <c r="B55" s="45" t="s">
        <v>82</v>
      </c>
      <c r="C55" s="50">
        <v>2</v>
      </c>
      <c r="D55" s="50">
        <v>0</v>
      </c>
      <c r="E55" s="50">
        <v>0</v>
      </c>
      <c r="F55" s="50">
        <v>0</v>
      </c>
      <c r="G55" s="50">
        <v>0</v>
      </c>
      <c r="H55" s="50">
        <v>0</v>
      </c>
      <c r="I55" s="50">
        <v>2</v>
      </c>
      <c r="J55" s="50">
        <v>0</v>
      </c>
      <c r="K55" s="50">
        <v>0</v>
      </c>
      <c r="L55" s="50">
        <v>0</v>
      </c>
      <c r="M55" s="50">
        <v>21</v>
      </c>
      <c r="N55" s="50">
        <v>0</v>
      </c>
      <c r="O55" s="15">
        <f t="shared" si="0"/>
        <v>4</v>
      </c>
      <c r="P55" s="15">
        <f t="shared" si="1"/>
        <v>25</v>
      </c>
      <c r="R55" s="8"/>
      <c r="T55"/>
    </row>
    <row r="56" spans="2:20" ht="23.1" customHeight="1" x14ac:dyDescent="0.25">
      <c r="B56" s="45" t="s">
        <v>83</v>
      </c>
      <c r="C56" s="50">
        <v>3</v>
      </c>
      <c r="D56" s="50">
        <v>0</v>
      </c>
      <c r="E56" s="50">
        <v>3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0</v>
      </c>
      <c r="M56" s="50">
        <v>12</v>
      </c>
      <c r="N56" s="50">
        <v>0</v>
      </c>
      <c r="O56" s="15">
        <f t="shared" si="0"/>
        <v>8</v>
      </c>
      <c r="P56" s="15">
        <f t="shared" si="1"/>
        <v>20</v>
      </c>
      <c r="R56" s="8"/>
      <c r="T56"/>
    </row>
    <row r="57" spans="2:20" ht="23.1" customHeight="1" x14ac:dyDescent="0.25">
      <c r="B57" s="45" t="s">
        <v>84</v>
      </c>
      <c r="C57" s="50">
        <v>0</v>
      </c>
      <c r="D57" s="50">
        <v>0</v>
      </c>
      <c r="E57" s="50">
        <v>1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7</v>
      </c>
      <c r="N57" s="50">
        <v>0</v>
      </c>
      <c r="O57" s="15">
        <f t="shared" si="0"/>
        <v>1</v>
      </c>
      <c r="P57" s="15">
        <f t="shared" si="1"/>
        <v>8</v>
      </c>
      <c r="R57" s="8"/>
      <c r="T57"/>
    </row>
    <row r="58" spans="2:20" ht="23.1" customHeight="1" x14ac:dyDescent="0.25">
      <c r="B58" s="45" t="s">
        <v>99</v>
      </c>
      <c r="C58" s="50">
        <f>ROUND((0.7*'16.08 KAMPALA-BUSUNJU-24h'!C58),0)</f>
        <v>0</v>
      </c>
      <c r="D58" s="50">
        <f>ROUND((0.7*'16.08 KAMPALA-BUSUNJU-24h'!D58),0)</f>
        <v>0</v>
      </c>
      <c r="E58" s="50">
        <f>ROUND((0.7*'16.08 KAMPALA-BUSUNJU-24h'!E58),0)</f>
        <v>1</v>
      </c>
      <c r="F58" s="50">
        <f>ROUND((0.7*'16.08 KAMPALA-BUSUNJU-24h'!F58),0)</f>
        <v>0</v>
      </c>
      <c r="G58" s="50">
        <f>ROUND((0.7*'16.08 KAMPALA-BUSUNJU-24h'!G58),0)</f>
        <v>0</v>
      </c>
      <c r="H58" s="50">
        <f>ROUND((0.7*'16.08 KAMPALA-BUSUNJU-24h'!H58),0)</f>
        <v>0</v>
      </c>
      <c r="I58" s="50">
        <f>ROUND((0.7*'16.08 KAMPALA-BUSUNJU-24h'!I58),0)</f>
        <v>0</v>
      </c>
      <c r="J58" s="50">
        <f>ROUND((0.7*'16.08 KAMPALA-BUSUNJU-24h'!J58),0)</f>
        <v>0</v>
      </c>
      <c r="K58" s="50">
        <f>ROUND((0.7*'16.08 KAMPALA-BUSUNJU-24h'!K58),0)</f>
        <v>0</v>
      </c>
      <c r="L58" s="50">
        <f>ROUND((0.7*'16.08 KAMPALA-BUSUNJU-24h'!L58),0)</f>
        <v>0</v>
      </c>
      <c r="M58" s="50">
        <f>ROUND((0.7*'16.08 KAMPALA-BUSUNJU-24h'!M58),0)</f>
        <v>5</v>
      </c>
      <c r="N58" s="50">
        <f>ROUND((0.7*'16.08 KAMPALA-BUSUNJU-24h'!N58),0)</f>
        <v>0</v>
      </c>
      <c r="O58" s="15">
        <f t="shared" si="0"/>
        <v>1</v>
      </c>
      <c r="P58" s="15">
        <f t="shared" si="1"/>
        <v>6</v>
      </c>
      <c r="R58" s="8"/>
      <c r="T58"/>
    </row>
    <row r="59" spans="2:20" ht="23.1" customHeight="1" x14ac:dyDescent="0.25">
      <c r="B59" s="45" t="s">
        <v>100</v>
      </c>
      <c r="C59" s="50">
        <f>ROUND((0.7*'16.08 KAMPALA-BUSUNJU-24h'!C59),0)</f>
        <v>0</v>
      </c>
      <c r="D59" s="50">
        <f>ROUND((0.7*'16.08 KAMPALA-BUSUNJU-24h'!D59),0)</f>
        <v>0</v>
      </c>
      <c r="E59" s="50">
        <f>ROUND((0.7*'16.08 KAMPALA-BUSUNJU-24h'!E59),0)</f>
        <v>0</v>
      </c>
      <c r="F59" s="50">
        <f>ROUND((0.7*'16.08 KAMPALA-BUSUNJU-24h'!F59),0)</f>
        <v>0</v>
      </c>
      <c r="G59" s="50">
        <f>ROUND((0.7*'16.08 KAMPALA-BUSUNJU-24h'!G59),0)</f>
        <v>0</v>
      </c>
      <c r="H59" s="50">
        <f>ROUND((0.7*'16.08 KAMPALA-BUSUNJU-24h'!H59),0)</f>
        <v>0</v>
      </c>
      <c r="I59" s="50">
        <f>ROUND((0.7*'16.08 KAMPALA-BUSUNJU-24h'!I59),0)</f>
        <v>0</v>
      </c>
      <c r="J59" s="50">
        <f>ROUND((0.7*'16.08 KAMPALA-BUSUNJU-24h'!J59),0)</f>
        <v>0</v>
      </c>
      <c r="K59" s="50">
        <f>ROUND((0.7*'16.08 KAMPALA-BUSUNJU-24h'!K59),0)</f>
        <v>0</v>
      </c>
      <c r="L59" s="50">
        <f>ROUND((0.7*'16.08 KAMPALA-BUSUNJU-24h'!L59),0)</f>
        <v>0</v>
      </c>
      <c r="M59" s="50">
        <f>ROUND((0.7*'16.08 KAMPALA-BUSUNJU-24h'!M59),0)</f>
        <v>4</v>
      </c>
      <c r="N59" s="50">
        <f>ROUND((0.7*'16.08 KAMPALA-BUSUNJU-24h'!N59),0)</f>
        <v>0</v>
      </c>
      <c r="O59" s="15">
        <f t="shared" si="0"/>
        <v>0</v>
      </c>
      <c r="P59" s="15">
        <f t="shared" si="1"/>
        <v>4</v>
      </c>
      <c r="R59" s="8"/>
      <c r="T59"/>
    </row>
    <row r="60" spans="2:20" ht="23.1" customHeight="1" x14ac:dyDescent="0.25">
      <c r="B60" s="45" t="s">
        <v>101</v>
      </c>
      <c r="C60" s="50">
        <f>ROUND((0.7*'16.08 KAMPALA-BUSUNJU-24h'!C60),0)</f>
        <v>0</v>
      </c>
      <c r="D60" s="50">
        <f>ROUND((0.7*'16.08 KAMPALA-BUSUNJU-24h'!D60),0)</f>
        <v>0</v>
      </c>
      <c r="E60" s="50">
        <f>ROUND((0.7*'16.08 KAMPALA-BUSUNJU-24h'!E60),0)</f>
        <v>0</v>
      </c>
      <c r="F60" s="50">
        <f>ROUND((0.7*'16.08 KAMPALA-BUSUNJU-24h'!F60),0)</f>
        <v>0</v>
      </c>
      <c r="G60" s="50">
        <f>ROUND((0.7*'16.08 KAMPALA-BUSUNJU-24h'!G60),0)</f>
        <v>0</v>
      </c>
      <c r="H60" s="50">
        <f>ROUND((0.7*'16.08 KAMPALA-BUSUNJU-24h'!H60),0)</f>
        <v>0</v>
      </c>
      <c r="I60" s="50">
        <f>ROUND((0.7*'16.08 KAMPALA-BUSUNJU-24h'!I60),0)</f>
        <v>1</v>
      </c>
      <c r="J60" s="50">
        <f>ROUND((0.7*'16.08 KAMPALA-BUSUNJU-24h'!J60),0)</f>
        <v>0</v>
      </c>
      <c r="K60" s="50">
        <f>ROUND((0.7*'16.08 KAMPALA-BUSUNJU-24h'!K60),0)</f>
        <v>0</v>
      </c>
      <c r="L60" s="50">
        <f>ROUND((0.7*'16.08 KAMPALA-BUSUNJU-24h'!L60),0)</f>
        <v>0</v>
      </c>
      <c r="M60" s="50">
        <f>ROUND((0.7*'16.08 KAMPALA-BUSUNJU-24h'!M60),0)</f>
        <v>8</v>
      </c>
      <c r="N60" s="50">
        <f>ROUND((0.7*'16.08 KAMPALA-BUSUNJU-24h'!N60),0)</f>
        <v>0</v>
      </c>
      <c r="O60" s="15">
        <f t="shared" si="0"/>
        <v>1</v>
      </c>
      <c r="P60" s="15">
        <f t="shared" si="1"/>
        <v>9</v>
      </c>
      <c r="R60" s="8"/>
      <c r="T60"/>
    </row>
    <row r="61" spans="2:20" ht="23.1" customHeight="1" x14ac:dyDescent="0.25">
      <c r="B61" s="45" t="s">
        <v>102</v>
      </c>
      <c r="C61" s="50">
        <f>ROUND((0.7*'16.08 KAMPALA-BUSUNJU-24h'!C61),0)</f>
        <v>0</v>
      </c>
      <c r="D61" s="50">
        <f>ROUND((0.7*'16.08 KAMPALA-BUSUNJU-24h'!D61),0)</f>
        <v>0</v>
      </c>
      <c r="E61" s="50">
        <f>ROUND((0.7*'16.08 KAMPALA-BUSUNJU-24h'!E61),0)</f>
        <v>0</v>
      </c>
      <c r="F61" s="50">
        <f>ROUND((0.7*'16.08 KAMPALA-BUSUNJU-24h'!F61),0)</f>
        <v>0</v>
      </c>
      <c r="G61" s="50">
        <f>ROUND((0.7*'16.08 KAMPALA-BUSUNJU-24h'!G61),0)</f>
        <v>0</v>
      </c>
      <c r="H61" s="50">
        <f>ROUND((0.7*'16.08 KAMPALA-BUSUNJU-24h'!H61),0)</f>
        <v>0</v>
      </c>
      <c r="I61" s="50">
        <f>ROUND((0.7*'16.08 KAMPALA-BUSUNJU-24h'!I61),0)</f>
        <v>1</v>
      </c>
      <c r="J61" s="50">
        <f>ROUND((0.7*'16.08 KAMPALA-BUSUNJU-24h'!J61),0)</f>
        <v>0</v>
      </c>
      <c r="K61" s="50">
        <f>ROUND((0.7*'16.08 KAMPALA-BUSUNJU-24h'!K61),0)</f>
        <v>0</v>
      </c>
      <c r="L61" s="50">
        <f>ROUND((0.7*'16.08 KAMPALA-BUSUNJU-24h'!L61),0)</f>
        <v>0</v>
      </c>
      <c r="M61" s="50">
        <f>ROUND((0.7*'16.08 KAMPALA-BUSUNJU-24h'!M61),0)</f>
        <v>6</v>
      </c>
      <c r="N61" s="50">
        <f>ROUND((0.7*'16.08 KAMPALA-BUSUNJU-24h'!N61),0)</f>
        <v>0</v>
      </c>
      <c r="O61" s="15">
        <f t="shared" si="0"/>
        <v>1</v>
      </c>
      <c r="P61" s="15">
        <f t="shared" si="1"/>
        <v>7</v>
      </c>
      <c r="R61" s="8"/>
      <c r="T61"/>
    </row>
    <row r="62" spans="2:20" ht="23.1" customHeight="1" x14ac:dyDescent="0.25">
      <c r="B62" s="45" t="s">
        <v>107</v>
      </c>
      <c r="C62" s="50">
        <f>ROUND((0.7*'16.08 KAMPALA-BUSUNJU-24h'!C62),0)</f>
        <v>0</v>
      </c>
      <c r="D62" s="50">
        <f>ROUND((0.7*'16.08 KAMPALA-BUSUNJU-24h'!D62),0)</f>
        <v>0</v>
      </c>
      <c r="E62" s="50">
        <f>ROUND((0.7*'16.08 KAMPALA-BUSUNJU-24h'!E62),0)</f>
        <v>0</v>
      </c>
      <c r="F62" s="50">
        <f>ROUND((0.7*'16.08 KAMPALA-BUSUNJU-24h'!F62),0)</f>
        <v>0</v>
      </c>
      <c r="G62" s="50">
        <f>ROUND((0.7*'16.08 KAMPALA-BUSUNJU-24h'!G62),0)</f>
        <v>0</v>
      </c>
      <c r="H62" s="50">
        <f>ROUND((0.7*'16.08 KAMPALA-BUSUNJU-24h'!H62),0)</f>
        <v>0</v>
      </c>
      <c r="I62" s="50">
        <f>ROUND((0.7*'16.08 KAMPALA-BUSUNJU-24h'!I62),0)</f>
        <v>1</v>
      </c>
      <c r="J62" s="50">
        <f>ROUND((0.7*'16.08 KAMPALA-BUSUNJU-24h'!J62),0)</f>
        <v>0</v>
      </c>
      <c r="K62" s="50">
        <f>ROUND((0.7*'16.08 KAMPALA-BUSUNJU-24h'!K62),0)</f>
        <v>0</v>
      </c>
      <c r="L62" s="50">
        <f>ROUND((0.7*'16.08 KAMPALA-BUSUNJU-24h'!L62),0)</f>
        <v>0</v>
      </c>
      <c r="M62" s="50">
        <f>ROUND((0.7*'16.08 KAMPALA-BUSUNJU-24h'!M62),0)</f>
        <v>6</v>
      </c>
      <c r="N62" s="50">
        <f>ROUND((0.7*'16.08 KAMPALA-BUSUNJU-24h'!N62),0)</f>
        <v>0</v>
      </c>
      <c r="O62" s="15">
        <f t="shared" si="0"/>
        <v>1</v>
      </c>
      <c r="P62" s="15">
        <f t="shared" si="1"/>
        <v>7</v>
      </c>
      <c r="R62" s="8"/>
      <c r="T62"/>
    </row>
    <row r="63" spans="2:20" ht="23.1" customHeight="1" x14ac:dyDescent="0.25">
      <c r="B63" s="45" t="s">
        <v>108</v>
      </c>
      <c r="C63" s="50">
        <f>ROUND((0.7*'16.08 KAMPALA-BUSUNJU-24h'!C63),0)</f>
        <v>1</v>
      </c>
      <c r="D63" s="50">
        <f>ROUND((0.7*'16.08 KAMPALA-BUSUNJU-24h'!D63),0)</f>
        <v>0</v>
      </c>
      <c r="E63" s="50">
        <f>ROUND((0.7*'16.08 KAMPALA-BUSUNJU-24h'!E63),0)</f>
        <v>1</v>
      </c>
      <c r="F63" s="50">
        <f>ROUND((0.7*'16.08 KAMPALA-BUSUNJU-24h'!F63),0)</f>
        <v>0</v>
      </c>
      <c r="G63" s="50">
        <f>ROUND((0.7*'16.08 KAMPALA-BUSUNJU-24h'!G63),0)</f>
        <v>0</v>
      </c>
      <c r="H63" s="50">
        <f>ROUND((0.7*'16.08 KAMPALA-BUSUNJU-24h'!H63),0)</f>
        <v>0</v>
      </c>
      <c r="I63" s="50">
        <f>ROUND((0.7*'16.08 KAMPALA-BUSUNJU-24h'!I63),0)</f>
        <v>0</v>
      </c>
      <c r="J63" s="50">
        <f>ROUND((0.7*'16.08 KAMPALA-BUSUNJU-24h'!J63),0)</f>
        <v>0</v>
      </c>
      <c r="K63" s="50">
        <f>ROUND((0.7*'16.08 KAMPALA-BUSUNJU-24h'!K63),0)</f>
        <v>0</v>
      </c>
      <c r="L63" s="50">
        <f>ROUND((0.7*'16.08 KAMPALA-BUSUNJU-24h'!L63),0)</f>
        <v>0</v>
      </c>
      <c r="M63" s="50">
        <f>ROUND((0.7*'16.08 KAMPALA-BUSUNJU-24h'!M63),0)</f>
        <v>6</v>
      </c>
      <c r="N63" s="50">
        <f>ROUND((0.7*'16.08 KAMPALA-BUSUNJU-24h'!N63),0)</f>
        <v>0</v>
      </c>
      <c r="O63" s="15">
        <f t="shared" si="0"/>
        <v>2</v>
      </c>
      <c r="P63" s="15">
        <f t="shared" si="1"/>
        <v>8</v>
      </c>
      <c r="R63" s="8"/>
      <c r="T63"/>
    </row>
    <row r="64" spans="2:20" ht="23.1" customHeight="1" x14ac:dyDescent="0.25">
      <c r="B64" s="45" t="s">
        <v>109</v>
      </c>
      <c r="C64" s="50">
        <f>ROUND((0.7*'16.08 KAMPALA-BUSUNJU-24h'!C64),0)</f>
        <v>0</v>
      </c>
      <c r="D64" s="50">
        <f>ROUND((0.7*'16.08 KAMPALA-BUSUNJU-24h'!D64),0)</f>
        <v>0</v>
      </c>
      <c r="E64" s="50">
        <f>ROUND((0.7*'16.08 KAMPALA-BUSUNJU-24h'!E64),0)</f>
        <v>0</v>
      </c>
      <c r="F64" s="50">
        <f>ROUND((0.7*'16.08 KAMPALA-BUSUNJU-24h'!F64),0)</f>
        <v>0</v>
      </c>
      <c r="G64" s="50">
        <f>ROUND((0.7*'16.08 KAMPALA-BUSUNJU-24h'!G64),0)</f>
        <v>0</v>
      </c>
      <c r="H64" s="50">
        <f>ROUND((0.7*'16.08 KAMPALA-BUSUNJU-24h'!H64),0)</f>
        <v>0</v>
      </c>
      <c r="I64" s="50">
        <f>ROUND((0.7*'16.08 KAMPALA-BUSUNJU-24h'!I64),0)</f>
        <v>0</v>
      </c>
      <c r="J64" s="50">
        <f>ROUND((0.7*'16.08 KAMPALA-BUSUNJU-24h'!J64),0)</f>
        <v>0</v>
      </c>
      <c r="K64" s="50">
        <f>ROUND((0.7*'16.08 KAMPALA-BUSUNJU-24h'!K64),0)</f>
        <v>0</v>
      </c>
      <c r="L64" s="50">
        <f>ROUND((0.7*'16.08 KAMPALA-BUSUNJU-24h'!L64),0)</f>
        <v>0</v>
      </c>
      <c r="M64" s="50">
        <f>ROUND((0.7*'16.08 KAMPALA-BUSUNJU-24h'!M64),0)</f>
        <v>8</v>
      </c>
      <c r="N64" s="50">
        <f>ROUND((0.7*'16.08 KAMPALA-BUSUNJU-24h'!N64),0)</f>
        <v>0</v>
      </c>
      <c r="O64" s="15">
        <f t="shared" si="0"/>
        <v>0</v>
      </c>
      <c r="P64" s="15">
        <f t="shared" si="1"/>
        <v>8</v>
      </c>
      <c r="R64" s="8"/>
      <c r="T64"/>
    </row>
    <row r="65" spans="2:20" ht="23.1" customHeight="1" x14ac:dyDescent="0.25">
      <c r="B65" s="45" t="s">
        <v>158</v>
      </c>
      <c r="C65" s="50">
        <f>ROUND((0.7*'16.08 KAMPALA-BUSUNJU-24h'!C65),0)</f>
        <v>0</v>
      </c>
      <c r="D65" s="50">
        <f>ROUND((0.7*'16.08 KAMPALA-BUSUNJU-24h'!D65),0)</f>
        <v>0</v>
      </c>
      <c r="E65" s="50">
        <f>ROUND((0.7*'16.08 KAMPALA-BUSUNJU-24h'!E65),0)</f>
        <v>0</v>
      </c>
      <c r="F65" s="50">
        <f>ROUND((0.7*'16.08 KAMPALA-BUSUNJU-24h'!F65),0)</f>
        <v>0</v>
      </c>
      <c r="G65" s="50">
        <f>ROUND((0.7*'16.08 KAMPALA-BUSUNJU-24h'!G65),0)</f>
        <v>0</v>
      </c>
      <c r="H65" s="50">
        <f>ROUND((0.7*'16.08 KAMPALA-BUSUNJU-24h'!H65),0)</f>
        <v>0</v>
      </c>
      <c r="I65" s="50">
        <f>ROUND((0.7*'16.08 KAMPALA-BUSUNJU-24h'!I65),0)</f>
        <v>0</v>
      </c>
      <c r="J65" s="50">
        <f>ROUND((0.7*'16.08 KAMPALA-BUSUNJU-24h'!J65),0)</f>
        <v>0</v>
      </c>
      <c r="K65" s="50">
        <f>ROUND((0.7*'16.08 KAMPALA-BUSUNJU-24h'!K65),0)</f>
        <v>0</v>
      </c>
      <c r="L65" s="50">
        <f>ROUND((0.7*'16.08 KAMPALA-BUSUNJU-24h'!L65),0)</f>
        <v>0</v>
      </c>
      <c r="M65" s="50">
        <f>ROUND((0.7*'16.08 KAMPALA-BUSUNJU-24h'!M65),0)</f>
        <v>8</v>
      </c>
      <c r="N65" s="50">
        <f>ROUND((0.7*'16.08 KAMPALA-BUSUNJU-24h'!N65),0)</f>
        <v>0</v>
      </c>
      <c r="O65" s="15">
        <f t="shared" si="0"/>
        <v>0</v>
      </c>
      <c r="P65" s="15">
        <f t="shared" si="1"/>
        <v>8</v>
      </c>
      <c r="R65" s="8"/>
      <c r="T65"/>
    </row>
    <row r="66" spans="2:20" ht="23.1" customHeight="1" x14ac:dyDescent="0.25">
      <c r="B66" s="45" t="s">
        <v>103</v>
      </c>
      <c r="C66" s="50">
        <f>ROUND((0.7*'16.08 KAMPALA-BUSUNJU-24h'!C66),0)</f>
        <v>0</v>
      </c>
      <c r="D66" s="50">
        <f>ROUND((0.7*'16.08 KAMPALA-BUSUNJU-24h'!D66),0)</f>
        <v>0</v>
      </c>
      <c r="E66" s="50">
        <f>ROUND((0.7*'16.08 KAMPALA-BUSUNJU-24h'!E66),0)</f>
        <v>0</v>
      </c>
      <c r="F66" s="50">
        <f>ROUND((0.7*'16.08 KAMPALA-BUSUNJU-24h'!F66),0)</f>
        <v>0</v>
      </c>
      <c r="G66" s="50">
        <f>ROUND((0.7*'16.08 KAMPALA-BUSUNJU-24h'!G66),0)</f>
        <v>0</v>
      </c>
      <c r="H66" s="50">
        <f>ROUND((0.7*'16.08 KAMPALA-BUSUNJU-24h'!H66),0)</f>
        <v>0</v>
      </c>
      <c r="I66" s="50">
        <f>ROUND((0.7*'16.08 KAMPALA-BUSUNJU-24h'!I66),0)</f>
        <v>1</v>
      </c>
      <c r="J66" s="50">
        <f>ROUND((0.7*'16.08 KAMPALA-BUSUNJU-24h'!J66),0)</f>
        <v>0</v>
      </c>
      <c r="K66" s="50">
        <f>ROUND((0.7*'16.08 KAMPALA-BUSUNJU-24h'!K66),0)</f>
        <v>0</v>
      </c>
      <c r="L66" s="50">
        <f>ROUND((0.7*'16.08 KAMPALA-BUSUNJU-24h'!L66),0)</f>
        <v>0</v>
      </c>
      <c r="M66" s="50">
        <f>ROUND((0.7*'16.08 KAMPALA-BUSUNJU-24h'!M66),0)</f>
        <v>8</v>
      </c>
      <c r="N66" s="50">
        <f>ROUND((0.7*'16.08 KAMPALA-BUSUNJU-24h'!N66),0)</f>
        <v>0</v>
      </c>
      <c r="O66" s="15">
        <f t="shared" si="0"/>
        <v>1</v>
      </c>
      <c r="P66" s="15">
        <f t="shared" si="1"/>
        <v>9</v>
      </c>
      <c r="R66" s="8"/>
      <c r="T66"/>
    </row>
    <row r="67" spans="2:20" ht="23.1" customHeight="1" x14ac:dyDescent="0.25">
      <c r="B67" s="45" t="s">
        <v>104</v>
      </c>
      <c r="C67" s="50">
        <f>ROUND((0.7*'16.08 KAMPALA-BUSUNJU-24h'!C67),0)</f>
        <v>1</v>
      </c>
      <c r="D67" s="50">
        <f>ROUND((0.7*'16.08 KAMPALA-BUSUNJU-24h'!D67),0)</f>
        <v>0</v>
      </c>
      <c r="E67" s="50">
        <f>ROUND((0.7*'16.08 KAMPALA-BUSUNJU-24h'!E67),0)</f>
        <v>0</v>
      </c>
      <c r="F67" s="50">
        <f>ROUND((0.7*'16.08 KAMPALA-BUSUNJU-24h'!F67),0)</f>
        <v>0</v>
      </c>
      <c r="G67" s="50">
        <f>ROUND((0.7*'16.08 KAMPALA-BUSUNJU-24h'!G67),0)</f>
        <v>0</v>
      </c>
      <c r="H67" s="50">
        <f>ROUND((0.7*'16.08 KAMPALA-BUSUNJU-24h'!H67),0)</f>
        <v>0</v>
      </c>
      <c r="I67" s="50">
        <f>ROUND((0.7*'16.08 KAMPALA-BUSUNJU-24h'!I67),0)</f>
        <v>1</v>
      </c>
      <c r="J67" s="50">
        <f>ROUND((0.7*'16.08 KAMPALA-BUSUNJU-24h'!J67),0)</f>
        <v>0</v>
      </c>
      <c r="K67" s="50">
        <f>ROUND((0.7*'16.08 KAMPALA-BUSUNJU-24h'!K67),0)</f>
        <v>0</v>
      </c>
      <c r="L67" s="50">
        <f>ROUND((0.7*'16.08 KAMPALA-BUSUNJU-24h'!L67),0)</f>
        <v>0</v>
      </c>
      <c r="M67" s="50">
        <f>ROUND((0.7*'16.08 KAMPALA-BUSUNJU-24h'!M67),0)</f>
        <v>8</v>
      </c>
      <c r="N67" s="50">
        <f>ROUND((0.7*'16.08 KAMPALA-BUSUNJU-24h'!N67),0)</f>
        <v>0</v>
      </c>
      <c r="O67" s="15">
        <f t="shared" si="0"/>
        <v>2</v>
      </c>
      <c r="P67" s="15">
        <f t="shared" si="1"/>
        <v>10</v>
      </c>
      <c r="R67" s="8"/>
      <c r="T67"/>
    </row>
    <row r="68" spans="2:20" ht="23.1" customHeight="1" x14ac:dyDescent="0.25">
      <c r="B68" s="45" t="s">
        <v>105</v>
      </c>
      <c r="C68" s="50">
        <f>ROUND((0.7*'16.08 KAMPALA-BUSUNJU-24h'!C68),0)</f>
        <v>0</v>
      </c>
      <c r="D68" s="50">
        <f>ROUND((0.7*'16.08 KAMPALA-BUSUNJU-24h'!D68),0)</f>
        <v>0</v>
      </c>
      <c r="E68" s="50">
        <f>ROUND((0.7*'16.08 KAMPALA-BUSUNJU-24h'!E68),0)</f>
        <v>0</v>
      </c>
      <c r="F68" s="50">
        <f>ROUND((0.7*'16.08 KAMPALA-BUSUNJU-24h'!F68),0)</f>
        <v>0</v>
      </c>
      <c r="G68" s="50">
        <f>ROUND((0.7*'16.08 KAMPALA-BUSUNJU-24h'!G68),0)</f>
        <v>0</v>
      </c>
      <c r="H68" s="50">
        <f>ROUND((0.7*'16.08 KAMPALA-BUSUNJU-24h'!H68),0)</f>
        <v>0</v>
      </c>
      <c r="I68" s="50">
        <f>ROUND((0.7*'16.08 KAMPALA-BUSUNJU-24h'!I68),0)</f>
        <v>1</v>
      </c>
      <c r="J68" s="50">
        <f>ROUND((0.7*'16.08 KAMPALA-BUSUNJU-24h'!J68),0)</f>
        <v>0</v>
      </c>
      <c r="K68" s="50">
        <f>ROUND((0.7*'16.08 KAMPALA-BUSUNJU-24h'!K68),0)</f>
        <v>0</v>
      </c>
      <c r="L68" s="50">
        <f>ROUND((0.7*'16.08 KAMPALA-BUSUNJU-24h'!L68),0)</f>
        <v>0</v>
      </c>
      <c r="M68" s="50">
        <f>ROUND((0.7*'16.08 KAMPALA-BUSUNJU-24h'!M68),0)</f>
        <v>8</v>
      </c>
      <c r="N68" s="50">
        <f>ROUND((0.7*'16.08 KAMPALA-BUSUNJU-24h'!N68),0)</f>
        <v>0</v>
      </c>
      <c r="O68" s="15">
        <f t="shared" si="0"/>
        <v>1</v>
      </c>
      <c r="P68" s="15">
        <f t="shared" si="1"/>
        <v>9</v>
      </c>
      <c r="R68" s="8"/>
      <c r="T68"/>
    </row>
    <row r="69" spans="2:20" ht="23.1" customHeight="1" x14ac:dyDescent="0.25">
      <c r="B69" s="45" t="s">
        <v>106</v>
      </c>
      <c r="C69" s="50">
        <f>ROUND((0.7*'16.08 KAMPALA-BUSUNJU-24h'!C69),0)</f>
        <v>0</v>
      </c>
      <c r="D69" s="50">
        <f>ROUND((0.7*'16.08 KAMPALA-BUSUNJU-24h'!D69),0)</f>
        <v>0</v>
      </c>
      <c r="E69" s="50">
        <f>ROUND((0.7*'16.08 KAMPALA-BUSUNJU-24h'!E69),0)</f>
        <v>0</v>
      </c>
      <c r="F69" s="50">
        <f>ROUND((0.7*'16.08 KAMPALA-BUSUNJU-24h'!F69),0)</f>
        <v>0</v>
      </c>
      <c r="G69" s="50">
        <f>ROUND((0.7*'16.08 KAMPALA-BUSUNJU-24h'!G69),0)</f>
        <v>0</v>
      </c>
      <c r="H69" s="50">
        <f>ROUND((0.7*'16.08 KAMPALA-BUSUNJU-24h'!H69),0)</f>
        <v>0</v>
      </c>
      <c r="I69" s="50">
        <f>ROUND((0.7*'16.08 KAMPALA-BUSUNJU-24h'!I69),0)</f>
        <v>0</v>
      </c>
      <c r="J69" s="50">
        <f>ROUND((0.7*'16.08 KAMPALA-BUSUNJU-24h'!J69),0)</f>
        <v>0</v>
      </c>
      <c r="K69" s="50">
        <f>ROUND((0.7*'16.08 KAMPALA-BUSUNJU-24h'!K69),0)</f>
        <v>0</v>
      </c>
      <c r="L69" s="50">
        <f>ROUND((0.7*'16.08 KAMPALA-BUSUNJU-24h'!L69),0)</f>
        <v>0</v>
      </c>
      <c r="M69" s="50">
        <f>ROUND((0.7*'16.08 KAMPALA-BUSUNJU-24h'!M69),0)</f>
        <v>7</v>
      </c>
      <c r="N69" s="50">
        <f>ROUND((0.7*'16.08 KAMPALA-BUSUNJU-24h'!N69),0)</f>
        <v>0</v>
      </c>
      <c r="O69" s="15">
        <f t="shared" si="0"/>
        <v>0</v>
      </c>
      <c r="P69" s="15">
        <f t="shared" si="1"/>
        <v>7</v>
      </c>
      <c r="R69" s="8"/>
      <c r="T69"/>
    </row>
    <row r="70" spans="2:20" ht="23.1" customHeight="1" x14ac:dyDescent="0.25">
      <c r="B70" s="45" t="s">
        <v>110</v>
      </c>
      <c r="C70" s="50">
        <f>ROUND((0.7*'16.08 KAMPALA-BUSUNJU-24h'!C70),0)</f>
        <v>1</v>
      </c>
      <c r="D70" s="50">
        <f>ROUND((0.7*'16.08 KAMPALA-BUSUNJU-24h'!D70),0)</f>
        <v>0</v>
      </c>
      <c r="E70" s="50">
        <f>ROUND((0.7*'16.08 KAMPALA-BUSUNJU-24h'!E70),0)</f>
        <v>0</v>
      </c>
      <c r="F70" s="50">
        <f>ROUND((0.7*'16.08 KAMPALA-BUSUNJU-24h'!F70),0)</f>
        <v>0</v>
      </c>
      <c r="G70" s="50">
        <f>ROUND((0.7*'16.08 KAMPALA-BUSUNJU-24h'!G70),0)</f>
        <v>0</v>
      </c>
      <c r="H70" s="50">
        <f>ROUND((0.7*'16.08 KAMPALA-BUSUNJU-24h'!H70),0)</f>
        <v>0</v>
      </c>
      <c r="I70" s="50">
        <f>ROUND((0.7*'16.08 KAMPALA-BUSUNJU-24h'!I70),0)</f>
        <v>1</v>
      </c>
      <c r="J70" s="50">
        <f>ROUND((0.7*'16.08 KAMPALA-BUSUNJU-24h'!J70),0)</f>
        <v>0</v>
      </c>
      <c r="K70" s="50">
        <f>ROUND((0.7*'16.08 KAMPALA-BUSUNJU-24h'!K70),0)</f>
        <v>0</v>
      </c>
      <c r="L70" s="50">
        <f>ROUND((0.7*'16.08 KAMPALA-BUSUNJU-24h'!L70),0)</f>
        <v>0</v>
      </c>
      <c r="M70" s="50">
        <f>ROUND((0.7*'16.08 KAMPALA-BUSUNJU-24h'!M70),0)</f>
        <v>7</v>
      </c>
      <c r="N70" s="50">
        <f>ROUND((0.7*'16.08 KAMPALA-BUSUNJU-24h'!N70),0)</f>
        <v>0</v>
      </c>
      <c r="O70" s="15">
        <f t="shared" si="0"/>
        <v>2</v>
      </c>
      <c r="P70" s="15">
        <f t="shared" si="1"/>
        <v>9</v>
      </c>
      <c r="R70" s="8"/>
      <c r="T70"/>
    </row>
    <row r="71" spans="2:20" ht="23.1" customHeight="1" x14ac:dyDescent="0.25">
      <c r="B71" s="45" t="s">
        <v>111</v>
      </c>
      <c r="C71" s="50">
        <f>ROUND((0.7*'16.08 KAMPALA-BUSUNJU-24h'!C71),0)</f>
        <v>1</v>
      </c>
      <c r="D71" s="50">
        <f>ROUND((0.7*'16.08 KAMPALA-BUSUNJU-24h'!D71),0)</f>
        <v>0</v>
      </c>
      <c r="E71" s="50">
        <f>ROUND((0.7*'16.08 KAMPALA-BUSUNJU-24h'!E71),0)</f>
        <v>1</v>
      </c>
      <c r="F71" s="50">
        <f>ROUND((0.7*'16.08 KAMPALA-BUSUNJU-24h'!F71),0)</f>
        <v>0</v>
      </c>
      <c r="G71" s="50">
        <f>ROUND((0.7*'16.08 KAMPALA-BUSUNJU-24h'!G71),0)</f>
        <v>0</v>
      </c>
      <c r="H71" s="50">
        <f>ROUND((0.7*'16.08 KAMPALA-BUSUNJU-24h'!H71),0)</f>
        <v>0</v>
      </c>
      <c r="I71" s="50">
        <f>ROUND((0.7*'16.08 KAMPALA-BUSUNJU-24h'!I71),0)</f>
        <v>1</v>
      </c>
      <c r="J71" s="50">
        <f>ROUND((0.7*'16.08 KAMPALA-BUSUNJU-24h'!J71),0)</f>
        <v>0</v>
      </c>
      <c r="K71" s="50">
        <f>ROUND((0.7*'16.08 KAMPALA-BUSUNJU-24h'!K71),0)</f>
        <v>0</v>
      </c>
      <c r="L71" s="50">
        <f>ROUND((0.7*'16.08 KAMPALA-BUSUNJU-24h'!L71),0)</f>
        <v>0</v>
      </c>
      <c r="M71" s="50">
        <f>ROUND((0.7*'16.08 KAMPALA-BUSUNJU-24h'!M71),0)</f>
        <v>7</v>
      </c>
      <c r="N71" s="50">
        <f>ROUND((0.7*'16.08 KAMPALA-BUSUNJU-24h'!N71),0)</f>
        <v>0</v>
      </c>
      <c r="O71" s="15">
        <f t="shared" si="0"/>
        <v>3</v>
      </c>
      <c r="P71" s="15">
        <f t="shared" si="1"/>
        <v>10</v>
      </c>
      <c r="R71" s="8"/>
      <c r="T71"/>
    </row>
    <row r="72" spans="2:20" ht="23.1" customHeight="1" x14ac:dyDescent="0.25">
      <c r="B72" s="45" t="s">
        <v>112</v>
      </c>
      <c r="C72" s="50">
        <f>ROUND((0.7*'16.08 KAMPALA-BUSUNJU-24h'!C72),0)</f>
        <v>0</v>
      </c>
      <c r="D72" s="50">
        <f>ROUND((0.7*'16.08 KAMPALA-BUSUNJU-24h'!D72),0)</f>
        <v>0</v>
      </c>
      <c r="E72" s="50">
        <f>ROUND((0.7*'16.08 KAMPALA-BUSUNJU-24h'!E72),0)</f>
        <v>0</v>
      </c>
      <c r="F72" s="50">
        <f>ROUND((0.7*'16.08 KAMPALA-BUSUNJU-24h'!F72),0)</f>
        <v>0</v>
      </c>
      <c r="G72" s="50">
        <f>ROUND((0.7*'16.08 KAMPALA-BUSUNJU-24h'!G72),0)</f>
        <v>0</v>
      </c>
      <c r="H72" s="50">
        <f>ROUND((0.7*'16.08 KAMPALA-BUSUNJU-24h'!H72),0)</f>
        <v>0</v>
      </c>
      <c r="I72" s="50">
        <f>ROUND((0.7*'16.08 KAMPALA-BUSUNJU-24h'!I72),0)</f>
        <v>1</v>
      </c>
      <c r="J72" s="50">
        <f>ROUND((0.7*'16.08 KAMPALA-BUSUNJU-24h'!J72),0)</f>
        <v>0</v>
      </c>
      <c r="K72" s="50">
        <f>ROUND((0.7*'16.08 KAMPALA-BUSUNJU-24h'!K72),0)</f>
        <v>0</v>
      </c>
      <c r="L72" s="50">
        <f>ROUND((0.7*'16.08 KAMPALA-BUSUNJU-24h'!L72),0)</f>
        <v>0</v>
      </c>
      <c r="M72" s="50">
        <f>ROUND((0.7*'16.08 KAMPALA-BUSUNJU-24h'!M72),0)</f>
        <v>6</v>
      </c>
      <c r="N72" s="50">
        <f>ROUND((0.7*'16.08 KAMPALA-BUSUNJU-24h'!N72),0)</f>
        <v>0</v>
      </c>
      <c r="O72" s="15">
        <f t="shared" si="0"/>
        <v>1</v>
      </c>
      <c r="P72" s="15">
        <f t="shared" si="1"/>
        <v>7</v>
      </c>
      <c r="R72" s="8"/>
      <c r="T72"/>
    </row>
    <row r="73" spans="2:20" ht="23.1" customHeight="1" x14ac:dyDescent="0.25">
      <c r="B73" s="45" t="s">
        <v>113</v>
      </c>
      <c r="C73" s="50">
        <f>ROUND((0.7*'16.08 KAMPALA-BUSUNJU-24h'!C73),0)</f>
        <v>0</v>
      </c>
      <c r="D73" s="50">
        <f>ROUND((0.7*'16.08 KAMPALA-BUSUNJU-24h'!D73),0)</f>
        <v>0</v>
      </c>
      <c r="E73" s="50">
        <f>ROUND((0.7*'16.08 KAMPALA-BUSUNJU-24h'!E73),0)</f>
        <v>1</v>
      </c>
      <c r="F73" s="50">
        <f>ROUND((0.7*'16.08 KAMPALA-BUSUNJU-24h'!F73),0)</f>
        <v>0</v>
      </c>
      <c r="G73" s="50">
        <f>ROUND((0.7*'16.08 KAMPALA-BUSUNJU-24h'!G73),0)</f>
        <v>0</v>
      </c>
      <c r="H73" s="50">
        <f>ROUND((0.7*'16.08 KAMPALA-BUSUNJU-24h'!H73),0)</f>
        <v>0</v>
      </c>
      <c r="I73" s="50">
        <f>ROUND((0.7*'16.08 KAMPALA-BUSUNJU-24h'!I73),0)</f>
        <v>1</v>
      </c>
      <c r="J73" s="50">
        <f>ROUND((0.7*'16.08 KAMPALA-BUSUNJU-24h'!J73),0)</f>
        <v>0</v>
      </c>
      <c r="K73" s="50">
        <f>ROUND((0.7*'16.08 KAMPALA-BUSUNJU-24h'!K73),0)</f>
        <v>0</v>
      </c>
      <c r="L73" s="50">
        <f>ROUND((0.7*'16.08 KAMPALA-BUSUNJU-24h'!L73),0)</f>
        <v>0</v>
      </c>
      <c r="M73" s="50">
        <f>ROUND((0.7*'16.08 KAMPALA-BUSUNJU-24h'!M73),0)</f>
        <v>6</v>
      </c>
      <c r="N73" s="50">
        <f>ROUND((0.7*'16.08 KAMPALA-BUSUNJU-24h'!N73),0)</f>
        <v>0</v>
      </c>
      <c r="O73" s="15">
        <f t="shared" si="0"/>
        <v>2</v>
      </c>
      <c r="P73" s="15">
        <f t="shared" si="1"/>
        <v>8</v>
      </c>
      <c r="R73" s="8"/>
      <c r="T73"/>
    </row>
    <row r="74" spans="2:20" ht="23.1" customHeight="1" x14ac:dyDescent="0.25">
      <c r="B74" s="45" t="s">
        <v>114</v>
      </c>
      <c r="C74" s="50">
        <f>ROUND((0.7*'16.08 KAMPALA-BUSUNJU-24h'!C74),0)</f>
        <v>1</v>
      </c>
      <c r="D74" s="50">
        <f>ROUND((0.7*'16.08 KAMPALA-BUSUNJU-24h'!D74),0)</f>
        <v>0</v>
      </c>
      <c r="E74" s="50">
        <f>ROUND((0.7*'16.08 KAMPALA-BUSUNJU-24h'!E74),0)</f>
        <v>1</v>
      </c>
      <c r="F74" s="50">
        <f>ROUND((0.7*'16.08 KAMPALA-BUSUNJU-24h'!F74),0)</f>
        <v>0</v>
      </c>
      <c r="G74" s="50">
        <f>ROUND((0.7*'16.08 KAMPALA-BUSUNJU-24h'!G74),0)</f>
        <v>0</v>
      </c>
      <c r="H74" s="50">
        <f>ROUND((0.7*'16.08 KAMPALA-BUSUNJU-24h'!H74),0)</f>
        <v>0</v>
      </c>
      <c r="I74" s="50">
        <f>ROUND((0.7*'16.08 KAMPALA-BUSUNJU-24h'!I74),0)</f>
        <v>1</v>
      </c>
      <c r="J74" s="50">
        <f>ROUND((0.7*'16.08 KAMPALA-BUSUNJU-24h'!J74),0)</f>
        <v>0</v>
      </c>
      <c r="K74" s="50">
        <f>ROUND((0.7*'16.08 KAMPALA-BUSUNJU-24h'!K74),0)</f>
        <v>0</v>
      </c>
      <c r="L74" s="50">
        <f>ROUND((0.7*'16.08 KAMPALA-BUSUNJU-24h'!L74),0)</f>
        <v>0</v>
      </c>
      <c r="M74" s="50">
        <f>ROUND((0.7*'16.08 KAMPALA-BUSUNJU-24h'!M74),0)</f>
        <v>6</v>
      </c>
      <c r="N74" s="50">
        <f>ROUND((0.7*'16.08 KAMPALA-BUSUNJU-24h'!N74),0)</f>
        <v>0</v>
      </c>
      <c r="O74" s="15">
        <f t="shared" ref="O74:O105" si="35">SUM(C74:L74,N74)</f>
        <v>3</v>
      </c>
      <c r="P74" s="15">
        <f t="shared" ref="P74:P105" si="36">SUM(C74:N74)</f>
        <v>9</v>
      </c>
      <c r="R74" s="8"/>
      <c r="T74"/>
    </row>
    <row r="75" spans="2:20" ht="23.1" customHeight="1" x14ac:dyDescent="0.25">
      <c r="B75" s="45" t="s">
        <v>115</v>
      </c>
      <c r="C75" s="50">
        <f>ROUND((0.7*'16.08 KAMPALA-BUSUNJU-24h'!C75),0)</f>
        <v>1</v>
      </c>
      <c r="D75" s="50">
        <f>ROUND((0.7*'16.08 KAMPALA-BUSUNJU-24h'!D75),0)</f>
        <v>0</v>
      </c>
      <c r="E75" s="50">
        <f>ROUND((0.7*'16.08 KAMPALA-BUSUNJU-24h'!E75),0)</f>
        <v>1</v>
      </c>
      <c r="F75" s="50">
        <f>ROUND((0.7*'16.08 KAMPALA-BUSUNJU-24h'!F75),0)</f>
        <v>0</v>
      </c>
      <c r="G75" s="50">
        <f>ROUND((0.7*'16.08 KAMPALA-BUSUNJU-24h'!G75),0)</f>
        <v>0</v>
      </c>
      <c r="H75" s="50">
        <f>ROUND((0.7*'16.08 KAMPALA-BUSUNJU-24h'!H75),0)</f>
        <v>0</v>
      </c>
      <c r="I75" s="50">
        <f>ROUND((0.7*'16.08 KAMPALA-BUSUNJU-24h'!I75),0)</f>
        <v>0</v>
      </c>
      <c r="J75" s="50">
        <f>ROUND((0.7*'16.08 KAMPALA-BUSUNJU-24h'!J75),0)</f>
        <v>0</v>
      </c>
      <c r="K75" s="50">
        <f>ROUND((0.7*'16.08 KAMPALA-BUSUNJU-24h'!K75),0)</f>
        <v>0</v>
      </c>
      <c r="L75" s="50">
        <f>ROUND((0.7*'16.08 KAMPALA-BUSUNJU-24h'!L75),0)</f>
        <v>0</v>
      </c>
      <c r="M75" s="50">
        <f>ROUND((0.7*'16.08 KAMPALA-BUSUNJU-24h'!M75),0)</f>
        <v>6</v>
      </c>
      <c r="N75" s="50">
        <f>ROUND((0.7*'16.08 KAMPALA-BUSUNJU-24h'!N75),0)</f>
        <v>0</v>
      </c>
      <c r="O75" s="15">
        <f t="shared" si="35"/>
        <v>2</v>
      </c>
      <c r="P75" s="15">
        <f t="shared" si="36"/>
        <v>8</v>
      </c>
      <c r="R75" s="8"/>
      <c r="T75"/>
    </row>
    <row r="76" spans="2:20" ht="23.1" customHeight="1" x14ac:dyDescent="0.25">
      <c r="B76" s="45" t="s">
        <v>116</v>
      </c>
      <c r="C76" s="50">
        <f>ROUND((0.7*'16.08 KAMPALA-BUSUNJU-24h'!C76),0)</f>
        <v>1</v>
      </c>
      <c r="D76" s="50">
        <f>ROUND((0.7*'16.08 KAMPALA-BUSUNJU-24h'!D76),0)</f>
        <v>0</v>
      </c>
      <c r="E76" s="50">
        <f>ROUND((0.7*'16.08 KAMPALA-BUSUNJU-24h'!E76),0)</f>
        <v>1</v>
      </c>
      <c r="F76" s="50">
        <f>ROUND((0.7*'16.08 KAMPALA-BUSUNJU-24h'!F76),0)</f>
        <v>0</v>
      </c>
      <c r="G76" s="50">
        <f>ROUND((0.7*'16.08 KAMPALA-BUSUNJU-24h'!G76),0)</f>
        <v>0</v>
      </c>
      <c r="H76" s="50">
        <f>ROUND((0.7*'16.08 KAMPALA-BUSUNJU-24h'!H76),0)</f>
        <v>0</v>
      </c>
      <c r="I76" s="50">
        <f>ROUND((0.7*'16.08 KAMPALA-BUSUNJU-24h'!I76),0)</f>
        <v>1</v>
      </c>
      <c r="J76" s="50">
        <f>ROUND((0.7*'16.08 KAMPALA-BUSUNJU-24h'!J76),0)</f>
        <v>0</v>
      </c>
      <c r="K76" s="50">
        <f>ROUND((0.7*'16.08 KAMPALA-BUSUNJU-24h'!K76),0)</f>
        <v>0</v>
      </c>
      <c r="L76" s="50">
        <f>ROUND((0.7*'16.08 KAMPALA-BUSUNJU-24h'!L76),0)</f>
        <v>0</v>
      </c>
      <c r="M76" s="50">
        <f>ROUND((0.7*'16.08 KAMPALA-BUSUNJU-24h'!M76),0)</f>
        <v>7</v>
      </c>
      <c r="N76" s="50">
        <f>ROUND((0.7*'16.08 KAMPALA-BUSUNJU-24h'!N76),0)</f>
        <v>0</v>
      </c>
      <c r="O76" s="15">
        <f t="shared" si="35"/>
        <v>3</v>
      </c>
      <c r="P76" s="15">
        <f t="shared" si="36"/>
        <v>10</v>
      </c>
      <c r="R76" s="8"/>
      <c r="T76"/>
    </row>
    <row r="77" spans="2:20" ht="23.1" customHeight="1" x14ac:dyDescent="0.25">
      <c r="B77" s="45" t="s">
        <v>117</v>
      </c>
      <c r="C77" s="50">
        <f>ROUND((0.7*'16.08 KAMPALA-BUSUNJU-24h'!C77),0)</f>
        <v>1</v>
      </c>
      <c r="D77" s="50">
        <f>ROUND((0.7*'16.08 KAMPALA-BUSUNJU-24h'!D77),0)</f>
        <v>0</v>
      </c>
      <c r="E77" s="50">
        <f>ROUND((0.7*'16.08 KAMPALA-BUSUNJU-24h'!E77),0)</f>
        <v>1</v>
      </c>
      <c r="F77" s="50">
        <f>ROUND((0.7*'16.08 KAMPALA-BUSUNJU-24h'!F77),0)</f>
        <v>0</v>
      </c>
      <c r="G77" s="50">
        <f>ROUND((0.7*'16.08 KAMPALA-BUSUNJU-24h'!G77),0)</f>
        <v>0</v>
      </c>
      <c r="H77" s="50">
        <f>ROUND((0.7*'16.08 KAMPALA-BUSUNJU-24h'!H77),0)</f>
        <v>0</v>
      </c>
      <c r="I77" s="50">
        <f>ROUND((0.7*'16.08 KAMPALA-BUSUNJU-24h'!I77),0)</f>
        <v>1</v>
      </c>
      <c r="J77" s="50">
        <f>ROUND((0.7*'16.08 KAMPALA-BUSUNJU-24h'!J77),0)</f>
        <v>0</v>
      </c>
      <c r="K77" s="50">
        <f>ROUND((0.7*'16.08 KAMPALA-BUSUNJU-24h'!K77),0)</f>
        <v>0</v>
      </c>
      <c r="L77" s="50">
        <f>ROUND((0.7*'16.08 KAMPALA-BUSUNJU-24h'!L77),0)</f>
        <v>0</v>
      </c>
      <c r="M77" s="50">
        <f>ROUND((0.7*'16.08 KAMPALA-BUSUNJU-24h'!M77),0)</f>
        <v>6</v>
      </c>
      <c r="N77" s="50">
        <f>ROUND((0.7*'16.08 KAMPALA-BUSUNJU-24h'!N77),0)</f>
        <v>0</v>
      </c>
      <c r="O77" s="15">
        <f t="shared" si="35"/>
        <v>3</v>
      </c>
      <c r="P77" s="15">
        <f t="shared" si="36"/>
        <v>9</v>
      </c>
      <c r="R77" s="8"/>
      <c r="T77"/>
    </row>
    <row r="78" spans="2:20" ht="23.1" customHeight="1" x14ac:dyDescent="0.25">
      <c r="B78" s="46" t="s">
        <v>118</v>
      </c>
      <c r="C78" s="50">
        <f>ROUND((0.7*'16.08 KAMPALA-BUSUNJU-24h'!C78),0)</f>
        <v>1</v>
      </c>
      <c r="D78" s="50">
        <f>ROUND((0.7*'16.08 KAMPALA-BUSUNJU-24h'!D78),0)</f>
        <v>0</v>
      </c>
      <c r="E78" s="50">
        <f>ROUND((0.7*'16.08 KAMPALA-BUSUNJU-24h'!E78),0)</f>
        <v>0</v>
      </c>
      <c r="F78" s="50">
        <f>ROUND((0.7*'16.08 KAMPALA-BUSUNJU-24h'!F78),0)</f>
        <v>0</v>
      </c>
      <c r="G78" s="50">
        <f>ROUND((0.7*'16.08 KAMPALA-BUSUNJU-24h'!G78),0)</f>
        <v>0</v>
      </c>
      <c r="H78" s="50">
        <f>ROUND((0.7*'16.08 KAMPALA-BUSUNJU-24h'!H78),0)</f>
        <v>0</v>
      </c>
      <c r="I78" s="50">
        <f>ROUND((0.7*'16.08 KAMPALA-BUSUNJU-24h'!I78),0)</f>
        <v>1</v>
      </c>
      <c r="J78" s="50">
        <f>ROUND((0.7*'16.08 KAMPALA-BUSUNJU-24h'!J78),0)</f>
        <v>0</v>
      </c>
      <c r="K78" s="50">
        <f>ROUND((0.7*'16.08 KAMPALA-BUSUNJU-24h'!K78),0)</f>
        <v>0</v>
      </c>
      <c r="L78" s="50">
        <f>ROUND((0.7*'16.08 KAMPALA-BUSUNJU-24h'!L78),0)</f>
        <v>0</v>
      </c>
      <c r="M78" s="50">
        <f>ROUND((0.7*'16.08 KAMPALA-BUSUNJU-24h'!M78),0)</f>
        <v>6</v>
      </c>
      <c r="N78" s="50">
        <f>ROUND((0.7*'16.08 KAMPALA-BUSUNJU-24h'!N78),0)</f>
        <v>0</v>
      </c>
      <c r="O78" s="15">
        <f t="shared" si="35"/>
        <v>2</v>
      </c>
      <c r="P78" s="15">
        <f t="shared" si="36"/>
        <v>8</v>
      </c>
      <c r="R78" s="8"/>
      <c r="T78"/>
    </row>
    <row r="79" spans="2:20" ht="23.1" customHeight="1" x14ac:dyDescent="0.25">
      <c r="B79" s="45" t="s">
        <v>119</v>
      </c>
      <c r="C79" s="50">
        <f>ROUND((0.7*'16.08 KAMPALA-BUSUNJU-24h'!C79),0)</f>
        <v>0</v>
      </c>
      <c r="D79" s="50">
        <f>ROUND((0.7*'16.08 KAMPALA-BUSUNJU-24h'!D79),0)</f>
        <v>0</v>
      </c>
      <c r="E79" s="50">
        <f>ROUND((0.7*'16.08 KAMPALA-BUSUNJU-24h'!E79),0)</f>
        <v>1</v>
      </c>
      <c r="F79" s="50">
        <f>ROUND((0.7*'16.08 KAMPALA-BUSUNJU-24h'!F79),0)</f>
        <v>0</v>
      </c>
      <c r="G79" s="50">
        <f>ROUND((0.7*'16.08 KAMPALA-BUSUNJU-24h'!G79),0)</f>
        <v>0</v>
      </c>
      <c r="H79" s="50">
        <f>ROUND((0.7*'16.08 KAMPALA-BUSUNJU-24h'!H79),0)</f>
        <v>0</v>
      </c>
      <c r="I79" s="50">
        <f>ROUND((0.7*'16.08 KAMPALA-BUSUNJU-24h'!I79),0)</f>
        <v>1</v>
      </c>
      <c r="J79" s="50">
        <f>ROUND((0.7*'16.08 KAMPALA-BUSUNJU-24h'!J79),0)</f>
        <v>0</v>
      </c>
      <c r="K79" s="50">
        <f>ROUND((0.7*'16.08 KAMPALA-BUSUNJU-24h'!K79),0)</f>
        <v>0</v>
      </c>
      <c r="L79" s="50">
        <f>ROUND((0.7*'16.08 KAMPALA-BUSUNJU-24h'!L79),0)</f>
        <v>0</v>
      </c>
      <c r="M79" s="50">
        <f>ROUND((0.7*'16.08 KAMPALA-BUSUNJU-24h'!M79),0)</f>
        <v>4</v>
      </c>
      <c r="N79" s="50">
        <f>ROUND((0.7*'16.08 KAMPALA-BUSUNJU-24h'!N79),0)</f>
        <v>0</v>
      </c>
      <c r="O79" s="15">
        <f t="shared" si="35"/>
        <v>2</v>
      </c>
      <c r="P79" s="15">
        <f t="shared" si="36"/>
        <v>6</v>
      </c>
      <c r="R79" s="8"/>
      <c r="T79"/>
    </row>
    <row r="80" spans="2:20" ht="23.1" customHeight="1" x14ac:dyDescent="0.25">
      <c r="B80" s="47" t="s">
        <v>120</v>
      </c>
      <c r="C80" s="50">
        <f>ROUND((0.7*'16.08 KAMPALA-BUSUNJU-24h'!C80),0)</f>
        <v>0</v>
      </c>
      <c r="D80" s="50">
        <f>ROUND((0.7*'16.08 KAMPALA-BUSUNJU-24h'!D80),0)</f>
        <v>0</v>
      </c>
      <c r="E80" s="50">
        <f>ROUND((0.7*'16.08 KAMPALA-BUSUNJU-24h'!E80),0)</f>
        <v>0</v>
      </c>
      <c r="F80" s="50">
        <f>ROUND((0.7*'16.08 KAMPALA-BUSUNJU-24h'!F80),0)</f>
        <v>0</v>
      </c>
      <c r="G80" s="50">
        <f>ROUND((0.7*'16.08 KAMPALA-BUSUNJU-24h'!G80),0)</f>
        <v>0</v>
      </c>
      <c r="H80" s="50">
        <f>ROUND((0.7*'16.08 KAMPALA-BUSUNJU-24h'!H80),0)</f>
        <v>0</v>
      </c>
      <c r="I80" s="50">
        <f>ROUND((0.7*'16.08 KAMPALA-BUSUNJU-24h'!I80),0)</f>
        <v>0</v>
      </c>
      <c r="J80" s="50">
        <f>ROUND((0.7*'16.08 KAMPALA-BUSUNJU-24h'!J80),0)</f>
        <v>0</v>
      </c>
      <c r="K80" s="50">
        <f>ROUND((0.7*'16.08 KAMPALA-BUSUNJU-24h'!K80),0)</f>
        <v>0</v>
      </c>
      <c r="L80" s="50">
        <f>ROUND((0.7*'16.08 KAMPALA-BUSUNJU-24h'!L80),0)</f>
        <v>0</v>
      </c>
      <c r="M80" s="50">
        <f>ROUND((0.7*'16.08 KAMPALA-BUSUNJU-24h'!M80),0)</f>
        <v>4</v>
      </c>
      <c r="N80" s="50">
        <f>ROUND((0.7*'16.08 KAMPALA-BUSUNJU-24h'!N80),0)</f>
        <v>0</v>
      </c>
      <c r="O80" s="15">
        <f t="shared" si="35"/>
        <v>0</v>
      </c>
      <c r="P80" s="15">
        <f t="shared" si="36"/>
        <v>4</v>
      </c>
      <c r="R80" s="8"/>
      <c r="T80"/>
    </row>
    <row r="81" spans="2:20" ht="23.1" customHeight="1" x14ac:dyDescent="0.25">
      <c r="B81" s="45" t="s">
        <v>121</v>
      </c>
      <c r="C81" s="50">
        <f>ROUND((0.7*'16.08 KAMPALA-BUSUNJU-24h'!C81),0)</f>
        <v>0</v>
      </c>
      <c r="D81" s="50">
        <f>ROUND((0.7*'16.08 KAMPALA-BUSUNJU-24h'!D81),0)</f>
        <v>0</v>
      </c>
      <c r="E81" s="50">
        <f>ROUND((0.7*'16.08 KAMPALA-BUSUNJU-24h'!E81),0)</f>
        <v>1</v>
      </c>
      <c r="F81" s="50">
        <f>ROUND((0.7*'16.08 KAMPALA-BUSUNJU-24h'!F81),0)</f>
        <v>0</v>
      </c>
      <c r="G81" s="50">
        <f>ROUND((0.7*'16.08 KAMPALA-BUSUNJU-24h'!G81),0)</f>
        <v>0</v>
      </c>
      <c r="H81" s="50">
        <f>ROUND((0.7*'16.08 KAMPALA-BUSUNJU-24h'!H81),0)</f>
        <v>0</v>
      </c>
      <c r="I81" s="50">
        <f>ROUND((0.7*'16.08 KAMPALA-BUSUNJU-24h'!I81),0)</f>
        <v>0</v>
      </c>
      <c r="J81" s="50">
        <f>ROUND((0.7*'16.08 KAMPALA-BUSUNJU-24h'!J81),0)</f>
        <v>0</v>
      </c>
      <c r="K81" s="50">
        <f>ROUND((0.7*'16.08 KAMPALA-BUSUNJU-24h'!K81),0)</f>
        <v>0</v>
      </c>
      <c r="L81" s="50">
        <f>ROUND((0.7*'16.08 KAMPALA-BUSUNJU-24h'!L81),0)</f>
        <v>0</v>
      </c>
      <c r="M81" s="50">
        <f>ROUND((0.7*'16.08 KAMPALA-BUSUNJU-24h'!M81),0)</f>
        <v>5</v>
      </c>
      <c r="N81" s="50">
        <f>ROUND((0.7*'16.08 KAMPALA-BUSUNJU-24h'!N81),0)</f>
        <v>0</v>
      </c>
      <c r="O81" s="15">
        <f t="shared" si="35"/>
        <v>1</v>
      </c>
      <c r="P81" s="15">
        <f t="shared" si="36"/>
        <v>6</v>
      </c>
      <c r="R81" s="8"/>
      <c r="T81"/>
    </row>
    <row r="82" spans="2:20" ht="23.1" customHeight="1" x14ac:dyDescent="0.25">
      <c r="B82" s="46" t="s">
        <v>122</v>
      </c>
      <c r="C82" s="50">
        <f>ROUND((0.7*'16.08 KAMPALA-BUSUNJU-24h'!C82),0)</f>
        <v>1</v>
      </c>
      <c r="D82" s="50">
        <f>ROUND((0.7*'16.08 KAMPALA-BUSUNJU-24h'!D82),0)</f>
        <v>0</v>
      </c>
      <c r="E82" s="50">
        <f>ROUND((0.7*'16.08 KAMPALA-BUSUNJU-24h'!E82),0)</f>
        <v>0</v>
      </c>
      <c r="F82" s="50">
        <f>ROUND((0.7*'16.08 KAMPALA-BUSUNJU-24h'!F82),0)</f>
        <v>0</v>
      </c>
      <c r="G82" s="50">
        <f>ROUND((0.7*'16.08 KAMPALA-BUSUNJU-24h'!G82),0)</f>
        <v>0</v>
      </c>
      <c r="H82" s="50">
        <f>ROUND((0.7*'16.08 KAMPALA-BUSUNJU-24h'!H82),0)</f>
        <v>0</v>
      </c>
      <c r="I82" s="50">
        <f>ROUND((0.7*'16.08 KAMPALA-BUSUNJU-24h'!I82),0)</f>
        <v>1</v>
      </c>
      <c r="J82" s="50">
        <f>ROUND((0.7*'16.08 KAMPALA-BUSUNJU-24h'!J82),0)</f>
        <v>0</v>
      </c>
      <c r="K82" s="50">
        <f>ROUND((0.7*'16.08 KAMPALA-BUSUNJU-24h'!K82),0)</f>
        <v>0</v>
      </c>
      <c r="L82" s="50">
        <f>ROUND((0.7*'16.08 KAMPALA-BUSUNJU-24h'!L82),0)</f>
        <v>0</v>
      </c>
      <c r="M82" s="50">
        <f>ROUND((0.7*'16.08 KAMPALA-BUSUNJU-24h'!M82),0)</f>
        <v>4</v>
      </c>
      <c r="N82" s="50">
        <f>ROUND((0.7*'16.08 KAMPALA-BUSUNJU-24h'!N82),0)</f>
        <v>0</v>
      </c>
      <c r="O82" s="15">
        <f t="shared" si="35"/>
        <v>2</v>
      </c>
      <c r="P82" s="15">
        <f t="shared" si="36"/>
        <v>6</v>
      </c>
      <c r="R82" s="8"/>
      <c r="T82"/>
    </row>
    <row r="83" spans="2:20" ht="23.1" customHeight="1" x14ac:dyDescent="0.25">
      <c r="B83" s="45" t="s">
        <v>123</v>
      </c>
      <c r="C83" s="50">
        <f>ROUND((0.7*'16.08 KAMPALA-BUSUNJU-24h'!C83),0)</f>
        <v>0</v>
      </c>
      <c r="D83" s="50">
        <f>ROUND((0.7*'16.08 KAMPALA-BUSUNJU-24h'!D83),0)</f>
        <v>0</v>
      </c>
      <c r="E83" s="50">
        <f>ROUND((0.7*'16.08 KAMPALA-BUSUNJU-24h'!E83),0)</f>
        <v>0</v>
      </c>
      <c r="F83" s="50">
        <f>ROUND((0.7*'16.08 KAMPALA-BUSUNJU-24h'!F83),0)</f>
        <v>0</v>
      </c>
      <c r="G83" s="50">
        <f>ROUND((0.7*'16.08 KAMPALA-BUSUNJU-24h'!G83),0)</f>
        <v>0</v>
      </c>
      <c r="H83" s="50">
        <f>ROUND((0.7*'16.08 KAMPALA-BUSUNJU-24h'!H83),0)</f>
        <v>0</v>
      </c>
      <c r="I83" s="50">
        <f>ROUND((0.7*'16.08 KAMPALA-BUSUNJU-24h'!I83),0)</f>
        <v>0</v>
      </c>
      <c r="J83" s="50">
        <f>ROUND((0.7*'16.08 KAMPALA-BUSUNJU-24h'!J83),0)</f>
        <v>0</v>
      </c>
      <c r="K83" s="50">
        <f>ROUND((0.7*'16.08 KAMPALA-BUSUNJU-24h'!K83),0)</f>
        <v>0</v>
      </c>
      <c r="L83" s="50">
        <f>ROUND((0.7*'16.08 KAMPALA-BUSUNJU-24h'!L83),0)</f>
        <v>0</v>
      </c>
      <c r="M83" s="50">
        <f>ROUND((0.7*'16.08 KAMPALA-BUSUNJU-24h'!M83),0)</f>
        <v>4</v>
      </c>
      <c r="N83" s="50">
        <f>ROUND((0.7*'16.08 KAMPALA-BUSUNJU-24h'!N83),0)</f>
        <v>0</v>
      </c>
      <c r="O83" s="15">
        <f t="shared" si="35"/>
        <v>0</v>
      </c>
      <c r="P83" s="15">
        <f t="shared" si="36"/>
        <v>4</v>
      </c>
      <c r="R83" s="8"/>
      <c r="T83"/>
    </row>
    <row r="84" spans="2:20" ht="23.1" customHeight="1" x14ac:dyDescent="0.25">
      <c r="B84" s="47" t="s">
        <v>124</v>
      </c>
      <c r="C84" s="50">
        <f>ROUND((0.7*'16.08 KAMPALA-BUSUNJU-24h'!C84),0)</f>
        <v>0</v>
      </c>
      <c r="D84" s="50">
        <f>ROUND((0.7*'16.08 KAMPALA-BUSUNJU-24h'!D84),0)</f>
        <v>0</v>
      </c>
      <c r="E84" s="50">
        <f>ROUND((0.7*'16.08 KAMPALA-BUSUNJU-24h'!E84),0)</f>
        <v>0</v>
      </c>
      <c r="F84" s="50">
        <f>ROUND((0.7*'16.08 KAMPALA-BUSUNJU-24h'!F84),0)</f>
        <v>0</v>
      </c>
      <c r="G84" s="50">
        <f>ROUND((0.7*'16.08 KAMPALA-BUSUNJU-24h'!G84),0)</f>
        <v>0</v>
      </c>
      <c r="H84" s="50">
        <f>ROUND((0.7*'16.08 KAMPALA-BUSUNJU-24h'!H84),0)</f>
        <v>0</v>
      </c>
      <c r="I84" s="50">
        <f>ROUND((0.7*'16.08 KAMPALA-BUSUNJU-24h'!I84),0)</f>
        <v>1</v>
      </c>
      <c r="J84" s="50">
        <f>ROUND((0.7*'16.08 KAMPALA-BUSUNJU-24h'!J84),0)</f>
        <v>0</v>
      </c>
      <c r="K84" s="50">
        <f>ROUND((0.7*'16.08 KAMPALA-BUSUNJU-24h'!K84),0)</f>
        <v>0</v>
      </c>
      <c r="L84" s="50">
        <f>ROUND((0.7*'16.08 KAMPALA-BUSUNJU-24h'!L84),0)</f>
        <v>0</v>
      </c>
      <c r="M84" s="50">
        <f>ROUND((0.7*'16.08 KAMPALA-BUSUNJU-24h'!M84),0)</f>
        <v>4</v>
      </c>
      <c r="N84" s="50">
        <f>ROUND((0.7*'16.08 KAMPALA-BUSUNJU-24h'!N84),0)</f>
        <v>0</v>
      </c>
      <c r="O84" s="15">
        <f t="shared" si="35"/>
        <v>1</v>
      </c>
      <c r="P84" s="15">
        <f t="shared" si="36"/>
        <v>5</v>
      </c>
      <c r="R84" s="8"/>
      <c r="T84"/>
    </row>
    <row r="85" spans="2:20" ht="23.1" customHeight="1" x14ac:dyDescent="0.25">
      <c r="B85" s="45" t="s">
        <v>125</v>
      </c>
      <c r="C85" s="50">
        <f>ROUND((0.7*'16.08 KAMPALA-BUSUNJU-24h'!C85),0)</f>
        <v>1</v>
      </c>
      <c r="D85" s="50">
        <f>ROUND((0.7*'16.08 KAMPALA-BUSUNJU-24h'!D85),0)</f>
        <v>0</v>
      </c>
      <c r="E85" s="50">
        <f>ROUND((0.7*'16.08 KAMPALA-BUSUNJU-24h'!E85),0)</f>
        <v>0</v>
      </c>
      <c r="F85" s="50">
        <f>ROUND((0.7*'16.08 KAMPALA-BUSUNJU-24h'!F85),0)</f>
        <v>0</v>
      </c>
      <c r="G85" s="50">
        <f>ROUND((0.7*'16.08 KAMPALA-BUSUNJU-24h'!G85),0)</f>
        <v>0</v>
      </c>
      <c r="H85" s="50">
        <f>ROUND((0.7*'16.08 KAMPALA-BUSUNJU-24h'!H85),0)</f>
        <v>0</v>
      </c>
      <c r="I85" s="50">
        <f>ROUND((0.7*'16.08 KAMPALA-BUSUNJU-24h'!I85),0)</f>
        <v>0</v>
      </c>
      <c r="J85" s="50">
        <f>ROUND((0.7*'16.08 KAMPALA-BUSUNJU-24h'!J85),0)</f>
        <v>0</v>
      </c>
      <c r="K85" s="50">
        <f>ROUND((0.7*'16.08 KAMPALA-BUSUNJU-24h'!K85),0)</f>
        <v>0</v>
      </c>
      <c r="L85" s="50">
        <f>ROUND((0.7*'16.08 KAMPALA-BUSUNJU-24h'!L85),0)</f>
        <v>0</v>
      </c>
      <c r="M85" s="50">
        <f>ROUND((0.7*'16.08 KAMPALA-BUSUNJU-24h'!M85),0)</f>
        <v>4</v>
      </c>
      <c r="N85" s="50">
        <f>ROUND((0.7*'16.08 KAMPALA-BUSUNJU-24h'!N85),0)</f>
        <v>0</v>
      </c>
      <c r="O85" s="15">
        <f t="shared" si="35"/>
        <v>1</v>
      </c>
      <c r="P85" s="15">
        <f t="shared" si="36"/>
        <v>5</v>
      </c>
      <c r="R85" s="8"/>
      <c r="T85"/>
    </row>
    <row r="86" spans="2:20" ht="23.1" customHeight="1" x14ac:dyDescent="0.25">
      <c r="B86" s="46" t="s">
        <v>126</v>
      </c>
      <c r="C86" s="50">
        <f>ROUND((0.7*'16.08 KAMPALA-BUSUNJU-24h'!C86),0)</f>
        <v>0</v>
      </c>
      <c r="D86" s="50">
        <f>ROUND((0.7*'16.08 KAMPALA-BUSUNJU-24h'!D86),0)</f>
        <v>0</v>
      </c>
      <c r="E86" s="50">
        <f>ROUND((0.7*'16.08 KAMPALA-BUSUNJU-24h'!E86),0)</f>
        <v>0</v>
      </c>
      <c r="F86" s="50">
        <f>ROUND((0.7*'16.08 KAMPALA-BUSUNJU-24h'!F86),0)</f>
        <v>0</v>
      </c>
      <c r="G86" s="50">
        <f>ROUND((0.7*'16.08 KAMPALA-BUSUNJU-24h'!G86),0)</f>
        <v>0</v>
      </c>
      <c r="H86" s="50">
        <f>ROUND((0.7*'16.08 KAMPALA-BUSUNJU-24h'!H86),0)</f>
        <v>0</v>
      </c>
      <c r="I86" s="50">
        <f>ROUND((0.7*'16.08 KAMPALA-BUSUNJU-24h'!I86),0)</f>
        <v>0</v>
      </c>
      <c r="J86" s="50">
        <f>ROUND((0.7*'16.08 KAMPALA-BUSUNJU-24h'!J86),0)</f>
        <v>0</v>
      </c>
      <c r="K86" s="50">
        <f>ROUND((0.7*'16.08 KAMPALA-BUSUNJU-24h'!K86),0)</f>
        <v>0</v>
      </c>
      <c r="L86" s="50">
        <f>ROUND((0.7*'16.08 KAMPALA-BUSUNJU-24h'!L86),0)</f>
        <v>0</v>
      </c>
      <c r="M86" s="50">
        <f>ROUND((0.7*'16.08 KAMPALA-BUSUNJU-24h'!M86),0)</f>
        <v>5</v>
      </c>
      <c r="N86" s="50">
        <f>ROUND((0.7*'16.08 KAMPALA-BUSUNJU-24h'!N86),0)</f>
        <v>0</v>
      </c>
      <c r="O86" s="15">
        <f t="shared" si="35"/>
        <v>0</v>
      </c>
      <c r="P86" s="15">
        <f t="shared" si="36"/>
        <v>5</v>
      </c>
      <c r="R86" s="8"/>
      <c r="T86"/>
    </row>
    <row r="87" spans="2:20" ht="23.1" customHeight="1" x14ac:dyDescent="0.25">
      <c r="B87" s="45" t="s">
        <v>127</v>
      </c>
      <c r="C87" s="50">
        <f>ROUND((0.7*'16.08 KAMPALA-BUSUNJU-24h'!C87),0)</f>
        <v>0</v>
      </c>
      <c r="D87" s="50">
        <f>ROUND((0.7*'16.08 KAMPALA-BUSUNJU-24h'!D87),0)</f>
        <v>0</v>
      </c>
      <c r="E87" s="50">
        <f>ROUND((0.7*'16.08 KAMPALA-BUSUNJU-24h'!E87),0)</f>
        <v>0</v>
      </c>
      <c r="F87" s="50">
        <f>ROUND((0.7*'16.08 KAMPALA-BUSUNJU-24h'!F87),0)</f>
        <v>0</v>
      </c>
      <c r="G87" s="50">
        <f>ROUND((0.7*'16.08 KAMPALA-BUSUNJU-24h'!G87),0)</f>
        <v>0</v>
      </c>
      <c r="H87" s="50">
        <f>ROUND((0.7*'16.08 KAMPALA-BUSUNJU-24h'!H87),0)</f>
        <v>0</v>
      </c>
      <c r="I87" s="50">
        <f>ROUND((0.7*'16.08 KAMPALA-BUSUNJU-24h'!I87),0)</f>
        <v>1</v>
      </c>
      <c r="J87" s="50">
        <f>ROUND((0.7*'16.08 KAMPALA-BUSUNJU-24h'!J87),0)</f>
        <v>0</v>
      </c>
      <c r="K87" s="50">
        <f>ROUND((0.7*'16.08 KAMPALA-BUSUNJU-24h'!K87),0)</f>
        <v>0</v>
      </c>
      <c r="L87" s="50">
        <f>ROUND((0.7*'16.08 KAMPALA-BUSUNJU-24h'!L87),0)</f>
        <v>0</v>
      </c>
      <c r="M87" s="50">
        <f>ROUND((0.7*'16.08 KAMPALA-BUSUNJU-24h'!M87),0)</f>
        <v>4</v>
      </c>
      <c r="N87" s="50">
        <f>ROUND((0.7*'16.08 KAMPALA-BUSUNJU-24h'!N87),0)</f>
        <v>0</v>
      </c>
      <c r="O87" s="15">
        <f t="shared" si="35"/>
        <v>1</v>
      </c>
      <c r="P87" s="15">
        <f t="shared" si="36"/>
        <v>5</v>
      </c>
      <c r="R87" s="8"/>
      <c r="T87"/>
    </row>
    <row r="88" spans="2:20" ht="23.1" customHeight="1" x14ac:dyDescent="0.25">
      <c r="B88" s="47" t="s">
        <v>128</v>
      </c>
      <c r="C88" s="50">
        <f>ROUND((0.7*'16.08 KAMPALA-BUSUNJU-24h'!C88),0)</f>
        <v>0</v>
      </c>
      <c r="D88" s="50">
        <f>ROUND((0.7*'16.08 KAMPALA-BUSUNJU-24h'!D88),0)</f>
        <v>0</v>
      </c>
      <c r="E88" s="50">
        <f>ROUND((0.7*'16.08 KAMPALA-BUSUNJU-24h'!E88),0)</f>
        <v>0</v>
      </c>
      <c r="F88" s="50">
        <f>ROUND((0.7*'16.08 KAMPALA-BUSUNJU-24h'!F88),0)</f>
        <v>0</v>
      </c>
      <c r="G88" s="50">
        <f>ROUND((0.7*'16.08 KAMPALA-BUSUNJU-24h'!G88),0)</f>
        <v>0</v>
      </c>
      <c r="H88" s="50">
        <f>ROUND((0.7*'16.08 KAMPALA-BUSUNJU-24h'!H88),0)</f>
        <v>0</v>
      </c>
      <c r="I88" s="50">
        <f>ROUND((0.7*'16.08 KAMPALA-BUSUNJU-24h'!I88),0)</f>
        <v>1</v>
      </c>
      <c r="J88" s="50">
        <f>ROUND((0.7*'16.08 KAMPALA-BUSUNJU-24h'!J88),0)</f>
        <v>0</v>
      </c>
      <c r="K88" s="50">
        <f>ROUND((0.7*'16.08 KAMPALA-BUSUNJU-24h'!K88),0)</f>
        <v>0</v>
      </c>
      <c r="L88" s="50">
        <f>ROUND((0.7*'16.08 KAMPALA-BUSUNJU-24h'!L88),0)</f>
        <v>0</v>
      </c>
      <c r="M88" s="50">
        <f>ROUND((0.7*'16.08 KAMPALA-BUSUNJU-24h'!M88),0)</f>
        <v>4</v>
      </c>
      <c r="N88" s="50">
        <f>ROUND((0.7*'16.08 KAMPALA-BUSUNJU-24h'!N88),0)</f>
        <v>0</v>
      </c>
      <c r="O88" s="15">
        <f t="shared" si="35"/>
        <v>1</v>
      </c>
      <c r="P88" s="15">
        <f t="shared" si="36"/>
        <v>5</v>
      </c>
      <c r="R88" s="8"/>
      <c r="T88"/>
    </row>
    <row r="89" spans="2:20" ht="23.1" customHeight="1" x14ac:dyDescent="0.25">
      <c r="B89" s="45" t="s">
        <v>129</v>
      </c>
      <c r="C89" s="50">
        <f>ROUND((0.7*'16.08 KAMPALA-BUSUNJU-24h'!C89),0)</f>
        <v>0</v>
      </c>
      <c r="D89" s="50">
        <f>ROUND((0.7*'16.08 KAMPALA-BUSUNJU-24h'!D89),0)</f>
        <v>0</v>
      </c>
      <c r="E89" s="50">
        <f>ROUND((0.7*'16.08 KAMPALA-BUSUNJU-24h'!E89),0)</f>
        <v>0</v>
      </c>
      <c r="F89" s="50">
        <f>ROUND((0.7*'16.08 KAMPALA-BUSUNJU-24h'!F89),0)</f>
        <v>0</v>
      </c>
      <c r="G89" s="50">
        <f>ROUND((0.7*'16.08 KAMPALA-BUSUNJU-24h'!G89),0)</f>
        <v>0</v>
      </c>
      <c r="H89" s="50">
        <f>ROUND((0.7*'16.08 KAMPALA-BUSUNJU-24h'!H89),0)</f>
        <v>0</v>
      </c>
      <c r="I89" s="50">
        <f>ROUND((0.7*'16.08 KAMPALA-BUSUNJU-24h'!I89),0)</f>
        <v>1</v>
      </c>
      <c r="J89" s="50">
        <f>ROUND((0.7*'16.08 KAMPALA-BUSUNJU-24h'!J89),0)</f>
        <v>0</v>
      </c>
      <c r="K89" s="50">
        <f>ROUND((0.7*'16.08 KAMPALA-BUSUNJU-24h'!K89),0)</f>
        <v>0</v>
      </c>
      <c r="L89" s="50">
        <f>ROUND((0.7*'16.08 KAMPALA-BUSUNJU-24h'!L89),0)</f>
        <v>0</v>
      </c>
      <c r="M89" s="50">
        <f>ROUND((0.7*'16.08 KAMPALA-BUSUNJU-24h'!M89),0)</f>
        <v>4</v>
      </c>
      <c r="N89" s="50">
        <f>ROUND((0.7*'16.08 KAMPALA-BUSUNJU-24h'!N89),0)</f>
        <v>0</v>
      </c>
      <c r="O89" s="15">
        <f t="shared" si="35"/>
        <v>1</v>
      </c>
      <c r="P89" s="15">
        <f t="shared" si="36"/>
        <v>5</v>
      </c>
      <c r="R89" s="8"/>
      <c r="T89"/>
    </row>
    <row r="90" spans="2:20" ht="23.1" customHeight="1" x14ac:dyDescent="0.25">
      <c r="B90" s="46" t="s">
        <v>130</v>
      </c>
      <c r="C90" s="50">
        <f>ROUND((0.7*'16.08 KAMPALA-BUSUNJU-24h'!C90),0)</f>
        <v>0</v>
      </c>
      <c r="D90" s="50">
        <f>ROUND((0.7*'16.08 KAMPALA-BUSUNJU-24h'!D90),0)</f>
        <v>0</v>
      </c>
      <c r="E90" s="50">
        <f>ROUND((0.7*'16.08 KAMPALA-BUSUNJU-24h'!E90),0)</f>
        <v>0</v>
      </c>
      <c r="F90" s="50">
        <f>ROUND((0.7*'16.08 KAMPALA-BUSUNJU-24h'!F90),0)</f>
        <v>0</v>
      </c>
      <c r="G90" s="50">
        <f>ROUND((0.7*'16.08 KAMPALA-BUSUNJU-24h'!G90),0)</f>
        <v>0</v>
      </c>
      <c r="H90" s="50">
        <f>ROUND((0.7*'16.08 KAMPALA-BUSUNJU-24h'!H90),0)</f>
        <v>0</v>
      </c>
      <c r="I90" s="50">
        <f>ROUND((0.7*'16.08 KAMPALA-BUSUNJU-24h'!I90),0)</f>
        <v>0</v>
      </c>
      <c r="J90" s="50">
        <f>ROUND((0.7*'16.08 KAMPALA-BUSUNJU-24h'!J90),0)</f>
        <v>0</v>
      </c>
      <c r="K90" s="50">
        <f>ROUND((0.7*'16.08 KAMPALA-BUSUNJU-24h'!K90),0)</f>
        <v>0</v>
      </c>
      <c r="L90" s="50">
        <f>ROUND((0.7*'16.08 KAMPALA-BUSUNJU-24h'!L90),0)</f>
        <v>0</v>
      </c>
      <c r="M90" s="50">
        <f>ROUND((0.7*'16.08 KAMPALA-BUSUNJU-24h'!M90),0)</f>
        <v>2</v>
      </c>
      <c r="N90" s="50">
        <f>ROUND((0.7*'16.08 KAMPALA-BUSUNJU-24h'!N90),0)</f>
        <v>0</v>
      </c>
      <c r="O90" s="15">
        <f t="shared" si="35"/>
        <v>0</v>
      </c>
      <c r="P90" s="15">
        <f t="shared" si="36"/>
        <v>2</v>
      </c>
      <c r="R90" s="8"/>
      <c r="T90"/>
    </row>
    <row r="91" spans="2:20" ht="23.1" customHeight="1" x14ac:dyDescent="0.25">
      <c r="B91" s="45" t="s">
        <v>131</v>
      </c>
      <c r="C91" s="50">
        <f>ROUND((0.7*'16.08 KAMPALA-BUSUNJU-24h'!C91),0)</f>
        <v>0</v>
      </c>
      <c r="D91" s="50">
        <f>ROUND((0.7*'16.08 KAMPALA-BUSUNJU-24h'!D91),0)</f>
        <v>0</v>
      </c>
      <c r="E91" s="50">
        <f>ROUND((0.7*'16.08 KAMPALA-BUSUNJU-24h'!E91),0)</f>
        <v>0</v>
      </c>
      <c r="F91" s="50">
        <f>ROUND((0.7*'16.08 KAMPALA-BUSUNJU-24h'!F91),0)</f>
        <v>0</v>
      </c>
      <c r="G91" s="50">
        <f>ROUND((0.7*'16.08 KAMPALA-BUSUNJU-24h'!G91),0)</f>
        <v>0</v>
      </c>
      <c r="H91" s="50">
        <f>ROUND((0.7*'16.08 KAMPALA-BUSUNJU-24h'!H91),0)</f>
        <v>0</v>
      </c>
      <c r="I91" s="50">
        <f>ROUND((0.7*'16.08 KAMPALA-BUSUNJU-24h'!I91),0)</f>
        <v>0</v>
      </c>
      <c r="J91" s="50">
        <f>ROUND((0.7*'16.08 KAMPALA-BUSUNJU-24h'!J91),0)</f>
        <v>0</v>
      </c>
      <c r="K91" s="50">
        <f>ROUND((0.7*'16.08 KAMPALA-BUSUNJU-24h'!K91),0)</f>
        <v>0</v>
      </c>
      <c r="L91" s="50">
        <f>ROUND((0.7*'16.08 KAMPALA-BUSUNJU-24h'!L91),0)</f>
        <v>0</v>
      </c>
      <c r="M91" s="50">
        <f>ROUND((0.7*'16.08 KAMPALA-BUSUNJU-24h'!M91),0)</f>
        <v>2</v>
      </c>
      <c r="N91" s="50">
        <f>ROUND((0.7*'16.08 KAMPALA-BUSUNJU-24h'!N91),0)</f>
        <v>0</v>
      </c>
      <c r="O91" s="15">
        <f t="shared" si="35"/>
        <v>0</v>
      </c>
      <c r="P91" s="15">
        <f t="shared" si="36"/>
        <v>2</v>
      </c>
      <c r="R91" s="8"/>
      <c r="T91"/>
    </row>
    <row r="92" spans="2:20" ht="23.1" customHeight="1" x14ac:dyDescent="0.25">
      <c r="B92" s="47" t="s">
        <v>132</v>
      </c>
      <c r="C92" s="50">
        <f>ROUND((0.7*'16.08 KAMPALA-BUSUNJU-24h'!C92),0)</f>
        <v>0</v>
      </c>
      <c r="D92" s="50">
        <f>ROUND((0.7*'16.08 KAMPALA-BUSUNJU-24h'!D92),0)</f>
        <v>0</v>
      </c>
      <c r="E92" s="50">
        <f>ROUND((0.7*'16.08 KAMPALA-BUSUNJU-24h'!E92),0)</f>
        <v>0</v>
      </c>
      <c r="F92" s="50">
        <f>ROUND((0.7*'16.08 KAMPALA-BUSUNJU-24h'!F92),0)</f>
        <v>0</v>
      </c>
      <c r="G92" s="50">
        <f>ROUND((0.7*'16.08 KAMPALA-BUSUNJU-24h'!G92),0)</f>
        <v>0</v>
      </c>
      <c r="H92" s="50">
        <f>ROUND((0.7*'16.08 KAMPALA-BUSUNJU-24h'!H92),0)</f>
        <v>0</v>
      </c>
      <c r="I92" s="50">
        <f>ROUND((0.7*'16.08 KAMPALA-BUSUNJU-24h'!I92),0)</f>
        <v>0</v>
      </c>
      <c r="J92" s="50">
        <f>ROUND((0.7*'16.08 KAMPALA-BUSUNJU-24h'!J92),0)</f>
        <v>0</v>
      </c>
      <c r="K92" s="50">
        <f>ROUND((0.7*'16.08 KAMPALA-BUSUNJU-24h'!K92),0)</f>
        <v>0</v>
      </c>
      <c r="L92" s="50">
        <f>ROUND((0.7*'16.08 KAMPALA-BUSUNJU-24h'!L92),0)</f>
        <v>0</v>
      </c>
      <c r="M92" s="50">
        <f>ROUND((0.7*'16.08 KAMPALA-BUSUNJU-24h'!M92),0)</f>
        <v>1</v>
      </c>
      <c r="N92" s="50">
        <f>ROUND((0.7*'16.08 KAMPALA-BUSUNJU-24h'!N92),0)</f>
        <v>0</v>
      </c>
      <c r="O92" s="15">
        <f t="shared" si="35"/>
        <v>0</v>
      </c>
      <c r="P92" s="15">
        <f t="shared" si="36"/>
        <v>1</v>
      </c>
      <c r="R92" s="8"/>
      <c r="T92"/>
    </row>
    <row r="93" spans="2:20" ht="23.1" customHeight="1" x14ac:dyDescent="0.25">
      <c r="B93" s="45" t="s">
        <v>133</v>
      </c>
      <c r="C93" s="50">
        <f>ROUND((0.7*'16.08 KAMPALA-BUSUNJU-24h'!C93),0)</f>
        <v>0</v>
      </c>
      <c r="D93" s="50">
        <f>ROUND((0.7*'16.08 KAMPALA-BUSUNJU-24h'!D93),0)</f>
        <v>0</v>
      </c>
      <c r="E93" s="50">
        <f>ROUND((0.7*'16.08 KAMPALA-BUSUNJU-24h'!E93),0)</f>
        <v>0</v>
      </c>
      <c r="F93" s="50">
        <f>ROUND((0.7*'16.08 KAMPALA-BUSUNJU-24h'!F93),0)</f>
        <v>0</v>
      </c>
      <c r="G93" s="50">
        <f>ROUND((0.7*'16.08 KAMPALA-BUSUNJU-24h'!G93),0)</f>
        <v>0</v>
      </c>
      <c r="H93" s="50">
        <f>ROUND((0.7*'16.08 KAMPALA-BUSUNJU-24h'!H93),0)</f>
        <v>0</v>
      </c>
      <c r="I93" s="50">
        <f>ROUND((0.7*'16.08 KAMPALA-BUSUNJU-24h'!I93),0)</f>
        <v>0</v>
      </c>
      <c r="J93" s="50">
        <f>ROUND((0.7*'16.08 KAMPALA-BUSUNJU-24h'!J93),0)</f>
        <v>0</v>
      </c>
      <c r="K93" s="50">
        <f>ROUND((0.7*'16.08 KAMPALA-BUSUNJU-24h'!K93),0)</f>
        <v>0</v>
      </c>
      <c r="L93" s="50">
        <f>ROUND((0.7*'16.08 KAMPALA-BUSUNJU-24h'!L93),0)</f>
        <v>0</v>
      </c>
      <c r="M93" s="50">
        <f>ROUND((0.7*'16.08 KAMPALA-BUSUNJU-24h'!M93),0)</f>
        <v>2</v>
      </c>
      <c r="N93" s="50">
        <f>ROUND((0.7*'16.08 KAMPALA-BUSUNJU-24h'!N93),0)</f>
        <v>0</v>
      </c>
      <c r="O93" s="15">
        <f t="shared" si="35"/>
        <v>0</v>
      </c>
      <c r="P93" s="15">
        <f t="shared" si="36"/>
        <v>2</v>
      </c>
      <c r="R93" s="8"/>
      <c r="T93"/>
    </row>
    <row r="94" spans="2:20" ht="23.1" customHeight="1" x14ac:dyDescent="0.25">
      <c r="B94" s="46" t="s">
        <v>134</v>
      </c>
      <c r="C94" s="50">
        <f>ROUND((0.7*'16.08 KAMPALA-BUSUNJU-24h'!C94),0)</f>
        <v>0</v>
      </c>
      <c r="D94" s="50">
        <f>ROUND((0.7*'16.08 KAMPALA-BUSUNJU-24h'!D94),0)</f>
        <v>0</v>
      </c>
      <c r="E94" s="50">
        <f>ROUND((0.7*'16.08 KAMPALA-BUSUNJU-24h'!E94),0)</f>
        <v>0</v>
      </c>
      <c r="F94" s="50">
        <f>ROUND((0.7*'16.08 KAMPALA-BUSUNJU-24h'!F94),0)</f>
        <v>0</v>
      </c>
      <c r="G94" s="50">
        <f>ROUND((0.7*'16.08 KAMPALA-BUSUNJU-24h'!G94),0)</f>
        <v>0</v>
      </c>
      <c r="H94" s="50">
        <f>ROUND((0.7*'16.08 KAMPALA-BUSUNJU-24h'!H94),0)</f>
        <v>0</v>
      </c>
      <c r="I94" s="50">
        <f>ROUND((0.7*'16.08 KAMPALA-BUSUNJU-24h'!I94),0)</f>
        <v>0</v>
      </c>
      <c r="J94" s="50">
        <f>ROUND((0.7*'16.08 KAMPALA-BUSUNJU-24h'!J94),0)</f>
        <v>0</v>
      </c>
      <c r="K94" s="50">
        <f>ROUND((0.7*'16.08 KAMPALA-BUSUNJU-24h'!K94),0)</f>
        <v>0</v>
      </c>
      <c r="L94" s="50">
        <f>ROUND((0.7*'16.08 KAMPALA-BUSUNJU-24h'!L94),0)</f>
        <v>0</v>
      </c>
      <c r="M94" s="50">
        <f>ROUND((0.7*'16.08 KAMPALA-BUSUNJU-24h'!M94),0)</f>
        <v>2</v>
      </c>
      <c r="N94" s="50">
        <f>ROUND((0.7*'16.08 KAMPALA-BUSUNJU-24h'!N94),0)</f>
        <v>0</v>
      </c>
      <c r="O94" s="15">
        <f t="shared" si="35"/>
        <v>0</v>
      </c>
      <c r="P94" s="15">
        <f t="shared" si="36"/>
        <v>2</v>
      </c>
      <c r="R94" s="8"/>
      <c r="T94"/>
    </row>
    <row r="95" spans="2:20" ht="23.1" customHeight="1" x14ac:dyDescent="0.25">
      <c r="B95" s="45" t="s">
        <v>135</v>
      </c>
      <c r="C95" s="50">
        <f>ROUND((0.7*'16.08 KAMPALA-BUSUNJU-24h'!C95),0)</f>
        <v>0</v>
      </c>
      <c r="D95" s="50">
        <f>ROUND((0.7*'16.08 KAMPALA-BUSUNJU-24h'!D95),0)</f>
        <v>0</v>
      </c>
      <c r="E95" s="50">
        <f>ROUND((0.7*'16.08 KAMPALA-BUSUNJU-24h'!E95),0)</f>
        <v>0</v>
      </c>
      <c r="F95" s="50">
        <f>ROUND((0.7*'16.08 KAMPALA-BUSUNJU-24h'!F95),0)</f>
        <v>0</v>
      </c>
      <c r="G95" s="50">
        <f>ROUND((0.7*'16.08 KAMPALA-BUSUNJU-24h'!G95),0)</f>
        <v>0</v>
      </c>
      <c r="H95" s="50">
        <f>ROUND((0.7*'16.08 KAMPALA-BUSUNJU-24h'!H95),0)</f>
        <v>0</v>
      </c>
      <c r="I95" s="50">
        <f>ROUND((0.7*'16.08 KAMPALA-BUSUNJU-24h'!I95),0)</f>
        <v>0</v>
      </c>
      <c r="J95" s="50">
        <f>ROUND((0.7*'16.08 KAMPALA-BUSUNJU-24h'!J95),0)</f>
        <v>0</v>
      </c>
      <c r="K95" s="50">
        <f>ROUND((0.7*'16.08 KAMPALA-BUSUNJU-24h'!K95),0)</f>
        <v>0</v>
      </c>
      <c r="L95" s="50">
        <f>ROUND((0.7*'16.08 KAMPALA-BUSUNJU-24h'!L95),0)</f>
        <v>0</v>
      </c>
      <c r="M95" s="50">
        <f>ROUND((0.7*'16.08 KAMPALA-BUSUNJU-24h'!M95),0)</f>
        <v>2</v>
      </c>
      <c r="N95" s="50">
        <f>ROUND((0.7*'16.08 KAMPALA-BUSUNJU-24h'!N95),0)</f>
        <v>0</v>
      </c>
      <c r="O95" s="15">
        <f t="shared" si="35"/>
        <v>0</v>
      </c>
      <c r="P95" s="15">
        <f t="shared" si="36"/>
        <v>2</v>
      </c>
      <c r="R95" s="8"/>
      <c r="T95"/>
    </row>
    <row r="96" spans="2:20" ht="23.1" customHeight="1" x14ac:dyDescent="0.25">
      <c r="B96" s="47" t="s">
        <v>136</v>
      </c>
      <c r="C96" s="50">
        <f>ROUND((0.7*'16.08 KAMPALA-BUSUNJU-24h'!C96),0)</f>
        <v>0</v>
      </c>
      <c r="D96" s="50">
        <f>ROUND((0.7*'16.08 KAMPALA-BUSUNJU-24h'!D96),0)</f>
        <v>0</v>
      </c>
      <c r="E96" s="50">
        <f>ROUND((0.7*'16.08 KAMPALA-BUSUNJU-24h'!E96),0)</f>
        <v>0</v>
      </c>
      <c r="F96" s="50">
        <f>ROUND((0.7*'16.08 KAMPALA-BUSUNJU-24h'!F96),0)</f>
        <v>0</v>
      </c>
      <c r="G96" s="50">
        <f>ROUND((0.7*'16.08 KAMPALA-BUSUNJU-24h'!G96),0)</f>
        <v>0</v>
      </c>
      <c r="H96" s="50">
        <f>ROUND((0.7*'16.08 KAMPALA-BUSUNJU-24h'!H96),0)</f>
        <v>0</v>
      </c>
      <c r="I96" s="50">
        <f>ROUND((0.7*'16.08 KAMPALA-BUSUNJU-24h'!I96),0)</f>
        <v>0</v>
      </c>
      <c r="J96" s="50">
        <f>ROUND((0.7*'16.08 KAMPALA-BUSUNJU-24h'!J96),0)</f>
        <v>0</v>
      </c>
      <c r="K96" s="50">
        <f>ROUND((0.7*'16.08 KAMPALA-BUSUNJU-24h'!K96),0)</f>
        <v>0</v>
      </c>
      <c r="L96" s="50">
        <f>ROUND((0.7*'16.08 KAMPALA-BUSUNJU-24h'!L96),0)</f>
        <v>0</v>
      </c>
      <c r="M96" s="50">
        <f>ROUND((0.7*'16.08 KAMPALA-BUSUNJU-24h'!M96),0)</f>
        <v>2</v>
      </c>
      <c r="N96" s="50">
        <f>ROUND((0.7*'16.08 KAMPALA-BUSUNJU-24h'!N96),0)</f>
        <v>0</v>
      </c>
      <c r="O96" s="15">
        <f t="shared" si="35"/>
        <v>0</v>
      </c>
      <c r="P96" s="15">
        <f t="shared" si="36"/>
        <v>2</v>
      </c>
      <c r="R96" s="8"/>
      <c r="T96"/>
    </row>
    <row r="97" spans="2:20" ht="23.1" customHeight="1" x14ac:dyDescent="0.25">
      <c r="B97" s="45" t="s">
        <v>137</v>
      </c>
      <c r="C97" s="50">
        <f>ROUND((0.7*'16.08 KAMPALA-BUSUNJU-24h'!C97),0)</f>
        <v>1</v>
      </c>
      <c r="D97" s="50">
        <f>ROUND((0.7*'16.08 KAMPALA-BUSUNJU-24h'!D97),0)</f>
        <v>0</v>
      </c>
      <c r="E97" s="50">
        <f>ROUND((0.7*'16.08 KAMPALA-BUSUNJU-24h'!E97),0)</f>
        <v>1</v>
      </c>
      <c r="F97" s="50">
        <f>ROUND((0.7*'16.08 KAMPALA-BUSUNJU-24h'!F97),0)</f>
        <v>0</v>
      </c>
      <c r="G97" s="50">
        <f>ROUND((0.7*'16.08 KAMPALA-BUSUNJU-24h'!G97),0)</f>
        <v>0</v>
      </c>
      <c r="H97" s="50">
        <f>ROUND((0.7*'16.08 KAMPALA-BUSUNJU-24h'!H97),0)</f>
        <v>0</v>
      </c>
      <c r="I97" s="50">
        <f>ROUND((0.7*'16.08 KAMPALA-BUSUNJU-24h'!I97),0)</f>
        <v>1</v>
      </c>
      <c r="J97" s="50">
        <f>ROUND((0.7*'16.08 KAMPALA-BUSUNJU-24h'!J97),0)</f>
        <v>0</v>
      </c>
      <c r="K97" s="50">
        <f>ROUND((0.7*'16.08 KAMPALA-BUSUNJU-24h'!K97),0)</f>
        <v>0</v>
      </c>
      <c r="L97" s="50">
        <f>ROUND((0.7*'16.08 KAMPALA-BUSUNJU-24h'!L97),0)</f>
        <v>0</v>
      </c>
      <c r="M97" s="50">
        <f>ROUND((0.7*'16.08 KAMPALA-BUSUNJU-24h'!M97),0)</f>
        <v>6</v>
      </c>
      <c r="N97" s="50">
        <f>ROUND((0.7*'16.08 KAMPALA-BUSUNJU-24h'!N97),0)</f>
        <v>0</v>
      </c>
      <c r="O97" s="15">
        <f t="shared" si="35"/>
        <v>3</v>
      </c>
      <c r="P97" s="15">
        <f t="shared" si="36"/>
        <v>9</v>
      </c>
      <c r="R97" s="8"/>
      <c r="T97"/>
    </row>
    <row r="98" spans="2:20" ht="23.1" customHeight="1" x14ac:dyDescent="0.25">
      <c r="B98" s="46" t="s">
        <v>138</v>
      </c>
      <c r="C98" s="50">
        <f>ROUND((0.7*'16.08 KAMPALA-BUSUNJU-24h'!C98),0)</f>
        <v>1</v>
      </c>
      <c r="D98" s="50">
        <f>ROUND((0.7*'16.08 KAMPALA-BUSUNJU-24h'!D98),0)</f>
        <v>0</v>
      </c>
      <c r="E98" s="50">
        <f>ROUND((0.7*'16.08 KAMPALA-BUSUNJU-24h'!E98),0)</f>
        <v>1</v>
      </c>
      <c r="F98" s="50">
        <f>ROUND((0.7*'16.08 KAMPALA-BUSUNJU-24h'!F98),0)</f>
        <v>0</v>
      </c>
      <c r="G98" s="50">
        <f>ROUND((0.7*'16.08 KAMPALA-BUSUNJU-24h'!G98),0)</f>
        <v>0</v>
      </c>
      <c r="H98" s="50">
        <f>ROUND((0.7*'16.08 KAMPALA-BUSUNJU-24h'!H98),0)</f>
        <v>0</v>
      </c>
      <c r="I98" s="50">
        <f>ROUND((0.7*'16.08 KAMPALA-BUSUNJU-24h'!I98),0)</f>
        <v>1</v>
      </c>
      <c r="J98" s="50">
        <f>ROUND((0.7*'16.08 KAMPALA-BUSUNJU-24h'!J98),0)</f>
        <v>0</v>
      </c>
      <c r="K98" s="50">
        <f>ROUND((0.7*'16.08 KAMPALA-BUSUNJU-24h'!K98),0)</f>
        <v>0</v>
      </c>
      <c r="L98" s="50">
        <f>ROUND((0.7*'16.08 KAMPALA-BUSUNJU-24h'!L98),0)</f>
        <v>0</v>
      </c>
      <c r="M98" s="50">
        <f>ROUND((0.7*'16.08 KAMPALA-BUSUNJU-24h'!M98),0)</f>
        <v>8</v>
      </c>
      <c r="N98" s="50">
        <f>ROUND((0.7*'16.08 KAMPALA-BUSUNJU-24h'!N98),0)</f>
        <v>0</v>
      </c>
      <c r="O98" s="15">
        <f t="shared" si="35"/>
        <v>3</v>
      </c>
      <c r="P98" s="15">
        <f t="shared" si="36"/>
        <v>11</v>
      </c>
      <c r="R98" s="8"/>
      <c r="T98"/>
    </row>
    <row r="99" spans="2:20" ht="23.1" customHeight="1" x14ac:dyDescent="0.25">
      <c r="B99" s="45" t="s">
        <v>139</v>
      </c>
      <c r="C99" s="50">
        <f>ROUND((0.7*'16.08 KAMPALA-BUSUNJU-24h'!C99),0)</f>
        <v>0</v>
      </c>
      <c r="D99" s="50">
        <f>ROUND((0.7*'16.08 KAMPALA-BUSUNJU-24h'!D99),0)</f>
        <v>0</v>
      </c>
      <c r="E99" s="50">
        <f>ROUND((0.7*'16.08 KAMPALA-BUSUNJU-24h'!E99),0)</f>
        <v>1</v>
      </c>
      <c r="F99" s="50">
        <f>ROUND((0.7*'16.08 KAMPALA-BUSUNJU-24h'!F99),0)</f>
        <v>1</v>
      </c>
      <c r="G99" s="50">
        <f>ROUND((0.7*'16.08 KAMPALA-BUSUNJU-24h'!G99),0)</f>
        <v>0</v>
      </c>
      <c r="H99" s="50">
        <f>ROUND((0.7*'16.08 KAMPALA-BUSUNJU-24h'!H99),0)</f>
        <v>0</v>
      </c>
      <c r="I99" s="50">
        <f>ROUND((0.7*'16.08 KAMPALA-BUSUNJU-24h'!I99),0)</f>
        <v>1</v>
      </c>
      <c r="J99" s="50">
        <f>ROUND((0.7*'16.08 KAMPALA-BUSUNJU-24h'!J99),0)</f>
        <v>0</v>
      </c>
      <c r="K99" s="50">
        <f>ROUND((0.7*'16.08 KAMPALA-BUSUNJU-24h'!K99),0)</f>
        <v>0</v>
      </c>
      <c r="L99" s="50">
        <f>ROUND((0.7*'16.08 KAMPALA-BUSUNJU-24h'!L99),0)</f>
        <v>0</v>
      </c>
      <c r="M99" s="50">
        <f>ROUND((0.7*'16.08 KAMPALA-BUSUNJU-24h'!M99),0)</f>
        <v>8</v>
      </c>
      <c r="N99" s="50">
        <f>ROUND((0.7*'16.08 KAMPALA-BUSUNJU-24h'!N99),0)</f>
        <v>0</v>
      </c>
      <c r="O99" s="15">
        <f t="shared" si="35"/>
        <v>3</v>
      </c>
      <c r="P99" s="15">
        <f t="shared" si="36"/>
        <v>11</v>
      </c>
      <c r="R99" s="8"/>
      <c r="T99"/>
    </row>
    <row r="100" spans="2:20" ht="23.1" customHeight="1" x14ac:dyDescent="0.25">
      <c r="B100" s="47" t="s">
        <v>140</v>
      </c>
      <c r="C100" s="50">
        <f>ROUND((0.7*'16.08 KAMPALA-BUSUNJU-24h'!C100),0)</f>
        <v>1</v>
      </c>
      <c r="D100" s="50">
        <f>ROUND((0.7*'16.08 KAMPALA-BUSUNJU-24h'!D100),0)</f>
        <v>0</v>
      </c>
      <c r="E100" s="50">
        <f>ROUND((0.7*'16.08 KAMPALA-BUSUNJU-24h'!E100),0)</f>
        <v>0</v>
      </c>
      <c r="F100" s="50">
        <f>ROUND((0.7*'16.08 KAMPALA-BUSUNJU-24h'!F100),0)</f>
        <v>1</v>
      </c>
      <c r="G100" s="50">
        <f>ROUND((0.7*'16.08 KAMPALA-BUSUNJU-24h'!G100),0)</f>
        <v>0</v>
      </c>
      <c r="H100" s="50">
        <f>ROUND((0.7*'16.08 KAMPALA-BUSUNJU-24h'!H100),0)</f>
        <v>0</v>
      </c>
      <c r="I100" s="50">
        <f>ROUND((0.7*'16.08 KAMPALA-BUSUNJU-24h'!I100),0)</f>
        <v>0</v>
      </c>
      <c r="J100" s="50">
        <f>ROUND((0.7*'16.08 KAMPALA-BUSUNJU-24h'!J100),0)</f>
        <v>0</v>
      </c>
      <c r="K100" s="50">
        <f>ROUND((0.7*'16.08 KAMPALA-BUSUNJU-24h'!K100),0)</f>
        <v>0</v>
      </c>
      <c r="L100" s="50">
        <f>ROUND((0.7*'16.08 KAMPALA-BUSUNJU-24h'!L100),0)</f>
        <v>0</v>
      </c>
      <c r="M100" s="50">
        <f>ROUND((0.7*'16.08 KAMPALA-BUSUNJU-24h'!M100),0)</f>
        <v>10</v>
      </c>
      <c r="N100" s="50">
        <f>ROUND((0.7*'16.08 KAMPALA-BUSUNJU-24h'!N100),0)</f>
        <v>0</v>
      </c>
      <c r="O100" s="15">
        <f t="shared" si="35"/>
        <v>2</v>
      </c>
      <c r="P100" s="15">
        <f t="shared" si="36"/>
        <v>12</v>
      </c>
      <c r="R100" s="8"/>
      <c r="T100"/>
    </row>
    <row r="101" spans="2:20" ht="23.1" customHeight="1" x14ac:dyDescent="0.25">
      <c r="B101" s="45" t="s">
        <v>141</v>
      </c>
      <c r="C101" s="50">
        <f>ROUND((0.7*'16.08 KAMPALA-BUSUNJU-24h'!C101),0)</f>
        <v>1</v>
      </c>
      <c r="D101" s="50">
        <f>ROUND((0.7*'16.08 KAMPALA-BUSUNJU-24h'!D101),0)</f>
        <v>0</v>
      </c>
      <c r="E101" s="50">
        <f>ROUND((0.7*'16.08 KAMPALA-BUSUNJU-24h'!E101),0)</f>
        <v>1</v>
      </c>
      <c r="F101" s="50">
        <f>ROUND((0.7*'16.08 KAMPALA-BUSUNJU-24h'!F101),0)</f>
        <v>1</v>
      </c>
      <c r="G101" s="50">
        <f>ROUND((0.7*'16.08 KAMPALA-BUSUNJU-24h'!G101),0)</f>
        <v>0</v>
      </c>
      <c r="H101" s="50">
        <f>ROUND((0.7*'16.08 KAMPALA-BUSUNJU-24h'!H101),0)</f>
        <v>0</v>
      </c>
      <c r="I101" s="50">
        <f>ROUND((0.7*'16.08 KAMPALA-BUSUNJU-24h'!I101),0)</f>
        <v>1</v>
      </c>
      <c r="J101" s="50">
        <f>ROUND((0.7*'16.08 KAMPALA-BUSUNJU-24h'!J101),0)</f>
        <v>0</v>
      </c>
      <c r="K101" s="50">
        <f>ROUND((0.7*'16.08 KAMPALA-BUSUNJU-24h'!K101),0)</f>
        <v>0</v>
      </c>
      <c r="L101" s="50">
        <f>ROUND((0.7*'16.08 KAMPALA-BUSUNJU-24h'!L101),0)</f>
        <v>0</v>
      </c>
      <c r="M101" s="50">
        <f>ROUND((0.7*'16.08 KAMPALA-BUSUNJU-24h'!M101),0)</f>
        <v>8</v>
      </c>
      <c r="N101" s="50">
        <f>ROUND((0.7*'16.08 KAMPALA-BUSUNJU-24h'!N101),0)</f>
        <v>0</v>
      </c>
      <c r="O101" s="15">
        <f t="shared" si="35"/>
        <v>4</v>
      </c>
      <c r="P101" s="15">
        <f t="shared" si="36"/>
        <v>12</v>
      </c>
      <c r="R101" s="8"/>
      <c r="T101"/>
    </row>
    <row r="102" spans="2:20" ht="23.1" customHeight="1" x14ac:dyDescent="0.25">
      <c r="B102" s="46" t="s">
        <v>142</v>
      </c>
      <c r="C102" s="50">
        <f>ROUND((0.7*'16.08 KAMPALA-BUSUNJU-24h'!C102),0)</f>
        <v>1</v>
      </c>
      <c r="D102" s="50">
        <f>ROUND((0.7*'16.08 KAMPALA-BUSUNJU-24h'!D102),0)</f>
        <v>0</v>
      </c>
      <c r="E102" s="50">
        <f>ROUND((0.7*'16.08 KAMPALA-BUSUNJU-24h'!E102),0)</f>
        <v>1</v>
      </c>
      <c r="F102" s="50">
        <f>ROUND((0.7*'16.08 KAMPALA-BUSUNJU-24h'!F102),0)</f>
        <v>1</v>
      </c>
      <c r="G102" s="50">
        <f>ROUND((0.7*'16.08 KAMPALA-BUSUNJU-24h'!G102),0)</f>
        <v>0</v>
      </c>
      <c r="H102" s="50">
        <f>ROUND((0.7*'16.08 KAMPALA-BUSUNJU-24h'!H102),0)</f>
        <v>0</v>
      </c>
      <c r="I102" s="50">
        <f>ROUND((0.7*'16.08 KAMPALA-BUSUNJU-24h'!I102),0)</f>
        <v>1</v>
      </c>
      <c r="J102" s="50">
        <f>ROUND((0.7*'16.08 KAMPALA-BUSUNJU-24h'!J102),0)</f>
        <v>0</v>
      </c>
      <c r="K102" s="50">
        <f>ROUND((0.7*'16.08 KAMPALA-BUSUNJU-24h'!K102),0)</f>
        <v>0</v>
      </c>
      <c r="L102" s="50">
        <f>ROUND((0.7*'16.08 KAMPALA-BUSUNJU-24h'!L102),0)</f>
        <v>0</v>
      </c>
      <c r="M102" s="50">
        <f>ROUND((0.7*'16.08 KAMPALA-BUSUNJU-24h'!M102),0)</f>
        <v>10</v>
      </c>
      <c r="N102" s="50">
        <f>ROUND((0.7*'16.08 KAMPALA-BUSUNJU-24h'!N102),0)</f>
        <v>0</v>
      </c>
      <c r="O102" s="15">
        <f t="shared" si="35"/>
        <v>4</v>
      </c>
      <c r="P102" s="15">
        <f t="shared" si="36"/>
        <v>14</v>
      </c>
      <c r="R102" s="8"/>
      <c r="T102"/>
    </row>
    <row r="103" spans="2:20" ht="23.1" customHeight="1" x14ac:dyDescent="0.25">
      <c r="B103" s="45" t="s">
        <v>143</v>
      </c>
      <c r="C103" s="50">
        <f>ROUND((0.7*'16.08 KAMPALA-BUSUNJU-24h'!C103),0)</f>
        <v>1</v>
      </c>
      <c r="D103" s="50">
        <f>ROUND((0.7*'16.08 KAMPALA-BUSUNJU-24h'!D103),0)</f>
        <v>0</v>
      </c>
      <c r="E103" s="50">
        <f>ROUND((0.7*'16.08 KAMPALA-BUSUNJU-24h'!E103),0)</f>
        <v>0</v>
      </c>
      <c r="F103" s="50">
        <f>ROUND((0.7*'16.08 KAMPALA-BUSUNJU-24h'!F103),0)</f>
        <v>0</v>
      </c>
      <c r="G103" s="50">
        <f>ROUND((0.7*'16.08 KAMPALA-BUSUNJU-24h'!G103),0)</f>
        <v>0</v>
      </c>
      <c r="H103" s="50">
        <f>ROUND((0.7*'16.08 KAMPALA-BUSUNJU-24h'!H103),0)</f>
        <v>0</v>
      </c>
      <c r="I103" s="50">
        <f>ROUND((0.7*'16.08 KAMPALA-BUSUNJU-24h'!I103),0)</f>
        <v>0</v>
      </c>
      <c r="J103" s="50">
        <f>ROUND((0.7*'16.08 KAMPALA-BUSUNJU-24h'!J103),0)</f>
        <v>0</v>
      </c>
      <c r="K103" s="50">
        <f>ROUND((0.7*'16.08 KAMPALA-BUSUNJU-24h'!K103),0)</f>
        <v>0</v>
      </c>
      <c r="L103" s="50">
        <f>ROUND((0.7*'16.08 KAMPALA-BUSUNJU-24h'!L103),0)</f>
        <v>0</v>
      </c>
      <c r="M103" s="50">
        <f>ROUND((0.7*'16.08 KAMPALA-BUSUNJU-24h'!M103),0)</f>
        <v>9</v>
      </c>
      <c r="N103" s="50">
        <f>ROUND((0.7*'16.08 KAMPALA-BUSUNJU-24h'!N103),0)</f>
        <v>0</v>
      </c>
      <c r="O103" s="15">
        <f t="shared" si="35"/>
        <v>1</v>
      </c>
      <c r="P103" s="15">
        <f t="shared" si="36"/>
        <v>10</v>
      </c>
      <c r="R103" s="8"/>
      <c r="T103"/>
    </row>
    <row r="104" spans="2:20" ht="23.1" customHeight="1" x14ac:dyDescent="0.25">
      <c r="B104" s="47" t="s">
        <v>144</v>
      </c>
      <c r="C104" s="50">
        <f>ROUND((0.7*'16.08 KAMPALA-BUSUNJU-24h'!C104),0)</f>
        <v>1</v>
      </c>
      <c r="D104" s="50">
        <f>ROUND((0.7*'16.08 KAMPALA-BUSUNJU-24h'!D104),0)</f>
        <v>0</v>
      </c>
      <c r="E104" s="50">
        <f>ROUND((0.7*'16.08 KAMPALA-BUSUNJU-24h'!E104),0)</f>
        <v>0</v>
      </c>
      <c r="F104" s="50">
        <f>ROUND((0.7*'16.08 KAMPALA-BUSUNJU-24h'!F104),0)</f>
        <v>0</v>
      </c>
      <c r="G104" s="50">
        <f>ROUND((0.7*'16.08 KAMPALA-BUSUNJU-24h'!G104),0)</f>
        <v>0</v>
      </c>
      <c r="H104" s="50">
        <f>ROUND((0.7*'16.08 KAMPALA-BUSUNJU-24h'!H104),0)</f>
        <v>0</v>
      </c>
      <c r="I104" s="50">
        <f>ROUND((0.7*'16.08 KAMPALA-BUSUNJU-24h'!I104),0)</f>
        <v>0</v>
      </c>
      <c r="J104" s="50">
        <f>ROUND((0.7*'16.08 KAMPALA-BUSUNJU-24h'!J104),0)</f>
        <v>0</v>
      </c>
      <c r="K104" s="50">
        <f>ROUND((0.7*'16.08 KAMPALA-BUSUNJU-24h'!K104),0)</f>
        <v>0</v>
      </c>
      <c r="L104" s="50">
        <f>ROUND((0.7*'16.08 KAMPALA-BUSUNJU-24h'!L104),0)</f>
        <v>0</v>
      </c>
      <c r="M104" s="50">
        <f>ROUND((0.7*'16.08 KAMPALA-BUSUNJU-24h'!M104),0)</f>
        <v>8</v>
      </c>
      <c r="N104" s="50">
        <f>ROUND((0.7*'16.08 KAMPALA-BUSUNJU-24h'!N104),0)</f>
        <v>0</v>
      </c>
      <c r="O104" s="15">
        <f t="shared" si="35"/>
        <v>1</v>
      </c>
      <c r="P104" s="15">
        <f t="shared" si="36"/>
        <v>9</v>
      </c>
      <c r="R104" s="8"/>
      <c r="T104"/>
    </row>
    <row r="105" spans="2:20" ht="23.1" customHeight="1" x14ac:dyDescent="0.25">
      <c r="B105" s="45" t="s">
        <v>145</v>
      </c>
      <c r="C105" s="50">
        <f>ROUND((0.7*'16.08 KAMPALA-BUSUNJU-24h'!C105),0)</f>
        <v>1</v>
      </c>
      <c r="D105" s="50">
        <f>ROUND((0.7*'16.08 KAMPALA-BUSUNJU-24h'!D105),0)</f>
        <v>0</v>
      </c>
      <c r="E105" s="50">
        <f>ROUND((0.7*'16.08 KAMPALA-BUSUNJU-24h'!E105),0)</f>
        <v>0</v>
      </c>
      <c r="F105" s="50">
        <f>ROUND((0.7*'16.08 KAMPALA-BUSUNJU-24h'!F105),0)</f>
        <v>0</v>
      </c>
      <c r="G105" s="50">
        <f>ROUND((0.7*'16.08 KAMPALA-BUSUNJU-24h'!G105),0)</f>
        <v>0</v>
      </c>
      <c r="H105" s="50">
        <f>ROUND((0.7*'16.08 KAMPALA-BUSUNJU-24h'!H105),0)</f>
        <v>0</v>
      </c>
      <c r="I105" s="50">
        <f>ROUND((0.7*'16.08 KAMPALA-BUSUNJU-24h'!I105),0)</f>
        <v>1</v>
      </c>
      <c r="J105" s="50">
        <f>ROUND((0.7*'16.08 KAMPALA-BUSUNJU-24h'!J105),0)</f>
        <v>0</v>
      </c>
      <c r="K105" s="50">
        <f>ROUND((0.7*'16.08 KAMPALA-BUSUNJU-24h'!K105),0)</f>
        <v>0</v>
      </c>
      <c r="L105" s="50">
        <f>ROUND((0.7*'16.08 KAMPALA-BUSUNJU-24h'!L105),0)</f>
        <v>0</v>
      </c>
      <c r="M105" s="50">
        <f>ROUND((0.7*'16.08 KAMPALA-BUSUNJU-24h'!M105),0)</f>
        <v>7</v>
      </c>
      <c r="N105" s="50">
        <f>ROUND((0.7*'16.08 KAMPALA-BUSUNJU-24h'!N105),0)</f>
        <v>0</v>
      </c>
      <c r="O105" s="15">
        <f t="shared" si="35"/>
        <v>2</v>
      </c>
      <c r="P105" s="15">
        <f t="shared" si="36"/>
        <v>9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68</v>
      </c>
      <c r="D106" s="16">
        <f t="shared" ref="D106:P106" si="37">SUM(D10:D105)</f>
        <v>0</v>
      </c>
      <c r="E106" s="16">
        <f t="shared" si="37"/>
        <v>53</v>
      </c>
      <c r="F106" s="16">
        <f t="shared" si="37"/>
        <v>17</v>
      </c>
      <c r="G106" s="16">
        <f t="shared" si="37"/>
        <v>0</v>
      </c>
      <c r="H106" s="16">
        <f t="shared" si="37"/>
        <v>0</v>
      </c>
      <c r="I106" s="16">
        <f t="shared" si="37"/>
        <v>81</v>
      </c>
      <c r="J106" s="16">
        <f t="shared" si="37"/>
        <v>2</v>
      </c>
      <c r="K106" s="16">
        <f t="shared" si="37"/>
        <v>0</v>
      </c>
      <c r="L106" s="16">
        <f t="shared" si="37"/>
        <v>0</v>
      </c>
      <c r="M106" s="16">
        <f t="shared" si="37"/>
        <v>885</v>
      </c>
      <c r="N106" s="16">
        <f t="shared" si="37"/>
        <v>0</v>
      </c>
      <c r="O106" s="16">
        <f t="shared" si="37"/>
        <v>221</v>
      </c>
      <c r="P106" s="16">
        <f t="shared" si="37"/>
        <v>1106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6.148282097649186E-2</v>
      </c>
      <c r="D107" s="43">
        <f t="shared" si="38"/>
        <v>0</v>
      </c>
      <c r="E107" s="43">
        <f t="shared" si="38"/>
        <v>4.7920433996383363E-2</v>
      </c>
      <c r="F107" s="43">
        <f t="shared" si="38"/>
        <v>1.5370705244122965E-2</v>
      </c>
      <c r="G107" s="43">
        <f t="shared" si="38"/>
        <v>0</v>
      </c>
      <c r="H107" s="43">
        <f t="shared" si="38"/>
        <v>0</v>
      </c>
      <c r="I107" s="43">
        <f t="shared" si="38"/>
        <v>7.3236889692585891E-2</v>
      </c>
      <c r="J107" s="43">
        <f t="shared" si="38"/>
        <v>1.8083182640144665E-3</v>
      </c>
      <c r="K107" s="43">
        <f t="shared" si="38"/>
        <v>0</v>
      </c>
      <c r="L107" s="43">
        <f t="shared" si="38"/>
        <v>0</v>
      </c>
      <c r="M107" s="43">
        <f t="shared" si="38"/>
        <v>0.80018083182640143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0.30769230769230771</v>
      </c>
      <c r="D108" s="44">
        <f t="shared" ref="D108:N108" si="39">D106/$O$106</f>
        <v>0</v>
      </c>
      <c r="E108" s="44">
        <f t="shared" si="39"/>
        <v>0.23981900452488689</v>
      </c>
      <c r="F108" s="44">
        <f t="shared" si="39"/>
        <v>7.6923076923076927E-2</v>
      </c>
      <c r="G108" s="44">
        <f t="shared" si="39"/>
        <v>0</v>
      </c>
      <c r="H108" s="44">
        <f t="shared" si="39"/>
        <v>0</v>
      </c>
      <c r="I108" s="44">
        <f t="shared" si="39"/>
        <v>0.36651583710407237</v>
      </c>
      <c r="J108" s="44">
        <f t="shared" si="39"/>
        <v>9.0497737556561094E-3</v>
      </c>
      <c r="K108" s="44">
        <f t="shared" si="39"/>
        <v>0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60" workbookViewId="0">
      <selection activeCell="R92" sqref="R9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'15.08 KAMPALA-BUSUNJU'!C3:G3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'15.08 BUSUNJU-KAMPALA'!G5:H5</f>
        <v>MATTE</v>
      </c>
      <c r="H5" s="64"/>
      <c r="I5" s="14"/>
      <c r="J5" s="2" t="s">
        <v>5</v>
      </c>
      <c r="K5" s="63" t="str">
        <f>'15.08 BUSUNJU-KAMPALA'!K5:L5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'15.08 BUSUNJU-KAMPALA'!D6:E6</f>
        <v>BUSUNJU</v>
      </c>
      <c r="E6" s="64"/>
      <c r="F6" s="2" t="s">
        <v>2</v>
      </c>
      <c r="G6" s="63" t="str">
        <f>'15.08 BUSUNJU-KAMPALA'!G6:H6</f>
        <v>KAMPALA</v>
      </c>
      <c r="H6" s="64"/>
      <c r="J6" s="2" t="s">
        <v>21</v>
      </c>
      <c r="K6" s="63" t="str">
        <f>'15.08 BUSUNJU-KAMPALA'!K6:L6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AVERAGE('11.08 BUSUNJU-KAMPALA'!C10,'12.08 BUSUNJU-KAMPALA'!C10,'13.08 BUSUNJU-KAMPALA'!C10,'14.08 BUSUNJU-KAMPALA'!C10,'16.08 BUSUNJU-KAMPALA-24h'!C10,'17.08 BUSUNJU-KAMPALA-24h'!C10,'15.08 BUSUNJU-KAMPALA'!C10)</f>
        <v>1</v>
      </c>
      <c r="D10" s="49">
        <f>AVERAGE('11.08 BUSUNJU-KAMPALA'!D10,'12.08 BUSUNJU-KAMPALA'!D10,'13.08 BUSUNJU-KAMPALA'!D10,'14.08 BUSUNJU-KAMPALA'!D10,'16.08 BUSUNJU-KAMPALA-24h'!D10,'17.08 BUSUNJU-KAMPALA-24h'!D10,'15.08 BUSUNJU-KAMPALA'!D10)</f>
        <v>0.2857142857142857</v>
      </c>
      <c r="E10" s="49">
        <f>AVERAGE('11.08 BUSUNJU-KAMPALA'!E10,'12.08 BUSUNJU-KAMPALA'!E10,'13.08 BUSUNJU-KAMPALA'!E10,'14.08 BUSUNJU-KAMPALA'!E10,'16.08 BUSUNJU-KAMPALA-24h'!E10,'17.08 BUSUNJU-KAMPALA-24h'!E10,'15.08 BUSUNJU-KAMPALA'!E10)</f>
        <v>0.5714285714285714</v>
      </c>
      <c r="F10" s="49">
        <f>AVERAGE('11.08 BUSUNJU-KAMPALA'!F10,'12.08 BUSUNJU-KAMPALA'!F10,'13.08 BUSUNJU-KAMPALA'!F10,'14.08 BUSUNJU-KAMPALA'!F10,'16.08 BUSUNJU-KAMPALA-24h'!F10,'17.08 BUSUNJU-KAMPALA-24h'!F10,'15.08 BUSUNJU-KAMPALA'!F10)</f>
        <v>0.14285714285714285</v>
      </c>
      <c r="G10" s="49">
        <f>AVERAGE('11.08 BUSUNJU-KAMPALA'!G10,'12.08 BUSUNJU-KAMPALA'!G10,'13.08 BUSUNJU-KAMPALA'!G10,'14.08 BUSUNJU-KAMPALA'!G10,'16.08 BUSUNJU-KAMPALA-24h'!G10,'17.08 BUSUNJU-KAMPALA-24h'!G10,'15.08 BUSUNJU-KAMPALA'!G10)</f>
        <v>0</v>
      </c>
      <c r="H10" s="49">
        <f>AVERAGE('11.08 BUSUNJU-KAMPALA'!H10,'12.08 BUSUNJU-KAMPALA'!H10,'13.08 BUSUNJU-KAMPALA'!H10,'14.08 BUSUNJU-KAMPALA'!H10,'16.08 BUSUNJU-KAMPALA-24h'!H10,'17.08 BUSUNJU-KAMPALA-24h'!H10,'15.08 BUSUNJU-KAMPALA'!H10)</f>
        <v>0</v>
      </c>
      <c r="I10" s="49">
        <f>AVERAGE('11.08 BUSUNJU-KAMPALA'!I10,'12.08 BUSUNJU-KAMPALA'!I10,'13.08 BUSUNJU-KAMPALA'!I10,'14.08 BUSUNJU-KAMPALA'!I10,'16.08 BUSUNJU-KAMPALA-24h'!I10,'17.08 BUSUNJU-KAMPALA-24h'!I10,'15.08 BUSUNJU-KAMPALA'!I10)</f>
        <v>0.42857142857142855</v>
      </c>
      <c r="J10" s="49">
        <f>AVERAGE('11.08 BUSUNJU-KAMPALA'!J10,'12.08 BUSUNJU-KAMPALA'!J10,'13.08 BUSUNJU-KAMPALA'!J10,'14.08 BUSUNJU-KAMPALA'!J10,'16.08 BUSUNJU-KAMPALA-24h'!J10,'17.08 BUSUNJU-KAMPALA-24h'!J10,'15.08 BUSUNJU-KAMPALA'!J10)</f>
        <v>0</v>
      </c>
      <c r="K10" s="49">
        <f>AVERAGE('11.08 BUSUNJU-KAMPALA'!K10,'12.08 BUSUNJU-KAMPALA'!K10,'13.08 BUSUNJU-KAMPALA'!K10,'14.08 BUSUNJU-KAMPALA'!K10,'16.08 BUSUNJU-KAMPALA-24h'!K10,'17.08 BUSUNJU-KAMPALA-24h'!K10,'15.08 BUSUNJU-KAMPALA'!K10)</f>
        <v>0</v>
      </c>
      <c r="L10" s="49">
        <f>AVERAGE('11.08 BUSUNJU-KAMPALA'!L10,'12.08 BUSUNJU-KAMPALA'!L10,'13.08 BUSUNJU-KAMPALA'!L10,'14.08 BUSUNJU-KAMPALA'!L10,'16.08 BUSUNJU-KAMPALA-24h'!L10,'17.08 BUSUNJU-KAMPALA-24h'!L10,'15.08 BUSUNJU-KAMPALA'!L10)</f>
        <v>0</v>
      </c>
      <c r="M10" s="49">
        <f>AVERAGE('11.08 BUSUNJU-KAMPALA'!M10,'12.08 BUSUNJU-KAMPALA'!M10,'13.08 BUSUNJU-KAMPALA'!M10,'14.08 BUSUNJU-KAMPALA'!M10,'16.08 BUSUNJU-KAMPALA-24h'!M10,'17.08 BUSUNJU-KAMPALA-24h'!M10,'15.08 BUSUNJU-KAMPALA'!M10)</f>
        <v>8.5714285714285712</v>
      </c>
      <c r="N10" s="49">
        <f>AVERAGE('11.08 BUSUNJU-KAMPALA'!N10,'12.08 BUSUNJU-KAMPALA'!N10,'13.08 BUSUNJU-KAMPALA'!N10,'14.08 BUSUNJU-KAMPALA'!N10,'16.08 BUSUNJU-KAMPALA-24h'!N10,'17.08 BUSUNJU-KAMPALA-24h'!N10,'15.08 BUSUNJU-KAMPALA'!N10)</f>
        <v>0</v>
      </c>
      <c r="O10" s="15">
        <f t="shared" ref="O10:O73" si="0">SUM(C10:L10,N10)</f>
        <v>2.4285714285714284</v>
      </c>
      <c r="P10" s="15">
        <f t="shared" ref="P10:P73" si="1">SUM(C10:N10)</f>
        <v>11</v>
      </c>
      <c r="R10" s="1" t="s">
        <v>6</v>
      </c>
      <c r="S10" s="17">
        <f t="shared" ref="S10:AF10" si="2">SUM(C10:C13)</f>
        <v>3.285714285714286</v>
      </c>
      <c r="T10" s="17">
        <f t="shared" si="2"/>
        <v>0.5714285714285714</v>
      </c>
      <c r="U10" s="17">
        <f t="shared" si="2"/>
        <v>2.1428571428571428</v>
      </c>
      <c r="V10" s="17">
        <f t="shared" si="2"/>
        <v>0.5714285714285714</v>
      </c>
      <c r="W10" s="17">
        <f t="shared" si="2"/>
        <v>0</v>
      </c>
      <c r="X10" s="17">
        <f t="shared" si="2"/>
        <v>0</v>
      </c>
      <c r="Y10" s="17">
        <f t="shared" si="2"/>
        <v>1.4285714285714284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43</v>
      </c>
      <c r="AD10" s="17">
        <f t="shared" si="2"/>
        <v>0</v>
      </c>
      <c r="AE10" s="31">
        <f t="shared" si="2"/>
        <v>8</v>
      </c>
      <c r="AF10" s="31">
        <f t="shared" si="2"/>
        <v>51</v>
      </c>
    </row>
    <row r="11" spans="2:32" s="6" customFormat="1" ht="23.1" customHeight="1" x14ac:dyDescent="0.25">
      <c r="B11" s="23" t="s">
        <v>38</v>
      </c>
      <c r="C11" s="49">
        <f>AVERAGE('11.08 BUSUNJU-KAMPALA'!C11,'12.08 BUSUNJU-KAMPALA'!C11,'13.08 BUSUNJU-KAMPALA'!C11,'14.08 BUSUNJU-KAMPALA'!C11,'16.08 BUSUNJU-KAMPALA-24h'!C11,'17.08 BUSUNJU-KAMPALA-24h'!C11,'15.08 BUSUNJU-KAMPALA'!C11)</f>
        <v>0.7142857142857143</v>
      </c>
      <c r="D11" s="49">
        <f>AVERAGE('11.08 BUSUNJU-KAMPALA'!D11,'12.08 BUSUNJU-KAMPALA'!D11,'13.08 BUSUNJU-KAMPALA'!D11,'14.08 BUSUNJU-KAMPALA'!D11,'16.08 BUSUNJU-KAMPALA-24h'!D11,'17.08 BUSUNJU-KAMPALA-24h'!D11,'15.08 BUSUNJU-KAMPALA'!D11)</f>
        <v>0.14285714285714285</v>
      </c>
      <c r="E11" s="49">
        <f>AVERAGE('11.08 BUSUNJU-KAMPALA'!E11,'12.08 BUSUNJU-KAMPALA'!E11,'13.08 BUSUNJU-KAMPALA'!E11,'14.08 BUSUNJU-KAMPALA'!E11,'16.08 BUSUNJU-KAMPALA-24h'!E11,'17.08 BUSUNJU-KAMPALA-24h'!E11,'15.08 BUSUNJU-KAMPALA'!E11)</f>
        <v>0.2857142857142857</v>
      </c>
      <c r="F11" s="49">
        <f>AVERAGE('11.08 BUSUNJU-KAMPALA'!F11,'12.08 BUSUNJU-KAMPALA'!F11,'13.08 BUSUNJU-KAMPALA'!F11,'14.08 BUSUNJU-KAMPALA'!F11,'16.08 BUSUNJU-KAMPALA-24h'!F11,'17.08 BUSUNJU-KAMPALA-24h'!F11,'15.08 BUSUNJU-KAMPALA'!F11)</f>
        <v>0.14285714285714285</v>
      </c>
      <c r="G11" s="49">
        <f>AVERAGE('11.08 BUSUNJU-KAMPALA'!G11,'12.08 BUSUNJU-KAMPALA'!G11,'13.08 BUSUNJU-KAMPALA'!G11,'14.08 BUSUNJU-KAMPALA'!G11,'16.08 BUSUNJU-KAMPALA-24h'!G11,'17.08 BUSUNJU-KAMPALA-24h'!G11,'15.08 BUSUNJU-KAMPALA'!G11)</f>
        <v>0</v>
      </c>
      <c r="H11" s="49">
        <f>AVERAGE('11.08 BUSUNJU-KAMPALA'!H11,'12.08 BUSUNJU-KAMPALA'!H11,'13.08 BUSUNJU-KAMPALA'!H11,'14.08 BUSUNJU-KAMPALA'!H11,'16.08 BUSUNJU-KAMPALA-24h'!H11,'17.08 BUSUNJU-KAMPALA-24h'!H11,'15.08 BUSUNJU-KAMPALA'!H11)</f>
        <v>0</v>
      </c>
      <c r="I11" s="49">
        <f>AVERAGE('11.08 BUSUNJU-KAMPALA'!I11,'12.08 BUSUNJU-KAMPALA'!I11,'13.08 BUSUNJU-KAMPALA'!I11,'14.08 BUSUNJU-KAMPALA'!I11,'16.08 BUSUNJU-KAMPALA-24h'!I11,'17.08 BUSUNJU-KAMPALA-24h'!I11,'15.08 BUSUNJU-KAMPALA'!I11)</f>
        <v>0.14285714285714285</v>
      </c>
      <c r="J11" s="49">
        <f>AVERAGE('11.08 BUSUNJU-KAMPALA'!J11,'12.08 BUSUNJU-KAMPALA'!J11,'13.08 BUSUNJU-KAMPALA'!J11,'14.08 BUSUNJU-KAMPALA'!J11,'16.08 BUSUNJU-KAMPALA-24h'!J11,'17.08 BUSUNJU-KAMPALA-24h'!J11,'15.08 BUSUNJU-KAMPALA'!J11)</f>
        <v>0</v>
      </c>
      <c r="K11" s="49">
        <f>AVERAGE('11.08 BUSUNJU-KAMPALA'!K11,'12.08 BUSUNJU-KAMPALA'!K11,'13.08 BUSUNJU-KAMPALA'!K11,'14.08 BUSUNJU-KAMPALA'!K11,'16.08 BUSUNJU-KAMPALA-24h'!K11,'17.08 BUSUNJU-KAMPALA-24h'!K11,'15.08 BUSUNJU-KAMPALA'!K11)</f>
        <v>0</v>
      </c>
      <c r="L11" s="49">
        <f>AVERAGE('11.08 BUSUNJU-KAMPALA'!L11,'12.08 BUSUNJU-KAMPALA'!L11,'13.08 BUSUNJU-KAMPALA'!L11,'14.08 BUSUNJU-KAMPALA'!L11,'16.08 BUSUNJU-KAMPALA-24h'!L11,'17.08 BUSUNJU-KAMPALA-24h'!L11,'15.08 BUSUNJU-KAMPALA'!L11)</f>
        <v>0</v>
      </c>
      <c r="M11" s="49">
        <f>AVERAGE('11.08 BUSUNJU-KAMPALA'!M11,'12.08 BUSUNJU-KAMPALA'!M11,'13.08 BUSUNJU-KAMPALA'!M11,'14.08 BUSUNJU-KAMPALA'!M11,'16.08 BUSUNJU-KAMPALA-24h'!M11,'17.08 BUSUNJU-KAMPALA-24h'!M11,'15.08 BUSUNJU-KAMPALA'!M11)</f>
        <v>11.142857142857142</v>
      </c>
      <c r="N11" s="49">
        <f>AVERAGE('11.08 BUSUNJU-KAMPALA'!N11,'12.08 BUSUNJU-KAMPALA'!N11,'13.08 BUSUNJU-KAMPALA'!N11,'14.08 BUSUNJU-KAMPALA'!N11,'16.08 BUSUNJU-KAMPALA-24h'!N11,'17.08 BUSUNJU-KAMPALA-24h'!N11,'15.08 BUSUNJU-KAMPALA'!N11)</f>
        <v>0</v>
      </c>
      <c r="O11" s="15">
        <f t="shared" si="0"/>
        <v>1.4285714285714284</v>
      </c>
      <c r="P11" s="15">
        <f t="shared" si="1"/>
        <v>12.571428571428571</v>
      </c>
      <c r="R11" s="1" t="s">
        <v>7</v>
      </c>
      <c r="S11" s="17">
        <f t="shared" ref="S11:AF11" si="3">SUM(C14:C17)</f>
        <v>3.2857142857142856</v>
      </c>
      <c r="T11" s="17">
        <f t="shared" si="3"/>
        <v>0.42857142857142855</v>
      </c>
      <c r="U11" s="17">
        <f t="shared" si="3"/>
        <v>3.2857142857142856</v>
      </c>
      <c r="V11" s="17">
        <f t="shared" si="3"/>
        <v>1.1428571428571428</v>
      </c>
      <c r="W11" s="17">
        <f t="shared" si="3"/>
        <v>0.14285714285714285</v>
      </c>
      <c r="X11" s="17">
        <f t="shared" si="3"/>
        <v>0</v>
      </c>
      <c r="Y11" s="17">
        <f t="shared" si="3"/>
        <v>3.8571428571428568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57.428571428571423</v>
      </c>
      <c r="AD11" s="17">
        <f t="shared" si="3"/>
        <v>0</v>
      </c>
      <c r="AE11" s="31">
        <f t="shared" si="3"/>
        <v>12.142857142857141</v>
      </c>
      <c r="AF11" s="31">
        <f t="shared" si="3"/>
        <v>69.571428571428569</v>
      </c>
    </row>
    <row r="12" spans="2:32" ht="23.1" customHeight="1" x14ac:dyDescent="0.25">
      <c r="B12" s="23" t="s">
        <v>39</v>
      </c>
      <c r="C12" s="49">
        <f>AVERAGE('11.08 BUSUNJU-KAMPALA'!C12,'12.08 BUSUNJU-KAMPALA'!C12,'13.08 BUSUNJU-KAMPALA'!C12,'14.08 BUSUNJU-KAMPALA'!C12,'16.08 BUSUNJU-KAMPALA-24h'!C12,'17.08 BUSUNJU-KAMPALA-24h'!C12,'15.08 BUSUNJU-KAMPALA'!C12)</f>
        <v>0.8571428571428571</v>
      </c>
      <c r="D12" s="49">
        <f>AVERAGE('11.08 BUSUNJU-KAMPALA'!D12,'12.08 BUSUNJU-KAMPALA'!D12,'13.08 BUSUNJU-KAMPALA'!D12,'14.08 BUSUNJU-KAMPALA'!D12,'16.08 BUSUNJU-KAMPALA-24h'!D12,'17.08 BUSUNJU-KAMPALA-24h'!D12,'15.08 BUSUNJU-KAMPALA'!D12)</f>
        <v>0.14285714285714285</v>
      </c>
      <c r="E12" s="49">
        <f>AVERAGE('11.08 BUSUNJU-KAMPALA'!E12,'12.08 BUSUNJU-KAMPALA'!E12,'13.08 BUSUNJU-KAMPALA'!E12,'14.08 BUSUNJU-KAMPALA'!E12,'16.08 BUSUNJU-KAMPALA-24h'!E12,'17.08 BUSUNJU-KAMPALA-24h'!E12,'15.08 BUSUNJU-KAMPALA'!E12)</f>
        <v>0.7142857142857143</v>
      </c>
      <c r="F12" s="49">
        <f>AVERAGE('11.08 BUSUNJU-KAMPALA'!F12,'12.08 BUSUNJU-KAMPALA'!F12,'13.08 BUSUNJU-KAMPALA'!F12,'14.08 BUSUNJU-KAMPALA'!F12,'16.08 BUSUNJU-KAMPALA-24h'!F12,'17.08 BUSUNJU-KAMPALA-24h'!F12,'15.08 BUSUNJU-KAMPALA'!F12)</f>
        <v>0.14285714285714285</v>
      </c>
      <c r="G12" s="49">
        <f>AVERAGE('11.08 BUSUNJU-KAMPALA'!G12,'12.08 BUSUNJU-KAMPALA'!G12,'13.08 BUSUNJU-KAMPALA'!G12,'14.08 BUSUNJU-KAMPALA'!G12,'16.08 BUSUNJU-KAMPALA-24h'!G12,'17.08 BUSUNJU-KAMPALA-24h'!G12,'15.08 BUSUNJU-KAMPALA'!G12)</f>
        <v>0</v>
      </c>
      <c r="H12" s="49">
        <f>AVERAGE('11.08 BUSUNJU-KAMPALA'!H12,'12.08 BUSUNJU-KAMPALA'!H12,'13.08 BUSUNJU-KAMPALA'!H12,'14.08 BUSUNJU-KAMPALA'!H12,'16.08 BUSUNJU-KAMPALA-24h'!H12,'17.08 BUSUNJU-KAMPALA-24h'!H12,'15.08 BUSUNJU-KAMPALA'!H12)</f>
        <v>0</v>
      </c>
      <c r="I12" s="49">
        <f>AVERAGE('11.08 BUSUNJU-KAMPALA'!I12,'12.08 BUSUNJU-KAMPALA'!I12,'13.08 BUSUNJU-KAMPALA'!I12,'14.08 BUSUNJU-KAMPALA'!I12,'16.08 BUSUNJU-KAMPALA-24h'!I12,'17.08 BUSUNJU-KAMPALA-24h'!I12,'15.08 BUSUNJU-KAMPALA'!I12)</f>
        <v>0.14285714285714285</v>
      </c>
      <c r="J12" s="49">
        <f>AVERAGE('11.08 BUSUNJU-KAMPALA'!J12,'12.08 BUSUNJU-KAMPALA'!J12,'13.08 BUSUNJU-KAMPALA'!J12,'14.08 BUSUNJU-KAMPALA'!J12,'16.08 BUSUNJU-KAMPALA-24h'!J12,'17.08 BUSUNJU-KAMPALA-24h'!J12,'15.08 BUSUNJU-KAMPALA'!J12)</f>
        <v>0</v>
      </c>
      <c r="K12" s="49">
        <f>AVERAGE('11.08 BUSUNJU-KAMPALA'!K12,'12.08 BUSUNJU-KAMPALA'!K12,'13.08 BUSUNJU-KAMPALA'!K12,'14.08 BUSUNJU-KAMPALA'!K12,'16.08 BUSUNJU-KAMPALA-24h'!K12,'17.08 BUSUNJU-KAMPALA-24h'!K12,'15.08 BUSUNJU-KAMPALA'!K12)</f>
        <v>0</v>
      </c>
      <c r="L12" s="49">
        <f>AVERAGE('11.08 BUSUNJU-KAMPALA'!L12,'12.08 BUSUNJU-KAMPALA'!L12,'13.08 BUSUNJU-KAMPALA'!L12,'14.08 BUSUNJU-KAMPALA'!L12,'16.08 BUSUNJU-KAMPALA-24h'!L12,'17.08 BUSUNJU-KAMPALA-24h'!L12,'15.08 BUSUNJU-KAMPALA'!L12)</f>
        <v>0</v>
      </c>
      <c r="M12" s="49">
        <f>AVERAGE('11.08 BUSUNJU-KAMPALA'!M12,'12.08 BUSUNJU-KAMPALA'!M12,'13.08 BUSUNJU-KAMPALA'!M12,'14.08 BUSUNJU-KAMPALA'!M12,'16.08 BUSUNJU-KAMPALA-24h'!M12,'17.08 BUSUNJU-KAMPALA-24h'!M12,'15.08 BUSUNJU-KAMPALA'!M12)</f>
        <v>10.857142857142858</v>
      </c>
      <c r="N12" s="49">
        <f>AVERAGE('11.08 BUSUNJU-KAMPALA'!N12,'12.08 BUSUNJU-KAMPALA'!N12,'13.08 BUSUNJU-KAMPALA'!N12,'14.08 BUSUNJU-KAMPALA'!N12,'16.08 BUSUNJU-KAMPALA-24h'!N12,'17.08 BUSUNJU-KAMPALA-24h'!N12,'15.08 BUSUNJU-KAMPALA'!N12)</f>
        <v>0</v>
      </c>
      <c r="O12" s="15">
        <f t="shared" si="0"/>
        <v>2</v>
      </c>
      <c r="P12" s="15">
        <f t="shared" si="1"/>
        <v>12.857142857142858</v>
      </c>
      <c r="R12" s="1" t="s">
        <v>8</v>
      </c>
      <c r="S12" s="17">
        <f t="shared" ref="S12:AF12" si="4">SUM(C18:C21)</f>
        <v>3</v>
      </c>
      <c r="T12" s="17">
        <f t="shared" si="4"/>
        <v>0.71428571428571419</v>
      </c>
      <c r="U12" s="17">
        <f t="shared" si="4"/>
        <v>2.2857142857142856</v>
      </c>
      <c r="V12" s="17">
        <f t="shared" si="4"/>
        <v>0.42857142857142855</v>
      </c>
      <c r="W12" s="17">
        <f t="shared" si="4"/>
        <v>0</v>
      </c>
      <c r="X12" s="17">
        <f t="shared" si="4"/>
        <v>0</v>
      </c>
      <c r="Y12" s="17">
        <f t="shared" si="4"/>
        <v>2.5714285714285712</v>
      </c>
      <c r="Z12" s="17">
        <f t="shared" si="4"/>
        <v>0.5714285714285714</v>
      </c>
      <c r="AA12" s="17">
        <f t="shared" si="4"/>
        <v>0</v>
      </c>
      <c r="AB12" s="17">
        <f t="shared" si="4"/>
        <v>0</v>
      </c>
      <c r="AC12" s="17">
        <f t="shared" si="4"/>
        <v>60.571428571428569</v>
      </c>
      <c r="AD12" s="17">
        <f t="shared" si="4"/>
        <v>0</v>
      </c>
      <c r="AE12" s="31">
        <f t="shared" si="4"/>
        <v>9.5714285714285712</v>
      </c>
      <c r="AF12" s="31">
        <f t="shared" si="4"/>
        <v>70.142857142857139</v>
      </c>
    </row>
    <row r="13" spans="2:32" ht="23.1" customHeight="1" x14ac:dyDescent="0.25">
      <c r="B13" s="23" t="s">
        <v>40</v>
      </c>
      <c r="C13" s="49">
        <f>AVERAGE('11.08 BUSUNJU-KAMPALA'!C13,'12.08 BUSUNJU-KAMPALA'!C13,'13.08 BUSUNJU-KAMPALA'!C13,'14.08 BUSUNJU-KAMPALA'!C13,'16.08 BUSUNJU-KAMPALA-24h'!C13,'17.08 BUSUNJU-KAMPALA-24h'!C13,'15.08 BUSUNJU-KAMPALA'!C13)</f>
        <v>0.7142857142857143</v>
      </c>
      <c r="D13" s="49">
        <f>AVERAGE('11.08 BUSUNJU-KAMPALA'!D13,'12.08 BUSUNJU-KAMPALA'!D13,'13.08 BUSUNJU-KAMPALA'!D13,'14.08 BUSUNJU-KAMPALA'!D13,'16.08 BUSUNJU-KAMPALA-24h'!D13,'17.08 BUSUNJU-KAMPALA-24h'!D13,'15.08 BUSUNJU-KAMPALA'!D13)</f>
        <v>0</v>
      </c>
      <c r="E13" s="49">
        <f>AVERAGE('11.08 BUSUNJU-KAMPALA'!E13,'12.08 BUSUNJU-KAMPALA'!E13,'13.08 BUSUNJU-KAMPALA'!E13,'14.08 BUSUNJU-KAMPALA'!E13,'16.08 BUSUNJU-KAMPALA-24h'!E13,'17.08 BUSUNJU-KAMPALA-24h'!E13,'15.08 BUSUNJU-KAMPALA'!E13)</f>
        <v>0.5714285714285714</v>
      </c>
      <c r="F13" s="49">
        <f>AVERAGE('11.08 BUSUNJU-KAMPALA'!F13,'12.08 BUSUNJU-KAMPALA'!F13,'13.08 BUSUNJU-KAMPALA'!F13,'14.08 BUSUNJU-KAMPALA'!F13,'16.08 BUSUNJU-KAMPALA-24h'!F13,'17.08 BUSUNJU-KAMPALA-24h'!F13,'15.08 BUSUNJU-KAMPALA'!F13)</f>
        <v>0.14285714285714285</v>
      </c>
      <c r="G13" s="49">
        <f>AVERAGE('11.08 BUSUNJU-KAMPALA'!G13,'12.08 BUSUNJU-KAMPALA'!G13,'13.08 BUSUNJU-KAMPALA'!G13,'14.08 BUSUNJU-KAMPALA'!G13,'16.08 BUSUNJU-KAMPALA-24h'!G13,'17.08 BUSUNJU-KAMPALA-24h'!G13,'15.08 BUSUNJU-KAMPALA'!G13)</f>
        <v>0</v>
      </c>
      <c r="H13" s="49">
        <f>AVERAGE('11.08 BUSUNJU-KAMPALA'!H13,'12.08 BUSUNJU-KAMPALA'!H13,'13.08 BUSUNJU-KAMPALA'!H13,'14.08 BUSUNJU-KAMPALA'!H13,'16.08 BUSUNJU-KAMPALA-24h'!H13,'17.08 BUSUNJU-KAMPALA-24h'!H13,'15.08 BUSUNJU-KAMPALA'!H13)</f>
        <v>0</v>
      </c>
      <c r="I13" s="49">
        <f>AVERAGE('11.08 BUSUNJU-KAMPALA'!I13,'12.08 BUSUNJU-KAMPALA'!I13,'13.08 BUSUNJU-KAMPALA'!I13,'14.08 BUSUNJU-KAMPALA'!I13,'16.08 BUSUNJU-KAMPALA-24h'!I13,'17.08 BUSUNJU-KAMPALA-24h'!I13,'15.08 BUSUNJU-KAMPALA'!I13)</f>
        <v>0.7142857142857143</v>
      </c>
      <c r="J13" s="49">
        <f>AVERAGE('11.08 BUSUNJU-KAMPALA'!J13,'12.08 BUSUNJU-KAMPALA'!J13,'13.08 BUSUNJU-KAMPALA'!J13,'14.08 BUSUNJU-KAMPALA'!J13,'16.08 BUSUNJU-KAMPALA-24h'!J13,'17.08 BUSUNJU-KAMPALA-24h'!J13,'15.08 BUSUNJU-KAMPALA'!J13)</f>
        <v>0</v>
      </c>
      <c r="K13" s="49">
        <f>AVERAGE('11.08 BUSUNJU-KAMPALA'!K13,'12.08 BUSUNJU-KAMPALA'!K13,'13.08 BUSUNJU-KAMPALA'!K13,'14.08 BUSUNJU-KAMPALA'!K13,'16.08 BUSUNJU-KAMPALA-24h'!K13,'17.08 BUSUNJU-KAMPALA-24h'!K13,'15.08 BUSUNJU-KAMPALA'!K13)</f>
        <v>0</v>
      </c>
      <c r="L13" s="49">
        <f>AVERAGE('11.08 BUSUNJU-KAMPALA'!L13,'12.08 BUSUNJU-KAMPALA'!L13,'13.08 BUSUNJU-KAMPALA'!L13,'14.08 BUSUNJU-KAMPALA'!L13,'16.08 BUSUNJU-KAMPALA-24h'!L13,'17.08 BUSUNJU-KAMPALA-24h'!L13,'15.08 BUSUNJU-KAMPALA'!L13)</f>
        <v>0</v>
      </c>
      <c r="M13" s="49">
        <f>AVERAGE('11.08 BUSUNJU-KAMPALA'!M13,'12.08 BUSUNJU-KAMPALA'!M13,'13.08 BUSUNJU-KAMPALA'!M13,'14.08 BUSUNJU-KAMPALA'!M13,'16.08 BUSUNJU-KAMPALA-24h'!M13,'17.08 BUSUNJU-KAMPALA-24h'!M13,'15.08 BUSUNJU-KAMPALA'!M13)</f>
        <v>12.428571428571429</v>
      </c>
      <c r="N13" s="49">
        <f>AVERAGE('11.08 BUSUNJU-KAMPALA'!N13,'12.08 BUSUNJU-KAMPALA'!N13,'13.08 BUSUNJU-KAMPALA'!N13,'14.08 BUSUNJU-KAMPALA'!N13,'16.08 BUSUNJU-KAMPALA-24h'!N13,'17.08 BUSUNJU-KAMPALA-24h'!N13,'15.08 BUSUNJU-KAMPALA'!N13)</f>
        <v>0</v>
      </c>
      <c r="O13" s="15">
        <f t="shared" si="0"/>
        <v>2.1428571428571428</v>
      </c>
      <c r="P13" s="15">
        <f t="shared" si="1"/>
        <v>14.571428571428571</v>
      </c>
      <c r="R13" s="1" t="s">
        <v>9</v>
      </c>
      <c r="S13" s="17">
        <f t="shared" ref="S13:AF13" si="5">SUM(C22:C25)</f>
        <v>2.5714285714285712</v>
      </c>
      <c r="T13" s="17">
        <f t="shared" si="5"/>
        <v>0.71428571428571419</v>
      </c>
      <c r="U13" s="17">
        <f t="shared" si="5"/>
        <v>3.7142857142857144</v>
      </c>
      <c r="V13" s="17">
        <f t="shared" si="5"/>
        <v>0.42857142857142855</v>
      </c>
      <c r="W13" s="17">
        <f t="shared" si="5"/>
        <v>0.5714285714285714</v>
      </c>
      <c r="X13" s="17">
        <f t="shared" si="5"/>
        <v>0</v>
      </c>
      <c r="Y13" s="17">
        <f t="shared" si="5"/>
        <v>4.8571428571428568</v>
      </c>
      <c r="Z13" s="17">
        <f t="shared" si="5"/>
        <v>0.42857142857142855</v>
      </c>
      <c r="AA13" s="17">
        <f t="shared" si="5"/>
        <v>0</v>
      </c>
      <c r="AB13" s="17">
        <f t="shared" si="5"/>
        <v>0</v>
      </c>
      <c r="AC13" s="17">
        <f t="shared" si="5"/>
        <v>57.285714285714285</v>
      </c>
      <c r="AD13" s="17">
        <f t="shared" si="5"/>
        <v>0</v>
      </c>
      <c r="AE13" s="31">
        <f t="shared" si="5"/>
        <v>13.285714285714285</v>
      </c>
      <c r="AF13" s="31">
        <f t="shared" si="5"/>
        <v>70.571428571428555</v>
      </c>
    </row>
    <row r="14" spans="2:32" ht="23.1" customHeight="1" x14ac:dyDescent="0.25">
      <c r="B14" s="23" t="s">
        <v>41</v>
      </c>
      <c r="C14" s="49">
        <f>AVERAGE('11.08 BUSUNJU-KAMPALA'!C14,'12.08 BUSUNJU-KAMPALA'!C14,'13.08 BUSUNJU-KAMPALA'!C14,'14.08 BUSUNJU-KAMPALA'!C14,'16.08 BUSUNJU-KAMPALA-24h'!C14,'17.08 BUSUNJU-KAMPALA-24h'!C14,'15.08 BUSUNJU-KAMPALA'!C14)</f>
        <v>0.7142857142857143</v>
      </c>
      <c r="D14" s="49">
        <f>AVERAGE('11.08 BUSUNJU-KAMPALA'!D14,'12.08 BUSUNJU-KAMPALA'!D14,'13.08 BUSUNJU-KAMPALA'!D14,'14.08 BUSUNJU-KAMPALA'!D14,'16.08 BUSUNJU-KAMPALA-24h'!D14,'17.08 BUSUNJU-KAMPALA-24h'!D14,'15.08 BUSUNJU-KAMPALA'!D14)</f>
        <v>0.14285714285714285</v>
      </c>
      <c r="E14" s="49">
        <f>AVERAGE('11.08 BUSUNJU-KAMPALA'!E14,'12.08 BUSUNJU-KAMPALA'!E14,'13.08 BUSUNJU-KAMPALA'!E14,'14.08 BUSUNJU-KAMPALA'!E14,'16.08 BUSUNJU-KAMPALA-24h'!E14,'17.08 BUSUNJU-KAMPALA-24h'!E14,'15.08 BUSUNJU-KAMPALA'!E14)</f>
        <v>0.42857142857142855</v>
      </c>
      <c r="F14" s="49">
        <f>AVERAGE('11.08 BUSUNJU-KAMPALA'!F14,'12.08 BUSUNJU-KAMPALA'!F14,'13.08 BUSUNJU-KAMPALA'!F14,'14.08 BUSUNJU-KAMPALA'!F14,'16.08 BUSUNJU-KAMPALA-24h'!F14,'17.08 BUSUNJU-KAMPALA-24h'!F14,'15.08 BUSUNJU-KAMPALA'!F14)</f>
        <v>0.2857142857142857</v>
      </c>
      <c r="G14" s="49">
        <f>AVERAGE('11.08 BUSUNJU-KAMPALA'!G14,'12.08 BUSUNJU-KAMPALA'!G14,'13.08 BUSUNJU-KAMPALA'!G14,'14.08 BUSUNJU-KAMPALA'!G14,'16.08 BUSUNJU-KAMPALA-24h'!G14,'17.08 BUSUNJU-KAMPALA-24h'!G14,'15.08 BUSUNJU-KAMPALA'!G14)</f>
        <v>0</v>
      </c>
      <c r="H14" s="49">
        <f>AVERAGE('11.08 BUSUNJU-KAMPALA'!H14,'12.08 BUSUNJU-KAMPALA'!H14,'13.08 BUSUNJU-KAMPALA'!H14,'14.08 BUSUNJU-KAMPALA'!H14,'16.08 BUSUNJU-KAMPALA-24h'!H14,'17.08 BUSUNJU-KAMPALA-24h'!H14,'15.08 BUSUNJU-KAMPALA'!H14)</f>
        <v>0</v>
      </c>
      <c r="I14" s="49">
        <f>AVERAGE('11.08 BUSUNJU-KAMPALA'!I14,'12.08 BUSUNJU-KAMPALA'!I14,'13.08 BUSUNJU-KAMPALA'!I14,'14.08 BUSUNJU-KAMPALA'!I14,'16.08 BUSUNJU-KAMPALA-24h'!I14,'17.08 BUSUNJU-KAMPALA-24h'!I14,'15.08 BUSUNJU-KAMPALA'!I14)</f>
        <v>0.2857142857142857</v>
      </c>
      <c r="J14" s="49">
        <f>AVERAGE('11.08 BUSUNJU-KAMPALA'!J14,'12.08 BUSUNJU-KAMPALA'!J14,'13.08 BUSUNJU-KAMPALA'!J14,'14.08 BUSUNJU-KAMPALA'!J14,'16.08 BUSUNJU-KAMPALA-24h'!J14,'17.08 BUSUNJU-KAMPALA-24h'!J14,'15.08 BUSUNJU-KAMPALA'!J14)</f>
        <v>0</v>
      </c>
      <c r="K14" s="49">
        <f>AVERAGE('11.08 BUSUNJU-KAMPALA'!K14,'12.08 BUSUNJU-KAMPALA'!K14,'13.08 BUSUNJU-KAMPALA'!K14,'14.08 BUSUNJU-KAMPALA'!K14,'16.08 BUSUNJU-KAMPALA-24h'!K14,'17.08 BUSUNJU-KAMPALA-24h'!K14,'15.08 BUSUNJU-KAMPALA'!K14)</f>
        <v>0</v>
      </c>
      <c r="L14" s="49">
        <f>AVERAGE('11.08 BUSUNJU-KAMPALA'!L14,'12.08 BUSUNJU-KAMPALA'!L14,'13.08 BUSUNJU-KAMPALA'!L14,'14.08 BUSUNJU-KAMPALA'!L14,'16.08 BUSUNJU-KAMPALA-24h'!L14,'17.08 BUSUNJU-KAMPALA-24h'!L14,'15.08 BUSUNJU-KAMPALA'!L14)</f>
        <v>0</v>
      </c>
      <c r="M14" s="49">
        <f>AVERAGE('11.08 BUSUNJU-KAMPALA'!M14,'12.08 BUSUNJU-KAMPALA'!M14,'13.08 BUSUNJU-KAMPALA'!M14,'14.08 BUSUNJU-KAMPALA'!M14,'16.08 BUSUNJU-KAMPALA-24h'!M14,'17.08 BUSUNJU-KAMPALA-24h'!M14,'15.08 BUSUNJU-KAMPALA'!M14)</f>
        <v>13.142857142857142</v>
      </c>
      <c r="N14" s="49">
        <f>AVERAGE('11.08 BUSUNJU-KAMPALA'!N14,'12.08 BUSUNJU-KAMPALA'!N14,'13.08 BUSUNJU-KAMPALA'!N14,'14.08 BUSUNJU-KAMPALA'!N14,'16.08 BUSUNJU-KAMPALA-24h'!N14,'17.08 BUSUNJU-KAMPALA-24h'!N14,'15.08 BUSUNJU-KAMPALA'!N14)</f>
        <v>0</v>
      </c>
      <c r="O14" s="15">
        <f t="shared" si="0"/>
        <v>1.8571428571428572</v>
      </c>
      <c r="P14" s="15">
        <f t="shared" si="1"/>
        <v>15</v>
      </c>
      <c r="R14" s="1" t="s">
        <v>10</v>
      </c>
      <c r="S14" s="17">
        <f t="shared" ref="S14:AF14" si="6">SUM(C26:C29)</f>
        <v>4.4285714285714288</v>
      </c>
      <c r="T14" s="17">
        <f t="shared" si="6"/>
        <v>0</v>
      </c>
      <c r="U14" s="17">
        <f t="shared" si="6"/>
        <v>2.4285714285714288</v>
      </c>
      <c r="V14" s="17">
        <f t="shared" si="6"/>
        <v>1.2857142857142856</v>
      </c>
      <c r="W14" s="17">
        <f t="shared" si="6"/>
        <v>0</v>
      </c>
      <c r="X14" s="17">
        <f t="shared" si="6"/>
        <v>0</v>
      </c>
      <c r="Y14" s="17">
        <f t="shared" si="6"/>
        <v>4</v>
      </c>
      <c r="Z14" s="17">
        <f t="shared" si="6"/>
        <v>0.8571428571428571</v>
      </c>
      <c r="AA14" s="17">
        <f t="shared" si="6"/>
        <v>0.14285714285714285</v>
      </c>
      <c r="AB14" s="17">
        <f t="shared" si="6"/>
        <v>0</v>
      </c>
      <c r="AC14" s="17">
        <f t="shared" si="6"/>
        <v>61.571428571428577</v>
      </c>
      <c r="AD14" s="17">
        <f t="shared" si="6"/>
        <v>0</v>
      </c>
      <c r="AE14" s="31">
        <f t="shared" si="6"/>
        <v>13.142857142857141</v>
      </c>
      <c r="AF14" s="31">
        <f t="shared" si="6"/>
        <v>74.714285714285708</v>
      </c>
    </row>
    <row r="15" spans="2:32" ht="23.1" customHeight="1" x14ac:dyDescent="0.25">
      <c r="B15" s="23" t="s">
        <v>42</v>
      </c>
      <c r="C15" s="49">
        <f>AVERAGE('11.08 BUSUNJU-KAMPALA'!C15,'12.08 BUSUNJU-KAMPALA'!C15,'13.08 BUSUNJU-KAMPALA'!C15,'14.08 BUSUNJU-KAMPALA'!C15,'16.08 BUSUNJU-KAMPALA-24h'!C15,'17.08 BUSUNJU-KAMPALA-24h'!C15,'15.08 BUSUNJU-KAMPALA'!C15)</f>
        <v>0.5714285714285714</v>
      </c>
      <c r="D15" s="49">
        <f>AVERAGE('11.08 BUSUNJU-KAMPALA'!D15,'12.08 BUSUNJU-KAMPALA'!D15,'13.08 BUSUNJU-KAMPALA'!D15,'14.08 BUSUNJU-KAMPALA'!D15,'16.08 BUSUNJU-KAMPALA-24h'!D15,'17.08 BUSUNJU-KAMPALA-24h'!D15,'15.08 BUSUNJU-KAMPALA'!D15)</f>
        <v>0</v>
      </c>
      <c r="E15" s="49">
        <f>AVERAGE('11.08 BUSUNJU-KAMPALA'!E15,'12.08 BUSUNJU-KAMPALA'!E15,'13.08 BUSUNJU-KAMPALA'!E15,'14.08 BUSUNJU-KAMPALA'!E15,'16.08 BUSUNJU-KAMPALA-24h'!E15,'17.08 BUSUNJU-KAMPALA-24h'!E15,'15.08 BUSUNJU-KAMPALA'!E15)</f>
        <v>1.2857142857142858</v>
      </c>
      <c r="F15" s="49">
        <f>AVERAGE('11.08 BUSUNJU-KAMPALA'!F15,'12.08 BUSUNJU-KAMPALA'!F15,'13.08 BUSUNJU-KAMPALA'!F15,'14.08 BUSUNJU-KAMPALA'!F15,'16.08 BUSUNJU-KAMPALA-24h'!F15,'17.08 BUSUNJU-KAMPALA-24h'!F15,'15.08 BUSUNJU-KAMPALA'!F15)</f>
        <v>0.2857142857142857</v>
      </c>
      <c r="G15" s="49">
        <f>AVERAGE('11.08 BUSUNJU-KAMPALA'!G15,'12.08 BUSUNJU-KAMPALA'!G15,'13.08 BUSUNJU-KAMPALA'!G15,'14.08 BUSUNJU-KAMPALA'!G15,'16.08 BUSUNJU-KAMPALA-24h'!G15,'17.08 BUSUNJU-KAMPALA-24h'!G15,'15.08 BUSUNJU-KAMPALA'!G15)</f>
        <v>0.14285714285714285</v>
      </c>
      <c r="H15" s="49">
        <f>AVERAGE('11.08 BUSUNJU-KAMPALA'!H15,'12.08 BUSUNJU-KAMPALA'!H15,'13.08 BUSUNJU-KAMPALA'!H15,'14.08 BUSUNJU-KAMPALA'!H15,'16.08 BUSUNJU-KAMPALA-24h'!H15,'17.08 BUSUNJU-KAMPALA-24h'!H15,'15.08 BUSUNJU-KAMPALA'!H15)</f>
        <v>0</v>
      </c>
      <c r="I15" s="49">
        <f>AVERAGE('11.08 BUSUNJU-KAMPALA'!I15,'12.08 BUSUNJU-KAMPALA'!I15,'13.08 BUSUNJU-KAMPALA'!I15,'14.08 BUSUNJU-KAMPALA'!I15,'16.08 BUSUNJU-KAMPALA-24h'!I15,'17.08 BUSUNJU-KAMPALA-24h'!I15,'15.08 BUSUNJU-KAMPALA'!I15)</f>
        <v>1</v>
      </c>
      <c r="J15" s="49">
        <f>AVERAGE('11.08 BUSUNJU-KAMPALA'!J15,'12.08 BUSUNJU-KAMPALA'!J15,'13.08 BUSUNJU-KAMPALA'!J15,'14.08 BUSUNJU-KAMPALA'!J15,'16.08 BUSUNJU-KAMPALA-24h'!J15,'17.08 BUSUNJU-KAMPALA-24h'!J15,'15.08 BUSUNJU-KAMPALA'!J15)</f>
        <v>0</v>
      </c>
      <c r="K15" s="49">
        <f>AVERAGE('11.08 BUSUNJU-KAMPALA'!K15,'12.08 BUSUNJU-KAMPALA'!K15,'13.08 BUSUNJU-KAMPALA'!K15,'14.08 BUSUNJU-KAMPALA'!K15,'16.08 BUSUNJU-KAMPALA-24h'!K15,'17.08 BUSUNJU-KAMPALA-24h'!K15,'15.08 BUSUNJU-KAMPALA'!K15)</f>
        <v>0</v>
      </c>
      <c r="L15" s="49">
        <f>AVERAGE('11.08 BUSUNJU-KAMPALA'!L15,'12.08 BUSUNJU-KAMPALA'!L15,'13.08 BUSUNJU-KAMPALA'!L15,'14.08 BUSUNJU-KAMPALA'!L15,'16.08 BUSUNJU-KAMPALA-24h'!L15,'17.08 BUSUNJU-KAMPALA-24h'!L15,'15.08 BUSUNJU-KAMPALA'!L15)</f>
        <v>0</v>
      </c>
      <c r="M15" s="49">
        <f>AVERAGE('11.08 BUSUNJU-KAMPALA'!M15,'12.08 BUSUNJU-KAMPALA'!M15,'13.08 BUSUNJU-KAMPALA'!M15,'14.08 BUSUNJU-KAMPALA'!M15,'16.08 BUSUNJU-KAMPALA-24h'!M15,'17.08 BUSUNJU-KAMPALA-24h'!M15,'15.08 BUSUNJU-KAMPALA'!M15)</f>
        <v>13.428571428571429</v>
      </c>
      <c r="N15" s="49">
        <f>AVERAGE('11.08 BUSUNJU-KAMPALA'!N15,'12.08 BUSUNJU-KAMPALA'!N15,'13.08 BUSUNJU-KAMPALA'!N15,'14.08 BUSUNJU-KAMPALA'!N15,'16.08 BUSUNJU-KAMPALA-24h'!N15,'17.08 BUSUNJU-KAMPALA-24h'!N15,'15.08 BUSUNJU-KAMPALA'!N15)</f>
        <v>0</v>
      </c>
      <c r="O15" s="15">
        <f t="shared" si="0"/>
        <v>3.2857142857142856</v>
      </c>
      <c r="P15" s="15">
        <f t="shared" si="1"/>
        <v>16.714285714285715</v>
      </c>
      <c r="R15" s="1" t="s">
        <v>11</v>
      </c>
      <c r="S15" s="17">
        <f t="shared" ref="S15:AF15" si="7">SUM(C30:C33)</f>
        <v>3.285714285714286</v>
      </c>
      <c r="T15" s="17">
        <f t="shared" si="7"/>
        <v>0.5714285714285714</v>
      </c>
      <c r="U15" s="17">
        <f t="shared" si="7"/>
        <v>3.7142857142857144</v>
      </c>
      <c r="V15" s="17">
        <f t="shared" si="7"/>
        <v>1.5714285714285714</v>
      </c>
      <c r="W15" s="17">
        <f t="shared" si="7"/>
        <v>0</v>
      </c>
      <c r="X15" s="17">
        <f t="shared" si="7"/>
        <v>0</v>
      </c>
      <c r="Y15" s="17">
        <f t="shared" si="7"/>
        <v>5.4285714285714279</v>
      </c>
      <c r="Z15" s="17">
        <f t="shared" si="7"/>
        <v>0.5714285714285714</v>
      </c>
      <c r="AA15" s="17">
        <f t="shared" si="7"/>
        <v>0</v>
      </c>
      <c r="AB15" s="17">
        <f t="shared" si="7"/>
        <v>0</v>
      </c>
      <c r="AC15" s="17">
        <f t="shared" si="7"/>
        <v>61.714285714285708</v>
      </c>
      <c r="AD15" s="17">
        <f t="shared" si="7"/>
        <v>0</v>
      </c>
      <c r="AE15" s="31">
        <f t="shared" si="7"/>
        <v>15.142857142857142</v>
      </c>
      <c r="AF15" s="31">
        <f t="shared" si="7"/>
        <v>76.857142857142861</v>
      </c>
    </row>
    <row r="16" spans="2:32" ht="23.1" customHeight="1" x14ac:dyDescent="0.25">
      <c r="B16" s="23" t="s">
        <v>43</v>
      </c>
      <c r="C16" s="49">
        <f>AVERAGE('11.08 BUSUNJU-KAMPALA'!C16,'12.08 BUSUNJU-KAMPALA'!C16,'13.08 BUSUNJU-KAMPALA'!C16,'14.08 BUSUNJU-KAMPALA'!C16,'16.08 BUSUNJU-KAMPALA-24h'!C16,'17.08 BUSUNJU-KAMPALA-24h'!C16,'15.08 BUSUNJU-KAMPALA'!C16)</f>
        <v>1.1428571428571428</v>
      </c>
      <c r="D16" s="49">
        <f>AVERAGE('11.08 BUSUNJU-KAMPALA'!D16,'12.08 BUSUNJU-KAMPALA'!D16,'13.08 BUSUNJU-KAMPALA'!D16,'14.08 BUSUNJU-KAMPALA'!D16,'16.08 BUSUNJU-KAMPALA-24h'!D16,'17.08 BUSUNJU-KAMPALA-24h'!D16,'15.08 BUSUNJU-KAMPALA'!D16)</f>
        <v>0.2857142857142857</v>
      </c>
      <c r="E16" s="49">
        <f>AVERAGE('11.08 BUSUNJU-KAMPALA'!E16,'12.08 BUSUNJU-KAMPALA'!E16,'13.08 BUSUNJU-KAMPALA'!E16,'14.08 BUSUNJU-KAMPALA'!E16,'16.08 BUSUNJU-KAMPALA-24h'!E16,'17.08 BUSUNJU-KAMPALA-24h'!E16,'15.08 BUSUNJU-KAMPALA'!E16)</f>
        <v>1</v>
      </c>
      <c r="F16" s="49">
        <f>AVERAGE('11.08 BUSUNJU-KAMPALA'!F16,'12.08 BUSUNJU-KAMPALA'!F16,'13.08 BUSUNJU-KAMPALA'!F16,'14.08 BUSUNJU-KAMPALA'!F16,'16.08 BUSUNJU-KAMPALA-24h'!F16,'17.08 BUSUNJU-KAMPALA-24h'!F16,'15.08 BUSUNJU-KAMPALA'!F16)</f>
        <v>0.42857142857142855</v>
      </c>
      <c r="G16" s="49">
        <f>AVERAGE('11.08 BUSUNJU-KAMPALA'!G16,'12.08 BUSUNJU-KAMPALA'!G16,'13.08 BUSUNJU-KAMPALA'!G16,'14.08 BUSUNJU-KAMPALA'!G16,'16.08 BUSUNJU-KAMPALA-24h'!G16,'17.08 BUSUNJU-KAMPALA-24h'!G16,'15.08 BUSUNJU-KAMPALA'!G16)</f>
        <v>0</v>
      </c>
      <c r="H16" s="49">
        <f>AVERAGE('11.08 BUSUNJU-KAMPALA'!H16,'12.08 BUSUNJU-KAMPALA'!H16,'13.08 BUSUNJU-KAMPALA'!H16,'14.08 BUSUNJU-KAMPALA'!H16,'16.08 BUSUNJU-KAMPALA-24h'!H16,'17.08 BUSUNJU-KAMPALA-24h'!H16,'15.08 BUSUNJU-KAMPALA'!H16)</f>
        <v>0</v>
      </c>
      <c r="I16" s="49">
        <f>AVERAGE('11.08 BUSUNJU-KAMPALA'!I16,'12.08 BUSUNJU-KAMPALA'!I16,'13.08 BUSUNJU-KAMPALA'!I16,'14.08 BUSUNJU-KAMPALA'!I16,'16.08 BUSUNJU-KAMPALA-24h'!I16,'17.08 BUSUNJU-KAMPALA-24h'!I16,'15.08 BUSUNJU-KAMPALA'!I16)</f>
        <v>1.5714285714285714</v>
      </c>
      <c r="J16" s="49">
        <f>AVERAGE('11.08 BUSUNJU-KAMPALA'!J16,'12.08 BUSUNJU-KAMPALA'!J16,'13.08 BUSUNJU-KAMPALA'!J16,'14.08 BUSUNJU-KAMPALA'!J16,'16.08 BUSUNJU-KAMPALA-24h'!J16,'17.08 BUSUNJU-KAMPALA-24h'!J16,'15.08 BUSUNJU-KAMPALA'!J16)</f>
        <v>0</v>
      </c>
      <c r="K16" s="49">
        <f>AVERAGE('11.08 BUSUNJU-KAMPALA'!K16,'12.08 BUSUNJU-KAMPALA'!K16,'13.08 BUSUNJU-KAMPALA'!K16,'14.08 BUSUNJU-KAMPALA'!K16,'16.08 BUSUNJU-KAMPALA-24h'!K16,'17.08 BUSUNJU-KAMPALA-24h'!K16,'15.08 BUSUNJU-KAMPALA'!K16)</f>
        <v>0</v>
      </c>
      <c r="L16" s="49">
        <f>AVERAGE('11.08 BUSUNJU-KAMPALA'!L16,'12.08 BUSUNJU-KAMPALA'!L16,'13.08 BUSUNJU-KAMPALA'!L16,'14.08 BUSUNJU-KAMPALA'!L16,'16.08 BUSUNJU-KAMPALA-24h'!L16,'17.08 BUSUNJU-KAMPALA-24h'!L16,'15.08 BUSUNJU-KAMPALA'!L16)</f>
        <v>0</v>
      </c>
      <c r="M16" s="49">
        <f>AVERAGE('11.08 BUSUNJU-KAMPALA'!M16,'12.08 BUSUNJU-KAMPALA'!M16,'13.08 BUSUNJU-KAMPALA'!M16,'14.08 BUSUNJU-KAMPALA'!M16,'16.08 BUSUNJU-KAMPALA-24h'!M16,'17.08 BUSUNJU-KAMPALA-24h'!M16,'15.08 BUSUNJU-KAMPALA'!M16)</f>
        <v>15.571428571428571</v>
      </c>
      <c r="N16" s="49">
        <f>AVERAGE('11.08 BUSUNJU-KAMPALA'!N16,'12.08 BUSUNJU-KAMPALA'!N16,'13.08 BUSUNJU-KAMPALA'!N16,'14.08 BUSUNJU-KAMPALA'!N16,'16.08 BUSUNJU-KAMPALA-24h'!N16,'17.08 BUSUNJU-KAMPALA-24h'!N16,'15.08 BUSUNJU-KAMPALA'!N16)</f>
        <v>0</v>
      </c>
      <c r="O16" s="15">
        <f t="shared" si="0"/>
        <v>4.4285714285714279</v>
      </c>
      <c r="P16" s="15">
        <f t="shared" si="1"/>
        <v>20</v>
      </c>
      <c r="R16" s="1" t="s">
        <v>12</v>
      </c>
      <c r="S16" s="17">
        <f t="shared" ref="S16:AF16" si="8">SUM(C34:C37)</f>
        <v>4</v>
      </c>
      <c r="T16" s="17">
        <f t="shared" si="8"/>
        <v>0.71428571428571419</v>
      </c>
      <c r="U16" s="17">
        <f t="shared" si="8"/>
        <v>4</v>
      </c>
      <c r="V16" s="17">
        <f t="shared" si="8"/>
        <v>1.1428571428571428</v>
      </c>
      <c r="W16" s="17">
        <f t="shared" si="8"/>
        <v>0.14285714285714285</v>
      </c>
      <c r="X16" s="17">
        <f t="shared" si="8"/>
        <v>0</v>
      </c>
      <c r="Y16" s="17">
        <f t="shared" si="8"/>
        <v>3.9999999999999996</v>
      </c>
      <c r="Z16" s="17">
        <f t="shared" si="8"/>
        <v>0.71428571428571419</v>
      </c>
      <c r="AA16" s="17">
        <f t="shared" si="8"/>
        <v>0</v>
      </c>
      <c r="AB16" s="17">
        <f t="shared" si="8"/>
        <v>0</v>
      </c>
      <c r="AC16" s="17">
        <f t="shared" si="8"/>
        <v>53.571428571428569</v>
      </c>
      <c r="AD16" s="17">
        <f t="shared" si="8"/>
        <v>0</v>
      </c>
      <c r="AE16" s="31">
        <f t="shared" si="8"/>
        <v>14.714285714285715</v>
      </c>
      <c r="AF16" s="31">
        <f t="shared" si="8"/>
        <v>68.285714285714292</v>
      </c>
    </row>
    <row r="17" spans="2:32" ht="23.1" customHeight="1" x14ac:dyDescent="0.25">
      <c r="B17" s="23" t="s">
        <v>44</v>
      </c>
      <c r="C17" s="49">
        <f>AVERAGE('11.08 BUSUNJU-KAMPALA'!C17,'12.08 BUSUNJU-KAMPALA'!C17,'13.08 BUSUNJU-KAMPALA'!C17,'14.08 BUSUNJU-KAMPALA'!C17,'16.08 BUSUNJU-KAMPALA-24h'!C17,'17.08 BUSUNJU-KAMPALA-24h'!C17,'15.08 BUSUNJU-KAMPALA'!C17)</f>
        <v>0.8571428571428571</v>
      </c>
      <c r="D17" s="49">
        <f>AVERAGE('11.08 BUSUNJU-KAMPALA'!D17,'12.08 BUSUNJU-KAMPALA'!D17,'13.08 BUSUNJU-KAMPALA'!D17,'14.08 BUSUNJU-KAMPALA'!D17,'16.08 BUSUNJU-KAMPALA-24h'!D17,'17.08 BUSUNJU-KAMPALA-24h'!D17,'15.08 BUSUNJU-KAMPALA'!D17)</f>
        <v>0</v>
      </c>
      <c r="E17" s="49">
        <f>AVERAGE('11.08 BUSUNJU-KAMPALA'!E17,'12.08 BUSUNJU-KAMPALA'!E17,'13.08 BUSUNJU-KAMPALA'!E17,'14.08 BUSUNJU-KAMPALA'!E17,'16.08 BUSUNJU-KAMPALA-24h'!E17,'17.08 BUSUNJU-KAMPALA-24h'!E17,'15.08 BUSUNJU-KAMPALA'!E17)</f>
        <v>0.5714285714285714</v>
      </c>
      <c r="F17" s="49">
        <f>AVERAGE('11.08 BUSUNJU-KAMPALA'!F17,'12.08 BUSUNJU-KAMPALA'!F17,'13.08 BUSUNJU-KAMPALA'!F17,'14.08 BUSUNJU-KAMPALA'!F17,'16.08 BUSUNJU-KAMPALA-24h'!F17,'17.08 BUSUNJU-KAMPALA-24h'!F17,'15.08 BUSUNJU-KAMPALA'!F17)</f>
        <v>0.14285714285714285</v>
      </c>
      <c r="G17" s="49">
        <f>AVERAGE('11.08 BUSUNJU-KAMPALA'!G17,'12.08 BUSUNJU-KAMPALA'!G17,'13.08 BUSUNJU-KAMPALA'!G17,'14.08 BUSUNJU-KAMPALA'!G17,'16.08 BUSUNJU-KAMPALA-24h'!G17,'17.08 BUSUNJU-KAMPALA-24h'!G17,'15.08 BUSUNJU-KAMPALA'!G17)</f>
        <v>0</v>
      </c>
      <c r="H17" s="49">
        <f>AVERAGE('11.08 BUSUNJU-KAMPALA'!H17,'12.08 BUSUNJU-KAMPALA'!H17,'13.08 BUSUNJU-KAMPALA'!H17,'14.08 BUSUNJU-KAMPALA'!H17,'16.08 BUSUNJU-KAMPALA-24h'!H17,'17.08 BUSUNJU-KAMPALA-24h'!H17,'15.08 BUSUNJU-KAMPALA'!H17)</f>
        <v>0</v>
      </c>
      <c r="I17" s="49">
        <f>AVERAGE('11.08 BUSUNJU-KAMPALA'!I17,'12.08 BUSUNJU-KAMPALA'!I17,'13.08 BUSUNJU-KAMPALA'!I17,'14.08 BUSUNJU-KAMPALA'!I17,'16.08 BUSUNJU-KAMPALA-24h'!I17,'17.08 BUSUNJU-KAMPALA-24h'!I17,'15.08 BUSUNJU-KAMPALA'!I17)</f>
        <v>1</v>
      </c>
      <c r="J17" s="49">
        <f>AVERAGE('11.08 BUSUNJU-KAMPALA'!J17,'12.08 BUSUNJU-KAMPALA'!J17,'13.08 BUSUNJU-KAMPALA'!J17,'14.08 BUSUNJU-KAMPALA'!J17,'16.08 BUSUNJU-KAMPALA-24h'!J17,'17.08 BUSUNJU-KAMPALA-24h'!J17,'15.08 BUSUNJU-KAMPALA'!J17)</f>
        <v>0</v>
      </c>
      <c r="K17" s="49">
        <f>AVERAGE('11.08 BUSUNJU-KAMPALA'!K17,'12.08 BUSUNJU-KAMPALA'!K17,'13.08 BUSUNJU-KAMPALA'!K17,'14.08 BUSUNJU-KAMPALA'!K17,'16.08 BUSUNJU-KAMPALA-24h'!K17,'17.08 BUSUNJU-KAMPALA-24h'!K17,'15.08 BUSUNJU-KAMPALA'!K17)</f>
        <v>0</v>
      </c>
      <c r="L17" s="49">
        <f>AVERAGE('11.08 BUSUNJU-KAMPALA'!L17,'12.08 BUSUNJU-KAMPALA'!L17,'13.08 BUSUNJU-KAMPALA'!L17,'14.08 BUSUNJU-KAMPALA'!L17,'16.08 BUSUNJU-KAMPALA-24h'!L17,'17.08 BUSUNJU-KAMPALA-24h'!L17,'15.08 BUSUNJU-KAMPALA'!L17)</f>
        <v>0</v>
      </c>
      <c r="M17" s="49">
        <f>AVERAGE('11.08 BUSUNJU-KAMPALA'!M17,'12.08 BUSUNJU-KAMPALA'!M17,'13.08 BUSUNJU-KAMPALA'!M17,'14.08 BUSUNJU-KAMPALA'!M17,'16.08 BUSUNJU-KAMPALA-24h'!M17,'17.08 BUSUNJU-KAMPALA-24h'!M17,'15.08 BUSUNJU-KAMPALA'!M17)</f>
        <v>15.285714285714286</v>
      </c>
      <c r="N17" s="49">
        <f>AVERAGE('11.08 BUSUNJU-KAMPALA'!N17,'12.08 BUSUNJU-KAMPALA'!N17,'13.08 BUSUNJU-KAMPALA'!N17,'14.08 BUSUNJU-KAMPALA'!N17,'16.08 BUSUNJU-KAMPALA-24h'!N17,'17.08 BUSUNJU-KAMPALA-24h'!N17,'15.08 BUSUNJU-KAMPALA'!N17)</f>
        <v>0</v>
      </c>
      <c r="O17" s="15">
        <f t="shared" si="0"/>
        <v>2.5714285714285712</v>
      </c>
      <c r="P17" s="15">
        <f t="shared" si="1"/>
        <v>17.857142857142858</v>
      </c>
      <c r="R17" s="1" t="s">
        <v>13</v>
      </c>
      <c r="S17" s="17">
        <f t="shared" ref="S17:AF17" si="9">SUM(C38:C41)</f>
        <v>4.8571428571428577</v>
      </c>
      <c r="T17" s="17">
        <f t="shared" si="9"/>
        <v>1</v>
      </c>
      <c r="U17" s="17">
        <f t="shared" si="9"/>
        <v>1.5714285714285714</v>
      </c>
      <c r="V17" s="17">
        <f t="shared" si="9"/>
        <v>0.5714285714285714</v>
      </c>
      <c r="W17" s="17">
        <f t="shared" si="9"/>
        <v>0</v>
      </c>
      <c r="X17" s="17">
        <f t="shared" si="9"/>
        <v>0</v>
      </c>
      <c r="Y17" s="17">
        <f t="shared" si="9"/>
        <v>4.1428571428571423</v>
      </c>
      <c r="Z17" s="17">
        <f t="shared" si="9"/>
        <v>0</v>
      </c>
      <c r="AA17" s="17">
        <f t="shared" si="9"/>
        <v>0</v>
      </c>
      <c r="AB17" s="17">
        <f t="shared" si="9"/>
        <v>0</v>
      </c>
      <c r="AC17" s="17">
        <f t="shared" si="9"/>
        <v>53.428571428571431</v>
      </c>
      <c r="AD17" s="17">
        <f t="shared" si="9"/>
        <v>0</v>
      </c>
      <c r="AE17" s="31">
        <f t="shared" si="9"/>
        <v>12.142857142857142</v>
      </c>
      <c r="AF17" s="31">
        <f t="shared" si="9"/>
        <v>65.571428571428569</v>
      </c>
    </row>
    <row r="18" spans="2:32" ht="23.1" customHeight="1" x14ac:dyDescent="0.25">
      <c r="B18" s="23" t="s">
        <v>45</v>
      </c>
      <c r="C18" s="49">
        <f>AVERAGE('11.08 BUSUNJU-KAMPALA'!C18,'12.08 BUSUNJU-KAMPALA'!C18,'13.08 BUSUNJU-KAMPALA'!C18,'14.08 BUSUNJU-KAMPALA'!C18,'16.08 BUSUNJU-KAMPALA-24h'!C18,'17.08 BUSUNJU-KAMPALA-24h'!C18,'15.08 BUSUNJU-KAMPALA'!C18)</f>
        <v>1</v>
      </c>
      <c r="D18" s="49">
        <f>AVERAGE('11.08 BUSUNJU-KAMPALA'!D18,'12.08 BUSUNJU-KAMPALA'!D18,'13.08 BUSUNJU-KAMPALA'!D18,'14.08 BUSUNJU-KAMPALA'!D18,'16.08 BUSUNJU-KAMPALA-24h'!D18,'17.08 BUSUNJU-KAMPALA-24h'!D18,'15.08 BUSUNJU-KAMPALA'!D18)</f>
        <v>0.42857142857142855</v>
      </c>
      <c r="E18" s="49">
        <f>AVERAGE('11.08 BUSUNJU-KAMPALA'!E18,'12.08 BUSUNJU-KAMPALA'!E18,'13.08 BUSUNJU-KAMPALA'!E18,'14.08 BUSUNJU-KAMPALA'!E18,'16.08 BUSUNJU-KAMPALA-24h'!E18,'17.08 BUSUNJU-KAMPALA-24h'!E18,'15.08 BUSUNJU-KAMPALA'!E18)</f>
        <v>0.8571428571428571</v>
      </c>
      <c r="F18" s="49">
        <f>AVERAGE('11.08 BUSUNJU-KAMPALA'!F18,'12.08 BUSUNJU-KAMPALA'!F18,'13.08 BUSUNJU-KAMPALA'!F18,'14.08 BUSUNJU-KAMPALA'!F18,'16.08 BUSUNJU-KAMPALA-24h'!F18,'17.08 BUSUNJU-KAMPALA-24h'!F18,'15.08 BUSUNJU-KAMPALA'!F18)</f>
        <v>0.14285714285714285</v>
      </c>
      <c r="G18" s="49">
        <f>AVERAGE('11.08 BUSUNJU-KAMPALA'!G18,'12.08 BUSUNJU-KAMPALA'!G18,'13.08 BUSUNJU-KAMPALA'!G18,'14.08 BUSUNJU-KAMPALA'!G18,'16.08 BUSUNJU-KAMPALA-24h'!G18,'17.08 BUSUNJU-KAMPALA-24h'!G18,'15.08 BUSUNJU-KAMPALA'!G18)</f>
        <v>0</v>
      </c>
      <c r="H18" s="49">
        <f>AVERAGE('11.08 BUSUNJU-KAMPALA'!H18,'12.08 BUSUNJU-KAMPALA'!H18,'13.08 BUSUNJU-KAMPALA'!H18,'14.08 BUSUNJU-KAMPALA'!H18,'16.08 BUSUNJU-KAMPALA-24h'!H18,'17.08 BUSUNJU-KAMPALA-24h'!H18,'15.08 BUSUNJU-KAMPALA'!H18)</f>
        <v>0</v>
      </c>
      <c r="I18" s="49">
        <f>AVERAGE('11.08 BUSUNJU-KAMPALA'!I18,'12.08 BUSUNJU-KAMPALA'!I18,'13.08 BUSUNJU-KAMPALA'!I18,'14.08 BUSUNJU-KAMPALA'!I18,'16.08 BUSUNJU-KAMPALA-24h'!I18,'17.08 BUSUNJU-KAMPALA-24h'!I18,'15.08 BUSUNJU-KAMPALA'!I18)</f>
        <v>0.2857142857142857</v>
      </c>
      <c r="J18" s="49">
        <f>AVERAGE('11.08 BUSUNJU-KAMPALA'!J18,'12.08 BUSUNJU-KAMPALA'!J18,'13.08 BUSUNJU-KAMPALA'!J18,'14.08 BUSUNJU-KAMPALA'!J18,'16.08 BUSUNJU-KAMPALA-24h'!J18,'17.08 BUSUNJU-KAMPALA-24h'!J18,'15.08 BUSUNJU-KAMPALA'!J18)</f>
        <v>0</v>
      </c>
      <c r="K18" s="49">
        <f>AVERAGE('11.08 BUSUNJU-KAMPALA'!K18,'12.08 BUSUNJU-KAMPALA'!K18,'13.08 BUSUNJU-KAMPALA'!K18,'14.08 BUSUNJU-KAMPALA'!K18,'16.08 BUSUNJU-KAMPALA-24h'!K18,'17.08 BUSUNJU-KAMPALA-24h'!K18,'15.08 BUSUNJU-KAMPALA'!K18)</f>
        <v>0</v>
      </c>
      <c r="L18" s="49">
        <f>AVERAGE('11.08 BUSUNJU-KAMPALA'!L18,'12.08 BUSUNJU-KAMPALA'!L18,'13.08 BUSUNJU-KAMPALA'!L18,'14.08 BUSUNJU-KAMPALA'!L18,'16.08 BUSUNJU-KAMPALA-24h'!L18,'17.08 BUSUNJU-KAMPALA-24h'!L18,'15.08 BUSUNJU-KAMPALA'!L18)</f>
        <v>0</v>
      </c>
      <c r="M18" s="49">
        <f>AVERAGE('11.08 BUSUNJU-KAMPALA'!M18,'12.08 BUSUNJU-KAMPALA'!M18,'13.08 BUSUNJU-KAMPALA'!M18,'14.08 BUSUNJU-KAMPALA'!M18,'16.08 BUSUNJU-KAMPALA-24h'!M18,'17.08 BUSUNJU-KAMPALA-24h'!M18,'15.08 BUSUNJU-KAMPALA'!M18)</f>
        <v>17</v>
      </c>
      <c r="N18" s="49">
        <f>AVERAGE('11.08 BUSUNJU-KAMPALA'!N18,'12.08 BUSUNJU-KAMPALA'!N18,'13.08 BUSUNJU-KAMPALA'!N18,'14.08 BUSUNJU-KAMPALA'!N18,'16.08 BUSUNJU-KAMPALA-24h'!N18,'17.08 BUSUNJU-KAMPALA-24h'!N18,'15.08 BUSUNJU-KAMPALA'!N18)</f>
        <v>0</v>
      </c>
      <c r="O18" s="15">
        <f t="shared" si="0"/>
        <v>2.714285714285714</v>
      </c>
      <c r="P18" s="15">
        <f t="shared" si="1"/>
        <v>19.714285714285715</v>
      </c>
      <c r="R18" s="1" t="s">
        <v>14</v>
      </c>
      <c r="S18" s="17">
        <f t="shared" ref="S18:AF18" si="10">SUM(C42:C45)</f>
        <v>4.2857142857142856</v>
      </c>
      <c r="T18" s="17">
        <f t="shared" si="10"/>
        <v>1</v>
      </c>
      <c r="U18" s="17">
        <f t="shared" si="10"/>
        <v>3.8571428571428568</v>
      </c>
      <c r="V18" s="17">
        <f t="shared" si="10"/>
        <v>0.71428571428571419</v>
      </c>
      <c r="W18" s="17">
        <f t="shared" si="10"/>
        <v>0</v>
      </c>
      <c r="X18" s="17">
        <f t="shared" si="10"/>
        <v>0</v>
      </c>
      <c r="Y18" s="17">
        <f t="shared" si="10"/>
        <v>6.5714285714285712</v>
      </c>
      <c r="Z18" s="17">
        <f t="shared" si="10"/>
        <v>0.14285714285714285</v>
      </c>
      <c r="AA18" s="17">
        <f t="shared" si="10"/>
        <v>0</v>
      </c>
      <c r="AB18" s="17">
        <f t="shared" si="10"/>
        <v>0</v>
      </c>
      <c r="AC18" s="17">
        <f t="shared" si="10"/>
        <v>52.285714285714285</v>
      </c>
      <c r="AD18" s="17">
        <f t="shared" si="10"/>
        <v>0</v>
      </c>
      <c r="AE18" s="31">
        <f t="shared" si="10"/>
        <v>16.571428571428569</v>
      </c>
      <c r="AF18" s="31">
        <f t="shared" si="10"/>
        <v>68.857142857142861</v>
      </c>
    </row>
    <row r="19" spans="2:32" ht="23.1" customHeight="1" x14ac:dyDescent="0.25">
      <c r="B19" s="23" t="s">
        <v>46</v>
      </c>
      <c r="C19" s="49">
        <f>AVERAGE('11.08 BUSUNJU-KAMPALA'!C19,'12.08 BUSUNJU-KAMPALA'!C19,'13.08 BUSUNJU-KAMPALA'!C19,'14.08 BUSUNJU-KAMPALA'!C19,'16.08 BUSUNJU-KAMPALA-24h'!C19,'17.08 BUSUNJU-KAMPALA-24h'!C19,'15.08 BUSUNJU-KAMPALA'!C19)</f>
        <v>0.7142857142857143</v>
      </c>
      <c r="D19" s="49">
        <f>AVERAGE('11.08 BUSUNJU-KAMPALA'!D19,'12.08 BUSUNJU-KAMPALA'!D19,'13.08 BUSUNJU-KAMPALA'!D19,'14.08 BUSUNJU-KAMPALA'!D19,'16.08 BUSUNJU-KAMPALA-24h'!D19,'17.08 BUSUNJU-KAMPALA-24h'!D19,'15.08 BUSUNJU-KAMPALA'!D19)</f>
        <v>0.2857142857142857</v>
      </c>
      <c r="E19" s="49">
        <f>AVERAGE('11.08 BUSUNJU-KAMPALA'!E19,'12.08 BUSUNJU-KAMPALA'!E19,'13.08 BUSUNJU-KAMPALA'!E19,'14.08 BUSUNJU-KAMPALA'!E19,'16.08 BUSUNJU-KAMPALA-24h'!E19,'17.08 BUSUNJU-KAMPALA-24h'!E19,'15.08 BUSUNJU-KAMPALA'!E19)</f>
        <v>0.42857142857142855</v>
      </c>
      <c r="F19" s="49">
        <f>AVERAGE('11.08 BUSUNJU-KAMPALA'!F19,'12.08 BUSUNJU-KAMPALA'!F19,'13.08 BUSUNJU-KAMPALA'!F19,'14.08 BUSUNJU-KAMPALA'!F19,'16.08 BUSUNJU-KAMPALA-24h'!F19,'17.08 BUSUNJU-KAMPALA-24h'!F19,'15.08 BUSUNJU-KAMPALA'!F19)</f>
        <v>0</v>
      </c>
      <c r="G19" s="49">
        <f>AVERAGE('11.08 BUSUNJU-KAMPALA'!G19,'12.08 BUSUNJU-KAMPALA'!G19,'13.08 BUSUNJU-KAMPALA'!G19,'14.08 BUSUNJU-KAMPALA'!G19,'16.08 BUSUNJU-KAMPALA-24h'!G19,'17.08 BUSUNJU-KAMPALA-24h'!G19,'15.08 BUSUNJU-KAMPALA'!G19)</f>
        <v>0</v>
      </c>
      <c r="H19" s="49">
        <f>AVERAGE('11.08 BUSUNJU-KAMPALA'!H19,'12.08 BUSUNJU-KAMPALA'!H19,'13.08 BUSUNJU-KAMPALA'!H19,'14.08 BUSUNJU-KAMPALA'!H19,'16.08 BUSUNJU-KAMPALA-24h'!H19,'17.08 BUSUNJU-KAMPALA-24h'!H19,'15.08 BUSUNJU-KAMPALA'!H19)</f>
        <v>0</v>
      </c>
      <c r="I19" s="49">
        <f>AVERAGE('11.08 BUSUNJU-KAMPALA'!I19,'12.08 BUSUNJU-KAMPALA'!I19,'13.08 BUSUNJU-KAMPALA'!I19,'14.08 BUSUNJU-KAMPALA'!I19,'16.08 BUSUNJU-KAMPALA-24h'!I19,'17.08 BUSUNJU-KAMPALA-24h'!I19,'15.08 BUSUNJU-KAMPALA'!I19)</f>
        <v>0.2857142857142857</v>
      </c>
      <c r="J19" s="49">
        <f>AVERAGE('11.08 BUSUNJU-KAMPALA'!J19,'12.08 BUSUNJU-KAMPALA'!J19,'13.08 BUSUNJU-KAMPALA'!J19,'14.08 BUSUNJU-KAMPALA'!J19,'16.08 BUSUNJU-KAMPALA-24h'!J19,'17.08 BUSUNJU-KAMPALA-24h'!J19,'15.08 BUSUNJU-KAMPALA'!J19)</f>
        <v>0</v>
      </c>
      <c r="K19" s="49">
        <f>AVERAGE('11.08 BUSUNJU-KAMPALA'!K19,'12.08 BUSUNJU-KAMPALA'!K19,'13.08 BUSUNJU-KAMPALA'!K19,'14.08 BUSUNJU-KAMPALA'!K19,'16.08 BUSUNJU-KAMPALA-24h'!K19,'17.08 BUSUNJU-KAMPALA-24h'!K19,'15.08 BUSUNJU-KAMPALA'!K19)</f>
        <v>0</v>
      </c>
      <c r="L19" s="49">
        <f>AVERAGE('11.08 BUSUNJU-KAMPALA'!L19,'12.08 BUSUNJU-KAMPALA'!L19,'13.08 BUSUNJU-KAMPALA'!L19,'14.08 BUSUNJU-KAMPALA'!L19,'16.08 BUSUNJU-KAMPALA-24h'!L19,'17.08 BUSUNJU-KAMPALA-24h'!L19,'15.08 BUSUNJU-KAMPALA'!L19)</f>
        <v>0</v>
      </c>
      <c r="M19" s="49">
        <f>AVERAGE('11.08 BUSUNJU-KAMPALA'!M19,'12.08 BUSUNJU-KAMPALA'!M19,'13.08 BUSUNJU-KAMPALA'!M19,'14.08 BUSUNJU-KAMPALA'!M19,'16.08 BUSUNJU-KAMPALA-24h'!M19,'17.08 BUSUNJU-KAMPALA-24h'!M19,'15.08 BUSUNJU-KAMPALA'!M19)</f>
        <v>14.571428571428571</v>
      </c>
      <c r="N19" s="49">
        <f>AVERAGE('11.08 BUSUNJU-KAMPALA'!N19,'12.08 BUSUNJU-KAMPALA'!N19,'13.08 BUSUNJU-KAMPALA'!N19,'14.08 BUSUNJU-KAMPALA'!N19,'16.08 BUSUNJU-KAMPALA-24h'!N19,'17.08 BUSUNJU-KAMPALA-24h'!N19,'15.08 BUSUNJU-KAMPALA'!N19)</f>
        <v>0</v>
      </c>
      <c r="O19" s="15">
        <f t="shared" si="0"/>
        <v>1.7142857142857144</v>
      </c>
      <c r="P19" s="15">
        <f t="shared" si="1"/>
        <v>16.285714285714285</v>
      </c>
      <c r="R19" s="1" t="s">
        <v>15</v>
      </c>
      <c r="S19" s="17">
        <f t="shared" ref="S19:AF19" si="11">SUM(C46:C49)</f>
        <v>5</v>
      </c>
      <c r="T19" s="17">
        <f t="shared" si="11"/>
        <v>0.5714285714285714</v>
      </c>
      <c r="U19" s="17">
        <f t="shared" si="11"/>
        <v>4.2857142857142856</v>
      </c>
      <c r="V19" s="17">
        <f t="shared" si="11"/>
        <v>1.2857142857142858</v>
      </c>
      <c r="W19" s="17">
        <f t="shared" si="11"/>
        <v>0</v>
      </c>
      <c r="X19" s="17">
        <f t="shared" si="11"/>
        <v>0</v>
      </c>
      <c r="Y19" s="17">
        <f t="shared" si="11"/>
        <v>4</v>
      </c>
      <c r="Z19" s="17">
        <f t="shared" si="11"/>
        <v>0.14285714285714285</v>
      </c>
      <c r="AA19" s="17">
        <f t="shared" si="11"/>
        <v>0</v>
      </c>
      <c r="AB19" s="17">
        <f t="shared" si="11"/>
        <v>0</v>
      </c>
      <c r="AC19" s="17">
        <f t="shared" si="11"/>
        <v>58.857142857142861</v>
      </c>
      <c r="AD19" s="17">
        <f t="shared" si="11"/>
        <v>0</v>
      </c>
      <c r="AE19" s="31">
        <f t="shared" si="11"/>
        <v>15.285714285714286</v>
      </c>
      <c r="AF19" s="31">
        <f t="shared" si="11"/>
        <v>74.142857142857153</v>
      </c>
    </row>
    <row r="20" spans="2:32" ht="23.1" customHeight="1" x14ac:dyDescent="0.25">
      <c r="B20" s="23" t="s">
        <v>47</v>
      </c>
      <c r="C20" s="49">
        <f>AVERAGE('11.08 BUSUNJU-KAMPALA'!C20,'12.08 BUSUNJU-KAMPALA'!C20,'13.08 BUSUNJU-KAMPALA'!C20,'14.08 BUSUNJU-KAMPALA'!C20,'16.08 BUSUNJU-KAMPALA-24h'!C20,'17.08 BUSUNJU-KAMPALA-24h'!C20,'15.08 BUSUNJU-KAMPALA'!C20)</f>
        <v>0.5714285714285714</v>
      </c>
      <c r="D20" s="49">
        <f>AVERAGE('11.08 BUSUNJU-KAMPALA'!D20,'12.08 BUSUNJU-KAMPALA'!D20,'13.08 BUSUNJU-KAMPALA'!D20,'14.08 BUSUNJU-KAMPALA'!D20,'16.08 BUSUNJU-KAMPALA-24h'!D20,'17.08 BUSUNJU-KAMPALA-24h'!D20,'15.08 BUSUNJU-KAMPALA'!D20)</f>
        <v>0</v>
      </c>
      <c r="E20" s="49">
        <f>AVERAGE('11.08 BUSUNJU-KAMPALA'!E20,'12.08 BUSUNJU-KAMPALA'!E20,'13.08 BUSUNJU-KAMPALA'!E20,'14.08 BUSUNJU-KAMPALA'!E20,'16.08 BUSUNJU-KAMPALA-24h'!E20,'17.08 BUSUNJU-KAMPALA-24h'!E20,'15.08 BUSUNJU-KAMPALA'!E20)</f>
        <v>0.7142857142857143</v>
      </c>
      <c r="F20" s="49">
        <f>AVERAGE('11.08 BUSUNJU-KAMPALA'!F20,'12.08 BUSUNJU-KAMPALA'!F20,'13.08 BUSUNJU-KAMPALA'!F20,'14.08 BUSUNJU-KAMPALA'!F20,'16.08 BUSUNJU-KAMPALA-24h'!F20,'17.08 BUSUNJU-KAMPALA-24h'!F20,'15.08 BUSUNJU-KAMPALA'!F20)</f>
        <v>0.14285714285714285</v>
      </c>
      <c r="G20" s="49">
        <f>AVERAGE('11.08 BUSUNJU-KAMPALA'!G20,'12.08 BUSUNJU-KAMPALA'!G20,'13.08 BUSUNJU-KAMPALA'!G20,'14.08 BUSUNJU-KAMPALA'!G20,'16.08 BUSUNJU-KAMPALA-24h'!G20,'17.08 BUSUNJU-KAMPALA-24h'!G20,'15.08 BUSUNJU-KAMPALA'!G20)</f>
        <v>0</v>
      </c>
      <c r="H20" s="49">
        <f>AVERAGE('11.08 BUSUNJU-KAMPALA'!H20,'12.08 BUSUNJU-KAMPALA'!H20,'13.08 BUSUNJU-KAMPALA'!H20,'14.08 BUSUNJU-KAMPALA'!H20,'16.08 BUSUNJU-KAMPALA-24h'!H20,'17.08 BUSUNJU-KAMPALA-24h'!H20,'15.08 BUSUNJU-KAMPALA'!H20)</f>
        <v>0</v>
      </c>
      <c r="I20" s="49">
        <f>AVERAGE('11.08 BUSUNJU-KAMPALA'!I20,'12.08 BUSUNJU-KAMPALA'!I20,'13.08 BUSUNJU-KAMPALA'!I20,'14.08 BUSUNJU-KAMPALA'!I20,'16.08 BUSUNJU-KAMPALA-24h'!I20,'17.08 BUSUNJU-KAMPALA-24h'!I20,'15.08 BUSUNJU-KAMPALA'!I20)</f>
        <v>1</v>
      </c>
      <c r="J20" s="49">
        <f>AVERAGE('11.08 BUSUNJU-KAMPALA'!J20,'12.08 BUSUNJU-KAMPALA'!J20,'13.08 BUSUNJU-KAMPALA'!J20,'14.08 BUSUNJU-KAMPALA'!J20,'16.08 BUSUNJU-KAMPALA-24h'!J20,'17.08 BUSUNJU-KAMPALA-24h'!J20,'15.08 BUSUNJU-KAMPALA'!J20)</f>
        <v>0.2857142857142857</v>
      </c>
      <c r="K20" s="49">
        <f>AVERAGE('11.08 BUSUNJU-KAMPALA'!K20,'12.08 BUSUNJU-KAMPALA'!K20,'13.08 BUSUNJU-KAMPALA'!K20,'14.08 BUSUNJU-KAMPALA'!K20,'16.08 BUSUNJU-KAMPALA-24h'!K20,'17.08 BUSUNJU-KAMPALA-24h'!K20,'15.08 BUSUNJU-KAMPALA'!K20)</f>
        <v>0</v>
      </c>
      <c r="L20" s="49">
        <f>AVERAGE('11.08 BUSUNJU-KAMPALA'!L20,'12.08 BUSUNJU-KAMPALA'!L20,'13.08 BUSUNJU-KAMPALA'!L20,'14.08 BUSUNJU-KAMPALA'!L20,'16.08 BUSUNJU-KAMPALA-24h'!L20,'17.08 BUSUNJU-KAMPALA-24h'!L20,'15.08 BUSUNJU-KAMPALA'!L20)</f>
        <v>0</v>
      </c>
      <c r="M20" s="49">
        <f>AVERAGE('11.08 BUSUNJU-KAMPALA'!M20,'12.08 BUSUNJU-KAMPALA'!M20,'13.08 BUSUNJU-KAMPALA'!M20,'14.08 BUSUNJU-KAMPALA'!M20,'16.08 BUSUNJU-KAMPALA-24h'!M20,'17.08 BUSUNJU-KAMPALA-24h'!M20,'15.08 BUSUNJU-KAMPALA'!M20)</f>
        <v>14.714285714285714</v>
      </c>
      <c r="N20" s="49">
        <f>AVERAGE('11.08 BUSUNJU-KAMPALA'!N20,'12.08 BUSUNJU-KAMPALA'!N20,'13.08 BUSUNJU-KAMPALA'!N20,'14.08 BUSUNJU-KAMPALA'!N20,'16.08 BUSUNJU-KAMPALA-24h'!N20,'17.08 BUSUNJU-KAMPALA-24h'!N20,'15.08 BUSUNJU-KAMPALA'!N20)</f>
        <v>0</v>
      </c>
      <c r="O20" s="15">
        <f t="shared" si="0"/>
        <v>2.714285714285714</v>
      </c>
      <c r="P20" s="15">
        <f t="shared" si="1"/>
        <v>17.428571428571427</v>
      </c>
      <c r="R20" s="1" t="s">
        <v>16</v>
      </c>
      <c r="S20" s="17">
        <f t="shared" ref="S20:AF20" si="12">SUM(C50:C53)</f>
        <v>4.8571428571428577</v>
      </c>
      <c r="T20" s="17">
        <f t="shared" si="12"/>
        <v>0.42857142857142855</v>
      </c>
      <c r="U20" s="17">
        <f t="shared" si="12"/>
        <v>4.1428571428571432</v>
      </c>
      <c r="V20" s="17">
        <f t="shared" si="12"/>
        <v>1.7142857142857144</v>
      </c>
      <c r="W20" s="17">
        <f t="shared" si="12"/>
        <v>0</v>
      </c>
      <c r="X20" s="17">
        <f t="shared" si="12"/>
        <v>0</v>
      </c>
      <c r="Y20" s="17">
        <f t="shared" si="12"/>
        <v>4.2857142857142856</v>
      </c>
      <c r="Z20" s="17">
        <f t="shared" si="12"/>
        <v>0.42857142857142855</v>
      </c>
      <c r="AA20" s="17">
        <f t="shared" si="12"/>
        <v>0</v>
      </c>
      <c r="AB20" s="17">
        <f t="shared" si="12"/>
        <v>0</v>
      </c>
      <c r="AC20" s="17">
        <f t="shared" si="12"/>
        <v>60.285714285714292</v>
      </c>
      <c r="AD20" s="17">
        <f t="shared" si="12"/>
        <v>0</v>
      </c>
      <c r="AE20" s="31">
        <f t="shared" si="12"/>
        <v>15.857142857142858</v>
      </c>
      <c r="AF20" s="31">
        <f t="shared" si="12"/>
        <v>76.142857142857139</v>
      </c>
    </row>
    <row r="21" spans="2:32" ht="23.1" customHeight="1" x14ac:dyDescent="0.25">
      <c r="B21" s="23" t="s">
        <v>48</v>
      </c>
      <c r="C21" s="49">
        <f>AVERAGE('11.08 BUSUNJU-KAMPALA'!C21,'12.08 BUSUNJU-KAMPALA'!C21,'13.08 BUSUNJU-KAMPALA'!C21,'14.08 BUSUNJU-KAMPALA'!C21,'16.08 BUSUNJU-KAMPALA-24h'!C21,'17.08 BUSUNJU-KAMPALA-24h'!C21,'15.08 BUSUNJU-KAMPALA'!C21)</f>
        <v>0.7142857142857143</v>
      </c>
      <c r="D21" s="49">
        <f>AVERAGE('11.08 BUSUNJU-KAMPALA'!D21,'12.08 BUSUNJU-KAMPALA'!D21,'13.08 BUSUNJU-KAMPALA'!D21,'14.08 BUSUNJU-KAMPALA'!D21,'16.08 BUSUNJU-KAMPALA-24h'!D21,'17.08 BUSUNJU-KAMPALA-24h'!D21,'15.08 BUSUNJU-KAMPALA'!D21)</f>
        <v>0</v>
      </c>
      <c r="E21" s="49">
        <f>AVERAGE('11.08 BUSUNJU-KAMPALA'!E21,'12.08 BUSUNJU-KAMPALA'!E21,'13.08 BUSUNJU-KAMPALA'!E21,'14.08 BUSUNJU-KAMPALA'!E21,'16.08 BUSUNJU-KAMPALA-24h'!E21,'17.08 BUSUNJU-KAMPALA-24h'!E21,'15.08 BUSUNJU-KAMPALA'!E21)</f>
        <v>0.2857142857142857</v>
      </c>
      <c r="F21" s="49">
        <f>AVERAGE('11.08 BUSUNJU-KAMPALA'!F21,'12.08 BUSUNJU-KAMPALA'!F21,'13.08 BUSUNJU-KAMPALA'!F21,'14.08 BUSUNJU-KAMPALA'!F21,'16.08 BUSUNJU-KAMPALA-24h'!F21,'17.08 BUSUNJU-KAMPALA-24h'!F21,'15.08 BUSUNJU-KAMPALA'!F21)</f>
        <v>0.14285714285714285</v>
      </c>
      <c r="G21" s="49">
        <f>AVERAGE('11.08 BUSUNJU-KAMPALA'!G21,'12.08 BUSUNJU-KAMPALA'!G21,'13.08 BUSUNJU-KAMPALA'!G21,'14.08 BUSUNJU-KAMPALA'!G21,'16.08 BUSUNJU-KAMPALA-24h'!G21,'17.08 BUSUNJU-KAMPALA-24h'!G21,'15.08 BUSUNJU-KAMPALA'!G21)</f>
        <v>0</v>
      </c>
      <c r="H21" s="49">
        <f>AVERAGE('11.08 BUSUNJU-KAMPALA'!H21,'12.08 BUSUNJU-KAMPALA'!H21,'13.08 BUSUNJU-KAMPALA'!H21,'14.08 BUSUNJU-KAMPALA'!H21,'16.08 BUSUNJU-KAMPALA-24h'!H21,'17.08 BUSUNJU-KAMPALA-24h'!H21,'15.08 BUSUNJU-KAMPALA'!H21)</f>
        <v>0</v>
      </c>
      <c r="I21" s="49">
        <f>AVERAGE('11.08 BUSUNJU-KAMPALA'!I21,'12.08 BUSUNJU-KAMPALA'!I21,'13.08 BUSUNJU-KAMPALA'!I21,'14.08 BUSUNJU-KAMPALA'!I21,'16.08 BUSUNJU-KAMPALA-24h'!I21,'17.08 BUSUNJU-KAMPALA-24h'!I21,'15.08 BUSUNJU-KAMPALA'!I21)</f>
        <v>1</v>
      </c>
      <c r="J21" s="49">
        <f>AVERAGE('11.08 BUSUNJU-KAMPALA'!J21,'12.08 BUSUNJU-KAMPALA'!J21,'13.08 BUSUNJU-KAMPALA'!J21,'14.08 BUSUNJU-KAMPALA'!J21,'16.08 BUSUNJU-KAMPALA-24h'!J21,'17.08 BUSUNJU-KAMPALA-24h'!J21,'15.08 BUSUNJU-KAMPALA'!J21)</f>
        <v>0.2857142857142857</v>
      </c>
      <c r="K21" s="49">
        <f>AVERAGE('11.08 BUSUNJU-KAMPALA'!K21,'12.08 BUSUNJU-KAMPALA'!K21,'13.08 BUSUNJU-KAMPALA'!K21,'14.08 BUSUNJU-KAMPALA'!K21,'16.08 BUSUNJU-KAMPALA-24h'!K21,'17.08 BUSUNJU-KAMPALA-24h'!K21,'15.08 BUSUNJU-KAMPALA'!K21)</f>
        <v>0</v>
      </c>
      <c r="L21" s="49">
        <f>AVERAGE('11.08 BUSUNJU-KAMPALA'!L21,'12.08 BUSUNJU-KAMPALA'!L21,'13.08 BUSUNJU-KAMPALA'!L21,'14.08 BUSUNJU-KAMPALA'!L21,'16.08 BUSUNJU-KAMPALA-24h'!L21,'17.08 BUSUNJU-KAMPALA-24h'!L21,'15.08 BUSUNJU-KAMPALA'!L21)</f>
        <v>0</v>
      </c>
      <c r="M21" s="49">
        <f>AVERAGE('11.08 BUSUNJU-KAMPALA'!M21,'12.08 BUSUNJU-KAMPALA'!M21,'13.08 BUSUNJU-KAMPALA'!M21,'14.08 BUSUNJU-KAMPALA'!M21,'16.08 BUSUNJU-KAMPALA-24h'!M21,'17.08 BUSUNJU-KAMPALA-24h'!M21,'15.08 BUSUNJU-KAMPALA'!M21)</f>
        <v>14.285714285714286</v>
      </c>
      <c r="N21" s="49">
        <f>AVERAGE('11.08 BUSUNJU-KAMPALA'!N21,'12.08 BUSUNJU-KAMPALA'!N21,'13.08 BUSUNJU-KAMPALA'!N21,'14.08 BUSUNJU-KAMPALA'!N21,'16.08 BUSUNJU-KAMPALA-24h'!N21,'17.08 BUSUNJU-KAMPALA-24h'!N21,'15.08 BUSUNJU-KAMPALA'!N21)</f>
        <v>0</v>
      </c>
      <c r="O21" s="15">
        <f t="shared" si="0"/>
        <v>2.4285714285714284</v>
      </c>
      <c r="P21" s="15">
        <f t="shared" si="1"/>
        <v>16.714285714285715</v>
      </c>
      <c r="R21" s="1" t="s">
        <v>20</v>
      </c>
      <c r="S21" s="34">
        <f t="shared" ref="S21:AF21" si="13">SUM(C54:C57)</f>
        <v>5.7142857142857144</v>
      </c>
      <c r="T21" s="17">
        <f t="shared" si="13"/>
        <v>1.1428571428571428</v>
      </c>
      <c r="U21" s="17">
        <f t="shared" si="13"/>
        <v>3.1428571428571428</v>
      </c>
      <c r="V21" s="17">
        <f t="shared" si="13"/>
        <v>2.1428571428571428</v>
      </c>
      <c r="W21" s="17">
        <f t="shared" si="13"/>
        <v>0.5714285714285714</v>
      </c>
      <c r="X21" s="17">
        <f t="shared" si="13"/>
        <v>0</v>
      </c>
      <c r="Y21" s="17">
        <f t="shared" si="13"/>
        <v>3.7142857142857144</v>
      </c>
      <c r="Z21" s="17">
        <f t="shared" si="13"/>
        <v>0.14285714285714285</v>
      </c>
      <c r="AA21" s="17">
        <f t="shared" si="13"/>
        <v>0</v>
      </c>
      <c r="AB21" s="17">
        <f t="shared" si="13"/>
        <v>0</v>
      </c>
      <c r="AC21" s="17">
        <f t="shared" si="13"/>
        <v>57.857142857142861</v>
      </c>
      <c r="AD21" s="17">
        <f t="shared" si="13"/>
        <v>0</v>
      </c>
      <c r="AE21" s="31">
        <f t="shared" si="13"/>
        <v>16.571428571428569</v>
      </c>
      <c r="AF21" s="31">
        <f t="shared" si="13"/>
        <v>74.428571428571431</v>
      </c>
    </row>
    <row r="22" spans="2:32" ht="23.1" customHeight="1" x14ac:dyDescent="0.25">
      <c r="B22" s="23" t="s">
        <v>49</v>
      </c>
      <c r="C22" s="49">
        <f>AVERAGE('11.08 BUSUNJU-KAMPALA'!C22,'12.08 BUSUNJU-KAMPALA'!C22,'13.08 BUSUNJU-KAMPALA'!C22,'14.08 BUSUNJU-KAMPALA'!C22,'16.08 BUSUNJU-KAMPALA-24h'!C22,'17.08 BUSUNJU-KAMPALA-24h'!C22,'15.08 BUSUNJU-KAMPALA'!C22)</f>
        <v>0.42857142857142855</v>
      </c>
      <c r="D22" s="49">
        <f>AVERAGE('11.08 BUSUNJU-KAMPALA'!D22,'12.08 BUSUNJU-KAMPALA'!D22,'13.08 BUSUNJU-KAMPALA'!D22,'14.08 BUSUNJU-KAMPALA'!D22,'16.08 BUSUNJU-KAMPALA-24h'!D22,'17.08 BUSUNJU-KAMPALA-24h'!D22,'15.08 BUSUNJU-KAMPALA'!D22)</f>
        <v>0.2857142857142857</v>
      </c>
      <c r="E22" s="49">
        <f>AVERAGE('11.08 BUSUNJU-KAMPALA'!E22,'12.08 BUSUNJU-KAMPALA'!E22,'13.08 BUSUNJU-KAMPALA'!E22,'14.08 BUSUNJU-KAMPALA'!E22,'16.08 BUSUNJU-KAMPALA-24h'!E22,'17.08 BUSUNJU-KAMPALA-24h'!E22,'15.08 BUSUNJU-KAMPALA'!E22)</f>
        <v>0.7142857142857143</v>
      </c>
      <c r="F22" s="49">
        <f>AVERAGE('11.08 BUSUNJU-KAMPALA'!F22,'12.08 BUSUNJU-KAMPALA'!F22,'13.08 BUSUNJU-KAMPALA'!F22,'14.08 BUSUNJU-KAMPALA'!F22,'16.08 BUSUNJU-KAMPALA-24h'!F22,'17.08 BUSUNJU-KAMPALA-24h'!F22,'15.08 BUSUNJU-KAMPALA'!F22)</f>
        <v>0.2857142857142857</v>
      </c>
      <c r="G22" s="49">
        <f>AVERAGE('11.08 BUSUNJU-KAMPALA'!G22,'12.08 BUSUNJU-KAMPALA'!G22,'13.08 BUSUNJU-KAMPALA'!G22,'14.08 BUSUNJU-KAMPALA'!G22,'16.08 BUSUNJU-KAMPALA-24h'!G22,'17.08 BUSUNJU-KAMPALA-24h'!G22,'15.08 BUSUNJU-KAMPALA'!G22)</f>
        <v>0</v>
      </c>
      <c r="H22" s="49">
        <f>AVERAGE('11.08 BUSUNJU-KAMPALA'!H22,'12.08 BUSUNJU-KAMPALA'!H22,'13.08 BUSUNJU-KAMPALA'!H22,'14.08 BUSUNJU-KAMPALA'!H22,'16.08 BUSUNJU-KAMPALA-24h'!H22,'17.08 BUSUNJU-KAMPALA-24h'!H22,'15.08 BUSUNJU-KAMPALA'!H22)</f>
        <v>0</v>
      </c>
      <c r="I22" s="49">
        <f>AVERAGE('11.08 BUSUNJU-KAMPALA'!I22,'12.08 BUSUNJU-KAMPALA'!I22,'13.08 BUSUNJU-KAMPALA'!I22,'14.08 BUSUNJU-KAMPALA'!I22,'16.08 BUSUNJU-KAMPALA-24h'!I22,'17.08 BUSUNJU-KAMPALA-24h'!I22,'15.08 BUSUNJU-KAMPALA'!I22)</f>
        <v>0.5714285714285714</v>
      </c>
      <c r="J22" s="49">
        <f>AVERAGE('11.08 BUSUNJU-KAMPALA'!J22,'12.08 BUSUNJU-KAMPALA'!J22,'13.08 BUSUNJU-KAMPALA'!J22,'14.08 BUSUNJU-KAMPALA'!J22,'16.08 BUSUNJU-KAMPALA-24h'!J22,'17.08 BUSUNJU-KAMPALA-24h'!J22,'15.08 BUSUNJU-KAMPALA'!J22)</f>
        <v>0.14285714285714285</v>
      </c>
      <c r="K22" s="49">
        <f>AVERAGE('11.08 BUSUNJU-KAMPALA'!K22,'12.08 BUSUNJU-KAMPALA'!K22,'13.08 BUSUNJU-KAMPALA'!K22,'14.08 BUSUNJU-KAMPALA'!K22,'16.08 BUSUNJU-KAMPALA-24h'!K22,'17.08 BUSUNJU-KAMPALA-24h'!K22,'15.08 BUSUNJU-KAMPALA'!K22)</f>
        <v>0</v>
      </c>
      <c r="L22" s="49">
        <f>AVERAGE('11.08 BUSUNJU-KAMPALA'!L22,'12.08 BUSUNJU-KAMPALA'!L22,'13.08 BUSUNJU-KAMPALA'!L22,'14.08 BUSUNJU-KAMPALA'!L22,'16.08 BUSUNJU-KAMPALA-24h'!L22,'17.08 BUSUNJU-KAMPALA-24h'!L22,'15.08 BUSUNJU-KAMPALA'!L22)</f>
        <v>0</v>
      </c>
      <c r="M22" s="49">
        <f>AVERAGE('11.08 BUSUNJU-KAMPALA'!M22,'12.08 BUSUNJU-KAMPALA'!M22,'13.08 BUSUNJU-KAMPALA'!M22,'14.08 BUSUNJU-KAMPALA'!M22,'16.08 BUSUNJU-KAMPALA-24h'!M22,'17.08 BUSUNJU-KAMPALA-24h'!M22,'15.08 BUSUNJU-KAMPALA'!M22)</f>
        <v>14</v>
      </c>
      <c r="N22" s="49">
        <f>AVERAGE('11.08 BUSUNJU-KAMPALA'!N22,'12.08 BUSUNJU-KAMPALA'!N22,'13.08 BUSUNJU-KAMPALA'!N22,'14.08 BUSUNJU-KAMPALA'!N22,'16.08 BUSUNJU-KAMPALA-24h'!N22,'17.08 BUSUNJU-KAMPALA-24h'!N22,'15.08 BUSUNJU-KAMPALA'!N22)</f>
        <v>0</v>
      </c>
      <c r="O22" s="15">
        <f t="shared" si="0"/>
        <v>2.4285714285714284</v>
      </c>
      <c r="P22" s="15">
        <f t="shared" si="1"/>
        <v>16.428571428571427</v>
      </c>
      <c r="R22" s="1" t="s">
        <v>146</v>
      </c>
      <c r="S22" s="34">
        <f>SUM(C58:C61)</f>
        <v>4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27.5</v>
      </c>
      <c r="AD22" s="34">
        <f t="shared" si="14"/>
        <v>0</v>
      </c>
      <c r="AE22" s="31">
        <f t="shared" si="14"/>
        <v>6</v>
      </c>
      <c r="AF22" s="31">
        <f t="shared" si="14"/>
        <v>33.5</v>
      </c>
    </row>
    <row r="23" spans="2:32" ht="23.1" customHeight="1" x14ac:dyDescent="0.25">
      <c r="B23" s="23" t="s">
        <v>50</v>
      </c>
      <c r="C23" s="49">
        <f>AVERAGE('11.08 BUSUNJU-KAMPALA'!C23,'12.08 BUSUNJU-KAMPALA'!C23,'13.08 BUSUNJU-KAMPALA'!C23,'14.08 BUSUNJU-KAMPALA'!C23,'16.08 BUSUNJU-KAMPALA-24h'!C23,'17.08 BUSUNJU-KAMPALA-24h'!C23,'15.08 BUSUNJU-KAMPALA'!C23)</f>
        <v>1.1428571428571428</v>
      </c>
      <c r="D23" s="49">
        <f>AVERAGE('11.08 BUSUNJU-KAMPALA'!D23,'12.08 BUSUNJU-KAMPALA'!D23,'13.08 BUSUNJU-KAMPALA'!D23,'14.08 BUSUNJU-KAMPALA'!D23,'16.08 BUSUNJU-KAMPALA-24h'!D23,'17.08 BUSUNJU-KAMPALA-24h'!D23,'15.08 BUSUNJU-KAMPALA'!D23)</f>
        <v>0.14285714285714285</v>
      </c>
      <c r="E23" s="49">
        <f>AVERAGE('11.08 BUSUNJU-KAMPALA'!E23,'12.08 BUSUNJU-KAMPALA'!E23,'13.08 BUSUNJU-KAMPALA'!E23,'14.08 BUSUNJU-KAMPALA'!E23,'16.08 BUSUNJU-KAMPALA-24h'!E23,'17.08 BUSUNJU-KAMPALA-24h'!E23,'15.08 BUSUNJU-KAMPALA'!E23)</f>
        <v>1.7142857142857142</v>
      </c>
      <c r="F23" s="49">
        <f>AVERAGE('11.08 BUSUNJU-KAMPALA'!F23,'12.08 BUSUNJU-KAMPALA'!F23,'13.08 BUSUNJU-KAMPALA'!F23,'14.08 BUSUNJU-KAMPALA'!F23,'16.08 BUSUNJU-KAMPALA-24h'!F23,'17.08 BUSUNJU-KAMPALA-24h'!F23,'15.08 BUSUNJU-KAMPALA'!F23)</f>
        <v>0</v>
      </c>
      <c r="G23" s="49">
        <f>AVERAGE('11.08 BUSUNJU-KAMPALA'!G23,'12.08 BUSUNJU-KAMPALA'!G23,'13.08 BUSUNJU-KAMPALA'!G23,'14.08 BUSUNJU-KAMPALA'!G23,'16.08 BUSUNJU-KAMPALA-24h'!G23,'17.08 BUSUNJU-KAMPALA-24h'!G23,'15.08 BUSUNJU-KAMPALA'!G23)</f>
        <v>0</v>
      </c>
      <c r="H23" s="49">
        <f>AVERAGE('11.08 BUSUNJU-KAMPALA'!H23,'12.08 BUSUNJU-KAMPALA'!H23,'13.08 BUSUNJU-KAMPALA'!H23,'14.08 BUSUNJU-KAMPALA'!H23,'16.08 BUSUNJU-KAMPALA-24h'!H23,'17.08 BUSUNJU-KAMPALA-24h'!H23,'15.08 BUSUNJU-KAMPALA'!H23)</f>
        <v>0</v>
      </c>
      <c r="I23" s="49">
        <f>AVERAGE('11.08 BUSUNJU-KAMPALA'!I23,'12.08 BUSUNJU-KAMPALA'!I23,'13.08 BUSUNJU-KAMPALA'!I23,'14.08 BUSUNJU-KAMPALA'!I23,'16.08 BUSUNJU-KAMPALA-24h'!I23,'17.08 BUSUNJU-KAMPALA-24h'!I23,'15.08 BUSUNJU-KAMPALA'!I23)</f>
        <v>1.4285714285714286</v>
      </c>
      <c r="J23" s="49">
        <f>AVERAGE('11.08 BUSUNJU-KAMPALA'!J23,'12.08 BUSUNJU-KAMPALA'!J23,'13.08 BUSUNJU-KAMPALA'!J23,'14.08 BUSUNJU-KAMPALA'!J23,'16.08 BUSUNJU-KAMPALA-24h'!J23,'17.08 BUSUNJU-KAMPALA-24h'!J23,'15.08 BUSUNJU-KAMPALA'!J23)</f>
        <v>0</v>
      </c>
      <c r="K23" s="49">
        <f>AVERAGE('11.08 BUSUNJU-KAMPALA'!K23,'12.08 BUSUNJU-KAMPALA'!K23,'13.08 BUSUNJU-KAMPALA'!K23,'14.08 BUSUNJU-KAMPALA'!K23,'16.08 BUSUNJU-KAMPALA-24h'!K23,'17.08 BUSUNJU-KAMPALA-24h'!K23,'15.08 BUSUNJU-KAMPALA'!K23)</f>
        <v>0</v>
      </c>
      <c r="L23" s="49">
        <f>AVERAGE('11.08 BUSUNJU-KAMPALA'!L23,'12.08 BUSUNJU-KAMPALA'!L23,'13.08 BUSUNJU-KAMPALA'!L23,'14.08 BUSUNJU-KAMPALA'!L23,'16.08 BUSUNJU-KAMPALA-24h'!L23,'17.08 BUSUNJU-KAMPALA-24h'!L23,'15.08 BUSUNJU-KAMPALA'!L23)</f>
        <v>0</v>
      </c>
      <c r="M23" s="49">
        <f>AVERAGE('11.08 BUSUNJU-KAMPALA'!M23,'12.08 BUSUNJU-KAMPALA'!M23,'13.08 BUSUNJU-KAMPALA'!M23,'14.08 BUSUNJU-KAMPALA'!M23,'16.08 BUSUNJU-KAMPALA-24h'!M23,'17.08 BUSUNJU-KAMPALA-24h'!M23,'15.08 BUSUNJU-KAMPALA'!M23)</f>
        <v>13.857142857142858</v>
      </c>
      <c r="N23" s="49">
        <f>AVERAGE('11.08 BUSUNJU-KAMPALA'!N23,'12.08 BUSUNJU-KAMPALA'!N23,'13.08 BUSUNJU-KAMPALA'!N23,'14.08 BUSUNJU-KAMPALA'!N23,'16.08 BUSUNJU-KAMPALA-24h'!N23,'17.08 BUSUNJU-KAMPALA-24h'!N23,'15.08 BUSUNJU-KAMPALA'!N23)</f>
        <v>0</v>
      </c>
      <c r="O23" s="15">
        <f t="shared" si="0"/>
        <v>4.4285714285714288</v>
      </c>
      <c r="P23" s="15">
        <f t="shared" si="1"/>
        <v>18.285714285714285</v>
      </c>
      <c r="R23" s="1" t="s">
        <v>147</v>
      </c>
      <c r="S23" s="34">
        <f>SUM(C62:C65)</f>
        <v>4</v>
      </c>
      <c r="T23" s="34">
        <f t="shared" ref="T23:AF23" si="15">SUM(D62:D65)</f>
        <v>0</v>
      </c>
      <c r="U23" s="34">
        <f t="shared" si="15"/>
        <v>2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3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37</v>
      </c>
      <c r="AD23" s="34">
        <f t="shared" si="15"/>
        <v>0</v>
      </c>
      <c r="AE23" s="31">
        <f t="shared" si="15"/>
        <v>9</v>
      </c>
      <c r="AF23" s="31">
        <f t="shared" si="15"/>
        <v>46</v>
      </c>
    </row>
    <row r="24" spans="2:32" ht="23.1" customHeight="1" x14ac:dyDescent="0.25">
      <c r="B24" s="23" t="s">
        <v>51</v>
      </c>
      <c r="C24" s="49">
        <f>AVERAGE('11.08 BUSUNJU-KAMPALA'!C24,'12.08 BUSUNJU-KAMPALA'!C24,'13.08 BUSUNJU-KAMPALA'!C24,'14.08 BUSUNJU-KAMPALA'!C24,'16.08 BUSUNJU-KAMPALA-24h'!C24,'17.08 BUSUNJU-KAMPALA-24h'!C24,'15.08 BUSUNJU-KAMPALA'!C24)</f>
        <v>0.42857142857142855</v>
      </c>
      <c r="D24" s="49">
        <f>AVERAGE('11.08 BUSUNJU-KAMPALA'!D24,'12.08 BUSUNJU-KAMPALA'!D24,'13.08 BUSUNJU-KAMPALA'!D24,'14.08 BUSUNJU-KAMPALA'!D24,'16.08 BUSUNJU-KAMPALA-24h'!D24,'17.08 BUSUNJU-KAMPALA-24h'!D24,'15.08 BUSUNJU-KAMPALA'!D24)</f>
        <v>0.14285714285714285</v>
      </c>
      <c r="E24" s="49">
        <f>AVERAGE('11.08 BUSUNJU-KAMPALA'!E24,'12.08 BUSUNJU-KAMPALA'!E24,'13.08 BUSUNJU-KAMPALA'!E24,'14.08 BUSUNJU-KAMPALA'!E24,'16.08 BUSUNJU-KAMPALA-24h'!E24,'17.08 BUSUNJU-KAMPALA-24h'!E24,'15.08 BUSUNJU-KAMPALA'!E24)</f>
        <v>0.7142857142857143</v>
      </c>
      <c r="F24" s="49">
        <f>AVERAGE('11.08 BUSUNJU-KAMPALA'!F24,'12.08 BUSUNJU-KAMPALA'!F24,'13.08 BUSUNJU-KAMPALA'!F24,'14.08 BUSUNJU-KAMPALA'!F24,'16.08 BUSUNJU-KAMPALA-24h'!F24,'17.08 BUSUNJU-KAMPALA-24h'!F24,'15.08 BUSUNJU-KAMPALA'!F24)</f>
        <v>0</v>
      </c>
      <c r="G24" s="49">
        <f>AVERAGE('11.08 BUSUNJU-KAMPALA'!G24,'12.08 BUSUNJU-KAMPALA'!G24,'13.08 BUSUNJU-KAMPALA'!G24,'14.08 BUSUNJU-KAMPALA'!G24,'16.08 BUSUNJU-KAMPALA-24h'!G24,'17.08 BUSUNJU-KAMPALA-24h'!G24,'15.08 BUSUNJU-KAMPALA'!G24)</f>
        <v>0.5714285714285714</v>
      </c>
      <c r="H24" s="49">
        <f>AVERAGE('11.08 BUSUNJU-KAMPALA'!H24,'12.08 BUSUNJU-KAMPALA'!H24,'13.08 BUSUNJU-KAMPALA'!H24,'14.08 BUSUNJU-KAMPALA'!H24,'16.08 BUSUNJU-KAMPALA-24h'!H24,'17.08 BUSUNJU-KAMPALA-24h'!H24,'15.08 BUSUNJU-KAMPALA'!H24)</f>
        <v>0</v>
      </c>
      <c r="I24" s="49">
        <f>AVERAGE('11.08 BUSUNJU-KAMPALA'!I24,'12.08 BUSUNJU-KAMPALA'!I24,'13.08 BUSUNJU-KAMPALA'!I24,'14.08 BUSUNJU-KAMPALA'!I24,'16.08 BUSUNJU-KAMPALA-24h'!I24,'17.08 BUSUNJU-KAMPALA-24h'!I24,'15.08 BUSUNJU-KAMPALA'!I24)</f>
        <v>1.5714285714285714</v>
      </c>
      <c r="J24" s="49">
        <f>AVERAGE('11.08 BUSUNJU-KAMPALA'!J24,'12.08 BUSUNJU-KAMPALA'!J24,'13.08 BUSUNJU-KAMPALA'!J24,'14.08 BUSUNJU-KAMPALA'!J24,'16.08 BUSUNJU-KAMPALA-24h'!J24,'17.08 BUSUNJU-KAMPALA-24h'!J24,'15.08 BUSUNJU-KAMPALA'!J24)</f>
        <v>0.2857142857142857</v>
      </c>
      <c r="K24" s="49">
        <f>AVERAGE('11.08 BUSUNJU-KAMPALA'!K24,'12.08 BUSUNJU-KAMPALA'!K24,'13.08 BUSUNJU-KAMPALA'!K24,'14.08 BUSUNJU-KAMPALA'!K24,'16.08 BUSUNJU-KAMPALA-24h'!K24,'17.08 BUSUNJU-KAMPALA-24h'!K24,'15.08 BUSUNJU-KAMPALA'!K24)</f>
        <v>0</v>
      </c>
      <c r="L24" s="49">
        <f>AVERAGE('11.08 BUSUNJU-KAMPALA'!L24,'12.08 BUSUNJU-KAMPALA'!L24,'13.08 BUSUNJU-KAMPALA'!L24,'14.08 BUSUNJU-KAMPALA'!L24,'16.08 BUSUNJU-KAMPALA-24h'!L24,'17.08 BUSUNJU-KAMPALA-24h'!L24,'15.08 BUSUNJU-KAMPALA'!L24)</f>
        <v>0</v>
      </c>
      <c r="M24" s="49">
        <f>AVERAGE('11.08 BUSUNJU-KAMPALA'!M24,'12.08 BUSUNJU-KAMPALA'!M24,'13.08 BUSUNJU-KAMPALA'!M24,'14.08 BUSUNJU-KAMPALA'!M24,'16.08 BUSUNJU-KAMPALA-24h'!M24,'17.08 BUSUNJU-KAMPALA-24h'!M24,'15.08 BUSUNJU-KAMPALA'!M24)</f>
        <v>16.428571428571427</v>
      </c>
      <c r="N24" s="49">
        <f>AVERAGE('11.08 BUSUNJU-KAMPALA'!N24,'12.08 BUSUNJU-KAMPALA'!N24,'13.08 BUSUNJU-KAMPALA'!N24,'14.08 BUSUNJU-KAMPALA'!N24,'16.08 BUSUNJU-KAMPALA-24h'!N24,'17.08 BUSUNJU-KAMPALA-24h'!N24,'15.08 BUSUNJU-KAMPALA'!N24)</f>
        <v>0</v>
      </c>
      <c r="O24" s="15">
        <f t="shared" si="0"/>
        <v>3.714285714285714</v>
      </c>
      <c r="P24" s="15">
        <f t="shared" si="1"/>
        <v>20.142857142857142</v>
      </c>
      <c r="R24" s="1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1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2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36.5</v>
      </c>
      <c r="AD24" s="34">
        <f t="shared" si="16"/>
        <v>0</v>
      </c>
      <c r="AE24" s="31">
        <f t="shared" si="16"/>
        <v>4</v>
      </c>
      <c r="AF24" s="31">
        <f t="shared" si="16"/>
        <v>40.5</v>
      </c>
    </row>
    <row r="25" spans="2:32" ht="23.1" customHeight="1" x14ac:dyDescent="0.25">
      <c r="B25" s="23" t="s">
        <v>52</v>
      </c>
      <c r="C25" s="49">
        <f>AVERAGE('11.08 BUSUNJU-KAMPALA'!C25,'12.08 BUSUNJU-KAMPALA'!C25,'13.08 BUSUNJU-KAMPALA'!C25,'14.08 BUSUNJU-KAMPALA'!C25,'16.08 BUSUNJU-KAMPALA-24h'!C25,'17.08 BUSUNJU-KAMPALA-24h'!C25,'15.08 BUSUNJU-KAMPALA'!C25)</f>
        <v>0.5714285714285714</v>
      </c>
      <c r="D25" s="49">
        <f>AVERAGE('11.08 BUSUNJU-KAMPALA'!D25,'12.08 BUSUNJU-KAMPALA'!D25,'13.08 BUSUNJU-KAMPALA'!D25,'14.08 BUSUNJU-KAMPALA'!D25,'16.08 BUSUNJU-KAMPALA-24h'!D25,'17.08 BUSUNJU-KAMPALA-24h'!D25,'15.08 BUSUNJU-KAMPALA'!D25)</f>
        <v>0.14285714285714285</v>
      </c>
      <c r="E25" s="49">
        <f>AVERAGE('11.08 BUSUNJU-KAMPALA'!E25,'12.08 BUSUNJU-KAMPALA'!E25,'13.08 BUSUNJU-KAMPALA'!E25,'14.08 BUSUNJU-KAMPALA'!E25,'16.08 BUSUNJU-KAMPALA-24h'!E25,'17.08 BUSUNJU-KAMPALA-24h'!E25,'15.08 BUSUNJU-KAMPALA'!E25)</f>
        <v>0.5714285714285714</v>
      </c>
      <c r="F25" s="49">
        <f>AVERAGE('11.08 BUSUNJU-KAMPALA'!F25,'12.08 BUSUNJU-KAMPALA'!F25,'13.08 BUSUNJU-KAMPALA'!F25,'14.08 BUSUNJU-KAMPALA'!F25,'16.08 BUSUNJU-KAMPALA-24h'!F25,'17.08 BUSUNJU-KAMPALA-24h'!F25,'15.08 BUSUNJU-KAMPALA'!F25)</f>
        <v>0.14285714285714285</v>
      </c>
      <c r="G25" s="49">
        <f>AVERAGE('11.08 BUSUNJU-KAMPALA'!G25,'12.08 BUSUNJU-KAMPALA'!G25,'13.08 BUSUNJU-KAMPALA'!G25,'14.08 BUSUNJU-KAMPALA'!G25,'16.08 BUSUNJU-KAMPALA-24h'!G25,'17.08 BUSUNJU-KAMPALA-24h'!G25,'15.08 BUSUNJU-KAMPALA'!G25)</f>
        <v>0</v>
      </c>
      <c r="H25" s="49">
        <f>AVERAGE('11.08 BUSUNJU-KAMPALA'!H25,'12.08 BUSUNJU-KAMPALA'!H25,'13.08 BUSUNJU-KAMPALA'!H25,'14.08 BUSUNJU-KAMPALA'!H25,'16.08 BUSUNJU-KAMPALA-24h'!H25,'17.08 BUSUNJU-KAMPALA-24h'!H25,'15.08 BUSUNJU-KAMPALA'!H25)</f>
        <v>0</v>
      </c>
      <c r="I25" s="49">
        <f>AVERAGE('11.08 BUSUNJU-KAMPALA'!I25,'12.08 BUSUNJU-KAMPALA'!I25,'13.08 BUSUNJU-KAMPALA'!I25,'14.08 BUSUNJU-KAMPALA'!I25,'16.08 BUSUNJU-KAMPALA-24h'!I25,'17.08 BUSUNJU-KAMPALA-24h'!I25,'15.08 BUSUNJU-KAMPALA'!I25)</f>
        <v>1.2857142857142858</v>
      </c>
      <c r="J25" s="49">
        <f>AVERAGE('11.08 BUSUNJU-KAMPALA'!J25,'12.08 BUSUNJU-KAMPALA'!J25,'13.08 BUSUNJU-KAMPALA'!J25,'14.08 BUSUNJU-KAMPALA'!J25,'16.08 BUSUNJU-KAMPALA-24h'!J25,'17.08 BUSUNJU-KAMPALA-24h'!J25,'15.08 BUSUNJU-KAMPALA'!J25)</f>
        <v>0</v>
      </c>
      <c r="K25" s="49">
        <f>AVERAGE('11.08 BUSUNJU-KAMPALA'!K25,'12.08 BUSUNJU-KAMPALA'!K25,'13.08 BUSUNJU-KAMPALA'!K25,'14.08 BUSUNJU-KAMPALA'!K25,'16.08 BUSUNJU-KAMPALA-24h'!K25,'17.08 BUSUNJU-KAMPALA-24h'!K25,'15.08 BUSUNJU-KAMPALA'!K25)</f>
        <v>0</v>
      </c>
      <c r="L25" s="49">
        <f>AVERAGE('11.08 BUSUNJU-KAMPALA'!L25,'12.08 BUSUNJU-KAMPALA'!L25,'13.08 BUSUNJU-KAMPALA'!L25,'14.08 BUSUNJU-KAMPALA'!L25,'16.08 BUSUNJU-KAMPALA-24h'!L25,'17.08 BUSUNJU-KAMPALA-24h'!L25,'15.08 BUSUNJU-KAMPALA'!L25)</f>
        <v>0</v>
      </c>
      <c r="M25" s="49">
        <f>AVERAGE('11.08 BUSUNJU-KAMPALA'!M25,'12.08 BUSUNJU-KAMPALA'!M25,'13.08 BUSUNJU-KAMPALA'!M25,'14.08 BUSUNJU-KAMPALA'!M25,'16.08 BUSUNJU-KAMPALA-24h'!M25,'17.08 BUSUNJU-KAMPALA-24h'!M25,'15.08 BUSUNJU-KAMPALA'!M25)</f>
        <v>13</v>
      </c>
      <c r="N25" s="49">
        <f>AVERAGE('11.08 BUSUNJU-KAMPALA'!N25,'12.08 BUSUNJU-KAMPALA'!N25,'13.08 BUSUNJU-KAMPALA'!N25,'14.08 BUSUNJU-KAMPALA'!N25,'16.08 BUSUNJU-KAMPALA-24h'!N25,'17.08 BUSUNJU-KAMPALA-24h'!N25,'15.08 BUSUNJU-KAMPALA'!N25)</f>
        <v>0</v>
      </c>
      <c r="O25" s="15">
        <f t="shared" si="0"/>
        <v>2.7142857142857144</v>
      </c>
      <c r="P25" s="15">
        <f t="shared" si="1"/>
        <v>15.714285714285715</v>
      </c>
      <c r="R25" s="1" t="s">
        <v>149</v>
      </c>
      <c r="S25" s="34">
        <f>SUM(C70:C73)</f>
        <v>1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0</v>
      </c>
      <c r="W25" s="34">
        <f t="shared" si="17"/>
        <v>1</v>
      </c>
      <c r="X25" s="34">
        <f t="shared" si="17"/>
        <v>0</v>
      </c>
      <c r="Y25" s="34">
        <f t="shared" si="17"/>
        <v>3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30.5</v>
      </c>
      <c r="AD25" s="34">
        <f t="shared" si="17"/>
        <v>0</v>
      </c>
      <c r="AE25" s="31">
        <f t="shared" si="17"/>
        <v>7</v>
      </c>
      <c r="AF25" s="31">
        <f t="shared" si="17"/>
        <v>37.5</v>
      </c>
    </row>
    <row r="26" spans="2:32" ht="23.1" customHeight="1" x14ac:dyDescent="0.25">
      <c r="B26" s="23" t="s">
        <v>53</v>
      </c>
      <c r="C26" s="49">
        <f>AVERAGE('11.08 BUSUNJU-KAMPALA'!C26,'12.08 BUSUNJU-KAMPALA'!C26,'13.08 BUSUNJU-KAMPALA'!C26,'14.08 BUSUNJU-KAMPALA'!C26,'16.08 BUSUNJU-KAMPALA-24h'!C26,'17.08 BUSUNJU-KAMPALA-24h'!C26,'15.08 BUSUNJU-KAMPALA'!C26)</f>
        <v>2</v>
      </c>
      <c r="D26" s="49">
        <f>AVERAGE('11.08 BUSUNJU-KAMPALA'!D26,'12.08 BUSUNJU-KAMPALA'!D26,'13.08 BUSUNJU-KAMPALA'!D26,'14.08 BUSUNJU-KAMPALA'!D26,'16.08 BUSUNJU-KAMPALA-24h'!D26,'17.08 BUSUNJU-KAMPALA-24h'!D26,'15.08 BUSUNJU-KAMPALA'!D26)</f>
        <v>0</v>
      </c>
      <c r="E26" s="49">
        <f>AVERAGE('11.08 BUSUNJU-KAMPALA'!E26,'12.08 BUSUNJU-KAMPALA'!E26,'13.08 BUSUNJU-KAMPALA'!E26,'14.08 BUSUNJU-KAMPALA'!E26,'16.08 BUSUNJU-KAMPALA-24h'!E26,'17.08 BUSUNJU-KAMPALA-24h'!E26,'15.08 BUSUNJU-KAMPALA'!E26)</f>
        <v>0.7142857142857143</v>
      </c>
      <c r="F26" s="49">
        <f>AVERAGE('11.08 BUSUNJU-KAMPALA'!F26,'12.08 BUSUNJU-KAMPALA'!F26,'13.08 BUSUNJU-KAMPALA'!F26,'14.08 BUSUNJU-KAMPALA'!F26,'16.08 BUSUNJU-KAMPALA-24h'!F26,'17.08 BUSUNJU-KAMPALA-24h'!F26,'15.08 BUSUNJU-KAMPALA'!F26)</f>
        <v>0.2857142857142857</v>
      </c>
      <c r="G26" s="49">
        <f>AVERAGE('11.08 BUSUNJU-KAMPALA'!G26,'12.08 BUSUNJU-KAMPALA'!G26,'13.08 BUSUNJU-KAMPALA'!G26,'14.08 BUSUNJU-KAMPALA'!G26,'16.08 BUSUNJU-KAMPALA-24h'!G26,'17.08 BUSUNJU-KAMPALA-24h'!G26,'15.08 BUSUNJU-KAMPALA'!G26)</f>
        <v>0</v>
      </c>
      <c r="H26" s="49">
        <f>AVERAGE('11.08 BUSUNJU-KAMPALA'!H26,'12.08 BUSUNJU-KAMPALA'!H26,'13.08 BUSUNJU-KAMPALA'!H26,'14.08 BUSUNJU-KAMPALA'!H26,'16.08 BUSUNJU-KAMPALA-24h'!H26,'17.08 BUSUNJU-KAMPALA-24h'!H26,'15.08 BUSUNJU-KAMPALA'!H26)</f>
        <v>0</v>
      </c>
      <c r="I26" s="49">
        <f>AVERAGE('11.08 BUSUNJU-KAMPALA'!I26,'12.08 BUSUNJU-KAMPALA'!I26,'13.08 BUSUNJU-KAMPALA'!I26,'14.08 BUSUNJU-KAMPALA'!I26,'16.08 BUSUNJU-KAMPALA-24h'!I26,'17.08 BUSUNJU-KAMPALA-24h'!I26,'15.08 BUSUNJU-KAMPALA'!I26)</f>
        <v>1</v>
      </c>
      <c r="J26" s="49">
        <f>AVERAGE('11.08 BUSUNJU-KAMPALA'!J26,'12.08 BUSUNJU-KAMPALA'!J26,'13.08 BUSUNJU-KAMPALA'!J26,'14.08 BUSUNJU-KAMPALA'!J26,'16.08 BUSUNJU-KAMPALA-24h'!J26,'17.08 BUSUNJU-KAMPALA-24h'!J26,'15.08 BUSUNJU-KAMPALA'!J26)</f>
        <v>0.14285714285714285</v>
      </c>
      <c r="K26" s="49">
        <f>AVERAGE('11.08 BUSUNJU-KAMPALA'!K26,'12.08 BUSUNJU-KAMPALA'!K26,'13.08 BUSUNJU-KAMPALA'!K26,'14.08 BUSUNJU-KAMPALA'!K26,'16.08 BUSUNJU-KAMPALA-24h'!K26,'17.08 BUSUNJU-KAMPALA-24h'!K26,'15.08 BUSUNJU-KAMPALA'!K26)</f>
        <v>0</v>
      </c>
      <c r="L26" s="49">
        <f>AVERAGE('11.08 BUSUNJU-KAMPALA'!L26,'12.08 BUSUNJU-KAMPALA'!L26,'13.08 BUSUNJU-KAMPALA'!L26,'14.08 BUSUNJU-KAMPALA'!L26,'16.08 BUSUNJU-KAMPALA-24h'!L26,'17.08 BUSUNJU-KAMPALA-24h'!L26,'15.08 BUSUNJU-KAMPALA'!L26)</f>
        <v>0</v>
      </c>
      <c r="M26" s="49">
        <f>AVERAGE('11.08 BUSUNJU-KAMPALA'!M26,'12.08 BUSUNJU-KAMPALA'!M26,'13.08 BUSUNJU-KAMPALA'!M26,'14.08 BUSUNJU-KAMPALA'!M26,'16.08 BUSUNJU-KAMPALA-24h'!M26,'17.08 BUSUNJU-KAMPALA-24h'!M26,'15.08 BUSUNJU-KAMPALA'!M26)</f>
        <v>14.428571428571429</v>
      </c>
      <c r="N26" s="49">
        <f>AVERAGE('11.08 BUSUNJU-KAMPALA'!N26,'12.08 BUSUNJU-KAMPALA'!N26,'13.08 BUSUNJU-KAMPALA'!N26,'14.08 BUSUNJU-KAMPALA'!N26,'16.08 BUSUNJU-KAMPALA-24h'!N26,'17.08 BUSUNJU-KAMPALA-24h'!N26,'15.08 BUSUNJU-KAMPALA'!N26)</f>
        <v>0</v>
      </c>
      <c r="O26" s="15">
        <f t="shared" si="0"/>
        <v>4.1428571428571432</v>
      </c>
      <c r="P26" s="15">
        <f t="shared" si="1"/>
        <v>18.571428571428573</v>
      </c>
      <c r="R26" s="1" t="s">
        <v>150</v>
      </c>
      <c r="S26" s="34">
        <f>SUM(C74:C77)</f>
        <v>3</v>
      </c>
      <c r="T26" s="34">
        <f t="shared" ref="T26:AF26" si="18">SUM(D74:D77)</f>
        <v>0</v>
      </c>
      <c r="U26" s="34">
        <f t="shared" si="18"/>
        <v>1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2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28</v>
      </c>
      <c r="AD26" s="34">
        <f t="shared" si="18"/>
        <v>0</v>
      </c>
      <c r="AE26" s="31">
        <f t="shared" si="18"/>
        <v>6</v>
      </c>
      <c r="AF26" s="31">
        <f t="shared" si="18"/>
        <v>34</v>
      </c>
    </row>
    <row r="27" spans="2:32" ht="23.1" customHeight="1" x14ac:dyDescent="0.25">
      <c r="B27" s="23" t="s">
        <v>54</v>
      </c>
      <c r="C27" s="49">
        <f>AVERAGE('11.08 BUSUNJU-KAMPALA'!C27,'12.08 BUSUNJU-KAMPALA'!C27,'13.08 BUSUNJU-KAMPALA'!C27,'14.08 BUSUNJU-KAMPALA'!C27,'16.08 BUSUNJU-KAMPALA-24h'!C27,'17.08 BUSUNJU-KAMPALA-24h'!C27,'15.08 BUSUNJU-KAMPALA'!C27)</f>
        <v>0.7142857142857143</v>
      </c>
      <c r="D27" s="49">
        <f>AVERAGE('11.08 BUSUNJU-KAMPALA'!D27,'12.08 BUSUNJU-KAMPALA'!D27,'13.08 BUSUNJU-KAMPALA'!D27,'14.08 BUSUNJU-KAMPALA'!D27,'16.08 BUSUNJU-KAMPALA-24h'!D27,'17.08 BUSUNJU-KAMPALA-24h'!D27,'15.08 BUSUNJU-KAMPALA'!D27)</f>
        <v>0</v>
      </c>
      <c r="E27" s="49">
        <f>AVERAGE('11.08 BUSUNJU-KAMPALA'!E27,'12.08 BUSUNJU-KAMPALA'!E27,'13.08 BUSUNJU-KAMPALA'!E27,'14.08 BUSUNJU-KAMPALA'!E27,'16.08 BUSUNJU-KAMPALA-24h'!E27,'17.08 BUSUNJU-KAMPALA-24h'!E27,'15.08 BUSUNJU-KAMPALA'!E27)</f>
        <v>0.7142857142857143</v>
      </c>
      <c r="F27" s="49">
        <f>AVERAGE('11.08 BUSUNJU-KAMPALA'!F27,'12.08 BUSUNJU-KAMPALA'!F27,'13.08 BUSUNJU-KAMPALA'!F27,'14.08 BUSUNJU-KAMPALA'!F27,'16.08 BUSUNJU-KAMPALA-24h'!F27,'17.08 BUSUNJU-KAMPALA-24h'!F27,'15.08 BUSUNJU-KAMPALA'!F27)</f>
        <v>0.14285714285714285</v>
      </c>
      <c r="G27" s="49">
        <f>AVERAGE('11.08 BUSUNJU-KAMPALA'!G27,'12.08 BUSUNJU-KAMPALA'!G27,'13.08 BUSUNJU-KAMPALA'!G27,'14.08 BUSUNJU-KAMPALA'!G27,'16.08 BUSUNJU-KAMPALA-24h'!G27,'17.08 BUSUNJU-KAMPALA-24h'!G27,'15.08 BUSUNJU-KAMPALA'!G27)</f>
        <v>0</v>
      </c>
      <c r="H27" s="49">
        <f>AVERAGE('11.08 BUSUNJU-KAMPALA'!H27,'12.08 BUSUNJU-KAMPALA'!H27,'13.08 BUSUNJU-KAMPALA'!H27,'14.08 BUSUNJU-KAMPALA'!H27,'16.08 BUSUNJU-KAMPALA-24h'!H27,'17.08 BUSUNJU-KAMPALA-24h'!H27,'15.08 BUSUNJU-KAMPALA'!H27)</f>
        <v>0</v>
      </c>
      <c r="I27" s="49">
        <f>AVERAGE('11.08 BUSUNJU-KAMPALA'!I27,'12.08 BUSUNJU-KAMPALA'!I27,'13.08 BUSUNJU-KAMPALA'!I27,'14.08 BUSUNJU-KAMPALA'!I27,'16.08 BUSUNJU-KAMPALA-24h'!I27,'17.08 BUSUNJU-KAMPALA-24h'!I27,'15.08 BUSUNJU-KAMPALA'!I27)</f>
        <v>0.8571428571428571</v>
      </c>
      <c r="J27" s="49">
        <f>AVERAGE('11.08 BUSUNJU-KAMPALA'!J27,'12.08 BUSUNJU-KAMPALA'!J27,'13.08 BUSUNJU-KAMPALA'!J27,'14.08 BUSUNJU-KAMPALA'!J27,'16.08 BUSUNJU-KAMPALA-24h'!J27,'17.08 BUSUNJU-KAMPALA-24h'!J27,'15.08 BUSUNJU-KAMPALA'!J27)</f>
        <v>0.42857142857142855</v>
      </c>
      <c r="K27" s="49">
        <f>AVERAGE('11.08 BUSUNJU-KAMPALA'!K27,'12.08 BUSUNJU-KAMPALA'!K27,'13.08 BUSUNJU-KAMPALA'!K27,'14.08 BUSUNJU-KAMPALA'!K27,'16.08 BUSUNJU-KAMPALA-24h'!K27,'17.08 BUSUNJU-KAMPALA-24h'!K27,'15.08 BUSUNJU-KAMPALA'!K27)</f>
        <v>0.14285714285714285</v>
      </c>
      <c r="L27" s="49">
        <f>AVERAGE('11.08 BUSUNJU-KAMPALA'!L27,'12.08 BUSUNJU-KAMPALA'!L27,'13.08 BUSUNJU-KAMPALA'!L27,'14.08 BUSUNJU-KAMPALA'!L27,'16.08 BUSUNJU-KAMPALA-24h'!L27,'17.08 BUSUNJU-KAMPALA-24h'!L27,'15.08 BUSUNJU-KAMPALA'!L27)</f>
        <v>0</v>
      </c>
      <c r="M27" s="49">
        <f>AVERAGE('11.08 BUSUNJU-KAMPALA'!M27,'12.08 BUSUNJU-KAMPALA'!M27,'13.08 BUSUNJU-KAMPALA'!M27,'14.08 BUSUNJU-KAMPALA'!M27,'16.08 BUSUNJU-KAMPALA-24h'!M27,'17.08 BUSUNJU-KAMPALA-24h'!M27,'15.08 BUSUNJU-KAMPALA'!M27)</f>
        <v>14.714285714285714</v>
      </c>
      <c r="N27" s="49">
        <f>AVERAGE('11.08 BUSUNJU-KAMPALA'!N27,'12.08 BUSUNJU-KAMPALA'!N27,'13.08 BUSUNJU-KAMPALA'!N27,'14.08 BUSUNJU-KAMPALA'!N27,'16.08 BUSUNJU-KAMPALA-24h'!N27,'17.08 BUSUNJU-KAMPALA-24h'!N27,'15.08 BUSUNJU-KAMPALA'!N27)</f>
        <v>0</v>
      </c>
      <c r="O27" s="15">
        <f t="shared" si="0"/>
        <v>2.9999999999999996</v>
      </c>
      <c r="P27" s="15">
        <f t="shared" si="1"/>
        <v>17.714285714285712</v>
      </c>
      <c r="R27" s="1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19.5</v>
      </c>
      <c r="AD27" s="34">
        <f t="shared" si="19"/>
        <v>0</v>
      </c>
      <c r="AE27" s="31">
        <f t="shared" si="19"/>
        <v>4</v>
      </c>
      <c r="AF27" s="31">
        <f t="shared" si="19"/>
        <v>23.5</v>
      </c>
    </row>
    <row r="28" spans="2:32" ht="23.1" customHeight="1" x14ac:dyDescent="0.25">
      <c r="B28" s="23" t="s">
        <v>55</v>
      </c>
      <c r="C28" s="49">
        <f>AVERAGE('11.08 BUSUNJU-KAMPALA'!C28,'12.08 BUSUNJU-KAMPALA'!C28,'13.08 BUSUNJU-KAMPALA'!C28,'14.08 BUSUNJU-KAMPALA'!C28,'16.08 BUSUNJU-KAMPALA-24h'!C28,'17.08 BUSUNJU-KAMPALA-24h'!C28,'15.08 BUSUNJU-KAMPALA'!C28)</f>
        <v>1.1428571428571428</v>
      </c>
      <c r="D28" s="49">
        <f>AVERAGE('11.08 BUSUNJU-KAMPALA'!D28,'12.08 BUSUNJU-KAMPALA'!D28,'13.08 BUSUNJU-KAMPALA'!D28,'14.08 BUSUNJU-KAMPALA'!D28,'16.08 BUSUNJU-KAMPALA-24h'!D28,'17.08 BUSUNJU-KAMPALA-24h'!D28,'15.08 BUSUNJU-KAMPALA'!D28)</f>
        <v>0</v>
      </c>
      <c r="E28" s="49">
        <f>AVERAGE('11.08 BUSUNJU-KAMPALA'!E28,'12.08 BUSUNJU-KAMPALA'!E28,'13.08 BUSUNJU-KAMPALA'!E28,'14.08 BUSUNJU-KAMPALA'!E28,'16.08 BUSUNJU-KAMPALA-24h'!E28,'17.08 BUSUNJU-KAMPALA-24h'!E28,'15.08 BUSUNJU-KAMPALA'!E28)</f>
        <v>0.42857142857142855</v>
      </c>
      <c r="F28" s="49">
        <f>AVERAGE('11.08 BUSUNJU-KAMPALA'!F28,'12.08 BUSUNJU-KAMPALA'!F28,'13.08 BUSUNJU-KAMPALA'!F28,'14.08 BUSUNJU-KAMPALA'!F28,'16.08 BUSUNJU-KAMPALA-24h'!F28,'17.08 BUSUNJU-KAMPALA-24h'!F28,'15.08 BUSUNJU-KAMPALA'!F28)</f>
        <v>0.7142857142857143</v>
      </c>
      <c r="G28" s="49">
        <f>AVERAGE('11.08 BUSUNJU-KAMPALA'!G28,'12.08 BUSUNJU-KAMPALA'!G28,'13.08 BUSUNJU-KAMPALA'!G28,'14.08 BUSUNJU-KAMPALA'!G28,'16.08 BUSUNJU-KAMPALA-24h'!G28,'17.08 BUSUNJU-KAMPALA-24h'!G28,'15.08 BUSUNJU-KAMPALA'!G28)</f>
        <v>0</v>
      </c>
      <c r="H28" s="49">
        <f>AVERAGE('11.08 BUSUNJU-KAMPALA'!H28,'12.08 BUSUNJU-KAMPALA'!H28,'13.08 BUSUNJU-KAMPALA'!H28,'14.08 BUSUNJU-KAMPALA'!H28,'16.08 BUSUNJU-KAMPALA-24h'!H28,'17.08 BUSUNJU-KAMPALA-24h'!H28,'15.08 BUSUNJU-KAMPALA'!H28)</f>
        <v>0</v>
      </c>
      <c r="I28" s="49">
        <f>AVERAGE('11.08 BUSUNJU-KAMPALA'!I28,'12.08 BUSUNJU-KAMPALA'!I28,'13.08 BUSUNJU-KAMPALA'!I28,'14.08 BUSUNJU-KAMPALA'!I28,'16.08 BUSUNJU-KAMPALA-24h'!I28,'17.08 BUSUNJU-KAMPALA-24h'!I28,'15.08 BUSUNJU-KAMPALA'!I28)</f>
        <v>1</v>
      </c>
      <c r="J28" s="49">
        <f>AVERAGE('11.08 BUSUNJU-KAMPALA'!J28,'12.08 BUSUNJU-KAMPALA'!J28,'13.08 BUSUNJU-KAMPALA'!J28,'14.08 BUSUNJU-KAMPALA'!J28,'16.08 BUSUNJU-KAMPALA-24h'!J28,'17.08 BUSUNJU-KAMPALA-24h'!J28,'15.08 BUSUNJU-KAMPALA'!J28)</f>
        <v>0</v>
      </c>
      <c r="K28" s="49">
        <f>AVERAGE('11.08 BUSUNJU-KAMPALA'!K28,'12.08 BUSUNJU-KAMPALA'!K28,'13.08 BUSUNJU-KAMPALA'!K28,'14.08 BUSUNJU-KAMPALA'!K28,'16.08 BUSUNJU-KAMPALA-24h'!K28,'17.08 BUSUNJU-KAMPALA-24h'!K28,'15.08 BUSUNJU-KAMPALA'!K28)</f>
        <v>0</v>
      </c>
      <c r="L28" s="49">
        <f>AVERAGE('11.08 BUSUNJU-KAMPALA'!L28,'12.08 BUSUNJU-KAMPALA'!L28,'13.08 BUSUNJU-KAMPALA'!L28,'14.08 BUSUNJU-KAMPALA'!L28,'16.08 BUSUNJU-KAMPALA-24h'!L28,'17.08 BUSUNJU-KAMPALA-24h'!L28,'15.08 BUSUNJU-KAMPALA'!L28)</f>
        <v>0</v>
      </c>
      <c r="M28" s="49">
        <f>AVERAGE('11.08 BUSUNJU-KAMPALA'!M28,'12.08 BUSUNJU-KAMPALA'!M28,'13.08 BUSUNJU-KAMPALA'!M28,'14.08 BUSUNJU-KAMPALA'!M28,'16.08 BUSUNJU-KAMPALA-24h'!M28,'17.08 BUSUNJU-KAMPALA-24h'!M28,'15.08 BUSUNJU-KAMPALA'!M28)</f>
        <v>16.714285714285715</v>
      </c>
      <c r="N28" s="49">
        <f>AVERAGE('11.08 BUSUNJU-KAMPALA'!N28,'12.08 BUSUNJU-KAMPALA'!N28,'13.08 BUSUNJU-KAMPALA'!N28,'14.08 BUSUNJU-KAMPALA'!N28,'16.08 BUSUNJU-KAMPALA-24h'!N28,'17.08 BUSUNJU-KAMPALA-24h'!N28,'15.08 BUSUNJU-KAMPALA'!N28)</f>
        <v>0</v>
      </c>
      <c r="O28" s="15">
        <f t="shared" si="0"/>
        <v>3.2857142857142856</v>
      </c>
      <c r="P28" s="15">
        <f t="shared" si="1"/>
        <v>20</v>
      </c>
      <c r="R28" s="1" t="s">
        <v>152</v>
      </c>
      <c r="S28" s="34">
        <f>SUM(C82:C85)</f>
        <v>0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12</v>
      </c>
      <c r="AD28" s="34">
        <f t="shared" si="20"/>
        <v>0</v>
      </c>
      <c r="AE28" s="31">
        <f t="shared" si="20"/>
        <v>0</v>
      </c>
      <c r="AF28" s="31">
        <f t="shared" si="20"/>
        <v>12</v>
      </c>
    </row>
    <row r="29" spans="2:32" ht="23.1" customHeight="1" x14ac:dyDescent="0.25">
      <c r="B29" s="23" t="s">
        <v>56</v>
      </c>
      <c r="C29" s="49">
        <f>AVERAGE('11.08 BUSUNJU-KAMPALA'!C29,'12.08 BUSUNJU-KAMPALA'!C29,'13.08 BUSUNJU-KAMPALA'!C29,'14.08 BUSUNJU-KAMPALA'!C29,'16.08 BUSUNJU-KAMPALA-24h'!C29,'17.08 BUSUNJU-KAMPALA-24h'!C29,'15.08 BUSUNJU-KAMPALA'!C29)</f>
        <v>0.5714285714285714</v>
      </c>
      <c r="D29" s="49">
        <f>AVERAGE('11.08 BUSUNJU-KAMPALA'!D29,'12.08 BUSUNJU-KAMPALA'!D29,'13.08 BUSUNJU-KAMPALA'!D29,'14.08 BUSUNJU-KAMPALA'!D29,'16.08 BUSUNJU-KAMPALA-24h'!D29,'17.08 BUSUNJU-KAMPALA-24h'!D29,'15.08 BUSUNJU-KAMPALA'!D29)</f>
        <v>0</v>
      </c>
      <c r="E29" s="49">
        <f>AVERAGE('11.08 BUSUNJU-KAMPALA'!E29,'12.08 BUSUNJU-KAMPALA'!E29,'13.08 BUSUNJU-KAMPALA'!E29,'14.08 BUSUNJU-KAMPALA'!E29,'16.08 BUSUNJU-KAMPALA-24h'!E29,'17.08 BUSUNJU-KAMPALA-24h'!E29,'15.08 BUSUNJU-KAMPALA'!E29)</f>
        <v>0.5714285714285714</v>
      </c>
      <c r="F29" s="49">
        <f>AVERAGE('11.08 BUSUNJU-KAMPALA'!F29,'12.08 BUSUNJU-KAMPALA'!F29,'13.08 BUSUNJU-KAMPALA'!F29,'14.08 BUSUNJU-KAMPALA'!F29,'16.08 BUSUNJU-KAMPALA-24h'!F29,'17.08 BUSUNJU-KAMPALA-24h'!F29,'15.08 BUSUNJU-KAMPALA'!F29)</f>
        <v>0.14285714285714285</v>
      </c>
      <c r="G29" s="49">
        <f>AVERAGE('11.08 BUSUNJU-KAMPALA'!G29,'12.08 BUSUNJU-KAMPALA'!G29,'13.08 BUSUNJU-KAMPALA'!G29,'14.08 BUSUNJU-KAMPALA'!G29,'16.08 BUSUNJU-KAMPALA-24h'!G29,'17.08 BUSUNJU-KAMPALA-24h'!G29,'15.08 BUSUNJU-KAMPALA'!G29)</f>
        <v>0</v>
      </c>
      <c r="H29" s="49">
        <f>AVERAGE('11.08 BUSUNJU-KAMPALA'!H29,'12.08 BUSUNJU-KAMPALA'!H29,'13.08 BUSUNJU-KAMPALA'!H29,'14.08 BUSUNJU-KAMPALA'!H29,'16.08 BUSUNJU-KAMPALA-24h'!H29,'17.08 BUSUNJU-KAMPALA-24h'!H29,'15.08 BUSUNJU-KAMPALA'!H29)</f>
        <v>0</v>
      </c>
      <c r="I29" s="49">
        <f>AVERAGE('11.08 BUSUNJU-KAMPALA'!I29,'12.08 BUSUNJU-KAMPALA'!I29,'13.08 BUSUNJU-KAMPALA'!I29,'14.08 BUSUNJU-KAMPALA'!I29,'16.08 BUSUNJU-KAMPALA-24h'!I29,'17.08 BUSUNJU-KAMPALA-24h'!I29,'15.08 BUSUNJU-KAMPALA'!I29)</f>
        <v>1.1428571428571428</v>
      </c>
      <c r="J29" s="49">
        <f>AVERAGE('11.08 BUSUNJU-KAMPALA'!J29,'12.08 BUSUNJU-KAMPALA'!J29,'13.08 BUSUNJU-KAMPALA'!J29,'14.08 BUSUNJU-KAMPALA'!J29,'16.08 BUSUNJU-KAMPALA-24h'!J29,'17.08 BUSUNJU-KAMPALA-24h'!J29,'15.08 BUSUNJU-KAMPALA'!J29)</f>
        <v>0.2857142857142857</v>
      </c>
      <c r="K29" s="49">
        <f>AVERAGE('11.08 BUSUNJU-KAMPALA'!K29,'12.08 BUSUNJU-KAMPALA'!K29,'13.08 BUSUNJU-KAMPALA'!K29,'14.08 BUSUNJU-KAMPALA'!K29,'16.08 BUSUNJU-KAMPALA-24h'!K29,'17.08 BUSUNJU-KAMPALA-24h'!K29,'15.08 BUSUNJU-KAMPALA'!K29)</f>
        <v>0</v>
      </c>
      <c r="L29" s="49">
        <f>AVERAGE('11.08 BUSUNJU-KAMPALA'!L29,'12.08 BUSUNJU-KAMPALA'!L29,'13.08 BUSUNJU-KAMPALA'!L29,'14.08 BUSUNJU-KAMPALA'!L29,'16.08 BUSUNJU-KAMPALA-24h'!L29,'17.08 BUSUNJU-KAMPALA-24h'!L29,'15.08 BUSUNJU-KAMPALA'!L29)</f>
        <v>0</v>
      </c>
      <c r="M29" s="49">
        <f>AVERAGE('11.08 BUSUNJU-KAMPALA'!M29,'12.08 BUSUNJU-KAMPALA'!M29,'13.08 BUSUNJU-KAMPALA'!M29,'14.08 BUSUNJU-KAMPALA'!M29,'16.08 BUSUNJU-KAMPALA-24h'!M29,'17.08 BUSUNJU-KAMPALA-24h'!M29,'15.08 BUSUNJU-KAMPALA'!M29)</f>
        <v>15.714285714285714</v>
      </c>
      <c r="N29" s="49">
        <f>AVERAGE('11.08 BUSUNJU-KAMPALA'!N29,'12.08 BUSUNJU-KAMPALA'!N29,'13.08 BUSUNJU-KAMPALA'!N29,'14.08 BUSUNJU-KAMPALA'!N29,'16.08 BUSUNJU-KAMPALA-24h'!N29,'17.08 BUSUNJU-KAMPALA-24h'!N29,'15.08 BUSUNJU-KAMPALA'!N29)</f>
        <v>0</v>
      </c>
      <c r="O29" s="15">
        <f t="shared" si="0"/>
        <v>2.714285714285714</v>
      </c>
      <c r="P29" s="15">
        <f t="shared" si="1"/>
        <v>18.428571428571427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10</v>
      </c>
      <c r="AD29" s="34">
        <f t="shared" si="21"/>
        <v>0</v>
      </c>
      <c r="AE29" s="31">
        <f t="shared" si="21"/>
        <v>0</v>
      </c>
      <c r="AF29" s="31">
        <f t="shared" si="21"/>
        <v>10</v>
      </c>
    </row>
    <row r="30" spans="2:32" ht="23.1" customHeight="1" x14ac:dyDescent="0.25">
      <c r="B30" s="23" t="s">
        <v>57</v>
      </c>
      <c r="C30" s="49">
        <f>AVERAGE('11.08 BUSUNJU-KAMPALA'!C30,'12.08 BUSUNJU-KAMPALA'!C30,'13.08 BUSUNJU-KAMPALA'!C30,'14.08 BUSUNJU-KAMPALA'!C30,'16.08 BUSUNJU-KAMPALA-24h'!C30,'17.08 BUSUNJU-KAMPALA-24h'!C30,'15.08 BUSUNJU-KAMPALA'!C30)</f>
        <v>1.1428571428571428</v>
      </c>
      <c r="D30" s="49">
        <f>AVERAGE('11.08 BUSUNJU-KAMPALA'!D30,'12.08 BUSUNJU-KAMPALA'!D30,'13.08 BUSUNJU-KAMPALA'!D30,'14.08 BUSUNJU-KAMPALA'!D30,'16.08 BUSUNJU-KAMPALA-24h'!D30,'17.08 BUSUNJU-KAMPALA-24h'!D30,'15.08 BUSUNJU-KAMPALA'!D30)</f>
        <v>0.14285714285714285</v>
      </c>
      <c r="E30" s="49">
        <f>AVERAGE('11.08 BUSUNJU-KAMPALA'!E30,'12.08 BUSUNJU-KAMPALA'!E30,'13.08 BUSUNJU-KAMPALA'!E30,'14.08 BUSUNJU-KAMPALA'!E30,'16.08 BUSUNJU-KAMPALA-24h'!E30,'17.08 BUSUNJU-KAMPALA-24h'!E30,'15.08 BUSUNJU-KAMPALA'!E30)</f>
        <v>1.2857142857142858</v>
      </c>
      <c r="F30" s="49">
        <f>AVERAGE('11.08 BUSUNJU-KAMPALA'!F30,'12.08 BUSUNJU-KAMPALA'!F30,'13.08 BUSUNJU-KAMPALA'!F30,'14.08 BUSUNJU-KAMPALA'!F30,'16.08 BUSUNJU-KAMPALA-24h'!F30,'17.08 BUSUNJU-KAMPALA-24h'!F30,'15.08 BUSUNJU-KAMPALA'!F30)</f>
        <v>0.2857142857142857</v>
      </c>
      <c r="G30" s="49">
        <f>AVERAGE('11.08 BUSUNJU-KAMPALA'!G30,'12.08 BUSUNJU-KAMPALA'!G30,'13.08 BUSUNJU-KAMPALA'!G30,'14.08 BUSUNJU-KAMPALA'!G30,'16.08 BUSUNJU-KAMPALA-24h'!G30,'17.08 BUSUNJU-KAMPALA-24h'!G30,'15.08 BUSUNJU-KAMPALA'!G30)</f>
        <v>0</v>
      </c>
      <c r="H30" s="49">
        <f>AVERAGE('11.08 BUSUNJU-KAMPALA'!H30,'12.08 BUSUNJU-KAMPALA'!H30,'13.08 BUSUNJU-KAMPALA'!H30,'14.08 BUSUNJU-KAMPALA'!H30,'16.08 BUSUNJU-KAMPALA-24h'!H30,'17.08 BUSUNJU-KAMPALA-24h'!H30,'15.08 BUSUNJU-KAMPALA'!H30)</f>
        <v>0</v>
      </c>
      <c r="I30" s="49">
        <f>AVERAGE('11.08 BUSUNJU-KAMPALA'!I30,'12.08 BUSUNJU-KAMPALA'!I30,'13.08 BUSUNJU-KAMPALA'!I30,'14.08 BUSUNJU-KAMPALA'!I30,'16.08 BUSUNJU-KAMPALA-24h'!I30,'17.08 BUSUNJU-KAMPALA-24h'!I30,'15.08 BUSUNJU-KAMPALA'!I30)</f>
        <v>0.5714285714285714</v>
      </c>
      <c r="J30" s="49">
        <f>AVERAGE('11.08 BUSUNJU-KAMPALA'!J30,'12.08 BUSUNJU-KAMPALA'!J30,'13.08 BUSUNJU-KAMPALA'!J30,'14.08 BUSUNJU-KAMPALA'!J30,'16.08 BUSUNJU-KAMPALA-24h'!J30,'17.08 BUSUNJU-KAMPALA-24h'!J30,'15.08 BUSUNJU-KAMPALA'!J30)</f>
        <v>0.42857142857142855</v>
      </c>
      <c r="K30" s="49">
        <f>AVERAGE('11.08 BUSUNJU-KAMPALA'!K30,'12.08 BUSUNJU-KAMPALA'!K30,'13.08 BUSUNJU-KAMPALA'!K30,'14.08 BUSUNJU-KAMPALA'!K30,'16.08 BUSUNJU-KAMPALA-24h'!K30,'17.08 BUSUNJU-KAMPALA-24h'!K30,'15.08 BUSUNJU-KAMPALA'!K30)</f>
        <v>0</v>
      </c>
      <c r="L30" s="49">
        <f>AVERAGE('11.08 BUSUNJU-KAMPALA'!L30,'12.08 BUSUNJU-KAMPALA'!L30,'13.08 BUSUNJU-KAMPALA'!L30,'14.08 BUSUNJU-KAMPALA'!L30,'16.08 BUSUNJU-KAMPALA-24h'!L30,'17.08 BUSUNJU-KAMPALA-24h'!L30,'15.08 BUSUNJU-KAMPALA'!L30)</f>
        <v>0</v>
      </c>
      <c r="M30" s="49">
        <f>AVERAGE('11.08 BUSUNJU-KAMPALA'!M30,'12.08 BUSUNJU-KAMPALA'!M30,'13.08 BUSUNJU-KAMPALA'!M30,'14.08 BUSUNJU-KAMPALA'!M30,'16.08 BUSUNJU-KAMPALA-24h'!M30,'17.08 BUSUNJU-KAMPALA-24h'!M30,'15.08 BUSUNJU-KAMPALA'!M30)</f>
        <v>15.142857142857142</v>
      </c>
      <c r="N30" s="49">
        <f>AVERAGE('11.08 BUSUNJU-KAMPALA'!N30,'12.08 BUSUNJU-KAMPALA'!N30,'13.08 BUSUNJU-KAMPALA'!N30,'14.08 BUSUNJU-KAMPALA'!N30,'16.08 BUSUNJU-KAMPALA-24h'!N30,'17.08 BUSUNJU-KAMPALA-24h'!N30,'15.08 BUSUNJU-KAMPALA'!N30)</f>
        <v>0</v>
      </c>
      <c r="O30" s="15">
        <f t="shared" si="0"/>
        <v>3.8571428571428563</v>
      </c>
      <c r="P30" s="15">
        <f t="shared" si="1"/>
        <v>19</v>
      </c>
      <c r="R30" s="1" t="s">
        <v>154</v>
      </c>
      <c r="S30" s="34">
        <f>SUM(C90:C93)</f>
        <v>1</v>
      </c>
      <c r="T30" s="34">
        <f t="shared" ref="T30:AF30" si="22">SUM(D90:D93)</f>
        <v>0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1.5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13.5</v>
      </c>
      <c r="AD30" s="34">
        <f t="shared" si="22"/>
        <v>0</v>
      </c>
      <c r="AE30" s="31">
        <f t="shared" si="22"/>
        <v>3.5</v>
      </c>
      <c r="AF30" s="31">
        <f t="shared" si="22"/>
        <v>17</v>
      </c>
    </row>
    <row r="31" spans="2:32" ht="23.1" customHeight="1" x14ac:dyDescent="0.25">
      <c r="B31" s="24" t="s">
        <v>58</v>
      </c>
      <c r="C31" s="49">
        <f>AVERAGE('11.08 BUSUNJU-KAMPALA'!C31,'12.08 BUSUNJU-KAMPALA'!C31,'13.08 BUSUNJU-KAMPALA'!C31,'14.08 BUSUNJU-KAMPALA'!C31,'16.08 BUSUNJU-KAMPALA-24h'!C31,'17.08 BUSUNJU-KAMPALA-24h'!C31,'15.08 BUSUNJU-KAMPALA'!C31)</f>
        <v>0.7142857142857143</v>
      </c>
      <c r="D31" s="49">
        <f>AVERAGE('11.08 BUSUNJU-KAMPALA'!D31,'12.08 BUSUNJU-KAMPALA'!D31,'13.08 BUSUNJU-KAMPALA'!D31,'14.08 BUSUNJU-KAMPALA'!D31,'16.08 BUSUNJU-KAMPALA-24h'!D31,'17.08 BUSUNJU-KAMPALA-24h'!D31,'15.08 BUSUNJU-KAMPALA'!D31)</f>
        <v>0</v>
      </c>
      <c r="E31" s="49">
        <f>AVERAGE('11.08 BUSUNJU-KAMPALA'!E31,'12.08 BUSUNJU-KAMPALA'!E31,'13.08 BUSUNJU-KAMPALA'!E31,'14.08 BUSUNJU-KAMPALA'!E31,'16.08 BUSUNJU-KAMPALA-24h'!E31,'17.08 BUSUNJU-KAMPALA-24h'!E31,'15.08 BUSUNJU-KAMPALA'!E31)</f>
        <v>0.7142857142857143</v>
      </c>
      <c r="F31" s="49">
        <f>AVERAGE('11.08 BUSUNJU-KAMPALA'!F31,'12.08 BUSUNJU-KAMPALA'!F31,'13.08 BUSUNJU-KAMPALA'!F31,'14.08 BUSUNJU-KAMPALA'!F31,'16.08 BUSUNJU-KAMPALA-24h'!F31,'17.08 BUSUNJU-KAMPALA-24h'!F31,'15.08 BUSUNJU-KAMPALA'!F31)</f>
        <v>0.2857142857142857</v>
      </c>
      <c r="G31" s="49">
        <f>AVERAGE('11.08 BUSUNJU-KAMPALA'!G31,'12.08 BUSUNJU-KAMPALA'!G31,'13.08 BUSUNJU-KAMPALA'!G31,'14.08 BUSUNJU-KAMPALA'!G31,'16.08 BUSUNJU-KAMPALA-24h'!G31,'17.08 BUSUNJU-KAMPALA-24h'!G31,'15.08 BUSUNJU-KAMPALA'!G31)</f>
        <v>0</v>
      </c>
      <c r="H31" s="49">
        <f>AVERAGE('11.08 BUSUNJU-KAMPALA'!H31,'12.08 BUSUNJU-KAMPALA'!H31,'13.08 BUSUNJU-KAMPALA'!H31,'14.08 BUSUNJU-KAMPALA'!H31,'16.08 BUSUNJU-KAMPALA-24h'!H31,'17.08 BUSUNJU-KAMPALA-24h'!H31,'15.08 BUSUNJU-KAMPALA'!H31)</f>
        <v>0</v>
      </c>
      <c r="I31" s="49">
        <f>AVERAGE('11.08 BUSUNJU-KAMPALA'!I31,'12.08 BUSUNJU-KAMPALA'!I31,'13.08 BUSUNJU-KAMPALA'!I31,'14.08 BUSUNJU-KAMPALA'!I31,'16.08 BUSUNJU-KAMPALA-24h'!I31,'17.08 BUSUNJU-KAMPALA-24h'!I31,'15.08 BUSUNJU-KAMPALA'!I31)</f>
        <v>1.1428571428571428</v>
      </c>
      <c r="J31" s="49">
        <f>AVERAGE('11.08 BUSUNJU-KAMPALA'!J31,'12.08 BUSUNJU-KAMPALA'!J31,'13.08 BUSUNJU-KAMPALA'!J31,'14.08 BUSUNJU-KAMPALA'!J31,'16.08 BUSUNJU-KAMPALA-24h'!J31,'17.08 BUSUNJU-KAMPALA-24h'!J31,'15.08 BUSUNJU-KAMPALA'!J31)</f>
        <v>0</v>
      </c>
      <c r="K31" s="49">
        <f>AVERAGE('11.08 BUSUNJU-KAMPALA'!K31,'12.08 BUSUNJU-KAMPALA'!K31,'13.08 BUSUNJU-KAMPALA'!K31,'14.08 BUSUNJU-KAMPALA'!K31,'16.08 BUSUNJU-KAMPALA-24h'!K31,'17.08 BUSUNJU-KAMPALA-24h'!K31,'15.08 BUSUNJU-KAMPALA'!K31)</f>
        <v>0</v>
      </c>
      <c r="L31" s="49">
        <f>AVERAGE('11.08 BUSUNJU-KAMPALA'!L31,'12.08 BUSUNJU-KAMPALA'!L31,'13.08 BUSUNJU-KAMPALA'!L31,'14.08 BUSUNJU-KAMPALA'!L31,'16.08 BUSUNJU-KAMPALA-24h'!L31,'17.08 BUSUNJU-KAMPALA-24h'!L31,'15.08 BUSUNJU-KAMPALA'!L31)</f>
        <v>0</v>
      </c>
      <c r="M31" s="49">
        <f>AVERAGE('11.08 BUSUNJU-KAMPALA'!M31,'12.08 BUSUNJU-KAMPALA'!M31,'13.08 BUSUNJU-KAMPALA'!M31,'14.08 BUSUNJU-KAMPALA'!M31,'16.08 BUSUNJU-KAMPALA-24h'!M31,'17.08 BUSUNJU-KAMPALA-24h'!M31,'15.08 BUSUNJU-KAMPALA'!M31)</f>
        <v>14.857142857142858</v>
      </c>
      <c r="N31" s="49">
        <f>AVERAGE('11.08 BUSUNJU-KAMPALA'!N31,'12.08 BUSUNJU-KAMPALA'!N31,'13.08 BUSUNJU-KAMPALA'!N31,'14.08 BUSUNJU-KAMPALA'!N31,'16.08 BUSUNJU-KAMPALA-24h'!N31,'17.08 BUSUNJU-KAMPALA-24h'!N31,'15.08 BUSUNJU-KAMPALA'!N31)</f>
        <v>0</v>
      </c>
      <c r="O31" s="15">
        <f t="shared" si="0"/>
        <v>2.8571428571428572</v>
      </c>
      <c r="P31" s="15">
        <f t="shared" si="1"/>
        <v>17.714285714285715</v>
      </c>
      <c r="R31" s="1" t="s">
        <v>155</v>
      </c>
      <c r="S31" s="34">
        <f>SUM(C94:C97)</f>
        <v>4</v>
      </c>
      <c r="T31" s="34">
        <f t="shared" ref="T31:AF31" si="23">SUM(D94:D97)</f>
        <v>0</v>
      </c>
      <c r="U31" s="34">
        <f t="shared" si="23"/>
        <v>3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28.5</v>
      </c>
      <c r="AD31" s="34">
        <f t="shared" si="23"/>
        <v>0</v>
      </c>
      <c r="AE31" s="31">
        <f t="shared" si="23"/>
        <v>10</v>
      </c>
      <c r="AF31" s="31">
        <f t="shared" si="23"/>
        <v>38.5</v>
      </c>
    </row>
    <row r="32" spans="2:32" ht="23.1" customHeight="1" x14ac:dyDescent="0.25">
      <c r="B32" s="24" t="s">
        <v>59</v>
      </c>
      <c r="C32" s="49">
        <f>AVERAGE('11.08 BUSUNJU-KAMPALA'!C32,'12.08 BUSUNJU-KAMPALA'!C32,'13.08 BUSUNJU-KAMPALA'!C32,'14.08 BUSUNJU-KAMPALA'!C32,'16.08 BUSUNJU-KAMPALA-24h'!C32,'17.08 BUSUNJU-KAMPALA-24h'!C32,'15.08 BUSUNJU-KAMPALA'!C32)</f>
        <v>1.2857142857142858</v>
      </c>
      <c r="D32" s="49">
        <f>AVERAGE('11.08 BUSUNJU-KAMPALA'!D32,'12.08 BUSUNJU-KAMPALA'!D32,'13.08 BUSUNJU-KAMPALA'!D32,'14.08 BUSUNJU-KAMPALA'!D32,'16.08 BUSUNJU-KAMPALA-24h'!D32,'17.08 BUSUNJU-KAMPALA-24h'!D32,'15.08 BUSUNJU-KAMPALA'!D32)</f>
        <v>0.2857142857142857</v>
      </c>
      <c r="E32" s="49">
        <f>AVERAGE('11.08 BUSUNJU-KAMPALA'!E32,'12.08 BUSUNJU-KAMPALA'!E32,'13.08 BUSUNJU-KAMPALA'!E32,'14.08 BUSUNJU-KAMPALA'!E32,'16.08 BUSUNJU-KAMPALA-24h'!E32,'17.08 BUSUNJU-KAMPALA-24h'!E32,'15.08 BUSUNJU-KAMPALA'!E32)</f>
        <v>1.1428571428571428</v>
      </c>
      <c r="F32" s="49">
        <f>AVERAGE('11.08 BUSUNJU-KAMPALA'!F32,'12.08 BUSUNJU-KAMPALA'!F32,'13.08 BUSUNJU-KAMPALA'!F32,'14.08 BUSUNJU-KAMPALA'!F32,'16.08 BUSUNJU-KAMPALA-24h'!F32,'17.08 BUSUNJU-KAMPALA-24h'!F32,'15.08 BUSUNJU-KAMPALA'!F32)</f>
        <v>0.42857142857142855</v>
      </c>
      <c r="G32" s="49">
        <f>AVERAGE('11.08 BUSUNJU-KAMPALA'!G32,'12.08 BUSUNJU-KAMPALA'!G32,'13.08 BUSUNJU-KAMPALA'!G32,'14.08 BUSUNJU-KAMPALA'!G32,'16.08 BUSUNJU-KAMPALA-24h'!G32,'17.08 BUSUNJU-KAMPALA-24h'!G32,'15.08 BUSUNJU-KAMPALA'!G32)</f>
        <v>0</v>
      </c>
      <c r="H32" s="49">
        <f>AVERAGE('11.08 BUSUNJU-KAMPALA'!H32,'12.08 BUSUNJU-KAMPALA'!H32,'13.08 BUSUNJU-KAMPALA'!H32,'14.08 BUSUNJU-KAMPALA'!H32,'16.08 BUSUNJU-KAMPALA-24h'!H32,'17.08 BUSUNJU-KAMPALA-24h'!H32,'15.08 BUSUNJU-KAMPALA'!H32)</f>
        <v>0</v>
      </c>
      <c r="I32" s="49">
        <f>AVERAGE('11.08 BUSUNJU-KAMPALA'!I32,'12.08 BUSUNJU-KAMPALA'!I32,'13.08 BUSUNJU-KAMPALA'!I32,'14.08 BUSUNJU-KAMPALA'!I32,'16.08 BUSUNJU-KAMPALA-24h'!I32,'17.08 BUSUNJU-KAMPALA-24h'!I32,'15.08 BUSUNJU-KAMPALA'!I32)</f>
        <v>2.1428571428571428</v>
      </c>
      <c r="J32" s="49">
        <f>AVERAGE('11.08 BUSUNJU-KAMPALA'!J32,'12.08 BUSUNJU-KAMPALA'!J32,'13.08 BUSUNJU-KAMPALA'!J32,'14.08 BUSUNJU-KAMPALA'!J32,'16.08 BUSUNJU-KAMPALA-24h'!J32,'17.08 BUSUNJU-KAMPALA-24h'!J32,'15.08 BUSUNJU-KAMPALA'!J32)</f>
        <v>0</v>
      </c>
      <c r="K32" s="49">
        <f>AVERAGE('11.08 BUSUNJU-KAMPALA'!K32,'12.08 BUSUNJU-KAMPALA'!K32,'13.08 BUSUNJU-KAMPALA'!K32,'14.08 BUSUNJU-KAMPALA'!K32,'16.08 BUSUNJU-KAMPALA-24h'!K32,'17.08 BUSUNJU-KAMPALA-24h'!K32,'15.08 BUSUNJU-KAMPALA'!K32)</f>
        <v>0</v>
      </c>
      <c r="L32" s="49">
        <f>AVERAGE('11.08 BUSUNJU-KAMPALA'!L32,'12.08 BUSUNJU-KAMPALA'!L32,'13.08 BUSUNJU-KAMPALA'!L32,'14.08 BUSUNJU-KAMPALA'!L32,'16.08 BUSUNJU-KAMPALA-24h'!L32,'17.08 BUSUNJU-KAMPALA-24h'!L32,'15.08 BUSUNJU-KAMPALA'!L32)</f>
        <v>0</v>
      </c>
      <c r="M32" s="49">
        <f>AVERAGE('11.08 BUSUNJU-KAMPALA'!M32,'12.08 BUSUNJU-KAMPALA'!M32,'13.08 BUSUNJU-KAMPALA'!M32,'14.08 BUSUNJU-KAMPALA'!M32,'16.08 BUSUNJU-KAMPALA-24h'!M32,'17.08 BUSUNJU-KAMPALA-24h'!M32,'15.08 BUSUNJU-KAMPALA'!M32)</f>
        <v>14.571428571428571</v>
      </c>
      <c r="N32" s="49">
        <f>AVERAGE('11.08 BUSUNJU-KAMPALA'!N32,'12.08 BUSUNJU-KAMPALA'!N32,'13.08 BUSUNJU-KAMPALA'!N32,'14.08 BUSUNJU-KAMPALA'!N32,'16.08 BUSUNJU-KAMPALA-24h'!N32,'17.08 BUSUNJU-KAMPALA-24h'!N32,'15.08 BUSUNJU-KAMPALA'!N32)</f>
        <v>0</v>
      </c>
      <c r="O32" s="15">
        <f t="shared" si="0"/>
        <v>5.2857142857142856</v>
      </c>
      <c r="P32" s="15">
        <f t="shared" si="1"/>
        <v>19.857142857142858</v>
      </c>
      <c r="R32" s="1" t="s">
        <v>156</v>
      </c>
      <c r="S32" s="34">
        <f>SUM(C98:C101)</f>
        <v>4</v>
      </c>
      <c r="T32" s="34">
        <f t="shared" ref="T32:AF32" si="24">SUM(D98:D101)</f>
        <v>0</v>
      </c>
      <c r="U32" s="34">
        <f t="shared" si="24"/>
        <v>4</v>
      </c>
      <c r="V32" s="34">
        <f t="shared" si="24"/>
        <v>2</v>
      </c>
      <c r="W32" s="34">
        <f t="shared" si="24"/>
        <v>0</v>
      </c>
      <c r="X32" s="34">
        <f t="shared" si="24"/>
        <v>0</v>
      </c>
      <c r="Y32" s="34">
        <f t="shared" si="24"/>
        <v>4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35</v>
      </c>
      <c r="AD32" s="34">
        <f t="shared" si="24"/>
        <v>0</v>
      </c>
      <c r="AE32" s="31">
        <f t="shared" si="24"/>
        <v>14</v>
      </c>
      <c r="AF32" s="31">
        <f t="shared" si="24"/>
        <v>49</v>
      </c>
    </row>
    <row r="33" spans="2:32" ht="23.1" customHeight="1" x14ac:dyDescent="0.25">
      <c r="B33" s="23" t="s">
        <v>60</v>
      </c>
      <c r="C33" s="49">
        <f>AVERAGE('11.08 BUSUNJU-KAMPALA'!C33,'12.08 BUSUNJU-KAMPALA'!C33,'13.08 BUSUNJU-KAMPALA'!C33,'14.08 BUSUNJU-KAMPALA'!C33,'16.08 BUSUNJU-KAMPALA-24h'!C33,'17.08 BUSUNJU-KAMPALA-24h'!C33,'15.08 BUSUNJU-KAMPALA'!C33)</f>
        <v>0.14285714285714285</v>
      </c>
      <c r="D33" s="49">
        <f>AVERAGE('11.08 BUSUNJU-KAMPALA'!D33,'12.08 BUSUNJU-KAMPALA'!D33,'13.08 BUSUNJU-KAMPALA'!D33,'14.08 BUSUNJU-KAMPALA'!D33,'16.08 BUSUNJU-KAMPALA-24h'!D33,'17.08 BUSUNJU-KAMPALA-24h'!D33,'15.08 BUSUNJU-KAMPALA'!D33)</f>
        <v>0.14285714285714285</v>
      </c>
      <c r="E33" s="49">
        <f>AVERAGE('11.08 BUSUNJU-KAMPALA'!E33,'12.08 BUSUNJU-KAMPALA'!E33,'13.08 BUSUNJU-KAMPALA'!E33,'14.08 BUSUNJU-KAMPALA'!E33,'16.08 BUSUNJU-KAMPALA-24h'!E33,'17.08 BUSUNJU-KAMPALA-24h'!E33,'15.08 BUSUNJU-KAMPALA'!E33)</f>
        <v>0.5714285714285714</v>
      </c>
      <c r="F33" s="49">
        <f>AVERAGE('11.08 BUSUNJU-KAMPALA'!F33,'12.08 BUSUNJU-KAMPALA'!F33,'13.08 BUSUNJU-KAMPALA'!F33,'14.08 BUSUNJU-KAMPALA'!F33,'16.08 BUSUNJU-KAMPALA-24h'!F33,'17.08 BUSUNJU-KAMPALA-24h'!F33,'15.08 BUSUNJU-KAMPALA'!F33)</f>
        <v>0.5714285714285714</v>
      </c>
      <c r="G33" s="49">
        <f>AVERAGE('11.08 BUSUNJU-KAMPALA'!G33,'12.08 BUSUNJU-KAMPALA'!G33,'13.08 BUSUNJU-KAMPALA'!G33,'14.08 BUSUNJU-KAMPALA'!G33,'16.08 BUSUNJU-KAMPALA-24h'!G33,'17.08 BUSUNJU-KAMPALA-24h'!G33,'15.08 BUSUNJU-KAMPALA'!G33)</f>
        <v>0</v>
      </c>
      <c r="H33" s="49">
        <f>AVERAGE('11.08 BUSUNJU-KAMPALA'!H33,'12.08 BUSUNJU-KAMPALA'!H33,'13.08 BUSUNJU-KAMPALA'!H33,'14.08 BUSUNJU-KAMPALA'!H33,'16.08 BUSUNJU-KAMPALA-24h'!H33,'17.08 BUSUNJU-KAMPALA-24h'!H33,'15.08 BUSUNJU-KAMPALA'!H33)</f>
        <v>0</v>
      </c>
      <c r="I33" s="49">
        <f>AVERAGE('11.08 BUSUNJU-KAMPALA'!I33,'12.08 BUSUNJU-KAMPALA'!I33,'13.08 BUSUNJU-KAMPALA'!I33,'14.08 BUSUNJU-KAMPALA'!I33,'16.08 BUSUNJU-KAMPALA-24h'!I33,'17.08 BUSUNJU-KAMPALA-24h'!I33,'15.08 BUSUNJU-KAMPALA'!I33)</f>
        <v>1.5714285714285714</v>
      </c>
      <c r="J33" s="49">
        <f>AVERAGE('11.08 BUSUNJU-KAMPALA'!J33,'12.08 BUSUNJU-KAMPALA'!J33,'13.08 BUSUNJU-KAMPALA'!J33,'14.08 BUSUNJU-KAMPALA'!J33,'16.08 BUSUNJU-KAMPALA-24h'!J33,'17.08 BUSUNJU-KAMPALA-24h'!J33,'15.08 BUSUNJU-KAMPALA'!J33)</f>
        <v>0.14285714285714285</v>
      </c>
      <c r="K33" s="49">
        <f>AVERAGE('11.08 BUSUNJU-KAMPALA'!K33,'12.08 BUSUNJU-KAMPALA'!K33,'13.08 BUSUNJU-KAMPALA'!K33,'14.08 BUSUNJU-KAMPALA'!K33,'16.08 BUSUNJU-KAMPALA-24h'!K33,'17.08 BUSUNJU-KAMPALA-24h'!K33,'15.08 BUSUNJU-KAMPALA'!K33)</f>
        <v>0</v>
      </c>
      <c r="L33" s="49">
        <f>AVERAGE('11.08 BUSUNJU-KAMPALA'!L33,'12.08 BUSUNJU-KAMPALA'!L33,'13.08 BUSUNJU-KAMPALA'!L33,'14.08 BUSUNJU-KAMPALA'!L33,'16.08 BUSUNJU-KAMPALA-24h'!L33,'17.08 BUSUNJU-KAMPALA-24h'!L33,'15.08 BUSUNJU-KAMPALA'!L33)</f>
        <v>0</v>
      </c>
      <c r="M33" s="49">
        <f>AVERAGE('11.08 BUSUNJU-KAMPALA'!M33,'12.08 BUSUNJU-KAMPALA'!M33,'13.08 BUSUNJU-KAMPALA'!M33,'14.08 BUSUNJU-KAMPALA'!M33,'16.08 BUSUNJU-KAMPALA-24h'!M33,'17.08 BUSUNJU-KAMPALA-24h'!M33,'15.08 BUSUNJU-KAMPALA'!M33)</f>
        <v>17.142857142857142</v>
      </c>
      <c r="N33" s="49">
        <f>AVERAGE('11.08 BUSUNJU-KAMPALA'!N33,'12.08 BUSUNJU-KAMPALA'!N33,'13.08 BUSUNJU-KAMPALA'!N33,'14.08 BUSUNJU-KAMPALA'!N33,'16.08 BUSUNJU-KAMPALA-24h'!N33,'17.08 BUSUNJU-KAMPALA-24h'!N33,'15.08 BUSUNJU-KAMPALA'!N33)</f>
        <v>0</v>
      </c>
      <c r="O33" s="15">
        <f t="shared" si="0"/>
        <v>3.1428571428571428</v>
      </c>
      <c r="P33" s="15">
        <f t="shared" si="1"/>
        <v>20.285714285714285</v>
      </c>
      <c r="R33" s="1" t="s">
        <v>157</v>
      </c>
      <c r="S33" s="34">
        <f>SUM(C102:C105)</f>
        <v>4.5</v>
      </c>
      <c r="T33" s="34">
        <f t="shared" ref="T33:AF33" si="25">SUM(D102:D105)</f>
        <v>0</v>
      </c>
      <c r="U33" s="34">
        <f t="shared" si="25"/>
        <v>3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34.5</v>
      </c>
      <c r="AD33" s="34">
        <f t="shared" si="25"/>
        <v>0</v>
      </c>
      <c r="AE33" s="31">
        <f t="shared" si="25"/>
        <v>10.5</v>
      </c>
      <c r="AF33" s="31">
        <f t="shared" si="25"/>
        <v>45</v>
      </c>
    </row>
    <row r="34" spans="2:32" ht="23.1" customHeight="1" x14ac:dyDescent="0.25">
      <c r="B34" s="24" t="s">
        <v>61</v>
      </c>
      <c r="C34" s="49">
        <f>AVERAGE('11.08 BUSUNJU-KAMPALA'!C34,'12.08 BUSUNJU-KAMPALA'!C34,'13.08 BUSUNJU-KAMPALA'!C34,'14.08 BUSUNJU-KAMPALA'!C34,'16.08 BUSUNJU-KAMPALA-24h'!C34,'17.08 BUSUNJU-KAMPALA-24h'!C34,'15.08 BUSUNJU-KAMPALA'!C34)</f>
        <v>1.1428571428571428</v>
      </c>
      <c r="D34" s="49">
        <f>AVERAGE('11.08 BUSUNJU-KAMPALA'!D34,'12.08 BUSUNJU-KAMPALA'!D34,'13.08 BUSUNJU-KAMPALA'!D34,'14.08 BUSUNJU-KAMPALA'!D34,'16.08 BUSUNJU-KAMPALA-24h'!D34,'17.08 BUSUNJU-KAMPALA-24h'!D34,'15.08 BUSUNJU-KAMPALA'!D34)</f>
        <v>0</v>
      </c>
      <c r="E34" s="49">
        <f>AVERAGE('11.08 BUSUNJU-KAMPALA'!E34,'12.08 BUSUNJU-KAMPALA'!E34,'13.08 BUSUNJU-KAMPALA'!E34,'14.08 BUSUNJU-KAMPALA'!E34,'16.08 BUSUNJU-KAMPALA-24h'!E34,'17.08 BUSUNJU-KAMPALA-24h'!E34,'15.08 BUSUNJU-KAMPALA'!E34)</f>
        <v>0.8571428571428571</v>
      </c>
      <c r="F34" s="49">
        <f>AVERAGE('11.08 BUSUNJU-KAMPALA'!F34,'12.08 BUSUNJU-KAMPALA'!F34,'13.08 BUSUNJU-KAMPALA'!F34,'14.08 BUSUNJU-KAMPALA'!F34,'16.08 BUSUNJU-KAMPALA-24h'!F34,'17.08 BUSUNJU-KAMPALA-24h'!F34,'15.08 BUSUNJU-KAMPALA'!F34)</f>
        <v>0</v>
      </c>
      <c r="G34" s="49">
        <f>AVERAGE('11.08 BUSUNJU-KAMPALA'!G34,'12.08 BUSUNJU-KAMPALA'!G34,'13.08 BUSUNJU-KAMPALA'!G34,'14.08 BUSUNJU-KAMPALA'!G34,'16.08 BUSUNJU-KAMPALA-24h'!G34,'17.08 BUSUNJU-KAMPALA-24h'!G34,'15.08 BUSUNJU-KAMPALA'!G34)</f>
        <v>0</v>
      </c>
      <c r="H34" s="49">
        <f>AVERAGE('11.08 BUSUNJU-KAMPALA'!H34,'12.08 BUSUNJU-KAMPALA'!H34,'13.08 BUSUNJU-KAMPALA'!H34,'14.08 BUSUNJU-KAMPALA'!H34,'16.08 BUSUNJU-KAMPALA-24h'!H34,'17.08 BUSUNJU-KAMPALA-24h'!H34,'15.08 BUSUNJU-KAMPALA'!H34)</f>
        <v>0</v>
      </c>
      <c r="I34" s="49">
        <f>AVERAGE('11.08 BUSUNJU-KAMPALA'!I34,'12.08 BUSUNJU-KAMPALA'!I34,'13.08 BUSUNJU-KAMPALA'!I34,'14.08 BUSUNJU-KAMPALA'!I34,'16.08 BUSUNJU-KAMPALA-24h'!I34,'17.08 BUSUNJU-KAMPALA-24h'!I34,'15.08 BUSUNJU-KAMPALA'!I34)</f>
        <v>1.5714285714285714</v>
      </c>
      <c r="J34" s="49">
        <f>AVERAGE('11.08 BUSUNJU-KAMPALA'!J34,'12.08 BUSUNJU-KAMPALA'!J34,'13.08 BUSUNJU-KAMPALA'!J34,'14.08 BUSUNJU-KAMPALA'!J34,'16.08 BUSUNJU-KAMPALA-24h'!J34,'17.08 BUSUNJU-KAMPALA-24h'!J34,'15.08 BUSUNJU-KAMPALA'!J34)</f>
        <v>0.42857142857142855</v>
      </c>
      <c r="K34" s="49">
        <f>AVERAGE('11.08 BUSUNJU-KAMPALA'!K34,'12.08 BUSUNJU-KAMPALA'!K34,'13.08 BUSUNJU-KAMPALA'!K34,'14.08 BUSUNJU-KAMPALA'!K34,'16.08 BUSUNJU-KAMPALA-24h'!K34,'17.08 BUSUNJU-KAMPALA-24h'!K34,'15.08 BUSUNJU-KAMPALA'!K34)</f>
        <v>0</v>
      </c>
      <c r="L34" s="49">
        <f>AVERAGE('11.08 BUSUNJU-KAMPALA'!L34,'12.08 BUSUNJU-KAMPALA'!L34,'13.08 BUSUNJU-KAMPALA'!L34,'14.08 BUSUNJU-KAMPALA'!L34,'16.08 BUSUNJU-KAMPALA-24h'!L34,'17.08 BUSUNJU-KAMPALA-24h'!L34,'15.08 BUSUNJU-KAMPALA'!L34)</f>
        <v>0</v>
      </c>
      <c r="M34" s="49">
        <f>AVERAGE('11.08 BUSUNJU-KAMPALA'!M34,'12.08 BUSUNJU-KAMPALA'!M34,'13.08 BUSUNJU-KAMPALA'!M34,'14.08 BUSUNJU-KAMPALA'!M34,'16.08 BUSUNJU-KAMPALA-24h'!M34,'17.08 BUSUNJU-KAMPALA-24h'!M34,'15.08 BUSUNJU-KAMPALA'!M34)</f>
        <v>14.428571428571429</v>
      </c>
      <c r="N34" s="49">
        <f>AVERAGE('11.08 BUSUNJU-KAMPALA'!N34,'12.08 BUSUNJU-KAMPALA'!N34,'13.08 BUSUNJU-KAMPALA'!N34,'14.08 BUSUNJU-KAMPALA'!N34,'16.08 BUSUNJU-KAMPALA-24h'!N34,'17.08 BUSUNJU-KAMPALA-24h'!N34,'15.08 BUSUNJU-KAMPALA'!N34)</f>
        <v>0</v>
      </c>
      <c r="O34" s="15">
        <f t="shared" si="0"/>
        <v>3.9999999999999996</v>
      </c>
      <c r="P34" s="15">
        <f t="shared" si="1"/>
        <v>18.428571428571427</v>
      </c>
      <c r="R34" s="51" t="s">
        <v>90</v>
      </c>
      <c r="S34" s="52">
        <f t="shared" ref="S34:AF34" si="26">MAX(S10:S12)</f>
        <v>3.285714285714286</v>
      </c>
      <c r="T34" s="52">
        <f t="shared" si="26"/>
        <v>0.71428571428571419</v>
      </c>
      <c r="U34" s="52">
        <f t="shared" si="26"/>
        <v>3.2857142857142856</v>
      </c>
      <c r="V34" s="52">
        <f t="shared" si="26"/>
        <v>1.1428571428571428</v>
      </c>
      <c r="W34" s="52">
        <f t="shared" si="26"/>
        <v>0.14285714285714285</v>
      </c>
      <c r="X34" s="52">
        <f t="shared" si="26"/>
        <v>0</v>
      </c>
      <c r="Y34" s="52">
        <f t="shared" si="26"/>
        <v>3.8571428571428568</v>
      </c>
      <c r="Z34" s="52">
        <f t="shared" si="26"/>
        <v>0.5714285714285714</v>
      </c>
      <c r="AA34" s="52">
        <f t="shared" si="26"/>
        <v>0</v>
      </c>
      <c r="AB34" s="52">
        <f t="shared" si="26"/>
        <v>0</v>
      </c>
      <c r="AC34" s="52">
        <f t="shared" si="26"/>
        <v>60.571428571428569</v>
      </c>
      <c r="AD34" s="52">
        <f t="shared" si="26"/>
        <v>0</v>
      </c>
      <c r="AE34" s="40">
        <f t="shared" si="26"/>
        <v>12.142857142857141</v>
      </c>
      <c r="AF34" s="40">
        <f t="shared" si="26"/>
        <v>70.142857142857139</v>
      </c>
    </row>
    <row r="35" spans="2:32" ht="23.1" customHeight="1" x14ac:dyDescent="0.25">
      <c r="B35" s="24" t="s">
        <v>62</v>
      </c>
      <c r="C35" s="49">
        <f>AVERAGE('11.08 BUSUNJU-KAMPALA'!C35,'12.08 BUSUNJU-KAMPALA'!C35,'13.08 BUSUNJU-KAMPALA'!C35,'14.08 BUSUNJU-KAMPALA'!C35,'16.08 BUSUNJU-KAMPALA-24h'!C35,'17.08 BUSUNJU-KAMPALA-24h'!C35,'15.08 BUSUNJU-KAMPALA'!C35)</f>
        <v>1.1428571428571428</v>
      </c>
      <c r="D35" s="49">
        <f>AVERAGE('11.08 BUSUNJU-KAMPALA'!D35,'12.08 BUSUNJU-KAMPALA'!D35,'13.08 BUSUNJU-KAMPALA'!D35,'14.08 BUSUNJU-KAMPALA'!D35,'16.08 BUSUNJU-KAMPALA-24h'!D35,'17.08 BUSUNJU-KAMPALA-24h'!D35,'15.08 BUSUNJU-KAMPALA'!D35)</f>
        <v>0.2857142857142857</v>
      </c>
      <c r="E35" s="49">
        <f>AVERAGE('11.08 BUSUNJU-KAMPALA'!E35,'12.08 BUSUNJU-KAMPALA'!E35,'13.08 BUSUNJU-KAMPALA'!E35,'14.08 BUSUNJU-KAMPALA'!E35,'16.08 BUSUNJU-KAMPALA-24h'!E35,'17.08 BUSUNJU-KAMPALA-24h'!E35,'15.08 BUSUNJU-KAMPALA'!E35)</f>
        <v>1.2857142857142858</v>
      </c>
      <c r="F35" s="49">
        <f>AVERAGE('11.08 BUSUNJU-KAMPALA'!F35,'12.08 BUSUNJU-KAMPALA'!F35,'13.08 BUSUNJU-KAMPALA'!F35,'14.08 BUSUNJU-KAMPALA'!F35,'16.08 BUSUNJU-KAMPALA-24h'!F35,'17.08 BUSUNJU-KAMPALA-24h'!F35,'15.08 BUSUNJU-KAMPALA'!F35)</f>
        <v>0.7142857142857143</v>
      </c>
      <c r="G35" s="49">
        <f>AVERAGE('11.08 BUSUNJU-KAMPALA'!G35,'12.08 BUSUNJU-KAMPALA'!G35,'13.08 BUSUNJU-KAMPALA'!G35,'14.08 BUSUNJU-KAMPALA'!G35,'16.08 BUSUNJU-KAMPALA-24h'!G35,'17.08 BUSUNJU-KAMPALA-24h'!G35,'15.08 BUSUNJU-KAMPALA'!G35)</f>
        <v>0</v>
      </c>
      <c r="H35" s="49">
        <f>AVERAGE('11.08 BUSUNJU-KAMPALA'!H35,'12.08 BUSUNJU-KAMPALA'!H35,'13.08 BUSUNJU-KAMPALA'!H35,'14.08 BUSUNJU-KAMPALA'!H35,'16.08 BUSUNJU-KAMPALA-24h'!H35,'17.08 BUSUNJU-KAMPALA-24h'!H35,'15.08 BUSUNJU-KAMPALA'!H35)</f>
        <v>0</v>
      </c>
      <c r="I35" s="49">
        <f>AVERAGE('11.08 BUSUNJU-KAMPALA'!I35,'12.08 BUSUNJU-KAMPALA'!I35,'13.08 BUSUNJU-KAMPALA'!I35,'14.08 BUSUNJU-KAMPALA'!I35,'16.08 BUSUNJU-KAMPALA-24h'!I35,'17.08 BUSUNJU-KAMPALA-24h'!I35,'15.08 BUSUNJU-KAMPALA'!I35)</f>
        <v>0.8571428571428571</v>
      </c>
      <c r="J35" s="49">
        <f>AVERAGE('11.08 BUSUNJU-KAMPALA'!J35,'12.08 BUSUNJU-KAMPALA'!J35,'13.08 BUSUNJU-KAMPALA'!J35,'14.08 BUSUNJU-KAMPALA'!J35,'16.08 BUSUNJU-KAMPALA-24h'!J35,'17.08 BUSUNJU-KAMPALA-24h'!J35,'15.08 BUSUNJU-KAMPALA'!J35)</f>
        <v>0.14285714285714285</v>
      </c>
      <c r="K35" s="49">
        <f>AVERAGE('11.08 BUSUNJU-KAMPALA'!K35,'12.08 BUSUNJU-KAMPALA'!K35,'13.08 BUSUNJU-KAMPALA'!K35,'14.08 BUSUNJU-KAMPALA'!K35,'16.08 BUSUNJU-KAMPALA-24h'!K35,'17.08 BUSUNJU-KAMPALA-24h'!K35,'15.08 BUSUNJU-KAMPALA'!K35)</f>
        <v>0</v>
      </c>
      <c r="L35" s="49">
        <f>AVERAGE('11.08 BUSUNJU-KAMPALA'!L35,'12.08 BUSUNJU-KAMPALA'!L35,'13.08 BUSUNJU-KAMPALA'!L35,'14.08 BUSUNJU-KAMPALA'!L35,'16.08 BUSUNJU-KAMPALA-24h'!L35,'17.08 BUSUNJU-KAMPALA-24h'!L35,'15.08 BUSUNJU-KAMPALA'!L35)</f>
        <v>0</v>
      </c>
      <c r="M35" s="49">
        <f>AVERAGE('11.08 BUSUNJU-KAMPALA'!M35,'12.08 BUSUNJU-KAMPALA'!M35,'13.08 BUSUNJU-KAMPALA'!M35,'14.08 BUSUNJU-KAMPALA'!M35,'16.08 BUSUNJU-KAMPALA-24h'!M35,'17.08 BUSUNJU-KAMPALA-24h'!M35,'15.08 BUSUNJU-KAMPALA'!M35)</f>
        <v>14.571428571428571</v>
      </c>
      <c r="N35" s="49">
        <f>AVERAGE('11.08 BUSUNJU-KAMPALA'!N35,'12.08 BUSUNJU-KAMPALA'!N35,'13.08 BUSUNJU-KAMPALA'!N35,'14.08 BUSUNJU-KAMPALA'!N35,'16.08 BUSUNJU-KAMPALA-24h'!N35,'17.08 BUSUNJU-KAMPALA-24h'!N35,'15.08 BUSUNJU-KAMPALA'!N35)</f>
        <v>0</v>
      </c>
      <c r="O35" s="15">
        <f t="shared" si="0"/>
        <v>4.4285714285714288</v>
      </c>
      <c r="P35" s="15">
        <f t="shared" si="1"/>
        <v>19</v>
      </c>
      <c r="R35" s="51" t="s">
        <v>91</v>
      </c>
      <c r="S35" s="52">
        <f t="shared" ref="S35:AF35" si="27">MAX(S13:S18)</f>
        <v>4.8571428571428577</v>
      </c>
      <c r="T35" s="52">
        <f t="shared" si="27"/>
        <v>1</v>
      </c>
      <c r="U35" s="52">
        <f t="shared" si="27"/>
        <v>4</v>
      </c>
      <c r="V35" s="52">
        <f t="shared" si="27"/>
        <v>1.5714285714285714</v>
      </c>
      <c r="W35" s="52">
        <f t="shared" si="27"/>
        <v>0.5714285714285714</v>
      </c>
      <c r="X35" s="52">
        <f t="shared" si="27"/>
        <v>0</v>
      </c>
      <c r="Y35" s="52">
        <f t="shared" si="27"/>
        <v>6.5714285714285712</v>
      </c>
      <c r="Z35" s="52">
        <f t="shared" si="27"/>
        <v>0.8571428571428571</v>
      </c>
      <c r="AA35" s="52">
        <f t="shared" si="27"/>
        <v>0.14285714285714285</v>
      </c>
      <c r="AB35" s="52">
        <f t="shared" si="27"/>
        <v>0</v>
      </c>
      <c r="AC35" s="52">
        <f t="shared" si="27"/>
        <v>61.714285714285708</v>
      </c>
      <c r="AD35" s="52">
        <f t="shared" si="27"/>
        <v>0</v>
      </c>
      <c r="AE35" s="40">
        <f t="shared" si="27"/>
        <v>16.571428571428569</v>
      </c>
      <c r="AF35" s="40">
        <f t="shared" si="27"/>
        <v>76.857142857142861</v>
      </c>
    </row>
    <row r="36" spans="2:32" ht="23.1" customHeight="1" x14ac:dyDescent="0.25">
      <c r="B36" s="24" t="s">
        <v>63</v>
      </c>
      <c r="C36" s="49">
        <f>AVERAGE('11.08 BUSUNJU-KAMPALA'!C36,'12.08 BUSUNJU-KAMPALA'!C36,'13.08 BUSUNJU-KAMPALA'!C36,'14.08 BUSUNJU-KAMPALA'!C36,'16.08 BUSUNJU-KAMPALA-24h'!C36,'17.08 BUSUNJU-KAMPALA-24h'!C36,'15.08 BUSUNJU-KAMPALA'!C36)</f>
        <v>1</v>
      </c>
      <c r="D36" s="49">
        <f>AVERAGE('11.08 BUSUNJU-KAMPALA'!D36,'12.08 BUSUNJU-KAMPALA'!D36,'13.08 BUSUNJU-KAMPALA'!D36,'14.08 BUSUNJU-KAMPALA'!D36,'16.08 BUSUNJU-KAMPALA-24h'!D36,'17.08 BUSUNJU-KAMPALA-24h'!D36,'15.08 BUSUNJU-KAMPALA'!D36)</f>
        <v>0.42857142857142855</v>
      </c>
      <c r="E36" s="49">
        <f>AVERAGE('11.08 BUSUNJU-KAMPALA'!E36,'12.08 BUSUNJU-KAMPALA'!E36,'13.08 BUSUNJU-KAMPALA'!E36,'14.08 BUSUNJU-KAMPALA'!E36,'16.08 BUSUNJU-KAMPALA-24h'!E36,'17.08 BUSUNJU-KAMPALA-24h'!E36,'15.08 BUSUNJU-KAMPALA'!E36)</f>
        <v>1</v>
      </c>
      <c r="F36" s="49">
        <f>AVERAGE('11.08 BUSUNJU-KAMPALA'!F36,'12.08 BUSUNJU-KAMPALA'!F36,'13.08 BUSUNJU-KAMPALA'!F36,'14.08 BUSUNJU-KAMPALA'!F36,'16.08 BUSUNJU-KAMPALA-24h'!F36,'17.08 BUSUNJU-KAMPALA-24h'!F36,'15.08 BUSUNJU-KAMPALA'!F36)</f>
        <v>0.2857142857142857</v>
      </c>
      <c r="G36" s="49">
        <f>AVERAGE('11.08 BUSUNJU-KAMPALA'!G36,'12.08 BUSUNJU-KAMPALA'!G36,'13.08 BUSUNJU-KAMPALA'!G36,'14.08 BUSUNJU-KAMPALA'!G36,'16.08 BUSUNJU-KAMPALA-24h'!G36,'17.08 BUSUNJU-KAMPALA-24h'!G36,'15.08 BUSUNJU-KAMPALA'!G36)</f>
        <v>0.14285714285714285</v>
      </c>
      <c r="H36" s="49">
        <f>AVERAGE('11.08 BUSUNJU-KAMPALA'!H36,'12.08 BUSUNJU-KAMPALA'!H36,'13.08 BUSUNJU-KAMPALA'!H36,'14.08 BUSUNJU-KAMPALA'!H36,'16.08 BUSUNJU-KAMPALA-24h'!H36,'17.08 BUSUNJU-KAMPALA-24h'!H36,'15.08 BUSUNJU-KAMPALA'!H36)</f>
        <v>0</v>
      </c>
      <c r="I36" s="49">
        <f>AVERAGE('11.08 BUSUNJU-KAMPALA'!I36,'12.08 BUSUNJU-KAMPALA'!I36,'13.08 BUSUNJU-KAMPALA'!I36,'14.08 BUSUNJU-KAMPALA'!I36,'16.08 BUSUNJU-KAMPALA-24h'!I36,'17.08 BUSUNJU-KAMPALA-24h'!I36,'15.08 BUSUNJU-KAMPALA'!I36)</f>
        <v>0.42857142857142855</v>
      </c>
      <c r="J36" s="49">
        <f>AVERAGE('11.08 BUSUNJU-KAMPALA'!J36,'12.08 BUSUNJU-KAMPALA'!J36,'13.08 BUSUNJU-KAMPALA'!J36,'14.08 BUSUNJU-KAMPALA'!J36,'16.08 BUSUNJU-KAMPALA-24h'!J36,'17.08 BUSUNJU-KAMPALA-24h'!J36,'15.08 BUSUNJU-KAMPALA'!J36)</f>
        <v>0.14285714285714285</v>
      </c>
      <c r="K36" s="49">
        <f>AVERAGE('11.08 BUSUNJU-KAMPALA'!K36,'12.08 BUSUNJU-KAMPALA'!K36,'13.08 BUSUNJU-KAMPALA'!K36,'14.08 BUSUNJU-KAMPALA'!K36,'16.08 BUSUNJU-KAMPALA-24h'!K36,'17.08 BUSUNJU-KAMPALA-24h'!K36,'15.08 BUSUNJU-KAMPALA'!K36)</f>
        <v>0</v>
      </c>
      <c r="L36" s="49">
        <f>AVERAGE('11.08 BUSUNJU-KAMPALA'!L36,'12.08 BUSUNJU-KAMPALA'!L36,'13.08 BUSUNJU-KAMPALA'!L36,'14.08 BUSUNJU-KAMPALA'!L36,'16.08 BUSUNJU-KAMPALA-24h'!L36,'17.08 BUSUNJU-KAMPALA-24h'!L36,'15.08 BUSUNJU-KAMPALA'!L36)</f>
        <v>0</v>
      </c>
      <c r="M36" s="49">
        <f>AVERAGE('11.08 BUSUNJU-KAMPALA'!M36,'12.08 BUSUNJU-KAMPALA'!M36,'13.08 BUSUNJU-KAMPALA'!M36,'14.08 BUSUNJU-KAMPALA'!M36,'16.08 BUSUNJU-KAMPALA-24h'!M36,'17.08 BUSUNJU-KAMPALA-24h'!M36,'15.08 BUSUNJU-KAMPALA'!M36)</f>
        <v>12.571428571428571</v>
      </c>
      <c r="N36" s="49">
        <f>AVERAGE('11.08 BUSUNJU-KAMPALA'!N36,'12.08 BUSUNJU-KAMPALA'!N36,'13.08 BUSUNJU-KAMPALA'!N36,'14.08 BUSUNJU-KAMPALA'!N36,'16.08 BUSUNJU-KAMPALA-24h'!N36,'17.08 BUSUNJU-KAMPALA-24h'!N36,'15.08 BUSUNJU-KAMPALA'!N36)</f>
        <v>0</v>
      </c>
      <c r="O36" s="15">
        <f t="shared" si="0"/>
        <v>3.4285714285714284</v>
      </c>
      <c r="P36" s="15">
        <f t="shared" si="1"/>
        <v>16</v>
      </c>
      <c r="R36" s="51" t="s">
        <v>92</v>
      </c>
      <c r="S36" s="52">
        <f t="shared" ref="S36:AF36" si="28">MAX(S19:S21)</f>
        <v>5.7142857142857144</v>
      </c>
      <c r="T36" s="52">
        <f t="shared" si="28"/>
        <v>1.1428571428571428</v>
      </c>
      <c r="U36" s="52">
        <f t="shared" si="28"/>
        <v>4.2857142857142856</v>
      </c>
      <c r="V36" s="52">
        <f t="shared" si="28"/>
        <v>2.1428571428571428</v>
      </c>
      <c r="W36" s="52">
        <f t="shared" si="28"/>
        <v>0.5714285714285714</v>
      </c>
      <c r="X36" s="52">
        <f t="shared" si="28"/>
        <v>0</v>
      </c>
      <c r="Y36" s="52">
        <f t="shared" si="28"/>
        <v>4.2857142857142856</v>
      </c>
      <c r="Z36" s="52">
        <f t="shared" si="28"/>
        <v>0.42857142857142855</v>
      </c>
      <c r="AA36" s="52">
        <f t="shared" si="28"/>
        <v>0</v>
      </c>
      <c r="AB36" s="52">
        <f t="shared" si="28"/>
        <v>0</v>
      </c>
      <c r="AC36" s="52">
        <f t="shared" si="28"/>
        <v>60.285714285714292</v>
      </c>
      <c r="AD36" s="52">
        <f t="shared" si="28"/>
        <v>0</v>
      </c>
      <c r="AE36" s="40">
        <f t="shared" si="28"/>
        <v>16.571428571428569</v>
      </c>
      <c r="AF36" s="40">
        <f t="shared" si="28"/>
        <v>76.142857142857139</v>
      </c>
    </row>
    <row r="37" spans="2:32" ht="23.1" customHeight="1" x14ac:dyDescent="0.25">
      <c r="B37" s="23" t="s">
        <v>64</v>
      </c>
      <c r="C37" s="49">
        <f>AVERAGE('11.08 BUSUNJU-KAMPALA'!C37,'12.08 BUSUNJU-KAMPALA'!C37,'13.08 BUSUNJU-KAMPALA'!C37,'14.08 BUSUNJU-KAMPALA'!C37,'16.08 BUSUNJU-KAMPALA-24h'!C37,'17.08 BUSUNJU-KAMPALA-24h'!C37,'15.08 BUSUNJU-KAMPALA'!C37)</f>
        <v>0.7142857142857143</v>
      </c>
      <c r="D37" s="49">
        <f>AVERAGE('11.08 BUSUNJU-KAMPALA'!D37,'12.08 BUSUNJU-KAMPALA'!D37,'13.08 BUSUNJU-KAMPALA'!D37,'14.08 BUSUNJU-KAMPALA'!D37,'16.08 BUSUNJU-KAMPALA-24h'!D37,'17.08 BUSUNJU-KAMPALA-24h'!D37,'15.08 BUSUNJU-KAMPALA'!D37)</f>
        <v>0</v>
      </c>
      <c r="E37" s="49">
        <f>AVERAGE('11.08 BUSUNJU-KAMPALA'!E37,'12.08 BUSUNJU-KAMPALA'!E37,'13.08 BUSUNJU-KAMPALA'!E37,'14.08 BUSUNJU-KAMPALA'!E37,'16.08 BUSUNJU-KAMPALA-24h'!E37,'17.08 BUSUNJU-KAMPALA-24h'!E37,'15.08 BUSUNJU-KAMPALA'!E37)</f>
        <v>0.8571428571428571</v>
      </c>
      <c r="F37" s="49">
        <f>AVERAGE('11.08 BUSUNJU-KAMPALA'!F37,'12.08 BUSUNJU-KAMPALA'!F37,'13.08 BUSUNJU-KAMPALA'!F37,'14.08 BUSUNJU-KAMPALA'!F37,'16.08 BUSUNJU-KAMPALA-24h'!F37,'17.08 BUSUNJU-KAMPALA-24h'!F37,'15.08 BUSUNJU-KAMPALA'!F37)</f>
        <v>0.14285714285714285</v>
      </c>
      <c r="G37" s="49">
        <f>AVERAGE('11.08 BUSUNJU-KAMPALA'!G37,'12.08 BUSUNJU-KAMPALA'!G37,'13.08 BUSUNJU-KAMPALA'!G37,'14.08 BUSUNJU-KAMPALA'!G37,'16.08 BUSUNJU-KAMPALA-24h'!G37,'17.08 BUSUNJU-KAMPALA-24h'!G37,'15.08 BUSUNJU-KAMPALA'!G37)</f>
        <v>0</v>
      </c>
      <c r="H37" s="49">
        <f>AVERAGE('11.08 BUSUNJU-KAMPALA'!H37,'12.08 BUSUNJU-KAMPALA'!H37,'13.08 BUSUNJU-KAMPALA'!H37,'14.08 BUSUNJU-KAMPALA'!H37,'16.08 BUSUNJU-KAMPALA-24h'!H37,'17.08 BUSUNJU-KAMPALA-24h'!H37,'15.08 BUSUNJU-KAMPALA'!H37)</f>
        <v>0</v>
      </c>
      <c r="I37" s="49">
        <f>AVERAGE('11.08 BUSUNJU-KAMPALA'!I37,'12.08 BUSUNJU-KAMPALA'!I37,'13.08 BUSUNJU-KAMPALA'!I37,'14.08 BUSUNJU-KAMPALA'!I37,'16.08 BUSUNJU-KAMPALA-24h'!I37,'17.08 BUSUNJU-KAMPALA-24h'!I37,'15.08 BUSUNJU-KAMPALA'!I37)</f>
        <v>1.1428571428571428</v>
      </c>
      <c r="J37" s="49">
        <f>AVERAGE('11.08 BUSUNJU-KAMPALA'!J37,'12.08 BUSUNJU-KAMPALA'!J37,'13.08 BUSUNJU-KAMPALA'!J37,'14.08 BUSUNJU-KAMPALA'!J37,'16.08 BUSUNJU-KAMPALA-24h'!J37,'17.08 BUSUNJU-KAMPALA-24h'!J37,'15.08 BUSUNJU-KAMPALA'!J37)</f>
        <v>0</v>
      </c>
      <c r="K37" s="49">
        <f>AVERAGE('11.08 BUSUNJU-KAMPALA'!K37,'12.08 BUSUNJU-KAMPALA'!K37,'13.08 BUSUNJU-KAMPALA'!K37,'14.08 BUSUNJU-KAMPALA'!K37,'16.08 BUSUNJU-KAMPALA-24h'!K37,'17.08 BUSUNJU-KAMPALA-24h'!K37,'15.08 BUSUNJU-KAMPALA'!K37)</f>
        <v>0</v>
      </c>
      <c r="L37" s="49">
        <f>AVERAGE('11.08 BUSUNJU-KAMPALA'!L37,'12.08 BUSUNJU-KAMPALA'!L37,'13.08 BUSUNJU-KAMPALA'!L37,'14.08 BUSUNJU-KAMPALA'!L37,'16.08 BUSUNJU-KAMPALA-24h'!L37,'17.08 BUSUNJU-KAMPALA-24h'!L37,'15.08 BUSUNJU-KAMPALA'!L37)</f>
        <v>0</v>
      </c>
      <c r="M37" s="49">
        <f>AVERAGE('11.08 BUSUNJU-KAMPALA'!M37,'12.08 BUSUNJU-KAMPALA'!M37,'13.08 BUSUNJU-KAMPALA'!M37,'14.08 BUSUNJU-KAMPALA'!M37,'16.08 BUSUNJU-KAMPALA-24h'!M37,'17.08 BUSUNJU-KAMPALA-24h'!M37,'15.08 BUSUNJU-KAMPALA'!M37)</f>
        <v>12</v>
      </c>
      <c r="N37" s="49">
        <f>AVERAGE('11.08 BUSUNJU-KAMPALA'!N37,'12.08 BUSUNJU-KAMPALA'!N37,'13.08 BUSUNJU-KAMPALA'!N37,'14.08 BUSUNJU-KAMPALA'!N37,'16.08 BUSUNJU-KAMPALA-24h'!N37,'17.08 BUSUNJU-KAMPALA-24h'!N37,'15.08 BUSUNJU-KAMPALA'!N37)</f>
        <v>0</v>
      </c>
      <c r="O37" s="15">
        <f t="shared" si="0"/>
        <v>2.8571428571428568</v>
      </c>
      <c r="P37" s="15">
        <f t="shared" si="1"/>
        <v>14.857142857142858</v>
      </c>
      <c r="R37" s="37" t="s">
        <v>85</v>
      </c>
      <c r="S37" s="35">
        <f t="shared" ref="S37:AF37" si="29">SUM(S10:S12)</f>
        <v>9.5714285714285712</v>
      </c>
      <c r="T37" s="16">
        <f t="shared" si="29"/>
        <v>1.7142857142857142</v>
      </c>
      <c r="U37" s="16">
        <f t="shared" si="29"/>
        <v>7.7142857142857144</v>
      </c>
      <c r="V37" s="16">
        <f t="shared" si="29"/>
        <v>2.1428571428571428</v>
      </c>
      <c r="W37" s="16">
        <f t="shared" si="29"/>
        <v>0.14285714285714285</v>
      </c>
      <c r="X37" s="16">
        <f t="shared" si="29"/>
        <v>0</v>
      </c>
      <c r="Y37" s="16">
        <f t="shared" si="29"/>
        <v>7.8571428571428559</v>
      </c>
      <c r="Z37" s="16">
        <f t="shared" si="29"/>
        <v>0.5714285714285714</v>
      </c>
      <c r="AA37" s="16">
        <f t="shared" si="29"/>
        <v>0</v>
      </c>
      <c r="AB37" s="16">
        <f t="shared" si="29"/>
        <v>0</v>
      </c>
      <c r="AC37" s="16">
        <f t="shared" si="29"/>
        <v>161</v>
      </c>
      <c r="AD37" s="16">
        <f t="shared" si="29"/>
        <v>0</v>
      </c>
      <c r="AE37" s="32">
        <f t="shared" si="29"/>
        <v>29.714285714285708</v>
      </c>
      <c r="AF37" s="32">
        <f t="shared" si="29"/>
        <v>190.71428571428572</v>
      </c>
    </row>
    <row r="38" spans="2:32" ht="23.1" customHeight="1" x14ac:dyDescent="0.25">
      <c r="B38" s="24" t="s">
        <v>65</v>
      </c>
      <c r="C38" s="49">
        <f>AVERAGE('11.08 BUSUNJU-KAMPALA'!C38,'12.08 BUSUNJU-KAMPALA'!C38,'13.08 BUSUNJU-KAMPALA'!C38,'14.08 BUSUNJU-KAMPALA'!C38,'16.08 BUSUNJU-KAMPALA-24h'!C38,'17.08 BUSUNJU-KAMPALA-24h'!C38,'15.08 BUSUNJU-KAMPALA'!C38)</f>
        <v>0.8571428571428571</v>
      </c>
      <c r="D38" s="49">
        <f>AVERAGE('11.08 BUSUNJU-KAMPALA'!D38,'12.08 BUSUNJU-KAMPALA'!D38,'13.08 BUSUNJU-KAMPALA'!D38,'14.08 BUSUNJU-KAMPALA'!D38,'16.08 BUSUNJU-KAMPALA-24h'!D38,'17.08 BUSUNJU-KAMPALA-24h'!D38,'15.08 BUSUNJU-KAMPALA'!D38)</f>
        <v>0.14285714285714285</v>
      </c>
      <c r="E38" s="49">
        <f>AVERAGE('11.08 BUSUNJU-KAMPALA'!E38,'12.08 BUSUNJU-KAMPALA'!E38,'13.08 BUSUNJU-KAMPALA'!E38,'14.08 BUSUNJU-KAMPALA'!E38,'16.08 BUSUNJU-KAMPALA-24h'!E38,'17.08 BUSUNJU-KAMPALA-24h'!E38,'15.08 BUSUNJU-KAMPALA'!E38)</f>
        <v>0.2857142857142857</v>
      </c>
      <c r="F38" s="49">
        <f>AVERAGE('11.08 BUSUNJU-KAMPALA'!F38,'12.08 BUSUNJU-KAMPALA'!F38,'13.08 BUSUNJU-KAMPALA'!F38,'14.08 BUSUNJU-KAMPALA'!F38,'16.08 BUSUNJU-KAMPALA-24h'!F38,'17.08 BUSUNJU-KAMPALA-24h'!F38,'15.08 BUSUNJU-KAMPALA'!F38)</f>
        <v>0.14285714285714285</v>
      </c>
      <c r="G38" s="49">
        <f>AVERAGE('11.08 BUSUNJU-KAMPALA'!G38,'12.08 BUSUNJU-KAMPALA'!G38,'13.08 BUSUNJU-KAMPALA'!G38,'14.08 BUSUNJU-KAMPALA'!G38,'16.08 BUSUNJU-KAMPALA-24h'!G38,'17.08 BUSUNJU-KAMPALA-24h'!G38,'15.08 BUSUNJU-KAMPALA'!G38)</f>
        <v>0</v>
      </c>
      <c r="H38" s="49">
        <f>AVERAGE('11.08 BUSUNJU-KAMPALA'!H38,'12.08 BUSUNJU-KAMPALA'!H38,'13.08 BUSUNJU-KAMPALA'!H38,'14.08 BUSUNJU-KAMPALA'!H38,'16.08 BUSUNJU-KAMPALA-24h'!H38,'17.08 BUSUNJU-KAMPALA-24h'!H38,'15.08 BUSUNJU-KAMPALA'!H38)</f>
        <v>0</v>
      </c>
      <c r="I38" s="49">
        <f>AVERAGE('11.08 BUSUNJU-KAMPALA'!I38,'12.08 BUSUNJU-KAMPALA'!I38,'13.08 BUSUNJU-KAMPALA'!I38,'14.08 BUSUNJU-KAMPALA'!I38,'16.08 BUSUNJU-KAMPALA-24h'!I38,'17.08 BUSUNJU-KAMPALA-24h'!I38,'15.08 BUSUNJU-KAMPALA'!I38)</f>
        <v>0.7142857142857143</v>
      </c>
      <c r="J38" s="49">
        <f>AVERAGE('11.08 BUSUNJU-KAMPALA'!J38,'12.08 BUSUNJU-KAMPALA'!J38,'13.08 BUSUNJU-KAMPALA'!J38,'14.08 BUSUNJU-KAMPALA'!J38,'16.08 BUSUNJU-KAMPALA-24h'!J38,'17.08 BUSUNJU-KAMPALA-24h'!J38,'15.08 BUSUNJU-KAMPALA'!J38)</f>
        <v>0</v>
      </c>
      <c r="K38" s="49">
        <f>AVERAGE('11.08 BUSUNJU-KAMPALA'!K38,'12.08 BUSUNJU-KAMPALA'!K38,'13.08 BUSUNJU-KAMPALA'!K38,'14.08 BUSUNJU-KAMPALA'!K38,'16.08 BUSUNJU-KAMPALA-24h'!K38,'17.08 BUSUNJU-KAMPALA-24h'!K38,'15.08 BUSUNJU-KAMPALA'!K38)</f>
        <v>0</v>
      </c>
      <c r="L38" s="49">
        <f>AVERAGE('11.08 BUSUNJU-KAMPALA'!L38,'12.08 BUSUNJU-KAMPALA'!L38,'13.08 BUSUNJU-KAMPALA'!L38,'14.08 BUSUNJU-KAMPALA'!L38,'16.08 BUSUNJU-KAMPALA-24h'!L38,'17.08 BUSUNJU-KAMPALA-24h'!L38,'15.08 BUSUNJU-KAMPALA'!L38)</f>
        <v>0</v>
      </c>
      <c r="M38" s="49">
        <f>AVERAGE('11.08 BUSUNJU-KAMPALA'!M38,'12.08 BUSUNJU-KAMPALA'!M38,'13.08 BUSUNJU-KAMPALA'!M38,'14.08 BUSUNJU-KAMPALA'!M38,'16.08 BUSUNJU-KAMPALA-24h'!M38,'17.08 BUSUNJU-KAMPALA-24h'!M38,'15.08 BUSUNJU-KAMPALA'!M38)</f>
        <v>13.142857142857142</v>
      </c>
      <c r="N38" s="49">
        <f>AVERAGE('11.08 BUSUNJU-KAMPALA'!N38,'12.08 BUSUNJU-KAMPALA'!N38,'13.08 BUSUNJU-KAMPALA'!N38,'14.08 BUSUNJU-KAMPALA'!N38,'16.08 BUSUNJU-KAMPALA-24h'!N38,'17.08 BUSUNJU-KAMPALA-24h'!N38,'15.08 BUSUNJU-KAMPALA'!N38)</f>
        <v>0</v>
      </c>
      <c r="O38" s="15">
        <f t="shared" si="0"/>
        <v>2.1428571428571428</v>
      </c>
      <c r="P38" s="15">
        <f t="shared" si="1"/>
        <v>15.285714285714285</v>
      </c>
      <c r="R38" s="28" t="s">
        <v>86</v>
      </c>
      <c r="S38" s="16">
        <f t="shared" ref="S38:AF38" si="30">SUM(S13:S18)</f>
        <v>23.428571428571431</v>
      </c>
      <c r="T38" s="16">
        <f t="shared" si="30"/>
        <v>4</v>
      </c>
      <c r="U38" s="16">
        <f t="shared" si="30"/>
        <v>19.285714285714285</v>
      </c>
      <c r="V38" s="16">
        <f t="shared" si="30"/>
        <v>5.7142857142857144</v>
      </c>
      <c r="W38" s="16">
        <f t="shared" si="30"/>
        <v>0.71428571428571419</v>
      </c>
      <c r="X38" s="16">
        <f t="shared" si="30"/>
        <v>0</v>
      </c>
      <c r="Y38" s="16">
        <f t="shared" si="30"/>
        <v>29</v>
      </c>
      <c r="Z38" s="16">
        <f t="shared" si="30"/>
        <v>2.714285714285714</v>
      </c>
      <c r="AA38" s="16">
        <f t="shared" si="30"/>
        <v>0.14285714285714285</v>
      </c>
      <c r="AB38" s="16">
        <f t="shared" si="30"/>
        <v>0</v>
      </c>
      <c r="AC38" s="16">
        <f t="shared" si="30"/>
        <v>339.85714285714283</v>
      </c>
      <c r="AD38" s="16">
        <f t="shared" si="30"/>
        <v>0</v>
      </c>
      <c r="AE38" s="32">
        <f t="shared" si="30"/>
        <v>85</v>
      </c>
      <c r="AF38" s="32">
        <f t="shared" si="30"/>
        <v>424.85714285714289</v>
      </c>
    </row>
    <row r="39" spans="2:32" ht="23.1" customHeight="1" x14ac:dyDescent="0.25">
      <c r="B39" s="24" t="s">
        <v>66</v>
      </c>
      <c r="C39" s="49">
        <f>AVERAGE('11.08 BUSUNJU-KAMPALA'!C39,'12.08 BUSUNJU-KAMPALA'!C39,'13.08 BUSUNJU-KAMPALA'!C39,'14.08 BUSUNJU-KAMPALA'!C39,'16.08 BUSUNJU-KAMPALA-24h'!C39,'17.08 BUSUNJU-KAMPALA-24h'!C39,'15.08 BUSUNJU-KAMPALA'!C39)</f>
        <v>1.2857142857142858</v>
      </c>
      <c r="D39" s="49">
        <f>AVERAGE('11.08 BUSUNJU-KAMPALA'!D39,'12.08 BUSUNJU-KAMPALA'!D39,'13.08 BUSUNJU-KAMPALA'!D39,'14.08 BUSUNJU-KAMPALA'!D39,'16.08 BUSUNJU-KAMPALA-24h'!D39,'17.08 BUSUNJU-KAMPALA-24h'!D39,'15.08 BUSUNJU-KAMPALA'!D39)</f>
        <v>0.42857142857142855</v>
      </c>
      <c r="E39" s="49">
        <f>AVERAGE('11.08 BUSUNJU-KAMPALA'!E39,'12.08 BUSUNJU-KAMPALA'!E39,'13.08 BUSUNJU-KAMPALA'!E39,'14.08 BUSUNJU-KAMPALA'!E39,'16.08 BUSUNJU-KAMPALA-24h'!E39,'17.08 BUSUNJU-KAMPALA-24h'!E39,'15.08 BUSUNJU-KAMPALA'!E39)</f>
        <v>0.7142857142857143</v>
      </c>
      <c r="F39" s="49">
        <f>AVERAGE('11.08 BUSUNJU-KAMPALA'!F39,'12.08 BUSUNJU-KAMPALA'!F39,'13.08 BUSUNJU-KAMPALA'!F39,'14.08 BUSUNJU-KAMPALA'!F39,'16.08 BUSUNJU-KAMPALA-24h'!F39,'17.08 BUSUNJU-KAMPALA-24h'!F39,'15.08 BUSUNJU-KAMPALA'!F39)</f>
        <v>0.14285714285714285</v>
      </c>
      <c r="G39" s="49">
        <f>AVERAGE('11.08 BUSUNJU-KAMPALA'!G39,'12.08 BUSUNJU-KAMPALA'!G39,'13.08 BUSUNJU-KAMPALA'!G39,'14.08 BUSUNJU-KAMPALA'!G39,'16.08 BUSUNJU-KAMPALA-24h'!G39,'17.08 BUSUNJU-KAMPALA-24h'!G39,'15.08 BUSUNJU-KAMPALA'!G39)</f>
        <v>0</v>
      </c>
      <c r="H39" s="49">
        <f>AVERAGE('11.08 BUSUNJU-KAMPALA'!H39,'12.08 BUSUNJU-KAMPALA'!H39,'13.08 BUSUNJU-KAMPALA'!H39,'14.08 BUSUNJU-KAMPALA'!H39,'16.08 BUSUNJU-KAMPALA-24h'!H39,'17.08 BUSUNJU-KAMPALA-24h'!H39,'15.08 BUSUNJU-KAMPALA'!H39)</f>
        <v>0</v>
      </c>
      <c r="I39" s="49">
        <f>AVERAGE('11.08 BUSUNJU-KAMPALA'!I39,'12.08 BUSUNJU-KAMPALA'!I39,'13.08 BUSUNJU-KAMPALA'!I39,'14.08 BUSUNJU-KAMPALA'!I39,'16.08 BUSUNJU-KAMPALA-24h'!I39,'17.08 BUSUNJU-KAMPALA-24h'!I39,'15.08 BUSUNJU-KAMPALA'!I39)</f>
        <v>1.7142857142857142</v>
      </c>
      <c r="J39" s="49">
        <f>AVERAGE('11.08 BUSUNJU-KAMPALA'!J39,'12.08 BUSUNJU-KAMPALA'!J39,'13.08 BUSUNJU-KAMPALA'!J39,'14.08 BUSUNJU-KAMPALA'!J39,'16.08 BUSUNJU-KAMPALA-24h'!J39,'17.08 BUSUNJU-KAMPALA-24h'!J39,'15.08 BUSUNJU-KAMPALA'!J39)</f>
        <v>0</v>
      </c>
      <c r="K39" s="49">
        <f>AVERAGE('11.08 BUSUNJU-KAMPALA'!K39,'12.08 BUSUNJU-KAMPALA'!K39,'13.08 BUSUNJU-KAMPALA'!K39,'14.08 BUSUNJU-KAMPALA'!K39,'16.08 BUSUNJU-KAMPALA-24h'!K39,'17.08 BUSUNJU-KAMPALA-24h'!K39,'15.08 BUSUNJU-KAMPALA'!K39)</f>
        <v>0</v>
      </c>
      <c r="L39" s="49">
        <f>AVERAGE('11.08 BUSUNJU-KAMPALA'!L39,'12.08 BUSUNJU-KAMPALA'!L39,'13.08 BUSUNJU-KAMPALA'!L39,'14.08 BUSUNJU-KAMPALA'!L39,'16.08 BUSUNJU-KAMPALA-24h'!L39,'17.08 BUSUNJU-KAMPALA-24h'!L39,'15.08 BUSUNJU-KAMPALA'!L39)</f>
        <v>0</v>
      </c>
      <c r="M39" s="49">
        <f>AVERAGE('11.08 BUSUNJU-KAMPALA'!M39,'12.08 BUSUNJU-KAMPALA'!M39,'13.08 BUSUNJU-KAMPALA'!M39,'14.08 BUSUNJU-KAMPALA'!M39,'16.08 BUSUNJU-KAMPALA-24h'!M39,'17.08 BUSUNJU-KAMPALA-24h'!M39,'15.08 BUSUNJU-KAMPALA'!M39)</f>
        <v>13.857142857142858</v>
      </c>
      <c r="N39" s="49">
        <f>AVERAGE('11.08 BUSUNJU-KAMPALA'!N39,'12.08 BUSUNJU-KAMPALA'!N39,'13.08 BUSUNJU-KAMPALA'!N39,'14.08 BUSUNJU-KAMPALA'!N39,'16.08 BUSUNJU-KAMPALA-24h'!N39,'17.08 BUSUNJU-KAMPALA-24h'!N39,'15.08 BUSUNJU-KAMPALA'!N39)</f>
        <v>0</v>
      </c>
      <c r="O39" s="15">
        <f t="shared" si="0"/>
        <v>4.2857142857142856</v>
      </c>
      <c r="P39" s="15">
        <f t="shared" si="1"/>
        <v>18.142857142857142</v>
      </c>
      <c r="R39" s="29" t="s">
        <v>87</v>
      </c>
      <c r="S39" s="16">
        <f t="shared" ref="S39:AF39" si="31">SUM(S19:S21)</f>
        <v>15.571428571428573</v>
      </c>
      <c r="T39" s="16">
        <f t="shared" si="31"/>
        <v>2.1428571428571428</v>
      </c>
      <c r="U39" s="16">
        <f t="shared" si="31"/>
        <v>11.571428571428571</v>
      </c>
      <c r="V39" s="16">
        <f t="shared" si="31"/>
        <v>5.1428571428571423</v>
      </c>
      <c r="W39" s="16">
        <f t="shared" si="31"/>
        <v>0.5714285714285714</v>
      </c>
      <c r="X39" s="16">
        <f t="shared" si="31"/>
        <v>0</v>
      </c>
      <c r="Y39" s="16">
        <f t="shared" si="31"/>
        <v>12</v>
      </c>
      <c r="Z39" s="16">
        <f t="shared" si="31"/>
        <v>0.71428571428571419</v>
      </c>
      <c r="AA39" s="16">
        <f t="shared" si="31"/>
        <v>0</v>
      </c>
      <c r="AB39" s="16">
        <f t="shared" si="31"/>
        <v>0</v>
      </c>
      <c r="AC39" s="16">
        <f t="shared" si="31"/>
        <v>177</v>
      </c>
      <c r="AD39" s="16">
        <f t="shared" si="31"/>
        <v>0</v>
      </c>
      <c r="AE39" s="32">
        <f t="shared" si="31"/>
        <v>47.714285714285715</v>
      </c>
      <c r="AF39" s="32">
        <f t="shared" si="31"/>
        <v>224.71428571428572</v>
      </c>
    </row>
    <row r="40" spans="2:32" ht="23.1" customHeight="1" x14ac:dyDescent="0.25">
      <c r="B40" s="24" t="s">
        <v>67</v>
      </c>
      <c r="C40" s="49">
        <f>AVERAGE('11.08 BUSUNJU-KAMPALA'!C40,'12.08 BUSUNJU-KAMPALA'!C40,'13.08 BUSUNJU-KAMPALA'!C40,'14.08 BUSUNJU-KAMPALA'!C40,'16.08 BUSUNJU-KAMPALA-24h'!C40,'17.08 BUSUNJU-KAMPALA-24h'!C40,'15.08 BUSUNJU-KAMPALA'!C40)</f>
        <v>0.5714285714285714</v>
      </c>
      <c r="D40" s="49">
        <f>AVERAGE('11.08 BUSUNJU-KAMPALA'!D40,'12.08 BUSUNJU-KAMPALA'!D40,'13.08 BUSUNJU-KAMPALA'!D40,'14.08 BUSUNJU-KAMPALA'!D40,'16.08 BUSUNJU-KAMPALA-24h'!D40,'17.08 BUSUNJU-KAMPALA-24h'!D40,'15.08 BUSUNJU-KAMPALA'!D40)</f>
        <v>0</v>
      </c>
      <c r="E40" s="49">
        <f>AVERAGE('11.08 BUSUNJU-KAMPALA'!E40,'12.08 BUSUNJU-KAMPALA'!E40,'13.08 BUSUNJU-KAMPALA'!E40,'14.08 BUSUNJU-KAMPALA'!E40,'16.08 BUSUNJU-KAMPALA-24h'!E40,'17.08 BUSUNJU-KAMPALA-24h'!E40,'15.08 BUSUNJU-KAMPALA'!E40)</f>
        <v>0.14285714285714285</v>
      </c>
      <c r="F40" s="49">
        <f>AVERAGE('11.08 BUSUNJU-KAMPALA'!F40,'12.08 BUSUNJU-KAMPALA'!F40,'13.08 BUSUNJU-KAMPALA'!F40,'14.08 BUSUNJU-KAMPALA'!F40,'16.08 BUSUNJU-KAMPALA-24h'!F40,'17.08 BUSUNJU-KAMPALA-24h'!F40,'15.08 BUSUNJU-KAMPALA'!F40)</f>
        <v>0.14285714285714285</v>
      </c>
      <c r="G40" s="49">
        <f>AVERAGE('11.08 BUSUNJU-KAMPALA'!G40,'12.08 BUSUNJU-KAMPALA'!G40,'13.08 BUSUNJU-KAMPALA'!G40,'14.08 BUSUNJU-KAMPALA'!G40,'16.08 BUSUNJU-KAMPALA-24h'!G40,'17.08 BUSUNJU-KAMPALA-24h'!G40,'15.08 BUSUNJU-KAMPALA'!G40)</f>
        <v>0</v>
      </c>
      <c r="H40" s="49">
        <f>AVERAGE('11.08 BUSUNJU-KAMPALA'!H40,'12.08 BUSUNJU-KAMPALA'!H40,'13.08 BUSUNJU-KAMPALA'!H40,'14.08 BUSUNJU-KAMPALA'!H40,'16.08 BUSUNJU-KAMPALA-24h'!H40,'17.08 BUSUNJU-KAMPALA-24h'!H40,'15.08 BUSUNJU-KAMPALA'!H40)</f>
        <v>0</v>
      </c>
      <c r="I40" s="49">
        <f>AVERAGE('11.08 BUSUNJU-KAMPALA'!I40,'12.08 BUSUNJU-KAMPALA'!I40,'13.08 BUSUNJU-KAMPALA'!I40,'14.08 BUSUNJU-KAMPALA'!I40,'16.08 BUSUNJU-KAMPALA-24h'!I40,'17.08 BUSUNJU-KAMPALA-24h'!I40,'15.08 BUSUNJU-KAMPALA'!I40)</f>
        <v>0.8571428571428571</v>
      </c>
      <c r="J40" s="49">
        <f>AVERAGE('11.08 BUSUNJU-KAMPALA'!J40,'12.08 BUSUNJU-KAMPALA'!J40,'13.08 BUSUNJU-KAMPALA'!J40,'14.08 BUSUNJU-KAMPALA'!J40,'16.08 BUSUNJU-KAMPALA-24h'!J40,'17.08 BUSUNJU-KAMPALA-24h'!J40,'15.08 BUSUNJU-KAMPALA'!J40)</f>
        <v>0</v>
      </c>
      <c r="K40" s="49">
        <f>AVERAGE('11.08 BUSUNJU-KAMPALA'!K40,'12.08 BUSUNJU-KAMPALA'!K40,'13.08 BUSUNJU-KAMPALA'!K40,'14.08 BUSUNJU-KAMPALA'!K40,'16.08 BUSUNJU-KAMPALA-24h'!K40,'17.08 BUSUNJU-KAMPALA-24h'!K40,'15.08 BUSUNJU-KAMPALA'!K40)</f>
        <v>0</v>
      </c>
      <c r="L40" s="49">
        <f>AVERAGE('11.08 BUSUNJU-KAMPALA'!L40,'12.08 BUSUNJU-KAMPALA'!L40,'13.08 BUSUNJU-KAMPALA'!L40,'14.08 BUSUNJU-KAMPALA'!L40,'16.08 BUSUNJU-KAMPALA-24h'!L40,'17.08 BUSUNJU-KAMPALA-24h'!L40,'15.08 BUSUNJU-KAMPALA'!L40)</f>
        <v>0</v>
      </c>
      <c r="M40" s="49">
        <f>AVERAGE('11.08 BUSUNJU-KAMPALA'!M40,'12.08 BUSUNJU-KAMPALA'!M40,'13.08 BUSUNJU-KAMPALA'!M40,'14.08 BUSUNJU-KAMPALA'!M40,'16.08 BUSUNJU-KAMPALA-24h'!M40,'17.08 BUSUNJU-KAMPALA-24h'!M40,'15.08 BUSUNJU-KAMPALA'!M40)</f>
        <v>13</v>
      </c>
      <c r="N40" s="49">
        <f>AVERAGE('11.08 BUSUNJU-KAMPALA'!N40,'12.08 BUSUNJU-KAMPALA'!N40,'13.08 BUSUNJU-KAMPALA'!N40,'14.08 BUSUNJU-KAMPALA'!N40,'16.08 BUSUNJU-KAMPALA-24h'!N40,'17.08 BUSUNJU-KAMPALA-24h'!N40,'15.08 BUSUNJU-KAMPALA'!N40)</f>
        <v>0</v>
      </c>
      <c r="O40" s="15">
        <f t="shared" si="0"/>
        <v>1.714285714285714</v>
      </c>
      <c r="P40" s="15">
        <f t="shared" si="1"/>
        <v>14.714285714285714</v>
      </c>
      <c r="R40" s="5" t="s">
        <v>17</v>
      </c>
      <c r="S40" s="16">
        <f t="shared" ref="S40:AF40" si="32">SUM(S10:S21)</f>
        <v>48.571428571428577</v>
      </c>
      <c r="T40" s="16">
        <f t="shared" si="32"/>
        <v>7.8571428571428577</v>
      </c>
      <c r="U40" s="16">
        <f t="shared" si="32"/>
        <v>38.571428571428577</v>
      </c>
      <c r="V40" s="16">
        <f t="shared" si="32"/>
        <v>13</v>
      </c>
      <c r="W40" s="16">
        <f t="shared" si="32"/>
        <v>1.4285714285714284</v>
      </c>
      <c r="X40" s="16">
        <f t="shared" si="32"/>
        <v>0</v>
      </c>
      <c r="Y40" s="16">
        <f t="shared" si="32"/>
        <v>48.857142857142854</v>
      </c>
      <c r="Z40" s="16">
        <f t="shared" si="32"/>
        <v>4</v>
      </c>
      <c r="AA40" s="16">
        <f t="shared" si="32"/>
        <v>0.14285714285714285</v>
      </c>
      <c r="AB40" s="16">
        <f t="shared" si="32"/>
        <v>0</v>
      </c>
      <c r="AC40" s="16">
        <f t="shared" si="32"/>
        <v>677.85714285714289</v>
      </c>
      <c r="AD40" s="16">
        <f t="shared" si="32"/>
        <v>0</v>
      </c>
      <c r="AE40" s="32">
        <f t="shared" si="32"/>
        <v>162.42857142857144</v>
      </c>
      <c r="AF40" s="32">
        <f t="shared" si="32"/>
        <v>840.28571428571433</v>
      </c>
    </row>
    <row r="41" spans="2:32" ht="23.1" customHeight="1" x14ac:dyDescent="0.25">
      <c r="B41" s="23" t="s">
        <v>68</v>
      </c>
      <c r="C41" s="49">
        <f>AVERAGE('11.08 BUSUNJU-KAMPALA'!C41,'12.08 BUSUNJU-KAMPALA'!C41,'13.08 BUSUNJU-KAMPALA'!C41,'14.08 BUSUNJU-KAMPALA'!C41,'16.08 BUSUNJU-KAMPALA-24h'!C41,'17.08 BUSUNJU-KAMPALA-24h'!C41,'15.08 BUSUNJU-KAMPALA'!C41)</f>
        <v>2.1428571428571428</v>
      </c>
      <c r="D41" s="49">
        <f>AVERAGE('11.08 BUSUNJU-KAMPALA'!D41,'12.08 BUSUNJU-KAMPALA'!D41,'13.08 BUSUNJU-KAMPALA'!D41,'14.08 BUSUNJU-KAMPALA'!D41,'16.08 BUSUNJU-KAMPALA-24h'!D41,'17.08 BUSUNJU-KAMPALA-24h'!D41,'15.08 BUSUNJU-KAMPALA'!D41)</f>
        <v>0.42857142857142855</v>
      </c>
      <c r="E41" s="49">
        <f>AVERAGE('11.08 BUSUNJU-KAMPALA'!E41,'12.08 BUSUNJU-KAMPALA'!E41,'13.08 BUSUNJU-KAMPALA'!E41,'14.08 BUSUNJU-KAMPALA'!E41,'16.08 BUSUNJU-KAMPALA-24h'!E41,'17.08 BUSUNJU-KAMPALA-24h'!E41,'15.08 BUSUNJU-KAMPALA'!E41)</f>
        <v>0.42857142857142855</v>
      </c>
      <c r="F41" s="49">
        <f>AVERAGE('11.08 BUSUNJU-KAMPALA'!F41,'12.08 BUSUNJU-KAMPALA'!F41,'13.08 BUSUNJU-KAMPALA'!F41,'14.08 BUSUNJU-KAMPALA'!F41,'16.08 BUSUNJU-KAMPALA-24h'!F41,'17.08 BUSUNJU-KAMPALA-24h'!F41,'15.08 BUSUNJU-KAMPALA'!F41)</f>
        <v>0.14285714285714285</v>
      </c>
      <c r="G41" s="49">
        <f>AVERAGE('11.08 BUSUNJU-KAMPALA'!G41,'12.08 BUSUNJU-KAMPALA'!G41,'13.08 BUSUNJU-KAMPALA'!G41,'14.08 BUSUNJU-KAMPALA'!G41,'16.08 BUSUNJU-KAMPALA-24h'!G41,'17.08 BUSUNJU-KAMPALA-24h'!G41,'15.08 BUSUNJU-KAMPALA'!G41)</f>
        <v>0</v>
      </c>
      <c r="H41" s="49">
        <f>AVERAGE('11.08 BUSUNJU-KAMPALA'!H41,'12.08 BUSUNJU-KAMPALA'!H41,'13.08 BUSUNJU-KAMPALA'!H41,'14.08 BUSUNJU-KAMPALA'!H41,'16.08 BUSUNJU-KAMPALA-24h'!H41,'17.08 BUSUNJU-KAMPALA-24h'!H41,'15.08 BUSUNJU-KAMPALA'!H41)</f>
        <v>0</v>
      </c>
      <c r="I41" s="49">
        <f>AVERAGE('11.08 BUSUNJU-KAMPALA'!I41,'12.08 BUSUNJU-KAMPALA'!I41,'13.08 BUSUNJU-KAMPALA'!I41,'14.08 BUSUNJU-KAMPALA'!I41,'16.08 BUSUNJU-KAMPALA-24h'!I41,'17.08 BUSUNJU-KAMPALA-24h'!I41,'15.08 BUSUNJU-KAMPALA'!I41)</f>
        <v>0.8571428571428571</v>
      </c>
      <c r="J41" s="49">
        <f>AVERAGE('11.08 BUSUNJU-KAMPALA'!J41,'12.08 BUSUNJU-KAMPALA'!J41,'13.08 BUSUNJU-KAMPALA'!J41,'14.08 BUSUNJU-KAMPALA'!J41,'16.08 BUSUNJU-KAMPALA-24h'!J41,'17.08 BUSUNJU-KAMPALA-24h'!J41,'15.08 BUSUNJU-KAMPALA'!J41)</f>
        <v>0</v>
      </c>
      <c r="K41" s="49">
        <f>AVERAGE('11.08 BUSUNJU-KAMPALA'!K41,'12.08 BUSUNJU-KAMPALA'!K41,'13.08 BUSUNJU-KAMPALA'!K41,'14.08 BUSUNJU-KAMPALA'!K41,'16.08 BUSUNJU-KAMPALA-24h'!K41,'17.08 BUSUNJU-KAMPALA-24h'!K41,'15.08 BUSUNJU-KAMPALA'!K41)</f>
        <v>0</v>
      </c>
      <c r="L41" s="49">
        <f>AVERAGE('11.08 BUSUNJU-KAMPALA'!L41,'12.08 BUSUNJU-KAMPALA'!L41,'13.08 BUSUNJU-KAMPALA'!L41,'14.08 BUSUNJU-KAMPALA'!L41,'16.08 BUSUNJU-KAMPALA-24h'!L41,'17.08 BUSUNJU-KAMPALA-24h'!L41,'15.08 BUSUNJU-KAMPALA'!L41)</f>
        <v>0</v>
      </c>
      <c r="M41" s="49">
        <f>AVERAGE('11.08 BUSUNJU-KAMPALA'!M41,'12.08 BUSUNJU-KAMPALA'!M41,'13.08 BUSUNJU-KAMPALA'!M41,'14.08 BUSUNJU-KAMPALA'!M41,'16.08 BUSUNJU-KAMPALA-24h'!M41,'17.08 BUSUNJU-KAMPALA-24h'!M41,'15.08 BUSUNJU-KAMPALA'!M41)</f>
        <v>13.428571428571429</v>
      </c>
      <c r="N41" s="49">
        <f>AVERAGE('11.08 BUSUNJU-KAMPALA'!N41,'12.08 BUSUNJU-KAMPALA'!N41,'13.08 BUSUNJU-KAMPALA'!N41,'14.08 BUSUNJU-KAMPALA'!N41,'16.08 BUSUNJU-KAMPALA-24h'!N41,'17.08 BUSUNJU-KAMPALA-24h'!N41,'15.08 BUSUNJU-KAMPALA'!N41)</f>
        <v>0</v>
      </c>
      <c r="O41" s="15">
        <f t="shared" si="0"/>
        <v>3.9999999999999996</v>
      </c>
      <c r="P41" s="15">
        <f t="shared" si="1"/>
        <v>17.428571428571427</v>
      </c>
      <c r="R41" s="5" t="s">
        <v>175</v>
      </c>
      <c r="S41" s="16">
        <f>SUM(S10:S33)</f>
        <v>76.071428571428584</v>
      </c>
      <c r="T41" s="16">
        <f t="shared" ref="T41:AD41" si="33">SUM(T10:T33)</f>
        <v>7.8571428571428577</v>
      </c>
      <c r="U41" s="16">
        <f t="shared" si="33"/>
        <v>57.571428571428577</v>
      </c>
      <c r="V41" s="16">
        <f t="shared" si="33"/>
        <v>17</v>
      </c>
      <c r="W41" s="16">
        <f t="shared" si="33"/>
        <v>2.4285714285714284</v>
      </c>
      <c r="X41" s="16">
        <f t="shared" si="33"/>
        <v>0</v>
      </c>
      <c r="Y41" s="16">
        <f t="shared" si="33"/>
        <v>71.357142857142861</v>
      </c>
      <c r="Z41" s="16">
        <f t="shared" si="33"/>
        <v>4</v>
      </c>
      <c r="AA41" s="16">
        <f t="shared" si="33"/>
        <v>0.14285714285714285</v>
      </c>
      <c r="AB41" s="16">
        <f t="shared" si="33"/>
        <v>0</v>
      </c>
      <c r="AC41" s="16">
        <f t="shared" si="33"/>
        <v>990.35714285714289</v>
      </c>
      <c r="AD41" s="16">
        <f t="shared" si="33"/>
        <v>0</v>
      </c>
      <c r="AE41" s="32">
        <f>SUM(AE10:AE33)</f>
        <v>236.42857142857144</v>
      </c>
      <c r="AF41" s="32">
        <f>SUM(AF10:AF33)</f>
        <v>1226.7857142857142</v>
      </c>
    </row>
    <row r="42" spans="2:32" ht="23.1" customHeight="1" x14ac:dyDescent="0.25">
      <c r="B42" s="24" t="s">
        <v>69</v>
      </c>
      <c r="C42" s="49">
        <f>AVERAGE('11.08 BUSUNJU-KAMPALA'!C42,'12.08 BUSUNJU-KAMPALA'!C42,'13.08 BUSUNJU-KAMPALA'!C42,'14.08 BUSUNJU-KAMPALA'!C42,'16.08 BUSUNJU-KAMPALA-24h'!C42,'17.08 BUSUNJU-KAMPALA-24h'!C42,'15.08 BUSUNJU-KAMPALA'!C42)</f>
        <v>0.8571428571428571</v>
      </c>
      <c r="D42" s="49">
        <f>AVERAGE('11.08 BUSUNJU-KAMPALA'!D42,'12.08 BUSUNJU-KAMPALA'!D42,'13.08 BUSUNJU-KAMPALA'!D42,'14.08 BUSUNJU-KAMPALA'!D42,'16.08 BUSUNJU-KAMPALA-24h'!D42,'17.08 BUSUNJU-KAMPALA-24h'!D42,'15.08 BUSUNJU-KAMPALA'!D42)</f>
        <v>0.5714285714285714</v>
      </c>
      <c r="E42" s="49">
        <f>AVERAGE('11.08 BUSUNJU-KAMPALA'!E42,'12.08 BUSUNJU-KAMPALA'!E42,'13.08 BUSUNJU-KAMPALA'!E42,'14.08 BUSUNJU-KAMPALA'!E42,'16.08 BUSUNJU-KAMPALA-24h'!E42,'17.08 BUSUNJU-KAMPALA-24h'!E42,'15.08 BUSUNJU-KAMPALA'!E42)</f>
        <v>0.5714285714285714</v>
      </c>
      <c r="F42" s="49">
        <f>AVERAGE('11.08 BUSUNJU-KAMPALA'!F42,'12.08 BUSUNJU-KAMPALA'!F42,'13.08 BUSUNJU-KAMPALA'!F42,'14.08 BUSUNJU-KAMPALA'!F42,'16.08 BUSUNJU-KAMPALA-24h'!F42,'17.08 BUSUNJU-KAMPALA-24h'!F42,'15.08 BUSUNJU-KAMPALA'!F42)</f>
        <v>0.42857142857142855</v>
      </c>
      <c r="G42" s="49">
        <f>AVERAGE('11.08 BUSUNJU-KAMPALA'!G42,'12.08 BUSUNJU-KAMPALA'!G42,'13.08 BUSUNJU-KAMPALA'!G42,'14.08 BUSUNJU-KAMPALA'!G42,'16.08 BUSUNJU-KAMPALA-24h'!G42,'17.08 BUSUNJU-KAMPALA-24h'!G42,'15.08 BUSUNJU-KAMPALA'!G42)</f>
        <v>0</v>
      </c>
      <c r="H42" s="49">
        <f>AVERAGE('11.08 BUSUNJU-KAMPALA'!H42,'12.08 BUSUNJU-KAMPALA'!H42,'13.08 BUSUNJU-KAMPALA'!H42,'14.08 BUSUNJU-KAMPALA'!H42,'16.08 BUSUNJU-KAMPALA-24h'!H42,'17.08 BUSUNJU-KAMPALA-24h'!H42,'15.08 BUSUNJU-KAMPALA'!H42)</f>
        <v>0</v>
      </c>
      <c r="I42" s="49">
        <f>AVERAGE('11.08 BUSUNJU-KAMPALA'!I42,'12.08 BUSUNJU-KAMPALA'!I42,'13.08 BUSUNJU-KAMPALA'!I42,'14.08 BUSUNJU-KAMPALA'!I42,'16.08 BUSUNJU-KAMPALA-24h'!I42,'17.08 BUSUNJU-KAMPALA-24h'!I42,'15.08 BUSUNJU-KAMPALA'!I42)</f>
        <v>2</v>
      </c>
      <c r="J42" s="49">
        <f>AVERAGE('11.08 BUSUNJU-KAMPALA'!J42,'12.08 BUSUNJU-KAMPALA'!J42,'13.08 BUSUNJU-KAMPALA'!J42,'14.08 BUSUNJU-KAMPALA'!J42,'16.08 BUSUNJU-KAMPALA-24h'!J42,'17.08 BUSUNJU-KAMPALA-24h'!J42,'15.08 BUSUNJU-KAMPALA'!J42)</f>
        <v>0</v>
      </c>
      <c r="K42" s="49">
        <f>AVERAGE('11.08 BUSUNJU-KAMPALA'!K42,'12.08 BUSUNJU-KAMPALA'!K42,'13.08 BUSUNJU-KAMPALA'!K42,'14.08 BUSUNJU-KAMPALA'!K42,'16.08 BUSUNJU-KAMPALA-24h'!K42,'17.08 BUSUNJU-KAMPALA-24h'!K42,'15.08 BUSUNJU-KAMPALA'!K42)</f>
        <v>0</v>
      </c>
      <c r="L42" s="49">
        <f>AVERAGE('11.08 BUSUNJU-KAMPALA'!L42,'12.08 BUSUNJU-KAMPALA'!L42,'13.08 BUSUNJU-KAMPALA'!L42,'14.08 BUSUNJU-KAMPALA'!L42,'16.08 BUSUNJU-KAMPALA-24h'!L42,'17.08 BUSUNJU-KAMPALA-24h'!L42,'15.08 BUSUNJU-KAMPALA'!L42)</f>
        <v>0</v>
      </c>
      <c r="M42" s="49">
        <f>AVERAGE('11.08 BUSUNJU-KAMPALA'!M42,'12.08 BUSUNJU-KAMPALA'!M42,'13.08 BUSUNJU-KAMPALA'!M42,'14.08 BUSUNJU-KAMPALA'!M42,'16.08 BUSUNJU-KAMPALA-24h'!M42,'17.08 BUSUNJU-KAMPALA-24h'!M42,'15.08 BUSUNJU-KAMPALA'!M42)</f>
        <v>15.571428571428571</v>
      </c>
      <c r="N42" s="49">
        <f>AVERAGE('11.08 BUSUNJU-KAMPALA'!N42,'12.08 BUSUNJU-KAMPALA'!N42,'13.08 BUSUNJU-KAMPALA'!N42,'14.08 BUSUNJU-KAMPALA'!N42,'16.08 BUSUNJU-KAMPALA-24h'!N42,'17.08 BUSUNJU-KAMPALA-24h'!N42,'15.08 BUSUNJU-KAMPALA'!N42)</f>
        <v>0</v>
      </c>
      <c r="O42" s="15">
        <f t="shared" si="0"/>
        <v>4.4285714285714288</v>
      </c>
      <c r="P42" s="15">
        <f t="shared" si="1"/>
        <v>20</v>
      </c>
      <c r="R42" s="5" t="s">
        <v>160</v>
      </c>
      <c r="S42" s="48">
        <f>S41/S40</f>
        <v>1.5661764705882353</v>
      </c>
      <c r="T42" s="48">
        <f t="shared" ref="T42:AF42" si="34">T41/T40</f>
        <v>1</v>
      </c>
      <c r="U42" s="48">
        <f t="shared" si="34"/>
        <v>1.4925925925925925</v>
      </c>
      <c r="V42" s="48">
        <f t="shared" si="34"/>
        <v>1.3076923076923077</v>
      </c>
      <c r="W42" s="48">
        <f t="shared" si="34"/>
        <v>1.7000000000000002</v>
      </c>
      <c r="X42" s="48" t="e">
        <f t="shared" si="34"/>
        <v>#DIV/0!</v>
      </c>
      <c r="Y42" s="48">
        <f t="shared" si="34"/>
        <v>1.4605263157894739</v>
      </c>
      <c r="Z42" s="48">
        <f t="shared" si="34"/>
        <v>1</v>
      </c>
      <c r="AA42" s="48">
        <f t="shared" si="34"/>
        <v>1</v>
      </c>
      <c r="AB42" s="48" t="e">
        <f t="shared" si="34"/>
        <v>#DIV/0!</v>
      </c>
      <c r="AC42" s="48">
        <f t="shared" si="34"/>
        <v>1.4610115911485775</v>
      </c>
      <c r="AD42" s="48" t="e">
        <f t="shared" si="34"/>
        <v>#DIV/0!</v>
      </c>
      <c r="AE42" s="53">
        <f t="shared" si="34"/>
        <v>1.455584872471416</v>
      </c>
      <c r="AF42" s="53">
        <f t="shared" si="34"/>
        <v>1.4599625977558652</v>
      </c>
    </row>
    <row r="43" spans="2:32" ht="23.1" customHeight="1" x14ac:dyDescent="0.25">
      <c r="B43" s="23" t="s">
        <v>70</v>
      </c>
      <c r="C43" s="49">
        <f>AVERAGE('11.08 BUSUNJU-KAMPALA'!C43,'12.08 BUSUNJU-KAMPALA'!C43,'13.08 BUSUNJU-KAMPALA'!C43,'14.08 BUSUNJU-KAMPALA'!C43,'16.08 BUSUNJU-KAMPALA-24h'!C43,'17.08 BUSUNJU-KAMPALA-24h'!C43,'15.08 BUSUNJU-KAMPALA'!C43)</f>
        <v>0.42857142857142855</v>
      </c>
      <c r="D43" s="49">
        <f>AVERAGE('11.08 BUSUNJU-KAMPALA'!D43,'12.08 BUSUNJU-KAMPALA'!D43,'13.08 BUSUNJU-KAMPALA'!D43,'14.08 BUSUNJU-KAMPALA'!D43,'16.08 BUSUNJU-KAMPALA-24h'!D43,'17.08 BUSUNJU-KAMPALA-24h'!D43,'15.08 BUSUNJU-KAMPALA'!D43)</f>
        <v>0.2857142857142857</v>
      </c>
      <c r="E43" s="49">
        <f>AVERAGE('11.08 BUSUNJU-KAMPALA'!E43,'12.08 BUSUNJU-KAMPALA'!E43,'13.08 BUSUNJU-KAMPALA'!E43,'14.08 BUSUNJU-KAMPALA'!E43,'16.08 BUSUNJU-KAMPALA-24h'!E43,'17.08 BUSUNJU-KAMPALA-24h'!E43,'15.08 BUSUNJU-KAMPALA'!E43)</f>
        <v>1.1428571428571428</v>
      </c>
      <c r="F43" s="49">
        <f>AVERAGE('11.08 BUSUNJU-KAMPALA'!F43,'12.08 BUSUNJU-KAMPALA'!F43,'13.08 BUSUNJU-KAMPALA'!F43,'14.08 BUSUNJU-KAMPALA'!F43,'16.08 BUSUNJU-KAMPALA-24h'!F43,'17.08 BUSUNJU-KAMPALA-24h'!F43,'15.08 BUSUNJU-KAMPALA'!F43)</f>
        <v>0.2857142857142857</v>
      </c>
      <c r="G43" s="49">
        <f>AVERAGE('11.08 BUSUNJU-KAMPALA'!G43,'12.08 BUSUNJU-KAMPALA'!G43,'13.08 BUSUNJU-KAMPALA'!G43,'14.08 BUSUNJU-KAMPALA'!G43,'16.08 BUSUNJU-KAMPALA-24h'!G43,'17.08 BUSUNJU-KAMPALA-24h'!G43,'15.08 BUSUNJU-KAMPALA'!G43)</f>
        <v>0</v>
      </c>
      <c r="H43" s="49">
        <f>AVERAGE('11.08 BUSUNJU-KAMPALA'!H43,'12.08 BUSUNJU-KAMPALA'!H43,'13.08 BUSUNJU-KAMPALA'!H43,'14.08 BUSUNJU-KAMPALA'!H43,'16.08 BUSUNJU-KAMPALA-24h'!H43,'17.08 BUSUNJU-KAMPALA-24h'!H43,'15.08 BUSUNJU-KAMPALA'!H43)</f>
        <v>0</v>
      </c>
      <c r="I43" s="49">
        <f>AVERAGE('11.08 BUSUNJU-KAMPALA'!I43,'12.08 BUSUNJU-KAMPALA'!I43,'13.08 BUSUNJU-KAMPALA'!I43,'14.08 BUSUNJU-KAMPALA'!I43,'16.08 BUSUNJU-KAMPALA-24h'!I43,'17.08 BUSUNJU-KAMPALA-24h'!I43,'15.08 BUSUNJU-KAMPALA'!I43)</f>
        <v>1</v>
      </c>
      <c r="J43" s="49">
        <f>AVERAGE('11.08 BUSUNJU-KAMPALA'!J43,'12.08 BUSUNJU-KAMPALA'!J43,'13.08 BUSUNJU-KAMPALA'!J43,'14.08 BUSUNJU-KAMPALA'!J43,'16.08 BUSUNJU-KAMPALA-24h'!J43,'17.08 BUSUNJU-KAMPALA-24h'!J43,'15.08 BUSUNJU-KAMPALA'!J43)</f>
        <v>0</v>
      </c>
      <c r="K43" s="49">
        <f>AVERAGE('11.08 BUSUNJU-KAMPALA'!K43,'12.08 BUSUNJU-KAMPALA'!K43,'13.08 BUSUNJU-KAMPALA'!K43,'14.08 BUSUNJU-KAMPALA'!K43,'16.08 BUSUNJU-KAMPALA-24h'!K43,'17.08 BUSUNJU-KAMPALA-24h'!K43,'15.08 BUSUNJU-KAMPALA'!K43)</f>
        <v>0</v>
      </c>
      <c r="L43" s="49">
        <f>AVERAGE('11.08 BUSUNJU-KAMPALA'!L43,'12.08 BUSUNJU-KAMPALA'!L43,'13.08 BUSUNJU-KAMPALA'!L43,'14.08 BUSUNJU-KAMPALA'!L43,'16.08 BUSUNJU-KAMPALA-24h'!L43,'17.08 BUSUNJU-KAMPALA-24h'!L43,'15.08 BUSUNJU-KAMPALA'!L43)</f>
        <v>0</v>
      </c>
      <c r="M43" s="49">
        <f>AVERAGE('11.08 BUSUNJU-KAMPALA'!M43,'12.08 BUSUNJU-KAMPALA'!M43,'13.08 BUSUNJU-KAMPALA'!M43,'14.08 BUSUNJU-KAMPALA'!M43,'16.08 BUSUNJU-KAMPALA-24h'!M43,'17.08 BUSUNJU-KAMPALA-24h'!M43,'15.08 BUSUNJU-KAMPALA'!M43)</f>
        <v>13.714285714285714</v>
      </c>
      <c r="N43" s="49">
        <f>AVERAGE('11.08 BUSUNJU-KAMPALA'!N43,'12.08 BUSUNJU-KAMPALA'!N43,'13.08 BUSUNJU-KAMPALA'!N43,'14.08 BUSUNJU-KAMPALA'!N43,'16.08 BUSUNJU-KAMPALA-24h'!N43,'17.08 BUSUNJU-KAMPALA-24h'!N43,'15.08 BUSUNJU-KAMPALA'!N43)</f>
        <v>0</v>
      </c>
      <c r="O43" s="15">
        <f t="shared" si="0"/>
        <v>3.1428571428571428</v>
      </c>
      <c r="P43" s="15">
        <f t="shared" si="1"/>
        <v>16.857142857142858</v>
      </c>
    </row>
    <row r="44" spans="2:32" ht="23.1" customHeight="1" x14ac:dyDescent="0.25">
      <c r="B44" s="25" t="s">
        <v>71</v>
      </c>
      <c r="C44" s="49">
        <f>AVERAGE('11.08 BUSUNJU-KAMPALA'!C44,'12.08 BUSUNJU-KAMPALA'!C44,'13.08 BUSUNJU-KAMPALA'!C44,'14.08 BUSUNJU-KAMPALA'!C44,'16.08 BUSUNJU-KAMPALA-24h'!C44,'17.08 BUSUNJU-KAMPALA-24h'!C44,'15.08 BUSUNJU-KAMPALA'!C44)</f>
        <v>1.4285714285714286</v>
      </c>
      <c r="D44" s="49">
        <f>AVERAGE('11.08 BUSUNJU-KAMPALA'!D44,'12.08 BUSUNJU-KAMPALA'!D44,'13.08 BUSUNJU-KAMPALA'!D44,'14.08 BUSUNJU-KAMPALA'!D44,'16.08 BUSUNJU-KAMPALA-24h'!D44,'17.08 BUSUNJU-KAMPALA-24h'!D44,'15.08 BUSUNJU-KAMPALA'!D44)</f>
        <v>0.14285714285714285</v>
      </c>
      <c r="E44" s="49">
        <f>AVERAGE('11.08 BUSUNJU-KAMPALA'!E44,'12.08 BUSUNJU-KAMPALA'!E44,'13.08 BUSUNJU-KAMPALA'!E44,'14.08 BUSUNJU-KAMPALA'!E44,'16.08 BUSUNJU-KAMPALA-24h'!E44,'17.08 BUSUNJU-KAMPALA-24h'!E44,'15.08 BUSUNJU-KAMPALA'!E44)</f>
        <v>0.42857142857142855</v>
      </c>
      <c r="F44" s="49">
        <f>AVERAGE('11.08 BUSUNJU-KAMPALA'!F44,'12.08 BUSUNJU-KAMPALA'!F44,'13.08 BUSUNJU-KAMPALA'!F44,'14.08 BUSUNJU-KAMPALA'!F44,'16.08 BUSUNJU-KAMPALA-24h'!F44,'17.08 BUSUNJU-KAMPALA-24h'!F44,'15.08 BUSUNJU-KAMPALA'!F44)</f>
        <v>0</v>
      </c>
      <c r="G44" s="49">
        <f>AVERAGE('11.08 BUSUNJU-KAMPALA'!G44,'12.08 BUSUNJU-KAMPALA'!G44,'13.08 BUSUNJU-KAMPALA'!G44,'14.08 BUSUNJU-KAMPALA'!G44,'16.08 BUSUNJU-KAMPALA-24h'!G44,'17.08 BUSUNJU-KAMPALA-24h'!G44,'15.08 BUSUNJU-KAMPALA'!G44)</f>
        <v>0</v>
      </c>
      <c r="H44" s="49">
        <f>AVERAGE('11.08 BUSUNJU-KAMPALA'!H44,'12.08 BUSUNJU-KAMPALA'!H44,'13.08 BUSUNJU-KAMPALA'!H44,'14.08 BUSUNJU-KAMPALA'!H44,'16.08 BUSUNJU-KAMPALA-24h'!H44,'17.08 BUSUNJU-KAMPALA-24h'!H44,'15.08 BUSUNJU-KAMPALA'!H44)</f>
        <v>0</v>
      </c>
      <c r="I44" s="49">
        <f>AVERAGE('11.08 BUSUNJU-KAMPALA'!I44,'12.08 BUSUNJU-KAMPALA'!I44,'13.08 BUSUNJU-KAMPALA'!I44,'14.08 BUSUNJU-KAMPALA'!I44,'16.08 BUSUNJU-KAMPALA-24h'!I44,'17.08 BUSUNJU-KAMPALA-24h'!I44,'15.08 BUSUNJU-KAMPALA'!I44)</f>
        <v>1.4285714285714286</v>
      </c>
      <c r="J44" s="49">
        <f>AVERAGE('11.08 BUSUNJU-KAMPALA'!J44,'12.08 BUSUNJU-KAMPALA'!J44,'13.08 BUSUNJU-KAMPALA'!J44,'14.08 BUSUNJU-KAMPALA'!J44,'16.08 BUSUNJU-KAMPALA-24h'!J44,'17.08 BUSUNJU-KAMPALA-24h'!J44,'15.08 BUSUNJU-KAMPALA'!J44)</f>
        <v>0.14285714285714285</v>
      </c>
      <c r="K44" s="49">
        <f>AVERAGE('11.08 BUSUNJU-KAMPALA'!K44,'12.08 BUSUNJU-KAMPALA'!K44,'13.08 BUSUNJU-KAMPALA'!K44,'14.08 BUSUNJU-KAMPALA'!K44,'16.08 BUSUNJU-KAMPALA-24h'!K44,'17.08 BUSUNJU-KAMPALA-24h'!K44,'15.08 BUSUNJU-KAMPALA'!K44)</f>
        <v>0</v>
      </c>
      <c r="L44" s="49">
        <f>AVERAGE('11.08 BUSUNJU-KAMPALA'!L44,'12.08 BUSUNJU-KAMPALA'!L44,'13.08 BUSUNJU-KAMPALA'!L44,'14.08 BUSUNJU-KAMPALA'!L44,'16.08 BUSUNJU-KAMPALA-24h'!L44,'17.08 BUSUNJU-KAMPALA-24h'!L44,'15.08 BUSUNJU-KAMPALA'!L44)</f>
        <v>0</v>
      </c>
      <c r="M44" s="49">
        <f>AVERAGE('11.08 BUSUNJU-KAMPALA'!M44,'12.08 BUSUNJU-KAMPALA'!M44,'13.08 BUSUNJU-KAMPALA'!M44,'14.08 BUSUNJU-KAMPALA'!M44,'16.08 BUSUNJU-KAMPALA-24h'!M44,'17.08 BUSUNJU-KAMPALA-24h'!M44,'15.08 BUSUNJU-KAMPALA'!M44)</f>
        <v>12.571428571428571</v>
      </c>
      <c r="N44" s="49">
        <f>AVERAGE('11.08 BUSUNJU-KAMPALA'!N44,'12.08 BUSUNJU-KAMPALA'!N44,'13.08 BUSUNJU-KAMPALA'!N44,'14.08 BUSUNJU-KAMPALA'!N44,'16.08 BUSUNJU-KAMPALA-24h'!N44,'17.08 BUSUNJU-KAMPALA-24h'!N44,'15.08 BUSUNJU-KAMPALA'!N44)</f>
        <v>0</v>
      </c>
      <c r="O44" s="15">
        <f t="shared" si="0"/>
        <v>3.5714285714285716</v>
      </c>
      <c r="P44" s="15">
        <f t="shared" si="1"/>
        <v>16.142857142857142</v>
      </c>
    </row>
    <row r="45" spans="2:32" ht="23.1" customHeight="1" x14ac:dyDescent="0.25">
      <c r="B45" s="23" t="s">
        <v>72</v>
      </c>
      <c r="C45" s="49">
        <f>AVERAGE('11.08 BUSUNJU-KAMPALA'!C45,'12.08 BUSUNJU-KAMPALA'!C45,'13.08 BUSUNJU-KAMPALA'!C45,'14.08 BUSUNJU-KAMPALA'!C45,'16.08 BUSUNJU-KAMPALA-24h'!C45,'17.08 BUSUNJU-KAMPALA-24h'!C45,'15.08 BUSUNJU-KAMPALA'!C45)</f>
        <v>1.5714285714285714</v>
      </c>
      <c r="D45" s="49">
        <f>AVERAGE('11.08 BUSUNJU-KAMPALA'!D45,'12.08 BUSUNJU-KAMPALA'!D45,'13.08 BUSUNJU-KAMPALA'!D45,'14.08 BUSUNJU-KAMPALA'!D45,'16.08 BUSUNJU-KAMPALA-24h'!D45,'17.08 BUSUNJU-KAMPALA-24h'!D45,'15.08 BUSUNJU-KAMPALA'!D45)</f>
        <v>0</v>
      </c>
      <c r="E45" s="49">
        <f>AVERAGE('11.08 BUSUNJU-KAMPALA'!E45,'12.08 BUSUNJU-KAMPALA'!E45,'13.08 BUSUNJU-KAMPALA'!E45,'14.08 BUSUNJU-KAMPALA'!E45,'16.08 BUSUNJU-KAMPALA-24h'!E45,'17.08 BUSUNJU-KAMPALA-24h'!E45,'15.08 BUSUNJU-KAMPALA'!E45)</f>
        <v>1.7142857142857142</v>
      </c>
      <c r="F45" s="49">
        <f>AVERAGE('11.08 BUSUNJU-KAMPALA'!F45,'12.08 BUSUNJU-KAMPALA'!F45,'13.08 BUSUNJU-KAMPALA'!F45,'14.08 BUSUNJU-KAMPALA'!F45,'16.08 BUSUNJU-KAMPALA-24h'!F45,'17.08 BUSUNJU-KAMPALA-24h'!F45,'15.08 BUSUNJU-KAMPALA'!F45)</f>
        <v>0</v>
      </c>
      <c r="G45" s="49">
        <f>AVERAGE('11.08 BUSUNJU-KAMPALA'!G45,'12.08 BUSUNJU-KAMPALA'!G45,'13.08 BUSUNJU-KAMPALA'!G45,'14.08 BUSUNJU-KAMPALA'!G45,'16.08 BUSUNJU-KAMPALA-24h'!G45,'17.08 BUSUNJU-KAMPALA-24h'!G45,'15.08 BUSUNJU-KAMPALA'!G45)</f>
        <v>0</v>
      </c>
      <c r="H45" s="49">
        <f>AVERAGE('11.08 BUSUNJU-KAMPALA'!H45,'12.08 BUSUNJU-KAMPALA'!H45,'13.08 BUSUNJU-KAMPALA'!H45,'14.08 BUSUNJU-KAMPALA'!H45,'16.08 BUSUNJU-KAMPALA-24h'!H45,'17.08 BUSUNJU-KAMPALA-24h'!H45,'15.08 BUSUNJU-KAMPALA'!H45)</f>
        <v>0</v>
      </c>
      <c r="I45" s="49">
        <f>AVERAGE('11.08 BUSUNJU-KAMPALA'!I45,'12.08 BUSUNJU-KAMPALA'!I45,'13.08 BUSUNJU-KAMPALA'!I45,'14.08 BUSUNJU-KAMPALA'!I45,'16.08 BUSUNJU-KAMPALA-24h'!I45,'17.08 BUSUNJU-KAMPALA-24h'!I45,'15.08 BUSUNJU-KAMPALA'!I45)</f>
        <v>2.1428571428571428</v>
      </c>
      <c r="J45" s="49">
        <f>AVERAGE('11.08 BUSUNJU-KAMPALA'!J45,'12.08 BUSUNJU-KAMPALA'!J45,'13.08 BUSUNJU-KAMPALA'!J45,'14.08 BUSUNJU-KAMPALA'!J45,'16.08 BUSUNJU-KAMPALA-24h'!J45,'17.08 BUSUNJU-KAMPALA-24h'!J45,'15.08 BUSUNJU-KAMPALA'!J45)</f>
        <v>0</v>
      </c>
      <c r="K45" s="49">
        <f>AVERAGE('11.08 BUSUNJU-KAMPALA'!K45,'12.08 BUSUNJU-KAMPALA'!K45,'13.08 BUSUNJU-KAMPALA'!K45,'14.08 BUSUNJU-KAMPALA'!K45,'16.08 BUSUNJU-KAMPALA-24h'!K45,'17.08 BUSUNJU-KAMPALA-24h'!K45,'15.08 BUSUNJU-KAMPALA'!K45)</f>
        <v>0</v>
      </c>
      <c r="L45" s="49">
        <f>AVERAGE('11.08 BUSUNJU-KAMPALA'!L45,'12.08 BUSUNJU-KAMPALA'!L45,'13.08 BUSUNJU-KAMPALA'!L45,'14.08 BUSUNJU-KAMPALA'!L45,'16.08 BUSUNJU-KAMPALA-24h'!L45,'17.08 BUSUNJU-KAMPALA-24h'!L45,'15.08 BUSUNJU-KAMPALA'!L45)</f>
        <v>0</v>
      </c>
      <c r="M45" s="49">
        <f>AVERAGE('11.08 BUSUNJU-KAMPALA'!M45,'12.08 BUSUNJU-KAMPALA'!M45,'13.08 BUSUNJU-KAMPALA'!M45,'14.08 BUSUNJU-KAMPALA'!M45,'16.08 BUSUNJU-KAMPALA-24h'!M45,'17.08 BUSUNJU-KAMPALA-24h'!M45,'15.08 BUSUNJU-KAMPALA'!M45)</f>
        <v>10.428571428571429</v>
      </c>
      <c r="N45" s="49">
        <f>AVERAGE('11.08 BUSUNJU-KAMPALA'!N45,'12.08 BUSUNJU-KAMPALA'!N45,'13.08 BUSUNJU-KAMPALA'!N45,'14.08 BUSUNJU-KAMPALA'!N45,'16.08 BUSUNJU-KAMPALA-24h'!N45,'17.08 BUSUNJU-KAMPALA-24h'!N45,'15.08 BUSUNJU-KAMPALA'!N45)</f>
        <v>0</v>
      </c>
      <c r="O45" s="15">
        <f t="shared" si="0"/>
        <v>5.4285714285714288</v>
      </c>
      <c r="P45" s="15">
        <f t="shared" si="1"/>
        <v>15.857142857142858</v>
      </c>
    </row>
    <row r="46" spans="2:32" ht="23.1" customHeight="1" x14ac:dyDescent="0.25">
      <c r="B46" s="24" t="s">
        <v>73</v>
      </c>
      <c r="C46" s="49">
        <f>AVERAGE('11.08 BUSUNJU-KAMPALA'!C46,'12.08 BUSUNJU-KAMPALA'!C46,'13.08 BUSUNJU-KAMPALA'!C46,'14.08 BUSUNJU-KAMPALA'!C46,'16.08 BUSUNJU-KAMPALA-24h'!C46,'17.08 BUSUNJU-KAMPALA-24h'!C46,'15.08 BUSUNJU-KAMPALA'!C46)</f>
        <v>1.4285714285714286</v>
      </c>
      <c r="D46" s="49">
        <f>AVERAGE('11.08 BUSUNJU-KAMPALA'!D46,'12.08 BUSUNJU-KAMPALA'!D46,'13.08 BUSUNJU-KAMPALA'!D46,'14.08 BUSUNJU-KAMPALA'!D46,'16.08 BUSUNJU-KAMPALA-24h'!D46,'17.08 BUSUNJU-KAMPALA-24h'!D46,'15.08 BUSUNJU-KAMPALA'!D46)</f>
        <v>0</v>
      </c>
      <c r="E46" s="49">
        <f>AVERAGE('11.08 BUSUNJU-KAMPALA'!E46,'12.08 BUSUNJU-KAMPALA'!E46,'13.08 BUSUNJU-KAMPALA'!E46,'14.08 BUSUNJU-KAMPALA'!E46,'16.08 BUSUNJU-KAMPALA-24h'!E46,'17.08 BUSUNJU-KAMPALA-24h'!E46,'15.08 BUSUNJU-KAMPALA'!E46)</f>
        <v>1.1428571428571428</v>
      </c>
      <c r="F46" s="49">
        <f>AVERAGE('11.08 BUSUNJU-KAMPALA'!F46,'12.08 BUSUNJU-KAMPALA'!F46,'13.08 BUSUNJU-KAMPALA'!F46,'14.08 BUSUNJU-KAMPALA'!F46,'16.08 BUSUNJU-KAMPALA-24h'!F46,'17.08 BUSUNJU-KAMPALA-24h'!F46,'15.08 BUSUNJU-KAMPALA'!F46)</f>
        <v>0</v>
      </c>
      <c r="G46" s="49">
        <f>AVERAGE('11.08 BUSUNJU-KAMPALA'!G46,'12.08 BUSUNJU-KAMPALA'!G46,'13.08 BUSUNJU-KAMPALA'!G46,'14.08 BUSUNJU-KAMPALA'!G46,'16.08 BUSUNJU-KAMPALA-24h'!G46,'17.08 BUSUNJU-KAMPALA-24h'!G46,'15.08 BUSUNJU-KAMPALA'!G46)</f>
        <v>0</v>
      </c>
      <c r="H46" s="49">
        <f>AVERAGE('11.08 BUSUNJU-KAMPALA'!H46,'12.08 BUSUNJU-KAMPALA'!H46,'13.08 BUSUNJU-KAMPALA'!H46,'14.08 BUSUNJU-KAMPALA'!H46,'16.08 BUSUNJU-KAMPALA-24h'!H46,'17.08 BUSUNJU-KAMPALA-24h'!H46,'15.08 BUSUNJU-KAMPALA'!H46)</f>
        <v>0</v>
      </c>
      <c r="I46" s="49">
        <f>AVERAGE('11.08 BUSUNJU-KAMPALA'!I46,'12.08 BUSUNJU-KAMPALA'!I46,'13.08 BUSUNJU-KAMPALA'!I46,'14.08 BUSUNJU-KAMPALA'!I46,'16.08 BUSUNJU-KAMPALA-24h'!I46,'17.08 BUSUNJU-KAMPALA-24h'!I46,'15.08 BUSUNJU-KAMPALA'!I46)</f>
        <v>0.5714285714285714</v>
      </c>
      <c r="J46" s="49">
        <f>AVERAGE('11.08 BUSUNJU-KAMPALA'!J46,'12.08 BUSUNJU-KAMPALA'!J46,'13.08 BUSUNJU-KAMPALA'!J46,'14.08 BUSUNJU-KAMPALA'!J46,'16.08 BUSUNJU-KAMPALA-24h'!J46,'17.08 BUSUNJU-KAMPALA-24h'!J46,'15.08 BUSUNJU-KAMPALA'!J46)</f>
        <v>0</v>
      </c>
      <c r="K46" s="49">
        <f>AVERAGE('11.08 BUSUNJU-KAMPALA'!K46,'12.08 BUSUNJU-KAMPALA'!K46,'13.08 BUSUNJU-KAMPALA'!K46,'14.08 BUSUNJU-KAMPALA'!K46,'16.08 BUSUNJU-KAMPALA-24h'!K46,'17.08 BUSUNJU-KAMPALA-24h'!K46,'15.08 BUSUNJU-KAMPALA'!K46)</f>
        <v>0</v>
      </c>
      <c r="L46" s="49">
        <f>AVERAGE('11.08 BUSUNJU-KAMPALA'!L46,'12.08 BUSUNJU-KAMPALA'!L46,'13.08 BUSUNJU-KAMPALA'!L46,'14.08 BUSUNJU-KAMPALA'!L46,'16.08 BUSUNJU-KAMPALA-24h'!L46,'17.08 BUSUNJU-KAMPALA-24h'!L46,'15.08 BUSUNJU-KAMPALA'!L46)</f>
        <v>0</v>
      </c>
      <c r="M46" s="49">
        <f>AVERAGE('11.08 BUSUNJU-KAMPALA'!M46,'12.08 BUSUNJU-KAMPALA'!M46,'13.08 BUSUNJU-KAMPALA'!M46,'14.08 BUSUNJU-KAMPALA'!M46,'16.08 BUSUNJU-KAMPALA-24h'!M46,'17.08 BUSUNJU-KAMPALA-24h'!M46,'15.08 BUSUNJU-KAMPALA'!M46)</f>
        <v>14.857142857142858</v>
      </c>
      <c r="N46" s="49">
        <f>AVERAGE('11.08 BUSUNJU-KAMPALA'!N46,'12.08 BUSUNJU-KAMPALA'!N46,'13.08 BUSUNJU-KAMPALA'!N46,'14.08 BUSUNJU-KAMPALA'!N46,'16.08 BUSUNJU-KAMPALA-24h'!N46,'17.08 BUSUNJU-KAMPALA-24h'!N46,'15.08 BUSUNJU-KAMPALA'!N46)</f>
        <v>0</v>
      </c>
      <c r="O46" s="15">
        <f t="shared" si="0"/>
        <v>3.1428571428571423</v>
      </c>
      <c r="P46" s="15">
        <f t="shared" si="1"/>
        <v>18</v>
      </c>
      <c r="R46" s="8"/>
      <c r="T46"/>
    </row>
    <row r="47" spans="2:32" ht="23.1" customHeight="1" x14ac:dyDescent="0.25">
      <c r="B47" s="24" t="s">
        <v>74</v>
      </c>
      <c r="C47" s="49">
        <f>AVERAGE('11.08 BUSUNJU-KAMPALA'!C47,'12.08 BUSUNJU-KAMPALA'!C47,'13.08 BUSUNJU-KAMPALA'!C47,'14.08 BUSUNJU-KAMPALA'!C47,'16.08 BUSUNJU-KAMPALA-24h'!C47,'17.08 BUSUNJU-KAMPALA-24h'!C47,'15.08 BUSUNJU-KAMPALA'!C47)</f>
        <v>1.1428571428571428</v>
      </c>
      <c r="D47" s="49">
        <f>AVERAGE('11.08 BUSUNJU-KAMPALA'!D47,'12.08 BUSUNJU-KAMPALA'!D47,'13.08 BUSUNJU-KAMPALA'!D47,'14.08 BUSUNJU-KAMPALA'!D47,'16.08 BUSUNJU-KAMPALA-24h'!D47,'17.08 BUSUNJU-KAMPALA-24h'!D47,'15.08 BUSUNJU-KAMPALA'!D47)</f>
        <v>0.14285714285714285</v>
      </c>
      <c r="E47" s="49">
        <f>AVERAGE('11.08 BUSUNJU-KAMPALA'!E47,'12.08 BUSUNJU-KAMPALA'!E47,'13.08 BUSUNJU-KAMPALA'!E47,'14.08 BUSUNJU-KAMPALA'!E47,'16.08 BUSUNJU-KAMPALA-24h'!E47,'17.08 BUSUNJU-KAMPALA-24h'!E47,'15.08 BUSUNJU-KAMPALA'!E47)</f>
        <v>1.4285714285714286</v>
      </c>
      <c r="F47" s="49">
        <f>AVERAGE('11.08 BUSUNJU-KAMPALA'!F47,'12.08 BUSUNJU-KAMPALA'!F47,'13.08 BUSUNJU-KAMPALA'!F47,'14.08 BUSUNJU-KAMPALA'!F47,'16.08 BUSUNJU-KAMPALA-24h'!F47,'17.08 BUSUNJU-KAMPALA-24h'!F47,'15.08 BUSUNJU-KAMPALA'!F47)</f>
        <v>0.14285714285714285</v>
      </c>
      <c r="G47" s="49">
        <f>AVERAGE('11.08 BUSUNJU-KAMPALA'!G47,'12.08 BUSUNJU-KAMPALA'!G47,'13.08 BUSUNJU-KAMPALA'!G47,'14.08 BUSUNJU-KAMPALA'!G47,'16.08 BUSUNJU-KAMPALA-24h'!G47,'17.08 BUSUNJU-KAMPALA-24h'!G47,'15.08 BUSUNJU-KAMPALA'!G47)</f>
        <v>0</v>
      </c>
      <c r="H47" s="49">
        <f>AVERAGE('11.08 BUSUNJU-KAMPALA'!H47,'12.08 BUSUNJU-KAMPALA'!H47,'13.08 BUSUNJU-KAMPALA'!H47,'14.08 BUSUNJU-KAMPALA'!H47,'16.08 BUSUNJU-KAMPALA-24h'!H47,'17.08 BUSUNJU-KAMPALA-24h'!H47,'15.08 BUSUNJU-KAMPALA'!H47)</f>
        <v>0</v>
      </c>
      <c r="I47" s="49">
        <f>AVERAGE('11.08 BUSUNJU-KAMPALA'!I47,'12.08 BUSUNJU-KAMPALA'!I47,'13.08 BUSUNJU-KAMPALA'!I47,'14.08 BUSUNJU-KAMPALA'!I47,'16.08 BUSUNJU-KAMPALA-24h'!I47,'17.08 BUSUNJU-KAMPALA-24h'!I47,'15.08 BUSUNJU-KAMPALA'!I47)</f>
        <v>1</v>
      </c>
      <c r="J47" s="49">
        <f>AVERAGE('11.08 BUSUNJU-KAMPALA'!J47,'12.08 BUSUNJU-KAMPALA'!J47,'13.08 BUSUNJU-KAMPALA'!J47,'14.08 BUSUNJU-KAMPALA'!J47,'16.08 BUSUNJU-KAMPALA-24h'!J47,'17.08 BUSUNJU-KAMPALA-24h'!J47,'15.08 BUSUNJU-KAMPALA'!J47)</f>
        <v>0</v>
      </c>
      <c r="K47" s="49">
        <f>AVERAGE('11.08 BUSUNJU-KAMPALA'!K47,'12.08 BUSUNJU-KAMPALA'!K47,'13.08 BUSUNJU-KAMPALA'!K47,'14.08 BUSUNJU-KAMPALA'!K47,'16.08 BUSUNJU-KAMPALA-24h'!K47,'17.08 BUSUNJU-KAMPALA-24h'!K47,'15.08 BUSUNJU-KAMPALA'!K47)</f>
        <v>0</v>
      </c>
      <c r="L47" s="49">
        <f>AVERAGE('11.08 BUSUNJU-KAMPALA'!L47,'12.08 BUSUNJU-KAMPALA'!L47,'13.08 BUSUNJU-KAMPALA'!L47,'14.08 BUSUNJU-KAMPALA'!L47,'16.08 BUSUNJU-KAMPALA-24h'!L47,'17.08 BUSUNJU-KAMPALA-24h'!L47,'15.08 BUSUNJU-KAMPALA'!L47)</f>
        <v>0</v>
      </c>
      <c r="M47" s="49">
        <f>AVERAGE('11.08 BUSUNJU-KAMPALA'!M47,'12.08 BUSUNJU-KAMPALA'!M47,'13.08 BUSUNJU-KAMPALA'!M47,'14.08 BUSUNJU-KAMPALA'!M47,'16.08 BUSUNJU-KAMPALA-24h'!M47,'17.08 BUSUNJU-KAMPALA-24h'!M47,'15.08 BUSUNJU-KAMPALA'!M47)</f>
        <v>13.142857142857142</v>
      </c>
      <c r="N47" s="49">
        <f>AVERAGE('11.08 BUSUNJU-KAMPALA'!N47,'12.08 BUSUNJU-KAMPALA'!N47,'13.08 BUSUNJU-KAMPALA'!N47,'14.08 BUSUNJU-KAMPALA'!N47,'16.08 BUSUNJU-KAMPALA-24h'!N47,'17.08 BUSUNJU-KAMPALA-24h'!N47,'15.08 BUSUNJU-KAMPALA'!N47)</f>
        <v>0</v>
      </c>
      <c r="O47" s="15">
        <f t="shared" si="0"/>
        <v>3.8571428571428572</v>
      </c>
      <c r="P47" s="15">
        <f t="shared" si="1"/>
        <v>17</v>
      </c>
      <c r="R47" s="8"/>
      <c r="T47"/>
    </row>
    <row r="48" spans="2:32" ht="23.1" customHeight="1" x14ac:dyDescent="0.25">
      <c r="B48" s="24" t="s">
        <v>75</v>
      </c>
      <c r="C48" s="49">
        <f>AVERAGE('11.08 BUSUNJU-KAMPALA'!C48,'12.08 BUSUNJU-KAMPALA'!C48,'13.08 BUSUNJU-KAMPALA'!C48,'14.08 BUSUNJU-KAMPALA'!C48,'16.08 BUSUNJU-KAMPALA-24h'!C48,'17.08 BUSUNJU-KAMPALA-24h'!C48,'15.08 BUSUNJU-KAMPALA'!C48)</f>
        <v>1</v>
      </c>
      <c r="D48" s="49">
        <f>AVERAGE('11.08 BUSUNJU-KAMPALA'!D48,'12.08 BUSUNJU-KAMPALA'!D48,'13.08 BUSUNJU-KAMPALA'!D48,'14.08 BUSUNJU-KAMPALA'!D48,'16.08 BUSUNJU-KAMPALA-24h'!D48,'17.08 BUSUNJU-KAMPALA-24h'!D48,'15.08 BUSUNJU-KAMPALA'!D48)</f>
        <v>0.42857142857142855</v>
      </c>
      <c r="E48" s="49">
        <f>AVERAGE('11.08 BUSUNJU-KAMPALA'!E48,'12.08 BUSUNJU-KAMPALA'!E48,'13.08 BUSUNJU-KAMPALA'!E48,'14.08 BUSUNJU-KAMPALA'!E48,'16.08 BUSUNJU-KAMPALA-24h'!E48,'17.08 BUSUNJU-KAMPALA-24h'!E48,'15.08 BUSUNJU-KAMPALA'!E48)</f>
        <v>0.8571428571428571</v>
      </c>
      <c r="F48" s="49">
        <f>AVERAGE('11.08 BUSUNJU-KAMPALA'!F48,'12.08 BUSUNJU-KAMPALA'!F48,'13.08 BUSUNJU-KAMPALA'!F48,'14.08 BUSUNJU-KAMPALA'!F48,'16.08 BUSUNJU-KAMPALA-24h'!F48,'17.08 BUSUNJU-KAMPALA-24h'!F48,'15.08 BUSUNJU-KAMPALA'!F48)</f>
        <v>0.7142857142857143</v>
      </c>
      <c r="G48" s="49">
        <f>AVERAGE('11.08 BUSUNJU-KAMPALA'!G48,'12.08 BUSUNJU-KAMPALA'!G48,'13.08 BUSUNJU-KAMPALA'!G48,'14.08 BUSUNJU-KAMPALA'!G48,'16.08 BUSUNJU-KAMPALA-24h'!G48,'17.08 BUSUNJU-KAMPALA-24h'!G48,'15.08 BUSUNJU-KAMPALA'!G48)</f>
        <v>0</v>
      </c>
      <c r="H48" s="49">
        <f>AVERAGE('11.08 BUSUNJU-KAMPALA'!H48,'12.08 BUSUNJU-KAMPALA'!H48,'13.08 BUSUNJU-KAMPALA'!H48,'14.08 BUSUNJU-KAMPALA'!H48,'16.08 BUSUNJU-KAMPALA-24h'!H48,'17.08 BUSUNJU-KAMPALA-24h'!H48,'15.08 BUSUNJU-KAMPALA'!H48)</f>
        <v>0</v>
      </c>
      <c r="I48" s="49">
        <f>AVERAGE('11.08 BUSUNJU-KAMPALA'!I48,'12.08 BUSUNJU-KAMPALA'!I48,'13.08 BUSUNJU-KAMPALA'!I48,'14.08 BUSUNJU-KAMPALA'!I48,'16.08 BUSUNJU-KAMPALA-24h'!I48,'17.08 BUSUNJU-KAMPALA-24h'!I48,'15.08 BUSUNJU-KAMPALA'!I48)</f>
        <v>1.4285714285714286</v>
      </c>
      <c r="J48" s="49">
        <f>AVERAGE('11.08 BUSUNJU-KAMPALA'!J48,'12.08 BUSUNJU-KAMPALA'!J48,'13.08 BUSUNJU-KAMPALA'!J48,'14.08 BUSUNJU-KAMPALA'!J48,'16.08 BUSUNJU-KAMPALA-24h'!J48,'17.08 BUSUNJU-KAMPALA-24h'!J48,'15.08 BUSUNJU-KAMPALA'!J48)</f>
        <v>0.14285714285714285</v>
      </c>
      <c r="K48" s="49">
        <f>AVERAGE('11.08 BUSUNJU-KAMPALA'!K48,'12.08 BUSUNJU-KAMPALA'!K48,'13.08 BUSUNJU-KAMPALA'!K48,'14.08 BUSUNJU-KAMPALA'!K48,'16.08 BUSUNJU-KAMPALA-24h'!K48,'17.08 BUSUNJU-KAMPALA-24h'!K48,'15.08 BUSUNJU-KAMPALA'!K48)</f>
        <v>0</v>
      </c>
      <c r="L48" s="49">
        <f>AVERAGE('11.08 BUSUNJU-KAMPALA'!L48,'12.08 BUSUNJU-KAMPALA'!L48,'13.08 BUSUNJU-KAMPALA'!L48,'14.08 BUSUNJU-KAMPALA'!L48,'16.08 BUSUNJU-KAMPALA-24h'!L48,'17.08 BUSUNJU-KAMPALA-24h'!L48,'15.08 BUSUNJU-KAMPALA'!L48)</f>
        <v>0</v>
      </c>
      <c r="M48" s="49">
        <f>AVERAGE('11.08 BUSUNJU-KAMPALA'!M48,'12.08 BUSUNJU-KAMPALA'!M48,'13.08 BUSUNJU-KAMPALA'!M48,'14.08 BUSUNJU-KAMPALA'!M48,'16.08 BUSUNJU-KAMPALA-24h'!M48,'17.08 BUSUNJU-KAMPALA-24h'!M48,'15.08 BUSUNJU-KAMPALA'!M48)</f>
        <v>16.714285714285715</v>
      </c>
      <c r="N48" s="49">
        <f>AVERAGE('11.08 BUSUNJU-KAMPALA'!N48,'12.08 BUSUNJU-KAMPALA'!N48,'13.08 BUSUNJU-KAMPALA'!N48,'14.08 BUSUNJU-KAMPALA'!N48,'16.08 BUSUNJU-KAMPALA-24h'!N48,'17.08 BUSUNJU-KAMPALA-24h'!N48,'15.08 BUSUNJU-KAMPALA'!N48)</f>
        <v>0</v>
      </c>
      <c r="O48" s="15">
        <f t="shared" si="0"/>
        <v>4.5714285714285721</v>
      </c>
      <c r="P48" s="15">
        <f t="shared" si="1"/>
        <v>21.285714285714288</v>
      </c>
      <c r="R48" s="8"/>
      <c r="T48"/>
    </row>
    <row r="49" spans="2:20" ht="23.1" customHeight="1" x14ac:dyDescent="0.25">
      <c r="B49" s="23" t="s">
        <v>76</v>
      </c>
      <c r="C49" s="49">
        <f>AVERAGE('11.08 BUSUNJU-KAMPALA'!C49,'12.08 BUSUNJU-KAMPALA'!C49,'13.08 BUSUNJU-KAMPALA'!C49,'14.08 BUSUNJU-KAMPALA'!C49,'16.08 BUSUNJU-KAMPALA-24h'!C49,'17.08 BUSUNJU-KAMPALA-24h'!C49,'15.08 BUSUNJU-KAMPALA'!C49)</f>
        <v>1.4285714285714286</v>
      </c>
      <c r="D49" s="49">
        <f>AVERAGE('11.08 BUSUNJU-KAMPALA'!D49,'12.08 BUSUNJU-KAMPALA'!D49,'13.08 BUSUNJU-KAMPALA'!D49,'14.08 BUSUNJU-KAMPALA'!D49,'16.08 BUSUNJU-KAMPALA-24h'!D49,'17.08 BUSUNJU-KAMPALA-24h'!D49,'15.08 BUSUNJU-KAMPALA'!D49)</f>
        <v>0</v>
      </c>
      <c r="E49" s="49">
        <f>AVERAGE('11.08 BUSUNJU-KAMPALA'!E49,'12.08 BUSUNJU-KAMPALA'!E49,'13.08 BUSUNJU-KAMPALA'!E49,'14.08 BUSUNJU-KAMPALA'!E49,'16.08 BUSUNJU-KAMPALA-24h'!E49,'17.08 BUSUNJU-KAMPALA-24h'!E49,'15.08 BUSUNJU-KAMPALA'!E49)</f>
        <v>0.8571428571428571</v>
      </c>
      <c r="F49" s="49">
        <f>AVERAGE('11.08 BUSUNJU-KAMPALA'!F49,'12.08 BUSUNJU-KAMPALA'!F49,'13.08 BUSUNJU-KAMPALA'!F49,'14.08 BUSUNJU-KAMPALA'!F49,'16.08 BUSUNJU-KAMPALA-24h'!F49,'17.08 BUSUNJU-KAMPALA-24h'!F49,'15.08 BUSUNJU-KAMPALA'!F49)</f>
        <v>0.42857142857142855</v>
      </c>
      <c r="G49" s="49">
        <f>AVERAGE('11.08 BUSUNJU-KAMPALA'!G49,'12.08 BUSUNJU-KAMPALA'!G49,'13.08 BUSUNJU-KAMPALA'!G49,'14.08 BUSUNJU-KAMPALA'!G49,'16.08 BUSUNJU-KAMPALA-24h'!G49,'17.08 BUSUNJU-KAMPALA-24h'!G49,'15.08 BUSUNJU-KAMPALA'!G49)</f>
        <v>0</v>
      </c>
      <c r="H49" s="49">
        <f>AVERAGE('11.08 BUSUNJU-KAMPALA'!H49,'12.08 BUSUNJU-KAMPALA'!H49,'13.08 BUSUNJU-KAMPALA'!H49,'14.08 BUSUNJU-KAMPALA'!H49,'16.08 BUSUNJU-KAMPALA-24h'!H49,'17.08 BUSUNJU-KAMPALA-24h'!H49,'15.08 BUSUNJU-KAMPALA'!H49)</f>
        <v>0</v>
      </c>
      <c r="I49" s="49">
        <f>AVERAGE('11.08 BUSUNJU-KAMPALA'!I49,'12.08 BUSUNJU-KAMPALA'!I49,'13.08 BUSUNJU-KAMPALA'!I49,'14.08 BUSUNJU-KAMPALA'!I49,'16.08 BUSUNJU-KAMPALA-24h'!I49,'17.08 BUSUNJU-KAMPALA-24h'!I49,'15.08 BUSUNJU-KAMPALA'!I49)</f>
        <v>1</v>
      </c>
      <c r="J49" s="49">
        <f>AVERAGE('11.08 BUSUNJU-KAMPALA'!J49,'12.08 BUSUNJU-KAMPALA'!J49,'13.08 BUSUNJU-KAMPALA'!J49,'14.08 BUSUNJU-KAMPALA'!J49,'16.08 BUSUNJU-KAMPALA-24h'!J49,'17.08 BUSUNJU-KAMPALA-24h'!J49,'15.08 BUSUNJU-KAMPALA'!J49)</f>
        <v>0</v>
      </c>
      <c r="K49" s="49">
        <f>AVERAGE('11.08 BUSUNJU-KAMPALA'!K49,'12.08 BUSUNJU-KAMPALA'!K49,'13.08 BUSUNJU-KAMPALA'!K49,'14.08 BUSUNJU-KAMPALA'!K49,'16.08 BUSUNJU-KAMPALA-24h'!K49,'17.08 BUSUNJU-KAMPALA-24h'!K49,'15.08 BUSUNJU-KAMPALA'!K49)</f>
        <v>0</v>
      </c>
      <c r="L49" s="49">
        <f>AVERAGE('11.08 BUSUNJU-KAMPALA'!L49,'12.08 BUSUNJU-KAMPALA'!L49,'13.08 BUSUNJU-KAMPALA'!L49,'14.08 BUSUNJU-KAMPALA'!L49,'16.08 BUSUNJU-KAMPALA-24h'!L49,'17.08 BUSUNJU-KAMPALA-24h'!L49,'15.08 BUSUNJU-KAMPALA'!L49)</f>
        <v>0</v>
      </c>
      <c r="M49" s="49">
        <f>AVERAGE('11.08 BUSUNJU-KAMPALA'!M49,'12.08 BUSUNJU-KAMPALA'!M49,'13.08 BUSUNJU-KAMPALA'!M49,'14.08 BUSUNJU-KAMPALA'!M49,'16.08 BUSUNJU-KAMPALA-24h'!M49,'17.08 BUSUNJU-KAMPALA-24h'!M49,'15.08 BUSUNJU-KAMPALA'!M49)</f>
        <v>14.142857142857142</v>
      </c>
      <c r="N49" s="49">
        <f>AVERAGE('11.08 BUSUNJU-KAMPALA'!N49,'12.08 BUSUNJU-KAMPALA'!N49,'13.08 BUSUNJU-KAMPALA'!N49,'14.08 BUSUNJU-KAMPALA'!N49,'16.08 BUSUNJU-KAMPALA-24h'!N49,'17.08 BUSUNJU-KAMPALA-24h'!N49,'15.08 BUSUNJU-KAMPALA'!N49)</f>
        <v>0</v>
      </c>
      <c r="O49" s="15">
        <f t="shared" si="0"/>
        <v>3.714285714285714</v>
      </c>
      <c r="P49" s="15">
        <f t="shared" si="1"/>
        <v>17.857142857142858</v>
      </c>
      <c r="R49" s="8"/>
      <c r="T49"/>
    </row>
    <row r="50" spans="2:20" ht="23.1" customHeight="1" x14ac:dyDescent="0.25">
      <c r="B50" s="24" t="s">
        <v>77</v>
      </c>
      <c r="C50" s="49">
        <f>AVERAGE('11.08 BUSUNJU-KAMPALA'!C50,'12.08 BUSUNJU-KAMPALA'!C50,'13.08 BUSUNJU-KAMPALA'!C50,'14.08 BUSUNJU-KAMPALA'!C50,'16.08 BUSUNJU-KAMPALA-24h'!C50,'17.08 BUSUNJU-KAMPALA-24h'!C50,'15.08 BUSUNJU-KAMPALA'!C50)</f>
        <v>1.1428571428571428</v>
      </c>
      <c r="D50" s="49">
        <f>AVERAGE('11.08 BUSUNJU-KAMPALA'!D50,'12.08 BUSUNJU-KAMPALA'!D50,'13.08 BUSUNJU-KAMPALA'!D50,'14.08 BUSUNJU-KAMPALA'!D50,'16.08 BUSUNJU-KAMPALA-24h'!D50,'17.08 BUSUNJU-KAMPALA-24h'!D50,'15.08 BUSUNJU-KAMPALA'!D50)</f>
        <v>0</v>
      </c>
      <c r="E50" s="49">
        <f>AVERAGE('11.08 BUSUNJU-KAMPALA'!E50,'12.08 BUSUNJU-KAMPALA'!E50,'13.08 BUSUNJU-KAMPALA'!E50,'14.08 BUSUNJU-KAMPALA'!E50,'16.08 BUSUNJU-KAMPALA-24h'!E50,'17.08 BUSUNJU-KAMPALA-24h'!E50,'15.08 BUSUNJU-KAMPALA'!E50)</f>
        <v>1.1428571428571428</v>
      </c>
      <c r="F50" s="49">
        <f>AVERAGE('11.08 BUSUNJU-KAMPALA'!F50,'12.08 BUSUNJU-KAMPALA'!F50,'13.08 BUSUNJU-KAMPALA'!F50,'14.08 BUSUNJU-KAMPALA'!F50,'16.08 BUSUNJU-KAMPALA-24h'!F50,'17.08 BUSUNJU-KAMPALA-24h'!F50,'15.08 BUSUNJU-KAMPALA'!F50)</f>
        <v>0.42857142857142855</v>
      </c>
      <c r="G50" s="49">
        <f>AVERAGE('11.08 BUSUNJU-KAMPALA'!G50,'12.08 BUSUNJU-KAMPALA'!G50,'13.08 BUSUNJU-KAMPALA'!G50,'14.08 BUSUNJU-KAMPALA'!G50,'16.08 BUSUNJU-KAMPALA-24h'!G50,'17.08 BUSUNJU-KAMPALA-24h'!G50,'15.08 BUSUNJU-KAMPALA'!G50)</f>
        <v>0</v>
      </c>
      <c r="H50" s="49">
        <f>AVERAGE('11.08 BUSUNJU-KAMPALA'!H50,'12.08 BUSUNJU-KAMPALA'!H50,'13.08 BUSUNJU-KAMPALA'!H50,'14.08 BUSUNJU-KAMPALA'!H50,'16.08 BUSUNJU-KAMPALA-24h'!H50,'17.08 BUSUNJU-KAMPALA-24h'!H50,'15.08 BUSUNJU-KAMPALA'!H50)</f>
        <v>0</v>
      </c>
      <c r="I50" s="49">
        <f>AVERAGE('11.08 BUSUNJU-KAMPALA'!I50,'12.08 BUSUNJU-KAMPALA'!I50,'13.08 BUSUNJU-KAMPALA'!I50,'14.08 BUSUNJU-KAMPALA'!I50,'16.08 BUSUNJU-KAMPALA-24h'!I50,'17.08 BUSUNJU-KAMPALA-24h'!I50,'15.08 BUSUNJU-KAMPALA'!I50)</f>
        <v>1.1428571428571428</v>
      </c>
      <c r="J50" s="49">
        <f>AVERAGE('11.08 BUSUNJU-KAMPALA'!J50,'12.08 BUSUNJU-KAMPALA'!J50,'13.08 BUSUNJU-KAMPALA'!J50,'14.08 BUSUNJU-KAMPALA'!J50,'16.08 BUSUNJU-KAMPALA-24h'!J50,'17.08 BUSUNJU-KAMPALA-24h'!J50,'15.08 BUSUNJU-KAMPALA'!J50)</f>
        <v>0.2857142857142857</v>
      </c>
      <c r="K50" s="49">
        <f>AVERAGE('11.08 BUSUNJU-KAMPALA'!K50,'12.08 BUSUNJU-KAMPALA'!K50,'13.08 BUSUNJU-KAMPALA'!K50,'14.08 BUSUNJU-KAMPALA'!K50,'16.08 BUSUNJU-KAMPALA-24h'!K50,'17.08 BUSUNJU-KAMPALA-24h'!K50,'15.08 BUSUNJU-KAMPALA'!K50)</f>
        <v>0</v>
      </c>
      <c r="L50" s="49">
        <f>AVERAGE('11.08 BUSUNJU-KAMPALA'!L50,'12.08 BUSUNJU-KAMPALA'!L50,'13.08 BUSUNJU-KAMPALA'!L50,'14.08 BUSUNJU-KAMPALA'!L50,'16.08 BUSUNJU-KAMPALA-24h'!L50,'17.08 BUSUNJU-KAMPALA-24h'!L50,'15.08 BUSUNJU-KAMPALA'!L50)</f>
        <v>0</v>
      </c>
      <c r="M50" s="49">
        <f>AVERAGE('11.08 BUSUNJU-KAMPALA'!M50,'12.08 BUSUNJU-KAMPALA'!M50,'13.08 BUSUNJU-KAMPALA'!M50,'14.08 BUSUNJU-KAMPALA'!M50,'16.08 BUSUNJU-KAMPALA-24h'!M50,'17.08 BUSUNJU-KAMPALA-24h'!M50,'15.08 BUSUNJU-KAMPALA'!M50)</f>
        <v>16.285714285714285</v>
      </c>
      <c r="N50" s="49">
        <f>AVERAGE('11.08 BUSUNJU-KAMPALA'!N50,'12.08 BUSUNJU-KAMPALA'!N50,'13.08 BUSUNJU-KAMPALA'!N50,'14.08 BUSUNJU-KAMPALA'!N50,'16.08 BUSUNJU-KAMPALA-24h'!N50,'17.08 BUSUNJU-KAMPALA-24h'!N50,'15.08 BUSUNJU-KAMPALA'!N50)</f>
        <v>0</v>
      </c>
      <c r="O50" s="15">
        <f t="shared" si="0"/>
        <v>4.1428571428571423</v>
      </c>
      <c r="P50" s="15">
        <f t="shared" si="1"/>
        <v>20.428571428571427</v>
      </c>
      <c r="R50" s="8"/>
      <c r="T50"/>
    </row>
    <row r="51" spans="2:20" ht="23.1" customHeight="1" x14ac:dyDescent="0.25">
      <c r="B51" s="24" t="s">
        <v>78</v>
      </c>
      <c r="C51" s="49">
        <f>AVERAGE('11.08 BUSUNJU-KAMPALA'!C51,'12.08 BUSUNJU-KAMPALA'!C51,'13.08 BUSUNJU-KAMPALA'!C51,'14.08 BUSUNJU-KAMPALA'!C51,'16.08 BUSUNJU-KAMPALA-24h'!C51,'17.08 BUSUNJU-KAMPALA-24h'!C51,'15.08 BUSUNJU-KAMPALA'!C51)</f>
        <v>0.8571428571428571</v>
      </c>
      <c r="D51" s="49">
        <f>AVERAGE('11.08 BUSUNJU-KAMPALA'!D51,'12.08 BUSUNJU-KAMPALA'!D51,'13.08 BUSUNJU-KAMPALA'!D51,'14.08 BUSUNJU-KAMPALA'!D51,'16.08 BUSUNJU-KAMPALA-24h'!D51,'17.08 BUSUNJU-KAMPALA-24h'!D51,'15.08 BUSUNJU-KAMPALA'!D51)</f>
        <v>0</v>
      </c>
      <c r="E51" s="49">
        <f>AVERAGE('11.08 BUSUNJU-KAMPALA'!E51,'12.08 BUSUNJU-KAMPALA'!E51,'13.08 BUSUNJU-KAMPALA'!E51,'14.08 BUSUNJU-KAMPALA'!E51,'16.08 BUSUNJU-KAMPALA-24h'!E51,'17.08 BUSUNJU-KAMPALA-24h'!E51,'15.08 BUSUNJU-KAMPALA'!E51)</f>
        <v>1.2857142857142858</v>
      </c>
      <c r="F51" s="49">
        <f>AVERAGE('11.08 BUSUNJU-KAMPALA'!F51,'12.08 BUSUNJU-KAMPALA'!F51,'13.08 BUSUNJU-KAMPALA'!F51,'14.08 BUSUNJU-KAMPALA'!F51,'16.08 BUSUNJU-KAMPALA-24h'!F51,'17.08 BUSUNJU-KAMPALA-24h'!F51,'15.08 BUSUNJU-KAMPALA'!F51)</f>
        <v>0</v>
      </c>
      <c r="G51" s="49">
        <f>AVERAGE('11.08 BUSUNJU-KAMPALA'!G51,'12.08 BUSUNJU-KAMPALA'!G51,'13.08 BUSUNJU-KAMPALA'!G51,'14.08 BUSUNJU-KAMPALA'!G51,'16.08 BUSUNJU-KAMPALA-24h'!G51,'17.08 BUSUNJU-KAMPALA-24h'!G51,'15.08 BUSUNJU-KAMPALA'!G51)</f>
        <v>0</v>
      </c>
      <c r="H51" s="49">
        <f>AVERAGE('11.08 BUSUNJU-KAMPALA'!H51,'12.08 BUSUNJU-KAMPALA'!H51,'13.08 BUSUNJU-KAMPALA'!H51,'14.08 BUSUNJU-KAMPALA'!H51,'16.08 BUSUNJU-KAMPALA-24h'!H51,'17.08 BUSUNJU-KAMPALA-24h'!H51,'15.08 BUSUNJU-KAMPALA'!H51)</f>
        <v>0</v>
      </c>
      <c r="I51" s="49">
        <f>AVERAGE('11.08 BUSUNJU-KAMPALA'!I51,'12.08 BUSUNJU-KAMPALA'!I51,'13.08 BUSUNJU-KAMPALA'!I51,'14.08 BUSUNJU-KAMPALA'!I51,'16.08 BUSUNJU-KAMPALA-24h'!I51,'17.08 BUSUNJU-KAMPALA-24h'!I51,'15.08 BUSUNJU-KAMPALA'!I51)</f>
        <v>1</v>
      </c>
      <c r="J51" s="49">
        <f>AVERAGE('11.08 BUSUNJU-KAMPALA'!J51,'12.08 BUSUNJU-KAMPALA'!J51,'13.08 BUSUNJU-KAMPALA'!J51,'14.08 BUSUNJU-KAMPALA'!J51,'16.08 BUSUNJU-KAMPALA-24h'!J51,'17.08 BUSUNJU-KAMPALA-24h'!J51,'15.08 BUSUNJU-KAMPALA'!J51)</f>
        <v>0.14285714285714285</v>
      </c>
      <c r="K51" s="49">
        <f>AVERAGE('11.08 BUSUNJU-KAMPALA'!K51,'12.08 BUSUNJU-KAMPALA'!K51,'13.08 BUSUNJU-KAMPALA'!K51,'14.08 BUSUNJU-KAMPALA'!K51,'16.08 BUSUNJU-KAMPALA-24h'!K51,'17.08 BUSUNJU-KAMPALA-24h'!K51,'15.08 BUSUNJU-KAMPALA'!K51)</f>
        <v>0</v>
      </c>
      <c r="L51" s="49">
        <f>AVERAGE('11.08 BUSUNJU-KAMPALA'!L51,'12.08 BUSUNJU-KAMPALA'!L51,'13.08 BUSUNJU-KAMPALA'!L51,'14.08 BUSUNJU-KAMPALA'!L51,'16.08 BUSUNJU-KAMPALA-24h'!L51,'17.08 BUSUNJU-KAMPALA-24h'!L51,'15.08 BUSUNJU-KAMPALA'!L51)</f>
        <v>0</v>
      </c>
      <c r="M51" s="49">
        <f>AVERAGE('11.08 BUSUNJU-KAMPALA'!M51,'12.08 BUSUNJU-KAMPALA'!M51,'13.08 BUSUNJU-KAMPALA'!M51,'14.08 BUSUNJU-KAMPALA'!M51,'16.08 BUSUNJU-KAMPALA-24h'!M51,'17.08 BUSUNJU-KAMPALA-24h'!M51,'15.08 BUSUNJU-KAMPALA'!M51)</f>
        <v>15.571428571428571</v>
      </c>
      <c r="N51" s="49">
        <f>AVERAGE('11.08 BUSUNJU-KAMPALA'!N51,'12.08 BUSUNJU-KAMPALA'!N51,'13.08 BUSUNJU-KAMPALA'!N51,'14.08 BUSUNJU-KAMPALA'!N51,'16.08 BUSUNJU-KAMPALA-24h'!N51,'17.08 BUSUNJU-KAMPALA-24h'!N51,'15.08 BUSUNJU-KAMPALA'!N51)</f>
        <v>0</v>
      </c>
      <c r="O51" s="15">
        <f t="shared" si="0"/>
        <v>3.2857142857142856</v>
      </c>
      <c r="P51" s="15">
        <f t="shared" si="1"/>
        <v>18.857142857142858</v>
      </c>
      <c r="R51" s="8"/>
      <c r="T51"/>
    </row>
    <row r="52" spans="2:20" ht="23.1" customHeight="1" x14ac:dyDescent="0.25">
      <c r="B52" s="24" t="s">
        <v>79</v>
      </c>
      <c r="C52" s="49">
        <f>AVERAGE('11.08 BUSUNJU-KAMPALA'!C52,'12.08 BUSUNJU-KAMPALA'!C52,'13.08 BUSUNJU-KAMPALA'!C52,'14.08 BUSUNJU-KAMPALA'!C52,'16.08 BUSUNJU-KAMPALA-24h'!C52,'17.08 BUSUNJU-KAMPALA-24h'!C52,'15.08 BUSUNJU-KAMPALA'!C52)</f>
        <v>1.4285714285714286</v>
      </c>
      <c r="D52" s="49">
        <f>AVERAGE('11.08 BUSUNJU-KAMPALA'!D52,'12.08 BUSUNJU-KAMPALA'!D52,'13.08 BUSUNJU-KAMPALA'!D52,'14.08 BUSUNJU-KAMPALA'!D52,'16.08 BUSUNJU-KAMPALA-24h'!D52,'17.08 BUSUNJU-KAMPALA-24h'!D52,'15.08 BUSUNJU-KAMPALA'!D52)</f>
        <v>0.42857142857142855</v>
      </c>
      <c r="E52" s="49">
        <f>AVERAGE('11.08 BUSUNJU-KAMPALA'!E52,'12.08 BUSUNJU-KAMPALA'!E52,'13.08 BUSUNJU-KAMPALA'!E52,'14.08 BUSUNJU-KAMPALA'!E52,'16.08 BUSUNJU-KAMPALA-24h'!E52,'17.08 BUSUNJU-KAMPALA-24h'!E52,'15.08 BUSUNJU-KAMPALA'!E52)</f>
        <v>0.7142857142857143</v>
      </c>
      <c r="F52" s="49">
        <f>AVERAGE('11.08 BUSUNJU-KAMPALA'!F52,'12.08 BUSUNJU-KAMPALA'!F52,'13.08 BUSUNJU-KAMPALA'!F52,'14.08 BUSUNJU-KAMPALA'!F52,'16.08 BUSUNJU-KAMPALA-24h'!F52,'17.08 BUSUNJU-KAMPALA-24h'!F52,'15.08 BUSUNJU-KAMPALA'!F52)</f>
        <v>0.5714285714285714</v>
      </c>
      <c r="G52" s="49">
        <f>AVERAGE('11.08 BUSUNJU-KAMPALA'!G52,'12.08 BUSUNJU-KAMPALA'!G52,'13.08 BUSUNJU-KAMPALA'!G52,'14.08 BUSUNJU-KAMPALA'!G52,'16.08 BUSUNJU-KAMPALA-24h'!G52,'17.08 BUSUNJU-KAMPALA-24h'!G52,'15.08 BUSUNJU-KAMPALA'!G52)</f>
        <v>0</v>
      </c>
      <c r="H52" s="49">
        <f>AVERAGE('11.08 BUSUNJU-KAMPALA'!H52,'12.08 BUSUNJU-KAMPALA'!H52,'13.08 BUSUNJU-KAMPALA'!H52,'14.08 BUSUNJU-KAMPALA'!H52,'16.08 BUSUNJU-KAMPALA-24h'!H52,'17.08 BUSUNJU-KAMPALA-24h'!H52,'15.08 BUSUNJU-KAMPALA'!H52)</f>
        <v>0</v>
      </c>
      <c r="I52" s="49">
        <f>AVERAGE('11.08 BUSUNJU-KAMPALA'!I52,'12.08 BUSUNJU-KAMPALA'!I52,'13.08 BUSUNJU-KAMPALA'!I52,'14.08 BUSUNJU-KAMPALA'!I52,'16.08 BUSUNJU-KAMPALA-24h'!I52,'17.08 BUSUNJU-KAMPALA-24h'!I52,'15.08 BUSUNJU-KAMPALA'!I52)</f>
        <v>1</v>
      </c>
      <c r="J52" s="49">
        <f>AVERAGE('11.08 BUSUNJU-KAMPALA'!J52,'12.08 BUSUNJU-KAMPALA'!J52,'13.08 BUSUNJU-KAMPALA'!J52,'14.08 BUSUNJU-KAMPALA'!J52,'16.08 BUSUNJU-KAMPALA-24h'!J52,'17.08 BUSUNJU-KAMPALA-24h'!J52,'15.08 BUSUNJU-KAMPALA'!J52)</f>
        <v>0</v>
      </c>
      <c r="K52" s="49">
        <f>AVERAGE('11.08 BUSUNJU-KAMPALA'!K52,'12.08 BUSUNJU-KAMPALA'!K52,'13.08 BUSUNJU-KAMPALA'!K52,'14.08 BUSUNJU-KAMPALA'!K52,'16.08 BUSUNJU-KAMPALA-24h'!K52,'17.08 BUSUNJU-KAMPALA-24h'!K52,'15.08 BUSUNJU-KAMPALA'!K52)</f>
        <v>0</v>
      </c>
      <c r="L52" s="49">
        <f>AVERAGE('11.08 BUSUNJU-KAMPALA'!L52,'12.08 BUSUNJU-KAMPALA'!L52,'13.08 BUSUNJU-KAMPALA'!L52,'14.08 BUSUNJU-KAMPALA'!L52,'16.08 BUSUNJU-KAMPALA-24h'!L52,'17.08 BUSUNJU-KAMPALA-24h'!L52,'15.08 BUSUNJU-KAMPALA'!L52)</f>
        <v>0</v>
      </c>
      <c r="M52" s="49">
        <f>AVERAGE('11.08 BUSUNJU-KAMPALA'!M52,'12.08 BUSUNJU-KAMPALA'!M52,'13.08 BUSUNJU-KAMPALA'!M52,'14.08 BUSUNJU-KAMPALA'!M52,'16.08 BUSUNJU-KAMPALA-24h'!M52,'17.08 BUSUNJU-KAMPALA-24h'!M52,'15.08 BUSUNJU-KAMPALA'!M52)</f>
        <v>16.571428571428573</v>
      </c>
      <c r="N52" s="49">
        <f>AVERAGE('11.08 BUSUNJU-KAMPALA'!N52,'12.08 BUSUNJU-KAMPALA'!N52,'13.08 BUSUNJU-KAMPALA'!N52,'14.08 BUSUNJU-KAMPALA'!N52,'16.08 BUSUNJU-KAMPALA-24h'!N52,'17.08 BUSUNJU-KAMPALA-24h'!N52,'15.08 BUSUNJU-KAMPALA'!N52)</f>
        <v>0</v>
      </c>
      <c r="O52" s="15">
        <f t="shared" si="0"/>
        <v>4.1428571428571432</v>
      </c>
      <c r="P52" s="15">
        <f t="shared" si="1"/>
        <v>20.714285714285715</v>
      </c>
      <c r="R52" s="8"/>
      <c r="T52"/>
    </row>
    <row r="53" spans="2:20" ht="23.1" customHeight="1" x14ac:dyDescent="0.25">
      <c r="B53" s="23" t="s">
        <v>80</v>
      </c>
      <c r="C53" s="49">
        <f>AVERAGE('11.08 BUSUNJU-KAMPALA'!C53,'12.08 BUSUNJU-KAMPALA'!C53,'13.08 BUSUNJU-KAMPALA'!C53,'14.08 BUSUNJU-KAMPALA'!C53,'16.08 BUSUNJU-KAMPALA-24h'!C53,'17.08 BUSUNJU-KAMPALA-24h'!C53,'15.08 BUSUNJU-KAMPALA'!C53)</f>
        <v>1.4285714285714286</v>
      </c>
      <c r="D53" s="49">
        <f>AVERAGE('11.08 BUSUNJU-KAMPALA'!D53,'12.08 BUSUNJU-KAMPALA'!D53,'13.08 BUSUNJU-KAMPALA'!D53,'14.08 BUSUNJU-KAMPALA'!D53,'16.08 BUSUNJU-KAMPALA-24h'!D53,'17.08 BUSUNJU-KAMPALA-24h'!D53,'15.08 BUSUNJU-KAMPALA'!D53)</f>
        <v>0</v>
      </c>
      <c r="E53" s="49">
        <f>AVERAGE('11.08 BUSUNJU-KAMPALA'!E53,'12.08 BUSUNJU-KAMPALA'!E53,'13.08 BUSUNJU-KAMPALA'!E53,'14.08 BUSUNJU-KAMPALA'!E53,'16.08 BUSUNJU-KAMPALA-24h'!E53,'17.08 BUSUNJU-KAMPALA-24h'!E53,'15.08 BUSUNJU-KAMPALA'!E53)</f>
        <v>1</v>
      </c>
      <c r="F53" s="49">
        <f>AVERAGE('11.08 BUSUNJU-KAMPALA'!F53,'12.08 BUSUNJU-KAMPALA'!F53,'13.08 BUSUNJU-KAMPALA'!F53,'14.08 BUSUNJU-KAMPALA'!F53,'16.08 BUSUNJU-KAMPALA-24h'!F53,'17.08 BUSUNJU-KAMPALA-24h'!F53,'15.08 BUSUNJU-KAMPALA'!F53)</f>
        <v>0.7142857142857143</v>
      </c>
      <c r="G53" s="49">
        <f>AVERAGE('11.08 BUSUNJU-KAMPALA'!G53,'12.08 BUSUNJU-KAMPALA'!G53,'13.08 BUSUNJU-KAMPALA'!G53,'14.08 BUSUNJU-KAMPALA'!G53,'16.08 BUSUNJU-KAMPALA-24h'!G53,'17.08 BUSUNJU-KAMPALA-24h'!G53,'15.08 BUSUNJU-KAMPALA'!G53)</f>
        <v>0</v>
      </c>
      <c r="H53" s="49">
        <f>AVERAGE('11.08 BUSUNJU-KAMPALA'!H53,'12.08 BUSUNJU-KAMPALA'!H53,'13.08 BUSUNJU-KAMPALA'!H53,'14.08 BUSUNJU-KAMPALA'!H53,'16.08 BUSUNJU-KAMPALA-24h'!H53,'17.08 BUSUNJU-KAMPALA-24h'!H53,'15.08 BUSUNJU-KAMPALA'!H53)</f>
        <v>0</v>
      </c>
      <c r="I53" s="49">
        <f>AVERAGE('11.08 BUSUNJU-KAMPALA'!I53,'12.08 BUSUNJU-KAMPALA'!I53,'13.08 BUSUNJU-KAMPALA'!I53,'14.08 BUSUNJU-KAMPALA'!I53,'16.08 BUSUNJU-KAMPALA-24h'!I53,'17.08 BUSUNJU-KAMPALA-24h'!I53,'15.08 BUSUNJU-KAMPALA'!I53)</f>
        <v>1.1428571428571428</v>
      </c>
      <c r="J53" s="49">
        <f>AVERAGE('11.08 BUSUNJU-KAMPALA'!J53,'12.08 BUSUNJU-KAMPALA'!J53,'13.08 BUSUNJU-KAMPALA'!J53,'14.08 BUSUNJU-KAMPALA'!J53,'16.08 BUSUNJU-KAMPALA-24h'!J53,'17.08 BUSUNJU-KAMPALA-24h'!J53,'15.08 BUSUNJU-KAMPALA'!J53)</f>
        <v>0</v>
      </c>
      <c r="K53" s="49">
        <f>AVERAGE('11.08 BUSUNJU-KAMPALA'!K53,'12.08 BUSUNJU-KAMPALA'!K53,'13.08 BUSUNJU-KAMPALA'!K53,'14.08 BUSUNJU-KAMPALA'!K53,'16.08 BUSUNJU-KAMPALA-24h'!K53,'17.08 BUSUNJU-KAMPALA-24h'!K53,'15.08 BUSUNJU-KAMPALA'!K53)</f>
        <v>0</v>
      </c>
      <c r="L53" s="49">
        <f>AVERAGE('11.08 BUSUNJU-KAMPALA'!L53,'12.08 BUSUNJU-KAMPALA'!L53,'13.08 BUSUNJU-KAMPALA'!L53,'14.08 BUSUNJU-KAMPALA'!L53,'16.08 BUSUNJU-KAMPALA-24h'!L53,'17.08 BUSUNJU-KAMPALA-24h'!L53,'15.08 BUSUNJU-KAMPALA'!L53)</f>
        <v>0</v>
      </c>
      <c r="M53" s="49">
        <f>AVERAGE('11.08 BUSUNJU-KAMPALA'!M53,'12.08 BUSUNJU-KAMPALA'!M53,'13.08 BUSUNJU-KAMPALA'!M53,'14.08 BUSUNJU-KAMPALA'!M53,'16.08 BUSUNJU-KAMPALA-24h'!M53,'17.08 BUSUNJU-KAMPALA-24h'!M53,'15.08 BUSUNJU-KAMPALA'!M53)</f>
        <v>11.857142857142858</v>
      </c>
      <c r="N53" s="49">
        <f>AVERAGE('11.08 BUSUNJU-KAMPALA'!N53,'12.08 BUSUNJU-KAMPALA'!N53,'13.08 BUSUNJU-KAMPALA'!N53,'14.08 BUSUNJU-KAMPALA'!N53,'16.08 BUSUNJU-KAMPALA-24h'!N53,'17.08 BUSUNJU-KAMPALA-24h'!N53,'15.08 BUSUNJU-KAMPALA'!N53)</f>
        <v>0</v>
      </c>
      <c r="O53" s="15">
        <f t="shared" si="0"/>
        <v>4.2857142857142865</v>
      </c>
      <c r="P53" s="15">
        <f t="shared" si="1"/>
        <v>16.142857142857146</v>
      </c>
      <c r="R53" s="8"/>
      <c r="T53"/>
    </row>
    <row r="54" spans="2:20" ht="23.1" customHeight="1" x14ac:dyDescent="0.25">
      <c r="B54" s="23" t="s">
        <v>81</v>
      </c>
      <c r="C54" s="49">
        <f>AVERAGE('11.08 BUSUNJU-KAMPALA'!C54,'12.08 BUSUNJU-KAMPALA'!C54,'13.08 BUSUNJU-KAMPALA'!C54,'14.08 BUSUNJU-KAMPALA'!C54,'16.08 BUSUNJU-KAMPALA-24h'!C54,'17.08 BUSUNJU-KAMPALA-24h'!C54,'15.08 BUSUNJU-KAMPALA'!C54)</f>
        <v>1</v>
      </c>
      <c r="D54" s="49">
        <f>AVERAGE('11.08 BUSUNJU-KAMPALA'!D54,'12.08 BUSUNJU-KAMPALA'!D54,'13.08 BUSUNJU-KAMPALA'!D54,'14.08 BUSUNJU-KAMPALA'!D54,'16.08 BUSUNJU-KAMPALA-24h'!D54,'17.08 BUSUNJU-KAMPALA-24h'!D54,'15.08 BUSUNJU-KAMPALA'!D54)</f>
        <v>0.7142857142857143</v>
      </c>
      <c r="E54" s="49">
        <f>AVERAGE('11.08 BUSUNJU-KAMPALA'!E54,'12.08 BUSUNJU-KAMPALA'!E54,'13.08 BUSUNJU-KAMPALA'!E54,'14.08 BUSUNJU-KAMPALA'!E54,'16.08 BUSUNJU-KAMPALA-24h'!E54,'17.08 BUSUNJU-KAMPALA-24h'!E54,'15.08 BUSUNJU-KAMPALA'!E54)</f>
        <v>0.5714285714285714</v>
      </c>
      <c r="F54" s="49">
        <f>AVERAGE('11.08 BUSUNJU-KAMPALA'!F54,'12.08 BUSUNJU-KAMPALA'!F54,'13.08 BUSUNJU-KAMPALA'!F54,'14.08 BUSUNJU-KAMPALA'!F54,'16.08 BUSUNJU-KAMPALA-24h'!F54,'17.08 BUSUNJU-KAMPALA-24h'!F54,'15.08 BUSUNJU-KAMPALA'!F54)</f>
        <v>0.42857142857142855</v>
      </c>
      <c r="G54" s="49">
        <f>AVERAGE('11.08 BUSUNJU-KAMPALA'!G54,'12.08 BUSUNJU-KAMPALA'!G54,'13.08 BUSUNJU-KAMPALA'!G54,'14.08 BUSUNJU-KAMPALA'!G54,'16.08 BUSUNJU-KAMPALA-24h'!G54,'17.08 BUSUNJU-KAMPALA-24h'!G54,'15.08 BUSUNJU-KAMPALA'!G54)</f>
        <v>0.14285714285714285</v>
      </c>
      <c r="H54" s="49">
        <f>AVERAGE('11.08 BUSUNJU-KAMPALA'!H54,'12.08 BUSUNJU-KAMPALA'!H54,'13.08 BUSUNJU-KAMPALA'!H54,'14.08 BUSUNJU-KAMPALA'!H54,'16.08 BUSUNJU-KAMPALA-24h'!H54,'17.08 BUSUNJU-KAMPALA-24h'!H54,'15.08 BUSUNJU-KAMPALA'!H54)</f>
        <v>0</v>
      </c>
      <c r="I54" s="49">
        <f>AVERAGE('11.08 BUSUNJU-KAMPALA'!I54,'12.08 BUSUNJU-KAMPALA'!I54,'13.08 BUSUNJU-KAMPALA'!I54,'14.08 BUSUNJU-KAMPALA'!I54,'16.08 BUSUNJU-KAMPALA-24h'!I54,'17.08 BUSUNJU-KAMPALA-24h'!I54,'15.08 BUSUNJU-KAMPALA'!I54)</f>
        <v>0.7142857142857143</v>
      </c>
      <c r="J54" s="49">
        <f>AVERAGE('11.08 BUSUNJU-KAMPALA'!J54,'12.08 BUSUNJU-KAMPALA'!J54,'13.08 BUSUNJU-KAMPALA'!J54,'14.08 BUSUNJU-KAMPALA'!J54,'16.08 BUSUNJU-KAMPALA-24h'!J54,'17.08 BUSUNJU-KAMPALA-24h'!J54,'15.08 BUSUNJU-KAMPALA'!J54)</f>
        <v>0.14285714285714285</v>
      </c>
      <c r="K54" s="49">
        <f>AVERAGE('11.08 BUSUNJU-KAMPALA'!K54,'12.08 BUSUNJU-KAMPALA'!K54,'13.08 BUSUNJU-KAMPALA'!K54,'14.08 BUSUNJU-KAMPALA'!K54,'16.08 BUSUNJU-KAMPALA-24h'!K54,'17.08 BUSUNJU-KAMPALA-24h'!K54,'15.08 BUSUNJU-KAMPALA'!K54)</f>
        <v>0</v>
      </c>
      <c r="L54" s="49">
        <f>AVERAGE('11.08 BUSUNJU-KAMPALA'!L54,'12.08 BUSUNJU-KAMPALA'!L54,'13.08 BUSUNJU-KAMPALA'!L54,'14.08 BUSUNJU-KAMPALA'!L54,'16.08 BUSUNJU-KAMPALA-24h'!L54,'17.08 BUSUNJU-KAMPALA-24h'!L54,'15.08 BUSUNJU-KAMPALA'!L54)</f>
        <v>0</v>
      </c>
      <c r="M54" s="49">
        <f>AVERAGE('11.08 BUSUNJU-KAMPALA'!M54,'12.08 BUSUNJU-KAMPALA'!M54,'13.08 BUSUNJU-KAMPALA'!M54,'14.08 BUSUNJU-KAMPALA'!M54,'16.08 BUSUNJU-KAMPALA-24h'!M54,'17.08 BUSUNJU-KAMPALA-24h'!M54,'15.08 BUSUNJU-KAMPALA'!M54)</f>
        <v>16.571428571428573</v>
      </c>
      <c r="N54" s="49">
        <f>AVERAGE('11.08 BUSUNJU-KAMPALA'!N54,'12.08 BUSUNJU-KAMPALA'!N54,'13.08 BUSUNJU-KAMPALA'!N54,'14.08 BUSUNJU-KAMPALA'!N54,'16.08 BUSUNJU-KAMPALA-24h'!N54,'17.08 BUSUNJU-KAMPALA-24h'!N54,'15.08 BUSUNJU-KAMPALA'!N54)</f>
        <v>0</v>
      </c>
      <c r="O54" s="15">
        <f t="shared" si="0"/>
        <v>3.714285714285714</v>
      </c>
      <c r="P54" s="15">
        <f t="shared" si="1"/>
        <v>20.285714285714288</v>
      </c>
      <c r="R54" s="8"/>
      <c r="T54"/>
    </row>
    <row r="55" spans="2:20" ht="23.1" customHeight="1" x14ac:dyDescent="0.25">
      <c r="B55" s="23" t="s">
        <v>82</v>
      </c>
      <c r="C55" s="49">
        <f>AVERAGE('11.08 BUSUNJU-KAMPALA'!C55,'12.08 BUSUNJU-KAMPALA'!C55,'13.08 BUSUNJU-KAMPALA'!C55,'14.08 BUSUNJU-KAMPALA'!C55,'16.08 BUSUNJU-KAMPALA-24h'!C55,'17.08 BUSUNJU-KAMPALA-24h'!C55,'15.08 BUSUNJU-KAMPALA'!C55)</f>
        <v>1</v>
      </c>
      <c r="D55" s="49">
        <f>AVERAGE('11.08 BUSUNJU-KAMPALA'!D55,'12.08 BUSUNJU-KAMPALA'!D55,'13.08 BUSUNJU-KAMPALA'!D55,'14.08 BUSUNJU-KAMPALA'!D55,'16.08 BUSUNJU-KAMPALA-24h'!D55,'17.08 BUSUNJU-KAMPALA-24h'!D55,'15.08 BUSUNJU-KAMPALA'!D55)</f>
        <v>0.14285714285714285</v>
      </c>
      <c r="E55" s="49">
        <f>AVERAGE('11.08 BUSUNJU-KAMPALA'!E55,'12.08 BUSUNJU-KAMPALA'!E55,'13.08 BUSUNJU-KAMPALA'!E55,'14.08 BUSUNJU-KAMPALA'!E55,'16.08 BUSUNJU-KAMPALA-24h'!E55,'17.08 BUSUNJU-KAMPALA-24h'!E55,'15.08 BUSUNJU-KAMPALA'!E55)</f>
        <v>1.2857142857142858</v>
      </c>
      <c r="F55" s="49">
        <f>AVERAGE('11.08 BUSUNJU-KAMPALA'!F55,'12.08 BUSUNJU-KAMPALA'!F55,'13.08 BUSUNJU-KAMPALA'!F55,'14.08 BUSUNJU-KAMPALA'!F55,'16.08 BUSUNJU-KAMPALA-24h'!F55,'17.08 BUSUNJU-KAMPALA-24h'!F55,'15.08 BUSUNJU-KAMPALA'!F55)</f>
        <v>0.5714285714285714</v>
      </c>
      <c r="G55" s="49">
        <f>AVERAGE('11.08 BUSUNJU-KAMPALA'!G55,'12.08 BUSUNJU-KAMPALA'!G55,'13.08 BUSUNJU-KAMPALA'!G55,'14.08 BUSUNJU-KAMPALA'!G55,'16.08 BUSUNJU-KAMPALA-24h'!G55,'17.08 BUSUNJU-KAMPALA-24h'!G55,'15.08 BUSUNJU-KAMPALA'!G55)</f>
        <v>0.2857142857142857</v>
      </c>
      <c r="H55" s="49">
        <f>AVERAGE('11.08 BUSUNJU-KAMPALA'!H55,'12.08 BUSUNJU-KAMPALA'!H55,'13.08 BUSUNJU-KAMPALA'!H55,'14.08 BUSUNJU-KAMPALA'!H55,'16.08 BUSUNJU-KAMPALA-24h'!H55,'17.08 BUSUNJU-KAMPALA-24h'!H55,'15.08 BUSUNJU-KAMPALA'!H55)</f>
        <v>0</v>
      </c>
      <c r="I55" s="49">
        <f>AVERAGE('11.08 BUSUNJU-KAMPALA'!I55,'12.08 BUSUNJU-KAMPALA'!I55,'13.08 BUSUNJU-KAMPALA'!I55,'14.08 BUSUNJU-KAMPALA'!I55,'16.08 BUSUNJU-KAMPALA-24h'!I55,'17.08 BUSUNJU-KAMPALA-24h'!I55,'15.08 BUSUNJU-KAMPALA'!I55)</f>
        <v>0.7142857142857143</v>
      </c>
      <c r="J55" s="49">
        <f>AVERAGE('11.08 BUSUNJU-KAMPALA'!J55,'12.08 BUSUNJU-KAMPALA'!J55,'13.08 BUSUNJU-KAMPALA'!J55,'14.08 BUSUNJU-KAMPALA'!J55,'16.08 BUSUNJU-KAMPALA-24h'!J55,'17.08 BUSUNJU-KAMPALA-24h'!J55,'15.08 BUSUNJU-KAMPALA'!J55)</f>
        <v>0</v>
      </c>
      <c r="K55" s="49">
        <f>AVERAGE('11.08 BUSUNJU-KAMPALA'!K55,'12.08 BUSUNJU-KAMPALA'!K55,'13.08 BUSUNJU-KAMPALA'!K55,'14.08 BUSUNJU-KAMPALA'!K55,'16.08 BUSUNJU-KAMPALA-24h'!K55,'17.08 BUSUNJU-KAMPALA-24h'!K55,'15.08 BUSUNJU-KAMPALA'!K55)</f>
        <v>0</v>
      </c>
      <c r="L55" s="49">
        <f>AVERAGE('11.08 BUSUNJU-KAMPALA'!L55,'12.08 BUSUNJU-KAMPALA'!L55,'13.08 BUSUNJU-KAMPALA'!L55,'14.08 BUSUNJU-KAMPALA'!L55,'16.08 BUSUNJU-KAMPALA-24h'!L55,'17.08 BUSUNJU-KAMPALA-24h'!L55,'15.08 BUSUNJU-KAMPALA'!L55)</f>
        <v>0</v>
      </c>
      <c r="M55" s="49">
        <f>AVERAGE('11.08 BUSUNJU-KAMPALA'!M55,'12.08 BUSUNJU-KAMPALA'!M55,'13.08 BUSUNJU-KAMPALA'!M55,'14.08 BUSUNJU-KAMPALA'!M55,'16.08 BUSUNJU-KAMPALA-24h'!M55,'17.08 BUSUNJU-KAMPALA-24h'!M55,'15.08 BUSUNJU-KAMPALA'!M55)</f>
        <v>15.571428571428571</v>
      </c>
      <c r="N55" s="49">
        <f>AVERAGE('11.08 BUSUNJU-KAMPALA'!N55,'12.08 BUSUNJU-KAMPALA'!N55,'13.08 BUSUNJU-KAMPALA'!N55,'14.08 BUSUNJU-KAMPALA'!N55,'16.08 BUSUNJU-KAMPALA-24h'!N55,'17.08 BUSUNJU-KAMPALA-24h'!N55,'15.08 BUSUNJU-KAMPALA'!N55)</f>
        <v>0</v>
      </c>
      <c r="O55" s="15">
        <f t="shared" si="0"/>
        <v>4</v>
      </c>
      <c r="P55" s="15">
        <f t="shared" si="1"/>
        <v>19.571428571428569</v>
      </c>
      <c r="R55" s="8"/>
      <c r="T55"/>
    </row>
    <row r="56" spans="2:20" ht="23.1" customHeight="1" x14ac:dyDescent="0.25">
      <c r="B56" s="23" t="s">
        <v>83</v>
      </c>
      <c r="C56" s="49">
        <f>AVERAGE('11.08 BUSUNJU-KAMPALA'!C56,'12.08 BUSUNJU-KAMPALA'!C56,'13.08 BUSUNJU-KAMPALA'!C56,'14.08 BUSUNJU-KAMPALA'!C56,'16.08 BUSUNJU-KAMPALA-24h'!C56,'17.08 BUSUNJU-KAMPALA-24h'!C56,'15.08 BUSUNJU-KAMPALA'!C56)</f>
        <v>1.8571428571428572</v>
      </c>
      <c r="D56" s="49">
        <f>AVERAGE('11.08 BUSUNJU-KAMPALA'!D56,'12.08 BUSUNJU-KAMPALA'!D56,'13.08 BUSUNJU-KAMPALA'!D56,'14.08 BUSUNJU-KAMPALA'!D56,'16.08 BUSUNJU-KAMPALA-24h'!D56,'17.08 BUSUNJU-KAMPALA-24h'!D56,'15.08 BUSUNJU-KAMPALA'!D56)</f>
        <v>0.14285714285714285</v>
      </c>
      <c r="E56" s="49">
        <f>AVERAGE('11.08 BUSUNJU-KAMPALA'!E56,'12.08 BUSUNJU-KAMPALA'!E56,'13.08 BUSUNJU-KAMPALA'!E56,'14.08 BUSUNJU-KAMPALA'!E56,'16.08 BUSUNJU-KAMPALA-24h'!E56,'17.08 BUSUNJU-KAMPALA-24h'!E56,'15.08 BUSUNJU-KAMPALA'!E56)</f>
        <v>0.8571428571428571</v>
      </c>
      <c r="F56" s="49">
        <f>AVERAGE('11.08 BUSUNJU-KAMPALA'!F56,'12.08 BUSUNJU-KAMPALA'!F56,'13.08 BUSUNJU-KAMPALA'!F56,'14.08 BUSUNJU-KAMPALA'!F56,'16.08 BUSUNJU-KAMPALA-24h'!F56,'17.08 BUSUNJU-KAMPALA-24h'!F56,'15.08 BUSUNJU-KAMPALA'!F56)</f>
        <v>0.42857142857142855</v>
      </c>
      <c r="G56" s="49">
        <f>AVERAGE('11.08 BUSUNJU-KAMPALA'!G56,'12.08 BUSUNJU-KAMPALA'!G56,'13.08 BUSUNJU-KAMPALA'!G56,'14.08 BUSUNJU-KAMPALA'!G56,'16.08 BUSUNJU-KAMPALA-24h'!G56,'17.08 BUSUNJU-KAMPALA-24h'!G56,'15.08 BUSUNJU-KAMPALA'!G56)</f>
        <v>0.14285714285714285</v>
      </c>
      <c r="H56" s="49">
        <f>AVERAGE('11.08 BUSUNJU-KAMPALA'!H56,'12.08 BUSUNJU-KAMPALA'!H56,'13.08 BUSUNJU-KAMPALA'!H56,'14.08 BUSUNJU-KAMPALA'!H56,'16.08 BUSUNJU-KAMPALA-24h'!H56,'17.08 BUSUNJU-KAMPALA-24h'!H56,'15.08 BUSUNJU-KAMPALA'!H56)</f>
        <v>0</v>
      </c>
      <c r="I56" s="49">
        <f>AVERAGE('11.08 BUSUNJU-KAMPALA'!I56,'12.08 BUSUNJU-KAMPALA'!I56,'13.08 BUSUNJU-KAMPALA'!I56,'14.08 BUSUNJU-KAMPALA'!I56,'16.08 BUSUNJU-KAMPALA-24h'!I56,'17.08 BUSUNJU-KAMPALA-24h'!I56,'15.08 BUSUNJU-KAMPALA'!I56)</f>
        <v>1.5714285714285714</v>
      </c>
      <c r="J56" s="49">
        <f>AVERAGE('11.08 BUSUNJU-KAMPALA'!J56,'12.08 BUSUNJU-KAMPALA'!J56,'13.08 BUSUNJU-KAMPALA'!J56,'14.08 BUSUNJU-KAMPALA'!J56,'16.08 BUSUNJU-KAMPALA-24h'!J56,'17.08 BUSUNJU-KAMPALA-24h'!J56,'15.08 BUSUNJU-KAMPALA'!J56)</f>
        <v>0</v>
      </c>
      <c r="K56" s="49">
        <f>AVERAGE('11.08 BUSUNJU-KAMPALA'!K56,'12.08 BUSUNJU-KAMPALA'!K56,'13.08 BUSUNJU-KAMPALA'!K56,'14.08 BUSUNJU-KAMPALA'!K56,'16.08 BUSUNJU-KAMPALA-24h'!K56,'17.08 BUSUNJU-KAMPALA-24h'!K56,'15.08 BUSUNJU-KAMPALA'!K56)</f>
        <v>0</v>
      </c>
      <c r="L56" s="49">
        <f>AVERAGE('11.08 BUSUNJU-KAMPALA'!L56,'12.08 BUSUNJU-KAMPALA'!L56,'13.08 BUSUNJU-KAMPALA'!L56,'14.08 BUSUNJU-KAMPALA'!L56,'16.08 BUSUNJU-KAMPALA-24h'!L56,'17.08 BUSUNJU-KAMPALA-24h'!L56,'15.08 BUSUNJU-KAMPALA'!L56)</f>
        <v>0</v>
      </c>
      <c r="M56" s="49">
        <f>AVERAGE('11.08 BUSUNJU-KAMPALA'!M56,'12.08 BUSUNJU-KAMPALA'!M56,'13.08 BUSUNJU-KAMPALA'!M56,'14.08 BUSUNJU-KAMPALA'!M56,'16.08 BUSUNJU-KAMPALA-24h'!M56,'17.08 BUSUNJU-KAMPALA-24h'!M56,'15.08 BUSUNJU-KAMPALA'!M56)</f>
        <v>12.714285714285714</v>
      </c>
      <c r="N56" s="49">
        <f>AVERAGE('11.08 BUSUNJU-KAMPALA'!N56,'12.08 BUSUNJU-KAMPALA'!N56,'13.08 BUSUNJU-KAMPALA'!N56,'14.08 BUSUNJU-KAMPALA'!N56,'16.08 BUSUNJU-KAMPALA-24h'!N56,'17.08 BUSUNJU-KAMPALA-24h'!N56,'15.08 BUSUNJU-KAMPALA'!N56)</f>
        <v>0</v>
      </c>
      <c r="O56" s="15">
        <f t="shared" si="0"/>
        <v>5</v>
      </c>
      <c r="P56" s="15">
        <f t="shared" si="1"/>
        <v>17.714285714285715</v>
      </c>
      <c r="R56" s="8"/>
      <c r="T56"/>
    </row>
    <row r="57" spans="2:20" ht="23.1" customHeight="1" x14ac:dyDescent="0.25">
      <c r="B57" s="23" t="s">
        <v>84</v>
      </c>
      <c r="C57" s="49">
        <f>AVERAGE('11.08 BUSUNJU-KAMPALA'!C57,'12.08 BUSUNJU-KAMPALA'!C57,'13.08 BUSUNJU-KAMPALA'!C57,'14.08 BUSUNJU-KAMPALA'!C57,'16.08 BUSUNJU-KAMPALA-24h'!C57,'17.08 BUSUNJU-KAMPALA-24h'!C57,'15.08 BUSUNJU-KAMPALA'!C57)</f>
        <v>1.8571428571428572</v>
      </c>
      <c r="D57" s="49">
        <f>AVERAGE('11.08 BUSUNJU-KAMPALA'!D57,'12.08 BUSUNJU-KAMPALA'!D57,'13.08 BUSUNJU-KAMPALA'!D57,'14.08 BUSUNJU-KAMPALA'!D57,'16.08 BUSUNJU-KAMPALA-24h'!D57,'17.08 BUSUNJU-KAMPALA-24h'!D57,'15.08 BUSUNJU-KAMPALA'!D57)</f>
        <v>0.14285714285714285</v>
      </c>
      <c r="E57" s="49">
        <f>AVERAGE('11.08 BUSUNJU-KAMPALA'!E57,'12.08 BUSUNJU-KAMPALA'!E57,'13.08 BUSUNJU-KAMPALA'!E57,'14.08 BUSUNJU-KAMPALA'!E57,'16.08 BUSUNJU-KAMPALA-24h'!E57,'17.08 BUSUNJU-KAMPALA-24h'!E57,'15.08 BUSUNJU-KAMPALA'!E57)</f>
        <v>0.42857142857142855</v>
      </c>
      <c r="F57" s="49">
        <f>AVERAGE('11.08 BUSUNJU-KAMPALA'!F57,'12.08 BUSUNJU-KAMPALA'!F57,'13.08 BUSUNJU-KAMPALA'!F57,'14.08 BUSUNJU-KAMPALA'!F57,'16.08 BUSUNJU-KAMPALA-24h'!F57,'17.08 BUSUNJU-KAMPALA-24h'!F57,'15.08 BUSUNJU-KAMPALA'!F57)</f>
        <v>0.7142857142857143</v>
      </c>
      <c r="G57" s="49">
        <f>AVERAGE('11.08 BUSUNJU-KAMPALA'!G57,'12.08 BUSUNJU-KAMPALA'!G57,'13.08 BUSUNJU-KAMPALA'!G57,'14.08 BUSUNJU-KAMPALA'!G57,'16.08 BUSUNJU-KAMPALA-24h'!G57,'17.08 BUSUNJU-KAMPALA-24h'!G57,'15.08 BUSUNJU-KAMPALA'!G57)</f>
        <v>0</v>
      </c>
      <c r="H57" s="49">
        <f>AVERAGE('11.08 BUSUNJU-KAMPALA'!H57,'12.08 BUSUNJU-KAMPALA'!H57,'13.08 BUSUNJU-KAMPALA'!H57,'14.08 BUSUNJU-KAMPALA'!H57,'16.08 BUSUNJU-KAMPALA-24h'!H57,'17.08 BUSUNJU-KAMPALA-24h'!H57,'15.08 BUSUNJU-KAMPALA'!H57)</f>
        <v>0</v>
      </c>
      <c r="I57" s="49">
        <f>AVERAGE('11.08 BUSUNJU-KAMPALA'!I57,'12.08 BUSUNJU-KAMPALA'!I57,'13.08 BUSUNJU-KAMPALA'!I57,'14.08 BUSUNJU-KAMPALA'!I57,'16.08 BUSUNJU-KAMPALA-24h'!I57,'17.08 BUSUNJU-KAMPALA-24h'!I57,'15.08 BUSUNJU-KAMPALA'!I57)</f>
        <v>0.7142857142857143</v>
      </c>
      <c r="J57" s="49">
        <f>AVERAGE('11.08 BUSUNJU-KAMPALA'!J57,'12.08 BUSUNJU-KAMPALA'!J57,'13.08 BUSUNJU-KAMPALA'!J57,'14.08 BUSUNJU-KAMPALA'!J57,'16.08 BUSUNJU-KAMPALA-24h'!J57,'17.08 BUSUNJU-KAMPALA-24h'!J57,'15.08 BUSUNJU-KAMPALA'!J57)</f>
        <v>0</v>
      </c>
      <c r="K57" s="49">
        <f>AVERAGE('11.08 BUSUNJU-KAMPALA'!K57,'12.08 BUSUNJU-KAMPALA'!K57,'13.08 BUSUNJU-KAMPALA'!K57,'14.08 BUSUNJU-KAMPALA'!K57,'16.08 BUSUNJU-KAMPALA-24h'!K57,'17.08 BUSUNJU-KAMPALA-24h'!K57,'15.08 BUSUNJU-KAMPALA'!K57)</f>
        <v>0</v>
      </c>
      <c r="L57" s="49">
        <f>AVERAGE('11.08 BUSUNJU-KAMPALA'!L57,'12.08 BUSUNJU-KAMPALA'!L57,'13.08 BUSUNJU-KAMPALA'!L57,'14.08 BUSUNJU-KAMPALA'!L57,'16.08 BUSUNJU-KAMPALA-24h'!L57,'17.08 BUSUNJU-KAMPALA-24h'!L57,'15.08 BUSUNJU-KAMPALA'!L57)</f>
        <v>0</v>
      </c>
      <c r="M57" s="49">
        <f>AVERAGE('11.08 BUSUNJU-KAMPALA'!M57,'12.08 BUSUNJU-KAMPALA'!M57,'13.08 BUSUNJU-KAMPALA'!M57,'14.08 BUSUNJU-KAMPALA'!M57,'16.08 BUSUNJU-KAMPALA-24h'!M57,'17.08 BUSUNJU-KAMPALA-24h'!M57,'15.08 BUSUNJU-KAMPALA'!M57)</f>
        <v>13</v>
      </c>
      <c r="N57" s="49">
        <f>AVERAGE('11.08 BUSUNJU-KAMPALA'!N57,'12.08 BUSUNJU-KAMPALA'!N57,'13.08 BUSUNJU-KAMPALA'!N57,'14.08 BUSUNJU-KAMPALA'!N57,'16.08 BUSUNJU-KAMPALA-24h'!N57,'17.08 BUSUNJU-KAMPALA-24h'!N57,'15.08 BUSUNJU-KAMPALA'!N57)</f>
        <v>0</v>
      </c>
      <c r="O57" s="15">
        <f t="shared" si="0"/>
        <v>3.8571428571428572</v>
      </c>
      <c r="P57" s="15">
        <f t="shared" si="1"/>
        <v>16.857142857142858</v>
      </c>
      <c r="R57" s="8"/>
      <c r="T57"/>
    </row>
    <row r="58" spans="2:20" ht="23.1" customHeight="1" x14ac:dyDescent="0.25">
      <c r="B58" s="23" t="s">
        <v>99</v>
      </c>
      <c r="C58" s="49">
        <f>AVERAGE('16.08 BUSUNJU-KAMPALA-24h'!C58,'17.08 BUSUNJU-KAMPALA-24h'!C58)</f>
        <v>1</v>
      </c>
      <c r="D58" s="49">
        <f>AVERAGE('16.08 BUSUNJU-KAMPALA-24h'!D58,'17.08 BUSUNJU-KAMPALA-24h'!D58)</f>
        <v>0</v>
      </c>
      <c r="E58" s="49">
        <f>AVERAGE('16.08 BUSUNJU-KAMPALA-24h'!E58,'17.08 BUSUNJU-KAMPALA-24h'!E58)</f>
        <v>0</v>
      </c>
      <c r="F58" s="49">
        <f>AVERAGE('16.08 BUSUNJU-KAMPALA-24h'!F58,'17.08 BUSUNJU-KAMPALA-24h'!F58)</f>
        <v>0</v>
      </c>
      <c r="G58" s="49">
        <f>AVERAGE('16.08 BUSUNJU-KAMPALA-24h'!G58,'17.08 BUSUNJU-KAMPALA-24h'!G58)</f>
        <v>0</v>
      </c>
      <c r="H58" s="49">
        <f>AVERAGE('16.08 BUSUNJU-KAMPALA-24h'!H58,'17.08 BUSUNJU-KAMPALA-24h'!H58)</f>
        <v>0</v>
      </c>
      <c r="I58" s="49">
        <f>AVERAGE('16.08 BUSUNJU-KAMPALA-24h'!I58,'17.08 BUSUNJU-KAMPALA-24h'!I58)</f>
        <v>0</v>
      </c>
      <c r="J58" s="49">
        <f>AVERAGE('16.08 BUSUNJU-KAMPALA-24h'!J58,'17.08 BUSUNJU-KAMPALA-24h'!J58)</f>
        <v>0</v>
      </c>
      <c r="K58" s="49">
        <f>AVERAGE('16.08 BUSUNJU-KAMPALA-24h'!K58,'17.08 BUSUNJU-KAMPALA-24h'!K58)</f>
        <v>0</v>
      </c>
      <c r="L58" s="49">
        <f>AVERAGE('16.08 BUSUNJU-KAMPALA-24h'!L58,'17.08 BUSUNJU-KAMPALA-24h'!L58)</f>
        <v>0</v>
      </c>
      <c r="M58" s="49">
        <f>AVERAGE('16.08 BUSUNJU-KAMPALA-24h'!M58,'17.08 BUSUNJU-KAMPALA-24h'!M58)</f>
        <v>4.5</v>
      </c>
      <c r="N58" s="49">
        <f>AVERAGE('16.08 BUSUNJU-KAMPALA-24h'!N58,'17.08 BUSUNJU-KAMPALA-24h'!N58)</f>
        <v>0</v>
      </c>
      <c r="O58" s="15">
        <f t="shared" si="0"/>
        <v>1</v>
      </c>
      <c r="P58" s="15">
        <f t="shared" si="1"/>
        <v>5.5</v>
      </c>
      <c r="R58" s="8"/>
      <c r="T58"/>
    </row>
    <row r="59" spans="2:20" ht="23.1" customHeight="1" x14ac:dyDescent="0.25">
      <c r="B59" s="23" t="s">
        <v>100</v>
      </c>
      <c r="C59" s="49">
        <f>AVERAGE('16.08 BUSUNJU-KAMPALA-24h'!C59,'17.08 BUSUNJU-KAMPALA-24h'!C59)</f>
        <v>1</v>
      </c>
      <c r="D59" s="49">
        <f>AVERAGE('16.08 BUSUNJU-KAMPALA-24h'!D59,'17.08 BUSUNJU-KAMPALA-24h'!D59)</f>
        <v>0</v>
      </c>
      <c r="E59" s="49">
        <f>AVERAGE('16.08 BUSUNJU-KAMPALA-24h'!E59,'17.08 BUSUNJU-KAMPALA-24h'!E59)</f>
        <v>0</v>
      </c>
      <c r="F59" s="49">
        <f>AVERAGE('16.08 BUSUNJU-KAMPALA-24h'!F59,'17.08 BUSUNJU-KAMPALA-24h'!F59)</f>
        <v>0</v>
      </c>
      <c r="G59" s="49">
        <f>AVERAGE('16.08 BUSUNJU-KAMPALA-24h'!G59,'17.08 BUSUNJU-KAMPALA-24h'!G59)</f>
        <v>0</v>
      </c>
      <c r="H59" s="49">
        <f>AVERAGE('16.08 BUSUNJU-KAMPALA-24h'!H59,'17.08 BUSUNJU-KAMPALA-24h'!H59)</f>
        <v>0</v>
      </c>
      <c r="I59" s="49">
        <f>AVERAGE('16.08 BUSUNJU-KAMPALA-24h'!I59,'17.08 BUSUNJU-KAMPALA-24h'!I59)</f>
        <v>0</v>
      </c>
      <c r="J59" s="49">
        <f>AVERAGE('16.08 BUSUNJU-KAMPALA-24h'!J59,'17.08 BUSUNJU-KAMPALA-24h'!J59)</f>
        <v>0</v>
      </c>
      <c r="K59" s="49">
        <f>AVERAGE('16.08 BUSUNJU-KAMPALA-24h'!K59,'17.08 BUSUNJU-KAMPALA-24h'!K59)</f>
        <v>0</v>
      </c>
      <c r="L59" s="49">
        <f>AVERAGE('16.08 BUSUNJU-KAMPALA-24h'!L59,'17.08 BUSUNJU-KAMPALA-24h'!L59)</f>
        <v>0</v>
      </c>
      <c r="M59" s="49">
        <f>AVERAGE('16.08 BUSUNJU-KAMPALA-24h'!M59,'17.08 BUSUNJU-KAMPALA-24h'!M59)</f>
        <v>7.5</v>
      </c>
      <c r="N59" s="49">
        <f>AVERAGE('16.08 BUSUNJU-KAMPALA-24h'!N59,'17.08 BUSUNJU-KAMPALA-24h'!N59)</f>
        <v>0</v>
      </c>
      <c r="O59" s="15">
        <f t="shared" si="0"/>
        <v>1</v>
      </c>
      <c r="P59" s="15">
        <f t="shared" si="1"/>
        <v>8.5</v>
      </c>
      <c r="R59" s="8"/>
      <c r="T59"/>
    </row>
    <row r="60" spans="2:20" ht="23.1" customHeight="1" x14ac:dyDescent="0.25">
      <c r="B60" s="23" t="s">
        <v>101</v>
      </c>
      <c r="C60" s="49">
        <f>AVERAGE('16.08 BUSUNJU-KAMPALA-24h'!C60,'17.08 BUSUNJU-KAMPALA-24h'!C60)</f>
        <v>1</v>
      </c>
      <c r="D60" s="49">
        <f>AVERAGE('16.08 BUSUNJU-KAMPALA-24h'!D60,'17.08 BUSUNJU-KAMPALA-24h'!D60)</f>
        <v>0</v>
      </c>
      <c r="E60" s="49">
        <f>AVERAGE('16.08 BUSUNJU-KAMPALA-24h'!E60,'17.08 BUSUNJU-KAMPALA-24h'!E60)</f>
        <v>0</v>
      </c>
      <c r="F60" s="49">
        <f>AVERAGE('16.08 BUSUNJU-KAMPALA-24h'!F60,'17.08 BUSUNJU-KAMPALA-24h'!F60)</f>
        <v>0</v>
      </c>
      <c r="G60" s="49">
        <f>AVERAGE('16.08 BUSUNJU-KAMPALA-24h'!G60,'17.08 BUSUNJU-KAMPALA-24h'!G60)</f>
        <v>0</v>
      </c>
      <c r="H60" s="49">
        <f>AVERAGE('16.08 BUSUNJU-KAMPALA-24h'!H60,'17.08 BUSUNJU-KAMPALA-24h'!H60)</f>
        <v>0</v>
      </c>
      <c r="I60" s="49">
        <f>AVERAGE('16.08 BUSUNJU-KAMPALA-24h'!I60,'17.08 BUSUNJU-KAMPALA-24h'!I60)</f>
        <v>0</v>
      </c>
      <c r="J60" s="49">
        <f>AVERAGE('16.08 BUSUNJU-KAMPALA-24h'!J60,'17.08 BUSUNJU-KAMPALA-24h'!J60)</f>
        <v>0</v>
      </c>
      <c r="K60" s="49">
        <f>AVERAGE('16.08 BUSUNJU-KAMPALA-24h'!K60,'17.08 BUSUNJU-KAMPALA-24h'!K60)</f>
        <v>0</v>
      </c>
      <c r="L60" s="49">
        <f>AVERAGE('16.08 BUSUNJU-KAMPALA-24h'!L60,'17.08 BUSUNJU-KAMPALA-24h'!L60)</f>
        <v>0</v>
      </c>
      <c r="M60" s="49">
        <f>AVERAGE('16.08 BUSUNJU-KAMPALA-24h'!M60,'17.08 BUSUNJU-KAMPALA-24h'!M60)</f>
        <v>7</v>
      </c>
      <c r="N60" s="49">
        <f>AVERAGE('16.08 BUSUNJU-KAMPALA-24h'!N60,'17.08 BUSUNJU-KAMPALA-24h'!N60)</f>
        <v>0</v>
      </c>
      <c r="O60" s="15">
        <f t="shared" si="0"/>
        <v>1</v>
      </c>
      <c r="P60" s="15">
        <f t="shared" si="1"/>
        <v>8</v>
      </c>
      <c r="R60" s="8"/>
      <c r="T60"/>
    </row>
    <row r="61" spans="2:20" ht="23.1" customHeight="1" x14ac:dyDescent="0.25">
      <c r="B61" s="23" t="s">
        <v>102</v>
      </c>
      <c r="C61" s="49">
        <f>AVERAGE('16.08 BUSUNJU-KAMPALA-24h'!C61,'17.08 BUSUNJU-KAMPALA-24h'!C61)</f>
        <v>1</v>
      </c>
      <c r="D61" s="49">
        <f>AVERAGE('16.08 BUSUNJU-KAMPALA-24h'!D61,'17.08 BUSUNJU-KAMPALA-24h'!D61)</f>
        <v>0</v>
      </c>
      <c r="E61" s="49">
        <f>AVERAGE('16.08 BUSUNJU-KAMPALA-24h'!E61,'17.08 BUSUNJU-KAMPALA-24h'!E61)</f>
        <v>1</v>
      </c>
      <c r="F61" s="49">
        <f>AVERAGE('16.08 BUSUNJU-KAMPALA-24h'!F61,'17.08 BUSUNJU-KAMPALA-24h'!F61)</f>
        <v>0</v>
      </c>
      <c r="G61" s="49">
        <f>AVERAGE('16.08 BUSUNJU-KAMPALA-24h'!G61,'17.08 BUSUNJU-KAMPALA-24h'!G61)</f>
        <v>0</v>
      </c>
      <c r="H61" s="49">
        <f>AVERAGE('16.08 BUSUNJU-KAMPALA-24h'!H61,'17.08 BUSUNJU-KAMPALA-24h'!H61)</f>
        <v>0</v>
      </c>
      <c r="I61" s="49">
        <f>AVERAGE('16.08 BUSUNJU-KAMPALA-24h'!I61,'17.08 BUSUNJU-KAMPALA-24h'!I61)</f>
        <v>1</v>
      </c>
      <c r="J61" s="49">
        <f>AVERAGE('16.08 BUSUNJU-KAMPALA-24h'!J61,'17.08 BUSUNJU-KAMPALA-24h'!J61)</f>
        <v>0</v>
      </c>
      <c r="K61" s="49">
        <f>AVERAGE('16.08 BUSUNJU-KAMPALA-24h'!K61,'17.08 BUSUNJU-KAMPALA-24h'!K61)</f>
        <v>0</v>
      </c>
      <c r="L61" s="49">
        <f>AVERAGE('16.08 BUSUNJU-KAMPALA-24h'!L61,'17.08 BUSUNJU-KAMPALA-24h'!L61)</f>
        <v>0</v>
      </c>
      <c r="M61" s="49">
        <f>AVERAGE('16.08 BUSUNJU-KAMPALA-24h'!M61,'17.08 BUSUNJU-KAMPALA-24h'!M61)</f>
        <v>8.5</v>
      </c>
      <c r="N61" s="49">
        <f>AVERAGE('16.08 BUSUNJU-KAMPALA-24h'!N61,'17.08 BUSUNJU-KAMPALA-24h'!N61)</f>
        <v>0</v>
      </c>
      <c r="O61" s="15">
        <f t="shared" si="0"/>
        <v>3</v>
      </c>
      <c r="P61" s="15">
        <f t="shared" si="1"/>
        <v>11.5</v>
      </c>
      <c r="R61" s="8"/>
      <c r="T61"/>
    </row>
    <row r="62" spans="2:20" ht="23.1" customHeight="1" x14ac:dyDescent="0.25">
      <c r="B62" s="23" t="s">
        <v>107</v>
      </c>
      <c r="C62" s="49">
        <f>AVERAGE('16.08 BUSUNJU-KAMPALA-24h'!C62,'17.08 BUSUNJU-KAMPALA-24h'!C62)</f>
        <v>1</v>
      </c>
      <c r="D62" s="49">
        <f>AVERAGE('16.08 BUSUNJU-KAMPALA-24h'!D62,'17.08 BUSUNJU-KAMPALA-24h'!D62)</f>
        <v>0</v>
      </c>
      <c r="E62" s="49">
        <f>AVERAGE('16.08 BUSUNJU-KAMPALA-24h'!E62,'17.08 BUSUNJU-KAMPALA-24h'!E62)</f>
        <v>0</v>
      </c>
      <c r="F62" s="49">
        <f>AVERAGE('16.08 BUSUNJU-KAMPALA-24h'!F62,'17.08 BUSUNJU-KAMPALA-24h'!F62)</f>
        <v>0</v>
      </c>
      <c r="G62" s="49">
        <f>AVERAGE('16.08 BUSUNJU-KAMPALA-24h'!G62,'17.08 BUSUNJU-KAMPALA-24h'!G62)</f>
        <v>0</v>
      </c>
      <c r="H62" s="49">
        <f>AVERAGE('16.08 BUSUNJU-KAMPALA-24h'!H62,'17.08 BUSUNJU-KAMPALA-24h'!H62)</f>
        <v>0</v>
      </c>
      <c r="I62" s="49">
        <f>AVERAGE('16.08 BUSUNJU-KAMPALA-24h'!I62,'17.08 BUSUNJU-KAMPALA-24h'!I62)</f>
        <v>0</v>
      </c>
      <c r="J62" s="49">
        <f>AVERAGE('16.08 BUSUNJU-KAMPALA-24h'!J62,'17.08 BUSUNJU-KAMPALA-24h'!J62)</f>
        <v>0</v>
      </c>
      <c r="K62" s="49">
        <f>AVERAGE('16.08 BUSUNJU-KAMPALA-24h'!K62,'17.08 BUSUNJU-KAMPALA-24h'!K62)</f>
        <v>0</v>
      </c>
      <c r="L62" s="49">
        <f>AVERAGE('16.08 BUSUNJU-KAMPALA-24h'!L62,'17.08 BUSUNJU-KAMPALA-24h'!L62)</f>
        <v>0</v>
      </c>
      <c r="M62" s="49">
        <f>AVERAGE('16.08 BUSUNJU-KAMPALA-24h'!M62,'17.08 BUSUNJU-KAMPALA-24h'!M62)</f>
        <v>8.5</v>
      </c>
      <c r="N62" s="49">
        <f>AVERAGE('16.08 BUSUNJU-KAMPALA-24h'!N62,'17.08 BUSUNJU-KAMPALA-24h'!N62)</f>
        <v>0</v>
      </c>
      <c r="O62" s="15">
        <f t="shared" si="0"/>
        <v>1</v>
      </c>
      <c r="P62" s="15">
        <f t="shared" si="1"/>
        <v>9.5</v>
      </c>
      <c r="R62" s="8"/>
      <c r="T62"/>
    </row>
    <row r="63" spans="2:20" ht="23.1" customHeight="1" x14ac:dyDescent="0.25">
      <c r="B63" s="23" t="s">
        <v>108</v>
      </c>
      <c r="C63" s="49">
        <f>AVERAGE('16.08 BUSUNJU-KAMPALA-24h'!C63,'17.08 BUSUNJU-KAMPALA-24h'!C63)</f>
        <v>1</v>
      </c>
      <c r="D63" s="49">
        <f>AVERAGE('16.08 BUSUNJU-KAMPALA-24h'!D63,'17.08 BUSUNJU-KAMPALA-24h'!D63)</f>
        <v>0</v>
      </c>
      <c r="E63" s="49">
        <f>AVERAGE('16.08 BUSUNJU-KAMPALA-24h'!E63,'17.08 BUSUNJU-KAMPALA-24h'!E63)</f>
        <v>1</v>
      </c>
      <c r="F63" s="49">
        <f>AVERAGE('16.08 BUSUNJU-KAMPALA-24h'!F63,'17.08 BUSUNJU-KAMPALA-24h'!F63)</f>
        <v>0</v>
      </c>
      <c r="G63" s="49">
        <f>AVERAGE('16.08 BUSUNJU-KAMPALA-24h'!G63,'17.08 BUSUNJU-KAMPALA-24h'!G63)</f>
        <v>0</v>
      </c>
      <c r="H63" s="49">
        <f>AVERAGE('16.08 BUSUNJU-KAMPALA-24h'!H63,'17.08 BUSUNJU-KAMPALA-24h'!H63)</f>
        <v>0</v>
      </c>
      <c r="I63" s="49">
        <f>AVERAGE('16.08 BUSUNJU-KAMPALA-24h'!I63,'17.08 BUSUNJU-KAMPALA-24h'!I63)</f>
        <v>1</v>
      </c>
      <c r="J63" s="49">
        <f>AVERAGE('16.08 BUSUNJU-KAMPALA-24h'!J63,'17.08 BUSUNJU-KAMPALA-24h'!J63)</f>
        <v>0</v>
      </c>
      <c r="K63" s="49">
        <f>AVERAGE('16.08 BUSUNJU-KAMPALA-24h'!K63,'17.08 BUSUNJU-KAMPALA-24h'!K63)</f>
        <v>0</v>
      </c>
      <c r="L63" s="49">
        <f>AVERAGE('16.08 BUSUNJU-KAMPALA-24h'!L63,'17.08 BUSUNJU-KAMPALA-24h'!L63)</f>
        <v>0</v>
      </c>
      <c r="M63" s="49">
        <f>AVERAGE('16.08 BUSUNJU-KAMPALA-24h'!M63,'17.08 BUSUNJU-KAMPALA-24h'!M63)</f>
        <v>8.5</v>
      </c>
      <c r="N63" s="49">
        <f>AVERAGE('16.08 BUSUNJU-KAMPALA-24h'!N63,'17.08 BUSUNJU-KAMPALA-24h'!N63)</f>
        <v>0</v>
      </c>
      <c r="O63" s="15">
        <f t="shared" si="0"/>
        <v>3</v>
      </c>
      <c r="P63" s="15">
        <f t="shared" si="1"/>
        <v>11.5</v>
      </c>
      <c r="R63" s="8"/>
      <c r="T63"/>
    </row>
    <row r="64" spans="2:20" ht="23.1" customHeight="1" x14ac:dyDescent="0.25">
      <c r="B64" s="23" t="s">
        <v>109</v>
      </c>
      <c r="C64" s="49">
        <f>AVERAGE('16.08 BUSUNJU-KAMPALA-24h'!C64,'17.08 BUSUNJU-KAMPALA-24h'!C64)</f>
        <v>1</v>
      </c>
      <c r="D64" s="49">
        <f>AVERAGE('16.08 BUSUNJU-KAMPALA-24h'!D64,'17.08 BUSUNJU-KAMPALA-24h'!D64)</f>
        <v>0</v>
      </c>
      <c r="E64" s="49">
        <f>AVERAGE('16.08 BUSUNJU-KAMPALA-24h'!E64,'17.08 BUSUNJU-KAMPALA-24h'!E64)</f>
        <v>1</v>
      </c>
      <c r="F64" s="49">
        <f>AVERAGE('16.08 BUSUNJU-KAMPALA-24h'!F64,'17.08 BUSUNJU-KAMPALA-24h'!F64)</f>
        <v>0</v>
      </c>
      <c r="G64" s="49">
        <f>AVERAGE('16.08 BUSUNJU-KAMPALA-24h'!G64,'17.08 BUSUNJU-KAMPALA-24h'!G64)</f>
        <v>0</v>
      </c>
      <c r="H64" s="49">
        <f>AVERAGE('16.08 BUSUNJU-KAMPALA-24h'!H64,'17.08 BUSUNJU-KAMPALA-24h'!H64)</f>
        <v>0</v>
      </c>
      <c r="I64" s="49">
        <f>AVERAGE('16.08 BUSUNJU-KAMPALA-24h'!I64,'17.08 BUSUNJU-KAMPALA-24h'!I64)</f>
        <v>1</v>
      </c>
      <c r="J64" s="49">
        <f>AVERAGE('16.08 BUSUNJU-KAMPALA-24h'!J64,'17.08 BUSUNJU-KAMPALA-24h'!J64)</f>
        <v>0</v>
      </c>
      <c r="K64" s="49">
        <f>AVERAGE('16.08 BUSUNJU-KAMPALA-24h'!K64,'17.08 BUSUNJU-KAMPALA-24h'!K64)</f>
        <v>0</v>
      </c>
      <c r="L64" s="49">
        <f>AVERAGE('16.08 BUSUNJU-KAMPALA-24h'!L64,'17.08 BUSUNJU-KAMPALA-24h'!L64)</f>
        <v>0</v>
      </c>
      <c r="M64" s="49">
        <f>AVERAGE('16.08 BUSUNJU-KAMPALA-24h'!M64,'17.08 BUSUNJU-KAMPALA-24h'!M64)</f>
        <v>10</v>
      </c>
      <c r="N64" s="49">
        <f>AVERAGE('16.08 BUSUNJU-KAMPALA-24h'!N64,'17.08 BUSUNJU-KAMPALA-24h'!N64)</f>
        <v>0</v>
      </c>
      <c r="O64" s="15">
        <f t="shared" si="0"/>
        <v>3</v>
      </c>
      <c r="P64" s="15">
        <f t="shared" si="1"/>
        <v>13</v>
      </c>
      <c r="R64" s="8"/>
      <c r="T64"/>
    </row>
    <row r="65" spans="2:20" ht="23.1" customHeight="1" x14ac:dyDescent="0.25">
      <c r="B65" s="23" t="s">
        <v>158</v>
      </c>
      <c r="C65" s="49">
        <f>AVERAGE('16.08 BUSUNJU-KAMPALA-24h'!C65,'17.08 BUSUNJU-KAMPALA-24h'!C65)</f>
        <v>1</v>
      </c>
      <c r="D65" s="49">
        <f>AVERAGE('16.08 BUSUNJU-KAMPALA-24h'!D65,'17.08 BUSUNJU-KAMPALA-24h'!D65)</f>
        <v>0</v>
      </c>
      <c r="E65" s="49">
        <f>AVERAGE('16.08 BUSUNJU-KAMPALA-24h'!E65,'17.08 BUSUNJU-KAMPALA-24h'!E65)</f>
        <v>0</v>
      </c>
      <c r="F65" s="49">
        <f>AVERAGE('16.08 BUSUNJU-KAMPALA-24h'!F65,'17.08 BUSUNJU-KAMPALA-24h'!F65)</f>
        <v>0</v>
      </c>
      <c r="G65" s="49">
        <f>AVERAGE('16.08 BUSUNJU-KAMPALA-24h'!G65,'17.08 BUSUNJU-KAMPALA-24h'!G65)</f>
        <v>0</v>
      </c>
      <c r="H65" s="49">
        <f>AVERAGE('16.08 BUSUNJU-KAMPALA-24h'!H65,'17.08 BUSUNJU-KAMPALA-24h'!H65)</f>
        <v>0</v>
      </c>
      <c r="I65" s="49">
        <f>AVERAGE('16.08 BUSUNJU-KAMPALA-24h'!I65,'17.08 BUSUNJU-KAMPALA-24h'!I65)</f>
        <v>1</v>
      </c>
      <c r="J65" s="49">
        <f>AVERAGE('16.08 BUSUNJU-KAMPALA-24h'!J65,'17.08 BUSUNJU-KAMPALA-24h'!J65)</f>
        <v>0</v>
      </c>
      <c r="K65" s="49">
        <f>AVERAGE('16.08 BUSUNJU-KAMPALA-24h'!K65,'17.08 BUSUNJU-KAMPALA-24h'!K65)</f>
        <v>0</v>
      </c>
      <c r="L65" s="49">
        <f>AVERAGE('16.08 BUSUNJU-KAMPALA-24h'!L65,'17.08 BUSUNJU-KAMPALA-24h'!L65)</f>
        <v>0</v>
      </c>
      <c r="M65" s="49">
        <f>AVERAGE('16.08 BUSUNJU-KAMPALA-24h'!M65,'17.08 BUSUNJU-KAMPALA-24h'!M65)</f>
        <v>10</v>
      </c>
      <c r="N65" s="49">
        <f>AVERAGE('16.08 BUSUNJU-KAMPALA-24h'!N65,'17.08 BUSUNJU-KAMPALA-24h'!N65)</f>
        <v>0</v>
      </c>
      <c r="O65" s="15">
        <f t="shared" si="0"/>
        <v>2</v>
      </c>
      <c r="P65" s="15">
        <f t="shared" si="1"/>
        <v>12</v>
      </c>
      <c r="R65" s="8"/>
      <c r="T65"/>
    </row>
    <row r="66" spans="2:20" ht="23.1" customHeight="1" x14ac:dyDescent="0.25">
      <c r="B66" s="23" t="s">
        <v>103</v>
      </c>
      <c r="C66" s="49">
        <f>AVERAGE('16.08 BUSUNJU-KAMPALA-24h'!C66,'17.08 BUSUNJU-KAMPALA-24h'!C66)</f>
        <v>1</v>
      </c>
      <c r="D66" s="49">
        <f>AVERAGE('16.08 BUSUNJU-KAMPALA-24h'!D66,'17.08 BUSUNJU-KAMPALA-24h'!D66)</f>
        <v>0</v>
      </c>
      <c r="E66" s="49">
        <f>AVERAGE('16.08 BUSUNJU-KAMPALA-24h'!E66,'17.08 BUSUNJU-KAMPALA-24h'!E66)</f>
        <v>1</v>
      </c>
      <c r="F66" s="49">
        <f>AVERAGE('16.08 BUSUNJU-KAMPALA-24h'!F66,'17.08 BUSUNJU-KAMPALA-24h'!F66)</f>
        <v>0</v>
      </c>
      <c r="G66" s="49">
        <f>AVERAGE('16.08 BUSUNJU-KAMPALA-24h'!G66,'17.08 BUSUNJU-KAMPALA-24h'!G66)</f>
        <v>0</v>
      </c>
      <c r="H66" s="49">
        <f>AVERAGE('16.08 BUSUNJU-KAMPALA-24h'!H66,'17.08 BUSUNJU-KAMPALA-24h'!H66)</f>
        <v>0</v>
      </c>
      <c r="I66" s="49">
        <f>AVERAGE('16.08 BUSUNJU-KAMPALA-24h'!I66,'17.08 BUSUNJU-KAMPALA-24h'!I66)</f>
        <v>0</v>
      </c>
      <c r="J66" s="49">
        <f>AVERAGE('16.08 BUSUNJU-KAMPALA-24h'!J66,'17.08 BUSUNJU-KAMPALA-24h'!J66)</f>
        <v>0</v>
      </c>
      <c r="K66" s="49">
        <f>AVERAGE('16.08 BUSUNJU-KAMPALA-24h'!K66,'17.08 BUSUNJU-KAMPALA-24h'!K66)</f>
        <v>0</v>
      </c>
      <c r="L66" s="49">
        <f>AVERAGE('16.08 BUSUNJU-KAMPALA-24h'!L66,'17.08 BUSUNJU-KAMPALA-24h'!L66)</f>
        <v>0</v>
      </c>
      <c r="M66" s="49">
        <f>AVERAGE('16.08 BUSUNJU-KAMPALA-24h'!M66,'17.08 BUSUNJU-KAMPALA-24h'!M66)</f>
        <v>10.5</v>
      </c>
      <c r="N66" s="49">
        <f>AVERAGE('16.08 BUSUNJU-KAMPALA-24h'!N66,'17.08 BUSUNJU-KAMPALA-24h'!N66)</f>
        <v>0</v>
      </c>
      <c r="O66" s="15">
        <f t="shared" si="0"/>
        <v>2</v>
      </c>
      <c r="P66" s="15">
        <f t="shared" si="1"/>
        <v>12.5</v>
      </c>
      <c r="R66" s="8"/>
      <c r="T66"/>
    </row>
    <row r="67" spans="2:20" ht="23.1" customHeight="1" x14ac:dyDescent="0.25">
      <c r="B67" s="23" t="s">
        <v>104</v>
      </c>
      <c r="C67" s="49">
        <f>AVERAGE('16.08 BUSUNJU-KAMPALA-24h'!C67,'17.08 BUSUNJU-KAMPALA-24h'!C67)</f>
        <v>0</v>
      </c>
      <c r="D67" s="49">
        <f>AVERAGE('16.08 BUSUNJU-KAMPALA-24h'!D67,'17.08 BUSUNJU-KAMPALA-24h'!D67)</f>
        <v>0</v>
      </c>
      <c r="E67" s="49">
        <f>AVERAGE('16.08 BUSUNJU-KAMPALA-24h'!E67,'17.08 BUSUNJU-KAMPALA-24h'!E67)</f>
        <v>0</v>
      </c>
      <c r="F67" s="49">
        <f>AVERAGE('16.08 BUSUNJU-KAMPALA-24h'!F67,'17.08 BUSUNJU-KAMPALA-24h'!F67)</f>
        <v>0</v>
      </c>
      <c r="G67" s="49">
        <f>AVERAGE('16.08 BUSUNJU-KAMPALA-24h'!G67,'17.08 BUSUNJU-KAMPALA-24h'!G67)</f>
        <v>0</v>
      </c>
      <c r="H67" s="49">
        <f>AVERAGE('16.08 BUSUNJU-KAMPALA-24h'!H67,'17.08 BUSUNJU-KAMPALA-24h'!H67)</f>
        <v>0</v>
      </c>
      <c r="I67" s="49">
        <f>AVERAGE('16.08 BUSUNJU-KAMPALA-24h'!I67,'17.08 BUSUNJU-KAMPALA-24h'!I67)</f>
        <v>0</v>
      </c>
      <c r="J67" s="49">
        <f>AVERAGE('16.08 BUSUNJU-KAMPALA-24h'!J67,'17.08 BUSUNJU-KAMPALA-24h'!J67)</f>
        <v>0</v>
      </c>
      <c r="K67" s="49">
        <f>AVERAGE('16.08 BUSUNJU-KAMPALA-24h'!K67,'17.08 BUSUNJU-KAMPALA-24h'!K67)</f>
        <v>0</v>
      </c>
      <c r="L67" s="49">
        <f>AVERAGE('16.08 BUSUNJU-KAMPALA-24h'!L67,'17.08 BUSUNJU-KAMPALA-24h'!L67)</f>
        <v>0</v>
      </c>
      <c r="M67" s="49">
        <f>AVERAGE('16.08 BUSUNJU-KAMPALA-24h'!M67,'17.08 BUSUNJU-KAMPALA-24h'!M67)</f>
        <v>9</v>
      </c>
      <c r="N67" s="49">
        <f>AVERAGE('16.08 BUSUNJU-KAMPALA-24h'!N67,'17.08 BUSUNJU-KAMPALA-24h'!N67)</f>
        <v>0</v>
      </c>
      <c r="O67" s="15">
        <f t="shared" si="0"/>
        <v>0</v>
      </c>
      <c r="P67" s="15">
        <f t="shared" si="1"/>
        <v>9</v>
      </c>
      <c r="R67" s="8"/>
      <c r="T67"/>
    </row>
    <row r="68" spans="2:20" ht="23.1" customHeight="1" x14ac:dyDescent="0.25">
      <c r="B68" s="23" t="s">
        <v>105</v>
      </c>
      <c r="C68" s="49">
        <f>AVERAGE('16.08 BUSUNJU-KAMPALA-24h'!C68,'17.08 BUSUNJU-KAMPALA-24h'!C68)</f>
        <v>0</v>
      </c>
      <c r="D68" s="49">
        <f>AVERAGE('16.08 BUSUNJU-KAMPALA-24h'!D68,'17.08 BUSUNJU-KAMPALA-24h'!D68)</f>
        <v>0</v>
      </c>
      <c r="E68" s="49">
        <f>AVERAGE('16.08 BUSUNJU-KAMPALA-24h'!E68,'17.08 BUSUNJU-KAMPALA-24h'!E68)</f>
        <v>0</v>
      </c>
      <c r="F68" s="49">
        <f>AVERAGE('16.08 BUSUNJU-KAMPALA-24h'!F68,'17.08 BUSUNJU-KAMPALA-24h'!F68)</f>
        <v>0</v>
      </c>
      <c r="G68" s="49">
        <f>AVERAGE('16.08 BUSUNJU-KAMPALA-24h'!G68,'17.08 BUSUNJU-KAMPALA-24h'!G68)</f>
        <v>0</v>
      </c>
      <c r="H68" s="49">
        <f>AVERAGE('16.08 BUSUNJU-KAMPALA-24h'!H68,'17.08 BUSUNJU-KAMPALA-24h'!H68)</f>
        <v>0</v>
      </c>
      <c r="I68" s="49">
        <f>AVERAGE('16.08 BUSUNJU-KAMPALA-24h'!I68,'17.08 BUSUNJU-KAMPALA-24h'!I68)</f>
        <v>1</v>
      </c>
      <c r="J68" s="49">
        <f>AVERAGE('16.08 BUSUNJU-KAMPALA-24h'!J68,'17.08 BUSUNJU-KAMPALA-24h'!J68)</f>
        <v>0</v>
      </c>
      <c r="K68" s="49">
        <f>AVERAGE('16.08 BUSUNJU-KAMPALA-24h'!K68,'17.08 BUSUNJU-KAMPALA-24h'!K68)</f>
        <v>0</v>
      </c>
      <c r="L68" s="49">
        <f>AVERAGE('16.08 BUSUNJU-KAMPALA-24h'!L68,'17.08 BUSUNJU-KAMPALA-24h'!L68)</f>
        <v>0</v>
      </c>
      <c r="M68" s="49">
        <f>AVERAGE('16.08 BUSUNJU-KAMPALA-24h'!M68,'17.08 BUSUNJU-KAMPALA-24h'!M68)</f>
        <v>8.5</v>
      </c>
      <c r="N68" s="49">
        <f>AVERAGE('16.08 BUSUNJU-KAMPALA-24h'!N68,'17.08 BUSUNJU-KAMPALA-24h'!N68)</f>
        <v>0</v>
      </c>
      <c r="O68" s="15">
        <f t="shared" si="0"/>
        <v>1</v>
      </c>
      <c r="P68" s="15">
        <f t="shared" si="1"/>
        <v>9.5</v>
      </c>
      <c r="R68" s="8"/>
      <c r="T68"/>
    </row>
    <row r="69" spans="2:20" ht="23.1" customHeight="1" x14ac:dyDescent="0.25">
      <c r="B69" s="23" t="s">
        <v>106</v>
      </c>
      <c r="C69" s="49">
        <f>AVERAGE('16.08 BUSUNJU-KAMPALA-24h'!C69,'17.08 BUSUNJU-KAMPALA-24h'!C69)</f>
        <v>0</v>
      </c>
      <c r="D69" s="49">
        <f>AVERAGE('16.08 BUSUNJU-KAMPALA-24h'!D69,'17.08 BUSUNJU-KAMPALA-24h'!D69)</f>
        <v>0</v>
      </c>
      <c r="E69" s="49">
        <f>AVERAGE('16.08 BUSUNJU-KAMPALA-24h'!E69,'17.08 BUSUNJU-KAMPALA-24h'!E69)</f>
        <v>0</v>
      </c>
      <c r="F69" s="49">
        <f>AVERAGE('16.08 BUSUNJU-KAMPALA-24h'!F69,'17.08 BUSUNJU-KAMPALA-24h'!F69)</f>
        <v>0</v>
      </c>
      <c r="G69" s="49">
        <f>AVERAGE('16.08 BUSUNJU-KAMPALA-24h'!G69,'17.08 BUSUNJU-KAMPALA-24h'!G69)</f>
        <v>0</v>
      </c>
      <c r="H69" s="49">
        <f>AVERAGE('16.08 BUSUNJU-KAMPALA-24h'!H69,'17.08 BUSUNJU-KAMPALA-24h'!H69)</f>
        <v>0</v>
      </c>
      <c r="I69" s="49">
        <f>AVERAGE('16.08 BUSUNJU-KAMPALA-24h'!I69,'17.08 BUSUNJU-KAMPALA-24h'!I69)</f>
        <v>1</v>
      </c>
      <c r="J69" s="49">
        <f>AVERAGE('16.08 BUSUNJU-KAMPALA-24h'!J69,'17.08 BUSUNJU-KAMPALA-24h'!J69)</f>
        <v>0</v>
      </c>
      <c r="K69" s="49">
        <f>AVERAGE('16.08 BUSUNJU-KAMPALA-24h'!K69,'17.08 BUSUNJU-KAMPALA-24h'!K69)</f>
        <v>0</v>
      </c>
      <c r="L69" s="49">
        <f>AVERAGE('16.08 BUSUNJU-KAMPALA-24h'!L69,'17.08 BUSUNJU-KAMPALA-24h'!L69)</f>
        <v>0</v>
      </c>
      <c r="M69" s="49">
        <f>AVERAGE('16.08 BUSUNJU-KAMPALA-24h'!M69,'17.08 BUSUNJU-KAMPALA-24h'!M69)</f>
        <v>8.5</v>
      </c>
      <c r="N69" s="49">
        <f>AVERAGE('16.08 BUSUNJU-KAMPALA-24h'!N69,'17.08 BUSUNJU-KAMPALA-24h'!N69)</f>
        <v>0</v>
      </c>
      <c r="O69" s="15">
        <f t="shared" si="0"/>
        <v>1</v>
      </c>
      <c r="P69" s="15">
        <f t="shared" si="1"/>
        <v>9.5</v>
      </c>
      <c r="R69" s="8"/>
      <c r="T69"/>
    </row>
    <row r="70" spans="2:20" ht="23.1" customHeight="1" x14ac:dyDescent="0.25">
      <c r="B70" s="23" t="s">
        <v>110</v>
      </c>
      <c r="C70" s="49">
        <f>AVERAGE('16.08 BUSUNJU-KAMPALA-24h'!C70,'17.08 BUSUNJU-KAMPALA-24h'!C70)</f>
        <v>0</v>
      </c>
      <c r="D70" s="49">
        <f>AVERAGE('16.08 BUSUNJU-KAMPALA-24h'!D70,'17.08 BUSUNJU-KAMPALA-24h'!D70)</f>
        <v>0</v>
      </c>
      <c r="E70" s="49">
        <f>AVERAGE('16.08 BUSUNJU-KAMPALA-24h'!E70,'17.08 BUSUNJU-KAMPALA-24h'!E70)</f>
        <v>0</v>
      </c>
      <c r="F70" s="49">
        <f>AVERAGE('16.08 BUSUNJU-KAMPALA-24h'!F70,'17.08 BUSUNJU-KAMPALA-24h'!F70)</f>
        <v>0</v>
      </c>
      <c r="G70" s="49">
        <f>AVERAGE('16.08 BUSUNJU-KAMPALA-24h'!G70,'17.08 BUSUNJU-KAMPALA-24h'!G70)</f>
        <v>0</v>
      </c>
      <c r="H70" s="49">
        <f>AVERAGE('16.08 BUSUNJU-KAMPALA-24h'!H70,'17.08 BUSUNJU-KAMPALA-24h'!H70)</f>
        <v>0</v>
      </c>
      <c r="I70" s="49">
        <f>AVERAGE('16.08 BUSUNJU-KAMPALA-24h'!I70,'17.08 BUSUNJU-KAMPALA-24h'!I70)</f>
        <v>0</v>
      </c>
      <c r="J70" s="49">
        <f>AVERAGE('16.08 BUSUNJU-KAMPALA-24h'!J70,'17.08 BUSUNJU-KAMPALA-24h'!J70)</f>
        <v>0</v>
      </c>
      <c r="K70" s="49">
        <f>AVERAGE('16.08 BUSUNJU-KAMPALA-24h'!K70,'17.08 BUSUNJU-KAMPALA-24h'!K70)</f>
        <v>0</v>
      </c>
      <c r="L70" s="49">
        <f>AVERAGE('16.08 BUSUNJU-KAMPALA-24h'!L70,'17.08 BUSUNJU-KAMPALA-24h'!L70)</f>
        <v>0</v>
      </c>
      <c r="M70" s="49">
        <f>AVERAGE('16.08 BUSUNJU-KAMPALA-24h'!M70,'17.08 BUSUNJU-KAMPALA-24h'!M70)</f>
        <v>7.5</v>
      </c>
      <c r="N70" s="49">
        <f>AVERAGE('16.08 BUSUNJU-KAMPALA-24h'!N70,'17.08 BUSUNJU-KAMPALA-24h'!N70)</f>
        <v>0</v>
      </c>
      <c r="O70" s="15">
        <f t="shared" si="0"/>
        <v>0</v>
      </c>
      <c r="P70" s="15">
        <f t="shared" si="1"/>
        <v>7.5</v>
      </c>
      <c r="R70" s="8"/>
      <c r="T70"/>
    </row>
    <row r="71" spans="2:20" ht="23.1" customHeight="1" x14ac:dyDescent="0.25">
      <c r="B71" s="23" t="s">
        <v>111</v>
      </c>
      <c r="C71" s="49">
        <f>AVERAGE('16.08 BUSUNJU-KAMPALA-24h'!C71,'17.08 BUSUNJU-KAMPALA-24h'!C71)</f>
        <v>1</v>
      </c>
      <c r="D71" s="49">
        <f>AVERAGE('16.08 BUSUNJU-KAMPALA-24h'!D71,'17.08 BUSUNJU-KAMPALA-24h'!D71)</f>
        <v>0</v>
      </c>
      <c r="E71" s="49">
        <f>AVERAGE('16.08 BUSUNJU-KAMPALA-24h'!E71,'17.08 BUSUNJU-KAMPALA-24h'!E71)</f>
        <v>1</v>
      </c>
      <c r="F71" s="49">
        <f>AVERAGE('16.08 BUSUNJU-KAMPALA-24h'!F71,'17.08 BUSUNJU-KAMPALA-24h'!F71)</f>
        <v>0</v>
      </c>
      <c r="G71" s="49">
        <f>AVERAGE('16.08 BUSUNJU-KAMPALA-24h'!G71,'17.08 BUSUNJU-KAMPALA-24h'!G71)</f>
        <v>0</v>
      </c>
      <c r="H71" s="49">
        <f>AVERAGE('16.08 BUSUNJU-KAMPALA-24h'!H71,'17.08 BUSUNJU-KAMPALA-24h'!H71)</f>
        <v>0</v>
      </c>
      <c r="I71" s="49">
        <f>AVERAGE('16.08 BUSUNJU-KAMPALA-24h'!I71,'17.08 BUSUNJU-KAMPALA-24h'!I71)</f>
        <v>1</v>
      </c>
      <c r="J71" s="49">
        <f>AVERAGE('16.08 BUSUNJU-KAMPALA-24h'!J71,'17.08 BUSUNJU-KAMPALA-24h'!J71)</f>
        <v>0</v>
      </c>
      <c r="K71" s="49">
        <f>AVERAGE('16.08 BUSUNJU-KAMPALA-24h'!K71,'17.08 BUSUNJU-KAMPALA-24h'!K71)</f>
        <v>0</v>
      </c>
      <c r="L71" s="49">
        <f>AVERAGE('16.08 BUSUNJU-KAMPALA-24h'!L71,'17.08 BUSUNJU-KAMPALA-24h'!L71)</f>
        <v>0</v>
      </c>
      <c r="M71" s="49">
        <f>AVERAGE('16.08 BUSUNJU-KAMPALA-24h'!M71,'17.08 BUSUNJU-KAMPALA-24h'!M71)</f>
        <v>7</v>
      </c>
      <c r="N71" s="49">
        <f>AVERAGE('16.08 BUSUNJU-KAMPALA-24h'!N71,'17.08 BUSUNJU-KAMPALA-24h'!N71)</f>
        <v>0</v>
      </c>
      <c r="O71" s="15">
        <f t="shared" si="0"/>
        <v>3</v>
      </c>
      <c r="P71" s="15">
        <f t="shared" si="1"/>
        <v>10</v>
      </c>
      <c r="R71" s="8"/>
      <c r="T71"/>
    </row>
    <row r="72" spans="2:20" ht="23.1" customHeight="1" x14ac:dyDescent="0.25">
      <c r="B72" s="23" t="s">
        <v>112</v>
      </c>
      <c r="C72" s="49">
        <f>AVERAGE('16.08 BUSUNJU-KAMPALA-24h'!C72,'17.08 BUSUNJU-KAMPALA-24h'!C72)</f>
        <v>0</v>
      </c>
      <c r="D72" s="49">
        <f>AVERAGE('16.08 BUSUNJU-KAMPALA-24h'!D72,'17.08 BUSUNJU-KAMPALA-24h'!D72)</f>
        <v>0</v>
      </c>
      <c r="E72" s="49">
        <f>AVERAGE('16.08 BUSUNJU-KAMPALA-24h'!E72,'17.08 BUSUNJU-KAMPALA-24h'!E72)</f>
        <v>1</v>
      </c>
      <c r="F72" s="49">
        <f>AVERAGE('16.08 BUSUNJU-KAMPALA-24h'!F72,'17.08 BUSUNJU-KAMPALA-24h'!F72)</f>
        <v>0</v>
      </c>
      <c r="G72" s="49">
        <f>AVERAGE('16.08 BUSUNJU-KAMPALA-24h'!G72,'17.08 BUSUNJU-KAMPALA-24h'!G72)</f>
        <v>1</v>
      </c>
      <c r="H72" s="49">
        <f>AVERAGE('16.08 BUSUNJU-KAMPALA-24h'!H72,'17.08 BUSUNJU-KAMPALA-24h'!H72)</f>
        <v>0</v>
      </c>
      <c r="I72" s="49">
        <f>AVERAGE('16.08 BUSUNJU-KAMPALA-24h'!I72,'17.08 BUSUNJU-KAMPALA-24h'!I72)</f>
        <v>1</v>
      </c>
      <c r="J72" s="49">
        <f>AVERAGE('16.08 BUSUNJU-KAMPALA-24h'!J72,'17.08 BUSUNJU-KAMPALA-24h'!J72)</f>
        <v>0</v>
      </c>
      <c r="K72" s="49">
        <f>AVERAGE('16.08 BUSUNJU-KAMPALA-24h'!K72,'17.08 BUSUNJU-KAMPALA-24h'!K72)</f>
        <v>0</v>
      </c>
      <c r="L72" s="49">
        <f>AVERAGE('16.08 BUSUNJU-KAMPALA-24h'!L72,'17.08 BUSUNJU-KAMPALA-24h'!L72)</f>
        <v>0</v>
      </c>
      <c r="M72" s="49">
        <f>AVERAGE('16.08 BUSUNJU-KAMPALA-24h'!M72,'17.08 BUSUNJU-KAMPALA-24h'!M72)</f>
        <v>8.5</v>
      </c>
      <c r="N72" s="49">
        <f>AVERAGE('16.08 BUSUNJU-KAMPALA-24h'!N72,'17.08 BUSUNJU-KAMPALA-24h'!N72)</f>
        <v>0</v>
      </c>
      <c r="O72" s="15">
        <f t="shared" si="0"/>
        <v>3</v>
      </c>
      <c r="P72" s="15">
        <f t="shared" si="1"/>
        <v>11.5</v>
      </c>
      <c r="R72" s="8"/>
      <c r="T72"/>
    </row>
    <row r="73" spans="2:20" ht="23.1" customHeight="1" x14ac:dyDescent="0.25">
      <c r="B73" s="23" t="s">
        <v>113</v>
      </c>
      <c r="C73" s="49">
        <f>AVERAGE('16.08 BUSUNJU-KAMPALA-24h'!C73,'17.08 BUSUNJU-KAMPALA-24h'!C73)</f>
        <v>0</v>
      </c>
      <c r="D73" s="49">
        <f>AVERAGE('16.08 BUSUNJU-KAMPALA-24h'!D73,'17.08 BUSUNJU-KAMPALA-24h'!D73)</f>
        <v>0</v>
      </c>
      <c r="E73" s="49">
        <f>AVERAGE('16.08 BUSUNJU-KAMPALA-24h'!E73,'17.08 BUSUNJU-KAMPALA-24h'!E73)</f>
        <v>0</v>
      </c>
      <c r="F73" s="49">
        <f>AVERAGE('16.08 BUSUNJU-KAMPALA-24h'!F73,'17.08 BUSUNJU-KAMPALA-24h'!F73)</f>
        <v>0</v>
      </c>
      <c r="G73" s="49">
        <f>AVERAGE('16.08 BUSUNJU-KAMPALA-24h'!G73,'17.08 BUSUNJU-KAMPALA-24h'!G73)</f>
        <v>0</v>
      </c>
      <c r="H73" s="49">
        <f>AVERAGE('16.08 BUSUNJU-KAMPALA-24h'!H73,'17.08 BUSUNJU-KAMPALA-24h'!H73)</f>
        <v>0</v>
      </c>
      <c r="I73" s="49">
        <f>AVERAGE('16.08 BUSUNJU-KAMPALA-24h'!I73,'17.08 BUSUNJU-KAMPALA-24h'!I73)</f>
        <v>1</v>
      </c>
      <c r="J73" s="49">
        <f>AVERAGE('16.08 BUSUNJU-KAMPALA-24h'!J73,'17.08 BUSUNJU-KAMPALA-24h'!J73)</f>
        <v>0</v>
      </c>
      <c r="K73" s="49">
        <f>AVERAGE('16.08 BUSUNJU-KAMPALA-24h'!K73,'17.08 BUSUNJU-KAMPALA-24h'!K73)</f>
        <v>0</v>
      </c>
      <c r="L73" s="49">
        <f>AVERAGE('16.08 BUSUNJU-KAMPALA-24h'!L73,'17.08 BUSUNJU-KAMPALA-24h'!L73)</f>
        <v>0</v>
      </c>
      <c r="M73" s="49">
        <f>AVERAGE('16.08 BUSUNJU-KAMPALA-24h'!M73,'17.08 BUSUNJU-KAMPALA-24h'!M73)</f>
        <v>7.5</v>
      </c>
      <c r="N73" s="49">
        <f>AVERAGE('16.08 BUSUNJU-KAMPALA-24h'!N73,'17.08 BUSUNJU-KAMPALA-24h'!N73)</f>
        <v>0</v>
      </c>
      <c r="O73" s="15">
        <f t="shared" si="0"/>
        <v>1</v>
      </c>
      <c r="P73" s="15">
        <f t="shared" si="1"/>
        <v>8.5</v>
      </c>
      <c r="R73" s="8"/>
      <c r="T73"/>
    </row>
    <row r="74" spans="2:20" ht="23.1" customHeight="1" x14ac:dyDescent="0.25">
      <c r="B74" s="23" t="s">
        <v>114</v>
      </c>
      <c r="C74" s="49">
        <f>AVERAGE('16.08 BUSUNJU-KAMPALA-24h'!C74,'17.08 BUSUNJU-KAMPALA-24h'!C74)</f>
        <v>1</v>
      </c>
      <c r="D74" s="49">
        <f>AVERAGE('16.08 BUSUNJU-KAMPALA-24h'!D74,'17.08 BUSUNJU-KAMPALA-24h'!D74)</f>
        <v>0</v>
      </c>
      <c r="E74" s="49">
        <f>AVERAGE('16.08 BUSUNJU-KAMPALA-24h'!E74,'17.08 BUSUNJU-KAMPALA-24h'!E74)</f>
        <v>1</v>
      </c>
      <c r="F74" s="49">
        <f>AVERAGE('16.08 BUSUNJU-KAMPALA-24h'!F74,'17.08 BUSUNJU-KAMPALA-24h'!F74)</f>
        <v>0</v>
      </c>
      <c r="G74" s="49">
        <f>AVERAGE('16.08 BUSUNJU-KAMPALA-24h'!G74,'17.08 BUSUNJU-KAMPALA-24h'!G74)</f>
        <v>0</v>
      </c>
      <c r="H74" s="49">
        <f>AVERAGE('16.08 BUSUNJU-KAMPALA-24h'!H74,'17.08 BUSUNJU-KAMPALA-24h'!H74)</f>
        <v>0</v>
      </c>
      <c r="I74" s="49">
        <f>AVERAGE('16.08 BUSUNJU-KAMPALA-24h'!I74,'17.08 BUSUNJU-KAMPALA-24h'!I74)</f>
        <v>1</v>
      </c>
      <c r="J74" s="49">
        <f>AVERAGE('16.08 BUSUNJU-KAMPALA-24h'!J74,'17.08 BUSUNJU-KAMPALA-24h'!J74)</f>
        <v>0</v>
      </c>
      <c r="K74" s="49">
        <f>AVERAGE('16.08 BUSUNJU-KAMPALA-24h'!K74,'17.08 BUSUNJU-KAMPALA-24h'!K74)</f>
        <v>0</v>
      </c>
      <c r="L74" s="49">
        <f>AVERAGE('16.08 BUSUNJU-KAMPALA-24h'!L74,'17.08 BUSUNJU-KAMPALA-24h'!L74)</f>
        <v>0</v>
      </c>
      <c r="M74" s="49">
        <f>AVERAGE('16.08 BUSUNJU-KAMPALA-24h'!M74,'17.08 BUSUNJU-KAMPALA-24h'!M74)</f>
        <v>7</v>
      </c>
      <c r="N74" s="49">
        <f>AVERAGE('16.08 BUSUNJU-KAMPALA-24h'!N74,'17.08 BUSUNJU-KAMPALA-24h'!N74)</f>
        <v>0</v>
      </c>
      <c r="O74" s="15">
        <f t="shared" ref="O74:O105" si="35">SUM(C74:L74,N74)</f>
        <v>3</v>
      </c>
      <c r="P74" s="15">
        <f t="shared" ref="P74:P105" si="36">SUM(C74:N74)</f>
        <v>10</v>
      </c>
      <c r="R74" s="8"/>
      <c r="T74"/>
    </row>
    <row r="75" spans="2:20" ht="23.1" customHeight="1" x14ac:dyDescent="0.25">
      <c r="B75" s="23" t="s">
        <v>115</v>
      </c>
      <c r="C75" s="49">
        <f>AVERAGE('16.08 BUSUNJU-KAMPALA-24h'!C75,'17.08 BUSUNJU-KAMPALA-24h'!C75)</f>
        <v>1</v>
      </c>
      <c r="D75" s="49">
        <f>AVERAGE('16.08 BUSUNJU-KAMPALA-24h'!D75,'17.08 BUSUNJU-KAMPALA-24h'!D75)</f>
        <v>0</v>
      </c>
      <c r="E75" s="49">
        <f>AVERAGE('16.08 BUSUNJU-KAMPALA-24h'!E75,'17.08 BUSUNJU-KAMPALA-24h'!E75)</f>
        <v>0</v>
      </c>
      <c r="F75" s="49">
        <f>AVERAGE('16.08 BUSUNJU-KAMPALA-24h'!F75,'17.08 BUSUNJU-KAMPALA-24h'!F75)</f>
        <v>0</v>
      </c>
      <c r="G75" s="49">
        <f>AVERAGE('16.08 BUSUNJU-KAMPALA-24h'!G75,'17.08 BUSUNJU-KAMPALA-24h'!G75)</f>
        <v>0</v>
      </c>
      <c r="H75" s="49">
        <f>AVERAGE('16.08 BUSUNJU-KAMPALA-24h'!H75,'17.08 BUSUNJU-KAMPALA-24h'!H75)</f>
        <v>0</v>
      </c>
      <c r="I75" s="49">
        <f>AVERAGE('16.08 BUSUNJU-KAMPALA-24h'!I75,'17.08 BUSUNJU-KAMPALA-24h'!I75)</f>
        <v>1</v>
      </c>
      <c r="J75" s="49">
        <f>AVERAGE('16.08 BUSUNJU-KAMPALA-24h'!J75,'17.08 BUSUNJU-KAMPALA-24h'!J75)</f>
        <v>0</v>
      </c>
      <c r="K75" s="49">
        <f>AVERAGE('16.08 BUSUNJU-KAMPALA-24h'!K75,'17.08 BUSUNJU-KAMPALA-24h'!K75)</f>
        <v>0</v>
      </c>
      <c r="L75" s="49">
        <f>AVERAGE('16.08 BUSUNJU-KAMPALA-24h'!L75,'17.08 BUSUNJU-KAMPALA-24h'!L75)</f>
        <v>0</v>
      </c>
      <c r="M75" s="49">
        <f>AVERAGE('16.08 BUSUNJU-KAMPALA-24h'!M75,'17.08 BUSUNJU-KAMPALA-24h'!M75)</f>
        <v>8.5</v>
      </c>
      <c r="N75" s="49">
        <f>AVERAGE('16.08 BUSUNJU-KAMPALA-24h'!N75,'17.08 BUSUNJU-KAMPALA-24h'!N75)</f>
        <v>0</v>
      </c>
      <c r="O75" s="15">
        <f t="shared" si="35"/>
        <v>2</v>
      </c>
      <c r="P75" s="15">
        <f t="shared" si="36"/>
        <v>10.5</v>
      </c>
      <c r="R75" s="8"/>
      <c r="T75"/>
    </row>
    <row r="76" spans="2:20" ht="23.1" customHeight="1" x14ac:dyDescent="0.25">
      <c r="B76" s="23" t="s">
        <v>116</v>
      </c>
      <c r="C76" s="49">
        <f>AVERAGE('16.08 BUSUNJU-KAMPALA-24h'!C76,'17.08 BUSUNJU-KAMPALA-24h'!C76)</f>
        <v>1</v>
      </c>
      <c r="D76" s="49">
        <f>AVERAGE('16.08 BUSUNJU-KAMPALA-24h'!D76,'17.08 BUSUNJU-KAMPALA-24h'!D76)</f>
        <v>0</v>
      </c>
      <c r="E76" s="49">
        <f>AVERAGE('16.08 BUSUNJU-KAMPALA-24h'!E76,'17.08 BUSUNJU-KAMPALA-24h'!E76)</f>
        <v>0</v>
      </c>
      <c r="F76" s="49">
        <f>AVERAGE('16.08 BUSUNJU-KAMPALA-24h'!F76,'17.08 BUSUNJU-KAMPALA-24h'!F76)</f>
        <v>0</v>
      </c>
      <c r="G76" s="49">
        <f>AVERAGE('16.08 BUSUNJU-KAMPALA-24h'!G76,'17.08 BUSUNJU-KAMPALA-24h'!G76)</f>
        <v>0</v>
      </c>
      <c r="H76" s="49">
        <f>AVERAGE('16.08 BUSUNJU-KAMPALA-24h'!H76,'17.08 BUSUNJU-KAMPALA-24h'!H76)</f>
        <v>0</v>
      </c>
      <c r="I76" s="49">
        <f>AVERAGE('16.08 BUSUNJU-KAMPALA-24h'!I76,'17.08 BUSUNJU-KAMPALA-24h'!I76)</f>
        <v>0</v>
      </c>
      <c r="J76" s="49">
        <f>AVERAGE('16.08 BUSUNJU-KAMPALA-24h'!J76,'17.08 BUSUNJU-KAMPALA-24h'!J76)</f>
        <v>0</v>
      </c>
      <c r="K76" s="49">
        <f>AVERAGE('16.08 BUSUNJU-KAMPALA-24h'!K76,'17.08 BUSUNJU-KAMPALA-24h'!K76)</f>
        <v>0</v>
      </c>
      <c r="L76" s="49">
        <f>AVERAGE('16.08 BUSUNJU-KAMPALA-24h'!L76,'17.08 BUSUNJU-KAMPALA-24h'!L76)</f>
        <v>0</v>
      </c>
      <c r="M76" s="49">
        <f>AVERAGE('16.08 BUSUNJU-KAMPALA-24h'!M76,'17.08 BUSUNJU-KAMPALA-24h'!M76)</f>
        <v>7</v>
      </c>
      <c r="N76" s="49">
        <f>AVERAGE('16.08 BUSUNJU-KAMPALA-24h'!N76,'17.08 BUSUNJU-KAMPALA-24h'!N76)</f>
        <v>0</v>
      </c>
      <c r="O76" s="15">
        <f t="shared" si="35"/>
        <v>1</v>
      </c>
      <c r="P76" s="15">
        <f t="shared" si="36"/>
        <v>8</v>
      </c>
      <c r="R76" s="8"/>
      <c r="T76"/>
    </row>
    <row r="77" spans="2:20" ht="23.1" customHeight="1" x14ac:dyDescent="0.25">
      <c r="B77" s="23" t="s">
        <v>117</v>
      </c>
      <c r="C77" s="49">
        <f>AVERAGE('16.08 BUSUNJU-KAMPALA-24h'!C77,'17.08 BUSUNJU-KAMPALA-24h'!C77)</f>
        <v>0</v>
      </c>
      <c r="D77" s="49">
        <f>AVERAGE('16.08 BUSUNJU-KAMPALA-24h'!D77,'17.08 BUSUNJU-KAMPALA-24h'!D77)</f>
        <v>0</v>
      </c>
      <c r="E77" s="49">
        <f>AVERAGE('16.08 BUSUNJU-KAMPALA-24h'!E77,'17.08 BUSUNJU-KAMPALA-24h'!E77)</f>
        <v>0</v>
      </c>
      <c r="F77" s="49">
        <f>AVERAGE('16.08 BUSUNJU-KAMPALA-24h'!F77,'17.08 BUSUNJU-KAMPALA-24h'!F77)</f>
        <v>0</v>
      </c>
      <c r="G77" s="49">
        <f>AVERAGE('16.08 BUSUNJU-KAMPALA-24h'!G77,'17.08 BUSUNJU-KAMPALA-24h'!G77)</f>
        <v>0</v>
      </c>
      <c r="H77" s="49">
        <f>AVERAGE('16.08 BUSUNJU-KAMPALA-24h'!H77,'17.08 BUSUNJU-KAMPALA-24h'!H77)</f>
        <v>0</v>
      </c>
      <c r="I77" s="49">
        <f>AVERAGE('16.08 BUSUNJU-KAMPALA-24h'!I77,'17.08 BUSUNJU-KAMPALA-24h'!I77)</f>
        <v>0</v>
      </c>
      <c r="J77" s="49">
        <f>AVERAGE('16.08 BUSUNJU-KAMPALA-24h'!J77,'17.08 BUSUNJU-KAMPALA-24h'!J77)</f>
        <v>0</v>
      </c>
      <c r="K77" s="49">
        <f>AVERAGE('16.08 BUSUNJU-KAMPALA-24h'!K77,'17.08 BUSUNJU-KAMPALA-24h'!K77)</f>
        <v>0</v>
      </c>
      <c r="L77" s="49">
        <f>AVERAGE('16.08 BUSUNJU-KAMPALA-24h'!L77,'17.08 BUSUNJU-KAMPALA-24h'!L77)</f>
        <v>0</v>
      </c>
      <c r="M77" s="49">
        <f>AVERAGE('16.08 BUSUNJU-KAMPALA-24h'!M77,'17.08 BUSUNJU-KAMPALA-24h'!M77)</f>
        <v>5.5</v>
      </c>
      <c r="N77" s="49">
        <f>AVERAGE('16.08 BUSUNJU-KAMPALA-24h'!N77,'17.08 BUSUNJU-KAMPALA-24h'!N77)</f>
        <v>0</v>
      </c>
      <c r="O77" s="15">
        <f t="shared" si="35"/>
        <v>0</v>
      </c>
      <c r="P77" s="15">
        <f t="shared" si="36"/>
        <v>5.5</v>
      </c>
      <c r="R77" s="8"/>
      <c r="T77"/>
    </row>
    <row r="78" spans="2:20" ht="23.1" customHeight="1" x14ac:dyDescent="0.25">
      <c r="B78" s="24" t="s">
        <v>118</v>
      </c>
      <c r="C78" s="49">
        <f>AVERAGE('16.08 BUSUNJU-KAMPALA-24h'!C78,'17.08 BUSUNJU-KAMPALA-24h'!C78)</f>
        <v>1</v>
      </c>
      <c r="D78" s="49">
        <f>AVERAGE('16.08 BUSUNJU-KAMPALA-24h'!D78,'17.08 BUSUNJU-KAMPALA-24h'!D78)</f>
        <v>0</v>
      </c>
      <c r="E78" s="49">
        <f>AVERAGE('16.08 BUSUNJU-KAMPALA-24h'!E78,'17.08 BUSUNJU-KAMPALA-24h'!E78)</f>
        <v>1</v>
      </c>
      <c r="F78" s="49">
        <f>AVERAGE('16.08 BUSUNJU-KAMPALA-24h'!F78,'17.08 BUSUNJU-KAMPALA-24h'!F78)</f>
        <v>0</v>
      </c>
      <c r="G78" s="49">
        <f>AVERAGE('16.08 BUSUNJU-KAMPALA-24h'!G78,'17.08 BUSUNJU-KAMPALA-24h'!G78)</f>
        <v>0</v>
      </c>
      <c r="H78" s="49">
        <f>AVERAGE('16.08 BUSUNJU-KAMPALA-24h'!H78,'17.08 BUSUNJU-KAMPALA-24h'!H78)</f>
        <v>0</v>
      </c>
      <c r="I78" s="49">
        <f>AVERAGE('16.08 BUSUNJU-KAMPALA-24h'!I78,'17.08 BUSUNJU-KAMPALA-24h'!I78)</f>
        <v>0</v>
      </c>
      <c r="J78" s="49">
        <f>AVERAGE('16.08 BUSUNJU-KAMPALA-24h'!J78,'17.08 BUSUNJU-KAMPALA-24h'!J78)</f>
        <v>0</v>
      </c>
      <c r="K78" s="49">
        <f>AVERAGE('16.08 BUSUNJU-KAMPALA-24h'!K78,'17.08 BUSUNJU-KAMPALA-24h'!K78)</f>
        <v>0</v>
      </c>
      <c r="L78" s="49">
        <f>AVERAGE('16.08 BUSUNJU-KAMPALA-24h'!L78,'17.08 BUSUNJU-KAMPALA-24h'!L78)</f>
        <v>0</v>
      </c>
      <c r="M78" s="49">
        <f>AVERAGE('16.08 BUSUNJU-KAMPALA-24h'!M78,'17.08 BUSUNJU-KAMPALA-24h'!M78)</f>
        <v>6</v>
      </c>
      <c r="N78" s="49">
        <f>AVERAGE('16.08 BUSUNJU-KAMPALA-24h'!N78,'17.08 BUSUNJU-KAMPALA-24h'!N78)</f>
        <v>0</v>
      </c>
      <c r="O78" s="15">
        <f t="shared" si="35"/>
        <v>2</v>
      </c>
      <c r="P78" s="15">
        <f t="shared" si="36"/>
        <v>8</v>
      </c>
      <c r="R78" s="8"/>
      <c r="T78"/>
    </row>
    <row r="79" spans="2:20" ht="23.1" customHeight="1" x14ac:dyDescent="0.25">
      <c r="B79" s="23" t="s">
        <v>119</v>
      </c>
      <c r="C79" s="49">
        <f>AVERAGE('16.08 BUSUNJU-KAMPALA-24h'!C79,'17.08 BUSUNJU-KAMPALA-24h'!C79)</f>
        <v>0</v>
      </c>
      <c r="D79" s="49">
        <f>AVERAGE('16.08 BUSUNJU-KAMPALA-24h'!D79,'17.08 BUSUNJU-KAMPALA-24h'!D79)</f>
        <v>0</v>
      </c>
      <c r="E79" s="49">
        <f>AVERAGE('16.08 BUSUNJU-KAMPALA-24h'!E79,'17.08 BUSUNJU-KAMPALA-24h'!E79)</f>
        <v>0</v>
      </c>
      <c r="F79" s="49">
        <f>AVERAGE('16.08 BUSUNJU-KAMPALA-24h'!F79,'17.08 BUSUNJU-KAMPALA-24h'!F79)</f>
        <v>0</v>
      </c>
      <c r="G79" s="49">
        <f>AVERAGE('16.08 BUSUNJU-KAMPALA-24h'!G79,'17.08 BUSUNJU-KAMPALA-24h'!G79)</f>
        <v>0</v>
      </c>
      <c r="H79" s="49">
        <f>AVERAGE('16.08 BUSUNJU-KAMPALA-24h'!H79,'17.08 BUSUNJU-KAMPALA-24h'!H79)</f>
        <v>0</v>
      </c>
      <c r="I79" s="49">
        <f>AVERAGE('16.08 BUSUNJU-KAMPALA-24h'!I79,'17.08 BUSUNJU-KAMPALA-24h'!I79)</f>
        <v>1</v>
      </c>
      <c r="J79" s="49">
        <f>AVERAGE('16.08 BUSUNJU-KAMPALA-24h'!J79,'17.08 BUSUNJU-KAMPALA-24h'!J79)</f>
        <v>0</v>
      </c>
      <c r="K79" s="49">
        <f>AVERAGE('16.08 BUSUNJU-KAMPALA-24h'!K79,'17.08 BUSUNJU-KAMPALA-24h'!K79)</f>
        <v>0</v>
      </c>
      <c r="L79" s="49">
        <f>AVERAGE('16.08 BUSUNJU-KAMPALA-24h'!L79,'17.08 BUSUNJU-KAMPALA-24h'!L79)</f>
        <v>0</v>
      </c>
      <c r="M79" s="49">
        <f>AVERAGE('16.08 BUSUNJU-KAMPALA-24h'!M79,'17.08 BUSUNJU-KAMPALA-24h'!M79)</f>
        <v>5.5</v>
      </c>
      <c r="N79" s="49">
        <f>AVERAGE('16.08 BUSUNJU-KAMPALA-24h'!N79,'17.08 BUSUNJU-KAMPALA-24h'!N79)</f>
        <v>0</v>
      </c>
      <c r="O79" s="15">
        <f t="shared" si="35"/>
        <v>1</v>
      </c>
      <c r="P79" s="15">
        <f t="shared" si="36"/>
        <v>6.5</v>
      </c>
      <c r="R79" s="8"/>
      <c r="T79"/>
    </row>
    <row r="80" spans="2:20" ht="23.1" customHeight="1" x14ac:dyDescent="0.25">
      <c r="B80" s="25" t="s">
        <v>120</v>
      </c>
      <c r="C80" s="49">
        <f>AVERAGE('16.08 BUSUNJU-KAMPALA-24h'!C80,'17.08 BUSUNJU-KAMPALA-24h'!C80)</f>
        <v>0</v>
      </c>
      <c r="D80" s="49">
        <f>AVERAGE('16.08 BUSUNJU-KAMPALA-24h'!D80,'17.08 BUSUNJU-KAMPALA-24h'!D80)</f>
        <v>0</v>
      </c>
      <c r="E80" s="49">
        <f>AVERAGE('16.08 BUSUNJU-KAMPALA-24h'!E80,'17.08 BUSUNJU-KAMPALA-24h'!E80)</f>
        <v>0</v>
      </c>
      <c r="F80" s="49">
        <f>AVERAGE('16.08 BUSUNJU-KAMPALA-24h'!F80,'17.08 BUSUNJU-KAMPALA-24h'!F80)</f>
        <v>0</v>
      </c>
      <c r="G80" s="49">
        <f>AVERAGE('16.08 BUSUNJU-KAMPALA-24h'!G80,'17.08 BUSUNJU-KAMPALA-24h'!G80)</f>
        <v>0</v>
      </c>
      <c r="H80" s="49">
        <f>AVERAGE('16.08 BUSUNJU-KAMPALA-24h'!H80,'17.08 BUSUNJU-KAMPALA-24h'!H80)</f>
        <v>0</v>
      </c>
      <c r="I80" s="49">
        <f>AVERAGE('16.08 BUSUNJU-KAMPALA-24h'!I80,'17.08 BUSUNJU-KAMPALA-24h'!I80)</f>
        <v>1</v>
      </c>
      <c r="J80" s="49">
        <f>AVERAGE('16.08 BUSUNJU-KAMPALA-24h'!J80,'17.08 BUSUNJU-KAMPALA-24h'!J80)</f>
        <v>0</v>
      </c>
      <c r="K80" s="49">
        <f>AVERAGE('16.08 BUSUNJU-KAMPALA-24h'!K80,'17.08 BUSUNJU-KAMPALA-24h'!K80)</f>
        <v>0</v>
      </c>
      <c r="L80" s="49">
        <f>AVERAGE('16.08 BUSUNJU-KAMPALA-24h'!L80,'17.08 BUSUNJU-KAMPALA-24h'!L80)</f>
        <v>0</v>
      </c>
      <c r="M80" s="49">
        <f>AVERAGE('16.08 BUSUNJU-KAMPALA-24h'!M80,'17.08 BUSUNJU-KAMPALA-24h'!M80)</f>
        <v>4</v>
      </c>
      <c r="N80" s="49">
        <f>AVERAGE('16.08 BUSUNJU-KAMPALA-24h'!N80,'17.08 BUSUNJU-KAMPALA-24h'!N80)</f>
        <v>0</v>
      </c>
      <c r="O80" s="15">
        <f t="shared" si="35"/>
        <v>1</v>
      </c>
      <c r="P80" s="15">
        <f t="shared" si="36"/>
        <v>5</v>
      </c>
      <c r="R80" s="8"/>
      <c r="T80"/>
    </row>
    <row r="81" spans="2:20" ht="23.1" customHeight="1" x14ac:dyDescent="0.25">
      <c r="B81" s="23" t="s">
        <v>121</v>
      </c>
      <c r="C81" s="49">
        <f>AVERAGE('16.08 BUSUNJU-KAMPALA-24h'!C81,'17.08 BUSUNJU-KAMPALA-24h'!C81)</f>
        <v>0</v>
      </c>
      <c r="D81" s="49">
        <f>AVERAGE('16.08 BUSUNJU-KAMPALA-24h'!D81,'17.08 BUSUNJU-KAMPALA-24h'!D81)</f>
        <v>0</v>
      </c>
      <c r="E81" s="49">
        <f>AVERAGE('16.08 BUSUNJU-KAMPALA-24h'!E81,'17.08 BUSUNJU-KAMPALA-24h'!E81)</f>
        <v>0</v>
      </c>
      <c r="F81" s="49">
        <f>AVERAGE('16.08 BUSUNJU-KAMPALA-24h'!F81,'17.08 BUSUNJU-KAMPALA-24h'!F81)</f>
        <v>0</v>
      </c>
      <c r="G81" s="49">
        <f>AVERAGE('16.08 BUSUNJU-KAMPALA-24h'!G81,'17.08 BUSUNJU-KAMPALA-24h'!G81)</f>
        <v>0</v>
      </c>
      <c r="H81" s="49">
        <f>AVERAGE('16.08 BUSUNJU-KAMPALA-24h'!H81,'17.08 BUSUNJU-KAMPALA-24h'!H81)</f>
        <v>0</v>
      </c>
      <c r="I81" s="49">
        <f>AVERAGE('16.08 BUSUNJU-KAMPALA-24h'!I81,'17.08 BUSUNJU-KAMPALA-24h'!I81)</f>
        <v>0</v>
      </c>
      <c r="J81" s="49">
        <f>AVERAGE('16.08 BUSUNJU-KAMPALA-24h'!J81,'17.08 BUSUNJU-KAMPALA-24h'!J81)</f>
        <v>0</v>
      </c>
      <c r="K81" s="49">
        <f>AVERAGE('16.08 BUSUNJU-KAMPALA-24h'!K81,'17.08 BUSUNJU-KAMPALA-24h'!K81)</f>
        <v>0</v>
      </c>
      <c r="L81" s="49">
        <f>AVERAGE('16.08 BUSUNJU-KAMPALA-24h'!L81,'17.08 BUSUNJU-KAMPALA-24h'!L81)</f>
        <v>0</v>
      </c>
      <c r="M81" s="49">
        <f>AVERAGE('16.08 BUSUNJU-KAMPALA-24h'!M81,'17.08 BUSUNJU-KAMPALA-24h'!M81)</f>
        <v>4</v>
      </c>
      <c r="N81" s="49">
        <f>AVERAGE('16.08 BUSUNJU-KAMPALA-24h'!N81,'17.08 BUSUNJU-KAMPALA-24h'!N81)</f>
        <v>0</v>
      </c>
      <c r="O81" s="15">
        <f t="shared" si="35"/>
        <v>0</v>
      </c>
      <c r="P81" s="15">
        <f t="shared" si="36"/>
        <v>4</v>
      </c>
      <c r="R81" s="8"/>
      <c r="T81"/>
    </row>
    <row r="82" spans="2:20" ht="23.1" customHeight="1" x14ac:dyDescent="0.25">
      <c r="B82" s="24" t="s">
        <v>122</v>
      </c>
      <c r="C82" s="49">
        <f>AVERAGE('16.08 BUSUNJU-KAMPALA-24h'!C82,'17.08 BUSUNJU-KAMPALA-24h'!C82)</f>
        <v>0</v>
      </c>
      <c r="D82" s="49">
        <f>AVERAGE('16.08 BUSUNJU-KAMPALA-24h'!D82,'17.08 BUSUNJU-KAMPALA-24h'!D82)</f>
        <v>0</v>
      </c>
      <c r="E82" s="49">
        <f>AVERAGE('16.08 BUSUNJU-KAMPALA-24h'!E82,'17.08 BUSUNJU-KAMPALA-24h'!E82)</f>
        <v>0</v>
      </c>
      <c r="F82" s="49">
        <f>AVERAGE('16.08 BUSUNJU-KAMPALA-24h'!F82,'17.08 BUSUNJU-KAMPALA-24h'!F82)</f>
        <v>0</v>
      </c>
      <c r="G82" s="49">
        <f>AVERAGE('16.08 BUSUNJU-KAMPALA-24h'!G82,'17.08 BUSUNJU-KAMPALA-24h'!G82)</f>
        <v>0</v>
      </c>
      <c r="H82" s="49">
        <f>AVERAGE('16.08 BUSUNJU-KAMPALA-24h'!H82,'17.08 BUSUNJU-KAMPALA-24h'!H82)</f>
        <v>0</v>
      </c>
      <c r="I82" s="49">
        <f>AVERAGE('16.08 BUSUNJU-KAMPALA-24h'!I82,'17.08 BUSUNJU-KAMPALA-24h'!I82)</f>
        <v>0</v>
      </c>
      <c r="J82" s="49">
        <f>AVERAGE('16.08 BUSUNJU-KAMPALA-24h'!J82,'17.08 BUSUNJU-KAMPALA-24h'!J82)</f>
        <v>0</v>
      </c>
      <c r="K82" s="49">
        <f>AVERAGE('16.08 BUSUNJU-KAMPALA-24h'!K82,'17.08 BUSUNJU-KAMPALA-24h'!K82)</f>
        <v>0</v>
      </c>
      <c r="L82" s="49">
        <f>AVERAGE('16.08 BUSUNJU-KAMPALA-24h'!L82,'17.08 BUSUNJU-KAMPALA-24h'!L82)</f>
        <v>0</v>
      </c>
      <c r="M82" s="49">
        <f>AVERAGE('16.08 BUSUNJU-KAMPALA-24h'!M82,'17.08 BUSUNJU-KAMPALA-24h'!M82)</f>
        <v>3</v>
      </c>
      <c r="N82" s="49">
        <f>AVERAGE('16.08 BUSUNJU-KAMPALA-24h'!N82,'17.08 BUSUNJU-KAMPALA-24h'!N82)</f>
        <v>0</v>
      </c>
      <c r="O82" s="15">
        <f t="shared" si="35"/>
        <v>0</v>
      </c>
      <c r="P82" s="15">
        <f t="shared" si="36"/>
        <v>3</v>
      </c>
      <c r="R82" s="8"/>
      <c r="T82"/>
    </row>
    <row r="83" spans="2:20" ht="23.1" customHeight="1" x14ac:dyDescent="0.25">
      <c r="B83" s="23" t="s">
        <v>123</v>
      </c>
      <c r="C83" s="49">
        <f>AVERAGE('16.08 BUSUNJU-KAMPALA-24h'!C83,'17.08 BUSUNJU-KAMPALA-24h'!C83)</f>
        <v>0</v>
      </c>
      <c r="D83" s="49">
        <f>AVERAGE('16.08 BUSUNJU-KAMPALA-24h'!D83,'17.08 BUSUNJU-KAMPALA-24h'!D83)</f>
        <v>0</v>
      </c>
      <c r="E83" s="49">
        <f>AVERAGE('16.08 BUSUNJU-KAMPALA-24h'!E83,'17.08 BUSUNJU-KAMPALA-24h'!E83)</f>
        <v>0</v>
      </c>
      <c r="F83" s="49">
        <f>AVERAGE('16.08 BUSUNJU-KAMPALA-24h'!F83,'17.08 BUSUNJU-KAMPALA-24h'!F83)</f>
        <v>0</v>
      </c>
      <c r="G83" s="49">
        <f>AVERAGE('16.08 BUSUNJU-KAMPALA-24h'!G83,'17.08 BUSUNJU-KAMPALA-24h'!G83)</f>
        <v>0</v>
      </c>
      <c r="H83" s="49">
        <f>AVERAGE('16.08 BUSUNJU-KAMPALA-24h'!H83,'17.08 BUSUNJU-KAMPALA-24h'!H83)</f>
        <v>0</v>
      </c>
      <c r="I83" s="49">
        <f>AVERAGE('16.08 BUSUNJU-KAMPALA-24h'!I83,'17.08 BUSUNJU-KAMPALA-24h'!I83)</f>
        <v>0</v>
      </c>
      <c r="J83" s="49">
        <f>AVERAGE('16.08 BUSUNJU-KAMPALA-24h'!J83,'17.08 BUSUNJU-KAMPALA-24h'!J83)</f>
        <v>0</v>
      </c>
      <c r="K83" s="49">
        <f>AVERAGE('16.08 BUSUNJU-KAMPALA-24h'!K83,'17.08 BUSUNJU-KAMPALA-24h'!K83)</f>
        <v>0</v>
      </c>
      <c r="L83" s="49">
        <f>AVERAGE('16.08 BUSUNJU-KAMPALA-24h'!L83,'17.08 BUSUNJU-KAMPALA-24h'!L83)</f>
        <v>0</v>
      </c>
      <c r="M83" s="49">
        <f>AVERAGE('16.08 BUSUNJU-KAMPALA-24h'!M83,'17.08 BUSUNJU-KAMPALA-24h'!M83)</f>
        <v>3</v>
      </c>
      <c r="N83" s="49">
        <f>AVERAGE('16.08 BUSUNJU-KAMPALA-24h'!N83,'17.08 BUSUNJU-KAMPALA-24h'!N83)</f>
        <v>0</v>
      </c>
      <c r="O83" s="15">
        <f t="shared" si="35"/>
        <v>0</v>
      </c>
      <c r="P83" s="15">
        <f t="shared" si="36"/>
        <v>3</v>
      </c>
      <c r="R83" s="8"/>
      <c r="T83"/>
    </row>
    <row r="84" spans="2:20" ht="23.1" customHeight="1" x14ac:dyDescent="0.25">
      <c r="B84" s="25" t="s">
        <v>124</v>
      </c>
      <c r="C84" s="49">
        <f>AVERAGE('16.08 BUSUNJU-KAMPALA-24h'!C84,'17.08 BUSUNJU-KAMPALA-24h'!C84)</f>
        <v>0</v>
      </c>
      <c r="D84" s="49">
        <f>AVERAGE('16.08 BUSUNJU-KAMPALA-24h'!D84,'17.08 BUSUNJU-KAMPALA-24h'!D84)</f>
        <v>0</v>
      </c>
      <c r="E84" s="49">
        <f>AVERAGE('16.08 BUSUNJU-KAMPALA-24h'!E84,'17.08 BUSUNJU-KAMPALA-24h'!E84)</f>
        <v>0</v>
      </c>
      <c r="F84" s="49">
        <f>AVERAGE('16.08 BUSUNJU-KAMPALA-24h'!F84,'17.08 BUSUNJU-KAMPALA-24h'!F84)</f>
        <v>0</v>
      </c>
      <c r="G84" s="49">
        <f>AVERAGE('16.08 BUSUNJU-KAMPALA-24h'!G84,'17.08 BUSUNJU-KAMPALA-24h'!G84)</f>
        <v>0</v>
      </c>
      <c r="H84" s="49">
        <f>AVERAGE('16.08 BUSUNJU-KAMPALA-24h'!H84,'17.08 BUSUNJU-KAMPALA-24h'!H84)</f>
        <v>0</v>
      </c>
      <c r="I84" s="49">
        <f>AVERAGE('16.08 BUSUNJU-KAMPALA-24h'!I84,'17.08 BUSUNJU-KAMPALA-24h'!I84)</f>
        <v>0</v>
      </c>
      <c r="J84" s="49">
        <f>AVERAGE('16.08 BUSUNJU-KAMPALA-24h'!J84,'17.08 BUSUNJU-KAMPALA-24h'!J84)</f>
        <v>0</v>
      </c>
      <c r="K84" s="49">
        <f>AVERAGE('16.08 BUSUNJU-KAMPALA-24h'!K84,'17.08 BUSUNJU-KAMPALA-24h'!K84)</f>
        <v>0</v>
      </c>
      <c r="L84" s="49">
        <f>AVERAGE('16.08 BUSUNJU-KAMPALA-24h'!L84,'17.08 BUSUNJU-KAMPALA-24h'!L84)</f>
        <v>0</v>
      </c>
      <c r="M84" s="49">
        <f>AVERAGE('16.08 BUSUNJU-KAMPALA-24h'!M84,'17.08 BUSUNJU-KAMPALA-24h'!M84)</f>
        <v>3</v>
      </c>
      <c r="N84" s="49">
        <f>AVERAGE('16.08 BUSUNJU-KAMPALA-24h'!N84,'17.08 BUSUNJU-KAMPALA-24h'!N84)</f>
        <v>0</v>
      </c>
      <c r="O84" s="15">
        <f t="shared" si="35"/>
        <v>0</v>
      </c>
      <c r="P84" s="15">
        <f t="shared" si="36"/>
        <v>3</v>
      </c>
      <c r="R84" s="8"/>
      <c r="T84"/>
    </row>
    <row r="85" spans="2:20" ht="23.1" customHeight="1" x14ac:dyDescent="0.25">
      <c r="B85" s="23" t="s">
        <v>125</v>
      </c>
      <c r="C85" s="49">
        <f>AVERAGE('16.08 BUSUNJU-KAMPALA-24h'!C85,'17.08 BUSUNJU-KAMPALA-24h'!C85)</f>
        <v>0</v>
      </c>
      <c r="D85" s="49">
        <f>AVERAGE('16.08 BUSUNJU-KAMPALA-24h'!D85,'17.08 BUSUNJU-KAMPALA-24h'!D85)</f>
        <v>0</v>
      </c>
      <c r="E85" s="49">
        <f>AVERAGE('16.08 BUSUNJU-KAMPALA-24h'!E85,'17.08 BUSUNJU-KAMPALA-24h'!E85)</f>
        <v>0</v>
      </c>
      <c r="F85" s="49">
        <f>AVERAGE('16.08 BUSUNJU-KAMPALA-24h'!F85,'17.08 BUSUNJU-KAMPALA-24h'!F85)</f>
        <v>0</v>
      </c>
      <c r="G85" s="49">
        <f>AVERAGE('16.08 BUSUNJU-KAMPALA-24h'!G85,'17.08 BUSUNJU-KAMPALA-24h'!G85)</f>
        <v>0</v>
      </c>
      <c r="H85" s="49">
        <f>AVERAGE('16.08 BUSUNJU-KAMPALA-24h'!H85,'17.08 BUSUNJU-KAMPALA-24h'!H85)</f>
        <v>0</v>
      </c>
      <c r="I85" s="49">
        <f>AVERAGE('16.08 BUSUNJU-KAMPALA-24h'!I85,'17.08 BUSUNJU-KAMPALA-24h'!I85)</f>
        <v>0</v>
      </c>
      <c r="J85" s="49">
        <f>AVERAGE('16.08 BUSUNJU-KAMPALA-24h'!J85,'17.08 BUSUNJU-KAMPALA-24h'!J85)</f>
        <v>0</v>
      </c>
      <c r="K85" s="49">
        <f>AVERAGE('16.08 BUSUNJU-KAMPALA-24h'!K85,'17.08 BUSUNJU-KAMPALA-24h'!K85)</f>
        <v>0</v>
      </c>
      <c r="L85" s="49">
        <f>AVERAGE('16.08 BUSUNJU-KAMPALA-24h'!L85,'17.08 BUSUNJU-KAMPALA-24h'!L85)</f>
        <v>0</v>
      </c>
      <c r="M85" s="49">
        <f>AVERAGE('16.08 BUSUNJU-KAMPALA-24h'!M85,'17.08 BUSUNJU-KAMPALA-24h'!M85)</f>
        <v>3</v>
      </c>
      <c r="N85" s="49">
        <f>AVERAGE('16.08 BUSUNJU-KAMPALA-24h'!N85,'17.08 BUSUNJU-KAMPALA-24h'!N85)</f>
        <v>0</v>
      </c>
      <c r="O85" s="15">
        <f t="shared" si="35"/>
        <v>0</v>
      </c>
      <c r="P85" s="15">
        <f t="shared" si="36"/>
        <v>3</v>
      </c>
      <c r="R85" s="8"/>
      <c r="T85"/>
    </row>
    <row r="86" spans="2:20" ht="23.1" customHeight="1" x14ac:dyDescent="0.25">
      <c r="B86" s="24" t="s">
        <v>126</v>
      </c>
      <c r="C86" s="49">
        <f>AVERAGE('16.08 BUSUNJU-KAMPALA-24h'!C86,'17.08 BUSUNJU-KAMPALA-24h'!C86)</f>
        <v>0</v>
      </c>
      <c r="D86" s="49">
        <f>AVERAGE('16.08 BUSUNJU-KAMPALA-24h'!D86,'17.08 BUSUNJU-KAMPALA-24h'!D86)</f>
        <v>0</v>
      </c>
      <c r="E86" s="49">
        <f>AVERAGE('16.08 BUSUNJU-KAMPALA-24h'!E86,'17.08 BUSUNJU-KAMPALA-24h'!E86)</f>
        <v>0</v>
      </c>
      <c r="F86" s="49">
        <f>AVERAGE('16.08 BUSUNJU-KAMPALA-24h'!F86,'17.08 BUSUNJU-KAMPALA-24h'!F86)</f>
        <v>0</v>
      </c>
      <c r="G86" s="49">
        <f>AVERAGE('16.08 BUSUNJU-KAMPALA-24h'!G86,'17.08 BUSUNJU-KAMPALA-24h'!G86)</f>
        <v>0</v>
      </c>
      <c r="H86" s="49">
        <f>AVERAGE('16.08 BUSUNJU-KAMPALA-24h'!H86,'17.08 BUSUNJU-KAMPALA-24h'!H86)</f>
        <v>0</v>
      </c>
      <c r="I86" s="49">
        <f>AVERAGE('16.08 BUSUNJU-KAMPALA-24h'!I86,'17.08 BUSUNJU-KAMPALA-24h'!I86)</f>
        <v>0</v>
      </c>
      <c r="J86" s="49">
        <f>AVERAGE('16.08 BUSUNJU-KAMPALA-24h'!J86,'17.08 BUSUNJU-KAMPALA-24h'!J86)</f>
        <v>0</v>
      </c>
      <c r="K86" s="49">
        <f>AVERAGE('16.08 BUSUNJU-KAMPALA-24h'!K86,'17.08 BUSUNJU-KAMPALA-24h'!K86)</f>
        <v>0</v>
      </c>
      <c r="L86" s="49">
        <f>AVERAGE('16.08 BUSUNJU-KAMPALA-24h'!L86,'17.08 BUSUNJU-KAMPALA-24h'!L86)</f>
        <v>0</v>
      </c>
      <c r="M86" s="49">
        <f>AVERAGE('16.08 BUSUNJU-KAMPALA-24h'!M86,'17.08 BUSUNJU-KAMPALA-24h'!M86)</f>
        <v>2.5</v>
      </c>
      <c r="N86" s="49">
        <f>AVERAGE('16.08 BUSUNJU-KAMPALA-24h'!N86,'17.08 BUSUNJU-KAMPALA-24h'!N86)</f>
        <v>0</v>
      </c>
      <c r="O86" s="15">
        <f t="shared" si="35"/>
        <v>0</v>
      </c>
      <c r="P86" s="15">
        <f t="shared" si="36"/>
        <v>2.5</v>
      </c>
      <c r="R86" s="8"/>
      <c r="T86"/>
    </row>
    <row r="87" spans="2:20" ht="23.1" customHeight="1" x14ac:dyDescent="0.25">
      <c r="B87" s="23" t="s">
        <v>127</v>
      </c>
      <c r="C87" s="49">
        <f>AVERAGE('16.08 BUSUNJU-KAMPALA-24h'!C87,'17.08 BUSUNJU-KAMPALA-24h'!C87)</f>
        <v>0</v>
      </c>
      <c r="D87" s="49">
        <f>AVERAGE('16.08 BUSUNJU-KAMPALA-24h'!D87,'17.08 BUSUNJU-KAMPALA-24h'!D87)</f>
        <v>0</v>
      </c>
      <c r="E87" s="49">
        <f>AVERAGE('16.08 BUSUNJU-KAMPALA-24h'!E87,'17.08 BUSUNJU-KAMPALA-24h'!E87)</f>
        <v>0</v>
      </c>
      <c r="F87" s="49">
        <f>AVERAGE('16.08 BUSUNJU-KAMPALA-24h'!F87,'17.08 BUSUNJU-KAMPALA-24h'!F87)</f>
        <v>0</v>
      </c>
      <c r="G87" s="49">
        <f>AVERAGE('16.08 BUSUNJU-KAMPALA-24h'!G87,'17.08 BUSUNJU-KAMPALA-24h'!G87)</f>
        <v>0</v>
      </c>
      <c r="H87" s="49">
        <f>AVERAGE('16.08 BUSUNJU-KAMPALA-24h'!H87,'17.08 BUSUNJU-KAMPALA-24h'!H87)</f>
        <v>0</v>
      </c>
      <c r="I87" s="49">
        <f>AVERAGE('16.08 BUSUNJU-KAMPALA-24h'!I87,'17.08 BUSUNJU-KAMPALA-24h'!I87)</f>
        <v>0</v>
      </c>
      <c r="J87" s="49">
        <f>AVERAGE('16.08 BUSUNJU-KAMPALA-24h'!J87,'17.08 BUSUNJU-KAMPALA-24h'!J87)</f>
        <v>0</v>
      </c>
      <c r="K87" s="49">
        <f>AVERAGE('16.08 BUSUNJU-KAMPALA-24h'!K87,'17.08 BUSUNJU-KAMPALA-24h'!K87)</f>
        <v>0</v>
      </c>
      <c r="L87" s="49">
        <f>AVERAGE('16.08 BUSUNJU-KAMPALA-24h'!L87,'17.08 BUSUNJU-KAMPALA-24h'!L87)</f>
        <v>0</v>
      </c>
      <c r="M87" s="49">
        <f>AVERAGE('16.08 BUSUNJU-KAMPALA-24h'!M87,'17.08 BUSUNJU-KAMPALA-24h'!M87)</f>
        <v>2.5</v>
      </c>
      <c r="N87" s="49">
        <f>AVERAGE('16.08 BUSUNJU-KAMPALA-24h'!N87,'17.08 BUSUNJU-KAMPALA-24h'!N87)</f>
        <v>0</v>
      </c>
      <c r="O87" s="15">
        <f t="shared" si="35"/>
        <v>0</v>
      </c>
      <c r="P87" s="15">
        <f t="shared" si="36"/>
        <v>2.5</v>
      </c>
      <c r="R87" s="8"/>
      <c r="T87"/>
    </row>
    <row r="88" spans="2:20" ht="23.1" customHeight="1" x14ac:dyDescent="0.25">
      <c r="B88" s="25" t="s">
        <v>128</v>
      </c>
      <c r="C88" s="49">
        <f>AVERAGE('16.08 BUSUNJU-KAMPALA-24h'!C88,'17.08 BUSUNJU-KAMPALA-24h'!C88)</f>
        <v>0</v>
      </c>
      <c r="D88" s="49">
        <f>AVERAGE('16.08 BUSUNJU-KAMPALA-24h'!D88,'17.08 BUSUNJU-KAMPALA-24h'!D88)</f>
        <v>0</v>
      </c>
      <c r="E88" s="49">
        <f>AVERAGE('16.08 BUSUNJU-KAMPALA-24h'!E88,'17.08 BUSUNJU-KAMPALA-24h'!E88)</f>
        <v>0</v>
      </c>
      <c r="F88" s="49">
        <f>AVERAGE('16.08 BUSUNJU-KAMPALA-24h'!F88,'17.08 BUSUNJU-KAMPALA-24h'!F88)</f>
        <v>0</v>
      </c>
      <c r="G88" s="49">
        <f>AVERAGE('16.08 BUSUNJU-KAMPALA-24h'!G88,'17.08 BUSUNJU-KAMPALA-24h'!G88)</f>
        <v>0</v>
      </c>
      <c r="H88" s="49">
        <f>AVERAGE('16.08 BUSUNJU-KAMPALA-24h'!H88,'17.08 BUSUNJU-KAMPALA-24h'!H88)</f>
        <v>0</v>
      </c>
      <c r="I88" s="49">
        <f>AVERAGE('16.08 BUSUNJU-KAMPALA-24h'!I88,'17.08 BUSUNJU-KAMPALA-24h'!I88)</f>
        <v>0</v>
      </c>
      <c r="J88" s="49">
        <f>AVERAGE('16.08 BUSUNJU-KAMPALA-24h'!J88,'17.08 BUSUNJU-KAMPALA-24h'!J88)</f>
        <v>0</v>
      </c>
      <c r="K88" s="49">
        <f>AVERAGE('16.08 BUSUNJU-KAMPALA-24h'!K88,'17.08 BUSUNJU-KAMPALA-24h'!K88)</f>
        <v>0</v>
      </c>
      <c r="L88" s="49">
        <f>AVERAGE('16.08 BUSUNJU-KAMPALA-24h'!L88,'17.08 BUSUNJU-KAMPALA-24h'!L88)</f>
        <v>0</v>
      </c>
      <c r="M88" s="49">
        <f>AVERAGE('16.08 BUSUNJU-KAMPALA-24h'!M88,'17.08 BUSUNJU-KAMPALA-24h'!M88)</f>
        <v>2.5</v>
      </c>
      <c r="N88" s="49">
        <f>AVERAGE('16.08 BUSUNJU-KAMPALA-24h'!N88,'17.08 BUSUNJU-KAMPALA-24h'!N88)</f>
        <v>0</v>
      </c>
      <c r="O88" s="15">
        <f t="shared" si="35"/>
        <v>0</v>
      </c>
      <c r="P88" s="15">
        <f t="shared" si="36"/>
        <v>2.5</v>
      </c>
      <c r="R88" s="8"/>
      <c r="T88"/>
    </row>
    <row r="89" spans="2:20" ht="23.1" customHeight="1" x14ac:dyDescent="0.25">
      <c r="B89" s="23" t="s">
        <v>129</v>
      </c>
      <c r="C89" s="49">
        <f>AVERAGE('16.08 BUSUNJU-KAMPALA-24h'!C89,'17.08 BUSUNJU-KAMPALA-24h'!C89)</f>
        <v>0</v>
      </c>
      <c r="D89" s="49">
        <f>AVERAGE('16.08 BUSUNJU-KAMPALA-24h'!D89,'17.08 BUSUNJU-KAMPALA-24h'!D89)</f>
        <v>0</v>
      </c>
      <c r="E89" s="49">
        <f>AVERAGE('16.08 BUSUNJU-KAMPALA-24h'!E89,'17.08 BUSUNJU-KAMPALA-24h'!E89)</f>
        <v>0</v>
      </c>
      <c r="F89" s="49">
        <f>AVERAGE('16.08 BUSUNJU-KAMPALA-24h'!F89,'17.08 BUSUNJU-KAMPALA-24h'!F89)</f>
        <v>0</v>
      </c>
      <c r="G89" s="49">
        <f>AVERAGE('16.08 BUSUNJU-KAMPALA-24h'!G89,'17.08 BUSUNJU-KAMPALA-24h'!G89)</f>
        <v>0</v>
      </c>
      <c r="H89" s="49">
        <f>AVERAGE('16.08 BUSUNJU-KAMPALA-24h'!H89,'17.08 BUSUNJU-KAMPALA-24h'!H89)</f>
        <v>0</v>
      </c>
      <c r="I89" s="49">
        <f>AVERAGE('16.08 BUSUNJU-KAMPALA-24h'!I89,'17.08 BUSUNJU-KAMPALA-24h'!I89)</f>
        <v>0</v>
      </c>
      <c r="J89" s="49">
        <f>AVERAGE('16.08 BUSUNJU-KAMPALA-24h'!J89,'17.08 BUSUNJU-KAMPALA-24h'!J89)</f>
        <v>0</v>
      </c>
      <c r="K89" s="49">
        <f>AVERAGE('16.08 BUSUNJU-KAMPALA-24h'!K89,'17.08 BUSUNJU-KAMPALA-24h'!K89)</f>
        <v>0</v>
      </c>
      <c r="L89" s="49">
        <f>AVERAGE('16.08 BUSUNJU-KAMPALA-24h'!L89,'17.08 BUSUNJU-KAMPALA-24h'!L89)</f>
        <v>0</v>
      </c>
      <c r="M89" s="49">
        <f>AVERAGE('16.08 BUSUNJU-KAMPALA-24h'!M89,'17.08 BUSUNJU-KAMPALA-24h'!M89)</f>
        <v>2.5</v>
      </c>
      <c r="N89" s="49">
        <f>AVERAGE('16.08 BUSUNJU-KAMPALA-24h'!N89,'17.08 BUSUNJU-KAMPALA-24h'!N89)</f>
        <v>0</v>
      </c>
      <c r="O89" s="15">
        <f t="shared" si="35"/>
        <v>0</v>
      </c>
      <c r="P89" s="15">
        <f t="shared" si="36"/>
        <v>2.5</v>
      </c>
      <c r="R89" s="8"/>
      <c r="T89"/>
    </row>
    <row r="90" spans="2:20" ht="23.1" customHeight="1" x14ac:dyDescent="0.25">
      <c r="B90" s="24" t="s">
        <v>130</v>
      </c>
      <c r="C90" s="49">
        <f>AVERAGE('16.08 BUSUNJU-KAMPALA-24h'!C90,'17.08 BUSUNJU-KAMPALA-24h'!C90)</f>
        <v>0</v>
      </c>
      <c r="D90" s="49">
        <f>AVERAGE('16.08 BUSUNJU-KAMPALA-24h'!D90,'17.08 BUSUNJU-KAMPALA-24h'!D90)</f>
        <v>0</v>
      </c>
      <c r="E90" s="49">
        <f>AVERAGE('16.08 BUSUNJU-KAMPALA-24h'!E90,'17.08 BUSUNJU-KAMPALA-24h'!E90)</f>
        <v>0</v>
      </c>
      <c r="F90" s="49">
        <f>AVERAGE('16.08 BUSUNJU-KAMPALA-24h'!F90,'17.08 BUSUNJU-KAMPALA-24h'!F90)</f>
        <v>0</v>
      </c>
      <c r="G90" s="49">
        <f>AVERAGE('16.08 BUSUNJU-KAMPALA-24h'!G90,'17.08 BUSUNJU-KAMPALA-24h'!G90)</f>
        <v>0</v>
      </c>
      <c r="H90" s="49">
        <f>AVERAGE('16.08 BUSUNJU-KAMPALA-24h'!H90,'17.08 BUSUNJU-KAMPALA-24h'!H90)</f>
        <v>0</v>
      </c>
      <c r="I90" s="49">
        <f>AVERAGE('16.08 BUSUNJU-KAMPALA-24h'!I90,'17.08 BUSUNJU-KAMPALA-24h'!I90)</f>
        <v>0</v>
      </c>
      <c r="J90" s="49">
        <f>AVERAGE('16.08 BUSUNJU-KAMPALA-24h'!J90,'17.08 BUSUNJU-KAMPALA-24h'!J90)</f>
        <v>0</v>
      </c>
      <c r="K90" s="49">
        <f>AVERAGE('16.08 BUSUNJU-KAMPALA-24h'!K90,'17.08 BUSUNJU-KAMPALA-24h'!K90)</f>
        <v>0</v>
      </c>
      <c r="L90" s="49">
        <f>AVERAGE('16.08 BUSUNJU-KAMPALA-24h'!L90,'17.08 BUSUNJU-KAMPALA-24h'!L90)</f>
        <v>0</v>
      </c>
      <c r="M90" s="49">
        <f>AVERAGE('16.08 BUSUNJU-KAMPALA-24h'!M90,'17.08 BUSUNJU-KAMPALA-24h'!M90)</f>
        <v>2.5</v>
      </c>
      <c r="N90" s="49">
        <f>AVERAGE('16.08 BUSUNJU-KAMPALA-24h'!N90,'17.08 BUSUNJU-KAMPALA-24h'!N90)</f>
        <v>0</v>
      </c>
      <c r="O90" s="15">
        <f t="shared" si="35"/>
        <v>0</v>
      </c>
      <c r="P90" s="15">
        <f t="shared" si="36"/>
        <v>2.5</v>
      </c>
      <c r="R90" s="8"/>
      <c r="T90"/>
    </row>
    <row r="91" spans="2:20" ht="23.1" customHeight="1" x14ac:dyDescent="0.25">
      <c r="B91" s="23" t="s">
        <v>131</v>
      </c>
      <c r="C91" s="49">
        <f>AVERAGE('16.08 BUSUNJU-KAMPALA-24h'!C91,'17.08 BUSUNJU-KAMPALA-24h'!C91)</f>
        <v>0</v>
      </c>
      <c r="D91" s="49">
        <f>AVERAGE('16.08 BUSUNJU-KAMPALA-24h'!D91,'17.08 BUSUNJU-KAMPALA-24h'!D91)</f>
        <v>0</v>
      </c>
      <c r="E91" s="49">
        <f>AVERAGE('16.08 BUSUNJU-KAMPALA-24h'!E91,'17.08 BUSUNJU-KAMPALA-24h'!E91)</f>
        <v>0</v>
      </c>
      <c r="F91" s="49">
        <f>AVERAGE('16.08 BUSUNJU-KAMPALA-24h'!F91,'17.08 BUSUNJU-KAMPALA-24h'!F91)</f>
        <v>0</v>
      </c>
      <c r="G91" s="49">
        <f>AVERAGE('16.08 BUSUNJU-KAMPALA-24h'!G91,'17.08 BUSUNJU-KAMPALA-24h'!G91)</f>
        <v>0</v>
      </c>
      <c r="H91" s="49">
        <f>AVERAGE('16.08 BUSUNJU-KAMPALA-24h'!H91,'17.08 BUSUNJU-KAMPALA-24h'!H91)</f>
        <v>0</v>
      </c>
      <c r="I91" s="49">
        <f>AVERAGE('16.08 BUSUNJU-KAMPALA-24h'!I91,'17.08 BUSUNJU-KAMPALA-24h'!I91)</f>
        <v>0</v>
      </c>
      <c r="J91" s="49">
        <f>AVERAGE('16.08 BUSUNJU-KAMPALA-24h'!J91,'17.08 BUSUNJU-KAMPALA-24h'!J91)</f>
        <v>0</v>
      </c>
      <c r="K91" s="49">
        <f>AVERAGE('16.08 BUSUNJU-KAMPALA-24h'!K91,'17.08 BUSUNJU-KAMPALA-24h'!K91)</f>
        <v>0</v>
      </c>
      <c r="L91" s="49">
        <f>AVERAGE('16.08 BUSUNJU-KAMPALA-24h'!L91,'17.08 BUSUNJU-KAMPALA-24h'!L91)</f>
        <v>0</v>
      </c>
      <c r="M91" s="49">
        <f>AVERAGE('16.08 BUSUNJU-KAMPALA-24h'!M91,'17.08 BUSUNJU-KAMPALA-24h'!M91)</f>
        <v>2.5</v>
      </c>
      <c r="N91" s="49">
        <f>AVERAGE('16.08 BUSUNJU-KAMPALA-24h'!N91,'17.08 BUSUNJU-KAMPALA-24h'!N91)</f>
        <v>0</v>
      </c>
      <c r="O91" s="15">
        <f t="shared" si="35"/>
        <v>0</v>
      </c>
      <c r="P91" s="15">
        <f t="shared" si="36"/>
        <v>2.5</v>
      </c>
      <c r="R91" s="8"/>
      <c r="T91"/>
    </row>
    <row r="92" spans="2:20" ht="23.1" customHeight="1" x14ac:dyDescent="0.25">
      <c r="B92" s="25" t="s">
        <v>132</v>
      </c>
      <c r="C92" s="49">
        <f>AVERAGE('16.08 BUSUNJU-KAMPALA-24h'!C92,'17.08 BUSUNJU-KAMPALA-24h'!C92)</f>
        <v>0</v>
      </c>
      <c r="D92" s="49">
        <f>AVERAGE('16.08 BUSUNJU-KAMPALA-24h'!D92,'17.08 BUSUNJU-KAMPALA-24h'!D92)</f>
        <v>0</v>
      </c>
      <c r="E92" s="49">
        <f>AVERAGE('16.08 BUSUNJU-KAMPALA-24h'!E92,'17.08 BUSUNJU-KAMPALA-24h'!E92)</f>
        <v>0</v>
      </c>
      <c r="F92" s="49">
        <f>AVERAGE('16.08 BUSUNJU-KAMPALA-24h'!F92,'17.08 BUSUNJU-KAMPALA-24h'!F92)</f>
        <v>0</v>
      </c>
      <c r="G92" s="49">
        <f>AVERAGE('16.08 BUSUNJU-KAMPALA-24h'!G92,'17.08 BUSUNJU-KAMPALA-24h'!G92)</f>
        <v>0</v>
      </c>
      <c r="H92" s="49">
        <f>AVERAGE('16.08 BUSUNJU-KAMPALA-24h'!H92,'17.08 BUSUNJU-KAMPALA-24h'!H92)</f>
        <v>0</v>
      </c>
      <c r="I92" s="49">
        <f>AVERAGE('16.08 BUSUNJU-KAMPALA-24h'!I92,'17.08 BUSUNJU-KAMPALA-24h'!I92)</f>
        <v>0</v>
      </c>
      <c r="J92" s="49">
        <f>AVERAGE('16.08 BUSUNJU-KAMPALA-24h'!J92,'17.08 BUSUNJU-KAMPALA-24h'!J92)</f>
        <v>0</v>
      </c>
      <c r="K92" s="49">
        <f>AVERAGE('16.08 BUSUNJU-KAMPALA-24h'!K92,'17.08 BUSUNJU-KAMPALA-24h'!K92)</f>
        <v>0</v>
      </c>
      <c r="L92" s="49">
        <f>AVERAGE('16.08 BUSUNJU-KAMPALA-24h'!L92,'17.08 BUSUNJU-KAMPALA-24h'!L92)</f>
        <v>0</v>
      </c>
      <c r="M92" s="49">
        <f>AVERAGE('16.08 BUSUNJU-KAMPALA-24h'!M92,'17.08 BUSUNJU-KAMPALA-24h'!M92)</f>
        <v>2.5</v>
      </c>
      <c r="N92" s="49">
        <f>AVERAGE('16.08 BUSUNJU-KAMPALA-24h'!N92,'17.08 BUSUNJU-KAMPALA-24h'!N92)</f>
        <v>0</v>
      </c>
      <c r="O92" s="15">
        <f t="shared" si="35"/>
        <v>0</v>
      </c>
      <c r="P92" s="15">
        <f t="shared" si="36"/>
        <v>2.5</v>
      </c>
      <c r="R92" s="8"/>
      <c r="T92"/>
    </row>
    <row r="93" spans="2:20" ht="23.1" customHeight="1" x14ac:dyDescent="0.25">
      <c r="B93" s="23" t="s">
        <v>133</v>
      </c>
      <c r="C93" s="49">
        <f>AVERAGE('16.08 BUSUNJU-KAMPALA-24h'!C93,'17.08 BUSUNJU-KAMPALA-24h'!C93)</f>
        <v>1</v>
      </c>
      <c r="D93" s="49">
        <f>AVERAGE('16.08 BUSUNJU-KAMPALA-24h'!D93,'17.08 BUSUNJU-KAMPALA-24h'!D93)</f>
        <v>0</v>
      </c>
      <c r="E93" s="49">
        <f>AVERAGE('16.08 BUSUNJU-KAMPALA-24h'!E93,'17.08 BUSUNJU-KAMPALA-24h'!E93)</f>
        <v>1</v>
      </c>
      <c r="F93" s="49">
        <f>AVERAGE('16.08 BUSUNJU-KAMPALA-24h'!F93,'17.08 BUSUNJU-KAMPALA-24h'!F93)</f>
        <v>0</v>
      </c>
      <c r="G93" s="49">
        <f>AVERAGE('16.08 BUSUNJU-KAMPALA-24h'!G93,'17.08 BUSUNJU-KAMPALA-24h'!G93)</f>
        <v>0</v>
      </c>
      <c r="H93" s="49">
        <f>AVERAGE('16.08 BUSUNJU-KAMPALA-24h'!H93,'17.08 BUSUNJU-KAMPALA-24h'!H93)</f>
        <v>0</v>
      </c>
      <c r="I93" s="49">
        <f>AVERAGE('16.08 BUSUNJU-KAMPALA-24h'!I93,'17.08 BUSUNJU-KAMPALA-24h'!I93)</f>
        <v>1.5</v>
      </c>
      <c r="J93" s="49">
        <f>AVERAGE('16.08 BUSUNJU-KAMPALA-24h'!J93,'17.08 BUSUNJU-KAMPALA-24h'!J93)</f>
        <v>0</v>
      </c>
      <c r="K93" s="49">
        <f>AVERAGE('16.08 BUSUNJU-KAMPALA-24h'!K93,'17.08 BUSUNJU-KAMPALA-24h'!K93)</f>
        <v>0</v>
      </c>
      <c r="L93" s="49">
        <f>AVERAGE('16.08 BUSUNJU-KAMPALA-24h'!L93,'17.08 BUSUNJU-KAMPALA-24h'!L93)</f>
        <v>0</v>
      </c>
      <c r="M93" s="49">
        <f>AVERAGE('16.08 BUSUNJU-KAMPALA-24h'!M93,'17.08 BUSUNJU-KAMPALA-24h'!M93)</f>
        <v>6</v>
      </c>
      <c r="N93" s="49">
        <f>AVERAGE('16.08 BUSUNJU-KAMPALA-24h'!N93,'17.08 BUSUNJU-KAMPALA-24h'!N93)</f>
        <v>0</v>
      </c>
      <c r="O93" s="15">
        <f t="shared" si="35"/>
        <v>3.5</v>
      </c>
      <c r="P93" s="15">
        <f t="shared" si="36"/>
        <v>9.5</v>
      </c>
      <c r="R93" s="8"/>
      <c r="T93"/>
    </row>
    <row r="94" spans="2:20" ht="23.1" customHeight="1" x14ac:dyDescent="0.25">
      <c r="B94" s="24" t="s">
        <v>134</v>
      </c>
      <c r="C94" s="49">
        <f>AVERAGE('16.08 BUSUNJU-KAMPALA-24h'!C94,'17.08 BUSUNJU-KAMPALA-24h'!C94)</f>
        <v>1</v>
      </c>
      <c r="D94" s="49">
        <f>AVERAGE('16.08 BUSUNJU-KAMPALA-24h'!D94,'17.08 BUSUNJU-KAMPALA-24h'!D94)</f>
        <v>0</v>
      </c>
      <c r="E94" s="49">
        <f>AVERAGE('16.08 BUSUNJU-KAMPALA-24h'!E94,'17.08 BUSUNJU-KAMPALA-24h'!E94)</f>
        <v>1</v>
      </c>
      <c r="F94" s="49">
        <f>AVERAGE('16.08 BUSUNJU-KAMPALA-24h'!F94,'17.08 BUSUNJU-KAMPALA-24h'!F94)</f>
        <v>0</v>
      </c>
      <c r="G94" s="49">
        <f>AVERAGE('16.08 BUSUNJU-KAMPALA-24h'!G94,'17.08 BUSUNJU-KAMPALA-24h'!G94)</f>
        <v>0</v>
      </c>
      <c r="H94" s="49">
        <f>AVERAGE('16.08 BUSUNJU-KAMPALA-24h'!H94,'17.08 BUSUNJU-KAMPALA-24h'!H94)</f>
        <v>0</v>
      </c>
      <c r="I94" s="49">
        <f>AVERAGE('16.08 BUSUNJU-KAMPALA-24h'!I94,'17.08 BUSUNJU-KAMPALA-24h'!I94)</f>
        <v>0</v>
      </c>
      <c r="J94" s="49">
        <f>AVERAGE('16.08 BUSUNJU-KAMPALA-24h'!J94,'17.08 BUSUNJU-KAMPALA-24h'!J94)</f>
        <v>0</v>
      </c>
      <c r="K94" s="49">
        <f>AVERAGE('16.08 BUSUNJU-KAMPALA-24h'!K94,'17.08 BUSUNJU-KAMPALA-24h'!K94)</f>
        <v>0</v>
      </c>
      <c r="L94" s="49">
        <f>AVERAGE('16.08 BUSUNJU-KAMPALA-24h'!L94,'17.08 BUSUNJU-KAMPALA-24h'!L94)</f>
        <v>0</v>
      </c>
      <c r="M94" s="49">
        <f>AVERAGE('16.08 BUSUNJU-KAMPALA-24h'!M94,'17.08 BUSUNJU-KAMPALA-24h'!M94)</f>
        <v>7.5</v>
      </c>
      <c r="N94" s="49">
        <f>AVERAGE('16.08 BUSUNJU-KAMPALA-24h'!N94,'17.08 BUSUNJU-KAMPALA-24h'!N94)</f>
        <v>0</v>
      </c>
      <c r="O94" s="15">
        <f t="shared" si="35"/>
        <v>2</v>
      </c>
      <c r="P94" s="15">
        <f t="shared" si="36"/>
        <v>9.5</v>
      </c>
      <c r="R94" s="8"/>
      <c r="T94"/>
    </row>
    <row r="95" spans="2:20" ht="23.1" customHeight="1" x14ac:dyDescent="0.25">
      <c r="B95" s="23" t="s">
        <v>135</v>
      </c>
      <c r="C95" s="49">
        <f>AVERAGE('16.08 BUSUNJU-KAMPALA-24h'!C95,'17.08 BUSUNJU-KAMPALA-24h'!C95)</f>
        <v>1</v>
      </c>
      <c r="D95" s="49">
        <f>AVERAGE('16.08 BUSUNJU-KAMPALA-24h'!D95,'17.08 BUSUNJU-KAMPALA-24h'!D95)</f>
        <v>0</v>
      </c>
      <c r="E95" s="49">
        <f>AVERAGE('16.08 BUSUNJU-KAMPALA-24h'!E95,'17.08 BUSUNJU-KAMPALA-24h'!E95)</f>
        <v>1</v>
      </c>
      <c r="F95" s="49">
        <f>AVERAGE('16.08 BUSUNJU-KAMPALA-24h'!F95,'17.08 BUSUNJU-KAMPALA-24h'!F95)</f>
        <v>0</v>
      </c>
      <c r="G95" s="49">
        <f>AVERAGE('16.08 BUSUNJU-KAMPALA-24h'!G95,'17.08 BUSUNJU-KAMPALA-24h'!G95)</f>
        <v>0</v>
      </c>
      <c r="H95" s="49">
        <f>AVERAGE('16.08 BUSUNJU-KAMPALA-24h'!H95,'17.08 BUSUNJU-KAMPALA-24h'!H95)</f>
        <v>0</v>
      </c>
      <c r="I95" s="49">
        <f>AVERAGE('16.08 BUSUNJU-KAMPALA-24h'!I95,'17.08 BUSUNJU-KAMPALA-24h'!I95)</f>
        <v>0</v>
      </c>
      <c r="J95" s="49">
        <f>AVERAGE('16.08 BUSUNJU-KAMPALA-24h'!J95,'17.08 BUSUNJU-KAMPALA-24h'!J95)</f>
        <v>0</v>
      </c>
      <c r="K95" s="49">
        <f>AVERAGE('16.08 BUSUNJU-KAMPALA-24h'!K95,'17.08 BUSUNJU-KAMPALA-24h'!K95)</f>
        <v>0</v>
      </c>
      <c r="L95" s="49">
        <f>AVERAGE('16.08 BUSUNJU-KAMPALA-24h'!L95,'17.08 BUSUNJU-KAMPALA-24h'!L95)</f>
        <v>0</v>
      </c>
      <c r="M95" s="49">
        <f>AVERAGE('16.08 BUSUNJU-KAMPALA-24h'!M95,'17.08 BUSUNJU-KAMPALA-24h'!M95)</f>
        <v>6</v>
      </c>
      <c r="N95" s="49">
        <f>AVERAGE('16.08 BUSUNJU-KAMPALA-24h'!N95,'17.08 BUSUNJU-KAMPALA-24h'!N95)</f>
        <v>0</v>
      </c>
      <c r="O95" s="15">
        <f t="shared" si="35"/>
        <v>2</v>
      </c>
      <c r="P95" s="15">
        <f t="shared" si="36"/>
        <v>8</v>
      </c>
      <c r="R95" s="8"/>
      <c r="T95"/>
    </row>
    <row r="96" spans="2:20" ht="23.1" customHeight="1" x14ac:dyDescent="0.25">
      <c r="B96" s="25" t="s">
        <v>136</v>
      </c>
      <c r="C96" s="49">
        <f>AVERAGE('16.08 BUSUNJU-KAMPALA-24h'!C96,'17.08 BUSUNJU-KAMPALA-24h'!C96)</f>
        <v>1</v>
      </c>
      <c r="D96" s="49">
        <f>AVERAGE('16.08 BUSUNJU-KAMPALA-24h'!D96,'17.08 BUSUNJU-KAMPALA-24h'!D96)</f>
        <v>0</v>
      </c>
      <c r="E96" s="49">
        <f>AVERAGE('16.08 BUSUNJU-KAMPALA-24h'!E96,'17.08 BUSUNJU-KAMPALA-24h'!E96)</f>
        <v>1</v>
      </c>
      <c r="F96" s="49">
        <f>AVERAGE('16.08 BUSUNJU-KAMPALA-24h'!F96,'17.08 BUSUNJU-KAMPALA-24h'!F96)</f>
        <v>1</v>
      </c>
      <c r="G96" s="49">
        <f>AVERAGE('16.08 BUSUNJU-KAMPALA-24h'!G96,'17.08 BUSUNJU-KAMPALA-24h'!G96)</f>
        <v>0</v>
      </c>
      <c r="H96" s="49">
        <f>AVERAGE('16.08 BUSUNJU-KAMPALA-24h'!H96,'17.08 BUSUNJU-KAMPALA-24h'!H96)</f>
        <v>0</v>
      </c>
      <c r="I96" s="49">
        <f>AVERAGE('16.08 BUSUNJU-KAMPALA-24h'!I96,'17.08 BUSUNJU-KAMPALA-24h'!I96)</f>
        <v>1</v>
      </c>
      <c r="J96" s="49">
        <f>AVERAGE('16.08 BUSUNJU-KAMPALA-24h'!J96,'17.08 BUSUNJU-KAMPALA-24h'!J96)</f>
        <v>0</v>
      </c>
      <c r="K96" s="49">
        <f>AVERAGE('16.08 BUSUNJU-KAMPALA-24h'!K96,'17.08 BUSUNJU-KAMPALA-24h'!K96)</f>
        <v>0</v>
      </c>
      <c r="L96" s="49">
        <f>AVERAGE('16.08 BUSUNJU-KAMPALA-24h'!L96,'17.08 BUSUNJU-KAMPALA-24h'!L96)</f>
        <v>0</v>
      </c>
      <c r="M96" s="49">
        <f>AVERAGE('16.08 BUSUNJU-KAMPALA-24h'!M96,'17.08 BUSUNJU-KAMPALA-24h'!M96)</f>
        <v>9</v>
      </c>
      <c r="N96" s="49">
        <f>AVERAGE('16.08 BUSUNJU-KAMPALA-24h'!N96,'17.08 BUSUNJU-KAMPALA-24h'!N96)</f>
        <v>0</v>
      </c>
      <c r="O96" s="15">
        <f t="shared" si="35"/>
        <v>4</v>
      </c>
      <c r="P96" s="15">
        <f t="shared" si="36"/>
        <v>13</v>
      </c>
      <c r="R96" s="8"/>
      <c r="T96"/>
    </row>
    <row r="97" spans="2:20" ht="23.1" customHeight="1" x14ac:dyDescent="0.25">
      <c r="B97" s="23" t="s">
        <v>137</v>
      </c>
      <c r="C97" s="49">
        <f>AVERAGE('16.08 BUSUNJU-KAMPALA-24h'!C97,'17.08 BUSUNJU-KAMPALA-24h'!C97)</f>
        <v>1</v>
      </c>
      <c r="D97" s="49">
        <f>AVERAGE('16.08 BUSUNJU-KAMPALA-24h'!D97,'17.08 BUSUNJU-KAMPALA-24h'!D97)</f>
        <v>0</v>
      </c>
      <c r="E97" s="49">
        <f>AVERAGE('16.08 BUSUNJU-KAMPALA-24h'!E97,'17.08 BUSUNJU-KAMPALA-24h'!E97)</f>
        <v>0</v>
      </c>
      <c r="F97" s="49">
        <f>AVERAGE('16.08 BUSUNJU-KAMPALA-24h'!F97,'17.08 BUSUNJU-KAMPALA-24h'!F97)</f>
        <v>0</v>
      </c>
      <c r="G97" s="49">
        <f>AVERAGE('16.08 BUSUNJU-KAMPALA-24h'!G97,'17.08 BUSUNJU-KAMPALA-24h'!G97)</f>
        <v>0</v>
      </c>
      <c r="H97" s="49">
        <f>AVERAGE('16.08 BUSUNJU-KAMPALA-24h'!H97,'17.08 BUSUNJU-KAMPALA-24h'!H97)</f>
        <v>0</v>
      </c>
      <c r="I97" s="49">
        <f>AVERAGE('16.08 BUSUNJU-KAMPALA-24h'!I97,'17.08 BUSUNJU-KAMPALA-24h'!I97)</f>
        <v>1</v>
      </c>
      <c r="J97" s="49">
        <f>AVERAGE('16.08 BUSUNJU-KAMPALA-24h'!J97,'17.08 BUSUNJU-KAMPALA-24h'!J97)</f>
        <v>0</v>
      </c>
      <c r="K97" s="49">
        <f>AVERAGE('16.08 BUSUNJU-KAMPALA-24h'!K97,'17.08 BUSUNJU-KAMPALA-24h'!K97)</f>
        <v>0</v>
      </c>
      <c r="L97" s="49">
        <f>AVERAGE('16.08 BUSUNJU-KAMPALA-24h'!L97,'17.08 BUSUNJU-KAMPALA-24h'!L97)</f>
        <v>0</v>
      </c>
      <c r="M97" s="49">
        <f>AVERAGE('16.08 BUSUNJU-KAMPALA-24h'!M97,'17.08 BUSUNJU-KAMPALA-24h'!M97)</f>
        <v>6</v>
      </c>
      <c r="N97" s="49">
        <f>AVERAGE('16.08 BUSUNJU-KAMPALA-24h'!N97,'17.08 BUSUNJU-KAMPALA-24h'!N97)</f>
        <v>0</v>
      </c>
      <c r="O97" s="15">
        <f t="shared" si="35"/>
        <v>2</v>
      </c>
      <c r="P97" s="15">
        <f t="shared" si="36"/>
        <v>8</v>
      </c>
      <c r="R97" s="8"/>
      <c r="T97"/>
    </row>
    <row r="98" spans="2:20" ht="23.1" customHeight="1" x14ac:dyDescent="0.25">
      <c r="B98" s="24" t="s">
        <v>138</v>
      </c>
      <c r="C98" s="49">
        <f>AVERAGE('16.08 BUSUNJU-KAMPALA-24h'!C98,'17.08 BUSUNJU-KAMPALA-24h'!C98)</f>
        <v>1</v>
      </c>
      <c r="D98" s="49">
        <f>AVERAGE('16.08 BUSUNJU-KAMPALA-24h'!D98,'17.08 BUSUNJU-KAMPALA-24h'!D98)</f>
        <v>0</v>
      </c>
      <c r="E98" s="49">
        <f>AVERAGE('16.08 BUSUNJU-KAMPALA-24h'!E98,'17.08 BUSUNJU-KAMPALA-24h'!E98)</f>
        <v>1</v>
      </c>
      <c r="F98" s="49">
        <f>AVERAGE('16.08 BUSUNJU-KAMPALA-24h'!F98,'17.08 BUSUNJU-KAMPALA-24h'!F98)</f>
        <v>0</v>
      </c>
      <c r="G98" s="49">
        <f>AVERAGE('16.08 BUSUNJU-KAMPALA-24h'!G98,'17.08 BUSUNJU-KAMPALA-24h'!G98)</f>
        <v>0</v>
      </c>
      <c r="H98" s="49">
        <f>AVERAGE('16.08 BUSUNJU-KAMPALA-24h'!H98,'17.08 BUSUNJU-KAMPALA-24h'!H98)</f>
        <v>0</v>
      </c>
      <c r="I98" s="49">
        <f>AVERAGE('16.08 BUSUNJU-KAMPALA-24h'!I98,'17.08 BUSUNJU-KAMPALA-24h'!I98)</f>
        <v>1</v>
      </c>
      <c r="J98" s="49">
        <f>AVERAGE('16.08 BUSUNJU-KAMPALA-24h'!J98,'17.08 BUSUNJU-KAMPALA-24h'!J98)</f>
        <v>0</v>
      </c>
      <c r="K98" s="49">
        <f>AVERAGE('16.08 BUSUNJU-KAMPALA-24h'!K98,'17.08 BUSUNJU-KAMPALA-24h'!K98)</f>
        <v>0</v>
      </c>
      <c r="L98" s="49">
        <f>AVERAGE('16.08 BUSUNJU-KAMPALA-24h'!L98,'17.08 BUSUNJU-KAMPALA-24h'!L98)</f>
        <v>0</v>
      </c>
      <c r="M98" s="49">
        <f>AVERAGE('16.08 BUSUNJU-KAMPALA-24h'!M98,'17.08 BUSUNJU-KAMPALA-24h'!M98)</f>
        <v>8.5</v>
      </c>
      <c r="N98" s="49">
        <f>AVERAGE('16.08 BUSUNJU-KAMPALA-24h'!N98,'17.08 BUSUNJU-KAMPALA-24h'!N98)</f>
        <v>0</v>
      </c>
      <c r="O98" s="15">
        <f t="shared" si="35"/>
        <v>3</v>
      </c>
      <c r="P98" s="15">
        <f t="shared" si="36"/>
        <v>11.5</v>
      </c>
      <c r="R98" s="8"/>
      <c r="T98"/>
    </row>
    <row r="99" spans="2:20" ht="23.1" customHeight="1" x14ac:dyDescent="0.25">
      <c r="B99" s="23" t="s">
        <v>139</v>
      </c>
      <c r="C99" s="49">
        <f>AVERAGE('16.08 BUSUNJU-KAMPALA-24h'!C99,'17.08 BUSUNJU-KAMPALA-24h'!C99)</f>
        <v>1</v>
      </c>
      <c r="D99" s="49">
        <f>AVERAGE('16.08 BUSUNJU-KAMPALA-24h'!D99,'17.08 BUSUNJU-KAMPALA-24h'!D99)</f>
        <v>0</v>
      </c>
      <c r="E99" s="49">
        <f>AVERAGE('16.08 BUSUNJU-KAMPALA-24h'!E99,'17.08 BUSUNJU-KAMPALA-24h'!E99)</f>
        <v>1</v>
      </c>
      <c r="F99" s="49">
        <f>AVERAGE('16.08 BUSUNJU-KAMPALA-24h'!F99,'17.08 BUSUNJU-KAMPALA-24h'!F99)</f>
        <v>0</v>
      </c>
      <c r="G99" s="49">
        <f>AVERAGE('16.08 BUSUNJU-KAMPALA-24h'!G99,'17.08 BUSUNJU-KAMPALA-24h'!G99)</f>
        <v>0</v>
      </c>
      <c r="H99" s="49">
        <f>AVERAGE('16.08 BUSUNJU-KAMPALA-24h'!H99,'17.08 BUSUNJU-KAMPALA-24h'!H99)</f>
        <v>0</v>
      </c>
      <c r="I99" s="49">
        <f>AVERAGE('16.08 BUSUNJU-KAMPALA-24h'!I99,'17.08 BUSUNJU-KAMPALA-24h'!I99)</f>
        <v>1</v>
      </c>
      <c r="J99" s="49">
        <f>AVERAGE('16.08 BUSUNJU-KAMPALA-24h'!J99,'17.08 BUSUNJU-KAMPALA-24h'!J99)</f>
        <v>0</v>
      </c>
      <c r="K99" s="49">
        <f>AVERAGE('16.08 BUSUNJU-KAMPALA-24h'!K99,'17.08 BUSUNJU-KAMPALA-24h'!K99)</f>
        <v>0</v>
      </c>
      <c r="L99" s="49">
        <f>AVERAGE('16.08 BUSUNJU-KAMPALA-24h'!L99,'17.08 BUSUNJU-KAMPALA-24h'!L99)</f>
        <v>0</v>
      </c>
      <c r="M99" s="49">
        <f>AVERAGE('16.08 BUSUNJU-KAMPALA-24h'!M99,'17.08 BUSUNJU-KAMPALA-24h'!M99)</f>
        <v>8.5</v>
      </c>
      <c r="N99" s="49">
        <f>AVERAGE('16.08 BUSUNJU-KAMPALA-24h'!N99,'17.08 BUSUNJU-KAMPALA-24h'!N99)</f>
        <v>0</v>
      </c>
      <c r="O99" s="15">
        <f t="shared" si="35"/>
        <v>3</v>
      </c>
      <c r="P99" s="15">
        <f t="shared" si="36"/>
        <v>11.5</v>
      </c>
      <c r="R99" s="8"/>
      <c r="T99"/>
    </row>
    <row r="100" spans="2:20" ht="23.1" customHeight="1" x14ac:dyDescent="0.25">
      <c r="B100" s="25" t="s">
        <v>140</v>
      </c>
      <c r="C100" s="49">
        <f>AVERAGE('16.08 BUSUNJU-KAMPALA-24h'!C100,'17.08 BUSUNJU-KAMPALA-24h'!C100)</f>
        <v>1</v>
      </c>
      <c r="D100" s="49">
        <f>AVERAGE('16.08 BUSUNJU-KAMPALA-24h'!D100,'17.08 BUSUNJU-KAMPALA-24h'!D100)</f>
        <v>0</v>
      </c>
      <c r="E100" s="49">
        <f>AVERAGE('16.08 BUSUNJU-KAMPALA-24h'!E100,'17.08 BUSUNJU-KAMPALA-24h'!E100)</f>
        <v>1</v>
      </c>
      <c r="F100" s="49">
        <f>AVERAGE('16.08 BUSUNJU-KAMPALA-24h'!F100,'17.08 BUSUNJU-KAMPALA-24h'!F100)</f>
        <v>1</v>
      </c>
      <c r="G100" s="49">
        <f>AVERAGE('16.08 BUSUNJU-KAMPALA-24h'!G100,'17.08 BUSUNJU-KAMPALA-24h'!G100)</f>
        <v>0</v>
      </c>
      <c r="H100" s="49">
        <f>AVERAGE('16.08 BUSUNJU-KAMPALA-24h'!H100,'17.08 BUSUNJU-KAMPALA-24h'!H100)</f>
        <v>0</v>
      </c>
      <c r="I100" s="49">
        <f>AVERAGE('16.08 BUSUNJU-KAMPALA-24h'!I100,'17.08 BUSUNJU-KAMPALA-24h'!I100)</f>
        <v>1</v>
      </c>
      <c r="J100" s="49">
        <f>AVERAGE('16.08 BUSUNJU-KAMPALA-24h'!J100,'17.08 BUSUNJU-KAMPALA-24h'!J100)</f>
        <v>0</v>
      </c>
      <c r="K100" s="49">
        <f>AVERAGE('16.08 BUSUNJU-KAMPALA-24h'!K100,'17.08 BUSUNJU-KAMPALA-24h'!K100)</f>
        <v>0</v>
      </c>
      <c r="L100" s="49">
        <f>AVERAGE('16.08 BUSUNJU-KAMPALA-24h'!L100,'17.08 BUSUNJU-KAMPALA-24h'!L100)</f>
        <v>0</v>
      </c>
      <c r="M100" s="49">
        <f>AVERAGE('16.08 BUSUNJU-KAMPALA-24h'!M100,'17.08 BUSUNJU-KAMPALA-24h'!M100)</f>
        <v>10.5</v>
      </c>
      <c r="N100" s="49">
        <f>AVERAGE('16.08 BUSUNJU-KAMPALA-24h'!N100,'17.08 BUSUNJU-KAMPALA-24h'!N100)</f>
        <v>0</v>
      </c>
      <c r="O100" s="15">
        <f t="shared" si="35"/>
        <v>4</v>
      </c>
      <c r="P100" s="15">
        <f t="shared" si="36"/>
        <v>14.5</v>
      </c>
      <c r="R100" s="8"/>
      <c r="T100"/>
    </row>
    <row r="101" spans="2:20" ht="23.1" customHeight="1" x14ac:dyDescent="0.25">
      <c r="B101" s="23" t="s">
        <v>141</v>
      </c>
      <c r="C101" s="49">
        <f>AVERAGE('16.08 BUSUNJU-KAMPALA-24h'!C101,'17.08 BUSUNJU-KAMPALA-24h'!C101)</f>
        <v>1</v>
      </c>
      <c r="D101" s="49">
        <f>AVERAGE('16.08 BUSUNJU-KAMPALA-24h'!D101,'17.08 BUSUNJU-KAMPALA-24h'!D101)</f>
        <v>0</v>
      </c>
      <c r="E101" s="49">
        <f>AVERAGE('16.08 BUSUNJU-KAMPALA-24h'!E101,'17.08 BUSUNJU-KAMPALA-24h'!E101)</f>
        <v>1</v>
      </c>
      <c r="F101" s="49">
        <f>AVERAGE('16.08 BUSUNJU-KAMPALA-24h'!F101,'17.08 BUSUNJU-KAMPALA-24h'!F101)</f>
        <v>1</v>
      </c>
      <c r="G101" s="49">
        <f>AVERAGE('16.08 BUSUNJU-KAMPALA-24h'!G101,'17.08 BUSUNJU-KAMPALA-24h'!G101)</f>
        <v>0</v>
      </c>
      <c r="H101" s="49">
        <f>AVERAGE('16.08 BUSUNJU-KAMPALA-24h'!H101,'17.08 BUSUNJU-KAMPALA-24h'!H101)</f>
        <v>0</v>
      </c>
      <c r="I101" s="49">
        <f>AVERAGE('16.08 BUSUNJU-KAMPALA-24h'!I101,'17.08 BUSUNJU-KAMPALA-24h'!I101)</f>
        <v>1</v>
      </c>
      <c r="J101" s="49">
        <f>AVERAGE('16.08 BUSUNJU-KAMPALA-24h'!J101,'17.08 BUSUNJU-KAMPALA-24h'!J101)</f>
        <v>0</v>
      </c>
      <c r="K101" s="49">
        <f>AVERAGE('16.08 BUSUNJU-KAMPALA-24h'!K101,'17.08 BUSUNJU-KAMPALA-24h'!K101)</f>
        <v>0</v>
      </c>
      <c r="L101" s="49">
        <f>AVERAGE('16.08 BUSUNJU-KAMPALA-24h'!L101,'17.08 BUSUNJU-KAMPALA-24h'!L101)</f>
        <v>0</v>
      </c>
      <c r="M101" s="49">
        <f>AVERAGE('16.08 BUSUNJU-KAMPALA-24h'!M101,'17.08 BUSUNJU-KAMPALA-24h'!M101)</f>
        <v>7.5</v>
      </c>
      <c r="N101" s="49">
        <f>AVERAGE('16.08 BUSUNJU-KAMPALA-24h'!N101,'17.08 BUSUNJU-KAMPALA-24h'!N101)</f>
        <v>0</v>
      </c>
      <c r="O101" s="15">
        <f t="shared" si="35"/>
        <v>4</v>
      </c>
      <c r="P101" s="15">
        <f t="shared" si="36"/>
        <v>11.5</v>
      </c>
      <c r="R101" s="8"/>
      <c r="T101"/>
    </row>
    <row r="102" spans="2:20" ht="23.1" customHeight="1" x14ac:dyDescent="0.25">
      <c r="B102" s="24" t="s">
        <v>142</v>
      </c>
      <c r="C102" s="49">
        <f>AVERAGE('16.08 BUSUNJU-KAMPALA-24h'!C102,'17.08 BUSUNJU-KAMPALA-24h'!C102)</f>
        <v>1</v>
      </c>
      <c r="D102" s="49">
        <f>AVERAGE('16.08 BUSUNJU-KAMPALA-24h'!D102,'17.08 BUSUNJU-KAMPALA-24h'!D102)</f>
        <v>0</v>
      </c>
      <c r="E102" s="49">
        <f>AVERAGE('16.08 BUSUNJU-KAMPALA-24h'!E102,'17.08 BUSUNJU-KAMPALA-24h'!E102)</f>
        <v>1</v>
      </c>
      <c r="F102" s="49">
        <f>AVERAGE('16.08 BUSUNJU-KAMPALA-24h'!F102,'17.08 BUSUNJU-KAMPALA-24h'!F102)</f>
        <v>0</v>
      </c>
      <c r="G102" s="49">
        <f>AVERAGE('16.08 BUSUNJU-KAMPALA-24h'!G102,'17.08 BUSUNJU-KAMPALA-24h'!G102)</f>
        <v>0</v>
      </c>
      <c r="H102" s="49">
        <f>AVERAGE('16.08 BUSUNJU-KAMPALA-24h'!H102,'17.08 BUSUNJU-KAMPALA-24h'!H102)</f>
        <v>0</v>
      </c>
      <c r="I102" s="49">
        <f>AVERAGE('16.08 BUSUNJU-KAMPALA-24h'!I102,'17.08 BUSUNJU-KAMPALA-24h'!I102)</f>
        <v>1</v>
      </c>
      <c r="J102" s="49">
        <f>AVERAGE('16.08 BUSUNJU-KAMPALA-24h'!J102,'17.08 BUSUNJU-KAMPALA-24h'!J102)</f>
        <v>0</v>
      </c>
      <c r="K102" s="49">
        <f>AVERAGE('16.08 BUSUNJU-KAMPALA-24h'!K102,'17.08 BUSUNJU-KAMPALA-24h'!K102)</f>
        <v>0</v>
      </c>
      <c r="L102" s="49">
        <f>AVERAGE('16.08 BUSUNJU-KAMPALA-24h'!L102,'17.08 BUSUNJU-KAMPALA-24h'!L102)</f>
        <v>0</v>
      </c>
      <c r="M102" s="49">
        <f>AVERAGE('16.08 BUSUNJU-KAMPALA-24h'!M102,'17.08 BUSUNJU-KAMPALA-24h'!M102)</f>
        <v>10</v>
      </c>
      <c r="N102" s="49">
        <f>AVERAGE('16.08 BUSUNJU-KAMPALA-24h'!N102,'17.08 BUSUNJU-KAMPALA-24h'!N102)</f>
        <v>0</v>
      </c>
      <c r="O102" s="15">
        <f t="shared" si="35"/>
        <v>3</v>
      </c>
      <c r="P102" s="15">
        <f t="shared" si="36"/>
        <v>13</v>
      </c>
      <c r="R102" s="8"/>
      <c r="T102"/>
    </row>
    <row r="103" spans="2:20" ht="23.1" customHeight="1" x14ac:dyDescent="0.25">
      <c r="B103" s="23" t="s">
        <v>143</v>
      </c>
      <c r="C103" s="49">
        <f>AVERAGE('16.08 BUSUNJU-KAMPALA-24h'!C103,'17.08 BUSUNJU-KAMPALA-24h'!C103)</f>
        <v>1</v>
      </c>
      <c r="D103" s="49">
        <f>AVERAGE('16.08 BUSUNJU-KAMPALA-24h'!D103,'17.08 BUSUNJU-KAMPALA-24h'!D103)</f>
        <v>0</v>
      </c>
      <c r="E103" s="49">
        <f>AVERAGE('16.08 BUSUNJU-KAMPALA-24h'!E103,'17.08 BUSUNJU-KAMPALA-24h'!E103)</f>
        <v>1</v>
      </c>
      <c r="F103" s="49">
        <f>AVERAGE('16.08 BUSUNJU-KAMPALA-24h'!F103,'17.08 BUSUNJU-KAMPALA-24h'!F103)</f>
        <v>0</v>
      </c>
      <c r="G103" s="49">
        <f>AVERAGE('16.08 BUSUNJU-KAMPALA-24h'!G103,'17.08 BUSUNJU-KAMPALA-24h'!G103)</f>
        <v>0</v>
      </c>
      <c r="H103" s="49">
        <f>AVERAGE('16.08 BUSUNJU-KAMPALA-24h'!H103,'17.08 BUSUNJU-KAMPALA-24h'!H103)</f>
        <v>0</v>
      </c>
      <c r="I103" s="49">
        <f>AVERAGE('16.08 BUSUNJU-KAMPALA-24h'!I103,'17.08 BUSUNJU-KAMPALA-24h'!I103)</f>
        <v>0</v>
      </c>
      <c r="J103" s="49">
        <f>AVERAGE('16.08 BUSUNJU-KAMPALA-24h'!J103,'17.08 BUSUNJU-KAMPALA-24h'!J103)</f>
        <v>0</v>
      </c>
      <c r="K103" s="49">
        <f>AVERAGE('16.08 BUSUNJU-KAMPALA-24h'!K103,'17.08 BUSUNJU-KAMPALA-24h'!K103)</f>
        <v>0</v>
      </c>
      <c r="L103" s="49">
        <f>AVERAGE('16.08 BUSUNJU-KAMPALA-24h'!L103,'17.08 BUSUNJU-KAMPALA-24h'!L103)</f>
        <v>0</v>
      </c>
      <c r="M103" s="49">
        <f>AVERAGE('16.08 BUSUNJU-KAMPALA-24h'!M103,'17.08 BUSUNJU-KAMPALA-24h'!M103)</f>
        <v>8.5</v>
      </c>
      <c r="N103" s="49">
        <f>AVERAGE('16.08 BUSUNJU-KAMPALA-24h'!N103,'17.08 BUSUNJU-KAMPALA-24h'!N103)</f>
        <v>0</v>
      </c>
      <c r="O103" s="15">
        <f t="shared" si="35"/>
        <v>2</v>
      </c>
      <c r="P103" s="15">
        <f t="shared" si="36"/>
        <v>10.5</v>
      </c>
      <c r="R103" s="8"/>
      <c r="T103"/>
    </row>
    <row r="104" spans="2:20" ht="23.1" customHeight="1" x14ac:dyDescent="0.25">
      <c r="B104" s="25" t="s">
        <v>144</v>
      </c>
      <c r="C104" s="49">
        <f>AVERAGE('16.08 BUSUNJU-KAMPALA-24h'!C104,'17.08 BUSUNJU-KAMPALA-24h'!C104)</f>
        <v>1.5</v>
      </c>
      <c r="D104" s="49">
        <f>AVERAGE('16.08 BUSUNJU-KAMPALA-24h'!D104,'17.08 BUSUNJU-KAMPALA-24h'!D104)</f>
        <v>0</v>
      </c>
      <c r="E104" s="49">
        <f>AVERAGE('16.08 BUSUNJU-KAMPALA-24h'!E104,'17.08 BUSUNJU-KAMPALA-24h'!E104)</f>
        <v>1</v>
      </c>
      <c r="F104" s="49">
        <f>AVERAGE('16.08 BUSUNJU-KAMPALA-24h'!F104,'17.08 BUSUNJU-KAMPALA-24h'!F104)</f>
        <v>0</v>
      </c>
      <c r="G104" s="49">
        <f>AVERAGE('16.08 BUSUNJU-KAMPALA-24h'!G104,'17.08 BUSUNJU-KAMPALA-24h'!G104)</f>
        <v>0</v>
      </c>
      <c r="H104" s="49">
        <f>AVERAGE('16.08 BUSUNJU-KAMPALA-24h'!H104,'17.08 BUSUNJU-KAMPALA-24h'!H104)</f>
        <v>0</v>
      </c>
      <c r="I104" s="49">
        <f>AVERAGE('16.08 BUSUNJU-KAMPALA-24h'!I104,'17.08 BUSUNJU-KAMPALA-24h'!I104)</f>
        <v>1</v>
      </c>
      <c r="J104" s="49">
        <f>AVERAGE('16.08 BUSUNJU-KAMPALA-24h'!J104,'17.08 BUSUNJU-KAMPALA-24h'!J104)</f>
        <v>0</v>
      </c>
      <c r="K104" s="49">
        <f>AVERAGE('16.08 BUSUNJU-KAMPALA-24h'!K104,'17.08 BUSUNJU-KAMPALA-24h'!K104)</f>
        <v>0</v>
      </c>
      <c r="L104" s="49">
        <f>AVERAGE('16.08 BUSUNJU-KAMPALA-24h'!L104,'17.08 BUSUNJU-KAMPALA-24h'!L104)</f>
        <v>0</v>
      </c>
      <c r="M104" s="49">
        <f>AVERAGE('16.08 BUSUNJU-KAMPALA-24h'!M104,'17.08 BUSUNJU-KAMPALA-24h'!M104)</f>
        <v>7.5</v>
      </c>
      <c r="N104" s="49">
        <f>AVERAGE('16.08 BUSUNJU-KAMPALA-24h'!N104,'17.08 BUSUNJU-KAMPALA-24h'!N104)</f>
        <v>0</v>
      </c>
      <c r="O104" s="15">
        <f t="shared" si="35"/>
        <v>3.5</v>
      </c>
      <c r="P104" s="15">
        <f t="shared" si="36"/>
        <v>11</v>
      </c>
      <c r="R104" s="8"/>
      <c r="T104"/>
    </row>
    <row r="105" spans="2:20" ht="23.1" customHeight="1" x14ac:dyDescent="0.25">
      <c r="B105" s="23" t="s">
        <v>145</v>
      </c>
      <c r="C105" s="49">
        <f>AVERAGE('16.08 BUSUNJU-KAMPALA-24h'!C105,'17.08 BUSUNJU-KAMPALA-24h'!C105)</f>
        <v>1</v>
      </c>
      <c r="D105" s="49">
        <f>AVERAGE('16.08 BUSUNJU-KAMPALA-24h'!D105,'17.08 BUSUNJU-KAMPALA-24h'!D105)</f>
        <v>0</v>
      </c>
      <c r="E105" s="49">
        <f>AVERAGE('16.08 BUSUNJU-KAMPALA-24h'!E105,'17.08 BUSUNJU-KAMPALA-24h'!E105)</f>
        <v>0</v>
      </c>
      <c r="F105" s="49">
        <f>AVERAGE('16.08 BUSUNJU-KAMPALA-24h'!F105,'17.08 BUSUNJU-KAMPALA-24h'!F105)</f>
        <v>1</v>
      </c>
      <c r="G105" s="49">
        <f>AVERAGE('16.08 BUSUNJU-KAMPALA-24h'!G105,'17.08 BUSUNJU-KAMPALA-24h'!G105)</f>
        <v>0</v>
      </c>
      <c r="H105" s="49">
        <f>AVERAGE('16.08 BUSUNJU-KAMPALA-24h'!H105,'17.08 BUSUNJU-KAMPALA-24h'!H105)</f>
        <v>0</v>
      </c>
      <c r="I105" s="49">
        <f>AVERAGE('16.08 BUSUNJU-KAMPALA-24h'!I105,'17.08 BUSUNJU-KAMPALA-24h'!I105)</f>
        <v>0</v>
      </c>
      <c r="J105" s="49">
        <f>AVERAGE('16.08 BUSUNJU-KAMPALA-24h'!J105,'17.08 BUSUNJU-KAMPALA-24h'!J105)</f>
        <v>0</v>
      </c>
      <c r="K105" s="49">
        <f>AVERAGE('16.08 BUSUNJU-KAMPALA-24h'!K105,'17.08 BUSUNJU-KAMPALA-24h'!K105)</f>
        <v>0</v>
      </c>
      <c r="L105" s="49">
        <f>AVERAGE('16.08 BUSUNJU-KAMPALA-24h'!L105,'17.08 BUSUNJU-KAMPALA-24h'!L105)</f>
        <v>0</v>
      </c>
      <c r="M105" s="49">
        <f>AVERAGE('16.08 BUSUNJU-KAMPALA-24h'!M105,'17.08 BUSUNJU-KAMPALA-24h'!M105)</f>
        <v>8.5</v>
      </c>
      <c r="N105" s="49">
        <f>AVERAGE('16.08 BUSUNJU-KAMPALA-24h'!N105,'17.08 BUSUNJU-KAMPALA-24h'!N105)</f>
        <v>0</v>
      </c>
      <c r="O105" s="15">
        <f t="shared" si="35"/>
        <v>2</v>
      </c>
      <c r="P105" s="15">
        <f t="shared" si="36"/>
        <v>10.5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76.071428571428569</v>
      </c>
      <c r="D106" s="16">
        <f t="shared" ref="D106:P106" si="37">SUM(D10:D105)</f>
        <v>7.8571428571428585</v>
      </c>
      <c r="E106" s="16">
        <f t="shared" si="37"/>
        <v>57.571428571428562</v>
      </c>
      <c r="F106" s="16">
        <f t="shared" si="37"/>
        <v>17</v>
      </c>
      <c r="G106" s="16">
        <f t="shared" si="37"/>
        <v>2.4285714285714284</v>
      </c>
      <c r="H106" s="16">
        <f t="shared" si="37"/>
        <v>0</v>
      </c>
      <c r="I106" s="16">
        <f t="shared" si="37"/>
        <v>71.357142857142875</v>
      </c>
      <c r="J106" s="16">
        <f t="shared" si="37"/>
        <v>3.9999999999999991</v>
      </c>
      <c r="K106" s="16">
        <f t="shared" si="37"/>
        <v>0.14285714285714285</v>
      </c>
      <c r="L106" s="16">
        <f t="shared" si="37"/>
        <v>0</v>
      </c>
      <c r="M106" s="16">
        <f t="shared" si="37"/>
        <v>990.35714285714266</v>
      </c>
      <c r="N106" s="16">
        <f t="shared" si="37"/>
        <v>0</v>
      </c>
      <c r="O106" s="16">
        <f t="shared" si="37"/>
        <v>236.42857142857142</v>
      </c>
      <c r="P106" s="16">
        <f t="shared" si="37"/>
        <v>1226.7857142857142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6.2008733624454151E-2</v>
      </c>
      <c r="D107" s="43">
        <f t="shared" si="38"/>
        <v>6.404657933042214E-3</v>
      </c>
      <c r="E107" s="43">
        <f t="shared" si="38"/>
        <v>4.6928675400291116E-2</v>
      </c>
      <c r="F107" s="43">
        <f t="shared" si="38"/>
        <v>1.3857350800582242E-2</v>
      </c>
      <c r="G107" s="43">
        <f t="shared" si="38"/>
        <v>1.9796215429403203E-3</v>
      </c>
      <c r="H107" s="43">
        <f t="shared" si="38"/>
        <v>0</v>
      </c>
      <c r="I107" s="43">
        <f t="shared" si="38"/>
        <v>5.8165938864628841E-2</v>
      </c>
      <c r="J107" s="43">
        <f t="shared" si="38"/>
        <v>3.2605531295487621E-3</v>
      </c>
      <c r="K107" s="43">
        <f t="shared" si="38"/>
        <v>1.1644832605531295E-4</v>
      </c>
      <c r="L107" s="43">
        <f t="shared" si="38"/>
        <v>0</v>
      </c>
      <c r="M107" s="43">
        <f t="shared" si="38"/>
        <v>0.80727802037845697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0.32175226586102718</v>
      </c>
      <c r="D108" s="44">
        <f t="shared" ref="D108:N108" si="39">D106/$O$106</f>
        <v>3.3232628398791549E-2</v>
      </c>
      <c r="E108" s="44">
        <f t="shared" si="39"/>
        <v>0.24350453172205436</v>
      </c>
      <c r="F108" s="44">
        <f t="shared" si="39"/>
        <v>7.190332326283988E-2</v>
      </c>
      <c r="G108" s="44">
        <f t="shared" si="39"/>
        <v>1.0271903323262839E-2</v>
      </c>
      <c r="H108" s="44">
        <f t="shared" si="39"/>
        <v>0</v>
      </c>
      <c r="I108" s="44">
        <f t="shared" si="39"/>
        <v>0.30181268882175238</v>
      </c>
      <c r="J108" s="44">
        <f t="shared" si="39"/>
        <v>1.6918429003021145E-2</v>
      </c>
      <c r="K108" s="44">
        <f t="shared" si="39"/>
        <v>6.0422960725075529E-4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zoomScale="60" workbookViewId="0">
      <selection activeCell="O100" sqref="O10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'15.08 KAMPALA-BUSUNJU'!C3:G3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'15.08 KAMPALA-BUSUNJU'!G5:H5</f>
        <v>MATTE</v>
      </c>
      <c r="H5" s="64"/>
      <c r="I5" s="14"/>
      <c r="J5" s="2" t="s">
        <v>5</v>
      </c>
      <c r="K5" s="63" t="str">
        <f>'15.08 KAMPALA-BUSUNJU'!K5:L5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3" t="str">
        <f>'15.08 KAMPALA-BUSUNJU'!D6:E6</f>
        <v>KAMPALA</v>
      </c>
      <c r="E6" s="64"/>
      <c r="F6" s="2" t="s">
        <v>2</v>
      </c>
      <c r="G6" s="63" t="str">
        <f>'15.08 KAMPALA-BUSUNJU'!G6:H6</f>
        <v>BUSUNJU</v>
      </c>
      <c r="H6" s="64"/>
      <c r="J6" s="2" t="s">
        <v>21</v>
      </c>
      <c r="K6" s="63" t="str">
        <f>'15.08 KAMPALA-BUSUNJU'!K6:L6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AVERAGE('11.08 KAMPALA-BUSUNJU'!C10,'12.08 KAMPALA-BUSUNJU'!C10,'13.08 KAMPALA-BUSUNJU'!C10,'14.08 KAMPALA-BUSUNJU'!C10,'16.08 KAMPALA-BUSUNJU-24h'!C10,'17.08 KAMPALA-BUSUNJU-24h'!C10,'15.08 KAMPALA-BUSUNJU'!C10)</f>
        <v>0.2857142857142857</v>
      </c>
      <c r="D10" s="49">
        <f>AVERAGE('11.08 KAMPALA-BUSUNJU'!D10,'12.08 KAMPALA-BUSUNJU'!D10,'13.08 KAMPALA-BUSUNJU'!D10,'14.08 KAMPALA-BUSUNJU'!D10,'16.08 KAMPALA-BUSUNJU-24h'!D10,'17.08 KAMPALA-BUSUNJU-24h'!D10,'15.08 KAMPALA-BUSUNJU'!D10)</f>
        <v>0</v>
      </c>
      <c r="E10" s="49">
        <f>AVERAGE('11.08 KAMPALA-BUSUNJU'!E10,'12.08 KAMPALA-BUSUNJU'!E10,'13.08 KAMPALA-BUSUNJU'!E10,'14.08 KAMPALA-BUSUNJU'!E10,'16.08 KAMPALA-BUSUNJU-24h'!E10,'17.08 KAMPALA-BUSUNJU-24h'!E10,'15.08 KAMPALA-BUSUNJU'!E10)</f>
        <v>0.5714285714285714</v>
      </c>
      <c r="F10" s="49">
        <f>AVERAGE('11.08 KAMPALA-BUSUNJU'!F10,'12.08 KAMPALA-BUSUNJU'!F10,'13.08 KAMPALA-BUSUNJU'!F10,'14.08 KAMPALA-BUSUNJU'!F10,'16.08 KAMPALA-BUSUNJU-24h'!F10,'17.08 KAMPALA-BUSUNJU-24h'!F10,'15.08 KAMPALA-BUSUNJU'!F10)</f>
        <v>0.14285714285714285</v>
      </c>
      <c r="G10" s="49">
        <f>AVERAGE('11.08 KAMPALA-BUSUNJU'!G10,'12.08 KAMPALA-BUSUNJU'!G10,'13.08 KAMPALA-BUSUNJU'!G10,'14.08 KAMPALA-BUSUNJU'!G10,'16.08 KAMPALA-BUSUNJU-24h'!G10,'17.08 KAMPALA-BUSUNJU-24h'!G10,'15.08 KAMPALA-BUSUNJU'!G10)</f>
        <v>0</v>
      </c>
      <c r="H10" s="49">
        <f>AVERAGE('11.08 KAMPALA-BUSUNJU'!H10,'12.08 KAMPALA-BUSUNJU'!H10,'13.08 KAMPALA-BUSUNJU'!H10,'14.08 KAMPALA-BUSUNJU'!H10,'16.08 KAMPALA-BUSUNJU-24h'!H10,'17.08 KAMPALA-BUSUNJU-24h'!H10,'15.08 KAMPALA-BUSUNJU'!H10)</f>
        <v>0</v>
      </c>
      <c r="I10" s="49">
        <f>AVERAGE('11.08 KAMPALA-BUSUNJU'!I10,'12.08 KAMPALA-BUSUNJU'!I10,'13.08 KAMPALA-BUSUNJU'!I10,'14.08 KAMPALA-BUSUNJU'!I10,'16.08 KAMPALA-BUSUNJU-24h'!I10,'17.08 KAMPALA-BUSUNJU-24h'!I10,'15.08 KAMPALA-BUSUNJU'!I10)</f>
        <v>0.42857142857142855</v>
      </c>
      <c r="J10" s="49">
        <f>AVERAGE('11.08 KAMPALA-BUSUNJU'!J10,'12.08 KAMPALA-BUSUNJU'!J10,'13.08 KAMPALA-BUSUNJU'!J10,'14.08 KAMPALA-BUSUNJU'!J10,'16.08 KAMPALA-BUSUNJU-24h'!J10,'17.08 KAMPALA-BUSUNJU-24h'!J10,'15.08 KAMPALA-BUSUNJU'!J10)</f>
        <v>0</v>
      </c>
      <c r="K10" s="49">
        <f>AVERAGE('11.08 KAMPALA-BUSUNJU'!K10,'12.08 KAMPALA-BUSUNJU'!K10,'13.08 KAMPALA-BUSUNJU'!K10,'14.08 KAMPALA-BUSUNJU'!K10,'16.08 KAMPALA-BUSUNJU-24h'!K10,'17.08 KAMPALA-BUSUNJU-24h'!K10,'15.08 KAMPALA-BUSUNJU'!K10)</f>
        <v>0</v>
      </c>
      <c r="L10" s="49">
        <f>AVERAGE('11.08 KAMPALA-BUSUNJU'!L10,'12.08 KAMPALA-BUSUNJU'!L10,'13.08 KAMPALA-BUSUNJU'!L10,'14.08 KAMPALA-BUSUNJU'!L10,'16.08 KAMPALA-BUSUNJU-24h'!L10,'17.08 KAMPALA-BUSUNJU-24h'!L10,'15.08 KAMPALA-BUSUNJU'!L10)</f>
        <v>0</v>
      </c>
      <c r="M10" s="49">
        <f>AVERAGE('11.08 KAMPALA-BUSUNJU'!M10,'12.08 KAMPALA-BUSUNJU'!M10,'13.08 KAMPALA-BUSUNJU'!M10,'14.08 KAMPALA-BUSUNJU'!M10,'16.08 KAMPALA-BUSUNJU-24h'!M10,'17.08 KAMPALA-BUSUNJU-24h'!M10,'15.08 KAMPALA-BUSUNJU'!M10)</f>
        <v>8.4285714285714288</v>
      </c>
      <c r="N10" s="49">
        <f>AVERAGE('11.08 KAMPALA-BUSUNJU'!N10,'12.08 KAMPALA-BUSUNJU'!N10,'13.08 KAMPALA-BUSUNJU'!N10,'14.08 KAMPALA-BUSUNJU'!N10,'16.08 KAMPALA-BUSUNJU-24h'!N10,'17.08 KAMPALA-BUSUNJU-24h'!N10,'15.08 KAMPALA-BUSUNJU'!N10)</f>
        <v>0</v>
      </c>
      <c r="O10" s="15">
        <f t="shared" ref="O10:O73" si="0">SUM(C10:L10,N10)</f>
        <v>1.4285714285714286</v>
      </c>
      <c r="P10" s="15">
        <f t="shared" ref="P10:P73" si="1">SUM(C10:N10)</f>
        <v>9.8571428571428577</v>
      </c>
      <c r="R10" s="1" t="s">
        <v>6</v>
      </c>
      <c r="S10" s="17">
        <f t="shared" ref="S10:AF10" si="2">SUM(C10:C13)</f>
        <v>1.5714285714285714</v>
      </c>
      <c r="T10" s="17">
        <f t="shared" si="2"/>
        <v>0</v>
      </c>
      <c r="U10" s="17">
        <f t="shared" si="2"/>
        <v>1.1428571428571428</v>
      </c>
      <c r="V10" s="17">
        <f t="shared" si="2"/>
        <v>1.1428571428571428</v>
      </c>
      <c r="W10" s="17">
        <f t="shared" si="2"/>
        <v>0.14285714285714285</v>
      </c>
      <c r="X10" s="17">
        <f t="shared" si="2"/>
        <v>0</v>
      </c>
      <c r="Y10" s="17">
        <f t="shared" si="2"/>
        <v>2.8571428571428572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37.428571428571431</v>
      </c>
      <c r="AD10" s="17">
        <f t="shared" si="2"/>
        <v>0</v>
      </c>
      <c r="AE10" s="31">
        <f t="shared" si="2"/>
        <v>6.8571428571428568</v>
      </c>
      <c r="AF10" s="31">
        <f t="shared" si="2"/>
        <v>44.285714285714285</v>
      </c>
    </row>
    <row r="11" spans="2:32" s="6" customFormat="1" ht="23.1" customHeight="1" x14ac:dyDescent="0.25">
      <c r="B11" s="23" t="s">
        <v>38</v>
      </c>
      <c r="C11" s="49">
        <f>AVERAGE('11.08 KAMPALA-BUSUNJU'!C11,'12.08 KAMPALA-BUSUNJU'!C11,'13.08 KAMPALA-BUSUNJU'!C11,'14.08 KAMPALA-BUSUNJU'!C11,'16.08 KAMPALA-BUSUNJU-24h'!C11,'17.08 KAMPALA-BUSUNJU-24h'!C11,'15.08 KAMPALA-BUSUNJU'!C11)</f>
        <v>0.42857142857142855</v>
      </c>
      <c r="D11" s="49">
        <f>AVERAGE('11.08 KAMPALA-BUSUNJU'!D11,'12.08 KAMPALA-BUSUNJU'!D11,'13.08 KAMPALA-BUSUNJU'!D11,'14.08 KAMPALA-BUSUNJU'!D11,'16.08 KAMPALA-BUSUNJU-24h'!D11,'17.08 KAMPALA-BUSUNJU-24h'!D11,'15.08 KAMPALA-BUSUNJU'!D11)</f>
        <v>0</v>
      </c>
      <c r="E11" s="49">
        <f>AVERAGE('11.08 KAMPALA-BUSUNJU'!E11,'12.08 KAMPALA-BUSUNJU'!E11,'13.08 KAMPALA-BUSUNJU'!E11,'14.08 KAMPALA-BUSUNJU'!E11,'16.08 KAMPALA-BUSUNJU-24h'!E11,'17.08 KAMPALA-BUSUNJU-24h'!E11,'15.08 KAMPALA-BUSUNJU'!E11)</f>
        <v>0</v>
      </c>
      <c r="F11" s="49">
        <f>AVERAGE('11.08 KAMPALA-BUSUNJU'!F11,'12.08 KAMPALA-BUSUNJU'!F11,'13.08 KAMPALA-BUSUNJU'!F11,'14.08 KAMPALA-BUSUNJU'!F11,'16.08 KAMPALA-BUSUNJU-24h'!F11,'17.08 KAMPALA-BUSUNJU-24h'!F11,'15.08 KAMPALA-BUSUNJU'!F11)</f>
        <v>0.14285714285714285</v>
      </c>
      <c r="G11" s="49">
        <f>AVERAGE('11.08 KAMPALA-BUSUNJU'!G11,'12.08 KAMPALA-BUSUNJU'!G11,'13.08 KAMPALA-BUSUNJU'!G11,'14.08 KAMPALA-BUSUNJU'!G11,'16.08 KAMPALA-BUSUNJU-24h'!G11,'17.08 KAMPALA-BUSUNJU-24h'!G11,'15.08 KAMPALA-BUSUNJU'!G11)</f>
        <v>0</v>
      </c>
      <c r="H11" s="49">
        <f>AVERAGE('11.08 KAMPALA-BUSUNJU'!H11,'12.08 KAMPALA-BUSUNJU'!H11,'13.08 KAMPALA-BUSUNJU'!H11,'14.08 KAMPALA-BUSUNJU'!H11,'16.08 KAMPALA-BUSUNJU-24h'!H11,'17.08 KAMPALA-BUSUNJU-24h'!H11,'15.08 KAMPALA-BUSUNJU'!H11)</f>
        <v>0</v>
      </c>
      <c r="I11" s="49">
        <f>AVERAGE('11.08 KAMPALA-BUSUNJU'!I11,'12.08 KAMPALA-BUSUNJU'!I11,'13.08 KAMPALA-BUSUNJU'!I11,'14.08 KAMPALA-BUSUNJU'!I11,'16.08 KAMPALA-BUSUNJU-24h'!I11,'17.08 KAMPALA-BUSUNJU-24h'!I11,'15.08 KAMPALA-BUSUNJU'!I11)</f>
        <v>0.5714285714285714</v>
      </c>
      <c r="J11" s="49">
        <f>AVERAGE('11.08 KAMPALA-BUSUNJU'!J11,'12.08 KAMPALA-BUSUNJU'!J11,'13.08 KAMPALA-BUSUNJU'!J11,'14.08 KAMPALA-BUSUNJU'!J11,'16.08 KAMPALA-BUSUNJU-24h'!J11,'17.08 KAMPALA-BUSUNJU-24h'!J11,'15.08 KAMPALA-BUSUNJU'!J11)</f>
        <v>0</v>
      </c>
      <c r="K11" s="49">
        <f>AVERAGE('11.08 KAMPALA-BUSUNJU'!K11,'12.08 KAMPALA-BUSUNJU'!K11,'13.08 KAMPALA-BUSUNJU'!K11,'14.08 KAMPALA-BUSUNJU'!K11,'16.08 KAMPALA-BUSUNJU-24h'!K11,'17.08 KAMPALA-BUSUNJU-24h'!K11,'15.08 KAMPALA-BUSUNJU'!K11)</f>
        <v>0</v>
      </c>
      <c r="L11" s="49">
        <f>AVERAGE('11.08 KAMPALA-BUSUNJU'!L11,'12.08 KAMPALA-BUSUNJU'!L11,'13.08 KAMPALA-BUSUNJU'!L11,'14.08 KAMPALA-BUSUNJU'!L11,'16.08 KAMPALA-BUSUNJU-24h'!L11,'17.08 KAMPALA-BUSUNJU-24h'!L11,'15.08 KAMPALA-BUSUNJU'!L11)</f>
        <v>0</v>
      </c>
      <c r="M11" s="49">
        <f>AVERAGE('11.08 KAMPALA-BUSUNJU'!M11,'12.08 KAMPALA-BUSUNJU'!M11,'13.08 KAMPALA-BUSUNJU'!M11,'14.08 KAMPALA-BUSUNJU'!M11,'16.08 KAMPALA-BUSUNJU-24h'!M11,'17.08 KAMPALA-BUSUNJU-24h'!M11,'15.08 KAMPALA-BUSUNJU'!M11)</f>
        <v>7.8571428571428568</v>
      </c>
      <c r="N11" s="49">
        <f>AVERAGE('11.08 KAMPALA-BUSUNJU'!N11,'12.08 KAMPALA-BUSUNJU'!N11,'13.08 KAMPALA-BUSUNJU'!N11,'14.08 KAMPALA-BUSUNJU'!N11,'16.08 KAMPALA-BUSUNJU-24h'!N11,'17.08 KAMPALA-BUSUNJU-24h'!N11,'15.08 KAMPALA-BUSUNJU'!N11)</f>
        <v>0</v>
      </c>
      <c r="O11" s="15">
        <f t="shared" si="0"/>
        <v>1.1428571428571428</v>
      </c>
      <c r="P11" s="15">
        <f t="shared" si="1"/>
        <v>9</v>
      </c>
      <c r="R11" s="1" t="s">
        <v>7</v>
      </c>
      <c r="S11" s="17">
        <f t="shared" ref="S11:AF11" si="3">SUM(C14:C17)</f>
        <v>1.8571428571428572</v>
      </c>
      <c r="T11" s="17">
        <f t="shared" si="3"/>
        <v>0</v>
      </c>
      <c r="U11" s="17">
        <f t="shared" si="3"/>
        <v>1.5714285714285716</v>
      </c>
      <c r="V11" s="17">
        <f t="shared" si="3"/>
        <v>0.71428571428571419</v>
      </c>
      <c r="W11" s="17">
        <f t="shared" si="3"/>
        <v>0</v>
      </c>
      <c r="X11" s="17">
        <f t="shared" si="3"/>
        <v>0</v>
      </c>
      <c r="Y11" s="17">
        <f t="shared" si="3"/>
        <v>2.4285714285714288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46.714285714285708</v>
      </c>
      <c r="AD11" s="17">
        <f t="shared" si="3"/>
        <v>0</v>
      </c>
      <c r="AE11" s="31">
        <f t="shared" si="3"/>
        <v>6.5714285714285712</v>
      </c>
      <c r="AF11" s="31">
        <f t="shared" si="3"/>
        <v>53.285714285714285</v>
      </c>
    </row>
    <row r="12" spans="2:32" ht="23.1" customHeight="1" x14ac:dyDescent="0.25">
      <c r="B12" s="23" t="s">
        <v>39</v>
      </c>
      <c r="C12" s="49">
        <f>AVERAGE('11.08 KAMPALA-BUSUNJU'!C12,'12.08 KAMPALA-BUSUNJU'!C12,'13.08 KAMPALA-BUSUNJU'!C12,'14.08 KAMPALA-BUSUNJU'!C12,'16.08 KAMPALA-BUSUNJU-24h'!C12,'17.08 KAMPALA-BUSUNJU-24h'!C12,'15.08 KAMPALA-BUSUNJU'!C12)</f>
        <v>0.42857142857142855</v>
      </c>
      <c r="D12" s="49">
        <f>AVERAGE('11.08 KAMPALA-BUSUNJU'!D12,'12.08 KAMPALA-BUSUNJU'!D12,'13.08 KAMPALA-BUSUNJU'!D12,'14.08 KAMPALA-BUSUNJU'!D12,'16.08 KAMPALA-BUSUNJU-24h'!D12,'17.08 KAMPALA-BUSUNJU-24h'!D12,'15.08 KAMPALA-BUSUNJU'!D12)</f>
        <v>0</v>
      </c>
      <c r="E12" s="49">
        <f>AVERAGE('11.08 KAMPALA-BUSUNJU'!E12,'12.08 KAMPALA-BUSUNJU'!E12,'13.08 KAMPALA-BUSUNJU'!E12,'14.08 KAMPALA-BUSUNJU'!E12,'16.08 KAMPALA-BUSUNJU-24h'!E12,'17.08 KAMPALA-BUSUNJU-24h'!E12,'15.08 KAMPALA-BUSUNJU'!E12)</f>
        <v>0.42857142857142855</v>
      </c>
      <c r="F12" s="49">
        <f>AVERAGE('11.08 KAMPALA-BUSUNJU'!F12,'12.08 KAMPALA-BUSUNJU'!F12,'13.08 KAMPALA-BUSUNJU'!F12,'14.08 KAMPALA-BUSUNJU'!F12,'16.08 KAMPALA-BUSUNJU-24h'!F12,'17.08 KAMPALA-BUSUNJU-24h'!F12,'15.08 KAMPALA-BUSUNJU'!F12)</f>
        <v>0.2857142857142857</v>
      </c>
      <c r="G12" s="49">
        <f>AVERAGE('11.08 KAMPALA-BUSUNJU'!G12,'12.08 KAMPALA-BUSUNJU'!G12,'13.08 KAMPALA-BUSUNJU'!G12,'14.08 KAMPALA-BUSUNJU'!G12,'16.08 KAMPALA-BUSUNJU-24h'!G12,'17.08 KAMPALA-BUSUNJU-24h'!G12,'15.08 KAMPALA-BUSUNJU'!G12)</f>
        <v>0.14285714285714285</v>
      </c>
      <c r="H12" s="49">
        <f>AVERAGE('11.08 KAMPALA-BUSUNJU'!H12,'12.08 KAMPALA-BUSUNJU'!H12,'13.08 KAMPALA-BUSUNJU'!H12,'14.08 KAMPALA-BUSUNJU'!H12,'16.08 KAMPALA-BUSUNJU-24h'!H12,'17.08 KAMPALA-BUSUNJU-24h'!H12,'15.08 KAMPALA-BUSUNJU'!H12)</f>
        <v>0</v>
      </c>
      <c r="I12" s="49">
        <f>AVERAGE('11.08 KAMPALA-BUSUNJU'!I12,'12.08 KAMPALA-BUSUNJU'!I12,'13.08 KAMPALA-BUSUNJU'!I12,'14.08 KAMPALA-BUSUNJU'!I12,'16.08 KAMPALA-BUSUNJU-24h'!I12,'17.08 KAMPALA-BUSUNJU-24h'!I12,'15.08 KAMPALA-BUSUNJU'!I12)</f>
        <v>0.7142857142857143</v>
      </c>
      <c r="J12" s="49">
        <f>AVERAGE('11.08 KAMPALA-BUSUNJU'!J12,'12.08 KAMPALA-BUSUNJU'!J12,'13.08 KAMPALA-BUSUNJU'!J12,'14.08 KAMPALA-BUSUNJU'!J12,'16.08 KAMPALA-BUSUNJU-24h'!J12,'17.08 KAMPALA-BUSUNJU-24h'!J12,'15.08 KAMPALA-BUSUNJU'!J12)</f>
        <v>0</v>
      </c>
      <c r="K12" s="49">
        <f>AVERAGE('11.08 KAMPALA-BUSUNJU'!K12,'12.08 KAMPALA-BUSUNJU'!K12,'13.08 KAMPALA-BUSUNJU'!K12,'14.08 KAMPALA-BUSUNJU'!K12,'16.08 KAMPALA-BUSUNJU-24h'!K12,'17.08 KAMPALA-BUSUNJU-24h'!K12,'15.08 KAMPALA-BUSUNJU'!K12)</f>
        <v>0</v>
      </c>
      <c r="L12" s="49">
        <f>AVERAGE('11.08 KAMPALA-BUSUNJU'!L12,'12.08 KAMPALA-BUSUNJU'!L12,'13.08 KAMPALA-BUSUNJU'!L12,'14.08 KAMPALA-BUSUNJU'!L12,'16.08 KAMPALA-BUSUNJU-24h'!L12,'17.08 KAMPALA-BUSUNJU-24h'!L12,'15.08 KAMPALA-BUSUNJU'!L12)</f>
        <v>0</v>
      </c>
      <c r="M12" s="49">
        <f>AVERAGE('11.08 KAMPALA-BUSUNJU'!M12,'12.08 KAMPALA-BUSUNJU'!M12,'13.08 KAMPALA-BUSUNJU'!M12,'14.08 KAMPALA-BUSUNJU'!M12,'16.08 KAMPALA-BUSUNJU-24h'!M12,'17.08 KAMPALA-BUSUNJU-24h'!M12,'15.08 KAMPALA-BUSUNJU'!M12)</f>
        <v>12.142857142857142</v>
      </c>
      <c r="N12" s="49">
        <f>AVERAGE('11.08 KAMPALA-BUSUNJU'!N12,'12.08 KAMPALA-BUSUNJU'!N12,'13.08 KAMPALA-BUSUNJU'!N12,'14.08 KAMPALA-BUSUNJU'!N12,'16.08 KAMPALA-BUSUNJU-24h'!N12,'17.08 KAMPALA-BUSUNJU-24h'!N12,'15.08 KAMPALA-BUSUNJU'!N12)</f>
        <v>0</v>
      </c>
      <c r="O12" s="15">
        <f t="shared" si="0"/>
        <v>2</v>
      </c>
      <c r="P12" s="15">
        <f t="shared" si="1"/>
        <v>14.142857142857142</v>
      </c>
      <c r="R12" s="1" t="s">
        <v>8</v>
      </c>
      <c r="S12" s="17">
        <f t="shared" ref="S12:AF12" si="4">SUM(C18:C21)</f>
        <v>2.2857142857142856</v>
      </c>
      <c r="T12" s="17">
        <f t="shared" si="4"/>
        <v>0</v>
      </c>
      <c r="U12" s="17">
        <f t="shared" si="4"/>
        <v>1.1428571428571428</v>
      </c>
      <c r="V12" s="17">
        <f t="shared" si="4"/>
        <v>1</v>
      </c>
      <c r="W12" s="17">
        <f t="shared" si="4"/>
        <v>0</v>
      </c>
      <c r="X12" s="17">
        <f t="shared" si="4"/>
        <v>0</v>
      </c>
      <c r="Y12" s="17">
        <f t="shared" si="4"/>
        <v>3.7142857142857144</v>
      </c>
      <c r="Z12" s="17">
        <f t="shared" si="4"/>
        <v>0</v>
      </c>
      <c r="AA12" s="17">
        <f t="shared" si="4"/>
        <v>0</v>
      </c>
      <c r="AB12" s="17">
        <f t="shared" si="4"/>
        <v>0</v>
      </c>
      <c r="AC12" s="17">
        <f t="shared" si="4"/>
        <v>55.571428571428569</v>
      </c>
      <c r="AD12" s="17">
        <f t="shared" si="4"/>
        <v>0</v>
      </c>
      <c r="AE12" s="31">
        <f t="shared" si="4"/>
        <v>8.1428571428571423</v>
      </c>
      <c r="AF12" s="31">
        <f t="shared" si="4"/>
        <v>63.714285714285708</v>
      </c>
    </row>
    <row r="13" spans="2:32" ht="23.1" customHeight="1" x14ac:dyDescent="0.25">
      <c r="B13" s="23" t="s">
        <v>40</v>
      </c>
      <c r="C13" s="49">
        <f>AVERAGE('11.08 KAMPALA-BUSUNJU'!C13,'12.08 KAMPALA-BUSUNJU'!C13,'13.08 KAMPALA-BUSUNJU'!C13,'14.08 KAMPALA-BUSUNJU'!C13,'16.08 KAMPALA-BUSUNJU-24h'!C13,'17.08 KAMPALA-BUSUNJU-24h'!C13,'15.08 KAMPALA-BUSUNJU'!C13)</f>
        <v>0.42857142857142855</v>
      </c>
      <c r="D13" s="49">
        <f>AVERAGE('11.08 KAMPALA-BUSUNJU'!D13,'12.08 KAMPALA-BUSUNJU'!D13,'13.08 KAMPALA-BUSUNJU'!D13,'14.08 KAMPALA-BUSUNJU'!D13,'16.08 KAMPALA-BUSUNJU-24h'!D13,'17.08 KAMPALA-BUSUNJU-24h'!D13,'15.08 KAMPALA-BUSUNJU'!D13)</f>
        <v>0</v>
      </c>
      <c r="E13" s="49">
        <f>AVERAGE('11.08 KAMPALA-BUSUNJU'!E13,'12.08 KAMPALA-BUSUNJU'!E13,'13.08 KAMPALA-BUSUNJU'!E13,'14.08 KAMPALA-BUSUNJU'!E13,'16.08 KAMPALA-BUSUNJU-24h'!E13,'17.08 KAMPALA-BUSUNJU-24h'!E13,'15.08 KAMPALA-BUSUNJU'!E13)</f>
        <v>0.14285714285714285</v>
      </c>
      <c r="F13" s="49">
        <f>AVERAGE('11.08 KAMPALA-BUSUNJU'!F13,'12.08 KAMPALA-BUSUNJU'!F13,'13.08 KAMPALA-BUSUNJU'!F13,'14.08 KAMPALA-BUSUNJU'!F13,'16.08 KAMPALA-BUSUNJU-24h'!F13,'17.08 KAMPALA-BUSUNJU-24h'!F13,'15.08 KAMPALA-BUSUNJU'!F13)</f>
        <v>0.5714285714285714</v>
      </c>
      <c r="G13" s="49">
        <f>AVERAGE('11.08 KAMPALA-BUSUNJU'!G13,'12.08 KAMPALA-BUSUNJU'!G13,'13.08 KAMPALA-BUSUNJU'!G13,'14.08 KAMPALA-BUSUNJU'!G13,'16.08 KAMPALA-BUSUNJU-24h'!G13,'17.08 KAMPALA-BUSUNJU-24h'!G13,'15.08 KAMPALA-BUSUNJU'!G13)</f>
        <v>0</v>
      </c>
      <c r="H13" s="49">
        <f>AVERAGE('11.08 KAMPALA-BUSUNJU'!H13,'12.08 KAMPALA-BUSUNJU'!H13,'13.08 KAMPALA-BUSUNJU'!H13,'14.08 KAMPALA-BUSUNJU'!H13,'16.08 KAMPALA-BUSUNJU-24h'!H13,'17.08 KAMPALA-BUSUNJU-24h'!H13,'15.08 KAMPALA-BUSUNJU'!H13)</f>
        <v>0</v>
      </c>
      <c r="I13" s="49">
        <f>AVERAGE('11.08 KAMPALA-BUSUNJU'!I13,'12.08 KAMPALA-BUSUNJU'!I13,'13.08 KAMPALA-BUSUNJU'!I13,'14.08 KAMPALA-BUSUNJU'!I13,'16.08 KAMPALA-BUSUNJU-24h'!I13,'17.08 KAMPALA-BUSUNJU-24h'!I13,'15.08 KAMPALA-BUSUNJU'!I13)</f>
        <v>1.1428571428571428</v>
      </c>
      <c r="J13" s="49">
        <f>AVERAGE('11.08 KAMPALA-BUSUNJU'!J13,'12.08 KAMPALA-BUSUNJU'!J13,'13.08 KAMPALA-BUSUNJU'!J13,'14.08 KAMPALA-BUSUNJU'!J13,'16.08 KAMPALA-BUSUNJU-24h'!J13,'17.08 KAMPALA-BUSUNJU-24h'!J13,'15.08 KAMPALA-BUSUNJU'!J13)</f>
        <v>0</v>
      </c>
      <c r="K13" s="49">
        <f>AVERAGE('11.08 KAMPALA-BUSUNJU'!K13,'12.08 KAMPALA-BUSUNJU'!K13,'13.08 KAMPALA-BUSUNJU'!K13,'14.08 KAMPALA-BUSUNJU'!K13,'16.08 KAMPALA-BUSUNJU-24h'!K13,'17.08 KAMPALA-BUSUNJU-24h'!K13,'15.08 KAMPALA-BUSUNJU'!K13)</f>
        <v>0</v>
      </c>
      <c r="L13" s="49">
        <f>AVERAGE('11.08 KAMPALA-BUSUNJU'!L13,'12.08 KAMPALA-BUSUNJU'!L13,'13.08 KAMPALA-BUSUNJU'!L13,'14.08 KAMPALA-BUSUNJU'!L13,'16.08 KAMPALA-BUSUNJU-24h'!L13,'17.08 KAMPALA-BUSUNJU-24h'!L13,'15.08 KAMPALA-BUSUNJU'!L13)</f>
        <v>0</v>
      </c>
      <c r="M13" s="49">
        <f>AVERAGE('11.08 KAMPALA-BUSUNJU'!M13,'12.08 KAMPALA-BUSUNJU'!M13,'13.08 KAMPALA-BUSUNJU'!M13,'14.08 KAMPALA-BUSUNJU'!M13,'16.08 KAMPALA-BUSUNJU-24h'!M13,'17.08 KAMPALA-BUSUNJU-24h'!M13,'15.08 KAMPALA-BUSUNJU'!M13)</f>
        <v>9</v>
      </c>
      <c r="N13" s="49">
        <f>AVERAGE('11.08 KAMPALA-BUSUNJU'!N13,'12.08 KAMPALA-BUSUNJU'!N13,'13.08 KAMPALA-BUSUNJU'!N13,'14.08 KAMPALA-BUSUNJU'!N13,'16.08 KAMPALA-BUSUNJU-24h'!N13,'17.08 KAMPALA-BUSUNJU-24h'!N13,'15.08 KAMPALA-BUSUNJU'!N13)</f>
        <v>0</v>
      </c>
      <c r="O13" s="15">
        <f t="shared" si="0"/>
        <v>2.2857142857142856</v>
      </c>
      <c r="P13" s="15">
        <f t="shared" si="1"/>
        <v>11.285714285714285</v>
      </c>
      <c r="R13" s="1" t="s">
        <v>9</v>
      </c>
      <c r="S13" s="17">
        <f t="shared" ref="S13:AF13" si="5">SUM(C22:C25)</f>
        <v>3.285714285714286</v>
      </c>
      <c r="T13" s="17">
        <f t="shared" si="5"/>
        <v>0</v>
      </c>
      <c r="U13" s="17">
        <f t="shared" si="5"/>
        <v>3.2857142857142856</v>
      </c>
      <c r="V13" s="17">
        <f t="shared" si="5"/>
        <v>0.85714285714285698</v>
      </c>
      <c r="W13" s="17">
        <f t="shared" si="5"/>
        <v>0</v>
      </c>
      <c r="X13" s="17">
        <f t="shared" si="5"/>
        <v>0</v>
      </c>
      <c r="Y13" s="17">
        <f t="shared" si="5"/>
        <v>5.4285714285714288</v>
      </c>
      <c r="Z13" s="17">
        <f t="shared" si="5"/>
        <v>0</v>
      </c>
      <c r="AA13" s="17">
        <f t="shared" si="5"/>
        <v>0</v>
      </c>
      <c r="AB13" s="17">
        <f t="shared" si="5"/>
        <v>0</v>
      </c>
      <c r="AC13" s="17">
        <f t="shared" si="5"/>
        <v>57.571428571428577</v>
      </c>
      <c r="AD13" s="17">
        <f t="shared" si="5"/>
        <v>0</v>
      </c>
      <c r="AE13" s="31">
        <f t="shared" si="5"/>
        <v>12.857142857142858</v>
      </c>
      <c r="AF13" s="31">
        <f t="shared" si="5"/>
        <v>70.428571428571416</v>
      </c>
    </row>
    <row r="14" spans="2:32" ht="23.1" customHeight="1" x14ac:dyDescent="0.25">
      <c r="B14" s="23" t="s">
        <v>41</v>
      </c>
      <c r="C14" s="49">
        <f>AVERAGE('11.08 KAMPALA-BUSUNJU'!C14,'12.08 KAMPALA-BUSUNJU'!C14,'13.08 KAMPALA-BUSUNJU'!C14,'14.08 KAMPALA-BUSUNJU'!C14,'16.08 KAMPALA-BUSUNJU-24h'!C14,'17.08 KAMPALA-BUSUNJU-24h'!C14,'15.08 KAMPALA-BUSUNJU'!C14)</f>
        <v>0.14285714285714285</v>
      </c>
      <c r="D14" s="49">
        <f>AVERAGE('11.08 KAMPALA-BUSUNJU'!D14,'12.08 KAMPALA-BUSUNJU'!D14,'13.08 KAMPALA-BUSUNJU'!D14,'14.08 KAMPALA-BUSUNJU'!D14,'16.08 KAMPALA-BUSUNJU-24h'!D14,'17.08 KAMPALA-BUSUNJU-24h'!D14,'15.08 KAMPALA-BUSUNJU'!D14)</f>
        <v>0</v>
      </c>
      <c r="E14" s="49">
        <f>AVERAGE('11.08 KAMPALA-BUSUNJU'!E14,'12.08 KAMPALA-BUSUNJU'!E14,'13.08 KAMPALA-BUSUNJU'!E14,'14.08 KAMPALA-BUSUNJU'!E14,'16.08 KAMPALA-BUSUNJU-24h'!E14,'17.08 KAMPALA-BUSUNJU-24h'!E14,'15.08 KAMPALA-BUSUNJU'!E14)</f>
        <v>0.14285714285714285</v>
      </c>
      <c r="F14" s="49">
        <f>AVERAGE('11.08 KAMPALA-BUSUNJU'!F14,'12.08 KAMPALA-BUSUNJU'!F14,'13.08 KAMPALA-BUSUNJU'!F14,'14.08 KAMPALA-BUSUNJU'!F14,'16.08 KAMPALA-BUSUNJU-24h'!F14,'17.08 KAMPALA-BUSUNJU-24h'!F14,'15.08 KAMPALA-BUSUNJU'!F14)</f>
        <v>0.2857142857142857</v>
      </c>
      <c r="G14" s="49">
        <f>AVERAGE('11.08 KAMPALA-BUSUNJU'!G14,'12.08 KAMPALA-BUSUNJU'!G14,'13.08 KAMPALA-BUSUNJU'!G14,'14.08 KAMPALA-BUSUNJU'!G14,'16.08 KAMPALA-BUSUNJU-24h'!G14,'17.08 KAMPALA-BUSUNJU-24h'!G14,'15.08 KAMPALA-BUSUNJU'!G14)</f>
        <v>0</v>
      </c>
      <c r="H14" s="49">
        <f>AVERAGE('11.08 KAMPALA-BUSUNJU'!H14,'12.08 KAMPALA-BUSUNJU'!H14,'13.08 KAMPALA-BUSUNJU'!H14,'14.08 KAMPALA-BUSUNJU'!H14,'16.08 KAMPALA-BUSUNJU-24h'!H14,'17.08 KAMPALA-BUSUNJU-24h'!H14,'15.08 KAMPALA-BUSUNJU'!H14)</f>
        <v>0</v>
      </c>
      <c r="I14" s="49">
        <f>AVERAGE('11.08 KAMPALA-BUSUNJU'!I14,'12.08 KAMPALA-BUSUNJU'!I14,'13.08 KAMPALA-BUSUNJU'!I14,'14.08 KAMPALA-BUSUNJU'!I14,'16.08 KAMPALA-BUSUNJU-24h'!I14,'17.08 KAMPALA-BUSUNJU-24h'!I14,'15.08 KAMPALA-BUSUNJU'!I14)</f>
        <v>0.8571428571428571</v>
      </c>
      <c r="J14" s="49">
        <f>AVERAGE('11.08 KAMPALA-BUSUNJU'!J14,'12.08 KAMPALA-BUSUNJU'!J14,'13.08 KAMPALA-BUSUNJU'!J14,'14.08 KAMPALA-BUSUNJU'!J14,'16.08 KAMPALA-BUSUNJU-24h'!J14,'17.08 KAMPALA-BUSUNJU-24h'!J14,'15.08 KAMPALA-BUSUNJU'!J14)</f>
        <v>0</v>
      </c>
      <c r="K14" s="49">
        <f>AVERAGE('11.08 KAMPALA-BUSUNJU'!K14,'12.08 KAMPALA-BUSUNJU'!K14,'13.08 KAMPALA-BUSUNJU'!K14,'14.08 KAMPALA-BUSUNJU'!K14,'16.08 KAMPALA-BUSUNJU-24h'!K14,'17.08 KAMPALA-BUSUNJU-24h'!K14,'15.08 KAMPALA-BUSUNJU'!K14)</f>
        <v>0</v>
      </c>
      <c r="L14" s="49">
        <f>AVERAGE('11.08 KAMPALA-BUSUNJU'!L14,'12.08 KAMPALA-BUSUNJU'!L14,'13.08 KAMPALA-BUSUNJU'!L14,'14.08 KAMPALA-BUSUNJU'!L14,'16.08 KAMPALA-BUSUNJU-24h'!L14,'17.08 KAMPALA-BUSUNJU-24h'!L14,'15.08 KAMPALA-BUSUNJU'!L14)</f>
        <v>0</v>
      </c>
      <c r="M14" s="49">
        <f>AVERAGE('11.08 KAMPALA-BUSUNJU'!M14,'12.08 KAMPALA-BUSUNJU'!M14,'13.08 KAMPALA-BUSUNJU'!M14,'14.08 KAMPALA-BUSUNJU'!M14,'16.08 KAMPALA-BUSUNJU-24h'!M14,'17.08 KAMPALA-BUSUNJU-24h'!M14,'15.08 KAMPALA-BUSUNJU'!M14)</f>
        <v>9.7142857142857135</v>
      </c>
      <c r="N14" s="49">
        <f>AVERAGE('11.08 KAMPALA-BUSUNJU'!N14,'12.08 KAMPALA-BUSUNJU'!N14,'13.08 KAMPALA-BUSUNJU'!N14,'14.08 KAMPALA-BUSUNJU'!N14,'16.08 KAMPALA-BUSUNJU-24h'!N14,'17.08 KAMPALA-BUSUNJU-24h'!N14,'15.08 KAMPALA-BUSUNJU'!N14)</f>
        <v>0</v>
      </c>
      <c r="O14" s="15">
        <f t="shared" si="0"/>
        <v>1.4285714285714284</v>
      </c>
      <c r="P14" s="15">
        <f t="shared" si="1"/>
        <v>11.142857142857142</v>
      </c>
      <c r="R14" s="1" t="s">
        <v>10</v>
      </c>
      <c r="S14" s="17">
        <f t="shared" ref="S14:AF14" si="6">SUM(C26:C29)</f>
        <v>5.2857142857142865</v>
      </c>
      <c r="T14" s="17">
        <f t="shared" si="6"/>
        <v>0</v>
      </c>
      <c r="U14" s="17">
        <f t="shared" si="6"/>
        <v>4.2857142857142856</v>
      </c>
      <c r="V14" s="17">
        <f t="shared" si="6"/>
        <v>1.7142857142857144</v>
      </c>
      <c r="W14" s="17">
        <f t="shared" si="6"/>
        <v>0.14285714285714285</v>
      </c>
      <c r="X14" s="17">
        <f t="shared" si="6"/>
        <v>0</v>
      </c>
      <c r="Y14" s="17">
        <f t="shared" si="6"/>
        <v>3.8571428571428577</v>
      </c>
      <c r="Z14" s="17">
        <f t="shared" si="6"/>
        <v>0.14285714285714285</v>
      </c>
      <c r="AA14" s="17">
        <f t="shared" si="6"/>
        <v>0</v>
      </c>
      <c r="AB14" s="17">
        <f t="shared" si="6"/>
        <v>0</v>
      </c>
      <c r="AC14" s="17">
        <f t="shared" si="6"/>
        <v>59.428571428571423</v>
      </c>
      <c r="AD14" s="17">
        <f t="shared" si="6"/>
        <v>0</v>
      </c>
      <c r="AE14" s="31">
        <f t="shared" si="6"/>
        <v>15.428571428571431</v>
      </c>
      <c r="AF14" s="31">
        <f t="shared" si="6"/>
        <v>74.857142857142847</v>
      </c>
    </row>
    <row r="15" spans="2:32" ht="23.1" customHeight="1" x14ac:dyDescent="0.25">
      <c r="B15" s="23" t="s">
        <v>42</v>
      </c>
      <c r="C15" s="49">
        <f>AVERAGE('11.08 KAMPALA-BUSUNJU'!C15,'12.08 KAMPALA-BUSUNJU'!C15,'13.08 KAMPALA-BUSUNJU'!C15,'14.08 KAMPALA-BUSUNJU'!C15,'16.08 KAMPALA-BUSUNJU-24h'!C15,'17.08 KAMPALA-BUSUNJU-24h'!C15,'15.08 KAMPALA-BUSUNJU'!C15)</f>
        <v>1</v>
      </c>
      <c r="D15" s="49">
        <f>AVERAGE('11.08 KAMPALA-BUSUNJU'!D15,'12.08 KAMPALA-BUSUNJU'!D15,'13.08 KAMPALA-BUSUNJU'!D15,'14.08 KAMPALA-BUSUNJU'!D15,'16.08 KAMPALA-BUSUNJU-24h'!D15,'17.08 KAMPALA-BUSUNJU-24h'!D15,'15.08 KAMPALA-BUSUNJU'!D15)</f>
        <v>0</v>
      </c>
      <c r="E15" s="49">
        <f>AVERAGE('11.08 KAMPALA-BUSUNJU'!E15,'12.08 KAMPALA-BUSUNJU'!E15,'13.08 KAMPALA-BUSUNJU'!E15,'14.08 KAMPALA-BUSUNJU'!E15,'16.08 KAMPALA-BUSUNJU-24h'!E15,'17.08 KAMPALA-BUSUNJU-24h'!E15,'15.08 KAMPALA-BUSUNJU'!E15)</f>
        <v>0.7142857142857143</v>
      </c>
      <c r="F15" s="49">
        <f>AVERAGE('11.08 KAMPALA-BUSUNJU'!F15,'12.08 KAMPALA-BUSUNJU'!F15,'13.08 KAMPALA-BUSUNJU'!F15,'14.08 KAMPALA-BUSUNJU'!F15,'16.08 KAMPALA-BUSUNJU-24h'!F15,'17.08 KAMPALA-BUSUNJU-24h'!F15,'15.08 KAMPALA-BUSUNJU'!F15)</f>
        <v>0.2857142857142857</v>
      </c>
      <c r="G15" s="49">
        <f>AVERAGE('11.08 KAMPALA-BUSUNJU'!G15,'12.08 KAMPALA-BUSUNJU'!G15,'13.08 KAMPALA-BUSUNJU'!G15,'14.08 KAMPALA-BUSUNJU'!G15,'16.08 KAMPALA-BUSUNJU-24h'!G15,'17.08 KAMPALA-BUSUNJU-24h'!G15,'15.08 KAMPALA-BUSUNJU'!G15)</f>
        <v>0</v>
      </c>
      <c r="H15" s="49">
        <f>AVERAGE('11.08 KAMPALA-BUSUNJU'!H15,'12.08 KAMPALA-BUSUNJU'!H15,'13.08 KAMPALA-BUSUNJU'!H15,'14.08 KAMPALA-BUSUNJU'!H15,'16.08 KAMPALA-BUSUNJU-24h'!H15,'17.08 KAMPALA-BUSUNJU-24h'!H15,'15.08 KAMPALA-BUSUNJU'!H15)</f>
        <v>0</v>
      </c>
      <c r="I15" s="49">
        <f>AVERAGE('11.08 KAMPALA-BUSUNJU'!I15,'12.08 KAMPALA-BUSUNJU'!I15,'13.08 KAMPALA-BUSUNJU'!I15,'14.08 KAMPALA-BUSUNJU'!I15,'16.08 KAMPALA-BUSUNJU-24h'!I15,'17.08 KAMPALA-BUSUNJU-24h'!I15,'15.08 KAMPALA-BUSUNJU'!I15)</f>
        <v>0.7142857142857143</v>
      </c>
      <c r="J15" s="49">
        <f>AVERAGE('11.08 KAMPALA-BUSUNJU'!J15,'12.08 KAMPALA-BUSUNJU'!J15,'13.08 KAMPALA-BUSUNJU'!J15,'14.08 KAMPALA-BUSUNJU'!J15,'16.08 KAMPALA-BUSUNJU-24h'!J15,'17.08 KAMPALA-BUSUNJU-24h'!J15,'15.08 KAMPALA-BUSUNJU'!J15)</f>
        <v>0</v>
      </c>
      <c r="K15" s="49">
        <f>AVERAGE('11.08 KAMPALA-BUSUNJU'!K15,'12.08 KAMPALA-BUSUNJU'!K15,'13.08 KAMPALA-BUSUNJU'!K15,'14.08 KAMPALA-BUSUNJU'!K15,'16.08 KAMPALA-BUSUNJU-24h'!K15,'17.08 KAMPALA-BUSUNJU-24h'!K15,'15.08 KAMPALA-BUSUNJU'!K15)</f>
        <v>0</v>
      </c>
      <c r="L15" s="49">
        <f>AVERAGE('11.08 KAMPALA-BUSUNJU'!L15,'12.08 KAMPALA-BUSUNJU'!L15,'13.08 KAMPALA-BUSUNJU'!L15,'14.08 KAMPALA-BUSUNJU'!L15,'16.08 KAMPALA-BUSUNJU-24h'!L15,'17.08 KAMPALA-BUSUNJU-24h'!L15,'15.08 KAMPALA-BUSUNJU'!L15)</f>
        <v>0</v>
      </c>
      <c r="M15" s="49">
        <f>AVERAGE('11.08 KAMPALA-BUSUNJU'!M15,'12.08 KAMPALA-BUSUNJU'!M15,'13.08 KAMPALA-BUSUNJU'!M15,'14.08 KAMPALA-BUSUNJU'!M15,'16.08 KAMPALA-BUSUNJU-24h'!M15,'17.08 KAMPALA-BUSUNJU-24h'!M15,'15.08 KAMPALA-BUSUNJU'!M15)</f>
        <v>12.142857142857142</v>
      </c>
      <c r="N15" s="49">
        <f>AVERAGE('11.08 KAMPALA-BUSUNJU'!N15,'12.08 KAMPALA-BUSUNJU'!N15,'13.08 KAMPALA-BUSUNJU'!N15,'14.08 KAMPALA-BUSUNJU'!N15,'16.08 KAMPALA-BUSUNJU-24h'!N15,'17.08 KAMPALA-BUSUNJU-24h'!N15,'15.08 KAMPALA-BUSUNJU'!N15)</f>
        <v>0</v>
      </c>
      <c r="O15" s="15">
        <f t="shared" si="0"/>
        <v>2.7142857142857144</v>
      </c>
      <c r="P15" s="15">
        <f t="shared" si="1"/>
        <v>14.857142857142858</v>
      </c>
      <c r="R15" s="1" t="s">
        <v>11</v>
      </c>
      <c r="S15" s="17">
        <f t="shared" ref="S15:AF15" si="7">SUM(C30:C33)</f>
        <v>3.5714285714285712</v>
      </c>
      <c r="T15" s="17">
        <f t="shared" si="7"/>
        <v>0</v>
      </c>
      <c r="U15" s="17">
        <f t="shared" si="7"/>
        <v>4.8571428571428568</v>
      </c>
      <c r="V15" s="17">
        <f t="shared" si="7"/>
        <v>1.7142857142857142</v>
      </c>
      <c r="W15" s="17">
        <f t="shared" si="7"/>
        <v>0</v>
      </c>
      <c r="X15" s="17">
        <f t="shared" si="7"/>
        <v>0</v>
      </c>
      <c r="Y15" s="17">
        <f t="shared" si="7"/>
        <v>5.4285714285714288</v>
      </c>
      <c r="Z15" s="17">
        <f t="shared" si="7"/>
        <v>0.42857142857142855</v>
      </c>
      <c r="AA15" s="17">
        <f t="shared" si="7"/>
        <v>0</v>
      </c>
      <c r="AB15" s="17">
        <f t="shared" si="7"/>
        <v>0</v>
      </c>
      <c r="AC15" s="17">
        <f t="shared" si="7"/>
        <v>55.571428571428577</v>
      </c>
      <c r="AD15" s="17">
        <f t="shared" si="7"/>
        <v>0</v>
      </c>
      <c r="AE15" s="31">
        <f t="shared" si="7"/>
        <v>15.999999999999998</v>
      </c>
      <c r="AF15" s="31">
        <f t="shared" si="7"/>
        <v>71.571428571428569</v>
      </c>
    </row>
    <row r="16" spans="2:32" ht="23.1" customHeight="1" x14ac:dyDescent="0.25">
      <c r="B16" s="23" t="s">
        <v>43</v>
      </c>
      <c r="C16" s="49">
        <f>AVERAGE('11.08 KAMPALA-BUSUNJU'!C16,'12.08 KAMPALA-BUSUNJU'!C16,'13.08 KAMPALA-BUSUNJU'!C16,'14.08 KAMPALA-BUSUNJU'!C16,'16.08 KAMPALA-BUSUNJU-24h'!C16,'17.08 KAMPALA-BUSUNJU-24h'!C16,'15.08 KAMPALA-BUSUNJU'!C16)</f>
        <v>0.42857142857142855</v>
      </c>
      <c r="D16" s="49">
        <f>AVERAGE('11.08 KAMPALA-BUSUNJU'!D16,'12.08 KAMPALA-BUSUNJU'!D16,'13.08 KAMPALA-BUSUNJU'!D16,'14.08 KAMPALA-BUSUNJU'!D16,'16.08 KAMPALA-BUSUNJU-24h'!D16,'17.08 KAMPALA-BUSUNJU-24h'!D16,'15.08 KAMPALA-BUSUNJU'!D16)</f>
        <v>0</v>
      </c>
      <c r="E16" s="49">
        <f>AVERAGE('11.08 KAMPALA-BUSUNJU'!E16,'12.08 KAMPALA-BUSUNJU'!E16,'13.08 KAMPALA-BUSUNJU'!E16,'14.08 KAMPALA-BUSUNJU'!E16,'16.08 KAMPALA-BUSUNJU-24h'!E16,'17.08 KAMPALA-BUSUNJU-24h'!E16,'15.08 KAMPALA-BUSUNJU'!E16)</f>
        <v>0.42857142857142855</v>
      </c>
      <c r="F16" s="49">
        <f>AVERAGE('11.08 KAMPALA-BUSUNJU'!F16,'12.08 KAMPALA-BUSUNJU'!F16,'13.08 KAMPALA-BUSUNJU'!F16,'14.08 KAMPALA-BUSUNJU'!F16,'16.08 KAMPALA-BUSUNJU-24h'!F16,'17.08 KAMPALA-BUSUNJU-24h'!F16,'15.08 KAMPALA-BUSUNJU'!F16)</f>
        <v>0.14285714285714285</v>
      </c>
      <c r="G16" s="49">
        <f>AVERAGE('11.08 KAMPALA-BUSUNJU'!G16,'12.08 KAMPALA-BUSUNJU'!G16,'13.08 KAMPALA-BUSUNJU'!G16,'14.08 KAMPALA-BUSUNJU'!G16,'16.08 KAMPALA-BUSUNJU-24h'!G16,'17.08 KAMPALA-BUSUNJU-24h'!G16,'15.08 KAMPALA-BUSUNJU'!G16)</f>
        <v>0</v>
      </c>
      <c r="H16" s="49">
        <f>AVERAGE('11.08 KAMPALA-BUSUNJU'!H16,'12.08 KAMPALA-BUSUNJU'!H16,'13.08 KAMPALA-BUSUNJU'!H16,'14.08 KAMPALA-BUSUNJU'!H16,'16.08 KAMPALA-BUSUNJU-24h'!H16,'17.08 KAMPALA-BUSUNJU-24h'!H16,'15.08 KAMPALA-BUSUNJU'!H16)</f>
        <v>0</v>
      </c>
      <c r="I16" s="49">
        <f>AVERAGE('11.08 KAMPALA-BUSUNJU'!I16,'12.08 KAMPALA-BUSUNJU'!I16,'13.08 KAMPALA-BUSUNJU'!I16,'14.08 KAMPALA-BUSUNJU'!I16,'16.08 KAMPALA-BUSUNJU-24h'!I16,'17.08 KAMPALA-BUSUNJU-24h'!I16,'15.08 KAMPALA-BUSUNJU'!I16)</f>
        <v>0.2857142857142857</v>
      </c>
      <c r="J16" s="49">
        <f>AVERAGE('11.08 KAMPALA-BUSUNJU'!J16,'12.08 KAMPALA-BUSUNJU'!J16,'13.08 KAMPALA-BUSUNJU'!J16,'14.08 KAMPALA-BUSUNJU'!J16,'16.08 KAMPALA-BUSUNJU-24h'!J16,'17.08 KAMPALA-BUSUNJU-24h'!J16,'15.08 KAMPALA-BUSUNJU'!J16)</f>
        <v>0</v>
      </c>
      <c r="K16" s="49">
        <f>AVERAGE('11.08 KAMPALA-BUSUNJU'!K16,'12.08 KAMPALA-BUSUNJU'!K16,'13.08 KAMPALA-BUSUNJU'!K16,'14.08 KAMPALA-BUSUNJU'!K16,'16.08 KAMPALA-BUSUNJU-24h'!K16,'17.08 KAMPALA-BUSUNJU-24h'!K16,'15.08 KAMPALA-BUSUNJU'!K16)</f>
        <v>0</v>
      </c>
      <c r="L16" s="49">
        <f>AVERAGE('11.08 KAMPALA-BUSUNJU'!L16,'12.08 KAMPALA-BUSUNJU'!L16,'13.08 KAMPALA-BUSUNJU'!L16,'14.08 KAMPALA-BUSUNJU'!L16,'16.08 KAMPALA-BUSUNJU-24h'!L16,'17.08 KAMPALA-BUSUNJU-24h'!L16,'15.08 KAMPALA-BUSUNJU'!L16)</f>
        <v>0</v>
      </c>
      <c r="M16" s="49">
        <f>AVERAGE('11.08 KAMPALA-BUSUNJU'!M16,'12.08 KAMPALA-BUSUNJU'!M16,'13.08 KAMPALA-BUSUNJU'!M16,'14.08 KAMPALA-BUSUNJU'!M16,'16.08 KAMPALA-BUSUNJU-24h'!M16,'17.08 KAMPALA-BUSUNJU-24h'!M16,'15.08 KAMPALA-BUSUNJU'!M16)</f>
        <v>12.714285714285714</v>
      </c>
      <c r="N16" s="49">
        <f>AVERAGE('11.08 KAMPALA-BUSUNJU'!N16,'12.08 KAMPALA-BUSUNJU'!N16,'13.08 KAMPALA-BUSUNJU'!N16,'14.08 KAMPALA-BUSUNJU'!N16,'16.08 KAMPALA-BUSUNJU-24h'!N16,'17.08 KAMPALA-BUSUNJU-24h'!N16,'15.08 KAMPALA-BUSUNJU'!N16)</f>
        <v>0</v>
      </c>
      <c r="O16" s="15">
        <f t="shared" si="0"/>
        <v>1.2857142857142856</v>
      </c>
      <c r="P16" s="15">
        <f t="shared" si="1"/>
        <v>14</v>
      </c>
      <c r="R16" s="1" t="s">
        <v>12</v>
      </c>
      <c r="S16" s="17">
        <f t="shared" ref="S16:AF16" si="8">SUM(C34:C37)</f>
        <v>3.4285714285714284</v>
      </c>
      <c r="T16" s="17">
        <f t="shared" si="8"/>
        <v>0</v>
      </c>
      <c r="U16" s="17">
        <f t="shared" si="8"/>
        <v>3.4285714285714284</v>
      </c>
      <c r="V16" s="17">
        <f t="shared" si="8"/>
        <v>1.4285714285714284</v>
      </c>
      <c r="W16" s="17">
        <f t="shared" si="8"/>
        <v>0</v>
      </c>
      <c r="X16" s="17">
        <f t="shared" si="8"/>
        <v>0</v>
      </c>
      <c r="Y16" s="17">
        <f t="shared" si="8"/>
        <v>4.4285714285714288</v>
      </c>
      <c r="Z16" s="17">
        <f t="shared" si="8"/>
        <v>0</v>
      </c>
      <c r="AA16" s="17">
        <f t="shared" si="8"/>
        <v>0</v>
      </c>
      <c r="AB16" s="17">
        <f t="shared" si="8"/>
        <v>0</v>
      </c>
      <c r="AC16" s="17">
        <f t="shared" si="8"/>
        <v>58.142857142857146</v>
      </c>
      <c r="AD16" s="17">
        <f t="shared" si="8"/>
        <v>0</v>
      </c>
      <c r="AE16" s="31">
        <f t="shared" si="8"/>
        <v>12.714285714285714</v>
      </c>
      <c r="AF16" s="31">
        <f t="shared" si="8"/>
        <v>70.857142857142861</v>
      </c>
    </row>
    <row r="17" spans="2:32" ht="23.1" customHeight="1" x14ac:dyDescent="0.25">
      <c r="B17" s="23" t="s">
        <v>44</v>
      </c>
      <c r="C17" s="49">
        <f>AVERAGE('11.08 KAMPALA-BUSUNJU'!C17,'12.08 KAMPALA-BUSUNJU'!C17,'13.08 KAMPALA-BUSUNJU'!C17,'14.08 KAMPALA-BUSUNJU'!C17,'16.08 KAMPALA-BUSUNJU-24h'!C17,'17.08 KAMPALA-BUSUNJU-24h'!C17,'15.08 KAMPALA-BUSUNJU'!C17)</f>
        <v>0.2857142857142857</v>
      </c>
      <c r="D17" s="49">
        <f>AVERAGE('11.08 KAMPALA-BUSUNJU'!D17,'12.08 KAMPALA-BUSUNJU'!D17,'13.08 KAMPALA-BUSUNJU'!D17,'14.08 KAMPALA-BUSUNJU'!D17,'16.08 KAMPALA-BUSUNJU-24h'!D17,'17.08 KAMPALA-BUSUNJU-24h'!D17,'15.08 KAMPALA-BUSUNJU'!D17)</f>
        <v>0</v>
      </c>
      <c r="E17" s="49">
        <f>AVERAGE('11.08 KAMPALA-BUSUNJU'!E17,'12.08 KAMPALA-BUSUNJU'!E17,'13.08 KAMPALA-BUSUNJU'!E17,'14.08 KAMPALA-BUSUNJU'!E17,'16.08 KAMPALA-BUSUNJU-24h'!E17,'17.08 KAMPALA-BUSUNJU-24h'!E17,'15.08 KAMPALA-BUSUNJU'!E17)</f>
        <v>0.2857142857142857</v>
      </c>
      <c r="F17" s="49">
        <f>AVERAGE('11.08 KAMPALA-BUSUNJU'!F17,'12.08 KAMPALA-BUSUNJU'!F17,'13.08 KAMPALA-BUSUNJU'!F17,'14.08 KAMPALA-BUSUNJU'!F17,'16.08 KAMPALA-BUSUNJU-24h'!F17,'17.08 KAMPALA-BUSUNJU-24h'!F17,'15.08 KAMPALA-BUSUNJU'!F17)</f>
        <v>0</v>
      </c>
      <c r="G17" s="49">
        <f>AVERAGE('11.08 KAMPALA-BUSUNJU'!G17,'12.08 KAMPALA-BUSUNJU'!G17,'13.08 KAMPALA-BUSUNJU'!G17,'14.08 KAMPALA-BUSUNJU'!G17,'16.08 KAMPALA-BUSUNJU-24h'!G17,'17.08 KAMPALA-BUSUNJU-24h'!G17,'15.08 KAMPALA-BUSUNJU'!G17)</f>
        <v>0</v>
      </c>
      <c r="H17" s="49">
        <f>AVERAGE('11.08 KAMPALA-BUSUNJU'!H17,'12.08 KAMPALA-BUSUNJU'!H17,'13.08 KAMPALA-BUSUNJU'!H17,'14.08 KAMPALA-BUSUNJU'!H17,'16.08 KAMPALA-BUSUNJU-24h'!H17,'17.08 KAMPALA-BUSUNJU-24h'!H17,'15.08 KAMPALA-BUSUNJU'!H17)</f>
        <v>0</v>
      </c>
      <c r="I17" s="49">
        <f>AVERAGE('11.08 KAMPALA-BUSUNJU'!I17,'12.08 KAMPALA-BUSUNJU'!I17,'13.08 KAMPALA-BUSUNJU'!I17,'14.08 KAMPALA-BUSUNJU'!I17,'16.08 KAMPALA-BUSUNJU-24h'!I17,'17.08 KAMPALA-BUSUNJU-24h'!I17,'15.08 KAMPALA-BUSUNJU'!I17)</f>
        <v>0.5714285714285714</v>
      </c>
      <c r="J17" s="49">
        <f>AVERAGE('11.08 KAMPALA-BUSUNJU'!J17,'12.08 KAMPALA-BUSUNJU'!J17,'13.08 KAMPALA-BUSUNJU'!J17,'14.08 KAMPALA-BUSUNJU'!J17,'16.08 KAMPALA-BUSUNJU-24h'!J17,'17.08 KAMPALA-BUSUNJU-24h'!J17,'15.08 KAMPALA-BUSUNJU'!J17)</f>
        <v>0</v>
      </c>
      <c r="K17" s="49">
        <f>AVERAGE('11.08 KAMPALA-BUSUNJU'!K17,'12.08 KAMPALA-BUSUNJU'!K17,'13.08 KAMPALA-BUSUNJU'!K17,'14.08 KAMPALA-BUSUNJU'!K17,'16.08 KAMPALA-BUSUNJU-24h'!K17,'17.08 KAMPALA-BUSUNJU-24h'!K17,'15.08 KAMPALA-BUSUNJU'!K17)</f>
        <v>0</v>
      </c>
      <c r="L17" s="49">
        <f>AVERAGE('11.08 KAMPALA-BUSUNJU'!L17,'12.08 KAMPALA-BUSUNJU'!L17,'13.08 KAMPALA-BUSUNJU'!L17,'14.08 KAMPALA-BUSUNJU'!L17,'16.08 KAMPALA-BUSUNJU-24h'!L17,'17.08 KAMPALA-BUSUNJU-24h'!L17,'15.08 KAMPALA-BUSUNJU'!L17)</f>
        <v>0</v>
      </c>
      <c r="M17" s="49">
        <f>AVERAGE('11.08 KAMPALA-BUSUNJU'!M17,'12.08 KAMPALA-BUSUNJU'!M17,'13.08 KAMPALA-BUSUNJU'!M17,'14.08 KAMPALA-BUSUNJU'!M17,'16.08 KAMPALA-BUSUNJU-24h'!M17,'17.08 KAMPALA-BUSUNJU-24h'!M17,'15.08 KAMPALA-BUSUNJU'!M17)</f>
        <v>12.142857142857142</v>
      </c>
      <c r="N17" s="49">
        <f>AVERAGE('11.08 KAMPALA-BUSUNJU'!N17,'12.08 KAMPALA-BUSUNJU'!N17,'13.08 KAMPALA-BUSUNJU'!N17,'14.08 KAMPALA-BUSUNJU'!N17,'16.08 KAMPALA-BUSUNJU-24h'!N17,'17.08 KAMPALA-BUSUNJU-24h'!N17,'15.08 KAMPALA-BUSUNJU'!N17)</f>
        <v>0</v>
      </c>
      <c r="O17" s="15">
        <f t="shared" si="0"/>
        <v>1.1428571428571428</v>
      </c>
      <c r="P17" s="15">
        <f t="shared" si="1"/>
        <v>13.285714285714285</v>
      </c>
      <c r="R17" s="1" t="s">
        <v>13</v>
      </c>
      <c r="S17" s="17">
        <f t="shared" ref="S17:AF17" si="9">SUM(C38:C41)</f>
        <v>3</v>
      </c>
      <c r="T17" s="17">
        <f t="shared" si="9"/>
        <v>0</v>
      </c>
      <c r="U17" s="17">
        <f t="shared" si="9"/>
        <v>4.4285714285714288</v>
      </c>
      <c r="V17" s="17">
        <f t="shared" si="9"/>
        <v>0.99999999999999989</v>
      </c>
      <c r="W17" s="17">
        <f t="shared" si="9"/>
        <v>0</v>
      </c>
      <c r="X17" s="17">
        <f t="shared" si="9"/>
        <v>0</v>
      </c>
      <c r="Y17" s="17">
        <f t="shared" si="9"/>
        <v>5.8571428571428577</v>
      </c>
      <c r="Z17" s="17">
        <f t="shared" si="9"/>
        <v>0.14285714285714285</v>
      </c>
      <c r="AA17" s="17">
        <f t="shared" si="9"/>
        <v>0</v>
      </c>
      <c r="AB17" s="17">
        <f t="shared" si="9"/>
        <v>0</v>
      </c>
      <c r="AC17" s="17">
        <f t="shared" si="9"/>
        <v>56.142857142857146</v>
      </c>
      <c r="AD17" s="17">
        <f t="shared" si="9"/>
        <v>0</v>
      </c>
      <c r="AE17" s="31">
        <f t="shared" si="9"/>
        <v>14.428571428571429</v>
      </c>
      <c r="AF17" s="31">
        <f t="shared" si="9"/>
        <v>70.571428571428584</v>
      </c>
    </row>
    <row r="18" spans="2:32" ht="23.1" customHeight="1" x14ac:dyDescent="0.25">
      <c r="B18" s="23" t="s">
        <v>45</v>
      </c>
      <c r="C18" s="49">
        <f>AVERAGE('11.08 KAMPALA-BUSUNJU'!C18,'12.08 KAMPALA-BUSUNJU'!C18,'13.08 KAMPALA-BUSUNJU'!C18,'14.08 KAMPALA-BUSUNJU'!C18,'16.08 KAMPALA-BUSUNJU-24h'!C18,'17.08 KAMPALA-BUSUNJU-24h'!C18,'15.08 KAMPALA-BUSUNJU'!C18)</f>
        <v>0.5714285714285714</v>
      </c>
      <c r="D18" s="49">
        <f>AVERAGE('11.08 KAMPALA-BUSUNJU'!D18,'12.08 KAMPALA-BUSUNJU'!D18,'13.08 KAMPALA-BUSUNJU'!D18,'14.08 KAMPALA-BUSUNJU'!D18,'16.08 KAMPALA-BUSUNJU-24h'!D18,'17.08 KAMPALA-BUSUNJU-24h'!D18,'15.08 KAMPALA-BUSUNJU'!D18)</f>
        <v>0</v>
      </c>
      <c r="E18" s="49">
        <f>AVERAGE('11.08 KAMPALA-BUSUNJU'!E18,'12.08 KAMPALA-BUSUNJU'!E18,'13.08 KAMPALA-BUSUNJU'!E18,'14.08 KAMPALA-BUSUNJU'!E18,'16.08 KAMPALA-BUSUNJU-24h'!E18,'17.08 KAMPALA-BUSUNJU-24h'!E18,'15.08 KAMPALA-BUSUNJU'!E18)</f>
        <v>0.14285714285714285</v>
      </c>
      <c r="F18" s="49">
        <f>AVERAGE('11.08 KAMPALA-BUSUNJU'!F18,'12.08 KAMPALA-BUSUNJU'!F18,'13.08 KAMPALA-BUSUNJU'!F18,'14.08 KAMPALA-BUSUNJU'!F18,'16.08 KAMPALA-BUSUNJU-24h'!F18,'17.08 KAMPALA-BUSUNJU-24h'!F18,'15.08 KAMPALA-BUSUNJU'!F18)</f>
        <v>0.14285714285714285</v>
      </c>
      <c r="G18" s="49">
        <f>AVERAGE('11.08 KAMPALA-BUSUNJU'!G18,'12.08 KAMPALA-BUSUNJU'!G18,'13.08 KAMPALA-BUSUNJU'!G18,'14.08 KAMPALA-BUSUNJU'!G18,'16.08 KAMPALA-BUSUNJU-24h'!G18,'17.08 KAMPALA-BUSUNJU-24h'!G18,'15.08 KAMPALA-BUSUNJU'!G18)</f>
        <v>0</v>
      </c>
      <c r="H18" s="49">
        <f>AVERAGE('11.08 KAMPALA-BUSUNJU'!H18,'12.08 KAMPALA-BUSUNJU'!H18,'13.08 KAMPALA-BUSUNJU'!H18,'14.08 KAMPALA-BUSUNJU'!H18,'16.08 KAMPALA-BUSUNJU-24h'!H18,'17.08 KAMPALA-BUSUNJU-24h'!H18,'15.08 KAMPALA-BUSUNJU'!H18)</f>
        <v>0</v>
      </c>
      <c r="I18" s="49">
        <f>AVERAGE('11.08 KAMPALA-BUSUNJU'!I18,'12.08 KAMPALA-BUSUNJU'!I18,'13.08 KAMPALA-BUSUNJU'!I18,'14.08 KAMPALA-BUSUNJU'!I18,'16.08 KAMPALA-BUSUNJU-24h'!I18,'17.08 KAMPALA-BUSUNJU-24h'!I18,'15.08 KAMPALA-BUSUNJU'!I18)</f>
        <v>0.5714285714285714</v>
      </c>
      <c r="J18" s="49">
        <f>AVERAGE('11.08 KAMPALA-BUSUNJU'!J18,'12.08 KAMPALA-BUSUNJU'!J18,'13.08 KAMPALA-BUSUNJU'!J18,'14.08 KAMPALA-BUSUNJU'!J18,'16.08 KAMPALA-BUSUNJU-24h'!J18,'17.08 KAMPALA-BUSUNJU-24h'!J18,'15.08 KAMPALA-BUSUNJU'!J18)</f>
        <v>0</v>
      </c>
      <c r="K18" s="49">
        <f>AVERAGE('11.08 KAMPALA-BUSUNJU'!K18,'12.08 KAMPALA-BUSUNJU'!K18,'13.08 KAMPALA-BUSUNJU'!K18,'14.08 KAMPALA-BUSUNJU'!K18,'16.08 KAMPALA-BUSUNJU-24h'!K18,'17.08 KAMPALA-BUSUNJU-24h'!K18,'15.08 KAMPALA-BUSUNJU'!K18)</f>
        <v>0</v>
      </c>
      <c r="L18" s="49">
        <f>AVERAGE('11.08 KAMPALA-BUSUNJU'!L18,'12.08 KAMPALA-BUSUNJU'!L18,'13.08 KAMPALA-BUSUNJU'!L18,'14.08 KAMPALA-BUSUNJU'!L18,'16.08 KAMPALA-BUSUNJU-24h'!L18,'17.08 KAMPALA-BUSUNJU-24h'!L18,'15.08 KAMPALA-BUSUNJU'!L18)</f>
        <v>0</v>
      </c>
      <c r="M18" s="49">
        <f>AVERAGE('11.08 KAMPALA-BUSUNJU'!M18,'12.08 KAMPALA-BUSUNJU'!M18,'13.08 KAMPALA-BUSUNJU'!M18,'14.08 KAMPALA-BUSUNJU'!M18,'16.08 KAMPALA-BUSUNJU-24h'!M18,'17.08 KAMPALA-BUSUNJU-24h'!M18,'15.08 KAMPALA-BUSUNJU'!M18)</f>
        <v>13.428571428571429</v>
      </c>
      <c r="N18" s="49">
        <f>AVERAGE('11.08 KAMPALA-BUSUNJU'!N18,'12.08 KAMPALA-BUSUNJU'!N18,'13.08 KAMPALA-BUSUNJU'!N18,'14.08 KAMPALA-BUSUNJU'!N18,'16.08 KAMPALA-BUSUNJU-24h'!N18,'17.08 KAMPALA-BUSUNJU-24h'!N18,'15.08 KAMPALA-BUSUNJU'!N18)</f>
        <v>0</v>
      </c>
      <c r="O18" s="15">
        <f t="shared" si="0"/>
        <v>1.4285714285714284</v>
      </c>
      <c r="P18" s="15">
        <f t="shared" si="1"/>
        <v>14.857142857142858</v>
      </c>
      <c r="R18" s="1" t="s">
        <v>14</v>
      </c>
      <c r="S18" s="17">
        <f t="shared" ref="S18:AF18" si="10">SUM(C42:C45)</f>
        <v>4.8571428571428577</v>
      </c>
      <c r="T18" s="17">
        <f t="shared" si="10"/>
        <v>0</v>
      </c>
      <c r="U18" s="17">
        <f t="shared" si="10"/>
        <v>3.7142857142857144</v>
      </c>
      <c r="V18" s="17">
        <f t="shared" si="10"/>
        <v>1.1428571428571428</v>
      </c>
      <c r="W18" s="17">
        <f t="shared" si="10"/>
        <v>0</v>
      </c>
      <c r="X18" s="17">
        <f t="shared" si="10"/>
        <v>0</v>
      </c>
      <c r="Y18" s="17">
        <f t="shared" si="10"/>
        <v>4.4285714285714279</v>
      </c>
      <c r="Z18" s="17">
        <f t="shared" si="10"/>
        <v>0.42857142857142855</v>
      </c>
      <c r="AA18" s="17">
        <f t="shared" si="10"/>
        <v>0</v>
      </c>
      <c r="AB18" s="17">
        <f t="shared" si="10"/>
        <v>0</v>
      </c>
      <c r="AC18" s="17">
        <f t="shared" si="10"/>
        <v>56.142857142857139</v>
      </c>
      <c r="AD18" s="17">
        <f t="shared" si="10"/>
        <v>0</v>
      </c>
      <c r="AE18" s="31">
        <f t="shared" si="10"/>
        <v>14.571428571428571</v>
      </c>
      <c r="AF18" s="31">
        <f t="shared" si="10"/>
        <v>70.714285714285722</v>
      </c>
    </row>
    <row r="19" spans="2:32" ht="23.1" customHeight="1" x14ac:dyDescent="0.25">
      <c r="B19" s="23" t="s">
        <v>46</v>
      </c>
      <c r="C19" s="49">
        <f>AVERAGE('11.08 KAMPALA-BUSUNJU'!C19,'12.08 KAMPALA-BUSUNJU'!C19,'13.08 KAMPALA-BUSUNJU'!C19,'14.08 KAMPALA-BUSUNJU'!C19,'16.08 KAMPALA-BUSUNJU-24h'!C19,'17.08 KAMPALA-BUSUNJU-24h'!C19,'15.08 KAMPALA-BUSUNJU'!C19)</f>
        <v>0.7142857142857143</v>
      </c>
      <c r="D19" s="49">
        <f>AVERAGE('11.08 KAMPALA-BUSUNJU'!D19,'12.08 KAMPALA-BUSUNJU'!D19,'13.08 KAMPALA-BUSUNJU'!D19,'14.08 KAMPALA-BUSUNJU'!D19,'16.08 KAMPALA-BUSUNJU-24h'!D19,'17.08 KAMPALA-BUSUNJU-24h'!D19,'15.08 KAMPALA-BUSUNJU'!D19)</f>
        <v>0</v>
      </c>
      <c r="E19" s="49">
        <f>AVERAGE('11.08 KAMPALA-BUSUNJU'!E19,'12.08 KAMPALA-BUSUNJU'!E19,'13.08 KAMPALA-BUSUNJU'!E19,'14.08 KAMPALA-BUSUNJU'!E19,'16.08 KAMPALA-BUSUNJU-24h'!E19,'17.08 KAMPALA-BUSUNJU-24h'!E19,'15.08 KAMPALA-BUSUNJU'!E19)</f>
        <v>0.2857142857142857</v>
      </c>
      <c r="F19" s="49">
        <f>AVERAGE('11.08 KAMPALA-BUSUNJU'!F19,'12.08 KAMPALA-BUSUNJU'!F19,'13.08 KAMPALA-BUSUNJU'!F19,'14.08 KAMPALA-BUSUNJU'!F19,'16.08 KAMPALA-BUSUNJU-24h'!F19,'17.08 KAMPALA-BUSUNJU-24h'!F19,'15.08 KAMPALA-BUSUNJU'!F19)</f>
        <v>0</v>
      </c>
      <c r="G19" s="49">
        <f>AVERAGE('11.08 KAMPALA-BUSUNJU'!G19,'12.08 KAMPALA-BUSUNJU'!G19,'13.08 KAMPALA-BUSUNJU'!G19,'14.08 KAMPALA-BUSUNJU'!G19,'16.08 KAMPALA-BUSUNJU-24h'!G19,'17.08 KAMPALA-BUSUNJU-24h'!G19,'15.08 KAMPALA-BUSUNJU'!G19)</f>
        <v>0</v>
      </c>
      <c r="H19" s="49">
        <f>AVERAGE('11.08 KAMPALA-BUSUNJU'!H19,'12.08 KAMPALA-BUSUNJU'!H19,'13.08 KAMPALA-BUSUNJU'!H19,'14.08 KAMPALA-BUSUNJU'!H19,'16.08 KAMPALA-BUSUNJU-24h'!H19,'17.08 KAMPALA-BUSUNJU-24h'!H19,'15.08 KAMPALA-BUSUNJU'!H19)</f>
        <v>0</v>
      </c>
      <c r="I19" s="49">
        <f>AVERAGE('11.08 KAMPALA-BUSUNJU'!I19,'12.08 KAMPALA-BUSUNJU'!I19,'13.08 KAMPALA-BUSUNJU'!I19,'14.08 KAMPALA-BUSUNJU'!I19,'16.08 KAMPALA-BUSUNJU-24h'!I19,'17.08 KAMPALA-BUSUNJU-24h'!I19,'15.08 KAMPALA-BUSUNJU'!I19)</f>
        <v>1.2857142857142858</v>
      </c>
      <c r="J19" s="49">
        <f>AVERAGE('11.08 KAMPALA-BUSUNJU'!J19,'12.08 KAMPALA-BUSUNJU'!J19,'13.08 KAMPALA-BUSUNJU'!J19,'14.08 KAMPALA-BUSUNJU'!J19,'16.08 KAMPALA-BUSUNJU-24h'!J19,'17.08 KAMPALA-BUSUNJU-24h'!J19,'15.08 KAMPALA-BUSUNJU'!J19)</f>
        <v>0</v>
      </c>
      <c r="K19" s="49">
        <f>AVERAGE('11.08 KAMPALA-BUSUNJU'!K19,'12.08 KAMPALA-BUSUNJU'!K19,'13.08 KAMPALA-BUSUNJU'!K19,'14.08 KAMPALA-BUSUNJU'!K19,'16.08 KAMPALA-BUSUNJU-24h'!K19,'17.08 KAMPALA-BUSUNJU-24h'!K19,'15.08 KAMPALA-BUSUNJU'!K19)</f>
        <v>0</v>
      </c>
      <c r="L19" s="49">
        <f>AVERAGE('11.08 KAMPALA-BUSUNJU'!L19,'12.08 KAMPALA-BUSUNJU'!L19,'13.08 KAMPALA-BUSUNJU'!L19,'14.08 KAMPALA-BUSUNJU'!L19,'16.08 KAMPALA-BUSUNJU-24h'!L19,'17.08 KAMPALA-BUSUNJU-24h'!L19,'15.08 KAMPALA-BUSUNJU'!L19)</f>
        <v>0</v>
      </c>
      <c r="M19" s="49">
        <f>AVERAGE('11.08 KAMPALA-BUSUNJU'!M19,'12.08 KAMPALA-BUSUNJU'!M19,'13.08 KAMPALA-BUSUNJU'!M19,'14.08 KAMPALA-BUSUNJU'!M19,'16.08 KAMPALA-BUSUNJU-24h'!M19,'17.08 KAMPALA-BUSUNJU-24h'!M19,'15.08 KAMPALA-BUSUNJU'!M19)</f>
        <v>13.285714285714286</v>
      </c>
      <c r="N19" s="49">
        <f>AVERAGE('11.08 KAMPALA-BUSUNJU'!N19,'12.08 KAMPALA-BUSUNJU'!N19,'13.08 KAMPALA-BUSUNJU'!N19,'14.08 KAMPALA-BUSUNJU'!N19,'16.08 KAMPALA-BUSUNJU-24h'!N19,'17.08 KAMPALA-BUSUNJU-24h'!N19,'15.08 KAMPALA-BUSUNJU'!N19)</f>
        <v>0</v>
      </c>
      <c r="O19" s="15">
        <f t="shared" si="0"/>
        <v>2.2857142857142856</v>
      </c>
      <c r="P19" s="15">
        <f t="shared" si="1"/>
        <v>15.571428571428573</v>
      </c>
      <c r="R19" s="1" t="s">
        <v>15</v>
      </c>
      <c r="S19" s="17">
        <f t="shared" ref="S19:AF19" si="11">SUM(C46:C49)</f>
        <v>5.4285714285714288</v>
      </c>
      <c r="T19" s="17">
        <f t="shared" si="11"/>
        <v>0</v>
      </c>
      <c r="U19" s="17">
        <f t="shared" si="11"/>
        <v>5.1428571428571423</v>
      </c>
      <c r="V19" s="17">
        <f t="shared" si="11"/>
        <v>1.2857142857142856</v>
      </c>
      <c r="W19" s="17">
        <f t="shared" si="11"/>
        <v>0.14285714285714285</v>
      </c>
      <c r="X19" s="17">
        <f t="shared" si="11"/>
        <v>0</v>
      </c>
      <c r="Y19" s="17">
        <f t="shared" si="11"/>
        <v>4.8571428571428577</v>
      </c>
      <c r="Z19" s="17">
        <f t="shared" si="11"/>
        <v>0.14285714285714285</v>
      </c>
      <c r="AA19" s="17">
        <f t="shared" si="11"/>
        <v>0</v>
      </c>
      <c r="AB19" s="17">
        <f t="shared" si="11"/>
        <v>0</v>
      </c>
      <c r="AC19" s="17">
        <f t="shared" si="11"/>
        <v>55.714285714285715</v>
      </c>
      <c r="AD19" s="17">
        <f t="shared" si="11"/>
        <v>0</v>
      </c>
      <c r="AE19" s="31">
        <f t="shared" si="11"/>
        <v>17</v>
      </c>
      <c r="AF19" s="31">
        <f t="shared" si="11"/>
        <v>72.714285714285708</v>
      </c>
    </row>
    <row r="20" spans="2:32" ht="23.1" customHeight="1" x14ac:dyDescent="0.25">
      <c r="B20" s="23" t="s">
        <v>47</v>
      </c>
      <c r="C20" s="49">
        <f>AVERAGE('11.08 KAMPALA-BUSUNJU'!C20,'12.08 KAMPALA-BUSUNJU'!C20,'13.08 KAMPALA-BUSUNJU'!C20,'14.08 KAMPALA-BUSUNJU'!C20,'16.08 KAMPALA-BUSUNJU-24h'!C20,'17.08 KAMPALA-BUSUNJU-24h'!C20,'15.08 KAMPALA-BUSUNJU'!C20)</f>
        <v>0.7142857142857143</v>
      </c>
      <c r="D20" s="49">
        <f>AVERAGE('11.08 KAMPALA-BUSUNJU'!D20,'12.08 KAMPALA-BUSUNJU'!D20,'13.08 KAMPALA-BUSUNJU'!D20,'14.08 KAMPALA-BUSUNJU'!D20,'16.08 KAMPALA-BUSUNJU-24h'!D20,'17.08 KAMPALA-BUSUNJU-24h'!D20,'15.08 KAMPALA-BUSUNJU'!D20)</f>
        <v>0</v>
      </c>
      <c r="E20" s="49">
        <f>AVERAGE('11.08 KAMPALA-BUSUNJU'!E20,'12.08 KAMPALA-BUSUNJU'!E20,'13.08 KAMPALA-BUSUNJU'!E20,'14.08 KAMPALA-BUSUNJU'!E20,'16.08 KAMPALA-BUSUNJU-24h'!E20,'17.08 KAMPALA-BUSUNJU-24h'!E20,'15.08 KAMPALA-BUSUNJU'!E20)</f>
        <v>0.2857142857142857</v>
      </c>
      <c r="F20" s="49">
        <f>AVERAGE('11.08 KAMPALA-BUSUNJU'!F20,'12.08 KAMPALA-BUSUNJU'!F20,'13.08 KAMPALA-BUSUNJU'!F20,'14.08 KAMPALA-BUSUNJU'!F20,'16.08 KAMPALA-BUSUNJU-24h'!F20,'17.08 KAMPALA-BUSUNJU-24h'!F20,'15.08 KAMPALA-BUSUNJU'!F20)</f>
        <v>0.42857142857142855</v>
      </c>
      <c r="G20" s="49">
        <f>AVERAGE('11.08 KAMPALA-BUSUNJU'!G20,'12.08 KAMPALA-BUSUNJU'!G20,'13.08 KAMPALA-BUSUNJU'!G20,'14.08 KAMPALA-BUSUNJU'!G20,'16.08 KAMPALA-BUSUNJU-24h'!G20,'17.08 KAMPALA-BUSUNJU-24h'!G20,'15.08 KAMPALA-BUSUNJU'!G20)</f>
        <v>0</v>
      </c>
      <c r="H20" s="49">
        <f>AVERAGE('11.08 KAMPALA-BUSUNJU'!H20,'12.08 KAMPALA-BUSUNJU'!H20,'13.08 KAMPALA-BUSUNJU'!H20,'14.08 KAMPALA-BUSUNJU'!H20,'16.08 KAMPALA-BUSUNJU-24h'!H20,'17.08 KAMPALA-BUSUNJU-24h'!H20,'15.08 KAMPALA-BUSUNJU'!H20)</f>
        <v>0</v>
      </c>
      <c r="I20" s="49">
        <f>AVERAGE('11.08 KAMPALA-BUSUNJU'!I20,'12.08 KAMPALA-BUSUNJU'!I20,'13.08 KAMPALA-BUSUNJU'!I20,'14.08 KAMPALA-BUSUNJU'!I20,'16.08 KAMPALA-BUSUNJU-24h'!I20,'17.08 KAMPALA-BUSUNJU-24h'!I20,'15.08 KAMPALA-BUSUNJU'!I20)</f>
        <v>1.1428571428571428</v>
      </c>
      <c r="J20" s="49">
        <f>AVERAGE('11.08 KAMPALA-BUSUNJU'!J20,'12.08 KAMPALA-BUSUNJU'!J20,'13.08 KAMPALA-BUSUNJU'!J20,'14.08 KAMPALA-BUSUNJU'!J20,'16.08 KAMPALA-BUSUNJU-24h'!J20,'17.08 KAMPALA-BUSUNJU-24h'!J20,'15.08 KAMPALA-BUSUNJU'!J20)</f>
        <v>0</v>
      </c>
      <c r="K20" s="49">
        <f>AVERAGE('11.08 KAMPALA-BUSUNJU'!K20,'12.08 KAMPALA-BUSUNJU'!K20,'13.08 KAMPALA-BUSUNJU'!K20,'14.08 KAMPALA-BUSUNJU'!K20,'16.08 KAMPALA-BUSUNJU-24h'!K20,'17.08 KAMPALA-BUSUNJU-24h'!K20,'15.08 KAMPALA-BUSUNJU'!K20)</f>
        <v>0</v>
      </c>
      <c r="L20" s="49">
        <f>AVERAGE('11.08 KAMPALA-BUSUNJU'!L20,'12.08 KAMPALA-BUSUNJU'!L20,'13.08 KAMPALA-BUSUNJU'!L20,'14.08 KAMPALA-BUSUNJU'!L20,'16.08 KAMPALA-BUSUNJU-24h'!L20,'17.08 KAMPALA-BUSUNJU-24h'!L20,'15.08 KAMPALA-BUSUNJU'!L20)</f>
        <v>0</v>
      </c>
      <c r="M20" s="49">
        <f>AVERAGE('11.08 KAMPALA-BUSUNJU'!M20,'12.08 KAMPALA-BUSUNJU'!M20,'13.08 KAMPALA-BUSUNJU'!M20,'14.08 KAMPALA-BUSUNJU'!M20,'16.08 KAMPALA-BUSUNJU-24h'!M20,'17.08 KAMPALA-BUSUNJU-24h'!M20,'15.08 KAMPALA-BUSUNJU'!M20)</f>
        <v>13.571428571428571</v>
      </c>
      <c r="N20" s="49">
        <f>AVERAGE('11.08 KAMPALA-BUSUNJU'!N20,'12.08 KAMPALA-BUSUNJU'!N20,'13.08 KAMPALA-BUSUNJU'!N20,'14.08 KAMPALA-BUSUNJU'!N20,'16.08 KAMPALA-BUSUNJU-24h'!N20,'17.08 KAMPALA-BUSUNJU-24h'!N20,'15.08 KAMPALA-BUSUNJU'!N20)</f>
        <v>0</v>
      </c>
      <c r="O20" s="15">
        <f t="shared" si="0"/>
        <v>2.5714285714285712</v>
      </c>
      <c r="P20" s="15">
        <f t="shared" si="1"/>
        <v>16.142857142857142</v>
      </c>
      <c r="R20" s="1" t="s">
        <v>16</v>
      </c>
      <c r="S20" s="17">
        <f t="shared" ref="S20:AF20" si="12">SUM(C50:C53)</f>
        <v>4</v>
      </c>
      <c r="T20" s="17">
        <f t="shared" si="12"/>
        <v>0</v>
      </c>
      <c r="U20" s="17">
        <f t="shared" si="12"/>
        <v>3.4285714285714284</v>
      </c>
      <c r="V20" s="17">
        <f t="shared" si="12"/>
        <v>2.5714285714285716</v>
      </c>
      <c r="W20" s="17">
        <f t="shared" si="12"/>
        <v>0.14285714285714285</v>
      </c>
      <c r="X20" s="17">
        <f t="shared" si="12"/>
        <v>0</v>
      </c>
      <c r="Y20" s="17">
        <f t="shared" si="12"/>
        <v>4.2857142857142856</v>
      </c>
      <c r="Z20" s="17">
        <f t="shared" si="12"/>
        <v>0</v>
      </c>
      <c r="AA20" s="17">
        <f t="shared" si="12"/>
        <v>0</v>
      </c>
      <c r="AB20" s="17">
        <f t="shared" si="12"/>
        <v>0</v>
      </c>
      <c r="AC20" s="17">
        <f t="shared" si="12"/>
        <v>62.571428571428569</v>
      </c>
      <c r="AD20" s="17">
        <f t="shared" si="12"/>
        <v>0</v>
      </c>
      <c r="AE20" s="31">
        <f t="shared" si="12"/>
        <v>14.428571428571427</v>
      </c>
      <c r="AF20" s="31">
        <f t="shared" si="12"/>
        <v>77</v>
      </c>
    </row>
    <row r="21" spans="2:32" ht="23.1" customHeight="1" x14ac:dyDescent="0.25">
      <c r="B21" s="23" t="s">
        <v>48</v>
      </c>
      <c r="C21" s="49">
        <f>AVERAGE('11.08 KAMPALA-BUSUNJU'!C21,'12.08 KAMPALA-BUSUNJU'!C21,'13.08 KAMPALA-BUSUNJU'!C21,'14.08 KAMPALA-BUSUNJU'!C21,'16.08 KAMPALA-BUSUNJU-24h'!C21,'17.08 KAMPALA-BUSUNJU-24h'!C21,'15.08 KAMPALA-BUSUNJU'!C21)</f>
        <v>0.2857142857142857</v>
      </c>
      <c r="D21" s="49">
        <f>AVERAGE('11.08 KAMPALA-BUSUNJU'!D21,'12.08 KAMPALA-BUSUNJU'!D21,'13.08 KAMPALA-BUSUNJU'!D21,'14.08 KAMPALA-BUSUNJU'!D21,'16.08 KAMPALA-BUSUNJU-24h'!D21,'17.08 KAMPALA-BUSUNJU-24h'!D21,'15.08 KAMPALA-BUSUNJU'!D21)</f>
        <v>0</v>
      </c>
      <c r="E21" s="49">
        <f>AVERAGE('11.08 KAMPALA-BUSUNJU'!E21,'12.08 KAMPALA-BUSUNJU'!E21,'13.08 KAMPALA-BUSUNJU'!E21,'14.08 KAMPALA-BUSUNJU'!E21,'16.08 KAMPALA-BUSUNJU-24h'!E21,'17.08 KAMPALA-BUSUNJU-24h'!E21,'15.08 KAMPALA-BUSUNJU'!E21)</f>
        <v>0.42857142857142855</v>
      </c>
      <c r="F21" s="49">
        <f>AVERAGE('11.08 KAMPALA-BUSUNJU'!F21,'12.08 KAMPALA-BUSUNJU'!F21,'13.08 KAMPALA-BUSUNJU'!F21,'14.08 KAMPALA-BUSUNJU'!F21,'16.08 KAMPALA-BUSUNJU-24h'!F21,'17.08 KAMPALA-BUSUNJU-24h'!F21,'15.08 KAMPALA-BUSUNJU'!F21)</f>
        <v>0.42857142857142855</v>
      </c>
      <c r="G21" s="49">
        <f>AVERAGE('11.08 KAMPALA-BUSUNJU'!G21,'12.08 KAMPALA-BUSUNJU'!G21,'13.08 KAMPALA-BUSUNJU'!G21,'14.08 KAMPALA-BUSUNJU'!G21,'16.08 KAMPALA-BUSUNJU-24h'!G21,'17.08 KAMPALA-BUSUNJU-24h'!G21,'15.08 KAMPALA-BUSUNJU'!G21)</f>
        <v>0</v>
      </c>
      <c r="H21" s="49">
        <f>AVERAGE('11.08 KAMPALA-BUSUNJU'!H21,'12.08 KAMPALA-BUSUNJU'!H21,'13.08 KAMPALA-BUSUNJU'!H21,'14.08 KAMPALA-BUSUNJU'!H21,'16.08 KAMPALA-BUSUNJU-24h'!H21,'17.08 KAMPALA-BUSUNJU-24h'!H21,'15.08 KAMPALA-BUSUNJU'!H21)</f>
        <v>0</v>
      </c>
      <c r="I21" s="49">
        <f>AVERAGE('11.08 KAMPALA-BUSUNJU'!I21,'12.08 KAMPALA-BUSUNJU'!I21,'13.08 KAMPALA-BUSUNJU'!I21,'14.08 KAMPALA-BUSUNJU'!I21,'16.08 KAMPALA-BUSUNJU-24h'!I21,'17.08 KAMPALA-BUSUNJU-24h'!I21,'15.08 KAMPALA-BUSUNJU'!I21)</f>
        <v>0.7142857142857143</v>
      </c>
      <c r="J21" s="49">
        <f>AVERAGE('11.08 KAMPALA-BUSUNJU'!J21,'12.08 KAMPALA-BUSUNJU'!J21,'13.08 KAMPALA-BUSUNJU'!J21,'14.08 KAMPALA-BUSUNJU'!J21,'16.08 KAMPALA-BUSUNJU-24h'!J21,'17.08 KAMPALA-BUSUNJU-24h'!J21,'15.08 KAMPALA-BUSUNJU'!J21)</f>
        <v>0</v>
      </c>
      <c r="K21" s="49">
        <f>AVERAGE('11.08 KAMPALA-BUSUNJU'!K21,'12.08 KAMPALA-BUSUNJU'!K21,'13.08 KAMPALA-BUSUNJU'!K21,'14.08 KAMPALA-BUSUNJU'!K21,'16.08 KAMPALA-BUSUNJU-24h'!K21,'17.08 KAMPALA-BUSUNJU-24h'!K21,'15.08 KAMPALA-BUSUNJU'!K21)</f>
        <v>0</v>
      </c>
      <c r="L21" s="49">
        <f>AVERAGE('11.08 KAMPALA-BUSUNJU'!L21,'12.08 KAMPALA-BUSUNJU'!L21,'13.08 KAMPALA-BUSUNJU'!L21,'14.08 KAMPALA-BUSUNJU'!L21,'16.08 KAMPALA-BUSUNJU-24h'!L21,'17.08 KAMPALA-BUSUNJU-24h'!L21,'15.08 KAMPALA-BUSUNJU'!L21)</f>
        <v>0</v>
      </c>
      <c r="M21" s="49">
        <f>AVERAGE('11.08 KAMPALA-BUSUNJU'!M21,'12.08 KAMPALA-BUSUNJU'!M21,'13.08 KAMPALA-BUSUNJU'!M21,'14.08 KAMPALA-BUSUNJU'!M21,'16.08 KAMPALA-BUSUNJU-24h'!M21,'17.08 KAMPALA-BUSUNJU-24h'!M21,'15.08 KAMPALA-BUSUNJU'!M21)</f>
        <v>15.285714285714286</v>
      </c>
      <c r="N21" s="49">
        <f>AVERAGE('11.08 KAMPALA-BUSUNJU'!N21,'12.08 KAMPALA-BUSUNJU'!N21,'13.08 KAMPALA-BUSUNJU'!N21,'14.08 KAMPALA-BUSUNJU'!N21,'16.08 KAMPALA-BUSUNJU-24h'!N21,'17.08 KAMPALA-BUSUNJU-24h'!N21,'15.08 KAMPALA-BUSUNJU'!N21)</f>
        <v>0</v>
      </c>
      <c r="O21" s="15">
        <f t="shared" si="0"/>
        <v>1.8571428571428572</v>
      </c>
      <c r="P21" s="15">
        <f t="shared" si="1"/>
        <v>17.142857142857142</v>
      </c>
      <c r="R21" s="1" t="s">
        <v>20</v>
      </c>
      <c r="S21" s="34">
        <f t="shared" ref="S21:AF21" si="13">SUM(C54:C57)</f>
        <v>5</v>
      </c>
      <c r="T21" s="17">
        <f t="shared" si="13"/>
        <v>0</v>
      </c>
      <c r="U21" s="17">
        <f t="shared" si="13"/>
        <v>2.4285714285714284</v>
      </c>
      <c r="V21" s="17">
        <f t="shared" si="13"/>
        <v>1.714285714285714</v>
      </c>
      <c r="W21" s="17">
        <f t="shared" si="13"/>
        <v>0.42857142857142855</v>
      </c>
      <c r="X21" s="17">
        <f t="shared" si="13"/>
        <v>0</v>
      </c>
      <c r="Y21" s="17">
        <f t="shared" si="13"/>
        <v>3.1428571428571428</v>
      </c>
      <c r="Z21" s="17">
        <f t="shared" si="13"/>
        <v>0.14285714285714285</v>
      </c>
      <c r="AA21" s="17">
        <f t="shared" si="13"/>
        <v>0.14285714285714285</v>
      </c>
      <c r="AB21" s="17">
        <f t="shared" si="13"/>
        <v>0</v>
      </c>
      <c r="AC21" s="17">
        <f t="shared" si="13"/>
        <v>58.285714285714278</v>
      </c>
      <c r="AD21" s="17">
        <f t="shared" si="13"/>
        <v>0</v>
      </c>
      <c r="AE21" s="31">
        <f t="shared" si="13"/>
        <v>12.999999999999998</v>
      </c>
      <c r="AF21" s="31">
        <f t="shared" si="13"/>
        <v>71.285714285714292</v>
      </c>
    </row>
    <row r="22" spans="2:32" ht="23.1" customHeight="1" x14ac:dyDescent="0.25">
      <c r="B22" s="23" t="s">
        <v>49</v>
      </c>
      <c r="C22" s="49">
        <f>AVERAGE('11.08 KAMPALA-BUSUNJU'!C22,'12.08 KAMPALA-BUSUNJU'!C22,'13.08 KAMPALA-BUSUNJU'!C22,'14.08 KAMPALA-BUSUNJU'!C22,'16.08 KAMPALA-BUSUNJU-24h'!C22,'17.08 KAMPALA-BUSUNJU-24h'!C22,'15.08 KAMPALA-BUSUNJU'!C22)</f>
        <v>0.7142857142857143</v>
      </c>
      <c r="D22" s="49">
        <f>AVERAGE('11.08 KAMPALA-BUSUNJU'!D22,'12.08 KAMPALA-BUSUNJU'!D22,'13.08 KAMPALA-BUSUNJU'!D22,'14.08 KAMPALA-BUSUNJU'!D22,'16.08 KAMPALA-BUSUNJU-24h'!D22,'17.08 KAMPALA-BUSUNJU-24h'!D22,'15.08 KAMPALA-BUSUNJU'!D22)</f>
        <v>0</v>
      </c>
      <c r="E22" s="49">
        <f>AVERAGE('11.08 KAMPALA-BUSUNJU'!E22,'12.08 KAMPALA-BUSUNJU'!E22,'13.08 KAMPALA-BUSUNJU'!E22,'14.08 KAMPALA-BUSUNJU'!E22,'16.08 KAMPALA-BUSUNJU-24h'!E22,'17.08 KAMPALA-BUSUNJU-24h'!E22,'15.08 KAMPALA-BUSUNJU'!E22)</f>
        <v>0.5714285714285714</v>
      </c>
      <c r="F22" s="49">
        <f>AVERAGE('11.08 KAMPALA-BUSUNJU'!F22,'12.08 KAMPALA-BUSUNJU'!F22,'13.08 KAMPALA-BUSUNJU'!F22,'14.08 KAMPALA-BUSUNJU'!F22,'16.08 KAMPALA-BUSUNJU-24h'!F22,'17.08 KAMPALA-BUSUNJU-24h'!F22,'15.08 KAMPALA-BUSUNJU'!F22)</f>
        <v>0.14285714285714285</v>
      </c>
      <c r="G22" s="49">
        <f>AVERAGE('11.08 KAMPALA-BUSUNJU'!G22,'12.08 KAMPALA-BUSUNJU'!G22,'13.08 KAMPALA-BUSUNJU'!G22,'14.08 KAMPALA-BUSUNJU'!G22,'16.08 KAMPALA-BUSUNJU-24h'!G22,'17.08 KAMPALA-BUSUNJU-24h'!G22,'15.08 KAMPALA-BUSUNJU'!G22)</f>
        <v>0</v>
      </c>
      <c r="H22" s="49">
        <f>AVERAGE('11.08 KAMPALA-BUSUNJU'!H22,'12.08 KAMPALA-BUSUNJU'!H22,'13.08 KAMPALA-BUSUNJU'!H22,'14.08 KAMPALA-BUSUNJU'!H22,'16.08 KAMPALA-BUSUNJU-24h'!H22,'17.08 KAMPALA-BUSUNJU-24h'!H22,'15.08 KAMPALA-BUSUNJU'!H22)</f>
        <v>0</v>
      </c>
      <c r="I22" s="49">
        <f>AVERAGE('11.08 KAMPALA-BUSUNJU'!I22,'12.08 KAMPALA-BUSUNJU'!I22,'13.08 KAMPALA-BUSUNJU'!I22,'14.08 KAMPALA-BUSUNJU'!I22,'16.08 KAMPALA-BUSUNJU-24h'!I22,'17.08 KAMPALA-BUSUNJU-24h'!I22,'15.08 KAMPALA-BUSUNJU'!I22)</f>
        <v>1.7142857142857142</v>
      </c>
      <c r="J22" s="49">
        <f>AVERAGE('11.08 KAMPALA-BUSUNJU'!J22,'12.08 KAMPALA-BUSUNJU'!J22,'13.08 KAMPALA-BUSUNJU'!J22,'14.08 KAMPALA-BUSUNJU'!J22,'16.08 KAMPALA-BUSUNJU-24h'!J22,'17.08 KAMPALA-BUSUNJU-24h'!J22,'15.08 KAMPALA-BUSUNJU'!J22)</f>
        <v>0</v>
      </c>
      <c r="K22" s="49">
        <f>AVERAGE('11.08 KAMPALA-BUSUNJU'!K22,'12.08 KAMPALA-BUSUNJU'!K22,'13.08 KAMPALA-BUSUNJU'!K22,'14.08 KAMPALA-BUSUNJU'!K22,'16.08 KAMPALA-BUSUNJU-24h'!K22,'17.08 KAMPALA-BUSUNJU-24h'!K22,'15.08 KAMPALA-BUSUNJU'!K22)</f>
        <v>0</v>
      </c>
      <c r="L22" s="49">
        <f>AVERAGE('11.08 KAMPALA-BUSUNJU'!L22,'12.08 KAMPALA-BUSUNJU'!L22,'13.08 KAMPALA-BUSUNJU'!L22,'14.08 KAMPALA-BUSUNJU'!L22,'16.08 KAMPALA-BUSUNJU-24h'!L22,'17.08 KAMPALA-BUSUNJU-24h'!L22,'15.08 KAMPALA-BUSUNJU'!L22)</f>
        <v>0</v>
      </c>
      <c r="M22" s="49">
        <f>AVERAGE('11.08 KAMPALA-BUSUNJU'!M22,'12.08 KAMPALA-BUSUNJU'!M22,'13.08 KAMPALA-BUSUNJU'!M22,'14.08 KAMPALA-BUSUNJU'!M22,'16.08 KAMPALA-BUSUNJU-24h'!M22,'17.08 KAMPALA-BUSUNJU-24h'!M22,'15.08 KAMPALA-BUSUNJU'!M22)</f>
        <v>14.428571428571429</v>
      </c>
      <c r="N22" s="49">
        <f>AVERAGE('11.08 KAMPALA-BUSUNJU'!N22,'12.08 KAMPALA-BUSUNJU'!N22,'13.08 KAMPALA-BUSUNJU'!N22,'14.08 KAMPALA-BUSUNJU'!N22,'16.08 KAMPALA-BUSUNJU-24h'!N22,'17.08 KAMPALA-BUSUNJU-24h'!N22,'15.08 KAMPALA-BUSUNJU'!N22)</f>
        <v>0</v>
      </c>
      <c r="O22" s="15">
        <f t="shared" si="0"/>
        <v>3.1428571428571423</v>
      </c>
      <c r="P22" s="15">
        <f t="shared" si="1"/>
        <v>17.571428571428569</v>
      </c>
      <c r="R22" s="1" t="s">
        <v>146</v>
      </c>
      <c r="S22" s="34">
        <f>SUM(C58:C61)</f>
        <v>0</v>
      </c>
      <c r="T22" s="34">
        <f t="shared" ref="T22:AF22" si="14">SUM(D58:D61)</f>
        <v>0</v>
      </c>
      <c r="U22" s="34">
        <f t="shared" si="14"/>
        <v>1</v>
      </c>
      <c r="V22" s="34">
        <f t="shared" si="14"/>
        <v>0</v>
      </c>
      <c r="W22" s="34">
        <f t="shared" si="14"/>
        <v>0</v>
      </c>
      <c r="X22" s="34">
        <f t="shared" si="14"/>
        <v>0</v>
      </c>
      <c r="Y22" s="34">
        <f t="shared" si="14"/>
        <v>2</v>
      </c>
      <c r="Z22" s="34">
        <f t="shared" si="14"/>
        <v>0</v>
      </c>
      <c r="AA22" s="34">
        <f t="shared" si="14"/>
        <v>0</v>
      </c>
      <c r="AB22" s="34">
        <f t="shared" si="14"/>
        <v>0</v>
      </c>
      <c r="AC22" s="34">
        <f t="shared" si="14"/>
        <v>27.5</v>
      </c>
      <c r="AD22" s="34">
        <f t="shared" si="14"/>
        <v>0</v>
      </c>
      <c r="AE22" s="31">
        <f t="shared" si="14"/>
        <v>3</v>
      </c>
      <c r="AF22" s="31">
        <f t="shared" si="14"/>
        <v>30.5</v>
      </c>
    </row>
    <row r="23" spans="2:32" ht="23.1" customHeight="1" x14ac:dyDescent="0.25">
      <c r="B23" s="23" t="s">
        <v>50</v>
      </c>
      <c r="C23" s="49">
        <f>AVERAGE('11.08 KAMPALA-BUSUNJU'!C23,'12.08 KAMPALA-BUSUNJU'!C23,'13.08 KAMPALA-BUSUNJU'!C23,'14.08 KAMPALA-BUSUNJU'!C23,'16.08 KAMPALA-BUSUNJU-24h'!C23,'17.08 KAMPALA-BUSUNJU-24h'!C23,'15.08 KAMPALA-BUSUNJU'!C23)</f>
        <v>1</v>
      </c>
      <c r="D23" s="49">
        <f>AVERAGE('11.08 KAMPALA-BUSUNJU'!D23,'12.08 KAMPALA-BUSUNJU'!D23,'13.08 KAMPALA-BUSUNJU'!D23,'14.08 KAMPALA-BUSUNJU'!D23,'16.08 KAMPALA-BUSUNJU-24h'!D23,'17.08 KAMPALA-BUSUNJU-24h'!D23,'15.08 KAMPALA-BUSUNJU'!D23)</f>
        <v>0</v>
      </c>
      <c r="E23" s="49">
        <f>AVERAGE('11.08 KAMPALA-BUSUNJU'!E23,'12.08 KAMPALA-BUSUNJU'!E23,'13.08 KAMPALA-BUSUNJU'!E23,'14.08 KAMPALA-BUSUNJU'!E23,'16.08 KAMPALA-BUSUNJU-24h'!E23,'17.08 KAMPALA-BUSUNJU-24h'!E23,'15.08 KAMPALA-BUSUNJU'!E23)</f>
        <v>1.4285714285714286</v>
      </c>
      <c r="F23" s="49">
        <f>AVERAGE('11.08 KAMPALA-BUSUNJU'!F23,'12.08 KAMPALA-BUSUNJU'!F23,'13.08 KAMPALA-BUSUNJU'!F23,'14.08 KAMPALA-BUSUNJU'!F23,'16.08 KAMPALA-BUSUNJU-24h'!F23,'17.08 KAMPALA-BUSUNJU-24h'!F23,'15.08 KAMPALA-BUSUNJU'!F23)</f>
        <v>0.2857142857142857</v>
      </c>
      <c r="G23" s="49">
        <f>AVERAGE('11.08 KAMPALA-BUSUNJU'!G23,'12.08 KAMPALA-BUSUNJU'!G23,'13.08 KAMPALA-BUSUNJU'!G23,'14.08 KAMPALA-BUSUNJU'!G23,'16.08 KAMPALA-BUSUNJU-24h'!G23,'17.08 KAMPALA-BUSUNJU-24h'!G23,'15.08 KAMPALA-BUSUNJU'!G23)</f>
        <v>0</v>
      </c>
      <c r="H23" s="49">
        <f>AVERAGE('11.08 KAMPALA-BUSUNJU'!H23,'12.08 KAMPALA-BUSUNJU'!H23,'13.08 KAMPALA-BUSUNJU'!H23,'14.08 KAMPALA-BUSUNJU'!H23,'16.08 KAMPALA-BUSUNJU-24h'!H23,'17.08 KAMPALA-BUSUNJU-24h'!H23,'15.08 KAMPALA-BUSUNJU'!H23)</f>
        <v>0</v>
      </c>
      <c r="I23" s="49">
        <f>AVERAGE('11.08 KAMPALA-BUSUNJU'!I23,'12.08 KAMPALA-BUSUNJU'!I23,'13.08 KAMPALA-BUSUNJU'!I23,'14.08 KAMPALA-BUSUNJU'!I23,'16.08 KAMPALA-BUSUNJU-24h'!I23,'17.08 KAMPALA-BUSUNJU-24h'!I23,'15.08 KAMPALA-BUSUNJU'!I23)</f>
        <v>1</v>
      </c>
      <c r="J23" s="49">
        <f>AVERAGE('11.08 KAMPALA-BUSUNJU'!J23,'12.08 KAMPALA-BUSUNJU'!J23,'13.08 KAMPALA-BUSUNJU'!J23,'14.08 KAMPALA-BUSUNJU'!J23,'16.08 KAMPALA-BUSUNJU-24h'!J23,'17.08 KAMPALA-BUSUNJU-24h'!J23,'15.08 KAMPALA-BUSUNJU'!J23)</f>
        <v>0</v>
      </c>
      <c r="K23" s="49">
        <f>AVERAGE('11.08 KAMPALA-BUSUNJU'!K23,'12.08 KAMPALA-BUSUNJU'!K23,'13.08 KAMPALA-BUSUNJU'!K23,'14.08 KAMPALA-BUSUNJU'!K23,'16.08 KAMPALA-BUSUNJU-24h'!K23,'17.08 KAMPALA-BUSUNJU-24h'!K23,'15.08 KAMPALA-BUSUNJU'!K23)</f>
        <v>0</v>
      </c>
      <c r="L23" s="49">
        <f>AVERAGE('11.08 KAMPALA-BUSUNJU'!L23,'12.08 KAMPALA-BUSUNJU'!L23,'13.08 KAMPALA-BUSUNJU'!L23,'14.08 KAMPALA-BUSUNJU'!L23,'16.08 KAMPALA-BUSUNJU-24h'!L23,'17.08 KAMPALA-BUSUNJU-24h'!L23,'15.08 KAMPALA-BUSUNJU'!L23)</f>
        <v>0</v>
      </c>
      <c r="M23" s="49">
        <f>AVERAGE('11.08 KAMPALA-BUSUNJU'!M23,'12.08 KAMPALA-BUSUNJU'!M23,'13.08 KAMPALA-BUSUNJU'!M23,'14.08 KAMPALA-BUSUNJU'!M23,'16.08 KAMPALA-BUSUNJU-24h'!M23,'17.08 KAMPALA-BUSUNJU-24h'!M23,'15.08 KAMPALA-BUSUNJU'!M23)</f>
        <v>15.428571428571429</v>
      </c>
      <c r="N23" s="49">
        <f>AVERAGE('11.08 KAMPALA-BUSUNJU'!N23,'12.08 KAMPALA-BUSUNJU'!N23,'13.08 KAMPALA-BUSUNJU'!N23,'14.08 KAMPALA-BUSUNJU'!N23,'16.08 KAMPALA-BUSUNJU-24h'!N23,'17.08 KAMPALA-BUSUNJU-24h'!N23,'15.08 KAMPALA-BUSUNJU'!N23)</f>
        <v>0</v>
      </c>
      <c r="O23" s="15">
        <f t="shared" si="0"/>
        <v>3.7142857142857144</v>
      </c>
      <c r="P23" s="15">
        <f t="shared" si="1"/>
        <v>19.142857142857142</v>
      </c>
      <c r="R23" s="1" t="s">
        <v>147</v>
      </c>
      <c r="S23" s="34">
        <f>SUM(C62:C65)</f>
        <v>1</v>
      </c>
      <c r="T23" s="34">
        <f t="shared" ref="T23:AF23" si="15">SUM(D62:D65)</f>
        <v>0</v>
      </c>
      <c r="U23" s="34">
        <f t="shared" si="15"/>
        <v>1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1</v>
      </c>
      <c r="Z23" s="34">
        <f t="shared" si="15"/>
        <v>0</v>
      </c>
      <c r="AA23" s="34">
        <f t="shared" si="15"/>
        <v>0</v>
      </c>
      <c r="AB23" s="34">
        <f t="shared" si="15"/>
        <v>0</v>
      </c>
      <c r="AC23" s="34">
        <f t="shared" si="15"/>
        <v>33.5</v>
      </c>
      <c r="AD23" s="34">
        <f t="shared" si="15"/>
        <v>0</v>
      </c>
      <c r="AE23" s="31">
        <f t="shared" si="15"/>
        <v>3</v>
      </c>
      <c r="AF23" s="31">
        <f t="shared" si="15"/>
        <v>36.5</v>
      </c>
    </row>
    <row r="24" spans="2:32" ht="23.1" customHeight="1" x14ac:dyDescent="0.25">
      <c r="B24" s="23" t="s">
        <v>51</v>
      </c>
      <c r="C24" s="49">
        <f>AVERAGE('11.08 KAMPALA-BUSUNJU'!C24,'12.08 KAMPALA-BUSUNJU'!C24,'13.08 KAMPALA-BUSUNJU'!C24,'14.08 KAMPALA-BUSUNJU'!C24,'16.08 KAMPALA-BUSUNJU-24h'!C24,'17.08 KAMPALA-BUSUNJU-24h'!C24,'15.08 KAMPALA-BUSUNJU'!C24)</f>
        <v>0.8571428571428571</v>
      </c>
      <c r="D24" s="49">
        <f>AVERAGE('11.08 KAMPALA-BUSUNJU'!D24,'12.08 KAMPALA-BUSUNJU'!D24,'13.08 KAMPALA-BUSUNJU'!D24,'14.08 KAMPALA-BUSUNJU'!D24,'16.08 KAMPALA-BUSUNJU-24h'!D24,'17.08 KAMPALA-BUSUNJU-24h'!D24,'15.08 KAMPALA-BUSUNJU'!D24)</f>
        <v>0</v>
      </c>
      <c r="E24" s="49">
        <f>AVERAGE('11.08 KAMPALA-BUSUNJU'!E24,'12.08 KAMPALA-BUSUNJU'!E24,'13.08 KAMPALA-BUSUNJU'!E24,'14.08 KAMPALA-BUSUNJU'!E24,'16.08 KAMPALA-BUSUNJU-24h'!E24,'17.08 KAMPALA-BUSUNJU-24h'!E24,'15.08 KAMPALA-BUSUNJU'!E24)</f>
        <v>0.2857142857142857</v>
      </c>
      <c r="F24" s="49">
        <f>AVERAGE('11.08 KAMPALA-BUSUNJU'!F24,'12.08 KAMPALA-BUSUNJU'!F24,'13.08 KAMPALA-BUSUNJU'!F24,'14.08 KAMPALA-BUSUNJU'!F24,'16.08 KAMPALA-BUSUNJU-24h'!F24,'17.08 KAMPALA-BUSUNJU-24h'!F24,'15.08 KAMPALA-BUSUNJU'!F24)</f>
        <v>0.2857142857142857</v>
      </c>
      <c r="G24" s="49">
        <f>AVERAGE('11.08 KAMPALA-BUSUNJU'!G24,'12.08 KAMPALA-BUSUNJU'!G24,'13.08 KAMPALA-BUSUNJU'!G24,'14.08 KAMPALA-BUSUNJU'!G24,'16.08 KAMPALA-BUSUNJU-24h'!G24,'17.08 KAMPALA-BUSUNJU-24h'!G24,'15.08 KAMPALA-BUSUNJU'!G24)</f>
        <v>0</v>
      </c>
      <c r="H24" s="49">
        <f>AVERAGE('11.08 KAMPALA-BUSUNJU'!H24,'12.08 KAMPALA-BUSUNJU'!H24,'13.08 KAMPALA-BUSUNJU'!H24,'14.08 KAMPALA-BUSUNJU'!H24,'16.08 KAMPALA-BUSUNJU-24h'!H24,'17.08 KAMPALA-BUSUNJU-24h'!H24,'15.08 KAMPALA-BUSUNJU'!H24)</f>
        <v>0</v>
      </c>
      <c r="I24" s="49">
        <f>AVERAGE('11.08 KAMPALA-BUSUNJU'!I24,'12.08 KAMPALA-BUSUNJU'!I24,'13.08 KAMPALA-BUSUNJU'!I24,'14.08 KAMPALA-BUSUNJU'!I24,'16.08 KAMPALA-BUSUNJU-24h'!I24,'17.08 KAMPALA-BUSUNJU-24h'!I24,'15.08 KAMPALA-BUSUNJU'!I24)</f>
        <v>1.4285714285714286</v>
      </c>
      <c r="J24" s="49">
        <f>AVERAGE('11.08 KAMPALA-BUSUNJU'!J24,'12.08 KAMPALA-BUSUNJU'!J24,'13.08 KAMPALA-BUSUNJU'!J24,'14.08 KAMPALA-BUSUNJU'!J24,'16.08 KAMPALA-BUSUNJU-24h'!J24,'17.08 KAMPALA-BUSUNJU-24h'!J24,'15.08 KAMPALA-BUSUNJU'!J24)</f>
        <v>0</v>
      </c>
      <c r="K24" s="49">
        <f>AVERAGE('11.08 KAMPALA-BUSUNJU'!K24,'12.08 KAMPALA-BUSUNJU'!K24,'13.08 KAMPALA-BUSUNJU'!K24,'14.08 KAMPALA-BUSUNJU'!K24,'16.08 KAMPALA-BUSUNJU-24h'!K24,'17.08 KAMPALA-BUSUNJU-24h'!K24,'15.08 KAMPALA-BUSUNJU'!K24)</f>
        <v>0</v>
      </c>
      <c r="L24" s="49">
        <f>AVERAGE('11.08 KAMPALA-BUSUNJU'!L24,'12.08 KAMPALA-BUSUNJU'!L24,'13.08 KAMPALA-BUSUNJU'!L24,'14.08 KAMPALA-BUSUNJU'!L24,'16.08 KAMPALA-BUSUNJU-24h'!L24,'17.08 KAMPALA-BUSUNJU-24h'!L24,'15.08 KAMPALA-BUSUNJU'!L24)</f>
        <v>0</v>
      </c>
      <c r="M24" s="49">
        <f>AVERAGE('11.08 KAMPALA-BUSUNJU'!M24,'12.08 KAMPALA-BUSUNJU'!M24,'13.08 KAMPALA-BUSUNJU'!M24,'14.08 KAMPALA-BUSUNJU'!M24,'16.08 KAMPALA-BUSUNJU-24h'!M24,'17.08 KAMPALA-BUSUNJU-24h'!M24,'15.08 KAMPALA-BUSUNJU'!M24)</f>
        <v>12.285714285714286</v>
      </c>
      <c r="N24" s="49">
        <f>AVERAGE('11.08 KAMPALA-BUSUNJU'!N24,'12.08 KAMPALA-BUSUNJU'!N24,'13.08 KAMPALA-BUSUNJU'!N24,'14.08 KAMPALA-BUSUNJU'!N24,'16.08 KAMPALA-BUSUNJU-24h'!N24,'17.08 KAMPALA-BUSUNJU-24h'!N24,'15.08 KAMPALA-BUSUNJU'!N24)</f>
        <v>0</v>
      </c>
      <c r="O24" s="15">
        <f t="shared" si="0"/>
        <v>2.8571428571428568</v>
      </c>
      <c r="P24" s="15">
        <f t="shared" si="1"/>
        <v>15.142857142857142</v>
      </c>
      <c r="R24" s="1" t="s">
        <v>148</v>
      </c>
      <c r="S24" s="34">
        <f>SUM(C66:C69)</f>
        <v>1</v>
      </c>
      <c r="T24" s="34">
        <f t="shared" ref="T24:AF24" si="16">SUM(D66:D69)</f>
        <v>0</v>
      </c>
      <c r="U24" s="34">
        <f t="shared" si="16"/>
        <v>0</v>
      </c>
      <c r="V24" s="34">
        <f t="shared" si="16"/>
        <v>0</v>
      </c>
      <c r="W24" s="34">
        <f t="shared" si="16"/>
        <v>0</v>
      </c>
      <c r="X24" s="34">
        <f t="shared" si="16"/>
        <v>0</v>
      </c>
      <c r="Y24" s="34">
        <f t="shared" si="16"/>
        <v>3</v>
      </c>
      <c r="Z24" s="34">
        <f t="shared" si="16"/>
        <v>0</v>
      </c>
      <c r="AA24" s="34">
        <f t="shared" si="16"/>
        <v>0</v>
      </c>
      <c r="AB24" s="34">
        <f t="shared" si="16"/>
        <v>0</v>
      </c>
      <c r="AC24" s="34">
        <f t="shared" si="16"/>
        <v>37.5</v>
      </c>
      <c r="AD24" s="34">
        <f t="shared" si="16"/>
        <v>0</v>
      </c>
      <c r="AE24" s="31">
        <f t="shared" si="16"/>
        <v>4</v>
      </c>
      <c r="AF24" s="31">
        <f t="shared" si="16"/>
        <v>41.5</v>
      </c>
    </row>
    <row r="25" spans="2:32" ht="23.1" customHeight="1" x14ac:dyDescent="0.25">
      <c r="B25" s="23" t="s">
        <v>52</v>
      </c>
      <c r="C25" s="49">
        <f>AVERAGE('11.08 KAMPALA-BUSUNJU'!C25,'12.08 KAMPALA-BUSUNJU'!C25,'13.08 KAMPALA-BUSUNJU'!C25,'14.08 KAMPALA-BUSUNJU'!C25,'16.08 KAMPALA-BUSUNJU-24h'!C25,'17.08 KAMPALA-BUSUNJU-24h'!C25,'15.08 KAMPALA-BUSUNJU'!C25)</f>
        <v>0.7142857142857143</v>
      </c>
      <c r="D25" s="49">
        <f>AVERAGE('11.08 KAMPALA-BUSUNJU'!D25,'12.08 KAMPALA-BUSUNJU'!D25,'13.08 KAMPALA-BUSUNJU'!D25,'14.08 KAMPALA-BUSUNJU'!D25,'16.08 KAMPALA-BUSUNJU-24h'!D25,'17.08 KAMPALA-BUSUNJU-24h'!D25,'15.08 KAMPALA-BUSUNJU'!D25)</f>
        <v>0</v>
      </c>
      <c r="E25" s="49">
        <f>AVERAGE('11.08 KAMPALA-BUSUNJU'!E25,'12.08 KAMPALA-BUSUNJU'!E25,'13.08 KAMPALA-BUSUNJU'!E25,'14.08 KAMPALA-BUSUNJU'!E25,'16.08 KAMPALA-BUSUNJU-24h'!E25,'17.08 KAMPALA-BUSUNJU-24h'!E25,'15.08 KAMPALA-BUSUNJU'!E25)</f>
        <v>1</v>
      </c>
      <c r="F25" s="49">
        <f>AVERAGE('11.08 KAMPALA-BUSUNJU'!F25,'12.08 KAMPALA-BUSUNJU'!F25,'13.08 KAMPALA-BUSUNJU'!F25,'14.08 KAMPALA-BUSUNJU'!F25,'16.08 KAMPALA-BUSUNJU-24h'!F25,'17.08 KAMPALA-BUSUNJU-24h'!F25,'15.08 KAMPALA-BUSUNJU'!F25)</f>
        <v>0.14285714285714285</v>
      </c>
      <c r="G25" s="49">
        <f>AVERAGE('11.08 KAMPALA-BUSUNJU'!G25,'12.08 KAMPALA-BUSUNJU'!G25,'13.08 KAMPALA-BUSUNJU'!G25,'14.08 KAMPALA-BUSUNJU'!G25,'16.08 KAMPALA-BUSUNJU-24h'!G25,'17.08 KAMPALA-BUSUNJU-24h'!G25,'15.08 KAMPALA-BUSUNJU'!G25)</f>
        <v>0</v>
      </c>
      <c r="H25" s="49">
        <f>AVERAGE('11.08 KAMPALA-BUSUNJU'!H25,'12.08 KAMPALA-BUSUNJU'!H25,'13.08 KAMPALA-BUSUNJU'!H25,'14.08 KAMPALA-BUSUNJU'!H25,'16.08 KAMPALA-BUSUNJU-24h'!H25,'17.08 KAMPALA-BUSUNJU-24h'!H25,'15.08 KAMPALA-BUSUNJU'!H25)</f>
        <v>0</v>
      </c>
      <c r="I25" s="49">
        <f>AVERAGE('11.08 KAMPALA-BUSUNJU'!I25,'12.08 KAMPALA-BUSUNJU'!I25,'13.08 KAMPALA-BUSUNJU'!I25,'14.08 KAMPALA-BUSUNJU'!I25,'16.08 KAMPALA-BUSUNJU-24h'!I25,'17.08 KAMPALA-BUSUNJU-24h'!I25,'15.08 KAMPALA-BUSUNJU'!I25)</f>
        <v>1.2857142857142858</v>
      </c>
      <c r="J25" s="49">
        <f>AVERAGE('11.08 KAMPALA-BUSUNJU'!J25,'12.08 KAMPALA-BUSUNJU'!J25,'13.08 KAMPALA-BUSUNJU'!J25,'14.08 KAMPALA-BUSUNJU'!J25,'16.08 KAMPALA-BUSUNJU-24h'!J25,'17.08 KAMPALA-BUSUNJU-24h'!J25,'15.08 KAMPALA-BUSUNJU'!J25)</f>
        <v>0</v>
      </c>
      <c r="K25" s="49">
        <f>AVERAGE('11.08 KAMPALA-BUSUNJU'!K25,'12.08 KAMPALA-BUSUNJU'!K25,'13.08 KAMPALA-BUSUNJU'!K25,'14.08 KAMPALA-BUSUNJU'!K25,'16.08 KAMPALA-BUSUNJU-24h'!K25,'17.08 KAMPALA-BUSUNJU-24h'!K25,'15.08 KAMPALA-BUSUNJU'!K25)</f>
        <v>0</v>
      </c>
      <c r="L25" s="49">
        <f>AVERAGE('11.08 KAMPALA-BUSUNJU'!L25,'12.08 KAMPALA-BUSUNJU'!L25,'13.08 KAMPALA-BUSUNJU'!L25,'14.08 KAMPALA-BUSUNJU'!L25,'16.08 KAMPALA-BUSUNJU-24h'!L25,'17.08 KAMPALA-BUSUNJU-24h'!L25,'15.08 KAMPALA-BUSUNJU'!L25)</f>
        <v>0</v>
      </c>
      <c r="M25" s="49">
        <f>AVERAGE('11.08 KAMPALA-BUSUNJU'!M25,'12.08 KAMPALA-BUSUNJU'!M25,'13.08 KAMPALA-BUSUNJU'!M25,'14.08 KAMPALA-BUSUNJU'!M25,'16.08 KAMPALA-BUSUNJU-24h'!M25,'17.08 KAMPALA-BUSUNJU-24h'!M25,'15.08 KAMPALA-BUSUNJU'!M25)</f>
        <v>15.428571428571429</v>
      </c>
      <c r="N25" s="49">
        <f>AVERAGE('11.08 KAMPALA-BUSUNJU'!N25,'12.08 KAMPALA-BUSUNJU'!N25,'13.08 KAMPALA-BUSUNJU'!N25,'14.08 KAMPALA-BUSUNJU'!N25,'16.08 KAMPALA-BUSUNJU-24h'!N25,'17.08 KAMPALA-BUSUNJU-24h'!N25,'15.08 KAMPALA-BUSUNJU'!N25)</f>
        <v>0</v>
      </c>
      <c r="O25" s="15">
        <f t="shared" si="0"/>
        <v>3.1428571428571432</v>
      </c>
      <c r="P25" s="15">
        <f t="shared" si="1"/>
        <v>18.571428571428573</v>
      </c>
      <c r="R25" s="1" t="s">
        <v>149</v>
      </c>
      <c r="S25" s="34">
        <f>SUM(C70:C73)</f>
        <v>2</v>
      </c>
      <c r="T25" s="34">
        <f t="shared" ref="T25:AF25" si="17">SUM(D70:D73)</f>
        <v>0</v>
      </c>
      <c r="U25" s="34">
        <f t="shared" si="17"/>
        <v>2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32</v>
      </c>
      <c r="AD25" s="34">
        <f t="shared" si="17"/>
        <v>0</v>
      </c>
      <c r="AE25" s="31">
        <f t="shared" si="17"/>
        <v>8</v>
      </c>
      <c r="AF25" s="31">
        <f t="shared" si="17"/>
        <v>40</v>
      </c>
    </row>
    <row r="26" spans="2:32" ht="23.1" customHeight="1" x14ac:dyDescent="0.25">
      <c r="B26" s="23" t="s">
        <v>53</v>
      </c>
      <c r="C26" s="49">
        <f>AVERAGE('11.08 KAMPALA-BUSUNJU'!C26,'12.08 KAMPALA-BUSUNJU'!C26,'13.08 KAMPALA-BUSUNJU'!C26,'14.08 KAMPALA-BUSUNJU'!C26,'16.08 KAMPALA-BUSUNJU-24h'!C26,'17.08 KAMPALA-BUSUNJU-24h'!C26,'15.08 KAMPALA-BUSUNJU'!C26)</f>
        <v>0.8571428571428571</v>
      </c>
      <c r="D26" s="49">
        <f>AVERAGE('11.08 KAMPALA-BUSUNJU'!D26,'12.08 KAMPALA-BUSUNJU'!D26,'13.08 KAMPALA-BUSUNJU'!D26,'14.08 KAMPALA-BUSUNJU'!D26,'16.08 KAMPALA-BUSUNJU-24h'!D26,'17.08 KAMPALA-BUSUNJU-24h'!D26,'15.08 KAMPALA-BUSUNJU'!D26)</f>
        <v>0</v>
      </c>
      <c r="E26" s="49">
        <f>AVERAGE('11.08 KAMPALA-BUSUNJU'!E26,'12.08 KAMPALA-BUSUNJU'!E26,'13.08 KAMPALA-BUSUNJU'!E26,'14.08 KAMPALA-BUSUNJU'!E26,'16.08 KAMPALA-BUSUNJU-24h'!E26,'17.08 KAMPALA-BUSUNJU-24h'!E26,'15.08 KAMPALA-BUSUNJU'!E26)</f>
        <v>1.2857142857142858</v>
      </c>
      <c r="F26" s="49">
        <f>AVERAGE('11.08 KAMPALA-BUSUNJU'!F26,'12.08 KAMPALA-BUSUNJU'!F26,'13.08 KAMPALA-BUSUNJU'!F26,'14.08 KAMPALA-BUSUNJU'!F26,'16.08 KAMPALA-BUSUNJU-24h'!F26,'17.08 KAMPALA-BUSUNJU-24h'!F26,'15.08 KAMPALA-BUSUNJU'!F26)</f>
        <v>0.7142857142857143</v>
      </c>
      <c r="G26" s="49">
        <f>AVERAGE('11.08 KAMPALA-BUSUNJU'!G26,'12.08 KAMPALA-BUSUNJU'!G26,'13.08 KAMPALA-BUSUNJU'!G26,'14.08 KAMPALA-BUSUNJU'!G26,'16.08 KAMPALA-BUSUNJU-24h'!G26,'17.08 KAMPALA-BUSUNJU-24h'!G26,'15.08 KAMPALA-BUSUNJU'!G26)</f>
        <v>0</v>
      </c>
      <c r="H26" s="49">
        <f>AVERAGE('11.08 KAMPALA-BUSUNJU'!H26,'12.08 KAMPALA-BUSUNJU'!H26,'13.08 KAMPALA-BUSUNJU'!H26,'14.08 KAMPALA-BUSUNJU'!H26,'16.08 KAMPALA-BUSUNJU-24h'!H26,'17.08 KAMPALA-BUSUNJU-24h'!H26,'15.08 KAMPALA-BUSUNJU'!H26)</f>
        <v>0</v>
      </c>
      <c r="I26" s="49">
        <f>AVERAGE('11.08 KAMPALA-BUSUNJU'!I26,'12.08 KAMPALA-BUSUNJU'!I26,'13.08 KAMPALA-BUSUNJU'!I26,'14.08 KAMPALA-BUSUNJU'!I26,'16.08 KAMPALA-BUSUNJU-24h'!I26,'17.08 KAMPALA-BUSUNJU-24h'!I26,'15.08 KAMPALA-BUSUNJU'!I26)</f>
        <v>1</v>
      </c>
      <c r="J26" s="49">
        <f>AVERAGE('11.08 KAMPALA-BUSUNJU'!J26,'12.08 KAMPALA-BUSUNJU'!J26,'13.08 KAMPALA-BUSUNJU'!J26,'14.08 KAMPALA-BUSUNJU'!J26,'16.08 KAMPALA-BUSUNJU-24h'!J26,'17.08 KAMPALA-BUSUNJU-24h'!J26,'15.08 KAMPALA-BUSUNJU'!J26)</f>
        <v>0</v>
      </c>
      <c r="K26" s="49">
        <f>AVERAGE('11.08 KAMPALA-BUSUNJU'!K26,'12.08 KAMPALA-BUSUNJU'!K26,'13.08 KAMPALA-BUSUNJU'!K26,'14.08 KAMPALA-BUSUNJU'!K26,'16.08 KAMPALA-BUSUNJU-24h'!K26,'17.08 KAMPALA-BUSUNJU-24h'!K26,'15.08 KAMPALA-BUSUNJU'!K26)</f>
        <v>0</v>
      </c>
      <c r="L26" s="49">
        <f>AVERAGE('11.08 KAMPALA-BUSUNJU'!L26,'12.08 KAMPALA-BUSUNJU'!L26,'13.08 KAMPALA-BUSUNJU'!L26,'14.08 KAMPALA-BUSUNJU'!L26,'16.08 KAMPALA-BUSUNJU-24h'!L26,'17.08 KAMPALA-BUSUNJU-24h'!L26,'15.08 KAMPALA-BUSUNJU'!L26)</f>
        <v>0</v>
      </c>
      <c r="M26" s="49">
        <f>AVERAGE('11.08 KAMPALA-BUSUNJU'!M26,'12.08 KAMPALA-BUSUNJU'!M26,'13.08 KAMPALA-BUSUNJU'!M26,'14.08 KAMPALA-BUSUNJU'!M26,'16.08 KAMPALA-BUSUNJU-24h'!M26,'17.08 KAMPALA-BUSUNJU-24h'!M26,'15.08 KAMPALA-BUSUNJU'!M26)</f>
        <v>14.714285714285714</v>
      </c>
      <c r="N26" s="49">
        <f>AVERAGE('11.08 KAMPALA-BUSUNJU'!N26,'12.08 KAMPALA-BUSUNJU'!N26,'13.08 KAMPALA-BUSUNJU'!N26,'14.08 KAMPALA-BUSUNJU'!N26,'16.08 KAMPALA-BUSUNJU-24h'!N26,'17.08 KAMPALA-BUSUNJU-24h'!N26,'15.08 KAMPALA-BUSUNJU'!N26)</f>
        <v>0</v>
      </c>
      <c r="O26" s="15">
        <f t="shared" si="0"/>
        <v>3.8571428571428572</v>
      </c>
      <c r="P26" s="15">
        <f t="shared" si="1"/>
        <v>18.571428571428569</v>
      </c>
      <c r="R26" s="1" t="s">
        <v>150</v>
      </c>
      <c r="S26" s="34">
        <f>SUM(C74:C77)</f>
        <v>4.5</v>
      </c>
      <c r="T26" s="34">
        <f t="shared" ref="T26:AF26" si="18">SUM(D74:D77)</f>
        <v>0</v>
      </c>
      <c r="U26" s="34">
        <f t="shared" si="18"/>
        <v>4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3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30.5</v>
      </c>
      <c r="AD26" s="34">
        <f t="shared" si="18"/>
        <v>0</v>
      </c>
      <c r="AE26" s="31">
        <f t="shared" si="18"/>
        <v>11.5</v>
      </c>
      <c r="AF26" s="31">
        <f t="shared" si="18"/>
        <v>42</v>
      </c>
    </row>
    <row r="27" spans="2:32" ht="23.1" customHeight="1" x14ac:dyDescent="0.25">
      <c r="B27" s="23" t="s">
        <v>54</v>
      </c>
      <c r="C27" s="49">
        <f>AVERAGE('11.08 KAMPALA-BUSUNJU'!C27,'12.08 KAMPALA-BUSUNJU'!C27,'13.08 KAMPALA-BUSUNJU'!C27,'14.08 KAMPALA-BUSUNJU'!C27,'16.08 KAMPALA-BUSUNJU-24h'!C27,'17.08 KAMPALA-BUSUNJU-24h'!C27,'15.08 KAMPALA-BUSUNJU'!C27)</f>
        <v>2</v>
      </c>
      <c r="D27" s="49">
        <f>AVERAGE('11.08 KAMPALA-BUSUNJU'!D27,'12.08 KAMPALA-BUSUNJU'!D27,'13.08 KAMPALA-BUSUNJU'!D27,'14.08 KAMPALA-BUSUNJU'!D27,'16.08 KAMPALA-BUSUNJU-24h'!D27,'17.08 KAMPALA-BUSUNJU-24h'!D27,'15.08 KAMPALA-BUSUNJU'!D27)</f>
        <v>0</v>
      </c>
      <c r="E27" s="49">
        <f>AVERAGE('11.08 KAMPALA-BUSUNJU'!E27,'12.08 KAMPALA-BUSUNJU'!E27,'13.08 KAMPALA-BUSUNJU'!E27,'14.08 KAMPALA-BUSUNJU'!E27,'16.08 KAMPALA-BUSUNJU-24h'!E27,'17.08 KAMPALA-BUSUNJU-24h'!E27,'15.08 KAMPALA-BUSUNJU'!E27)</f>
        <v>1.5714285714285714</v>
      </c>
      <c r="F27" s="49">
        <f>AVERAGE('11.08 KAMPALA-BUSUNJU'!F27,'12.08 KAMPALA-BUSUNJU'!F27,'13.08 KAMPALA-BUSUNJU'!F27,'14.08 KAMPALA-BUSUNJU'!F27,'16.08 KAMPALA-BUSUNJU-24h'!F27,'17.08 KAMPALA-BUSUNJU-24h'!F27,'15.08 KAMPALA-BUSUNJU'!F27)</f>
        <v>0.2857142857142857</v>
      </c>
      <c r="G27" s="49">
        <f>AVERAGE('11.08 KAMPALA-BUSUNJU'!G27,'12.08 KAMPALA-BUSUNJU'!G27,'13.08 KAMPALA-BUSUNJU'!G27,'14.08 KAMPALA-BUSUNJU'!G27,'16.08 KAMPALA-BUSUNJU-24h'!G27,'17.08 KAMPALA-BUSUNJU-24h'!G27,'15.08 KAMPALA-BUSUNJU'!G27)</f>
        <v>0</v>
      </c>
      <c r="H27" s="49">
        <f>AVERAGE('11.08 KAMPALA-BUSUNJU'!H27,'12.08 KAMPALA-BUSUNJU'!H27,'13.08 KAMPALA-BUSUNJU'!H27,'14.08 KAMPALA-BUSUNJU'!H27,'16.08 KAMPALA-BUSUNJU-24h'!H27,'17.08 KAMPALA-BUSUNJU-24h'!H27,'15.08 KAMPALA-BUSUNJU'!H27)</f>
        <v>0</v>
      </c>
      <c r="I27" s="49">
        <f>AVERAGE('11.08 KAMPALA-BUSUNJU'!I27,'12.08 KAMPALA-BUSUNJU'!I27,'13.08 KAMPALA-BUSUNJU'!I27,'14.08 KAMPALA-BUSUNJU'!I27,'16.08 KAMPALA-BUSUNJU-24h'!I27,'17.08 KAMPALA-BUSUNJU-24h'!I27,'15.08 KAMPALA-BUSUNJU'!I27)</f>
        <v>0.42857142857142855</v>
      </c>
      <c r="J27" s="49">
        <f>AVERAGE('11.08 KAMPALA-BUSUNJU'!J27,'12.08 KAMPALA-BUSUNJU'!J27,'13.08 KAMPALA-BUSUNJU'!J27,'14.08 KAMPALA-BUSUNJU'!J27,'16.08 KAMPALA-BUSUNJU-24h'!J27,'17.08 KAMPALA-BUSUNJU-24h'!J27,'15.08 KAMPALA-BUSUNJU'!J27)</f>
        <v>0.14285714285714285</v>
      </c>
      <c r="K27" s="49">
        <f>AVERAGE('11.08 KAMPALA-BUSUNJU'!K27,'12.08 KAMPALA-BUSUNJU'!K27,'13.08 KAMPALA-BUSUNJU'!K27,'14.08 KAMPALA-BUSUNJU'!K27,'16.08 KAMPALA-BUSUNJU-24h'!K27,'17.08 KAMPALA-BUSUNJU-24h'!K27,'15.08 KAMPALA-BUSUNJU'!K27)</f>
        <v>0</v>
      </c>
      <c r="L27" s="49">
        <f>AVERAGE('11.08 KAMPALA-BUSUNJU'!L27,'12.08 KAMPALA-BUSUNJU'!L27,'13.08 KAMPALA-BUSUNJU'!L27,'14.08 KAMPALA-BUSUNJU'!L27,'16.08 KAMPALA-BUSUNJU-24h'!L27,'17.08 KAMPALA-BUSUNJU-24h'!L27,'15.08 KAMPALA-BUSUNJU'!L27)</f>
        <v>0</v>
      </c>
      <c r="M27" s="49">
        <f>AVERAGE('11.08 KAMPALA-BUSUNJU'!M27,'12.08 KAMPALA-BUSUNJU'!M27,'13.08 KAMPALA-BUSUNJU'!M27,'14.08 KAMPALA-BUSUNJU'!M27,'16.08 KAMPALA-BUSUNJU-24h'!M27,'17.08 KAMPALA-BUSUNJU-24h'!M27,'15.08 KAMPALA-BUSUNJU'!M27)</f>
        <v>14.714285714285714</v>
      </c>
      <c r="N27" s="49">
        <f>AVERAGE('11.08 KAMPALA-BUSUNJU'!N27,'12.08 KAMPALA-BUSUNJU'!N27,'13.08 KAMPALA-BUSUNJU'!N27,'14.08 KAMPALA-BUSUNJU'!N27,'16.08 KAMPALA-BUSUNJU-24h'!N27,'17.08 KAMPALA-BUSUNJU-24h'!N27,'15.08 KAMPALA-BUSUNJU'!N27)</f>
        <v>0</v>
      </c>
      <c r="O27" s="15">
        <f t="shared" si="0"/>
        <v>4.4285714285714288</v>
      </c>
      <c r="P27" s="15">
        <f t="shared" si="1"/>
        <v>19.142857142857142</v>
      </c>
      <c r="R27" s="1" t="s">
        <v>151</v>
      </c>
      <c r="S27" s="34">
        <f>SUM(C78:C81)</f>
        <v>1</v>
      </c>
      <c r="T27" s="34">
        <f t="shared" ref="T27:AF27" si="19">SUM(D78:D81)</f>
        <v>0</v>
      </c>
      <c r="U27" s="34">
        <f t="shared" si="19"/>
        <v>2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23.5</v>
      </c>
      <c r="AD27" s="34">
        <f t="shared" si="19"/>
        <v>0</v>
      </c>
      <c r="AE27" s="31">
        <f t="shared" si="19"/>
        <v>5</v>
      </c>
      <c r="AF27" s="31">
        <f t="shared" si="19"/>
        <v>28.5</v>
      </c>
    </row>
    <row r="28" spans="2:32" ht="23.1" customHeight="1" x14ac:dyDescent="0.25">
      <c r="B28" s="23" t="s">
        <v>55</v>
      </c>
      <c r="C28" s="49">
        <f>AVERAGE('11.08 KAMPALA-BUSUNJU'!C28,'12.08 KAMPALA-BUSUNJU'!C28,'13.08 KAMPALA-BUSUNJU'!C28,'14.08 KAMPALA-BUSUNJU'!C28,'16.08 KAMPALA-BUSUNJU-24h'!C28,'17.08 KAMPALA-BUSUNJU-24h'!C28,'15.08 KAMPALA-BUSUNJU'!C28)</f>
        <v>1.2857142857142858</v>
      </c>
      <c r="D28" s="49">
        <f>AVERAGE('11.08 KAMPALA-BUSUNJU'!D28,'12.08 KAMPALA-BUSUNJU'!D28,'13.08 KAMPALA-BUSUNJU'!D28,'14.08 KAMPALA-BUSUNJU'!D28,'16.08 KAMPALA-BUSUNJU-24h'!D28,'17.08 KAMPALA-BUSUNJU-24h'!D28,'15.08 KAMPALA-BUSUNJU'!D28)</f>
        <v>0</v>
      </c>
      <c r="E28" s="49">
        <f>AVERAGE('11.08 KAMPALA-BUSUNJU'!E28,'12.08 KAMPALA-BUSUNJU'!E28,'13.08 KAMPALA-BUSUNJU'!E28,'14.08 KAMPALA-BUSUNJU'!E28,'16.08 KAMPALA-BUSUNJU-24h'!E28,'17.08 KAMPALA-BUSUNJU-24h'!E28,'15.08 KAMPALA-BUSUNJU'!E28)</f>
        <v>0.7142857142857143</v>
      </c>
      <c r="F28" s="49">
        <f>AVERAGE('11.08 KAMPALA-BUSUNJU'!F28,'12.08 KAMPALA-BUSUNJU'!F28,'13.08 KAMPALA-BUSUNJU'!F28,'14.08 KAMPALA-BUSUNJU'!F28,'16.08 KAMPALA-BUSUNJU-24h'!F28,'17.08 KAMPALA-BUSUNJU-24h'!F28,'15.08 KAMPALA-BUSUNJU'!F28)</f>
        <v>0.42857142857142855</v>
      </c>
      <c r="G28" s="49">
        <f>AVERAGE('11.08 KAMPALA-BUSUNJU'!G28,'12.08 KAMPALA-BUSUNJU'!G28,'13.08 KAMPALA-BUSUNJU'!G28,'14.08 KAMPALA-BUSUNJU'!G28,'16.08 KAMPALA-BUSUNJU-24h'!G28,'17.08 KAMPALA-BUSUNJU-24h'!G28,'15.08 KAMPALA-BUSUNJU'!G28)</f>
        <v>0</v>
      </c>
      <c r="H28" s="49">
        <f>AVERAGE('11.08 KAMPALA-BUSUNJU'!H28,'12.08 KAMPALA-BUSUNJU'!H28,'13.08 KAMPALA-BUSUNJU'!H28,'14.08 KAMPALA-BUSUNJU'!H28,'16.08 KAMPALA-BUSUNJU-24h'!H28,'17.08 KAMPALA-BUSUNJU-24h'!H28,'15.08 KAMPALA-BUSUNJU'!H28)</f>
        <v>0</v>
      </c>
      <c r="I28" s="49">
        <f>AVERAGE('11.08 KAMPALA-BUSUNJU'!I28,'12.08 KAMPALA-BUSUNJU'!I28,'13.08 KAMPALA-BUSUNJU'!I28,'14.08 KAMPALA-BUSUNJU'!I28,'16.08 KAMPALA-BUSUNJU-24h'!I28,'17.08 KAMPALA-BUSUNJU-24h'!I28,'15.08 KAMPALA-BUSUNJU'!I28)</f>
        <v>1</v>
      </c>
      <c r="J28" s="49">
        <f>AVERAGE('11.08 KAMPALA-BUSUNJU'!J28,'12.08 KAMPALA-BUSUNJU'!J28,'13.08 KAMPALA-BUSUNJU'!J28,'14.08 KAMPALA-BUSUNJU'!J28,'16.08 KAMPALA-BUSUNJU-24h'!J28,'17.08 KAMPALA-BUSUNJU-24h'!J28,'15.08 KAMPALA-BUSUNJU'!J28)</f>
        <v>0</v>
      </c>
      <c r="K28" s="49">
        <f>AVERAGE('11.08 KAMPALA-BUSUNJU'!K28,'12.08 KAMPALA-BUSUNJU'!K28,'13.08 KAMPALA-BUSUNJU'!K28,'14.08 KAMPALA-BUSUNJU'!K28,'16.08 KAMPALA-BUSUNJU-24h'!K28,'17.08 KAMPALA-BUSUNJU-24h'!K28,'15.08 KAMPALA-BUSUNJU'!K28)</f>
        <v>0</v>
      </c>
      <c r="L28" s="49">
        <f>AVERAGE('11.08 KAMPALA-BUSUNJU'!L28,'12.08 KAMPALA-BUSUNJU'!L28,'13.08 KAMPALA-BUSUNJU'!L28,'14.08 KAMPALA-BUSUNJU'!L28,'16.08 KAMPALA-BUSUNJU-24h'!L28,'17.08 KAMPALA-BUSUNJU-24h'!L28,'15.08 KAMPALA-BUSUNJU'!L28)</f>
        <v>0</v>
      </c>
      <c r="M28" s="49">
        <f>AVERAGE('11.08 KAMPALA-BUSUNJU'!M28,'12.08 KAMPALA-BUSUNJU'!M28,'13.08 KAMPALA-BUSUNJU'!M28,'14.08 KAMPALA-BUSUNJU'!M28,'16.08 KAMPALA-BUSUNJU-24h'!M28,'17.08 KAMPALA-BUSUNJU-24h'!M28,'15.08 KAMPALA-BUSUNJU'!M28)</f>
        <v>16.285714285714285</v>
      </c>
      <c r="N28" s="49">
        <f>AVERAGE('11.08 KAMPALA-BUSUNJU'!N28,'12.08 KAMPALA-BUSUNJU'!N28,'13.08 KAMPALA-BUSUNJU'!N28,'14.08 KAMPALA-BUSUNJU'!N28,'16.08 KAMPALA-BUSUNJU-24h'!N28,'17.08 KAMPALA-BUSUNJU-24h'!N28,'15.08 KAMPALA-BUSUNJU'!N28)</f>
        <v>0</v>
      </c>
      <c r="O28" s="15">
        <f t="shared" si="0"/>
        <v>3.4285714285714284</v>
      </c>
      <c r="P28" s="15">
        <f t="shared" si="1"/>
        <v>19.714285714285712</v>
      </c>
      <c r="R28" s="1" t="s">
        <v>152</v>
      </c>
      <c r="S28" s="34">
        <f>SUM(C82:C85)</f>
        <v>2</v>
      </c>
      <c r="T28" s="34">
        <f t="shared" ref="T28:AF28" si="20">SUM(D82:D85)</f>
        <v>0</v>
      </c>
      <c r="U28" s="34">
        <f t="shared" si="20"/>
        <v>0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2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19.5</v>
      </c>
      <c r="AD28" s="34">
        <f t="shared" si="20"/>
        <v>0</v>
      </c>
      <c r="AE28" s="31">
        <f t="shared" si="20"/>
        <v>4</v>
      </c>
      <c r="AF28" s="31">
        <f t="shared" si="20"/>
        <v>23.5</v>
      </c>
    </row>
    <row r="29" spans="2:32" ht="23.1" customHeight="1" x14ac:dyDescent="0.25">
      <c r="B29" s="23" t="s">
        <v>56</v>
      </c>
      <c r="C29" s="49">
        <f>AVERAGE('11.08 KAMPALA-BUSUNJU'!C29,'12.08 KAMPALA-BUSUNJU'!C29,'13.08 KAMPALA-BUSUNJU'!C29,'14.08 KAMPALA-BUSUNJU'!C29,'16.08 KAMPALA-BUSUNJU-24h'!C29,'17.08 KAMPALA-BUSUNJU-24h'!C29,'15.08 KAMPALA-BUSUNJU'!C29)</f>
        <v>1.1428571428571428</v>
      </c>
      <c r="D29" s="49">
        <f>AVERAGE('11.08 KAMPALA-BUSUNJU'!D29,'12.08 KAMPALA-BUSUNJU'!D29,'13.08 KAMPALA-BUSUNJU'!D29,'14.08 KAMPALA-BUSUNJU'!D29,'16.08 KAMPALA-BUSUNJU-24h'!D29,'17.08 KAMPALA-BUSUNJU-24h'!D29,'15.08 KAMPALA-BUSUNJU'!D29)</f>
        <v>0</v>
      </c>
      <c r="E29" s="49">
        <f>AVERAGE('11.08 KAMPALA-BUSUNJU'!E29,'12.08 KAMPALA-BUSUNJU'!E29,'13.08 KAMPALA-BUSUNJU'!E29,'14.08 KAMPALA-BUSUNJU'!E29,'16.08 KAMPALA-BUSUNJU-24h'!E29,'17.08 KAMPALA-BUSUNJU-24h'!E29,'15.08 KAMPALA-BUSUNJU'!E29)</f>
        <v>0.7142857142857143</v>
      </c>
      <c r="F29" s="49">
        <f>AVERAGE('11.08 KAMPALA-BUSUNJU'!F29,'12.08 KAMPALA-BUSUNJU'!F29,'13.08 KAMPALA-BUSUNJU'!F29,'14.08 KAMPALA-BUSUNJU'!F29,'16.08 KAMPALA-BUSUNJU-24h'!F29,'17.08 KAMPALA-BUSUNJU-24h'!F29,'15.08 KAMPALA-BUSUNJU'!F29)</f>
        <v>0.2857142857142857</v>
      </c>
      <c r="G29" s="49">
        <f>AVERAGE('11.08 KAMPALA-BUSUNJU'!G29,'12.08 KAMPALA-BUSUNJU'!G29,'13.08 KAMPALA-BUSUNJU'!G29,'14.08 KAMPALA-BUSUNJU'!G29,'16.08 KAMPALA-BUSUNJU-24h'!G29,'17.08 KAMPALA-BUSUNJU-24h'!G29,'15.08 KAMPALA-BUSUNJU'!G29)</f>
        <v>0.14285714285714285</v>
      </c>
      <c r="H29" s="49">
        <f>AVERAGE('11.08 KAMPALA-BUSUNJU'!H29,'12.08 KAMPALA-BUSUNJU'!H29,'13.08 KAMPALA-BUSUNJU'!H29,'14.08 KAMPALA-BUSUNJU'!H29,'16.08 KAMPALA-BUSUNJU-24h'!H29,'17.08 KAMPALA-BUSUNJU-24h'!H29,'15.08 KAMPALA-BUSUNJU'!H29)</f>
        <v>0</v>
      </c>
      <c r="I29" s="49">
        <f>AVERAGE('11.08 KAMPALA-BUSUNJU'!I29,'12.08 KAMPALA-BUSUNJU'!I29,'13.08 KAMPALA-BUSUNJU'!I29,'14.08 KAMPALA-BUSUNJU'!I29,'16.08 KAMPALA-BUSUNJU-24h'!I29,'17.08 KAMPALA-BUSUNJU-24h'!I29,'15.08 KAMPALA-BUSUNJU'!I29)</f>
        <v>1.4285714285714286</v>
      </c>
      <c r="J29" s="49">
        <f>AVERAGE('11.08 KAMPALA-BUSUNJU'!J29,'12.08 KAMPALA-BUSUNJU'!J29,'13.08 KAMPALA-BUSUNJU'!J29,'14.08 KAMPALA-BUSUNJU'!J29,'16.08 KAMPALA-BUSUNJU-24h'!J29,'17.08 KAMPALA-BUSUNJU-24h'!J29,'15.08 KAMPALA-BUSUNJU'!J29)</f>
        <v>0</v>
      </c>
      <c r="K29" s="49">
        <f>AVERAGE('11.08 KAMPALA-BUSUNJU'!K29,'12.08 KAMPALA-BUSUNJU'!K29,'13.08 KAMPALA-BUSUNJU'!K29,'14.08 KAMPALA-BUSUNJU'!K29,'16.08 KAMPALA-BUSUNJU-24h'!K29,'17.08 KAMPALA-BUSUNJU-24h'!K29,'15.08 KAMPALA-BUSUNJU'!K29)</f>
        <v>0</v>
      </c>
      <c r="L29" s="49">
        <f>AVERAGE('11.08 KAMPALA-BUSUNJU'!L29,'12.08 KAMPALA-BUSUNJU'!L29,'13.08 KAMPALA-BUSUNJU'!L29,'14.08 KAMPALA-BUSUNJU'!L29,'16.08 KAMPALA-BUSUNJU-24h'!L29,'17.08 KAMPALA-BUSUNJU-24h'!L29,'15.08 KAMPALA-BUSUNJU'!L29)</f>
        <v>0</v>
      </c>
      <c r="M29" s="49">
        <f>AVERAGE('11.08 KAMPALA-BUSUNJU'!M29,'12.08 KAMPALA-BUSUNJU'!M29,'13.08 KAMPALA-BUSUNJU'!M29,'14.08 KAMPALA-BUSUNJU'!M29,'16.08 KAMPALA-BUSUNJU-24h'!M29,'17.08 KAMPALA-BUSUNJU-24h'!M29,'15.08 KAMPALA-BUSUNJU'!M29)</f>
        <v>13.714285714285714</v>
      </c>
      <c r="N29" s="49">
        <f>AVERAGE('11.08 KAMPALA-BUSUNJU'!N29,'12.08 KAMPALA-BUSUNJU'!N29,'13.08 KAMPALA-BUSUNJU'!N29,'14.08 KAMPALA-BUSUNJU'!N29,'16.08 KAMPALA-BUSUNJU-24h'!N29,'17.08 KAMPALA-BUSUNJU-24h'!N29,'15.08 KAMPALA-BUSUNJU'!N29)</f>
        <v>0</v>
      </c>
      <c r="O29" s="15">
        <f t="shared" si="0"/>
        <v>3.7142857142857144</v>
      </c>
      <c r="P29" s="15">
        <f t="shared" si="1"/>
        <v>17.428571428571427</v>
      </c>
      <c r="R29" s="1" t="s">
        <v>153</v>
      </c>
      <c r="S29" s="34">
        <f>SUM(C86:C89)</f>
        <v>0</v>
      </c>
      <c r="T29" s="34">
        <f t="shared" ref="T29:AF29" si="21">SUM(D86:D89)</f>
        <v>0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3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20</v>
      </c>
      <c r="AD29" s="34">
        <f t="shared" si="21"/>
        <v>0</v>
      </c>
      <c r="AE29" s="31">
        <f t="shared" si="21"/>
        <v>3</v>
      </c>
      <c r="AF29" s="31">
        <f t="shared" si="21"/>
        <v>23</v>
      </c>
    </row>
    <row r="30" spans="2:32" ht="23.1" customHeight="1" x14ac:dyDescent="0.25">
      <c r="B30" s="23" t="s">
        <v>57</v>
      </c>
      <c r="C30" s="49">
        <f>AVERAGE('11.08 KAMPALA-BUSUNJU'!C30,'12.08 KAMPALA-BUSUNJU'!C30,'13.08 KAMPALA-BUSUNJU'!C30,'14.08 KAMPALA-BUSUNJU'!C30,'16.08 KAMPALA-BUSUNJU-24h'!C30,'17.08 KAMPALA-BUSUNJU-24h'!C30,'15.08 KAMPALA-BUSUNJU'!C30)</f>
        <v>1.1428571428571428</v>
      </c>
      <c r="D30" s="49">
        <f>AVERAGE('11.08 KAMPALA-BUSUNJU'!D30,'12.08 KAMPALA-BUSUNJU'!D30,'13.08 KAMPALA-BUSUNJU'!D30,'14.08 KAMPALA-BUSUNJU'!D30,'16.08 KAMPALA-BUSUNJU-24h'!D30,'17.08 KAMPALA-BUSUNJU-24h'!D30,'15.08 KAMPALA-BUSUNJU'!D30)</f>
        <v>0</v>
      </c>
      <c r="E30" s="49">
        <f>AVERAGE('11.08 KAMPALA-BUSUNJU'!E30,'12.08 KAMPALA-BUSUNJU'!E30,'13.08 KAMPALA-BUSUNJU'!E30,'14.08 KAMPALA-BUSUNJU'!E30,'16.08 KAMPALA-BUSUNJU-24h'!E30,'17.08 KAMPALA-BUSUNJU-24h'!E30,'15.08 KAMPALA-BUSUNJU'!E30)</f>
        <v>0.8571428571428571</v>
      </c>
      <c r="F30" s="49">
        <f>AVERAGE('11.08 KAMPALA-BUSUNJU'!F30,'12.08 KAMPALA-BUSUNJU'!F30,'13.08 KAMPALA-BUSUNJU'!F30,'14.08 KAMPALA-BUSUNJU'!F30,'16.08 KAMPALA-BUSUNJU-24h'!F30,'17.08 KAMPALA-BUSUNJU-24h'!F30,'15.08 KAMPALA-BUSUNJU'!F30)</f>
        <v>0.2857142857142857</v>
      </c>
      <c r="G30" s="49">
        <f>AVERAGE('11.08 KAMPALA-BUSUNJU'!G30,'12.08 KAMPALA-BUSUNJU'!G30,'13.08 KAMPALA-BUSUNJU'!G30,'14.08 KAMPALA-BUSUNJU'!G30,'16.08 KAMPALA-BUSUNJU-24h'!G30,'17.08 KAMPALA-BUSUNJU-24h'!G30,'15.08 KAMPALA-BUSUNJU'!G30)</f>
        <v>0</v>
      </c>
      <c r="H30" s="49">
        <f>AVERAGE('11.08 KAMPALA-BUSUNJU'!H30,'12.08 KAMPALA-BUSUNJU'!H30,'13.08 KAMPALA-BUSUNJU'!H30,'14.08 KAMPALA-BUSUNJU'!H30,'16.08 KAMPALA-BUSUNJU-24h'!H30,'17.08 KAMPALA-BUSUNJU-24h'!H30,'15.08 KAMPALA-BUSUNJU'!H30)</f>
        <v>0</v>
      </c>
      <c r="I30" s="49">
        <f>AVERAGE('11.08 KAMPALA-BUSUNJU'!I30,'12.08 KAMPALA-BUSUNJU'!I30,'13.08 KAMPALA-BUSUNJU'!I30,'14.08 KAMPALA-BUSUNJU'!I30,'16.08 KAMPALA-BUSUNJU-24h'!I30,'17.08 KAMPALA-BUSUNJU-24h'!I30,'15.08 KAMPALA-BUSUNJU'!I30)</f>
        <v>1.5714285714285714</v>
      </c>
      <c r="J30" s="49">
        <f>AVERAGE('11.08 KAMPALA-BUSUNJU'!J30,'12.08 KAMPALA-BUSUNJU'!J30,'13.08 KAMPALA-BUSUNJU'!J30,'14.08 KAMPALA-BUSUNJU'!J30,'16.08 KAMPALA-BUSUNJU-24h'!J30,'17.08 KAMPALA-BUSUNJU-24h'!J30,'15.08 KAMPALA-BUSUNJU'!J30)</f>
        <v>0</v>
      </c>
      <c r="K30" s="49">
        <f>AVERAGE('11.08 KAMPALA-BUSUNJU'!K30,'12.08 KAMPALA-BUSUNJU'!K30,'13.08 KAMPALA-BUSUNJU'!K30,'14.08 KAMPALA-BUSUNJU'!K30,'16.08 KAMPALA-BUSUNJU-24h'!K30,'17.08 KAMPALA-BUSUNJU-24h'!K30,'15.08 KAMPALA-BUSUNJU'!K30)</f>
        <v>0</v>
      </c>
      <c r="L30" s="49">
        <f>AVERAGE('11.08 KAMPALA-BUSUNJU'!L30,'12.08 KAMPALA-BUSUNJU'!L30,'13.08 KAMPALA-BUSUNJU'!L30,'14.08 KAMPALA-BUSUNJU'!L30,'16.08 KAMPALA-BUSUNJU-24h'!L30,'17.08 KAMPALA-BUSUNJU-24h'!L30,'15.08 KAMPALA-BUSUNJU'!L30)</f>
        <v>0</v>
      </c>
      <c r="M30" s="49">
        <f>AVERAGE('11.08 KAMPALA-BUSUNJU'!M30,'12.08 KAMPALA-BUSUNJU'!M30,'13.08 KAMPALA-BUSUNJU'!M30,'14.08 KAMPALA-BUSUNJU'!M30,'16.08 KAMPALA-BUSUNJU-24h'!M30,'17.08 KAMPALA-BUSUNJU-24h'!M30,'15.08 KAMPALA-BUSUNJU'!M30)</f>
        <v>14.285714285714286</v>
      </c>
      <c r="N30" s="49">
        <f>AVERAGE('11.08 KAMPALA-BUSUNJU'!N30,'12.08 KAMPALA-BUSUNJU'!N30,'13.08 KAMPALA-BUSUNJU'!N30,'14.08 KAMPALA-BUSUNJU'!N30,'16.08 KAMPALA-BUSUNJU-24h'!N30,'17.08 KAMPALA-BUSUNJU-24h'!N30,'15.08 KAMPALA-BUSUNJU'!N30)</f>
        <v>0</v>
      </c>
      <c r="O30" s="15">
        <f t="shared" si="0"/>
        <v>3.8571428571428568</v>
      </c>
      <c r="P30" s="15">
        <f t="shared" si="1"/>
        <v>18.142857142857142</v>
      </c>
      <c r="R30" s="1" t="s">
        <v>154</v>
      </c>
      <c r="S30" s="34">
        <f>SUM(C90:C93)</f>
        <v>0</v>
      </c>
      <c r="T30" s="34">
        <f t="shared" ref="T30:AF30" si="22">SUM(D90:D93)</f>
        <v>0</v>
      </c>
      <c r="U30" s="34">
        <f t="shared" si="22"/>
        <v>0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9</v>
      </c>
      <c r="AD30" s="34">
        <f t="shared" si="22"/>
        <v>0</v>
      </c>
      <c r="AE30" s="31">
        <f t="shared" si="22"/>
        <v>0</v>
      </c>
      <c r="AF30" s="31">
        <f t="shared" si="22"/>
        <v>9</v>
      </c>
    </row>
    <row r="31" spans="2:32" ht="23.1" customHeight="1" x14ac:dyDescent="0.25">
      <c r="B31" s="24" t="s">
        <v>58</v>
      </c>
      <c r="C31" s="49">
        <f>AVERAGE('11.08 KAMPALA-BUSUNJU'!C31,'12.08 KAMPALA-BUSUNJU'!C31,'13.08 KAMPALA-BUSUNJU'!C31,'14.08 KAMPALA-BUSUNJU'!C31,'16.08 KAMPALA-BUSUNJU-24h'!C31,'17.08 KAMPALA-BUSUNJU-24h'!C31,'15.08 KAMPALA-BUSUNJU'!C31)</f>
        <v>0.8571428571428571</v>
      </c>
      <c r="D31" s="49">
        <f>AVERAGE('11.08 KAMPALA-BUSUNJU'!D31,'12.08 KAMPALA-BUSUNJU'!D31,'13.08 KAMPALA-BUSUNJU'!D31,'14.08 KAMPALA-BUSUNJU'!D31,'16.08 KAMPALA-BUSUNJU-24h'!D31,'17.08 KAMPALA-BUSUNJU-24h'!D31,'15.08 KAMPALA-BUSUNJU'!D31)</f>
        <v>0</v>
      </c>
      <c r="E31" s="49">
        <f>AVERAGE('11.08 KAMPALA-BUSUNJU'!E31,'12.08 KAMPALA-BUSUNJU'!E31,'13.08 KAMPALA-BUSUNJU'!E31,'14.08 KAMPALA-BUSUNJU'!E31,'16.08 KAMPALA-BUSUNJU-24h'!E31,'17.08 KAMPALA-BUSUNJU-24h'!E31,'15.08 KAMPALA-BUSUNJU'!E31)</f>
        <v>1.2857142857142858</v>
      </c>
      <c r="F31" s="49">
        <f>AVERAGE('11.08 KAMPALA-BUSUNJU'!F31,'12.08 KAMPALA-BUSUNJU'!F31,'13.08 KAMPALA-BUSUNJU'!F31,'14.08 KAMPALA-BUSUNJU'!F31,'16.08 KAMPALA-BUSUNJU-24h'!F31,'17.08 KAMPALA-BUSUNJU-24h'!F31,'15.08 KAMPALA-BUSUNJU'!F31)</f>
        <v>0.7142857142857143</v>
      </c>
      <c r="G31" s="49">
        <f>AVERAGE('11.08 KAMPALA-BUSUNJU'!G31,'12.08 KAMPALA-BUSUNJU'!G31,'13.08 KAMPALA-BUSUNJU'!G31,'14.08 KAMPALA-BUSUNJU'!G31,'16.08 KAMPALA-BUSUNJU-24h'!G31,'17.08 KAMPALA-BUSUNJU-24h'!G31,'15.08 KAMPALA-BUSUNJU'!G31)</f>
        <v>0</v>
      </c>
      <c r="H31" s="49">
        <f>AVERAGE('11.08 KAMPALA-BUSUNJU'!H31,'12.08 KAMPALA-BUSUNJU'!H31,'13.08 KAMPALA-BUSUNJU'!H31,'14.08 KAMPALA-BUSUNJU'!H31,'16.08 KAMPALA-BUSUNJU-24h'!H31,'17.08 KAMPALA-BUSUNJU-24h'!H31,'15.08 KAMPALA-BUSUNJU'!H31)</f>
        <v>0</v>
      </c>
      <c r="I31" s="49">
        <f>AVERAGE('11.08 KAMPALA-BUSUNJU'!I31,'12.08 KAMPALA-BUSUNJU'!I31,'13.08 KAMPALA-BUSUNJU'!I31,'14.08 KAMPALA-BUSUNJU'!I31,'16.08 KAMPALA-BUSUNJU-24h'!I31,'17.08 KAMPALA-BUSUNJU-24h'!I31,'15.08 KAMPALA-BUSUNJU'!I31)</f>
        <v>1.7142857142857142</v>
      </c>
      <c r="J31" s="49">
        <f>AVERAGE('11.08 KAMPALA-BUSUNJU'!J31,'12.08 KAMPALA-BUSUNJU'!J31,'13.08 KAMPALA-BUSUNJU'!J31,'14.08 KAMPALA-BUSUNJU'!J31,'16.08 KAMPALA-BUSUNJU-24h'!J31,'17.08 KAMPALA-BUSUNJU-24h'!J31,'15.08 KAMPALA-BUSUNJU'!J31)</f>
        <v>0.14285714285714285</v>
      </c>
      <c r="K31" s="49">
        <f>AVERAGE('11.08 KAMPALA-BUSUNJU'!K31,'12.08 KAMPALA-BUSUNJU'!K31,'13.08 KAMPALA-BUSUNJU'!K31,'14.08 KAMPALA-BUSUNJU'!K31,'16.08 KAMPALA-BUSUNJU-24h'!K31,'17.08 KAMPALA-BUSUNJU-24h'!K31,'15.08 KAMPALA-BUSUNJU'!K31)</f>
        <v>0</v>
      </c>
      <c r="L31" s="49">
        <f>AVERAGE('11.08 KAMPALA-BUSUNJU'!L31,'12.08 KAMPALA-BUSUNJU'!L31,'13.08 KAMPALA-BUSUNJU'!L31,'14.08 KAMPALA-BUSUNJU'!L31,'16.08 KAMPALA-BUSUNJU-24h'!L31,'17.08 KAMPALA-BUSUNJU-24h'!L31,'15.08 KAMPALA-BUSUNJU'!L31)</f>
        <v>0</v>
      </c>
      <c r="M31" s="49">
        <f>AVERAGE('11.08 KAMPALA-BUSUNJU'!M31,'12.08 KAMPALA-BUSUNJU'!M31,'13.08 KAMPALA-BUSUNJU'!M31,'14.08 KAMPALA-BUSUNJU'!M31,'16.08 KAMPALA-BUSUNJU-24h'!M31,'17.08 KAMPALA-BUSUNJU-24h'!M31,'15.08 KAMPALA-BUSUNJU'!M31)</f>
        <v>12.571428571428571</v>
      </c>
      <c r="N31" s="49">
        <f>AVERAGE('11.08 KAMPALA-BUSUNJU'!N31,'12.08 KAMPALA-BUSUNJU'!N31,'13.08 KAMPALA-BUSUNJU'!N31,'14.08 KAMPALA-BUSUNJU'!N31,'16.08 KAMPALA-BUSUNJU-24h'!N31,'17.08 KAMPALA-BUSUNJU-24h'!N31,'15.08 KAMPALA-BUSUNJU'!N31)</f>
        <v>0</v>
      </c>
      <c r="O31" s="15">
        <f t="shared" si="0"/>
        <v>4.7142857142857144</v>
      </c>
      <c r="P31" s="15">
        <f t="shared" si="1"/>
        <v>17.285714285714285</v>
      </c>
      <c r="R31" s="1" t="s">
        <v>155</v>
      </c>
      <c r="S31" s="34">
        <f>SUM(C94:C97)</f>
        <v>1</v>
      </c>
      <c r="T31" s="34">
        <f t="shared" ref="T31:AF31" si="23">SUM(D94:D97)</f>
        <v>0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0</v>
      </c>
      <c r="AB31" s="34">
        <f t="shared" si="23"/>
        <v>0</v>
      </c>
      <c r="AC31" s="34">
        <f t="shared" si="23"/>
        <v>14.5</v>
      </c>
      <c r="AD31" s="34">
        <f t="shared" si="23"/>
        <v>0</v>
      </c>
      <c r="AE31" s="31">
        <f t="shared" si="23"/>
        <v>3</v>
      </c>
      <c r="AF31" s="31">
        <f t="shared" si="23"/>
        <v>17.5</v>
      </c>
    </row>
    <row r="32" spans="2:32" ht="23.1" customHeight="1" x14ac:dyDescent="0.25">
      <c r="B32" s="24" t="s">
        <v>59</v>
      </c>
      <c r="C32" s="49">
        <f>AVERAGE('11.08 KAMPALA-BUSUNJU'!C32,'12.08 KAMPALA-BUSUNJU'!C32,'13.08 KAMPALA-BUSUNJU'!C32,'14.08 KAMPALA-BUSUNJU'!C32,'16.08 KAMPALA-BUSUNJU-24h'!C32,'17.08 KAMPALA-BUSUNJU-24h'!C32,'15.08 KAMPALA-BUSUNJU'!C32)</f>
        <v>1</v>
      </c>
      <c r="D32" s="49">
        <f>AVERAGE('11.08 KAMPALA-BUSUNJU'!D32,'12.08 KAMPALA-BUSUNJU'!D32,'13.08 KAMPALA-BUSUNJU'!D32,'14.08 KAMPALA-BUSUNJU'!D32,'16.08 KAMPALA-BUSUNJU-24h'!D32,'17.08 KAMPALA-BUSUNJU-24h'!D32,'15.08 KAMPALA-BUSUNJU'!D32)</f>
        <v>0</v>
      </c>
      <c r="E32" s="49">
        <f>AVERAGE('11.08 KAMPALA-BUSUNJU'!E32,'12.08 KAMPALA-BUSUNJU'!E32,'13.08 KAMPALA-BUSUNJU'!E32,'14.08 KAMPALA-BUSUNJU'!E32,'16.08 KAMPALA-BUSUNJU-24h'!E32,'17.08 KAMPALA-BUSUNJU-24h'!E32,'15.08 KAMPALA-BUSUNJU'!E32)</f>
        <v>1</v>
      </c>
      <c r="F32" s="49">
        <f>AVERAGE('11.08 KAMPALA-BUSUNJU'!F32,'12.08 KAMPALA-BUSUNJU'!F32,'13.08 KAMPALA-BUSUNJU'!F32,'14.08 KAMPALA-BUSUNJU'!F32,'16.08 KAMPALA-BUSUNJU-24h'!F32,'17.08 KAMPALA-BUSUNJU-24h'!F32,'15.08 KAMPALA-BUSUNJU'!F32)</f>
        <v>0.2857142857142857</v>
      </c>
      <c r="G32" s="49">
        <f>AVERAGE('11.08 KAMPALA-BUSUNJU'!G32,'12.08 KAMPALA-BUSUNJU'!G32,'13.08 KAMPALA-BUSUNJU'!G32,'14.08 KAMPALA-BUSUNJU'!G32,'16.08 KAMPALA-BUSUNJU-24h'!G32,'17.08 KAMPALA-BUSUNJU-24h'!G32,'15.08 KAMPALA-BUSUNJU'!G32)</f>
        <v>0</v>
      </c>
      <c r="H32" s="49">
        <f>AVERAGE('11.08 KAMPALA-BUSUNJU'!H32,'12.08 KAMPALA-BUSUNJU'!H32,'13.08 KAMPALA-BUSUNJU'!H32,'14.08 KAMPALA-BUSUNJU'!H32,'16.08 KAMPALA-BUSUNJU-24h'!H32,'17.08 KAMPALA-BUSUNJU-24h'!H32,'15.08 KAMPALA-BUSUNJU'!H32)</f>
        <v>0</v>
      </c>
      <c r="I32" s="49">
        <f>AVERAGE('11.08 KAMPALA-BUSUNJU'!I32,'12.08 KAMPALA-BUSUNJU'!I32,'13.08 KAMPALA-BUSUNJU'!I32,'14.08 KAMPALA-BUSUNJU'!I32,'16.08 KAMPALA-BUSUNJU-24h'!I32,'17.08 KAMPALA-BUSUNJU-24h'!I32,'15.08 KAMPALA-BUSUNJU'!I32)</f>
        <v>1.1428571428571428</v>
      </c>
      <c r="J32" s="49">
        <f>AVERAGE('11.08 KAMPALA-BUSUNJU'!J32,'12.08 KAMPALA-BUSUNJU'!J32,'13.08 KAMPALA-BUSUNJU'!J32,'14.08 KAMPALA-BUSUNJU'!J32,'16.08 KAMPALA-BUSUNJU-24h'!J32,'17.08 KAMPALA-BUSUNJU-24h'!J32,'15.08 KAMPALA-BUSUNJU'!J32)</f>
        <v>0.2857142857142857</v>
      </c>
      <c r="K32" s="49">
        <f>AVERAGE('11.08 KAMPALA-BUSUNJU'!K32,'12.08 KAMPALA-BUSUNJU'!K32,'13.08 KAMPALA-BUSUNJU'!K32,'14.08 KAMPALA-BUSUNJU'!K32,'16.08 KAMPALA-BUSUNJU-24h'!K32,'17.08 KAMPALA-BUSUNJU-24h'!K32,'15.08 KAMPALA-BUSUNJU'!K32)</f>
        <v>0</v>
      </c>
      <c r="L32" s="49">
        <f>AVERAGE('11.08 KAMPALA-BUSUNJU'!L32,'12.08 KAMPALA-BUSUNJU'!L32,'13.08 KAMPALA-BUSUNJU'!L32,'14.08 KAMPALA-BUSUNJU'!L32,'16.08 KAMPALA-BUSUNJU-24h'!L32,'17.08 KAMPALA-BUSUNJU-24h'!L32,'15.08 KAMPALA-BUSUNJU'!L32)</f>
        <v>0</v>
      </c>
      <c r="M32" s="49">
        <f>AVERAGE('11.08 KAMPALA-BUSUNJU'!M32,'12.08 KAMPALA-BUSUNJU'!M32,'13.08 KAMPALA-BUSUNJU'!M32,'14.08 KAMPALA-BUSUNJU'!M32,'16.08 KAMPALA-BUSUNJU-24h'!M32,'17.08 KAMPALA-BUSUNJU-24h'!M32,'15.08 KAMPALA-BUSUNJU'!M32)</f>
        <v>13</v>
      </c>
      <c r="N32" s="49">
        <f>AVERAGE('11.08 KAMPALA-BUSUNJU'!N32,'12.08 KAMPALA-BUSUNJU'!N32,'13.08 KAMPALA-BUSUNJU'!N32,'14.08 KAMPALA-BUSUNJU'!N32,'16.08 KAMPALA-BUSUNJU-24h'!N32,'17.08 KAMPALA-BUSUNJU-24h'!N32,'15.08 KAMPALA-BUSUNJU'!N32)</f>
        <v>0</v>
      </c>
      <c r="O32" s="15">
        <f t="shared" si="0"/>
        <v>3.714285714285714</v>
      </c>
      <c r="P32" s="15">
        <f t="shared" si="1"/>
        <v>16.714285714285715</v>
      </c>
      <c r="R32" s="1" t="s">
        <v>156</v>
      </c>
      <c r="S32" s="34">
        <f>SUM(C98:C101)</f>
        <v>3</v>
      </c>
      <c r="T32" s="34">
        <f t="shared" ref="T32:AF32" si="24">SUM(D98:D101)</f>
        <v>0</v>
      </c>
      <c r="U32" s="34">
        <f t="shared" si="24"/>
        <v>3</v>
      </c>
      <c r="V32" s="34">
        <f t="shared" si="24"/>
        <v>3</v>
      </c>
      <c r="W32" s="34">
        <f t="shared" si="24"/>
        <v>0</v>
      </c>
      <c r="X32" s="34">
        <f t="shared" si="24"/>
        <v>0</v>
      </c>
      <c r="Y32" s="34">
        <f t="shared" si="24"/>
        <v>3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40.5</v>
      </c>
      <c r="AD32" s="34">
        <f t="shared" si="24"/>
        <v>0</v>
      </c>
      <c r="AE32" s="31">
        <f t="shared" si="24"/>
        <v>12</v>
      </c>
      <c r="AF32" s="31">
        <f t="shared" si="24"/>
        <v>52.5</v>
      </c>
    </row>
    <row r="33" spans="2:32" ht="23.1" customHeight="1" x14ac:dyDescent="0.25">
      <c r="B33" s="23" t="s">
        <v>60</v>
      </c>
      <c r="C33" s="49">
        <f>AVERAGE('11.08 KAMPALA-BUSUNJU'!C33,'12.08 KAMPALA-BUSUNJU'!C33,'13.08 KAMPALA-BUSUNJU'!C33,'14.08 KAMPALA-BUSUNJU'!C33,'16.08 KAMPALA-BUSUNJU-24h'!C33,'17.08 KAMPALA-BUSUNJU-24h'!C33,'15.08 KAMPALA-BUSUNJU'!C33)</f>
        <v>0.5714285714285714</v>
      </c>
      <c r="D33" s="49">
        <f>AVERAGE('11.08 KAMPALA-BUSUNJU'!D33,'12.08 KAMPALA-BUSUNJU'!D33,'13.08 KAMPALA-BUSUNJU'!D33,'14.08 KAMPALA-BUSUNJU'!D33,'16.08 KAMPALA-BUSUNJU-24h'!D33,'17.08 KAMPALA-BUSUNJU-24h'!D33,'15.08 KAMPALA-BUSUNJU'!D33)</f>
        <v>0</v>
      </c>
      <c r="E33" s="49">
        <f>AVERAGE('11.08 KAMPALA-BUSUNJU'!E33,'12.08 KAMPALA-BUSUNJU'!E33,'13.08 KAMPALA-BUSUNJU'!E33,'14.08 KAMPALA-BUSUNJU'!E33,'16.08 KAMPALA-BUSUNJU-24h'!E33,'17.08 KAMPALA-BUSUNJU-24h'!E33,'15.08 KAMPALA-BUSUNJU'!E33)</f>
        <v>1.7142857142857142</v>
      </c>
      <c r="F33" s="49">
        <f>AVERAGE('11.08 KAMPALA-BUSUNJU'!F33,'12.08 KAMPALA-BUSUNJU'!F33,'13.08 KAMPALA-BUSUNJU'!F33,'14.08 KAMPALA-BUSUNJU'!F33,'16.08 KAMPALA-BUSUNJU-24h'!F33,'17.08 KAMPALA-BUSUNJU-24h'!F33,'15.08 KAMPALA-BUSUNJU'!F33)</f>
        <v>0.42857142857142855</v>
      </c>
      <c r="G33" s="49">
        <f>AVERAGE('11.08 KAMPALA-BUSUNJU'!G33,'12.08 KAMPALA-BUSUNJU'!G33,'13.08 KAMPALA-BUSUNJU'!G33,'14.08 KAMPALA-BUSUNJU'!G33,'16.08 KAMPALA-BUSUNJU-24h'!G33,'17.08 KAMPALA-BUSUNJU-24h'!G33,'15.08 KAMPALA-BUSUNJU'!G33)</f>
        <v>0</v>
      </c>
      <c r="H33" s="49">
        <f>AVERAGE('11.08 KAMPALA-BUSUNJU'!H33,'12.08 KAMPALA-BUSUNJU'!H33,'13.08 KAMPALA-BUSUNJU'!H33,'14.08 KAMPALA-BUSUNJU'!H33,'16.08 KAMPALA-BUSUNJU-24h'!H33,'17.08 KAMPALA-BUSUNJU-24h'!H33,'15.08 KAMPALA-BUSUNJU'!H33)</f>
        <v>0</v>
      </c>
      <c r="I33" s="49">
        <f>AVERAGE('11.08 KAMPALA-BUSUNJU'!I33,'12.08 KAMPALA-BUSUNJU'!I33,'13.08 KAMPALA-BUSUNJU'!I33,'14.08 KAMPALA-BUSUNJU'!I33,'16.08 KAMPALA-BUSUNJU-24h'!I33,'17.08 KAMPALA-BUSUNJU-24h'!I33,'15.08 KAMPALA-BUSUNJU'!I33)</f>
        <v>1</v>
      </c>
      <c r="J33" s="49">
        <f>AVERAGE('11.08 KAMPALA-BUSUNJU'!J33,'12.08 KAMPALA-BUSUNJU'!J33,'13.08 KAMPALA-BUSUNJU'!J33,'14.08 KAMPALA-BUSUNJU'!J33,'16.08 KAMPALA-BUSUNJU-24h'!J33,'17.08 KAMPALA-BUSUNJU-24h'!J33,'15.08 KAMPALA-BUSUNJU'!J33)</f>
        <v>0</v>
      </c>
      <c r="K33" s="49">
        <f>AVERAGE('11.08 KAMPALA-BUSUNJU'!K33,'12.08 KAMPALA-BUSUNJU'!K33,'13.08 KAMPALA-BUSUNJU'!K33,'14.08 KAMPALA-BUSUNJU'!K33,'16.08 KAMPALA-BUSUNJU-24h'!K33,'17.08 KAMPALA-BUSUNJU-24h'!K33,'15.08 KAMPALA-BUSUNJU'!K33)</f>
        <v>0</v>
      </c>
      <c r="L33" s="49">
        <f>AVERAGE('11.08 KAMPALA-BUSUNJU'!L33,'12.08 KAMPALA-BUSUNJU'!L33,'13.08 KAMPALA-BUSUNJU'!L33,'14.08 KAMPALA-BUSUNJU'!L33,'16.08 KAMPALA-BUSUNJU-24h'!L33,'17.08 KAMPALA-BUSUNJU-24h'!L33,'15.08 KAMPALA-BUSUNJU'!L33)</f>
        <v>0</v>
      </c>
      <c r="M33" s="49">
        <f>AVERAGE('11.08 KAMPALA-BUSUNJU'!M33,'12.08 KAMPALA-BUSUNJU'!M33,'13.08 KAMPALA-BUSUNJU'!M33,'14.08 KAMPALA-BUSUNJU'!M33,'16.08 KAMPALA-BUSUNJU-24h'!M33,'17.08 KAMPALA-BUSUNJU-24h'!M33,'15.08 KAMPALA-BUSUNJU'!M33)</f>
        <v>15.714285714285714</v>
      </c>
      <c r="N33" s="49">
        <f>AVERAGE('11.08 KAMPALA-BUSUNJU'!N33,'12.08 KAMPALA-BUSUNJU'!N33,'13.08 KAMPALA-BUSUNJU'!N33,'14.08 KAMPALA-BUSUNJU'!N33,'16.08 KAMPALA-BUSUNJU-24h'!N33,'17.08 KAMPALA-BUSUNJU-24h'!N33,'15.08 KAMPALA-BUSUNJU'!N33)</f>
        <v>0</v>
      </c>
      <c r="O33" s="15">
        <f t="shared" si="0"/>
        <v>3.714285714285714</v>
      </c>
      <c r="P33" s="15">
        <f t="shared" si="1"/>
        <v>19.428571428571427</v>
      </c>
      <c r="R33" s="1" t="s">
        <v>157</v>
      </c>
      <c r="S33" s="34">
        <f>SUM(C102:C105)</f>
        <v>4</v>
      </c>
      <c r="T33" s="34">
        <f t="shared" ref="T33:AF33" si="25">SUM(D102:D105)</f>
        <v>0</v>
      </c>
      <c r="U33" s="34">
        <f t="shared" si="25"/>
        <v>1</v>
      </c>
      <c r="V33" s="34">
        <f t="shared" si="25"/>
        <v>1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0</v>
      </c>
      <c r="AA33" s="34">
        <f t="shared" si="25"/>
        <v>0</v>
      </c>
      <c r="AB33" s="34">
        <f t="shared" si="25"/>
        <v>0</v>
      </c>
      <c r="AC33" s="34">
        <f t="shared" si="25"/>
        <v>41</v>
      </c>
      <c r="AD33" s="34">
        <f t="shared" si="25"/>
        <v>0</v>
      </c>
      <c r="AE33" s="31">
        <f t="shared" si="25"/>
        <v>8</v>
      </c>
      <c r="AF33" s="31">
        <f t="shared" si="25"/>
        <v>49</v>
      </c>
    </row>
    <row r="34" spans="2:32" ht="23.1" customHeight="1" x14ac:dyDescent="0.25">
      <c r="B34" s="24" t="s">
        <v>61</v>
      </c>
      <c r="C34" s="49">
        <f>AVERAGE('11.08 KAMPALA-BUSUNJU'!C34,'12.08 KAMPALA-BUSUNJU'!C34,'13.08 KAMPALA-BUSUNJU'!C34,'14.08 KAMPALA-BUSUNJU'!C34,'16.08 KAMPALA-BUSUNJU-24h'!C34,'17.08 KAMPALA-BUSUNJU-24h'!C34,'15.08 KAMPALA-BUSUNJU'!C34)</f>
        <v>1.1428571428571428</v>
      </c>
      <c r="D34" s="49">
        <f>AVERAGE('11.08 KAMPALA-BUSUNJU'!D34,'12.08 KAMPALA-BUSUNJU'!D34,'13.08 KAMPALA-BUSUNJU'!D34,'14.08 KAMPALA-BUSUNJU'!D34,'16.08 KAMPALA-BUSUNJU-24h'!D34,'17.08 KAMPALA-BUSUNJU-24h'!D34,'15.08 KAMPALA-BUSUNJU'!D34)</f>
        <v>0</v>
      </c>
      <c r="E34" s="49">
        <f>AVERAGE('11.08 KAMPALA-BUSUNJU'!E34,'12.08 KAMPALA-BUSUNJU'!E34,'13.08 KAMPALA-BUSUNJU'!E34,'14.08 KAMPALA-BUSUNJU'!E34,'16.08 KAMPALA-BUSUNJU-24h'!E34,'17.08 KAMPALA-BUSUNJU-24h'!E34,'15.08 KAMPALA-BUSUNJU'!E34)</f>
        <v>1</v>
      </c>
      <c r="F34" s="49">
        <f>AVERAGE('11.08 KAMPALA-BUSUNJU'!F34,'12.08 KAMPALA-BUSUNJU'!F34,'13.08 KAMPALA-BUSUNJU'!F34,'14.08 KAMPALA-BUSUNJU'!F34,'16.08 KAMPALA-BUSUNJU-24h'!F34,'17.08 KAMPALA-BUSUNJU-24h'!F34,'15.08 KAMPALA-BUSUNJU'!F34)</f>
        <v>0.2857142857142857</v>
      </c>
      <c r="G34" s="49">
        <f>AVERAGE('11.08 KAMPALA-BUSUNJU'!G34,'12.08 KAMPALA-BUSUNJU'!G34,'13.08 KAMPALA-BUSUNJU'!G34,'14.08 KAMPALA-BUSUNJU'!G34,'16.08 KAMPALA-BUSUNJU-24h'!G34,'17.08 KAMPALA-BUSUNJU-24h'!G34,'15.08 KAMPALA-BUSUNJU'!G34)</f>
        <v>0</v>
      </c>
      <c r="H34" s="49">
        <f>AVERAGE('11.08 KAMPALA-BUSUNJU'!H34,'12.08 KAMPALA-BUSUNJU'!H34,'13.08 KAMPALA-BUSUNJU'!H34,'14.08 KAMPALA-BUSUNJU'!H34,'16.08 KAMPALA-BUSUNJU-24h'!H34,'17.08 KAMPALA-BUSUNJU-24h'!H34,'15.08 KAMPALA-BUSUNJU'!H34)</f>
        <v>0</v>
      </c>
      <c r="I34" s="49">
        <f>AVERAGE('11.08 KAMPALA-BUSUNJU'!I34,'12.08 KAMPALA-BUSUNJU'!I34,'13.08 KAMPALA-BUSUNJU'!I34,'14.08 KAMPALA-BUSUNJU'!I34,'16.08 KAMPALA-BUSUNJU-24h'!I34,'17.08 KAMPALA-BUSUNJU-24h'!I34,'15.08 KAMPALA-BUSUNJU'!I34)</f>
        <v>1.2857142857142858</v>
      </c>
      <c r="J34" s="49">
        <f>AVERAGE('11.08 KAMPALA-BUSUNJU'!J34,'12.08 KAMPALA-BUSUNJU'!J34,'13.08 KAMPALA-BUSUNJU'!J34,'14.08 KAMPALA-BUSUNJU'!J34,'16.08 KAMPALA-BUSUNJU-24h'!J34,'17.08 KAMPALA-BUSUNJU-24h'!J34,'15.08 KAMPALA-BUSUNJU'!J34)</f>
        <v>0</v>
      </c>
      <c r="K34" s="49">
        <f>AVERAGE('11.08 KAMPALA-BUSUNJU'!K34,'12.08 KAMPALA-BUSUNJU'!K34,'13.08 KAMPALA-BUSUNJU'!K34,'14.08 KAMPALA-BUSUNJU'!K34,'16.08 KAMPALA-BUSUNJU-24h'!K34,'17.08 KAMPALA-BUSUNJU-24h'!K34,'15.08 KAMPALA-BUSUNJU'!K34)</f>
        <v>0</v>
      </c>
      <c r="L34" s="49">
        <f>AVERAGE('11.08 KAMPALA-BUSUNJU'!L34,'12.08 KAMPALA-BUSUNJU'!L34,'13.08 KAMPALA-BUSUNJU'!L34,'14.08 KAMPALA-BUSUNJU'!L34,'16.08 KAMPALA-BUSUNJU-24h'!L34,'17.08 KAMPALA-BUSUNJU-24h'!L34,'15.08 KAMPALA-BUSUNJU'!L34)</f>
        <v>0</v>
      </c>
      <c r="M34" s="49">
        <f>AVERAGE('11.08 KAMPALA-BUSUNJU'!M34,'12.08 KAMPALA-BUSUNJU'!M34,'13.08 KAMPALA-BUSUNJU'!M34,'14.08 KAMPALA-BUSUNJU'!M34,'16.08 KAMPALA-BUSUNJU-24h'!M34,'17.08 KAMPALA-BUSUNJU-24h'!M34,'15.08 KAMPALA-BUSUNJU'!M34)</f>
        <v>17.571428571428573</v>
      </c>
      <c r="N34" s="49">
        <f>AVERAGE('11.08 KAMPALA-BUSUNJU'!N34,'12.08 KAMPALA-BUSUNJU'!N34,'13.08 KAMPALA-BUSUNJU'!N34,'14.08 KAMPALA-BUSUNJU'!N34,'16.08 KAMPALA-BUSUNJU-24h'!N34,'17.08 KAMPALA-BUSUNJU-24h'!N34,'15.08 KAMPALA-BUSUNJU'!N34)</f>
        <v>0</v>
      </c>
      <c r="O34" s="15">
        <f t="shared" si="0"/>
        <v>3.7142857142857144</v>
      </c>
      <c r="P34" s="15">
        <f t="shared" si="1"/>
        <v>21.285714285714288</v>
      </c>
      <c r="R34" s="51" t="s">
        <v>90</v>
      </c>
      <c r="S34" s="52">
        <f t="shared" ref="S34:AF34" si="26">MAX(S10:S12)</f>
        <v>2.2857142857142856</v>
      </c>
      <c r="T34" s="52">
        <f t="shared" si="26"/>
        <v>0</v>
      </c>
      <c r="U34" s="52">
        <f t="shared" si="26"/>
        <v>1.5714285714285716</v>
      </c>
      <c r="V34" s="52">
        <f t="shared" si="26"/>
        <v>1.1428571428571428</v>
      </c>
      <c r="W34" s="52">
        <f t="shared" si="26"/>
        <v>0.14285714285714285</v>
      </c>
      <c r="X34" s="52">
        <f t="shared" si="26"/>
        <v>0</v>
      </c>
      <c r="Y34" s="52">
        <f t="shared" si="26"/>
        <v>3.7142857142857144</v>
      </c>
      <c r="Z34" s="52">
        <f t="shared" si="26"/>
        <v>0</v>
      </c>
      <c r="AA34" s="52">
        <f t="shared" si="26"/>
        <v>0</v>
      </c>
      <c r="AB34" s="52">
        <f t="shared" si="26"/>
        <v>0</v>
      </c>
      <c r="AC34" s="52">
        <f t="shared" si="26"/>
        <v>55.571428571428569</v>
      </c>
      <c r="AD34" s="52">
        <f t="shared" si="26"/>
        <v>0</v>
      </c>
      <c r="AE34" s="40">
        <f t="shared" si="26"/>
        <v>8.1428571428571423</v>
      </c>
      <c r="AF34" s="40">
        <f t="shared" si="26"/>
        <v>63.714285714285708</v>
      </c>
    </row>
    <row r="35" spans="2:32" ht="23.1" customHeight="1" x14ac:dyDescent="0.25">
      <c r="B35" s="24" t="s">
        <v>62</v>
      </c>
      <c r="C35" s="49">
        <f>AVERAGE('11.08 KAMPALA-BUSUNJU'!C35,'12.08 KAMPALA-BUSUNJU'!C35,'13.08 KAMPALA-BUSUNJU'!C35,'14.08 KAMPALA-BUSUNJU'!C35,'16.08 KAMPALA-BUSUNJU-24h'!C35,'17.08 KAMPALA-BUSUNJU-24h'!C35,'15.08 KAMPALA-BUSUNJU'!C35)</f>
        <v>0.8571428571428571</v>
      </c>
      <c r="D35" s="49">
        <f>AVERAGE('11.08 KAMPALA-BUSUNJU'!D35,'12.08 KAMPALA-BUSUNJU'!D35,'13.08 KAMPALA-BUSUNJU'!D35,'14.08 KAMPALA-BUSUNJU'!D35,'16.08 KAMPALA-BUSUNJU-24h'!D35,'17.08 KAMPALA-BUSUNJU-24h'!D35,'15.08 KAMPALA-BUSUNJU'!D35)</f>
        <v>0</v>
      </c>
      <c r="E35" s="49">
        <f>AVERAGE('11.08 KAMPALA-BUSUNJU'!E35,'12.08 KAMPALA-BUSUNJU'!E35,'13.08 KAMPALA-BUSUNJU'!E35,'14.08 KAMPALA-BUSUNJU'!E35,'16.08 KAMPALA-BUSUNJU-24h'!E35,'17.08 KAMPALA-BUSUNJU-24h'!E35,'15.08 KAMPALA-BUSUNJU'!E35)</f>
        <v>1.1428571428571428</v>
      </c>
      <c r="F35" s="49">
        <f>AVERAGE('11.08 KAMPALA-BUSUNJU'!F35,'12.08 KAMPALA-BUSUNJU'!F35,'13.08 KAMPALA-BUSUNJU'!F35,'14.08 KAMPALA-BUSUNJU'!F35,'16.08 KAMPALA-BUSUNJU-24h'!F35,'17.08 KAMPALA-BUSUNJU-24h'!F35,'15.08 KAMPALA-BUSUNJU'!F35)</f>
        <v>0.2857142857142857</v>
      </c>
      <c r="G35" s="49">
        <f>AVERAGE('11.08 KAMPALA-BUSUNJU'!G35,'12.08 KAMPALA-BUSUNJU'!G35,'13.08 KAMPALA-BUSUNJU'!G35,'14.08 KAMPALA-BUSUNJU'!G35,'16.08 KAMPALA-BUSUNJU-24h'!G35,'17.08 KAMPALA-BUSUNJU-24h'!G35,'15.08 KAMPALA-BUSUNJU'!G35)</f>
        <v>0</v>
      </c>
      <c r="H35" s="49">
        <f>AVERAGE('11.08 KAMPALA-BUSUNJU'!H35,'12.08 KAMPALA-BUSUNJU'!H35,'13.08 KAMPALA-BUSUNJU'!H35,'14.08 KAMPALA-BUSUNJU'!H35,'16.08 KAMPALA-BUSUNJU-24h'!H35,'17.08 KAMPALA-BUSUNJU-24h'!H35,'15.08 KAMPALA-BUSUNJU'!H35)</f>
        <v>0</v>
      </c>
      <c r="I35" s="49">
        <f>AVERAGE('11.08 KAMPALA-BUSUNJU'!I35,'12.08 KAMPALA-BUSUNJU'!I35,'13.08 KAMPALA-BUSUNJU'!I35,'14.08 KAMPALA-BUSUNJU'!I35,'16.08 KAMPALA-BUSUNJU-24h'!I35,'17.08 KAMPALA-BUSUNJU-24h'!I35,'15.08 KAMPALA-BUSUNJU'!I35)</f>
        <v>0.5714285714285714</v>
      </c>
      <c r="J35" s="49">
        <f>AVERAGE('11.08 KAMPALA-BUSUNJU'!J35,'12.08 KAMPALA-BUSUNJU'!J35,'13.08 KAMPALA-BUSUNJU'!J35,'14.08 KAMPALA-BUSUNJU'!J35,'16.08 KAMPALA-BUSUNJU-24h'!J35,'17.08 KAMPALA-BUSUNJU-24h'!J35,'15.08 KAMPALA-BUSUNJU'!J35)</f>
        <v>0</v>
      </c>
      <c r="K35" s="49">
        <f>AVERAGE('11.08 KAMPALA-BUSUNJU'!K35,'12.08 KAMPALA-BUSUNJU'!K35,'13.08 KAMPALA-BUSUNJU'!K35,'14.08 KAMPALA-BUSUNJU'!K35,'16.08 KAMPALA-BUSUNJU-24h'!K35,'17.08 KAMPALA-BUSUNJU-24h'!K35,'15.08 KAMPALA-BUSUNJU'!K35)</f>
        <v>0</v>
      </c>
      <c r="L35" s="49">
        <f>AVERAGE('11.08 KAMPALA-BUSUNJU'!L35,'12.08 KAMPALA-BUSUNJU'!L35,'13.08 KAMPALA-BUSUNJU'!L35,'14.08 KAMPALA-BUSUNJU'!L35,'16.08 KAMPALA-BUSUNJU-24h'!L35,'17.08 KAMPALA-BUSUNJU-24h'!L35,'15.08 KAMPALA-BUSUNJU'!L35)</f>
        <v>0</v>
      </c>
      <c r="M35" s="49">
        <f>AVERAGE('11.08 KAMPALA-BUSUNJU'!M35,'12.08 KAMPALA-BUSUNJU'!M35,'13.08 KAMPALA-BUSUNJU'!M35,'14.08 KAMPALA-BUSUNJU'!M35,'16.08 KAMPALA-BUSUNJU-24h'!M35,'17.08 KAMPALA-BUSUNJU-24h'!M35,'15.08 KAMPALA-BUSUNJU'!M35)</f>
        <v>14</v>
      </c>
      <c r="N35" s="49">
        <f>AVERAGE('11.08 KAMPALA-BUSUNJU'!N35,'12.08 KAMPALA-BUSUNJU'!N35,'13.08 KAMPALA-BUSUNJU'!N35,'14.08 KAMPALA-BUSUNJU'!N35,'16.08 KAMPALA-BUSUNJU-24h'!N35,'17.08 KAMPALA-BUSUNJU-24h'!N35,'15.08 KAMPALA-BUSUNJU'!N35)</f>
        <v>0</v>
      </c>
      <c r="O35" s="15">
        <f t="shared" si="0"/>
        <v>2.8571428571428568</v>
      </c>
      <c r="P35" s="15">
        <f t="shared" si="1"/>
        <v>16.857142857142858</v>
      </c>
      <c r="R35" s="51" t="s">
        <v>91</v>
      </c>
      <c r="S35" s="52">
        <f t="shared" ref="S35:AF35" si="27">MAX(S13:S18)</f>
        <v>5.2857142857142865</v>
      </c>
      <c r="T35" s="52">
        <f t="shared" si="27"/>
        <v>0</v>
      </c>
      <c r="U35" s="52">
        <f t="shared" si="27"/>
        <v>4.8571428571428568</v>
      </c>
      <c r="V35" s="52">
        <f t="shared" si="27"/>
        <v>1.7142857142857144</v>
      </c>
      <c r="W35" s="52">
        <f t="shared" si="27"/>
        <v>0.14285714285714285</v>
      </c>
      <c r="X35" s="52">
        <f t="shared" si="27"/>
        <v>0</v>
      </c>
      <c r="Y35" s="52">
        <f t="shared" si="27"/>
        <v>5.8571428571428577</v>
      </c>
      <c r="Z35" s="52">
        <f t="shared" si="27"/>
        <v>0.42857142857142855</v>
      </c>
      <c r="AA35" s="52">
        <f t="shared" si="27"/>
        <v>0</v>
      </c>
      <c r="AB35" s="52">
        <f t="shared" si="27"/>
        <v>0</v>
      </c>
      <c r="AC35" s="52">
        <f t="shared" si="27"/>
        <v>59.428571428571423</v>
      </c>
      <c r="AD35" s="52">
        <f t="shared" si="27"/>
        <v>0</v>
      </c>
      <c r="AE35" s="40">
        <f t="shared" si="27"/>
        <v>15.999999999999998</v>
      </c>
      <c r="AF35" s="40">
        <f t="shared" si="27"/>
        <v>74.857142857142847</v>
      </c>
    </row>
    <row r="36" spans="2:32" ht="23.1" customHeight="1" x14ac:dyDescent="0.25">
      <c r="B36" s="24" t="s">
        <v>63</v>
      </c>
      <c r="C36" s="49">
        <f>AVERAGE('11.08 KAMPALA-BUSUNJU'!C36,'12.08 KAMPALA-BUSUNJU'!C36,'13.08 KAMPALA-BUSUNJU'!C36,'14.08 KAMPALA-BUSUNJU'!C36,'16.08 KAMPALA-BUSUNJU-24h'!C36,'17.08 KAMPALA-BUSUNJU-24h'!C36,'15.08 KAMPALA-BUSUNJU'!C36)</f>
        <v>0.42857142857142855</v>
      </c>
      <c r="D36" s="49">
        <f>AVERAGE('11.08 KAMPALA-BUSUNJU'!D36,'12.08 KAMPALA-BUSUNJU'!D36,'13.08 KAMPALA-BUSUNJU'!D36,'14.08 KAMPALA-BUSUNJU'!D36,'16.08 KAMPALA-BUSUNJU-24h'!D36,'17.08 KAMPALA-BUSUNJU-24h'!D36,'15.08 KAMPALA-BUSUNJU'!D36)</f>
        <v>0</v>
      </c>
      <c r="E36" s="49">
        <f>AVERAGE('11.08 KAMPALA-BUSUNJU'!E36,'12.08 KAMPALA-BUSUNJU'!E36,'13.08 KAMPALA-BUSUNJU'!E36,'14.08 KAMPALA-BUSUNJU'!E36,'16.08 KAMPALA-BUSUNJU-24h'!E36,'17.08 KAMPALA-BUSUNJU-24h'!E36,'15.08 KAMPALA-BUSUNJU'!E36)</f>
        <v>0.2857142857142857</v>
      </c>
      <c r="F36" s="49">
        <f>AVERAGE('11.08 KAMPALA-BUSUNJU'!F36,'12.08 KAMPALA-BUSUNJU'!F36,'13.08 KAMPALA-BUSUNJU'!F36,'14.08 KAMPALA-BUSUNJU'!F36,'16.08 KAMPALA-BUSUNJU-24h'!F36,'17.08 KAMPALA-BUSUNJU-24h'!F36,'15.08 KAMPALA-BUSUNJU'!F36)</f>
        <v>0.5714285714285714</v>
      </c>
      <c r="G36" s="49">
        <f>AVERAGE('11.08 KAMPALA-BUSUNJU'!G36,'12.08 KAMPALA-BUSUNJU'!G36,'13.08 KAMPALA-BUSUNJU'!G36,'14.08 KAMPALA-BUSUNJU'!G36,'16.08 KAMPALA-BUSUNJU-24h'!G36,'17.08 KAMPALA-BUSUNJU-24h'!G36,'15.08 KAMPALA-BUSUNJU'!G36)</f>
        <v>0</v>
      </c>
      <c r="H36" s="49">
        <f>AVERAGE('11.08 KAMPALA-BUSUNJU'!H36,'12.08 KAMPALA-BUSUNJU'!H36,'13.08 KAMPALA-BUSUNJU'!H36,'14.08 KAMPALA-BUSUNJU'!H36,'16.08 KAMPALA-BUSUNJU-24h'!H36,'17.08 KAMPALA-BUSUNJU-24h'!H36,'15.08 KAMPALA-BUSUNJU'!H36)</f>
        <v>0</v>
      </c>
      <c r="I36" s="49">
        <f>AVERAGE('11.08 KAMPALA-BUSUNJU'!I36,'12.08 KAMPALA-BUSUNJU'!I36,'13.08 KAMPALA-BUSUNJU'!I36,'14.08 KAMPALA-BUSUNJU'!I36,'16.08 KAMPALA-BUSUNJU-24h'!I36,'17.08 KAMPALA-BUSUNJU-24h'!I36,'15.08 KAMPALA-BUSUNJU'!I36)</f>
        <v>1.4285714285714286</v>
      </c>
      <c r="J36" s="49">
        <f>AVERAGE('11.08 KAMPALA-BUSUNJU'!J36,'12.08 KAMPALA-BUSUNJU'!J36,'13.08 KAMPALA-BUSUNJU'!J36,'14.08 KAMPALA-BUSUNJU'!J36,'16.08 KAMPALA-BUSUNJU-24h'!J36,'17.08 KAMPALA-BUSUNJU-24h'!J36,'15.08 KAMPALA-BUSUNJU'!J36)</f>
        <v>0</v>
      </c>
      <c r="K36" s="49">
        <f>AVERAGE('11.08 KAMPALA-BUSUNJU'!K36,'12.08 KAMPALA-BUSUNJU'!K36,'13.08 KAMPALA-BUSUNJU'!K36,'14.08 KAMPALA-BUSUNJU'!K36,'16.08 KAMPALA-BUSUNJU-24h'!K36,'17.08 KAMPALA-BUSUNJU-24h'!K36,'15.08 KAMPALA-BUSUNJU'!K36)</f>
        <v>0</v>
      </c>
      <c r="L36" s="49">
        <f>AVERAGE('11.08 KAMPALA-BUSUNJU'!L36,'12.08 KAMPALA-BUSUNJU'!L36,'13.08 KAMPALA-BUSUNJU'!L36,'14.08 KAMPALA-BUSUNJU'!L36,'16.08 KAMPALA-BUSUNJU-24h'!L36,'17.08 KAMPALA-BUSUNJU-24h'!L36,'15.08 KAMPALA-BUSUNJU'!L36)</f>
        <v>0</v>
      </c>
      <c r="M36" s="49">
        <f>AVERAGE('11.08 KAMPALA-BUSUNJU'!M36,'12.08 KAMPALA-BUSUNJU'!M36,'13.08 KAMPALA-BUSUNJU'!M36,'14.08 KAMPALA-BUSUNJU'!M36,'16.08 KAMPALA-BUSUNJU-24h'!M36,'17.08 KAMPALA-BUSUNJU-24h'!M36,'15.08 KAMPALA-BUSUNJU'!M36)</f>
        <v>13.857142857142858</v>
      </c>
      <c r="N36" s="49">
        <f>AVERAGE('11.08 KAMPALA-BUSUNJU'!N36,'12.08 KAMPALA-BUSUNJU'!N36,'13.08 KAMPALA-BUSUNJU'!N36,'14.08 KAMPALA-BUSUNJU'!N36,'16.08 KAMPALA-BUSUNJU-24h'!N36,'17.08 KAMPALA-BUSUNJU-24h'!N36,'15.08 KAMPALA-BUSUNJU'!N36)</f>
        <v>0</v>
      </c>
      <c r="O36" s="15">
        <f t="shared" si="0"/>
        <v>2.7142857142857144</v>
      </c>
      <c r="P36" s="15">
        <f t="shared" si="1"/>
        <v>16.571428571428573</v>
      </c>
      <c r="R36" s="51" t="s">
        <v>92</v>
      </c>
      <c r="S36" s="52">
        <f t="shared" ref="S36:AF36" si="28">MAX(S19:S21)</f>
        <v>5.4285714285714288</v>
      </c>
      <c r="T36" s="52">
        <f t="shared" si="28"/>
        <v>0</v>
      </c>
      <c r="U36" s="52">
        <f t="shared" si="28"/>
        <v>5.1428571428571423</v>
      </c>
      <c r="V36" s="52">
        <f t="shared" si="28"/>
        <v>2.5714285714285716</v>
      </c>
      <c r="W36" s="52">
        <f t="shared" si="28"/>
        <v>0.42857142857142855</v>
      </c>
      <c r="X36" s="52">
        <f t="shared" si="28"/>
        <v>0</v>
      </c>
      <c r="Y36" s="52">
        <f t="shared" si="28"/>
        <v>4.8571428571428577</v>
      </c>
      <c r="Z36" s="52">
        <f t="shared" si="28"/>
        <v>0.14285714285714285</v>
      </c>
      <c r="AA36" s="52">
        <f t="shared" si="28"/>
        <v>0.14285714285714285</v>
      </c>
      <c r="AB36" s="52">
        <f t="shared" si="28"/>
        <v>0</v>
      </c>
      <c r="AC36" s="52">
        <f t="shared" si="28"/>
        <v>62.571428571428569</v>
      </c>
      <c r="AD36" s="52">
        <f t="shared" si="28"/>
        <v>0</v>
      </c>
      <c r="AE36" s="40">
        <f t="shared" si="28"/>
        <v>17</v>
      </c>
      <c r="AF36" s="40">
        <f t="shared" si="28"/>
        <v>77</v>
      </c>
    </row>
    <row r="37" spans="2:32" ht="23.1" customHeight="1" x14ac:dyDescent="0.25">
      <c r="B37" s="23" t="s">
        <v>64</v>
      </c>
      <c r="C37" s="49">
        <f>AVERAGE('11.08 KAMPALA-BUSUNJU'!C37,'12.08 KAMPALA-BUSUNJU'!C37,'13.08 KAMPALA-BUSUNJU'!C37,'14.08 KAMPALA-BUSUNJU'!C37,'16.08 KAMPALA-BUSUNJU-24h'!C37,'17.08 KAMPALA-BUSUNJU-24h'!C37,'15.08 KAMPALA-BUSUNJU'!C37)</f>
        <v>1</v>
      </c>
      <c r="D37" s="49">
        <f>AVERAGE('11.08 KAMPALA-BUSUNJU'!D37,'12.08 KAMPALA-BUSUNJU'!D37,'13.08 KAMPALA-BUSUNJU'!D37,'14.08 KAMPALA-BUSUNJU'!D37,'16.08 KAMPALA-BUSUNJU-24h'!D37,'17.08 KAMPALA-BUSUNJU-24h'!D37,'15.08 KAMPALA-BUSUNJU'!D37)</f>
        <v>0</v>
      </c>
      <c r="E37" s="49">
        <f>AVERAGE('11.08 KAMPALA-BUSUNJU'!E37,'12.08 KAMPALA-BUSUNJU'!E37,'13.08 KAMPALA-BUSUNJU'!E37,'14.08 KAMPALA-BUSUNJU'!E37,'16.08 KAMPALA-BUSUNJU-24h'!E37,'17.08 KAMPALA-BUSUNJU-24h'!E37,'15.08 KAMPALA-BUSUNJU'!E37)</f>
        <v>1</v>
      </c>
      <c r="F37" s="49">
        <f>AVERAGE('11.08 KAMPALA-BUSUNJU'!F37,'12.08 KAMPALA-BUSUNJU'!F37,'13.08 KAMPALA-BUSUNJU'!F37,'14.08 KAMPALA-BUSUNJU'!F37,'16.08 KAMPALA-BUSUNJU-24h'!F37,'17.08 KAMPALA-BUSUNJU-24h'!F37,'15.08 KAMPALA-BUSUNJU'!F37)</f>
        <v>0.2857142857142857</v>
      </c>
      <c r="G37" s="49">
        <f>AVERAGE('11.08 KAMPALA-BUSUNJU'!G37,'12.08 KAMPALA-BUSUNJU'!G37,'13.08 KAMPALA-BUSUNJU'!G37,'14.08 KAMPALA-BUSUNJU'!G37,'16.08 KAMPALA-BUSUNJU-24h'!G37,'17.08 KAMPALA-BUSUNJU-24h'!G37,'15.08 KAMPALA-BUSUNJU'!G37)</f>
        <v>0</v>
      </c>
      <c r="H37" s="49">
        <f>AVERAGE('11.08 KAMPALA-BUSUNJU'!H37,'12.08 KAMPALA-BUSUNJU'!H37,'13.08 KAMPALA-BUSUNJU'!H37,'14.08 KAMPALA-BUSUNJU'!H37,'16.08 KAMPALA-BUSUNJU-24h'!H37,'17.08 KAMPALA-BUSUNJU-24h'!H37,'15.08 KAMPALA-BUSUNJU'!H37)</f>
        <v>0</v>
      </c>
      <c r="I37" s="49">
        <f>AVERAGE('11.08 KAMPALA-BUSUNJU'!I37,'12.08 KAMPALA-BUSUNJU'!I37,'13.08 KAMPALA-BUSUNJU'!I37,'14.08 KAMPALA-BUSUNJU'!I37,'16.08 KAMPALA-BUSUNJU-24h'!I37,'17.08 KAMPALA-BUSUNJU-24h'!I37,'15.08 KAMPALA-BUSUNJU'!I37)</f>
        <v>1.1428571428571428</v>
      </c>
      <c r="J37" s="49">
        <f>AVERAGE('11.08 KAMPALA-BUSUNJU'!J37,'12.08 KAMPALA-BUSUNJU'!J37,'13.08 KAMPALA-BUSUNJU'!J37,'14.08 KAMPALA-BUSUNJU'!J37,'16.08 KAMPALA-BUSUNJU-24h'!J37,'17.08 KAMPALA-BUSUNJU-24h'!J37,'15.08 KAMPALA-BUSUNJU'!J37)</f>
        <v>0</v>
      </c>
      <c r="K37" s="49">
        <f>AVERAGE('11.08 KAMPALA-BUSUNJU'!K37,'12.08 KAMPALA-BUSUNJU'!K37,'13.08 KAMPALA-BUSUNJU'!K37,'14.08 KAMPALA-BUSUNJU'!K37,'16.08 KAMPALA-BUSUNJU-24h'!K37,'17.08 KAMPALA-BUSUNJU-24h'!K37,'15.08 KAMPALA-BUSUNJU'!K37)</f>
        <v>0</v>
      </c>
      <c r="L37" s="49">
        <f>AVERAGE('11.08 KAMPALA-BUSUNJU'!L37,'12.08 KAMPALA-BUSUNJU'!L37,'13.08 KAMPALA-BUSUNJU'!L37,'14.08 KAMPALA-BUSUNJU'!L37,'16.08 KAMPALA-BUSUNJU-24h'!L37,'17.08 KAMPALA-BUSUNJU-24h'!L37,'15.08 KAMPALA-BUSUNJU'!L37)</f>
        <v>0</v>
      </c>
      <c r="M37" s="49">
        <f>AVERAGE('11.08 KAMPALA-BUSUNJU'!M37,'12.08 KAMPALA-BUSUNJU'!M37,'13.08 KAMPALA-BUSUNJU'!M37,'14.08 KAMPALA-BUSUNJU'!M37,'16.08 KAMPALA-BUSUNJU-24h'!M37,'17.08 KAMPALA-BUSUNJU-24h'!M37,'15.08 KAMPALA-BUSUNJU'!M37)</f>
        <v>12.714285714285714</v>
      </c>
      <c r="N37" s="49">
        <f>AVERAGE('11.08 KAMPALA-BUSUNJU'!N37,'12.08 KAMPALA-BUSUNJU'!N37,'13.08 KAMPALA-BUSUNJU'!N37,'14.08 KAMPALA-BUSUNJU'!N37,'16.08 KAMPALA-BUSUNJU-24h'!N37,'17.08 KAMPALA-BUSUNJU-24h'!N37,'15.08 KAMPALA-BUSUNJU'!N37)</f>
        <v>0</v>
      </c>
      <c r="O37" s="15">
        <f t="shared" si="0"/>
        <v>3.4285714285714284</v>
      </c>
      <c r="P37" s="15">
        <f t="shared" si="1"/>
        <v>16.142857142857142</v>
      </c>
      <c r="R37" s="37" t="s">
        <v>85</v>
      </c>
      <c r="S37" s="35">
        <f t="shared" ref="S37:AF37" si="29">SUM(S10:S12)</f>
        <v>5.7142857142857144</v>
      </c>
      <c r="T37" s="16">
        <f t="shared" si="29"/>
        <v>0</v>
      </c>
      <c r="U37" s="16">
        <f t="shared" si="29"/>
        <v>3.8571428571428572</v>
      </c>
      <c r="V37" s="16">
        <f t="shared" si="29"/>
        <v>2.8571428571428568</v>
      </c>
      <c r="W37" s="16">
        <f t="shared" si="29"/>
        <v>0.14285714285714285</v>
      </c>
      <c r="X37" s="16">
        <f t="shared" si="29"/>
        <v>0</v>
      </c>
      <c r="Y37" s="16">
        <f t="shared" si="29"/>
        <v>9</v>
      </c>
      <c r="Z37" s="16">
        <f t="shared" si="29"/>
        <v>0</v>
      </c>
      <c r="AA37" s="16">
        <f t="shared" si="29"/>
        <v>0</v>
      </c>
      <c r="AB37" s="16">
        <f t="shared" si="29"/>
        <v>0</v>
      </c>
      <c r="AC37" s="16">
        <f t="shared" si="29"/>
        <v>139.71428571428572</v>
      </c>
      <c r="AD37" s="16">
        <f t="shared" si="29"/>
        <v>0</v>
      </c>
      <c r="AE37" s="32">
        <f t="shared" si="29"/>
        <v>21.571428571428569</v>
      </c>
      <c r="AF37" s="32">
        <f t="shared" si="29"/>
        <v>161.28571428571428</v>
      </c>
    </row>
    <row r="38" spans="2:32" ht="23.1" customHeight="1" x14ac:dyDescent="0.25">
      <c r="B38" s="24" t="s">
        <v>65</v>
      </c>
      <c r="C38" s="49">
        <f>AVERAGE('11.08 KAMPALA-BUSUNJU'!C38,'12.08 KAMPALA-BUSUNJU'!C38,'13.08 KAMPALA-BUSUNJU'!C38,'14.08 KAMPALA-BUSUNJU'!C38,'16.08 KAMPALA-BUSUNJU-24h'!C38,'17.08 KAMPALA-BUSUNJU-24h'!C38,'15.08 KAMPALA-BUSUNJU'!C38)</f>
        <v>0.5714285714285714</v>
      </c>
      <c r="D38" s="49">
        <f>AVERAGE('11.08 KAMPALA-BUSUNJU'!D38,'12.08 KAMPALA-BUSUNJU'!D38,'13.08 KAMPALA-BUSUNJU'!D38,'14.08 KAMPALA-BUSUNJU'!D38,'16.08 KAMPALA-BUSUNJU-24h'!D38,'17.08 KAMPALA-BUSUNJU-24h'!D38,'15.08 KAMPALA-BUSUNJU'!D38)</f>
        <v>0</v>
      </c>
      <c r="E38" s="49">
        <f>AVERAGE('11.08 KAMPALA-BUSUNJU'!E38,'12.08 KAMPALA-BUSUNJU'!E38,'13.08 KAMPALA-BUSUNJU'!E38,'14.08 KAMPALA-BUSUNJU'!E38,'16.08 KAMPALA-BUSUNJU-24h'!E38,'17.08 KAMPALA-BUSUNJU-24h'!E38,'15.08 KAMPALA-BUSUNJU'!E38)</f>
        <v>1</v>
      </c>
      <c r="F38" s="49">
        <f>AVERAGE('11.08 KAMPALA-BUSUNJU'!F38,'12.08 KAMPALA-BUSUNJU'!F38,'13.08 KAMPALA-BUSUNJU'!F38,'14.08 KAMPALA-BUSUNJU'!F38,'16.08 KAMPALA-BUSUNJU-24h'!F38,'17.08 KAMPALA-BUSUNJU-24h'!F38,'15.08 KAMPALA-BUSUNJU'!F38)</f>
        <v>0.2857142857142857</v>
      </c>
      <c r="G38" s="49">
        <f>AVERAGE('11.08 KAMPALA-BUSUNJU'!G38,'12.08 KAMPALA-BUSUNJU'!G38,'13.08 KAMPALA-BUSUNJU'!G38,'14.08 KAMPALA-BUSUNJU'!G38,'16.08 KAMPALA-BUSUNJU-24h'!G38,'17.08 KAMPALA-BUSUNJU-24h'!G38,'15.08 KAMPALA-BUSUNJU'!G38)</f>
        <v>0</v>
      </c>
      <c r="H38" s="49">
        <f>AVERAGE('11.08 KAMPALA-BUSUNJU'!H38,'12.08 KAMPALA-BUSUNJU'!H38,'13.08 KAMPALA-BUSUNJU'!H38,'14.08 KAMPALA-BUSUNJU'!H38,'16.08 KAMPALA-BUSUNJU-24h'!H38,'17.08 KAMPALA-BUSUNJU-24h'!H38,'15.08 KAMPALA-BUSUNJU'!H38)</f>
        <v>0</v>
      </c>
      <c r="I38" s="49">
        <f>AVERAGE('11.08 KAMPALA-BUSUNJU'!I38,'12.08 KAMPALA-BUSUNJU'!I38,'13.08 KAMPALA-BUSUNJU'!I38,'14.08 KAMPALA-BUSUNJU'!I38,'16.08 KAMPALA-BUSUNJU-24h'!I38,'17.08 KAMPALA-BUSUNJU-24h'!I38,'15.08 KAMPALA-BUSUNJU'!I38)</f>
        <v>1.2857142857142858</v>
      </c>
      <c r="J38" s="49">
        <f>AVERAGE('11.08 KAMPALA-BUSUNJU'!J38,'12.08 KAMPALA-BUSUNJU'!J38,'13.08 KAMPALA-BUSUNJU'!J38,'14.08 KAMPALA-BUSUNJU'!J38,'16.08 KAMPALA-BUSUNJU-24h'!J38,'17.08 KAMPALA-BUSUNJU-24h'!J38,'15.08 KAMPALA-BUSUNJU'!J38)</f>
        <v>0</v>
      </c>
      <c r="K38" s="49">
        <f>AVERAGE('11.08 KAMPALA-BUSUNJU'!K38,'12.08 KAMPALA-BUSUNJU'!K38,'13.08 KAMPALA-BUSUNJU'!K38,'14.08 KAMPALA-BUSUNJU'!K38,'16.08 KAMPALA-BUSUNJU-24h'!K38,'17.08 KAMPALA-BUSUNJU-24h'!K38,'15.08 KAMPALA-BUSUNJU'!K38)</f>
        <v>0</v>
      </c>
      <c r="L38" s="49">
        <f>AVERAGE('11.08 KAMPALA-BUSUNJU'!L38,'12.08 KAMPALA-BUSUNJU'!L38,'13.08 KAMPALA-BUSUNJU'!L38,'14.08 KAMPALA-BUSUNJU'!L38,'16.08 KAMPALA-BUSUNJU-24h'!L38,'17.08 KAMPALA-BUSUNJU-24h'!L38,'15.08 KAMPALA-BUSUNJU'!L38)</f>
        <v>0</v>
      </c>
      <c r="M38" s="49">
        <f>AVERAGE('11.08 KAMPALA-BUSUNJU'!M38,'12.08 KAMPALA-BUSUNJU'!M38,'13.08 KAMPALA-BUSUNJU'!M38,'14.08 KAMPALA-BUSUNJU'!M38,'16.08 KAMPALA-BUSUNJU-24h'!M38,'17.08 KAMPALA-BUSUNJU-24h'!M38,'15.08 KAMPALA-BUSUNJU'!M38)</f>
        <v>15.285714285714286</v>
      </c>
      <c r="N38" s="49">
        <f>AVERAGE('11.08 KAMPALA-BUSUNJU'!N38,'12.08 KAMPALA-BUSUNJU'!N38,'13.08 KAMPALA-BUSUNJU'!N38,'14.08 KAMPALA-BUSUNJU'!N38,'16.08 KAMPALA-BUSUNJU-24h'!N38,'17.08 KAMPALA-BUSUNJU-24h'!N38,'15.08 KAMPALA-BUSUNJU'!N38)</f>
        <v>0</v>
      </c>
      <c r="O38" s="15">
        <f t="shared" si="0"/>
        <v>3.1428571428571432</v>
      </c>
      <c r="P38" s="15">
        <f t="shared" si="1"/>
        <v>18.428571428571431</v>
      </c>
      <c r="R38" s="28" t="s">
        <v>86</v>
      </c>
      <c r="S38" s="16">
        <f t="shared" ref="S38:AF38" si="30">SUM(S13:S18)</f>
        <v>23.428571428571431</v>
      </c>
      <c r="T38" s="16">
        <f t="shared" si="30"/>
        <v>0</v>
      </c>
      <c r="U38" s="16">
        <f t="shared" si="30"/>
        <v>24</v>
      </c>
      <c r="V38" s="16">
        <f t="shared" si="30"/>
        <v>7.8571428571428559</v>
      </c>
      <c r="W38" s="16">
        <f t="shared" si="30"/>
        <v>0.14285714285714285</v>
      </c>
      <c r="X38" s="16">
        <f t="shared" si="30"/>
        <v>0</v>
      </c>
      <c r="Y38" s="16">
        <f t="shared" si="30"/>
        <v>29.428571428571431</v>
      </c>
      <c r="Z38" s="16">
        <f t="shared" si="30"/>
        <v>1.1428571428571428</v>
      </c>
      <c r="AA38" s="16">
        <f t="shared" si="30"/>
        <v>0</v>
      </c>
      <c r="AB38" s="16">
        <f t="shared" si="30"/>
        <v>0</v>
      </c>
      <c r="AC38" s="16">
        <f t="shared" si="30"/>
        <v>343</v>
      </c>
      <c r="AD38" s="16">
        <f t="shared" si="30"/>
        <v>0</v>
      </c>
      <c r="AE38" s="32">
        <f t="shared" si="30"/>
        <v>86</v>
      </c>
      <c r="AF38" s="32">
        <f t="shared" si="30"/>
        <v>428.99999999999994</v>
      </c>
    </row>
    <row r="39" spans="2:32" ht="23.1" customHeight="1" x14ac:dyDescent="0.25">
      <c r="B39" s="24" t="s">
        <v>66</v>
      </c>
      <c r="C39" s="49">
        <f>AVERAGE('11.08 KAMPALA-BUSUNJU'!C39,'12.08 KAMPALA-BUSUNJU'!C39,'13.08 KAMPALA-BUSUNJU'!C39,'14.08 KAMPALA-BUSUNJU'!C39,'16.08 KAMPALA-BUSUNJU-24h'!C39,'17.08 KAMPALA-BUSUNJU-24h'!C39,'15.08 KAMPALA-BUSUNJU'!C39)</f>
        <v>0.8571428571428571</v>
      </c>
      <c r="D39" s="49">
        <f>AVERAGE('11.08 KAMPALA-BUSUNJU'!D39,'12.08 KAMPALA-BUSUNJU'!D39,'13.08 KAMPALA-BUSUNJU'!D39,'14.08 KAMPALA-BUSUNJU'!D39,'16.08 KAMPALA-BUSUNJU-24h'!D39,'17.08 KAMPALA-BUSUNJU-24h'!D39,'15.08 KAMPALA-BUSUNJU'!D39)</f>
        <v>0</v>
      </c>
      <c r="E39" s="49">
        <f>AVERAGE('11.08 KAMPALA-BUSUNJU'!E39,'12.08 KAMPALA-BUSUNJU'!E39,'13.08 KAMPALA-BUSUNJU'!E39,'14.08 KAMPALA-BUSUNJU'!E39,'16.08 KAMPALA-BUSUNJU-24h'!E39,'17.08 KAMPALA-BUSUNJU-24h'!E39,'15.08 KAMPALA-BUSUNJU'!E39)</f>
        <v>1.4285714285714286</v>
      </c>
      <c r="F39" s="49">
        <f>AVERAGE('11.08 KAMPALA-BUSUNJU'!F39,'12.08 KAMPALA-BUSUNJU'!F39,'13.08 KAMPALA-BUSUNJU'!F39,'14.08 KAMPALA-BUSUNJU'!F39,'16.08 KAMPALA-BUSUNJU-24h'!F39,'17.08 KAMPALA-BUSUNJU-24h'!F39,'15.08 KAMPALA-BUSUNJU'!F39)</f>
        <v>0.14285714285714285</v>
      </c>
      <c r="G39" s="49">
        <f>AVERAGE('11.08 KAMPALA-BUSUNJU'!G39,'12.08 KAMPALA-BUSUNJU'!G39,'13.08 KAMPALA-BUSUNJU'!G39,'14.08 KAMPALA-BUSUNJU'!G39,'16.08 KAMPALA-BUSUNJU-24h'!G39,'17.08 KAMPALA-BUSUNJU-24h'!G39,'15.08 KAMPALA-BUSUNJU'!G39)</f>
        <v>0</v>
      </c>
      <c r="H39" s="49">
        <f>AVERAGE('11.08 KAMPALA-BUSUNJU'!H39,'12.08 KAMPALA-BUSUNJU'!H39,'13.08 KAMPALA-BUSUNJU'!H39,'14.08 KAMPALA-BUSUNJU'!H39,'16.08 KAMPALA-BUSUNJU-24h'!H39,'17.08 KAMPALA-BUSUNJU-24h'!H39,'15.08 KAMPALA-BUSUNJU'!H39)</f>
        <v>0</v>
      </c>
      <c r="I39" s="49">
        <f>AVERAGE('11.08 KAMPALA-BUSUNJU'!I39,'12.08 KAMPALA-BUSUNJU'!I39,'13.08 KAMPALA-BUSUNJU'!I39,'14.08 KAMPALA-BUSUNJU'!I39,'16.08 KAMPALA-BUSUNJU-24h'!I39,'17.08 KAMPALA-BUSUNJU-24h'!I39,'15.08 KAMPALA-BUSUNJU'!I39)</f>
        <v>1.8571428571428572</v>
      </c>
      <c r="J39" s="49">
        <f>AVERAGE('11.08 KAMPALA-BUSUNJU'!J39,'12.08 KAMPALA-BUSUNJU'!J39,'13.08 KAMPALA-BUSUNJU'!J39,'14.08 KAMPALA-BUSUNJU'!J39,'16.08 KAMPALA-BUSUNJU-24h'!J39,'17.08 KAMPALA-BUSUNJU-24h'!J39,'15.08 KAMPALA-BUSUNJU'!J39)</f>
        <v>0.14285714285714285</v>
      </c>
      <c r="K39" s="49">
        <f>AVERAGE('11.08 KAMPALA-BUSUNJU'!K39,'12.08 KAMPALA-BUSUNJU'!K39,'13.08 KAMPALA-BUSUNJU'!K39,'14.08 KAMPALA-BUSUNJU'!K39,'16.08 KAMPALA-BUSUNJU-24h'!K39,'17.08 KAMPALA-BUSUNJU-24h'!K39,'15.08 KAMPALA-BUSUNJU'!K39)</f>
        <v>0</v>
      </c>
      <c r="L39" s="49">
        <f>AVERAGE('11.08 KAMPALA-BUSUNJU'!L39,'12.08 KAMPALA-BUSUNJU'!L39,'13.08 KAMPALA-BUSUNJU'!L39,'14.08 KAMPALA-BUSUNJU'!L39,'16.08 KAMPALA-BUSUNJU-24h'!L39,'17.08 KAMPALA-BUSUNJU-24h'!L39,'15.08 KAMPALA-BUSUNJU'!L39)</f>
        <v>0</v>
      </c>
      <c r="M39" s="49">
        <f>AVERAGE('11.08 KAMPALA-BUSUNJU'!M39,'12.08 KAMPALA-BUSUNJU'!M39,'13.08 KAMPALA-BUSUNJU'!M39,'14.08 KAMPALA-BUSUNJU'!M39,'16.08 KAMPALA-BUSUNJU-24h'!M39,'17.08 KAMPALA-BUSUNJU-24h'!M39,'15.08 KAMPALA-BUSUNJU'!M39)</f>
        <v>13.857142857142858</v>
      </c>
      <c r="N39" s="49">
        <f>AVERAGE('11.08 KAMPALA-BUSUNJU'!N39,'12.08 KAMPALA-BUSUNJU'!N39,'13.08 KAMPALA-BUSUNJU'!N39,'14.08 KAMPALA-BUSUNJU'!N39,'16.08 KAMPALA-BUSUNJU-24h'!N39,'17.08 KAMPALA-BUSUNJU-24h'!N39,'15.08 KAMPALA-BUSUNJU'!N39)</f>
        <v>0</v>
      </c>
      <c r="O39" s="15">
        <f t="shared" si="0"/>
        <v>4.4285714285714288</v>
      </c>
      <c r="P39" s="15">
        <f t="shared" si="1"/>
        <v>18.285714285714285</v>
      </c>
      <c r="R39" s="29" t="s">
        <v>87</v>
      </c>
      <c r="S39" s="16">
        <f t="shared" ref="S39:AF39" si="31">SUM(S19:S21)</f>
        <v>14.428571428571429</v>
      </c>
      <c r="T39" s="16">
        <f t="shared" si="31"/>
        <v>0</v>
      </c>
      <c r="U39" s="16">
        <f t="shared" si="31"/>
        <v>11</v>
      </c>
      <c r="V39" s="16">
        <f t="shared" si="31"/>
        <v>5.5714285714285712</v>
      </c>
      <c r="W39" s="16">
        <f t="shared" si="31"/>
        <v>0.71428571428571419</v>
      </c>
      <c r="X39" s="16">
        <f t="shared" si="31"/>
        <v>0</v>
      </c>
      <c r="Y39" s="16">
        <f t="shared" si="31"/>
        <v>12.285714285714285</v>
      </c>
      <c r="Z39" s="16">
        <f t="shared" si="31"/>
        <v>0.2857142857142857</v>
      </c>
      <c r="AA39" s="16">
        <f t="shared" si="31"/>
        <v>0.14285714285714285</v>
      </c>
      <c r="AB39" s="16">
        <f t="shared" si="31"/>
        <v>0</v>
      </c>
      <c r="AC39" s="16">
        <f t="shared" si="31"/>
        <v>176.57142857142856</v>
      </c>
      <c r="AD39" s="16">
        <f t="shared" si="31"/>
        <v>0</v>
      </c>
      <c r="AE39" s="32">
        <f t="shared" si="31"/>
        <v>44.428571428571423</v>
      </c>
      <c r="AF39" s="32">
        <f t="shared" si="31"/>
        <v>221</v>
      </c>
    </row>
    <row r="40" spans="2:32" ht="23.1" customHeight="1" x14ac:dyDescent="0.25">
      <c r="B40" s="24" t="s">
        <v>67</v>
      </c>
      <c r="C40" s="49">
        <f>AVERAGE('11.08 KAMPALA-BUSUNJU'!C40,'12.08 KAMPALA-BUSUNJU'!C40,'13.08 KAMPALA-BUSUNJU'!C40,'14.08 KAMPALA-BUSUNJU'!C40,'16.08 KAMPALA-BUSUNJU-24h'!C40,'17.08 KAMPALA-BUSUNJU-24h'!C40,'15.08 KAMPALA-BUSUNJU'!C40)</f>
        <v>0.7142857142857143</v>
      </c>
      <c r="D40" s="49">
        <f>AVERAGE('11.08 KAMPALA-BUSUNJU'!D40,'12.08 KAMPALA-BUSUNJU'!D40,'13.08 KAMPALA-BUSUNJU'!D40,'14.08 KAMPALA-BUSUNJU'!D40,'16.08 KAMPALA-BUSUNJU-24h'!D40,'17.08 KAMPALA-BUSUNJU-24h'!D40,'15.08 KAMPALA-BUSUNJU'!D40)</f>
        <v>0</v>
      </c>
      <c r="E40" s="49">
        <f>AVERAGE('11.08 KAMPALA-BUSUNJU'!E40,'12.08 KAMPALA-BUSUNJU'!E40,'13.08 KAMPALA-BUSUNJU'!E40,'14.08 KAMPALA-BUSUNJU'!E40,'16.08 KAMPALA-BUSUNJU-24h'!E40,'17.08 KAMPALA-BUSUNJU-24h'!E40,'15.08 KAMPALA-BUSUNJU'!E40)</f>
        <v>1.1428571428571428</v>
      </c>
      <c r="F40" s="49">
        <f>AVERAGE('11.08 KAMPALA-BUSUNJU'!F40,'12.08 KAMPALA-BUSUNJU'!F40,'13.08 KAMPALA-BUSUNJU'!F40,'14.08 KAMPALA-BUSUNJU'!F40,'16.08 KAMPALA-BUSUNJU-24h'!F40,'17.08 KAMPALA-BUSUNJU-24h'!F40,'15.08 KAMPALA-BUSUNJU'!F40)</f>
        <v>0.2857142857142857</v>
      </c>
      <c r="G40" s="49">
        <f>AVERAGE('11.08 KAMPALA-BUSUNJU'!G40,'12.08 KAMPALA-BUSUNJU'!G40,'13.08 KAMPALA-BUSUNJU'!G40,'14.08 KAMPALA-BUSUNJU'!G40,'16.08 KAMPALA-BUSUNJU-24h'!G40,'17.08 KAMPALA-BUSUNJU-24h'!G40,'15.08 KAMPALA-BUSUNJU'!G40)</f>
        <v>0</v>
      </c>
      <c r="H40" s="49">
        <f>AVERAGE('11.08 KAMPALA-BUSUNJU'!H40,'12.08 KAMPALA-BUSUNJU'!H40,'13.08 KAMPALA-BUSUNJU'!H40,'14.08 KAMPALA-BUSUNJU'!H40,'16.08 KAMPALA-BUSUNJU-24h'!H40,'17.08 KAMPALA-BUSUNJU-24h'!H40,'15.08 KAMPALA-BUSUNJU'!H40)</f>
        <v>0</v>
      </c>
      <c r="I40" s="49">
        <f>AVERAGE('11.08 KAMPALA-BUSUNJU'!I40,'12.08 KAMPALA-BUSUNJU'!I40,'13.08 KAMPALA-BUSUNJU'!I40,'14.08 KAMPALA-BUSUNJU'!I40,'16.08 KAMPALA-BUSUNJU-24h'!I40,'17.08 KAMPALA-BUSUNJU-24h'!I40,'15.08 KAMPALA-BUSUNJU'!I40)</f>
        <v>1.2857142857142858</v>
      </c>
      <c r="J40" s="49">
        <f>AVERAGE('11.08 KAMPALA-BUSUNJU'!J40,'12.08 KAMPALA-BUSUNJU'!J40,'13.08 KAMPALA-BUSUNJU'!J40,'14.08 KAMPALA-BUSUNJU'!J40,'16.08 KAMPALA-BUSUNJU-24h'!J40,'17.08 KAMPALA-BUSUNJU-24h'!J40,'15.08 KAMPALA-BUSUNJU'!J40)</f>
        <v>0</v>
      </c>
      <c r="K40" s="49">
        <f>AVERAGE('11.08 KAMPALA-BUSUNJU'!K40,'12.08 KAMPALA-BUSUNJU'!K40,'13.08 KAMPALA-BUSUNJU'!K40,'14.08 KAMPALA-BUSUNJU'!K40,'16.08 KAMPALA-BUSUNJU-24h'!K40,'17.08 KAMPALA-BUSUNJU-24h'!K40,'15.08 KAMPALA-BUSUNJU'!K40)</f>
        <v>0</v>
      </c>
      <c r="L40" s="49">
        <f>AVERAGE('11.08 KAMPALA-BUSUNJU'!L40,'12.08 KAMPALA-BUSUNJU'!L40,'13.08 KAMPALA-BUSUNJU'!L40,'14.08 KAMPALA-BUSUNJU'!L40,'16.08 KAMPALA-BUSUNJU-24h'!L40,'17.08 KAMPALA-BUSUNJU-24h'!L40,'15.08 KAMPALA-BUSUNJU'!L40)</f>
        <v>0</v>
      </c>
      <c r="M40" s="49">
        <f>AVERAGE('11.08 KAMPALA-BUSUNJU'!M40,'12.08 KAMPALA-BUSUNJU'!M40,'13.08 KAMPALA-BUSUNJU'!M40,'14.08 KAMPALA-BUSUNJU'!M40,'16.08 KAMPALA-BUSUNJU-24h'!M40,'17.08 KAMPALA-BUSUNJU-24h'!M40,'15.08 KAMPALA-BUSUNJU'!M40)</f>
        <v>12</v>
      </c>
      <c r="N40" s="49">
        <f>AVERAGE('11.08 KAMPALA-BUSUNJU'!N40,'12.08 KAMPALA-BUSUNJU'!N40,'13.08 KAMPALA-BUSUNJU'!N40,'14.08 KAMPALA-BUSUNJU'!N40,'16.08 KAMPALA-BUSUNJU-24h'!N40,'17.08 KAMPALA-BUSUNJU-24h'!N40,'15.08 KAMPALA-BUSUNJU'!N40)</f>
        <v>0</v>
      </c>
      <c r="O40" s="15">
        <f t="shared" si="0"/>
        <v>3.4285714285714288</v>
      </c>
      <c r="P40" s="15">
        <f t="shared" si="1"/>
        <v>15.428571428571429</v>
      </c>
      <c r="R40" s="5" t="s">
        <v>17</v>
      </c>
      <c r="S40" s="16">
        <f t="shared" ref="S40:AF40" si="32">SUM(S10:S21)</f>
        <v>43.571428571428569</v>
      </c>
      <c r="T40" s="16">
        <f t="shared" si="32"/>
        <v>0</v>
      </c>
      <c r="U40" s="16">
        <f t="shared" si="32"/>
        <v>38.857142857142861</v>
      </c>
      <c r="V40" s="16">
        <f t="shared" si="32"/>
        <v>16.285714285714285</v>
      </c>
      <c r="W40" s="16">
        <f t="shared" si="32"/>
        <v>1</v>
      </c>
      <c r="X40" s="16">
        <f t="shared" si="32"/>
        <v>0</v>
      </c>
      <c r="Y40" s="16">
        <f t="shared" si="32"/>
        <v>50.714285714285722</v>
      </c>
      <c r="Z40" s="16">
        <f t="shared" si="32"/>
        <v>1.4285714285714284</v>
      </c>
      <c r="AA40" s="16">
        <f t="shared" si="32"/>
        <v>0.14285714285714285</v>
      </c>
      <c r="AB40" s="16">
        <f t="shared" si="32"/>
        <v>0</v>
      </c>
      <c r="AC40" s="16">
        <f t="shared" si="32"/>
        <v>659.28571428571422</v>
      </c>
      <c r="AD40" s="16">
        <f t="shared" si="32"/>
        <v>0</v>
      </c>
      <c r="AE40" s="32">
        <f t="shared" si="32"/>
        <v>152</v>
      </c>
      <c r="AF40" s="32">
        <f t="shared" si="32"/>
        <v>811.28571428571422</v>
      </c>
    </row>
    <row r="41" spans="2:32" ht="23.1" customHeight="1" x14ac:dyDescent="0.25">
      <c r="B41" s="23" t="s">
        <v>68</v>
      </c>
      <c r="C41" s="49">
        <f>AVERAGE('11.08 KAMPALA-BUSUNJU'!C41,'12.08 KAMPALA-BUSUNJU'!C41,'13.08 KAMPALA-BUSUNJU'!C41,'14.08 KAMPALA-BUSUNJU'!C41,'16.08 KAMPALA-BUSUNJU-24h'!C41,'17.08 KAMPALA-BUSUNJU-24h'!C41,'15.08 KAMPALA-BUSUNJU'!C41)</f>
        <v>0.8571428571428571</v>
      </c>
      <c r="D41" s="49">
        <f>AVERAGE('11.08 KAMPALA-BUSUNJU'!D41,'12.08 KAMPALA-BUSUNJU'!D41,'13.08 KAMPALA-BUSUNJU'!D41,'14.08 KAMPALA-BUSUNJU'!D41,'16.08 KAMPALA-BUSUNJU-24h'!D41,'17.08 KAMPALA-BUSUNJU-24h'!D41,'15.08 KAMPALA-BUSUNJU'!D41)</f>
        <v>0</v>
      </c>
      <c r="E41" s="49">
        <f>AVERAGE('11.08 KAMPALA-BUSUNJU'!E41,'12.08 KAMPALA-BUSUNJU'!E41,'13.08 KAMPALA-BUSUNJU'!E41,'14.08 KAMPALA-BUSUNJU'!E41,'16.08 KAMPALA-BUSUNJU-24h'!E41,'17.08 KAMPALA-BUSUNJU-24h'!E41,'15.08 KAMPALA-BUSUNJU'!E41)</f>
        <v>0.8571428571428571</v>
      </c>
      <c r="F41" s="49">
        <f>AVERAGE('11.08 KAMPALA-BUSUNJU'!F41,'12.08 KAMPALA-BUSUNJU'!F41,'13.08 KAMPALA-BUSUNJU'!F41,'14.08 KAMPALA-BUSUNJU'!F41,'16.08 KAMPALA-BUSUNJU-24h'!F41,'17.08 KAMPALA-BUSUNJU-24h'!F41,'15.08 KAMPALA-BUSUNJU'!F41)</f>
        <v>0.2857142857142857</v>
      </c>
      <c r="G41" s="49">
        <f>AVERAGE('11.08 KAMPALA-BUSUNJU'!G41,'12.08 KAMPALA-BUSUNJU'!G41,'13.08 KAMPALA-BUSUNJU'!G41,'14.08 KAMPALA-BUSUNJU'!G41,'16.08 KAMPALA-BUSUNJU-24h'!G41,'17.08 KAMPALA-BUSUNJU-24h'!G41,'15.08 KAMPALA-BUSUNJU'!G41)</f>
        <v>0</v>
      </c>
      <c r="H41" s="49">
        <f>AVERAGE('11.08 KAMPALA-BUSUNJU'!H41,'12.08 KAMPALA-BUSUNJU'!H41,'13.08 KAMPALA-BUSUNJU'!H41,'14.08 KAMPALA-BUSUNJU'!H41,'16.08 KAMPALA-BUSUNJU-24h'!H41,'17.08 KAMPALA-BUSUNJU-24h'!H41,'15.08 KAMPALA-BUSUNJU'!H41)</f>
        <v>0</v>
      </c>
      <c r="I41" s="49">
        <f>AVERAGE('11.08 KAMPALA-BUSUNJU'!I41,'12.08 KAMPALA-BUSUNJU'!I41,'13.08 KAMPALA-BUSUNJU'!I41,'14.08 KAMPALA-BUSUNJU'!I41,'16.08 KAMPALA-BUSUNJU-24h'!I41,'17.08 KAMPALA-BUSUNJU-24h'!I41,'15.08 KAMPALA-BUSUNJU'!I41)</f>
        <v>1.4285714285714286</v>
      </c>
      <c r="J41" s="49">
        <f>AVERAGE('11.08 KAMPALA-BUSUNJU'!J41,'12.08 KAMPALA-BUSUNJU'!J41,'13.08 KAMPALA-BUSUNJU'!J41,'14.08 KAMPALA-BUSUNJU'!J41,'16.08 KAMPALA-BUSUNJU-24h'!J41,'17.08 KAMPALA-BUSUNJU-24h'!J41,'15.08 KAMPALA-BUSUNJU'!J41)</f>
        <v>0</v>
      </c>
      <c r="K41" s="49">
        <f>AVERAGE('11.08 KAMPALA-BUSUNJU'!K41,'12.08 KAMPALA-BUSUNJU'!K41,'13.08 KAMPALA-BUSUNJU'!K41,'14.08 KAMPALA-BUSUNJU'!K41,'16.08 KAMPALA-BUSUNJU-24h'!K41,'17.08 KAMPALA-BUSUNJU-24h'!K41,'15.08 KAMPALA-BUSUNJU'!K41)</f>
        <v>0</v>
      </c>
      <c r="L41" s="49">
        <f>AVERAGE('11.08 KAMPALA-BUSUNJU'!L41,'12.08 KAMPALA-BUSUNJU'!L41,'13.08 KAMPALA-BUSUNJU'!L41,'14.08 KAMPALA-BUSUNJU'!L41,'16.08 KAMPALA-BUSUNJU-24h'!L41,'17.08 KAMPALA-BUSUNJU-24h'!L41,'15.08 KAMPALA-BUSUNJU'!L41)</f>
        <v>0</v>
      </c>
      <c r="M41" s="49">
        <f>AVERAGE('11.08 KAMPALA-BUSUNJU'!M41,'12.08 KAMPALA-BUSUNJU'!M41,'13.08 KAMPALA-BUSUNJU'!M41,'14.08 KAMPALA-BUSUNJU'!M41,'16.08 KAMPALA-BUSUNJU-24h'!M41,'17.08 KAMPALA-BUSUNJU-24h'!M41,'15.08 KAMPALA-BUSUNJU'!M41)</f>
        <v>15</v>
      </c>
      <c r="N41" s="49">
        <f>AVERAGE('11.08 KAMPALA-BUSUNJU'!N41,'12.08 KAMPALA-BUSUNJU'!N41,'13.08 KAMPALA-BUSUNJU'!N41,'14.08 KAMPALA-BUSUNJU'!N41,'16.08 KAMPALA-BUSUNJU-24h'!N41,'17.08 KAMPALA-BUSUNJU-24h'!N41,'15.08 KAMPALA-BUSUNJU'!N41)</f>
        <v>0</v>
      </c>
      <c r="O41" s="15">
        <f t="shared" si="0"/>
        <v>3.4285714285714288</v>
      </c>
      <c r="P41" s="15">
        <f t="shared" si="1"/>
        <v>18.428571428571431</v>
      </c>
      <c r="R41" s="5" t="s">
        <v>175</v>
      </c>
      <c r="S41" s="16">
        <f>SUM(S10:S33)</f>
        <v>63.071428571428569</v>
      </c>
      <c r="T41" s="16">
        <f t="shared" ref="T41:AD41" si="33">SUM(T10:T33)</f>
        <v>0</v>
      </c>
      <c r="U41" s="16">
        <f t="shared" si="33"/>
        <v>53.857142857142861</v>
      </c>
      <c r="V41" s="16">
        <f t="shared" si="33"/>
        <v>20.285714285714285</v>
      </c>
      <c r="W41" s="16">
        <f t="shared" si="33"/>
        <v>1</v>
      </c>
      <c r="X41" s="16">
        <f t="shared" si="33"/>
        <v>0</v>
      </c>
      <c r="Y41" s="16">
        <f t="shared" si="33"/>
        <v>76.714285714285722</v>
      </c>
      <c r="Z41" s="16">
        <f t="shared" si="33"/>
        <v>1.4285714285714284</v>
      </c>
      <c r="AA41" s="16">
        <f t="shared" si="33"/>
        <v>0.14285714285714285</v>
      </c>
      <c r="AB41" s="16">
        <f t="shared" si="33"/>
        <v>0</v>
      </c>
      <c r="AC41" s="16">
        <f t="shared" si="33"/>
        <v>988.28571428571422</v>
      </c>
      <c r="AD41" s="16">
        <f t="shared" si="33"/>
        <v>0</v>
      </c>
      <c r="AE41" s="32">
        <f>SUM(AE10:AE33)</f>
        <v>216.5</v>
      </c>
      <c r="AF41" s="32">
        <f>SUM(AF10:AF33)</f>
        <v>1204.7857142857142</v>
      </c>
    </row>
    <row r="42" spans="2:32" ht="23.1" customHeight="1" x14ac:dyDescent="0.25">
      <c r="B42" s="24" t="s">
        <v>69</v>
      </c>
      <c r="C42" s="49">
        <f>AVERAGE('11.08 KAMPALA-BUSUNJU'!C42,'12.08 KAMPALA-BUSUNJU'!C42,'13.08 KAMPALA-BUSUNJU'!C42,'14.08 KAMPALA-BUSUNJU'!C42,'16.08 KAMPALA-BUSUNJU-24h'!C42,'17.08 KAMPALA-BUSUNJU-24h'!C42,'15.08 KAMPALA-BUSUNJU'!C42)</f>
        <v>1.2857142857142858</v>
      </c>
      <c r="D42" s="49">
        <f>AVERAGE('11.08 KAMPALA-BUSUNJU'!D42,'12.08 KAMPALA-BUSUNJU'!D42,'13.08 KAMPALA-BUSUNJU'!D42,'14.08 KAMPALA-BUSUNJU'!D42,'16.08 KAMPALA-BUSUNJU-24h'!D42,'17.08 KAMPALA-BUSUNJU-24h'!D42,'15.08 KAMPALA-BUSUNJU'!D42)</f>
        <v>0</v>
      </c>
      <c r="E42" s="49">
        <f>AVERAGE('11.08 KAMPALA-BUSUNJU'!E42,'12.08 KAMPALA-BUSUNJU'!E42,'13.08 KAMPALA-BUSUNJU'!E42,'14.08 KAMPALA-BUSUNJU'!E42,'16.08 KAMPALA-BUSUNJU-24h'!E42,'17.08 KAMPALA-BUSUNJU-24h'!E42,'15.08 KAMPALA-BUSUNJU'!E42)</f>
        <v>1.2857142857142858</v>
      </c>
      <c r="F42" s="49">
        <f>AVERAGE('11.08 KAMPALA-BUSUNJU'!F42,'12.08 KAMPALA-BUSUNJU'!F42,'13.08 KAMPALA-BUSUNJU'!F42,'14.08 KAMPALA-BUSUNJU'!F42,'16.08 KAMPALA-BUSUNJU-24h'!F42,'17.08 KAMPALA-BUSUNJU-24h'!F42,'15.08 KAMPALA-BUSUNJU'!F42)</f>
        <v>0.2857142857142857</v>
      </c>
      <c r="G42" s="49">
        <f>AVERAGE('11.08 KAMPALA-BUSUNJU'!G42,'12.08 KAMPALA-BUSUNJU'!G42,'13.08 KAMPALA-BUSUNJU'!G42,'14.08 KAMPALA-BUSUNJU'!G42,'16.08 KAMPALA-BUSUNJU-24h'!G42,'17.08 KAMPALA-BUSUNJU-24h'!G42,'15.08 KAMPALA-BUSUNJU'!G42)</f>
        <v>0</v>
      </c>
      <c r="H42" s="49">
        <f>AVERAGE('11.08 KAMPALA-BUSUNJU'!H42,'12.08 KAMPALA-BUSUNJU'!H42,'13.08 KAMPALA-BUSUNJU'!H42,'14.08 KAMPALA-BUSUNJU'!H42,'16.08 KAMPALA-BUSUNJU-24h'!H42,'17.08 KAMPALA-BUSUNJU-24h'!H42,'15.08 KAMPALA-BUSUNJU'!H42)</f>
        <v>0</v>
      </c>
      <c r="I42" s="49">
        <f>AVERAGE('11.08 KAMPALA-BUSUNJU'!I42,'12.08 KAMPALA-BUSUNJU'!I42,'13.08 KAMPALA-BUSUNJU'!I42,'14.08 KAMPALA-BUSUNJU'!I42,'16.08 KAMPALA-BUSUNJU-24h'!I42,'17.08 KAMPALA-BUSUNJU-24h'!I42,'15.08 KAMPALA-BUSUNJU'!I42)</f>
        <v>1.7142857142857142</v>
      </c>
      <c r="J42" s="49">
        <f>AVERAGE('11.08 KAMPALA-BUSUNJU'!J42,'12.08 KAMPALA-BUSUNJU'!J42,'13.08 KAMPALA-BUSUNJU'!J42,'14.08 KAMPALA-BUSUNJU'!J42,'16.08 KAMPALA-BUSUNJU-24h'!J42,'17.08 KAMPALA-BUSUNJU-24h'!J42,'15.08 KAMPALA-BUSUNJU'!J42)</f>
        <v>0.2857142857142857</v>
      </c>
      <c r="K42" s="49">
        <f>AVERAGE('11.08 KAMPALA-BUSUNJU'!K42,'12.08 KAMPALA-BUSUNJU'!K42,'13.08 KAMPALA-BUSUNJU'!K42,'14.08 KAMPALA-BUSUNJU'!K42,'16.08 KAMPALA-BUSUNJU-24h'!K42,'17.08 KAMPALA-BUSUNJU-24h'!K42,'15.08 KAMPALA-BUSUNJU'!K42)</f>
        <v>0</v>
      </c>
      <c r="L42" s="49">
        <f>AVERAGE('11.08 KAMPALA-BUSUNJU'!L42,'12.08 KAMPALA-BUSUNJU'!L42,'13.08 KAMPALA-BUSUNJU'!L42,'14.08 KAMPALA-BUSUNJU'!L42,'16.08 KAMPALA-BUSUNJU-24h'!L42,'17.08 KAMPALA-BUSUNJU-24h'!L42,'15.08 KAMPALA-BUSUNJU'!L42)</f>
        <v>0</v>
      </c>
      <c r="M42" s="49">
        <f>AVERAGE('11.08 KAMPALA-BUSUNJU'!M42,'12.08 KAMPALA-BUSUNJU'!M42,'13.08 KAMPALA-BUSUNJU'!M42,'14.08 KAMPALA-BUSUNJU'!M42,'16.08 KAMPALA-BUSUNJU-24h'!M42,'17.08 KAMPALA-BUSUNJU-24h'!M42,'15.08 KAMPALA-BUSUNJU'!M42)</f>
        <v>14.428571428571429</v>
      </c>
      <c r="N42" s="49">
        <f>AVERAGE('11.08 KAMPALA-BUSUNJU'!N42,'12.08 KAMPALA-BUSUNJU'!N42,'13.08 KAMPALA-BUSUNJU'!N42,'14.08 KAMPALA-BUSUNJU'!N42,'16.08 KAMPALA-BUSUNJU-24h'!N42,'17.08 KAMPALA-BUSUNJU-24h'!N42,'15.08 KAMPALA-BUSUNJU'!N42)</f>
        <v>0</v>
      </c>
      <c r="O42" s="15">
        <f t="shared" si="0"/>
        <v>4.8571428571428568</v>
      </c>
      <c r="P42" s="15">
        <f t="shared" si="1"/>
        <v>19.285714285714285</v>
      </c>
      <c r="R42" s="5" t="s">
        <v>160</v>
      </c>
      <c r="S42" s="48">
        <f>S41/S40</f>
        <v>1.4475409836065574</v>
      </c>
      <c r="T42" s="48" t="e">
        <f t="shared" ref="T42:AF42" si="34">T41/T40</f>
        <v>#DIV/0!</v>
      </c>
      <c r="U42" s="48">
        <f t="shared" si="34"/>
        <v>1.3860294117647058</v>
      </c>
      <c r="V42" s="48">
        <f t="shared" si="34"/>
        <v>1.2456140350877194</v>
      </c>
      <c r="W42" s="48">
        <f t="shared" si="34"/>
        <v>1</v>
      </c>
      <c r="X42" s="48" t="e">
        <f t="shared" si="34"/>
        <v>#DIV/0!</v>
      </c>
      <c r="Y42" s="48">
        <f t="shared" si="34"/>
        <v>1.5126760563380282</v>
      </c>
      <c r="Z42" s="48">
        <f t="shared" si="34"/>
        <v>1</v>
      </c>
      <c r="AA42" s="48">
        <f t="shared" si="34"/>
        <v>1</v>
      </c>
      <c r="AB42" s="48" t="e">
        <f t="shared" si="34"/>
        <v>#DIV/0!</v>
      </c>
      <c r="AC42" s="48">
        <f t="shared" si="34"/>
        <v>1.4990249187432287</v>
      </c>
      <c r="AD42" s="48" t="e">
        <f t="shared" si="34"/>
        <v>#DIV/0!</v>
      </c>
      <c r="AE42" s="53">
        <f t="shared" si="34"/>
        <v>1.424342105263158</v>
      </c>
      <c r="AF42" s="53">
        <f t="shared" si="34"/>
        <v>1.4850325761577743</v>
      </c>
    </row>
    <row r="43" spans="2:32" ht="23.1" customHeight="1" x14ac:dyDescent="0.25">
      <c r="B43" s="23" t="s">
        <v>70</v>
      </c>
      <c r="C43" s="49">
        <f>AVERAGE('11.08 KAMPALA-BUSUNJU'!C43,'12.08 KAMPALA-BUSUNJU'!C43,'13.08 KAMPALA-BUSUNJU'!C43,'14.08 KAMPALA-BUSUNJU'!C43,'16.08 KAMPALA-BUSUNJU-24h'!C43,'17.08 KAMPALA-BUSUNJU-24h'!C43,'15.08 KAMPALA-BUSUNJU'!C43)</f>
        <v>1.4285714285714286</v>
      </c>
      <c r="D43" s="49">
        <f>AVERAGE('11.08 KAMPALA-BUSUNJU'!D43,'12.08 KAMPALA-BUSUNJU'!D43,'13.08 KAMPALA-BUSUNJU'!D43,'14.08 KAMPALA-BUSUNJU'!D43,'16.08 KAMPALA-BUSUNJU-24h'!D43,'17.08 KAMPALA-BUSUNJU-24h'!D43,'15.08 KAMPALA-BUSUNJU'!D43)</f>
        <v>0</v>
      </c>
      <c r="E43" s="49">
        <f>AVERAGE('11.08 KAMPALA-BUSUNJU'!E43,'12.08 KAMPALA-BUSUNJU'!E43,'13.08 KAMPALA-BUSUNJU'!E43,'14.08 KAMPALA-BUSUNJU'!E43,'16.08 KAMPALA-BUSUNJU-24h'!E43,'17.08 KAMPALA-BUSUNJU-24h'!E43,'15.08 KAMPALA-BUSUNJU'!E43)</f>
        <v>0.7142857142857143</v>
      </c>
      <c r="F43" s="49">
        <f>AVERAGE('11.08 KAMPALA-BUSUNJU'!F43,'12.08 KAMPALA-BUSUNJU'!F43,'13.08 KAMPALA-BUSUNJU'!F43,'14.08 KAMPALA-BUSUNJU'!F43,'16.08 KAMPALA-BUSUNJU-24h'!F43,'17.08 KAMPALA-BUSUNJU-24h'!F43,'15.08 KAMPALA-BUSUNJU'!F43)</f>
        <v>0.14285714285714285</v>
      </c>
      <c r="G43" s="49">
        <f>AVERAGE('11.08 KAMPALA-BUSUNJU'!G43,'12.08 KAMPALA-BUSUNJU'!G43,'13.08 KAMPALA-BUSUNJU'!G43,'14.08 KAMPALA-BUSUNJU'!G43,'16.08 KAMPALA-BUSUNJU-24h'!G43,'17.08 KAMPALA-BUSUNJU-24h'!G43,'15.08 KAMPALA-BUSUNJU'!G43)</f>
        <v>0</v>
      </c>
      <c r="H43" s="49">
        <f>AVERAGE('11.08 KAMPALA-BUSUNJU'!H43,'12.08 KAMPALA-BUSUNJU'!H43,'13.08 KAMPALA-BUSUNJU'!H43,'14.08 KAMPALA-BUSUNJU'!H43,'16.08 KAMPALA-BUSUNJU-24h'!H43,'17.08 KAMPALA-BUSUNJU-24h'!H43,'15.08 KAMPALA-BUSUNJU'!H43)</f>
        <v>0</v>
      </c>
      <c r="I43" s="49">
        <f>AVERAGE('11.08 KAMPALA-BUSUNJU'!I43,'12.08 KAMPALA-BUSUNJU'!I43,'13.08 KAMPALA-BUSUNJU'!I43,'14.08 KAMPALA-BUSUNJU'!I43,'16.08 KAMPALA-BUSUNJU-24h'!I43,'17.08 KAMPALA-BUSUNJU-24h'!I43,'15.08 KAMPALA-BUSUNJU'!I43)</f>
        <v>0.7142857142857143</v>
      </c>
      <c r="J43" s="49">
        <f>AVERAGE('11.08 KAMPALA-BUSUNJU'!J43,'12.08 KAMPALA-BUSUNJU'!J43,'13.08 KAMPALA-BUSUNJU'!J43,'14.08 KAMPALA-BUSUNJU'!J43,'16.08 KAMPALA-BUSUNJU-24h'!J43,'17.08 KAMPALA-BUSUNJU-24h'!J43,'15.08 KAMPALA-BUSUNJU'!J43)</f>
        <v>0.14285714285714285</v>
      </c>
      <c r="K43" s="49">
        <f>AVERAGE('11.08 KAMPALA-BUSUNJU'!K43,'12.08 KAMPALA-BUSUNJU'!K43,'13.08 KAMPALA-BUSUNJU'!K43,'14.08 KAMPALA-BUSUNJU'!K43,'16.08 KAMPALA-BUSUNJU-24h'!K43,'17.08 KAMPALA-BUSUNJU-24h'!K43,'15.08 KAMPALA-BUSUNJU'!K43)</f>
        <v>0</v>
      </c>
      <c r="L43" s="49">
        <f>AVERAGE('11.08 KAMPALA-BUSUNJU'!L43,'12.08 KAMPALA-BUSUNJU'!L43,'13.08 KAMPALA-BUSUNJU'!L43,'14.08 KAMPALA-BUSUNJU'!L43,'16.08 KAMPALA-BUSUNJU-24h'!L43,'17.08 KAMPALA-BUSUNJU-24h'!L43,'15.08 KAMPALA-BUSUNJU'!L43)</f>
        <v>0</v>
      </c>
      <c r="M43" s="49">
        <f>AVERAGE('11.08 KAMPALA-BUSUNJU'!M43,'12.08 KAMPALA-BUSUNJU'!M43,'13.08 KAMPALA-BUSUNJU'!M43,'14.08 KAMPALA-BUSUNJU'!M43,'16.08 KAMPALA-BUSUNJU-24h'!M43,'17.08 KAMPALA-BUSUNJU-24h'!M43,'15.08 KAMPALA-BUSUNJU'!M43)</f>
        <v>14</v>
      </c>
      <c r="N43" s="49">
        <f>AVERAGE('11.08 KAMPALA-BUSUNJU'!N43,'12.08 KAMPALA-BUSUNJU'!N43,'13.08 KAMPALA-BUSUNJU'!N43,'14.08 KAMPALA-BUSUNJU'!N43,'16.08 KAMPALA-BUSUNJU-24h'!N43,'17.08 KAMPALA-BUSUNJU-24h'!N43,'15.08 KAMPALA-BUSUNJU'!N43)</f>
        <v>0</v>
      </c>
      <c r="O43" s="15">
        <f t="shared" si="0"/>
        <v>3.1428571428571428</v>
      </c>
      <c r="P43" s="15">
        <f t="shared" si="1"/>
        <v>17.142857142857142</v>
      </c>
    </row>
    <row r="44" spans="2:32" ht="23.1" customHeight="1" x14ac:dyDescent="0.25">
      <c r="B44" s="25" t="s">
        <v>71</v>
      </c>
      <c r="C44" s="49">
        <f>AVERAGE('11.08 KAMPALA-BUSUNJU'!C44,'12.08 KAMPALA-BUSUNJU'!C44,'13.08 KAMPALA-BUSUNJU'!C44,'14.08 KAMPALA-BUSUNJU'!C44,'16.08 KAMPALA-BUSUNJU-24h'!C44,'17.08 KAMPALA-BUSUNJU-24h'!C44,'15.08 KAMPALA-BUSUNJU'!C44)</f>
        <v>1</v>
      </c>
      <c r="D44" s="49">
        <f>AVERAGE('11.08 KAMPALA-BUSUNJU'!D44,'12.08 KAMPALA-BUSUNJU'!D44,'13.08 KAMPALA-BUSUNJU'!D44,'14.08 KAMPALA-BUSUNJU'!D44,'16.08 KAMPALA-BUSUNJU-24h'!D44,'17.08 KAMPALA-BUSUNJU-24h'!D44,'15.08 KAMPALA-BUSUNJU'!D44)</f>
        <v>0</v>
      </c>
      <c r="E44" s="49">
        <f>AVERAGE('11.08 KAMPALA-BUSUNJU'!E44,'12.08 KAMPALA-BUSUNJU'!E44,'13.08 KAMPALA-BUSUNJU'!E44,'14.08 KAMPALA-BUSUNJU'!E44,'16.08 KAMPALA-BUSUNJU-24h'!E44,'17.08 KAMPALA-BUSUNJU-24h'!E44,'15.08 KAMPALA-BUSUNJU'!E44)</f>
        <v>0.7142857142857143</v>
      </c>
      <c r="F44" s="49">
        <f>AVERAGE('11.08 KAMPALA-BUSUNJU'!F44,'12.08 KAMPALA-BUSUNJU'!F44,'13.08 KAMPALA-BUSUNJU'!F44,'14.08 KAMPALA-BUSUNJU'!F44,'16.08 KAMPALA-BUSUNJU-24h'!F44,'17.08 KAMPALA-BUSUNJU-24h'!F44,'15.08 KAMPALA-BUSUNJU'!F44)</f>
        <v>0.14285714285714285</v>
      </c>
      <c r="G44" s="49">
        <f>AVERAGE('11.08 KAMPALA-BUSUNJU'!G44,'12.08 KAMPALA-BUSUNJU'!G44,'13.08 KAMPALA-BUSUNJU'!G44,'14.08 KAMPALA-BUSUNJU'!G44,'16.08 KAMPALA-BUSUNJU-24h'!G44,'17.08 KAMPALA-BUSUNJU-24h'!G44,'15.08 KAMPALA-BUSUNJU'!G44)</f>
        <v>0</v>
      </c>
      <c r="H44" s="49">
        <f>AVERAGE('11.08 KAMPALA-BUSUNJU'!H44,'12.08 KAMPALA-BUSUNJU'!H44,'13.08 KAMPALA-BUSUNJU'!H44,'14.08 KAMPALA-BUSUNJU'!H44,'16.08 KAMPALA-BUSUNJU-24h'!H44,'17.08 KAMPALA-BUSUNJU-24h'!H44,'15.08 KAMPALA-BUSUNJU'!H44)</f>
        <v>0</v>
      </c>
      <c r="I44" s="49">
        <f>AVERAGE('11.08 KAMPALA-BUSUNJU'!I44,'12.08 KAMPALA-BUSUNJU'!I44,'13.08 KAMPALA-BUSUNJU'!I44,'14.08 KAMPALA-BUSUNJU'!I44,'16.08 KAMPALA-BUSUNJU-24h'!I44,'17.08 KAMPALA-BUSUNJU-24h'!I44,'15.08 KAMPALA-BUSUNJU'!I44)</f>
        <v>1.1428571428571428</v>
      </c>
      <c r="J44" s="49">
        <f>AVERAGE('11.08 KAMPALA-BUSUNJU'!J44,'12.08 KAMPALA-BUSUNJU'!J44,'13.08 KAMPALA-BUSUNJU'!J44,'14.08 KAMPALA-BUSUNJU'!J44,'16.08 KAMPALA-BUSUNJU-24h'!J44,'17.08 KAMPALA-BUSUNJU-24h'!J44,'15.08 KAMPALA-BUSUNJU'!J44)</f>
        <v>0</v>
      </c>
      <c r="K44" s="49">
        <f>AVERAGE('11.08 KAMPALA-BUSUNJU'!K44,'12.08 KAMPALA-BUSUNJU'!K44,'13.08 KAMPALA-BUSUNJU'!K44,'14.08 KAMPALA-BUSUNJU'!K44,'16.08 KAMPALA-BUSUNJU-24h'!K44,'17.08 KAMPALA-BUSUNJU-24h'!K44,'15.08 KAMPALA-BUSUNJU'!K44)</f>
        <v>0</v>
      </c>
      <c r="L44" s="49">
        <f>AVERAGE('11.08 KAMPALA-BUSUNJU'!L44,'12.08 KAMPALA-BUSUNJU'!L44,'13.08 KAMPALA-BUSUNJU'!L44,'14.08 KAMPALA-BUSUNJU'!L44,'16.08 KAMPALA-BUSUNJU-24h'!L44,'17.08 KAMPALA-BUSUNJU-24h'!L44,'15.08 KAMPALA-BUSUNJU'!L44)</f>
        <v>0</v>
      </c>
      <c r="M44" s="49">
        <f>AVERAGE('11.08 KAMPALA-BUSUNJU'!M44,'12.08 KAMPALA-BUSUNJU'!M44,'13.08 KAMPALA-BUSUNJU'!M44,'14.08 KAMPALA-BUSUNJU'!M44,'16.08 KAMPALA-BUSUNJU-24h'!M44,'17.08 KAMPALA-BUSUNJU-24h'!M44,'15.08 KAMPALA-BUSUNJU'!M44)</f>
        <v>11.142857142857142</v>
      </c>
      <c r="N44" s="49">
        <f>AVERAGE('11.08 KAMPALA-BUSUNJU'!N44,'12.08 KAMPALA-BUSUNJU'!N44,'13.08 KAMPALA-BUSUNJU'!N44,'14.08 KAMPALA-BUSUNJU'!N44,'16.08 KAMPALA-BUSUNJU-24h'!N44,'17.08 KAMPALA-BUSUNJU-24h'!N44,'15.08 KAMPALA-BUSUNJU'!N44)</f>
        <v>0</v>
      </c>
      <c r="O44" s="15">
        <f t="shared" si="0"/>
        <v>3</v>
      </c>
      <c r="P44" s="15">
        <f t="shared" si="1"/>
        <v>14.142857142857142</v>
      </c>
    </row>
    <row r="45" spans="2:32" ht="23.1" customHeight="1" x14ac:dyDescent="0.25">
      <c r="B45" s="23" t="s">
        <v>72</v>
      </c>
      <c r="C45" s="49">
        <f>AVERAGE('11.08 KAMPALA-BUSUNJU'!C45,'12.08 KAMPALA-BUSUNJU'!C45,'13.08 KAMPALA-BUSUNJU'!C45,'14.08 KAMPALA-BUSUNJU'!C45,'16.08 KAMPALA-BUSUNJU-24h'!C45,'17.08 KAMPALA-BUSUNJU-24h'!C45,'15.08 KAMPALA-BUSUNJU'!C45)</f>
        <v>1.1428571428571428</v>
      </c>
      <c r="D45" s="49">
        <f>AVERAGE('11.08 KAMPALA-BUSUNJU'!D45,'12.08 KAMPALA-BUSUNJU'!D45,'13.08 KAMPALA-BUSUNJU'!D45,'14.08 KAMPALA-BUSUNJU'!D45,'16.08 KAMPALA-BUSUNJU-24h'!D45,'17.08 KAMPALA-BUSUNJU-24h'!D45,'15.08 KAMPALA-BUSUNJU'!D45)</f>
        <v>0</v>
      </c>
      <c r="E45" s="49">
        <f>AVERAGE('11.08 KAMPALA-BUSUNJU'!E45,'12.08 KAMPALA-BUSUNJU'!E45,'13.08 KAMPALA-BUSUNJU'!E45,'14.08 KAMPALA-BUSUNJU'!E45,'16.08 KAMPALA-BUSUNJU-24h'!E45,'17.08 KAMPALA-BUSUNJU-24h'!E45,'15.08 KAMPALA-BUSUNJU'!E45)</f>
        <v>1</v>
      </c>
      <c r="F45" s="49">
        <f>AVERAGE('11.08 KAMPALA-BUSUNJU'!F45,'12.08 KAMPALA-BUSUNJU'!F45,'13.08 KAMPALA-BUSUNJU'!F45,'14.08 KAMPALA-BUSUNJU'!F45,'16.08 KAMPALA-BUSUNJU-24h'!F45,'17.08 KAMPALA-BUSUNJU-24h'!F45,'15.08 KAMPALA-BUSUNJU'!F45)</f>
        <v>0.5714285714285714</v>
      </c>
      <c r="G45" s="49">
        <f>AVERAGE('11.08 KAMPALA-BUSUNJU'!G45,'12.08 KAMPALA-BUSUNJU'!G45,'13.08 KAMPALA-BUSUNJU'!G45,'14.08 KAMPALA-BUSUNJU'!G45,'16.08 KAMPALA-BUSUNJU-24h'!G45,'17.08 KAMPALA-BUSUNJU-24h'!G45,'15.08 KAMPALA-BUSUNJU'!G45)</f>
        <v>0</v>
      </c>
      <c r="H45" s="49">
        <f>AVERAGE('11.08 KAMPALA-BUSUNJU'!H45,'12.08 KAMPALA-BUSUNJU'!H45,'13.08 KAMPALA-BUSUNJU'!H45,'14.08 KAMPALA-BUSUNJU'!H45,'16.08 KAMPALA-BUSUNJU-24h'!H45,'17.08 KAMPALA-BUSUNJU-24h'!H45,'15.08 KAMPALA-BUSUNJU'!H45)</f>
        <v>0</v>
      </c>
      <c r="I45" s="49">
        <f>AVERAGE('11.08 KAMPALA-BUSUNJU'!I45,'12.08 KAMPALA-BUSUNJU'!I45,'13.08 KAMPALA-BUSUNJU'!I45,'14.08 KAMPALA-BUSUNJU'!I45,'16.08 KAMPALA-BUSUNJU-24h'!I45,'17.08 KAMPALA-BUSUNJU-24h'!I45,'15.08 KAMPALA-BUSUNJU'!I45)</f>
        <v>0.8571428571428571</v>
      </c>
      <c r="J45" s="49">
        <f>AVERAGE('11.08 KAMPALA-BUSUNJU'!J45,'12.08 KAMPALA-BUSUNJU'!J45,'13.08 KAMPALA-BUSUNJU'!J45,'14.08 KAMPALA-BUSUNJU'!J45,'16.08 KAMPALA-BUSUNJU-24h'!J45,'17.08 KAMPALA-BUSUNJU-24h'!J45,'15.08 KAMPALA-BUSUNJU'!J45)</f>
        <v>0</v>
      </c>
      <c r="K45" s="49">
        <f>AVERAGE('11.08 KAMPALA-BUSUNJU'!K45,'12.08 KAMPALA-BUSUNJU'!K45,'13.08 KAMPALA-BUSUNJU'!K45,'14.08 KAMPALA-BUSUNJU'!K45,'16.08 KAMPALA-BUSUNJU-24h'!K45,'17.08 KAMPALA-BUSUNJU-24h'!K45,'15.08 KAMPALA-BUSUNJU'!K45)</f>
        <v>0</v>
      </c>
      <c r="L45" s="49">
        <f>AVERAGE('11.08 KAMPALA-BUSUNJU'!L45,'12.08 KAMPALA-BUSUNJU'!L45,'13.08 KAMPALA-BUSUNJU'!L45,'14.08 KAMPALA-BUSUNJU'!L45,'16.08 KAMPALA-BUSUNJU-24h'!L45,'17.08 KAMPALA-BUSUNJU-24h'!L45,'15.08 KAMPALA-BUSUNJU'!L45)</f>
        <v>0</v>
      </c>
      <c r="M45" s="49">
        <f>AVERAGE('11.08 KAMPALA-BUSUNJU'!M45,'12.08 KAMPALA-BUSUNJU'!M45,'13.08 KAMPALA-BUSUNJU'!M45,'14.08 KAMPALA-BUSUNJU'!M45,'16.08 KAMPALA-BUSUNJU-24h'!M45,'17.08 KAMPALA-BUSUNJU-24h'!M45,'15.08 KAMPALA-BUSUNJU'!M45)</f>
        <v>16.571428571428573</v>
      </c>
      <c r="N45" s="49">
        <f>AVERAGE('11.08 KAMPALA-BUSUNJU'!N45,'12.08 KAMPALA-BUSUNJU'!N45,'13.08 KAMPALA-BUSUNJU'!N45,'14.08 KAMPALA-BUSUNJU'!N45,'16.08 KAMPALA-BUSUNJU-24h'!N45,'17.08 KAMPALA-BUSUNJU-24h'!N45,'15.08 KAMPALA-BUSUNJU'!N45)</f>
        <v>0</v>
      </c>
      <c r="O45" s="15">
        <f t="shared" si="0"/>
        <v>3.5714285714285716</v>
      </c>
      <c r="P45" s="15">
        <f t="shared" si="1"/>
        <v>20.142857142857146</v>
      </c>
    </row>
    <row r="46" spans="2:32" ht="23.1" customHeight="1" x14ac:dyDescent="0.25">
      <c r="B46" s="24" t="s">
        <v>73</v>
      </c>
      <c r="C46" s="49">
        <f>AVERAGE('11.08 KAMPALA-BUSUNJU'!C46,'12.08 KAMPALA-BUSUNJU'!C46,'13.08 KAMPALA-BUSUNJU'!C46,'14.08 KAMPALA-BUSUNJU'!C46,'16.08 KAMPALA-BUSUNJU-24h'!C46,'17.08 KAMPALA-BUSUNJU-24h'!C46,'15.08 KAMPALA-BUSUNJU'!C46)</f>
        <v>1.1428571428571428</v>
      </c>
      <c r="D46" s="49">
        <f>AVERAGE('11.08 KAMPALA-BUSUNJU'!D46,'12.08 KAMPALA-BUSUNJU'!D46,'13.08 KAMPALA-BUSUNJU'!D46,'14.08 KAMPALA-BUSUNJU'!D46,'16.08 KAMPALA-BUSUNJU-24h'!D46,'17.08 KAMPALA-BUSUNJU-24h'!D46,'15.08 KAMPALA-BUSUNJU'!D46)</f>
        <v>0</v>
      </c>
      <c r="E46" s="49">
        <f>AVERAGE('11.08 KAMPALA-BUSUNJU'!E46,'12.08 KAMPALA-BUSUNJU'!E46,'13.08 KAMPALA-BUSUNJU'!E46,'14.08 KAMPALA-BUSUNJU'!E46,'16.08 KAMPALA-BUSUNJU-24h'!E46,'17.08 KAMPALA-BUSUNJU-24h'!E46,'15.08 KAMPALA-BUSUNJU'!E46)</f>
        <v>0.8571428571428571</v>
      </c>
      <c r="F46" s="49">
        <f>AVERAGE('11.08 KAMPALA-BUSUNJU'!F46,'12.08 KAMPALA-BUSUNJU'!F46,'13.08 KAMPALA-BUSUNJU'!F46,'14.08 KAMPALA-BUSUNJU'!F46,'16.08 KAMPALA-BUSUNJU-24h'!F46,'17.08 KAMPALA-BUSUNJU-24h'!F46,'15.08 KAMPALA-BUSUNJU'!F46)</f>
        <v>0.2857142857142857</v>
      </c>
      <c r="G46" s="49">
        <f>AVERAGE('11.08 KAMPALA-BUSUNJU'!G46,'12.08 KAMPALA-BUSUNJU'!G46,'13.08 KAMPALA-BUSUNJU'!G46,'14.08 KAMPALA-BUSUNJU'!G46,'16.08 KAMPALA-BUSUNJU-24h'!G46,'17.08 KAMPALA-BUSUNJU-24h'!G46,'15.08 KAMPALA-BUSUNJU'!G46)</f>
        <v>0</v>
      </c>
      <c r="H46" s="49">
        <f>AVERAGE('11.08 KAMPALA-BUSUNJU'!H46,'12.08 KAMPALA-BUSUNJU'!H46,'13.08 KAMPALA-BUSUNJU'!H46,'14.08 KAMPALA-BUSUNJU'!H46,'16.08 KAMPALA-BUSUNJU-24h'!H46,'17.08 KAMPALA-BUSUNJU-24h'!H46,'15.08 KAMPALA-BUSUNJU'!H46)</f>
        <v>0</v>
      </c>
      <c r="I46" s="49">
        <f>AVERAGE('11.08 KAMPALA-BUSUNJU'!I46,'12.08 KAMPALA-BUSUNJU'!I46,'13.08 KAMPALA-BUSUNJU'!I46,'14.08 KAMPALA-BUSUNJU'!I46,'16.08 KAMPALA-BUSUNJU-24h'!I46,'17.08 KAMPALA-BUSUNJU-24h'!I46,'15.08 KAMPALA-BUSUNJU'!I46)</f>
        <v>1.4285714285714286</v>
      </c>
      <c r="J46" s="49">
        <f>AVERAGE('11.08 KAMPALA-BUSUNJU'!J46,'12.08 KAMPALA-BUSUNJU'!J46,'13.08 KAMPALA-BUSUNJU'!J46,'14.08 KAMPALA-BUSUNJU'!J46,'16.08 KAMPALA-BUSUNJU-24h'!J46,'17.08 KAMPALA-BUSUNJU-24h'!J46,'15.08 KAMPALA-BUSUNJU'!J46)</f>
        <v>0</v>
      </c>
      <c r="K46" s="49">
        <f>AVERAGE('11.08 KAMPALA-BUSUNJU'!K46,'12.08 KAMPALA-BUSUNJU'!K46,'13.08 KAMPALA-BUSUNJU'!K46,'14.08 KAMPALA-BUSUNJU'!K46,'16.08 KAMPALA-BUSUNJU-24h'!K46,'17.08 KAMPALA-BUSUNJU-24h'!K46,'15.08 KAMPALA-BUSUNJU'!K46)</f>
        <v>0</v>
      </c>
      <c r="L46" s="49">
        <f>AVERAGE('11.08 KAMPALA-BUSUNJU'!L46,'12.08 KAMPALA-BUSUNJU'!L46,'13.08 KAMPALA-BUSUNJU'!L46,'14.08 KAMPALA-BUSUNJU'!L46,'16.08 KAMPALA-BUSUNJU-24h'!L46,'17.08 KAMPALA-BUSUNJU-24h'!L46,'15.08 KAMPALA-BUSUNJU'!L46)</f>
        <v>0</v>
      </c>
      <c r="M46" s="49">
        <f>AVERAGE('11.08 KAMPALA-BUSUNJU'!M46,'12.08 KAMPALA-BUSUNJU'!M46,'13.08 KAMPALA-BUSUNJU'!M46,'14.08 KAMPALA-BUSUNJU'!M46,'16.08 KAMPALA-BUSUNJU-24h'!M46,'17.08 KAMPALA-BUSUNJU-24h'!M46,'15.08 KAMPALA-BUSUNJU'!M46)</f>
        <v>11.428571428571429</v>
      </c>
      <c r="N46" s="49">
        <f>AVERAGE('11.08 KAMPALA-BUSUNJU'!N46,'12.08 KAMPALA-BUSUNJU'!N46,'13.08 KAMPALA-BUSUNJU'!N46,'14.08 KAMPALA-BUSUNJU'!N46,'16.08 KAMPALA-BUSUNJU-24h'!N46,'17.08 KAMPALA-BUSUNJU-24h'!N46,'15.08 KAMPALA-BUSUNJU'!N46)</f>
        <v>0</v>
      </c>
      <c r="O46" s="15">
        <f t="shared" si="0"/>
        <v>3.7142857142857144</v>
      </c>
      <c r="P46" s="15">
        <f t="shared" si="1"/>
        <v>15.142857142857142</v>
      </c>
      <c r="R46" s="8"/>
      <c r="T46"/>
    </row>
    <row r="47" spans="2:32" ht="23.1" customHeight="1" x14ac:dyDescent="0.25">
      <c r="B47" s="24" t="s">
        <v>74</v>
      </c>
      <c r="C47" s="49">
        <f>AVERAGE('11.08 KAMPALA-BUSUNJU'!C47,'12.08 KAMPALA-BUSUNJU'!C47,'13.08 KAMPALA-BUSUNJU'!C47,'14.08 KAMPALA-BUSUNJU'!C47,'16.08 KAMPALA-BUSUNJU-24h'!C47,'17.08 KAMPALA-BUSUNJU-24h'!C47,'15.08 KAMPALA-BUSUNJU'!C47)</f>
        <v>1.4285714285714286</v>
      </c>
      <c r="D47" s="49">
        <f>AVERAGE('11.08 KAMPALA-BUSUNJU'!D47,'12.08 KAMPALA-BUSUNJU'!D47,'13.08 KAMPALA-BUSUNJU'!D47,'14.08 KAMPALA-BUSUNJU'!D47,'16.08 KAMPALA-BUSUNJU-24h'!D47,'17.08 KAMPALA-BUSUNJU-24h'!D47,'15.08 KAMPALA-BUSUNJU'!D47)</f>
        <v>0</v>
      </c>
      <c r="E47" s="49">
        <f>AVERAGE('11.08 KAMPALA-BUSUNJU'!E47,'12.08 KAMPALA-BUSUNJU'!E47,'13.08 KAMPALA-BUSUNJU'!E47,'14.08 KAMPALA-BUSUNJU'!E47,'16.08 KAMPALA-BUSUNJU-24h'!E47,'17.08 KAMPALA-BUSUNJU-24h'!E47,'15.08 KAMPALA-BUSUNJU'!E47)</f>
        <v>1.4285714285714286</v>
      </c>
      <c r="F47" s="49">
        <f>AVERAGE('11.08 KAMPALA-BUSUNJU'!F47,'12.08 KAMPALA-BUSUNJU'!F47,'13.08 KAMPALA-BUSUNJU'!F47,'14.08 KAMPALA-BUSUNJU'!F47,'16.08 KAMPALA-BUSUNJU-24h'!F47,'17.08 KAMPALA-BUSUNJU-24h'!F47,'15.08 KAMPALA-BUSUNJU'!F47)</f>
        <v>0.2857142857142857</v>
      </c>
      <c r="G47" s="49">
        <f>AVERAGE('11.08 KAMPALA-BUSUNJU'!G47,'12.08 KAMPALA-BUSUNJU'!G47,'13.08 KAMPALA-BUSUNJU'!G47,'14.08 KAMPALA-BUSUNJU'!G47,'16.08 KAMPALA-BUSUNJU-24h'!G47,'17.08 KAMPALA-BUSUNJU-24h'!G47,'15.08 KAMPALA-BUSUNJU'!G47)</f>
        <v>0</v>
      </c>
      <c r="H47" s="49">
        <f>AVERAGE('11.08 KAMPALA-BUSUNJU'!H47,'12.08 KAMPALA-BUSUNJU'!H47,'13.08 KAMPALA-BUSUNJU'!H47,'14.08 KAMPALA-BUSUNJU'!H47,'16.08 KAMPALA-BUSUNJU-24h'!H47,'17.08 KAMPALA-BUSUNJU-24h'!H47,'15.08 KAMPALA-BUSUNJU'!H47)</f>
        <v>0</v>
      </c>
      <c r="I47" s="49">
        <f>AVERAGE('11.08 KAMPALA-BUSUNJU'!I47,'12.08 KAMPALA-BUSUNJU'!I47,'13.08 KAMPALA-BUSUNJU'!I47,'14.08 KAMPALA-BUSUNJU'!I47,'16.08 KAMPALA-BUSUNJU-24h'!I47,'17.08 KAMPALA-BUSUNJU-24h'!I47,'15.08 KAMPALA-BUSUNJU'!I47)</f>
        <v>0.7142857142857143</v>
      </c>
      <c r="J47" s="49">
        <f>AVERAGE('11.08 KAMPALA-BUSUNJU'!J47,'12.08 KAMPALA-BUSUNJU'!J47,'13.08 KAMPALA-BUSUNJU'!J47,'14.08 KAMPALA-BUSUNJU'!J47,'16.08 KAMPALA-BUSUNJU-24h'!J47,'17.08 KAMPALA-BUSUNJU-24h'!J47,'15.08 KAMPALA-BUSUNJU'!J47)</f>
        <v>0.14285714285714285</v>
      </c>
      <c r="K47" s="49">
        <f>AVERAGE('11.08 KAMPALA-BUSUNJU'!K47,'12.08 KAMPALA-BUSUNJU'!K47,'13.08 KAMPALA-BUSUNJU'!K47,'14.08 KAMPALA-BUSUNJU'!K47,'16.08 KAMPALA-BUSUNJU-24h'!K47,'17.08 KAMPALA-BUSUNJU-24h'!K47,'15.08 KAMPALA-BUSUNJU'!K47)</f>
        <v>0</v>
      </c>
      <c r="L47" s="49">
        <f>AVERAGE('11.08 KAMPALA-BUSUNJU'!L47,'12.08 KAMPALA-BUSUNJU'!L47,'13.08 KAMPALA-BUSUNJU'!L47,'14.08 KAMPALA-BUSUNJU'!L47,'16.08 KAMPALA-BUSUNJU-24h'!L47,'17.08 KAMPALA-BUSUNJU-24h'!L47,'15.08 KAMPALA-BUSUNJU'!L47)</f>
        <v>0</v>
      </c>
      <c r="M47" s="49">
        <f>AVERAGE('11.08 KAMPALA-BUSUNJU'!M47,'12.08 KAMPALA-BUSUNJU'!M47,'13.08 KAMPALA-BUSUNJU'!M47,'14.08 KAMPALA-BUSUNJU'!M47,'16.08 KAMPALA-BUSUNJU-24h'!M47,'17.08 KAMPALA-BUSUNJU-24h'!M47,'15.08 KAMPALA-BUSUNJU'!M47)</f>
        <v>14.857142857142858</v>
      </c>
      <c r="N47" s="49">
        <f>AVERAGE('11.08 KAMPALA-BUSUNJU'!N47,'12.08 KAMPALA-BUSUNJU'!N47,'13.08 KAMPALA-BUSUNJU'!N47,'14.08 KAMPALA-BUSUNJU'!N47,'16.08 KAMPALA-BUSUNJU-24h'!N47,'17.08 KAMPALA-BUSUNJU-24h'!N47,'15.08 KAMPALA-BUSUNJU'!N47)</f>
        <v>0</v>
      </c>
      <c r="O47" s="15">
        <f t="shared" si="0"/>
        <v>4</v>
      </c>
      <c r="P47" s="15">
        <f t="shared" si="1"/>
        <v>18.857142857142858</v>
      </c>
      <c r="R47" s="8"/>
      <c r="T47"/>
    </row>
    <row r="48" spans="2:32" ht="23.1" customHeight="1" x14ac:dyDescent="0.25">
      <c r="B48" s="24" t="s">
        <v>75</v>
      </c>
      <c r="C48" s="49">
        <f>AVERAGE('11.08 KAMPALA-BUSUNJU'!C48,'12.08 KAMPALA-BUSUNJU'!C48,'13.08 KAMPALA-BUSUNJU'!C48,'14.08 KAMPALA-BUSUNJU'!C48,'16.08 KAMPALA-BUSUNJU-24h'!C48,'17.08 KAMPALA-BUSUNJU-24h'!C48,'15.08 KAMPALA-BUSUNJU'!C48)</f>
        <v>1.4285714285714286</v>
      </c>
      <c r="D48" s="49">
        <f>AVERAGE('11.08 KAMPALA-BUSUNJU'!D48,'12.08 KAMPALA-BUSUNJU'!D48,'13.08 KAMPALA-BUSUNJU'!D48,'14.08 KAMPALA-BUSUNJU'!D48,'16.08 KAMPALA-BUSUNJU-24h'!D48,'17.08 KAMPALA-BUSUNJU-24h'!D48,'15.08 KAMPALA-BUSUNJU'!D48)</f>
        <v>0</v>
      </c>
      <c r="E48" s="49">
        <f>AVERAGE('11.08 KAMPALA-BUSUNJU'!E48,'12.08 KAMPALA-BUSUNJU'!E48,'13.08 KAMPALA-BUSUNJU'!E48,'14.08 KAMPALA-BUSUNJU'!E48,'16.08 KAMPALA-BUSUNJU-24h'!E48,'17.08 KAMPALA-BUSUNJU-24h'!E48,'15.08 KAMPALA-BUSUNJU'!E48)</f>
        <v>1.1428571428571428</v>
      </c>
      <c r="F48" s="49">
        <f>AVERAGE('11.08 KAMPALA-BUSUNJU'!F48,'12.08 KAMPALA-BUSUNJU'!F48,'13.08 KAMPALA-BUSUNJU'!F48,'14.08 KAMPALA-BUSUNJU'!F48,'16.08 KAMPALA-BUSUNJU-24h'!F48,'17.08 KAMPALA-BUSUNJU-24h'!F48,'15.08 KAMPALA-BUSUNJU'!F48)</f>
        <v>0.5714285714285714</v>
      </c>
      <c r="G48" s="49">
        <f>AVERAGE('11.08 KAMPALA-BUSUNJU'!G48,'12.08 KAMPALA-BUSUNJU'!G48,'13.08 KAMPALA-BUSUNJU'!G48,'14.08 KAMPALA-BUSUNJU'!G48,'16.08 KAMPALA-BUSUNJU-24h'!G48,'17.08 KAMPALA-BUSUNJU-24h'!G48,'15.08 KAMPALA-BUSUNJU'!G48)</f>
        <v>0.14285714285714285</v>
      </c>
      <c r="H48" s="49">
        <f>AVERAGE('11.08 KAMPALA-BUSUNJU'!H48,'12.08 KAMPALA-BUSUNJU'!H48,'13.08 KAMPALA-BUSUNJU'!H48,'14.08 KAMPALA-BUSUNJU'!H48,'16.08 KAMPALA-BUSUNJU-24h'!H48,'17.08 KAMPALA-BUSUNJU-24h'!H48,'15.08 KAMPALA-BUSUNJU'!H48)</f>
        <v>0</v>
      </c>
      <c r="I48" s="49">
        <f>AVERAGE('11.08 KAMPALA-BUSUNJU'!I48,'12.08 KAMPALA-BUSUNJU'!I48,'13.08 KAMPALA-BUSUNJU'!I48,'14.08 KAMPALA-BUSUNJU'!I48,'16.08 KAMPALA-BUSUNJU-24h'!I48,'17.08 KAMPALA-BUSUNJU-24h'!I48,'15.08 KAMPALA-BUSUNJU'!I48)</f>
        <v>1.2857142857142858</v>
      </c>
      <c r="J48" s="49">
        <f>AVERAGE('11.08 KAMPALA-BUSUNJU'!J48,'12.08 KAMPALA-BUSUNJU'!J48,'13.08 KAMPALA-BUSUNJU'!J48,'14.08 KAMPALA-BUSUNJU'!J48,'16.08 KAMPALA-BUSUNJU-24h'!J48,'17.08 KAMPALA-BUSUNJU-24h'!J48,'15.08 KAMPALA-BUSUNJU'!J48)</f>
        <v>0</v>
      </c>
      <c r="K48" s="49">
        <f>AVERAGE('11.08 KAMPALA-BUSUNJU'!K48,'12.08 KAMPALA-BUSUNJU'!K48,'13.08 KAMPALA-BUSUNJU'!K48,'14.08 KAMPALA-BUSUNJU'!K48,'16.08 KAMPALA-BUSUNJU-24h'!K48,'17.08 KAMPALA-BUSUNJU-24h'!K48,'15.08 KAMPALA-BUSUNJU'!K48)</f>
        <v>0</v>
      </c>
      <c r="L48" s="49">
        <f>AVERAGE('11.08 KAMPALA-BUSUNJU'!L48,'12.08 KAMPALA-BUSUNJU'!L48,'13.08 KAMPALA-BUSUNJU'!L48,'14.08 KAMPALA-BUSUNJU'!L48,'16.08 KAMPALA-BUSUNJU-24h'!L48,'17.08 KAMPALA-BUSUNJU-24h'!L48,'15.08 KAMPALA-BUSUNJU'!L48)</f>
        <v>0</v>
      </c>
      <c r="M48" s="49">
        <f>AVERAGE('11.08 KAMPALA-BUSUNJU'!M48,'12.08 KAMPALA-BUSUNJU'!M48,'13.08 KAMPALA-BUSUNJU'!M48,'14.08 KAMPALA-BUSUNJU'!M48,'16.08 KAMPALA-BUSUNJU-24h'!M48,'17.08 KAMPALA-BUSUNJU-24h'!M48,'15.08 KAMPALA-BUSUNJU'!M48)</f>
        <v>16.714285714285715</v>
      </c>
      <c r="N48" s="49">
        <f>AVERAGE('11.08 KAMPALA-BUSUNJU'!N48,'12.08 KAMPALA-BUSUNJU'!N48,'13.08 KAMPALA-BUSUNJU'!N48,'14.08 KAMPALA-BUSUNJU'!N48,'16.08 KAMPALA-BUSUNJU-24h'!N48,'17.08 KAMPALA-BUSUNJU-24h'!N48,'15.08 KAMPALA-BUSUNJU'!N48)</f>
        <v>0</v>
      </c>
      <c r="O48" s="15">
        <f t="shared" si="0"/>
        <v>4.5714285714285712</v>
      </c>
      <c r="P48" s="15">
        <f t="shared" si="1"/>
        <v>21.285714285714285</v>
      </c>
      <c r="R48" s="8"/>
      <c r="T48"/>
    </row>
    <row r="49" spans="2:20" ht="23.1" customHeight="1" x14ac:dyDescent="0.25">
      <c r="B49" s="23" t="s">
        <v>76</v>
      </c>
      <c r="C49" s="49">
        <f>AVERAGE('11.08 KAMPALA-BUSUNJU'!C49,'12.08 KAMPALA-BUSUNJU'!C49,'13.08 KAMPALA-BUSUNJU'!C49,'14.08 KAMPALA-BUSUNJU'!C49,'16.08 KAMPALA-BUSUNJU-24h'!C49,'17.08 KAMPALA-BUSUNJU-24h'!C49,'15.08 KAMPALA-BUSUNJU'!C49)</f>
        <v>1.4285714285714286</v>
      </c>
      <c r="D49" s="49">
        <f>AVERAGE('11.08 KAMPALA-BUSUNJU'!D49,'12.08 KAMPALA-BUSUNJU'!D49,'13.08 KAMPALA-BUSUNJU'!D49,'14.08 KAMPALA-BUSUNJU'!D49,'16.08 KAMPALA-BUSUNJU-24h'!D49,'17.08 KAMPALA-BUSUNJU-24h'!D49,'15.08 KAMPALA-BUSUNJU'!D49)</f>
        <v>0</v>
      </c>
      <c r="E49" s="49">
        <f>AVERAGE('11.08 KAMPALA-BUSUNJU'!E49,'12.08 KAMPALA-BUSUNJU'!E49,'13.08 KAMPALA-BUSUNJU'!E49,'14.08 KAMPALA-BUSUNJU'!E49,'16.08 KAMPALA-BUSUNJU-24h'!E49,'17.08 KAMPALA-BUSUNJU-24h'!E49,'15.08 KAMPALA-BUSUNJU'!E49)</f>
        <v>1.7142857142857142</v>
      </c>
      <c r="F49" s="49">
        <f>AVERAGE('11.08 KAMPALA-BUSUNJU'!F49,'12.08 KAMPALA-BUSUNJU'!F49,'13.08 KAMPALA-BUSUNJU'!F49,'14.08 KAMPALA-BUSUNJU'!F49,'16.08 KAMPALA-BUSUNJU-24h'!F49,'17.08 KAMPALA-BUSUNJU-24h'!F49,'15.08 KAMPALA-BUSUNJU'!F49)</f>
        <v>0.14285714285714285</v>
      </c>
      <c r="G49" s="49">
        <f>AVERAGE('11.08 KAMPALA-BUSUNJU'!G49,'12.08 KAMPALA-BUSUNJU'!G49,'13.08 KAMPALA-BUSUNJU'!G49,'14.08 KAMPALA-BUSUNJU'!G49,'16.08 KAMPALA-BUSUNJU-24h'!G49,'17.08 KAMPALA-BUSUNJU-24h'!G49,'15.08 KAMPALA-BUSUNJU'!G49)</f>
        <v>0</v>
      </c>
      <c r="H49" s="49">
        <f>AVERAGE('11.08 KAMPALA-BUSUNJU'!H49,'12.08 KAMPALA-BUSUNJU'!H49,'13.08 KAMPALA-BUSUNJU'!H49,'14.08 KAMPALA-BUSUNJU'!H49,'16.08 KAMPALA-BUSUNJU-24h'!H49,'17.08 KAMPALA-BUSUNJU-24h'!H49,'15.08 KAMPALA-BUSUNJU'!H49)</f>
        <v>0</v>
      </c>
      <c r="I49" s="49">
        <f>AVERAGE('11.08 KAMPALA-BUSUNJU'!I49,'12.08 KAMPALA-BUSUNJU'!I49,'13.08 KAMPALA-BUSUNJU'!I49,'14.08 KAMPALA-BUSUNJU'!I49,'16.08 KAMPALA-BUSUNJU-24h'!I49,'17.08 KAMPALA-BUSUNJU-24h'!I49,'15.08 KAMPALA-BUSUNJU'!I49)</f>
        <v>1.4285714285714286</v>
      </c>
      <c r="J49" s="49">
        <f>AVERAGE('11.08 KAMPALA-BUSUNJU'!J49,'12.08 KAMPALA-BUSUNJU'!J49,'13.08 KAMPALA-BUSUNJU'!J49,'14.08 KAMPALA-BUSUNJU'!J49,'16.08 KAMPALA-BUSUNJU-24h'!J49,'17.08 KAMPALA-BUSUNJU-24h'!J49,'15.08 KAMPALA-BUSUNJU'!J49)</f>
        <v>0</v>
      </c>
      <c r="K49" s="49">
        <f>AVERAGE('11.08 KAMPALA-BUSUNJU'!K49,'12.08 KAMPALA-BUSUNJU'!K49,'13.08 KAMPALA-BUSUNJU'!K49,'14.08 KAMPALA-BUSUNJU'!K49,'16.08 KAMPALA-BUSUNJU-24h'!K49,'17.08 KAMPALA-BUSUNJU-24h'!K49,'15.08 KAMPALA-BUSUNJU'!K49)</f>
        <v>0</v>
      </c>
      <c r="L49" s="49">
        <f>AVERAGE('11.08 KAMPALA-BUSUNJU'!L49,'12.08 KAMPALA-BUSUNJU'!L49,'13.08 KAMPALA-BUSUNJU'!L49,'14.08 KAMPALA-BUSUNJU'!L49,'16.08 KAMPALA-BUSUNJU-24h'!L49,'17.08 KAMPALA-BUSUNJU-24h'!L49,'15.08 KAMPALA-BUSUNJU'!L49)</f>
        <v>0</v>
      </c>
      <c r="M49" s="49">
        <f>AVERAGE('11.08 KAMPALA-BUSUNJU'!M49,'12.08 KAMPALA-BUSUNJU'!M49,'13.08 KAMPALA-BUSUNJU'!M49,'14.08 KAMPALA-BUSUNJU'!M49,'16.08 KAMPALA-BUSUNJU-24h'!M49,'17.08 KAMPALA-BUSUNJU-24h'!M49,'15.08 KAMPALA-BUSUNJU'!M49)</f>
        <v>12.714285714285714</v>
      </c>
      <c r="N49" s="49">
        <f>AVERAGE('11.08 KAMPALA-BUSUNJU'!N49,'12.08 KAMPALA-BUSUNJU'!N49,'13.08 KAMPALA-BUSUNJU'!N49,'14.08 KAMPALA-BUSUNJU'!N49,'16.08 KAMPALA-BUSUNJU-24h'!N49,'17.08 KAMPALA-BUSUNJU-24h'!N49,'15.08 KAMPALA-BUSUNJU'!N49)</f>
        <v>0</v>
      </c>
      <c r="O49" s="15">
        <f t="shared" si="0"/>
        <v>4.7142857142857144</v>
      </c>
      <c r="P49" s="15">
        <f t="shared" si="1"/>
        <v>17.428571428571427</v>
      </c>
      <c r="R49" s="8"/>
      <c r="T49"/>
    </row>
    <row r="50" spans="2:20" ht="23.1" customHeight="1" x14ac:dyDescent="0.25">
      <c r="B50" s="24" t="s">
        <v>77</v>
      </c>
      <c r="C50" s="49">
        <f>AVERAGE('11.08 KAMPALA-BUSUNJU'!C50,'12.08 KAMPALA-BUSUNJU'!C50,'13.08 KAMPALA-BUSUNJU'!C50,'14.08 KAMPALA-BUSUNJU'!C50,'16.08 KAMPALA-BUSUNJU-24h'!C50,'17.08 KAMPALA-BUSUNJU-24h'!C50,'15.08 KAMPALA-BUSUNJU'!C50)</f>
        <v>1</v>
      </c>
      <c r="D50" s="49">
        <f>AVERAGE('11.08 KAMPALA-BUSUNJU'!D50,'12.08 KAMPALA-BUSUNJU'!D50,'13.08 KAMPALA-BUSUNJU'!D50,'14.08 KAMPALA-BUSUNJU'!D50,'16.08 KAMPALA-BUSUNJU-24h'!D50,'17.08 KAMPALA-BUSUNJU-24h'!D50,'15.08 KAMPALA-BUSUNJU'!D50)</f>
        <v>0</v>
      </c>
      <c r="E50" s="49">
        <f>AVERAGE('11.08 KAMPALA-BUSUNJU'!E50,'12.08 KAMPALA-BUSUNJU'!E50,'13.08 KAMPALA-BUSUNJU'!E50,'14.08 KAMPALA-BUSUNJU'!E50,'16.08 KAMPALA-BUSUNJU-24h'!E50,'17.08 KAMPALA-BUSUNJU-24h'!E50,'15.08 KAMPALA-BUSUNJU'!E50)</f>
        <v>1.1428571428571428</v>
      </c>
      <c r="F50" s="49">
        <f>AVERAGE('11.08 KAMPALA-BUSUNJU'!F50,'12.08 KAMPALA-BUSUNJU'!F50,'13.08 KAMPALA-BUSUNJU'!F50,'14.08 KAMPALA-BUSUNJU'!F50,'16.08 KAMPALA-BUSUNJU-24h'!F50,'17.08 KAMPALA-BUSUNJU-24h'!F50,'15.08 KAMPALA-BUSUNJU'!F50)</f>
        <v>0.14285714285714285</v>
      </c>
      <c r="G50" s="49">
        <f>AVERAGE('11.08 KAMPALA-BUSUNJU'!G50,'12.08 KAMPALA-BUSUNJU'!G50,'13.08 KAMPALA-BUSUNJU'!G50,'14.08 KAMPALA-BUSUNJU'!G50,'16.08 KAMPALA-BUSUNJU-24h'!G50,'17.08 KAMPALA-BUSUNJU-24h'!G50,'15.08 KAMPALA-BUSUNJU'!G50)</f>
        <v>0</v>
      </c>
      <c r="H50" s="49">
        <f>AVERAGE('11.08 KAMPALA-BUSUNJU'!H50,'12.08 KAMPALA-BUSUNJU'!H50,'13.08 KAMPALA-BUSUNJU'!H50,'14.08 KAMPALA-BUSUNJU'!H50,'16.08 KAMPALA-BUSUNJU-24h'!H50,'17.08 KAMPALA-BUSUNJU-24h'!H50,'15.08 KAMPALA-BUSUNJU'!H50)</f>
        <v>0</v>
      </c>
      <c r="I50" s="49">
        <f>AVERAGE('11.08 KAMPALA-BUSUNJU'!I50,'12.08 KAMPALA-BUSUNJU'!I50,'13.08 KAMPALA-BUSUNJU'!I50,'14.08 KAMPALA-BUSUNJU'!I50,'16.08 KAMPALA-BUSUNJU-24h'!I50,'17.08 KAMPALA-BUSUNJU-24h'!I50,'15.08 KAMPALA-BUSUNJU'!I50)</f>
        <v>1.4285714285714286</v>
      </c>
      <c r="J50" s="49">
        <f>AVERAGE('11.08 KAMPALA-BUSUNJU'!J50,'12.08 KAMPALA-BUSUNJU'!J50,'13.08 KAMPALA-BUSUNJU'!J50,'14.08 KAMPALA-BUSUNJU'!J50,'16.08 KAMPALA-BUSUNJU-24h'!J50,'17.08 KAMPALA-BUSUNJU-24h'!J50,'15.08 KAMPALA-BUSUNJU'!J50)</f>
        <v>0</v>
      </c>
      <c r="K50" s="49">
        <f>AVERAGE('11.08 KAMPALA-BUSUNJU'!K50,'12.08 KAMPALA-BUSUNJU'!K50,'13.08 KAMPALA-BUSUNJU'!K50,'14.08 KAMPALA-BUSUNJU'!K50,'16.08 KAMPALA-BUSUNJU-24h'!K50,'17.08 KAMPALA-BUSUNJU-24h'!K50,'15.08 KAMPALA-BUSUNJU'!K50)</f>
        <v>0</v>
      </c>
      <c r="L50" s="49">
        <f>AVERAGE('11.08 KAMPALA-BUSUNJU'!L50,'12.08 KAMPALA-BUSUNJU'!L50,'13.08 KAMPALA-BUSUNJU'!L50,'14.08 KAMPALA-BUSUNJU'!L50,'16.08 KAMPALA-BUSUNJU-24h'!L50,'17.08 KAMPALA-BUSUNJU-24h'!L50,'15.08 KAMPALA-BUSUNJU'!L50)</f>
        <v>0</v>
      </c>
      <c r="M50" s="49">
        <f>AVERAGE('11.08 KAMPALA-BUSUNJU'!M50,'12.08 KAMPALA-BUSUNJU'!M50,'13.08 KAMPALA-BUSUNJU'!M50,'14.08 KAMPALA-BUSUNJU'!M50,'16.08 KAMPALA-BUSUNJU-24h'!M50,'17.08 KAMPALA-BUSUNJU-24h'!M50,'15.08 KAMPALA-BUSUNJU'!M50)</f>
        <v>15.285714285714286</v>
      </c>
      <c r="N50" s="49">
        <f>AVERAGE('11.08 KAMPALA-BUSUNJU'!N50,'12.08 KAMPALA-BUSUNJU'!N50,'13.08 KAMPALA-BUSUNJU'!N50,'14.08 KAMPALA-BUSUNJU'!N50,'16.08 KAMPALA-BUSUNJU-24h'!N50,'17.08 KAMPALA-BUSUNJU-24h'!N50,'15.08 KAMPALA-BUSUNJU'!N50)</f>
        <v>0</v>
      </c>
      <c r="O50" s="15">
        <f t="shared" si="0"/>
        <v>3.7142857142857144</v>
      </c>
      <c r="P50" s="15">
        <f t="shared" si="1"/>
        <v>19</v>
      </c>
      <c r="R50" s="8"/>
      <c r="T50"/>
    </row>
    <row r="51" spans="2:20" ht="23.1" customHeight="1" x14ac:dyDescent="0.25">
      <c r="B51" s="24" t="s">
        <v>78</v>
      </c>
      <c r="C51" s="49">
        <f>AVERAGE('11.08 KAMPALA-BUSUNJU'!C51,'12.08 KAMPALA-BUSUNJU'!C51,'13.08 KAMPALA-BUSUNJU'!C51,'14.08 KAMPALA-BUSUNJU'!C51,'16.08 KAMPALA-BUSUNJU-24h'!C51,'17.08 KAMPALA-BUSUNJU-24h'!C51,'15.08 KAMPALA-BUSUNJU'!C51)</f>
        <v>0.5714285714285714</v>
      </c>
      <c r="D51" s="49">
        <f>AVERAGE('11.08 KAMPALA-BUSUNJU'!D51,'12.08 KAMPALA-BUSUNJU'!D51,'13.08 KAMPALA-BUSUNJU'!D51,'14.08 KAMPALA-BUSUNJU'!D51,'16.08 KAMPALA-BUSUNJU-24h'!D51,'17.08 KAMPALA-BUSUNJU-24h'!D51,'15.08 KAMPALA-BUSUNJU'!D51)</f>
        <v>0</v>
      </c>
      <c r="E51" s="49">
        <f>AVERAGE('11.08 KAMPALA-BUSUNJU'!E51,'12.08 KAMPALA-BUSUNJU'!E51,'13.08 KAMPALA-BUSUNJU'!E51,'14.08 KAMPALA-BUSUNJU'!E51,'16.08 KAMPALA-BUSUNJU-24h'!E51,'17.08 KAMPALA-BUSUNJU-24h'!E51,'15.08 KAMPALA-BUSUNJU'!E51)</f>
        <v>0.8571428571428571</v>
      </c>
      <c r="F51" s="49">
        <f>AVERAGE('11.08 KAMPALA-BUSUNJU'!F51,'12.08 KAMPALA-BUSUNJU'!F51,'13.08 KAMPALA-BUSUNJU'!F51,'14.08 KAMPALA-BUSUNJU'!F51,'16.08 KAMPALA-BUSUNJU-24h'!F51,'17.08 KAMPALA-BUSUNJU-24h'!F51,'15.08 KAMPALA-BUSUNJU'!F51)</f>
        <v>0.8571428571428571</v>
      </c>
      <c r="G51" s="49">
        <f>AVERAGE('11.08 KAMPALA-BUSUNJU'!G51,'12.08 KAMPALA-BUSUNJU'!G51,'13.08 KAMPALA-BUSUNJU'!G51,'14.08 KAMPALA-BUSUNJU'!G51,'16.08 KAMPALA-BUSUNJU-24h'!G51,'17.08 KAMPALA-BUSUNJU-24h'!G51,'15.08 KAMPALA-BUSUNJU'!G51)</f>
        <v>0</v>
      </c>
      <c r="H51" s="49">
        <f>AVERAGE('11.08 KAMPALA-BUSUNJU'!H51,'12.08 KAMPALA-BUSUNJU'!H51,'13.08 KAMPALA-BUSUNJU'!H51,'14.08 KAMPALA-BUSUNJU'!H51,'16.08 KAMPALA-BUSUNJU-24h'!H51,'17.08 KAMPALA-BUSUNJU-24h'!H51,'15.08 KAMPALA-BUSUNJU'!H51)</f>
        <v>0</v>
      </c>
      <c r="I51" s="49">
        <f>AVERAGE('11.08 KAMPALA-BUSUNJU'!I51,'12.08 KAMPALA-BUSUNJU'!I51,'13.08 KAMPALA-BUSUNJU'!I51,'14.08 KAMPALA-BUSUNJU'!I51,'16.08 KAMPALA-BUSUNJU-24h'!I51,'17.08 KAMPALA-BUSUNJU-24h'!I51,'15.08 KAMPALA-BUSUNJU'!I51)</f>
        <v>1.2857142857142858</v>
      </c>
      <c r="J51" s="49">
        <f>AVERAGE('11.08 KAMPALA-BUSUNJU'!J51,'12.08 KAMPALA-BUSUNJU'!J51,'13.08 KAMPALA-BUSUNJU'!J51,'14.08 KAMPALA-BUSUNJU'!J51,'16.08 KAMPALA-BUSUNJU-24h'!J51,'17.08 KAMPALA-BUSUNJU-24h'!J51,'15.08 KAMPALA-BUSUNJU'!J51)</f>
        <v>0</v>
      </c>
      <c r="K51" s="49">
        <f>AVERAGE('11.08 KAMPALA-BUSUNJU'!K51,'12.08 KAMPALA-BUSUNJU'!K51,'13.08 KAMPALA-BUSUNJU'!K51,'14.08 KAMPALA-BUSUNJU'!K51,'16.08 KAMPALA-BUSUNJU-24h'!K51,'17.08 KAMPALA-BUSUNJU-24h'!K51,'15.08 KAMPALA-BUSUNJU'!K51)</f>
        <v>0</v>
      </c>
      <c r="L51" s="49">
        <f>AVERAGE('11.08 KAMPALA-BUSUNJU'!L51,'12.08 KAMPALA-BUSUNJU'!L51,'13.08 KAMPALA-BUSUNJU'!L51,'14.08 KAMPALA-BUSUNJU'!L51,'16.08 KAMPALA-BUSUNJU-24h'!L51,'17.08 KAMPALA-BUSUNJU-24h'!L51,'15.08 KAMPALA-BUSUNJU'!L51)</f>
        <v>0</v>
      </c>
      <c r="M51" s="49">
        <f>AVERAGE('11.08 KAMPALA-BUSUNJU'!M51,'12.08 KAMPALA-BUSUNJU'!M51,'13.08 KAMPALA-BUSUNJU'!M51,'14.08 KAMPALA-BUSUNJU'!M51,'16.08 KAMPALA-BUSUNJU-24h'!M51,'17.08 KAMPALA-BUSUNJU-24h'!M51,'15.08 KAMPALA-BUSUNJU'!M51)</f>
        <v>16.571428571428573</v>
      </c>
      <c r="N51" s="49">
        <f>AVERAGE('11.08 KAMPALA-BUSUNJU'!N51,'12.08 KAMPALA-BUSUNJU'!N51,'13.08 KAMPALA-BUSUNJU'!N51,'14.08 KAMPALA-BUSUNJU'!N51,'16.08 KAMPALA-BUSUNJU-24h'!N51,'17.08 KAMPALA-BUSUNJU-24h'!N51,'15.08 KAMPALA-BUSUNJU'!N51)</f>
        <v>0</v>
      </c>
      <c r="O51" s="15">
        <f t="shared" si="0"/>
        <v>3.5714285714285712</v>
      </c>
      <c r="P51" s="15">
        <f t="shared" si="1"/>
        <v>20.142857142857146</v>
      </c>
      <c r="R51" s="8"/>
      <c r="T51"/>
    </row>
    <row r="52" spans="2:20" ht="23.1" customHeight="1" x14ac:dyDescent="0.25">
      <c r="B52" s="24" t="s">
        <v>79</v>
      </c>
      <c r="C52" s="49">
        <f>AVERAGE('11.08 KAMPALA-BUSUNJU'!C52,'12.08 KAMPALA-BUSUNJU'!C52,'13.08 KAMPALA-BUSUNJU'!C52,'14.08 KAMPALA-BUSUNJU'!C52,'16.08 KAMPALA-BUSUNJU-24h'!C52,'17.08 KAMPALA-BUSUNJU-24h'!C52,'15.08 KAMPALA-BUSUNJU'!C52)</f>
        <v>1.2857142857142858</v>
      </c>
      <c r="D52" s="49">
        <f>AVERAGE('11.08 KAMPALA-BUSUNJU'!D52,'12.08 KAMPALA-BUSUNJU'!D52,'13.08 KAMPALA-BUSUNJU'!D52,'14.08 KAMPALA-BUSUNJU'!D52,'16.08 KAMPALA-BUSUNJU-24h'!D52,'17.08 KAMPALA-BUSUNJU-24h'!D52,'15.08 KAMPALA-BUSUNJU'!D52)</f>
        <v>0</v>
      </c>
      <c r="E52" s="49">
        <f>AVERAGE('11.08 KAMPALA-BUSUNJU'!E52,'12.08 KAMPALA-BUSUNJU'!E52,'13.08 KAMPALA-BUSUNJU'!E52,'14.08 KAMPALA-BUSUNJU'!E52,'16.08 KAMPALA-BUSUNJU-24h'!E52,'17.08 KAMPALA-BUSUNJU-24h'!E52,'15.08 KAMPALA-BUSUNJU'!E52)</f>
        <v>0.5714285714285714</v>
      </c>
      <c r="F52" s="49">
        <f>AVERAGE('11.08 KAMPALA-BUSUNJU'!F52,'12.08 KAMPALA-BUSUNJU'!F52,'13.08 KAMPALA-BUSUNJU'!F52,'14.08 KAMPALA-BUSUNJU'!F52,'16.08 KAMPALA-BUSUNJU-24h'!F52,'17.08 KAMPALA-BUSUNJU-24h'!F52,'15.08 KAMPALA-BUSUNJU'!F52)</f>
        <v>0.7142857142857143</v>
      </c>
      <c r="G52" s="49">
        <f>AVERAGE('11.08 KAMPALA-BUSUNJU'!G52,'12.08 KAMPALA-BUSUNJU'!G52,'13.08 KAMPALA-BUSUNJU'!G52,'14.08 KAMPALA-BUSUNJU'!G52,'16.08 KAMPALA-BUSUNJU-24h'!G52,'17.08 KAMPALA-BUSUNJU-24h'!G52,'15.08 KAMPALA-BUSUNJU'!G52)</f>
        <v>0</v>
      </c>
      <c r="H52" s="49">
        <f>AVERAGE('11.08 KAMPALA-BUSUNJU'!H52,'12.08 KAMPALA-BUSUNJU'!H52,'13.08 KAMPALA-BUSUNJU'!H52,'14.08 KAMPALA-BUSUNJU'!H52,'16.08 KAMPALA-BUSUNJU-24h'!H52,'17.08 KAMPALA-BUSUNJU-24h'!H52,'15.08 KAMPALA-BUSUNJU'!H52)</f>
        <v>0</v>
      </c>
      <c r="I52" s="49">
        <f>AVERAGE('11.08 KAMPALA-BUSUNJU'!I52,'12.08 KAMPALA-BUSUNJU'!I52,'13.08 KAMPALA-BUSUNJU'!I52,'14.08 KAMPALA-BUSUNJU'!I52,'16.08 KAMPALA-BUSUNJU-24h'!I52,'17.08 KAMPALA-BUSUNJU-24h'!I52,'15.08 KAMPALA-BUSUNJU'!I52)</f>
        <v>0.42857142857142855</v>
      </c>
      <c r="J52" s="49">
        <f>AVERAGE('11.08 KAMPALA-BUSUNJU'!J52,'12.08 KAMPALA-BUSUNJU'!J52,'13.08 KAMPALA-BUSUNJU'!J52,'14.08 KAMPALA-BUSUNJU'!J52,'16.08 KAMPALA-BUSUNJU-24h'!J52,'17.08 KAMPALA-BUSUNJU-24h'!J52,'15.08 KAMPALA-BUSUNJU'!J52)</f>
        <v>0</v>
      </c>
      <c r="K52" s="49">
        <f>AVERAGE('11.08 KAMPALA-BUSUNJU'!K52,'12.08 KAMPALA-BUSUNJU'!K52,'13.08 KAMPALA-BUSUNJU'!K52,'14.08 KAMPALA-BUSUNJU'!K52,'16.08 KAMPALA-BUSUNJU-24h'!K52,'17.08 KAMPALA-BUSUNJU-24h'!K52,'15.08 KAMPALA-BUSUNJU'!K52)</f>
        <v>0</v>
      </c>
      <c r="L52" s="49">
        <f>AVERAGE('11.08 KAMPALA-BUSUNJU'!L52,'12.08 KAMPALA-BUSUNJU'!L52,'13.08 KAMPALA-BUSUNJU'!L52,'14.08 KAMPALA-BUSUNJU'!L52,'16.08 KAMPALA-BUSUNJU-24h'!L52,'17.08 KAMPALA-BUSUNJU-24h'!L52,'15.08 KAMPALA-BUSUNJU'!L52)</f>
        <v>0</v>
      </c>
      <c r="M52" s="49">
        <f>AVERAGE('11.08 KAMPALA-BUSUNJU'!M52,'12.08 KAMPALA-BUSUNJU'!M52,'13.08 KAMPALA-BUSUNJU'!M52,'14.08 KAMPALA-BUSUNJU'!M52,'16.08 KAMPALA-BUSUNJU-24h'!M52,'17.08 KAMPALA-BUSUNJU-24h'!M52,'15.08 KAMPALA-BUSUNJU'!M52)</f>
        <v>17.142857142857142</v>
      </c>
      <c r="N52" s="49">
        <f>AVERAGE('11.08 KAMPALA-BUSUNJU'!N52,'12.08 KAMPALA-BUSUNJU'!N52,'13.08 KAMPALA-BUSUNJU'!N52,'14.08 KAMPALA-BUSUNJU'!N52,'16.08 KAMPALA-BUSUNJU-24h'!N52,'17.08 KAMPALA-BUSUNJU-24h'!N52,'15.08 KAMPALA-BUSUNJU'!N52)</f>
        <v>0</v>
      </c>
      <c r="O52" s="15">
        <f t="shared" si="0"/>
        <v>3</v>
      </c>
      <c r="P52" s="15">
        <f t="shared" si="1"/>
        <v>20.142857142857142</v>
      </c>
      <c r="R52" s="8"/>
      <c r="T52"/>
    </row>
    <row r="53" spans="2:20" ht="23.1" customHeight="1" x14ac:dyDescent="0.25">
      <c r="B53" s="23" t="s">
        <v>80</v>
      </c>
      <c r="C53" s="49">
        <f>AVERAGE('11.08 KAMPALA-BUSUNJU'!C53,'12.08 KAMPALA-BUSUNJU'!C53,'13.08 KAMPALA-BUSUNJU'!C53,'14.08 KAMPALA-BUSUNJU'!C53,'16.08 KAMPALA-BUSUNJU-24h'!C53,'17.08 KAMPALA-BUSUNJU-24h'!C53,'15.08 KAMPALA-BUSUNJU'!C53)</f>
        <v>1.1428571428571428</v>
      </c>
      <c r="D53" s="49">
        <f>AVERAGE('11.08 KAMPALA-BUSUNJU'!D53,'12.08 KAMPALA-BUSUNJU'!D53,'13.08 KAMPALA-BUSUNJU'!D53,'14.08 KAMPALA-BUSUNJU'!D53,'16.08 KAMPALA-BUSUNJU-24h'!D53,'17.08 KAMPALA-BUSUNJU-24h'!D53,'15.08 KAMPALA-BUSUNJU'!D53)</f>
        <v>0</v>
      </c>
      <c r="E53" s="49">
        <f>AVERAGE('11.08 KAMPALA-BUSUNJU'!E53,'12.08 KAMPALA-BUSUNJU'!E53,'13.08 KAMPALA-BUSUNJU'!E53,'14.08 KAMPALA-BUSUNJU'!E53,'16.08 KAMPALA-BUSUNJU-24h'!E53,'17.08 KAMPALA-BUSUNJU-24h'!E53,'15.08 KAMPALA-BUSUNJU'!E53)</f>
        <v>0.8571428571428571</v>
      </c>
      <c r="F53" s="49">
        <f>AVERAGE('11.08 KAMPALA-BUSUNJU'!F53,'12.08 KAMPALA-BUSUNJU'!F53,'13.08 KAMPALA-BUSUNJU'!F53,'14.08 KAMPALA-BUSUNJU'!F53,'16.08 KAMPALA-BUSUNJU-24h'!F53,'17.08 KAMPALA-BUSUNJU-24h'!F53,'15.08 KAMPALA-BUSUNJU'!F53)</f>
        <v>0.8571428571428571</v>
      </c>
      <c r="G53" s="49">
        <f>AVERAGE('11.08 KAMPALA-BUSUNJU'!G53,'12.08 KAMPALA-BUSUNJU'!G53,'13.08 KAMPALA-BUSUNJU'!G53,'14.08 KAMPALA-BUSUNJU'!G53,'16.08 KAMPALA-BUSUNJU-24h'!G53,'17.08 KAMPALA-BUSUNJU-24h'!G53,'15.08 KAMPALA-BUSUNJU'!G53)</f>
        <v>0.14285714285714285</v>
      </c>
      <c r="H53" s="49">
        <f>AVERAGE('11.08 KAMPALA-BUSUNJU'!H53,'12.08 KAMPALA-BUSUNJU'!H53,'13.08 KAMPALA-BUSUNJU'!H53,'14.08 KAMPALA-BUSUNJU'!H53,'16.08 KAMPALA-BUSUNJU-24h'!H53,'17.08 KAMPALA-BUSUNJU-24h'!H53,'15.08 KAMPALA-BUSUNJU'!H53)</f>
        <v>0</v>
      </c>
      <c r="I53" s="49">
        <f>AVERAGE('11.08 KAMPALA-BUSUNJU'!I53,'12.08 KAMPALA-BUSUNJU'!I53,'13.08 KAMPALA-BUSUNJU'!I53,'14.08 KAMPALA-BUSUNJU'!I53,'16.08 KAMPALA-BUSUNJU-24h'!I53,'17.08 KAMPALA-BUSUNJU-24h'!I53,'15.08 KAMPALA-BUSUNJU'!I53)</f>
        <v>1.1428571428571428</v>
      </c>
      <c r="J53" s="49">
        <f>AVERAGE('11.08 KAMPALA-BUSUNJU'!J53,'12.08 KAMPALA-BUSUNJU'!J53,'13.08 KAMPALA-BUSUNJU'!J53,'14.08 KAMPALA-BUSUNJU'!J53,'16.08 KAMPALA-BUSUNJU-24h'!J53,'17.08 KAMPALA-BUSUNJU-24h'!J53,'15.08 KAMPALA-BUSUNJU'!J53)</f>
        <v>0</v>
      </c>
      <c r="K53" s="49">
        <f>AVERAGE('11.08 KAMPALA-BUSUNJU'!K53,'12.08 KAMPALA-BUSUNJU'!K53,'13.08 KAMPALA-BUSUNJU'!K53,'14.08 KAMPALA-BUSUNJU'!K53,'16.08 KAMPALA-BUSUNJU-24h'!K53,'17.08 KAMPALA-BUSUNJU-24h'!K53,'15.08 KAMPALA-BUSUNJU'!K53)</f>
        <v>0</v>
      </c>
      <c r="L53" s="49">
        <f>AVERAGE('11.08 KAMPALA-BUSUNJU'!L53,'12.08 KAMPALA-BUSUNJU'!L53,'13.08 KAMPALA-BUSUNJU'!L53,'14.08 KAMPALA-BUSUNJU'!L53,'16.08 KAMPALA-BUSUNJU-24h'!L53,'17.08 KAMPALA-BUSUNJU-24h'!L53,'15.08 KAMPALA-BUSUNJU'!L53)</f>
        <v>0</v>
      </c>
      <c r="M53" s="49">
        <f>AVERAGE('11.08 KAMPALA-BUSUNJU'!M53,'12.08 KAMPALA-BUSUNJU'!M53,'13.08 KAMPALA-BUSUNJU'!M53,'14.08 KAMPALA-BUSUNJU'!M53,'16.08 KAMPALA-BUSUNJU-24h'!M53,'17.08 KAMPALA-BUSUNJU-24h'!M53,'15.08 KAMPALA-BUSUNJU'!M53)</f>
        <v>13.571428571428571</v>
      </c>
      <c r="N53" s="49">
        <f>AVERAGE('11.08 KAMPALA-BUSUNJU'!N53,'12.08 KAMPALA-BUSUNJU'!N53,'13.08 KAMPALA-BUSUNJU'!N53,'14.08 KAMPALA-BUSUNJU'!N53,'16.08 KAMPALA-BUSUNJU-24h'!N53,'17.08 KAMPALA-BUSUNJU-24h'!N53,'15.08 KAMPALA-BUSUNJU'!N53)</f>
        <v>0</v>
      </c>
      <c r="O53" s="15">
        <f t="shared" si="0"/>
        <v>4.1428571428571423</v>
      </c>
      <c r="P53" s="15">
        <f t="shared" si="1"/>
        <v>17.714285714285715</v>
      </c>
      <c r="R53" s="8"/>
      <c r="T53"/>
    </row>
    <row r="54" spans="2:20" ht="23.1" customHeight="1" x14ac:dyDescent="0.25">
      <c r="B54" s="23" t="s">
        <v>81</v>
      </c>
      <c r="C54" s="49">
        <f>AVERAGE('11.08 KAMPALA-BUSUNJU'!C54,'12.08 KAMPALA-BUSUNJU'!C54,'13.08 KAMPALA-BUSUNJU'!C54,'14.08 KAMPALA-BUSUNJU'!C54,'16.08 KAMPALA-BUSUNJU-24h'!C54,'17.08 KAMPALA-BUSUNJU-24h'!C54,'15.08 KAMPALA-BUSUNJU'!C54)</f>
        <v>1</v>
      </c>
      <c r="D54" s="49">
        <f>AVERAGE('11.08 KAMPALA-BUSUNJU'!D54,'12.08 KAMPALA-BUSUNJU'!D54,'13.08 KAMPALA-BUSUNJU'!D54,'14.08 KAMPALA-BUSUNJU'!D54,'16.08 KAMPALA-BUSUNJU-24h'!D54,'17.08 KAMPALA-BUSUNJU-24h'!D54,'15.08 KAMPALA-BUSUNJU'!D54)</f>
        <v>0</v>
      </c>
      <c r="E54" s="49">
        <f>AVERAGE('11.08 KAMPALA-BUSUNJU'!E54,'12.08 KAMPALA-BUSUNJU'!E54,'13.08 KAMPALA-BUSUNJU'!E54,'14.08 KAMPALA-BUSUNJU'!E54,'16.08 KAMPALA-BUSUNJU-24h'!E54,'17.08 KAMPALA-BUSUNJU-24h'!E54,'15.08 KAMPALA-BUSUNJU'!E54)</f>
        <v>0.5714285714285714</v>
      </c>
      <c r="F54" s="49">
        <f>AVERAGE('11.08 KAMPALA-BUSUNJU'!F54,'12.08 KAMPALA-BUSUNJU'!F54,'13.08 KAMPALA-BUSUNJU'!F54,'14.08 KAMPALA-BUSUNJU'!F54,'16.08 KAMPALA-BUSUNJU-24h'!F54,'17.08 KAMPALA-BUSUNJU-24h'!F54,'15.08 KAMPALA-BUSUNJU'!F54)</f>
        <v>0.8571428571428571</v>
      </c>
      <c r="G54" s="49">
        <f>AVERAGE('11.08 KAMPALA-BUSUNJU'!G54,'12.08 KAMPALA-BUSUNJU'!G54,'13.08 KAMPALA-BUSUNJU'!G54,'14.08 KAMPALA-BUSUNJU'!G54,'16.08 KAMPALA-BUSUNJU-24h'!G54,'17.08 KAMPALA-BUSUNJU-24h'!G54,'15.08 KAMPALA-BUSUNJU'!G54)</f>
        <v>0.2857142857142857</v>
      </c>
      <c r="H54" s="49">
        <f>AVERAGE('11.08 KAMPALA-BUSUNJU'!H54,'12.08 KAMPALA-BUSUNJU'!H54,'13.08 KAMPALA-BUSUNJU'!H54,'14.08 KAMPALA-BUSUNJU'!H54,'16.08 KAMPALA-BUSUNJU-24h'!H54,'17.08 KAMPALA-BUSUNJU-24h'!H54,'15.08 KAMPALA-BUSUNJU'!H54)</f>
        <v>0</v>
      </c>
      <c r="I54" s="49">
        <f>AVERAGE('11.08 KAMPALA-BUSUNJU'!I54,'12.08 KAMPALA-BUSUNJU'!I54,'13.08 KAMPALA-BUSUNJU'!I54,'14.08 KAMPALA-BUSUNJU'!I54,'16.08 KAMPALA-BUSUNJU-24h'!I54,'17.08 KAMPALA-BUSUNJU-24h'!I54,'15.08 KAMPALA-BUSUNJU'!I54)</f>
        <v>0.8571428571428571</v>
      </c>
      <c r="J54" s="49">
        <f>AVERAGE('11.08 KAMPALA-BUSUNJU'!J54,'12.08 KAMPALA-BUSUNJU'!J54,'13.08 KAMPALA-BUSUNJU'!J54,'14.08 KAMPALA-BUSUNJU'!J54,'16.08 KAMPALA-BUSUNJU-24h'!J54,'17.08 KAMPALA-BUSUNJU-24h'!J54,'15.08 KAMPALA-BUSUNJU'!J54)</f>
        <v>0.14285714285714285</v>
      </c>
      <c r="K54" s="49">
        <f>AVERAGE('11.08 KAMPALA-BUSUNJU'!K54,'12.08 KAMPALA-BUSUNJU'!K54,'13.08 KAMPALA-BUSUNJU'!K54,'14.08 KAMPALA-BUSUNJU'!K54,'16.08 KAMPALA-BUSUNJU-24h'!K54,'17.08 KAMPALA-BUSUNJU-24h'!K54,'15.08 KAMPALA-BUSUNJU'!K54)</f>
        <v>0</v>
      </c>
      <c r="L54" s="49">
        <f>AVERAGE('11.08 KAMPALA-BUSUNJU'!L54,'12.08 KAMPALA-BUSUNJU'!L54,'13.08 KAMPALA-BUSUNJU'!L54,'14.08 KAMPALA-BUSUNJU'!L54,'16.08 KAMPALA-BUSUNJU-24h'!L54,'17.08 KAMPALA-BUSUNJU-24h'!L54,'15.08 KAMPALA-BUSUNJU'!L54)</f>
        <v>0</v>
      </c>
      <c r="M54" s="49">
        <f>AVERAGE('11.08 KAMPALA-BUSUNJU'!M54,'12.08 KAMPALA-BUSUNJU'!M54,'13.08 KAMPALA-BUSUNJU'!M54,'14.08 KAMPALA-BUSUNJU'!M54,'16.08 KAMPALA-BUSUNJU-24h'!M54,'17.08 KAMPALA-BUSUNJU-24h'!M54,'15.08 KAMPALA-BUSUNJU'!M54)</f>
        <v>16.428571428571427</v>
      </c>
      <c r="N54" s="49">
        <f>AVERAGE('11.08 KAMPALA-BUSUNJU'!N54,'12.08 KAMPALA-BUSUNJU'!N54,'13.08 KAMPALA-BUSUNJU'!N54,'14.08 KAMPALA-BUSUNJU'!N54,'16.08 KAMPALA-BUSUNJU-24h'!N54,'17.08 KAMPALA-BUSUNJU-24h'!N54,'15.08 KAMPALA-BUSUNJU'!N54)</f>
        <v>0</v>
      </c>
      <c r="O54" s="15">
        <f t="shared" si="0"/>
        <v>3.714285714285714</v>
      </c>
      <c r="P54" s="15">
        <f t="shared" si="1"/>
        <v>20.142857142857142</v>
      </c>
      <c r="R54" s="8"/>
      <c r="T54"/>
    </row>
    <row r="55" spans="2:20" ht="23.1" customHeight="1" x14ac:dyDescent="0.25">
      <c r="B55" s="23" t="s">
        <v>82</v>
      </c>
      <c r="C55" s="49">
        <f>AVERAGE('11.08 KAMPALA-BUSUNJU'!C55,'12.08 KAMPALA-BUSUNJU'!C55,'13.08 KAMPALA-BUSUNJU'!C55,'14.08 KAMPALA-BUSUNJU'!C55,'16.08 KAMPALA-BUSUNJU-24h'!C55,'17.08 KAMPALA-BUSUNJU-24h'!C55,'15.08 KAMPALA-BUSUNJU'!C55)</f>
        <v>1.5714285714285714</v>
      </c>
      <c r="D55" s="49">
        <f>AVERAGE('11.08 KAMPALA-BUSUNJU'!D55,'12.08 KAMPALA-BUSUNJU'!D55,'13.08 KAMPALA-BUSUNJU'!D55,'14.08 KAMPALA-BUSUNJU'!D55,'16.08 KAMPALA-BUSUNJU-24h'!D55,'17.08 KAMPALA-BUSUNJU-24h'!D55,'15.08 KAMPALA-BUSUNJU'!D55)</f>
        <v>0</v>
      </c>
      <c r="E55" s="49">
        <f>AVERAGE('11.08 KAMPALA-BUSUNJU'!E55,'12.08 KAMPALA-BUSUNJU'!E55,'13.08 KAMPALA-BUSUNJU'!E55,'14.08 KAMPALA-BUSUNJU'!E55,'16.08 KAMPALA-BUSUNJU-24h'!E55,'17.08 KAMPALA-BUSUNJU-24h'!E55,'15.08 KAMPALA-BUSUNJU'!E55)</f>
        <v>0.8571428571428571</v>
      </c>
      <c r="F55" s="49">
        <f>AVERAGE('11.08 KAMPALA-BUSUNJU'!F55,'12.08 KAMPALA-BUSUNJU'!F55,'13.08 KAMPALA-BUSUNJU'!F55,'14.08 KAMPALA-BUSUNJU'!F55,'16.08 KAMPALA-BUSUNJU-24h'!F55,'17.08 KAMPALA-BUSUNJU-24h'!F55,'15.08 KAMPALA-BUSUNJU'!F55)</f>
        <v>0.42857142857142855</v>
      </c>
      <c r="G55" s="49">
        <f>AVERAGE('11.08 KAMPALA-BUSUNJU'!G55,'12.08 KAMPALA-BUSUNJU'!G55,'13.08 KAMPALA-BUSUNJU'!G55,'14.08 KAMPALA-BUSUNJU'!G55,'16.08 KAMPALA-BUSUNJU-24h'!G55,'17.08 KAMPALA-BUSUNJU-24h'!G55,'15.08 KAMPALA-BUSUNJU'!G55)</f>
        <v>0.14285714285714285</v>
      </c>
      <c r="H55" s="49">
        <f>AVERAGE('11.08 KAMPALA-BUSUNJU'!H55,'12.08 KAMPALA-BUSUNJU'!H55,'13.08 KAMPALA-BUSUNJU'!H55,'14.08 KAMPALA-BUSUNJU'!H55,'16.08 KAMPALA-BUSUNJU-24h'!H55,'17.08 KAMPALA-BUSUNJU-24h'!H55,'15.08 KAMPALA-BUSUNJU'!H55)</f>
        <v>0</v>
      </c>
      <c r="I55" s="49">
        <f>AVERAGE('11.08 KAMPALA-BUSUNJU'!I55,'12.08 KAMPALA-BUSUNJU'!I55,'13.08 KAMPALA-BUSUNJU'!I55,'14.08 KAMPALA-BUSUNJU'!I55,'16.08 KAMPALA-BUSUNJU-24h'!I55,'17.08 KAMPALA-BUSUNJU-24h'!I55,'15.08 KAMPALA-BUSUNJU'!I55)</f>
        <v>0.8571428571428571</v>
      </c>
      <c r="J55" s="49">
        <f>AVERAGE('11.08 KAMPALA-BUSUNJU'!J55,'12.08 KAMPALA-BUSUNJU'!J55,'13.08 KAMPALA-BUSUNJU'!J55,'14.08 KAMPALA-BUSUNJU'!J55,'16.08 KAMPALA-BUSUNJU-24h'!J55,'17.08 KAMPALA-BUSUNJU-24h'!J55,'15.08 KAMPALA-BUSUNJU'!J55)</f>
        <v>0</v>
      </c>
      <c r="K55" s="49">
        <f>AVERAGE('11.08 KAMPALA-BUSUNJU'!K55,'12.08 KAMPALA-BUSUNJU'!K55,'13.08 KAMPALA-BUSUNJU'!K55,'14.08 KAMPALA-BUSUNJU'!K55,'16.08 KAMPALA-BUSUNJU-24h'!K55,'17.08 KAMPALA-BUSUNJU-24h'!K55,'15.08 KAMPALA-BUSUNJU'!K55)</f>
        <v>0.14285714285714285</v>
      </c>
      <c r="L55" s="49">
        <f>AVERAGE('11.08 KAMPALA-BUSUNJU'!L55,'12.08 KAMPALA-BUSUNJU'!L55,'13.08 KAMPALA-BUSUNJU'!L55,'14.08 KAMPALA-BUSUNJU'!L55,'16.08 KAMPALA-BUSUNJU-24h'!L55,'17.08 KAMPALA-BUSUNJU-24h'!L55,'15.08 KAMPALA-BUSUNJU'!L55)</f>
        <v>0</v>
      </c>
      <c r="M55" s="49">
        <f>AVERAGE('11.08 KAMPALA-BUSUNJU'!M55,'12.08 KAMPALA-BUSUNJU'!M55,'13.08 KAMPALA-BUSUNJU'!M55,'14.08 KAMPALA-BUSUNJU'!M55,'16.08 KAMPALA-BUSUNJU-24h'!M55,'17.08 KAMPALA-BUSUNJU-24h'!M55,'15.08 KAMPALA-BUSUNJU'!M55)</f>
        <v>16.714285714285715</v>
      </c>
      <c r="N55" s="49">
        <f>AVERAGE('11.08 KAMPALA-BUSUNJU'!N55,'12.08 KAMPALA-BUSUNJU'!N55,'13.08 KAMPALA-BUSUNJU'!N55,'14.08 KAMPALA-BUSUNJU'!N55,'16.08 KAMPALA-BUSUNJU-24h'!N55,'17.08 KAMPALA-BUSUNJU-24h'!N55,'15.08 KAMPALA-BUSUNJU'!N55)</f>
        <v>0</v>
      </c>
      <c r="O55" s="15">
        <f t="shared" si="0"/>
        <v>3.9999999999999996</v>
      </c>
      <c r="P55" s="15">
        <f t="shared" si="1"/>
        <v>20.714285714285715</v>
      </c>
      <c r="R55" s="8"/>
      <c r="T55"/>
    </row>
    <row r="56" spans="2:20" ht="23.1" customHeight="1" x14ac:dyDescent="0.25">
      <c r="B56" s="23" t="s">
        <v>83</v>
      </c>
      <c r="C56" s="49">
        <f>AVERAGE('11.08 KAMPALA-BUSUNJU'!C56,'12.08 KAMPALA-BUSUNJU'!C56,'13.08 KAMPALA-BUSUNJU'!C56,'14.08 KAMPALA-BUSUNJU'!C56,'16.08 KAMPALA-BUSUNJU-24h'!C56,'17.08 KAMPALA-BUSUNJU-24h'!C56,'15.08 KAMPALA-BUSUNJU'!C56)</f>
        <v>1.2857142857142858</v>
      </c>
      <c r="D56" s="49">
        <f>AVERAGE('11.08 KAMPALA-BUSUNJU'!D56,'12.08 KAMPALA-BUSUNJU'!D56,'13.08 KAMPALA-BUSUNJU'!D56,'14.08 KAMPALA-BUSUNJU'!D56,'16.08 KAMPALA-BUSUNJU-24h'!D56,'17.08 KAMPALA-BUSUNJU-24h'!D56,'15.08 KAMPALA-BUSUNJU'!D56)</f>
        <v>0</v>
      </c>
      <c r="E56" s="49">
        <f>AVERAGE('11.08 KAMPALA-BUSUNJU'!E56,'12.08 KAMPALA-BUSUNJU'!E56,'13.08 KAMPALA-BUSUNJU'!E56,'14.08 KAMPALA-BUSUNJU'!E56,'16.08 KAMPALA-BUSUNJU-24h'!E56,'17.08 KAMPALA-BUSUNJU-24h'!E56,'15.08 KAMPALA-BUSUNJU'!E56)</f>
        <v>0.7142857142857143</v>
      </c>
      <c r="F56" s="49">
        <f>AVERAGE('11.08 KAMPALA-BUSUNJU'!F56,'12.08 KAMPALA-BUSUNJU'!F56,'13.08 KAMPALA-BUSUNJU'!F56,'14.08 KAMPALA-BUSUNJU'!F56,'16.08 KAMPALA-BUSUNJU-24h'!F56,'17.08 KAMPALA-BUSUNJU-24h'!F56,'15.08 KAMPALA-BUSUNJU'!F56)</f>
        <v>0.2857142857142857</v>
      </c>
      <c r="G56" s="49">
        <f>AVERAGE('11.08 KAMPALA-BUSUNJU'!G56,'12.08 KAMPALA-BUSUNJU'!G56,'13.08 KAMPALA-BUSUNJU'!G56,'14.08 KAMPALA-BUSUNJU'!G56,'16.08 KAMPALA-BUSUNJU-24h'!G56,'17.08 KAMPALA-BUSUNJU-24h'!G56,'15.08 KAMPALA-BUSUNJU'!G56)</f>
        <v>0</v>
      </c>
      <c r="H56" s="49">
        <f>AVERAGE('11.08 KAMPALA-BUSUNJU'!H56,'12.08 KAMPALA-BUSUNJU'!H56,'13.08 KAMPALA-BUSUNJU'!H56,'14.08 KAMPALA-BUSUNJU'!H56,'16.08 KAMPALA-BUSUNJU-24h'!H56,'17.08 KAMPALA-BUSUNJU-24h'!H56,'15.08 KAMPALA-BUSUNJU'!H56)</f>
        <v>0</v>
      </c>
      <c r="I56" s="49">
        <f>AVERAGE('11.08 KAMPALA-BUSUNJU'!I56,'12.08 KAMPALA-BUSUNJU'!I56,'13.08 KAMPALA-BUSUNJU'!I56,'14.08 KAMPALA-BUSUNJU'!I56,'16.08 KAMPALA-BUSUNJU-24h'!I56,'17.08 KAMPALA-BUSUNJU-24h'!I56,'15.08 KAMPALA-BUSUNJU'!I56)</f>
        <v>0.42857142857142855</v>
      </c>
      <c r="J56" s="49">
        <f>AVERAGE('11.08 KAMPALA-BUSUNJU'!J56,'12.08 KAMPALA-BUSUNJU'!J56,'13.08 KAMPALA-BUSUNJU'!J56,'14.08 KAMPALA-BUSUNJU'!J56,'16.08 KAMPALA-BUSUNJU-24h'!J56,'17.08 KAMPALA-BUSUNJU-24h'!J56,'15.08 KAMPALA-BUSUNJU'!J56)</f>
        <v>0</v>
      </c>
      <c r="K56" s="49">
        <f>AVERAGE('11.08 KAMPALA-BUSUNJU'!K56,'12.08 KAMPALA-BUSUNJU'!K56,'13.08 KAMPALA-BUSUNJU'!K56,'14.08 KAMPALA-BUSUNJU'!K56,'16.08 KAMPALA-BUSUNJU-24h'!K56,'17.08 KAMPALA-BUSUNJU-24h'!K56,'15.08 KAMPALA-BUSUNJU'!K56)</f>
        <v>0</v>
      </c>
      <c r="L56" s="49">
        <f>AVERAGE('11.08 KAMPALA-BUSUNJU'!L56,'12.08 KAMPALA-BUSUNJU'!L56,'13.08 KAMPALA-BUSUNJU'!L56,'14.08 KAMPALA-BUSUNJU'!L56,'16.08 KAMPALA-BUSUNJU-24h'!L56,'17.08 KAMPALA-BUSUNJU-24h'!L56,'15.08 KAMPALA-BUSUNJU'!L56)</f>
        <v>0</v>
      </c>
      <c r="M56" s="49">
        <f>AVERAGE('11.08 KAMPALA-BUSUNJU'!M56,'12.08 KAMPALA-BUSUNJU'!M56,'13.08 KAMPALA-BUSUNJU'!M56,'14.08 KAMPALA-BUSUNJU'!M56,'16.08 KAMPALA-BUSUNJU-24h'!M56,'17.08 KAMPALA-BUSUNJU-24h'!M56,'15.08 KAMPALA-BUSUNJU'!M56)</f>
        <v>13.142857142857142</v>
      </c>
      <c r="N56" s="49">
        <f>AVERAGE('11.08 KAMPALA-BUSUNJU'!N56,'12.08 KAMPALA-BUSUNJU'!N56,'13.08 KAMPALA-BUSUNJU'!N56,'14.08 KAMPALA-BUSUNJU'!N56,'16.08 KAMPALA-BUSUNJU-24h'!N56,'17.08 KAMPALA-BUSUNJU-24h'!N56,'15.08 KAMPALA-BUSUNJU'!N56)</f>
        <v>0</v>
      </c>
      <c r="O56" s="15">
        <f t="shared" si="0"/>
        <v>2.714285714285714</v>
      </c>
      <c r="P56" s="15">
        <f t="shared" si="1"/>
        <v>15.857142857142856</v>
      </c>
      <c r="R56" s="8"/>
      <c r="T56"/>
    </row>
    <row r="57" spans="2:20" ht="23.1" customHeight="1" x14ac:dyDescent="0.25">
      <c r="B57" s="23" t="s">
        <v>84</v>
      </c>
      <c r="C57" s="49">
        <f>AVERAGE('11.08 KAMPALA-BUSUNJU'!C57,'12.08 KAMPALA-BUSUNJU'!C57,'13.08 KAMPALA-BUSUNJU'!C57,'14.08 KAMPALA-BUSUNJU'!C57,'16.08 KAMPALA-BUSUNJU-24h'!C57,'17.08 KAMPALA-BUSUNJU-24h'!C57,'15.08 KAMPALA-BUSUNJU'!C57)</f>
        <v>1.1428571428571428</v>
      </c>
      <c r="D57" s="49">
        <f>AVERAGE('11.08 KAMPALA-BUSUNJU'!D57,'12.08 KAMPALA-BUSUNJU'!D57,'13.08 KAMPALA-BUSUNJU'!D57,'14.08 KAMPALA-BUSUNJU'!D57,'16.08 KAMPALA-BUSUNJU-24h'!D57,'17.08 KAMPALA-BUSUNJU-24h'!D57,'15.08 KAMPALA-BUSUNJU'!D57)</f>
        <v>0</v>
      </c>
      <c r="E57" s="49">
        <f>AVERAGE('11.08 KAMPALA-BUSUNJU'!E57,'12.08 KAMPALA-BUSUNJU'!E57,'13.08 KAMPALA-BUSUNJU'!E57,'14.08 KAMPALA-BUSUNJU'!E57,'16.08 KAMPALA-BUSUNJU-24h'!E57,'17.08 KAMPALA-BUSUNJU-24h'!E57,'15.08 KAMPALA-BUSUNJU'!E57)</f>
        <v>0.2857142857142857</v>
      </c>
      <c r="F57" s="49">
        <f>AVERAGE('11.08 KAMPALA-BUSUNJU'!F57,'12.08 KAMPALA-BUSUNJU'!F57,'13.08 KAMPALA-BUSUNJU'!F57,'14.08 KAMPALA-BUSUNJU'!F57,'16.08 KAMPALA-BUSUNJU-24h'!F57,'17.08 KAMPALA-BUSUNJU-24h'!F57,'15.08 KAMPALA-BUSUNJU'!F57)</f>
        <v>0.14285714285714285</v>
      </c>
      <c r="G57" s="49">
        <f>AVERAGE('11.08 KAMPALA-BUSUNJU'!G57,'12.08 KAMPALA-BUSUNJU'!G57,'13.08 KAMPALA-BUSUNJU'!G57,'14.08 KAMPALA-BUSUNJU'!G57,'16.08 KAMPALA-BUSUNJU-24h'!G57,'17.08 KAMPALA-BUSUNJU-24h'!G57,'15.08 KAMPALA-BUSUNJU'!G57)</f>
        <v>0</v>
      </c>
      <c r="H57" s="49">
        <f>AVERAGE('11.08 KAMPALA-BUSUNJU'!H57,'12.08 KAMPALA-BUSUNJU'!H57,'13.08 KAMPALA-BUSUNJU'!H57,'14.08 KAMPALA-BUSUNJU'!H57,'16.08 KAMPALA-BUSUNJU-24h'!H57,'17.08 KAMPALA-BUSUNJU-24h'!H57,'15.08 KAMPALA-BUSUNJU'!H57)</f>
        <v>0</v>
      </c>
      <c r="I57" s="49">
        <f>AVERAGE('11.08 KAMPALA-BUSUNJU'!I57,'12.08 KAMPALA-BUSUNJU'!I57,'13.08 KAMPALA-BUSUNJU'!I57,'14.08 KAMPALA-BUSUNJU'!I57,'16.08 KAMPALA-BUSUNJU-24h'!I57,'17.08 KAMPALA-BUSUNJU-24h'!I57,'15.08 KAMPALA-BUSUNJU'!I57)</f>
        <v>1</v>
      </c>
      <c r="J57" s="49">
        <f>AVERAGE('11.08 KAMPALA-BUSUNJU'!J57,'12.08 KAMPALA-BUSUNJU'!J57,'13.08 KAMPALA-BUSUNJU'!J57,'14.08 KAMPALA-BUSUNJU'!J57,'16.08 KAMPALA-BUSUNJU-24h'!J57,'17.08 KAMPALA-BUSUNJU-24h'!J57,'15.08 KAMPALA-BUSUNJU'!J57)</f>
        <v>0</v>
      </c>
      <c r="K57" s="49">
        <f>AVERAGE('11.08 KAMPALA-BUSUNJU'!K57,'12.08 KAMPALA-BUSUNJU'!K57,'13.08 KAMPALA-BUSUNJU'!K57,'14.08 KAMPALA-BUSUNJU'!K57,'16.08 KAMPALA-BUSUNJU-24h'!K57,'17.08 KAMPALA-BUSUNJU-24h'!K57,'15.08 KAMPALA-BUSUNJU'!K57)</f>
        <v>0</v>
      </c>
      <c r="L57" s="49">
        <f>AVERAGE('11.08 KAMPALA-BUSUNJU'!L57,'12.08 KAMPALA-BUSUNJU'!L57,'13.08 KAMPALA-BUSUNJU'!L57,'14.08 KAMPALA-BUSUNJU'!L57,'16.08 KAMPALA-BUSUNJU-24h'!L57,'17.08 KAMPALA-BUSUNJU-24h'!L57,'15.08 KAMPALA-BUSUNJU'!L57)</f>
        <v>0</v>
      </c>
      <c r="M57" s="49">
        <f>AVERAGE('11.08 KAMPALA-BUSUNJU'!M57,'12.08 KAMPALA-BUSUNJU'!M57,'13.08 KAMPALA-BUSUNJU'!M57,'14.08 KAMPALA-BUSUNJU'!M57,'16.08 KAMPALA-BUSUNJU-24h'!M57,'17.08 KAMPALA-BUSUNJU-24h'!M57,'15.08 KAMPALA-BUSUNJU'!M57)</f>
        <v>12</v>
      </c>
      <c r="N57" s="49">
        <f>AVERAGE('11.08 KAMPALA-BUSUNJU'!N57,'12.08 KAMPALA-BUSUNJU'!N57,'13.08 KAMPALA-BUSUNJU'!N57,'14.08 KAMPALA-BUSUNJU'!N57,'16.08 KAMPALA-BUSUNJU-24h'!N57,'17.08 KAMPALA-BUSUNJU-24h'!N57,'15.08 KAMPALA-BUSUNJU'!N57)</f>
        <v>0</v>
      </c>
      <c r="O57" s="15">
        <f t="shared" si="0"/>
        <v>2.5714285714285712</v>
      </c>
      <c r="P57" s="15">
        <f t="shared" si="1"/>
        <v>14.571428571428571</v>
      </c>
      <c r="R57" s="8"/>
      <c r="T57"/>
    </row>
    <row r="58" spans="2:20" ht="23.1" customHeight="1" x14ac:dyDescent="0.25">
      <c r="B58" s="23" t="s">
        <v>99</v>
      </c>
      <c r="C58" s="49">
        <f>AVERAGE('16.08 KAMPALA-BUSUNJU-24h'!C58,'17.08 KAMPALA-BUSUNJU-24h'!C58)</f>
        <v>0</v>
      </c>
      <c r="D58" s="49">
        <f>AVERAGE('16.08 KAMPALA-BUSUNJU-24h'!D58,'17.08 KAMPALA-BUSUNJU-24h'!D58)</f>
        <v>0</v>
      </c>
      <c r="E58" s="49">
        <f>AVERAGE('16.08 KAMPALA-BUSUNJU-24h'!E58,'17.08 KAMPALA-BUSUNJU-24h'!E58)</f>
        <v>1</v>
      </c>
      <c r="F58" s="49">
        <f>AVERAGE('16.08 KAMPALA-BUSUNJU-24h'!F58,'17.08 KAMPALA-BUSUNJU-24h'!F58)</f>
        <v>0</v>
      </c>
      <c r="G58" s="49">
        <f>AVERAGE('16.08 KAMPALA-BUSUNJU-24h'!G58,'17.08 KAMPALA-BUSUNJU-24h'!G58)</f>
        <v>0</v>
      </c>
      <c r="H58" s="49">
        <f>AVERAGE('16.08 KAMPALA-BUSUNJU-24h'!H58,'17.08 KAMPALA-BUSUNJU-24h'!H58)</f>
        <v>0</v>
      </c>
      <c r="I58" s="49">
        <f>AVERAGE('16.08 KAMPALA-BUSUNJU-24h'!I58,'17.08 KAMPALA-BUSUNJU-24h'!I58)</f>
        <v>0</v>
      </c>
      <c r="J58" s="49">
        <f>AVERAGE('16.08 KAMPALA-BUSUNJU-24h'!J58,'17.08 KAMPALA-BUSUNJU-24h'!J58)</f>
        <v>0</v>
      </c>
      <c r="K58" s="49">
        <f>AVERAGE('16.08 KAMPALA-BUSUNJU-24h'!K58,'17.08 KAMPALA-BUSUNJU-24h'!K58)</f>
        <v>0</v>
      </c>
      <c r="L58" s="49">
        <f>AVERAGE('16.08 KAMPALA-BUSUNJU-24h'!L58,'17.08 KAMPALA-BUSUNJU-24h'!L58)</f>
        <v>0</v>
      </c>
      <c r="M58" s="49">
        <f>AVERAGE('16.08 KAMPALA-BUSUNJU-24h'!M58,'17.08 KAMPALA-BUSUNJU-24h'!M58)</f>
        <v>6</v>
      </c>
      <c r="N58" s="49">
        <f>AVERAGE('16.08 KAMPALA-BUSUNJU-24h'!N58,'17.08 KAMPALA-BUSUNJU-24h'!N58)</f>
        <v>0</v>
      </c>
      <c r="O58" s="15">
        <f t="shared" si="0"/>
        <v>1</v>
      </c>
      <c r="P58" s="15">
        <f t="shared" si="1"/>
        <v>7</v>
      </c>
      <c r="R58" s="8"/>
      <c r="T58"/>
    </row>
    <row r="59" spans="2:20" ht="23.1" customHeight="1" x14ac:dyDescent="0.25">
      <c r="B59" s="23" t="s">
        <v>100</v>
      </c>
      <c r="C59" s="49">
        <f>AVERAGE('16.08 KAMPALA-BUSUNJU-24h'!C59,'17.08 KAMPALA-BUSUNJU-24h'!C59)</f>
        <v>0</v>
      </c>
      <c r="D59" s="49">
        <f>AVERAGE('16.08 KAMPALA-BUSUNJU-24h'!D59,'17.08 KAMPALA-BUSUNJU-24h'!D59)</f>
        <v>0</v>
      </c>
      <c r="E59" s="49">
        <f>AVERAGE('16.08 KAMPALA-BUSUNJU-24h'!E59,'17.08 KAMPALA-BUSUNJU-24h'!E59)</f>
        <v>0</v>
      </c>
      <c r="F59" s="49">
        <f>AVERAGE('16.08 KAMPALA-BUSUNJU-24h'!F59,'17.08 KAMPALA-BUSUNJU-24h'!F59)</f>
        <v>0</v>
      </c>
      <c r="G59" s="49">
        <f>AVERAGE('16.08 KAMPALA-BUSUNJU-24h'!G59,'17.08 KAMPALA-BUSUNJU-24h'!G59)</f>
        <v>0</v>
      </c>
      <c r="H59" s="49">
        <f>AVERAGE('16.08 KAMPALA-BUSUNJU-24h'!H59,'17.08 KAMPALA-BUSUNJU-24h'!H59)</f>
        <v>0</v>
      </c>
      <c r="I59" s="49">
        <f>AVERAGE('16.08 KAMPALA-BUSUNJU-24h'!I59,'17.08 KAMPALA-BUSUNJU-24h'!I59)</f>
        <v>0</v>
      </c>
      <c r="J59" s="49">
        <f>AVERAGE('16.08 KAMPALA-BUSUNJU-24h'!J59,'17.08 KAMPALA-BUSUNJU-24h'!J59)</f>
        <v>0</v>
      </c>
      <c r="K59" s="49">
        <f>AVERAGE('16.08 KAMPALA-BUSUNJU-24h'!K59,'17.08 KAMPALA-BUSUNJU-24h'!K59)</f>
        <v>0</v>
      </c>
      <c r="L59" s="49">
        <f>AVERAGE('16.08 KAMPALA-BUSUNJU-24h'!L59,'17.08 KAMPALA-BUSUNJU-24h'!L59)</f>
        <v>0</v>
      </c>
      <c r="M59" s="49">
        <f>AVERAGE('16.08 KAMPALA-BUSUNJU-24h'!M59,'17.08 KAMPALA-BUSUNJU-24h'!M59)</f>
        <v>5</v>
      </c>
      <c r="N59" s="49">
        <f>AVERAGE('16.08 KAMPALA-BUSUNJU-24h'!N59,'17.08 KAMPALA-BUSUNJU-24h'!N59)</f>
        <v>0</v>
      </c>
      <c r="O59" s="15">
        <f t="shared" si="0"/>
        <v>0</v>
      </c>
      <c r="P59" s="15">
        <f t="shared" si="1"/>
        <v>5</v>
      </c>
      <c r="R59" s="8"/>
      <c r="T59"/>
    </row>
    <row r="60" spans="2:20" ht="23.1" customHeight="1" x14ac:dyDescent="0.25">
      <c r="B60" s="23" t="s">
        <v>101</v>
      </c>
      <c r="C60" s="49">
        <f>AVERAGE('16.08 KAMPALA-BUSUNJU-24h'!C60,'17.08 KAMPALA-BUSUNJU-24h'!C60)</f>
        <v>0</v>
      </c>
      <c r="D60" s="49">
        <f>AVERAGE('16.08 KAMPALA-BUSUNJU-24h'!D60,'17.08 KAMPALA-BUSUNJU-24h'!D60)</f>
        <v>0</v>
      </c>
      <c r="E60" s="49">
        <f>AVERAGE('16.08 KAMPALA-BUSUNJU-24h'!E60,'17.08 KAMPALA-BUSUNJU-24h'!E60)</f>
        <v>0</v>
      </c>
      <c r="F60" s="49">
        <f>AVERAGE('16.08 KAMPALA-BUSUNJU-24h'!F60,'17.08 KAMPALA-BUSUNJU-24h'!F60)</f>
        <v>0</v>
      </c>
      <c r="G60" s="49">
        <f>AVERAGE('16.08 KAMPALA-BUSUNJU-24h'!G60,'17.08 KAMPALA-BUSUNJU-24h'!G60)</f>
        <v>0</v>
      </c>
      <c r="H60" s="49">
        <f>AVERAGE('16.08 KAMPALA-BUSUNJU-24h'!H60,'17.08 KAMPALA-BUSUNJU-24h'!H60)</f>
        <v>0</v>
      </c>
      <c r="I60" s="49">
        <f>AVERAGE('16.08 KAMPALA-BUSUNJU-24h'!I60,'17.08 KAMPALA-BUSUNJU-24h'!I60)</f>
        <v>1</v>
      </c>
      <c r="J60" s="49">
        <f>AVERAGE('16.08 KAMPALA-BUSUNJU-24h'!J60,'17.08 KAMPALA-BUSUNJU-24h'!J60)</f>
        <v>0</v>
      </c>
      <c r="K60" s="49">
        <f>AVERAGE('16.08 KAMPALA-BUSUNJU-24h'!K60,'17.08 KAMPALA-BUSUNJU-24h'!K60)</f>
        <v>0</v>
      </c>
      <c r="L60" s="49">
        <f>AVERAGE('16.08 KAMPALA-BUSUNJU-24h'!L60,'17.08 KAMPALA-BUSUNJU-24h'!L60)</f>
        <v>0</v>
      </c>
      <c r="M60" s="49">
        <f>AVERAGE('16.08 KAMPALA-BUSUNJU-24h'!M60,'17.08 KAMPALA-BUSUNJU-24h'!M60)</f>
        <v>9.5</v>
      </c>
      <c r="N60" s="49">
        <f>AVERAGE('16.08 KAMPALA-BUSUNJU-24h'!N60,'17.08 KAMPALA-BUSUNJU-24h'!N60)</f>
        <v>0</v>
      </c>
      <c r="O60" s="15">
        <f t="shared" si="0"/>
        <v>1</v>
      </c>
      <c r="P60" s="15">
        <f t="shared" si="1"/>
        <v>10.5</v>
      </c>
      <c r="R60" s="8"/>
      <c r="T60"/>
    </row>
    <row r="61" spans="2:20" ht="23.1" customHeight="1" x14ac:dyDescent="0.25">
      <c r="B61" s="23" t="s">
        <v>102</v>
      </c>
      <c r="C61" s="49">
        <f>AVERAGE('16.08 KAMPALA-BUSUNJU-24h'!C61,'17.08 KAMPALA-BUSUNJU-24h'!C61)</f>
        <v>0</v>
      </c>
      <c r="D61" s="49">
        <f>AVERAGE('16.08 KAMPALA-BUSUNJU-24h'!D61,'17.08 KAMPALA-BUSUNJU-24h'!D61)</f>
        <v>0</v>
      </c>
      <c r="E61" s="49">
        <f>AVERAGE('16.08 KAMPALA-BUSUNJU-24h'!E61,'17.08 KAMPALA-BUSUNJU-24h'!E61)</f>
        <v>0</v>
      </c>
      <c r="F61" s="49">
        <f>AVERAGE('16.08 KAMPALA-BUSUNJU-24h'!F61,'17.08 KAMPALA-BUSUNJU-24h'!F61)</f>
        <v>0</v>
      </c>
      <c r="G61" s="49">
        <f>AVERAGE('16.08 KAMPALA-BUSUNJU-24h'!G61,'17.08 KAMPALA-BUSUNJU-24h'!G61)</f>
        <v>0</v>
      </c>
      <c r="H61" s="49">
        <f>AVERAGE('16.08 KAMPALA-BUSUNJU-24h'!H61,'17.08 KAMPALA-BUSUNJU-24h'!H61)</f>
        <v>0</v>
      </c>
      <c r="I61" s="49">
        <f>AVERAGE('16.08 KAMPALA-BUSUNJU-24h'!I61,'17.08 KAMPALA-BUSUNJU-24h'!I61)</f>
        <v>1</v>
      </c>
      <c r="J61" s="49">
        <f>AVERAGE('16.08 KAMPALA-BUSUNJU-24h'!J61,'17.08 KAMPALA-BUSUNJU-24h'!J61)</f>
        <v>0</v>
      </c>
      <c r="K61" s="49">
        <f>AVERAGE('16.08 KAMPALA-BUSUNJU-24h'!K61,'17.08 KAMPALA-BUSUNJU-24h'!K61)</f>
        <v>0</v>
      </c>
      <c r="L61" s="49">
        <f>AVERAGE('16.08 KAMPALA-BUSUNJU-24h'!L61,'17.08 KAMPALA-BUSUNJU-24h'!L61)</f>
        <v>0</v>
      </c>
      <c r="M61" s="49">
        <f>AVERAGE('16.08 KAMPALA-BUSUNJU-24h'!M61,'17.08 KAMPALA-BUSUNJU-24h'!M61)</f>
        <v>7</v>
      </c>
      <c r="N61" s="49">
        <f>AVERAGE('16.08 KAMPALA-BUSUNJU-24h'!N61,'17.08 KAMPALA-BUSUNJU-24h'!N61)</f>
        <v>0</v>
      </c>
      <c r="O61" s="15">
        <f t="shared" si="0"/>
        <v>1</v>
      </c>
      <c r="P61" s="15">
        <f t="shared" si="1"/>
        <v>8</v>
      </c>
      <c r="R61" s="8"/>
      <c r="T61"/>
    </row>
    <row r="62" spans="2:20" ht="23.1" customHeight="1" x14ac:dyDescent="0.25">
      <c r="B62" s="23" t="s">
        <v>107</v>
      </c>
      <c r="C62" s="49">
        <f>AVERAGE('16.08 KAMPALA-BUSUNJU-24h'!C62,'17.08 KAMPALA-BUSUNJU-24h'!C62)</f>
        <v>0</v>
      </c>
      <c r="D62" s="49">
        <f>AVERAGE('16.08 KAMPALA-BUSUNJU-24h'!D62,'17.08 KAMPALA-BUSUNJU-24h'!D62)</f>
        <v>0</v>
      </c>
      <c r="E62" s="49">
        <f>AVERAGE('16.08 KAMPALA-BUSUNJU-24h'!E62,'17.08 KAMPALA-BUSUNJU-24h'!E62)</f>
        <v>0</v>
      </c>
      <c r="F62" s="49">
        <f>AVERAGE('16.08 KAMPALA-BUSUNJU-24h'!F62,'17.08 KAMPALA-BUSUNJU-24h'!F62)</f>
        <v>0</v>
      </c>
      <c r="G62" s="49">
        <f>AVERAGE('16.08 KAMPALA-BUSUNJU-24h'!G62,'17.08 KAMPALA-BUSUNJU-24h'!G62)</f>
        <v>0</v>
      </c>
      <c r="H62" s="49">
        <f>AVERAGE('16.08 KAMPALA-BUSUNJU-24h'!H62,'17.08 KAMPALA-BUSUNJU-24h'!H62)</f>
        <v>0</v>
      </c>
      <c r="I62" s="49">
        <f>AVERAGE('16.08 KAMPALA-BUSUNJU-24h'!I62,'17.08 KAMPALA-BUSUNJU-24h'!I62)</f>
        <v>1</v>
      </c>
      <c r="J62" s="49">
        <f>AVERAGE('16.08 KAMPALA-BUSUNJU-24h'!J62,'17.08 KAMPALA-BUSUNJU-24h'!J62)</f>
        <v>0</v>
      </c>
      <c r="K62" s="49">
        <f>AVERAGE('16.08 KAMPALA-BUSUNJU-24h'!K62,'17.08 KAMPALA-BUSUNJU-24h'!K62)</f>
        <v>0</v>
      </c>
      <c r="L62" s="49">
        <f>AVERAGE('16.08 KAMPALA-BUSUNJU-24h'!L62,'17.08 KAMPALA-BUSUNJU-24h'!L62)</f>
        <v>0</v>
      </c>
      <c r="M62" s="49">
        <f>AVERAGE('16.08 KAMPALA-BUSUNJU-24h'!M62,'17.08 KAMPALA-BUSUNJU-24h'!M62)</f>
        <v>7</v>
      </c>
      <c r="N62" s="49">
        <f>AVERAGE('16.08 KAMPALA-BUSUNJU-24h'!N62,'17.08 KAMPALA-BUSUNJU-24h'!N62)</f>
        <v>0</v>
      </c>
      <c r="O62" s="15">
        <f t="shared" si="0"/>
        <v>1</v>
      </c>
      <c r="P62" s="15">
        <f t="shared" si="1"/>
        <v>8</v>
      </c>
      <c r="R62" s="8"/>
      <c r="T62"/>
    </row>
    <row r="63" spans="2:20" ht="23.1" customHeight="1" x14ac:dyDescent="0.25">
      <c r="B63" s="23" t="s">
        <v>108</v>
      </c>
      <c r="C63" s="49">
        <f>AVERAGE('16.08 KAMPALA-BUSUNJU-24h'!C63,'17.08 KAMPALA-BUSUNJU-24h'!C63)</f>
        <v>1</v>
      </c>
      <c r="D63" s="49">
        <f>AVERAGE('16.08 KAMPALA-BUSUNJU-24h'!D63,'17.08 KAMPALA-BUSUNJU-24h'!D63)</f>
        <v>0</v>
      </c>
      <c r="E63" s="49">
        <f>AVERAGE('16.08 KAMPALA-BUSUNJU-24h'!E63,'17.08 KAMPALA-BUSUNJU-24h'!E63)</f>
        <v>1</v>
      </c>
      <c r="F63" s="49">
        <f>AVERAGE('16.08 KAMPALA-BUSUNJU-24h'!F63,'17.08 KAMPALA-BUSUNJU-24h'!F63)</f>
        <v>0</v>
      </c>
      <c r="G63" s="49">
        <f>AVERAGE('16.08 KAMPALA-BUSUNJU-24h'!G63,'17.08 KAMPALA-BUSUNJU-24h'!G63)</f>
        <v>0</v>
      </c>
      <c r="H63" s="49">
        <f>AVERAGE('16.08 KAMPALA-BUSUNJU-24h'!H63,'17.08 KAMPALA-BUSUNJU-24h'!H63)</f>
        <v>0</v>
      </c>
      <c r="I63" s="49">
        <f>AVERAGE('16.08 KAMPALA-BUSUNJU-24h'!I63,'17.08 KAMPALA-BUSUNJU-24h'!I63)</f>
        <v>0</v>
      </c>
      <c r="J63" s="49">
        <f>AVERAGE('16.08 KAMPALA-BUSUNJU-24h'!J63,'17.08 KAMPALA-BUSUNJU-24h'!J63)</f>
        <v>0</v>
      </c>
      <c r="K63" s="49">
        <f>AVERAGE('16.08 KAMPALA-BUSUNJU-24h'!K63,'17.08 KAMPALA-BUSUNJU-24h'!K63)</f>
        <v>0</v>
      </c>
      <c r="L63" s="49">
        <f>AVERAGE('16.08 KAMPALA-BUSUNJU-24h'!L63,'17.08 KAMPALA-BUSUNJU-24h'!L63)</f>
        <v>0</v>
      </c>
      <c r="M63" s="49">
        <f>AVERAGE('16.08 KAMPALA-BUSUNJU-24h'!M63,'17.08 KAMPALA-BUSUNJU-24h'!M63)</f>
        <v>7.5</v>
      </c>
      <c r="N63" s="49">
        <f>AVERAGE('16.08 KAMPALA-BUSUNJU-24h'!N63,'17.08 KAMPALA-BUSUNJU-24h'!N63)</f>
        <v>0</v>
      </c>
      <c r="O63" s="15">
        <f t="shared" si="0"/>
        <v>2</v>
      </c>
      <c r="P63" s="15">
        <f t="shared" si="1"/>
        <v>9.5</v>
      </c>
      <c r="R63" s="8"/>
      <c r="T63"/>
    </row>
    <row r="64" spans="2:20" ht="23.1" customHeight="1" x14ac:dyDescent="0.25">
      <c r="B64" s="23" t="s">
        <v>109</v>
      </c>
      <c r="C64" s="49">
        <f>AVERAGE('16.08 KAMPALA-BUSUNJU-24h'!C64,'17.08 KAMPALA-BUSUNJU-24h'!C64)</f>
        <v>0</v>
      </c>
      <c r="D64" s="49">
        <f>AVERAGE('16.08 KAMPALA-BUSUNJU-24h'!D64,'17.08 KAMPALA-BUSUNJU-24h'!D64)</f>
        <v>0</v>
      </c>
      <c r="E64" s="49">
        <f>AVERAGE('16.08 KAMPALA-BUSUNJU-24h'!E64,'17.08 KAMPALA-BUSUNJU-24h'!E64)</f>
        <v>0</v>
      </c>
      <c r="F64" s="49">
        <f>AVERAGE('16.08 KAMPALA-BUSUNJU-24h'!F64,'17.08 KAMPALA-BUSUNJU-24h'!F64)</f>
        <v>0</v>
      </c>
      <c r="G64" s="49">
        <f>AVERAGE('16.08 KAMPALA-BUSUNJU-24h'!G64,'17.08 KAMPALA-BUSUNJU-24h'!G64)</f>
        <v>0</v>
      </c>
      <c r="H64" s="49">
        <f>AVERAGE('16.08 KAMPALA-BUSUNJU-24h'!H64,'17.08 KAMPALA-BUSUNJU-24h'!H64)</f>
        <v>0</v>
      </c>
      <c r="I64" s="49">
        <f>AVERAGE('16.08 KAMPALA-BUSUNJU-24h'!I64,'17.08 KAMPALA-BUSUNJU-24h'!I64)</f>
        <v>0</v>
      </c>
      <c r="J64" s="49">
        <f>AVERAGE('16.08 KAMPALA-BUSUNJU-24h'!J64,'17.08 KAMPALA-BUSUNJU-24h'!J64)</f>
        <v>0</v>
      </c>
      <c r="K64" s="49">
        <f>AVERAGE('16.08 KAMPALA-BUSUNJU-24h'!K64,'17.08 KAMPALA-BUSUNJU-24h'!K64)</f>
        <v>0</v>
      </c>
      <c r="L64" s="49">
        <f>AVERAGE('16.08 KAMPALA-BUSUNJU-24h'!L64,'17.08 KAMPALA-BUSUNJU-24h'!L64)</f>
        <v>0</v>
      </c>
      <c r="M64" s="49">
        <f>AVERAGE('16.08 KAMPALA-BUSUNJU-24h'!M64,'17.08 KAMPALA-BUSUNJU-24h'!M64)</f>
        <v>9.5</v>
      </c>
      <c r="N64" s="49">
        <f>AVERAGE('16.08 KAMPALA-BUSUNJU-24h'!N64,'17.08 KAMPALA-BUSUNJU-24h'!N64)</f>
        <v>0</v>
      </c>
      <c r="O64" s="15">
        <f t="shared" si="0"/>
        <v>0</v>
      </c>
      <c r="P64" s="15">
        <f t="shared" si="1"/>
        <v>9.5</v>
      </c>
      <c r="R64" s="8"/>
      <c r="T64"/>
    </row>
    <row r="65" spans="2:20" ht="23.1" customHeight="1" x14ac:dyDescent="0.25">
      <c r="B65" s="23" t="s">
        <v>158</v>
      </c>
      <c r="C65" s="49">
        <f>AVERAGE('16.08 KAMPALA-BUSUNJU-24h'!C65,'17.08 KAMPALA-BUSUNJU-24h'!C65)</f>
        <v>0</v>
      </c>
      <c r="D65" s="49">
        <f>AVERAGE('16.08 KAMPALA-BUSUNJU-24h'!D65,'17.08 KAMPALA-BUSUNJU-24h'!D65)</f>
        <v>0</v>
      </c>
      <c r="E65" s="49">
        <f>AVERAGE('16.08 KAMPALA-BUSUNJU-24h'!E65,'17.08 KAMPALA-BUSUNJU-24h'!E65)</f>
        <v>0</v>
      </c>
      <c r="F65" s="49">
        <f>AVERAGE('16.08 KAMPALA-BUSUNJU-24h'!F65,'17.08 KAMPALA-BUSUNJU-24h'!F65)</f>
        <v>0</v>
      </c>
      <c r="G65" s="49">
        <f>AVERAGE('16.08 KAMPALA-BUSUNJU-24h'!G65,'17.08 KAMPALA-BUSUNJU-24h'!G65)</f>
        <v>0</v>
      </c>
      <c r="H65" s="49">
        <f>AVERAGE('16.08 KAMPALA-BUSUNJU-24h'!H65,'17.08 KAMPALA-BUSUNJU-24h'!H65)</f>
        <v>0</v>
      </c>
      <c r="I65" s="49">
        <f>AVERAGE('16.08 KAMPALA-BUSUNJU-24h'!I65,'17.08 KAMPALA-BUSUNJU-24h'!I65)</f>
        <v>0</v>
      </c>
      <c r="J65" s="49">
        <f>AVERAGE('16.08 KAMPALA-BUSUNJU-24h'!J65,'17.08 KAMPALA-BUSUNJU-24h'!J65)</f>
        <v>0</v>
      </c>
      <c r="K65" s="49">
        <f>AVERAGE('16.08 KAMPALA-BUSUNJU-24h'!K65,'17.08 KAMPALA-BUSUNJU-24h'!K65)</f>
        <v>0</v>
      </c>
      <c r="L65" s="49">
        <f>AVERAGE('16.08 KAMPALA-BUSUNJU-24h'!L65,'17.08 KAMPALA-BUSUNJU-24h'!L65)</f>
        <v>0</v>
      </c>
      <c r="M65" s="49">
        <f>AVERAGE('16.08 KAMPALA-BUSUNJU-24h'!M65,'17.08 KAMPALA-BUSUNJU-24h'!M65)</f>
        <v>9.5</v>
      </c>
      <c r="N65" s="49">
        <f>AVERAGE('16.08 KAMPALA-BUSUNJU-24h'!N65,'17.08 KAMPALA-BUSUNJU-24h'!N65)</f>
        <v>0</v>
      </c>
      <c r="O65" s="15">
        <f t="shared" si="0"/>
        <v>0</v>
      </c>
      <c r="P65" s="15">
        <f t="shared" si="1"/>
        <v>9.5</v>
      </c>
      <c r="R65" s="8"/>
      <c r="T65"/>
    </row>
    <row r="66" spans="2:20" ht="23.1" customHeight="1" x14ac:dyDescent="0.25">
      <c r="B66" s="23" t="s">
        <v>103</v>
      </c>
      <c r="C66" s="49">
        <f>AVERAGE('16.08 KAMPALA-BUSUNJU-24h'!C66,'17.08 KAMPALA-BUSUNJU-24h'!C66)</f>
        <v>0</v>
      </c>
      <c r="D66" s="49">
        <f>AVERAGE('16.08 KAMPALA-BUSUNJU-24h'!D66,'17.08 KAMPALA-BUSUNJU-24h'!D66)</f>
        <v>0</v>
      </c>
      <c r="E66" s="49">
        <f>AVERAGE('16.08 KAMPALA-BUSUNJU-24h'!E66,'17.08 KAMPALA-BUSUNJU-24h'!E66)</f>
        <v>0</v>
      </c>
      <c r="F66" s="49">
        <f>AVERAGE('16.08 KAMPALA-BUSUNJU-24h'!F66,'17.08 KAMPALA-BUSUNJU-24h'!F66)</f>
        <v>0</v>
      </c>
      <c r="G66" s="49">
        <f>AVERAGE('16.08 KAMPALA-BUSUNJU-24h'!G66,'17.08 KAMPALA-BUSUNJU-24h'!G66)</f>
        <v>0</v>
      </c>
      <c r="H66" s="49">
        <f>AVERAGE('16.08 KAMPALA-BUSUNJU-24h'!H66,'17.08 KAMPALA-BUSUNJU-24h'!H66)</f>
        <v>0</v>
      </c>
      <c r="I66" s="49">
        <f>AVERAGE('16.08 KAMPALA-BUSUNJU-24h'!I66,'17.08 KAMPALA-BUSUNJU-24h'!I66)</f>
        <v>1</v>
      </c>
      <c r="J66" s="49">
        <f>AVERAGE('16.08 KAMPALA-BUSUNJU-24h'!J66,'17.08 KAMPALA-BUSUNJU-24h'!J66)</f>
        <v>0</v>
      </c>
      <c r="K66" s="49">
        <f>AVERAGE('16.08 KAMPALA-BUSUNJU-24h'!K66,'17.08 KAMPALA-BUSUNJU-24h'!K66)</f>
        <v>0</v>
      </c>
      <c r="L66" s="49">
        <f>AVERAGE('16.08 KAMPALA-BUSUNJU-24h'!L66,'17.08 KAMPALA-BUSUNJU-24h'!L66)</f>
        <v>0</v>
      </c>
      <c r="M66" s="49">
        <f>AVERAGE('16.08 KAMPALA-BUSUNJU-24h'!M66,'17.08 KAMPALA-BUSUNJU-24h'!M66)</f>
        <v>9.5</v>
      </c>
      <c r="N66" s="49">
        <f>AVERAGE('16.08 KAMPALA-BUSUNJU-24h'!N66,'17.08 KAMPALA-BUSUNJU-24h'!N66)</f>
        <v>0</v>
      </c>
      <c r="O66" s="15">
        <f t="shared" si="0"/>
        <v>1</v>
      </c>
      <c r="P66" s="15">
        <f t="shared" si="1"/>
        <v>10.5</v>
      </c>
      <c r="R66" s="8"/>
      <c r="T66"/>
    </row>
    <row r="67" spans="2:20" ht="23.1" customHeight="1" x14ac:dyDescent="0.25">
      <c r="B67" s="23" t="s">
        <v>104</v>
      </c>
      <c r="C67" s="49">
        <f>AVERAGE('16.08 KAMPALA-BUSUNJU-24h'!C67,'17.08 KAMPALA-BUSUNJU-24h'!C67)</f>
        <v>1</v>
      </c>
      <c r="D67" s="49">
        <f>AVERAGE('16.08 KAMPALA-BUSUNJU-24h'!D67,'17.08 KAMPALA-BUSUNJU-24h'!D67)</f>
        <v>0</v>
      </c>
      <c r="E67" s="49">
        <f>AVERAGE('16.08 KAMPALA-BUSUNJU-24h'!E67,'17.08 KAMPALA-BUSUNJU-24h'!E67)</f>
        <v>0</v>
      </c>
      <c r="F67" s="49">
        <f>AVERAGE('16.08 KAMPALA-BUSUNJU-24h'!F67,'17.08 KAMPALA-BUSUNJU-24h'!F67)</f>
        <v>0</v>
      </c>
      <c r="G67" s="49">
        <f>AVERAGE('16.08 KAMPALA-BUSUNJU-24h'!G67,'17.08 KAMPALA-BUSUNJU-24h'!G67)</f>
        <v>0</v>
      </c>
      <c r="H67" s="49">
        <f>AVERAGE('16.08 KAMPALA-BUSUNJU-24h'!H67,'17.08 KAMPALA-BUSUNJU-24h'!H67)</f>
        <v>0</v>
      </c>
      <c r="I67" s="49">
        <f>AVERAGE('16.08 KAMPALA-BUSUNJU-24h'!I67,'17.08 KAMPALA-BUSUNJU-24h'!I67)</f>
        <v>1</v>
      </c>
      <c r="J67" s="49">
        <f>AVERAGE('16.08 KAMPALA-BUSUNJU-24h'!J67,'17.08 KAMPALA-BUSUNJU-24h'!J67)</f>
        <v>0</v>
      </c>
      <c r="K67" s="49">
        <f>AVERAGE('16.08 KAMPALA-BUSUNJU-24h'!K67,'17.08 KAMPALA-BUSUNJU-24h'!K67)</f>
        <v>0</v>
      </c>
      <c r="L67" s="49">
        <f>AVERAGE('16.08 KAMPALA-BUSUNJU-24h'!L67,'17.08 KAMPALA-BUSUNJU-24h'!L67)</f>
        <v>0</v>
      </c>
      <c r="M67" s="49">
        <f>AVERAGE('16.08 KAMPALA-BUSUNJU-24h'!M67,'17.08 KAMPALA-BUSUNJU-24h'!M67)</f>
        <v>9.5</v>
      </c>
      <c r="N67" s="49">
        <f>AVERAGE('16.08 KAMPALA-BUSUNJU-24h'!N67,'17.08 KAMPALA-BUSUNJU-24h'!N67)</f>
        <v>0</v>
      </c>
      <c r="O67" s="15">
        <f t="shared" si="0"/>
        <v>2</v>
      </c>
      <c r="P67" s="15">
        <f t="shared" si="1"/>
        <v>11.5</v>
      </c>
      <c r="R67" s="8"/>
      <c r="T67"/>
    </row>
    <row r="68" spans="2:20" ht="23.1" customHeight="1" x14ac:dyDescent="0.25">
      <c r="B68" s="23" t="s">
        <v>105</v>
      </c>
      <c r="C68" s="49">
        <f>AVERAGE('16.08 KAMPALA-BUSUNJU-24h'!C68,'17.08 KAMPALA-BUSUNJU-24h'!C68)</f>
        <v>0</v>
      </c>
      <c r="D68" s="49">
        <f>AVERAGE('16.08 KAMPALA-BUSUNJU-24h'!D68,'17.08 KAMPALA-BUSUNJU-24h'!D68)</f>
        <v>0</v>
      </c>
      <c r="E68" s="49">
        <f>AVERAGE('16.08 KAMPALA-BUSUNJU-24h'!E68,'17.08 KAMPALA-BUSUNJU-24h'!E68)</f>
        <v>0</v>
      </c>
      <c r="F68" s="49">
        <f>AVERAGE('16.08 KAMPALA-BUSUNJU-24h'!F68,'17.08 KAMPALA-BUSUNJU-24h'!F68)</f>
        <v>0</v>
      </c>
      <c r="G68" s="49">
        <f>AVERAGE('16.08 KAMPALA-BUSUNJU-24h'!G68,'17.08 KAMPALA-BUSUNJU-24h'!G68)</f>
        <v>0</v>
      </c>
      <c r="H68" s="49">
        <f>AVERAGE('16.08 KAMPALA-BUSUNJU-24h'!H68,'17.08 KAMPALA-BUSUNJU-24h'!H68)</f>
        <v>0</v>
      </c>
      <c r="I68" s="49">
        <f>AVERAGE('16.08 KAMPALA-BUSUNJU-24h'!I68,'17.08 KAMPALA-BUSUNJU-24h'!I68)</f>
        <v>1</v>
      </c>
      <c r="J68" s="49">
        <f>AVERAGE('16.08 KAMPALA-BUSUNJU-24h'!J68,'17.08 KAMPALA-BUSUNJU-24h'!J68)</f>
        <v>0</v>
      </c>
      <c r="K68" s="49">
        <f>AVERAGE('16.08 KAMPALA-BUSUNJU-24h'!K68,'17.08 KAMPALA-BUSUNJU-24h'!K68)</f>
        <v>0</v>
      </c>
      <c r="L68" s="49">
        <f>AVERAGE('16.08 KAMPALA-BUSUNJU-24h'!L68,'17.08 KAMPALA-BUSUNJU-24h'!L68)</f>
        <v>0</v>
      </c>
      <c r="M68" s="49">
        <f>AVERAGE('16.08 KAMPALA-BUSUNJU-24h'!M68,'17.08 KAMPALA-BUSUNJU-24h'!M68)</f>
        <v>10</v>
      </c>
      <c r="N68" s="49">
        <f>AVERAGE('16.08 KAMPALA-BUSUNJU-24h'!N68,'17.08 KAMPALA-BUSUNJU-24h'!N68)</f>
        <v>0</v>
      </c>
      <c r="O68" s="15">
        <f t="shared" si="0"/>
        <v>1</v>
      </c>
      <c r="P68" s="15">
        <f t="shared" si="1"/>
        <v>11</v>
      </c>
      <c r="R68" s="8"/>
      <c r="T68"/>
    </row>
    <row r="69" spans="2:20" ht="23.1" customHeight="1" x14ac:dyDescent="0.25">
      <c r="B69" s="23" t="s">
        <v>106</v>
      </c>
      <c r="C69" s="49">
        <f>AVERAGE('16.08 KAMPALA-BUSUNJU-24h'!C69,'17.08 KAMPALA-BUSUNJU-24h'!C69)</f>
        <v>0</v>
      </c>
      <c r="D69" s="49">
        <f>AVERAGE('16.08 KAMPALA-BUSUNJU-24h'!D69,'17.08 KAMPALA-BUSUNJU-24h'!D69)</f>
        <v>0</v>
      </c>
      <c r="E69" s="49">
        <f>AVERAGE('16.08 KAMPALA-BUSUNJU-24h'!E69,'17.08 KAMPALA-BUSUNJU-24h'!E69)</f>
        <v>0</v>
      </c>
      <c r="F69" s="49">
        <f>AVERAGE('16.08 KAMPALA-BUSUNJU-24h'!F69,'17.08 KAMPALA-BUSUNJU-24h'!F69)</f>
        <v>0</v>
      </c>
      <c r="G69" s="49">
        <f>AVERAGE('16.08 KAMPALA-BUSUNJU-24h'!G69,'17.08 KAMPALA-BUSUNJU-24h'!G69)</f>
        <v>0</v>
      </c>
      <c r="H69" s="49">
        <f>AVERAGE('16.08 KAMPALA-BUSUNJU-24h'!H69,'17.08 KAMPALA-BUSUNJU-24h'!H69)</f>
        <v>0</v>
      </c>
      <c r="I69" s="49">
        <f>AVERAGE('16.08 KAMPALA-BUSUNJU-24h'!I69,'17.08 KAMPALA-BUSUNJU-24h'!I69)</f>
        <v>0</v>
      </c>
      <c r="J69" s="49">
        <f>AVERAGE('16.08 KAMPALA-BUSUNJU-24h'!J69,'17.08 KAMPALA-BUSUNJU-24h'!J69)</f>
        <v>0</v>
      </c>
      <c r="K69" s="49">
        <f>AVERAGE('16.08 KAMPALA-BUSUNJU-24h'!K69,'17.08 KAMPALA-BUSUNJU-24h'!K69)</f>
        <v>0</v>
      </c>
      <c r="L69" s="49">
        <f>AVERAGE('16.08 KAMPALA-BUSUNJU-24h'!L69,'17.08 KAMPALA-BUSUNJU-24h'!L69)</f>
        <v>0</v>
      </c>
      <c r="M69" s="49">
        <f>AVERAGE('16.08 KAMPALA-BUSUNJU-24h'!M69,'17.08 KAMPALA-BUSUNJU-24h'!M69)</f>
        <v>8.5</v>
      </c>
      <c r="N69" s="49">
        <f>AVERAGE('16.08 KAMPALA-BUSUNJU-24h'!N69,'17.08 KAMPALA-BUSUNJU-24h'!N69)</f>
        <v>0</v>
      </c>
      <c r="O69" s="15">
        <f t="shared" si="0"/>
        <v>0</v>
      </c>
      <c r="P69" s="15">
        <f t="shared" si="1"/>
        <v>8.5</v>
      </c>
      <c r="R69" s="8"/>
      <c r="T69"/>
    </row>
    <row r="70" spans="2:20" ht="23.1" customHeight="1" x14ac:dyDescent="0.25">
      <c r="B70" s="23" t="s">
        <v>110</v>
      </c>
      <c r="C70" s="49">
        <f>AVERAGE('16.08 KAMPALA-BUSUNJU-24h'!C70,'17.08 KAMPALA-BUSUNJU-24h'!C70)</f>
        <v>1</v>
      </c>
      <c r="D70" s="49">
        <f>AVERAGE('16.08 KAMPALA-BUSUNJU-24h'!D70,'17.08 KAMPALA-BUSUNJU-24h'!D70)</f>
        <v>0</v>
      </c>
      <c r="E70" s="49">
        <f>AVERAGE('16.08 KAMPALA-BUSUNJU-24h'!E70,'17.08 KAMPALA-BUSUNJU-24h'!E70)</f>
        <v>0</v>
      </c>
      <c r="F70" s="49">
        <f>AVERAGE('16.08 KAMPALA-BUSUNJU-24h'!F70,'17.08 KAMPALA-BUSUNJU-24h'!F70)</f>
        <v>0</v>
      </c>
      <c r="G70" s="49">
        <f>AVERAGE('16.08 KAMPALA-BUSUNJU-24h'!G70,'17.08 KAMPALA-BUSUNJU-24h'!G70)</f>
        <v>0</v>
      </c>
      <c r="H70" s="49">
        <f>AVERAGE('16.08 KAMPALA-BUSUNJU-24h'!H70,'17.08 KAMPALA-BUSUNJU-24h'!H70)</f>
        <v>0</v>
      </c>
      <c r="I70" s="49">
        <f>AVERAGE('16.08 KAMPALA-BUSUNJU-24h'!I70,'17.08 KAMPALA-BUSUNJU-24h'!I70)</f>
        <v>1</v>
      </c>
      <c r="J70" s="49">
        <f>AVERAGE('16.08 KAMPALA-BUSUNJU-24h'!J70,'17.08 KAMPALA-BUSUNJU-24h'!J70)</f>
        <v>0</v>
      </c>
      <c r="K70" s="49">
        <f>AVERAGE('16.08 KAMPALA-BUSUNJU-24h'!K70,'17.08 KAMPALA-BUSUNJU-24h'!K70)</f>
        <v>0</v>
      </c>
      <c r="L70" s="49">
        <f>AVERAGE('16.08 KAMPALA-BUSUNJU-24h'!L70,'17.08 KAMPALA-BUSUNJU-24h'!L70)</f>
        <v>0</v>
      </c>
      <c r="M70" s="49">
        <f>AVERAGE('16.08 KAMPALA-BUSUNJU-24h'!M70,'17.08 KAMPALA-BUSUNJU-24h'!M70)</f>
        <v>8.5</v>
      </c>
      <c r="N70" s="49">
        <f>AVERAGE('16.08 KAMPALA-BUSUNJU-24h'!N70,'17.08 KAMPALA-BUSUNJU-24h'!N70)</f>
        <v>0</v>
      </c>
      <c r="O70" s="15">
        <f t="shared" si="0"/>
        <v>2</v>
      </c>
      <c r="P70" s="15">
        <f t="shared" si="1"/>
        <v>10.5</v>
      </c>
      <c r="R70" s="8"/>
      <c r="T70"/>
    </row>
    <row r="71" spans="2:20" ht="23.1" customHeight="1" x14ac:dyDescent="0.25">
      <c r="B71" s="23" t="s">
        <v>111</v>
      </c>
      <c r="C71" s="49">
        <f>AVERAGE('16.08 KAMPALA-BUSUNJU-24h'!C71,'17.08 KAMPALA-BUSUNJU-24h'!C71)</f>
        <v>1</v>
      </c>
      <c r="D71" s="49">
        <f>AVERAGE('16.08 KAMPALA-BUSUNJU-24h'!D71,'17.08 KAMPALA-BUSUNJU-24h'!D71)</f>
        <v>0</v>
      </c>
      <c r="E71" s="49">
        <f>AVERAGE('16.08 KAMPALA-BUSUNJU-24h'!E71,'17.08 KAMPALA-BUSUNJU-24h'!E71)</f>
        <v>1</v>
      </c>
      <c r="F71" s="49">
        <f>AVERAGE('16.08 KAMPALA-BUSUNJU-24h'!F71,'17.08 KAMPALA-BUSUNJU-24h'!F71)</f>
        <v>0</v>
      </c>
      <c r="G71" s="49">
        <f>AVERAGE('16.08 KAMPALA-BUSUNJU-24h'!G71,'17.08 KAMPALA-BUSUNJU-24h'!G71)</f>
        <v>0</v>
      </c>
      <c r="H71" s="49">
        <f>AVERAGE('16.08 KAMPALA-BUSUNJU-24h'!H71,'17.08 KAMPALA-BUSUNJU-24h'!H71)</f>
        <v>0</v>
      </c>
      <c r="I71" s="49">
        <f>AVERAGE('16.08 KAMPALA-BUSUNJU-24h'!I71,'17.08 KAMPALA-BUSUNJU-24h'!I71)</f>
        <v>1</v>
      </c>
      <c r="J71" s="49">
        <f>AVERAGE('16.08 KAMPALA-BUSUNJU-24h'!J71,'17.08 KAMPALA-BUSUNJU-24h'!J71)</f>
        <v>0</v>
      </c>
      <c r="K71" s="49">
        <f>AVERAGE('16.08 KAMPALA-BUSUNJU-24h'!K71,'17.08 KAMPALA-BUSUNJU-24h'!K71)</f>
        <v>0</v>
      </c>
      <c r="L71" s="49">
        <f>AVERAGE('16.08 KAMPALA-BUSUNJU-24h'!L71,'17.08 KAMPALA-BUSUNJU-24h'!L71)</f>
        <v>0</v>
      </c>
      <c r="M71" s="49">
        <f>AVERAGE('16.08 KAMPALA-BUSUNJU-24h'!M71,'17.08 KAMPALA-BUSUNJU-24h'!M71)</f>
        <v>8.5</v>
      </c>
      <c r="N71" s="49">
        <f>AVERAGE('16.08 KAMPALA-BUSUNJU-24h'!N71,'17.08 KAMPALA-BUSUNJU-24h'!N71)</f>
        <v>0</v>
      </c>
      <c r="O71" s="15">
        <f t="shared" si="0"/>
        <v>3</v>
      </c>
      <c r="P71" s="15">
        <f t="shared" si="1"/>
        <v>11.5</v>
      </c>
      <c r="R71" s="8"/>
      <c r="T71"/>
    </row>
    <row r="72" spans="2:20" ht="23.1" customHeight="1" x14ac:dyDescent="0.25">
      <c r="B72" s="23" t="s">
        <v>112</v>
      </c>
      <c r="C72" s="49">
        <f>AVERAGE('16.08 KAMPALA-BUSUNJU-24h'!C72,'17.08 KAMPALA-BUSUNJU-24h'!C72)</f>
        <v>0</v>
      </c>
      <c r="D72" s="49">
        <f>AVERAGE('16.08 KAMPALA-BUSUNJU-24h'!D72,'17.08 KAMPALA-BUSUNJU-24h'!D72)</f>
        <v>0</v>
      </c>
      <c r="E72" s="49">
        <f>AVERAGE('16.08 KAMPALA-BUSUNJU-24h'!E72,'17.08 KAMPALA-BUSUNJU-24h'!E72)</f>
        <v>0</v>
      </c>
      <c r="F72" s="49">
        <f>AVERAGE('16.08 KAMPALA-BUSUNJU-24h'!F72,'17.08 KAMPALA-BUSUNJU-24h'!F72)</f>
        <v>0</v>
      </c>
      <c r="G72" s="49">
        <f>AVERAGE('16.08 KAMPALA-BUSUNJU-24h'!G72,'17.08 KAMPALA-BUSUNJU-24h'!G72)</f>
        <v>0</v>
      </c>
      <c r="H72" s="49">
        <f>AVERAGE('16.08 KAMPALA-BUSUNJU-24h'!H72,'17.08 KAMPALA-BUSUNJU-24h'!H72)</f>
        <v>0</v>
      </c>
      <c r="I72" s="49">
        <f>AVERAGE('16.08 KAMPALA-BUSUNJU-24h'!I72,'17.08 KAMPALA-BUSUNJU-24h'!I72)</f>
        <v>1</v>
      </c>
      <c r="J72" s="49">
        <f>AVERAGE('16.08 KAMPALA-BUSUNJU-24h'!J72,'17.08 KAMPALA-BUSUNJU-24h'!J72)</f>
        <v>0</v>
      </c>
      <c r="K72" s="49">
        <f>AVERAGE('16.08 KAMPALA-BUSUNJU-24h'!K72,'17.08 KAMPALA-BUSUNJU-24h'!K72)</f>
        <v>0</v>
      </c>
      <c r="L72" s="49">
        <f>AVERAGE('16.08 KAMPALA-BUSUNJU-24h'!L72,'17.08 KAMPALA-BUSUNJU-24h'!L72)</f>
        <v>0</v>
      </c>
      <c r="M72" s="49">
        <f>AVERAGE('16.08 KAMPALA-BUSUNJU-24h'!M72,'17.08 KAMPALA-BUSUNJU-24h'!M72)</f>
        <v>7.5</v>
      </c>
      <c r="N72" s="49">
        <f>AVERAGE('16.08 KAMPALA-BUSUNJU-24h'!N72,'17.08 KAMPALA-BUSUNJU-24h'!N72)</f>
        <v>0</v>
      </c>
      <c r="O72" s="15">
        <f t="shared" si="0"/>
        <v>1</v>
      </c>
      <c r="P72" s="15">
        <f t="shared" si="1"/>
        <v>8.5</v>
      </c>
      <c r="R72" s="8"/>
      <c r="T72"/>
    </row>
    <row r="73" spans="2:20" ht="23.1" customHeight="1" x14ac:dyDescent="0.25">
      <c r="B73" s="23" t="s">
        <v>113</v>
      </c>
      <c r="C73" s="49">
        <f>AVERAGE('16.08 KAMPALA-BUSUNJU-24h'!C73,'17.08 KAMPALA-BUSUNJU-24h'!C73)</f>
        <v>0</v>
      </c>
      <c r="D73" s="49">
        <f>AVERAGE('16.08 KAMPALA-BUSUNJU-24h'!D73,'17.08 KAMPALA-BUSUNJU-24h'!D73)</f>
        <v>0</v>
      </c>
      <c r="E73" s="49">
        <f>AVERAGE('16.08 KAMPALA-BUSUNJU-24h'!E73,'17.08 KAMPALA-BUSUNJU-24h'!E73)</f>
        <v>1</v>
      </c>
      <c r="F73" s="49">
        <f>AVERAGE('16.08 KAMPALA-BUSUNJU-24h'!F73,'17.08 KAMPALA-BUSUNJU-24h'!F73)</f>
        <v>0</v>
      </c>
      <c r="G73" s="49">
        <f>AVERAGE('16.08 KAMPALA-BUSUNJU-24h'!G73,'17.08 KAMPALA-BUSUNJU-24h'!G73)</f>
        <v>0</v>
      </c>
      <c r="H73" s="49">
        <f>AVERAGE('16.08 KAMPALA-BUSUNJU-24h'!H73,'17.08 KAMPALA-BUSUNJU-24h'!H73)</f>
        <v>0</v>
      </c>
      <c r="I73" s="49">
        <f>AVERAGE('16.08 KAMPALA-BUSUNJU-24h'!I73,'17.08 KAMPALA-BUSUNJU-24h'!I73)</f>
        <v>1</v>
      </c>
      <c r="J73" s="49">
        <f>AVERAGE('16.08 KAMPALA-BUSUNJU-24h'!J73,'17.08 KAMPALA-BUSUNJU-24h'!J73)</f>
        <v>0</v>
      </c>
      <c r="K73" s="49">
        <f>AVERAGE('16.08 KAMPALA-BUSUNJU-24h'!K73,'17.08 KAMPALA-BUSUNJU-24h'!K73)</f>
        <v>0</v>
      </c>
      <c r="L73" s="49">
        <f>AVERAGE('16.08 KAMPALA-BUSUNJU-24h'!L73,'17.08 KAMPALA-BUSUNJU-24h'!L73)</f>
        <v>0</v>
      </c>
      <c r="M73" s="49">
        <f>AVERAGE('16.08 KAMPALA-BUSUNJU-24h'!M73,'17.08 KAMPALA-BUSUNJU-24h'!M73)</f>
        <v>7.5</v>
      </c>
      <c r="N73" s="49">
        <f>AVERAGE('16.08 KAMPALA-BUSUNJU-24h'!N73,'17.08 KAMPALA-BUSUNJU-24h'!N73)</f>
        <v>0</v>
      </c>
      <c r="O73" s="15">
        <f t="shared" si="0"/>
        <v>2</v>
      </c>
      <c r="P73" s="15">
        <f t="shared" si="1"/>
        <v>9.5</v>
      </c>
      <c r="R73" s="8"/>
      <c r="T73"/>
    </row>
    <row r="74" spans="2:20" ht="23.1" customHeight="1" x14ac:dyDescent="0.25">
      <c r="B74" s="23" t="s">
        <v>114</v>
      </c>
      <c r="C74" s="49">
        <f>AVERAGE('16.08 KAMPALA-BUSUNJU-24h'!C74,'17.08 KAMPALA-BUSUNJU-24h'!C74)</f>
        <v>1</v>
      </c>
      <c r="D74" s="49">
        <f>AVERAGE('16.08 KAMPALA-BUSUNJU-24h'!D74,'17.08 KAMPALA-BUSUNJU-24h'!D74)</f>
        <v>0</v>
      </c>
      <c r="E74" s="49">
        <f>AVERAGE('16.08 KAMPALA-BUSUNJU-24h'!E74,'17.08 KAMPALA-BUSUNJU-24h'!E74)</f>
        <v>1</v>
      </c>
      <c r="F74" s="49">
        <f>AVERAGE('16.08 KAMPALA-BUSUNJU-24h'!F74,'17.08 KAMPALA-BUSUNJU-24h'!F74)</f>
        <v>0</v>
      </c>
      <c r="G74" s="49">
        <f>AVERAGE('16.08 KAMPALA-BUSUNJU-24h'!G74,'17.08 KAMPALA-BUSUNJU-24h'!G74)</f>
        <v>0</v>
      </c>
      <c r="H74" s="49">
        <f>AVERAGE('16.08 KAMPALA-BUSUNJU-24h'!H74,'17.08 KAMPALA-BUSUNJU-24h'!H74)</f>
        <v>0</v>
      </c>
      <c r="I74" s="49">
        <f>AVERAGE('16.08 KAMPALA-BUSUNJU-24h'!I74,'17.08 KAMPALA-BUSUNJU-24h'!I74)</f>
        <v>1</v>
      </c>
      <c r="J74" s="49">
        <f>AVERAGE('16.08 KAMPALA-BUSUNJU-24h'!J74,'17.08 KAMPALA-BUSUNJU-24h'!J74)</f>
        <v>0</v>
      </c>
      <c r="K74" s="49">
        <f>AVERAGE('16.08 KAMPALA-BUSUNJU-24h'!K74,'17.08 KAMPALA-BUSUNJU-24h'!K74)</f>
        <v>0</v>
      </c>
      <c r="L74" s="49">
        <f>AVERAGE('16.08 KAMPALA-BUSUNJU-24h'!L74,'17.08 KAMPALA-BUSUNJU-24h'!L74)</f>
        <v>0</v>
      </c>
      <c r="M74" s="49">
        <f>AVERAGE('16.08 KAMPALA-BUSUNJU-24h'!M74,'17.08 KAMPALA-BUSUNJU-24h'!M74)</f>
        <v>7.5</v>
      </c>
      <c r="N74" s="49">
        <f>AVERAGE('16.08 KAMPALA-BUSUNJU-24h'!N74,'17.08 KAMPALA-BUSUNJU-24h'!N74)</f>
        <v>0</v>
      </c>
      <c r="O74" s="15">
        <f t="shared" ref="O74:O105" si="35">SUM(C74:L74,N74)</f>
        <v>3</v>
      </c>
      <c r="P74" s="15">
        <f t="shared" ref="P74:P105" si="36">SUM(C74:N74)</f>
        <v>10.5</v>
      </c>
      <c r="R74" s="8"/>
      <c r="T74"/>
    </row>
    <row r="75" spans="2:20" ht="23.1" customHeight="1" x14ac:dyDescent="0.25">
      <c r="B75" s="23" t="s">
        <v>115</v>
      </c>
      <c r="C75" s="49">
        <f>AVERAGE('16.08 KAMPALA-BUSUNJU-24h'!C75,'17.08 KAMPALA-BUSUNJU-24h'!C75)</f>
        <v>1.5</v>
      </c>
      <c r="D75" s="49">
        <f>AVERAGE('16.08 KAMPALA-BUSUNJU-24h'!D75,'17.08 KAMPALA-BUSUNJU-24h'!D75)</f>
        <v>0</v>
      </c>
      <c r="E75" s="49">
        <f>AVERAGE('16.08 KAMPALA-BUSUNJU-24h'!E75,'17.08 KAMPALA-BUSUNJU-24h'!E75)</f>
        <v>1</v>
      </c>
      <c r="F75" s="49">
        <f>AVERAGE('16.08 KAMPALA-BUSUNJU-24h'!F75,'17.08 KAMPALA-BUSUNJU-24h'!F75)</f>
        <v>0</v>
      </c>
      <c r="G75" s="49">
        <f>AVERAGE('16.08 KAMPALA-BUSUNJU-24h'!G75,'17.08 KAMPALA-BUSUNJU-24h'!G75)</f>
        <v>0</v>
      </c>
      <c r="H75" s="49">
        <f>AVERAGE('16.08 KAMPALA-BUSUNJU-24h'!H75,'17.08 KAMPALA-BUSUNJU-24h'!H75)</f>
        <v>0</v>
      </c>
      <c r="I75" s="49">
        <f>AVERAGE('16.08 KAMPALA-BUSUNJU-24h'!I75,'17.08 KAMPALA-BUSUNJU-24h'!I75)</f>
        <v>0</v>
      </c>
      <c r="J75" s="49">
        <f>AVERAGE('16.08 KAMPALA-BUSUNJU-24h'!J75,'17.08 KAMPALA-BUSUNJU-24h'!J75)</f>
        <v>0</v>
      </c>
      <c r="K75" s="49">
        <f>AVERAGE('16.08 KAMPALA-BUSUNJU-24h'!K75,'17.08 KAMPALA-BUSUNJU-24h'!K75)</f>
        <v>0</v>
      </c>
      <c r="L75" s="49">
        <f>AVERAGE('16.08 KAMPALA-BUSUNJU-24h'!L75,'17.08 KAMPALA-BUSUNJU-24h'!L75)</f>
        <v>0</v>
      </c>
      <c r="M75" s="49">
        <f>AVERAGE('16.08 KAMPALA-BUSUNJU-24h'!M75,'17.08 KAMPALA-BUSUNJU-24h'!M75)</f>
        <v>7.5</v>
      </c>
      <c r="N75" s="49">
        <f>AVERAGE('16.08 KAMPALA-BUSUNJU-24h'!N75,'17.08 KAMPALA-BUSUNJU-24h'!N75)</f>
        <v>0</v>
      </c>
      <c r="O75" s="15">
        <f t="shared" si="35"/>
        <v>2.5</v>
      </c>
      <c r="P75" s="15">
        <f t="shared" si="36"/>
        <v>10</v>
      </c>
      <c r="R75" s="8"/>
      <c r="T75"/>
    </row>
    <row r="76" spans="2:20" ht="23.1" customHeight="1" x14ac:dyDescent="0.25">
      <c r="B76" s="23" t="s">
        <v>116</v>
      </c>
      <c r="C76" s="49">
        <f>AVERAGE('16.08 KAMPALA-BUSUNJU-24h'!C76,'17.08 KAMPALA-BUSUNJU-24h'!C76)</f>
        <v>1</v>
      </c>
      <c r="D76" s="49">
        <f>AVERAGE('16.08 KAMPALA-BUSUNJU-24h'!D76,'17.08 KAMPALA-BUSUNJU-24h'!D76)</f>
        <v>0</v>
      </c>
      <c r="E76" s="49">
        <f>AVERAGE('16.08 KAMPALA-BUSUNJU-24h'!E76,'17.08 KAMPALA-BUSUNJU-24h'!E76)</f>
        <v>1</v>
      </c>
      <c r="F76" s="49">
        <f>AVERAGE('16.08 KAMPALA-BUSUNJU-24h'!F76,'17.08 KAMPALA-BUSUNJU-24h'!F76)</f>
        <v>0</v>
      </c>
      <c r="G76" s="49">
        <f>AVERAGE('16.08 KAMPALA-BUSUNJU-24h'!G76,'17.08 KAMPALA-BUSUNJU-24h'!G76)</f>
        <v>0</v>
      </c>
      <c r="H76" s="49">
        <f>AVERAGE('16.08 KAMPALA-BUSUNJU-24h'!H76,'17.08 KAMPALA-BUSUNJU-24h'!H76)</f>
        <v>0</v>
      </c>
      <c r="I76" s="49">
        <f>AVERAGE('16.08 KAMPALA-BUSUNJU-24h'!I76,'17.08 KAMPALA-BUSUNJU-24h'!I76)</f>
        <v>1</v>
      </c>
      <c r="J76" s="49">
        <f>AVERAGE('16.08 KAMPALA-BUSUNJU-24h'!J76,'17.08 KAMPALA-BUSUNJU-24h'!J76)</f>
        <v>0</v>
      </c>
      <c r="K76" s="49">
        <f>AVERAGE('16.08 KAMPALA-BUSUNJU-24h'!K76,'17.08 KAMPALA-BUSUNJU-24h'!K76)</f>
        <v>0</v>
      </c>
      <c r="L76" s="49">
        <f>AVERAGE('16.08 KAMPALA-BUSUNJU-24h'!L76,'17.08 KAMPALA-BUSUNJU-24h'!L76)</f>
        <v>0</v>
      </c>
      <c r="M76" s="49">
        <f>AVERAGE('16.08 KAMPALA-BUSUNJU-24h'!M76,'17.08 KAMPALA-BUSUNJU-24h'!M76)</f>
        <v>8.5</v>
      </c>
      <c r="N76" s="49">
        <f>AVERAGE('16.08 KAMPALA-BUSUNJU-24h'!N76,'17.08 KAMPALA-BUSUNJU-24h'!N76)</f>
        <v>0</v>
      </c>
      <c r="O76" s="15">
        <f t="shared" si="35"/>
        <v>3</v>
      </c>
      <c r="P76" s="15">
        <f t="shared" si="36"/>
        <v>11.5</v>
      </c>
      <c r="R76" s="8"/>
      <c r="T76"/>
    </row>
    <row r="77" spans="2:20" ht="23.1" customHeight="1" x14ac:dyDescent="0.25">
      <c r="B77" s="23" t="s">
        <v>117</v>
      </c>
      <c r="C77" s="49">
        <f>AVERAGE('16.08 KAMPALA-BUSUNJU-24h'!C77,'17.08 KAMPALA-BUSUNJU-24h'!C77)</f>
        <v>1</v>
      </c>
      <c r="D77" s="49">
        <f>AVERAGE('16.08 KAMPALA-BUSUNJU-24h'!D77,'17.08 KAMPALA-BUSUNJU-24h'!D77)</f>
        <v>0</v>
      </c>
      <c r="E77" s="49">
        <f>AVERAGE('16.08 KAMPALA-BUSUNJU-24h'!E77,'17.08 KAMPALA-BUSUNJU-24h'!E77)</f>
        <v>1</v>
      </c>
      <c r="F77" s="49">
        <f>AVERAGE('16.08 KAMPALA-BUSUNJU-24h'!F77,'17.08 KAMPALA-BUSUNJU-24h'!F77)</f>
        <v>0</v>
      </c>
      <c r="G77" s="49">
        <f>AVERAGE('16.08 KAMPALA-BUSUNJU-24h'!G77,'17.08 KAMPALA-BUSUNJU-24h'!G77)</f>
        <v>0</v>
      </c>
      <c r="H77" s="49">
        <f>AVERAGE('16.08 KAMPALA-BUSUNJU-24h'!H77,'17.08 KAMPALA-BUSUNJU-24h'!H77)</f>
        <v>0</v>
      </c>
      <c r="I77" s="49">
        <f>AVERAGE('16.08 KAMPALA-BUSUNJU-24h'!I77,'17.08 KAMPALA-BUSUNJU-24h'!I77)</f>
        <v>1</v>
      </c>
      <c r="J77" s="49">
        <f>AVERAGE('16.08 KAMPALA-BUSUNJU-24h'!J77,'17.08 KAMPALA-BUSUNJU-24h'!J77)</f>
        <v>0</v>
      </c>
      <c r="K77" s="49">
        <f>AVERAGE('16.08 KAMPALA-BUSUNJU-24h'!K77,'17.08 KAMPALA-BUSUNJU-24h'!K77)</f>
        <v>0</v>
      </c>
      <c r="L77" s="49">
        <f>AVERAGE('16.08 KAMPALA-BUSUNJU-24h'!L77,'17.08 KAMPALA-BUSUNJU-24h'!L77)</f>
        <v>0</v>
      </c>
      <c r="M77" s="49">
        <f>AVERAGE('16.08 KAMPALA-BUSUNJU-24h'!M77,'17.08 KAMPALA-BUSUNJU-24h'!M77)</f>
        <v>7</v>
      </c>
      <c r="N77" s="49">
        <f>AVERAGE('16.08 KAMPALA-BUSUNJU-24h'!N77,'17.08 KAMPALA-BUSUNJU-24h'!N77)</f>
        <v>0</v>
      </c>
      <c r="O77" s="15">
        <f t="shared" si="35"/>
        <v>3</v>
      </c>
      <c r="P77" s="15">
        <f t="shared" si="36"/>
        <v>10</v>
      </c>
      <c r="R77" s="8"/>
      <c r="T77"/>
    </row>
    <row r="78" spans="2:20" ht="23.1" customHeight="1" x14ac:dyDescent="0.25">
      <c r="B78" s="24" t="s">
        <v>118</v>
      </c>
      <c r="C78" s="49">
        <f>AVERAGE('16.08 KAMPALA-BUSUNJU-24h'!C78,'17.08 KAMPALA-BUSUNJU-24h'!C78)</f>
        <v>1</v>
      </c>
      <c r="D78" s="49">
        <f>AVERAGE('16.08 KAMPALA-BUSUNJU-24h'!D78,'17.08 KAMPALA-BUSUNJU-24h'!D78)</f>
        <v>0</v>
      </c>
      <c r="E78" s="49">
        <f>AVERAGE('16.08 KAMPALA-BUSUNJU-24h'!E78,'17.08 KAMPALA-BUSUNJU-24h'!E78)</f>
        <v>0</v>
      </c>
      <c r="F78" s="49">
        <f>AVERAGE('16.08 KAMPALA-BUSUNJU-24h'!F78,'17.08 KAMPALA-BUSUNJU-24h'!F78)</f>
        <v>0</v>
      </c>
      <c r="G78" s="49">
        <f>AVERAGE('16.08 KAMPALA-BUSUNJU-24h'!G78,'17.08 KAMPALA-BUSUNJU-24h'!G78)</f>
        <v>0</v>
      </c>
      <c r="H78" s="49">
        <f>AVERAGE('16.08 KAMPALA-BUSUNJU-24h'!H78,'17.08 KAMPALA-BUSUNJU-24h'!H78)</f>
        <v>0</v>
      </c>
      <c r="I78" s="49">
        <f>AVERAGE('16.08 KAMPALA-BUSUNJU-24h'!I78,'17.08 KAMPALA-BUSUNJU-24h'!I78)</f>
        <v>1</v>
      </c>
      <c r="J78" s="49">
        <f>AVERAGE('16.08 KAMPALA-BUSUNJU-24h'!J78,'17.08 KAMPALA-BUSUNJU-24h'!J78)</f>
        <v>0</v>
      </c>
      <c r="K78" s="49">
        <f>AVERAGE('16.08 KAMPALA-BUSUNJU-24h'!K78,'17.08 KAMPALA-BUSUNJU-24h'!K78)</f>
        <v>0</v>
      </c>
      <c r="L78" s="49">
        <f>AVERAGE('16.08 KAMPALA-BUSUNJU-24h'!L78,'17.08 KAMPALA-BUSUNJU-24h'!L78)</f>
        <v>0</v>
      </c>
      <c r="M78" s="49">
        <f>AVERAGE('16.08 KAMPALA-BUSUNJU-24h'!M78,'17.08 KAMPALA-BUSUNJU-24h'!M78)</f>
        <v>7.5</v>
      </c>
      <c r="N78" s="49">
        <f>AVERAGE('16.08 KAMPALA-BUSUNJU-24h'!N78,'17.08 KAMPALA-BUSUNJU-24h'!N78)</f>
        <v>0</v>
      </c>
      <c r="O78" s="15">
        <f t="shared" si="35"/>
        <v>2</v>
      </c>
      <c r="P78" s="15">
        <f t="shared" si="36"/>
        <v>9.5</v>
      </c>
      <c r="R78" s="8"/>
      <c r="T78"/>
    </row>
    <row r="79" spans="2:20" ht="23.1" customHeight="1" x14ac:dyDescent="0.25">
      <c r="B79" s="23" t="s">
        <v>119</v>
      </c>
      <c r="C79" s="49">
        <f>AVERAGE('16.08 KAMPALA-BUSUNJU-24h'!C79,'17.08 KAMPALA-BUSUNJU-24h'!C79)</f>
        <v>0</v>
      </c>
      <c r="D79" s="49">
        <f>AVERAGE('16.08 KAMPALA-BUSUNJU-24h'!D79,'17.08 KAMPALA-BUSUNJU-24h'!D79)</f>
        <v>0</v>
      </c>
      <c r="E79" s="49">
        <f>AVERAGE('16.08 KAMPALA-BUSUNJU-24h'!E79,'17.08 KAMPALA-BUSUNJU-24h'!E79)</f>
        <v>1</v>
      </c>
      <c r="F79" s="49">
        <f>AVERAGE('16.08 KAMPALA-BUSUNJU-24h'!F79,'17.08 KAMPALA-BUSUNJU-24h'!F79)</f>
        <v>0</v>
      </c>
      <c r="G79" s="49">
        <f>AVERAGE('16.08 KAMPALA-BUSUNJU-24h'!G79,'17.08 KAMPALA-BUSUNJU-24h'!G79)</f>
        <v>0</v>
      </c>
      <c r="H79" s="49">
        <f>AVERAGE('16.08 KAMPALA-BUSUNJU-24h'!H79,'17.08 KAMPALA-BUSUNJU-24h'!H79)</f>
        <v>0</v>
      </c>
      <c r="I79" s="49">
        <f>AVERAGE('16.08 KAMPALA-BUSUNJU-24h'!I79,'17.08 KAMPALA-BUSUNJU-24h'!I79)</f>
        <v>1</v>
      </c>
      <c r="J79" s="49">
        <f>AVERAGE('16.08 KAMPALA-BUSUNJU-24h'!J79,'17.08 KAMPALA-BUSUNJU-24h'!J79)</f>
        <v>0</v>
      </c>
      <c r="K79" s="49">
        <f>AVERAGE('16.08 KAMPALA-BUSUNJU-24h'!K79,'17.08 KAMPALA-BUSUNJU-24h'!K79)</f>
        <v>0</v>
      </c>
      <c r="L79" s="49">
        <f>AVERAGE('16.08 KAMPALA-BUSUNJU-24h'!L79,'17.08 KAMPALA-BUSUNJU-24h'!L79)</f>
        <v>0</v>
      </c>
      <c r="M79" s="49">
        <f>AVERAGE('16.08 KAMPALA-BUSUNJU-24h'!M79,'17.08 KAMPALA-BUSUNJU-24h'!M79)</f>
        <v>5</v>
      </c>
      <c r="N79" s="49">
        <f>AVERAGE('16.08 KAMPALA-BUSUNJU-24h'!N79,'17.08 KAMPALA-BUSUNJU-24h'!N79)</f>
        <v>0</v>
      </c>
      <c r="O79" s="15">
        <f t="shared" si="35"/>
        <v>2</v>
      </c>
      <c r="P79" s="15">
        <f t="shared" si="36"/>
        <v>7</v>
      </c>
      <c r="R79" s="8"/>
      <c r="T79"/>
    </row>
    <row r="80" spans="2:20" ht="23.1" customHeight="1" x14ac:dyDescent="0.25">
      <c r="B80" s="25" t="s">
        <v>120</v>
      </c>
      <c r="C80" s="49">
        <f>AVERAGE('16.08 KAMPALA-BUSUNJU-24h'!C80,'17.08 KAMPALA-BUSUNJU-24h'!C80)</f>
        <v>0</v>
      </c>
      <c r="D80" s="49">
        <f>AVERAGE('16.08 KAMPALA-BUSUNJU-24h'!D80,'17.08 KAMPALA-BUSUNJU-24h'!D80)</f>
        <v>0</v>
      </c>
      <c r="E80" s="49">
        <f>AVERAGE('16.08 KAMPALA-BUSUNJU-24h'!E80,'17.08 KAMPALA-BUSUNJU-24h'!E80)</f>
        <v>0</v>
      </c>
      <c r="F80" s="49">
        <f>AVERAGE('16.08 KAMPALA-BUSUNJU-24h'!F80,'17.08 KAMPALA-BUSUNJU-24h'!F80)</f>
        <v>0</v>
      </c>
      <c r="G80" s="49">
        <f>AVERAGE('16.08 KAMPALA-BUSUNJU-24h'!G80,'17.08 KAMPALA-BUSUNJU-24h'!G80)</f>
        <v>0</v>
      </c>
      <c r="H80" s="49">
        <f>AVERAGE('16.08 KAMPALA-BUSUNJU-24h'!H80,'17.08 KAMPALA-BUSUNJU-24h'!H80)</f>
        <v>0</v>
      </c>
      <c r="I80" s="49">
        <f>AVERAGE('16.08 KAMPALA-BUSUNJU-24h'!I80,'17.08 KAMPALA-BUSUNJU-24h'!I80)</f>
        <v>0</v>
      </c>
      <c r="J80" s="49">
        <f>AVERAGE('16.08 KAMPALA-BUSUNJU-24h'!J80,'17.08 KAMPALA-BUSUNJU-24h'!J80)</f>
        <v>0</v>
      </c>
      <c r="K80" s="49">
        <f>AVERAGE('16.08 KAMPALA-BUSUNJU-24h'!K80,'17.08 KAMPALA-BUSUNJU-24h'!K80)</f>
        <v>0</v>
      </c>
      <c r="L80" s="49">
        <f>AVERAGE('16.08 KAMPALA-BUSUNJU-24h'!L80,'17.08 KAMPALA-BUSUNJU-24h'!L80)</f>
        <v>0</v>
      </c>
      <c r="M80" s="49">
        <f>AVERAGE('16.08 KAMPALA-BUSUNJU-24h'!M80,'17.08 KAMPALA-BUSUNJU-24h'!M80)</f>
        <v>5</v>
      </c>
      <c r="N80" s="49">
        <f>AVERAGE('16.08 KAMPALA-BUSUNJU-24h'!N80,'17.08 KAMPALA-BUSUNJU-24h'!N80)</f>
        <v>0</v>
      </c>
      <c r="O80" s="15">
        <f t="shared" si="35"/>
        <v>0</v>
      </c>
      <c r="P80" s="15">
        <f t="shared" si="36"/>
        <v>5</v>
      </c>
      <c r="R80" s="8"/>
      <c r="T80"/>
    </row>
    <row r="81" spans="2:20" ht="23.1" customHeight="1" x14ac:dyDescent="0.25">
      <c r="B81" s="23" t="s">
        <v>121</v>
      </c>
      <c r="C81" s="49">
        <f>AVERAGE('16.08 KAMPALA-BUSUNJU-24h'!C81,'17.08 KAMPALA-BUSUNJU-24h'!C81)</f>
        <v>0</v>
      </c>
      <c r="D81" s="49">
        <f>AVERAGE('16.08 KAMPALA-BUSUNJU-24h'!D81,'17.08 KAMPALA-BUSUNJU-24h'!D81)</f>
        <v>0</v>
      </c>
      <c r="E81" s="49">
        <f>AVERAGE('16.08 KAMPALA-BUSUNJU-24h'!E81,'17.08 KAMPALA-BUSUNJU-24h'!E81)</f>
        <v>1</v>
      </c>
      <c r="F81" s="49">
        <f>AVERAGE('16.08 KAMPALA-BUSUNJU-24h'!F81,'17.08 KAMPALA-BUSUNJU-24h'!F81)</f>
        <v>0</v>
      </c>
      <c r="G81" s="49">
        <f>AVERAGE('16.08 KAMPALA-BUSUNJU-24h'!G81,'17.08 KAMPALA-BUSUNJU-24h'!G81)</f>
        <v>0</v>
      </c>
      <c r="H81" s="49">
        <f>AVERAGE('16.08 KAMPALA-BUSUNJU-24h'!H81,'17.08 KAMPALA-BUSUNJU-24h'!H81)</f>
        <v>0</v>
      </c>
      <c r="I81" s="49">
        <f>AVERAGE('16.08 KAMPALA-BUSUNJU-24h'!I81,'17.08 KAMPALA-BUSUNJU-24h'!I81)</f>
        <v>0</v>
      </c>
      <c r="J81" s="49">
        <f>AVERAGE('16.08 KAMPALA-BUSUNJU-24h'!J81,'17.08 KAMPALA-BUSUNJU-24h'!J81)</f>
        <v>0</v>
      </c>
      <c r="K81" s="49">
        <f>AVERAGE('16.08 KAMPALA-BUSUNJU-24h'!K81,'17.08 KAMPALA-BUSUNJU-24h'!K81)</f>
        <v>0</v>
      </c>
      <c r="L81" s="49">
        <f>AVERAGE('16.08 KAMPALA-BUSUNJU-24h'!L81,'17.08 KAMPALA-BUSUNJU-24h'!L81)</f>
        <v>0</v>
      </c>
      <c r="M81" s="49">
        <f>AVERAGE('16.08 KAMPALA-BUSUNJU-24h'!M81,'17.08 KAMPALA-BUSUNJU-24h'!M81)</f>
        <v>6</v>
      </c>
      <c r="N81" s="49">
        <f>AVERAGE('16.08 KAMPALA-BUSUNJU-24h'!N81,'17.08 KAMPALA-BUSUNJU-24h'!N81)</f>
        <v>0</v>
      </c>
      <c r="O81" s="15">
        <f t="shared" si="35"/>
        <v>1</v>
      </c>
      <c r="P81" s="15">
        <f t="shared" si="36"/>
        <v>7</v>
      </c>
      <c r="R81" s="8"/>
      <c r="T81"/>
    </row>
    <row r="82" spans="2:20" ht="23.1" customHeight="1" x14ac:dyDescent="0.25">
      <c r="B82" s="24" t="s">
        <v>122</v>
      </c>
      <c r="C82" s="49">
        <f>AVERAGE('16.08 KAMPALA-BUSUNJU-24h'!C82,'17.08 KAMPALA-BUSUNJU-24h'!C82)</f>
        <v>1</v>
      </c>
      <c r="D82" s="49">
        <f>AVERAGE('16.08 KAMPALA-BUSUNJU-24h'!D82,'17.08 KAMPALA-BUSUNJU-24h'!D82)</f>
        <v>0</v>
      </c>
      <c r="E82" s="49">
        <f>AVERAGE('16.08 KAMPALA-BUSUNJU-24h'!E82,'17.08 KAMPALA-BUSUNJU-24h'!E82)</f>
        <v>0</v>
      </c>
      <c r="F82" s="49">
        <f>AVERAGE('16.08 KAMPALA-BUSUNJU-24h'!F82,'17.08 KAMPALA-BUSUNJU-24h'!F82)</f>
        <v>0</v>
      </c>
      <c r="G82" s="49">
        <f>AVERAGE('16.08 KAMPALA-BUSUNJU-24h'!G82,'17.08 KAMPALA-BUSUNJU-24h'!G82)</f>
        <v>0</v>
      </c>
      <c r="H82" s="49">
        <f>AVERAGE('16.08 KAMPALA-BUSUNJU-24h'!H82,'17.08 KAMPALA-BUSUNJU-24h'!H82)</f>
        <v>0</v>
      </c>
      <c r="I82" s="49">
        <f>AVERAGE('16.08 KAMPALA-BUSUNJU-24h'!I82,'17.08 KAMPALA-BUSUNJU-24h'!I82)</f>
        <v>1</v>
      </c>
      <c r="J82" s="49">
        <f>AVERAGE('16.08 KAMPALA-BUSUNJU-24h'!J82,'17.08 KAMPALA-BUSUNJU-24h'!J82)</f>
        <v>0</v>
      </c>
      <c r="K82" s="49">
        <f>AVERAGE('16.08 KAMPALA-BUSUNJU-24h'!K82,'17.08 KAMPALA-BUSUNJU-24h'!K82)</f>
        <v>0</v>
      </c>
      <c r="L82" s="49">
        <f>AVERAGE('16.08 KAMPALA-BUSUNJU-24h'!L82,'17.08 KAMPALA-BUSUNJU-24h'!L82)</f>
        <v>0</v>
      </c>
      <c r="M82" s="49">
        <f>AVERAGE('16.08 KAMPALA-BUSUNJU-24h'!M82,'17.08 KAMPALA-BUSUNJU-24h'!M82)</f>
        <v>5</v>
      </c>
      <c r="N82" s="49">
        <f>AVERAGE('16.08 KAMPALA-BUSUNJU-24h'!N82,'17.08 KAMPALA-BUSUNJU-24h'!N82)</f>
        <v>0</v>
      </c>
      <c r="O82" s="15">
        <f t="shared" si="35"/>
        <v>2</v>
      </c>
      <c r="P82" s="15">
        <f t="shared" si="36"/>
        <v>7</v>
      </c>
      <c r="R82" s="8"/>
      <c r="T82"/>
    </row>
    <row r="83" spans="2:20" ht="23.1" customHeight="1" x14ac:dyDescent="0.25">
      <c r="B83" s="23" t="s">
        <v>123</v>
      </c>
      <c r="C83" s="49">
        <f>AVERAGE('16.08 KAMPALA-BUSUNJU-24h'!C83,'17.08 KAMPALA-BUSUNJU-24h'!C83)</f>
        <v>0</v>
      </c>
      <c r="D83" s="49">
        <f>AVERAGE('16.08 KAMPALA-BUSUNJU-24h'!D83,'17.08 KAMPALA-BUSUNJU-24h'!D83)</f>
        <v>0</v>
      </c>
      <c r="E83" s="49">
        <f>AVERAGE('16.08 KAMPALA-BUSUNJU-24h'!E83,'17.08 KAMPALA-BUSUNJU-24h'!E83)</f>
        <v>0</v>
      </c>
      <c r="F83" s="49">
        <f>AVERAGE('16.08 KAMPALA-BUSUNJU-24h'!F83,'17.08 KAMPALA-BUSUNJU-24h'!F83)</f>
        <v>0</v>
      </c>
      <c r="G83" s="49">
        <f>AVERAGE('16.08 KAMPALA-BUSUNJU-24h'!G83,'17.08 KAMPALA-BUSUNJU-24h'!G83)</f>
        <v>0</v>
      </c>
      <c r="H83" s="49">
        <f>AVERAGE('16.08 KAMPALA-BUSUNJU-24h'!H83,'17.08 KAMPALA-BUSUNJU-24h'!H83)</f>
        <v>0</v>
      </c>
      <c r="I83" s="49">
        <f>AVERAGE('16.08 KAMPALA-BUSUNJU-24h'!I83,'17.08 KAMPALA-BUSUNJU-24h'!I83)</f>
        <v>0</v>
      </c>
      <c r="J83" s="49">
        <f>AVERAGE('16.08 KAMPALA-BUSUNJU-24h'!J83,'17.08 KAMPALA-BUSUNJU-24h'!J83)</f>
        <v>0</v>
      </c>
      <c r="K83" s="49">
        <f>AVERAGE('16.08 KAMPALA-BUSUNJU-24h'!K83,'17.08 KAMPALA-BUSUNJU-24h'!K83)</f>
        <v>0</v>
      </c>
      <c r="L83" s="49">
        <f>AVERAGE('16.08 KAMPALA-BUSUNJU-24h'!L83,'17.08 KAMPALA-BUSUNJU-24h'!L83)</f>
        <v>0</v>
      </c>
      <c r="M83" s="49">
        <f>AVERAGE('16.08 KAMPALA-BUSUNJU-24h'!M83,'17.08 KAMPALA-BUSUNJU-24h'!M83)</f>
        <v>5</v>
      </c>
      <c r="N83" s="49">
        <f>AVERAGE('16.08 KAMPALA-BUSUNJU-24h'!N83,'17.08 KAMPALA-BUSUNJU-24h'!N83)</f>
        <v>0</v>
      </c>
      <c r="O83" s="15">
        <f t="shared" si="35"/>
        <v>0</v>
      </c>
      <c r="P83" s="15">
        <f t="shared" si="36"/>
        <v>5</v>
      </c>
      <c r="R83" s="8"/>
      <c r="T83"/>
    </row>
    <row r="84" spans="2:20" ht="23.1" customHeight="1" x14ac:dyDescent="0.25">
      <c r="B84" s="25" t="s">
        <v>124</v>
      </c>
      <c r="C84" s="49">
        <f>AVERAGE('16.08 KAMPALA-BUSUNJU-24h'!C84,'17.08 KAMPALA-BUSUNJU-24h'!C84)</f>
        <v>0</v>
      </c>
      <c r="D84" s="49">
        <f>AVERAGE('16.08 KAMPALA-BUSUNJU-24h'!D84,'17.08 KAMPALA-BUSUNJU-24h'!D84)</f>
        <v>0</v>
      </c>
      <c r="E84" s="49">
        <f>AVERAGE('16.08 KAMPALA-BUSUNJU-24h'!E84,'17.08 KAMPALA-BUSUNJU-24h'!E84)</f>
        <v>0</v>
      </c>
      <c r="F84" s="49">
        <f>AVERAGE('16.08 KAMPALA-BUSUNJU-24h'!F84,'17.08 KAMPALA-BUSUNJU-24h'!F84)</f>
        <v>0</v>
      </c>
      <c r="G84" s="49">
        <f>AVERAGE('16.08 KAMPALA-BUSUNJU-24h'!G84,'17.08 KAMPALA-BUSUNJU-24h'!G84)</f>
        <v>0</v>
      </c>
      <c r="H84" s="49">
        <f>AVERAGE('16.08 KAMPALA-BUSUNJU-24h'!H84,'17.08 KAMPALA-BUSUNJU-24h'!H84)</f>
        <v>0</v>
      </c>
      <c r="I84" s="49">
        <f>AVERAGE('16.08 KAMPALA-BUSUNJU-24h'!I84,'17.08 KAMPALA-BUSUNJU-24h'!I84)</f>
        <v>1</v>
      </c>
      <c r="J84" s="49">
        <f>AVERAGE('16.08 KAMPALA-BUSUNJU-24h'!J84,'17.08 KAMPALA-BUSUNJU-24h'!J84)</f>
        <v>0</v>
      </c>
      <c r="K84" s="49">
        <f>AVERAGE('16.08 KAMPALA-BUSUNJU-24h'!K84,'17.08 KAMPALA-BUSUNJU-24h'!K84)</f>
        <v>0</v>
      </c>
      <c r="L84" s="49">
        <f>AVERAGE('16.08 KAMPALA-BUSUNJU-24h'!L84,'17.08 KAMPALA-BUSUNJU-24h'!L84)</f>
        <v>0</v>
      </c>
      <c r="M84" s="49">
        <f>AVERAGE('16.08 KAMPALA-BUSUNJU-24h'!M84,'17.08 KAMPALA-BUSUNJU-24h'!M84)</f>
        <v>5</v>
      </c>
      <c r="N84" s="49">
        <f>AVERAGE('16.08 KAMPALA-BUSUNJU-24h'!N84,'17.08 KAMPALA-BUSUNJU-24h'!N84)</f>
        <v>0</v>
      </c>
      <c r="O84" s="15">
        <f t="shared" si="35"/>
        <v>1</v>
      </c>
      <c r="P84" s="15">
        <f t="shared" si="36"/>
        <v>6</v>
      </c>
      <c r="R84" s="8"/>
      <c r="T84"/>
    </row>
    <row r="85" spans="2:20" ht="23.1" customHeight="1" x14ac:dyDescent="0.25">
      <c r="B85" s="23" t="s">
        <v>125</v>
      </c>
      <c r="C85" s="49">
        <f>AVERAGE('16.08 KAMPALA-BUSUNJU-24h'!C85,'17.08 KAMPALA-BUSUNJU-24h'!C85)</f>
        <v>1</v>
      </c>
      <c r="D85" s="49">
        <f>AVERAGE('16.08 KAMPALA-BUSUNJU-24h'!D85,'17.08 KAMPALA-BUSUNJU-24h'!D85)</f>
        <v>0</v>
      </c>
      <c r="E85" s="49">
        <f>AVERAGE('16.08 KAMPALA-BUSUNJU-24h'!E85,'17.08 KAMPALA-BUSUNJU-24h'!E85)</f>
        <v>0</v>
      </c>
      <c r="F85" s="49">
        <f>AVERAGE('16.08 KAMPALA-BUSUNJU-24h'!F85,'17.08 KAMPALA-BUSUNJU-24h'!F85)</f>
        <v>0</v>
      </c>
      <c r="G85" s="49">
        <f>AVERAGE('16.08 KAMPALA-BUSUNJU-24h'!G85,'17.08 KAMPALA-BUSUNJU-24h'!G85)</f>
        <v>0</v>
      </c>
      <c r="H85" s="49">
        <f>AVERAGE('16.08 KAMPALA-BUSUNJU-24h'!H85,'17.08 KAMPALA-BUSUNJU-24h'!H85)</f>
        <v>0</v>
      </c>
      <c r="I85" s="49">
        <f>AVERAGE('16.08 KAMPALA-BUSUNJU-24h'!I85,'17.08 KAMPALA-BUSUNJU-24h'!I85)</f>
        <v>0</v>
      </c>
      <c r="J85" s="49">
        <f>AVERAGE('16.08 KAMPALA-BUSUNJU-24h'!J85,'17.08 KAMPALA-BUSUNJU-24h'!J85)</f>
        <v>0</v>
      </c>
      <c r="K85" s="49">
        <f>AVERAGE('16.08 KAMPALA-BUSUNJU-24h'!K85,'17.08 KAMPALA-BUSUNJU-24h'!K85)</f>
        <v>0</v>
      </c>
      <c r="L85" s="49">
        <f>AVERAGE('16.08 KAMPALA-BUSUNJU-24h'!L85,'17.08 KAMPALA-BUSUNJU-24h'!L85)</f>
        <v>0</v>
      </c>
      <c r="M85" s="49">
        <f>AVERAGE('16.08 KAMPALA-BUSUNJU-24h'!M85,'17.08 KAMPALA-BUSUNJU-24h'!M85)</f>
        <v>4.5</v>
      </c>
      <c r="N85" s="49">
        <f>AVERAGE('16.08 KAMPALA-BUSUNJU-24h'!N85,'17.08 KAMPALA-BUSUNJU-24h'!N85)</f>
        <v>0</v>
      </c>
      <c r="O85" s="15">
        <f t="shared" si="35"/>
        <v>1</v>
      </c>
      <c r="P85" s="15">
        <f t="shared" si="36"/>
        <v>5.5</v>
      </c>
      <c r="R85" s="8"/>
      <c r="T85"/>
    </row>
    <row r="86" spans="2:20" ht="23.1" customHeight="1" x14ac:dyDescent="0.25">
      <c r="B86" s="24" t="s">
        <v>126</v>
      </c>
      <c r="C86" s="49">
        <f>AVERAGE('16.08 KAMPALA-BUSUNJU-24h'!C86,'17.08 KAMPALA-BUSUNJU-24h'!C86)</f>
        <v>0</v>
      </c>
      <c r="D86" s="49">
        <f>AVERAGE('16.08 KAMPALA-BUSUNJU-24h'!D86,'17.08 KAMPALA-BUSUNJU-24h'!D86)</f>
        <v>0</v>
      </c>
      <c r="E86" s="49">
        <f>AVERAGE('16.08 KAMPALA-BUSUNJU-24h'!E86,'17.08 KAMPALA-BUSUNJU-24h'!E86)</f>
        <v>0</v>
      </c>
      <c r="F86" s="49">
        <f>AVERAGE('16.08 KAMPALA-BUSUNJU-24h'!F86,'17.08 KAMPALA-BUSUNJU-24h'!F86)</f>
        <v>0</v>
      </c>
      <c r="G86" s="49">
        <f>AVERAGE('16.08 KAMPALA-BUSUNJU-24h'!G86,'17.08 KAMPALA-BUSUNJU-24h'!G86)</f>
        <v>0</v>
      </c>
      <c r="H86" s="49">
        <f>AVERAGE('16.08 KAMPALA-BUSUNJU-24h'!H86,'17.08 KAMPALA-BUSUNJU-24h'!H86)</f>
        <v>0</v>
      </c>
      <c r="I86" s="49">
        <f>AVERAGE('16.08 KAMPALA-BUSUNJU-24h'!I86,'17.08 KAMPALA-BUSUNJU-24h'!I86)</f>
        <v>0</v>
      </c>
      <c r="J86" s="49">
        <f>AVERAGE('16.08 KAMPALA-BUSUNJU-24h'!J86,'17.08 KAMPALA-BUSUNJU-24h'!J86)</f>
        <v>0</v>
      </c>
      <c r="K86" s="49">
        <f>AVERAGE('16.08 KAMPALA-BUSUNJU-24h'!K86,'17.08 KAMPALA-BUSUNJU-24h'!K86)</f>
        <v>0</v>
      </c>
      <c r="L86" s="49">
        <f>AVERAGE('16.08 KAMPALA-BUSUNJU-24h'!L86,'17.08 KAMPALA-BUSUNJU-24h'!L86)</f>
        <v>0</v>
      </c>
      <c r="M86" s="49">
        <f>AVERAGE('16.08 KAMPALA-BUSUNJU-24h'!M86,'17.08 KAMPALA-BUSUNJU-24h'!M86)</f>
        <v>6</v>
      </c>
      <c r="N86" s="49">
        <f>AVERAGE('16.08 KAMPALA-BUSUNJU-24h'!N86,'17.08 KAMPALA-BUSUNJU-24h'!N86)</f>
        <v>0</v>
      </c>
      <c r="O86" s="15">
        <f t="shared" si="35"/>
        <v>0</v>
      </c>
      <c r="P86" s="15">
        <f t="shared" si="36"/>
        <v>6</v>
      </c>
      <c r="R86" s="8"/>
      <c r="T86"/>
    </row>
    <row r="87" spans="2:20" ht="23.1" customHeight="1" x14ac:dyDescent="0.25">
      <c r="B87" s="23" t="s">
        <v>127</v>
      </c>
      <c r="C87" s="49">
        <f>AVERAGE('16.08 KAMPALA-BUSUNJU-24h'!C87,'17.08 KAMPALA-BUSUNJU-24h'!C87)</f>
        <v>0</v>
      </c>
      <c r="D87" s="49">
        <f>AVERAGE('16.08 KAMPALA-BUSUNJU-24h'!D87,'17.08 KAMPALA-BUSUNJU-24h'!D87)</f>
        <v>0</v>
      </c>
      <c r="E87" s="49">
        <f>AVERAGE('16.08 KAMPALA-BUSUNJU-24h'!E87,'17.08 KAMPALA-BUSUNJU-24h'!E87)</f>
        <v>0</v>
      </c>
      <c r="F87" s="49">
        <f>AVERAGE('16.08 KAMPALA-BUSUNJU-24h'!F87,'17.08 KAMPALA-BUSUNJU-24h'!F87)</f>
        <v>0</v>
      </c>
      <c r="G87" s="49">
        <f>AVERAGE('16.08 KAMPALA-BUSUNJU-24h'!G87,'17.08 KAMPALA-BUSUNJU-24h'!G87)</f>
        <v>0</v>
      </c>
      <c r="H87" s="49">
        <f>AVERAGE('16.08 KAMPALA-BUSUNJU-24h'!H87,'17.08 KAMPALA-BUSUNJU-24h'!H87)</f>
        <v>0</v>
      </c>
      <c r="I87" s="49">
        <f>AVERAGE('16.08 KAMPALA-BUSUNJU-24h'!I87,'17.08 KAMPALA-BUSUNJU-24h'!I87)</f>
        <v>1</v>
      </c>
      <c r="J87" s="49">
        <f>AVERAGE('16.08 KAMPALA-BUSUNJU-24h'!J87,'17.08 KAMPALA-BUSUNJU-24h'!J87)</f>
        <v>0</v>
      </c>
      <c r="K87" s="49">
        <f>AVERAGE('16.08 KAMPALA-BUSUNJU-24h'!K87,'17.08 KAMPALA-BUSUNJU-24h'!K87)</f>
        <v>0</v>
      </c>
      <c r="L87" s="49">
        <f>AVERAGE('16.08 KAMPALA-BUSUNJU-24h'!L87,'17.08 KAMPALA-BUSUNJU-24h'!L87)</f>
        <v>0</v>
      </c>
      <c r="M87" s="49">
        <f>AVERAGE('16.08 KAMPALA-BUSUNJU-24h'!M87,'17.08 KAMPALA-BUSUNJU-24h'!M87)</f>
        <v>4.5</v>
      </c>
      <c r="N87" s="49">
        <f>AVERAGE('16.08 KAMPALA-BUSUNJU-24h'!N87,'17.08 KAMPALA-BUSUNJU-24h'!N87)</f>
        <v>0</v>
      </c>
      <c r="O87" s="15">
        <f t="shared" si="35"/>
        <v>1</v>
      </c>
      <c r="P87" s="15">
        <f t="shared" si="36"/>
        <v>5.5</v>
      </c>
      <c r="R87" s="8"/>
      <c r="T87"/>
    </row>
    <row r="88" spans="2:20" ht="23.1" customHeight="1" x14ac:dyDescent="0.25">
      <c r="B88" s="25" t="s">
        <v>128</v>
      </c>
      <c r="C88" s="49">
        <f>AVERAGE('16.08 KAMPALA-BUSUNJU-24h'!C88,'17.08 KAMPALA-BUSUNJU-24h'!C88)</f>
        <v>0</v>
      </c>
      <c r="D88" s="49">
        <f>AVERAGE('16.08 KAMPALA-BUSUNJU-24h'!D88,'17.08 KAMPALA-BUSUNJU-24h'!D88)</f>
        <v>0</v>
      </c>
      <c r="E88" s="49">
        <f>AVERAGE('16.08 KAMPALA-BUSUNJU-24h'!E88,'17.08 KAMPALA-BUSUNJU-24h'!E88)</f>
        <v>0</v>
      </c>
      <c r="F88" s="49">
        <f>AVERAGE('16.08 KAMPALA-BUSUNJU-24h'!F88,'17.08 KAMPALA-BUSUNJU-24h'!F88)</f>
        <v>0</v>
      </c>
      <c r="G88" s="49">
        <f>AVERAGE('16.08 KAMPALA-BUSUNJU-24h'!G88,'17.08 KAMPALA-BUSUNJU-24h'!G88)</f>
        <v>0</v>
      </c>
      <c r="H88" s="49">
        <f>AVERAGE('16.08 KAMPALA-BUSUNJU-24h'!H88,'17.08 KAMPALA-BUSUNJU-24h'!H88)</f>
        <v>0</v>
      </c>
      <c r="I88" s="49">
        <f>AVERAGE('16.08 KAMPALA-BUSUNJU-24h'!I88,'17.08 KAMPALA-BUSUNJU-24h'!I88)</f>
        <v>1</v>
      </c>
      <c r="J88" s="49">
        <f>AVERAGE('16.08 KAMPALA-BUSUNJU-24h'!J88,'17.08 KAMPALA-BUSUNJU-24h'!J88)</f>
        <v>0</v>
      </c>
      <c r="K88" s="49">
        <f>AVERAGE('16.08 KAMPALA-BUSUNJU-24h'!K88,'17.08 KAMPALA-BUSUNJU-24h'!K88)</f>
        <v>0</v>
      </c>
      <c r="L88" s="49">
        <f>AVERAGE('16.08 KAMPALA-BUSUNJU-24h'!L88,'17.08 KAMPALA-BUSUNJU-24h'!L88)</f>
        <v>0</v>
      </c>
      <c r="M88" s="49">
        <f>AVERAGE('16.08 KAMPALA-BUSUNJU-24h'!M88,'17.08 KAMPALA-BUSUNJU-24h'!M88)</f>
        <v>4.5</v>
      </c>
      <c r="N88" s="49">
        <f>AVERAGE('16.08 KAMPALA-BUSUNJU-24h'!N88,'17.08 KAMPALA-BUSUNJU-24h'!N88)</f>
        <v>0</v>
      </c>
      <c r="O88" s="15">
        <f t="shared" si="35"/>
        <v>1</v>
      </c>
      <c r="P88" s="15">
        <f t="shared" si="36"/>
        <v>5.5</v>
      </c>
      <c r="R88" s="8"/>
      <c r="T88"/>
    </row>
    <row r="89" spans="2:20" ht="23.1" customHeight="1" x14ac:dyDescent="0.25">
      <c r="B89" s="23" t="s">
        <v>129</v>
      </c>
      <c r="C89" s="49">
        <f>AVERAGE('16.08 KAMPALA-BUSUNJU-24h'!C89,'17.08 KAMPALA-BUSUNJU-24h'!C89)</f>
        <v>0</v>
      </c>
      <c r="D89" s="49">
        <f>AVERAGE('16.08 KAMPALA-BUSUNJU-24h'!D89,'17.08 KAMPALA-BUSUNJU-24h'!D89)</f>
        <v>0</v>
      </c>
      <c r="E89" s="49">
        <f>AVERAGE('16.08 KAMPALA-BUSUNJU-24h'!E89,'17.08 KAMPALA-BUSUNJU-24h'!E89)</f>
        <v>0</v>
      </c>
      <c r="F89" s="49">
        <f>AVERAGE('16.08 KAMPALA-BUSUNJU-24h'!F89,'17.08 KAMPALA-BUSUNJU-24h'!F89)</f>
        <v>0</v>
      </c>
      <c r="G89" s="49">
        <f>AVERAGE('16.08 KAMPALA-BUSUNJU-24h'!G89,'17.08 KAMPALA-BUSUNJU-24h'!G89)</f>
        <v>0</v>
      </c>
      <c r="H89" s="49">
        <f>AVERAGE('16.08 KAMPALA-BUSUNJU-24h'!H89,'17.08 KAMPALA-BUSUNJU-24h'!H89)</f>
        <v>0</v>
      </c>
      <c r="I89" s="49">
        <f>AVERAGE('16.08 KAMPALA-BUSUNJU-24h'!I89,'17.08 KAMPALA-BUSUNJU-24h'!I89)</f>
        <v>1</v>
      </c>
      <c r="J89" s="49">
        <f>AVERAGE('16.08 KAMPALA-BUSUNJU-24h'!J89,'17.08 KAMPALA-BUSUNJU-24h'!J89)</f>
        <v>0</v>
      </c>
      <c r="K89" s="49">
        <f>AVERAGE('16.08 KAMPALA-BUSUNJU-24h'!K89,'17.08 KAMPALA-BUSUNJU-24h'!K89)</f>
        <v>0</v>
      </c>
      <c r="L89" s="49">
        <f>AVERAGE('16.08 KAMPALA-BUSUNJU-24h'!L89,'17.08 KAMPALA-BUSUNJU-24h'!L89)</f>
        <v>0</v>
      </c>
      <c r="M89" s="49">
        <f>AVERAGE('16.08 KAMPALA-BUSUNJU-24h'!M89,'17.08 KAMPALA-BUSUNJU-24h'!M89)</f>
        <v>5</v>
      </c>
      <c r="N89" s="49">
        <f>AVERAGE('16.08 KAMPALA-BUSUNJU-24h'!N89,'17.08 KAMPALA-BUSUNJU-24h'!N89)</f>
        <v>0</v>
      </c>
      <c r="O89" s="15">
        <f t="shared" si="35"/>
        <v>1</v>
      </c>
      <c r="P89" s="15">
        <f t="shared" si="36"/>
        <v>6</v>
      </c>
      <c r="R89" s="8"/>
      <c r="T89"/>
    </row>
    <row r="90" spans="2:20" ht="23.1" customHeight="1" x14ac:dyDescent="0.25">
      <c r="B90" s="24" t="s">
        <v>130</v>
      </c>
      <c r="C90" s="49">
        <f>AVERAGE('16.08 KAMPALA-BUSUNJU-24h'!C90,'17.08 KAMPALA-BUSUNJU-24h'!C90)</f>
        <v>0</v>
      </c>
      <c r="D90" s="49">
        <f>AVERAGE('16.08 KAMPALA-BUSUNJU-24h'!D90,'17.08 KAMPALA-BUSUNJU-24h'!D90)</f>
        <v>0</v>
      </c>
      <c r="E90" s="49">
        <f>AVERAGE('16.08 KAMPALA-BUSUNJU-24h'!E90,'17.08 KAMPALA-BUSUNJU-24h'!E90)</f>
        <v>0</v>
      </c>
      <c r="F90" s="49">
        <f>AVERAGE('16.08 KAMPALA-BUSUNJU-24h'!F90,'17.08 KAMPALA-BUSUNJU-24h'!F90)</f>
        <v>0</v>
      </c>
      <c r="G90" s="49">
        <f>AVERAGE('16.08 KAMPALA-BUSUNJU-24h'!G90,'17.08 KAMPALA-BUSUNJU-24h'!G90)</f>
        <v>0</v>
      </c>
      <c r="H90" s="49">
        <f>AVERAGE('16.08 KAMPALA-BUSUNJU-24h'!H90,'17.08 KAMPALA-BUSUNJU-24h'!H90)</f>
        <v>0</v>
      </c>
      <c r="I90" s="49">
        <f>AVERAGE('16.08 KAMPALA-BUSUNJU-24h'!I90,'17.08 KAMPALA-BUSUNJU-24h'!I90)</f>
        <v>0</v>
      </c>
      <c r="J90" s="49">
        <f>AVERAGE('16.08 KAMPALA-BUSUNJU-24h'!J90,'17.08 KAMPALA-BUSUNJU-24h'!J90)</f>
        <v>0</v>
      </c>
      <c r="K90" s="49">
        <f>AVERAGE('16.08 KAMPALA-BUSUNJU-24h'!K90,'17.08 KAMPALA-BUSUNJU-24h'!K90)</f>
        <v>0</v>
      </c>
      <c r="L90" s="49">
        <f>AVERAGE('16.08 KAMPALA-BUSUNJU-24h'!L90,'17.08 KAMPALA-BUSUNJU-24h'!L90)</f>
        <v>0</v>
      </c>
      <c r="M90" s="49">
        <f>AVERAGE('16.08 KAMPALA-BUSUNJU-24h'!M90,'17.08 KAMPALA-BUSUNJU-24h'!M90)</f>
        <v>2.5</v>
      </c>
      <c r="N90" s="49">
        <f>AVERAGE('16.08 KAMPALA-BUSUNJU-24h'!N90,'17.08 KAMPALA-BUSUNJU-24h'!N90)</f>
        <v>0</v>
      </c>
      <c r="O90" s="15">
        <f t="shared" si="35"/>
        <v>0</v>
      </c>
      <c r="P90" s="15">
        <f t="shared" si="36"/>
        <v>2.5</v>
      </c>
      <c r="R90" s="8"/>
      <c r="T90"/>
    </row>
    <row r="91" spans="2:20" ht="23.1" customHeight="1" x14ac:dyDescent="0.25">
      <c r="B91" s="23" t="s">
        <v>131</v>
      </c>
      <c r="C91" s="49">
        <f>AVERAGE('16.08 KAMPALA-BUSUNJU-24h'!C91,'17.08 KAMPALA-BUSUNJU-24h'!C91)</f>
        <v>0</v>
      </c>
      <c r="D91" s="49">
        <f>AVERAGE('16.08 KAMPALA-BUSUNJU-24h'!D91,'17.08 KAMPALA-BUSUNJU-24h'!D91)</f>
        <v>0</v>
      </c>
      <c r="E91" s="49">
        <f>AVERAGE('16.08 KAMPALA-BUSUNJU-24h'!E91,'17.08 KAMPALA-BUSUNJU-24h'!E91)</f>
        <v>0</v>
      </c>
      <c r="F91" s="49">
        <f>AVERAGE('16.08 KAMPALA-BUSUNJU-24h'!F91,'17.08 KAMPALA-BUSUNJU-24h'!F91)</f>
        <v>0</v>
      </c>
      <c r="G91" s="49">
        <f>AVERAGE('16.08 KAMPALA-BUSUNJU-24h'!G91,'17.08 KAMPALA-BUSUNJU-24h'!G91)</f>
        <v>0</v>
      </c>
      <c r="H91" s="49">
        <f>AVERAGE('16.08 KAMPALA-BUSUNJU-24h'!H91,'17.08 KAMPALA-BUSUNJU-24h'!H91)</f>
        <v>0</v>
      </c>
      <c r="I91" s="49">
        <f>AVERAGE('16.08 KAMPALA-BUSUNJU-24h'!I91,'17.08 KAMPALA-BUSUNJU-24h'!I91)</f>
        <v>0</v>
      </c>
      <c r="J91" s="49">
        <f>AVERAGE('16.08 KAMPALA-BUSUNJU-24h'!J91,'17.08 KAMPALA-BUSUNJU-24h'!J91)</f>
        <v>0</v>
      </c>
      <c r="K91" s="49">
        <f>AVERAGE('16.08 KAMPALA-BUSUNJU-24h'!K91,'17.08 KAMPALA-BUSUNJU-24h'!K91)</f>
        <v>0</v>
      </c>
      <c r="L91" s="49">
        <f>AVERAGE('16.08 KAMPALA-BUSUNJU-24h'!L91,'17.08 KAMPALA-BUSUNJU-24h'!L91)</f>
        <v>0</v>
      </c>
      <c r="M91" s="49">
        <f>AVERAGE('16.08 KAMPALA-BUSUNJU-24h'!M91,'17.08 KAMPALA-BUSUNJU-24h'!M91)</f>
        <v>2.5</v>
      </c>
      <c r="N91" s="49">
        <f>AVERAGE('16.08 KAMPALA-BUSUNJU-24h'!N91,'17.08 KAMPALA-BUSUNJU-24h'!N91)</f>
        <v>0</v>
      </c>
      <c r="O91" s="15">
        <f t="shared" si="35"/>
        <v>0</v>
      </c>
      <c r="P91" s="15">
        <f t="shared" si="36"/>
        <v>2.5</v>
      </c>
      <c r="R91" s="8"/>
      <c r="T91"/>
    </row>
    <row r="92" spans="2:20" ht="23.1" customHeight="1" x14ac:dyDescent="0.25">
      <c r="B92" s="25" t="s">
        <v>132</v>
      </c>
      <c r="C92" s="49">
        <f>AVERAGE('16.08 KAMPALA-BUSUNJU-24h'!C92,'17.08 KAMPALA-BUSUNJU-24h'!C92)</f>
        <v>0</v>
      </c>
      <c r="D92" s="49">
        <f>AVERAGE('16.08 KAMPALA-BUSUNJU-24h'!D92,'17.08 KAMPALA-BUSUNJU-24h'!D92)</f>
        <v>0</v>
      </c>
      <c r="E92" s="49">
        <f>AVERAGE('16.08 KAMPALA-BUSUNJU-24h'!E92,'17.08 KAMPALA-BUSUNJU-24h'!E92)</f>
        <v>0</v>
      </c>
      <c r="F92" s="49">
        <f>AVERAGE('16.08 KAMPALA-BUSUNJU-24h'!F92,'17.08 KAMPALA-BUSUNJU-24h'!F92)</f>
        <v>0</v>
      </c>
      <c r="G92" s="49">
        <f>AVERAGE('16.08 KAMPALA-BUSUNJU-24h'!G92,'17.08 KAMPALA-BUSUNJU-24h'!G92)</f>
        <v>0</v>
      </c>
      <c r="H92" s="49">
        <f>AVERAGE('16.08 KAMPALA-BUSUNJU-24h'!H92,'17.08 KAMPALA-BUSUNJU-24h'!H92)</f>
        <v>0</v>
      </c>
      <c r="I92" s="49">
        <f>AVERAGE('16.08 KAMPALA-BUSUNJU-24h'!I92,'17.08 KAMPALA-BUSUNJU-24h'!I92)</f>
        <v>0</v>
      </c>
      <c r="J92" s="49">
        <f>AVERAGE('16.08 KAMPALA-BUSUNJU-24h'!J92,'17.08 KAMPALA-BUSUNJU-24h'!J92)</f>
        <v>0</v>
      </c>
      <c r="K92" s="49">
        <f>AVERAGE('16.08 KAMPALA-BUSUNJU-24h'!K92,'17.08 KAMPALA-BUSUNJU-24h'!K92)</f>
        <v>0</v>
      </c>
      <c r="L92" s="49">
        <f>AVERAGE('16.08 KAMPALA-BUSUNJU-24h'!L92,'17.08 KAMPALA-BUSUNJU-24h'!L92)</f>
        <v>0</v>
      </c>
      <c r="M92" s="49">
        <f>AVERAGE('16.08 KAMPALA-BUSUNJU-24h'!M92,'17.08 KAMPALA-BUSUNJU-24h'!M92)</f>
        <v>1.5</v>
      </c>
      <c r="N92" s="49">
        <f>AVERAGE('16.08 KAMPALA-BUSUNJU-24h'!N92,'17.08 KAMPALA-BUSUNJU-24h'!N92)</f>
        <v>0</v>
      </c>
      <c r="O92" s="15">
        <f t="shared" si="35"/>
        <v>0</v>
      </c>
      <c r="P92" s="15">
        <f t="shared" si="36"/>
        <v>1.5</v>
      </c>
      <c r="R92" s="8"/>
      <c r="T92"/>
    </row>
    <row r="93" spans="2:20" ht="23.1" customHeight="1" x14ac:dyDescent="0.25">
      <c r="B93" s="23" t="s">
        <v>133</v>
      </c>
      <c r="C93" s="49">
        <f>AVERAGE('16.08 KAMPALA-BUSUNJU-24h'!C93,'17.08 KAMPALA-BUSUNJU-24h'!C93)</f>
        <v>0</v>
      </c>
      <c r="D93" s="49">
        <f>AVERAGE('16.08 KAMPALA-BUSUNJU-24h'!D93,'17.08 KAMPALA-BUSUNJU-24h'!D93)</f>
        <v>0</v>
      </c>
      <c r="E93" s="49">
        <f>AVERAGE('16.08 KAMPALA-BUSUNJU-24h'!E93,'17.08 KAMPALA-BUSUNJU-24h'!E93)</f>
        <v>0</v>
      </c>
      <c r="F93" s="49">
        <f>AVERAGE('16.08 KAMPALA-BUSUNJU-24h'!F93,'17.08 KAMPALA-BUSUNJU-24h'!F93)</f>
        <v>0</v>
      </c>
      <c r="G93" s="49">
        <f>AVERAGE('16.08 KAMPALA-BUSUNJU-24h'!G93,'17.08 KAMPALA-BUSUNJU-24h'!G93)</f>
        <v>0</v>
      </c>
      <c r="H93" s="49">
        <f>AVERAGE('16.08 KAMPALA-BUSUNJU-24h'!H93,'17.08 KAMPALA-BUSUNJU-24h'!H93)</f>
        <v>0</v>
      </c>
      <c r="I93" s="49">
        <f>AVERAGE('16.08 KAMPALA-BUSUNJU-24h'!I93,'17.08 KAMPALA-BUSUNJU-24h'!I93)</f>
        <v>0</v>
      </c>
      <c r="J93" s="49">
        <f>AVERAGE('16.08 KAMPALA-BUSUNJU-24h'!J93,'17.08 KAMPALA-BUSUNJU-24h'!J93)</f>
        <v>0</v>
      </c>
      <c r="K93" s="49">
        <f>AVERAGE('16.08 KAMPALA-BUSUNJU-24h'!K93,'17.08 KAMPALA-BUSUNJU-24h'!K93)</f>
        <v>0</v>
      </c>
      <c r="L93" s="49">
        <f>AVERAGE('16.08 KAMPALA-BUSUNJU-24h'!L93,'17.08 KAMPALA-BUSUNJU-24h'!L93)</f>
        <v>0</v>
      </c>
      <c r="M93" s="49">
        <f>AVERAGE('16.08 KAMPALA-BUSUNJU-24h'!M93,'17.08 KAMPALA-BUSUNJU-24h'!M93)</f>
        <v>2.5</v>
      </c>
      <c r="N93" s="49">
        <f>AVERAGE('16.08 KAMPALA-BUSUNJU-24h'!N93,'17.08 KAMPALA-BUSUNJU-24h'!N93)</f>
        <v>0</v>
      </c>
      <c r="O93" s="15">
        <f t="shared" si="35"/>
        <v>0</v>
      </c>
      <c r="P93" s="15">
        <f t="shared" si="36"/>
        <v>2.5</v>
      </c>
      <c r="R93" s="8"/>
      <c r="T93"/>
    </row>
    <row r="94" spans="2:20" ht="23.1" customHeight="1" x14ac:dyDescent="0.25">
      <c r="B94" s="24" t="s">
        <v>134</v>
      </c>
      <c r="C94" s="49">
        <f>AVERAGE('16.08 KAMPALA-BUSUNJU-24h'!C94,'17.08 KAMPALA-BUSUNJU-24h'!C94)</f>
        <v>0</v>
      </c>
      <c r="D94" s="49">
        <f>AVERAGE('16.08 KAMPALA-BUSUNJU-24h'!D94,'17.08 KAMPALA-BUSUNJU-24h'!D94)</f>
        <v>0</v>
      </c>
      <c r="E94" s="49">
        <f>AVERAGE('16.08 KAMPALA-BUSUNJU-24h'!E94,'17.08 KAMPALA-BUSUNJU-24h'!E94)</f>
        <v>0</v>
      </c>
      <c r="F94" s="49">
        <f>AVERAGE('16.08 KAMPALA-BUSUNJU-24h'!F94,'17.08 KAMPALA-BUSUNJU-24h'!F94)</f>
        <v>0</v>
      </c>
      <c r="G94" s="49">
        <f>AVERAGE('16.08 KAMPALA-BUSUNJU-24h'!G94,'17.08 KAMPALA-BUSUNJU-24h'!G94)</f>
        <v>0</v>
      </c>
      <c r="H94" s="49">
        <f>AVERAGE('16.08 KAMPALA-BUSUNJU-24h'!H94,'17.08 KAMPALA-BUSUNJU-24h'!H94)</f>
        <v>0</v>
      </c>
      <c r="I94" s="49">
        <f>AVERAGE('16.08 KAMPALA-BUSUNJU-24h'!I94,'17.08 KAMPALA-BUSUNJU-24h'!I94)</f>
        <v>0</v>
      </c>
      <c r="J94" s="49">
        <f>AVERAGE('16.08 KAMPALA-BUSUNJU-24h'!J94,'17.08 KAMPALA-BUSUNJU-24h'!J94)</f>
        <v>0</v>
      </c>
      <c r="K94" s="49">
        <f>AVERAGE('16.08 KAMPALA-BUSUNJU-24h'!K94,'17.08 KAMPALA-BUSUNJU-24h'!K94)</f>
        <v>0</v>
      </c>
      <c r="L94" s="49">
        <f>AVERAGE('16.08 KAMPALA-BUSUNJU-24h'!L94,'17.08 KAMPALA-BUSUNJU-24h'!L94)</f>
        <v>0</v>
      </c>
      <c r="M94" s="49">
        <f>AVERAGE('16.08 KAMPALA-BUSUNJU-24h'!M94,'17.08 KAMPALA-BUSUNJU-24h'!M94)</f>
        <v>2.5</v>
      </c>
      <c r="N94" s="49">
        <f>AVERAGE('16.08 KAMPALA-BUSUNJU-24h'!N94,'17.08 KAMPALA-BUSUNJU-24h'!N94)</f>
        <v>0</v>
      </c>
      <c r="O94" s="15">
        <f t="shared" si="35"/>
        <v>0</v>
      </c>
      <c r="P94" s="15">
        <f t="shared" si="36"/>
        <v>2.5</v>
      </c>
      <c r="R94" s="8"/>
      <c r="T94"/>
    </row>
    <row r="95" spans="2:20" ht="23.1" customHeight="1" x14ac:dyDescent="0.25">
      <c r="B95" s="23" t="s">
        <v>135</v>
      </c>
      <c r="C95" s="49">
        <f>AVERAGE('16.08 KAMPALA-BUSUNJU-24h'!C95,'17.08 KAMPALA-BUSUNJU-24h'!C95)</f>
        <v>0</v>
      </c>
      <c r="D95" s="49">
        <f>AVERAGE('16.08 KAMPALA-BUSUNJU-24h'!D95,'17.08 KAMPALA-BUSUNJU-24h'!D95)</f>
        <v>0</v>
      </c>
      <c r="E95" s="49">
        <f>AVERAGE('16.08 KAMPALA-BUSUNJU-24h'!E95,'17.08 KAMPALA-BUSUNJU-24h'!E95)</f>
        <v>0</v>
      </c>
      <c r="F95" s="49">
        <f>AVERAGE('16.08 KAMPALA-BUSUNJU-24h'!F95,'17.08 KAMPALA-BUSUNJU-24h'!F95)</f>
        <v>0</v>
      </c>
      <c r="G95" s="49">
        <f>AVERAGE('16.08 KAMPALA-BUSUNJU-24h'!G95,'17.08 KAMPALA-BUSUNJU-24h'!G95)</f>
        <v>0</v>
      </c>
      <c r="H95" s="49">
        <f>AVERAGE('16.08 KAMPALA-BUSUNJU-24h'!H95,'17.08 KAMPALA-BUSUNJU-24h'!H95)</f>
        <v>0</v>
      </c>
      <c r="I95" s="49">
        <f>AVERAGE('16.08 KAMPALA-BUSUNJU-24h'!I95,'17.08 KAMPALA-BUSUNJU-24h'!I95)</f>
        <v>0</v>
      </c>
      <c r="J95" s="49">
        <f>AVERAGE('16.08 KAMPALA-BUSUNJU-24h'!J95,'17.08 KAMPALA-BUSUNJU-24h'!J95)</f>
        <v>0</v>
      </c>
      <c r="K95" s="49">
        <f>AVERAGE('16.08 KAMPALA-BUSUNJU-24h'!K95,'17.08 KAMPALA-BUSUNJU-24h'!K95)</f>
        <v>0</v>
      </c>
      <c r="L95" s="49">
        <f>AVERAGE('16.08 KAMPALA-BUSUNJU-24h'!L95,'17.08 KAMPALA-BUSUNJU-24h'!L95)</f>
        <v>0</v>
      </c>
      <c r="M95" s="49">
        <f>AVERAGE('16.08 KAMPALA-BUSUNJU-24h'!M95,'17.08 KAMPALA-BUSUNJU-24h'!M95)</f>
        <v>2.5</v>
      </c>
      <c r="N95" s="49">
        <f>AVERAGE('16.08 KAMPALA-BUSUNJU-24h'!N95,'17.08 KAMPALA-BUSUNJU-24h'!N95)</f>
        <v>0</v>
      </c>
      <c r="O95" s="15">
        <f t="shared" si="35"/>
        <v>0</v>
      </c>
      <c r="P95" s="15">
        <f t="shared" si="36"/>
        <v>2.5</v>
      </c>
      <c r="R95" s="8"/>
      <c r="T95"/>
    </row>
    <row r="96" spans="2:20" ht="23.1" customHeight="1" x14ac:dyDescent="0.25">
      <c r="B96" s="25" t="s">
        <v>136</v>
      </c>
      <c r="C96" s="49">
        <f>AVERAGE('16.08 KAMPALA-BUSUNJU-24h'!C96,'17.08 KAMPALA-BUSUNJU-24h'!C96)</f>
        <v>0</v>
      </c>
      <c r="D96" s="49">
        <f>AVERAGE('16.08 KAMPALA-BUSUNJU-24h'!D96,'17.08 KAMPALA-BUSUNJU-24h'!D96)</f>
        <v>0</v>
      </c>
      <c r="E96" s="49">
        <f>AVERAGE('16.08 KAMPALA-BUSUNJU-24h'!E96,'17.08 KAMPALA-BUSUNJU-24h'!E96)</f>
        <v>0</v>
      </c>
      <c r="F96" s="49">
        <f>AVERAGE('16.08 KAMPALA-BUSUNJU-24h'!F96,'17.08 KAMPALA-BUSUNJU-24h'!F96)</f>
        <v>0</v>
      </c>
      <c r="G96" s="49">
        <f>AVERAGE('16.08 KAMPALA-BUSUNJU-24h'!G96,'17.08 KAMPALA-BUSUNJU-24h'!G96)</f>
        <v>0</v>
      </c>
      <c r="H96" s="49">
        <f>AVERAGE('16.08 KAMPALA-BUSUNJU-24h'!H96,'17.08 KAMPALA-BUSUNJU-24h'!H96)</f>
        <v>0</v>
      </c>
      <c r="I96" s="49">
        <f>AVERAGE('16.08 KAMPALA-BUSUNJU-24h'!I96,'17.08 KAMPALA-BUSUNJU-24h'!I96)</f>
        <v>0</v>
      </c>
      <c r="J96" s="49">
        <f>AVERAGE('16.08 KAMPALA-BUSUNJU-24h'!J96,'17.08 KAMPALA-BUSUNJU-24h'!J96)</f>
        <v>0</v>
      </c>
      <c r="K96" s="49">
        <f>AVERAGE('16.08 KAMPALA-BUSUNJU-24h'!K96,'17.08 KAMPALA-BUSUNJU-24h'!K96)</f>
        <v>0</v>
      </c>
      <c r="L96" s="49">
        <f>AVERAGE('16.08 KAMPALA-BUSUNJU-24h'!L96,'17.08 KAMPALA-BUSUNJU-24h'!L96)</f>
        <v>0</v>
      </c>
      <c r="M96" s="49">
        <f>AVERAGE('16.08 KAMPALA-BUSUNJU-24h'!M96,'17.08 KAMPALA-BUSUNJU-24h'!M96)</f>
        <v>2.5</v>
      </c>
      <c r="N96" s="49">
        <f>AVERAGE('16.08 KAMPALA-BUSUNJU-24h'!N96,'17.08 KAMPALA-BUSUNJU-24h'!N96)</f>
        <v>0</v>
      </c>
      <c r="O96" s="15">
        <f t="shared" si="35"/>
        <v>0</v>
      </c>
      <c r="P96" s="15">
        <f t="shared" si="36"/>
        <v>2.5</v>
      </c>
      <c r="R96" s="8"/>
      <c r="T96"/>
    </row>
    <row r="97" spans="2:20" ht="23.1" customHeight="1" x14ac:dyDescent="0.25">
      <c r="B97" s="23" t="s">
        <v>137</v>
      </c>
      <c r="C97" s="49">
        <f>AVERAGE('16.08 KAMPALA-BUSUNJU-24h'!C97,'17.08 KAMPALA-BUSUNJU-24h'!C97)</f>
        <v>1</v>
      </c>
      <c r="D97" s="49">
        <f>AVERAGE('16.08 KAMPALA-BUSUNJU-24h'!D97,'17.08 KAMPALA-BUSUNJU-24h'!D97)</f>
        <v>0</v>
      </c>
      <c r="E97" s="49">
        <f>AVERAGE('16.08 KAMPALA-BUSUNJU-24h'!E97,'17.08 KAMPALA-BUSUNJU-24h'!E97)</f>
        <v>1</v>
      </c>
      <c r="F97" s="49">
        <f>AVERAGE('16.08 KAMPALA-BUSUNJU-24h'!F97,'17.08 KAMPALA-BUSUNJU-24h'!F97)</f>
        <v>0</v>
      </c>
      <c r="G97" s="49">
        <f>AVERAGE('16.08 KAMPALA-BUSUNJU-24h'!G97,'17.08 KAMPALA-BUSUNJU-24h'!G97)</f>
        <v>0</v>
      </c>
      <c r="H97" s="49">
        <f>AVERAGE('16.08 KAMPALA-BUSUNJU-24h'!H97,'17.08 KAMPALA-BUSUNJU-24h'!H97)</f>
        <v>0</v>
      </c>
      <c r="I97" s="49">
        <f>AVERAGE('16.08 KAMPALA-BUSUNJU-24h'!I97,'17.08 KAMPALA-BUSUNJU-24h'!I97)</f>
        <v>1</v>
      </c>
      <c r="J97" s="49">
        <f>AVERAGE('16.08 KAMPALA-BUSUNJU-24h'!J97,'17.08 KAMPALA-BUSUNJU-24h'!J97)</f>
        <v>0</v>
      </c>
      <c r="K97" s="49">
        <f>AVERAGE('16.08 KAMPALA-BUSUNJU-24h'!K97,'17.08 KAMPALA-BUSUNJU-24h'!K97)</f>
        <v>0</v>
      </c>
      <c r="L97" s="49">
        <f>AVERAGE('16.08 KAMPALA-BUSUNJU-24h'!L97,'17.08 KAMPALA-BUSUNJU-24h'!L97)</f>
        <v>0</v>
      </c>
      <c r="M97" s="49">
        <f>AVERAGE('16.08 KAMPALA-BUSUNJU-24h'!M97,'17.08 KAMPALA-BUSUNJU-24h'!M97)</f>
        <v>7</v>
      </c>
      <c r="N97" s="49">
        <f>AVERAGE('16.08 KAMPALA-BUSUNJU-24h'!N97,'17.08 KAMPALA-BUSUNJU-24h'!N97)</f>
        <v>0</v>
      </c>
      <c r="O97" s="15">
        <f t="shared" si="35"/>
        <v>3</v>
      </c>
      <c r="P97" s="15">
        <f t="shared" si="36"/>
        <v>10</v>
      </c>
      <c r="R97" s="8"/>
      <c r="T97"/>
    </row>
    <row r="98" spans="2:20" ht="23.1" customHeight="1" x14ac:dyDescent="0.25">
      <c r="B98" s="24" t="s">
        <v>138</v>
      </c>
      <c r="C98" s="49">
        <f>AVERAGE('16.08 KAMPALA-BUSUNJU-24h'!C98,'17.08 KAMPALA-BUSUNJU-24h'!C98)</f>
        <v>1</v>
      </c>
      <c r="D98" s="49">
        <f>AVERAGE('16.08 KAMPALA-BUSUNJU-24h'!D98,'17.08 KAMPALA-BUSUNJU-24h'!D98)</f>
        <v>0</v>
      </c>
      <c r="E98" s="49">
        <f>AVERAGE('16.08 KAMPALA-BUSUNJU-24h'!E98,'17.08 KAMPALA-BUSUNJU-24h'!E98)</f>
        <v>1</v>
      </c>
      <c r="F98" s="49">
        <f>AVERAGE('16.08 KAMPALA-BUSUNJU-24h'!F98,'17.08 KAMPALA-BUSUNJU-24h'!F98)</f>
        <v>0</v>
      </c>
      <c r="G98" s="49">
        <f>AVERAGE('16.08 KAMPALA-BUSUNJU-24h'!G98,'17.08 KAMPALA-BUSUNJU-24h'!G98)</f>
        <v>0</v>
      </c>
      <c r="H98" s="49">
        <f>AVERAGE('16.08 KAMPALA-BUSUNJU-24h'!H98,'17.08 KAMPALA-BUSUNJU-24h'!H98)</f>
        <v>0</v>
      </c>
      <c r="I98" s="49">
        <f>AVERAGE('16.08 KAMPALA-BUSUNJU-24h'!I98,'17.08 KAMPALA-BUSUNJU-24h'!I98)</f>
        <v>1</v>
      </c>
      <c r="J98" s="49">
        <f>AVERAGE('16.08 KAMPALA-BUSUNJU-24h'!J98,'17.08 KAMPALA-BUSUNJU-24h'!J98)</f>
        <v>0</v>
      </c>
      <c r="K98" s="49">
        <f>AVERAGE('16.08 KAMPALA-BUSUNJU-24h'!K98,'17.08 KAMPALA-BUSUNJU-24h'!K98)</f>
        <v>0</v>
      </c>
      <c r="L98" s="49">
        <f>AVERAGE('16.08 KAMPALA-BUSUNJU-24h'!L98,'17.08 KAMPALA-BUSUNJU-24h'!L98)</f>
        <v>0</v>
      </c>
      <c r="M98" s="49">
        <f>AVERAGE('16.08 KAMPALA-BUSUNJU-24h'!M98,'17.08 KAMPALA-BUSUNJU-24h'!M98)</f>
        <v>9.5</v>
      </c>
      <c r="N98" s="49">
        <f>AVERAGE('16.08 KAMPALA-BUSUNJU-24h'!N98,'17.08 KAMPALA-BUSUNJU-24h'!N98)</f>
        <v>0</v>
      </c>
      <c r="O98" s="15">
        <f t="shared" si="35"/>
        <v>3</v>
      </c>
      <c r="P98" s="15">
        <f t="shared" si="36"/>
        <v>12.5</v>
      </c>
      <c r="R98" s="8"/>
      <c r="T98"/>
    </row>
    <row r="99" spans="2:20" ht="23.1" customHeight="1" x14ac:dyDescent="0.25">
      <c r="B99" s="23" t="s">
        <v>139</v>
      </c>
      <c r="C99" s="49">
        <f>AVERAGE('16.08 KAMPALA-BUSUNJU-24h'!C99,'17.08 KAMPALA-BUSUNJU-24h'!C99)</f>
        <v>0</v>
      </c>
      <c r="D99" s="49">
        <f>AVERAGE('16.08 KAMPALA-BUSUNJU-24h'!D99,'17.08 KAMPALA-BUSUNJU-24h'!D99)</f>
        <v>0</v>
      </c>
      <c r="E99" s="49">
        <f>AVERAGE('16.08 KAMPALA-BUSUNJU-24h'!E99,'17.08 KAMPALA-BUSUNJU-24h'!E99)</f>
        <v>1</v>
      </c>
      <c r="F99" s="49">
        <f>AVERAGE('16.08 KAMPALA-BUSUNJU-24h'!F99,'17.08 KAMPALA-BUSUNJU-24h'!F99)</f>
        <v>1</v>
      </c>
      <c r="G99" s="49">
        <f>AVERAGE('16.08 KAMPALA-BUSUNJU-24h'!G99,'17.08 KAMPALA-BUSUNJU-24h'!G99)</f>
        <v>0</v>
      </c>
      <c r="H99" s="49">
        <f>AVERAGE('16.08 KAMPALA-BUSUNJU-24h'!H99,'17.08 KAMPALA-BUSUNJU-24h'!H99)</f>
        <v>0</v>
      </c>
      <c r="I99" s="49">
        <f>AVERAGE('16.08 KAMPALA-BUSUNJU-24h'!I99,'17.08 KAMPALA-BUSUNJU-24h'!I99)</f>
        <v>1</v>
      </c>
      <c r="J99" s="49">
        <f>AVERAGE('16.08 KAMPALA-BUSUNJU-24h'!J99,'17.08 KAMPALA-BUSUNJU-24h'!J99)</f>
        <v>0</v>
      </c>
      <c r="K99" s="49">
        <f>AVERAGE('16.08 KAMPALA-BUSUNJU-24h'!K99,'17.08 KAMPALA-BUSUNJU-24h'!K99)</f>
        <v>0</v>
      </c>
      <c r="L99" s="49">
        <f>AVERAGE('16.08 KAMPALA-BUSUNJU-24h'!L99,'17.08 KAMPALA-BUSUNJU-24h'!L99)</f>
        <v>0</v>
      </c>
      <c r="M99" s="49">
        <f>AVERAGE('16.08 KAMPALA-BUSUNJU-24h'!M99,'17.08 KAMPALA-BUSUNJU-24h'!M99)</f>
        <v>9.5</v>
      </c>
      <c r="N99" s="49">
        <f>AVERAGE('16.08 KAMPALA-BUSUNJU-24h'!N99,'17.08 KAMPALA-BUSUNJU-24h'!N99)</f>
        <v>0</v>
      </c>
      <c r="O99" s="15">
        <f t="shared" si="35"/>
        <v>3</v>
      </c>
      <c r="P99" s="15">
        <f t="shared" si="36"/>
        <v>12.5</v>
      </c>
      <c r="R99" s="8"/>
      <c r="T99"/>
    </row>
    <row r="100" spans="2:20" ht="23.1" customHeight="1" x14ac:dyDescent="0.25">
      <c r="B100" s="25" t="s">
        <v>140</v>
      </c>
      <c r="C100" s="49">
        <f>AVERAGE('16.08 KAMPALA-BUSUNJU-24h'!C100,'17.08 KAMPALA-BUSUNJU-24h'!C100)</f>
        <v>1</v>
      </c>
      <c r="D100" s="49">
        <f>AVERAGE('16.08 KAMPALA-BUSUNJU-24h'!D100,'17.08 KAMPALA-BUSUNJU-24h'!D100)</f>
        <v>0</v>
      </c>
      <c r="E100" s="49">
        <f>AVERAGE('16.08 KAMPALA-BUSUNJU-24h'!E100,'17.08 KAMPALA-BUSUNJU-24h'!E100)</f>
        <v>0</v>
      </c>
      <c r="F100" s="49">
        <f>AVERAGE('16.08 KAMPALA-BUSUNJU-24h'!F100,'17.08 KAMPALA-BUSUNJU-24h'!F100)</f>
        <v>1</v>
      </c>
      <c r="G100" s="49">
        <f>AVERAGE('16.08 KAMPALA-BUSUNJU-24h'!G100,'17.08 KAMPALA-BUSUNJU-24h'!G100)</f>
        <v>0</v>
      </c>
      <c r="H100" s="49">
        <f>AVERAGE('16.08 KAMPALA-BUSUNJU-24h'!H100,'17.08 KAMPALA-BUSUNJU-24h'!H100)</f>
        <v>0</v>
      </c>
      <c r="I100" s="49">
        <f>AVERAGE('16.08 KAMPALA-BUSUNJU-24h'!I100,'17.08 KAMPALA-BUSUNJU-24h'!I100)</f>
        <v>0</v>
      </c>
      <c r="J100" s="49">
        <f>AVERAGE('16.08 KAMPALA-BUSUNJU-24h'!J100,'17.08 KAMPALA-BUSUNJU-24h'!J100)</f>
        <v>0</v>
      </c>
      <c r="K100" s="49">
        <f>AVERAGE('16.08 KAMPALA-BUSUNJU-24h'!K100,'17.08 KAMPALA-BUSUNJU-24h'!K100)</f>
        <v>0</v>
      </c>
      <c r="L100" s="49">
        <f>AVERAGE('16.08 KAMPALA-BUSUNJU-24h'!L100,'17.08 KAMPALA-BUSUNJU-24h'!L100)</f>
        <v>0</v>
      </c>
      <c r="M100" s="49">
        <f>AVERAGE('16.08 KAMPALA-BUSUNJU-24h'!M100,'17.08 KAMPALA-BUSUNJU-24h'!M100)</f>
        <v>12</v>
      </c>
      <c r="N100" s="49">
        <f>AVERAGE('16.08 KAMPALA-BUSUNJU-24h'!N100,'17.08 KAMPALA-BUSUNJU-24h'!N100)</f>
        <v>0</v>
      </c>
      <c r="O100" s="15">
        <f t="shared" si="35"/>
        <v>2</v>
      </c>
      <c r="P100" s="15">
        <f t="shared" si="36"/>
        <v>14</v>
      </c>
      <c r="R100" s="8"/>
      <c r="T100"/>
    </row>
    <row r="101" spans="2:20" ht="23.1" customHeight="1" x14ac:dyDescent="0.25">
      <c r="B101" s="23" t="s">
        <v>141</v>
      </c>
      <c r="C101" s="49">
        <f>AVERAGE('16.08 KAMPALA-BUSUNJU-24h'!C101,'17.08 KAMPALA-BUSUNJU-24h'!C101)</f>
        <v>1</v>
      </c>
      <c r="D101" s="49">
        <f>AVERAGE('16.08 KAMPALA-BUSUNJU-24h'!D101,'17.08 KAMPALA-BUSUNJU-24h'!D101)</f>
        <v>0</v>
      </c>
      <c r="E101" s="49">
        <f>AVERAGE('16.08 KAMPALA-BUSUNJU-24h'!E101,'17.08 KAMPALA-BUSUNJU-24h'!E101)</f>
        <v>1</v>
      </c>
      <c r="F101" s="49">
        <f>AVERAGE('16.08 KAMPALA-BUSUNJU-24h'!F101,'17.08 KAMPALA-BUSUNJU-24h'!F101)</f>
        <v>1</v>
      </c>
      <c r="G101" s="49">
        <f>AVERAGE('16.08 KAMPALA-BUSUNJU-24h'!G101,'17.08 KAMPALA-BUSUNJU-24h'!G101)</f>
        <v>0</v>
      </c>
      <c r="H101" s="49">
        <f>AVERAGE('16.08 KAMPALA-BUSUNJU-24h'!H101,'17.08 KAMPALA-BUSUNJU-24h'!H101)</f>
        <v>0</v>
      </c>
      <c r="I101" s="49">
        <f>AVERAGE('16.08 KAMPALA-BUSUNJU-24h'!I101,'17.08 KAMPALA-BUSUNJU-24h'!I101)</f>
        <v>1</v>
      </c>
      <c r="J101" s="49">
        <f>AVERAGE('16.08 KAMPALA-BUSUNJU-24h'!J101,'17.08 KAMPALA-BUSUNJU-24h'!J101)</f>
        <v>0</v>
      </c>
      <c r="K101" s="49">
        <f>AVERAGE('16.08 KAMPALA-BUSUNJU-24h'!K101,'17.08 KAMPALA-BUSUNJU-24h'!K101)</f>
        <v>0</v>
      </c>
      <c r="L101" s="49">
        <f>AVERAGE('16.08 KAMPALA-BUSUNJU-24h'!L101,'17.08 KAMPALA-BUSUNJU-24h'!L101)</f>
        <v>0</v>
      </c>
      <c r="M101" s="49">
        <f>AVERAGE('16.08 KAMPALA-BUSUNJU-24h'!M101,'17.08 KAMPALA-BUSUNJU-24h'!M101)</f>
        <v>9.5</v>
      </c>
      <c r="N101" s="49">
        <f>AVERAGE('16.08 KAMPALA-BUSUNJU-24h'!N101,'17.08 KAMPALA-BUSUNJU-24h'!N101)</f>
        <v>0</v>
      </c>
      <c r="O101" s="15">
        <f t="shared" si="35"/>
        <v>4</v>
      </c>
      <c r="P101" s="15">
        <f t="shared" si="36"/>
        <v>13.5</v>
      </c>
      <c r="R101" s="8"/>
      <c r="T101"/>
    </row>
    <row r="102" spans="2:20" ht="23.1" customHeight="1" x14ac:dyDescent="0.25">
      <c r="B102" s="24" t="s">
        <v>142</v>
      </c>
      <c r="C102" s="49">
        <f>AVERAGE('16.08 KAMPALA-BUSUNJU-24h'!C102,'17.08 KAMPALA-BUSUNJU-24h'!C102)</f>
        <v>1</v>
      </c>
      <c r="D102" s="49">
        <f>AVERAGE('16.08 KAMPALA-BUSUNJU-24h'!D102,'17.08 KAMPALA-BUSUNJU-24h'!D102)</f>
        <v>0</v>
      </c>
      <c r="E102" s="49">
        <f>AVERAGE('16.08 KAMPALA-BUSUNJU-24h'!E102,'17.08 KAMPALA-BUSUNJU-24h'!E102)</f>
        <v>1</v>
      </c>
      <c r="F102" s="49">
        <f>AVERAGE('16.08 KAMPALA-BUSUNJU-24h'!F102,'17.08 KAMPALA-BUSUNJU-24h'!F102)</f>
        <v>1</v>
      </c>
      <c r="G102" s="49">
        <f>AVERAGE('16.08 KAMPALA-BUSUNJU-24h'!G102,'17.08 KAMPALA-BUSUNJU-24h'!G102)</f>
        <v>0</v>
      </c>
      <c r="H102" s="49">
        <f>AVERAGE('16.08 KAMPALA-BUSUNJU-24h'!H102,'17.08 KAMPALA-BUSUNJU-24h'!H102)</f>
        <v>0</v>
      </c>
      <c r="I102" s="49">
        <f>AVERAGE('16.08 KAMPALA-BUSUNJU-24h'!I102,'17.08 KAMPALA-BUSUNJU-24h'!I102)</f>
        <v>1</v>
      </c>
      <c r="J102" s="49">
        <f>AVERAGE('16.08 KAMPALA-BUSUNJU-24h'!J102,'17.08 KAMPALA-BUSUNJU-24h'!J102)</f>
        <v>0</v>
      </c>
      <c r="K102" s="49">
        <f>AVERAGE('16.08 KAMPALA-BUSUNJU-24h'!K102,'17.08 KAMPALA-BUSUNJU-24h'!K102)</f>
        <v>0</v>
      </c>
      <c r="L102" s="49">
        <f>AVERAGE('16.08 KAMPALA-BUSUNJU-24h'!L102,'17.08 KAMPALA-BUSUNJU-24h'!L102)</f>
        <v>0</v>
      </c>
      <c r="M102" s="49">
        <f>AVERAGE('16.08 KAMPALA-BUSUNJU-24h'!M102,'17.08 KAMPALA-BUSUNJU-24h'!M102)</f>
        <v>12</v>
      </c>
      <c r="N102" s="49">
        <f>AVERAGE('16.08 KAMPALA-BUSUNJU-24h'!N102,'17.08 KAMPALA-BUSUNJU-24h'!N102)</f>
        <v>0</v>
      </c>
      <c r="O102" s="15">
        <f t="shared" si="35"/>
        <v>4</v>
      </c>
      <c r="P102" s="15">
        <f t="shared" si="36"/>
        <v>16</v>
      </c>
      <c r="R102" s="8"/>
      <c r="T102"/>
    </row>
    <row r="103" spans="2:20" ht="23.1" customHeight="1" x14ac:dyDescent="0.25">
      <c r="B103" s="23" t="s">
        <v>143</v>
      </c>
      <c r="C103" s="49">
        <f>AVERAGE('16.08 KAMPALA-BUSUNJU-24h'!C103,'17.08 KAMPALA-BUSUNJU-24h'!C103)</f>
        <v>1</v>
      </c>
      <c r="D103" s="49">
        <f>AVERAGE('16.08 KAMPALA-BUSUNJU-24h'!D103,'17.08 KAMPALA-BUSUNJU-24h'!D103)</f>
        <v>0</v>
      </c>
      <c r="E103" s="49">
        <f>AVERAGE('16.08 KAMPALA-BUSUNJU-24h'!E103,'17.08 KAMPALA-BUSUNJU-24h'!E103)</f>
        <v>0</v>
      </c>
      <c r="F103" s="49">
        <f>AVERAGE('16.08 KAMPALA-BUSUNJU-24h'!F103,'17.08 KAMPALA-BUSUNJU-24h'!F103)</f>
        <v>0</v>
      </c>
      <c r="G103" s="49">
        <f>AVERAGE('16.08 KAMPALA-BUSUNJU-24h'!G103,'17.08 KAMPALA-BUSUNJU-24h'!G103)</f>
        <v>0</v>
      </c>
      <c r="H103" s="49">
        <f>AVERAGE('16.08 KAMPALA-BUSUNJU-24h'!H103,'17.08 KAMPALA-BUSUNJU-24h'!H103)</f>
        <v>0</v>
      </c>
      <c r="I103" s="49">
        <f>AVERAGE('16.08 KAMPALA-BUSUNJU-24h'!I103,'17.08 KAMPALA-BUSUNJU-24h'!I103)</f>
        <v>0</v>
      </c>
      <c r="J103" s="49">
        <f>AVERAGE('16.08 KAMPALA-BUSUNJU-24h'!J103,'17.08 KAMPALA-BUSUNJU-24h'!J103)</f>
        <v>0</v>
      </c>
      <c r="K103" s="49">
        <f>AVERAGE('16.08 KAMPALA-BUSUNJU-24h'!K103,'17.08 KAMPALA-BUSUNJU-24h'!K103)</f>
        <v>0</v>
      </c>
      <c r="L103" s="49">
        <f>AVERAGE('16.08 KAMPALA-BUSUNJU-24h'!L103,'17.08 KAMPALA-BUSUNJU-24h'!L103)</f>
        <v>0</v>
      </c>
      <c r="M103" s="49">
        <f>AVERAGE('16.08 KAMPALA-BUSUNJU-24h'!M103,'17.08 KAMPALA-BUSUNJU-24h'!M103)</f>
        <v>11</v>
      </c>
      <c r="N103" s="49">
        <f>AVERAGE('16.08 KAMPALA-BUSUNJU-24h'!N103,'17.08 KAMPALA-BUSUNJU-24h'!N103)</f>
        <v>0</v>
      </c>
      <c r="O103" s="15">
        <f t="shared" si="35"/>
        <v>1</v>
      </c>
      <c r="P103" s="15">
        <f t="shared" si="36"/>
        <v>12</v>
      </c>
      <c r="R103" s="8"/>
      <c r="T103"/>
    </row>
    <row r="104" spans="2:20" ht="23.1" customHeight="1" x14ac:dyDescent="0.25">
      <c r="B104" s="25" t="s">
        <v>144</v>
      </c>
      <c r="C104" s="49">
        <f>AVERAGE('16.08 KAMPALA-BUSUNJU-24h'!C104,'17.08 KAMPALA-BUSUNJU-24h'!C104)</f>
        <v>1</v>
      </c>
      <c r="D104" s="49">
        <f>AVERAGE('16.08 KAMPALA-BUSUNJU-24h'!D104,'17.08 KAMPALA-BUSUNJU-24h'!D104)</f>
        <v>0</v>
      </c>
      <c r="E104" s="49">
        <f>AVERAGE('16.08 KAMPALA-BUSUNJU-24h'!E104,'17.08 KAMPALA-BUSUNJU-24h'!E104)</f>
        <v>0</v>
      </c>
      <c r="F104" s="49">
        <f>AVERAGE('16.08 KAMPALA-BUSUNJU-24h'!F104,'17.08 KAMPALA-BUSUNJU-24h'!F104)</f>
        <v>0</v>
      </c>
      <c r="G104" s="49">
        <f>AVERAGE('16.08 KAMPALA-BUSUNJU-24h'!G104,'17.08 KAMPALA-BUSUNJU-24h'!G104)</f>
        <v>0</v>
      </c>
      <c r="H104" s="49">
        <f>AVERAGE('16.08 KAMPALA-BUSUNJU-24h'!H104,'17.08 KAMPALA-BUSUNJU-24h'!H104)</f>
        <v>0</v>
      </c>
      <c r="I104" s="49">
        <f>AVERAGE('16.08 KAMPALA-BUSUNJU-24h'!I104,'17.08 KAMPALA-BUSUNJU-24h'!I104)</f>
        <v>0</v>
      </c>
      <c r="J104" s="49">
        <f>AVERAGE('16.08 KAMPALA-BUSUNJU-24h'!J104,'17.08 KAMPALA-BUSUNJU-24h'!J104)</f>
        <v>0</v>
      </c>
      <c r="K104" s="49">
        <f>AVERAGE('16.08 KAMPALA-BUSUNJU-24h'!K104,'17.08 KAMPALA-BUSUNJU-24h'!K104)</f>
        <v>0</v>
      </c>
      <c r="L104" s="49">
        <f>AVERAGE('16.08 KAMPALA-BUSUNJU-24h'!L104,'17.08 KAMPALA-BUSUNJU-24h'!L104)</f>
        <v>0</v>
      </c>
      <c r="M104" s="49">
        <f>AVERAGE('16.08 KAMPALA-BUSUNJU-24h'!M104,'17.08 KAMPALA-BUSUNJU-24h'!M104)</f>
        <v>9.5</v>
      </c>
      <c r="N104" s="49">
        <f>AVERAGE('16.08 KAMPALA-BUSUNJU-24h'!N104,'17.08 KAMPALA-BUSUNJU-24h'!N104)</f>
        <v>0</v>
      </c>
      <c r="O104" s="15">
        <f t="shared" si="35"/>
        <v>1</v>
      </c>
      <c r="P104" s="15">
        <f t="shared" si="36"/>
        <v>10.5</v>
      </c>
      <c r="R104" s="8"/>
      <c r="T104"/>
    </row>
    <row r="105" spans="2:20" ht="23.1" customHeight="1" x14ac:dyDescent="0.25">
      <c r="B105" s="23" t="s">
        <v>145</v>
      </c>
      <c r="C105" s="49">
        <f>AVERAGE('16.08 KAMPALA-BUSUNJU-24h'!C105,'17.08 KAMPALA-BUSUNJU-24h'!C105)</f>
        <v>1</v>
      </c>
      <c r="D105" s="49">
        <f>AVERAGE('16.08 KAMPALA-BUSUNJU-24h'!D105,'17.08 KAMPALA-BUSUNJU-24h'!D105)</f>
        <v>0</v>
      </c>
      <c r="E105" s="49">
        <f>AVERAGE('16.08 KAMPALA-BUSUNJU-24h'!E105,'17.08 KAMPALA-BUSUNJU-24h'!E105)</f>
        <v>0</v>
      </c>
      <c r="F105" s="49">
        <f>AVERAGE('16.08 KAMPALA-BUSUNJU-24h'!F105,'17.08 KAMPALA-BUSUNJU-24h'!F105)</f>
        <v>0</v>
      </c>
      <c r="G105" s="49">
        <f>AVERAGE('16.08 KAMPALA-BUSUNJU-24h'!G105,'17.08 KAMPALA-BUSUNJU-24h'!G105)</f>
        <v>0</v>
      </c>
      <c r="H105" s="49">
        <f>AVERAGE('16.08 KAMPALA-BUSUNJU-24h'!H105,'17.08 KAMPALA-BUSUNJU-24h'!H105)</f>
        <v>0</v>
      </c>
      <c r="I105" s="49">
        <f>AVERAGE('16.08 KAMPALA-BUSUNJU-24h'!I105,'17.08 KAMPALA-BUSUNJU-24h'!I105)</f>
        <v>1</v>
      </c>
      <c r="J105" s="49">
        <f>AVERAGE('16.08 KAMPALA-BUSUNJU-24h'!J105,'17.08 KAMPALA-BUSUNJU-24h'!J105)</f>
        <v>0</v>
      </c>
      <c r="K105" s="49">
        <f>AVERAGE('16.08 KAMPALA-BUSUNJU-24h'!K105,'17.08 KAMPALA-BUSUNJU-24h'!K105)</f>
        <v>0</v>
      </c>
      <c r="L105" s="49">
        <f>AVERAGE('16.08 KAMPALA-BUSUNJU-24h'!L105,'17.08 KAMPALA-BUSUNJU-24h'!L105)</f>
        <v>0</v>
      </c>
      <c r="M105" s="49">
        <f>AVERAGE('16.08 KAMPALA-BUSUNJU-24h'!M105,'17.08 KAMPALA-BUSUNJU-24h'!M105)</f>
        <v>8.5</v>
      </c>
      <c r="N105" s="49">
        <f>AVERAGE('16.08 KAMPALA-BUSUNJU-24h'!N105,'17.08 KAMPALA-BUSUNJU-24h'!N105)</f>
        <v>0</v>
      </c>
      <c r="O105" s="15">
        <f t="shared" si="35"/>
        <v>2</v>
      </c>
      <c r="P105" s="15">
        <f t="shared" si="36"/>
        <v>10.5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63.071428571428569</v>
      </c>
      <c r="D106" s="16">
        <f t="shared" ref="D106:P106" si="37">SUM(D10:D105)</f>
        <v>0</v>
      </c>
      <c r="E106" s="16">
        <f t="shared" si="37"/>
        <v>53.85714285714284</v>
      </c>
      <c r="F106" s="16">
        <f t="shared" si="37"/>
        <v>20.285714285714288</v>
      </c>
      <c r="G106" s="16">
        <f t="shared" si="37"/>
        <v>1</v>
      </c>
      <c r="H106" s="16">
        <f t="shared" si="37"/>
        <v>0</v>
      </c>
      <c r="I106" s="16">
        <f t="shared" si="37"/>
        <v>76.714285714285722</v>
      </c>
      <c r="J106" s="16">
        <f t="shared" si="37"/>
        <v>1.4285714285714284</v>
      </c>
      <c r="K106" s="16">
        <f t="shared" si="37"/>
        <v>0.14285714285714285</v>
      </c>
      <c r="L106" s="16">
        <f t="shared" si="37"/>
        <v>0</v>
      </c>
      <c r="M106" s="16">
        <f t="shared" si="37"/>
        <v>988.28571428571399</v>
      </c>
      <c r="N106" s="16">
        <f t="shared" si="37"/>
        <v>0</v>
      </c>
      <c r="O106" s="16">
        <f t="shared" si="37"/>
        <v>216.50000000000003</v>
      </c>
      <c r="P106" s="16">
        <f t="shared" si="37"/>
        <v>1204.7857142857142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5.2350744056441571E-2</v>
      </c>
      <c r="D107" s="43">
        <f t="shared" si="38"/>
        <v>0</v>
      </c>
      <c r="E107" s="43">
        <f t="shared" si="38"/>
        <v>4.4702673860200381E-2</v>
      </c>
      <c r="F107" s="43">
        <f t="shared" si="38"/>
        <v>1.6837611904903068E-2</v>
      </c>
      <c r="G107" s="43">
        <f t="shared" si="38"/>
        <v>8.3002312207268631E-4</v>
      </c>
      <c r="H107" s="43">
        <f t="shared" si="38"/>
        <v>0</v>
      </c>
      <c r="I107" s="43">
        <f t="shared" si="38"/>
        <v>6.3674630936147517E-2</v>
      </c>
      <c r="J107" s="43">
        <f t="shared" si="38"/>
        <v>1.1857473172466946E-3</v>
      </c>
      <c r="K107" s="43">
        <f t="shared" si="38"/>
        <v>1.1857473172466947E-4</v>
      </c>
      <c r="L107" s="43">
        <f t="shared" si="38"/>
        <v>0</v>
      </c>
      <c r="M107" s="43">
        <f t="shared" si="38"/>
        <v>0.82029999407126319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0.29132299571098641</v>
      </c>
      <c r="D108" s="44">
        <f t="shared" ref="D108:N108" si="39">D106/$O$106</f>
        <v>0</v>
      </c>
      <c r="E108" s="44">
        <f t="shared" si="39"/>
        <v>0.2487627845595512</v>
      </c>
      <c r="F108" s="44">
        <f t="shared" si="39"/>
        <v>9.3698449356647964E-2</v>
      </c>
      <c r="G108" s="44">
        <f t="shared" si="39"/>
        <v>4.6189376443418004E-3</v>
      </c>
      <c r="H108" s="44">
        <f t="shared" si="39"/>
        <v>0</v>
      </c>
      <c r="I108" s="44">
        <f t="shared" si="39"/>
        <v>0.35433850214450674</v>
      </c>
      <c r="J108" s="44">
        <f t="shared" si="39"/>
        <v>6.5984823490597144E-3</v>
      </c>
      <c r="K108" s="44">
        <f t="shared" si="39"/>
        <v>6.5984823490597151E-4</v>
      </c>
      <c r="L108" s="44">
        <f t="shared" si="39"/>
        <v>0</v>
      </c>
      <c r="M108" s="44"/>
      <c r="N108" s="44">
        <f t="shared" si="39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zoomScale="60" workbookViewId="0">
      <selection activeCell="AD55" sqref="AD5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2" t="str">
        <f>'15.08 KAMPALA-BUSUNJU'!C3:G3</f>
        <v>MCC - C3 - STN85 - HOIMA ROAD</v>
      </c>
      <c r="D3" s="62"/>
      <c r="E3" s="62"/>
      <c r="F3" s="62"/>
      <c r="G3" s="62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5" t="s">
        <v>163</v>
      </c>
      <c r="E5" s="66"/>
      <c r="F5" s="41" t="s">
        <v>1</v>
      </c>
      <c r="G5" s="63" t="str">
        <f>'Avg Week KAMPALA-BUSUNJU'!G5:H5</f>
        <v>MATTE</v>
      </c>
      <c r="H5" s="64"/>
      <c r="I5" s="14"/>
      <c r="J5" s="2" t="s">
        <v>5</v>
      </c>
      <c r="K5" s="63" t="str">
        <f>'Avg Week KAMPALA-BUSUNJU'!K5:L5</f>
        <v>xxx</v>
      </c>
      <c r="L5" s="64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3" t="str">
        <f>'Avg Week KAMPALA-BUSUNJU'!K6:L6</f>
        <v>xxx</v>
      </c>
      <c r="L6" s="64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BUSUNJU-KAMPALA'!C10+'Avg Week KAMPALA-BUSUNJU'!C10</f>
        <v>1.2857142857142856</v>
      </c>
      <c r="D10" s="49">
        <f>'Avg Week BUSUNJU-KAMPALA'!D10+'Avg Week KAMPALA-BUSUNJU'!D10</f>
        <v>0.2857142857142857</v>
      </c>
      <c r="E10" s="49">
        <f>'Avg Week BUSUNJU-KAMPALA'!E10+'Avg Week KAMPALA-BUSUNJU'!E10</f>
        <v>1.1428571428571428</v>
      </c>
      <c r="F10" s="49">
        <f>'Avg Week BUSUNJU-KAMPALA'!F10+'Avg Week KAMPALA-BUSUNJU'!F10</f>
        <v>0.2857142857142857</v>
      </c>
      <c r="G10" s="49">
        <f>'Avg Week BUSUNJU-KAMPALA'!G10+'Avg Week KAMPALA-BUSUNJU'!G10</f>
        <v>0</v>
      </c>
      <c r="H10" s="49">
        <f>'Avg Week BUSUNJU-KAMPALA'!H10+'Avg Week KAMPALA-BUSUNJU'!H10</f>
        <v>0</v>
      </c>
      <c r="I10" s="49">
        <f>'Avg Week BUSUNJU-KAMPALA'!I10+'Avg Week KAMPALA-BUSUNJU'!I10</f>
        <v>0.8571428571428571</v>
      </c>
      <c r="J10" s="49">
        <f>'Avg Week BUSUNJU-KAMPALA'!J10+'Avg Week KAMPALA-BUSUNJU'!J10</f>
        <v>0</v>
      </c>
      <c r="K10" s="49">
        <f>'Avg Week BUSUNJU-KAMPALA'!K10+'Avg Week KAMPALA-BUSUNJU'!K10</f>
        <v>0</v>
      </c>
      <c r="L10" s="49">
        <f>'Avg Week BUSUNJU-KAMPALA'!L10+'Avg Week KAMPALA-BUSUNJU'!L10</f>
        <v>0</v>
      </c>
      <c r="M10" s="49">
        <f>'Avg Week BUSUNJU-KAMPALA'!M10+'Avg Week KAMPALA-BUSUNJU'!M10</f>
        <v>17</v>
      </c>
      <c r="N10" s="49">
        <f>'Avg Week BUSUNJU-KAMPALA'!N10+'Avg Week KAMPALA-BUSUNJU'!N10</f>
        <v>0</v>
      </c>
      <c r="O10" s="15">
        <f t="shared" ref="O10:O73" si="0">SUM(C10:L10,N10)</f>
        <v>3.8571428571428568</v>
      </c>
      <c r="P10" s="15">
        <f t="shared" ref="P10:P73" si="1">SUM(C10:N10)</f>
        <v>20.857142857142858</v>
      </c>
      <c r="R10" s="1" t="s">
        <v>6</v>
      </c>
      <c r="S10" s="17">
        <f t="shared" ref="S10:AF10" si="2">SUM(C10:C13)</f>
        <v>4.8571428571428568</v>
      </c>
      <c r="T10" s="17">
        <f t="shared" si="2"/>
        <v>0.5714285714285714</v>
      </c>
      <c r="U10" s="17">
        <f t="shared" si="2"/>
        <v>3.2857142857142856</v>
      </c>
      <c r="V10" s="17">
        <f t="shared" si="2"/>
        <v>1.7142857142857142</v>
      </c>
      <c r="W10" s="17">
        <f t="shared" si="2"/>
        <v>0.14285714285714285</v>
      </c>
      <c r="X10" s="17">
        <f t="shared" si="2"/>
        <v>0</v>
      </c>
      <c r="Y10" s="17">
        <f t="shared" si="2"/>
        <v>4.2857142857142856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80.428571428571431</v>
      </c>
      <c r="AD10" s="17">
        <f t="shared" si="2"/>
        <v>0</v>
      </c>
      <c r="AE10" s="31">
        <f t="shared" si="2"/>
        <v>14.857142857142856</v>
      </c>
      <c r="AF10" s="31">
        <f t="shared" si="2"/>
        <v>95.285714285714292</v>
      </c>
    </row>
    <row r="11" spans="2:32" s="6" customFormat="1" ht="23.1" customHeight="1" x14ac:dyDescent="0.25">
      <c r="B11" s="23" t="s">
        <v>38</v>
      </c>
      <c r="C11" s="49">
        <f>'Avg Week BUSUNJU-KAMPALA'!C11+'Avg Week KAMPALA-BUSUNJU'!C11</f>
        <v>1.1428571428571428</v>
      </c>
      <c r="D11" s="49">
        <f>'Avg Week BUSUNJU-KAMPALA'!D11+'Avg Week KAMPALA-BUSUNJU'!D11</f>
        <v>0.14285714285714285</v>
      </c>
      <c r="E11" s="49">
        <f>'Avg Week BUSUNJU-KAMPALA'!E11+'Avg Week KAMPALA-BUSUNJU'!E11</f>
        <v>0.2857142857142857</v>
      </c>
      <c r="F11" s="49">
        <f>'Avg Week BUSUNJU-KAMPALA'!F11+'Avg Week KAMPALA-BUSUNJU'!F11</f>
        <v>0.2857142857142857</v>
      </c>
      <c r="G11" s="49">
        <f>'Avg Week BUSUNJU-KAMPALA'!G11+'Avg Week KAMPALA-BUSUNJU'!G11</f>
        <v>0</v>
      </c>
      <c r="H11" s="49">
        <f>'Avg Week BUSUNJU-KAMPALA'!H11+'Avg Week KAMPALA-BUSUNJU'!H11</f>
        <v>0</v>
      </c>
      <c r="I11" s="49">
        <f>'Avg Week BUSUNJU-KAMPALA'!I11+'Avg Week KAMPALA-BUSUNJU'!I11</f>
        <v>0.71428571428571419</v>
      </c>
      <c r="J11" s="49">
        <f>'Avg Week BUSUNJU-KAMPALA'!J11+'Avg Week KAMPALA-BUSUNJU'!J11</f>
        <v>0</v>
      </c>
      <c r="K11" s="49">
        <f>'Avg Week BUSUNJU-KAMPALA'!K11+'Avg Week KAMPALA-BUSUNJU'!K11</f>
        <v>0</v>
      </c>
      <c r="L11" s="49">
        <f>'Avg Week BUSUNJU-KAMPALA'!L11+'Avg Week KAMPALA-BUSUNJU'!L11</f>
        <v>0</v>
      </c>
      <c r="M11" s="49">
        <f>'Avg Week BUSUNJU-KAMPALA'!M11+'Avg Week KAMPALA-BUSUNJU'!M11</f>
        <v>19</v>
      </c>
      <c r="N11" s="49">
        <f>'Avg Week BUSUNJU-KAMPALA'!N11+'Avg Week KAMPALA-BUSUNJU'!N11</f>
        <v>0</v>
      </c>
      <c r="O11" s="15">
        <f t="shared" si="0"/>
        <v>2.5714285714285712</v>
      </c>
      <c r="P11" s="15">
        <f t="shared" si="1"/>
        <v>21.571428571428569</v>
      </c>
      <c r="R11" s="1" t="s">
        <v>7</v>
      </c>
      <c r="S11" s="17">
        <f t="shared" ref="S11:AF11" si="3">SUM(C14:C17)</f>
        <v>5.1428571428571423</v>
      </c>
      <c r="T11" s="17">
        <f t="shared" si="3"/>
        <v>0.42857142857142855</v>
      </c>
      <c r="U11" s="17">
        <f t="shared" si="3"/>
        <v>4.8571428571428568</v>
      </c>
      <c r="V11" s="17">
        <f t="shared" si="3"/>
        <v>1.857142857142857</v>
      </c>
      <c r="W11" s="17">
        <f t="shared" si="3"/>
        <v>0.14285714285714285</v>
      </c>
      <c r="X11" s="17">
        <f t="shared" si="3"/>
        <v>0</v>
      </c>
      <c r="Y11" s="17">
        <f t="shared" si="3"/>
        <v>6.2857142857142856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104.14285714285714</v>
      </c>
      <c r="AD11" s="17">
        <f t="shared" si="3"/>
        <v>0</v>
      </c>
      <c r="AE11" s="31">
        <f t="shared" si="3"/>
        <v>18.714285714285712</v>
      </c>
      <c r="AF11" s="31">
        <f t="shared" si="3"/>
        <v>122.85714285714286</v>
      </c>
    </row>
    <row r="12" spans="2:32" ht="23.1" customHeight="1" x14ac:dyDescent="0.25">
      <c r="B12" s="23" t="s">
        <v>39</v>
      </c>
      <c r="C12" s="49">
        <f>'Avg Week BUSUNJU-KAMPALA'!C12+'Avg Week KAMPALA-BUSUNJU'!C12</f>
        <v>1.2857142857142856</v>
      </c>
      <c r="D12" s="49">
        <f>'Avg Week BUSUNJU-KAMPALA'!D12+'Avg Week KAMPALA-BUSUNJU'!D12</f>
        <v>0.14285714285714285</v>
      </c>
      <c r="E12" s="49">
        <f>'Avg Week BUSUNJU-KAMPALA'!E12+'Avg Week KAMPALA-BUSUNJU'!E12</f>
        <v>1.1428571428571428</v>
      </c>
      <c r="F12" s="49">
        <f>'Avg Week BUSUNJU-KAMPALA'!F12+'Avg Week KAMPALA-BUSUNJU'!F12</f>
        <v>0.42857142857142855</v>
      </c>
      <c r="G12" s="49">
        <f>'Avg Week BUSUNJU-KAMPALA'!G12+'Avg Week KAMPALA-BUSUNJU'!G12</f>
        <v>0.14285714285714285</v>
      </c>
      <c r="H12" s="49">
        <f>'Avg Week BUSUNJU-KAMPALA'!H12+'Avg Week KAMPALA-BUSUNJU'!H12</f>
        <v>0</v>
      </c>
      <c r="I12" s="49">
        <f>'Avg Week BUSUNJU-KAMPALA'!I12+'Avg Week KAMPALA-BUSUNJU'!I12</f>
        <v>0.85714285714285721</v>
      </c>
      <c r="J12" s="49">
        <f>'Avg Week BUSUNJU-KAMPALA'!J12+'Avg Week KAMPALA-BUSUNJU'!J12</f>
        <v>0</v>
      </c>
      <c r="K12" s="49">
        <f>'Avg Week BUSUNJU-KAMPALA'!K12+'Avg Week KAMPALA-BUSUNJU'!K12</f>
        <v>0</v>
      </c>
      <c r="L12" s="49">
        <f>'Avg Week BUSUNJU-KAMPALA'!L12+'Avg Week KAMPALA-BUSUNJU'!L12</f>
        <v>0</v>
      </c>
      <c r="M12" s="49">
        <f>'Avg Week BUSUNJU-KAMPALA'!M12+'Avg Week KAMPALA-BUSUNJU'!M12</f>
        <v>23</v>
      </c>
      <c r="N12" s="49">
        <f>'Avg Week BUSUNJU-KAMPALA'!N12+'Avg Week KAMPALA-BUSUNJU'!N12</f>
        <v>0</v>
      </c>
      <c r="O12" s="15">
        <f t="shared" si="0"/>
        <v>3.9999999999999996</v>
      </c>
      <c r="P12" s="15">
        <f t="shared" si="1"/>
        <v>27</v>
      </c>
      <c r="R12" s="1" t="s">
        <v>8</v>
      </c>
      <c r="S12" s="17">
        <f t="shared" ref="S12:AF12" si="4">SUM(C18:C21)</f>
        <v>5.2857142857142856</v>
      </c>
      <c r="T12" s="17">
        <f t="shared" si="4"/>
        <v>0.71428571428571419</v>
      </c>
      <c r="U12" s="17">
        <f t="shared" si="4"/>
        <v>3.4285714285714288</v>
      </c>
      <c r="V12" s="17">
        <f t="shared" si="4"/>
        <v>1.4285714285714284</v>
      </c>
      <c r="W12" s="17">
        <f t="shared" si="4"/>
        <v>0</v>
      </c>
      <c r="X12" s="17">
        <f t="shared" si="4"/>
        <v>0</v>
      </c>
      <c r="Y12" s="17">
        <f t="shared" si="4"/>
        <v>6.2857142857142856</v>
      </c>
      <c r="Z12" s="17">
        <f t="shared" si="4"/>
        <v>0.5714285714285714</v>
      </c>
      <c r="AA12" s="17">
        <f t="shared" si="4"/>
        <v>0</v>
      </c>
      <c r="AB12" s="17">
        <f t="shared" si="4"/>
        <v>0</v>
      </c>
      <c r="AC12" s="17">
        <f t="shared" si="4"/>
        <v>116.14285714285715</v>
      </c>
      <c r="AD12" s="17">
        <f t="shared" si="4"/>
        <v>0</v>
      </c>
      <c r="AE12" s="31">
        <f t="shared" si="4"/>
        <v>17.714285714285712</v>
      </c>
      <c r="AF12" s="31">
        <f t="shared" si="4"/>
        <v>133.85714285714286</v>
      </c>
    </row>
    <row r="13" spans="2:32" ht="23.1" customHeight="1" x14ac:dyDescent="0.25">
      <c r="B13" s="23" t="s">
        <v>40</v>
      </c>
      <c r="C13" s="49">
        <f>'Avg Week BUSUNJU-KAMPALA'!C13+'Avg Week KAMPALA-BUSUNJU'!C13</f>
        <v>1.1428571428571428</v>
      </c>
      <c r="D13" s="49">
        <f>'Avg Week BUSUNJU-KAMPALA'!D13+'Avg Week KAMPALA-BUSUNJU'!D13</f>
        <v>0</v>
      </c>
      <c r="E13" s="49">
        <f>'Avg Week BUSUNJU-KAMPALA'!E13+'Avg Week KAMPALA-BUSUNJU'!E13</f>
        <v>0.71428571428571419</v>
      </c>
      <c r="F13" s="49">
        <f>'Avg Week BUSUNJU-KAMPALA'!F13+'Avg Week KAMPALA-BUSUNJU'!F13</f>
        <v>0.71428571428571419</v>
      </c>
      <c r="G13" s="49">
        <f>'Avg Week BUSUNJU-KAMPALA'!G13+'Avg Week KAMPALA-BUSUNJU'!G13</f>
        <v>0</v>
      </c>
      <c r="H13" s="49">
        <f>'Avg Week BUSUNJU-KAMPALA'!H13+'Avg Week KAMPALA-BUSUNJU'!H13</f>
        <v>0</v>
      </c>
      <c r="I13" s="49">
        <f>'Avg Week BUSUNJU-KAMPALA'!I13+'Avg Week KAMPALA-BUSUNJU'!I13</f>
        <v>1.8571428571428572</v>
      </c>
      <c r="J13" s="49">
        <f>'Avg Week BUSUNJU-KAMPALA'!J13+'Avg Week KAMPALA-BUSUNJU'!J13</f>
        <v>0</v>
      </c>
      <c r="K13" s="49">
        <f>'Avg Week BUSUNJU-KAMPALA'!K13+'Avg Week KAMPALA-BUSUNJU'!K13</f>
        <v>0</v>
      </c>
      <c r="L13" s="49">
        <f>'Avg Week BUSUNJU-KAMPALA'!L13+'Avg Week KAMPALA-BUSUNJU'!L13</f>
        <v>0</v>
      </c>
      <c r="M13" s="49">
        <f>'Avg Week BUSUNJU-KAMPALA'!M13+'Avg Week KAMPALA-BUSUNJU'!M13</f>
        <v>21.428571428571431</v>
      </c>
      <c r="N13" s="49">
        <f>'Avg Week BUSUNJU-KAMPALA'!N13+'Avg Week KAMPALA-BUSUNJU'!N13</f>
        <v>0</v>
      </c>
      <c r="O13" s="15">
        <f t="shared" si="0"/>
        <v>4.4285714285714288</v>
      </c>
      <c r="P13" s="15">
        <f t="shared" si="1"/>
        <v>25.857142857142861</v>
      </c>
      <c r="R13" s="1" t="s">
        <v>9</v>
      </c>
      <c r="S13" s="17">
        <f t="shared" ref="S13:AF13" si="5">SUM(C22:C25)</f>
        <v>5.8571428571428568</v>
      </c>
      <c r="T13" s="17">
        <f t="shared" si="5"/>
        <v>0.71428571428571419</v>
      </c>
      <c r="U13" s="17">
        <f t="shared" si="5"/>
        <v>7</v>
      </c>
      <c r="V13" s="17">
        <f t="shared" si="5"/>
        <v>1.2857142857142856</v>
      </c>
      <c r="W13" s="17">
        <f t="shared" si="5"/>
        <v>0.5714285714285714</v>
      </c>
      <c r="X13" s="17">
        <f t="shared" si="5"/>
        <v>0</v>
      </c>
      <c r="Y13" s="17">
        <f t="shared" si="5"/>
        <v>10.285714285714286</v>
      </c>
      <c r="Z13" s="17">
        <f t="shared" si="5"/>
        <v>0.42857142857142855</v>
      </c>
      <c r="AA13" s="17">
        <f t="shared" si="5"/>
        <v>0</v>
      </c>
      <c r="AB13" s="17">
        <f t="shared" si="5"/>
        <v>0</v>
      </c>
      <c r="AC13" s="17">
        <f t="shared" si="5"/>
        <v>114.85714285714286</v>
      </c>
      <c r="AD13" s="17">
        <f t="shared" si="5"/>
        <v>0</v>
      </c>
      <c r="AE13" s="31">
        <f t="shared" si="5"/>
        <v>26.142857142857142</v>
      </c>
      <c r="AF13" s="31">
        <f t="shared" si="5"/>
        <v>141</v>
      </c>
    </row>
    <row r="14" spans="2:32" ht="23.1" customHeight="1" x14ac:dyDescent="0.25">
      <c r="B14" s="23" t="s">
        <v>41</v>
      </c>
      <c r="C14" s="49">
        <f>'Avg Week BUSUNJU-KAMPALA'!C14+'Avg Week KAMPALA-BUSUNJU'!C14</f>
        <v>0.85714285714285721</v>
      </c>
      <c r="D14" s="49">
        <f>'Avg Week BUSUNJU-KAMPALA'!D14+'Avg Week KAMPALA-BUSUNJU'!D14</f>
        <v>0.14285714285714285</v>
      </c>
      <c r="E14" s="49">
        <f>'Avg Week BUSUNJU-KAMPALA'!E14+'Avg Week KAMPALA-BUSUNJU'!E14</f>
        <v>0.5714285714285714</v>
      </c>
      <c r="F14" s="49">
        <f>'Avg Week BUSUNJU-KAMPALA'!F14+'Avg Week KAMPALA-BUSUNJU'!F14</f>
        <v>0.5714285714285714</v>
      </c>
      <c r="G14" s="49">
        <f>'Avg Week BUSUNJU-KAMPALA'!G14+'Avg Week KAMPALA-BUSUNJU'!G14</f>
        <v>0</v>
      </c>
      <c r="H14" s="49">
        <f>'Avg Week BUSUNJU-KAMPALA'!H14+'Avg Week KAMPALA-BUSUNJU'!H14</f>
        <v>0</v>
      </c>
      <c r="I14" s="49">
        <f>'Avg Week BUSUNJU-KAMPALA'!I14+'Avg Week KAMPALA-BUSUNJU'!I14</f>
        <v>1.1428571428571428</v>
      </c>
      <c r="J14" s="49">
        <f>'Avg Week BUSUNJU-KAMPALA'!J14+'Avg Week KAMPALA-BUSUNJU'!J14</f>
        <v>0</v>
      </c>
      <c r="K14" s="49">
        <f>'Avg Week BUSUNJU-KAMPALA'!K14+'Avg Week KAMPALA-BUSUNJU'!K14</f>
        <v>0</v>
      </c>
      <c r="L14" s="49">
        <f>'Avg Week BUSUNJU-KAMPALA'!L14+'Avg Week KAMPALA-BUSUNJU'!L14</f>
        <v>0</v>
      </c>
      <c r="M14" s="49">
        <f>'Avg Week BUSUNJU-KAMPALA'!M14+'Avg Week KAMPALA-BUSUNJU'!M14</f>
        <v>22.857142857142854</v>
      </c>
      <c r="N14" s="49">
        <f>'Avg Week BUSUNJU-KAMPALA'!N14+'Avg Week KAMPALA-BUSUNJU'!N14</f>
        <v>0</v>
      </c>
      <c r="O14" s="15">
        <f t="shared" si="0"/>
        <v>3.2857142857142856</v>
      </c>
      <c r="P14" s="15">
        <f t="shared" si="1"/>
        <v>26.142857142857139</v>
      </c>
      <c r="R14" s="1" t="s">
        <v>10</v>
      </c>
      <c r="S14" s="17">
        <f t="shared" ref="S14:AF14" si="6">SUM(C26:C29)</f>
        <v>9.7142857142857135</v>
      </c>
      <c r="T14" s="17">
        <f t="shared" si="6"/>
        <v>0</v>
      </c>
      <c r="U14" s="17">
        <f t="shared" si="6"/>
        <v>6.7142857142857144</v>
      </c>
      <c r="V14" s="17">
        <f t="shared" si="6"/>
        <v>2.9999999999999996</v>
      </c>
      <c r="W14" s="17">
        <f t="shared" si="6"/>
        <v>0.14285714285714285</v>
      </c>
      <c r="X14" s="17">
        <f t="shared" si="6"/>
        <v>0</v>
      </c>
      <c r="Y14" s="17">
        <f t="shared" si="6"/>
        <v>7.8571428571428568</v>
      </c>
      <c r="Z14" s="17">
        <f t="shared" si="6"/>
        <v>0.99999999999999989</v>
      </c>
      <c r="AA14" s="17">
        <f t="shared" si="6"/>
        <v>0.14285714285714285</v>
      </c>
      <c r="AB14" s="17">
        <f t="shared" si="6"/>
        <v>0</v>
      </c>
      <c r="AC14" s="17">
        <f t="shared" si="6"/>
        <v>121</v>
      </c>
      <c r="AD14" s="17">
        <f t="shared" si="6"/>
        <v>0</v>
      </c>
      <c r="AE14" s="31">
        <f t="shared" si="6"/>
        <v>28.571428571428569</v>
      </c>
      <c r="AF14" s="31">
        <f t="shared" si="6"/>
        <v>149.57142857142858</v>
      </c>
    </row>
    <row r="15" spans="2:32" ht="23.1" customHeight="1" x14ac:dyDescent="0.25">
      <c r="B15" s="23" t="s">
        <v>42</v>
      </c>
      <c r="C15" s="49">
        <f>'Avg Week BUSUNJU-KAMPALA'!C15+'Avg Week KAMPALA-BUSUNJU'!C15</f>
        <v>1.5714285714285714</v>
      </c>
      <c r="D15" s="49">
        <f>'Avg Week BUSUNJU-KAMPALA'!D15+'Avg Week KAMPALA-BUSUNJU'!D15</f>
        <v>0</v>
      </c>
      <c r="E15" s="49">
        <f>'Avg Week BUSUNJU-KAMPALA'!E15+'Avg Week KAMPALA-BUSUNJU'!E15</f>
        <v>2</v>
      </c>
      <c r="F15" s="49">
        <f>'Avg Week BUSUNJU-KAMPALA'!F15+'Avg Week KAMPALA-BUSUNJU'!F15</f>
        <v>0.5714285714285714</v>
      </c>
      <c r="G15" s="49">
        <f>'Avg Week BUSUNJU-KAMPALA'!G15+'Avg Week KAMPALA-BUSUNJU'!G15</f>
        <v>0.14285714285714285</v>
      </c>
      <c r="H15" s="49">
        <f>'Avg Week BUSUNJU-KAMPALA'!H15+'Avg Week KAMPALA-BUSUNJU'!H15</f>
        <v>0</v>
      </c>
      <c r="I15" s="49">
        <f>'Avg Week BUSUNJU-KAMPALA'!I15+'Avg Week KAMPALA-BUSUNJU'!I15</f>
        <v>1.7142857142857144</v>
      </c>
      <c r="J15" s="49">
        <f>'Avg Week BUSUNJU-KAMPALA'!J15+'Avg Week KAMPALA-BUSUNJU'!J15</f>
        <v>0</v>
      </c>
      <c r="K15" s="49">
        <f>'Avg Week BUSUNJU-KAMPALA'!K15+'Avg Week KAMPALA-BUSUNJU'!K15</f>
        <v>0</v>
      </c>
      <c r="L15" s="49">
        <f>'Avg Week BUSUNJU-KAMPALA'!L15+'Avg Week KAMPALA-BUSUNJU'!L15</f>
        <v>0</v>
      </c>
      <c r="M15" s="49">
        <f>'Avg Week BUSUNJU-KAMPALA'!M15+'Avg Week KAMPALA-BUSUNJU'!M15</f>
        <v>25.571428571428569</v>
      </c>
      <c r="N15" s="49">
        <f>'Avg Week BUSUNJU-KAMPALA'!N15+'Avg Week KAMPALA-BUSUNJU'!N15</f>
        <v>0</v>
      </c>
      <c r="O15" s="15">
        <f t="shared" si="0"/>
        <v>6</v>
      </c>
      <c r="P15" s="15">
        <f t="shared" si="1"/>
        <v>31.571428571428569</v>
      </c>
      <c r="R15" s="1" t="s">
        <v>11</v>
      </c>
      <c r="S15" s="17">
        <f t="shared" ref="S15:AF15" si="7">SUM(C30:C33)</f>
        <v>6.8571428571428568</v>
      </c>
      <c r="T15" s="17">
        <f t="shared" si="7"/>
        <v>0.5714285714285714</v>
      </c>
      <c r="U15" s="17">
        <f t="shared" si="7"/>
        <v>8.5714285714285694</v>
      </c>
      <c r="V15" s="17">
        <f t="shared" si="7"/>
        <v>3.2857142857142856</v>
      </c>
      <c r="W15" s="17">
        <f t="shared" si="7"/>
        <v>0</v>
      </c>
      <c r="X15" s="17">
        <f t="shared" si="7"/>
        <v>0</v>
      </c>
      <c r="Y15" s="17">
        <f t="shared" si="7"/>
        <v>10.857142857142856</v>
      </c>
      <c r="Z15" s="17">
        <f t="shared" si="7"/>
        <v>1</v>
      </c>
      <c r="AA15" s="17">
        <f t="shared" si="7"/>
        <v>0</v>
      </c>
      <c r="AB15" s="17">
        <f t="shared" si="7"/>
        <v>0</v>
      </c>
      <c r="AC15" s="17">
        <f t="shared" si="7"/>
        <v>117.28571428571428</v>
      </c>
      <c r="AD15" s="17">
        <f t="shared" si="7"/>
        <v>0</v>
      </c>
      <c r="AE15" s="31">
        <f t="shared" si="7"/>
        <v>31.142857142857142</v>
      </c>
      <c r="AF15" s="31">
        <f t="shared" si="7"/>
        <v>148.42857142857142</v>
      </c>
    </row>
    <row r="16" spans="2:32" ht="23.1" customHeight="1" x14ac:dyDescent="0.25">
      <c r="B16" s="23" t="s">
        <v>43</v>
      </c>
      <c r="C16" s="49">
        <f>'Avg Week BUSUNJU-KAMPALA'!C16+'Avg Week KAMPALA-BUSUNJU'!C16</f>
        <v>1.5714285714285714</v>
      </c>
      <c r="D16" s="49">
        <f>'Avg Week BUSUNJU-KAMPALA'!D16+'Avg Week KAMPALA-BUSUNJU'!D16</f>
        <v>0.2857142857142857</v>
      </c>
      <c r="E16" s="49">
        <f>'Avg Week BUSUNJU-KAMPALA'!E16+'Avg Week KAMPALA-BUSUNJU'!E16</f>
        <v>1.4285714285714286</v>
      </c>
      <c r="F16" s="49">
        <f>'Avg Week BUSUNJU-KAMPALA'!F16+'Avg Week KAMPALA-BUSUNJU'!F16</f>
        <v>0.5714285714285714</v>
      </c>
      <c r="G16" s="49">
        <f>'Avg Week BUSUNJU-KAMPALA'!G16+'Avg Week KAMPALA-BUSUNJU'!G16</f>
        <v>0</v>
      </c>
      <c r="H16" s="49">
        <f>'Avg Week BUSUNJU-KAMPALA'!H16+'Avg Week KAMPALA-BUSUNJU'!H16</f>
        <v>0</v>
      </c>
      <c r="I16" s="49">
        <f>'Avg Week BUSUNJU-KAMPALA'!I16+'Avg Week KAMPALA-BUSUNJU'!I16</f>
        <v>1.8571428571428572</v>
      </c>
      <c r="J16" s="49">
        <f>'Avg Week BUSUNJU-KAMPALA'!J16+'Avg Week KAMPALA-BUSUNJU'!J16</f>
        <v>0</v>
      </c>
      <c r="K16" s="49">
        <f>'Avg Week BUSUNJU-KAMPALA'!K16+'Avg Week KAMPALA-BUSUNJU'!K16</f>
        <v>0</v>
      </c>
      <c r="L16" s="49">
        <f>'Avg Week BUSUNJU-KAMPALA'!L16+'Avg Week KAMPALA-BUSUNJU'!L16</f>
        <v>0</v>
      </c>
      <c r="M16" s="49">
        <f>'Avg Week BUSUNJU-KAMPALA'!M16+'Avg Week KAMPALA-BUSUNJU'!M16</f>
        <v>28.285714285714285</v>
      </c>
      <c r="N16" s="49">
        <f>'Avg Week BUSUNJU-KAMPALA'!N16+'Avg Week KAMPALA-BUSUNJU'!N16</f>
        <v>0</v>
      </c>
      <c r="O16" s="15">
        <f t="shared" si="0"/>
        <v>5.7142857142857135</v>
      </c>
      <c r="P16" s="15">
        <f t="shared" si="1"/>
        <v>34</v>
      </c>
      <c r="R16" s="1" t="s">
        <v>12</v>
      </c>
      <c r="S16" s="17">
        <f t="shared" ref="S16:AF16" si="8">SUM(C34:C37)</f>
        <v>7.4285714285714288</v>
      </c>
      <c r="T16" s="17">
        <f t="shared" si="8"/>
        <v>0.71428571428571419</v>
      </c>
      <c r="U16" s="17">
        <f t="shared" si="8"/>
        <v>7.4285714285714288</v>
      </c>
      <c r="V16" s="17">
        <f t="shared" si="8"/>
        <v>2.5714285714285712</v>
      </c>
      <c r="W16" s="17">
        <f t="shared" si="8"/>
        <v>0.14285714285714285</v>
      </c>
      <c r="X16" s="17">
        <f t="shared" si="8"/>
        <v>0</v>
      </c>
      <c r="Y16" s="17">
        <f t="shared" si="8"/>
        <v>8.428571428571427</v>
      </c>
      <c r="Z16" s="17">
        <f t="shared" si="8"/>
        <v>0.71428571428571419</v>
      </c>
      <c r="AA16" s="17">
        <f t="shared" si="8"/>
        <v>0</v>
      </c>
      <c r="AB16" s="17">
        <f t="shared" si="8"/>
        <v>0</v>
      </c>
      <c r="AC16" s="17">
        <f t="shared" si="8"/>
        <v>111.71428571428572</v>
      </c>
      <c r="AD16" s="17">
        <f t="shared" si="8"/>
        <v>0</v>
      </c>
      <c r="AE16" s="31">
        <f t="shared" si="8"/>
        <v>27.428571428571427</v>
      </c>
      <c r="AF16" s="31">
        <f t="shared" si="8"/>
        <v>139.14285714285714</v>
      </c>
    </row>
    <row r="17" spans="2:32" ht="23.1" customHeight="1" x14ac:dyDescent="0.25">
      <c r="B17" s="23" t="s">
        <v>44</v>
      </c>
      <c r="C17" s="49">
        <f>'Avg Week BUSUNJU-KAMPALA'!C17+'Avg Week KAMPALA-BUSUNJU'!C17</f>
        <v>1.1428571428571428</v>
      </c>
      <c r="D17" s="49">
        <f>'Avg Week BUSUNJU-KAMPALA'!D17+'Avg Week KAMPALA-BUSUNJU'!D17</f>
        <v>0</v>
      </c>
      <c r="E17" s="49">
        <f>'Avg Week BUSUNJU-KAMPALA'!E17+'Avg Week KAMPALA-BUSUNJU'!E17</f>
        <v>0.8571428571428571</v>
      </c>
      <c r="F17" s="49">
        <f>'Avg Week BUSUNJU-KAMPALA'!F17+'Avg Week KAMPALA-BUSUNJU'!F17</f>
        <v>0.14285714285714285</v>
      </c>
      <c r="G17" s="49">
        <f>'Avg Week BUSUNJU-KAMPALA'!G17+'Avg Week KAMPALA-BUSUNJU'!G17</f>
        <v>0</v>
      </c>
      <c r="H17" s="49">
        <f>'Avg Week BUSUNJU-KAMPALA'!H17+'Avg Week KAMPALA-BUSUNJU'!H17</f>
        <v>0</v>
      </c>
      <c r="I17" s="49">
        <f>'Avg Week BUSUNJU-KAMPALA'!I17+'Avg Week KAMPALA-BUSUNJU'!I17</f>
        <v>1.5714285714285714</v>
      </c>
      <c r="J17" s="49">
        <f>'Avg Week BUSUNJU-KAMPALA'!J17+'Avg Week KAMPALA-BUSUNJU'!J17</f>
        <v>0</v>
      </c>
      <c r="K17" s="49">
        <f>'Avg Week BUSUNJU-KAMPALA'!K17+'Avg Week KAMPALA-BUSUNJU'!K17</f>
        <v>0</v>
      </c>
      <c r="L17" s="49">
        <f>'Avg Week BUSUNJU-KAMPALA'!L17+'Avg Week KAMPALA-BUSUNJU'!L17</f>
        <v>0</v>
      </c>
      <c r="M17" s="49">
        <f>'Avg Week BUSUNJU-KAMPALA'!M17+'Avg Week KAMPALA-BUSUNJU'!M17</f>
        <v>27.428571428571431</v>
      </c>
      <c r="N17" s="49">
        <f>'Avg Week BUSUNJU-KAMPALA'!N17+'Avg Week KAMPALA-BUSUNJU'!N17</f>
        <v>0</v>
      </c>
      <c r="O17" s="15">
        <f t="shared" si="0"/>
        <v>3.7142857142857144</v>
      </c>
      <c r="P17" s="15">
        <f t="shared" si="1"/>
        <v>31.142857142857146</v>
      </c>
      <c r="R17" s="1" t="s">
        <v>13</v>
      </c>
      <c r="S17" s="17">
        <f t="shared" ref="S17:AF17" si="9">SUM(C38:C41)</f>
        <v>7.8571428571428568</v>
      </c>
      <c r="T17" s="17">
        <f t="shared" si="9"/>
        <v>1</v>
      </c>
      <c r="U17" s="17">
        <f t="shared" si="9"/>
        <v>5.9999999999999991</v>
      </c>
      <c r="V17" s="17">
        <f t="shared" si="9"/>
        <v>1.5714285714285714</v>
      </c>
      <c r="W17" s="17">
        <f t="shared" si="9"/>
        <v>0</v>
      </c>
      <c r="X17" s="17">
        <f t="shared" si="9"/>
        <v>0</v>
      </c>
      <c r="Y17" s="17">
        <f t="shared" si="9"/>
        <v>10</v>
      </c>
      <c r="Z17" s="17">
        <f t="shared" si="9"/>
        <v>0.14285714285714285</v>
      </c>
      <c r="AA17" s="17">
        <f t="shared" si="9"/>
        <v>0</v>
      </c>
      <c r="AB17" s="17">
        <f t="shared" si="9"/>
        <v>0</v>
      </c>
      <c r="AC17" s="17">
        <f t="shared" si="9"/>
        <v>109.57142857142857</v>
      </c>
      <c r="AD17" s="17">
        <f t="shared" si="9"/>
        <v>0</v>
      </c>
      <c r="AE17" s="31">
        <f t="shared" si="9"/>
        <v>26.571428571428566</v>
      </c>
      <c r="AF17" s="31">
        <f t="shared" si="9"/>
        <v>136.14285714285714</v>
      </c>
    </row>
    <row r="18" spans="2:32" ht="23.1" customHeight="1" x14ac:dyDescent="0.25">
      <c r="B18" s="23" t="s">
        <v>45</v>
      </c>
      <c r="C18" s="49">
        <f>'Avg Week BUSUNJU-KAMPALA'!C18+'Avg Week KAMPALA-BUSUNJU'!C18</f>
        <v>1.5714285714285714</v>
      </c>
      <c r="D18" s="49">
        <f>'Avg Week BUSUNJU-KAMPALA'!D18+'Avg Week KAMPALA-BUSUNJU'!D18</f>
        <v>0.42857142857142855</v>
      </c>
      <c r="E18" s="49">
        <f>'Avg Week BUSUNJU-KAMPALA'!E18+'Avg Week KAMPALA-BUSUNJU'!E18</f>
        <v>1</v>
      </c>
      <c r="F18" s="49">
        <f>'Avg Week BUSUNJU-KAMPALA'!F18+'Avg Week KAMPALA-BUSUNJU'!F18</f>
        <v>0.2857142857142857</v>
      </c>
      <c r="G18" s="49">
        <f>'Avg Week BUSUNJU-KAMPALA'!G18+'Avg Week KAMPALA-BUSUNJU'!G18</f>
        <v>0</v>
      </c>
      <c r="H18" s="49">
        <f>'Avg Week BUSUNJU-KAMPALA'!H18+'Avg Week KAMPALA-BUSUNJU'!H18</f>
        <v>0</v>
      </c>
      <c r="I18" s="49">
        <f>'Avg Week BUSUNJU-KAMPALA'!I18+'Avg Week KAMPALA-BUSUNJU'!I18</f>
        <v>0.8571428571428571</v>
      </c>
      <c r="J18" s="49">
        <f>'Avg Week BUSUNJU-KAMPALA'!J18+'Avg Week KAMPALA-BUSUNJU'!J18</f>
        <v>0</v>
      </c>
      <c r="K18" s="49">
        <f>'Avg Week BUSUNJU-KAMPALA'!K18+'Avg Week KAMPALA-BUSUNJU'!K18</f>
        <v>0</v>
      </c>
      <c r="L18" s="49">
        <f>'Avg Week BUSUNJU-KAMPALA'!L18+'Avg Week KAMPALA-BUSUNJU'!L18</f>
        <v>0</v>
      </c>
      <c r="M18" s="49">
        <f>'Avg Week BUSUNJU-KAMPALA'!M18+'Avg Week KAMPALA-BUSUNJU'!M18</f>
        <v>30.428571428571431</v>
      </c>
      <c r="N18" s="49">
        <f>'Avg Week BUSUNJU-KAMPALA'!N18+'Avg Week KAMPALA-BUSUNJU'!N18</f>
        <v>0</v>
      </c>
      <c r="O18" s="15">
        <f t="shared" si="0"/>
        <v>4.1428571428571423</v>
      </c>
      <c r="P18" s="15">
        <f t="shared" si="1"/>
        <v>34.571428571428569</v>
      </c>
      <c r="R18" s="1" t="s">
        <v>14</v>
      </c>
      <c r="S18" s="17">
        <f t="shared" ref="S18:AF18" si="10">SUM(C42:C45)</f>
        <v>9.1428571428571423</v>
      </c>
      <c r="T18" s="17">
        <f t="shared" si="10"/>
        <v>1</v>
      </c>
      <c r="U18" s="17">
        <f t="shared" si="10"/>
        <v>7.5714285714285721</v>
      </c>
      <c r="V18" s="17">
        <f t="shared" si="10"/>
        <v>1.857142857142857</v>
      </c>
      <c r="W18" s="17">
        <f t="shared" si="10"/>
        <v>0</v>
      </c>
      <c r="X18" s="17">
        <f t="shared" si="10"/>
        <v>0</v>
      </c>
      <c r="Y18" s="17">
        <f t="shared" si="10"/>
        <v>11</v>
      </c>
      <c r="Z18" s="17">
        <f t="shared" si="10"/>
        <v>0.5714285714285714</v>
      </c>
      <c r="AA18" s="17">
        <f t="shared" si="10"/>
        <v>0</v>
      </c>
      <c r="AB18" s="17">
        <f t="shared" si="10"/>
        <v>0</v>
      </c>
      <c r="AC18" s="17">
        <f t="shared" si="10"/>
        <v>108.42857142857143</v>
      </c>
      <c r="AD18" s="17">
        <f t="shared" si="10"/>
        <v>0</v>
      </c>
      <c r="AE18" s="31">
        <f t="shared" si="10"/>
        <v>31.142857142857146</v>
      </c>
      <c r="AF18" s="31">
        <f t="shared" si="10"/>
        <v>139.57142857142856</v>
      </c>
    </row>
    <row r="19" spans="2:32" ht="23.1" customHeight="1" x14ac:dyDescent="0.25">
      <c r="B19" s="23" t="s">
        <v>46</v>
      </c>
      <c r="C19" s="49">
        <f>'Avg Week BUSUNJU-KAMPALA'!C19+'Avg Week KAMPALA-BUSUNJU'!C19</f>
        <v>1.4285714285714286</v>
      </c>
      <c r="D19" s="49">
        <f>'Avg Week BUSUNJU-KAMPALA'!D19+'Avg Week KAMPALA-BUSUNJU'!D19</f>
        <v>0.2857142857142857</v>
      </c>
      <c r="E19" s="49">
        <f>'Avg Week BUSUNJU-KAMPALA'!E19+'Avg Week KAMPALA-BUSUNJU'!E19</f>
        <v>0.71428571428571419</v>
      </c>
      <c r="F19" s="49">
        <f>'Avg Week BUSUNJU-KAMPALA'!F19+'Avg Week KAMPALA-BUSUNJU'!F19</f>
        <v>0</v>
      </c>
      <c r="G19" s="49">
        <f>'Avg Week BUSUNJU-KAMPALA'!G19+'Avg Week KAMPALA-BUSUNJU'!G19</f>
        <v>0</v>
      </c>
      <c r="H19" s="49">
        <f>'Avg Week BUSUNJU-KAMPALA'!H19+'Avg Week KAMPALA-BUSUNJU'!H19</f>
        <v>0</v>
      </c>
      <c r="I19" s="49">
        <f>'Avg Week BUSUNJU-KAMPALA'!I19+'Avg Week KAMPALA-BUSUNJU'!I19</f>
        <v>1.5714285714285716</v>
      </c>
      <c r="J19" s="49">
        <f>'Avg Week BUSUNJU-KAMPALA'!J19+'Avg Week KAMPALA-BUSUNJU'!J19</f>
        <v>0</v>
      </c>
      <c r="K19" s="49">
        <f>'Avg Week BUSUNJU-KAMPALA'!K19+'Avg Week KAMPALA-BUSUNJU'!K19</f>
        <v>0</v>
      </c>
      <c r="L19" s="49">
        <f>'Avg Week BUSUNJU-KAMPALA'!L19+'Avg Week KAMPALA-BUSUNJU'!L19</f>
        <v>0</v>
      </c>
      <c r="M19" s="49">
        <f>'Avg Week BUSUNJU-KAMPALA'!M19+'Avg Week KAMPALA-BUSUNJU'!M19</f>
        <v>27.857142857142858</v>
      </c>
      <c r="N19" s="49">
        <f>'Avg Week BUSUNJU-KAMPALA'!N19+'Avg Week KAMPALA-BUSUNJU'!N19</f>
        <v>0</v>
      </c>
      <c r="O19" s="15">
        <f t="shared" si="0"/>
        <v>4</v>
      </c>
      <c r="P19" s="15">
        <f t="shared" si="1"/>
        <v>31.857142857142858</v>
      </c>
      <c r="R19" s="1" t="s">
        <v>15</v>
      </c>
      <c r="S19" s="17">
        <f t="shared" ref="S19:AF19" si="11">SUM(C46:C49)</f>
        <v>10.428571428571429</v>
      </c>
      <c r="T19" s="17">
        <f t="shared" si="11"/>
        <v>0.5714285714285714</v>
      </c>
      <c r="U19" s="17">
        <f t="shared" si="11"/>
        <v>9.4285714285714288</v>
      </c>
      <c r="V19" s="17">
        <f t="shared" si="11"/>
        <v>2.5714285714285712</v>
      </c>
      <c r="W19" s="17">
        <f t="shared" si="11"/>
        <v>0.14285714285714285</v>
      </c>
      <c r="X19" s="17">
        <f t="shared" si="11"/>
        <v>0</v>
      </c>
      <c r="Y19" s="17">
        <f t="shared" si="11"/>
        <v>8.8571428571428577</v>
      </c>
      <c r="Z19" s="17">
        <f t="shared" si="11"/>
        <v>0.2857142857142857</v>
      </c>
      <c r="AA19" s="17">
        <f t="shared" si="11"/>
        <v>0</v>
      </c>
      <c r="AB19" s="17">
        <f t="shared" si="11"/>
        <v>0</v>
      </c>
      <c r="AC19" s="17">
        <f t="shared" si="11"/>
        <v>114.57142857142858</v>
      </c>
      <c r="AD19" s="17">
        <f t="shared" si="11"/>
        <v>0</v>
      </c>
      <c r="AE19" s="31">
        <f t="shared" si="11"/>
        <v>32.285714285714285</v>
      </c>
      <c r="AF19" s="31">
        <f t="shared" si="11"/>
        <v>146.85714285714286</v>
      </c>
    </row>
    <row r="20" spans="2:32" ht="23.1" customHeight="1" x14ac:dyDescent="0.25">
      <c r="B20" s="23" t="s">
        <v>47</v>
      </c>
      <c r="C20" s="49">
        <f>'Avg Week BUSUNJU-KAMPALA'!C20+'Avg Week KAMPALA-BUSUNJU'!C20</f>
        <v>1.2857142857142856</v>
      </c>
      <c r="D20" s="49">
        <f>'Avg Week BUSUNJU-KAMPALA'!D20+'Avg Week KAMPALA-BUSUNJU'!D20</f>
        <v>0</v>
      </c>
      <c r="E20" s="49">
        <f>'Avg Week BUSUNJU-KAMPALA'!E20+'Avg Week KAMPALA-BUSUNJU'!E20</f>
        <v>1</v>
      </c>
      <c r="F20" s="49">
        <f>'Avg Week BUSUNJU-KAMPALA'!F20+'Avg Week KAMPALA-BUSUNJU'!F20</f>
        <v>0.5714285714285714</v>
      </c>
      <c r="G20" s="49">
        <f>'Avg Week BUSUNJU-KAMPALA'!G20+'Avg Week KAMPALA-BUSUNJU'!G20</f>
        <v>0</v>
      </c>
      <c r="H20" s="49">
        <f>'Avg Week BUSUNJU-KAMPALA'!H20+'Avg Week KAMPALA-BUSUNJU'!H20</f>
        <v>0</v>
      </c>
      <c r="I20" s="49">
        <f>'Avg Week BUSUNJU-KAMPALA'!I20+'Avg Week KAMPALA-BUSUNJU'!I20</f>
        <v>2.1428571428571428</v>
      </c>
      <c r="J20" s="49">
        <f>'Avg Week BUSUNJU-KAMPALA'!J20+'Avg Week KAMPALA-BUSUNJU'!J20</f>
        <v>0.2857142857142857</v>
      </c>
      <c r="K20" s="49">
        <f>'Avg Week BUSUNJU-KAMPALA'!K20+'Avg Week KAMPALA-BUSUNJU'!K20</f>
        <v>0</v>
      </c>
      <c r="L20" s="49">
        <f>'Avg Week BUSUNJU-KAMPALA'!L20+'Avg Week KAMPALA-BUSUNJU'!L20</f>
        <v>0</v>
      </c>
      <c r="M20" s="49">
        <f>'Avg Week BUSUNJU-KAMPALA'!M20+'Avg Week KAMPALA-BUSUNJU'!M20</f>
        <v>28.285714285714285</v>
      </c>
      <c r="N20" s="49">
        <f>'Avg Week BUSUNJU-KAMPALA'!N20+'Avg Week KAMPALA-BUSUNJU'!N20</f>
        <v>0</v>
      </c>
      <c r="O20" s="15">
        <f t="shared" si="0"/>
        <v>5.2857142857142856</v>
      </c>
      <c r="P20" s="15">
        <f t="shared" si="1"/>
        <v>33.571428571428569</v>
      </c>
      <c r="R20" s="1" t="s">
        <v>16</v>
      </c>
      <c r="S20" s="17">
        <f t="shared" ref="S20:AF20" si="12">SUM(C50:C53)</f>
        <v>8.8571428571428577</v>
      </c>
      <c r="T20" s="17">
        <f t="shared" si="12"/>
        <v>0.42857142857142855</v>
      </c>
      <c r="U20" s="17">
        <f t="shared" si="12"/>
        <v>7.5714285714285712</v>
      </c>
      <c r="V20" s="17">
        <f t="shared" si="12"/>
        <v>4.2857142857142856</v>
      </c>
      <c r="W20" s="17">
        <f t="shared" si="12"/>
        <v>0.14285714285714285</v>
      </c>
      <c r="X20" s="17">
        <f t="shared" si="12"/>
        <v>0</v>
      </c>
      <c r="Y20" s="17">
        <f t="shared" si="12"/>
        <v>8.5714285714285712</v>
      </c>
      <c r="Z20" s="17">
        <f t="shared" si="12"/>
        <v>0.42857142857142855</v>
      </c>
      <c r="AA20" s="17">
        <f t="shared" si="12"/>
        <v>0</v>
      </c>
      <c r="AB20" s="17">
        <f t="shared" si="12"/>
        <v>0</v>
      </c>
      <c r="AC20" s="17">
        <f t="shared" si="12"/>
        <v>122.85714285714286</v>
      </c>
      <c r="AD20" s="17">
        <f t="shared" si="12"/>
        <v>0</v>
      </c>
      <c r="AE20" s="31">
        <f t="shared" si="12"/>
        <v>30.285714285714285</v>
      </c>
      <c r="AF20" s="31">
        <f t="shared" si="12"/>
        <v>153.14285714285714</v>
      </c>
    </row>
    <row r="21" spans="2:32" ht="23.1" customHeight="1" x14ac:dyDescent="0.25">
      <c r="B21" s="23" t="s">
        <v>48</v>
      </c>
      <c r="C21" s="49">
        <f>'Avg Week BUSUNJU-KAMPALA'!C21+'Avg Week KAMPALA-BUSUNJU'!C21</f>
        <v>1</v>
      </c>
      <c r="D21" s="49">
        <f>'Avg Week BUSUNJU-KAMPALA'!D21+'Avg Week KAMPALA-BUSUNJU'!D21</f>
        <v>0</v>
      </c>
      <c r="E21" s="49">
        <f>'Avg Week BUSUNJU-KAMPALA'!E21+'Avg Week KAMPALA-BUSUNJU'!E21</f>
        <v>0.71428571428571419</v>
      </c>
      <c r="F21" s="49">
        <f>'Avg Week BUSUNJU-KAMPALA'!F21+'Avg Week KAMPALA-BUSUNJU'!F21</f>
        <v>0.5714285714285714</v>
      </c>
      <c r="G21" s="49">
        <f>'Avg Week BUSUNJU-KAMPALA'!G21+'Avg Week KAMPALA-BUSUNJU'!G21</f>
        <v>0</v>
      </c>
      <c r="H21" s="49">
        <f>'Avg Week BUSUNJU-KAMPALA'!H21+'Avg Week KAMPALA-BUSUNJU'!H21</f>
        <v>0</v>
      </c>
      <c r="I21" s="49">
        <f>'Avg Week BUSUNJU-KAMPALA'!I21+'Avg Week KAMPALA-BUSUNJU'!I21</f>
        <v>1.7142857142857144</v>
      </c>
      <c r="J21" s="49">
        <f>'Avg Week BUSUNJU-KAMPALA'!J21+'Avg Week KAMPALA-BUSUNJU'!J21</f>
        <v>0.2857142857142857</v>
      </c>
      <c r="K21" s="49">
        <f>'Avg Week BUSUNJU-KAMPALA'!K21+'Avg Week KAMPALA-BUSUNJU'!K21</f>
        <v>0</v>
      </c>
      <c r="L21" s="49">
        <f>'Avg Week BUSUNJU-KAMPALA'!L21+'Avg Week KAMPALA-BUSUNJU'!L21</f>
        <v>0</v>
      </c>
      <c r="M21" s="49">
        <f>'Avg Week BUSUNJU-KAMPALA'!M21+'Avg Week KAMPALA-BUSUNJU'!M21</f>
        <v>29.571428571428573</v>
      </c>
      <c r="N21" s="49">
        <f>'Avg Week BUSUNJU-KAMPALA'!N21+'Avg Week KAMPALA-BUSUNJU'!N21</f>
        <v>0</v>
      </c>
      <c r="O21" s="15">
        <f t="shared" si="0"/>
        <v>4.2857142857142856</v>
      </c>
      <c r="P21" s="15">
        <f t="shared" si="1"/>
        <v>33.857142857142861</v>
      </c>
      <c r="R21" s="1" t="s">
        <v>20</v>
      </c>
      <c r="S21" s="34">
        <f t="shared" ref="S21:AF21" si="13">SUM(C54:C57)</f>
        <v>10.714285714285715</v>
      </c>
      <c r="T21" s="17">
        <f t="shared" si="13"/>
        <v>1.1428571428571428</v>
      </c>
      <c r="U21" s="17">
        <f t="shared" si="13"/>
        <v>5.5714285714285712</v>
      </c>
      <c r="V21" s="17">
        <f t="shared" si="13"/>
        <v>3.8571428571428572</v>
      </c>
      <c r="W21" s="17">
        <f t="shared" si="13"/>
        <v>1</v>
      </c>
      <c r="X21" s="17">
        <f t="shared" si="13"/>
        <v>0</v>
      </c>
      <c r="Y21" s="17">
        <f t="shared" si="13"/>
        <v>6.8571428571428568</v>
      </c>
      <c r="Z21" s="17">
        <f t="shared" si="13"/>
        <v>0.2857142857142857</v>
      </c>
      <c r="AA21" s="17">
        <f t="shared" si="13"/>
        <v>0.14285714285714285</v>
      </c>
      <c r="AB21" s="17">
        <f t="shared" si="13"/>
        <v>0</v>
      </c>
      <c r="AC21" s="17">
        <f t="shared" si="13"/>
        <v>116.14285714285714</v>
      </c>
      <c r="AD21" s="17">
        <f t="shared" si="13"/>
        <v>0</v>
      </c>
      <c r="AE21" s="31">
        <f t="shared" si="13"/>
        <v>29.571428571428569</v>
      </c>
      <c r="AF21" s="31">
        <f t="shared" si="13"/>
        <v>145.71428571428572</v>
      </c>
    </row>
    <row r="22" spans="2:32" ht="23.1" customHeight="1" x14ac:dyDescent="0.25">
      <c r="B22" s="23" t="s">
        <v>49</v>
      </c>
      <c r="C22" s="49">
        <f>'Avg Week BUSUNJU-KAMPALA'!C22+'Avg Week KAMPALA-BUSUNJU'!C22</f>
        <v>1.1428571428571428</v>
      </c>
      <c r="D22" s="49">
        <f>'Avg Week BUSUNJU-KAMPALA'!D22+'Avg Week KAMPALA-BUSUNJU'!D22</f>
        <v>0.2857142857142857</v>
      </c>
      <c r="E22" s="49">
        <f>'Avg Week BUSUNJU-KAMPALA'!E22+'Avg Week KAMPALA-BUSUNJU'!E22</f>
        <v>1.2857142857142856</v>
      </c>
      <c r="F22" s="49">
        <f>'Avg Week BUSUNJU-KAMPALA'!F22+'Avg Week KAMPALA-BUSUNJU'!F22</f>
        <v>0.42857142857142855</v>
      </c>
      <c r="G22" s="49">
        <f>'Avg Week BUSUNJU-KAMPALA'!G22+'Avg Week KAMPALA-BUSUNJU'!G22</f>
        <v>0</v>
      </c>
      <c r="H22" s="49">
        <f>'Avg Week BUSUNJU-KAMPALA'!H22+'Avg Week KAMPALA-BUSUNJU'!H22</f>
        <v>0</v>
      </c>
      <c r="I22" s="49">
        <f>'Avg Week BUSUNJU-KAMPALA'!I22+'Avg Week KAMPALA-BUSUNJU'!I22</f>
        <v>2.2857142857142856</v>
      </c>
      <c r="J22" s="49">
        <f>'Avg Week BUSUNJU-KAMPALA'!J22+'Avg Week KAMPALA-BUSUNJU'!J22</f>
        <v>0.14285714285714285</v>
      </c>
      <c r="K22" s="49">
        <f>'Avg Week BUSUNJU-KAMPALA'!K22+'Avg Week KAMPALA-BUSUNJU'!K22</f>
        <v>0</v>
      </c>
      <c r="L22" s="49">
        <f>'Avg Week BUSUNJU-KAMPALA'!L22+'Avg Week KAMPALA-BUSUNJU'!L22</f>
        <v>0</v>
      </c>
      <c r="M22" s="49">
        <f>'Avg Week BUSUNJU-KAMPALA'!M22+'Avg Week KAMPALA-BUSUNJU'!M22</f>
        <v>28.428571428571431</v>
      </c>
      <c r="N22" s="49">
        <f>'Avg Week BUSUNJU-KAMPALA'!N22+'Avg Week KAMPALA-BUSUNJU'!N22</f>
        <v>0</v>
      </c>
      <c r="O22" s="15">
        <f t="shared" si="0"/>
        <v>5.5714285714285712</v>
      </c>
      <c r="P22" s="15">
        <f t="shared" si="1"/>
        <v>34</v>
      </c>
      <c r="R22" s="1" t="s">
        <v>146</v>
      </c>
      <c r="S22" s="34">
        <f>SUM(C58:C61)</f>
        <v>4</v>
      </c>
      <c r="T22" s="34">
        <f>SUM(D58:D61)</f>
        <v>0</v>
      </c>
      <c r="U22" s="34">
        <f>SUM(E58:E61)</f>
        <v>2</v>
      </c>
      <c r="V22" s="34">
        <f>SUM(F58:F61)</f>
        <v>0</v>
      </c>
      <c r="W22" s="34">
        <f>SUM(G58:G61)</f>
        <v>0</v>
      </c>
      <c r="X22" s="34">
        <f>SUM(H58:H61)</f>
        <v>0</v>
      </c>
      <c r="Y22" s="34">
        <f>SUM(I58:I61)</f>
        <v>3</v>
      </c>
      <c r="Z22" s="34">
        <f>SUM(J58:J61)</f>
        <v>0</v>
      </c>
      <c r="AA22" s="34">
        <f>SUM(K58:K61)</f>
        <v>0</v>
      </c>
      <c r="AB22" s="34">
        <f>SUM(L58:L61)</f>
        <v>0</v>
      </c>
      <c r="AC22" s="34">
        <f>SUM(M58:M61)</f>
        <v>55</v>
      </c>
      <c r="AD22" s="34">
        <f>SUM(N58:N61)</f>
        <v>0</v>
      </c>
      <c r="AE22" s="31">
        <f>SUM(O58:O61)</f>
        <v>9</v>
      </c>
      <c r="AF22" s="31">
        <f>SUM(P58:P61)</f>
        <v>64</v>
      </c>
    </row>
    <row r="23" spans="2:32" ht="23.1" customHeight="1" x14ac:dyDescent="0.25">
      <c r="B23" s="23" t="s">
        <v>50</v>
      </c>
      <c r="C23" s="49">
        <f>'Avg Week BUSUNJU-KAMPALA'!C23+'Avg Week KAMPALA-BUSUNJU'!C23</f>
        <v>2.1428571428571428</v>
      </c>
      <c r="D23" s="49">
        <f>'Avg Week BUSUNJU-KAMPALA'!D23+'Avg Week KAMPALA-BUSUNJU'!D23</f>
        <v>0.14285714285714285</v>
      </c>
      <c r="E23" s="49">
        <f>'Avg Week BUSUNJU-KAMPALA'!E23+'Avg Week KAMPALA-BUSUNJU'!E23</f>
        <v>3.1428571428571428</v>
      </c>
      <c r="F23" s="49">
        <f>'Avg Week BUSUNJU-KAMPALA'!F23+'Avg Week KAMPALA-BUSUNJU'!F23</f>
        <v>0.2857142857142857</v>
      </c>
      <c r="G23" s="49">
        <f>'Avg Week BUSUNJU-KAMPALA'!G23+'Avg Week KAMPALA-BUSUNJU'!G23</f>
        <v>0</v>
      </c>
      <c r="H23" s="49">
        <f>'Avg Week BUSUNJU-KAMPALA'!H23+'Avg Week KAMPALA-BUSUNJU'!H23</f>
        <v>0</v>
      </c>
      <c r="I23" s="49">
        <f>'Avg Week BUSUNJU-KAMPALA'!I23+'Avg Week KAMPALA-BUSUNJU'!I23</f>
        <v>2.4285714285714288</v>
      </c>
      <c r="J23" s="49">
        <f>'Avg Week BUSUNJU-KAMPALA'!J23+'Avg Week KAMPALA-BUSUNJU'!J23</f>
        <v>0</v>
      </c>
      <c r="K23" s="49">
        <f>'Avg Week BUSUNJU-KAMPALA'!K23+'Avg Week KAMPALA-BUSUNJU'!K23</f>
        <v>0</v>
      </c>
      <c r="L23" s="49">
        <f>'Avg Week BUSUNJU-KAMPALA'!L23+'Avg Week KAMPALA-BUSUNJU'!L23</f>
        <v>0</v>
      </c>
      <c r="M23" s="49">
        <f>'Avg Week BUSUNJU-KAMPALA'!M23+'Avg Week KAMPALA-BUSUNJU'!M23</f>
        <v>29.285714285714285</v>
      </c>
      <c r="N23" s="49">
        <f>'Avg Week BUSUNJU-KAMPALA'!N23+'Avg Week KAMPALA-BUSUNJU'!N23</f>
        <v>0</v>
      </c>
      <c r="O23" s="15">
        <f t="shared" si="0"/>
        <v>8.1428571428571423</v>
      </c>
      <c r="P23" s="15">
        <f t="shared" si="1"/>
        <v>37.428571428571431</v>
      </c>
      <c r="R23" s="1" t="s">
        <v>147</v>
      </c>
      <c r="S23" s="34">
        <f>SUM(C62:C65)</f>
        <v>5</v>
      </c>
      <c r="T23" s="34">
        <f t="shared" ref="T23:AF23" si="14">SUM(D62:D65)</f>
        <v>0</v>
      </c>
      <c r="U23" s="34">
        <f t="shared" si="14"/>
        <v>3</v>
      </c>
      <c r="V23" s="34">
        <f t="shared" si="14"/>
        <v>0</v>
      </c>
      <c r="W23" s="34">
        <f t="shared" si="14"/>
        <v>0</v>
      </c>
      <c r="X23" s="34">
        <f t="shared" si="14"/>
        <v>0</v>
      </c>
      <c r="Y23" s="34">
        <f t="shared" si="14"/>
        <v>4</v>
      </c>
      <c r="Z23" s="34">
        <f t="shared" si="14"/>
        <v>0</v>
      </c>
      <c r="AA23" s="34">
        <f t="shared" si="14"/>
        <v>0</v>
      </c>
      <c r="AB23" s="34">
        <f t="shared" si="14"/>
        <v>0</v>
      </c>
      <c r="AC23" s="34">
        <f t="shared" si="14"/>
        <v>70.5</v>
      </c>
      <c r="AD23" s="34">
        <f t="shared" si="14"/>
        <v>0</v>
      </c>
      <c r="AE23" s="31">
        <f t="shared" si="14"/>
        <v>12</v>
      </c>
      <c r="AF23" s="31">
        <f t="shared" si="14"/>
        <v>82.5</v>
      </c>
    </row>
    <row r="24" spans="2:32" ht="23.1" customHeight="1" x14ac:dyDescent="0.25">
      <c r="B24" s="23" t="s">
        <v>51</v>
      </c>
      <c r="C24" s="49">
        <f>'Avg Week BUSUNJU-KAMPALA'!C24+'Avg Week KAMPALA-BUSUNJU'!C24</f>
        <v>1.2857142857142856</v>
      </c>
      <c r="D24" s="49">
        <f>'Avg Week BUSUNJU-KAMPALA'!D24+'Avg Week KAMPALA-BUSUNJU'!D24</f>
        <v>0.14285714285714285</v>
      </c>
      <c r="E24" s="49">
        <f>'Avg Week BUSUNJU-KAMPALA'!E24+'Avg Week KAMPALA-BUSUNJU'!E24</f>
        <v>1</v>
      </c>
      <c r="F24" s="49">
        <f>'Avg Week BUSUNJU-KAMPALA'!F24+'Avg Week KAMPALA-BUSUNJU'!F24</f>
        <v>0.2857142857142857</v>
      </c>
      <c r="G24" s="49">
        <f>'Avg Week BUSUNJU-KAMPALA'!G24+'Avg Week KAMPALA-BUSUNJU'!G24</f>
        <v>0.5714285714285714</v>
      </c>
      <c r="H24" s="49">
        <f>'Avg Week BUSUNJU-KAMPALA'!H24+'Avg Week KAMPALA-BUSUNJU'!H24</f>
        <v>0</v>
      </c>
      <c r="I24" s="49">
        <f>'Avg Week BUSUNJU-KAMPALA'!I24+'Avg Week KAMPALA-BUSUNJU'!I24</f>
        <v>3</v>
      </c>
      <c r="J24" s="49">
        <f>'Avg Week BUSUNJU-KAMPALA'!J24+'Avg Week KAMPALA-BUSUNJU'!J24</f>
        <v>0.2857142857142857</v>
      </c>
      <c r="K24" s="49">
        <f>'Avg Week BUSUNJU-KAMPALA'!K24+'Avg Week KAMPALA-BUSUNJU'!K24</f>
        <v>0</v>
      </c>
      <c r="L24" s="49">
        <f>'Avg Week BUSUNJU-KAMPALA'!L24+'Avg Week KAMPALA-BUSUNJU'!L24</f>
        <v>0</v>
      </c>
      <c r="M24" s="49">
        <f>'Avg Week BUSUNJU-KAMPALA'!M24+'Avg Week KAMPALA-BUSUNJU'!M24</f>
        <v>28.714285714285715</v>
      </c>
      <c r="N24" s="49">
        <f>'Avg Week BUSUNJU-KAMPALA'!N24+'Avg Week KAMPALA-BUSUNJU'!N24</f>
        <v>0</v>
      </c>
      <c r="O24" s="15">
        <f t="shared" si="0"/>
        <v>6.5714285714285712</v>
      </c>
      <c r="P24" s="15">
        <f t="shared" si="1"/>
        <v>35.285714285714285</v>
      </c>
      <c r="R24" s="1" t="s">
        <v>148</v>
      </c>
      <c r="S24" s="34">
        <f>SUM(C66:C69)</f>
        <v>2</v>
      </c>
      <c r="T24" s="34">
        <f t="shared" ref="T24:AF24" si="15">SUM(D66:D69)</f>
        <v>0</v>
      </c>
      <c r="U24" s="34">
        <f t="shared" si="15"/>
        <v>1</v>
      </c>
      <c r="V24" s="34">
        <f t="shared" si="15"/>
        <v>0</v>
      </c>
      <c r="W24" s="34">
        <f t="shared" si="15"/>
        <v>0</v>
      </c>
      <c r="X24" s="34">
        <f t="shared" si="15"/>
        <v>0</v>
      </c>
      <c r="Y24" s="34">
        <f t="shared" si="15"/>
        <v>5</v>
      </c>
      <c r="Z24" s="34">
        <f t="shared" si="15"/>
        <v>0</v>
      </c>
      <c r="AA24" s="34">
        <f t="shared" si="15"/>
        <v>0</v>
      </c>
      <c r="AB24" s="34">
        <f t="shared" si="15"/>
        <v>0</v>
      </c>
      <c r="AC24" s="34">
        <f t="shared" si="15"/>
        <v>74</v>
      </c>
      <c r="AD24" s="34">
        <f t="shared" si="15"/>
        <v>0</v>
      </c>
      <c r="AE24" s="31">
        <f t="shared" si="15"/>
        <v>8</v>
      </c>
      <c r="AF24" s="31">
        <f t="shared" si="15"/>
        <v>82</v>
      </c>
    </row>
    <row r="25" spans="2:32" ht="23.1" customHeight="1" x14ac:dyDescent="0.25">
      <c r="B25" s="23" t="s">
        <v>52</v>
      </c>
      <c r="C25" s="49">
        <f>'Avg Week BUSUNJU-KAMPALA'!C25+'Avg Week KAMPALA-BUSUNJU'!C25</f>
        <v>1.2857142857142856</v>
      </c>
      <c r="D25" s="49">
        <f>'Avg Week BUSUNJU-KAMPALA'!D25+'Avg Week KAMPALA-BUSUNJU'!D25</f>
        <v>0.14285714285714285</v>
      </c>
      <c r="E25" s="49">
        <f>'Avg Week BUSUNJU-KAMPALA'!E25+'Avg Week KAMPALA-BUSUNJU'!E25</f>
        <v>1.5714285714285714</v>
      </c>
      <c r="F25" s="49">
        <f>'Avg Week BUSUNJU-KAMPALA'!F25+'Avg Week KAMPALA-BUSUNJU'!F25</f>
        <v>0.2857142857142857</v>
      </c>
      <c r="G25" s="49">
        <f>'Avg Week BUSUNJU-KAMPALA'!G25+'Avg Week KAMPALA-BUSUNJU'!G25</f>
        <v>0</v>
      </c>
      <c r="H25" s="49">
        <f>'Avg Week BUSUNJU-KAMPALA'!H25+'Avg Week KAMPALA-BUSUNJU'!H25</f>
        <v>0</v>
      </c>
      <c r="I25" s="49">
        <f>'Avg Week BUSUNJU-KAMPALA'!I25+'Avg Week KAMPALA-BUSUNJU'!I25</f>
        <v>2.5714285714285716</v>
      </c>
      <c r="J25" s="49">
        <f>'Avg Week BUSUNJU-KAMPALA'!J25+'Avg Week KAMPALA-BUSUNJU'!J25</f>
        <v>0</v>
      </c>
      <c r="K25" s="49">
        <f>'Avg Week BUSUNJU-KAMPALA'!K25+'Avg Week KAMPALA-BUSUNJU'!K25</f>
        <v>0</v>
      </c>
      <c r="L25" s="49">
        <f>'Avg Week BUSUNJU-KAMPALA'!L25+'Avg Week KAMPALA-BUSUNJU'!L25</f>
        <v>0</v>
      </c>
      <c r="M25" s="49">
        <f>'Avg Week BUSUNJU-KAMPALA'!M25+'Avg Week KAMPALA-BUSUNJU'!M25</f>
        <v>28.428571428571431</v>
      </c>
      <c r="N25" s="49">
        <f>'Avg Week BUSUNJU-KAMPALA'!N25+'Avg Week KAMPALA-BUSUNJU'!N25</f>
        <v>0</v>
      </c>
      <c r="O25" s="15">
        <f t="shared" si="0"/>
        <v>5.8571428571428577</v>
      </c>
      <c r="P25" s="15">
        <f t="shared" si="1"/>
        <v>34.285714285714292</v>
      </c>
      <c r="R25" s="1" t="s">
        <v>149</v>
      </c>
      <c r="S25" s="34">
        <f>SUM(C70:C73)</f>
        <v>3</v>
      </c>
      <c r="T25" s="34">
        <f t="shared" ref="T25:AF25" si="16">SUM(D70:D73)</f>
        <v>0</v>
      </c>
      <c r="U25" s="34">
        <f t="shared" si="16"/>
        <v>4</v>
      </c>
      <c r="V25" s="34">
        <f t="shared" si="16"/>
        <v>0</v>
      </c>
      <c r="W25" s="34">
        <f t="shared" si="16"/>
        <v>1</v>
      </c>
      <c r="X25" s="34">
        <f t="shared" si="16"/>
        <v>0</v>
      </c>
      <c r="Y25" s="34">
        <f t="shared" si="16"/>
        <v>7</v>
      </c>
      <c r="Z25" s="34">
        <f t="shared" si="16"/>
        <v>0</v>
      </c>
      <c r="AA25" s="34">
        <f t="shared" si="16"/>
        <v>0</v>
      </c>
      <c r="AB25" s="34">
        <f t="shared" si="16"/>
        <v>0</v>
      </c>
      <c r="AC25" s="34">
        <f t="shared" si="16"/>
        <v>62.5</v>
      </c>
      <c r="AD25" s="34">
        <f t="shared" si="16"/>
        <v>0</v>
      </c>
      <c r="AE25" s="31">
        <f t="shared" si="16"/>
        <v>15</v>
      </c>
      <c r="AF25" s="31">
        <f t="shared" si="16"/>
        <v>77.5</v>
      </c>
    </row>
    <row r="26" spans="2:32" ht="23.1" customHeight="1" x14ac:dyDescent="0.25">
      <c r="B26" s="23" t="s">
        <v>53</v>
      </c>
      <c r="C26" s="49">
        <f>'Avg Week BUSUNJU-KAMPALA'!C26+'Avg Week KAMPALA-BUSUNJU'!C26</f>
        <v>2.8571428571428572</v>
      </c>
      <c r="D26" s="49">
        <f>'Avg Week BUSUNJU-KAMPALA'!D26+'Avg Week KAMPALA-BUSUNJU'!D26</f>
        <v>0</v>
      </c>
      <c r="E26" s="49">
        <f>'Avg Week BUSUNJU-KAMPALA'!E26+'Avg Week KAMPALA-BUSUNJU'!E26</f>
        <v>2</v>
      </c>
      <c r="F26" s="49">
        <f>'Avg Week BUSUNJU-KAMPALA'!F26+'Avg Week KAMPALA-BUSUNJU'!F26</f>
        <v>1</v>
      </c>
      <c r="G26" s="49">
        <f>'Avg Week BUSUNJU-KAMPALA'!G26+'Avg Week KAMPALA-BUSUNJU'!G26</f>
        <v>0</v>
      </c>
      <c r="H26" s="49">
        <f>'Avg Week BUSUNJU-KAMPALA'!H26+'Avg Week KAMPALA-BUSUNJU'!H26</f>
        <v>0</v>
      </c>
      <c r="I26" s="49">
        <f>'Avg Week BUSUNJU-KAMPALA'!I26+'Avg Week KAMPALA-BUSUNJU'!I26</f>
        <v>2</v>
      </c>
      <c r="J26" s="49">
        <f>'Avg Week BUSUNJU-KAMPALA'!J26+'Avg Week KAMPALA-BUSUNJU'!J26</f>
        <v>0.14285714285714285</v>
      </c>
      <c r="K26" s="49">
        <f>'Avg Week BUSUNJU-KAMPALA'!K26+'Avg Week KAMPALA-BUSUNJU'!K26</f>
        <v>0</v>
      </c>
      <c r="L26" s="49">
        <f>'Avg Week BUSUNJU-KAMPALA'!L26+'Avg Week KAMPALA-BUSUNJU'!L26</f>
        <v>0</v>
      </c>
      <c r="M26" s="49">
        <f>'Avg Week BUSUNJU-KAMPALA'!M26+'Avg Week KAMPALA-BUSUNJU'!M26</f>
        <v>29.142857142857142</v>
      </c>
      <c r="N26" s="49">
        <f>'Avg Week BUSUNJU-KAMPALA'!N26+'Avg Week KAMPALA-BUSUNJU'!N26</f>
        <v>0</v>
      </c>
      <c r="O26" s="15">
        <f t="shared" si="0"/>
        <v>8</v>
      </c>
      <c r="P26" s="15">
        <f t="shared" si="1"/>
        <v>37.142857142857139</v>
      </c>
      <c r="R26" s="1" t="s">
        <v>150</v>
      </c>
      <c r="S26" s="34">
        <f>SUM(C74:C77)</f>
        <v>7.5</v>
      </c>
      <c r="T26" s="34">
        <f t="shared" ref="T26:AF26" si="17">SUM(D74:D77)</f>
        <v>0</v>
      </c>
      <c r="U26" s="34">
        <f t="shared" si="17"/>
        <v>5</v>
      </c>
      <c r="V26" s="34">
        <f t="shared" si="17"/>
        <v>0</v>
      </c>
      <c r="W26" s="34">
        <f t="shared" si="17"/>
        <v>0</v>
      </c>
      <c r="X26" s="34">
        <f t="shared" si="17"/>
        <v>0</v>
      </c>
      <c r="Y26" s="34">
        <f t="shared" si="17"/>
        <v>5</v>
      </c>
      <c r="Z26" s="34">
        <f t="shared" si="17"/>
        <v>0</v>
      </c>
      <c r="AA26" s="34">
        <f t="shared" si="17"/>
        <v>0</v>
      </c>
      <c r="AB26" s="34">
        <f t="shared" si="17"/>
        <v>0</v>
      </c>
      <c r="AC26" s="34">
        <f t="shared" si="17"/>
        <v>58.5</v>
      </c>
      <c r="AD26" s="34">
        <f t="shared" si="17"/>
        <v>0</v>
      </c>
      <c r="AE26" s="31">
        <f t="shared" si="17"/>
        <v>17.5</v>
      </c>
      <c r="AF26" s="31">
        <f t="shared" si="17"/>
        <v>76</v>
      </c>
    </row>
    <row r="27" spans="2:32" ht="23.1" customHeight="1" x14ac:dyDescent="0.25">
      <c r="B27" s="23" t="s">
        <v>54</v>
      </c>
      <c r="C27" s="49">
        <f>'Avg Week BUSUNJU-KAMPALA'!C27+'Avg Week KAMPALA-BUSUNJU'!C27</f>
        <v>2.7142857142857144</v>
      </c>
      <c r="D27" s="49">
        <f>'Avg Week BUSUNJU-KAMPALA'!D27+'Avg Week KAMPALA-BUSUNJU'!D27</f>
        <v>0</v>
      </c>
      <c r="E27" s="49">
        <f>'Avg Week BUSUNJU-KAMPALA'!E27+'Avg Week KAMPALA-BUSUNJU'!E27</f>
        <v>2.2857142857142856</v>
      </c>
      <c r="F27" s="49">
        <f>'Avg Week BUSUNJU-KAMPALA'!F27+'Avg Week KAMPALA-BUSUNJU'!F27</f>
        <v>0.42857142857142855</v>
      </c>
      <c r="G27" s="49">
        <f>'Avg Week BUSUNJU-KAMPALA'!G27+'Avg Week KAMPALA-BUSUNJU'!G27</f>
        <v>0</v>
      </c>
      <c r="H27" s="49">
        <f>'Avg Week BUSUNJU-KAMPALA'!H27+'Avg Week KAMPALA-BUSUNJU'!H27</f>
        <v>0</v>
      </c>
      <c r="I27" s="49">
        <f>'Avg Week BUSUNJU-KAMPALA'!I27+'Avg Week KAMPALA-BUSUNJU'!I27</f>
        <v>1.2857142857142856</v>
      </c>
      <c r="J27" s="49">
        <f>'Avg Week BUSUNJU-KAMPALA'!J27+'Avg Week KAMPALA-BUSUNJU'!J27</f>
        <v>0.5714285714285714</v>
      </c>
      <c r="K27" s="49">
        <f>'Avg Week BUSUNJU-KAMPALA'!K27+'Avg Week KAMPALA-BUSUNJU'!K27</f>
        <v>0.14285714285714285</v>
      </c>
      <c r="L27" s="49">
        <f>'Avg Week BUSUNJU-KAMPALA'!L27+'Avg Week KAMPALA-BUSUNJU'!L27</f>
        <v>0</v>
      </c>
      <c r="M27" s="49">
        <f>'Avg Week BUSUNJU-KAMPALA'!M27+'Avg Week KAMPALA-BUSUNJU'!M27</f>
        <v>29.428571428571427</v>
      </c>
      <c r="N27" s="49">
        <f>'Avg Week BUSUNJU-KAMPALA'!N27+'Avg Week KAMPALA-BUSUNJU'!N27</f>
        <v>0</v>
      </c>
      <c r="O27" s="15">
        <f t="shared" si="0"/>
        <v>7.4285714285714288</v>
      </c>
      <c r="P27" s="15">
        <f t="shared" si="1"/>
        <v>36.857142857142854</v>
      </c>
      <c r="R27" s="1" t="s">
        <v>151</v>
      </c>
      <c r="S27" s="34">
        <f>SUM(C78:C81)</f>
        <v>2</v>
      </c>
      <c r="T27" s="34">
        <f t="shared" ref="T27:AF27" si="18">SUM(D78:D81)</f>
        <v>0</v>
      </c>
      <c r="U27" s="34">
        <f t="shared" si="18"/>
        <v>3</v>
      </c>
      <c r="V27" s="34">
        <f t="shared" si="18"/>
        <v>0</v>
      </c>
      <c r="W27" s="34">
        <f t="shared" si="18"/>
        <v>0</v>
      </c>
      <c r="X27" s="34">
        <f t="shared" si="18"/>
        <v>0</v>
      </c>
      <c r="Y27" s="34">
        <f t="shared" si="18"/>
        <v>4</v>
      </c>
      <c r="Z27" s="34">
        <f t="shared" si="18"/>
        <v>0</v>
      </c>
      <c r="AA27" s="34">
        <f t="shared" si="18"/>
        <v>0</v>
      </c>
      <c r="AB27" s="34">
        <f t="shared" si="18"/>
        <v>0</v>
      </c>
      <c r="AC27" s="34">
        <f t="shared" si="18"/>
        <v>43</v>
      </c>
      <c r="AD27" s="34">
        <f t="shared" si="18"/>
        <v>0</v>
      </c>
      <c r="AE27" s="31">
        <f t="shared" si="18"/>
        <v>9</v>
      </c>
      <c r="AF27" s="31">
        <f t="shared" si="18"/>
        <v>52</v>
      </c>
    </row>
    <row r="28" spans="2:32" ht="23.1" customHeight="1" x14ac:dyDescent="0.25">
      <c r="B28" s="23" t="s">
        <v>55</v>
      </c>
      <c r="C28" s="49">
        <f>'Avg Week BUSUNJU-KAMPALA'!C28+'Avg Week KAMPALA-BUSUNJU'!C28</f>
        <v>2.4285714285714288</v>
      </c>
      <c r="D28" s="49">
        <f>'Avg Week BUSUNJU-KAMPALA'!D28+'Avg Week KAMPALA-BUSUNJU'!D28</f>
        <v>0</v>
      </c>
      <c r="E28" s="49">
        <f>'Avg Week BUSUNJU-KAMPALA'!E28+'Avg Week KAMPALA-BUSUNJU'!E28</f>
        <v>1.1428571428571428</v>
      </c>
      <c r="F28" s="49">
        <f>'Avg Week BUSUNJU-KAMPALA'!F28+'Avg Week KAMPALA-BUSUNJU'!F28</f>
        <v>1.1428571428571428</v>
      </c>
      <c r="G28" s="49">
        <f>'Avg Week BUSUNJU-KAMPALA'!G28+'Avg Week KAMPALA-BUSUNJU'!G28</f>
        <v>0</v>
      </c>
      <c r="H28" s="49">
        <f>'Avg Week BUSUNJU-KAMPALA'!H28+'Avg Week KAMPALA-BUSUNJU'!H28</f>
        <v>0</v>
      </c>
      <c r="I28" s="49">
        <f>'Avg Week BUSUNJU-KAMPALA'!I28+'Avg Week KAMPALA-BUSUNJU'!I28</f>
        <v>2</v>
      </c>
      <c r="J28" s="49">
        <f>'Avg Week BUSUNJU-KAMPALA'!J28+'Avg Week KAMPALA-BUSUNJU'!J28</f>
        <v>0</v>
      </c>
      <c r="K28" s="49">
        <f>'Avg Week BUSUNJU-KAMPALA'!K28+'Avg Week KAMPALA-BUSUNJU'!K28</f>
        <v>0</v>
      </c>
      <c r="L28" s="49">
        <f>'Avg Week BUSUNJU-KAMPALA'!L28+'Avg Week KAMPALA-BUSUNJU'!L28</f>
        <v>0</v>
      </c>
      <c r="M28" s="49">
        <f>'Avg Week BUSUNJU-KAMPALA'!M28+'Avg Week KAMPALA-BUSUNJU'!M28</f>
        <v>33</v>
      </c>
      <c r="N28" s="49">
        <f>'Avg Week BUSUNJU-KAMPALA'!N28+'Avg Week KAMPALA-BUSUNJU'!N28</f>
        <v>0</v>
      </c>
      <c r="O28" s="15">
        <f t="shared" si="0"/>
        <v>6.7142857142857144</v>
      </c>
      <c r="P28" s="15">
        <f t="shared" si="1"/>
        <v>39.714285714285715</v>
      </c>
      <c r="R28" s="1" t="s">
        <v>152</v>
      </c>
      <c r="S28" s="34">
        <f>SUM(C82:C85)</f>
        <v>2</v>
      </c>
      <c r="T28" s="34">
        <f t="shared" ref="T28:AF28" si="19">SUM(D82:D85)</f>
        <v>0</v>
      </c>
      <c r="U28" s="34">
        <f t="shared" si="19"/>
        <v>0</v>
      </c>
      <c r="V28" s="34">
        <f t="shared" si="19"/>
        <v>0</v>
      </c>
      <c r="W28" s="34">
        <f t="shared" si="19"/>
        <v>0</v>
      </c>
      <c r="X28" s="34">
        <f t="shared" si="19"/>
        <v>0</v>
      </c>
      <c r="Y28" s="34">
        <f t="shared" si="19"/>
        <v>2</v>
      </c>
      <c r="Z28" s="34">
        <f t="shared" si="19"/>
        <v>0</v>
      </c>
      <c r="AA28" s="34">
        <f t="shared" si="19"/>
        <v>0</v>
      </c>
      <c r="AB28" s="34">
        <f t="shared" si="19"/>
        <v>0</v>
      </c>
      <c r="AC28" s="34">
        <f t="shared" si="19"/>
        <v>31.5</v>
      </c>
      <c r="AD28" s="34">
        <f t="shared" si="19"/>
        <v>0</v>
      </c>
      <c r="AE28" s="31">
        <f t="shared" si="19"/>
        <v>4</v>
      </c>
      <c r="AF28" s="31">
        <f t="shared" si="19"/>
        <v>35.5</v>
      </c>
    </row>
    <row r="29" spans="2:32" ht="23.1" customHeight="1" x14ac:dyDescent="0.25">
      <c r="B29" s="23" t="s">
        <v>56</v>
      </c>
      <c r="C29" s="49">
        <f>'Avg Week BUSUNJU-KAMPALA'!C29+'Avg Week KAMPALA-BUSUNJU'!C29</f>
        <v>1.7142857142857142</v>
      </c>
      <c r="D29" s="49">
        <f>'Avg Week BUSUNJU-KAMPALA'!D29+'Avg Week KAMPALA-BUSUNJU'!D29</f>
        <v>0</v>
      </c>
      <c r="E29" s="49">
        <f>'Avg Week BUSUNJU-KAMPALA'!E29+'Avg Week KAMPALA-BUSUNJU'!E29</f>
        <v>1.2857142857142856</v>
      </c>
      <c r="F29" s="49">
        <f>'Avg Week BUSUNJU-KAMPALA'!F29+'Avg Week KAMPALA-BUSUNJU'!F29</f>
        <v>0.42857142857142855</v>
      </c>
      <c r="G29" s="49">
        <f>'Avg Week BUSUNJU-KAMPALA'!G29+'Avg Week KAMPALA-BUSUNJU'!G29</f>
        <v>0.14285714285714285</v>
      </c>
      <c r="H29" s="49">
        <f>'Avg Week BUSUNJU-KAMPALA'!H29+'Avg Week KAMPALA-BUSUNJU'!H29</f>
        <v>0</v>
      </c>
      <c r="I29" s="49">
        <f>'Avg Week BUSUNJU-KAMPALA'!I29+'Avg Week KAMPALA-BUSUNJU'!I29</f>
        <v>2.5714285714285712</v>
      </c>
      <c r="J29" s="49">
        <f>'Avg Week BUSUNJU-KAMPALA'!J29+'Avg Week KAMPALA-BUSUNJU'!J29</f>
        <v>0.2857142857142857</v>
      </c>
      <c r="K29" s="49">
        <f>'Avg Week BUSUNJU-KAMPALA'!K29+'Avg Week KAMPALA-BUSUNJU'!K29</f>
        <v>0</v>
      </c>
      <c r="L29" s="49">
        <f>'Avg Week BUSUNJU-KAMPALA'!L29+'Avg Week KAMPALA-BUSUNJU'!L29</f>
        <v>0</v>
      </c>
      <c r="M29" s="49">
        <f>'Avg Week BUSUNJU-KAMPALA'!M29+'Avg Week KAMPALA-BUSUNJU'!M29</f>
        <v>29.428571428571427</v>
      </c>
      <c r="N29" s="49">
        <f>'Avg Week BUSUNJU-KAMPALA'!N29+'Avg Week KAMPALA-BUSUNJU'!N29</f>
        <v>0</v>
      </c>
      <c r="O29" s="15">
        <f t="shared" si="0"/>
        <v>6.4285714285714279</v>
      </c>
      <c r="P29" s="15">
        <f t="shared" si="1"/>
        <v>35.857142857142854</v>
      </c>
      <c r="R29" s="1" t="s">
        <v>153</v>
      </c>
      <c r="S29" s="34">
        <f>SUM(C86:C89)</f>
        <v>0</v>
      </c>
      <c r="T29" s="34">
        <f t="shared" ref="T29:AF29" si="20">SUM(D86:D89)</f>
        <v>0</v>
      </c>
      <c r="U29" s="34">
        <f t="shared" si="20"/>
        <v>0</v>
      </c>
      <c r="V29" s="34">
        <f t="shared" si="20"/>
        <v>0</v>
      </c>
      <c r="W29" s="34">
        <f t="shared" si="20"/>
        <v>0</v>
      </c>
      <c r="X29" s="34">
        <f t="shared" si="20"/>
        <v>0</v>
      </c>
      <c r="Y29" s="34">
        <f t="shared" si="20"/>
        <v>3</v>
      </c>
      <c r="Z29" s="34">
        <f t="shared" si="20"/>
        <v>0</v>
      </c>
      <c r="AA29" s="34">
        <f t="shared" si="20"/>
        <v>0</v>
      </c>
      <c r="AB29" s="34">
        <f t="shared" si="20"/>
        <v>0</v>
      </c>
      <c r="AC29" s="34">
        <f t="shared" si="20"/>
        <v>30</v>
      </c>
      <c r="AD29" s="34">
        <f t="shared" si="20"/>
        <v>0</v>
      </c>
      <c r="AE29" s="31">
        <f t="shared" si="20"/>
        <v>3</v>
      </c>
      <c r="AF29" s="31">
        <f t="shared" si="20"/>
        <v>33</v>
      </c>
    </row>
    <row r="30" spans="2:32" ht="23.1" customHeight="1" x14ac:dyDescent="0.25">
      <c r="B30" s="23" t="s">
        <v>57</v>
      </c>
      <c r="C30" s="49">
        <f>'Avg Week BUSUNJU-KAMPALA'!C30+'Avg Week KAMPALA-BUSUNJU'!C30</f>
        <v>2.2857142857142856</v>
      </c>
      <c r="D30" s="49">
        <f>'Avg Week BUSUNJU-KAMPALA'!D30+'Avg Week KAMPALA-BUSUNJU'!D30</f>
        <v>0.14285714285714285</v>
      </c>
      <c r="E30" s="49">
        <f>'Avg Week BUSUNJU-KAMPALA'!E30+'Avg Week KAMPALA-BUSUNJU'!E30</f>
        <v>2.1428571428571428</v>
      </c>
      <c r="F30" s="49">
        <f>'Avg Week BUSUNJU-KAMPALA'!F30+'Avg Week KAMPALA-BUSUNJU'!F30</f>
        <v>0.5714285714285714</v>
      </c>
      <c r="G30" s="49">
        <f>'Avg Week BUSUNJU-KAMPALA'!G30+'Avg Week KAMPALA-BUSUNJU'!G30</f>
        <v>0</v>
      </c>
      <c r="H30" s="49">
        <f>'Avg Week BUSUNJU-KAMPALA'!H30+'Avg Week KAMPALA-BUSUNJU'!H30</f>
        <v>0</v>
      </c>
      <c r="I30" s="49">
        <f>'Avg Week BUSUNJU-KAMPALA'!I30+'Avg Week KAMPALA-BUSUNJU'!I30</f>
        <v>2.1428571428571428</v>
      </c>
      <c r="J30" s="49">
        <f>'Avg Week BUSUNJU-KAMPALA'!J30+'Avg Week KAMPALA-BUSUNJU'!J30</f>
        <v>0.42857142857142855</v>
      </c>
      <c r="K30" s="49">
        <f>'Avg Week BUSUNJU-KAMPALA'!K30+'Avg Week KAMPALA-BUSUNJU'!K30</f>
        <v>0</v>
      </c>
      <c r="L30" s="49">
        <f>'Avg Week BUSUNJU-KAMPALA'!L30+'Avg Week KAMPALA-BUSUNJU'!L30</f>
        <v>0</v>
      </c>
      <c r="M30" s="49">
        <f>'Avg Week BUSUNJU-KAMPALA'!M30+'Avg Week KAMPALA-BUSUNJU'!M30</f>
        <v>29.428571428571431</v>
      </c>
      <c r="N30" s="49">
        <f>'Avg Week BUSUNJU-KAMPALA'!N30+'Avg Week KAMPALA-BUSUNJU'!N30</f>
        <v>0</v>
      </c>
      <c r="O30" s="15">
        <f t="shared" si="0"/>
        <v>7.7142857142857135</v>
      </c>
      <c r="P30" s="15">
        <f t="shared" si="1"/>
        <v>37.142857142857146</v>
      </c>
      <c r="R30" s="1" t="s">
        <v>154</v>
      </c>
      <c r="S30" s="34">
        <f>SUM(C90:C93)</f>
        <v>1</v>
      </c>
      <c r="T30" s="34">
        <f t="shared" ref="T30:AF30" si="21">SUM(D90:D93)</f>
        <v>0</v>
      </c>
      <c r="U30" s="34">
        <f t="shared" si="21"/>
        <v>1</v>
      </c>
      <c r="V30" s="34">
        <f t="shared" si="21"/>
        <v>0</v>
      </c>
      <c r="W30" s="34">
        <f t="shared" si="21"/>
        <v>0</v>
      </c>
      <c r="X30" s="34">
        <f t="shared" si="21"/>
        <v>0</v>
      </c>
      <c r="Y30" s="34">
        <f t="shared" si="21"/>
        <v>1.5</v>
      </c>
      <c r="Z30" s="34">
        <f t="shared" si="21"/>
        <v>0</v>
      </c>
      <c r="AA30" s="34">
        <f t="shared" si="21"/>
        <v>0</v>
      </c>
      <c r="AB30" s="34">
        <f t="shared" si="21"/>
        <v>0</v>
      </c>
      <c r="AC30" s="34">
        <f t="shared" si="21"/>
        <v>22.5</v>
      </c>
      <c r="AD30" s="34">
        <f t="shared" si="21"/>
        <v>0</v>
      </c>
      <c r="AE30" s="31">
        <f t="shared" si="21"/>
        <v>3.5</v>
      </c>
      <c r="AF30" s="31">
        <f t="shared" si="21"/>
        <v>26</v>
      </c>
    </row>
    <row r="31" spans="2:32" ht="23.1" customHeight="1" x14ac:dyDescent="0.25">
      <c r="B31" s="24" t="s">
        <v>58</v>
      </c>
      <c r="C31" s="49">
        <f>'Avg Week BUSUNJU-KAMPALA'!C31+'Avg Week KAMPALA-BUSUNJU'!C31</f>
        <v>1.5714285714285714</v>
      </c>
      <c r="D31" s="49">
        <f>'Avg Week BUSUNJU-KAMPALA'!D31+'Avg Week KAMPALA-BUSUNJU'!D31</f>
        <v>0</v>
      </c>
      <c r="E31" s="49">
        <f>'Avg Week BUSUNJU-KAMPALA'!E31+'Avg Week KAMPALA-BUSUNJU'!E31</f>
        <v>2</v>
      </c>
      <c r="F31" s="49">
        <f>'Avg Week BUSUNJU-KAMPALA'!F31+'Avg Week KAMPALA-BUSUNJU'!F31</f>
        <v>1</v>
      </c>
      <c r="G31" s="49">
        <f>'Avg Week BUSUNJU-KAMPALA'!G31+'Avg Week KAMPALA-BUSUNJU'!G31</f>
        <v>0</v>
      </c>
      <c r="H31" s="49">
        <f>'Avg Week BUSUNJU-KAMPALA'!H31+'Avg Week KAMPALA-BUSUNJU'!H31</f>
        <v>0</v>
      </c>
      <c r="I31" s="49">
        <f>'Avg Week BUSUNJU-KAMPALA'!I31+'Avg Week KAMPALA-BUSUNJU'!I31</f>
        <v>2.8571428571428568</v>
      </c>
      <c r="J31" s="49">
        <f>'Avg Week BUSUNJU-KAMPALA'!J31+'Avg Week KAMPALA-BUSUNJU'!J31</f>
        <v>0.14285714285714285</v>
      </c>
      <c r="K31" s="49">
        <f>'Avg Week BUSUNJU-KAMPALA'!K31+'Avg Week KAMPALA-BUSUNJU'!K31</f>
        <v>0</v>
      </c>
      <c r="L31" s="49">
        <f>'Avg Week BUSUNJU-KAMPALA'!L31+'Avg Week KAMPALA-BUSUNJU'!L31</f>
        <v>0</v>
      </c>
      <c r="M31" s="49">
        <f>'Avg Week BUSUNJU-KAMPALA'!M31+'Avg Week KAMPALA-BUSUNJU'!M31</f>
        <v>27.428571428571431</v>
      </c>
      <c r="N31" s="49">
        <f>'Avg Week BUSUNJU-KAMPALA'!N31+'Avg Week KAMPALA-BUSUNJU'!N31</f>
        <v>0</v>
      </c>
      <c r="O31" s="15">
        <f t="shared" si="0"/>
        <v>7.5714285714285712</v>
      </c>
      <c r="P31" s="15">
        <f t="shared" si="1"/>
        <v>35</v>
      </c>
      <c r="R31" s="1" t="s">
        <v>155</v>
      </c>
      <c r="S31" s="34">
        <f>SUM(C94:C97)</f>
        <v>5</v>
      </c>
      <c r="T31" s="34">
        <f t="shared" ref="T31:AF31" si="22">SUM(D94:D97)</f>
        <v>0</v>
      </c>
      <c r="U31" s="34">
        <f t="shared" si="22"/>
        <v>4</v>
      </c>
      <c r="V31" s="34">
        <f t="shared" si="22"/>
        <v>1</v>
      </c>
      <c r="W31" s="34">
        <f t="shared" si="22"/>
        <v>0</v>
      </c>
      <c r="X31" s="34">
        <f t="shared" si="22"/>
        <v>0</v>
      </c>
      <c r="Y31" s="34">
        <f t="shared" si="22"/>
        <v>3</v>
      </c>
      <c r="Z31" s="34">
        <f t="shared" si="22"/>
        <v>0</v>
      </c>
      <c r="AA31" s="34">
        <f t="shared" si="22"/>
        <v>0</v>
      </c>
      <c r="AB31" s="34">
        <f t="shared" si="22"/>
        <v>0</v>
      </c>
      <c r="AC31" s="34">
        <f t="shared" si="22"/>
        <v>43</v>
      </c>
      <c r="AD31" s="34">
        <f t="shared" si="22"/>
        <v>0</v>
      </c>
      <c r="AE31" s="31">
        <f t="shared" si="22"/>
        <v>13</v>
      </c>
      <c r="AF31" s="31">
        <f t="shared" si="22"/>
        <v>56</v>
      </c>
    </row>
    <row r="32" spans="2:32" ht="23.1" customHeight="1" x14ac:dyDescent="0.25">
      <c r="B32" s="24" t="s">
        <v>59</v>
      </c>
      <c r="C32" s="49">
        <f>'Avg Week BUSUNJU-KAMPALA'!C32+'Avg Week KAMPALA-BUSUNJU'!C32</f>
        <v>2.2857142857142856</v>
      </c>
      <c r="D32" s="49">
        <f>'Avg Week BUSUNJU-KAMPALA'!D32+'Avg Week KAMPALA-BUSUNJU'!D32</f>
        <v>0.2857142857142857</v>
      </c>
      <c r="E32" s="49">
        <f>'Avg Week BUSUNJU-KAMPALA'!E32+'Avg Week KAMPALA-BUSUNJU'!E32</f>
        <v>2.1428571428571428</v>
      </c>
      <c r="F32" s="49">
        <f>'Avg Week BUSUNJU-KAMPALA'!F32+'Avg Week KAMPALA-BUSUNJU'!F32</f>
        <v>0.71428571428571419</v>
      </c>
      <c r="G32" s="49">
        <f>'Avg Week BUSUNJU-KAMPALA'!G32+'Avg Week KAMPALA-BUSUNJU'!G32</f>
        <v>0</v>
      </c>
      <c r="H32" s="49">
        <f>'Avg Week BUSUNJU-KAMPALA'!H32+'Avg Week KAMPALA-BUSUNJU'!H32</f>
        <v>0</v>
      </c>
      <c r="I32" s="49">
        <f>'Avg Week BUSUNJU-KAMPALA'!I32+'Avg Week KAMPALA-BUSUNJU'!I32</f>
        <v>3.2857142857142856</v>
      </c>
      <c r="J32" s="49">
        <f>'Avg Week BUSUNJU-KAMPALA'!J32+'Avg Week KAMPALA-BUSUNJU'!J32</f>
        <v>0.2857142857142857</v>
      </c>
      <c r="K32" s="49">
        <f>'Avg Week BUSUNJU-KAMPALA'!K32+'Avg Week KAMPALA-BUSUNJU'!K32</f>
        <v>0</v>
      </c>
      <c r="L32" s="49">
        <f>'Avg Week BUSUNJU-KAMPALA'!L32+'Avg Week KAMPALA-BUSUNJU'!L32</f>
        <v>0</v>
      </c>
      <c r="M32" s="49">
        <f>'Avg Week BUSUNJU-KAMPALA'!M32+'Avg Week KAMPALA-BUSUNJU'!M32</f>
        <v>27.571428571428569</v>
      </c>
      <c r="N32" s="49">
        <f>'Avg Week BUSUNJU-KAMPALA'!N32+'Avg Week KAMPALA-BUSUNJU'!N32</f>
        <v>0</v>
      </c>
      <c r="O32" s="15">
        <f t="shared" si="0"/>
        <v>9</v>
      </c>
      <c r="P32" s="15">
        <f t="shared" si="1"/>
        <v>36.571428571428569</v>
      </c>
      <c r="R32" s="1" t="s">
        <v>156</v>
      </c>
      <c r="S32" s="34">
        <f>SUM(C98:C101)</f>
        <v>7</v>
      </c>
      <c r="T32" s="34">
        <f t="shared" ref="T32:AF32" si="23">SUM(D98:D101)</f>
        <v>0</v>
      </c>
      <c r="U32" s="34">
        <f t="shared" si="23"/>
        <v>7</v>
      </c>
      <c r="V32" s="34">
        <f t="shared" si="23"/>
        <v>5</v>
      </c>
      <c r="W32" s="34">
        <f t="shared" si="23"/>
        <v>0</v>
      </c>
      <c r="X32" s="34">
        <f t="shared" si="23"/>
        <v>0</v>
      </c>
      <c r="Y32" s="34">
        <f t="shared" si="23"/>
        <v>7</v>
      </c>
      <c r="Z32" s="34">
        <f t="shared" si="23"/>
        <v>0</v>
      </c>
      <c r="AA32" s="34">
        <f t="shared" si="23"/>
        <v>0</v>
      </c>
      <c r="AB32" s="34">
        <f t="shared" si="23"/>
        <v>0</v>
      </c>
      <c r="AC32" s="34">
        <f t="shared" si="23"/>
        <v>75.5</v>
      </c>
      <c r="AD32" s="34">
        <f t="shared" si="23"/>
        <v>0</v>
      </c>
      <c r="AE32" s="31">
        <f t="shared" si="23"/>
        <v>26</v>
      </c>
      <c r="AF32" s="31">
        <f t="shared" si="23"/>
        <v>101.5</v>
      </c>
    </row>
    <row r="33" spans="2:32" ht="23.1" customHeight="1" x14ac:dyDescent="0.25">
      <c r="B33" s="23" t="s">
        <v>60</v>
      </c>
      <c r="C33" s="49">
        <f>'Avg Week BUSUNJU-KAMPALA'!C33+'Avg Week KAMPALA-BUSUNJU'!C33</f>
        <v>0.71428571428571419</v>
      </c>
      <c r="D33" s="49">
        <f>'Avg Week BUSUNJU-KAMPALA'!D33+'Avg Week KAMPALA-BUSUNJU'!D33</f>
        <v>0.14285714285714285</v>
      </c>
      <c r="E33" s="49">
        <f>'Avg Week BUSUNJU-KAMPALA'!E33+'Avg Week KAMPALA-BUSUNJU'!E33</f>
        <v>2.2857142857142856</v>
      </c>
      <c r="F33" s="49">
        <f>'Avg Week BUSUNJU-KAMPALA'!F33+'Avg Week KAMPALA-BUSUNJU'!F33</f>
        <v>1</v>
      </c>
      <c r="G33" s="49">
        <f>'Avg Week BUSUNJU-KAMPALA'!G33+'Avg Week KAMPALA-BUSUNJU'!G33</f>
        <v>0</v>
      </c>
      <c r="H33" s="49">
        <f>'Avg Week BUSUNJU-KAMPALA'!H33+'Avg Week KAMPALA-BUSUNJU'!H33</f>
        <v>0</v>
      </c>
      <c r="I33" s="49">
        <f>'Avg Week BUSUNJU-KAMPALA'!I33+'Avg Week KAMPALA-BUSUNJU'!I33</f>
        <v>2.5714285714285712</v>
      </c>
      <c r="J33" s="49">
        <f>'Avg Week BUSUNJU-KAMPALA'!J33+'Avg Week KAMPALA-BUSUNJU'!J33</f>
        <v>0.14285714285714285</v>
      </c>
      <c r="K33" s="49">
        <f>'Avg Week BUSUNJU-KAMPALA'!K33+'Avg Week KAMPALA-BUSUNJU'!K33</f>
        <v>0</v>
      </c>
      <c r="L33" s="49">
        <f>'Avg Week BUSUNJU-KAMPALA'!L33+'Avg Week KAMPALA-BUSUNJU'!L33</f>
        <v>0</v>
      </c>
      <c r="M33" s="49">
        <f>'Avg Week BUSUNJU-KAMPALA'!M33+'Avg Week KAMPALA-BUSUNJU'!M33</f>
        <v>32.857142857142854</v>
      </c>
      <c r="N33" s="49">
        <f>'Avg Week BUSUNJU-KAMPALA'!N33+'Avg Week KAMPALA-BUSUNJU'!N33</f>
        <v>0</v>
      </c>
      <c r="O33" s="15">
        <f t="shared" si="0"/>
        <v>6.8571428571428568</v>
      </c>
      <c r="P33" s="15">
        <f t="shared" si="1"/>
        <v>39.714285714285708</v>
      </c>
      <c r="R33" s="1" t="s">
        <v>157</v>
      </c>
      <c r="S33" s="34">
        <f>SUM(C102:C105)</f>
        <v>8.5</v>
      </c>
      <c r="T33" s="34">
        <f t="shared" ref="T33:AF33" si="24">SUM(D102:D105)</f>
        <v>0</v>
      </c>
      <c r="U33" s="34">
        <f t="shared" si="24"/>
        <v>4</v>
      </c>
      <c r="V33" s="34">
        <f t="shared" si="24"/>
        <v>2</v>
      </c>
      <c r="W33" s="34">
        <f t="shared" si="24"/>
        <v>0</v>
      </c>
      <c r="X33" s="34">
        <f t="shared" si="24"/>
        <v>0</v>
      </c>
      <c r="Y33" s="34">
        <f t="shared" si="24"/>
        <v>4</v>
      </c>
      <c r="Z33" s="34">
        <f t="shared" si="24"/>
        <v>0</v>
      </c>
      <c r="AA33" s="34">
        <f t="shared" si="24"/>
        <v>0</v>
      </c>
      <c r="AB33" s="34">
        <f t="shared" si="24"/>
        <v>0</v>
      </c>
      <c r="AC33" s="34">
        <f t="shared" si="24"/>
        <v>75.5</v>
      </c>
      <c r="AD33" s="34">
        <f t="shared" si="24"/>
        <v>0</v>
      </c>
      <c r="AE33" s="31">
        <f t="shared" si="24"/>
        <v>18.5</v>
      </c>
      <c r="AF33" s="31">
        <f t="shared" si="24"/>
        <v>94</v>
      </c>
    </row>
    <row r="34" spans="2:32" ht="23.1" customHeight="1" x14ac:dyDescent="0.25">
      <c r="B34" s="24" t="s">
        <v>61</v>
      </c>
      <c r="C34" s="49">
        <f>'Avg Week BUSUNJU-KAMPALA'!C34+'Avg Week KAMPALA-BUSUNJU'!C34</f>
        <v>2.2857142857142856</v>
      </c>
      <c r="D34" s="49">
        <f>'Avg Week BUSUNJU-KAMPALA'!D34+'Avg Week KAMPALA-BUSUNJU'!D34</f>
        <v>0</v>
      </c>
      <c r="E34" s="49">
        <f>'Avg Week BUSUNJU-KAMPALA'!E34+'Avg Week KAMPALA-BUSUNJU'!E34</f>
        <v>1.8571428571428572</v>
      </c>
      <c r="F34" s="49">
        <f>'Avg Week BUSUNJU-KAMPALA'!F34+'Avg Week KAMPALA-BUSUNJU'!F34</f>
        <v>0.2857142857142857</v>
      </c>
      <c r="G34" s="49">
        <f>'Avg Week BUSUNJU-KAMPALA'!G34+'Avg Week KAMPALA-BUSUNJU'!G34</f>
        <v>0</v>
      </c>
      <c r="H34" s="49">
        <f>'Avg Week BUSUNJU-KAMPALA'!H34+'Avg Week KAMPALA-BUSUNJU'!H34</f>
        <v>0</v>
      </c>
      <c r="I34" s="49">
        <f>'Avg Week BUSUNJU-KAMPALA'!I34+'Avg Week KAMPALA-BUSUNJU'!I34</f>
        <v>2.8571428571428572</v>
      </c>
      <c r="J34" s="49">
        <f>'Avg Week BUSUNJU-KAMPALA'!J34+'Avg Week KAMPALA-BUSUNJU'!J34</f>
        <v>0.42857142857142855</v>
      </c>
      <c r="K34" s="49">
        <f>'Avg Week BUSUNJU-KAMPALA'!K34+'Avg Week KAMPALA-BUSUNJU'!K34</f>
        <v>0</v>
      </c>
      <c r="L34" s="49">
        <f>'Avg Week BUSUNJU-KAMPALA'!L34+'Avg Week KAMPALA-BUSUNJU'!L34</f>
        <v>0</v>
      </c>
      <c r="M34" s="49">
        <f>'Avg Week BUSUNJU-KAMPALA'!M34+'Avg Week KAMPALA-BUSUNJU'!M34</f>
        <v>32</v>
      </c>
      <c r="N34" s="49">
        <f>'Avg Week BUSUNJU-KAMPALA'!N34+'Avg Week KAMPALA-BUSUNJU'!N34</f>
        <v>0</v>
      </c>
      <c r="O34" s="15">
        <f t="shared" si="0"/>
        <v>7.7142857142857135</v>
      </c>
      <c r="P34" s="15">
        <f t="shared" si="1"/>
        <v>39.714285714285715</v>
      </c>
      <c r="R34" s="51" t="s">
        <v>90</v>
      </c>
      <c r="S34" s="52">
        <f t="shared" ref="S34:AF34" si="25">MAX(S10:S12)</f>
        <v>5.2857142857142856</v>
      </c>
      <c r="T34" s="52">
        <f t="shared" si="25"/>
        <v>0.71428571428571419</v>
      </c>
      <c r="U34" s="52">
        <f t="shared" si="25"/>
        <v>4.8571428571428568</v>
      </c>
      <c r="V34" s="52">
        <f t="shared" si="25"/>
        <v>1.857142857142857</v>
      </c>
      <c r="W34" s="52">
        <f t="shared" si="25"/>
        <v>0.14285714285714285</v>
      </c>
      <c r="X34" s="52">
        <f t="shared" si="25"/>
        <v>0</v>
      </c>
      <c r="Y34" s="52">
        <f t="shared" si="25"/>
        <v>6.2857142857142856</v>
      </c>
      <c r="Z34" s="52">
        <f t="shared" si="25"/>
        <v>0.5714285714285714</v>
      </c>
      <c r="AA34" s="52">
        <f t="shared" si="25"/>
        <v>0</v>
      </c>
      <c r="AB34" s="52">
        <f t="shared" si="25"/>
        <v>0</v>
      </c>
      <c r="AC34" s="52">
        <f t="shared" si="25"/>
        <v>116.14285714285715</v>
      </c>
      <c r="AD34" s="52">
        <f t="shared" si="25"/>
        <v>0</v>
      </c>
      <c r="AE34" s="40">
        <f t="shared" si="25"/>
        <v>18.714285714285712</v>
      </c>
      <c r="AF34" s="40">
        <f t="shared" si="25"/>
        <v>133.85714285714286</v>
      </c>
    </row>
    <row r="35" spans="2:32" ht="23.1" customHeight="1" x14ac:dyDescent="0.25">
      <c r="B35" s="24" t="s">
        <v>62</v>
      </c>
      <c r="C35" s="49">
        <f>'Avg Week BUSUNJU-KAMPALA'!C35+'Avg Week KAMPALA-BUSUNJU'!C35</f>
        <v>2</v>
      </c>
      <c r="D35" s="49">
        <f>'Avg Week BUSUNJU-KAMPALA'!D35+'Avg Week KAMPALA-BUSUNJU'!D35</f>
        <v>0.2857142857142857</v>
      </c>
      <c r="E35" s="49">
        <f>'Avg Week BUSUNJU-KAMPALA'!E35+'Avg Week KAMPALA-BUSUNJU'!E35</f>
        <v>2.4285714285714288</v>
      </c>
      <c r="F35" s="49">
        <f>'Avg Week BUSUNJU-KAMPALA'!F35+'Avg Week KAMPALA-BUSUNJU'!F35</f>
        <v>1</v>
      </c>
      <c r="G35" s="49">
        <f>'Avg Week BUSUNJU-KAMPALA'!G35+'Avg Week KAMPALA-BUSUNJU'!G35</f>
        <v>0</v>
      </c>
      <c r="H35" s="49">
        <f>'Avg Week BUSUNJU-KAMPALA'!H35+'Avg Week KAMPALA-BUSUNJU'!H35</f>
        <v>0</v>
      </c>
      <c r="I35" s="49">
        <f>'Avg Week BUSUNJU-KAMPALA'!I35+'Avg Week KAMPALA-BUSUNJU'!I35</f>
        <v>1.4285714285714284</v>
      </c>
      <c r="J35" s="49">
        <f>'Avg Week BUSUNJU-KAMPALA'!J35+'Avg Week KAMPALA-BUSUNJU'!J35</f>
        <v>0.14285714285714285</v>
      </c>
      <c r="K35" s="49">
        <f>'Avg Week BUSUNJU-KAMPALA'!K35+'Avg Week KAMPALA-BUSUNJU'!K35</f>
        <v>0</v>
      </c>
      <c r="L35" s="49">
        <f>'Avg Week BUSUNJU-KAMPALA'!L35+'Avg Week KAMPALA-BUSUNJU'!L35</f>
        <v>0</v>
      </c>
      <c r="M35" s="49">
        <f>'Avg Week BUSUNJU-KAMPALA'!M35+'Avg Week KAMPALA-BUSUNJU'!M35</f>
        <v>28.571428571428569</v>
      </c>
      <c r="N35" s="49">
        <f>'Avg Week BUSUNJU-KAMPALA'!N35+'Avg Week KAMPALA-BUSUNJU'!N35</f>
        <v>0</v>
      </c>
      <c r="O35" s="15">
        <f t="shared" si="0"/>
        <v>7.2857142857142856</v>
      </c>
      <c r="P35" s="15">
        <f t="shared" si="1"/>
        <v>35.857142857142854</v>
      </c>
      <c r="R35" s="51" t="s">
        <v>91</v>
      </c>
      <c r="S35" s="52">
        <f t="shared" ref="S35:AF35" si="26">MAX(S13:S18)</f>
        <v>9.7142857142857135</v>
      </c>
      <c r="T35" s="52">
        <f t="shared" si="26"/>
        <v>1</v>
      </c>
      <c r="U35" s="52">
        <f t="shared" si="26"/>
        <v>8.5714285714285694</v>
      </c>
      <c r="V35" s="52">
        <f t="shared" si="26"/>
        <v>3.2857142857142856</v>
      </c>
      <c r="W35" s="52">
        <f t="shared" si="26"/>
        <v>0.5714285714285714</v>
      </c>
      <c r="X35" s="52">
        <f t="shared" si="26"/>
        <v>0</v>
      </c>
      <c r="Y35" s="52">
        <f t="shared" si="26"/>
        <v>11</v>
      </c>
      <c r="Z35" s="52">
        <f t="shared" si="26"/>
        <v>1</v>
      </c>
      <c r="AA35" s="52">
        <f t="shared" si="26"/>
        <v>0.14285714285714285</v>
      </c>
      <c r="AB35" s="52">
        <f t="shared" si="26"/>
        <v>0</v>
      </c>
      <c r="AC35" s="52">
        <f t="shared" si="26"/>
        <v>121</v>
      </c>
      <c r="AD35" s="52">
        <f t="shared" si="26"/>
        <v>0</v>
      </c>
      <c r="AE35" s="40">
        <f t="shared" si="26"/>
        <v>31.142857142857146</v>
      </c>
      <c r="AF35" s="40">
        <f t="shared" si="26"/>
        <v>149.57142857142858</v>
      </c>
    </row>
    <row r="36" spans="2:32" ht="23.1" customHeight="1" x14ac:dyDescent="0.25">
      <c r="B36" s="24" t="s">
        <v>63</v>
      </c>
      <c r="C36" s="49">
        <f>'Avg Week BUSUNJU-KAMPALA'!C36+'Avg Week KAMPALA-BUSUNJU'!C36</f>
        <v>1.4285714285714286</v>
      </c>
      <c r="D36" s="49">
        <f>'Avg Week BUSUNJU-KAMPALA'!D36+'Avg Week KAMPALA-BUSUNJU'!D36</f>
        <v>0.42857142857142855</v>
      </c>
      <c r="E36" s="49">
        <f>'Avg Week BUSUNJU-KAMPALA'!E36+'Avg Week KAMPALA-BUSUNJU'!E36</f>
        <v>1.2857142857142856</v>
      </c>
      <c r="F36" s="49">
        <f>'Avg Week BUSUNJU-KAMPALA'!F36+'Avg Week KAMPALA-BUSUNJU'!F36</f>
        <v>0.8571428571428571</v>
      </c>
      <c r="G36" s="49">
        <f>'Avg Week BUSUNJU-KAMPALA'!G36+'Avg Week KAMPALA-BUSUNJU'!G36</f>
        <v>0.14285714285714285</v>
      </c>
      <c r="H36" s="49">
        <f>'Avg Week BUSUNJU-KAMPALA'!H36+'Avg Week KAMPALA-BUSUNJU'!H36</f>
        <v>0</v>
      </c>
      <c r="I36" s="49">
        <f>'Avg Week BUSUNJU-KAMPALA'!I36+'Avg Week KAMPALA-BUSUNJU'!I36</f>
        <v>1.8571428571428572</v>
      </c>
      <c r="J36" s="49">
        <f>'Avg Week BUSUNJU-KAMPALA'!J36+'Avg Week KAMPALA-BUSUNJU'!J36</f>
        <v>0.14285714285714285</v>
      </c>
      <c r="K36" s="49">
        <f>'Avg Week BUSUNJU-KAMPALA'!K36+'Avg Week KAMPALA-BUSUNJU'!K36</f>
        <v>0</v>
      </c>
      <c r="L36" s="49">
        <f>'Avg Week BUSUNJU-KAMPALA'!L36+'Avg Week KAMPALA-BUSUNJU'!L36</f>
        <v>0</v>
      </c>
      <c r="M36" s="49">
        <f>'Avg Week BUSUNJU-KAMPALA'!M36+'Avg Week KAMPALA-BUSUNJU'!M36</f>
        <v>26.428571428571431</v>
      </c>
      <c r="N36" s="49">
        <f>'Avg Week BUSUNJU-KAMPALA'!N36+'Avg Week KAMPALA-BUSUNJU'!N36</f>
        <v>0</v>
      </c>
      <c r="O36" s="15">
        <f t="shared" si="0"/>
        <v>6.1428571428571432</v>
      </c>
      <c r="P36" s="15">
        <f t="shared" si="1"/>
        <v>32.571428571428577</v>
      </c>
      <c r="R36" s="51" t="s">
        <v>92</v>
      </c>
      <c r="S36" s="52">
        <f t="shared" ref="S36:AF36" si="27">MAX(S19:S21)</f>
        <v>10.714285714285715</v>
      </c>
      <c r="T36" s="52">
        <f t="shared" si="27"/>
        <v>1.1428571428571428</v>
      </c>
      <c r="U36" s="52">
        <f t="shared" si="27"/>
        <v>9.4285714285714288</v>
      </c>
      <c r="V36" s="52">
        <f t="shared" si="27"/>
        <v>4.2857142857142856</v>
      </c>
      <c r="W36" s="52">
        <f t="shared" si="27"/>
        <v>1</v>
      </c>
      <c r="X36" s="52">
        <f t="shared" si="27"/>
        <v>0</v>
      </c>
      <c r="Y36" s="52">
        <f t="shared" si="27"/>
        <v>8.8571428571428577</v>
      </c>
      <c r="Z36" s="52">
        <f t="shared" si="27"/>
        <v>0.42857142857142855</v>
      </c>
      <c r="AA36" s="52">
        <f t="shared" si="27"/>
        <v>0.14285714285714285</v>
      </c>
      <c r="AB36" s="52">
        <f t="shared" si="27"/>
        <v>0</v>
      </c>
      <c r="AC36" s="52">
        <f t="shared" si="27"/>
        <v>122.85714285714286</v>
      </c>
      <c r="AD36" s="52">
        <f t="shared" si="27"/>
        <v>0</v>
      </c>
      <c r="AE36" s="40">
        <f t="shared" si="27"/>
        <v>32.285714285714285</v>
      </c>
      <c r="AF36" s="40">
        <f t="shared" si="27"/>
        <v>153.14285714285714</v>
      </c>
    </row>
    <row r="37" spans="2:32" ht="23.1" customHeight="1" x14ac:dyDescent="0.25">
      <c r="B37" s="23" t="s">
        <v>64</v>
      </c>
      <c r="C37" s="49">
        <f>'Avg Week BUSUNJU-KAMPALA'!C37+'Avg Week KAMPALA-BUSUNJU'!C37</f>
        <v>1.7142857142857144</v>
      </c>
      <c r="D37" s="49">
        <f>'Avg Week BUSUNJU-KAMPALA'!D37+'Avg Week KAMPALA-BUSUNJU'!D37</f>
        <v>0</v>
      </c>
      <c r="E37" s="49">
        <f>'Avg Week BUSUNJU-KAMPALA'!E37+'Avg Week KAMPALA-BUSUNJU'!E37</f>
        <v>1.8571428571428572</v>
      </c>
      <c r="F37" s="49">
        <f>'Avg Week BUSUNJU-KAMPALA'!F37+'Avg Week KAMPALA-BUSUNJU'!F37</f>
        <v>0.42857142857142855</v>
      </c>
      <c r="G37" s="49">
        <f>'Avg Week BUSUNJU-KAMPALA'!G37+'Avg Week KAMPALA-BUSUNJU'!G37</f>
        <v>0</v>
      </c>
      <c r="H37" s="49">
        <f>'Avg Week BUSUNJU-KAMPALA'!H37+'Avg Week KAMPALA-BUSUNJU'!H37</f>
        <v>0</v>
      </c>
      <c r="I37" s="49">
        <f>'Avg Week BUSUNJU-KAMPALA'!I37+'Avg Week KAMPALA-BUSUNJU'!I37</f>
        <v>2.2857142857142856</v>
      </c>
      <c r="J37" s="49">
        <f>'Avg Week BUSUNJU-KAMPALA'!J37+'Avg Week KAMPALA-BUSUNJU'!J37</f>
        <v>0</v>
      </c>
      <c r="K37" s="49">
        <f>'Avg Week BUSUNJU-KAMPALA'!K37+'Avg Week KAMPALA-BUSUNJU'!K37</f>
        <v>0</v>
      </c>
      <c r="L37" s="49">
        <f>'Avg Week BUSUNJU-KAMPALA'!L37+'Avg Week KAMPALA-BUSUNJU'!L37</f>
        <v>0</v>
      </c>
      <c r="M37" s="49">
        <f>'Avg Week BUSUNJU-KAMPALA'!M37+'Avg Week KAMPALA-BUSUNJU'!M37</f>
        <v>24.714285714285715</v>
      </c>
      <c r="N37" s="49">
        <f>'Avg Week BUSUNJU-KAMPALA'!N37+'Avg Week KAMPALA-BUSUNJU'!N37</f>
        <v>0</v>
      </c>
      <c r="O37" s="15">
        <f t="shared" si="0"/>
        <v>6.2857142857142856</v>
      </c>
      <c r="P37" s="15">
        <f t="shared" si="1"/>
        <v>31</v>
      </c>
      <c r="R37" s="37" t="s">
        <v>85</v>
      </c>
      <c r="S37" s="35">
        <f t="shared" ref="S37:AF37" si="28">SUM(S10:S12)</f>
        <v>15.285714285714285</v>
      </c>
      <c r="T37" s="16">
        <f t="shared" si="28"/>
        <v>1.7142857142857142</v>
      </c>
      <c r="U37" s="16">
        <f t="shared" si="28"/>
        <v>11.571428571428571</v>
      </c>
      <c r="V37" s="16">
        <f t="shared" si="28"/>
        <v>5</v>
      </c>
      <c r="W37" s="16">
        <f t="shared" si="28"/>
        <v>0.2857142857142857</v>
      </c>
      <c r="X37" s="16">
        <f t="shared" si="28"/>
        <v>0</v>
      </c>
      <c r="Y37" s="16">
        <f t="shared" si="28"/>
        <v>16.857142857142858</v>
      </c>
      <c r="Z37" s="16">
        <f t="shared" si="28"/>
        <v>0.5714285714285714</v>
      </c>
      <c r="AA37" s="16">
        <f t="shared" si="28"/>
        <v>0</v>
      </c>
      <c r="AB37" s="16">
        <f t="shared" si="28"/>
        <v>0</v>
      </c>
      <c r="AC37" s="16">
        <f t="shared" si="28"/>
        <v>300.71428571428572</v>
      </c>
      <c r="AD37" s="16">
        <f t="shared" si="28"/>
        <v>0</v>
      </c>
      <c r="AE37" s="32">
        <f t="shared" si="28"/>
        <v>51.285714285714278</v>
      </c>
      <c r="AF37" s="32">
        <f t="shared" si="28"/>
        <v>352</v>
      </c>
    </row>
    <row r="38" spans="2:32" ht="23.1" customHeight="1" x14ac:dyDescent="0.25">
      <c r="B38" s="24" t="s">
        <v>65</v>
      </c>
      <c r="C38" s="49">
        <f>'Avg Week BUSUNJU-KAMPALA'!C38+'Avg Week KAMPALA-BUSUNJU'!C38</f>
        <v>1.4285714285714284</v>
      </c>
      <c r="D38" s="49">
        <f>'Avg Week BUSUNJU-KAMPALA'!D38+'Avg Week KAMPALA-BUSUNJU'!D38</f>
        <v>0.14285714285714285</v>
      </c>
      <c r="E38" s="49">
        <f>'Avg Week BUSUNJU-KAMPALA'!E38+'Avg Week KAMPALA-BUSUNJU'!E38</f>
        <v>1.2857142857142856</v>
      </c>
      <c r="F38" s="49">
        <f>'Avg Week BUSUNJU-KAMPALA'!F38+'Avg Week KAMPALA-BUSUNJU'!F38</f>
        <v>0.42857142857142855</v>
      </c>
      <c r="G38" s="49">
        <f>'Avg Week BUSUNJU-KAMPALA'!G38+'Avg Week KAMPALA-BUSUNJU'!G38</f>
        <v>0</v>
      </c>
      <c r="H38" s="49">
        <f>'Avg Week BUSUNJU-KAMPALA'!H38+'Avg Week KAMPALA-BUSUNJU'!H38</f>
        <v>0</v>
      </c>
      <c r="I38" s="49">
        <f>'Avg Week BUSUNJU-KAMPALA'!I38+'Avg Week KAMPALA-BUSUNJU'!I38</f>
        <v>2</v>
      </c>
      <c r="J38" s="49">
        <f>'Avg Week BUSUNJU-KAMPALA'!J38+'Avg Week KAMPALA-BUSUNJU'!J38</f>
        <v>0</v>
      </c>
      <c r="K38" s="49">
        <f>'Avg Week BUSUNJU-KAMPALA'!K38+'Avg Week KAMPALA-BUSUNJU'!K38</f>
        <v>0</v>
      </c>
      <c r="L38" s="49">
        <f>'Avg Week BUSUNJU-KAMPALA'!L38+'Avg Week KAMPALA-BUSUNJU'!L38</f>
        <v>0</v>
      </c>
      <c r="M38" s="49">
        <f>'Avg Week BUSUNJU-KAMPALA'!M38+'Avg Week KAMPALA-BUSUNJU'!M38</f>
        <v>28.428571428571431</v>
      </c>
      <c r="N38" s="49">
        <f>'Avg Week BUSUNJU-KAMPALA'!N38+'Avg Week KAMPALA-BUSUNJU'!N38</f>
        <v>0</v>
      </c>
      <c r="O38" s="15">
        <f t="shared" si="0"/>
        <v>5.2857142857142847</v>
      </c>
      <c r="P38" s="15">
        <f t="shared" si="1"/>
        <v>33.714285714285715</v>
      </c>
      <c r="R38" s="28" t="s">
        <v>86</v>
      </c>
      <c r="S38" s="16">
        <f t="shared" ref="S38:AF38" si="29">SUM(S13:S18)</f>
        <v>46.857142857142847</v>
      </c>
      <c r="T38" s="16">
        <f t="shared" si="29"/>
        <v>4</v>
      </c>
      <c r="U38" s="16">
        <f t="shared" si="29"/>
        <v>43.285714285714285</v>
      </c>
      <c r="V38" s="16">
        <f t="shared" si="29"/>
        <v>13.571428571428571</v>
      </c>
      <c r="W38" s="16">
        <f t="shared" si="29"/>
        <v>0.85714285714285698</v>
      </c>
      <c r="X38" s="16">
        <f t="shared" si="29"/>
        <v>0</v>
      </c>
      <c r="Y38" s="16">
        <f t="shared" si="29"/>
        <v>58.428571428571431</v>
      </c>
      <c r="Z38" s="16">
        <f t="shared" si="29"/>
        <v>3.8571428571428568</v>
      </c>
      <c r="AA38" s="16">
        <f t="shared" si="29"/>
        <v>0.14285714285714285</v>
      </c>
      <c r="AB38" s="16">
        <f t="shared" si="29"/>
        <v>0</v>
      </c>
      <c r="AC38" s="16">
        <f t="shared" si="29"/>
        <v>682.85714285714289</v>
      </c>
      <c r="AD38" s="16">
        <f t="shared" si="29"/>
        <v>0</v>
      </c>
      <c r="AE38" s="32">
        <f t="shared" si="29"/>
        <v>170.99999999999997</v>
      </c>
      <c r="AF38" s="32">
        <f t="shared" si="29"/>
        <v>853.85714285714278</v>
      </c>
    </row>
    <row r="39" spans="2:32" ht="23.1" customHeight="1" x14ac:dyDescent="0.25">
      <c r="B39" s="24" t="s">
        <v>66</v>
      </c>
      <c r="C39" s="49">
        <f>'Avg Week BUSUNJU-KAMPALA'!C39+'Avg Week KAMPALA-BUSUNJU'!C39</f>
        <v>2.1428571428571428</v>
      </c>
      <c r="D39" s="49">
        <f>'Avg Week BUSUNJU-KAMPALA'!D39+'Avg Week KAMPALA-BUSUNJU'!D39</f>
        <v>0.42857142857142855</v>
      </c>
      <c r="E39" s="49">
        <f>'Avg Week BUSUNJU-KAMPALA'!E39+'Avg Week KAMPALA-BUSUNJU'!E39</f>
        <v>2.1428571428571428</v>
      </c>
      <c r="F39" s="49">
        <f>'Avg Week BUSUNJU-KAMPALA'!F39+'Avg Week KAMPALA-BUSUNJU'!F39</f>
        <v>0.2857142857142857</v>
      </c>
      <c r="G39" s="49">
        <f>'Avg Week BUSUNJU-KAMPALA'!G39+'Avg Week KAMPALA-BUSUNJU'!G39</f>
        <v>0</v>
      </c>
      <c r="H39" s="49">
        <f>'Avg Week BUSUNJU-KAMPALA'!H39+'Avg Week KAMPALA-BUSUNJU'!H39</f>
        <v>0</v>
      </c>
      <c r="I39" s="49">
        <f>'Avg Week BUSUNJU-KAMPALA'!I39+'Avg Week KAMPALA-BUSUNJU'!I39</f>
        <v>3.5714285714285712</v>
      </c>
      <c r="J39" s="49">
        <f>'Avg Week BUSUNJU-KAMPALA'!J39+'Avg Week KAMPALA-BUSUNJU'!J39</f>
        <v>0.14285714285714285</v>
      </c>
      <c r="K39" s="49">
        <f>'Avg Week BUSUNJU-KAMPALA'!K39+'Avg Week KAMPALA-BUSUNJU'!K39</f>
        <v>0</v>
      </c>
      <c r="L39" s="49">
        <f>'Avg Week BUSUNJU-KAMPALA'!L39+'Avg Week KAMPALA-BUSUNJU'!L39</f>
        <v>0</v>
      </c>
      <c r="M39" s="49">
        <f>'Avg Week BUSUNJU-KAMPALA'!M39+'Avg Week KAMPALA-BUSUNJU'!M39</f>
        <v>27.714285714285715</v>
      </c>
      <c r="N39" s="49">
        <f>'Avg Week BUSUNJU-KAMPALA'!N39+'Avg Week KAMPALA-BUSUNJU'!N39</f>
        <v>0</v>
      </c>
      <c r="O39" s="15">
        <f t="shared" si="0"/>
        <v>8.7142857142857117</v>
      </c>
      <c r="P39" s="15">
        <f t="shared" si="1"/>
        <v>36.428571428571431</v>
      </c>
      <c r="R39" s="29" t="s">
        <v>87</v>
      </c>
      <c r="S39" s="16">
        <f t="shared" ref="S39:AF39" si="30">SUM(S19:S21)</f>
        <v>30</v>
      </c>
      <c r="T39" s="16">
        <f t="shared" si="30"/>
        <v>2.1428571428571428</v>
      </c>
      <c r="U39" s="16">
        <f t="shared" si="30"/>
        <v>22.571428571428569</v>
      </c>
      <c r="V39" s="16">
        <f t="shared" si="30"/>
        <v>10.714285714285714</v>
      </c>
      <c r="W39" s="16">
        <f t="shared" si="30"/>
        <v>1.2857142857142856</v>
      </c>
      <c r="X39" s="16">
        <f t="shared" si="30"/>
        <v>0</v>
      </c>
      <c r="Y39" s="16">
        <f t="shared" si="30"/>
        <v>24.285714285714288</v>
      </c>
      <c r="Z39" s="16">
        <f t="shared" si="30"/>
        <v>0.99999999999999989</v>
      </c>
      <c r="AA39" s="16">
        <f t="shared" si="30"/>
        <v>0.14285714285714285</v>
      </c>
      <c r="AB39" s="16">
        <f t="shared" si="30"/>
        <v>0</v>
      </c>
      <c r="AC39" s="16">
        <f t="shared" si="30"/>
        <v>353.57142857142856</v>
      </c>
      <c r="AD39" s="16">
        <f t="shared" si="30"/>
        <v>0</v>
      </c>
      <c r="AE39" s="32">
        <f t="shared" si="30"/>
        <v>92.142857142857139</v>
      </c>
      <c r="AF39" s="32">
        <f t="shared" si="30"/>
        <v>445.71428571428572</v>
      </c>
    </row>
    <row r="40" spans="2:32" ht="23.1" customHeight="1" x14ac:dyDescent="0.25">
      <c r="B40" s="24" t="s">
        <v>67</v>
      </c>
      <c r="C40" s="49">
        <f>'Avg Week BUSUNJU-KAMPALA'!C40+'Avg Week KAMPALA-BUSUNJU'!C40</f>
        <v>1.2857142857142856</v>
      </c>
      <c r="D40" s="49">
        <f>'Avg Week BUSUNJU-KAMPALA'!D40+'Avg Week KAMPALA-BUSUNJU'!D40</f>
        <v>0</v>
      </c>
      <c r="E40" s="49">
        <f>'Avg Week BUSUNJU-KAMPALA'!E40+'Avg Week KAMPALA-BUSUNJU'!E40</f>
        <v>1.2857142857142856</v>
      </c>
      <c r="F40" s="49">
        <f>'Avg Week BUSUNJU-KAMPALA'!F40+'Avg Week KAMPALA-BUSUNJU'!F40</f>
        <v>0.42857142857142855</v>
      </c>
      <c r="G40" s="49">
        <f>'Avg Week BUSUNJU-KAMPALA'!G40+'Avg Week KAMPALA-BUSUNJU'!G40</f>
        <v>0</v>
      </c>
      <c r="H40" s="49">
        <f>'Avg Week BUSUNJU-KAMPALA'!H40+'Avg Week KAMPALA-BUSUNJU'!H40</f>
        <v>0</v>
      </c>
      <c r="I40" s="49">
        <f>'Avg Week BUSUNJU-KAMPALA'!I40+'Avg Week KAMPALA-BUSUNJU'!I40</f>
        <v>2.1428571428571428</v>
      </c>
      <c r="J40" s="49">
        <f>'Avg Week BUSUNJU-KAMPALA'!J40+'Avg Week KAMPALA-BUSUNJU'!J40</f>
        <v>0</v>
      </c>
      <c r="K40" s="49">
        <f>'Avg Week BUSUNJU-KAMPALA'!K40+'Avg Week KAMPALA-BUSUNJU'!K40</f>
        <v>0</v>
      </c>
      <c r="L40" s="49">
        <f>'Avg Week BUSUNJU-KAMPALA'!L40+'Avg Week KAMPALA-BUSUNJU'!L40</f>
        <v>0</v>
      </c>
      <c r="M40" s="49">
        <f>'Avg Week BUSUNJU-KAMPALA'!M40+'Avg Week KAMPALA-BUSUNJU'!M40</f>
        <v>25</v>
      </c>
      <c r="N40" s="49">
        <f>'Avg Week BUSUNJU-KAMPALA'!N40+'Avg Week KAMPALA-BUSUNJU'!N40</f>
        <v>0</v>
      </c>
      <c r="O40" s="15">
        <f t="shared" si="0"/>
        <v>5.1428571428571423</v>
      </c>
      <c r="P40" s="15">
        <f t="shared" si="1"/>
        <v>30.142857142857142</v>
      </c>
      <c r="R40" s="5" t="s">
        <v>17</v>
      </c>
      <c r="S40" s="16">
        <f t="shared" ref="S40:AF40" si="31">SUM(S10:S21)</f>
        <v>92.142857142857139</v>
      </c>
      <c r="T40" s="16">
        <f t="shared" si="31"/>
        <v>7.8571428571428577</v>
      </c>
      <c r="U40" s="16">
        <f t="shared" si="31"/>
        <v>77.428571428571416</v>
      </c>
      <c r="V40" s="16">
        <f t="shared" si="31"/>
        <v>29.285714285714281</v>
      </c>
      <c r="W40" s="16">
        <f t="shared" si="31"/>
        <v>2.4285714285714284</v>
      </c>
      <c r="X40" s="16">
        <f t="shared" si="31"/>
        <v>0</v>
      </c>
      <c r="Y40" s="16">
        <f t="shared" si="31"/>
        <v>99.571428571428569</v>
      </c>
      <c r="Z40" s="16">
        <f t="shared" si="31"/>
        <v>5.4285714285714288</v>
      </c>
      <c r="AA40" s="16">
        <f t="shared" si="31"/>
        <v>0.2857142857142857</v>
      </c>
      <c r="AB40" s="16">
        <f t="shared" si="31"/>
        <v>0</v>
      </c>
      <c r="AC40" s="16">
        <f t="shared" si="31"/>
        <v>1337.1428571428573</v>
      </c>
      <c r="AD40" s="16">
        <f t="shared" si="31"/>
        <v>0</v>
      </c>
      <c r="AE40" s="32">
        <f t="shared" si="31"/>
        <v>314.42857142857139</v>
      </c>
      <c r="AF40" s="32">
        <f t="shared" si="31"/>
        <v>1651.5714285714284</v>
      </c>
    </row>
    <row r="41" spans="2:32" ht="23.1" customHeight="1" x14ac:dyDescent="0.25">
      <c r="B41" s="23" t="s">
        <v>68</v>
      </c>
      <c r="C41" s="49">
        <f>'Avg Week BUSUNJU-KAMPALA'!C41+'Avg Week KAMPALA-BUSUNJU'!C41</f>
        <v>3</v>
      </c>
      <c r="D41" s="49">
        <f>'Avg Week BUSUNJU-KAMPALA'!D41+'Avg Week KAMPALA-BUSUNJU'!D41</f>
        <v>0.42857142857142855</v>
      </c>
      <c r="E41" s="49">
        <f>'Avg Week BUSUNJU-KAMPALA'!E41+'Avg Week KAMPALA-BUSUNJU'!E41</f>
        <v>1.2857142857142856</v>
      </c>
      <c r="F41" s="49">
        <f>'Avg Week BUSUNJU-KAMPALA'!F41+'Avg Week KAMPALA-BUSUNJU'!F41</f>
        <v>0.42857142857142855</v>
      </c>
      <c r="G41" s="49">
        <f>'Avg Week BUSUNJU-KAMPALA'!G41+'Avg Week KAMPALA-BUSUNJU'!G41</f>
        <v>0</v>
      </c>
      <c r="H41" s="49">
        <f>'Avg Week BUSUNJU-KAMPALA'!H41+'Avg Week KAMPALA-BUSUNJU'!H41</f>
        <v>0</v>
      </c>
      <c r="I41" s="49">
        <f>'Avg Week BUSUNJU-KAMPALA'!I41+'Avg Week KAMPALA-BUSUNJU'!I41</f>
        <v>2.2857142857142856</v>
      </c>
      <c r="J41" s="49">
        <f>'Avg Week BUSUNJU-KAMPALA'!J41+'Avg Week KAMPALA-BUSUNJU'!J41</f>
        <v>0</v>
      </c>
      <c r="K41" s="49">
        <f>'Avg Week BUSUNJU-KAMPALA'!K41+'Avg Week KAMPALA-BUSUNJU'!K41</f>
        <v>0</v>
      </c>
      <c r="L41" s="49">
        <f>'Avg Week BUSUNJU-KAMPALA'!L41+'Avg Week KAMPALA-BUSUNJU'!L41</f>
        <v>0</v>
      </c>
      <c r="M41" s="49">
        <f>'Avg Week BUSUNJU-KAMPALA'!M41+'Avg Week KAMPALA-BUSUNJU'!M41</f>
        <v>28.428571428571431</v>
      </c>
      <c r="N41" s="49">
        <f>'Avg Week BUSUNJU-KAMPALA'!N41+'Avg Week KAMPALA-BUSUNJU'!N41</f>
        <v>0</v>
      </c>
      <c r="O41" s="15">
        <f t="shared" si="0"/>
        <v>7.4285714285714279</v>
      </c>
      <c r="P41" s="15">
        <f t="shared" si="1"/>
        <v>35.857142857142861</v>
      </c>
      <c r="R41" s="5" t="s">
        <v>175</v>
      </c>
      <c r="S41" s="16">
        <f>SUM(S10:S33)</f>
        <v>139.14285714285714</v>
      </c>
      <c r="T41" s="16">
        <f t="shared" ref="T41:AD41" si="32">SUM(T10:T33)</f>
        <v>7.8571428571428577</v>
      </c>
      <c r="U41" s="16">
        <f t="shared" si="32"/>
        <v>111.42857142857142</v>
      </c>
      <c r="V41" s="16">
        <f t="shared" si="32"/>
        <v>37.285714285714278</v>
      </c>
      <c r="W41" s="16">
        <f t="shared" si="32"/>
        <v>3.4285714285714284</v>
      </c>
      <c r="X41" s="16">
        <f t="shared" si="32"/>
        <v>0</v>
      </c>
      <c r="Y41" s="16">
        <f t="shared" si="32"/>
        <v>148.07142857142856</v>
      </c>
      <c r="Z41" s="16">
        <f t="shared" si="32"/>
        <v>5.4285714285714288</v>
      </c>
      <c r="AA41" s="16">
        <f t="shared" si="32"/>
        <v>0.2857142857142857</v>
      </c>
      <c r="AB41" s="16">
        <f t="shared" si="32"/>
        <v>0</v>
      </c>
      <c r="AC41" s="16">
        <f t="shared" si="32"/>
        <v>1978.6428571428573</v>
      </c>
      <c r="AD41" s="16">
        <f t="shared" si="32"/>
        <v>0</v>
      </c>
      <c r="AE41" s="32">
        <f>SUM(AE10:AE33)</f>
        <v>452.92857142857139</v>
      </c>
      <c r="AF41" s="32">
        <f>SUM(AF10:AF33)</f>
        <v>2431.5714285714284</v>
      </c>
    </row>
    <row r="42" spans="2:32" ht="23.1" customHeight="1" x14ac:dyDescent="0.25">
      <c r="B42" s="24" t="s">
        <v>69</v>
      </c>
      <c r="C42" s="49">
        <f>'Avg Week BUSUNJU-KAMPALA'!C42+'Avg Week KAMPALA-BUSUNJU'!C42</f>
        <v>2.1428571428571428</v>
      </c>
      <c r="D42" s="49">
        <f>'Avg Week BUSUNJU-KAMPALA'!D42+'Avg Week KAMPALA-BUSUNJU'!D42</f>
        <v>0.5714285714285714</v>
      </c>
      <c r="E42" s="49">
        <f>'Avg Week BUSUNJU-KAMPALA'!E42+'Avg Week KAMPALA-BUSUNJU'!E42</f>
        <v>1.8571428571428572</v>
      </c>
      <c r="F42" s="49">
        <f>'Avg Week BUSUNJU-KAMPALA'!F42+'Avg Week KAMPALA-BUSUNJU'!F42</f>
        <v>0.71428571428571419</v>
      </c>
      <c r="G42" s="49">
        <f>'Avg Week BUSUNJU-KAMPALA'!G42+'Avg Week KAMPALA-BUSUNJU'!G42</f>
        <v>0</v>
      </c>
      <c r="H42" s="49">
        <f>'Avg Week BUSUNJU-KAMPALA'!H42+'Avg Week KAMPALA-BUSUNJU'!H42</f>
        <v>0</v>
      </c>
      <c r="I42" s="49">
        <f>'Avg Week BUSUNJU-KAMPALA'!I42+'Avg Week KAMPALA-BUSUNJU'!I42</f>
        <v>3.7142857142857144</v>
      </c>
      <c r="J42" s="49">
        <f>'Avg Week BUSUNJU-KAMPALA'!J42+'Avg Week KAMPALA-BUSUNJU'!J42</f>
        <v>0.2857142857142857</v>
      </c>
      <c r="K42" s="49">
        <f>'Avg Week BUSUNJU-KAMPALA'!K42+'Avg Week KAMPALA-BUSUNJU'!K42</f>
        <v>0</v>
      </c>
      <c r="L42" s="49">
        <f>'Avg Week BUSUNJU-KAMPALA'!L42+'Avg Week KAMPALA-BUSUNJU'!L42</f>
        <v>0</v>
      </c>
      <c r="M42" s="49">
        <f>'Avg Week BUSUNJU-KAMPALA'!M42+'Avg Week KAMPALA-BUSUNJU'!M42</f>
        <v>30</v>
      </c>
      <c r="N42" s="49">
        <f>'Avg Week BUSUNJU-KAMPALA'!N42+'Avg Week KAMPALA-BUSUNJU'!N42</f>
        <v>0</v>
      </c>
      <c r="O42" s="15">
        <f t="shared" si="0"/>
        <v>9.2857142857142865</v>
      </c>
      <c r="P42" s="15">
        <f t="shared" si="1"/>
        <v>39.285714285714285</v>
      </c>
      <c r="R42" s="5" t="s">
        <v>160</v>
      </c>
      <c r="S42" s="48">
        <f>S41/S40</f>
        <v>1.510077519379845</v>
      </c>
      <c r="T42" s="48">
        <f t="shared" ref="T42:AF42" si="33">T41/T40</f>
        <v>1</v>
      </c>
      <c r="U42" s="48">
        <f t="shared" si="33"/>
        <v>1.4391143911439115</v>
      </c>
      <c r="V42" s="48">
        <f t="shared" si="33"/>
        <v>1.2731707317073171</v>
      </c>
      <c r="W42" s="48">
        <f t="shared" si="33"/>
        <v>1.411764705882353</v>
      </c>
      <c r="X42" s="48" t="e">
        <f t="shared" si="33"/>
        <v>#DIV/0!</v>
      </c>
      <c r="Y42" s="48">
        <f t="shared" si="33"/>
        <v>1.4870875179340028</v>
      </c>
      <c r="Z42" s="48">
        <f t="shared" si="33"/>
        <v>1</v>
      </c>
      <c r="AA42" s="48">
        <f t="shared" si="33"/>
        <v>1</v>
      </c>
      <c r="AB42" s="48" t="e">
        <f t="shared" si="33"/>
        <v>#DIV/0!</v>
      </c>
      <c r="AC42" s="48">
        <f t="shared" si="33"/>
        <v>1.4797542735042735</v>
      </c>
      <c r="AD42" s="48" t="e">
        <f t="shared" si="33"/>
        <v>#DIV/0!</v>
      </c>
      <c r="AE42" s="53">
        <f t="shared" si="33"/>
        <v>1.4404815992730577</v>
      </c>
      <c r="AF42" s="53">
        <f t="shared" si="33"/>
        <v>1.4722774846466569</v>
      </c>
    </row>
    <row r="43" spans="2:32" ht="23.1" customHeight="1" x14ac:dyDescent="0.25">
      <c r="B43" s="23" t="s">
        <v>70</v>
      </c>
      <c r="C43" s="49">
        <f>'Avg Week BUSUNJU-KAMPALA'!C43+'Avg Week KAMPALA-BUSUNJU'!C43</f>
        <v>1.8571428571428572</v>
      </c>
      <c r="D43" s="49">
        <f>'Avg Week BUSUNJU-KAMPALA'!D43+'Avg Week KAMPALA-BUSUNJU'!D43</f>
        <v>0.2857142857142857</v>
      </c>
      <c r="E43" s="49">
        <f>'Avg Week BUSUNJU-KAMPALA'!E43+'Avg Week KAMPALA-BUSUNJU'!E43</f>
        <v>1.8571428571428572</v>
      </c>
      <c r="F43" s="49">
        <f>'Avg Week BUSUNJU-KAMPALA'!F43+'Avg Week KAMPALA-BUSUNJU'!F43</f>
        <v>0.42857142857142855</v>
      </c>
      <c r="G43" s="49">
        <f>'Avg Week BUSUNJU-KAMPALA'!G43+'Avg Week KAMPALA-BUSUNJU'!G43</f>
        <v>0</v>
      </c>
      <c r="H43" s="49">
        <f>'Avg Week BUSUNJU-KAMPALA'!H43+'Avg Week KAMPALA-BUSUNJU'!H43</f>
        <v>0</v>
      </c>
      <c r="I43" s="49">
        <f>'Avg Week BUSUNJU-KAMPALA'!I43+'Avg Week KAMPALA-BUSUNJU'!I43</f>
        <v>1.7142857142857144</v>
      </c>
      <c r="J43" s="49">
        <f>'Avg Week BUSUNJU-KAMPALA'!J43+'Avg Week KAMPALA-BUSUNJU'!J43</f>
        <v>0.14285714285714285</v>
      </c>
      <c r="K43" s="49">
        <f>'Avg Week BUSUNJU-KAMPALA'!K43+'Avg Week KAMPALA-BUSUNJU'!K43</f>
        <v>0</v>
      </c>
      <c r="L43" s="49">
        <f>'Avg Week BUSUNJU-KAMPALA'!L43+'Avg Week KAMPALA-BUSUNJU'!L43</f>
        <v>0</v>
      </c>
      <c r="M43" s="49">
        <f>'Avg Week BUSUNJU-KAMPALA'!M43+'Avg Week KAMPALA-BUSUNJU'!M43</f>
        <v>27.714285714285715</v>
      </c>
      <c r="N43" s="49">
        <f>'Avg Week BUSUNJU-KAMPALA'!N43+'Avg Week KAMPALA-BUSUNJU'!N43</f>
        <v>0</v>
      </c>
      <c r="O43" s="15">
        <f t="shared" si="0"/>
        <v>6.2857142857142865</v>
      </c>
      <c r="P43" s="15">
        <f t="shared" si="1"/>
        <v>34</v>
      </c>
    </row>
    <row r="44" spans="2:32" ht="23.1" customHeight="1" x14ac:dyDescent="0.25">
      <c r="B44" s="25" t="s">
        <v>71</v>
      </c>
      <c r="C44" s="49">
        <f>'Avg Week BUSUNJU-KAMPALA'!C44+'Avg Week KAMPALA-BUSUNJU'!C44</f>
        <v>2.4285714285714288</v>
      </c>
      <c r="D44" s="49">
        <f>'Avg Week BUSUNJU-KAMPALA'!D44+'Avg Week KAMPALA-BUSUNJU'!D44</f>
        <v>0.14285714285714285</v>
      </c>
      <c r="E44" s="49">
        <f>'Avg Week BUSUNJU-KAMPALA'!E44+'Avg Week KAMPALA-BUSUNJU'!E44</f>
        <v>1.1428571428571428</v>
      </c>
      <c r="F44" s="49">
        <f>'Avg Week BUSUNJU-KAMPALA'!F44+'Avg Week KAMPALA-BUSUNJU'!F44</f>
        <v>0.14285714285714285</v>
      </c>
      <c r="G44" s="49">
        <f>'Avg Week BUSUNJU-KAMPALA'!G44+'Avg Week KAMPALA-BUSUNJU'!G44</f>
        <v>0</v>
      </c>
      <c r="H44" s="49">
        <f>'Avg Week BUSUNJU-KAMPALA'!H44+'Avg Week KAMPALA-BUSUNJU'!H44</f>
        <v>0</v>
      </c>
      <c r="I44" s="49">
        <f>'Avg Week BUSUNJU-KAMPALA'!I44+'Avg Week KAMPALA-BUSUNJU'!I44</f>
        <v>2.5714285714285712</v>
      </c>
      <c r="J44" s="49">
        <f>'Avg Week BUSUNJU-KAMPALA'!J44+'Avg Week KAMPALA-BUSUNJU'!J44</f>
        <v>0.14285714285714285</v>
      </c>
      <c r="K44" s="49">
        <f>'Avg Week BUSUNJU-KAMPALA'!K44+'Avg Week KAMPALA-BUSUNJU'!K44</f>
        <v>0</v>
      </c>
      <c r="L44" s="49">
        <f>'Avg Week BUSUNJU-KAMPALA'!L44+'Avg Week KAMPALA-BUSUNJU'!L44</f>
        <v>0</v>
      </c>
      <c r="M44" s="49">
        <f>'Avg Week BUSUNJU-KAMPALA'!M44+'Avg Week KAMPALA-BUSUNJU'!M44</f>
        <v>23.714285714285715</v>
      </c>
      <c r="N44" s="49">
        <f>'Avg Week BUSUNJU-KAMPALA'!N44+'Avg Week KAMPALA-BUSUNJU'!N44</f>
        <v>0</v>
      </c>
      <c r="O44" s="15">
        <f t="shared" si="0"/>
        <v>6.5714285714285721</v>
      </c>
      <c r="P44" s="15">
        <f t="shared" si="1"/>
        <v>30.285714285714288</v>
      </c>
    </row>
    <row r="45" spans="2:32" ht="23.1" customHeight="1" x14ac:dyDescent="0.25">
      <c r="B45" s="23" t="s">
        <v>72</v>
      </c>
      <c r="C45" s="49">
        <f>'Avg Week BUSUNJU-KAMPALA'!C45+'Avg Week KAMPALA-BUSUNJU'!C45</f>
        <v>2.7142857142857144</v>
      </c>
      <c r="D45" s="49">
        <f>'Avg Week BUSUNJU-KAMPALA'!D45+'Avg Week KAMPALA-BUSUNJU'!D45</f>
        <v>0</v>
      </c>
      <c r="E45" s="49">
        <f>'Avg Week BUSUNJU-KAMPALA'!E45+'Avg Week KAMPALA-BUSUNJU'!E45</f>
        <v>2.7142857142857144</v>
      </c>
      <c r="F45" s="49">
        <f>'Avg Week BUSUNJU-KAMPALA'!F45+'Avg Week KAMPALA-BUSUNJU'!F45</f>
        <v>0.5714285714285714</v>
      </c>
      <c r="G45" s="49">
        <f>'Avg Week BUSUNJU-KAMPALA'!G45+'Avg Week KAMPALA-BUSUNJU'!G45</f>
        <v>0</v>
      </c>
      <c r="H45" s="49">
        <f>'Avg Week BUSUNJU-KAMPALA'!H45+'Avg Week KAMPALA-BUSUNJU'!H45</f>
        <v>0</v>
      </c>
      <c r="I45" s="49">
        <f>'Avg Week BUSUNJU-KAMPALA'!I45+'Avg Week KAMPALA-BUSUNJU'!I45</f>
        <v>3</v>
      </c>
      <c r="J45" s="49">
        <f>'Avg Week BUSUNJU-KAMPALA'!J45+'Avg Week KAMPALA-BUSUNJU'!J45</f>
        <v>0</v>
      </c>
      <c r="K45" s="49">
        <f>'Avg Week BUSUNJU-KAMPALA'!K45+'Avg Week KAMPALA-BUSUNJU'!K45</f>
        <v>0</v>
      </c>
      <c r="L45" s="49">
        <f>'Avg Week BUSUNJU-KAMPALA'!L45+'Avg Week KAMPALA-BUSUNJU'!L45</f>
        <v>0</v>
      </c>
      <c r="M45" s="49">
        <f>'Avg Week BUSUNJU-KAMPALA'!M45+'Avg Week KAMPALA-BUSUNJU'!M45</f>
        <v>27</v>
      </c>
      <c r="N45" s="49">
        <f>'Avg Week BUSUNJU-KAMPALA'!N45+'Avg Week KAMPALA-BUSUNJU'!N45</f>
        <v>0</v>
      </c>
      <c r="O45" s="15">
        <f t="shared" si="0"/>
        <v>9</v>
      </c>
      <c r="P45" s="15">
        <f t="shared" si="1"/>
        <v>36</v>
      </c>
    </row>
    <row r="46" spans="2:32" ht="23.1" customHeight="1" x14ac:dyDescent="0.25">
      <c r="B46" s="24" t="s">
        <v>73</v>
      </c>
      <c r="C46" s="49">
        <f>'Avg Week BUSUNJU-KAMPALA'!C46+'Avg Week KAMPALA-BUSUNJU'!C46</f>
        <v>2.5714285714285712</v>
      </c>
      <c r="D46" s="49">
        <f>'Avg Week BUSUNJU-KAMPALA'!D46+'Avg Week KAMPALA-BUSUNJU'!D46</f>
        <v>0</v>
      </c>
      <c r="E46" s="49">
        <f>'Avg Week BUSUNJU-KAMPALA'!E46+'Avg Week KAMPALA-BUSUNJU'!E46</f>
        <v>2</v>
      </c>
      <c r="F46" s="49">
        <f>'Avg Week BUSUNJU-KAMPALA'!F46+'Avg Week KAMPALA-BUSUNJU'!F46</f>
        <v>0.2857142857142857</v>
      </c>
      <c r="G46" s="49">
        <f>'Avg Week BUSUNJU-KAMPALA'!G46+'Avg Week KAMPALA-BUSUNJU'!G46</f>
        <v>0</v>
      </c>
      <c r="H46" s="49">
        <f>'Avg Week BUSUNJU-KAMPALA'!H46+'Avg Week KAMPALA-BUSUNJU'!H46</f>
        <v>0</v>
      </c>
      <c r="I46" s="49">
        <f>'Avg Week BUSUNJU-KAMPALA'!I46+'Avg Week KAMPALA-BUSUNJU'!I46</f>
        <v>2</v>
      </c>
      <c r="J46" s="49">
        <f>'Avg Week BUSUNJU-KAMPALA'!J46+'Avg Week KAMPALA-BUSUNJU'!J46</f>
        <v>0</v>
      </c>
      <c r="K46" s="49">
        <f>'Avg Week BUSUNJU-KAMPALA'!K46+'Avg Week KAMPALA-BUSUNJU'!K46</f>
        <v>0</v>
      </c>
      <c r="L46" s="49">
        <f>'Avg Week BUSUNJU-KAMPALA'!L46+'Avg Week KAMPALA-BUSUNJU'!L46</f>
        <v>0</v>
      </c>
      <c r="M46" s="49">
        <f>'Avg Week BUSUNJU-KAMPALA'!M46+'Avg Week KAMPALA-BUSUNJU'!M46</f>
        <v>26.285714285714285</v>
      </c>
      <c r="N46" s="49">
        <f>'Avg Week BUSUNJU-KAMPALA'!N46+'Avg Week KAMPALA-BUSUNJU'!N46</f>
        <v>0</v>
      </c>
      <c r="O46" s="15">
        <f t="shared" si="0"/>
        <v>6.8571428571428568</v>
      </c>
      <c r="P46" s="15">
        <f t="shared" si="1"/>
        <v>33.142857142857139</v>
      </c>
      <c r="R46" s="8"/>
      <c r="T46"/>
    </row>
    <row r="47" spans="2:32" ht="23.1" customHeight="1" x14ac:dyDescent="0.25">
      <c r="B47" s="24" t="s">
        <v>74</v>
      </c>
      <c r="C47" s="49">
        <f>'Avg Week BUSUNJU-KAMPALA'!C47+'Avg Week KAMPALA-BUSUNJU'!C47</f>
        <v>2.5714285714285712</v>
      </c>
      <c r="D47" s="49">
        <f>'Avg Week BUSUNJU-KAMPALA'!D47+'Avg Week KAMPALA-BUSUNJU'!D47</f>
        <v>0.14285714285714285</v>
      </c>
      <c r="E47" s="49">
        <f>'Avg Week BUSUNJU-KAMPALA'!E47+'Avg Week KAMPALA-BUSUNJU'!E47</f>
        <v>2.8571428571428572</v>
      </c>
      <c r="F47" s="49">
        <f>'Avg Week BUSUNJU-KAMPALA'!F47+'Avg Week KAMPALA-BUSUNJU'!F47</f>
        <v>0.42857142857142855</v>
      </c>
      <c r="G47" s="49">
        <f>'Avg Week BUSUNJU-KAMPALA'!G47+'Avg Week KAMPALA-BUSUNJU'!G47</f>
        <v>0</v>
      </c>
      <c r="H47" s="49">
        <f>'Avg Week BUSUNJU-KAMPALA'!H47+'Avg Week KAMPALA-BUSUNJU'!H47</f>
        <v>0</v>
      </c>
      <c r="I47" s="49">
        <f>'Avg Week BUSUNJU-KAMPALA'!I47+'Avg Week KAMPALA-BUSUNJU'!I47</f>
        <v>1.7142857142857144</v>
      </c>
      <c r="J47" s="49">
        <f>'Avg Week BUSUNJU-KAMPALA'!J47+'Avg Week KAMPALA-BUSUNJU'!J47</f>
        <v>0.14285714285714285</v>
      </c>
      <c r="K47" s="49">
        <f>'Avg Week BUSUNJU-KAMPALA'!K47+'Avg Week KAMPALA-BUSUNJU'!K47</f>
        <v>0</v>
      </c>
      <c r="L47" s="49">
        <f>'Avg Week BUSUNJU-KAMPALA'!L47+'Avg Week KAMPALA-BUSUNJU'!L47</f>
        <v>0</v>
      </c>
      <c r="M47" s="49">
        <f>'Avg Week BUSUNJU-KAMPALA'!M47+'Avg Week KAMPALA-BUSUNJU'!M47</f>
        <v>28</v>
      </c>
      <c r="N47" s="49">
        <f>'Avg Week BUSUNJU-KAMPALA'!N47+'Avg Week KAMPALA-BUSUNJU'!N47</f>
        <v>0</v>
      </c>
      <c r="O47" s="15">
        <f t="shared" si="0"/>
        <v>7.8571428571428577</v>
      </c>
      <c r="P47" s="15">
        <f t="shared" si="1"/>
        <v>35.857142857142861</v>
      </c>
      <c r="R47" s="8"/>
      <c r="T47"/>
    </row>
    <row r="48" spans="2:32" ht="23.1" customHeight="1" x14ac:dyDescent="0.25">
      <c r="B48" s="24" t="s">
        <v>75</v>
      </c>
      <c r="C48" s="49">
        <f>'Avg Week BUSUNJU-KAMPALA'!C48+'Avg Week KAMPALA-BUSUNJU'!C48</f>
        <v>2.4285714285714288</v>
      </c>
      <c r="D48" s="49">
        <f>'Avg Week BUSUNJU-KAMPALA'!D48+'Avg Week KAMPALA-BUSUNJU'!D48</f>
        <v>0.42857142857142855</v>
      </c>
      <c r="E48" s="49">
        <f>'Avg Week BUSUNJU-KAMPALA'!E48+'Avg Week KAMPALA-BUSUNJU'!E48</f>
        <v>2</v>
      </c>
      <c r="F48" s="49">
        <f>'Avg Week BUSUNJU-KAMPALA'!F48+'Avg Week KAMPALA-BUSUNJU'!F48</f>
        <v>1.2857142857142856</v>
      </c>
      <c r="G48" s="49">
        <f>'Avg Week BUSUNJU-KAMPALA'!G48+'Avg Week KAMPALA-BUSUNJU'!G48</f>
        <v>0.14285714285714285</v>
      </c>
      <c r="H48" s="49">
        <f>'Avg Week BUSUNJU-KAMPALA'!H48+'Avg Week KAMPALA-BUSUNJU'!H48</f>
        <v>0</v>
      </c>
      <c r="I48" s="49">
        <f>'Avg Week BUSUNJU-KAMPALA'!I48+'Avg Week KAMPALA-BUSUNJU'!I48</f>
        <v>2.7142857142857144</v>
      </c>
      <c r="J48" s="49">
        <f>'Avg Week BUSUNJU-KAMPALA'!J48+'Avg Week KAMPALA-BUSUNJU'!J48</f>
        <v>0.14285714285714285</v>
      </c>
      <c r="K48" s="49">
        <f>'Avg Week BUSUNJU-KAMPALA'!K48+'Avg Week KAMPALA-BUSUNJU'!K48</f>
        <v>0</v>
      </c>
      <c r="L48" s="49">
        <f>'Avg Week BUSUNJU-KAMPALA'!L48+'Avg Week KAMPALA-BUSUNJU'!L48</f>
        <v>0</v>
      </c>
      <c r="M48" s="49">
        <f>'Avg Week BUSUNJU-KAMPALA'!M48+'Avg Week KAMPALA-BUSUNJU'!M48</f>
        <v>33.428571428571431</v>
      </c>
      <c r="N48" s="49">
        <f>'Avg Week BUSUNJU-KAMPALA'!N48+'Avg Week KAMPALA-BUSUNJU'!N48</f>
        <v>0</v>
      </c>
      <c r="O48" s="15">
        <f t="shared" si="0"/>
        <v>9.1428571428571423</v>
      </c>
      <c r="P48" s="15">
        <f t="shared" si="1"/>
        <v>42.571428571428569</v>
      </c>
      <c r="R48" s="8"/>
      <c r="T48"/>
    </row>
    <row r="49" spans="2:20" ht="23.1" customHeight="1" x14ac:dyDescent="0.25">
      <c r="B49" s="23" t="s">
        <v>76</v>
      </c>
      <c r="C49" s="49">
        <f>'Avg Week BUSUNJU-KAMPALA'!C49+'Avg Week KAMPALA-BUSUNJU'!C49</f>
        <v>2.8571428571428572</v>
      </c>
      <c r="D49" s="49">
        <f>'Avg Week BUSUNJU-KAMPALA'!D49+'Avg Week KAMPALA-BUSUNJU'!D49</f>
        <v>0</v>
      </c>
      <c r="E49" s="49">
        <f>'Avg Week BUSUNJU-KAMPALA'!E49+'Avg Week KAMPALA-BUSUNJU'!E49</f>
        <v>2.5714285714285712</v>
      </c>
      <c r="F49" s="49">
        <f>'Avg Week BUSUNJU-KAMPALA'!F49+'Avg Week KAMPALA-BUSUNJU'!F49</f>
        <v>0.5714285714285714</v>
      </c>
      <c r="G49" s="49">
        <f>'Avg Week BUSUNJU-KAMPALA'!G49+'Avg Week KAMPALA-BUSUNJU'!G49</f>
        <v>0</v>
      </c>
      <c r="H49" s="49">
        <f>'Avg Week BUSUNJU-KAMPALA'!H49+'Avg Week KAMPALA-BUSUNJU'!H49</f>
        <v>0</v>
      </c>
      <c r="I49" s="49">
        <f>'Avg Week BUSUNJU-KAMPALA'!I49+'Avg Week KAMPALA-BUSUNJU'!I49</f>
        <v>2.4285714285714288</v>
      </c>
      <c r="J49" s="49">
        <f>'Avg Week BUSUNJU-KAMPALA'!J49+'Avg Week KAMPALA-BUSUNJU'!J49</f>
        <v>0</v>
      </c>
      <c r="K49" s="49">
        <f>'Avg Week BUSUNJU-KAMPALA'!K49+'Avg Week KAMPALA-BUSUNJU'!K49</f>
        <v>0</v>
      </c>
      <c r="L49" s="49">
        <f>'Avg Week BUSUNJU-KAMPALA'!L49+'Avg Week KAMPALA-BUSUNJU'!L49</f>
        <v>0</v>
      </c>
      <c r="M49" s="49">
        <f>'Avg Week BUSUNJU-KAMPALA'!M49+'Avg Week KAMPALA-BUSUNJU'!M49</f>
        <v>26.857142857142854</v>
      </c>
      <c r="N49" s="49">
        <f>'Avg Week BUSUNJU-KAMPALA'!N49+'Avg Week KAMPALA-BUSUNJU'!N49</f>
        <v>0</v>
      </c>
      <c r="O49" s="15">
        <f t="shared" si="0"/>
        <v>8.4285714285714288</v>
      </c>
      <c r="P49" s="15">
        <f t="shared" si="1"/>
        <v>35.285714285714285</v>
      </c>
      <c r="R49" s="8"/>
      <c r="T49"/>
    </row>
    <row r="50" spans="2:20" ht="23.1" customHeight="1" x14ac:dyDescent="0.25">
      <c r="B50" s="24" t="s">
        <v>77</v>
      </c>
      <c r="C50" s="49">
        <f>'Avg Week BUSUNJU-KAMPALA'!C50+'Avg Week KAMPALA-BUSUNJU'!C50</f>
        <v>2.1428571428571428</v>
      </c>
      <c r="D50" s="49">
        <f>'Avg Week BUSUNJU-KAMPALA'!D50+'Avg Week KAMPALA-BUSUNJU'!D50</f>
        <v>0</v>
      </c>
      <c r="E50" s="49">
        <f>'Avg Week BUSUNJU-KAMPALA'!E50+'Avg Week KAMPALA-BUSUNJU'!E50</f>
        <v>2.2857142857142856</v>
      </c>
      <c r="F50" s="49">
        <f>'Avg Week BUSUNJU-KAMPALA'!F50+'Avg Week KAMPALA-BUSUNJU'!F50</f>
        <v>0.5714285714285714</v>
      </c>
      <c r="G50" s="49">
        <f>'Avg Week BUSUNJU-KAMPALA'!G50+'Avg Week KAMPALA-BUSUNJU'!G50</f>
        <v>0</v>
      </c>
      <c r="H50" s="49">
        <f>'Avg Week BUSUNJU-KAMPALA'!H50+'Avg Week KAMPALA-BUSUNJU'!H50</f>
        <v>0</v>
      </c>
      <c r="I50" s="49">
        <f>'Avg Week BUSUNJU-KAMPALA'!I50+'Avg Week KAMPALA-BUSUNJU'!I50</f>
        <v>2.5714285714285712</v>
      </c>
      <c r="J50" s="49">
        <f>'Avg Week BUSUNJU-KAMPALA'!J50+'Avg Week KAMPALA-BUSUNJU'!J50</f>
        <v>0.2857142857142857</v>
      </c>
      <c r="K50" s="49">
        <f>'Avg Week BUSUNJU-KAMPALA'!K50+'Avg Week KAMPALA-BUSUNJU'!K50</f>
        <v>0</v>
      </c>
      <c r="L50" s="49">
        <f>'Avg Week BUSUNJU-KAMPALA'!L50+'Avg Week KAMPALA-BUSUNJU'!L50</f>
        <v>0</v>
      </c>
      <c r="M50" s="49">
        <f>'Avg Week BUSUNJU-KAMPALA'!M50+'Avg Week KAMPALA-BUSUNJU'!M50</f>
        <v>31.571428571428569</v>
      </c>
      <c r="N50" s="49">
        <f>'Avg Week BUSUNJU-KAMPALA'!N50+'Avg Week KAMPALA-BUSUNJU'!N50</f>
        <v>0</v>
      </c>
      <c r="O50" s="15">
        <f t="shared" si="0"/>
        <v>7.8571428571428568</v>
      </c>
      <c r="P50" s="15">
        <f t="shared" si="1"/>
        <v>39.428571428571423</v>
      </c>
      <c r="R50" s="8"/>
      <c r="T50"/>
    </row>
    <row r="51" spans="2:20" ht="23.1" customHeight="1" x14ac:dyDescent="0.25">
      <c r="B51" s="24" t="s">
        <v>78</v>
      </c>
      <c r="C51" s="49">
        <f>'Avg Week BUSUNJU-KAMPALA'!C51+'Avg Week KAMPALA-BUSUNJU'!C51</f>
        <v>1.4285714285714284</v>
      </c>
      <c r="D51" s="49">
        <f>'Avg Week BUSUNJU-KAMPALA'!D51+'Avg Week KAMPALA-BUSUNJU'!D51</f>
        <v>0</v>
      </c>
      <c r="E51" s="49">
        <f>'Avg Week BUSUNJU-KAMPALA'!E51+'Avg Week KAMPALA-BUSUNJU'!E51</f>
        <v>2.1428571428571428</v>
      </c>
      <c r="F51" s="49">
        <f>'Avg Week BUSUNJU-KAMPALA'!F51+'Avg Week KAMPALA-BUSUNJU'!F51</f>
        <v>0.8571428571428571</v>
      </c>
      <c r="G51" s="49">
        <f>'Avg Week BUSUNJU-KAMPALA'!G51+'Avg Week KAMPALA-BUSUNJU'!G51</f>
        <v>0</v>
      </c>
      <c r="H51" s="49">
        <f>'Avg Week BUSUNJU-KAMPALA'!H51+'Avg Week KAMPALA-BUSUNJU'!H51</f>
        <v>0</v>
      </c>
      <c r="I51" s="49">
        <f>'Avg Week BUSUNJU-KAMPALA'!I51+'Avg Week KAMPALA-BUSUNJU'!I51</f>
        <v>2.2857142857142856</v>
      </c>
      <c r="J51" s="49">
        <f>'Avg Week BUSUNJU-KAMPALA'!J51+'Avg Week KAMPALA-BUSUNJU'!J51</f>
        <v>0.14285714285714285</v>
      </c>
      <c r="K51" s="49">
        <f>'Avg Week BUSUNJU-KAMPALA'!K51+'Avg Week KAMPALA-BUSUNJU'!K51</f>
        <v>0</v>
      </c>
      <c r="L51" s="49">
        <f>'Avg Week BUSUNJU-KAMPALA'!L51+'Avg Week KAMPALA-BUSUNJU'!L51</f>
        <v>0</v>
      </c>
      <c r="M51" s="49">
        <f>'Avg Week BUSUNJU-KAMPALA'!M51+'Avg Week KAMPALA-BUSUNJU'!M51</f>
        <v>32.142857142857146</v>
      </c>
      <c r="N51" s="49">
        <f>'Avg Week BUSUNJU-KAMPALA'!N51+'Avg Week KAMPALA-BUSUNJU'!N51</f>
        <v>0</v>
      </c>
      <c r="O51" s="15">
        <f t="shared" si="0"/>
        <v>6.8571428571428568</v>
      </c>
      <c r="P51" s="15">
        <f t="shared" si="1"/>
        <v>39</v>
      </c>
      <c r="R51" s="8"/>
      <c r="T51"/>
    </row>
    <row r="52" spans="2:20" ht="23.1" customHeight="1" x14ac:dyDescent="0.25">
      <c r="B52" s="24" t="s">
        <v>79</v>
      </c>
      <c r="C52" s="49">
        <f>'Avg Week BUSUNJU-KAMPALA'!C52+'Avg Week KAMPALA-BUSUNJU'!C52</f>
        <v>2.7142857142857144</v>
      </c>
      <c r="D52" s="49">
        <f>'Avg Week BUSUNJU-KAMPALA'!D52+'Avg Week KAMPALA-BUSUNJU'!D52</f>
        <v>0.42857142857142855</v>
      </c>
      <c r="E52" s="49">
        <f>'Avg Week BUSUNJU-KAMPALA'!E52+'Avg Week KAMPALA-BUSUNJU'!E52</f>
        <v>1.2857142857142856</v>
      </c>
      <c r="F52" s="49">
        <f>'Avg Week BUSUNJU-KAMPALA'!F52+'Avg Week KAMPALA-BUSUNJU'!F52</f>
        <v>1.2857142857142856</v>
      </c>
      <c r="G52" s="49">
        <f>'Avg Week BUSUNJU-KAMPALA'!G52+'Avg Week KAMPALA-BUSUNJU'!G52</f>
        <v>0</v>
      </c>
      <c r="H52" s="49">
        <f>'Avg Week BUSUNJU-KAMPALA'!H52+'Avg Week KAMPALA-BUSUNJU'!H52</f>
        <v>0</v>
      </c>
      <c r="I52" s="49">
        <f>'Avg Week BUSUNJU-KAMPALA'!I52+'Avg Week KAMPALA-BUSUNJU'!I52</f>
        <v>1.4285714285714286</v>
      </c>
      <c r="J52" s="49">
        <f>'Avg Week BUSUNJU-KAMPALA'!J52+'Avg Week KAMPALA-BUSUNJU'!J52</f>
        <v>0</v>
      </c>
      <c r="K52" s="49">
        <f>'Avg Week BUSUNJU-KAMPALA'!K52+'Avg Week KAMPALA-BUSUNJU'!K52</f>
        <v>0</v>
      </c>
      <c r="L52" s="49">
        <f>'Avg Week BUSUNJU-KAMPALA'!L52+'Avg Week KAMPALA-BUSUNJU'!L52</f>
        <v>0</v>
      </c>
      <c r="M52" s="49">
        <f>'Avg Week BUSUNJU-KAMPALA'!M52+'Avg Week KAMPALA-BUSUNJU'!M52</f>
        <v>33.714285714285715</v>
      </c>
      <c r="N52" s="49">
        <f>'Avg Week BUSUNJU-KAMPALA'!N52+'Avg Week KAMPALA-BUSUNJU'!N52</f>
        <v>0</v>
      </c>
      <c r="O52" s="15">
        <f t="shared" si="0"/>
        <v>7.1428571428571432</v>
      </c>
      <c r="P52" s="15">
        <f t="shared" si="1"/>
        <v>40.857142857142861</v>
      </c>
      <c r="R52" s="8"/>
      <c r="T52"/>
    </row>
    <row r="53" spans="2:20" ht="23.1" customHeight="1" x14ac:dyDescent="0.25">
      <c r="B53" s="23" t="s">
        <v>80</v>
      </c>
      <c r="C53" s="49">
        <f>'Avg Week BUSUNJU-KAMPALA'!C53+'Avg Week KAMPALA-BUSUNJU'!C53</f>
        <v>2.5714285714285712</v>
      </c>
      <c r="D53" s="49">
        <f>'Avg Week BUSUNJU-KAMPALA'!D53+'Avg Week KAMPALA-BUSUNJU'!D53</f>
        <v>0</v>
      </c>
      <c r="E53" s="49">
        <f>'Avg Week BUSUNJU-KAMPALA'!E53+'Avg Week KAMPALA-BUSUNJU'!E53</f>
        <v>1.8571428571428572</v>
      </c>
      <c r="F53" s="49">
        <f>'Avg Week BUSUNJU-KAMPALA'!F53+'Avg Week KAMPALA-BUSUNJU'!F53</f>
        <v>1.5714285714285714</v>
      </c>
      <c r="G53" s="49">
        <f>'Avg Week BUSUNJU-KAMPALA'!G53+'Avg Week KAMPALA-BUSUNJU'!G53</f>
        <v>0.14285714285714285</v>
      </c>
      <c r="H53" s="49">
        <f>'Avg Week BUSUNJU-KAMPALA'!H53+'Avg Week KAMPALA-BUSUNJU'!H53</f>
        <v>0</v>
      </c>
      <c r="I53" s="49">
        <f>'Avg Week BUSUNJU-KAMPALA'!I53+'Avg Week KAMPALA-BUSUNJU'!I53</f>
        <v>2.2857142857142856</v>
      </c>
      <c r="J53" s="49">
        <f>'Avg Week BUSUNJU-KAMPALA'!J53+'Avg Week KAMPALA-BUSUNJU'!J53</f>
        <v>0</v>
      </c>
      <c r="K53" s="49">
        <f>'Avg Week BUSUNJU-KAMPALA'!K53+'Avg Week KAMPALA-BUSUNJU'!K53</f>
        <v>0</v>
      </c>
      <c r="L53" s="49">
        <f>'Avg Week BUSUNJU-KAMPALA'!L53+'Avg Week KAMPALA-BUSUNJU'!L53</f>
        <v>0</v>
      </c>
      <c r="M53" s="49">
        <f>'Avg Week BUSUNJU-KAMPALA'!M53+'Avg Week KAMPALA-BUSUNJU'!M53</f>
        <v>25.428571428571431</v>
      </c>
      <c r="N53" s="49">
        <f>'Avg Week BUSUNJU-KAMPALA'!N53+'Avg Week KAMPALA-BUSUNJU'!N53</f>
        <v>0</v>
      </c>
      <c r="O53" s="15">
        <f t="shared" si="0"/>
        <v>8.4285714285714288</v>
      </c>
      <c r="P53" s="15">
        <f t="shared" si="1"/>
        <v>33.857142857142861</v>
      </c>
      <c r="R53" s="8"/>
      <c r="T53"/>
    </row>
    <row r="54" spans="2:20" ht="23.1" customHeight="1" x14ac:dyDescent="0.25">
      <c r="B54" s="23" t="s">
        <v>81</v>
      </c>
      <c r="C54" s="49">
        <f>'Avg Week BUSUNJU-KAMPALA'!C54+'Avg Week KAMPALA-BUSUNJU'!C54</f>
        <v>2</v>
      </c>
      <c r="D54" s="49">
        <f>'Avg Week BUSUNJU-KAMPALA'!D54+'Avg Week KAMPALA-BUSUNJU'!D54</f>
        <v>0.7142857142857143</v>
      </c>
      <c r="E54" s="49">
        <f>'Avg Week BUSUNJU-KAMPALA'!E54+'Avg Week KAMPALA-BUSUNJU'!E54</f>
        <v>1.1428571428571428</v>
      </c>
      <c r="F54" s="49">
        <f>'Avg Week BUSUNJU-KAMPALA'!F54+'Avg Week KAMPALA-BUSUNJU'!F54</f>
        <v>1.2857142857142856</v>
      </c>
      <c r="G54" s="49">
        <f>'Avg Week BUSUNJU-KAMPALA'!G54+'Avg Week KAMPALA-BUSUNJU'!G54</f>
        <v>0.42857142857142855</v>
      </c>
      <c r="H54" s="49">
        <f>'Avg Week BUSUNJU-KAMPALA'!H54+'Avg Week KAMPALA-BUSUNJU'!H54</f>
        <v>0</v>
      </c>
      <c r="I54" s="49">
        <f>'Avg Week BUSUNJU-KAMPALA'!I54+'Avg Week KAMPALA-BUSUNJU'!I54</f>
        <v>1.5714285714285714</v>
      </c>
      <c r="J54" s="49">
        <f>'Avg Week BUSUNJU-KAMPALA'!J54+'Avg Week KAMPALA-BUSUNJU'!J54</f>
        <v>0.2857142857142857</v>
      </c>
      <c r="K54" s="49">
        <f>'Avg Week BUSUNJU-KAMPALA'!K54+'Avg Week KAMPALA-BUSUNJU'!K54</f>
        <v>0</v>
      </c>
      <c r="L54" s="49">
        <f>'Avg Week BUSUNJU-KAMPALA'!L54+'Avg Week KAMPALA-BUSUNJU'!L54</f>
        <v>0</v>
      </c>
      <c r="M54" s="49">
        <f>'Avg Week BUSUNJU-KAMPALA'!M54+'Avg Week KAMPALA-BUSUNJU'!M54</f>
        <v>33</v>
      </c>
      <c r="N54" s="49">
        <f>'Avg Week BUSUNJU-KAMPALA'!N54+'Avg Week KAMPALA-BUSUNJU'!N54</f>
        <v>0</v>
      </c>
      <c r="O54" s="15">
        <f t="shared" si="0"/>
        <v>7.4285714285714279</v>
      </c>
      <c r="P54" s="15">
        <f t="shared" si="1"/>
        <v>40.428571428571431</v>
      </c>
      <c r="R54" s="8"/>
      <c r="T54"/>
    </row>
    <row r="55" spans="2:20" ht="23.1" customHeight="1" x14ac:dyDescent="0.25">
      <c r="B55" s="23" t="s">
        <v>82</v>
      </c>
      <c r="C55" s="49">
        <f>'Avg Week BUSUNJU-KAMPALA'!C55+'Avg Week KAMPALA-BUSUNJU'!C55</f>
        <v>2.5714285714285712</v>
      </c>
      <c r="D55" s="49">
        <f>'Avg Week BUSUNJU-KAMPALA'!D55+'Avg Week KAMPALA-BUSUNJU'!D55</f>
        <v>0.14285714285714285</v>
      </c>
      <c r="E55" s="49">
        <f>'Avg Week BUSUNJU-KAMPALA'!E55+'Avg Week KAMPALA-BUSUNJU'!E55</f>
        <v>2.1428571428571428</v>
      </c>
      <c r="F55" s="49">
        <f>'Avg Week BUSUNJU-KAMPALA'!F55+'Avg Week KAMPALA-BUSUNJU'!F55</f>
        <v>1</v>
      </c>
      <c r="G55" s="49">
        <f>'Avg Week BUSUNJU-KAMPALA'!G55+'Avg Week KAMPALA-BUSUNJU'!G55</f>
        <v>0.42857142857142855</v>
      </c>
      <c r="H55" s="49">
        <f>'Avg Week BUSUNJU-KAMPALA'!H55+'Avg Week KAMPALA-BUSUNJU'!H55</f>
        <v>0</v>
      </c>
      <c r="I55" s="49">
        <f>'Avg Week BUSUNJU-KAMPALA'!I55+'Avg Week KAMPALA-BUSUNJU'!I55</f>
        <v>1.5714285714285714</v>
      </c>
      <c r="J55" s="49">
        <f>'Avg Week BUSUNJU-KAMPALA'!J55+'Avg Week KAMPALA-BUSUNJU'!J55</f>
        <v>0</v>
      </c>
      <c r="K55" s="49">
        <f>'Avg Week BUSUNJU-KAMPALA'!K55+'Avg Week KAMPALA-BUSUNJU'!K55</f>
        <v>0.14285714285714285</v>
      </c>
      <c r="L55" s="49">
        <f>'Avg Week BUSUNJU-KAMPALA'!L55+'Avg Week KAMPALA-BUSUNJU'!L55</f>
        <v>0</v>
      </c>
      <c r="M55" s="49">
        <f>'Avg Week BUSUNJU-KAMPALA'!M55+'Avg Week KAMPALA-BUSUNJU'!M55</f>
        <v>32.285714285714285</v>
      </c>
      <c r="N55" s="49">
        <f>'Avg Week BUSUNJU-KAMPALA'!N55+'Avg Week KAMPALA-BUSUNJU'!N55</f>
        <v>0</v>
      </c>
      <c r="O55" s="15">
        <f t="shared" si="0"/>
        <v>8</v>
      </c>
      <c r="P55" s="15">
        <f t="shared" si="1"/>
        <v>40.285714285714285</v>
      </c>
      <c r="R55" s="8"/>
      <c r="T55"/>
    </row>
    <row r="56" spans="2:20" ht="23.1" customHeight="1" x14ac:dyDescent="0.25">
      <c r="B56" s="23" t="s">
        <v>83</v>
      </c>
      <c r="C56" s="49">
        <f>'Avg Week BUSUNJU-KAMPALA'!C56+'Avg Week KAMPALA-BUSUNJU'!C56</f>
        <v>3.1428571428571432</v>
      </c>
      <c r="D56" s="49">
        <f>'Avg Week BUSUNJU-KAMPALA'!D56+'Avg Week KAMPALA-BUSUNJU'!D56</f>
        <v>0.14285714285714285</v>
      </c>
      <c r="E56" s="49">
        <f>'Avg Week BUSUNJU-KAMPALA'!E56+'Avg Week KAMPALA-BUSUNJU'!E56</f>
        <v>1.5714285714285714</v>
      </c>
      <c r="F56" s="49">
        <f>'Avg Week BUSUNJU-KAMPALA'!F56+'Avg Week KAMPALA-BUSUNJU'!F56</f>
        <v>0.71428571428571419</v>
      </c>
      <c r="G56" s="49">
        <f>'Avg Week BUSUNJU-KAMPALA'!G56+'Avg Week KAMPALA-BUSUNJU'!G56</f>
        <v>0.14285714285714285</v>
      </c>
      <c r="H56" s="49">
        <f>'Avg Week BUSUNJU-KAMPALA'!H56+'Avg Week KAMPALA-BUSUNJU'!H56</f>
        <v>0</v>
      </c>
      <c r="I56" s="49">
        <f>'Avg Week BUSUNJU-KAMPALA'!I56+'Avg Week KAMPALA-BUSUNJU'!I56</f>
        <v>2</v>
      </c>
      <c r="J56" s="49">
        <f>'Avg Week BUSUNJU-KAMPALA'!J56+'Avg Week KAMPALA-BUSUNJU'!J56</f>
        <v>0</v>
      </c>
      <c r="K56" s="49">
        <f>'Avg Week BUSUNJU-KAMPALA'!K56+'Avg Week KAMPALA-BUSUNJU'!K56</f>
        <v>0</v>
      </c>
      <c r="L56" s="49">
        <f>'Avg Week BUSUNJU-KAMPALA'!L56+'Avg Week KAMPALA-BUSUNJU'!L56</f>
        <v>0</v>
      </c>
      <c r="M56" s="49">
        <f>'Avg Week BUSUNJU-KAMPALA'!M56+'Avg Week KAMPALA-BUSUNJU'!M56</f>
        <v>25.857142857142854</v>
      </c>
      <c r="N56" s="49">
        <f>'Avg Week BUSUNJU-KAMPALA'!N56+'Avg Week KAMPALA-BUSUNJU'!N56</f>
        <v>0</v>
      </c>
      <c r="O56" s="15">
        <f t="shared" si="0"/>
        <v>7.7142857142857153</v>
      </c>
      <c r="P56" s="15">
        <f t="shared" si="1"/>
        <v>33.571428571428569</v>
      </c>
      <c r="R56" s="8"/>
      <c r="T56"/>
    </row>
    <row r="57" spans="2:20" ht="23.1" customHeight="1" x14ac:dyDescent="0.25">
      <c r="B57" s="23" t="s">
        <v>84</v>
      </c>
      <c r="C57" s="49">
        <f>'Avg Week BUSUNJU-KAMPALA'!C57+'Avg Week KAMPALA-BUSUNJU'!C57</f>
        <v>3</v>
      </c>
      <c r="D57" s="49">
        <f>'Avg Week BUSUNJU-KAMPALA'!D57+'Avg Week KAMPALA-BUSUNJU'!D57</f>
        <v>0.14285714285714285</v>
      </c>
      <c r="E57" s="49">
        <f>'Avg Week BUSUNJU-KAMPALA'!E57+'Avg Week KAMPALA-BUSUNJU'!E57</f>
        <v>0.71428571428571419</v>
      </c>
      <c r="F57" s="49">
        <f>'Avg Week BUSUNJU-KAMPALA'!F57+'Avg Week KAMPALA-BUSUNJU'!F57</f>
        <v>0.85714285714285721</v>
      </c>
      <c r="G57" s="49">
        <f>'Avg Week BUSUNJU-KAMPALA'!G57+'Avg Week KAMPALA-BUSUNJU'!G57</f>
        <v>0</v>
      </c>
      <c r="H57" s="49">
        <f>'Avg Week BUSUNJU-KAMPALA'!H57+'Avg Week KAMPALA-BUSUNJU'!H57</f>
        <v>0</v>
      </c>
      <c r="I57" s="49">
        <f>'Avg Week BUSUNJU-KAMPALA'!I57+'Avg Week KAMPALA-BUSUNJU'!I57</f>
        <v>1.7142857142857144</v>
      </c>
      <c r="J57" s="49">
        <f>'Avg Week BUSUNJU-KAMPALA'!J57+'Avg Week KAMPALA-BUSUNJU'!J57</f>
        <v>0</v>
      </c>
      <c r="K57" s="49">
        <f>'Avg Week BUSUNJU-KAMPALA'!K57+'Avg Week KAMPALA-BUSUNJU'!K57</f>
        <v>0</v>
      </c>
      <c r="L57" s="49">
        <f>'Avg Week BUSUNJU-KAMPALA'!L57+'Avg Week KAMPALA-BUSUNJU'!L57</f>
        <v>0</v>
      </c>
      <c r="M57" s="49">
        <f>'Avg Week BUSUNJU-KAMPALA'!M57+'Avg Week KAMPALA-BUSUNJU'!M57</f>
        <v>25</v>
      </c>
      <c r="N57" s="49">
        <f>'Avg Week BUSUNJU-KAMPALA'!N57+'Avg Week KAMPALA-BUSUNJU'!N57</f>
        <v>0</v>
      </c>
      <c r="O57" s="15">
        <f t="shared" si="0"/>
        <v>6.4285714285714279</v>
      </c>
      <c r="P57" s="15">
        <f t="shared" si="1"/>
        <v>31.428571428571427</v>
      </c>
      <c r="R57" s="8"/>
      <c r="T57"/>
    </row>
    <row r="58" spans="2:20" ht="23.1" customHeight="1" x14ac:dyDescent="0.25">
      <c r="B58" s="23" t="s">
        <v>99</v>
      </c>
      <c r="C58" s="49">
        <f>'Avg Week BUSUNJU-KAMPALA'!C58+'Avg Week KAMPALA-BUSUNJU'!C58</f>
        <v>1</v>
      </c>
      <c r="D58" s="49">
        <f>'Avg Week BUSUNJU-KAMPALA'!D58+'Avg Week KAMPALA-BUSUNJU'!D58</f>
        <v>0</v>
      </c>
      <c r="E58" s="49">
        <f>'Avg Week BUSUNJU-KAMPALA'!E58+'Avg Week KAMPALA-BUSUNJU'!E58</f>
        <v>1</v>
      </c>
      <c r="F58" s="49">
        <f>'Avg Week BUSUNJU-KAMPALA'!F58+'Avg Week KAMPALA-BUSUNJU'!F58</f>
        <v>0</v>
      </c>
      <c r="G58" s="49">
        <f>'Avg Week BUSUNJU-KAMPALA'!G58+'Avg Week KAMPALA-BUSUNJU'!G58</f>
        <v>0</v>
      </c>
      <c r="H58" s="49">
        <f>'Avg Week BUSUNJU-KAMPALA'!H58+'Avg Week KAMPALA-BUSUNJU'!H58</f>
        <v>0</v>
      </c>
      <c r="I58" s="49">
        <f>'Avg Week BUSUNJU-KAMPALA'!I58+'Avg Week KAMPALA-BUSUNJU'!I58</f>
        <v>0</v>
      </c>
      <c r="J58" s="49">
        <f>'Avg Week BUSUNJU-KAMPALA'!J58+'Avg Week KAMPALA-BUSUNJU'!J58</f>
        <v>0</v>
      </c>
      <c r="K58" s="49">
        <f>'Avg Week BUSUNJU-KAMPALA'!K58+'Avg Week KAMPALA-BUSUNJU'!K58</f>
        <v>0</v>
      </c>
      <c r="L58" s="49">
        <f>'Avg Week BUSUNJU-KAMPALA'!L58+'Avg Week KAMPALA-BUSUNJU'!L58</f>
        <v>0</v>
      </c>
      <c r="M58" s="49">
        <f>'Avg Week BUSUNJU-KAMPALA'!M58+'Avg Week KAMPALA-BUSUNJU'!M58</f>
        <v>10.5</v>
      </c>
      <c r="N58" s="49">
        <f>'Avg Week BUSUNJU-KAMPALA'!N58+'Avg Week KAMPALA-BUSUNJU'!N58</f>
        <v>0</v>
      </c>
      <c r="O58" s="15">
        <f t="shared" si="0"/>
        <v>2</v>
      </c>
      <c r="P58" s="15">
        <f t="shared" si="1"/>
        <v>12.5</v>
      </c>
      <c r="R58" s="8"/>
      <c r="T58"/>
    </row>
    <row r="59" spans="2:20" ht="23.1" customHeight="1" x14ac:dyDescent="0.25">
      <c r="B59" s="23" t="s">
        <v>100</v>
      </c>
      <c r="C59" s="49">
        <f>'Avg Week BUSUNJU-KAMPALA'!C59+'Avg Week KAMPALA-BUSUNJU'!C59</f>
        <v>1</v>
      </c>
      <c r="D59" s="49">
        <f>'Avg Week BUSUNJU-KAMPALA'!D59+'Avg Week KAMPALA-BUSUNJU'!D59</f>
        <v>0</v>
      </c>
      <c r="E59" s="49">
        <f>'Avg Week BUSUNJU-KAMPALA'!E59+'Avg Week KAMPALA-BUSUNJU'!E59</f>
        <v>0</v>
      </c>
      <c r="F59" s="49">
        <f>'Avg Week BUSUNJU-KAMPALA'!F59+'Avg Week KAMPALA-BUSUNJU'!F59</f>
        <v>0</v>
      </c>
      <c r="G59" s="49">
        <f>'Avg Week BUSUNJU-KAMPALA'!G59+'Avg Week KAMPALA-BUSUNJU'!G59</f>
        <v>0</v>
      </c>
      <c r="H59" s="49">
        <f>'Avg Week BUSUNJU-KAMPALA'!H59+'Avg Week KAMPALA-BUSUNJU'!H59</f>
        <v>0</v>
      </c>
      <c r="I59" s="49">
        <f>'Avg Week BUSUNJU-KAMPALA'!I59+'Avg Week KAMPALA-BUSUNJU'!I59</f>
        <v>0</v>
      </c>
      <c r="J59" s="49">
        <f>'Avg Week BUSUNJU-KAMPALA'!J59+'Avg Week KAMPALA-BUSUNJU'!J59</f>
        <v>0</v>
      </c>
      <c r="K59" s="49">
        <f>'Avg Week BUSUNJU-KAMPALA'!K59+'Avg Week KAMPALA-BUSUNJU'!K59</f>
        <v>0</v>
      </c>
      <c r="L59" s="49">
        <f>'Avg Week BUSUNJU-KAMPALA'!L59+'Avg Week KAMPALA-BUSUNJU'!L59</f>
        <v>0</v>
      </c>
      <c r="M59" s="49">
        <f>'Avg Week BUSUNJU-KAMPALA'!M59+'Avg Week KAMPALA-BUSUNJU'!M59</f>
        <v>12.5</v>
      </c>
      <c r="N59" s="49">
        <f>'Avg Week BUSUNJU-KAMPALA'!N59+'Avg Week KAMPALA-BUSUNJU'!N59</f>
        <v>0</v>
      </c>
      <c r="O59" s="15">
        <f t="shared" si="0"/>
        <v>1</v>
      </c>
      <c r="P59" s="15">
        <f t="shared" si="1"/>
        <v>13.5</v>
      </c>
      <c r="R59" s="8"/>
      <c r="T59"/>
    </row>
    <row r="60" spans="2:20" ht="23.1" customHeight="1" x14ac:dyDescent="0.25">
      <c r="B60" s="23" t="s">
        <v>101</v>
      </c>
      <c r="C60" s="49">
        <f>'Avg Week BUSUNJU-KAMPALA'!C60+'Avg Week KAMPALA-BUSUNJU'!C60</f>
        <v>1</v>
      </c>
      <c r="D60" s="49">
        <f>'Avg Week BUSUNJU-KAMPALA'!D60+'Avg Week KAMPALA-BUSUNJU'!D60</f>
        <v>0</v>
      </c>
      <c r="E60" s="49">
        <f>'Avg Week BUSUNJU-KAMPALA'!E60+'Avg Week KAMPALA-BUSUNJU'!E60</f>
        <v>0</v>
      </c>
      <c r="F60" s="49">
        <f>'Avg Week BUSUNJU-KAMPALA'!F60+'Avg Week KAMPALA-BUSUNJU'!F60</f>
        <v>0</v>
      </c>
      <c r="G60" s="49">
        <f>'Avg Week BUSUNJU-KAMPALA'!G60+'Avg Week KAMPALA-BUSUNJU'!G60</f>
        <v>0</v>
      </c>
      <c r="H60" s="49">
        <f>'Avg Week BUSUNJU-KAMPALA'!H60+'Avg Week KAMPALA-BUSUNJU'!H60</f>
        <v>0</v>
      </c>
      <c r="I60" s="49">
        <f>'Avg Week BUSUNJU-KAMPALA'!I60+'Avg Week KAMPALA-BUSUNJU'!I60</f>
        <v>1</v>
      </c>
      <c r="J60" s="49">
        <f>'Avg Week BUSUNJU-KAMPALA'!J60+'Avg Week KAMPALA-BUSUNJU'!J60</f>
        <v>0</v>
      </c>
      <c r="K60" s="49">
        <f>'Avg Week BUSUNJU-KAMPALA'!K60+'Avg Week KAMPALA-BUSUNJU'!K60</f>
        <v>0</v>
      </c>
      <c r="L60" s="49">
        <f>'Avg Week BUSUNJU-KAMPALA'!L60+'Avg Week KAMPALA-BUSUNJU'!L60</f>
        <v>0</v>
      </c>
      <c r="M60" s="49">
        <f>'Avg Week BUSUNJU-KAMPALA'!M60+'Avg Week KAMPALA-BUSUNJU'!M60</f>
        <v>16.5</v>
      </c>
      <c r="N60" s="49">
        <f>'Avg Week BUSUNJU-KAMPALA'!N60+'Avg Week KAMPALA-BUSUNJU'!N60</f>
        <v>0</v>
      </c>
      <c r="O60" s="15">
        <f t="shared" si="0"/>
        <v>2</v>
      </c>
      <c r="P60" s="15">
        <f t="shared" si="1"/>
        <v>18.5</v>
      </c>
      <c r="R60" s="8"/>
      <c r="T60"/>
    </row>
    <row r="61" spans="2:20" ht="23.1" customHeight="1" x14ac:dyDescent="0.25">
      <c r="B61" s="23" t="s">
        <v>102</v>
      </c>
      <c r="C61" s="49">
        <f>'Avg Week BUSUNJU-KAMPALA'!C61+'Avg Week KAMPALA-BUSUNJU'!C61</f>
        <v>1</v>
      </c>
      <c r="D61" s="49">
        <f>'Avg Week BUSUNJU-KAMPALA'!D61+'Avg Week KAMPALA-BUSUNJU'!D61</f>
        <v>0</v>
      </c>
      <c r="E61" s="49">
        <f>'Avg Week BUSUNJU-KAMPALA'!E61+'Avg Week KAMPALA-BUSUNJU'!E61</f>
        <v>1</v>
      </c>
      <c r="F61" s="49">
        <f>'Avg Week BUSUNJU-KAMPALA'!F61+'Avg Week KAMPALA-BUSUNJU'!F61</f>
        <v>0</v>
      </c>
      <c r="G61" s="49">
        <f>'Avg Week BUSUNJU-KAMPALA'!G61+'Avg Week KAMPALA-BUSUNJU'!G61</f>
        <v>0</v>
      </c>
      <c r="H61" s="49">
        <f>'Avg Week BUSUNJU-KAMPALA'!H61+'Avg Week KAMPALA-BUSUNJU'!H61</f>
        <v>0</v>
      </c>
      <c r="I61" s="49">
        <f>'Avg Week BUSUNJU-KAMPALA'!I61+'Avg Week KAMPALA-BUSUNJU'!I61</f>
        <v>2</v>
      </c>
      <c r="J61" s="49">
        <f>'Avg Week BUSUNJU-KAMPALA'!J61+'Avg Week KAMPALA-BUSUNJU'!J61</f>
        <v>0</v>
      </c>
      <c r="K61" s="49">
        <f>'Avg Week BUSUNJU-KAMPALA'!K61+'Avg Week KAMPALA-BUSUNJU'!K61</f>
        <v>0</v>
      </c>
      <c r="L61" s="49">
        <f>'Avg Week BUSUNJU-KAMPALA'!L61+'Avg Week KAMPALA-BUSUNJU'!L61</f>
        <v>0</v>
      </c>
      <c r="M61" s="49">
        <f>'Avg Week BUSUNJU-KAMPALA'!M61+'Avg Week KAMPALA-BUSUNJU'!M61</f>
        <v>15.5</v>
      </c>
      <c r="N61" s="49">
        <f>'Avg Week BUSUNJU-KAMPALA'!N61+'Avg Week KAMPALA-BUSUNJU'!N61</f>
        <v>0</v>
      </c>
      <c r="O61" s="15">
        <f t="shared" si="0"/>
        <v>4</v>
      </c>
      <c r="P61" s="15">
        <f t="shared" si="1"/>
        <v>19.5</v>
      </c>
      <c r="R61" s="8"/>
      <c r="T61"/>
    </row>
    <row r="62" spans="2:20" ht="23.1" customHeight="1" x14ac:dyDescent="0.25">
      <c r="B62" s="23" t="s">
        <v>107</v>
      </c>
      <c r="C62" s="49">
        <f>'Avg Week BUSUNJU-KAMPALA'!C62+'Avg Week KAMPALA-BUSUNJU'!C62</f>
        <v>1</v>
      </c>
      <c r="D62" s="49">
        <f>'Avg Week BUSUNJU-KAMPALA'!D62+'Avg Week KAMPALA-BUSUNJU'!D62</f>
        <v>0</v>
      </c>
      <c r="E62" s="49">
        <f>'Avg Week BUSUNJU-KAMPALA'!E62+'Avg Week KAMPALA-BUSUNJU'!E62</f>
        <v>0</v>
      </c>
      <c r="F62" s="49">
        <f>'Avg Week BUSUNJU-KAMPALA'!F62+'Avg Week KAMPALA-BUSUNJU'!F62</f>
        <v>0</v>
      </c>
      <c r="G62" s="49">
        <f>'Avg Week BUSUNJU-KAMPALA'!G62+'Avg Week KAMPALA-BUSUNJU'!G62</f>
        <v>0</v>
      </c>
      <c r="H62" s="49">
        <f>'Avg Week BUSUNJU-KAMPALA'!H62+'Avg Week KAMPALA-BUSUNJU'!H62</f>
        <v>0</v>
      </c>
      <c r="I62" s="49">
        <f>'Avg Week BUSUNJU-KAMPALA'!I62+'Avg Week KAMPALA-BUSUNJU'!I62</f>
        <v>1</v>
      </c>
      <c r="J62" s="49">
        <f>'Avg Week BUSUNJU-KAMPALA'!J62+'Avg Week KAMPALA-BUSUNJU'!J62</f>
        <v>0</v>
      </c>
      <c r="K62" s="49">
        <f>'Avg Week BUSUNJU-KAMPALA'!K62+'Avg Week KAMPALA-BUSUNJU'!K62</f>
        <v>0</v>
      </c>
      <c r="L62" s="49">
        <f>'Avg Week BUSUNJU-KAMPALA'!L62+'Avg Week KAMPALA-BUSUNJU'!L62</f>
        <v>0</v>
      </c>
      <c r="M62" s="49">
        <f>'Avg Week BUSUNJU-KAMPALA'!M62+'Avg Week KAMPALA-BUSUNJU'!M62</f>
        <v>15.5</v>
      </c>
      <c r="N62" s="49">
        <f>'Avg Week BUSUNJU-KAMPALA'!N62+'Avg Week KAMPALA-BUSUNJU'!N62</f>
        <v>0</v>
      </c>
      <c r="O62" s="15">
        <f t="shared" si="0"/>
        <v>2</v>
      </c>
      <c r="P62" s="15">
        <f t="shared" si="1"/>
        <v>17.5</v>
      </c>
      <c r="R62" s="8"/>
      <c r="T62"/>
    </row>
    <row r="63" spans="2:20" ht="23.1" customHeight="1" x14ac:dyDescent="0.25">
      <c r="B63" s="23" t="s">
        <v>108</v>
      </c>
      <c r="C63" s="49">
        <f>'Avg Week BUSUNJU-KAMPALA'!C63+'Avg Week KAMPALA-BUSUNJU'!C63</f>
        <v>2</v>
      </c>
      <c r="D63" s="49">
        <f>'Avg Week BUSUNJU-KAMPALA'!D63+'Avg Week KAMPALA-BUSUNJU'!D63</f>
        <v>0</v>
      </c>
      <c r="E63" s="49">
        <f>'Avg Week BUSUNJU-KAMPALA'!E63+'Avg Week KAMPALA-BUSUNJU'!E63</f>
        <v>2</v>
      </c>
      <c r="F63" s="49">
        <f>'Avg Week BUSUNJU-KAMPALA'!F63+'Avg Week KAMPALA-BUSUNJU'!F63</f>
        <v>0</v>
      </c>
      <c r="G63" s="49">
        <f>'Avg Week BUSUNJU-KAMPALA'!G63+'Avg Week KAMPALA-BUSUNJU'!G63</f>
        <v>0</v>
      </c>
      <c r="H63" s="49">
        <f>'Avg Week BUSUNJU-KAMPALA'!H63+'Avg Week KAMPALA-BUSUNJU'!H63</f>
        <v>0</v>
      </c>
      <c r="I63" s="49">
        <f>'Avg Week BUSUNJU-KAMPALA'!I63+'Avg Week KAMPALA-BUSUNJU'!I63</f>
        <v>1</v>
      </c>
      <c r="J63" s="49">
        <f>'Avg Week BUSUNJU-KAMPALA'!J63+'Avg Week KAMPALA-BUSUNJU'!J63</f>
        <v>0</v>
      </c>
      <c r="K63" s="49">
        <f>'Avg Week BUSUNJU-KAMPALA'!K63+'Avg Week KAMPALA-BUSUNJU'!K63</f>
        <v>0</v>
      </c>
      <c r="L63" s="49">
        <f>'Avg Week BUSUNJU-KAMPALA'!L63+'Avg Week KAMPALA-BUSUNJU'!L63</f>
        <v>0</v>
      </c>
      <c r="M63" s="49">
        <f>'Avg Week BUSUNJU-KAMPALA'!M63+'Avg Week KAMPALA-BUSUNJU'!M63</f>
        <v>16</v>
      </c>
      <c r="N63" s="49">
        <f>'Avg Week BUSUNJU-KAMPALA'!N63+'Avg Week KAMPALA-BUSUNJU'!N63</f>
        <v>0</v>
      </c>
      <c r="O63" s="15">
        <f t="shared" si="0"/>
        <v>5</v>
      </c>
      <c r="P63" s="15">
        <f t="shared" si="1"/>
        <v>21</v>
      </c>
      <c r="R63" s="8"/>
      <c r="T63"/>
    </row>
    <row r="64" spans="2:20" ht="23.1" customHeight="1" x14ac:dyDescent="0.25">
      <c r="B64" s="23" t="s">
        <v>109</v>
      </c>
      <c r="C64" s="49">
        <f>'Avg Week BUSUNJU-KAMPALA'!C64+'Avg Week KAMPALA-BUSUNJU'!C64</f>
        <v>1</v>
      </c>
      <c r="D64" s="49">
        <f>'Avg Week BUSUNJU-KAMPALA'!D64+'Avg Week KAMPALA-BUSUNJU'!D64</f>
        <v>0</v>
      </c>
      <c r="E64" s="49">
        <f>'Avg Week BUSUNJU-KAMPALA'!E64+'Avg Week KAMPALA-BUSUNJU'!E64</f>
        <v>1</v>
      </c>
      <c r="F64" s="49">
        <f>'Avg Week BUSUNJU-KAMPALA'!F64+'Avg Week KAMPALA-BUSUNJU'!F64</f>
        <v>0</v>
      </c>
      <c r="G64" s="49">
        <f>'Avg Week BUSUNJU-KAMPALA'!G64+'Avg Week KAMPALA-BUSUNJU'!G64</f>
        <v>0</v>
      </c>
      <c r="H64" s="49">
        <f>'Avg Week BUSUNJU-KAMPALA'!H64+'Avg Week KAMPALA-BUSUNJU'!H64</f>
        <v>0</v>
      </c>
      <c r="I64" s="49">
        <f>'Avg Week BUSUNJU-KAMPALA'!I64+'Avg Week KAMPALA-BUSUNJU'!I64</f>
        <v>1</v>
      </c>
      <c r="J64" s="49">
        <f>'Avg Week BUSUNJU-KAMPALA'!J64+'Avg Week KAMPALA-BUSUNJU'!J64</f>
        <v>0</v>
      </c>
      <c r="K64" s="49">
        <f>'Avg Week BUSUNJU-KAMPALA'!K64+'Avg Week KAMPALA-BUSUNJU'!K64</f>
        <v>0</v>
      </c>
      <c r="L64" s="49">
        <f>'Avg Week BUSUNJU-KAMPALA'!L64+'Avg Week KAMPALA-BUSUNJU'!L64</f>
        <v>0</v>
      </c>
      <c r="M64" s="49">
        <f>'Avg Week BUSUNJU-KAMPALA'!M64+'Avg Week KAMPALA-BUSUNJU'!M64</f>
        <v>19.5</v>
      </c>
      <c r="N64" s="49">
        <f>'Avg Week BUSUNJU-KAMPALA'!N64+'Avg Week KAMPALA-BUSUNJU'!N64</f>
        <v>0</v>
      </c>
      <c r="O64" s="15">
        <f t="shared" si="0"/>
        <v>3</v>
      </c>
      <c r="P64" s="15">
        <f t="shared" si="1"/>
        <v>22.5</v>
      </c>
      <c r="R64" s="8"/>
      <c r="T64"/>
    </row>
    <row r="65" spans="2:20" ht="23.1" customHeight="1" x14ac:dyDescent="0.25">
      <c r="B65" s="23" t="s">
        <v>158</v>
      </c>
      <c r="C65" s="49">
        <f>'Avg Week BUSUNJU-KAMPALA'!C65+'Avg Week KAMPALA-BUSUNJU'!C65</f>
        <v>1</v>
      </c>
      <c r="D65" s="49">
        <f>'Avg Week BUSUNJU-KAMPALA'!D65+'Avg Week KAMPALA-BUSUNJU'!D65</f>
        <v>0</v>
      </c>
      <c r="E65" s="49">
        <f>'Avg Week BUSUNJU-KAMPALA'!E65+'Avg Week KAMPALA-BUSUNJU'!E65</f>
        <v>0</v>
      </c>
      <c r="F65" s="49">
        <f>'Avg Week BUSUNJU-KAMPALA'!F65+'Avg Week KAMPALA-BUSUNJU'!F65</f>
        <v>0</v>
      </c>
      <c r="G65" s="49">
        <f>'Avg Week BUSUNJU-KAMPALA'!G65+'Avg Week KAMPALA-BUSUNJU'!G65</f>
        <v>0</v>
      </c>
      <c r="H65" s="49">
        <f>'Avg Week BUSUNJU-KAMPALA'!H65+'Avg Week KAMPALA-BUSUNJU'!H65</f>
        <v>0</v>
      </c>
      <c r="I65" s="49">
        <f>'Avg Week BUSUNJU-KAMPALA'!I65+'Avg Week KAMPALA-BUSUNJU'!I65</f>
        <v>1</v>
      </c>
      <c r="J65" s="49">
        <f>'Avg Week BUSUNJU-KAMPALA'!J65+'Avg Week KAMPALA-BUSUNJU'!J65</f>
        <v>0</v>
      </c>
      <c r="K65" s="49">
        <f>'Avg Week BUSUNJU-KAMPALA'!K65+'Avg Week KAMPALA-BUSUNJU'!K65</f>
        <v>0</v>
      </c>
      <c r="L65" s="49">
        <f>'Avg Week BUSUNJU-KAMPALA'!L65+'Avg Week KAMPALA-BUSUNJU'!L65</f>
        <v>0</v>
      </c>
      <c r="M65" s="49">
        <f>'Avg Week BUSUNJU-KAMPALA'!M65+'Avg Week KAMPALA-BUSUNJU'!M65</f>
        <v>19.5</v>
      </c>
      <c r="N65" s="49">
        <f>'Avg Week BUSUNJU-KAMPALA'!N65+'Avg Week KAMPALA-BUSUNJU'!N65</f>
        <v>0</v>
      </c>
      <c r="O65" s="15">
        <f t="shared" si="0"/>
        <v>2</v>
      </c>
      <c r="P65" s="15">
        <f t="shared" si="1"/>
        <v>21.5</v>
      </c>
      <c r="R65" s="8"/>
      <c r="T65"/>
    </row>
    <row r="66" spans="2:20" ht="23.1" customHeight="1" x14ac:dyDescent="0.25">
      <c r="B66" s="23" t="s">
        <v>103</v>
      </c>
      <c r="C66" s="49">
        <f>'Avg Week BUSUNJU-KAMPALA'!C66+'Avg Week KAMPALA-BUSUNJU'!C66</f>
        <v>1</v>
      </c>
      <c r="D66" s="49">
        <f>'Avg Week BUSUNJU-KAMPALA'!D66+'Avg Week KAMPALA-BUSUNJU'!D66</f>
        <v>0</v>
      </c>
      <c r="E66" s="49">
        <f>'Avg Week BUSUNJU-KAMPALA'!E66+'Avg Week KAMPALA-BUSUNJU'!E66</f>
        <v>1</v>
      </c>
      <c r="F66" s="49">
        <f>'Avg Week BUSUNJU-KAMPALA'!F66+'Avg Week KAMPALA-BUSUNJU'!F66</f>
        <v>0</v>
      </c>
      <c r="G66" s="49">
        <f>'Avg Week BUSUNJU-KAMPALA'!G66+'Avg Week KAMPALA-BUSUNJU'!G66</f>
        <v>0</v>
      </c>
      <c r="H66" s="49">
        <f>'Avg Week BUSUNJU-KAMPALA'!H66+'Avg Week KAMPALA-BUSUNJU'!H66</f>
        <v>0</v>
      </c>
      <c r="I66" s="49">
        <f>'Avg Week BUSUNJU-KAMPALA'!I66+'Avg Week KAMPALA-BUSUNJU'!I66</f>
        <v>1</v>
      </c>
      <c r="J66" s="49">
        <f>'Avg Week BUSUNJU-KAMPALA'!J66+'Avg Week KAMPALA-BUSUNJU'!J66</f>
        <v>0</v>
      </c>
      <c r="K66" s="49">
        <f>'Avg Week BUSUNJU-KAMPALA'!K66+'Avg Week KAMPALA-BUSUNJU'!K66</f>
        <v>0</v>
      </c>
      <c r="L66" s="49">
        <f>'Avg Week BUSUNJU-KAMPALA'!L66+'Avg Week KAMPALA-BUSUNJU'!L66</f>
        <v>0</v>
      </c>
      <c r="M66" s="49">
        <f>'Avg Week BUSUNJU-KAMPALA'!M66+'Avg Week KAMPALA-BUSUNJU'!M66</f>
        <v>20</v>
      </c>
      <c r="N66" s="49">
        <f>'Avg Week BUSUNJU-KAMPALA'!N66+'Avg Week KAMPALA-BUSUNJU'!N66</f>
        <v>0</v>
      </c>
      <c r="O66" s="15">
        <f t="shared" si="0"/>
        <v>3</v>
      </c>
      <c r="P66" s="15">
        <f t="shared" si="1"/>
        <v>23</v>
      </c>
      <c r="R66" s="8"/>
      <c r="T66"/>
    </row>
    <row r="67" spans="2:20" ht="23.1" customHeight="1" x14ac:dyDescent="0.25">
      <c r="B67" s="23" t="s">
        <v>104</v>
      </c>
      <c r="C67" s="49">
        <f>'Avg Week BUSUNJU-KAMPALA'!C67+'Avg Week KAMPALA-BUSUNJU'!C67</f>
        <v>1</v>
      </c>
      <c r="D67" s="49">
        <f>'Avg Week BUSUNJU-KAMPALA'!D67+'Avg Week KAMPALA-BUSUNJU'!D67</f>
        <v>0</v>
      </c>
      <c r="E67" s="49">
        <f>'Avg Week BUSUNJU-KAMPALA'!E67+'Avg Week KAMPALA-BUSUNJU'!E67</f>
        <v>0</v>
      </c>
      <c r="F67" s="49">
        <f>'Avg Week BUSUNJU-KAMPALA'!F67+'Avg Week KAMPALA-BUSUNJU'!F67</f>
        <v>0</v>
      </c>
      <c r="G67" s="49">
        <f>'Avg Week BUSUNJU-KAMPALA'!G67+'Avg Week KAMPALA-BUSUNJU'!G67</f>
        <v>0</v>
      </c>
      <c r="H67" s="49">
        <f>'Avg Week BUSUNJU-KAMPALA'!H67+'Avg Week KAMPALA-BUSUNJU'!H67</f>
        <v>0</v>
      </c>
      <c r="I67" s="49">
        <f>'Avg Week BUSUNJU-KAMPALA'!I67+'Avg Week KAMPALA-BUSUNJU'!I67</f>
        <v>1</v>
      </c>
      <c r="J67" s="49">
        <f>'Avg Week BUSUNJU-KAMPALA'!J67+'Avg Week KAMPALA-BUSUNJU'!J67</f>
        <v>0</v>
      </c>
      <c r="K67" s="49">
        <f>'Avg Week BUSUNJU-KAMPALA'!K67+'Avg Week KAMPALA-BUSUNJU'!K67</f>
        <v>0</v>
      </c>
      <c r="L67" s="49">
        <f>'Avg Week BUSUNJU-KAMPALA'!L67+'Avg Week KAMPALA-BUSUNJU'!L67</f>
        <v>0</v>
      </c>
      <c r="M67" s="49">
        <f>'Avg Week BUSUNJU-KAMPALA'!M67+'Avg Week KAMPALA-BUSUNJU'!M67</f>
        <v>18.5</v>
      </c>
      <c r="N67" s="49">
        <f>'Avg Week BUSUNJU-KAMPALA'!N67+'Avg Week KAMPALA-BUSUNJU'!N67</f>
        <v>0</v>
      </c>
      <c r="O67" s="15">
        <f t="shared" si="0"/>
        <v>2</v>
      </c>
      <c r="P67" s="15">
        <f t="shared" si="1"/>
        <v>20.5</v>
      </c>
      <c r="R67" s="8"/>
      <c r="T67"/>
    </row>
    <row r="68" spans="2:20" ht="23.1" customHeight="1" x14ac:dyDescent="0.25">
      <c r="B68" s="23" t="s">
        <v>105</v>
      </c>
      <c r="C68" s="49">
        <f>'Avg Week BUSUNJU-KAMPALA'!C68+'Avg Week KAMPALA-BUSUNJU'!C68</f>
        <v>0</v>
      </c>
      <c r="D68" s="49">
        <f>'Avg Week BUSUNJU-KAMPALA'!D68+'Avg Week KAMPALA-BUSUNJU'!D68</f>
        <v>0</v>
      </c>
      <c r="E68" s="49">
        <f>'Avg Week BUSUNJU-KAMPALA'!E68+'Avg Week KAMPALA-BUSUNJU'!E68</f>
        <v>0</v>
      </c>
      <c r="F68" s="49">
        <f>'Avg Week BUSUNJU-KAMPALA'!F68+'Avg Week KAMPALA-BUSUNJU'!F68</f>
        <v>0</v>
      </c>
      <c r="G68" s="49">
        <f>'Avg Week BUSUNJU-KAMPALA'!G68+'Avg Week KAMPALA-BUSUNJU'!G68</f>
        <v>0</v>
      </c>
      <c r="H68" s="49">
        <f>'Avg Week BUSUNJU-KAMPALA'!H68+'Avg Week KAMPALA-BUSUNJU'!H68</f>
        <v>0</v>
      </c>
      <c r="I68" s="49">
        <f>'Avg Week BUSUNJU-KAMPALA'!I68+'Avg Week KAMPALA-BUSUNJU'!I68</f>
        <v>2</v>
      </c>
      <c r="J68" s="49">
        <f>'Avg Week BUSUNJU-KAMPALA'!J68+'Avg Week KAMPALA-BUSUNJU'!J68</f>
        <v>0</v>
      </c>
      <c r="K68" s="49">
        <f>'Avg Week BUSUNJU-KAMPALA'!K68+'Avg Week KAMPALA-BUSUNJU'!K68</f>
        <v>0</v>
      </c>
      <c r="L68" s="49">
        <f>'Avg Week BUSUNJU-KAMPALA'!L68+'Avg Week KAMPALA-BUSUNJU'!L68</f>
        <v>0</v>
      </c>
      <c r="M68" s="49">
        <f>'Avg Week BUSUNJU-KAMPALA'!M68+'Avg Week KAMPALA-BUSUNJU'!M68</f>
        <v>18.5</v>
      </c>
      <c r="N68" s="49">
        <f>'Avg Week BUSUNJU-KAMPALA'!N68+'Avg Week KAMPALA-BUSUNJU'!N68</f>
        <v>0</v>
      </c>
      <c r="O68" s="15">
        <f t="shared" si="0"/>
        <v>2</v>
      </c>
      <c r="P68" s="15">
        <f t="shared" si="1"/>
        <v>20.5</v>
      </c>
      <c r="R68" s="8"/>
      <c r="T68"/>
    </row>
    <row r="69" spans="2:20" ht="23.1" customHeight="1" x14ac:dyDescent="0.25">
      <c r="B69" s="23" t="s">
        <v>106</v>
      </c>
      <c r="C69" s="49">
        <f>'Avg Week BUSUNJU-KAMPALA'!C69+'Avg Week KAMPALA-BUSUNJU'!C69</f>
        <v>0</v>
      </c>
      <c r="D69" s="49">
        <f>'Avg Week BUSUNJU-KAMPALA'!D69+'Avg Week KAMPALA-BUSUNJU'!D69</f>
        <v>0</v>
      </c>
      <c r="E69" s="49">
        <f>'Avg Week BUSUNJU-KAMPALA'!E69+'Avg Week KAMPALA-BUSUNJU'!E69</f>
        <v>0</v>
      </c>
      <c r="F69" s="49">
        <f>'Avg Week BUSUNJU-KAMPALA'!F69+'Avg Week KAMPALA-BUSUNJU'!F69</f>
        <v>0</v>
      </c>
      <c r="G69" s="49">
        <f>'Avg Week BUSUNJU-KAMPALA'!G69+'Avg Week KAMPALA-BUSUNJU'!G69</f>
        <v>0</v>
      </c>
      <c r="H69" s="49">
        <f>'Avg Week BUSUNJU-KAMPALA'!H69+'Avg Week KAMPALA-BUSUNJU'!H69</f>
        <v>0</v>
      </c>
      <c r="I69" s="49">
        <f>'Avg Week BUSUNJU-KAMPALA'!I69+'Avg Week KAMPALA-BUSUNJU'!I69</f>
        <v>1</v>
      </c>
      <c r="J69" s="49">
        <f>'Avg Week BUSUNJU-KAMPALA'!J69+'Avg Week KAMPALA-BUSUNJU'!J69</f>
        <v>0</v>
      </c>
      <c r="K69" s="49">
        <f>'Avg Week BUSUNJU-KAMPALA'!K69+'Avg Week KAMPALA-BUSUNJU'!K69</f>
        <v>0</v>
      </c>
      <c r="L69" s="49">
        <f>'Avg Week BUSUNJU-KAMPALA'!L69+'Avg Week KAMPALA-BUSUNJU'!L69</f>
        <v>0</v>
      </c>
      <c r="M69" s="49">
        <f>'Avg Week BUSUNJU-KAMPALA'!M69+'Avg Week KAMPALA-BUSUNJU'!M69</f>
        <v>17</v>
      </c>
      <c r="N69" s="49">
        <f>'Avg Week BUSUNJU-KAMPALA'!N69+'Avg Week KAMPALA-BUSUNJU'!N69</f>
        <v>0</v>
      </c>
      <c r="O69" s="15">
        <f t="shared" si="0"/>
        <v>1</v>
      </c>
      <c r="P69" s="15">
        <f t="shared" si="1"/>
        <v>18</v>
      </c>
      <c r="R69" s="8"/>
      <c r="T69"/>
    </row>
    <row r="70" spans="2:20" ht="23.1" customHeight="1" x14ac:dyDescent="0.25">
      <c r="B70" s="23" t="s">
        <v>110</v>
      </c>
      <c r="C70" s="49">
        <f>'Avg Week BUSUNJU-KAMPALA'!C70+'Avg Week KAMPALA-BUSUNJU'!C70</f>
        <v>1</v>
      </c>
      <c r="D70" s="49">
        <f>'Avg Week BUSUNJU-KAMPALA'!D70+'Avg Week KAMPALA-BUSUNJU'!D70</f>
        <v>0</v>
      </c>
      <c r="E70" s="49">
        <f>'Avg Week BUSUNJU-KAMPALA'!E70+'Avg Week KAMPALA-BUSUNJU'!E70</f>
        <v>0</v>
      </c>
      <c r="F70" s="49">
        <f>'Avg Week BUSUNJU-KAMPALA'!F70+'Avg Week KAMPALA-BUSUNJU'!F70</f>
        <v>0</v>
      </c>
      <c r="G70" s="49">
        <f>'Avg Week BUSUNJU-KAMPALA'!G70+'Avg Week KAMPALA-BUSUNJU'!G70</f>
        <v>0</v>
      </c>
      <c r="H70" s="49">
        <f>'Avg Week BUSUNJU-KAMPALA'!H70+'Avg Week KAMPALA-BUSUNJU'!H70</f>
        <v>0</v>
      </c>
      <c r="I70" s="49">
        <f>'Avg Week BUSUNJU-KAMPALA'!I70+'Avg Week KAMPALA-BUSUNJU'!I70</f>
        <v>1</v>
      </c>
      <c r="J70" s="49">
        <f>'Avg Week BUSUNJU-KAMPALA'!J70+'Avg Week KAMPALA-BUSUNJU'!J70</f>
        <v>0</v>
      </c>
      <c r="K70" s="49">
        <f>'Avg Week BUSUNJU-KAMPALA'!K70+'Avg Week KAMPALA-BUSUNJU'!K70</f>
        <v>0</v>
      </c>
      <c r="L70" s="49">
        <f>'Avg Week BUSUNJU-KAMPALA'!L70+'Avg Week KAMPALA-BUSUNJU'!L70</f>
        <v>0</v>
      </c>
      <c r="M70" s="49">
        <f>'Avg Week BUSUNJU-KAMPALA'!M70+'Avg Week KAMPALA-BUSUNJU'!M70</f>
        <v>16</v>
      </c>
      <c r="N70" s="49">
        <f>'Avg Week BUSUNJU-KAMPALA'!N70+'Avg Week KAMPALA-BUSUNJU'!N70</f>
        <v>0</v>
      </c>
      <c r="O70" s="15">
        <f t="shared" si="0"/>
        <v>2</v>
      </c>
      <c r="P70" s="15">
        <f t="shared" si="1"/>
        <v>18</v>
      </c>
      <c r="R70" s="8"/>
      <c r="T70"/>
    </row>
    <row r="71" spans="2:20" ht="23.1" customHeight="1" x14ac:dyDescent="0.25">
      <c r="B71" s="23" t="s">
        <v>111</v>
      </c>
      <c r="C71" s="49">
        <f>'Avg Week BUSUNJU-KAMPALA'!C71+'Avg Week KAMPALA-BUSUNJU'!C71</f>
        <v>2</v>
      </c>
      <c r="D71" s="49">
        <f>'Avg Week BUSUNJU-KAMPALA'!D71+'Avg Week KAMPALA-BUSUNJU'!D71</f>
        <v>0</v>
      </c>
      <c r="E71" s="49">
        <f>'Avg Week BUSUNJU-KAMPALA'!E71+'Avg Week KAMPALA-BUSUNJU'!E71</f>
        <v>2</v>
      </c>
      <c r="F71" s="49">
        <f>'Avg Week BUSUNJU-KAMPALA'!F71+'Avg Week KAMPALA-BUSUNJU'!F71</f>
        <v>0</v>
      </c>
      <c r="G71" s="49">
        <f>'Avg Week BUSUNJU-KAMPALA'!G71+'Avg Week KAMPALA-BUSUNJU'!G71</f>
        <v>0</v>
      </c>
      <c r="H71" s="49">
        <f>'Avg Week BUSUNJU-KAMPALA'!H71+'Avg Week KAMPALA-BUSUNJU'!H71</f>
        <v>0</v>
      </c>
      <c r="I71" s="49">
        <f>'Avg Week BUSUNJU-KAMPALA'!I71+'Avg Week KAMPALA-BUSUNJU'!I71</f>
        <v>2</v>
      </c>
      <c r="J71" s="49">
        <f>'Avg Week BUSUNJU-KAMPALA'!J71+'Avg Week KAMPALA-BUSUNJU'!J71</f>
        <v>0</v>
      </c>
      <c r="K71" s="49">
        <f>'Avg Week BUSUNJU-KAMPALA'!K71+'Avg Week KAMPALA-BUSUNJU'!K71</f>
        <v>0</v>
      </c>
      <c r="L71" s="49">
        <f>'Avg Week BUSUNJU-KAMPALA'!L71+'Avg Week KAMPALA-BUSUNJU'!L71</f>
        <v>0</v>
      </c>
      <c r="M71" s="49">
        <f>'Avg Week BUSUNJU-KAMPALA'!M71+'Avg Week KAMPALA-BUSUNJU'!M71</f>
        <v>15.5</v>
      </c>
      <c r="N71" s="49">
        <f>'Avg Week BUSUNJU-KAMPALA'!N71+'Avg Week KAMPALA-BUSUNJU'!N71</f>
        <v>0</v>
      </c>
      <c r="O71" s="15">
        <f t="shared" si="0"/>
        <v>6</v>
      </c>
      <c r="P71" s="15">
        <f t="shared" si="1"/>
        <v>21.5</v>
      </c>
      <c r="R71" s="8"/>
      <c r="T71"/>
    </row>
    <row r="72" spans="2:20" ht="23.1" customHeight="1" x14ac:dyDescent="0.25">
      <c r="B72" s="23" t="s">
        <v>112</v>
      </c>
      <c r="C72" s="49">
        <f>'Avg Week BUSUNJU-KAMPALA'!C72+'Avg Week KAMPALA-BUSUNJU'!C72</f>
        <v>0</v>
      </c>
      <c r="D72" s="49">
        <f>'Avg Week BUSUNJU-KAMPALA'!D72+'Avg Week KAMPALA-BUSUNJU'!D72</f>
        <v>0</v>
      </c>
      <c r="E72" s="49">
        <f>'Avg Week BUSUNJU-KAMPALA'!E72+'Avg Week KAMPALA-BUSUNJU'!E72</f>
        <v>1</v>
      </c>
      <c r="F72" s="49">
        <f>'Avg Week BUSUNJU-KAMPALA'!F72+'Avg Week KAMPALA-BUSUNJU'!F72</f>
        <v>0</v>
      </c>
      <c r="G72" s="49">
        <f>'Avg Week BUSUNJU-KAMPALA'!G72+'Avg Week KAMPALA-BUSUNJU'!G72</f>
        <v>1</v>
      </c>
      <c r="H72" s="49">
        <f>'Avg Week BUSUNJU-KAMPALA'!H72+'Avg Week KAMPALA-BUSUNJU'!H72</f>
        <v>0</v>
      </c>
      <c r="I72" s="49">
        <f>'Avg Week BUSUNJU-KAMPALA'!I72+'Avg Week KAMPALA-BUSUNJU'!I72</f>
        <v>2</v>
      </c>
      <c r="J72" s="49">
        <f>'Avg Week BUSUNJU-KAMPALA'!J72+'Avg Week KAMPALA-BUSUNJU'!J72</f>
        <v>0</v>
      </c>
      <c r="K72" s="49">
        <f>'Avg Week BUSUNJU-KAMPALA'!K72+'Avg Week KAMPALA-BUSUNJU'!K72</f>
        <v>0</v>
      </c>
      <c r="L72" s="49">
        <f>'Avg Week BUSUNJU-KAMPALA'!L72+'Avg Week KAMPALA-BUSUNJU'!L72</f>
        <v>0</v>
      </c>
      <c r="M72" s="49">
        <f>'Avg Week BUSUNJU-KAMPALA'!M72+'Avg Week KAMPALA-BUSUNJU'!M72</f>
        <v>16</v>
      </c>
      <c r="N72" s="49">
        <f>'Avg Week BUSUNJU-KAMPALA'!N72+'Avg Week KAMPALA-BUSUNJU'!N72</f>
        <v>0</v>
      </c>
      <c r="O72" s="15">
        <f t="shared" si="0"/>
        <v>4</v>
      </c>
      <c r="P72" s="15">
        <f t="shared" si="1"/>
        <v>20</v>
      </c>
      <c r="R72" s="8"/>
      <c r="T72"/>
    </row>
    <row r="73" spans="2:20" ht="23.1" customHeight="1" x14ac:dyDescent="0.25">
      <c r="B73" s="23" t="s">
        <v>113</v>
      </c>
      <c r="C73" s="49">
        <f>'Avg Week BUSUNJU-KAMPALA'!C73+'Avg Week KAMPALA-BUSUNJU'!C73</f>
        <v>0</v>
      </c>
      <c r="D73" s="49">
        <f>'Avg Week BUSUNJU-KAMPALA'!D73+'Avg Week KAMPALA-BUSUNJU'!D73</f>
        <v>0</v>
      </c>
      <c r="E73" s="49">
        <f>'Avg Week BUSUNJU-KAMPALA'!E73+'Avg Week KAMPALA-BUSUNJU'!E73</f>
        <v>1</v>
      </c>
      <c r="F73" s="49">
        <f>'Avg Week BUSUNJU-KAMPALA'!F73+'Avg Week KAMPALA-BUSUNJU'!F73</f>
        <v>0</v>
      </c>
      <c r="G73" s="49">
        <f>'Avg Week BUSUNJU-KAMPALA'!G73+'Avg Week KAMPALA-BUSUNJU'!G73</f>
        <v>0</v>
      </c>
      <c r="H73" s="49">
        <f>'Avg Week BUSUNJU-KAMPALA'!H73+'Avg Week KAMPALA-BUSUNJU'!H73</f>
        <v>0</v>
      </c>
      <c r="I73" s="49">
        <f>'Avg Week BUSUNJU-KAMPALA'!I73+'Avg Week KAMPALA-BUSUNJU'!I73</f>
        <v>2</v>
      </c>
      <c r="J73" s="49">
        <f>'Avg Week BUSUNJU-KAMPALA'!J73+'Avg Week KAMPALA-BUSUNJU'!J73</f>
        <v>0</v>
      </c>
      <c r="K73" s="49">
        <f>'Avg Week BUSUNJU-KAMPALA'!K73+'Avg Week KAMPALA-BUSUNJU'!K73</f>
        <v>0</v>
      </c>
      <c r="L73" s="49">
        <f>'Avg Week BUSUNJU-KAMPALA'!L73+'Avg Week KAMPALA-BUSUNJU'!L73</f>
        <v>0</v>
      </c>
      <c r="M73" s="49">
        <f>'Avg Week BUSUNJU-KAMPALA'!M73+'Avg Week KAMPALA-BUSUNJU'!M73</f>
        <v>15</v>
      </c>
      <c r="N73" s="49">
        <f>'Avg Week BUSUNJU-KAMPALA'!N73+'Avg Week KAMPALA-BUSUNJU'!N73</f>
        <v>0</v>
      </c>
      <c r="O73" s="15">
        <f t="shared" si="0"/>
        <v>3</v>
      </c>
      <c r="P73" s="15">
        <f t="shared" si="1"/>
        <v>18</v>
      </c>
      <c r="R73" s="8"/>
      <c r="T73"/>
    </row>
    <row r="74" spans="2:20" ht="23.1" customHeight="1" x14ac:dyDescent="0.25">
      <c r="B74" s="23" t="s">
        <v>114</v>
      </c>
      <c r="C74" s="49">
        <f>'Avg Week BUSUNJU-KAMPALA'!C74+'Avg Week KAMPALA-BUSUNJU'!C74</f>
        <v>2</v>
      </c>
      <c r="D74" s="49">
        <f>'Avg Week BUSUNJU-KAMPALA'!D74+'Avg Week KAMPALA-BUSUNJU'!D74</f>
        <v>0</v>
      </c>
      <c r="E74" s="49">
        <f>'Avg Week BUSUNJU-KAMPALA'!E74+'Avg Week KAMPALA-BUSUNJU'!E74</f>
        <v>2</v>
      </c>
      <c r="F74" s="49">
        <f>'Avg Week BUSUNJU-KAMPALA'!F74+'Avg Week KAMPALA-BUSUNJU'!F74</f>
        <v>0</v>
      </c>
      <c r="G74" s="49">
        <f>'Avg Week BUSUNJU-KAMPALA'!G74+'Avg Week KAMPALA-BUSUNJU'!G74</f>
        <v>0</v>
      </c>
      <c r="H74" s="49">
        <f>'Avg Week BUSUNJU-KAMPALA'!H74+'Avg Week KAMPALA-BUSUNJU'!H74</f>
        <v>0</v>
      </c>
      <c r="I74" s="49">
        <f>'Avg Week BUSUNJU-KAMPALA'!I74+'Avg Week KAMPALA-BUSUNJU'!I74</f>
        <v>2</v>
      </c>
      <c r="J74" s="49">
        <f>'Avg Week BUSUNJU-KAMPALA'!J74+'Avg Week KAMPALA-BUSUNJU'!J74</f>
        <v>0</v>
      </c>
      <c r="K74" s="49">
        <f>'Avg Week BUSUNJU-KAMPALA'!K74+'Avg Week KAMPALA-BUSUNJU'!K74</f>
        <v>0</v>
      </c>
      <c r="L74" s="49">
        <f>'Avg Week BUSUNJU-KAMPALA'!L74+'Avg Week KAMPALA-BUSUNJU'!L74</f>
        <v>0</v>
      </c>
      <c r="M74" s="49">
        <f>'Avg Week BUSUNJU-KAMPALA'!M74+'Avg Week KAMPALA-BUSUNJU'!M74</f>
        <v>14.5</v>
      </c>
      <c r="N74" s="49">
        <f>'Avg Week BUSUNJU-KAMPALA'!N74+'Avg Week KAMPALA-BUSUNJU'!N74</f>
        <v>0</v>
      </c>
      <c r="O74" s="15">
        <f t="shared" ref="O74:O105" si="34">SUM(C74:L74,N74)</f>
        <v>6</v>
      </c>
      <c r="P74" s="15">
        <f t="shared" ref="P74:P105" si="35">SUM(C74:N74)</f>
        <v>20.5</v>
      </c>
      <c r="R74" s="8"/>
      <c r="T74"/>
    </row>
    <row r="75" spans="2:20" ht="23.1" customHeight="1" x14ac:dyDescent="0.25">
      <c r="B75" s="23" t="s">
        <v>115</v>
      </c>
      <c r="C75" s="49">
        <f>'Avg Week BUSUNJU-KAMPALA'!C75+'Avg Week KAMPALA-BUSUNJU'!C75</f>
        <v>2.5</v>
      </c>
      <c r="D75" s="49">
        <f>'Avg Week BUSUNJU-KAMPALA'!D75+'Avg Week KAMPALA-BUSUNJU'!D75</f>
        <v>0</v>
      </c>
      <c r="E75" s="49">
        <f>'Avg Week BUSUNJU-KAMPALA'!E75+'Avg Week KAMPALA-BUSUNJU'!E75</f>
        <v>1</v>
      </c>
      <c r="F75" s="49">
        <f>'Avg Week BUSUNJU-KAMPALA'!F75+'Avg Week KAMPALA-BUSUNJU'!F75</f>
        <v>0</v>
      </c>
      <c r="G75" s="49">
        <f>'Avg Week BUSUNJU-KAMPALA'!G75+'Avg Week KAMPALA-BUSUNJU'!G75</f>
        <v>0</v>
      </c>
      <c r="H75" s="49">
        <f>'Avg Week BUSUNJU-KAMPALA'!H75+'Avg Week KAMPALA-BUSUNJU'!H75</f>
        <v>0</v>
      </c>
      <c r="I75" s="49">
        <f>'Avg Week BUSUNJU-KAMPALA'!I75+'Avg Week KAMPALA-BUSUNJU'!I75</f>
        <v>1</v>
      </c>
      <c r="J75" s="49">
        <f>'Avg Week BUSUNJU-KAMPALA'!J75+'Avg Week KAMPALA-BUSUNJU'!J75</f>
        <v>0</v>
      </c>
      <c r="K75" s="49">
        <f>'Avg Week BUSUNJU-KAMPALA'!K75+'Avg Week KAMPALA-BUSUNJU'!K75</f>
        <v>0</v>
      </c>
      <c r="L75" s="49">
        <f>'Avg Week BUSUNJU-KAMPALA'!L75+'Avg Week KAMPALA-BUSUNJU'!L75</f>
        <v>0</v>
      </c>
      <c r="M75" s="49">
        <f>'Avg Week BUSUNJU-KAMPALA'!M75+'Avg Week KAMPALA-BUSUNJU'!M75</f>
        <v>16</v>
      </c>
      <c r="N75" s="49">
        <f>'Avg Week BUSUNJU-KAMPALA'!N75+'Avg Week KAMPALA-BUSUNJU'!N75</f>
        <v>0</v>
      </c>
      <c r="O75" s="15">
        <f t="shared" si="34"/>
        <v>4.5</v>
      </c>
      <c r="P75" s="15">
        <f t="shared" si="35"/>
        <v>20.5</v>
      </c>
      <c r="R75" s="8"/>
      <c r="T75"/>
    </row>
    <row r="76" spans="2:20" ht="23.1" customHeight="1" x14ac:dyDescent="0.25">
      <c r="B76" s="23" t="s">
        <v>116</v>
      </c>
      <c r="C76" s="49">
        <f>'Avg Week BUSUNJU-KAMPALA'!C76+'Avg Week KAMPALA-BUSUNJU'!C76</f>
        <v>2</v>
      </c>
      <c r="D76" s="49">
        <f>'Avg Week BUSUNJU-KAMPALA'!D76+'Avg Week KAMPALA-BUSUNJU'!D76</f>
        <v>0</v>
      </c>
      <c r="E76" s="49">
        <f>'Avg Week BUSUNJU-KAMPALA'!E76+'Avg Week KAMPALA-BUSUNJU'!E76</f>
        <v>1</v>
      </c>
      <c r="F76" s="49">
        <f>'Avg Week BUSUNJU-KAMPALA'!F76+'Avg Week KAMPALA-BUSUNJU'!F76</f>
        <v>0</v>
      </c>
      <c r="G76" s="49">
        <f>'Avg Week BUSUNJU-KAMPALA'!G76+'Avg Week KAMPALA-BUSUNJU'!G76</f>
        <v>0</v>
      </c>
      <c r="H76" s="49">
        <f>'Avg Week BUSUNJU-KAMPALA'!H76+'Avg Week KAMPALA-BUSUNJU'!H76</f>
        <v>0</v>
      </c>
      <c r="I76" s="49">
        <f>'Avg Week BUSUNJU-KAMPALA'!I76+'Avg Week KAMPALA-BUSUNJU'!I76</f>
        <v>1</v>
      </c>
      <c r="J76" s="49">
        <f>'Avg Week BUSUNJU-KAMPALA'!J76+'Avg Week KAMPALA-BUSUNJU'!J76</f>
        <v>0</v>
      </c>
      <c r="K76" s="49">
        <f>'Avg Week BUSUNJU-KAMPALA'!K76+'Avg Week KAMPALA-BUSUNJU'!K76</f>
        <v>0</v>
      </c>
      <c r="L76" s="49">
        <f>'Avg Week BUSUNJU-KAMPALA'!L76+'Avg Week KAMPALA-BUSUNJU'!L76</f>
        <v>0</v>
      </c>
      <c r="M76" s="49">
        <f>'Avg Week BUSUNJU-KAMPALA'!M76+'Avg Week KAMPALA-BUSUNJU'!M76</f>
        <v>15.5</v>
      </c>
      <c r="N76" s="49">
        <f>'Avg Week BUSUNJU-KAMPALA'!N76+'Avg Week KAMPALA-BUSUNJU'!N76</f>
        <v>0</v>
      </c>
      <c r="O76" s="15">
        <f t="shared" si="34"/>
        <v>4</v>
      </c>
      <c r="P76" s="15">
        <f t="shared" si="35"/>
        <v>19.5</v>
      </c>
      <c r="R76" s="8"/>
      <c r="T76"/>
    </row>
    <row r="77" spans="2:20" ht="23.1" customHeight="1" x14ac:dyDescent="0.25">
      <c r="B77" s="23" t="s">
        <v>117</v>
      </c>
      <c r="C77" s="49">
        <f>'Avg Week BUSUNJU-KAMPALA'!C77+'Avg Week KAMPALA-BUSUNJU'!C77</f>
        <v>1</v>
      </c>
      <c r="D77" s="49">
        <f>'Avg Week BUSUNJU-KAMPALA'!D77+'Avg Week KAMPALA-BUSUNJU'!D77</f>
        <v>0</v>
      </c>
      <c r="E77" s="49">
        <f>'Avg Week BUSUNJU-KAMPALA'!E77+'Avg Week KAMPALA-BUSUNJU'!E77</f>
        <v>1</v>
      </c>
      <c r="F77" s="49">
        <f>'Avg Week BUSUNJU-KAMPALA'!F77+'Avg Week KAMPALA-BUSUNJU'!F77</f>
        <v>0</v>
      </c>
      <c r="G77" s="49">
        <f>'Avg Week BUSUNJU-KAMPALA'!G77+'Avg Week KAMPALA-BUSUNJU'!G77</f>
        <v>0</v>
      </c>
      <c r="H77" s="49">
        <f>'Avg Week BUSUNJU-KAMPALA'!H77+'Avg Week KAMPALA-BUSUNJU'!H77</f>
        <v>0</v>
      </c>
      <c r="I77" s="49">
        <f>'Avg Week BUSUNJU-KAMPALA'!I77+'Avg Week KAMPALA-BUSUNJU'!I77</f>
        <v>1</v>
      </c>
      <c r="J77" s="49">
        <f>'Avg Week BUSUNJU-KAMPALA'!J77+'Avg Week KAMPALA-BUSUNJU'!J77</f>
        <v>0</v>
      </c>
      <c r="K77" s="49">
        <f>'Avg Week BUSUNJU-KAMPALA'!K77+'Avg Week KAMPALA-BUSUNJU'!K77</f>
        <v>0</v>
      </c>
      <c r="L77" s="49">
        <f>'Avg Week BUSUNJU-KAMPALA'!L77+'Avg Week KAMPALA-BUSUNJU'!L77</f>
        <v>0</v>
      </c>
      <c r="M77" s="49">
        <f>'Avg Week BUSUNJU-KAMPALA'!M77+'Avg Week KAMPALA-BUSUNJU'!M77</f>
        <v>12.5</v>
      </c>
      <c r="N77" s="49">
        <f>'Avg Week BUSUNJU-KAMPALA'!N77+'Avg Week KAMPALA-BUSUNJU'!N77</f>
        <v>0</v>
      </c>
      <c r="O77" s="15">
        <f t="shared" si="34"/>
        <v>3</v>
      </c>
      <c r="P77" s="15">
        <f t="shared" si="35"/>
        <v>15.5</v>
      </c>
      <c r="R77" s="8"/>
      <c r="T77"/>
    </row>
    <row r="78" spans="2:20" ht="23.1" customHeight="1" x14ac:dyDescent="0.25">
      <c r="B78" s="24" t="s">
        <v>118</v>
      </c>
      <c r="C78" s="49">
        <f>'Avg Week BUSUNJU-KAMPALA'!C78+'Avg Week KAMPALA-BUSUNJU'!C78</f>
        <v>2</v>
      </c>
      <c r="D78" s="49">
        <f>'Avg Week BUSUNJU-KAMPALA'!D78+'Avg Week KAMPALA-BUSUNJU'!D78</f>
        <v>0</v>
      </c>
      <c r="E78" s="49">
        <f>'Avg Week BUSUNJU-KAMPALA'!E78+'Avg Week KAMPALA-BUSUNJU'!E78</f>
        <v>1</v>
      </c>
      <c r="F78" s="49">
        <f>'Avg Week BUSUNJU-KAMPALA'!F78+'Avg Week KAMPALA-BUSUNJU'!F78</f>
        <v>0</v>
      </c>
      <c r="G78" s="49">
        <f>'Avg Week BUSUNJU-KAMPALA'!G78+'Avg Week KAMPALA-BUSUNJU'!G78</f>
        <v>0</v>
      </c>
      <c r="H78" s="49">
        <f>'Avg Week BUSUNJU-KAMPALA'!H78+'Avg Week KAMPALA-BUSUNJU'!H78</f>
        <v>0</v>
      </c>
      <c r="I78" s="49">
        <f>'Avg Week BUSUNJU-KAMPALA'!I78+'Avg Week KAMPALA-BUSUNJU'!I78</f>
        <v>1</v>
      </c>
      <c r="J78" s="49">
        <f>'Avg Week BUSUNJU-KAMPALA'!J78+'Avg Week KAMPALA-BUSUNJU'!J78</f>
        <v>0</v>
      </c>
      <c r="K78" s="49">
        <f>'Avg Week BUSUNJU-KAMPALA'!K78+'Avg Week KAMPALA-BUSUNJU'!K78</f>
        <v>0</v>
      </c>
      <c r="L78" s="49">
        <f>'Avg Week BUSUNJU-KAMPALA'!L78+'Avg Week KAMPALA-BUSUNJU'!L78</f>
        <v>0</v>
      </c>
      <c r="M78" s="49">
        <f>'Avg Week BUSUNJU-KAMPALA'!M78+'Avg Week KAMPALA-BUSUNJU'!M78</f>
        <v>13.5</v>
      </c>
      <c r="N78" s="49">
        <f>'Avg Week BUSUNJU-KAMPALA'!N78+'Avg Week KAMPALA-BUSUNJU'!N78</f>
        <v>0</v>
      </c>
      <c r="O78" s="15">
        <f t="shared" si="34"/>
        <v>4</v>
      </c>
      <c r="P78" s="15">
        <f t="shared" si="35"/>
        <v>17.5</v>
      </c>
      <c r="R78" s="8"/>
      <c r="T78"/>
    </row>
    <row r="79" spans="2:20" ht="23.1" customHeight="1" x14ac:dyDescent="0.25">
      <c r="B79" s="23" t="s">
        <v>119</v>
      </c>
      <c r="C79" s="49">
        <f>'Avg Week BUSUNJU-KAMPALA'!C79+'Avg Week KAMPALA-BUSUNJU'!C79</f>
        <v>0</v>
      </c>
      <c r="D79" s="49">
        <f>'Avg Week BUSUNJU-KAMPALA'!D79+'Avg Week KAMPALA-BUSUNJU'!D79</f>
        <v>0</v>
      </c>
      <c r="E79" s="49">
        <f>'Avg Week BUSUNJU-KAMPALA'!E79+'Avg Week KAMPALA-BUSUNJU'!E79</f>
        <v>1</v>
      </c>
      <c r="F79" s="49">
        <f>'Avg Week BUSUNJU-KAMPALA'!F79+'Avg Week KAMPALA-BUSUNJU'!F79</f>
        <v>0</v>
      </c>
      <c r="G79" s="49">
        <f>'Avg Week BUSUNJU-KAMPALA'!G79+'Avg Week KAMPALA-BUSUNJU'!G79</f>
        <v>0</v>
      </c>
      <c r="H79" s="49">
        <f>'Avg Week BUSUNJU-KAMPALA'!H79+'Avg Week KAMPALA-BUSUNJU'!H79</f>
        <v>0</v>
      </c>
      <c r="I79" s="49">
        <f>'Avg Week BUSUNJU-KAMPALA'!I79+'Avg Week KAMPALA-BUSUNJU'!I79</f>
        <v>2</v>
      </c>
      <c r="J79" s="49">
        <f>'Avg Week BUSUNJU-KAMPALA'!J79+'Avg Week KAMPALA-BUSUNJU'!J79</f>
        <v>0</v>
      </c>
      <c r="K79" s="49">
        <f>'Avg Week BUSUNJU-KAMPALA'!K79+'Avg Week KAMPALA-BUSUNJU'!K79</f>
        <v>0</v>
      </c>
      <c r="L79" s="49">
        <f>'Avg Week BUSUNJU-KAMPALA'!L79+'Avg Week KAMPALA-BUSUNJU'!L79</f>
        <v>0</v>
      </c>
      <c r="M79" s="49">
        <f>'Avg Week BUSUNJU-KAMPALA'!M79+'Avg Week KAMPALA-BUSUNJU'!M79</f>
        <v>10.5</v>
      </c>
      <c r="N79" s="49">
        <f>'Avg Week BUSUNJU-KAMPALA'!N79+'Avg Week KAMPALA-BUSUNJU'!N79</f>
        <v>0</v>
      </c>
      <c r="O79" s="15">
        <f t="shared" si="34"/>
        <v>3</v>
      </c>
      <c r="P79" s="15">
        <f t="shared" si="35"/>
        <v>13.5</v>
      </c>
      <c r="R79" s="8"/>
      <c r="T79"/>
    </row>
    <row r="80" spans="2:20" ht="23.1" customHeight="1" x14ac:dyDescent="0.25">
      <c r="B80" s="25" t="s">
        <v>120</v>
      </c>
      <c r="C80" s="49">
        <f>'Avg Week BUSUNJU-KAMPALA'!C80+'Avg Week KAMPALA-BUSUNJU'!C80</f>
        <v>0</v>
      </c>
      <c r="D80" s="49">
        <f>'Avg Week BUSUNJU-KAMPALA'!D80+'Avg Week KAMPALA-BUSUNJU'!D80</f>
        <v>0</v>
      </c>
      <c r="E80" s="49">
        <f>'Avg Week BUSUNJU-KAMPALA'!E80+'Avg Week KAMPALA-BUSUNJU'!E80</f>
        <v>0</v>
      </c>
      <c r="F80" s="49">
        <f>'Avg Week BUSUNJU-KAMPALA'!F80+'Avg Week KAMPALA-BUSUNJU'!F80</f>
        <v>0</v>
      </c>
      <c r="G80" s="49">
        <f>'Avg Week BUSUNJU-KAMPALA'!G80+'Avg Week KAMPALA-BUSUNJU'!G80</f>
        <v>0</v>
      </c>
      <c r="H80" s="49">
        <f>'Avg Week BUSUNJU-KAMPALA'!H80+'Avg Week KAMPALA-BUSUNJU'!H80</f>
        <v>0</v>
      </c>
      <c r="I80" s="49">
        <f>'Avg Week BUSUNJU-KAMPALA'!I80+'Avg Week KAMPALA-BUSUNJU'!I80</f>
        <v>1</v>
      </c>
      <c r="J80" s="49">
        <f>'Avg Week BUSUNJU-KAMPALA'!J80+'Avg Week KAMPALA-BUSUNJU'!J80</f>
        <v>0</v>
      </c>
      <c r="K80" s="49">
        <f>'Avg Week BUSUNJU-KAMPALA'!K80+'Avg Week KAMPALA-BUSUNJU'!K80</f>
        <v>0</v>
      </c>
      <c r="L80" s="49">
        <f>'Avg Week BUSUNJU-KAMPALA'!L80+'Avg Week KAMPALA-BUSUNJU'!L80</f>
        <v>0</v>
      </c>
      <c r="M80" s="49">
        <f>'Avg Week BUSUNJU-KAMPALA'!M80+'Avg Week KAMPALA-BUSUNJU'!M80</f>
        <v>9</v>
      </c>
      <c r="N80" s="49">
        <f>'Avg Week BUSUNJU-KAMPALA'!N80+'Avg Week KAMPALA-BUSUNJU'!N80</f>
        <v>0</v>
      </c>
      <c r="O80" s="15">
        <f t="shared" si="34"/>
        <v>1</v>
      </c>
      <c r="P80" s="15">
        <f t="shared" si="35"/>
        <v>10</v>
      </c>
      <c r="R80" s="8"/>
      <c r="T80"/>
    </row>
    <row r="81" spans="2:20" ht="23.1" customHeight="1" x14ac:dyDescent="0.25">
      <c r="B81" s="23" t="s">
        <v>121</v>
      </c>
      <c r="C81" s="49">
        <f>'Avg Week BUSUNJU-KAMPALA'!C81+'Avg Week KAMPALA-BUSUNJU'!C81</f>
        <v>0</v>
      </c>
      <c r="D81" s="49">
        <f>'Avg Week BUSUNJU-KAMPALA'!D81+'Avg Week KAMPALA-BUSUNJU'!D81</f>
        <v>0</v>
      </c>
      <c r="E81" s="49">
        <f>'Avg Week BUSUNJU-KAMPALA'!E81+'Avg Week KAMPALA-BUSUNJU'!E81</f>
        <v>1</v>
      </c>
      <c r="F81" s="49">
        <f>'Avg Week BUSUNJU-KAMPALA'!F81+'Avg Week KAMPALA-BUSUNJU'!F81</f>
        <v>0</v>
      </c>
      <c r="G81" s="49">
        <f>'Avg Week BUSUNJU-KAMPALA'!G81+'Avg Week KAMPALA-BUSUNJU'!G81</f>
        <v>0</v>
      </c>
      <c r="H81" s="49">
        <f>'Avg Week BUSUNJU-KAMPALA'!H81+'Avg Week KAMPALA-BUSUNJU'!H81</f>
        <v>0</v>
      </c>
      <c r="I81" s="49">
        <f>'Avg Week BUSUNJU-KAMPALA'!I81+'Avg Week KAMPALA-BUSUNJU'!I81</f>
        <v>0</v>
      </c>
      <c r="J81" s="49">
        <f>'Avg Week BUSUNJU-KAMPALA'!J81+'Avg Week KAMPALA-BUSUNJU'!J81</f>
        <v>0</v>
      </c>
      <c r="K81" s="49">
        <f>'Avg Week BUSUNJU-KAMPALA'!K81+'Avg Week KAMPALA-BUSUNJU'!K81</f>
        <v>0</v>
      </c>
      <c r="L81" s="49">
        <f>'Avg Week BUSUNJU-KAMPALA'!L81+'Avg Week KAMPALA-BUSUNJU'!L81</f>
        <v>0</v>
      </c>
      <c r="M81" s="49">
        <f>'Avg Week BUSUNJU-KAMPALA'!M81+'Avg Week KAMPALA-BUSUNJU'!M81</f>
        <v>10</v>
      </c>
      <c r="N81" s="49">
        <f>'Avg Week BUSUNJU-KAMPALA'!N81+'Avg Week KAMPALA-BUSUNJU'!N81</f>
        <v>0</v>
      </c>
      <c r="O81" s="15">
        <f t="shared" si="34"/>
        <v>1</v>
      </c>
      <c r="P81" s="15">
        <f t="shared" si="35"/>
        <v>11</v>
      </c>
      <c r="R81" s="8"/>
      <c r="T81"/>
    </row>
    <row r="82" spans="2:20" ht="23.1" customHeight="1" x14ac:dyDescent="0.25">
      <c r="B82" s="24" t="s">
        <v>122</v>
      </c>
      <c r="C82" s="49">
        <f>'Avg Week BUSUNJU-KAMPALA'!C82+'Avg Week KAMPALA-BUSUNJU'!C82</f>
        <v>1</v>
      </c>
      <c r="D82" s="49">
        <f>'Avg Week BUSUNJU-KAMPALA'!D82+'Avg Week KAMPALA-BUSUNJU'!D82</f>
        <v>0</v>
      </c>
      <c r="E82" s="49">
        <f>'Avg Week BUSUNJU-KAMPALA'!E82+'Avg Week KAMPALA-BUSUNJU'!E82</f>
        <v>0</v>
      </c>
      <c r="F82" s="49">
        <f>'Avg Week BUSUNJU-KAMPALA'!F82+'Avg Week KAMPALA-BUSUNJU'!F82</f>
        <v>0</v>
      </c>
      <c r="G82" s="49">
        <f>'Avg Week BUSUNJU-KAMPALA'!G82+'Avg Week KAMPALA-BUSUNJU'!G82</f>
        <v>0</v>
      </c>
      <c r="H82" s="49">
        <f>'Avg Week BUSUNJU-KAMPALA'!H82+'Avg Week KAMPALA-BUSUNJU'!H82</f>
        <v>0</v>
      </c>
      <c r="I82" s="49">
        <f>'Avg Week BUSUNJU-KAMPALA'!I82+'Avg Week KAMPALA-BUSUNJU'!I82</f>
        <v>1</v>
      </c>
      <c r="J82" s="49">
        <f>'Avg Week BUSUNJU-KAMPALA'!J82+'Avg Week KAMPALA-BUSUNJU'!J82</f>
        <v>0</v>
      </c>
      <c r="K82" s="49">
        <f>'Avg Week BUSUNJU-KAMPALA'!K82+'Avg Week KAMPALA-BUSUNJU'!K82</f>
        <v>0</v>
      </c>
      <c r="L82" s="49">
        <f>'Avg Week BUSUNJU-KAMPALA'!L82+'Avg Week KAMPALA-BUSUNJU'!L82</f>
        <v>0</v>
      </c>
      <c r="M82" s="49">
        <f>'Avg Week BUSUNJU-KAMPALA'!M82+'Avg Week KAMPALA-BUSUNJU'!M82</f>
        <v>8</v>
      </c>
      <c r="N82" s="49">
        <f>'Avg Week BUSUNJU-KAMPALA'!N82+'Avg Week KAMPALA-BUSUNJU'!N82</f>
        <v>0</v>
      </c>
      <c r="O82" s="15">
        <f t="shared" si="34"/>
        <v>2</v>
      </c>
      <c r="P82" s="15">
        <f t="shared" si="35"/>
        <v>10</v>
      </c>
      <c r="R82" s="8"/>
      <c r="T82"/>
    </row>
    <row r="83" spans="2:20" ht="23.1" customHeight="1" x14ac:dyDescent="0.25">
      <c r="B83" s="23" t="s">
        <v>123</v>
      </c>
      <c r="C83" s="49">
        <f>'Avg Week BUSUNJU-KAMPALA'!C83+'Avg Week KAMPALA-BUSUNJU'!C83</f>
        <v>0</v>
      </c>
      <c r="D83" s="49">
        <f>'Avg Week BUSUNJU-KAMPALA'!D83+'Avg Week KAMPALA-BUSUNJU'!D83</f>
        <v>0</v>
      </c>
      <c r="E83" s="49">
        <f>'Avg Week BUSUNJU-KAMPALA'!E83+'Avg Week KAMPALA-BUSUNJU'!E83</f>
        <v>0</v>
      </c>
      <c r="F83" s="49">
        <f>'Avg Week BUSUNJU-KAMPALA'!F83+'Avg Week KAMPALA-BUSUNJU'!F83</f>
        <v>0</v>
      </c>
      <c r="G83" s="49">
        <f>'Avg Week BUSUNJU-KAMPALA'!G83+'Avg Week KAMPALA-BUSUNJU'!G83</f>
        <v>0</v>
      </c>
      <c r="H83" s="49">
        <f>'Avg Week BUSUNJU-KAMPALA'!H83+'Avg Week KAMPALA-BUSUNJU'!H83</f>
        <v>0</v>
      </c>
      <c r="I83" s="49">
        <f>'Avg Week BUSUNJU-KAMPALA'!I83+'Avg Week KAMPALA-BUSUNJU'!I83</f>
        <v>0</v>
      </c>
      <c r="J83" s="49">
        <f>'Avg Week BUSUNJU-KAMPALA'!J83+'Avg Week KAMPALA-BUSUNJU'!J83</f>
        <v>0</v>
      </c>
      <c r="K83" s="49">
        <f>'Avg Week BUSUNJU-KAMPALA'!K83+'Avg Week KAMPALA-BUSUNJU'!K83</f>
        <v>0</v>
      </c>
      <c r="L83" s="49">
        <f>'Avg Week BUSUNJU-KAMPALA'!L83+'Avg Week KAMPALA-BUSUNJU'!L83</f>
        <v>0</v>
      </c>
      <c r="M83" s="49">
        <f>'Avg Week BUSUNJU-KAMPALA'!M83+'Avg Week KAMPALA-BUSUNJU'!M83</f>
        <v>8</v>
      </c>
      <c r="N83" s="49">
        <f>'Avg Week BUSUNJU-KAMPALA'!N83+'Avg Week KAMPALA-BUSUNJU'!N83</f>
        <v>0</v>
      </c>
      <c r="O83" s="15">
        <f t="shared" si="34"/>
        <v>0</v>
      </c>
      <c r="P83" s="15">
        <f t="shared" si="35"/>
        <v>8</v>
      </c>
      <c r="R83" s="8"/>
      <c r="T83"/>
    </row>
    <row r="84" spans="2:20" ht="23.1" customHeight="1" x14ac:dyDescent="0.25">
      <c r="B84" s="25" t="s">
        <v>124</v>
      </c>
      <c r="C84" s="49">
        <f>'Avg Week BUSUNJU-KAMPALA'!C84+'Avg Week KAMPALA-BUSUNJU'!C84</f>
        <v>0</v>
      </c>
      <c r="D84" s="49">
        <f>'Avg Week BUSUNJU-KAMPALA'!D84+'Avg Week KAMPALA-BUSUNJU'!D84</f>
        <v>0</v>
      </c>
      <c r="E84" s="49">
        <f>'Avg Week BUSUNJU-KAMPALA'!E84+'Avg Week KAMPALA-BUSUNJU'!E84</f>
        <v>0</v>
      </c>
      <c r="F84" s="49">
        <f>'Avg Week BUSUNJU-KAMPALA'!F84+'Avg Week KAMPALA-BUSUNJU'!F84</f>
        <v>0</v>
      </c>
      <c r="G84" s="49">
        <f>'Avg Week BUSUNJU-KAMPALA'!G84+'Avg Week KAMPALA-BUSUNJU'!G84</f>
        <v>0</v>
      </c>
      <c r="H84" s="49">
        <f>'Avg Week BUSUNJU-KAMPALA'!H84+'Avg Week KAMPALA-BUSUNJU'!H84</f>
        <v>0</v>
      </c>
      <c r="I84" s="49">
        <f>'Avg Week BUSUNJU-KAMPALA'!I84+'Avg Week KAMPALA-BUSUNJU'!I84</f>
        <v>1</v>
      </c>
      <c r="J84" s="49">
        <f>'Avg Week BUSUNJU-KAMPALA'!J84+'Avg Week KAMPALA-BUSUNJU'!J84</f>
        <v>0</v>
      </c>
      <c r="K84" s="49">
        <f>'Avg Week BUSUNJU-KAMPALA'!K84+'Avg Week KAMPALA-BUSUNJU'!K84</f>
        <v>0</v>
      </c>
      <c r="L84" s="49">
        <f>'Avg Week BUSUNJU-KAMPALA'!L84+'Avg Week KAMPALA-BUSUNJU'!L84</f>
        <v>0</v>
      </c>
      <c r="M84" s="49">
        <f>'Avg Week BUSUNJU-KAMPALA'!M84+'Avg Week KAMPALA-BUSUNJU'!M84</f>
        <v>8</v>
      </c>
      <c r="N84" s="49">
        <f>'Avg Week BUSUNJU-KAMPALA'!N84+'Avg Week KAMPALA-BUSUNJU'!N84</f>
        <v>0</v>
      </c>
      <c r="O84" s="15">
        <f t="shared" si="34"/>
        <v>1</v>
      </c>
      <c r="P84" s="15">
        <f t="shared" si="35"/>
        <v>9</v>
      </c>
      <c r="R84" s="8"/>
      <c r="T84"/>
    </row>
    <row r="85" spans="2:20" ht="23.1" customHeight="1" x14ac:dyDescent="0.25">
      <c r="B85" s="23" t="s">
        <v>125</v>
      </c>
      <c r="C85" s="49">
        <f>'Avg Week BUSUNJU-KAMPALA'!C85+'Avg Week KAMPALA-BUSUNJU'!C85</f>
        <v>1</v>
      </c>
      <c r="D85" s="49">
        <f>'Avg Week BUSUNJU-KAMPALA'!D85+'Avg Week KAMPALA-BUSUNJU'!D85</f>
        <v>0</v>
      </c>
      <c r="E85" s="49">
        <f>'Avg Week BUSUNJU-KAMPALA'!E85+'Avg Week KAMPALA-BUSUNJU'!E85</f>
        <v>0</v>
      </c>
      <c r="F85" s="49">
        <f>'Avg Week BUSUNJU-KAMPALA'!F85+'Avg Week KAMPALA-BUSUNJU'!F85</f>
        <v>0</v>
      </c>
      <c r="G85" s="49">
        <f>'Avg Week BUSUNJU-KAMPALA'!G85+'Avg Week KAMPALA-BUSUNJU'!G85</f>
        <v>0</v>
      </c>
      <c r="H85" s="49">
        <f>'Avg Week BUSUNJU-KAMPALA'!H85+'Avg Week KAMPALA-BUSUNJU'!H85</f>
        <v>0</v>
      </c>
      <c r="I85" s="49">
        <f>'Avg Week BUSUNJU-KAMPALA'!I85+'Avg Week KAMPALA-BUSUNJU'!I85</f>
        <v>0</v>
      </c>
      <c r="J85" s="49">
        <f>'Avg Week BUSUNJU-KAMPALA'!J85+'Avg Week KAMPALA-BUSUNJU'!J85</f>
        <v>0</v>
      </c>
      <c r="K85" s="49">
        <f>'Avg Week BUSUNJU-KAMPALA'!K85+'Avg Week KAMPALA-BUSUNJU'!K85</f>
        <v>0</v>
      </c>
      <c r="L85" s="49">
        <f>'Avg Week BUSUNJU-KAMPALA'!L85+'Avg Week KAMPALA-BUSUNJU'!L85</f>
        <v>0</v>
      </c>
      <c r="M85" s="49">
        <f>'Avg Week BUSUNJU-KAMPALA'!M85+'Avg Week KAMPALA-BUSUNJU'!M85</f>
        <v>7.5</v>
      </c>
      <c r="N85" s="49">
        <f>'Avg Week BUSUNJU-KAMPALA'!N85+'Avg Week KAMPALA-BUSUNJU'!N85</f>
        <v>0</v>
      </c>
      <c r="O85" s="15">
        <f t="shared" si="34"/>
        <v>1</v>
      </c>
      <c r="P85" s="15">
        <f t="shared" si="35"/>
        <v>8.5</v>
      </c>
      <c r="R85" s="8"/>
      <c r="T85"/>
    </row>
    <row r="86" spans="2:20" ht="23.1" customHeight="1" x14ac:dyDescent="0.25">
      <c r="B86" s="24" t="s">
        <v>126</v>
      </c>
      <c r="C86" s="49">
        <f>'Avg Week BUSUNJU-KAMPALA'!C86+'Avg Week KAMPALA-BUSUNJU'!C86</f>
        <v>0</v>
      </c>
      <c r="D86" s="49">
        <f>'Avg Week BUSUNJU-KAMPALA'!D86+'Avg Week KAMPALA-BUSUNJU'!D86</f>
        <v>0</v>
      </c>
      <c r="E86" s="49">
        <f>'Avg Week BUSUNJU-KAMPALA'!E86+'Avg Week KAMPALA-BUSUNJU'!E86</f>
        <v>0</v>
      </c>
      <c r="F86" s="49">
        <f>'Avg Week BUSUNJU-KAMPALA'!F86+'Avg Week KAMPALA-BUSUNJU'!F86</f>
        <v>0</v>
      </c>
      <c r="G86" s="49">
        <f>'Avg Week BUSUNJU-KAMPALA'!G86+'Avg Week KAMPALA-BUSUNJU'!G86</f>
        <v>0</v>
      </c>
      <c r="H86" s="49">
        <f>'Avg Week BUSUNJU-KAMPALA'!H86+'Avg Week KAMPALA-BUSUNJU'!H86</f>
        <v>0</v>
      </c>
      <c r="I86" s="49">
        <f>'Avg Week BUSUNJU-KAMPALA'!I86+'Avg Week KAMPALA-BUSUNJU'!I86</f>
        <v>0</v>
      </c>
      <c r="J86" s="49">
        <f>'Avg Week BUSUNJU-KAMPALA'!J86+'Avg Week KAMPALA-BUSUNJU'!J86</f>
        <v>0</v>
      </c>
      <c r="K86" s="49">
        <f>'Avg Week BUSUNJU-KAMPALA'!K86+'Avg Week KAMPALA-BUSUNJU'!K86</f>
        <v>0</v>
      </c>
      <c r="L86" s="49">
        <f>'Avg Week BUSUNJU-KAMPALA'!L86+'Avg Week KAMPALA-BUSUNJU'!L86</f>
        <v>0</v>
      </c>
      <c r="M86" s="49">
        <f>'Avg Week BUSUNJU-KAMPALA'!M86+'Avg Week KAMPALA-BUSUNJU'!M86</f>
        <v>8.5</v>
      </c>
      <c r="N86" s="49">
        <f>'Avg Week BUSUNJU-KAMPALA'!N86+'Avg Week KAMPALA-BUSUNJU'!N86</f>
        <v>0</v>
      </c>
      <c r="O86" s="15">
        <f t="shared" si="34"/>
        <v>0</v>
      </c>
      <c r="P86" s="15">
        <f t="shared" si="35"/>
        <v>8.5</v>
      </c>
      <c r="R86" s="8"/>
      <c r="T86"/>
    </row>
    <row r="87" spans="2:20" ht="23.1" customHeight="1" x14ac:dyDescent="0.25">
      <c r="B87" s="23" t="s">
        <v>127</v>
      </c>
      <c r="C87" s="49">
        <f>'Avg Week BUSUNJU-KAMPALA'!C87+'Avg Week KAMPALA-BUSUNJU'!C87</f>
        <v>0</v>
      </c>
      <c r="D87" s="49">
        <f>'Avg Week BUSUNJU-KAMPALA'!D87+'Avg Week KAMPALA-BUSUNJU'!D87</f>
        <v>0</v>
      </c>
      <c r="E87" s="49">
        <f>'Avg Week BUSUNJU-KAMPALA'!E87+'Avg Week KAMPALA-BUSUNJU'!E87</f>
        <v>0</v>
      </c>
      <c r="F87" s="49">
        <f>'Avg Week BUSUNJU-KAMPALA'!F87+'Avg Week KAMPALA-BUSUNJU'!F87</f>
        <v>0</v>
      </c>
      <c r="G87" s="49">
        <f>'Avg Week BUSUNJU-KAMPALA'!G87+'Avg Week KAMPALA-BUSUNJU'!G87</f>
        <v>0</v>
      </c>
      <c r="H87" s="49">
        <f>'Avg Week BUSUNJU-KAMPALA'!H87+'Avg Week KAMPALA-BUSUNJU'!H87</f>
        <v>0</v>
      </c>
      <c r="I87" s="49">
        <f>'Avg Week BUSUNJU-KAMPALA'!I87+'Avg Week KAMPALA-BUSUNJU'!I87</f>
        <v>1</v>
      </c>
      <c r="J87" s="49">
        <f>'Avg Week BUSUNJU-KAMPALA'!J87+'Avg Week KAMPALA-BUSUNJU'!J87</f>
        <v>0</v>
      </c>
      <c r="K87" s="49">
        <f>'Avg Week BUSUNJU-KAMPALA'!K87+'Avg Week KAMPALA-BUSUNJU'!K87</f>
        <v>0</v>
      </c>
      <c r="L87" s="49">
        <f>'Avg Week BUSUNJU-KAMPALA'!L87+'Avg Week KAMPALA-BUSUNJU'!L87</f>
        <v>0</v>
      </c>
      <c r="M87" s="49">
        <f>'Avg Week BUSUNJU-KAMPALA'!M87+'Avg Week KAMPALA-BUSUNJU'!M87</f>
        <v>7</v>
      </c>
      <c r="N87" s="49">
        <f>'Avg Week BUSUNJU-KAMPALA'!N87+'Avg Week KAMPALA-BUSUNJU'!N87</f>
        <v>0</v>
      </c>
      <c r="O87" s="15">
        <f t="shared" si="34"/>
        <v>1</v>
      </c>
      <c r="P87" s="15">
        <f t="shared" si="35"/>
        <v>8</v>
      </c>
      <c r="R87" s="8"/>
      <c r="T87"/>
    </row>
    <row r="88" spans="2:20" ht="23.1" customHeight="1" x14ac:dyDescent="0.25">
      <c r="B88" s="25" t="s">
        <v>128</v>
      </c>
      <c r="C88" s="49">
        <f>'Avg Week BUSUNJU-KAMPALA'!C88+'Avg Week KAMPALA-BUSUNJU'!C88</f>
        <v>0</v>
      </c>
      <c r="D88" s="49">
        <f>'Avg Week BUSUNJU-KAMPALA'!D88+'Avg Week KAMPALA-BUSUNJU'!D88</f>
        <v>0</v>
      </c>
      <c r="E88" s="49">
        <f>'Avg Week BUSUNJU-KAMPALA'!E88+'Avg Week KAMPALA-BUSUNJU'!E88</f>
        <v>0</v>
      </c>
      <c r="F88" s="49">
        <f>'Avg Week BUSUNJU-KAMPALA'!F88+'Avg Week KAMPALA-BUSUNJU'!F88</f>
        <v>0</v>
      </c>
      <c r="G88" s="49">
        <f>'Avg Week BUSUNJU-KAMPALA'!G88+'Avg Week KAMPALA-BUSUNJU'!G88</f>
        <v>0</v>
      </c>
      <c r="H88" s="49">
        <f>'Avg Week BUSUNJU-KAMPALA'!H88+'Avg Week KAMPALA-BUSUNJU'!H88</f>
        <v>0</v>
      </c>
      <c r="I88" s="49">
        <f>'Avg Week BUSUNJU-KAMPALA'!I88+'Avg Week KAMPALA-BUSUNJU'!I88</f>
        <v>1</v>
      </c>
      <c r="J88" s="49">
        <f>'Avg Week BUSUNJU-KAMPALA'!J88+'Avg Week KAMPALA-BUSUNJU'!J88</f>
        <v>0</v>
      </c>
      <c r="K88" s="49">
        <f>'Avg Week BUSUNJU-KAMPALA'!K88+'Avg Week KAMPALA-BUSUNJU'!K88</f>
        <v>0</v>
      </c>
      <c r="L88" s="49">
        <f>'Avg Week BUSUNJU-KAMPALA'!L88+'Avg Week KAMPALA-BUSUNJU'!L88</f>
        <v>0</v>
      </c>
      <c r="M88" s="49">
        <f>'Avg Week BUSUNJU-KAMPALA'!M88+'Avg Week KAMPALA-BUSUNJU'!M88</f>
        <v>7</v>
      </c>
      <c r="N88" s="49">
        <f>'Avg Week BUSUNJU-KAMPALA'!N88+'Avg Week KAMPALA-BUSUNJU'!N88</f>
        <v>0</v>
      </c>
      <c r="O88" s="15">
        <f t="shared" si="34"/>
        <v>1</v>
      </c>
      <c r="P88" s="15">
        <f t="shared" si="35"/>
        <v>8</v>
      </c>
      <c r="R88" s="8"/>
      <c r="T88"/>
    </row>
    <row r="89" spans="2:20" ht="23.1" customHeight="1" x14ac:dyDescent="0.25">
      <c r="B89" s="23" t="s">
        <v>129</v>
      </c>
      <c r="C89" s="49">
        <f>'Avg Week BUSUNJU-KAMPALA'!C89+'Avg Week KAMPALA-BUSUNJU'!C89</f>
        <v>0</v>
      </c>
      <c r="D89" s="49">
        <f>'Avg Week BUSUNJU-KAMPALA'!D89+'Avg Week KAMPALA-BUSUNJU'!D89</f>
        <v>0</v>
      </c>
      <c r="E89" s="49">
        <f>'Avg Week BUSUNJU-KAMPALA'!E89+'Avg Week KAMPALA-BUSUNJU'!E89</f>
        <v>0</v>
      </c>
      <c r="F89" s="49">
        <f>'Avg Week BUSUNJU-KAMPALA'!F89+'Avg Week KAMPALA-BUSUNJU'!F89</f>
        <v>0</v>
      </c>
      <c r="G89" s="49">
        <f>'Avg Week BUSUNJU-KAMPALA'!G89+'Avg Week KAMPALA-BUSUNJU'!G89</f>
        <v>0</v>
      </c>
      <c r="H89" s="49">
        <f>'Avg Week BUSUNJU-KAMPALA'!H89+'Avg Week KAMPALA-BUSUNJU'!H89</f>
        <v>0</v>
      </c>
      <c r="I89" s="49">
        <f>'Avg Week BUSUNJU-KAMPALA'!I89+'Avg Week KAMPALA-BUSUNJU'!I89</f>
        <v>1</v>
      </c>
      <c r="J89" s="49">
        <f>'Avg Week BUSUNJU-KAMPALA'!J89+'Avg Week KAMPALA-BUSUNJU'!J89</f>
        <v>0</v>
      </c>
      <c r="K89" s="49">
        <f>'Avg Week BUSUNJU-KAMPALA'!K89+'Avg Week KAMPALA-BUSUNJU'!K89</f>
        <v>0</v>
      </c>
      <c r="L89" s="49">
        <f>'Avg Week BUSUNJU-KAMPALA'!L89+'Avg Week KAMPALA-BUSUNJU'!L89</f>
        <v>0</v>
      </c>
      <c r="M89" s="49">
        <f>'Avg Week BUSUNJU-KAMPALA'!M89+'Avg Week KAMPALA-BUSUNJU'!M89</f>
        <v>7.5</v>
      </c>
      <c r="N89" s="49">
        <f>'Avg Week BUSUNJU-KAMPALA'!N89+'Avg Week KAMPALA-BUSUNJU'!N89</f>
        <v>0</v>
      </c>
      <c r="O89" s="15">
        <f t="shared" si="34"/>
        <v>1</v>
      </c>
      <c r="P89" s="15">
        <f t="shared" si="35"/>
        <v>8.5</v>
      </c>
      <c r="R89" s="8"/>
      <c r="T89"/>
    </row>
    <row r="90" spans="2:20" ht="23.1" customHeight="1" x14ac:dyDescent="0.25">
      <c r="B90" s="24" t="s">
        <v>130</v>
      </c>
      <c r="C90" s="49">
        <f>'Avg Week BUSUNJU-KAMPALA'!C90+'Avg Week KAMPALA-BUSUNJU'!C90</f>
        <v>0</v>
      </c>
      <c r="D90" s="49">
        <f>'Avg Week BUSUNJU-KAMPALA'!D90+'Avg Week KAMPALA-BUSUNJU'!D90</f>
        <v>0</v>
      </c>
      <c r="E90" s="49">
        <f>'Avg Week BUSUNJU-KAMPALA'!E90+'Avg Week KAMPALA-BUSUNJU'!E90</f>
        <v>0</v>
      </c>
      <c r="F90" s="49">
        <f>'Avg Week BUSUNJU-KAMPALA'!F90+'Avg Week KAMPALA-BUSUNJU'!F90</f>
        <v>0</v>
      </c>
      <c r="G90" s="49">
        <f>'Avg Week BUSUNJU-KAMPALA'!G90+'Avg Week KAMPALA-BUSUNJU'!G90</f>
        <v>0</v>
      </c>
      <c r="H90" s="49">
        <f>'Avg Week BUSUNJU-KAMPALA'!H90+'Avg Week KAMPALA-BUSUNJU'!H90</f>
        <v>0</v>
      </c>
      <c r="I90" s="49">
        <f>'Avg Week BUSUNJU-KAMPALA'!I90+'Avg Week KAMPALA-BUSUNJU'!I90</f>
        <v>0</v>
      </c>
      <c r="J90" s="49">
        <f>'Avg Week BUSUNJU-KAMPALA'!J90+'Avg Week KAMPALA-BUSUNJU'!J90</f>
        <v>0</v>
      </c>
      <c r="K90" s="49">
        <f>'Avg Week BUSUNJU-KAMPALA'!K90+'Avg Week KAMPALA-BUSUNJU'!K90</f>
        <v>0</v>
      </c>
      <c r="L90" s="49">
        <f>'Avg Week BUSUNJU-KAMPALA'!L90+'Avg Week KAMPALA-BUSUNJU'!L90</f>
        <v>0</v>
      </c>
      <c r="M90" s="49">
        <f>'Avg Week BUSUNJU-KAMPALA'!M90+'Avg Week KAMPALA-BUSUNJU'!M90</f>
        <v>5</v>
      </c>
      <c r="N90" s="49">
        <f>'Avg Week BUSUNJU-KAMPALA'!N90+'Avg Week KAMPALA-BUSUNJU'!N90</f>
        <v>0</v>
      </c>
      <c r="O90" s="15">
        <f t="shared" si="34"/>
        <v>0</v>
      </c>
      <c r="P90" s="15">
        <f t="shared" si="35"/>
        <v>5</v>
      </c>
      <c r="R90" s="8"/>
      <c r="T90"/>
    </row>
    <row r="91" spans="2:20" ht="23.1" customHeight="1" x14ac:dyDescent="0.25">
      <c r="B91" s="23" t="s">
        <v>131</v>
      </c>
      <c r="C91" s="49">
        <f>'Avg Week BUSUNJU-KAMPALA'!C91+'Avg Week KAMPALA-BUSUNJU'!C91</f>
        <v>0</v>
      </c>
      <c r="D91" s="49">
        <f>'Avg Week BUSUNJU-KAMPALA'!D91+'Avg Week KAMPALA-BUSUNJU'!D91</f>
        <v>0</v>
      </c>
      <c r="E91" s="49">
        <f>'Avg Week BUSUNJU-KAMPALA'!E91+'Avg Week KAMPALA-BUSUNJU'!E91</f>
        <v>0</v>
      </c>
      <c r="F91" s="49">
        <f>'Avg Week BUSUNJU-KAMPALA'!F91+'Avg Week KAMPALA-BUSUNJU'!F91</f>
        <v>0</v>
      </c>
      <c r="G91" s="49">
        <f>'Avg Week BUSUNJU-KAMPALA'!G91+'Avg Week KAMPALA-BUSUNJU'!G91</f>
        <v>0</v>
      </c>
      <c r="H91" s="49">
        <f>'Avg Week BUSUNJU-KAMPALA'!H91+'Avg Week KAMPALA-BUSUNJU'!H91</f>
        <v>0</v>
      </c>
      <c r="I91" s="49">
        <f>'Avg Week BUSUNJU-KAMPALA'!I91+'Avg Week KAMPALA-BUSUNJU'!I91</f>
        <v>0</v>
      </c>
      <c r="J91" s="49">
        <f>'Avg Week BUSUNJU-KAMPALA'!J91+'Avg Week KAMPALA-BUSUNJU'!J91</f>
        <v>0</v>
      </c>
      <c r="K91" s="49">
        <f>'Avg Week BUSUNJU-KAMPALA'!K91+'Avg Week KAMPALA-BUSUNJU'!K91</f>
        <v>0</v>
      </c>
      <c r="L91" s="49">
        <f>'Avg Week BUSUNJU-KAMPALA'!L91+'Avg Week KAMPALA-BUSUNJU'!L91</f>
        <v>0</v>
      </c>
      <c r="M91" s="49">
        <f>'Avg Week BUSUNJU-KAMPALA'!M91+'Avg Week KAMPALA-BUSUNJU'!M91</f>
        <v>5</v>
      </c>
      <c r="N91" s="49">
        <f>'Avg Week BUSUNJU-KAMPALA'!N91+'Avg Week KAMPALA-BUSUNJU'!N91</f>
        <v>0</v>
      </c>
      <c r="O91" s="15">
        <f t="shared" si="34"/>
        <v>0</v>
      </c>
      <c r="P91" s="15">
        <f t="shared" si="35"/>
        <v>5</v>
      </c>
      <c r="R91" s="8"/>
      <c r="T91"/>
    </row>
    <row r="92" spans="2:20" ht="23.1" customHeight="1" x14ac:dyDescent="0.25">
      <c r="B92" s="25" t="s">
        <v>132</v>
      </c>
      <c r="C92" s="49">
        <f>'Avg Week BUSUNJU-KAMPALA'!C92+'Avg Week KAMPALA-BUSUNJU'!C92</f>
        <v>0</v>
      </c>
      <c r="D92" s="49">
        <f>'Avg Week BUSUNJU-KAMPALA'!D92+'Avg Week KAMPALA-BUSUNJU'!D92</f>
        <v>0</v>
      </c>
      <c r="E92" s="49">
        <f>'Avg Week BUSUNJU-KAMPALA'!E92+'Avg Week KAMPALA-BUSUNJU'!E92</f>
        <v>0</v>
      </c>
      <c r="F92" s="49">
        <f>'Avg Week BUSUNJU-KAMPALA'!F92+'Avg Week KAMPALA-BUSUNJU'!F92</f>
        <v>0</v>
      </c>
      <c r="G92" s="49">
        <f>'Avg Week BUSUNJU-KAMPALA'!G92+'Avg Week KAMPALA-BUSUNJU'!G92</f>
        <v>0</v>
      </c>
      <c r="H92" s="49">
        <f>'Avg Week BUSUNJU-KAMPALA'!H92+'Avg Week KAMPALA-BUSUNJU'!H92</f>
        <v>0</v>
      </c>
      <c r="I92" s="49">
        <f>'Avg Week BUSUNJU-KAMPALA'!I92+'Avg Week KAMPALA-BUSUNJU'!I92</f>
        <v>0</v>
      </c>
      <c r="J92" s="49">
        <f>'Avg Week BUSUNJU-KAMPALA'!J92+'Avg Week KAMPALA-BUSUNJU'!J92</f>
        <v>0</v>
      </c>
      <c r="K92" s="49">
        <f>'Avg Week BUSUNJU-KAMPALA'!K92+'Avg Week KAMPALA-BUSUNJU'!K92</f>
        <v>0</v>
      </c>
      <c r="L92" s="49">
        <f>'Avg Week BUSUNJU-KAMPALA'!L92+'Avg Week KAMPALA-BUSUNJU'!L92</f>
        <v>0</v>
      </c>
      <c r="M92" s="49">
        <f>'Avg Week BUSUNJU-KAMPALA'!M92+'Avg Week KAMPALA-BUSUNJU'!M92</f>
        <v>4</v>
      </c>
      <c r="N92" s="49">
        <f>'Avg Week BUSUNJU-KAMPALA'!N92+'Avg Week KAMPALA-BUSUNJU'!N92</f>
        <v>0</v>
      </c>
      <c r="O92" s="15">
        <f t="shared" si="34"/>
        <v>0</v>
      </c>
      <c r="P92" s="15">
        <f t="shared" si="35"/>
        <v>4</v>
      </c>
      <c r="R92" s="8"/>
      <c r="T92"/>
    </row>
    <row r="93" spans="2:20" ht="23.1" customHeight="1" x14ac:dyDescent="0.25">
      <c r="B93" s="23" t="s">
        <v>133</v>
      </c>
      <c r="C93" s="49">
        <f>'Avg Week BUSUNJU-KAMPALA'!C93+'Avg Week KAMPALA-BUSUNJU'!C93</f>
        <v>1</v>
      </c>
      <c r="D93" s="49">
        <f>'Avg Week BUSUNJU-KAMPALA'!D93+'Avg Week KAMPALA-BUSUNJU'!D93</f>
        <v>0</v>
      </c>
      <c r="E93" s="49">
        <f>'Avg Week BUSUNJU-KAMPALA'!E93+'Avg Week KAMPALA-BUSUNJU'!E93</f>
        <v>1</v>
      </c>
      <c r="F93" s="49">
        <f>'Avg Week BUSUNJU-KAMPALA'!F93+'Avg Week KAMPALA-BUSUNJU'!F93</f>
        <v>0</v>
      </c>
      <c r="G93" s="49">
        <f>'Avg Week BUSUNJU-KAMPALA'!G93+'Avg Week KAMPALA-BUSUNJU'!G93</f>
        <v>0</v>
      </c>
      <c r="H93" s="49">
        <f>'Avg Week BUSUNJU-KAMPALA'!H93+'Avg Week KAMPALA-BUSUNJU'!H93</f>
        <v>0</v>
      </c>
      <c r="I93" s="49">
        <f>'Avg Week BUSUNJU-KAMPALA'!I93+'Avg Week KAMPALA-BUSUNJU'!I93</f>
        <v>1.5</v>
      </c>
      <c r="J93" s="49">
        <f>'Avg Week BUSUNJU-KAMPALA'!J93+'Avg Week KAMPALA-BUSUNJU'!J93</f>
        <v>0</v>
      </c>
      <c r="K93" s="49">
        <f>'Avg Week BUSUNJU-KAMPALA'!K93+'Avg Week KAMPALA-BUSUNJU'!K93</f>
        <v>0</v>
      </c>
      <c r="L93" s="49">
        <f>'Avg Week BUSUNJU-KAMPALA'!L93+'Avg Week KAMPALA-BUSUNJU'!L93</f>
        <v>0</v>
      </c>
      <c r="M93" s="49">
        <f>'Avg Week BUSUNJU-KAMPALA'!M93+'Avg Week KAMPALA-BUSUNJU'!M93</f>
        <v>8.5</v>
      </c>
      <c r="N93" s="49">
        <f>'Avg Week BUSUNJU-KAMPALA'!N93+'Avg Week KAMPALA-BUSUNJU'!N93</f>
        <v>0</v>
      </c>
      <c r="O93" s="15">
        <f t="shared" si="34"/>
        <v>3.5</v>
      </c>
      <c r="P93" s="15">
        <f t="shared" si="35"/>
        <v>12</v>
      </c>
      <c r="R93" s="8"/>
      <c r="T93"/>
    </row>
    <row r="94" spans="2:20" ht="23.1" customHeight="1" x14ac:dyDescent="0.25">
      <c r="B94" s="24" t="s">
        <v>134</v>
      </c>
      <c r="C94" s="49">
        <f>'Avg Week BUSUNJU-KAMPALA'!C94+'Avg Week KAMPALA-BUSUNJU'!C94</f>
        <v>1</v>
      </c>
      <c r="D94" s="49">
        <f>'Avg Week BUSUNJU-KAMPALA'!D94+'Avg Week KAMPALA-BUSUNJU'!D94</f>
        <v>0</v>
      </c>
      <c r="E94" s="49">
        <f>'Avg Week BUSUNJU-KAMPALA'!E94+'Avg Week KAMPALA-BUSUNJU'!E94</f>
        <v>1</v>
      </c>
      <c r="F94" s="49">
        <f>'Avg Week BUSUNJU-KAMPALA'!F94+'Avg Week KAMPALA-BUSUNJU'!F94</f>
        <v>0</v>
      </c>
      <c r="G94" s="49">
        <f>'Avg Week BUSUNJU-KAMPALA'!G94+'Avg Week KAMPALA-BUSUNJU'!G94</f>
        <v>0</v>
      </c>
      <c r="H94" s="49">
        <f>'Avg Week BUSUNJU-KAMPALA'!H94+'Avg Week KAMPALA-BUSUNJU'!H94</f>
        <v>0</v>
      </c>
      <c r="I94" s="49">
        <f>'Avg Week BUSUNJU-KAMPALA'!I94+'Avg Week KAMPALA-BUSUNJU'!I94</f>
        <v>0</v>
      </c>
      <c r="J94" s="49">
        <f>'Avg Week BUSUNJU-KAMPALA'!J94+'Avg Week KAMPALA-BUSUNJU'!J94</f>
        <v>0</v>
      </c>
      <c r="K94" s="49">
        <f>'Avg Week BUSUNJU-KAMPALA'!K94+'Avg Week KAMPALA-BUSUNJU'!K94</f>
        <v>0</v>
      </c>
      <c r="L94" s="49">
        <f>'Avg Week BUSUNJU-KAMPALA'!L94+'Avg Week KAMPALA-BUSUNJU'!L94</f>
        <v>0</v>
      </c>
      <c r="M94" s="49">
        <f>'Avg Week BUSUNJU-KAMPALA'!M94+'Avg Week KAMPALA-BUSUNJU'!M94</f>
        <v>10</v>
      </c>
      <c r="N94" s="49">
        <f>'Avg Week BUSUNJU-KAMPALA'!N94+'Avg Week KAMPALA-BUSUNJU'!N94</f>
        <v>0</v>
      </c>
      <c r="O94" s="15">
        <f t="shared" si="34"/>
        <v>2</v>
      </c>
      <c r="P94" s="15">
        <f t="shared" si="35"/>
        <v>12</v>
      </c>
      <c r="R94" s="8"/>
      <c r="T94"/>
    </row>
    <row r="95" spans="2:20" ht="23.1" customHeight="1" x14ac:dyDescent="0.25">
      <c r="B95" s="23" t="s">
        <v>135</v>
      </c>
      <c r="C95" s="49">
        <f>'Avg Week BUSUNJU-KAMPALA'!C95+'Avg Week KAMPALA-BUSUNJU'!C95</f>
        <v>1</v>
      </c>
      <c r="D95" s="49">
        <f>'Avg Week BUSUNJU-KAMPALA'!D95+'Avg Week KAMPALA-BUSUNJU'!D95</f>
        <v>0</v>
      </c>
      <c r="E95" s="49">
        <f>'Avg Week BUSUNJU-KAMPALA'!E95+'Avg Week KAMPALA-BUSUNJU'!E95</f>
        <v>1</v>
      </c>
      <c r="F95" s="49">
        <f>'Avg Week BUSUNJU-KAMPALA'!F95+'Avg Week KAMPALA-BUSUNJU'!F95</f>
        <v>0</v>
      </c>
      <c r="G95" s="49">
        <f>'Avg Week BUSUNJU-KAMPALA'!G95+'Avg Week KAMPALA-BUSUNJU'!G95</f>
        <v>0</v>
      </c>
      <c r="H95" s="49">
        <f>'Avg Week BUSUNJU-KAMPALA'!H95+'Avg Week KAMPALA-BUSUNJU'!H95</f>
        <v>0</v>
      </c>
      <c r="I95" s="49">
        <f>'Avg Week BUSUNJU-KAMPALA'!I95+'Avg Week KAMPALA-BUSUNJU'!I95</f>
        <v>0</v>
      </c>
      <c r="J95" s="49">
        <f>'Avg Week BUSUNJU-KAMPALA'!J95+'Avg Week KAMPALA-BUSUNJU'!J95</f>
        <v>0</v>
      </c>
      <c r="K95" s="49">
        <f>'Avg Week BUSUNJU-KAMPALA'!K95+'Avg Week KAMPALA-BUSUNJU'!K95</f>
        <v>0</v>
      </c>
      <c r="L95" s="49">
        <f>'Avg Week BUSUNJU-KAMPALA'!L95+'Avg Week KAMPALA-BUSUNJU'!L95</f>
        <v>0</v>
      </c>
      <c r="M95" s="49">
        <f>'Avg Week BUSUNJU-KAMPALA'!M95+'Avg Week KAMPALA-BUSUNJU'!M95</f>
        <v>8.5</v>
      </c>
      <c r="N95" s="49">
        <f>'Avg Week BUSUNJU-KAMPALA'!N95+'Avg Week KAMPALA-BUSUNJU'!N95</f>
        <v>0</v>
      </c>
      <c r="O95" s="15">
        <f t="shared" si="34"/>
        <v>2</v>
      </c>
      <c r="P95" s="15">
        <f t="shared" si="35"/>
        <v>10.5</v>
      </c>
      <c r="R95" s="8"/>
      <c r="T95"/>
    </row>
    <row r="96" spans="2:20" ht="23.1" customHeight="1" x14ac:dyDescent="0.25">
      <c r="B96" s="25" t="s">
        <v>136</v>
      </c>
      <c r="C96" s="49">
        <f>'Avg Week BUSUNJU-KAMPALA'!C96+'Avg Week KAMPALA-BUSUNJU'!C96</f>
        <v>1</v>
      </c>
      <c r="D96" s="49">
        <f>'Avg Week BUSUNJU-KAMPALA'!D96+'Avg Week KAMPALA-BUSUNJU'!D96</f>
        <v>0</v>
      </c>
      <c r="E96" s="49">
        <f>'Avg Week BUSUNJU-KAMPALA'!E96+'Avg Week KAMPALA-BUSUNJU'!E96</f>
        <v>1</v>
      </c>
      <c r="F96" s="49">
        <f>'Avg Week BUSUNJU-KAMPALA'!F96+'Avg Week KAMPALA-BUSUNJU'!F96</f>
        <v>1</v>
      </c>
      <c r="G96" s="49">
        <f>'Avg Week BUSUNJU-KAMPALA'!G96+'Avg Week KAMPALA-BUSUNJU'!G96</f>
        <v>0</v>
      </c>
      <c r="H96" s="49">
        <f>'Avg Week BUSUNJU-KAMPALA'!H96+'Avg Week KAMPALA-BUSUNJU'!H96</f>
        <v>0</v>
      </c>
      <c r="I96" s="49">
        <f>'Avg Week BUSUNJU-KAMPALA'!I96+'Avg Week KAMPALA-BUSUNJU'!I96</f>
        <v>1</v>
      </c>
      <c r="J96" s="49">
        <f>'Avg Week BUSUNJU-KAMPALA'!J96+'Avg Week KAMPALA-BUSUNJU'!J96</f>
        <v>0</v>
      </c>
      <c r="K96" s="49">
        <f>'Avg Week BUSUNJU-KAMPALA'!K96+'Avg Week KAMPALA-BUSUNJU'!K96</f>
        <v>0</v>
      </c>
      <c r="L96" s="49">
        <f>'Avg Week BUSUNJU-KAMPALA'!L96+'Avg Week KAMPALA-BUSUNJU'!L96</f>
        <v>0</v>
      </c>
      <c r="M96" s="49">
        <f>'Avg Week BUSUNJU-KAMPALA'!M96+'Avg Week KAMPALA-BUSUNJU'!M96</f>
        <v>11.5</v>
      </c>
      <c r="N96" s="49">
        <f>'Avg Week BUSUNJU-KAMPALA'!N96+'Avg Week KAMPALA-BUSUNJU'!N96</f>
        <v>0</v>
      </c>
      <c r="O96" s="15">
        <f t="shared" si="34"/>
        <v>4</v>
      </c>
      <c r="P96" s="15">
        <f t="shared" si="35"/>
        <v>15.5</v>
      </c>
      <c r="R96" s="8"/>
      <c r="T96"/>
    </row>
    <row r="97" spans="2:20" ht="23.1" customHeight="1" x14ac:dyDescent="0.25">
      <c r="B97" s="23" t="s">
        <v>137</v>
      </c>
      <c r="C97" s="49">
        <f>'Avg Week BUSUNJU-KAMPALA'!C97+'Avg Week KAMPALA-BUSUNJU'!C97</f>
        <v>2</v>
      </c>
      <c r="D97" s="49">
        <f>'Avg Week BUSUNJU-KAMPALA'!D97+'Avg Week KAMPALA-BUSUNJU'!D97</f>
        <v>0</v>
      </c>
      <c r="E97" s="49">
        <f>'Avg Week BUSUNJU-KAMPALA'!E97+'Avg Week KAMPALA-BUSUNJU'!E97</f>
        <v>1</v>
      </c>
      <c r="F97" s="49">
        <f>'Avg Week BUSUNJU-KAMPALA'!F97+'Avg Week KAMPALA-BUSUNJU'!F97</f>
        <v>0</v>
      </c>
      <c r="G97" s="49">
        <f>'Avg Week BUSUNJU-KAMPALA'!G97+'Avg Week KAMPALA-BUSUNJU'!G97</f>
        <v>0</v>
      </c>
      <c r="H97" s="49">
        <f>'Avg Week BUSUNJU-KAMPALA'!H97+'Avg Week KAMPALA-BUSUNJU'!H97</f>
        <v>0</v>
      </c>
      <c r="I97" s="49">
        <f>'Avg Week BUSUNJU-KAMPALA'!I97+'Avg Week KAMPALA-BUSUNJU'!I97</f>
        <v>2</v>
      </c>
      <c r="J97" s="49">
        <f>'Avg Week BUSUNJU-KAMPALA'!J97+'Avg Week KAMPALA-BUSUNJU'!J97</f>
        <v>0</v>
      </c>
      <c r="K97" s="49">
        <f>'Avg Week BUSUNJU-KAMPALA'!K97+'Avg Week KAMPALA-BUSUNJU'!K97</f>
        <v>0</v>
      </c>
      <c r="L97" s="49">
        <f>'Avg Week BUSUNJU-KAMPALA'!L97+'Avg Week KAMPALA-BUSUNJU'!L97</f>
        <v>0</v>
      </c>
      <c r="M97" s="49">
        <f>'Avg Week BUSUNJU-KAMPALA'!M97+'Avg Week KAMPALA-BUSUNJU'!M97</f>
        <v>13</v>
      </c>
      <c r="N97" s="49">
        <f>'Avg Week BUSUNJU-KAMPALA'!N97+'Avg Week KAMPALA-BUSUNJU'!N97</f>
        <v>0</v>
      </c>
      <c r="O97" s="15">
        <f t="shared" si="34"/>
        <v>5</v>
      </c>
      <c r="P97" s="15">
        <f t="shared" si="35"/>
        <v>18</v>
      </c>
      <c r="R97" s="8"/>
      <c r="T97"/>
    </row>
    <row r="98" spans="2:20" ht="23.1" customHeight="1" x14ac:dyDescent="0.25">
      <c r="B98" s="24" t="s">
        <v>138</v>
      </c>
      <c r="C98" s="49">
        <f>'Avg Week BUSUNJU-KAMPALA'!C98+'Avg Week KAMPALA-BUSUNJU'!C98</f>
        <v>2</v>
      </c>
      <c r="D98" s="49">
        <f>'Avg Week BUSUNJU-KAMPALA'!D98+'Avg Week KAMPALA-BUSUNJU'!D98</f>
        <v>0</v>
      </c>
      <c r="E98" s="49">
        <f>'Avg Week BUSUNJU-KAMPALA'!E98+'Avg Week KAMPALA-BUSUNJU'!E98</f>
        <v>2</v>
      </c>
      <c r="F98" s="49">
        <f>'Avg Week BUSUNJU-KAMPALA'!F98+'Avg Week KAMPALA-BUSUNJU'!F98</f>
        <v>0</v>
      </c>
      <c r="G98" s="49">
        <f>'Avg Week BUSUNJU-KAMPALA'!G98+'Avg Week KAMPALA-BUSUNJU'!G98</f>
        <v>0</v>
      </c>
      <c r="H98" s="49">
        <f>'Avg Week BUSUNJU-KAMPALA'!H98+'Avg Week KAMPALA-BUSUNJU'!H98</f>
        <v>0</v>
      </c>
      <c r="I98" s="49">
        <f>'Avg Week BUSUNJU-KAMPALA'!I98+'Avg Week KAMPALA-BUSUNJU'!I98</f>
        <v>2</v>
      </c>
      <c r="J98" s="49">
        <f>'Avg Week BUSUNJU-KAMPALA'!J98+'Avg Week KAMPALA-BUSUNJU'!J98</f>
        <v>0</v>
      </c>
      <c r="K98" s="49">
        <f>'Avg Week BUSUNJU-KAMPALA'!K98+'Avg Week KAMPALA-BUSUNJU'!K98</f>
        <v>0</v>
      </c>
      <c r="L98" s="49">
        <f>'Avg Week BUSUNJU-KAMPALA'!L98+'Avg Week KAMPALA-BUSUNJU'!L98</f>
        <v>0</v>
      </c>
      <c r="M98" s="49">
        <f>'Avg Week BUSUNJU-KAMPALA'!M98+'Avg Week KAMPALA-BUSUNJU'!M98</f>
        <v>18</v>
      </c>
      <c r="N98" s="49">
        <f>'Avg Week BUSUNJU-KAMPALA'!N98+'Avg Week KAMPALA-BUSUNJU'!N98</f>
        <v>0</v>
      </c>
      <c r="O98" s="15">
        <f t="shared" si="34"/>
        <v>6</v>
      </c>
      <c r="P98" s="15">
        <f t="shared" si="35"/>
        <v>24</v>
      </c>
      <c r="R98" s="8"/>
      <c r="T98"/>
    </row>
    <row r="99" spans="2:20" ht="23.1" customHeight="1" x14ac:dyDescent="0.25">
      <c r="B99" s="23" t="s">
        <v>139</v>
      </c>
      <c r="C99" s="49">
        <f>'Avg Week BUSUNJU-KAMPALA'!C99+'Avg Week KAMPALA-BUSUNJU'!C99</f>
        <v>1</v>
      </c>
      <c r="D99" s="49">
        <f>'Avg Week BUSUNJU-KAMPALA'!D99+'Avg Week KAMPALA-BUSUNJU'!D99</f>
        <v>0</v>
      </c>
      <c r="E99" s="49">
        <f>'Avg Week BUSUNJU-KAMPALA'!E99+'Avg Week KAMPALA-BUSUNJU'!E99</f>
        <v>2</v>
      </c>
      <c r="F99" s="49">
        <f>'Avg Week BUSUNJU-KAMPALA'!F99+'Avg Week KAMPALA-BUSUNJU'!F99</f>
        <v>1</v>
      </c>
      <c r="G99" s="49">
        <f>'Avg Week BUSUNJU-KAMPALA'!G99+'Avg Week KAMPALA-BUSUNJU'!G99</f>
        <v>0</v>
      </c>
      <c r="H99" s="49">
        <f>'Avg Week BUSUNJU-KAMPALA'!H99+'Avg Week KAMPALA-BUSUNJU'!H99</f>
        <v>0</v>
      </c>
      <c r="I99" s="49">
        <f>'Avg Week BUSUNJU-KAMPALA'!I99+'Avg Week KAMPALA-BUSUNJU'!I99</f>
        <v>2</v>
      </c>
      <c r="J99" s="49">
        <f>'Avg Week BUSUNJU-KAMPALA'!J99+'Avg Week KAMPALA-BUSUNJU'!J99</f>
        <v>0</v>
      </c>
      <c r="K99" s="49">
        <f>'Avg Week BUSUNJU-KAMPALA'!K99+'Avg Week KAMPALA-BUSUNJU'!K99</f>
        <v>0</v>
      </c>
      <c r="L99" s="49">
        <f>'Avg Week BUSUNJU-KAMPALA'!L99+'Avg Week KAMPALA-BUSUNJU'!L99</f>
        <v>0</v>
      </c>
      <c r="M99" s="49">
        <f>'Avg Week BUSUNJU-KAMPALA'!M99+'Avg Week KAMPALA-BUSUNJU'!M99</f>
        <v>18</v>
      </c>
      <c r="N99" s="49">
        <f>'Avg Week BUSUNJU-KAMPALA'!N99+'Avg Week KAMPALA-BUSUNJU'!N99</f>
        <v>0</v>
      </c>
      <c r="O99" s="15">
        <f t="shared" si="34"/>
        <v>6</v>
      </c>
      <c r="P99" s="15">
        <f t="shared" si="35"/>
        <v>24</v>
      </c>
      <c r="R99" s="8"/>
      <c r="T99"/>
    </row>
    <row r="100" spans="2:20" ht="23.1" customHeight="1" x14ac:dyDescent="0.25">
      <c r="B100" s="25" t="s">
        <v>140</v>
      </c>
      <c r="C100" s="49">
        <f>'Avg Week BUSUNJU-KAMPALA'!C100+'Avg Week KAMPALA-BUSUNJU'!C100</f>
        <v>2</v>
      </c>
      <c r="D100" s="49">
        <f>'Avg Week BUSUNJU-KAMPALA'!D100+'Avg Week KAMPALA-BUSUNJU'!D100</f>
        <v>0</v>
      </c>
      <c r="E100" s="49">
        <f>'Avg Week BUSUNJU-KAMPALA'!E100+'Avg Week KAMPALA-BUSUNJU'!E100</f>
        <v>1</v>
      </c>
      <c r="F100" s="49">
        <f>'Avg Week BUSUNJU-KAMPALA'!F100+'Avg Week KAMPALA-BUSUNJU'!F100</f>
        <v>2</v>
      </c>
      <c r="G100" s="49">
        <f>'Avg Week BUSUNJU-KAMPALA'!G100+'Avg Week KAMPALA-BUSUNJU'!G100</f>
        <v>0</v>
      </c>
      <c r="H100" s="49">
        <f>'Avg Week BUSUNJU-KAMPALA'!H100+'Avg Week KAMPALA-BUSUNJU'!H100</f>
        <v>0</v>
      </c>
      <c r="I100" s="49">
        <f>'Avg Week BUSUNJU-KAMPALA'!I100+'Avg Week KAMPALA-BUSUNJU'!I100</f>
        <v>1</v>
      </c>
      <c r="J100" s="49">
        <f>'Avg Week BUSUNJU-KAMPALA'!J100+'Avg Week KAMPALA-BUSUNJU'!J100</f>
        <v>0</v>
      </c>
      <c r="K100" s="49">
        <f>'Avg Week BUSUNJU-KAMPALA'!K100+'Avg Week KAMPALA-BUSUNJU'!K100</f>
        <v>0</v>
      </c>
      <c r="L100" s="49">
        <f>'Avg Week BUSUNJU-KAMPALA'!L100+'Avg Week KAMPALA-BUSUNJU'!L100</f>
        <v>0</v>
      </c>
      <c r="M100" s="49">
        <f>'Avg Week BUSUNJU-KAMPALA'!M100+'Avg Week KAMPALA-BUSUNJU'!M100</f>
        <v>22.5</v>
      </c>
      <c r="N100" s="49">
        <f>'Avg Week BUSUNJU-KAMPALA'!N100+'Avg Week KAMPALA-BUSUNJU'!N100</f>
        <v>0</v>
      </c>
      <c r="O100" s="15">
        <f t="shared" si="34"/>
        <v>6</v>
      </c>
      <c r="P100" s="15">
        <f t="shared" si="35"/>
        <v>28.5</v>
      </c>
      <c r="R100" s="8"/>
      <c r="T100"/>
    </row>
    <row r="101" spans="2:20" ht="23.1" customHeight="1" x14ac:dyDescent="0.25">
      <c r="B101" s="23" t="s">
        <v>141</v>
      </c>
      <c r="C101" s="49">
        <f>'Avg Week BUSUNJU-KAMPALA'!C101+'Avg Week KAMPALA-BUSUNJU'!C101</f>
        <v>2</v>
      </c>
      <c r="D101" s="49">
        <f>'Avg Week BUSUNJU-KAMPALA'!D101+'Avg Week KAMPALA-BUSUNJU'!D101</f>
        <v>0</v>
      </c>
      <c r="E101" s="49">
        <f>'Avg Week BUSUNJU-KAMPALA'!E101+'Avg Week KAMPALA-BUSUNJU'!E101</f>
        <v>2</v>
      </c>
      <c r="F101" s="49">
        <f>'Avg Week BUSUNJU-KAMPALA'!F101+'Avg Week KAMPALA-BUSUNJU'!F101</f>
        <v>2</v>
      </c>
      <c r="G101" s="49">
        <f>'Avg Week BUSUNJU-KAMPALA'!G101+'Avg Week KAMPALA-BUSUNJU'!G101</f>
        <v>0</v>
      </c>
      <c r="H101" s="49">
        <f>'Avg Week BUSUNJU-KAMPALA'!H101+'Avg Week KAMPALA-BUSUNJU'!H101</f>
        <v>0</v>
      </c>
      <c r="I101" s="49">
        <f>'Avg Week BUSUNJU-KAMPALA'!I101+'Avg Week KAMPALA-BUSUNJU'!I101</f>
        <v>2</v>
      </c>
      <c r="J101" s="49">
        <f>'Avg Week BUSUNJU-KAMPALA'!J101+'Avg Week KAMPALA-BUSUNJU'!J101</f>
        <v>0</v>
      </c>
      <c r="K101" s="49">
        <f>'Avg Week BUSUNJU-KAMPALA'!K101+'Avg Week KAMPALA-BUSUNJU'!K101</f>
        <v>0</v>
      </c>
      <c r="L101" s="49">
        <f>'Avg Week BUSUNJU-KAMPALA'!L101+'Avg Week KAMPALA-BUSUNJU'!L101</f>
        <v>0</v>
      </c>
      <c r="M101" s="49">
        <f>'Avg Week BUSUNJU-KAMPALA'!M101+'Avg Week KAMPALA-BUSUNJU'!M101</f>
        <v>17</v>
      </c>
      <c r="N101" s="49">
        <f>'Avg Week BUSUNJU-KAMPALA'!N101+'Avg Week KAMPALA-BUSUNJU'!N101</f>
        <v>0</v>
      </c>
      <c r="O101" s="15">
        <f t="shared" si="34"/>
        <v>8</v>
      </c>
      <c r="P101" s="15">
        <f t="shared" si="35"/>
        <v>25</v>
      </c>
      <c r="R101" s="8"/>
      <c r="T101"/>
    </row>
    <row r="102" spans="2:20" ht="23.1" customHeight="1" x14ac:dyDescent="0.25">
      <c r="B102" s="24" t="s">
        <v>142</v>
      </c>
      <c r="C102" s="49">
        <f>'Avg Week BUSUNJU-KAMPALA'!C102+'Avg Week KAMPALA-BUSUNJU'!C102</f>
        <v>2</v>
      </c>
      <c r="D102" s="49">
        <f>'Avg Week BUSUNJU-KAMPALA'!D102+'Avg Week KAMPALA-BUSUNJU'!D102</f>
        <v>0</v>
      </c>
      <c r="E102" s="49">
        <f>'Avg Week BUSUNJU-KAMPALA'!E102+'Avg Week KAMPALA-BUSUNJU'!E102</f>
        <v>2</v>
      </c>
      <c r="F102" s="49">
        <f>'Avg Week BUSUNJU-KAMPALA'!F102+'Avg Week KAMPALA-BUSUNJU'!F102</f>
        <v>1</v>
      </c>
      <c r="G102" s="49">
        <f>'Avg Week BUSUNJU-KAMPALA'!G102+'Avg Week KAMPALA-BUSUNJU'!G102</f>
        <v>0</v>
      </c>
      <c r="H102" s="49">
        <f>'Avg Week BUSUNJU-KAMPALA'!H102+'Avg Week KAMPALA-BUSUNJU'!H102</f>
        <v>0</v>
      </c>
      <c r="I102" s="49">
        <f>'Avg Week BUSUNJU-KAMPALA'!I102+'Avg Week KAMPALA-BUSUNJU'!I102</f>
        <v>2</v>
      </c>
      <c r="J102" s="49">
        <f>'Avg Week BUSUNJU-KAMPALA'!J102+'Avg Week KAMPALA-BUSUNJU'!J102</f>
        <v>0</v>
      </c>
      <c r="K102" s="49">
        <f>'Avg Week BUSUNJU-KAMPALA'!K102+'Avg Week KAMPALA-BUSUNJU'!K102</f>
        <v>0</v>
      </c>
      <c r="L102" s="49">
        <f>'Avg Week BUSUNJU-KAMPALA'!L102+'Avg Week KAMPALA-BUSUNJU'!L102</f>
        <v>0</v>
      </c>
      <c r="M102" s="49">
        <f>'Avg Week BUSUNJU-KAMPALA'!M102+'Avg Week KAMPALA-BUSUNJU'!M102</f>
        <v>22</v>
      </c>
      <c r="N102" s="49">
        <f>'Avg Week BUSUNJU-KAMPALA'!N102+'Avg Week KAMPALA-BUSUNJU'!N102</f>
        <v>0</v>
      </c>
      <c r="O102" s="15">
        <f t="shared" si="34"/>
        <v>7</v>
      </c>
      <c r="P102" s="15">
        <f t="shared" si="35"/>
        <v>29</v>
      </c>
      <c r="R102" s="8"/>
      <c r="T102"/>
    </row>
    <row r="103" spans="2:20" ht="23.1" customHeight="1" x14ac:dyDescent="0.25">
      <c r="B103" s="23" t="s">
        <v>143</v>
      </c>
      <c r="C103" s="49">
        <f>'Avg Week BUSUNJU-KAMPALA'!C103+'Avg Week KAMPALA-BUSUNJU'!C103</f>
        <v>2</v>
      </c>
      <c r="D103" s="49">
        <f>'Avg Week BUSUNJU-KAMPALA'!D103+'Avg Week KAMPALA-BUSUNJU'!D103</f>
        <v>0</v>
      </c>
      <c r="E103" s="49">
        <f>'Avg Week BUSUNJU-KAMPALA'!E103+'Avg Week KAMPALA-BUSUNJU'!E103</f>
        <v>1</v>
      </c>
      <c r="F103" s="49">
        <f>'Avg Week BUSUNJU-KAMPALA'!F103+'Avg Week KAMPALA-BUSUNJU'!F103</f>
        <v>0</v>
      </c>
      <c r="G103" s="49">
        <f>'Avg Week BUSUNJU-KAMPALA'!G103+'Avg Week KAMPALA-BUSUNJU'!G103</f>
        <v>0</v>
      </c>
      <c r="H103" s="49">
        <f>'Avg Week BUSUNJU-KAMPALA'!H103+'Avg Week KAMPALA-BUSUNJU'!H103</f>
        <v>0</v>
      </c>
      <c r="I103" s="49">
        <f>'Avg Week BUSUNJU-KAMPALA'!I103+'Avg Week KAMPALA-BUSUNJU'!I103</f>
        <v>0</v>
      </c>
      <c r="J103" s="49">
        <f>'Avg Week BUSUNJU-KAMPALA'!J103+'Avg Week KAMPALA-BUSUNJU'!J103</f>
        <v>0</v>
      </c>
      <c r="K103" s="49">
        <f>'Avg Week BUSUNJU-KAMPALA'!K103+'Avg Week KAMPALA-BUSUNJU'!K103</f>
        <v>0</v>
      </c>
      <c r="L103" s="49">
        <f>'Avg Week BUSUNJU-KAMPALA'!L103+'Avg Week KAMPALA-BUSUNJU'!L103</f>
        <v>0</v>
      </c>
      <c r="M103" s="49">
        <f>'Avg Week BUSUNJU-KAMPALA'!M103+'Avg Week KAMPALA-BUSUNJU'!M103</f>
        <v>19.5</v>
      </c>
      <c r="N103" s="49">
        <f>'Avg Week BUSUNJU-KAMPALA'!N103+'Avg Week KAMPALA-BUSUNJU'!N103</f>
        <v>0</v>
      </c>
      <c r="O103" s="15">
        <f t="shared" si="34"/>
        <v>3</v>
      </c>
      <c r="P103" s="15">
        <f t="shared" si="35"/>
        <v>22.5</v>
      </c>
      <c r="R103" s="8"/>
      <c r="T103"/>
    </row>
    <row r="104" spans="2:20" ht="23.1" customHeight="1" x14ac:dyDescent="0.25">
      <c r="B104" s="25" t="s">
        <v>144</v>
      </c>
      <c r="C104" s="49">
        <f>'Avg Week BUSUNJU-KAMPALA'!C104+'Avg Week KAMPALA-BUSUNJU'!C104</f>
        <v>2.5</v>
      </c>
      <c r="D104" s="49">
        <f>'Avg Week BUSUNJU-KAMPALA'!D104+'Avg Week KAMPALA-BUSUNJU'!D104</f>
        <v>0</v>
      </c>
      <c r="E104" s="49">
        <f>'Avg Week BUSUNJU-KAMPALA'!E104+'Avg Week KAMPALA-BUSUNJU'!E104</f>
        <v>1</v>
      </c>
      <c r="F104" s="49">
        <f>'Avg Week BUSUNJU-KAMPALA'!F104+'Avg Week KAMPALA-BUSUNJU'!F104</f>
        <v>0</v>
      </c>
      <c r="G104" s="49">
        <f>'Avg Week BUSUNJU-KAMPALA'!G104+'Avg Week KAMPALA-BUSUNJU'!G104</f>
        <v>0</v>
      </c>
      <c r="H104" s="49">
        <f>'Avg Week BUSUNJU-KAMPALA'!H104+'Avg Week KAMPALA-BUSUNJU'!H104</f>
        <v>0</v>
      </c>
      <c r="I104" s="49">
        <f>'Avg Week BUSUNJU-KAMPALA'!I104+'Avg Week KAMPALA-BUSUNJU'!I104</f>
        <v>1</v>
      </c>
      <c r="J104" s="49">
        <f>'Avg Week BUSUNJU-KAMPALA'!J104+'Avg Week KAMPALA-BUSUNJU'!J104</f>
        <v>0</v>
      </c>
      <c r="K104" s="49">
        <f>'Avg Week BUSUNJU-KAMPALA'!K104+'Avg Week KAMPALA-BUSUNJU'!K104</f>
        <v>0</v>
      </c>
      <c r="L104" s="49">
        <f>'Avg Week BUSUNJU-KAMPALA'!L104+'Avg Week KAMPALA-BUSUNJU'!L104</f>
        <v>0</v>
      </c>
      <c r="M104" s="49">
        <f>'Avg Week BUSUNJU-KAMPALA'!M104+'Avg Week KAMPALA-BUSUNJU'!M104</f>
        <v>17</v>
      </c>
      <c r="N104" s="49">
        <f>'Avg Week BUSUNJU-KAMPALA'!N104+'Avg Week KAMPALA-BUSUNJU'!N104</f>
        <v>0</v>
      </c>
      <c r="O104" s="15">
        <f t="shared" si="34"/>
        <v>4.5</v>
      </c>
      <c r="P104" s="15">
        <f t="shared" si="35"/>
        <v>21.5</v>
      </c>
      <c r="R104" s="8"/>
      <c r="T104"/>
    </row>
    <row r="105" spans="2:20" ht="23.1" customHeight="1" x14ac:dyDescent="0.25">
      <c r="B105" s="23" t="s">
        <v>145</v>
      </c>
      <c r="C105" s="49">
        <f>'Avg Week BUSUNJU-KAMPALA'!C105+'Avg Week KAMPALA-BUSUNJU'!C105</f>
        <v>2</v>
      </c>
      <c r="D105" s="49">
        <f>'Avg Week BUSUNJU-KAMPALA'!D105+'Avg Week KAMPALA-BUSUNJU'!D105</f>
        <v>0</v>
      </c>
      <c r="E105" s="49">
        <f>'Avg Week BUSUNJU-KAMPALA'!E105+'Avg Week KAMPALA-BUSUNJU'!E105</f>
        <v>0</v>
      </c>
      <c r="F105" s="49">
        <f>'Avg Week BUSUNJU-KAMPALA'!F105+'Avg Week KAMPALA-BUSUNJU'!F105</f>
        <v>1</v>
      </c>
      <c r="G105" s="49">
        <f>'Avg Week BUSUNJU-KAMPALA'!G105+'Avg Week KAMPALA-BUSUNJU'!G105</f>
        <v>0</v>
      </c>
      <c r="H105" s="49">
        <f>'Avg Week BUSUNJU-KAMPALA'!H105+'Avg Week KAMPALA-BUSUNJU'!H105</f>
        <v>0</v>
      </c>
      <c r="I105" s="49">
        <f>'Avg Week BUSUNJU-KAMPALA'!I105+'Avg Week KAMPALA-BUSUNJU'!I105</f>
        <v>1</v>
      </c>
      <c r="J105" s="49">
        <f>'Avg Week BUSUNJU-KAMPALA'!J105+'Avg Week KAMPALA-BUSUNJU'!J105</f>
        <v>0</v>
      </c>
      <c r="K105" s="49">
        <f>'Avg Week BUSUNJU-KAMPALA'!K105+'Avg Week KAMPALA-BUSUNJU'!K105</f>
        <v>0</v>
      </c>
      <c r="L105" s="49">
        <f>'Avg Week BUSUNJU-KAMPALA'!L105+'Avg Week KAMPALA-BUSUNJU'!L105</f>
        <v>0</v>
      </c>
      <c r="M105" s="49">
        <f>'Avg Week BUSUNJU-KAMPALA'!M105+'Avg Week KAMPALA-BUSUNJU'!M105</f>
        <v>17</v>
      </c>
      <c r="N105" s="49">
        <f>'Avg Week BUSUNJU-KAMPALA'!N105+'Avg Week KAMPALA-BUSUNJU'!N105</f>
        <v>0</v>
      </c>
      <c r="O105" s="15">
        <f t="shared" si="34"/>
        <v>4</v>
      </c>
      <c r="P105" s="15">
        <f t="shared" si="35"/>
        <v>21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139.14285714285714</v>
      </c>
      <c r="D106" s="16">
        <f>SUM(D10:D105)</f>
        <v>7.8571428571428585</v>
      </c>
      <c r="E106" s="16">
        <f>SUM(E10:E105)</f>
        <v>111.42857142857142</v>
      </c>
      <c r="F106" s="16">
        <f>SUM(F10:F105)</f>
        <v>37.285714285714285</v>
      </c>
      <c r="G106" s="16">
        <f>SUM(G10:G105)</f>
        <v>3.4285714285714284</v>
      </c>
      <c r="H106" s="16">
        <f>SUM(H10:H105)</f>
        <v>0</v>
      </c>
      <c r="I106" s="16">
        <f>SUM(I10:I105)</f>
        <v>148.07142857142856</v>
      </c>
      <c r="J106" s="16">
        <f>SUM(J10:J105)</f>
        <v>5.4285714285714297</v>
      </c>
      <c r="K106" s="16">
        <f>SUM(K10:K105)</f>
        <v>0.2857142857142857</v>
      </c>
      <c r="L106" s="16">
        <f>SUM(L10:L105)</f>
        <v>0</v>
      </c>
      <c r="M106" s="16">
        <f>SUM(M10:M105)</f>
        <v>1978.6428571428571</v>
      </c>
      <c r="N106" s="16">
        <f>SUM(N10:N105)</f>
        <v>0</v>
      </c>
      <c r="O106" s="16">
        <f>SUM(O10:O105)</f>
        <v>452.92857142857144</v>
      </c>
      <c r="P106" s="16">
        <f>SUM(P10:P105)</f>
        <v>2431.5714285714284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6">C106/$P$106</f>
        <v>5.722342988073556E-2</v>
      </c>
      <c r="D107" s="43">
        <f t="shared" si="36"/>
        <v>3.2313025086657668E-3</v>
      </c>
      <c r="E107" s="43">
        <f t="shared" si="36"/>
        <v>4.5825744668350855E-2</v>
      </c>
      <c r="F107" s="43">
        <f t="shared" si="36"/>
        <v>1.5333999177486634E-2</v>
      </c>
      <c r="G107" s="43">
        <f t="shared" si="36"/>
        <v>1.4100229128723341E-3</v>
      </c>
      <c r="H107" s="43">
        <f t="shared" si="36"/>
        <v>0</v>
      </c>
      <c r="I107" s="43">
        <f t="shared" si="36"/>
        <v>6.0895364549673932E-2</v>
      </c>
      <c r="J107" s="43">
        <f t="shared" si="36"/>
        <v>2.2325362787145296E-3</v>
      </c>
      <c r="K107" s="43">
        <f t="shared" si="36"/>
        <v>1.1750190940602784E-4</v>
      </c>
      <c r="L107" s="43">
        <f t="shared" si="36"/>
        <v>0</v>
      </c>
      <c r="M107" s="43">
        <f t="shared" si="36"/>
        <v>0.81373009811409436</v>
      </c>
      <c r="N107" s="43">
        <f t="shared" si="36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0.30720706513168267</v>
      </c>
      <c r="D108" s="44">
        <f t="shared" ref="D108:N108" si="37">D106/$O$106</f>
        <v>1.7347421542343481E-2</v>
      </c>
      <c r="E108" s="44">
        <f t="shared" si="37"/>
        <v>0.24601797823687113</v>
      </c>
      <c r="F108" s="44">
        <f t="shared" si="37"/>
        <v>8.2321400410029957E-2</v>
      </c>
      <c r="G108" s="44">
        <f t="shared" si="37"/>
        <v>7.5697839457498813E-3</v>
      </c>
      <c r="H108" s="44">
        <f t="shared" si="37"/>
        <v>0</v>
      </c>
      <c r="I108" s="44">
        <f t="shared" si="37"/>
        <v>0.32692004415707299</v>
      </c>
      <c r="J108" s="44">
        <f t="shared" si="37"/>
        <v>1.1985491247437315E-2</v>
      </c>
      <c r="K108" s="44">
        <f t="shared" si="37"/>
        <v>6.308153288124901E-4</v>
      </c>
      <c r="L108" s="44">
        <f t="shared" si="37"/>
        <v>0</v>
      </c>
      <c r="M108" s="44"/>
      <c r="N108" s="44">
        <f t="shared" si="37"/>
        <v>0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11.08 BUSUNJU-KAMPALA</vt:lpstr>
      <vt:lpstr>11.08 KAMPALA-BUSUNJU</vt:lpstr>
      <vt:lpstr>12.08 BUSUNJU-KAMPALA</vt:lpstr>
      <vt:lpstr>12.08 KAMPALA-BUSUNJU</vt:lpstr>
      <vt:lpstr>13.08 BUSUNJU-KAMPALA</vt:lpstr>
      <vt:lpstr>13.08 KAMPALA-BUSUNJU</vt:lpstr>
      <vt:lpstr>14.08 BUSUNJU-KAMPALA</vt:lpstr>
      <vt:lpstr>14.08 KAMPALA-BUSUNJU</vt:lpstr>
      <vt:lpstr>15.08 BUSUNJU-KAMPALA</vt:lpstr>
      <vt:lpstr>15.08 KAMPALA-BUSUNJU</vt:lpstr>
      <vt:lpstr>16.08 BUSUNJU-KAMPALA-24h</vt:lpstr>
      <vt:lpstr>16.08 KAMPALA-BUSUNJU-24h</vt:lpstr>
      <vt:lpstr>17.08 BUSUNJU-KAMPALA-24h</vt:lpstr>
      <vt:lpstr>17.08 KAMPALA-BUSUNJU-24h</vt:lpstr>
      <vt:lpstr>Avg Week BUSUNJU-KAMPALA</vt:lpstr>
      <vt:lpstr>Avg Week KAMPALA-BUSUNJU</vt:lpstr>
      <vt:lpstr>Avg Week BUSUNJU-KAMPALA-2Dir</vt:lpstr>
      <vt:lpstr>'11.08 BUSUNJU-KAMPALA'!Print_Area</vt:lpstr>
      <vt:lpstr>'11.08 KAMPALA-BUSUNJU'!Print_Area</vt:lpstr>
      <vt:lpstr>'12.08 BUSUNJU-KAMPALA'!Print_Area</vt:lpstr>
      <vt:lpstr>'12.08 KAMPALA-BUSUNJU'!Print_Area</vt:lpstr>
      <vt:lpstr>'13.08 BUSUNJU-KAMPALA'!Print_Area</vt:lpstr>
      <vt:lpstr>'13.08 KAMPALA-BUSUNJU'!Print_Area</vt:lpstr>
      <vt:lpstr>'14.08 BUSUNJU-KAMPALA'!Print_Area</vt:lpstr>
      <vt:lpstr>'14.08 KAMPALA-BUSUNJU'!Print_Area</vt:lpstr>
      <vt:lpstr>'15.08 BUSUNJU-KAMPALA'!Print_Area</vt:lpstr>
      <vt:lpstr>'15.08 KAMPALA-BUSUNJU'!Print_Area</vt:lpstr>
      <vt:lpstr>'16.08 BUSUNJU-KAMPALA-24h'!Print_Area</vt:lpstr>
      <vt:lpstr>'16.08 KAMPALA-BUSUNJU-24h'!Print_Area</vt:lpstr>
      <vt:lpstr>'17.08 BUSUNJU-KAMPALA-24h'!Print_Area</vt:lpstr>
      <vt:lpstr>'17.08 KAMPALA-BUSUNJU-24h'!Print_Area</vt:lpstr>
      <vt:lpstr>'Avg Week BUSUNJU-KAMPALA'!Print_Area</vt:lpstr>
      <vt:lpstr>'Avg Week BUSUNJU-KAMPALA-2Dir'!Print_Area</vt:lpstr>
      <vt:lpstr>'Avg Week KAMPALA-BUSUNJU'!Print_Area</vt:lpstr>
      <vt:lpstr>'11.08 BUSUNJU-KAMPALA'!Print_Titles</vt:lpstr>
      <vt:lpstr>'11.08 KAMPALA-BUSUNJU'!Print_Titles</vt:lpstr>
      <vt:lpstr>'12.08 BUSUNJU-KAMPALA'!Print_Titles</vt:lpstr>
      <vt:lpstr>'12.08 KAMPALA-BUSUNJU'!Print_Titles</vt:lpstr>
      <vt:lpstr>'13.08 BUSUNJU-KAMPALA'!Print_Titles</vt:lpstr>
      <vt:lpstr>'13.08 KAMPALA-BUSUNJU'!Print_Titles</vt:lpstr>
      <vt:lpstr>'14.08 BUSUNJU-KAMPALA'!Print_Titles</vt:lpstr>
      <vt:lpstr>'14.08 KAMPALA-BUSUNJU'!Print_Titles</vt:lpstr>
      <vt:lpstr>'15.08 BUSUNJU-KAMPALA'!Print_Titles</vt:lpstr>
      <vt:lpstr>'15.08 KAMPALA-BUSUNJU'!Print_Titles</vt:lpstr>
      <vt:lpstr>'16.08 BUSUNJU-KAMPALA-24h'!Print_Titles</vt:lpstr>
      <vt:lpstr>'16.08 KAMPALA-BUSUNJU-24h'!Print_Titles</vt:lpstr>
      <vt:lpstr>'17.08 BUSUNJU-KAMPALA-24h'!Print_Titles</vt:lpstr>
      <vt:lpstr>'17.08 KAMPALA-BUSUNJU-24h'!Print_Titles</vt:lpstr>
      <vt:lpstr>'Avg Week BUSUNJU-KAMPALA'!Print_Titles</vt:lpstr>
      <vt:lpstr>'Avg Week BUSUNJU-KAMPALA-2Dir'!Print_Titles</vt:lpstr>
      <vt:lpstr>'Avg Week KAMPALA-BUSUNJU'!Print_Titles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st</cp:lastModifiedBy>
  <cp:lastPrinted>2019-07-25T18:18:41Z</cp:lastPrinted>
  <dcterms:created xsi:type="dcterms:W3CDTF">2010-07-06T07:39:49Z</dcterms:created>
  <dcterms:modified xsi:type="dcterms:W3CDTF">2019-11-29T06:36:43Z</dcterms:modified>
</cp:coreProperties>
</file>