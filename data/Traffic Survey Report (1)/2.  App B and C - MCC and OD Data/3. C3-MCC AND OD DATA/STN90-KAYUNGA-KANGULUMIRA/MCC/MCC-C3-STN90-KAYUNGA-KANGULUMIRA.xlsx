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1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3 Analysis Complete\STN90-KAYUNGA-KANGULUMIRA\MCC\"/>
    </mc:Choice>
  </mc:AlternateContent>
  <xr:revisionPtr revIDLastSave="0" documentId="13_ncr:1_{1682E00D-0460-4DEE-8EE5-A2680117A2AC}" xr6:coauthVersionLast="45" xr6:coauthVersionMax="45" xr10:uidLastSave="{00000000-0000-0000-0000-000000000000}"/>
  <bookViews>
    <workbookView xWindow="-120" yWindow="-120" windowWidth="20730" windowHeight="11160" tabRatio="908" firstSheet="13" activeTab="16" xr2:uid="{00000000-000D-0000-FFFF-FFFF00000000}"/>
  </bookViews>
  <sheets>
    <sheet name="19.8 Kayunga-Kangulumira" sheetId="93" r:id="rId1"/>
    <sheet name="19.8 Kangulumira-Kayunga" sheetId="100" r:id="rId2"/>
    <sheet name="20.8 Kayunga-Kangulumira" sheetId="94" r:id="rId3"/>
    <sheet name="20.8 Kangulumira-Kayunga" sheetId="101" r:id="rId4"/>
    <sheet name="21.8 Kayunga-Kangulumira" sheetId="95" r:id="rId5"/>
    <sheet name="21.8 Kangulumira-Kayunga" sheetId="109" r:id="rId6"/>
    <sheet name="22.8 Kayunga-Kangulumira" sheetId="96" r:id="rId7"/>
    <sheet name="22.8 Kaangulumira-Kayunga" sheetId="105" r:id="rId8"/>
    <sheet name="23.8 Kayunga-Kangulumira" sheetId="97" r:id="rId9"/>
    <sheet name="23.8 Kangulumira-Kayunga" sheetId="110" r:id="rId10"/>
    <sheet name="24.8 Kayunga-Kangulumira" sheetId="98" r:id="rId11"/>
    <sheet name="24.8 Kangulumira-Kayunga" sheetId="103" r:id="rId12"/>
    <sheet name="25.8 Kayunga-Kangulumira" sheetId="99" r:id="rId13"/>
    <sheet name="25.8 Kangulumira-Kayunga" sheetId="104" r:id="rId14"/>
    <sheet name="Avg Week Kayunga-Kangulumira" sheetId="107" r:id="rId15"/>
    <sheet name="Avg Week Kangulumira-Kayunga" sheetId="108" r:id="rId16"/>
    <sheet name="Avg Week Kayunga-Kangulumi-2Dir" sheetId="111" r:id="rId17"/>
  </sheets>
  <externalReferences>
    <externalReference r:id="rId18"/>
  </externalReferences>
  <definedNames>
    <definedName name="_xlnm.Print_Area" localSheetId="1">'19.8 Kangulumira-Kayunga'!$A$1:$AF$60</definedName>
    <definedName name="_xlnm.Print_Area" localSheetId="0">'19.8 Kayunga-Kangulumira'!$A$1:$AF$60</definedName>
    <definedName name="_xlnm.Print_Area" localSheetId="3">'20.8 Kangulumira-Kayunga'!$A$1:$AF$108</definedName>
    <definedName name="_xlnm.Print_Area" localSheetId="2">'20.8 Kayunga-Kangulumira'!$A$1:$AF$109</definedName>
    <definedName name="_xlnm.Print_Area" localSheetId="5">'21.8 Kangulumira-Kayunga'!$A$1:$AF$108</definedName>
    <definedName name="_xlnm.Print_Area" localSheetId="4">'21.8 Kayunga-Kangulumira'!$A$1:$AF$60</definedName>
    <definedName name="_xlnm.Print_Area" localSheetId="7">'22.8 Kaangulumira-Kayunga'!$A$1:$AF$108</definedName>
    <definedName name="_xlnm.Print_Area" localSheetId="6">'22.8 Kayunga-Kangulumira'!$A$1:$AF$60</definedName>
    <definedName name="_xlnm.Print_Area" localSheetId="9">'23.8 Kangulumira-Kayunga'!$A$1:$AF$108</definedName>
    <definedName name="_xlnm.Print_Area" localSheetId="8">'23.8 Kayunga-Kangulumira'!$A$1:$AF$60</definedName>
    <definedName name="_xlnm.Print_Area" localSheetId="11">'24.8 Kangulumira-Kayunga'!$A$1:$AF$60</definedName>
    <definedName name="_xlnm.Print_Area" localSheetId="10">'24.8 Kayunga-Kangulumira'!$A$1:$AF$60</definedName>
    <definedName name="_xlnm.Print_Area" localSheetId="13">'25.8 Kangulumira-Kayunga'!$A$1:$AF$60</definedName>
    <definedName name="_xlnm.Print_Area" localSheetId="12">'25.8 Kayunga-Kangulumira'!$A$1:$AF$60</definedName>
    <definedName name="_xlnm.Print_Area" localSheetId="15">'Avg Week Kangulumira-Kayunga'!$A$1:$AF$108</definedName>
    <definedName name="_xlnm.Print_Area" localSheetId="16">'Avg Week Kayunga-Kangulumi-2Dir'!$A$1:$AF$108</definedName>
    <definedName name="_xlnm.Print_Area" localSheetId="14">'Avg Week Kayunga-Kangulumira'!$A$1:$AF$108</definedName>
    <definedName name="_xlnm.Print_Titles" localSheetId="1">'19.8 Kangulumira-Kayunga'!$1:$8</definedName>
    <definedName name="_xlnm.Print_Titles" localSheetId="0">'19.8 Kayunga-Kangulumira'!$1:$8</definedName>
    <definedName name="_xlnm.Print_Titles" localSheetId="3">'20.8 Kangulumira-Kayunga'!$1:$8</definedName>
    <definedName name="_xlnm.Print_Titles" localSheetId="2">'20.8 Kayunga-Kangulumira'!$1:$8</definedName>
    <definedName name="_xlnm.Print_Titles" localSheetId="5">'21.8 Kangulumira-Kayunga'!$1:$8</definedName>
    <definedName name="_xlnm.Print_Titles" localSheetId="4">'21.8 Kayunga-Kangulumira'!$1:$8</definedName>
    <definedName name="_xlnm.Print_Titles" localSheetId="7">'22.8 Kaangulumira-Kayunga'!$1:$8</definedName>
    <definedName name="_xlnm.Print_Titles" localSheetId="6">'22.8 Kayunga-Kangulumira'!$1:$8</definedName>
    <definedName name="_xlnm.Print_Titles" localSheetId="9">'23.8 Kangulumira-Kayunga'!$1:$8</definedName>
    <definedName name="_xlnm.Print_Titles" localSheetId="8">'23.8 Kayunga-Kangulumira'!$1:$8</definedName>
    <definedName name="_xlnm.Print_Titles" localSheetId="11">'24.8 Kangulumira-Kayunga'!$1:$8</definedName>
    <definedName name="_xlnm.Print_Titles" localSheetId="10">'24.8 Kayunga-Kangulumira'!$1:$8</definedName>
    <definedName name="_xlnm.Print_Titles" localSheetId="13">'25.8 Kangulumira-Kayunga'!$1:$8</definedName>
    <definedName name="_xlnm.Print_Titles" localSheetId="12">'25.8 Kayunga-Kangulumira'!$1:$8</definedName>
    <definedName name="_xlnm.Print_Titles" localSheetId="15">'Avg Week Kangulumira-Kayunga'!$1:$8</definedName>
    <definedName name="_xlnm.Print_Titles" localSheetId="16">'Avg Week Kayunga-Kangulumi-2Dir'!$1:$8</definedName>
    <definedName name="_xlnm.Print_Titles" localSheetId="14">'Avg Week Kayunga-Kangulumira'!$1:$8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9" i="108" l="1"/>
  <c r="E59" i="108"/>
  <c r="D60" i="108"/>
  <c r="E60" i="108"/>
  <c r="D61" i="108"/>
  <c r="E61" i="108"/>
  <c r="D62" i="108"/>
  <c r="E62" i="108"/>
  <c r="D63" i="108"/>
  <c r="E63" i="108"/>
  <c r="D64" i="108"/>
  <c r="E64" i="108"/>
  <c r="D65" i="108"/>
  <c r="E65" i="108"/>
  <c r="D66" i="108"/>
  <c r="E66" i="108"/>
  <c r="D67" i="108"/>
  <c r="E67" i="108"/>
  <c r="D68" i="108"/>
  <c r="E68" i="108"/>
  <c r="D69" i="108"/>
  <c r="E69" i="108"/>
  <c r="D70" i="108"/>
  <c r="E70" i="108"/>
  <c r="D71" i="108"/>
  <c r="E71" i="108"/>
  <c r="D72" i="108"/>
  <c r="E72" i="108"/>
  <c r="D73" i="108"/>
  <c r="E73" i="108"/>
  <c r="D74" i="108"/>
  <c r="E74" i="108"/>
  <c r="D75" i="108"/>
  <c r="E75" i="108"/>
  <c r="D76" i="108"/>
  <c r="E76" i="108"/>
  <c r="D77" i="108"/>
  <c r="E77" i="108"/>
  <c r="D78" i="108"/>
  <c r="E78" i="108"/>
  <c r="D79" i="108"/>
  <c r="E79" i="108"/>
  <c r="D80" i="108"/>
  <c r="E80" i="108"/>
  <c r="D81" i="108"/>
  <c r="E81" i="108"/>
  <c r="D82" i="108"/>
  <c r="E82" i="108"/>
  <c r="D83" i="108"/>
  <c r="E83" i="108"/>
  <c r="D84" i="108"/>
  <c r="E84" i="108"/>
  <c r="D85" i="108"/>
  <c r="E85" i="108"/>
  <c r="D86" i="108"/>
  <c r="E86" i="108"/>
  <c r="D87" i="108"/>
  <c r="E87" i="108"/>
  <c r="D88" i="108"/>
  <c r="E88" i="108"/>
  <c r="D89" i="108"/>
  <c r="E89" i="108"/>
  <c r="D90" i="108"/>
  <c r="E90" i="108"/>
  <c r="D91" i="108"/>
  <c r="E91" i="108"/>
  <c r="D92" i="108"/>
  <c r="E92" i="108"/>
  <c r="D93" i="108"/>
  <c r="E93" i="108"/>
  <c r="D94" i="108"/>
  <c r="E94" i="108"/>
  <c r="D95" i="108"/>
  <c r="E95" i="108"/>
  <c r="D96" i="108"/>
  <c r="E96" i="108"/>
  <c r="D97" i="108"/>
  <c r="E97" i="108"/>
  <c r="D98" i="108"/>
  <c r="E98" i="108"/>
  <c r="D99" i="108"/>
  <c r="E99" i="108"/>
  <c r="D100" i="108"/>
  <c r="E100" i="108"/>
  <c r="D101" i="108"/>
  <c r="E101" i="108"/>
  <c r="D102" i="108"/>
  <c r="E102" i="108"/>
  <c r="D103" i="108"/>
  <c r="E103" i="108"/>
  <c r="D104" i="108"/>
  <c r="E104" i="108"/>
  <c r="D105" i="108"/>
  <c r="E105" i="108"/>
  <c r="E58" i="108"/>
  <c r="D58" i="108"/>
  <c r="D11" i="108"/>
  <c r="E11" i="108"/>
  <c r="D12" i="108"/>
  <c r="E12" i="108"/>
  <c r="D13" i="108"/>
  <c r="E13" i="108"/>
  <c r="D14" i="108"/>
  <c r="E14" i="108"/>
  <c r="D15" i="108"/>
  <c r="E15" i="108"/>
  <c r="D16" i="108"/>
  <c r="E16" i="108"/>
  <c r="D17" i="108"/>
  <c r="E17" i="108"/>
  <c r="D18" i="108"/>
  <c r="E18" i="108"/>
  <c r="D19" i="108"/>
  <c r="E19" i="108"/>
  <c r="D20" i="108"/>
  <c r="E20" i="108"/>
  <c r="D21" i="108"/>
  <c r="E21" i="108"/>
  <c r="D22" i="108"/>
  <c r="E22" i="108"/>
  <c r="D23" i="108"/>
  <c r="E23" i="108"/>
  <c r="D24" i="108"/>
  <c r="E24" i="108"/>
  <c r="D25" i="108"/>
  <c r="E25" i="108"/>
  <c r="D26" i="108"/>
  <c r="E26" i="108"/>
  <c r="D27" i="108"/>
  <c r="E27" i="108"/>
  <c r="D28" i="108"/>
  <c r="E28" i="108"/>
  <c r="D29" i="108"/>
  <c r="E29" i="108"/>
  <c r="D30" i="108"/>
  <c r="E30" i="108"/>
  <c r="D31" i="108"/>
  <c r="E31" i="108"/>
  <c r="D32" i="108"/>
  <c r="E32" i="108"/>
  <c r="D33" i="108"/>
  <c r="E33" i="108"/>
  <c r="D34" i="108"/>
  <c r="E34" i="108"/>
  <c r="D35" i="108"/>
  <c r="E35" i="108"/>
  <c r="D36" i="108"/>
  <c r="E36" i="108"/>
  <c r="D37" i="108"/>
  <c r="E37" i="108"/>
  <c r="D38" i="108"/>
  <c r="E38" i="108"/>
  <c r="D39" i="108"/>
  <c r="E39" i="108"/>
  <c r="D40" i="108"/>
  <c r="E40" i="108"/>
  <c r="D41" i="108"/>
  <c r="E41" i="108"/>
  <c r="D42" i="108"/>
  <c r="E42" i="108"/>
  <c r="D43" i="108"/>
  <c r="E43" i="108"/>
  <c r="D44" i="108"/>
  <c r="E44" i="108"/>
  <c r="D45" i="108"/>
  <c r="E45" i="108"/>
  <c r="D46" i="108"/>
  <c r="E46" i="108"/>
  <c r="D47" i="108"/>
  <c r="E47" i="108"/>
  <c r="D48" i="108"/>
  <c r="E48" i="108"/>
  <c r="D49" i="108"/>
  <c r="E49" i="108"/>
  <c r="D50" i="108"/>
  <c r="E50" i="108"/>
  <c r="D51" i="108"/>
  <c r="E51" i="108"/>
  <c r="D52" i="108"/>
  <c r="E52" i="108"/>
  <c r="D53" i="108"/>
  <c r="E53" i="108"/>
  <c r="D54" i="108"/>
  <c r="E54" i="108"/>
  <c r="D55" i="108"/>
  <c r="E55" i="108"/>
  <c r="D56" i="108"/>
  <c r="E56" i="108"/>
  <c r="D57" i="108"/>
  <c r="E57" i="108"/>
  <c r="E10" i="108"/>
  <c r="D10" i="108"/>
  <c r="D59" i="107"/>
  <c r="E59" i="107"/>
  <c r="D60" i="107"/>
  <c r="E60" i="107"/>
  <c r="D61" i="107"/>
  <c r="E61" i="107"/>
  <c r="D62" i="107"/>
  <c r="E62" i="107"/>
  <c r="D63" i="107"/>
  <c r="E63" i="107"/>
  <c r="D64" i="107"/>
  <c r="E64" i="107"/>
  <c r="D65" i="107"/>
  <c r="E65" i="107"/>
  <c r="D66" i="107"/>
  <c r="E66" i="107"/>
  <c r="D67" i="107"/>
  <c r="E67" i="107"/>
  <c r="D68" i="107"/>
  <c r="E68" i="107"/>
  <c r="D69" i="107"/>
  <c r="E69" i="107"/>
  <c r="D70" i="107"/>
  <c r="E70" i="107"/>
  <c r="D71" i="107"/>
  <c r="E71" i="107"/>
  <c r="D72" i="107"/>
  <c r="E72" i="107"/>
  <c r="D73" i="107"/>
  <c r="E73" i="107"/>
  <c r="D74" i="107"/>
  <c r="E74" i="107"/>
  <c r="D75" i="107"/>
  <c r="E75" i="107"/>
  <c r="D76" i="107"/>
  <c r="E76" i="107"/>
  <c r="D77" i="107"/>
  <c r="E77" i="107"/>
  <c r="D78" i="107"/>
  <c r="E78" i="107"/>
  <c r="D79" i="107"/>
  <c r="E79" i="107"/>
  <c r="D80" i="107"/>
  <c r="E80" i="107"/>
  <c r="D81" i="107"/>
  <c r="E81" i="107"/>
  <c r="D82" i="107"/>
  <c r="E82" i="107"/>
  <c r="D83" i="107"/>
  <c r="E83" i="107"/>
  <c r="D84" i="107"/>
  <c r="E84" i="107"/>
  <c r="D85" i="107"/>
  <c r="E85" i="107"/>
  <c r="D86" i="107"/>
  <c r="E86" i="107"/>
  <c r="D87" i="107"/>
  <c r="E87" i="107"/>
  <c r="D88" i="107"/>
  <c r="E88" i="107"/>
  <c r="D89" i="107"/>
  <c r="E89" i="107"/>
  <c r="D90" i="107"/>
  <c r="E90" i="107"/>
  <c r="D91" i="107"/>
  <c r="E91" i="107"/>
  <c r="D92" i="107"/>
  <c r="E92" i="107"/>
  <c r="D93" i="107"/>
  <c r="E93" i="107"/>
  <c r="D94" i="107"/>
  <c r="E94" i="107"/>
  <c r="D95" i="107"/>
  <c r="E95" i="107"/>
  <c r="D96" i="107"/>
  <c r="E96" i="107"/>
  <c r="D97" i="107"/>
  <c r="E97" i="107"/>
  <c r="D98" i="107"/>
  <c r="E98" i="107"/>
  <c r="D99" i="107"/>
  <c r="E99" i="107"/>
  <c r="D100" i="107"/>
  <c r="E100" i="107"/>
  <c r="D101" i="107"/>
  <c r="E101" i="107"/>
  <c r="D102" i="107"/>
  <c r="E102" i="107"/>
  <c r="D103" i="107"/>
  <c r="E103" i="107"/>
  <c r="D104" i="107"/>
  <c r="E104" i="107"/>
  <c r="D105" i="107"/>
  <c r="E105" i="107"/>
  <c r="E58" i="107"/>
  <c r="D58" i="107"/>
  <c r="D11" i="107"/>
  <c r="E11" i="107"/>
  <c r="D12" i="107"/>
  <c r="E12" i="107"/>
  <c r="D13" i="107"/>
  <c r="E13" i="107"/>
  <c r="D14" i="107"/>
  <c r="E14" i="107"/>
  <c r="D15" i="107"/>
  <c r="E15" i="107"/>
  <c r="D16" i="107"/>
  <c r="E16" i="107"/>
  <c r="D17" i="107"/>
  <c r="E17" i="107"/>
  <c r="D18" i="107"/>
  <c r="E18" i="107"/>
  <c r="D19" i="107"/>
  <c r="E19" i="107"/>
  <c r="D20" i="107"/>
  <c r="E20" i="107"/>
  <c r="D21" i="107"/>
  <c r="E21" i="107"/>
  <c r="D22" i="107"/>
  <c r="E22" i="107"/>
  <c r="D23" i="107"/>
  <c r="E23" i="107"/>
  <c r="D24" i="107"/>
  <c r="E24" i="107"/>
  <c r="D25" i="107"/>
  <c r="E25" i="107"/>
  <c r="D26" i="107"/>
  <c r="E26" i="107"/>
  <c r="D27" i="107"/>
  <c r="E27" i="107"/>
  <c r="D28" i="107"/>
  <c r="E28" i="107"/>
  <c r="D29" i="107"/>
  <c r="E29" i="107"/>
  <c r="D30" i="107"/>
  <c r="E30" i="107"/>
  <c r="D31" i="107"/>
  <c r="E31" i="107"/>
  <c r="D32" i="107"/>
  <c r="E32" i="107"/>
  <c r="D33" i="107"/>
  <c r="E33" i="107"/>
  <c r="D34" i="107"/>
  <c r="E34" i="107"/>
  <c r="D35" i="107"/>
  <c r="E35" i="107"/>
  <c r="D36" i="107"/>
  <c r="E36" i="107"/>
  <c r="D37" i="107"/>
  <c r="E37" i="107"/>
  <c r="D38" i="107"/>
  <c r="E38" i="107"/>
  <c r="D39" i="107"/>
  <c r="E39" i="107"/>
  <c r="D40" i="107"/>
  <c r="E40" i="107"/>
  <c r="D41" i="107"/>
  <c r="E41" i="107"/>
  <c r="D42" i="107"/>
  <c r="E42" i="107"/>
  <c r="D43" i="107"/>
  <c r="E43" i="107"/>
  <c r="D44" i="107"/>
  <c r="E44" i="107"/>
  <c r="D45" i="107"/>
  <c r="E45" i="107"/>
  <c r="D46" i="107"/>
  <c r="E46" i="107"/>
  <c r="D47" i="107"/>
  <c r="E47" i="107"/>
  <c r="D48" i="107"/>
  <c r="E48" i="107"/>
  <c r="D49" i="107"/>
  <c r="E49" i="107"/>
  <c r="D50" i="107"/>
  <c r="E50" i="107"/>
  <c r="D51" i="107"/>
  <c r="E51" i="107"/>
  <c r="D52" i="107"/>
  <c r="E52" i="107"/>
  <c r="D53" i="107"/>
  <c r="E53" i="107"/>
  <c r="D54" i="107"/>
  <c r="E54" i="107"/>
  <c r="D55" i="107"/>
  <c r="E55" i="107"/>
  <c r="D56" i="107"/>
  <c r="E56" i="107"/>
  <c r="D57" i="107"/>
  <c r="E57" i="107"/>
  <c r="E10" i="107"/>
  <c r="D10" i="107"/>
  <c r="C58" i="111" l="1"/>
  <c r="D58" i="111"/>
  <c r="E58" i="111"/>
  <c r="P58" i="111" s="1"/>
  <c r="F58" i="111"/>
  <c r="G58" i="111"/>
  <c r="H58" i="111"/>
  <c r="I58" i="111"/>
  <c r="J58" i="111"/>
  <c r="K58" i="111"/>
  <c r="L58" i="111"/>
  <c r="M58" i="111"/>
  <c r="N58" i="111"/>
  <c r="C59" i="111"/>
  <c r="D59" i="111"/>
  <c r="E59" i="11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P62" i="111" s="1"/>
  <c r="E62" i="111"/>
  <c r="F62" i="111"/>
  <c r="G62" i="111"/>
  <c r="H62" i="111"/>
  <c r="I62" i="111"/>
  <c r="J62" i="111"/>
  <c r="K62" i="111"/>
  <c r="L62" i="111"/>
  <c r="M62" i="111"/>
  <c r="N62" i="111"/>
  <c r="C63" i="111"/>
  <c r="O63" i="111" s="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P66" i="111" s="1"/>
  <c r="E66" i="111"/>
  <c r="F66" i="111"/>
  <c r="G66" i="111"/>
  <c r="H66" i="111"/>
  <c r="I66" i="111"/>
  <c r="J66" i="111"/>
  <c r="K66" i="111"/>
  <c r="L66" i="11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O68" i="111" s="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O72" i="111" s="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P73" i="111" s="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O76" i="111" s="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J78" i="111"/>
  <c r="K78" i="111"/>
  <c r="L78" i="11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P81" i="111"/>
  <c r="C82" i="111"/>
  <c r="D82" i="111"/>
  <c r="E82" i="111"/>
  <c r="F82" i="111"/>
  <c r="G82" i="111"/>
  <c r="H82" i="111"/>
  <c r="I82" i="111"/>
  <c r="J82" i="111"/>
  <c r="K82" i="111"/>
  <c r="L82" i="11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P85" i="111" s="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P89" i="111" s="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J90" i="111"/>
  <c r="K90" i="111"/>
  <c r="L90" i="11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O98" i="111" s="1"/>
  <c r="D98" i="111"/>
  <c r="E98" i="111"/>
  <c r="F98" i="111"/>
  <c r="G98" i="111"/>
  <c r="H98" i="111"/>
  <c r="I98" i="111"/>
  <c r="J98" i="111"/>
  <c r="K98" i="111"/>
  <c r="L98" i="11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P101" i="111"/>
  <c r="C102" i="111"/>
  <c r="D102" i="111"/>
  <c r="E102" i="111"/>
  <c r="F102" i="111"/>
  <c r="G102" i="111"/>
  <c r="H102" i="111"/>
  <c r="P102" i="111" s="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O105" i="111" s="1"/>
  <c r="G105" i="111"/>
  <c r="H105" i="111"/>
  <c r="I105" i="111"/>
  <c r="J105" i="111"/>
  <c r="K105" i="111"/>
  <c r="L105" i="111"/>
  <c r="M105" i="111"/>
  <c r="N105" i="111"/>
  <c r="C59" i="108"/>
  <c r="F59" i="108"/>
  <c r="G59" i="108"/>
  <c r="H59" i="108"/>
  <c r="I59" i="108"/>
  <c r="J59" i="108"/>
  <c r="O59" i="108" s="1"/>
  <c r="K59" i="108"/>
  <c r="L59" i="108"/>
  <c r="M59" i="108"/>
  <c r="N59" i="108"/>
  <c r="C60" i="108"/>
  <c r="F60" i="108"/>
  <c r="O60" i="108" s="1"/>
  <c r="G60" i="108"/>
  <c r="H60" i="108"/>
  <c r="I60" i="108"/>
  <c r="J60" i="108"/>
  <c r="K60" i="108"/>
  <c r="L60" i="108"/>
  <c r="M60" i="108"/>
  <c r="N60" i="108"/>
  <c r="C61" i="108"/>
  <c r="F61" i="108"/>
  <c r="G61" i="108"/>
  <c r="H61" i="108"/>
  <c r="I61" i="108"/>
  <c r="J61" i="108"/>
  <c r="P61" i="108" s="1"/>
  <c r="K61" i="108"/>
  <c r="L61" i="108"/>
  <c r="M61" i="108"/>
  <c r="N61" i="108"/>
  <c r="C62" i="108"/>
  <c r="F62" i="108"/>
  <c r="O62" i="108" s="1"/>
  <c r="G62" i="108"/>
  <c r="H62" i="108"/>
  <c r="I62" i="108"/>
  <c r="J62" i="108"/>
  <c r="K62" i="108"/>
  <c r="L62" i="108"/>
  <c r="M62" i="108"/>
  <c r="N62" i="108"/>
  <c r="C63" i="108"/>
  <c r="F63" i="108"/>
  <c r="G63" i="108"/>
  <c r="H63" i="108"/>
  <c r="I63" i="108"/>
  <c r="J63" i="108"/>
  <c r="O63" i="108" s="1"/>
  <c r="K63" i="108"/>
  <c r="L63" i="108"/>
  <c r="M63" i="108"/>
  <c r="N63" i="108"/>
  <c r="C64" i="108"/>
  <c r="F64" i="108"/>
  <c r="O64" i="108" s="1"/>
  <c r="G64" i="108"/>
  <c r="H64" i="108"/>
  <c r="I64" i="108"/>
  <c r="J64" i="108"/>
  <c r="K64" i="108"/>
  <c r="L64" i="108"/>
  <c r="M64" i="108"/>
  <c r="N64" i="108"/>
  <c r="C65" i="108"/>
  <c r="F65" i="108"/>
  <c r="G65" i="108"/>
  <c r="P65" i="108" s="1"/>
  <c r="H65" i="108"/>
  <c r="I65" i="108"/>
  <c r="J65" i="108"/>
  <c r="K65" i="108"/>
  <c r="L65" i="108"/>
  <c r="M65" i="108"/>
  <c r="N65" i="108"/>
  <c r="C66" i="108"/>
  <c r="O66" i="108" s="1"/>
  <c r="F66" i="108"/>
  <c r="G66" i="108"/>
  <c r="H66" i="108"/>
  <c r="I66" i="108"/>
  <c r="J66" i="108"/>
  <c r="K66" i="108"/>
  <c r="L66" i="108"/>
  <c r="M66" i="108"/>
  <c r="N66" i="108"/>
  <c r="C67" i="108"/>
  <c r="F67" i="108"/>
  <c r="G67" i="108"/>
  <c r="O67" i="108" s="1"/>
  <c r="H67" i="108"/>
  <c r="I67" i="108"/>
  <c r="J67" i="108"/>
  <c r="K67" i="108"/>
  <c r="L67" i="108"/>
  <c r="M67" i="108"/>
  <c r="N67" i="108"/>
  <c r="C68" i="108"/>
  <c r="O68" i="108" s="1"/>
  <c r="F68" i="108"/>
  <c r="G68" i="108"/>
  <c r="H68" i="108"/>
  <c r="I68" i="108"/>
  <c r="J68" i="108"/>
  <c r="K68" i="108"/>
  <c r="L68" i="108"/>
  <c r="M68" i="108"/>
  <c r="N68" i="108"/>
  <c r="C69" i="108"/>
  <c r="F69" i="108"/>
  <c r="G69" i="108"/>
  <c r="H69" i="108"/>
  <c r="I69" i="108"/>
  <c r="J69" i="108"/>
  <c r="K69" i="108"/>
  <c r="L69" i="108"/>
  <c r="M69" i="108"/>
  <c r="N69" i="108"/>
  <c r="C70" i="108"/>
  <c r="O70" i="108" s="1"/>
  <c r="F70" i="108"/>
  <c r="G70" i="108"/>
  <c r="H70" i="108"/>
  <c r="I70" i="108"/>
  <c r="J70" i="108"/>
  <c r="K70" i="108"/>
  <c r="L70" i="108"/>
  <c r="M70" i="108"/>
  <c r="N70" i="108"/>
  <c r="C71" i="108"/>
  <c r="F71" i="108"/>
  <c r="G71" i="108"/>
  <c r="O71" i="108" s="1"/>
  <c r="H71" i="108"/>
  <c r="I71" i="108"/>
  <c r="J71" i="108"/>
  <c r="K71" i="108"/>
  <c r="L71" i="108"/>
  <c r="M71" i="108"/>
  <c r="N71" i="108"/>
  <c r="C72" i="108"/>
  <c r="O72" i="108" s="1"/>
  <c r="F72" i="108"/>
  <c r="G72" i="108"/>
  <c r="H72" i="108"/>
  <c r="I72" i="108"/>
  <c r="J72" i="108"/>
  <c r="K72" i="108"/>
  <c r="L72" i="108"/>
  <c r="M72" i="108"/>
  <c r="N72" i="108"/>
  <c r="C73" i="108"/>
  <c r="F73" i="108"/>
  <c r="G73" i="108"/>
  <c r="P73" i="108" s="1"/>
  <c r="H73" i="108"/>
  <c r="I73" i="108"/>
  <c r="J73" i="108"/>
  <c r="K73" i="108"/>
  <c r="L73" i="108"/>
  <c r="M73" i="108"/>
  <c r="N73" i="108"/>
  <c r="C74" i="108"/>
  <c r="O74" i="108" s="1"/>
  <c r="F74" i="108"/>
  <c r="G74" i="108"/>
  <c r="H74" i="108"/>
  <c r="I74" i="108"/>
  <c r="J74" i="108"/>
  <c r="K74" i="108"/>
  <c r="L74" i="108"/>
  <c r="M74" i="108"/>
  <c r="N74" i="108"/>
  <c r="C75" i="108"/>
  <c r="F75" i="108"/>
  <c r="G75" i="108"/>
  <c r="O75" i="108" s="1"/>
  <c r="H75" i="108"/>
  <c r="I75" i="108"/>
  <c r="J75" i="108"/>
  <c r="K75" i="108"/>
  <c r="L75" i="108"/>
  <c r="M75" i="108"/>
  <c r="N75" i="108"/>
  <c r="C76" i="108"/>
  <c r="O76" i="108" s="1"/>
  <c r="F76" i="108"/>
  <c r="G76" i="108"/>
  <c r="H76" i="108"/>
  <c r="I76" i="108"/>
  <c r="J76" i="108"/>
  <c r="K76" i="108"/>
  <c r="L76" i="108"/>
  <c r="M76" i="108"/>
  <c r="N76" i="108"/>
  <c r="C77" i="108"/>
  <c r="F77" i="108"/>
  <c r="G77" i="108"/>
  <c r="P77" i="108" s="1"/>
  <c r="H77" i="108"/>
  <c r="I77" i="108"/>
  <c r="J77" i="108"/>
  <c r="K77" i="108"/>
  <c r="L77" i="108"/>
  <c r="M77" i="108"/>
  <c r="N77" i="108"/>
  <c r="C78" i="108"/>
  <c r="O78" i="108" s="1"/>
  <c r="F78" i="108"/>
  <c r="G78" i="108"/>
  <c r="H78" i="108"/>
  <c r="I78" i="108"/>
  <c r="J78" i="108"/>
  <c r="K78" i="108"/>
  <c r="L78" i="108"/>
  <c r="M78" i="108"/>
  <c r="N78" i="108"/>
  <c r="C79" i="108"/>
  <c r="F79" i="108"/>
  <c r="G79" i="108"/>
  <c r="O79" i="108" s="1"/>
  <c r="H79" i="108"/>
  <c r="I79" i="108"/>
  <c r="J79" i="108"/>
  <c r="K79" i="108"/>
  <c r="L79" i="108"/>
  <c r="M79" i="108"/>
  <c r="N79" i="108"/>
  <c r="C80" i="108"/>
  <c r="O80" i="108" s="1"/>
  <c r="F80" i="108"/>
  <c r="G80" i="108"/>
  <c r="H80" i="108"/>
  <c r="I80" i="108"/>
  <c r="J80" i="108"/>
  <c r="K80" i="108"/>
  <c r="L80" i="108"/>
  <c r="M80" i="108"/>
  <c r="N80" i="108"/>
  <c r="C81" i="108"/>
  <c r="F81" i="108"/>
  <c r="G81" i="108"/>
  <c r="P81" i="108" s="1"/>
  <c r="H81" i="108"/>
  <c r="I81" i="108"/>
  <c r="J81" i="108"/>
  <c r="K81" i="108"/>
  <c r="L81" i="108"/>
  <c r="M81" i="108"/>
  <c r="N81" i="108"/>
  <c r="C82" i="108"/>
  <c r="O82" i="108" s="1"/>
  <c r="F82" i="108"/>
  <c r="G82" i="108"/>
  <c r="H82" i="108"/>
  <c r="I82" i="108"/>
  <c r="J82" i="108"/>
  <c r="K82" i="108"/>
  <c r="L82" i="108"/>
  <c r="M82" i="108"/>
  <c r="N82" i="108"/>
  <c r="C83" i="108"/>
  <c r="F83" i="108"/>
  <c r="G83" i="108"/>
  <c r="O83" i="108" s="1"/>
  <c r="H83" i="108"/>
  <c r="I83" i="108"/>
  <c r="J83" i="108"/>
  <c r="K83" i="108"/>
  <c r="L83" i="108"/>
  <c r="M83" i="108"/>
  <c r="N83" i="108"/>
  <c r="C84" i="108"/>
  <c r="O84" i="108" s="1"/>
  <c r="F84" i="108"/>
  <c r="G84" i="108"/>
  <c r="H84" i="108"/>
  <c r="I84" i="108"/>
  <c r="J84" i="108"/>
  <c r="K84" i="108"/>
  <c r="L84" i="108"/>
  <c r="M84" i="108"/>
  <c r="N84" i="108"/>
  <c r="C85" i="108"/>
  <c r="F85" i="108"/>
  <c r="G85" i="108"/>
  <c r="P85" i="108" s="1"/>
  <c r="H85" i="108"/>
  <c r="I85" i="108"/>
  <c r="J85" i="108"/>
  <c r="K85" i="108"/>
  <c r="L85" i="108"/>
  <c r="M85" i="108"/>
  <c r="N85" i="108"/>
  <c r="C86" i="108"/>
  <c r="O86" i="108" s="1"/>
  <c r="F86" i="108"/>
  <c r="G86" i="108"/>
  <c r="H86" i="108"/>
  <c r="I86" i="108"/>
  <c r="J86" i="108"/>
  <c r="K86" i="108"/>
  <c r="L86" i="108"/>
  <c r="M86" i="108"/>
  <c r="N86" i="108"/>
  <c r="C87" i="108"/>
  <c r="F87" i="108"/>
  <c r="G87" i="108"/>
  <c r="O87" i="108" s="1"/>
  <c r="H87" i="108"/>
  <c r="I87" i="108"/>
  <c r="J87" i="108"/>
  <c r="K87" i="108"/>
  <c r="L87" i="108"/>
  <c r="M87" i="108"/>
  <c r="N87" i="108"/>
  <c r="C88" i="108"/>
  <c r="O88" i="108" s="1"/>
  <c r="F88" i="108"/>
  <c r="G88" i="108"/>
  <c r="H88" i="108"/>
  <c r="I88" i="108"/>
  <c r="J88" i="108"/>
  <c r="K88" i="108"/>
  <c r="L88" i="108"/>
  <c r="M88" i="108"/>
  <c r="N88" i="108"/>
  <c r="C89" i="108"/>
  <c r="F89" i="108"/>
  <c r="G89" i="108"/>
  <c r="P89" i="108" s="1"/>
  <c r="H89" i="108"/>
  <c r="I89" i="108"/>
  <c r="J89" i="108"/>
  <c r="K89" i="108"/>
  <c r="L89" i="108"/>
  <c r="M89" i="108"/>
  <c r="N89" i="108"/>
  <c r="C90" i="108"/>
  <c r="O90" i="108" s="1"/>
  <c r="F90" i="108"/>
  <c r="G90" i="108"/>
  <c r="H90" i="108"/>
  <c r="I90" i="108"/>
  <c r="J90" i="108"/>
  <c r="K90" i="108"/>
  <c r="L90" i="108"/>
  <c r="M90" i="108"/>
  <c r="N90" i="108"/>
  <c r="C91" i="108"/>
  <c r="F91" i="108"/>
  <c r="G91" i="108"/>
  <c r="O91" i="108" s="1"/>
  <c r="H91" i="108"/>
  <c r="I91" i="108"/>
  <c r="J91" i="108"/>
  <c r="K91" i="108"/>
  <c r="L91" i="108"/>
  <c r="M91" i="108"/>
  <c r="N91" i="108"/>
  <c r="C92" i="108"/>
  <c r="O92" i="108" s="1"/>
  <c r="F92" i="108"/>
  <c r="G92" i="108"/>
  <c r="H92" i="108"/>
  <c r="I92" i="108"/>
  <c r="J92" i="108"/>
  <c r="K92" i="108"/>
  <c r="L92" i="108"/>
  <c r="M92" i="108"/>
  <c r="N92" i="108"/>
  <c r="C93" i="108"/>
  <c r="F93" i="108"/>
  <c r="G93" i="108"/>
  <c r="P93" i="108" s="1"/>
  <c r="H93" i="108"/>
  <c r="I93" i="108"/>
  <c r="J93" i="108"/>
  <c r="K93" i="108"/>
  <c r="L93" i="108"/>
  <c r="M93" i="108"/>
  <c r="N93" i="108"/>
  <c r="C94" i="108"/>
  <c r="O94" i="108" s="1"/>
  <c r="F94" i="108"/>
  <c r="G94" i="108"/>
  <c r="H94" i="108"/>
  <c r="I94" i="108"/>
  <c r="J94" i="108"/>
  <c r="K94" i="108"/>
  <c r="L94" i="108"/>
  <c r="M94" i="108"/>
  <c r="N94" i="108"/>
  <c r="C95" i="108"/>
  <c r="F95" i="108"/>
  <c r="G95" i="108"/>
  <c r="O95" i="108" s="1"/>
  <c r="H95" i="108"/>
  <c r="I95" i="108"/>
  <c r="J95" i="108"/>
  <c r="K95" i="108"/>
  <c r="L95" i="108"/>
  <c r="M95" i="108"/>
  <c r="N95" i="108"/>
  <c r="C96" i="108"/>
  <c r="O96" i="108" s="1"/>
  <c r="F96" i="108"/>
  <c r="G96" i="108"/>
  <c r="H96" i="108"/>
  <c r="I96" i="108"/>
  <c r="J96" i="108"/>
  <c r="K96" i="108"/>
  <c r="L96" i="108"/>
  <c r="M96" i="108"/>
  <c r="N96" i="108"/>
  <c r="C97" i="108"/>
  <c r="F97" i="108"/>
  <c r="G97" i="108"/>
  <c r="P97" i="108" s="1"/>
  <c r="H97" i="108"/>
  <c r="I97" i="108"/>
  <c r="J97" i="108"/>
  <c r="K97" i="108"/>
  <c r="L97" i="108"/>
  <c r="M97" i="108"/>
  <c r="N97" i="108"/>
  <c r="C98" i="108"/>
  <c r="O98" i="108" s="1"/>
  <c r="F98" i="108"/>
  <c r="G98" i="108"/>
  <c r="H98" i="108"/>
  <c r="I98" i="108"/>
  <c r="J98" i="108"/>
  <c r="K98" i="108"/>
  <c r="L98" i="108"/>
  <c r="M98" i="108"/>
  <c r="N98" i="108"/>
  <c r="C99" i="108"/>
  <c r="F99" i="108"/>
  <c r="G99" i="108"/>
  <c r="O99" i="108" s="1"/>
  <c r="H99" i="108"/>
  <c r="I99" i="108"/>
  <c r="J99" i="108"/>
  <c r="K99" i="108"/>
  <c r="L99" i="108"/>
  <c r="M99" i="108"/>
  <c r="N99" i="108"/>
  <c r="C100" i="108"/>
  <c r="O100" i="108" s="1"/>
  <c r="F100" i="108"/>
  <c r="G100" i="108"/>
  <c r="H100" i="108"/>
  <c r="I100" i="108"/>
  <c r="J100" i="108"/>
  <c r="K100" i="108"/>
  <c r="L100" i="108"/>
  <c r="M100" i="108"/>
  <c r="N100" i="108"/>
  <c r="C101" i="108"/>
  <c r="F101" i="108"/>
  <c r="G101" i="108"/>
  <c r="P101" i="108" s="1"/>
  <c r="H101" i="108"/>
  <c r="I101" i="108"/>
  <c r="J101" i="108"/>
  <c r="K101" i="108"/>
  <c r="L101" i="108"/>
  <c r="M101" i="108"/>
  <c r="N101" i="108"/>
  <c r="C102" i="108"/>
  <c r="O102" i="108" s="1"/>
  <c r="F102" i="108"/>
  <c r="G102" i="108"/>
  <c r="H102" i="108"/>
  <c r="I102" i="108"/>
  <c r="J102" i="108"/>
  <c r="K102" i="108"/>
  <c r="L102" i="108"/>
  <c r="M102" i="108"/>
  <c r="N102" i="108"/>
  <c r="C103" i="108"/>
  <c r="F103" i="108"/>
  <c r="G103" i="108"/>
  <c r="O103" i="108" s="1"/>
  <c r="H103" i="108"/>
  <c r="I103" i="108"/>
  <c r="J103" i="108"/>
  <c r="K103" i="108"/>
  <c r="L103" i="108"/>
  <c r="M103" i="108"/>
  <c r="N103" i="108"/>
  <c r="C104" i="108"/>
  <c r="O104" i="108" s="1"/>
  <c r="F104" i="108"/>
  <c r="G104" i="108"/>
  <c r="H104" i="108"/>
  <c r="I104" i="108"/>
  <c r="J104" i="108"/>
  <c r="K104" i="108"/>
  <c r="L104" i="108"/>
  <c r="M104" i="108"/>
  <c r="N104" i="108"/>
  <c r="C105" i="108"/>
  <c r="F105" i="108"/>
  <c r="G105" i="108"/>
  <c r="P105" i="108" s="1"/>
  <c r="H105" i="108"/>
  <c r="I105" i="108"/>
  <c r="J105" i="108"/>
  <c r="K105" i="108"/>
  <c r="L105" i="108"/>
  <c r="M105" i="108"/>
  <c r="N105" i="108"/>
  <c r="O58" i="108"/>
  <c r="F58" i="108"/>
  <c r="G58" i="108"/>
  <c r="H58" i="108"/>
  <c r="I58" i="108"/>
  <c r="J58" i="108"/>
  <c r="K58" i="108"/>
  <c r="L58" i="108"/>
  <c r="M58" i="108"/>
  <c r="N58" i="108"/>
  <c r="C58" i="108"/>
  <c r="O61" i="108"/>
  <c r="P62" i="108"/>
  <c r="O65" i="108"/>
  <c r="P66" i="108"/>
  <c r="O69" i="108"/>
  <c r="P70" i="108"/>
  <c r="O73" i="108"/>
  <c r="P74" i="108"/>
  <c r="O77" i="108"/>
  <c r="P78" i="108"/>
  <c r="O81" i="108"/>
  <c r="P82" i="108"/>
  <c r="O85" i="108"/>
  <c r="P86" i="108"/>
  <c r="O89" i="108"/>
  <c r="P90" i="108"/>
  <c r="O93" i="108"/>
  <c r="P94" i="108"/>
  <c r="O97" i="108"/>
  <c r="P98" i="108"/>
  <c r="O101" i="108"/>
  <c r="P102" i="108"/>
  <c r="O105" i="108"/>
  <c r="C59" i="107"/>
  <c r="F59" i="107"/>
  <c r="G59" i="107"/>
  <c r="H59" i="107"/>
  <c r="I59" i="107"/>
  <c r="J59" i="107"/>
  <c r="O59" i="107" s="1"/>
  <c r="K59" i="107"/>
  <c r="L59" i="107"/>
  <c r="M59" i="107"/>
  <c r="N59" i="107"/>
  <c r="C60" i="107"/>
  <c r="F60" i="107"/>
  <c r="O60" i="107" s="1"/>
  <c r="G60" i="107"/>
  <c r="H60" i="107"/>
  <c r="I60" i="107"/>
  <c r="J60" i="107"/>
  <c r="K60" i="107"/>
  <c r="L60" i="107"/>
  <c r="M60" i="107"/>
  <c r="N60" i="107"/>
  <c r="C61" i="107"/>
  <c r="F61" i="107"/>
  <c r="G61" i="107"/>
  <c r="H61" i="107"/>
  <c r="I61" i="107"/>
  <c r="J61" i="107"/>
  <c r="O61" i="107" s="1"/>
  <c r="K61" i="107"/>
  <c r="L61" i="107"/>
  <c r="M61" i="107"/>
  <c r="N61" i="107"/>
  <c r="C62" i="107"/>
  <c r="F62" i="107"/>
  <c r="O62" i="107" s="1"/>
  <c r="G62" i="107"/>
  <c r="H62" i="107"/>
  <c r="I62" i="107"/>
  <c r="J62" i="107"/>
  <c r="K62" i="107"/>
  <c r="L62" i="107"/>
  <c r="M62" i="107"/>
  <c r="N62" i="107"/>
  <c r="C63" i="107"/>
  <c r="F63" i="107"/>
  <c r="G63" i="107"/>
  <c r="H63" i="107"/>
  <c r="I63" i="107"/>
  <c r="J63" i="107"/>
  <c r="O63" i="107" s="1"/>
  <c r="K63" i="107"/>
  <c r="L63" i="107"/>
  <c r="M63" i="107"/>
  <c r="N63" i="107"/>
  <c r="C64" i="107"/>
  <c r="F64" i="107"/>
  <c r="O64" i="107" s="1"/>
  <c r="G64" i="107"/>
  <c r="H64" i="107"/>
  <c r="I64" i="107"/>
  <c r="J64" i="107"/>
  <c r="K64" i="107"/>
  <c r="L64" i="107"/>
  <c r="M64" i="107"/>
  <c r="N64" i="107"/>
  <c r="C65" i="107"/>
  <c r="F65" i="107"/>
  <c r="G65" i="107"/>
  <c r="H65" i="107"/>
  <c r="I65" i="107"/>
  <c r="J65" i="107"/>
  <c r="O65" i="107" s="1"/>
  <c r="K65" i="107"/>
  <c r="L65" i="107"/>
  <c r="M65" i="107"/>
  <c r="N65" i="107"/>
  <c r="C66" i="107"/>
  <c r="F66" i="107"/>
  <c r="O66" i="107" s="1"/>
  <c r="G66" i="107"/>
  <c r="H66" i="107"/>
  <c r="I66" i="107"/>
  <c r="J66" i="107"/>
  <c r="K66" i="107"/>
  <c r="L66" i="107"/>
  <c r="M66" i="107"/>
  <c r="N66" i="107"/>
  <c r="C67" i="107"/>
  <c r="F67" i="107"/>
  <c r="G67" i="107"/>
  <c r="H67" i="107"/>
  <c r="I67" i="107"/>
  <c r="J67" i="107"/>
  <c r="O67" i="107" s="1"/>
  <c r="K67" i="107"/>
  <c r="L67" i="107"/>
  <c r="M67" i="107"/>
  <c r="N67" i="107"/>
  <c r="C68" i="107"/>
  <c r="F68" i="107"/>
  <c r="P68" i="107" s="1"/>
  <c r="G68" i="107"/>
  <c r="H68" i="107"/>
  <c r="I68" i="107"/>
  <c r="J68" i="107"/>
  <c r="K68" i="107"/>
  <c r="L68" i="107"/>
  <c r="M68" i="107"/>
  <c r="N68" i="107"/>
  <c r="C69" i="107"/>
  <c r="F69" i="107"/>
  <c r="G69" i="107"/>
  <c r="H69" i="107"/>
  <c r="I69" i="107"/>
  <c r="J69" i="107"/>
  <c r="O69" i="107" s="1"/>
  <c r="K69" i="107"/>
  <c r="L69" i="107"/>
  <c r="M69" i="107"/>
  <c r="N69" i="107"/>
  <c r="C70" i="107"/>
  <c r="F70" i="107"/>
  <c r="O70" i="107" s="1"/>
  <c r="G70" i="107"/>
  <c r="H70" i="107"/>
  <c r="I70" i="107"/>
  <c r="J70" i="107"/>
  <c r="K70" i="107"/>
  <c r="L70" i="107"/>
  <c r="M70" i="107"/>
  <c r="N70" i="107"/>
  <c r="C71" i="107"/>
  <c r="F71" i="107"/>
  <c r="G71" i="107"/>
  <c r="H71" i="107"/>
  <c r="I71" i="107"/>
  <c r="J71" i="107"/>
  <c r="O71" i="107" s="1"/>
  <c r="K71" i="107"/>
  <c r="L71" i="107"/>
  <c r="M71" i="107"/>
  <c r="N71" i="107"/>
  <c r="C72" i="107"/>
  <c r="F72" i="107"/>
  <c r="P72" i="107" s="1"/>
  <c r="G72" i="107"/>
  <c r="H72" i="107"/>
  <c r="I72" i="107"/>
  <c r="J72" i="107"/>
  <c r="K72" i="107"/>
  <c r="L72" i="107"/>
  <c r="M72" i="107"/>
  <c r="N72" i="107"/>
  <c r="C73" i="107"/>
  <c r="F73" i="107"/>
  <c r="G73" i="107"/>
  <c r="H73" i="107"/>
  <c r="I73" i="107"/>
  <c r="J73" i="107"/>
  <c r="O73" i="107" s="1"/>
  <c r="K73" i="107"/>
  <c r="L73" i="107"/>
  <c r="M73" i="107"/>
  <c r="N73" i="107"/>
  <c r="C74" i="107"/>
  <c r="F74" i="107"/>
  <c r="O74" i="107" s="1"/>
  <c r="G74" i="107"/>
  <c r="H74" i="107"/>
  <c r="I74" i="107"/>
  <c r="J74" i="107"/>
  <c r="K74" i="107"/>
  <c r="L74" i="107"/>
  <c r="M74" i="107"/>
  <c r="N74" i="107"/>
  <c r="C75" i="107"/>
  <c r="F75" i="107"/>
  <c r="G75" i="107"/>
  <c r="H75" i="107"/>
  <c r="I75" i="107"/>
  <c r="J75" i="107"/>
  <c r="O75" i="107" s="1"/>
  <c r="K75" i="107"/>
  <c r="L75" i="107"/>
  <c r="M75" i="107"/>
  <c r="N75" i="107"/>
  <c r="C76" i="107"/>
  <c r="F76" i="107"/>
  <c r="O76" i="107" s="1"/>
  <c r="G76" i="107"/>
  <c r="H76" i="107"/>
  <c r="I76" i="107"/>
  <c r="J76" i="107"/>
  <c r="K76" i="107"/>
  <c r="L76" i="107"/>
  <c r="M76" i="107"/>
  <c r="N76" i="107"/>
  <c r="C77" i="107"/>
  <c r="F77" i="107"/>
  <c r="G77" i="107"/>
  <c r="H77" i="107"/>
  <c r="I77" i="107"/>
  <c r="J77" i="107"/>
  <c r="O77" i="107" s="1"/>
  <c r="K77" i="107"/>
  <c r="L77" i="107"/>
  <c r="M77" i="107"/>
  <c r="N77" i="107"/>
  <c r="C78" i="107"/>
  <c r="F78" i="107"/>
  <c r="O78" i="107" s="1"/>
  <c r="G78" i="107"/>
  <c r="H78" i="107"/>
  <c r="I78" i="107"/>
  <c r="J78" i="107"/>
  <c r="K78" i="107"/>
  <c r="L78" i="107"/>
  <c r="M78" i="107"/>
  <c r="N78" i="107"/>
  <c r="C79" i="107"/>
  <c r="F79" i="107"/>
  <c r="G79" i="107"/>
  <c r="H79" i="107"/>
  <c r="I79" i="107"/>
  <c r="J79" i="107"/>
  <c r="O79" i="107" s="1"/>
  <c r="K79" i="107"/>
  <c r="L79" i="107"/>
  <c r="M79" i="107"/>
  <c r="N79" i="107"/>
  <c r="C80" i="107"/>
  <c r="F80" i="107"/>
  <c r="O80" i="107" s="1"/>
  <c r="G80" i="107"/>
  <c r="H80" i="107"/>
  <c r="I80" i="107"/>
  <c r="J80" i="107"/>
  <c r="K80" i="107"/>
  <c r="L80" i="107"/>
  <c r="M80" i="107"/>
  <c r="N80" i="107"/>
  <c r="C81" i="107"/>
  <c r="F81" i="107"/>
  <c r="G81" i="107"/>
  <c r="H81" i="107"/>
  <c r="I81" i="107"/>
  <c r="J81" i="107"/>
  <c r="O81" i="107" s="1"/>
  <c r="K81" i="107"/>
  <c r="L81" i="107"/>
  <c r="M81" i="107"/>
  <c r="N81" i="107"/>
  <c r="C82" i="107"/>
  <c r="F82" i="107"/>
  <c r="O82" i="107" s="1"/>
  <c r="G82" i="107"/>
  <c r="H82" i="107"/>
  <c r="I82" i="107"/>
  <c r="J82" i="107"/>
  <c r="K82" i="107"/>
  <c r="L82" i="107"/>
  <c r="M82" i="107"/>
  <c r="N82" i="107"/>
  <c r="C83" i="107"/>
  <c r="F83" i="107"/>
  <c r="G83" i="107"/>
  <c r="H83" i="107"/>
  <c r="I83" i="107"/>
  <c r="J83" i="107"/>
  <c r="O83" i="107" s="1"/>
  <c r="K83" i="107"/>
  <c r="L83" i="107"/>
  <c r="M83" i="107"/>
  <c r="N83" i="107"/>
  <c r="C84" i="107"/>
  <c r="F84" i="107"/>
  <c r="O84" i="107" s="1"/>
  <c r="G84" i="107"/>
  <c r="H84" i="107"/>
  <c r="I84" i="107"/>
  <c r="J84" i="107"/>
  <c r="K84" i="107"/>
  <c r="L84" i="107"/>
  <c r="M84" i="107"/>
  <c r="N84" i="107"/>
  <c r="C85" i="107"/>
  <c r="F85" i="107"/>
  <c r="G85" i="107"/>
  <c r="H85" i="107"/>
  <c r="I85" i="107"/>
  <c r="J85" i="107"/>
  <c r="O85" i="107" s="1"/>
  <c r="K85" i="107"/>
  <c r="L85" i="107"/>
  <c r="M85" i="107"/>
  <c r="N85" i="107"/>
  <c r="C86" i="107"/>
  <c r="F86" i="107"/>
  <c r="O86" i="107" s="1"/>
  <c r="G86" i="107"/>
  <c r="H86" i="107"/>
  <c r="I86" i="107"/>
  <c r="J86" i="107"/>
  <c r="K86" i="107"/>
  <c r="L86" i="107"/>
  <c r="M86" i="107"/>
  <c r="N86" i="107"/>
  <c r="C87" i="107"/>
  <c r="F87" i="107"/>
  <c r="G87" i="107"/>
  <c r="H87" i="107"/>
  <c r="I87" i="107"/>
  <c r="J87" i="107"/>
  <c r="O87" i="107" s="1"/>
  <c r="K87" i="107"/>
  <c r="L87" i="107"/>
  <c r="M87" i="107"/>
  <c r="N87" i="107"/>
  <c r="C88" i="107"/>
  <c r="F88" i="107"/>
  <c r="O88" i="107" s="1"/>
  <c r="G88" i="107"/>
  <c r="H88" i="107"/>
  <c r="I88" i="107"/>
  <c r="J88" i="107"/>
  <c r="K88" i="107"/>
  <c r="L88" i="107"/>
  <c r="M88" i="107"/>
  <c r="N88" i="107"/>
  <c r="C89" i="107"/>
  <c r="F89" i="107"/>
  <c r="G89" i="107"/>
  <c r="H89" i="107"/>
  <c r="I89" i="107"/>
  <c r="J89" i="107"/>
  <c r="O89" i="107" s="1"/>
  <c r="K89" i="107"/>
  <c r="L89" i="107"/>
  <c r="M89" i="107"/>
  <c r="N89" i="107"/>
  <c r="C90" i="107"/>
  <c r="F90" i="107"/>
  <c r="O90" i="107" s="1"/>
  <c r="G90" i="107"/>
  <c r="H90" i="107"/>
  <c r="I90" i="107"/>
  <c r="J90" i="107"/>
  <c r="K90" i="107"/>
  <c r="L90" i="107"/>
  <c r="M90" i="107"/>
  <c r="N90" i="107"/>
  <c r="C91" i="107"/>
  <c r="F91" i="107"/>
  <c r="G91" i="107"/>
  <c r="H91" i="107"/>
  <c r="I91" i="107"/>
  <c r="J91" i="107"/>
  <c r="O91" i="107" s="1"/>
  <c r="K91" i="107"/>
  <c r="L91" i="107"/>
  <c r="M91" i="107"/>
  <c r="N91" i="107"/>
  <c r="C92" i="107"/>
  <c r="F92" i="107"/>
  <c r="O92" i="107" s="1"/>
  <c r="G92" i="107"/>
  <c r="H92" i="107"/>
  <c r="I92" i="107"/>
  <c r="J92" i="107"/>
  <c r="K92" i="107"/>
  <c r="L92" i="107"/>
  <c r="M92" i="107"/>
  <c r="N92" i="107"/>
  <c r="C93" i="107"/>
  <c r="F93" i="107"/>
  <c r="G93" i="107"/>
  <c r="H93" i="107"/>
  <c r="I93" i="107"/>
  <c r="J93" i="107"/>
  <c r="O93" i="107" s="1"/>
  <c r="K93" i="107"/>
  <c r="L93" i="107"/>
  <c r="M93" i="107"/>
  <c r="N93" i="107"/>
  <c r="C94" i="107"/>
  <c r="F94" i="107"/>
  <c r="O94" i="107" s="1"/>
  <c r="G94" i="107"/>
  <c r="H94" i="107"/>
  <c r="I94" i="107"/>
  <c r="J94" i="107"/>
  <c r="K94" i="107"/>
  <c r="L94" i="107"/>
  <c r="M94" i="107"/>
  <c r="N94" i="107"/>
  <c r="C95" i="107"/>
  <c r="F95" i="107"/>
  <c r="G95" i="107"/>
  <c r="H95" i="107"/>
  <c r="I95" i="107"/>
  <c r="J95" i="107"/>
  <c r="O95" i="107" s="1"/>
  <c r="K95" i="107"/>
  <c r="L95" i="107"/>
  <c r="M95" i="107"/>
  <c r="N95" i="107"/>
  <c r="C96" i="107"/>
  <c r="P96" i="107" s="1"/>
  <c r="F96" i="107"/>
  <c r="O96" i="107" s="1"/>
  <c r="G96" i="107"/>
  <c r="H96" i="107"/>
  <c r="I96" i="107"/>
  <c r="J96" i="107"/>
  <c r="K96" i="107"/>
  <c r="L96" i="107"/>
  <c r="M96" i="107"/>
  <c r="N96" i="107"/>
  <c r="C97" i="107"/>
  <c r="F97" i="107"/>
  <c r="G97" i="107"/>
  <c r="H97" i="107"/>
  <c r="I97" i="107"/>
  <c r="J97" i="107"/>
  <c r="O97" i="107" s="1"/>
  <c r="K97" i="107"/>
  <c r="L97" i="107"/>
  <c r="M97" i="107"/>
  <c r="N97" i="107"/>
  <c r="C98" i="107"/>
  <c r="P98" i="107" s="1"/>
  <c r="F98" i="107"/>
  <c r="O98" i="107" s="1"/>
  <c r="G98" i="107"/>
  <c r="H98" i="107"/>
  <c r="I98" i="107"/>
  <c r="J98" i="107"/>
  <c r="K98" i="107"/>
  <c r="L98" i="107"/>
  <c r="M98" i="107"/>
  <c r="N98" i="107"/>
  <c r="C99" i="107"/>
  <c r="O99" i="107" s="1"/>
  <c r="F99" i="107"/>
  <c r="G99" i="107"/>
  <c r="H99" i="107"/>
  <c r="I99" i="107"/>
  <c r="J99" i="107"/>
  <c r="K99" i="107"/>
  <c r="L99" i="107"/>
  <c r="M99" i="107"/>
  <c r="N99" i="107"/>
  <c r="C100" i="107"/>
  <c r="P100" i="107" s="1"/>
  <c r="F100" i="107"/>
  <c r="O100" i="107" s="1"/>
  <c r="G100" i="107"/>
  <c r="H100" i="107"/>
  <c r="I100" i="107"/>
  <c r="J100" i="107"/>
  <c r="K100" i="107"/>
  <c r="L100" i="107"/>
  <c r="M100" i="107"/>
  <c r="N100" i="107"/>
  <c r="C101" i="107"/>
  <c r="P101" i="107" s="1"/>
  <c r="F101" i="107"/>
  <c r="G101" i="107"/>
  <c r="H101" i="107"/>
  <c r="I101" i="107"/>
  <c r="J101" i="107"/>
  <c r="O101" i="107" s="1"/>
  <c r="K101" i="107"/>
  <c r="L101" i="107"/>
  <c r="M101" i="107"/>
  <c r="N101" i="107"/>
  <c r="C102" i="107"/>
  <c r="P102" i="107" s="1"/>
  <c r="F102" i="107"/>
  <c r="O102" i="107" s="1"/>
  <c r="G102" i="107"/>
  <c r="H102" i="107"/>
  <c r="I102" i="107"/>
  <c r="J102" i="107"/>
  <c r="K102" i="107"/>
  <c r="L102" i="107"/>
  <c r="M102" i="107"/>
  <c r="N102" i="107"/>
  <c r="C103" i="107"/>
  <c r="O103" i="107" s="1"/>
  <c r="F103" i="107"/>
  <c r="G103" i="107"/>
  <c r="H103" i="107"/>
  <c r="I103" i="107"/>
  <c r="J103" i="107"/>
  <c r="K103" i="107"/>
  <c r="L103" i="107"/>
  <c r="M103" i="107"/>
  <c r="N103" i="107"/>
  <c r="C104" i="107"/>
  <c r="P104" i="107" s="1"/>
  <c r="F104" i="107"/>
  <c r="O104" i="107" s="1"/>
  <c r="G104" i="107"/>
  <c r="H104" i="107"/>
  <c r="I104" i="107"/>
  <c r="J104" i="107"/>
  <c r="K104" i="107"/>
  <c r="L104" i="107"/>
  <c r="M104" i="107"/>
  <c r="N104" i="107"/>
  <c r="C105" i="107"/>
  <c r="O105" i="107" s="1"/>
  <c r="F105" i="107"/>
  <c r="G105" i="107"/>
  <c r="H105" i="107"/>
  <c r="I105" i="107"/>
  <c r="J105" i="107"/>
  <c r="K105" i="107"/>
  <c r="L105" i="107"/>
  <c r="M105" i="107"/>
  <c r="N105" i="107"/>
  <c r="O58" i="107"/>
  <c r="P58" i="107"/>
  <c r="P59" i="107"/>
  <c r="P63" i="107"/>
  <c r="P67" i="107"/>
  <c r="O68" i="107"/>
  <c r="P71" i="107"/>
  <c r="O72" i="107"/>
  <c r="P75" i="107"/>
  <c r="P79" i="107"/>
  <c r="P83" i="107"/>
  <c r="P87" i="107"/>
  <c r="P91" i="107"/>
  <c r="P95" i="107"/>
  <c r="P99" i="107"/>
  <c r="P103" i="107"/>
  <c r="N58" i="107"/>
  <c r="F58" i="107"/>
  <c r="G58" i="107"/>
  <c r="H58" i="107"/>
  <c r="I58" i="107"/>
  <c r="J58" i="107"/>
  <c r="K58" i="107"/>
  <c r="L58" i="107"/>
  <c r="M58" i="107"/>
  <c r="C58" i="107"/>
  <c r="P97" i="111" l="1"/>
  <c r="O99" i="111"/>
  <c r="O81" i="111"/>
  <c r="O79" i="111"/>
  <c r="O77" i="111"/>
  <c r="O75" i="111"/>
  <c r="O69" i="111"/>
  <c r="O67" i="111"/>
  <c r="O66" i="111"/>
  <c r="O62" i="111"/>
  <c r="O100" i="111"/>
  <c r="O96" i="111"/>
  <c r="O92" i="111"/>
  <c r="O84" i="111"/>
  <c r="O78" i="111"/>
  <c r="O64" i="111"/>
  <c r="O97" i="111"/>
  <c r="P94" i="111"/>
  <c r="O93" i="111"/>
  <c r="P90" i="111"/>
  <c r="O74" i="111"/>
  <c r="O61" i="111"/>
  <c r="O103" i="111"/>
  <c r="O89" i="111"/>
  <c r="O80" i="111"/>
  <c r="O70" i="111"/>
  <c r="P63" i="111"/>
  <c r="O59" i="111"/>
  <c r="O91" i="111"/>
  <c r="O87" i="111"/>
  <c r="P77" i="111"/>
  <c r="P105" i="111"/>
  <c r="O104" i="111"/>
  <c r="O83" i="111"/>
  <c r="O82" i="111"/>
  <c r="O95" i="111"/>
  <c r="P86" i="111"/>
  <c r="P78" i="111"/>
  <c r="O102" i="111"/>
  <c r="O86" i="111"/>
  <c r="O85" i="111"/>
  <c r="P70" i="111"/>
  <c r="P69" i="111"/>
  <c r="P93" i="111"/>
  <c r="P74" i="111"/>
  <c r="O101" i="111"/>
  <c r="P98" i="111"/>
  <c r="O94" i="111"/>
  <c r="O90" i="111"/>
  <c r="O88" i="111"/>
  <c r="O73" i="111"/>
  <c r="O71" i="111"/>
  <c r="O65" i="111"/>
  <c r="O60" i="111"/>
  <c r="O58" i="111"/>
  <c r="P65" i="111"/>
  <c r="P61" i="111"/>
  <c r="P82" i="111"/>
  <c r="P103" i="111"/>
  <c r="P99" i="111"/>
  <c r="P95" i="111"/>
  <c r="P91" i="111"/>
  <c r="P87" i="111"/>
  <c r="P83" i="111"/>
  <c r="P79" i="111"/>
  <c r="P75" i="111"/>
  <c r="P71" i="111"/>
  <c r="P67" i="111"/>
  <c r="P59" i="111"/>
  <c r="P104" i="111"/>
  <c r="P100" i="111"/>
  <c r="P96" i="111"/>
  <c r="P92" i="111"/>
  <c r="P88" i="111"/>
  <c r="P84" i="111"/>
  <c r="P80" i="111"/>
  <c r="P76" i="111"/>
  <c r="P72" i="111"/>
  <c r="P68" i="111"/>
  <c r="P64" i="111"/>
  <c r="P60" i="111"/>
  <c r="P69" i="108"/>
  <c r="P104" i="108"/>
  <c r="P100" i="108"/>
  <c r="P96" i="108"/>
  <c r="P92" i="108"/>
  <c r="P88" i="108"/>
  <c r="P84" i="108"/>
  <c r="P80" i="108"/>
  <c r="P76" i="108"/>
  <c r="P72" i="108"/>
  <c r="P68" i="108"/>
  <c r="P64" i="108"/>
  <c r="P60" i="108"/>
  <c r="P103" i="108"/>
  <c r="P99" i="108"/>
  <c r="P95" i="108"/>
  <c r="P91" i="108"/>
  <c r="P87" i="108"/>
  <c r="P83" i="108"/>
  <c r="P79" i="108"/>
  <c r="P75" i="108"/>
  <c r="P71" i="108"/>
  <c r="P67" i="108"/>
  <c r="P63" i="108"/>
  <c r="P59" i="108"/>
  <c r="P58" i="108"/>
  <c r="P94" i="107"/>
  <c r="P90" i="107"/>
  <c r="P86" i="107"/>
  <c r="P82" i="107"/>
  <c r="P78" i="107"/>
  <c r="P74" i="107"/>
  <c r="P70" i="107"/>
  <c r="P66" i="107"/>
  <c r="P62" i="107"/>
  <c r="P105" i="107"/>
  <c r="P97" i="107"/>
  <c r="P93" i="107"/>
  <c r="P89" i="107"/>
  <c r="P85" i="107"/>
  <c r="P81" i="107"/>
  <c r="P77" i="107"/>
  <c r="P73" i="107"/>
  <c r="P69" i="107"/>
  <c r="P65" i="107"/>
  <c r="P61" i="107"/>
  <c r="P92" i="107"/>
  <c r="P88" i="107"/>
  <c r="P84" i="107"/>
  <c r="P80" i="107"/>
  <c r="P76" i="107"/>
  <c r="P64" i="107"/>
  <c r="P60" i="107"/>
  <c r="O59" i="94"/>
  <c r="F106" i="94"/>
  <c r="I106" i="94"/>
  <c r="J106" i="94"/>
  <c r="M106" i="94"/>
  <c r="N106" i="94"/>
  <c r="P60" i="94"/>
  <c r="O60" i="94"/>
  <c r="O61" i="94"/>
  <c r="P62" i="94"/>
  <c r="O62" i="94"/>
  <c r="O63" i="94"/>
  <c r="P64" i="94"/>
  <c r="O64" i="94"/>
  <c r="O65" i="94"/>
  <c r="P66" i="94"/>
  <c r="O66" i="94"/>
  <c r="O67" i="94"/>
  <c r="P68" i="94"/>
  <c r="O68" i="94"/>
  <c r="O69" i="94"/>
  <c r="P70" i="94"/>
  <c r="O70" i="94"/>
  <c r="O71" i="94"/>
  <c r="P72" i="94"/>
  <c r="O72" i="94"/>
  <c r="O73" i="94"/>
  <c r="P74" i="94"/>
  <c r="O74" i="94"/>
  <c r="O75" i="94"/>
  <c r="P76" i="94"/>
  <c r="O76" i="94"/>
  <c r="O77" i="94"/>
  <c r="P78" i="94"/>
  <c r="O78" i="94"/>
  <c r="O79" i="94"/>
  <c r="P80" i="94"/>
  <c r="O80" i="94"/>
  <c r="O81" i="94"/>
  <c r="P82" i="94"/>
  <c r="O82" i="94"/>
  <c r="O83" i="94"/>
  <c r="P84" i="94"/>
  <c r="O84" i="94"/>
  <c r="O85" i="94"/>
  <c r="P86" i="94"/>
  <c r="O86" i="94"/>
  <c r="O87" i="94"/>
  <c r="P88" i="94"/>
  <c r="O88" i="94"/>
  <c r="O89" i="94"/>
  <c r="P90" i="94"/>
  <c r="O90" i="94"/>
  <c r="O91" i="94"/>
  <c r="P92" i="94"/>
  <c r="O92" i="94"/>
  <c r="O93" i="94"/>
  <c r="P94" i="94"/>
  <c r="O94" i="94"/>
  <c r="O95" i="94"/>
  <c r="P96" i="94"/>
  <c r="O96" i="94"/>
  <c r="O97" i="94"/>
  <c r="P98" i="94"/>
  <c r="O98" i="94"/>
  <c r="O99" i="94"/>
  <c r="P100" i="94"/>
  <c r="O100" i="94"/>
  <c r="O101" i="94"/>
  <c r="P102" i="94"/>
  <c r="O102" i="94"/>
  <c r="O103" i="94"/>
  <c r="P104" i="94"/>
  <c r="O104" i="94"/>
  <c r="O105" i="94"/>
  <c r="L106" i="94"/>
  <c r="K106" i="94"/>
  <c r="H106" i="94"/>
  <c r="G106" i="94"/>
  <c r="D106" i="94"/>
  <c r="P105" i="94"/>
  <c r="P103" i="94"/>
  <c r="P101" i="94"/>
  <c r="P99" i="94"/>
  <c r="P97" i="94"/>
  <c r="P95" i="94"/>
  <c r="P93" i="94"/>
  <c r="P91" i="94"/>
  <c r="P89" i="94"/>
  <c r="P87" i="94"/>
  <c r="P85" i="94"/>
  <c r="P83" i="94"/>
  <c r="P81" i="94"/>
  <c r="P79" i="94"/>
  <c r="P77" i="94"/>
  <c r="P75" i="94"/>
  <c r="P73" i="94"/>
  <c r="P71" i="94"/>
  <c r="P69" i="94"/>
  <c r="P67" i="94"/>
  <c r="P65" i="94"/>
  <c r="P63" i="94"/>
  <c r="P61" i="94"/>
  <c r="P59" i="94"/>
  <c r="E106" i="94" l="1"/>
  <c r="O58" i="94"/>
  <c r="P58" i="94"/>
  <c r="C106" i="94"/>
  <c r="S11" i="110"/>
  <c r="O58" i="110" l="1"/>
  <c r="P58" i="110"/>
  <c r="O59" i="110"/>
  <c r="P59" i="110"/>
  <c r="O60" i="110"/>
  <c r="P60" i="110"/>
  <c r="O61" i="110"/>
  <c r="P61" i="110"/>
  <c r="O62" i="110"/>
  <c r="P62" i="110"/>
  <c r="O63" i="110"/>
  <c r="P63" i="110"/>
  <c r="O64" i="110"/>
  <c r="P64" i="110"/>
  <c r="O65" i="110"/>
  <c r="P65" i="110"/>
  <c r="O66" i="110"/>
  <c r="P66" i="110"/>
  <c r="O67" i="110"/>
  <c r="P67" i="110"/>
  <c r="O68" i="110"/>
  <c r="P68" i="110"/>
  <c r="O69" i="110"/>
  <c r="P69" i="110"/>
  <c r="O70" i="110"/>
  <c r="P70" i="110"/>
  <c r="O71" i="110"/>
  <c r="P71" i="110"/>
  <c r="O72" i="110"/>
  <c r="P72" i="110"/>
  <c r="O73" i="110"/>
  <c r="P73" i="110"/>
  <c r="O74" i="110"/>
  <c r="P74" i="110"/>
  <c r="O75" i="110"/>
  <c r="P75" i="110"/>
  <c r="O76" i="110"/>
  <c r="P76" i="110"/>
  <c r="O77" i="110"/>
  <c r="P77" i="110"/>
  <c r="O78" i="110"/>
  <c r="P78" i="110"/>
  <c r="O79" i="110"/>
  <c r="P79" i="110"/>
  <c r="O80" i="110"/>
  <c r="P80" i="110"/>
  <c r="O81" i="110"/>
  <c r="P81" i="110"/>
  <c r="O82" i="110"/>
  <c r="P82" i="110"/>
  <c r="O83" i="110"/>
  <c r="P83" i="110"/>
  <c r="O84" i="110"/>
  <c r="P84" i="110"/>
  <c r="O85" i="110"/>
  <c r="P85" i="110"/>
  <c r="O86" i="110"/>
  <c r="P86" i="110"/>
  <c r="O87" i="110"/>
  <c r="P87" i="110"/>
  <c r="O88" i="110"/>
  <c r="P88" i="110"/>
  <c r="O89" i="110"/>
  <c r="P89" i="110"/>
  <c r="O90" i="110"/>
  <c r="P90" i="110"/>
  <c r="O91" i="110"/>
  <c r="P91" i="110"/>
  <c r="O92" i="110"/>
  <c r="P92" i="110"/>
  <c r="O93" i="110"/>
  <c r="P93" i="110"/>
  <c r="O94" i="110"/>
  <c r="P94" i="110"/>
  <c r="O95" i="110"/>
  <c r="P95" i="110"/>
  <c r="O96" i="110"/>
  <c r="P96" i="110"/>
  <c r="O97" i="110"/>
  <c r="P97" i="110"/>
  <c r="O98" i="110"/>
  <c r="P98" i="110"/>
  <c r="O99" i="110"/>
  <c r="P99" i="110"/>
  <c r="O100" i="110"/>
  <c r="P100" i="110"/>
  <c r="O101" i="110"/>
  <c r="P101" i="110"/>
  <c r="O102" i="110"/>
  <c r="P102" i="110"/>
  <c r="O103" i="110"/>
  <c r="P103" i="110"/>
  <c r="O104" i="110"/>
  <c r="P104" i="110"/>
  <c r="O105" i="110"/>
  <c r="P105" i="110"/>
  <c r="C106" i="110"/>
  <c r="AF33" i="111"/>
  <c r="AE33" i="111"/>
  <c r="AD33" i="111"/>
  <c r="AC33" i="111"/>
  <c r="AB33" i="111"/>
  <c r="AA33" i="111"/>
  <c r="Z33" i="111"/>
  <c r="Y33" i="111"/>
  <c r="X33" i="111"/>
  <c r="W33" i="111"/>
  <c r="V33" i="111"/>
  <c r="U33" i="111"/>
  <c r="T33" i="111"/>
  <c r="S33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AF31" i="111"/>
  <c r="AE31" i="111"/>
  <c r="AD31" i="111"/>
  <c r="AC31" i="111"/>
  <c r="AB31" i="111"/>
  <c r="AA31" i="111"/>
  <c r="Z31" i="111"/>
  <c r="Y31" i="111"/>
  <c r="X31" i="111"/>
  <c r="W31" i="111"/>
  <c r="V31" i="111"/>
  <c r="U31" i="111"/>
  <c r="T31" i="111"/>
  <c r="S31" i="111"/>
  <c r="AF30" i="111"/>
  <c r="AE30" i="111"/>
  <c r="AD30" i="111"/>
  <c r="AC30" i="111"/>
  <c r="AB30" i="111"/>
  <c r="AA30" i="111"/>
  <c r="Z30" i="111"/>
  <c r="Y30" i="111"/>
  <c r="X30" i="111"/>
  <c r="W30" i="111"/>
  <c r="V30" i="111"/>
  <c r="U30" i="111"/>
  <c r="T30" i="111"/>
  <c r="S30" i="111"/>
  <c r="AF29" i="111"/>
  <c r="AE29" i="111"/>
  <c r="AD29" i="111"/>
  <c r="AC29" i="111"/>
  <c r="AB29" i="111"/>
  <c r="AA29" i="111"/>
  <c r="Z29" i="111"/>
  <c r="Y29" i="111"/>
  <c r="X29" i="111"/>
  <c r="W29" i="111"/>
  <c r="V29" i="111"/>
  <c r="U29" i="111"/>
  <c r="T29" i="111"/>
  <c r="S29" i="111"/>
  <c r="AF28" i="111"/>
  <c r="AE28" i="111"/>
  <c r="AD28" i="111"/>
  <c r="AC28" i="111"/>
  <c r="AB28" i="111"/>
  <c r="AA28" i="111"/>
  <c r="Z28" i="111"/>
  <c r="Y28" i="111"/>
  <c r="X28" i="111"/>
  <c r="W28" i="111"/>
  <c r="V28" i="111"/>
  <c r="U28" i="111"/>
  <c r="T28" i="111"/>
  <c r="S28" i="111"/>
  <c r="AF27" i="111"/>
  <c r="AE27" i="111"/>
  <c r="AD27" i="111"/>
  <c r="AC27" i="111"/>
  <c r="AB27" i="111"/>
  <c r="AA27" i="111"/>
  <c r="Z27" i="111"/>
  <c r="Y27" i="111"/>
  <c r="X27" i="111"/>
  <c r="W27" i="111"/>
  <c r="V27" i="111"/>
  <c r="U27" i="111"/>
  <c r="T27" i="111"/>
  <c r="S27" i="111"/>
  <c r="AF26" i="111"/>
  <c r="AE26" i="111"/>
  <c r="AD26" i="111"/>
  <c r="AC26" i="111"/>
  <c r="AB26" i="111"/>
  <c r="AA26" i="111"/>
  <c r="Z26" i="111"/>
  <c r="Y26" i="111"/>
  <c r="X26" i="111"/>
  <c r="W26" i="111"/>
  <c r="V26" i="111"/>
  <c r="U26" i="111"/>
  <c r="T26" i="111"/>
  <c r="S26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AF24" i="111"/>
  <c r="AE24" i="111"/>
  <c r="AD24" i="111"/>
  <c r="AC24" i="111"/>
  <c r="AB24" i="111"/>
  <c r="AA24" i="111"/>
  <c r="Z24" i="111"/>
  <c r="Y24" i="111"/>
  <c r="X24" i="111"/>
  <c r="W24" i="111"/>
  <c r="V24" i="111"/>
  <c r="U24" i="111"/>
  <c r="T24" i="111"/>
  <c r="S24" i="111"/>
  <c r="AF23" i="111"/>
  <c r="AE23" i="111"/>
  <c r="AD23" i="111"/>
  <c r="AC23" i="111"/>
  <c r="AB23" i="111"/>
  <c r="AA23" i="111"/>
  <c r="Z23" i="111"/>
  <c r="Y23" i="111"/>
  <c r="X23" i="111"/>
  <c r="W23" i="111"/>
  <c r="V23" i="111"/>
  <c r="U23" i="111"/>
  <c r="T23" i="111"/>
  <c r="S23" i="111"/>
  <c r="AF22" i="111"/>
  <c r="AE22" i="111"/>
  <c r="AD22" i="111"/>
  <c r="AC22" i="111"/>
  <c r="AB22" i="111"/>
  <c r="AA22" i="111"/>
  <c r="Z22" i="111"/>
  <c r="Y22" i="111"/>
  <c r="X22" i="111"/>
  <c r="W22" i="111"/>
  <c r="V22" i="111"/>
  <c r="U22" i="111"/>
  <c r="T22" i="111"/>
  <c r="S22" i="111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C11" i="108" l="1"/>
  <c r="F11" i="108"/>
  <c r="G11" i="108"/>
  <c r="H11" i="108"/>
  <c r="I11" i="108"/>
  <c r="J11" i="108"/>
  <c r="K11" i="108"/>
  <c r="L11" i="108"/>
  <c r="M11" i="108"/>
  <c r="N11" i="108"/>
  <c r="C12" i="108"/>
  <c r="F12" i="108"/>
  <c r="G12" i="108"/>
  <c r="H12" i="108"/>
  <c r="I12" i="108"/>
  <c r="J12" i="108"/>
  <c r="K12" i="108"/>
  <c r="L12" i="108"/>
  <c r="M12" i="108"/>
  <c r="N12" i="108"/>
  <c r="C13" i="108"/>
  <c r="F13" i="108"/>
  <c r="G13" i="108"/>
  <c r="H13" i="108"/>
  <c r="I13" i="108"/>
  <c r="J13" i="108"/>
  <c r="K13" i="108"/>
  <c r="L13" i="108"/>
  <c r="M13" i="108"/>
  <c r="N13" i="108"/>
  <c r="C14" i="108"/>
  <c r="F14" i="108"/>
  <c r="G14" i="108"/>
  <c r="H14" i="108"/>
  <c r="I14" i="108"/>
  <c r="J14" i="108"/>
  <c r="K14" i="108"/>
  <c r="L14" i="108"/>
  <c r="M14" i="108"/>
  <c r="N14" i="108"/>
  <c r="C15" i="108"/>
  <c r="F15" i="108"/>
  <c r="G15" i="108"/>
  <c r="H15" i="108"/>
  <c r="I15" i="108"/>
  <c r="J15" i="108"/>
  <c r="K15" i="108"/>
  <c r="L15" i="108"/>
  <c r="M15" i="108"/>
  <c r="N15" i="108"/>
  <c r="C16" i="108"/>
  <c r="F16" i="108"/>
  <c r="G16" i="108"/>
  <c r="H16" i="108"/>
  <c r="I16" i="108"/>
  <c r="J16" i="108"/>
  <c r="K16" i="108"/>
  <c r="L16" i="108"/>
  <c r="M16" i="108"/>
  <c r="N16" i="108"/>
  <c r="C17" i="108"/>
  <c r="F17" i="108"/>
  <c r="G17" i="108"/>
  <c r="H17" i="108"/>
  <c r="I17" i="108"/>
  <c r="J17" i="108"/>
  <c r="K17" i="108"/>
  <c r="L17" i="108"/>
  <c r="M17" i="108"/>
  <c r="N17" i="108"/>
  <c r="C18" i="108"/>
  <c r="F18" i="108"/>
  <c r="G18" i="108"/>
  <c r="H18" i="108"/>
  <c r="I18" i="108"/>
  <c r="J18" i="108"/>
  <c r="K18" i="108"/>
  <c r="L18" i="108"/>
  <c r="M18" i="108"/>
  <c r="N18" i="108"/>
  <c r="C19" i="108"/>
  <c r="F19" i="108"/>
  <c r="G19" i="108"/>
  <c r="H19" i="108"/>
  <c r="I19" i="108"/>
  <c r="J19" i="108"/>
  <c r="K19" i="108"/>
  <c r="L19" i="108"/>
  <c r="M19" i="108"/>
  <c r="N19" i="108"/>
  <c r="C20" i="108"/>
  <c r="F20" i="108"/>
  <c r="G20" i="108"/>
  <c r="H20" i="108"/>
  <c r="I20" i="108"/>
  <c r="J20" i="108"/>
  <c r="K20" i="108"/>
  <c r="L20" i="108"/>
  <c r="M20" i="108"/>
  <c r="N20" i="108"/>
  <c r="C21" i="108"/>
  <c r="F21" i="108"/>
  <c r="G21" i="108"/>
  <c r="H21" i="108"/>
  <c r="I21" i="108"/>
  <c r="J21" i="108"/>
  <c r="K21" i="108"/>
  <c r="L21" i="108"/>
  <c r="M21" i="108"/>
  <c r="N21" i="108"/>
  <c r="C22" i="108"/>
  <c r="F22" i="108"/>
  <c r="G22" i="108"/>
  <c r="H22" i="108"/>
  <c r="I22" i="108"/>
  <c r="J22" i="108"/>
  <c r="K22" i="108"/>
  <c r="L22" i="108"/>
  <c r="M22" i="108"/>
  <c r="N22" i="108"/>
  <c r="C23" i="108"/>
  <c r="F23" i="108"/>
  <c r="G23" i="108"/>
  <c r="H23" i="108"/>
  <c r="I23" i="108"/>
  <c r="J23" i="108"/>
  <c r="K23" i="108"/>
  <c r="L23" i="108"/>
  <c r="M23" i="108"/>
  <c r="N23" i="108"/>
  <c r="C24" i="108"/>
  <c r="F24" i="108"/>
  <c r="G24" i="108"/>
  <c r="H24" i="108"/>
  <c r="I24" i="108"/>
  <c r="J24" i="108"/>
  <c r="K24" i="108"/>
  <c r="L24" i="108"/>
  <c r="M24" i="108"/>
  <c r="N24" i="108"/>
  <c r="C25" i="108"/>
  <c r="F25" i="108"/>
  <c r="G25" i="108"/>
  <c r="H25" i="108"/>
  <c r="I25" i="108"/>
  <c r="J25" i="108"/>
  <c r="K25" i="108"/>
  <c r="L25" i="108"/>
  <c r="M25" i="108"/>
  <c r="N25" i="108"/>
  <c r="C26" i="108"/>
  <c r="F26" i="108"/>
  <c r="G26" i="108"/>
  <c r="H26" i="108"/>
  <c r="I26" i="108"/>
  <c r="J26" i="108"/>
  <c r="K26" i="108"/>
  <c r="L26" i="108"/>
  <c r="M26" i="108"/>
  <c r="N26" i="108"/>
  <c r="C27" i="108"/>
  <c r="F27" i="108"/>
  <c r="G27" i="108"/>
  <c r="H27" i="108"/>
  <c r="I27" i="108"/>
  <c r="J27" i="108"/>
  <c r="K27" i="108"/>
  <c r="L27" i="108"/>
  <c r="M27" i="108"/>
  <c r="N27" i="108"/>
  <c r="C28" i="108"/>
  <c r="F28" i="108"/>
  <c r="G28" i="108"/>
  <c r="H28" i="108"/>
  <c r="I28" i="108"/>
  <c r="J28" i="108"/>
  <c r="K28" i="108"/>
  <c r="L28" i="108"/>
  <c r="M28" i="108"/>
  <c r="N28" i="108"/>
  <c r="C29" i="108"/>
  <c r="F29" i="108"/>
  <c r="G29" i="108"/>
  <c r="H29" i="108"/>
  <c r="I29" i="108"/>
  <c r="J29" i="108"/>
  <c r="K29" i="108"/>
  <c r="L29" i="108"/>
  <c r="M29" i="108"/>
  <c r="N29" i="108"/>
  <c r="C30" i="108"/>
  <c r="F30" i="108"/>
  <c r="G30" i="108"/>
  <c r="H30" i="108"/>
  <c r="I30" i="108"/>
  <c r="J30" i="108"/>
  <c r="K30" i="108"/>
  <c r="L30" i="108"/>
  <c r="M30" i="108"/>
  <c r="N30" i="108"/>
  <c r="C31" i="108"/>
  <c r="F31" i="108"/>
  <c r="G31" i="108"/>
  <c r="H31" i="108"/>
  <c r="I31" i="108"/>
  <c r="J31" i="108"/>
  <c r="K31" i="108"/>
  <c r="L31" i="108"/>
  <c r="M31" i="108"/>
  <c r="N31" i="108"/>
  <c r="C32" i="108"/>
  <c r="F32" i="108"/>
  <c r="G32" i="108"/>
  <c r="H32" i="108"/>
  <c r="I32" i="108"/>
  <c r="J32" i="108"/>
  <c r="K32" i="108"/>
  <c r="L32" i="108"/>
  <c r="M32" i="108"/>
  <c r="N32" i="108"/>
  <c r="C33" i="108"/>
  <c r="F33" i="108"/>
  <c r="G33" i="108"/>
  <c r="H33" i="108"/>
  <c r="I33" i="108"/>
  <c r="J33" i="108"/>
  <c r="K33" i="108"/>
  <c r="L33" i="108"/>
  <c r="M33" i="108"/>
  <c r="N33" i="108"/>
  <c r="C34" i="108"/>
  <c r="F34" i="108"/>
  <c r="G34" i="108"/>
  <c r="H34" i="108"/>
  <c r="I34" i="108"/>
  <c r="J34" i="108"/>
  <c r="K34" i="108"/>
  <c r="L34" i="108"/>
  <c r="M34" i="108"/>
  <c r="N34" i="108"/>
  <c r="C35" i="108"/>
  <c r="F35" i="108"/>
  <c r="G35" i="108"/>
  <c r="H35" i="108"/>
  <c r="I35" i="108"/>
  <c r="J35" i="108"/>
  <c r="K35" i="108"/>
  <c r="L35" i="108"/>
  <c r="M35" i="108"/>
  <c r="N35" i="108"/>
  <c r="C36" i="108"/>
  <c r="F36" i="108"/>
  <c r="G36" i="108"/>
  <c r="H36" i="108"/>
  <c r="I36" i="108"/>
  <c r="J36" i="108"/>
  <c r="K36" i="108"/>
  <c r="L36" i="108"/>
  <c r="M36" i="108"/>
  <c r="N36" i="108"/>
  <c r="C37" i="108"/>
  <c r="F37" i="108"/>
  <c r="G37" i="108"/>
  <c r="H37" i="108"/>
  <c r="I37" i="108"/>
  <c r="J37" i="108"/>
  <c r="K37" i="108"/>
  <c r="L37" i="108"/>
  <c r="M37" i="108"/>
  <c r="N37" i="108"/>
  <c r="C38" i="108"/>
  <c r="F38" i="108"/>
  <c r="G38" i="108"/>
  <c r="H38" i="108"/>
  <c r="I38" i="108"/>
  <c r="J38" i="108"/>
  <c r="K38" i="108"/>
  <c r="L38" i="108"/>
  <c r="M38" i="108"/>
  <c r="N38" i="108"/>
  <c r="C39" i="108"/>
  <c r="F39" i="108"/>
  <c r="G39" i="108"/>
  <c r="H39" i="108"/>
  <c r="I39" i="108"/>
  <c r="J39" i="108"/>
  <c r="K39" i="108"/>
  <c r="L39" i="108"/>
  <c r="M39" i="108"/>
  <c r="N39" i="108"/>
  <c r="C40" i="108"/>
  <c r="F40" i="108"/>
  <c r="G40" i="108"/>
  <c r="H40" i="108"/>
  <c r="I40" i="108"/>
  <c r="J40" i="108"/>
  <c r="K40" i="108"/>
  <c r="L40" i="108"/>
  <c r="M40" i="108"/>
  <c r="N40" i="108"/>
  <c r="C41" i="108"/>
  <c r="F41" i="108"/>
  <c r="G41" i="108"/>
  <c r="H41" i="108"/>
  <c r="I41" i="108"/>
  <c r="J41" i="108"/>
  <c r="K41" i="108"/>
  <c r="L41" i="108"/>
  <c r="M41" i="108"/>
  <c r="N41" i="108"/>
  <c r="C42" i="108"/>
  <c r="F42" i="108"/>
  <c r="G42" i="108"/>
  <c r="H42" i="108"/>
  <c r="I42" i="108"/>
  <c r="J42" i="108"/>
  <c r="K42" i="108"/>
  <c r="L42" i="108"/>
  <c r="M42" i="108"/>
  <c r="N42" i="108"/>
  <c r="C43" i="108"/>
  <c r="F43" i="108"/>
  <c r="G43" i="108"/>
  <c r="H43" i="108"/>
  <c r="I43" i="108"/>
  <c r="J43" i="108"/>
  <c r="K43" i="108"/>
  <c r="L43" i="108"/>
  <c r="M43" i="108"/>
  <c r="N43" i="108"/>
  <c r="C44" i="108"/>
  <c r="F44" i="108"/>
  <c r="G44" i="108"/>
  <c r="H44" i="108"/>
  <c r="I44" i="108"/>
  <c r="J44" i="108"/>
  <c r="K44" i="108"/>
  <c r="L44" i="108"/>
  <c r="M44" i="108"/>
  <c r="N44" i="108"/>
  <c r="C45" i="108"/>
  <c r="F45" i="108"/>
  <c r="G45" i="108"/>
  <c r="H45" i="108"/>
  <c r="I45" i="108"/>
  <c r="J45" i="108"/>
  <c r="K45" i="108"/>
  <c r="L45" i="108"/>
  <c r="M45" i="108"/>
  <c r="N45" i="108"/>
  <c r="C46" i="108"/>
  <c r="F46" i="108"/>
  <c r="G46" i="108"/>
  <c r="H46" i="108"/>
  <c r="I46" i="108"/>
  <c r="J46" i="108"/>
  <c r="K46" i="108"/>
  <c r="L46" i="108"/>
  <c r="M46" i="108"/>
  <c r="N46" i="108"/>
  <c r="C47" i="108"/>
  <c r="F47" i="108"/>
  <c r="G47" i="108"/>
  <c r="H47" i="108"/>
  <c r="I47" i="108"/>
  <c r="J47" i="108"/>
  <c r="K47" i="108"/>
  <c r="L47" i="108"/>
  <c r="M47" i="108"/>
  <c r="N47" i="108"/>
  <c r="C48" i="108"/>
  <c r="F48" i="108"/>
  <c r="G48" i="108"/>
  <c r="H48" i="108"/>
  <c r="I48" i="108"/>
  <c r="J48" i="108"/>
  <c r="K48" i="108"/>
  <c r="L48" i="108"/>
  <c r="M48" i="108"/>
  <c r="N48" i="108"/>
  <c r="C49" i="108"/>
  <c r="F49" i="108"/>
  <c r="G49" i="108"/>
  <c r="H49" i="108"/>
  <c r="I49" i="108"/>
  <c r="J49" i="108"/>
  <c r="K49" i="108"/>
  <c r="L49" i="108"/>
  <c r="M49" i="108"/>
  <c r="N49" i="108"/>
  <c r="C50" i="108"/>
  <c r="F50" i="108"/>
  <c r="G50" i="108"/>
  <c r="H50" i="108"/>
  <c r="I50" i="108"/>
  <c r="J50" i="108"/>
  <c r="K50" i="108"/>
  <c r="L50" i="108"/>
  <c r="M50" i="108"/>
  <c r="N50" i="108"/>
  <c r="C51" i="108"/>
  <c r="F51" i="108"/>
  <c r="G51" i="108"/>
  <c r="H51" i="108"/>
  <c r="I51" i="108"/>
  <c r="J51" i="108"/>
  <c r="K51" i="108"/>
  <c r="L51" i="108"/>
  <c r="M51" i="108"/>
  <c r="N51" i="108"/>
  <c r="C52" i="108"/>
  <c r="F52" i="108"/>
  <c r="G52" i="108"/>
  <c r="H52" i="108"/>
  <c r="I52" i="108"/>
  <c r="J52" i="108"/>
  <c r="K52" i="108"/>
  <c r="L52" i="108"/>
  <c r="M52" i="108"/>
  <c r="N52" i="108"/>
  <c r="C53" i="108"/>
  <c r="F53" i="108"/>
  <c r="G53" i="108"/>
  <c r="H53" i="108"/>
  <c r="I53" i="108"/>
  <c r="J53" i="108"/>
  <c r="K53" i="108"/>
  <c r="L53" i="108"/>
  <c r="M53" i="108"/>
  <c r="N53" i="108"/>
  <c r="C54" i="108"/>
  <c r="F54" i="108"/>
  <c r="G54" i="108"/>
  <c r="H54" i="108"/>
  <c r="I54" i="108"/>
  <c r="J54" i="108"/>
  <c r="K54" i="108"/>
  <c r="L54" i="108"/>
  <c r="M54" i="108"/>
  <c r="N54" i="108"/>
  <c r="C55" i="108"/>
  <c r="F55" i="108"/>
  <c r="G55" i="108"/>
  <c r="H55" i="108"/>
  <c r="I55" i="108"/>
  <c r="J55" i="108"/>
  <c r="K55" i="108"/>
  <c r="L55" i="108"/>
  <c r="M55" i="108"/>
  <c r="N55" i="108"/>
  <c r="C56" i="108"/>
  <c r="F56" i="108"/>
  <c r="G56" i="108"/>
  <c r="H56" i="108"/>
  <c r="I56" i="108"/>
  <c r="J56" i="108"/>
  <c r="K56" i="108"/>
  <c r="L56" i="108"/>
  <c r="M56" i="108"/>
  <c r="N56" i="108"/>
  <c r="C57" i="108"/>
  <c r="F57" i="108"/>
  <c r="G57" i="108"/>
  <c r="H57" i="108"/>
  <c r="I57" i="108"/>
  <c r="J57" i="108"/>
  <c r="K57" i="108"/>
  <c r="L57" i="108"/>
  <c r="M57" i="108"/>
  <c r="N57" i="108"/>
  <c r="F10" i="108"/>
  <c r="G10" i="108"/>
  <c r="H10" i="108"/>
  <c r="I10" i="108"/>
  <c r="J10" i="108"/>
  <c r="K10" i="108"/>
  <c r="L10" i="108"/>
  <c r="M10" i="108"/>
  <c r="N10" i="108"/>
  <c r="C10" i="108"/>
  <c r="C11" i="107"/>
  <c r="F11" i="107"/>
  <c r="G11" i="107"/>
  <c r="H11" i="107"/>
  <c r="I11" i="107"/>
  <c r="J11" i="107"/>
  <c r="K11" i="107"/>
  <c r="L11" i="107"/>
  <c r="M11" i="107"/>
  <c r="N11" i="107"/>
  <c r="C12" i="107"/>
  <c r="F12" i="107"/>
  <c r="G12" i="107"/>
  <c r="H12" i="107"/>
  <c r="I12" i="107"/>
  <c r="J12" i="107"/>
  <c r="K12" i="107"/>
  <c r="L12" i="107"/>
  <c r="M12" i="107"/>
  <c r="N12" i="107"/>
  <c r="C13" i="107"/>
  <c r="F13" i="107"/>
  <c r="G13" i="107"/>
  <c r="H13" i="107"/>
  <c r="I13" i="107"/>
  <c r="J13" i="107"/>
  <c r="K13" i="107"/>
  <c r="L13" i="107"/>
  <c r="M13" i="107"/>
  <c r="N13" i="107"/>
  <c r="C14" i="107"/>
  <c r="F14" i="107"/>
  <c r="G14" i="107"/>
  <c r="H14" i="107"/>
  <c r="I14" i="107"/>
  <c r="J14" i="107"/>
  <c r="K14" i="107"/>
  <c r="L14" i="107"/>
  <c r="M14" i="107"/>
  <c r="N14" i="107"/>
  <c r="C15" i="107"/>
  <c r="F15" i="107"/>
  <c r="G15" i="107"/>
  <c r="H15" i="107"/>
  <c r="I15" i="107"/>
  <c r="J15" i="107"/>
  <c r="K15" i="107"/>
  <c r="L15" i="107"/>
  <c r="M15" i="107"/>
  <c r="N15" i="107"/>
  <c r="C16" i="107"/>
  <c r="F16" i="107"/>
  <c r="G16" i="107"/>
  <c r="H16" i="107"/>
  <c r="I16" i="107"/>
  <c r="J16" i="107"/>
  <c r="K16" i="107"/>
  <c r="L16" i="107"/>
  <c r="M16" i="107"/>
  <c r="N16" i="107"/>
  <c r="C17" i="107"/>
  <c r="F17" i="107"/>
  <c r="G17" i="107"/>
  <c r="H17" i="107"/>
  <c r="I17" i="107"/>
  <c r="J17" i="107"/>
  <c r="K17" i="107"/>
  <c r="L17" i="107"/>
  <c r="M17" i="107"/>
  <c r="N17" i="107"/>
  <c r="C18" i="107"/>
  <c r="F18" i="107"/>
  <c r="G18" i="107"/>
  <c r="H18" i="107"/>
  <c r="I18" i="107"/>
  <c r="J18" i="107"/>
  <c r="K18" i="107"/>
  <c r="L18" i="107"/>
  <c r="M18" i="107"/>
  <c r="N18" i="107"/>
  <c r="C19" i="107"/>
  <c r="F19" i="107"/>
  <c r="G19" i="107"/>
  <c r="H19" i="107"/>
  <c r="I19" i="107"/>
  <c r="J19" i="107"/>
  <c r="K19" i="107"/>
  <c r="L19" i="107"/>
  <c r="M19" i="107"/>
  <c r="N19" i="107"/>
  <c r="C20" i="107"/>
  <c r="F20" i="107"/>
  <c r="G20" i="107"/>
  <c r="H20" i="107"/>
  <c r="I20" i="107"/>
  <c r="J20" i="107"/>
  <c r="K20" i="107"/>
  <c r="L20" i="107"/>
  <c r="M20" i="107"/>
  <c r="N20" i="107"/>
  <c r="C21" i="107"/>
  <c r="F21" i="107"/>
  <c r="G21" i="107"/>
  <c r="H21" i="107"/>
  <c r="I21" i="107"/>
  <c r="J21" i="107"/>
  <c r="K21" i="107"/>
  <c r="L21" i="107"/>
  <c r="M21" i="107"/>
  <c r="N21" i="107"/>
  <c r="C22" i="107"/>
  <c r="F22" i="107"/>
  <c r="G22" i="107"/>
  <c r="H22" i="107"/>
  <c r="I22" i="107"/>
  <c r="J22" i="107"/>
  <c r="K22" i="107"/>
  <c r="L22" i="107"/>
  <c r="M22" i="107"/>
  <c r="N22" i="107"/>
  <c r="C23" i="107"/>
  <c r="F23" i="107"/>
  <c r="G23" i="107"/>
  <c r="H23" i="107"/>
  <c r="I23" i="107"/>
  <c r="J23" i="107"/>
  <c r="K23" i="107"/>
  <c r="L23" i="107"/>
  <c r="M23" i="107"/>
  <c r="N23" i="107"/>
  <c r="C24" i="107"/>
  <c r="F24" i="107"/>
  <c r="G24" i="107"/>
  <c r="H24" i="107"/>
  <c r="I24" i="107"/>
  <c r="J24" i="107"/>
  <c r="K24" i="107"/>
  <c r="L24" i="107"/>
  <c r="M24" i="107"/>
  <c r="N24" i="107"/>
  <c r="C25" i="107"/>
  <c r="F25" i="107"/>
  <c r="G25" i="107"/>
  <c r="H25" i="107"/>
  <c r="I25" i="107"/>
  <c r="J25" i="107"/>
  <c r="K25" i="107"/>
  <c r="L25" i="107"/>
  <c r="M25" i="107"/>
  <c r="N25" i="107"/>
  <c r="C26" i="107"/>
  <c r="F26" i="107"/>
  <c r="G26" i="107"/>
  <c r="H26" i="107"/>
  <c r="I26" i="107"/>
  <c r="J26" i="107"/>
  <c r="K26" i="107"/>
  <c r="L26" i="107"/>
  <c r="M26" i="107"/>
  <c r="N26" i="107"/>
  <c r="C27" i="107"/>
  <c r="F27" i="107"/>
  <c r="G27" i="107"/>
  <c r="H27" i="107"/>
  <c r="I27" i="107"/>
  <c r="J27" i="107"/>
  <c r="K27" i="107"/>
  <c r="L27" i="107"/>
  <c r="M27" i="107"/>
  <c r="N27" i="107"/>
  <c r="C28" i="107"/>
  <c r="F28" i="107"/>
  <c r="G28" i="107"/>
  <c r="H28" i="107"/>
  <c r="I28" i="107"/>
  <c r="J28" i="107"/>
  <c r="K28" i="107"/>
  <c r="L28" i="107"/>
  <c r="M28" i="107"/>
  <c r="N28" i="107"/>
  <c r="C29" i="107"/>
  <c r="F29" i="107"/>
  <c r="G29" i="107"/>
  <c r="H29" i="107"/>
  <c r="I29" i="107"/>
  <c r="J29" i="107"/>
  <c r="K29" i="107"/>
  <c r="L29" i="107"/>
  <c r="M29" i="107"/>
  <c r="N29" i="107"/>
  <c r="C30" i="107"/>
  <c r="F30" i="107"/>
  <c r="G30" i="107"/>
  <c r="H30" i="107"/>
  <c r="I30" i="107"/>
  <c r="J30" i="107"/>
  <c r="K30" i="107"/>
  <c r="L30" i="107"/>
  <c r="M30" i="107"/>
  <c r="N30" i="107"/>
  <c r="C31" i="107"/>
  <c r="F31" i="107"/>
  <c r="G31" i="107"/>
  <c r="H31" i="107"/>
  <c r="I31" i="107"/>
  <c r="J31" i="107"/>
  <c r="K31" i="107"/>
  <c r="L31" i="107"/>
  <c r="M31" i="107"/>
  <c r="N31" i="107"/>
  <c r="C32" i="107"/>
  <c r="F32" i="107"/>
  <c r="G32" i="107"/>
  <c r="H32" i="107"/>
  <c r="I32" i="107"/>
  <c r="J32" i="107"/>
  <c r="K32" i="107"/>
  <c r="L32" i="107"/>
  <c r="M32" i="107"/>
  <c r="N32" i="107"/>
  <c r="C33" i="107"/>
  <c r="F33" i="107"/>
  <c r="G33" i="107"/>
  <c r="H33" i="107"/>
  <c r="I33" i="107"/>
  <c r="J33" i="107"/>
  <c r="K33" i="107"/>
  <c r="L33" i="107"/>
  <c r="M33" i="107"/>
  <c r="N33" i="107"/>
  <c r="C34" i="107"/>
  <c r="F34" i="107"/>
  <c r="G34" i="107"/>
  <c r="H34" i="107"/>
  <c r="I34" i="107"/>
  <c r="J34" i="107"/>
  <c r="K34" i="107"/>
  <c r="L34" i="107"/>
  <c r="M34" i="107"/>
  <c r="N34" i="107"/>
  <c r="C35" i="107"/>
  <c r="F35" i="107"/>
  <c r="G35" i="107"/>
  <c r="H35" i="107"/>
  <c r="I35" i="107"/>
  <c r="J35" i="107"/>
  <c r="K35" i="107"/>
  <c r="L35" i="107"/>
  <c r="M35" i="107"/>
  <c r="N35" i="107"/>
  <c r="C36" i="107"/>
  <c r="F36" i="107"/>
  <c r="G36" i="107"/>
  <c r="H36" i="107"/>
  <c r="I36" i="107"/>
  <c r="J36" i="107"/>
  <c r="K36" i="107"/>
  <c r="L36" i="107"/>
  <c r="M36" i="107"/>
  <c r="N36" i="107"/>
  <c r="C37" i="107"/>
  <c r="F37" i="107"/>
  <c r="G37" i="107"/>
  <c r="H37" i="107"/>
  <c r="I37" i="107"/>
  <c r="J37" i="107"/>
  <c r="K37" i="107"/>
  <c r="L37" i="107"/>
  <c r="M37" i="107"/>
  <c r="N37" i="107"/>
  <c r="C38" i="107"/>
  <c r="F38" i="107"/>
  <c r="G38" i="107"/>
  <c r="H38" i="107"/>
  <c r="I38" i="107"/>
  <c r="J38" i="107"/>
  <c r="K38" i="107"/>
  <c r="L38" i="107"/>
  <c r="M38" i="107"/>
  <c r="N38" i="107"/>
  <c r="C39" i="107"/>
  <c r="F39" i="107"/>
  <c r="G39" i="107"/>
  <c r="H39" i="107"/>
  <c r="I39" i="107"/>
  <c r="J39" i="107"/>
  <c r="K39" i="107"/>
  <c r="L39" i="107"/>
  <c r="M39" i="107"/>
  <c r="N39" i="107"/>
  <c r="C40" i="107"/>
  <c r="F40" i="107"/>
  <c r="G40" i="107"/>
  <c r="H40" i="107"/>
  <c r="I40" i="107"/>
  <c r="J40" i="107"/>
  <c r="K40" i="107"/>
  <c r="L40" i="107"/>
  <c r="M40" i="107"/>
  <c r="N40" i="107"/>
  <c r="C41" i="107"/>
  <c r="F41" i="107"/>
  <c r="G41" i="107"/>
  <c r="H41" i="107"/>
  <c r="I41" i="107"/>
  <c r="J41" i="107"/>
  <c r="K41" i="107"/>
  <c r="L41" i="107"/>
  <c r="M41" i="107"/>
  <c r="N41" i="107"/>
  <c r="C42" i="107"/>
  <c r="F42" i="107"/>
  <c r="G42" i="107"/>
  <c r="H42" i="107"/>
  <c r="I42" i="107"/>
  <c r="J42" i="107"/>
  <c r="K42" i="107"/>
  <c r="L42" i="107"/>
  <c r="M42" i="107"/>
  <c r="N42" i="107"/>
  <c r="C43" i="107"/>
  <c r="F43" i="107"/>
  <c r="G43" i="107"/>
  <c r="H43" i="107"/>
  <c r="I43" i="107"/>
  <c r="J43" i="107"/>
  <c r="K43" i="107"/>
  <c r="L43" i="107"/>
  <c r="M43" i="107"/>
  <c r="N43" i="107"/>
  <c r="C44" i="107"/>
  <c r="F44" i="107"/>
  <c r="G44" i="107"/>
  <c r="H44" i="107"/>
  <c r="I44" i="107"/>
  <c r="J44" i="107"/>
  <c r="K44" i="107"/>
  <c r="L44" i="107"/>
  <c r="M44" i="107"/>
  <c r="N44" i="107"/>
  <c r="C45" i="107"/>
  <c r="F45" i="107"/>
  <c r="G45" i="107"/>
  <c r="H45" i="107"/>
  <c r="I45" i="107"/>
  <c r="J45" i="107"/>
  <c r="K45" i="107"/>
  <c r="L45" i="107"/>
  <c r="M45" i="107"/>
  <c r="N45" i="107"/>
  <c r="C46" i="107"/>
  <c r="F46" i="107"/>
  <c r="G46" i="107"/>
  <c r="H46" i="107"/>
  <c r="I46" i="107"/>
  <c r="J46" i="107"/>
  <c r="K46" i="107"/>
  <c r="L46" i="107"/>
  <c r="M46" i="107"/>
  <c r="N46" i="107"/>
  <c r="C47" i="107"/>
  <c r="F47" i="107"/>
  <c r="G47" i="107"/>
  <c r="H47" i="107"/>
  <c r="I47" i="107"/>
  <c r="J47" i="107"/>
  <c r="K47" i="107"/>
  <c r="L47" i="107"/>
  <c r="M47" i="107"/>
  <c r="N47" i="107"/>
  <c r="C48" i="107"/>
  <c r="F48" i="107"/>
  <c r="G48" i="107"/>
  <c r="H48" i="107"/>
  <c r="I48" i="107"/>
  <c r="J48" i="107"/>
  <c r="K48" i="107"/>
  <c r="L48" i="107"/>
  <c r="M48" i="107"/>
  <c r="N48" i="107"/>
  <c r="C49" i="107"/>
  <c r="F49" i="107"/>
  <c r="G49" i="107"/>
  <c r="H49" i="107"/>
  <c r="I49" i="107"/>
  <c r="J49" i="107"/>
  <c r="K49" i="107"/>
  <c r="L49" i="107"/>
  <c r="M49" i="107"/>
  <c r="N49" i="107"/>
  <c r="C50" i="107"/>
  <c r="F50" i="107"/>
  <c r="G50" i="107"/>
  <c r="H50" i="107"/>
  <c r="I50" i="107"/>
  <c r="J50" i="107"/>
  <c r="K50" i="107"/>
  <c r="L50" i="107"/>
  <c r="M50" i="107"/>
  <c r="N50" i="107"/>
  <c r="C51" i="107"/>
  <c r="F51" i="107"/>
  <c r="G51" i="107"/>
  <c r="H51" i="107"/>
  <c r="I51" i="107"/>
  <c r="J51" i="107"/>
  <c r="K51" i="107"/>
  <c r="L51" i="107"/>
  <c r="M51" i="107"/>
  <c r="N51" i="107"/>
  <c r="C52" i="107"/>
  <c r="F52" i="107"/>
  <c r="G52" i="107"/>
  <c r="H52" i="107"/>
  <c r="I52" i="107"/>
  <c r="J52" i="107"/>
  <c r="K52" i="107"/>
  <c r="L52" i="107"/>
  <c r="M52" i="107"/>
  <c r="N52" i="107"/>
  <c r="C53" i="107"/>
  <c r="F53" i="107"/>
  <c r="G53" i="107"/>
  <c r="H53" i="107"/>
  <c r="I53" i="107"/>
  <c r="J53" i="107"/>
  <c r="K53" i="107"/>
  <c r="L53" i="107"/>
  <c r="M53" i="107"/>
  <c r="N53" i="107"/>
  <c r="C54" i="107"/>
  <c r="F54" i="107"/>
  <c r="G54" i="107"/>
  <c r="H54" i="107"/>
  <c r="I54" i="107"/>
  <c r="J54" i="107"/>
  <c r="K54" i="107"/>
  <c r="L54" i="107"/>
  <c r="M54" i="107"/>
  <c r="N54" i="107"/>
  <c r="C55" i="107"/>
  <c r="F55" i="107"/>
  <c r="G55" i="107"/>
  <c r="H55" i="107"/>
  <c r="I55" i="107"/>
  <c r="J55" i="107"/>
  <c r="K55" i="107"/>
  <c r="L55" i="107"/>
  <c r="M55" i="107"/>
  <c r="N55" i="107"/>
  <c r="C56" i="107"/>
  <c r="F56" i="107"/>
  <c r="G56" i="107"/>
  <c r="H56" i="107"/>
  <c r="I56" i="107"/>
  <c r="J56" i="107"/>
  <c r="K56" i="107"/>
  <c r="L56" i="107"/>
  <c r="M56" i="107"/>
  <c r="N56" i="107"/>
  <c r="C57" i="107"/>
  <c r="F57" i="107"/>
  <c r="G57" i="107"/>
  <c r="H57" i="107"/>
  <c r="I57" i="107"/>
  <c r="J57" i="107"/>
  <c r="K57" i="107"/>
  <c r="L57" i="107"/>
  <c r="M57" i="107"/>
  <c r="N57" i="107"/>
  <c r="F10" i="107"/>
  <c r="G10" i="107"/>
  <c r="H10" i="107"/>
  <c r="I10" i="107"/>
  <c r="J10" i="107"/>
  <c r="K10" i="107"/>
  <c r="L10" i="107"/>
  <c r="M10" i="107"/>
  <c r="N10" i="107"/>
  <c r="C10" i="107"/>
  <c r="D5" i="101"/>
  <c r="K106" i="107" l="1"/>
  <c r="AA10" i="107"/>
  <c r="Z21" i="107"/>
  <c r="AD20" i="107"/>
  <c r="AD19" i="107"/>
  <c r="AD18" i="107"/>
  <c r="AD17" i="107"/>
  <c r="V16" i="107"/>
  <c r="V15" i="107"/>
  <c r="AD14" i="107"/>
  <c r="V13" i="107"/>
  <c r="AD12" i="107"/>
  <c r="Z11" i="107"/>
  <c r="AA10" i="108"/>
  <c r="K106" i="108"/>
  <c r="N106" i="107"/>
  <c r="AD10" i="107"/>
  <c r="AC21" i="107"/>
  <c r="U20" i="107"/>
  <c r="U19" i="107"/>
  <c r="U18" i="107"/>
  <c r="AC17" i="107"/>
  <c r="AC16" i="107"/>
  <c r="Y15" i="107"/>
  <c r="Y14" i="107"/>
  <c r="U13" i="107"/>
  <c r="Y12" i="107"/>
  <c r="Y11" i="107"/>
  <c r="F106" i="108"/>
  <c r="C106" i="107"/>
  <c r="S10" i="107"/>
  <c r="AD21" i="107"/>
  <c r="V20" i="107"/>
  <c r="V19" i="107"/>
  <c r="V18" i="107"/>
  <c r="V17" i="107"/>
  <c r="AD16" i="107"/>
  <c r="Z15" i="107"/>
  <c r="Z14" i="107"/>
  <c r="Z13" i="107"/>
  <c r="Z12" i="107"/>
  <c r="AD11" i="107"/>
  <c r="W10" i="108"/>
  <c r="G106" i="108"/>
  <c r="F106" i="107"/>
  <c r="V10" i="107"/>
  <c r="U21" i="107"/>
  <c r="Y20" i="107"/>
  <c r="Y36" i="107" s="1"/>
  <c r="Y19" i="107"/>
  <c r="Y18" i="107"/>
  <c r="Y17" i="107"/>
  <c r="Y16" i="107"/>
  <c r="AC15" i="107"/>
  <c r="AC14" i="107"/>
  <c r="AC13" i="107"/>
  <c r="AC12" i="107"/>
  <c r="AC11" i="107"/>
  <c r="J106" i="108"/>
  <c r="M106" i="107"/>
  <c r="AC10" i="107"/>
  <c r="I106" i="107"/>
  <c r="Y10" i="107"/>
  <c r="E106" i="107"/>
  <c r="U10" i="107"/>
  <c r="AB21" i="107"/>
  <c r="X21" i="107"/>
  <c r="T21" i="107"/>
  <c r="AB20" i="107"/>
  <c r="X20" i="107"/>
  <c r="T20" i="107"/>
  <c r="AB19" i="107"/>
  <c r="X19" i="107"/>
  <c r="T19" i="107"/>
  <c r="AB18" i="107"/>
  <c r="X18" i="107"/>
  <c r="T18" i="107"/>
  <c r="AB17" i="107"/>
  <c r="X17" i="107"/>
  <c r="T17" i="107"/>
  <c r="AB16" i="107"/>
  <c r="X16" i="107"/>
  <c r="T16" i="107"/>
  <c r="AB15" i="107"/>
  <c r="X15" i="107"/>
  <c r="T15" i="107"/>
  <c r="AB14" i="107"/>
  <c r="X14" i="107"/>
  <c r="T14" i="107"/>
  <c r="AB13" i="107"/>
  <c r="X13" i="107"/>
  <c r="T13" i="107"/>
  <c r="AB12" i="107"/>
  <c r="X12" i="107"/>
  <c r="T12" i="107"/>
  <c r="AB11" i="107"/>
  <c r="X11" i="107"/>
  <c r="T11" i="107"/>
  <c r="AC10" i="108"/>
  <c r="M106" i="108"/>
  <c r="Y10" i="108"/>
  <c r="I106" i="108"/>
  <c r="U10" i="108"/>
  <c r="E106" i="108"/>
  <c r="G106" i="107"/>
  <c r="W10" i="107"/>
  <c r="V21" i="107"/>
  <c r="Z20" i="107"/>
  <c r="Z19" i="107"/>
  <c r="Z18" i="107"/>
  <c r="Z17" i="107"/>
  <c r="Z16" i="107"/>
  <c r="AD15" i="107"/>
  <c r="V14" i="107"/>
  <c r="AD13" i="107"/>
  <c r="V12" i="107"/>
  <c r="V11" i="107"/>
  <c r="S10" i="108"/>
  <c r="C106" i="108"/>
  <c r="J106" i="107"/>
  <c r="Z10" i="107"/>
  <c r="Y21" i="107"/>
  <c r="AC20" i="107"/>
  <c r="AC19" i="107"/>
  <c r="AC39" i="107" s="1"/>
  <c r="AC18" i="107"/>
  <c r="U17" i="107"/>
  <c r="U16" i="107"/>
  <c r="U15" i="107"/>
  <c r="U14" i="107"/>
  <c r="Y13" i="107"/>
  <c r="U12" i="107"/>
  <c r="U11" i="107"/>
  <c r="N106" i="108"/>
  <c r="L106" i="107"/>
  <c r="AB10" i="107"/>
  <c r="H106" i="107"/>
  <c r="X10" i="107"/>
  <c r="D106" i="107"/>
  <c r="T10" i="107"/>
  <c r="AA21" i="107"/>
  <c r="W21" i="107"/>
  <c r="S21" i="107"/>
  <c r="AA20" i="107"/>
  <c r="W20" i="107"/>
  <c r="S20" i="107"/>
  <c r="AA19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A12" i="107"/>
  <c r="W12" i="107"/>
  <c r="S12" i="107"/>
  <c r="AA11" i="107"/>
  <c r="W11" i="107"/>
  <c r="S11" i="107"/>
  <c r="AB10" i="108"/>
  <c r="L106" i="108"/>
  <c r="X10" i="108"/>
  <c r="H106" i="108"/>
  <c r="T10" i="108"/>
  <c r="D106" i="108"/>
  <c r="V21" i="108"/>
  <c r="AD20" i="108"/>
  <c r="V19" i="108"/>
  <c r="Z18" i="108"/>
  <c r="Z17" i="108"/>
  <c r="AD16" i="108"/>
  <c r="Z15" i="108"/>
  <c r="Z14" i="108"/>
  <c r="V13" i="108"/>
  <c r="AD12" i="108"/>
  <c r="Z11" i="108"/>
  <c r="AD10" i="108"/>
  <c r="Z10" i="108"/>
  <c r="V10" i="108"/>
  <c r="AC21" i="108"/>
  <c r="Y21" i="108"/>
  <c r="U21" i="108"/>
  <c r="AC20" i="108"/>
  <c r="Y20" i="108"/>
  <c r="U20" i="108"/>
  <c r="AC19" i="108"/>
  <c r="Y19" i="108"/>
  <c r="U19" i="108"/>
  <c r="AC18" i="108"/>
  <c r="Y18" i="108"/>
  <c r="U18" i="108"/>
  <c r="AC17" i="108"/>
  <c r="Y17" i="108"/>
  <c r="U17" i="108"/>
  <c r="AC16" i="108"/>
  <c r="Y16" i="108"/>
  <c r="U16" i="108"/>
  <c r="AC15" i="108"/>
  <c r="Y15" i="108"/>
  <c r="U15" i="108"/>
  <c r="AC14" i="108"/>
  <c r="Y14" i="108"/>
  <c r="U14" i="108"/>
  <c r="AC13" i="108"/>
  <c r="Y13" i="108"/>
  <c r="U13" i="108"/>
  <c r="AC12" i="108"/>
  <c r="Y12" i="108"/>
  <c r="U12" i="108"/>
  <c r="AC11" i="108"/>
  <c r="AC41" i="108" s="1"/>
  <c r="Y11" i="108"/>
  <c r="U11" i="108"/>
  <c r="Z21" i="108"/>
  <c r="Z20" i="108"/>
  <c r="Z19" i="108"/>
  <c r="AD18" i="108"/>
  <c r="AD17" i="108"/>
  <c r="V16" i="108"/>
  <c r="V15" i="108"/>
  <c r="AD14" i="108"/>
  <c r="Z13" i="108"/>
  <c r="Z12" i="108"/>
  <c r="AD11" i="108"/>
  <c r="AB21" i="108"/>
  <c r="X21" i="108"/>
  <c r="T21" i="108"/>
  <c r="AB20" i="108"/>
  <c r="X20" i="108"/>
  <c r="T20" i="108"/>
  <c r="AB19" i="108"/>
  <c r="X19" i="108"/>
  <c r="T19" i="108"/>
  <c r="AB18" i="108"/>
  <c r="X18" i="108"/>
  <c r="T18" i="108"/>
  <c r="AB17" i="108"/>
  <c r="X17" i="108"/>
  <c r="T17" i="108"/>
  <c r="AB16" i="108"/>
  <c r="X16" i="108"/>
  <c r="T16" i="108"/>
  <c r="AB15" i="108"/>
  <c r="X15" i="108"/>
  <c r="T15" i="108"/>
  <c r="AB14" i="108"/>
  <c r="X14" i="108"/>
  <c r="T14" i="108"/>
  <c r="AB13" i="108"/>
  <c r="X13" i="108"/>
  <c r="T13" i="108"/>
  <c r="AB12" i="108"/>
  <c r="X12" i="108"/>
  <c r="T12" i="108"/>
  <c r="AB11" i="108"/>
  <c r="X11" i="108"/>
  <c r="T11" i="108"/>
  <c r="AD21" i="108"/>
  <c r="V20" i="108"/>
  <c r="AD19" i="108"/>
  <c r="V18" i="108"/>
  <c r="V17" i="108"/>
  <c r="Z16" i="108"/>
  <c r="AD15" i="108"/>
  <c r="V14" i="108"/>
  <c r="AD13" i="108"/>
  <c r="V12" i="108"/>
  <c r="V11" i="108"/>
  <c r="AA21" i="108"/>
  <c r="W21" i="108"/>
  <c r="S21" i="108"/>
  <c r="AA20" i="108"/>
  <c r="W20" i="108"/>
  <c r="S20" i="108"/>
  <c r="AA19" i="108"/>
  <c r="W19" i="108"/>
  <c r="S19" i="108"/>
  <c r="AA18" i="108"/>
  <c r="W18" i="108"/>
  <c r="S18" i="108"/>
  <c r="AA17" i="108"/>
  <c r="W17" i="108"/>
  <c r="S17" i="108"/>
  <c r="AA16" i="108"/>
  <c r="W16" i="108"/>
  <c r="S16" i="108"/>
  <c r="AA15" i="108"/>
  <c r="W15" i="108"/>
  <c r="S15" i="108"/>
  <c r="AA14" i="108"/>
  <c r="W14" i="108"/>
  <c r="S14" i="108"/>
  <c r="AA13" i="108"/>
  <c r="W13" i="108"/>
  <c r="S13" i="108"/>
  <c r="AA12" i="108"/>
  <c r="W12" i="108"/>
  <c r="S12" i="108"/>
  <c r="AA11" i="108"/>
  <c r="W11" i="108"/>
  <c r="S11" i="108"/>
  <c r="C3" i="94"/>
  <c r="C3" i="101" s="1"/>
  <c r="U41" i="108" l="1"/>
  <c r="U38" i="107"/>
  <c r="T40" i="108"/>
  <c r="Y41" i="108"/>
  <c r="Y36" i="108"/>
  <c r="AB40" i="108"/>
  <c r="U39" i="107"/>
  <c r="AB37" i="108"/>
  <c r="S37" i="108"/>
  <c r="T34" i="108"/>
  <c r="W38" i="107"/>
  <c r="W35" i="107"/>
  <c r="Z41" i="107"/>
  <c r="Z34" i="107"/>
  <c r="Z37" i="107"/>
  <c r="Z40" i="107"/>
  <c r="AC34" i="107"/>
  <c r="AC40" i="107"/>
  <c r="AC37" i="107"/>
  <c r="AC41" i="107"/>
  <c r="Z35" i="107"/>
  <c r="Z38" i="107"/>
  <c r="AA37" i="108"/>
  <c r="AA35" i="107"/>
  <c r="AA38" i="107"/>
  <c r="S36" i="107"/>
  <c r="S39" i="107"/>
  <c r="T38" i="107"/>
  <c r="T35" i="107"/>
  <c r="AB36" i="107"/>
  <c r="AB39" i="107"/>
  <c r="AC35" i="107"/>
  <c r="S40" i="107"/>
  <c r="S41" i="107"/>
  <c r="S42" i="107" s="1"/>
  <c r="S34" i="107"/>
  <c r="S37" i="107"/>
  <c r="U36" i="107"/>
  <c r="V35" i="107"/>
  <c r="V38" i="107"/>
  <c r="X40" i="107"/>
  <c r="X41" i="107"/>
  <c r="X34" i="107"/>
  <c r="X37" i="107"/>
  <c r="Z39" i="107"/>
  <c r="Z36" i="107"/>
  <c r="X36" i="107"/>
  <c r="X39" i="107"/>
  <c r="U40" i="107"/>
  <c r="U34" i="107"/>
  <c r="U37" i="107"/>
  <c r="U41" i="107"/>
  <c r="X40" i="108"/>
  <c r="AC40" i="108"/>
  <c r="U35" i="108"/>
  <c r="AC39" i="108"/>
  <c r="W37" i="107"/>
  <c r="W39" i="107"/>
  <c r="W36" i="107"/>
  <c r="T40" i="107"/>
  <c r="T41" i="107"/>
  <c r="T34" i="107"/>
  <c r="T37" i="107"/>
  <c r="AB40" i="107"/>
  <c r="AB37" i="107"/>
  <c r="AB41" i="107"/>
  <c r="AB42" i="107" s="1"/>
  <c r="AB34" i="107"/>
  <c r="AC36" i="107"/>
  <c r="AD35" i="107"/>
  <c r="AD38" i="107"/>
  <c r="X38" i="107"/>
  <c r="X35" i="107"/>
  <c r="Y41" i="107"/>
  <c r="Y34" i="107"/>
  <c r="Y37" i="107"/>
  <c r="Y40" i="107"/>
  <c r="AC38" i="107"/>
  <c r="V41" i="107"/>
  <c r="V34" i="107"/>
  <c r="V37" i="107"/>
  <c r="V40" i="107"/>
  <c r="V39" i="107"/>
  <c r="V36" i="107"/>
  <c r="U35" i="107"/>
  <c r="AA40" i="107"/>
  <c r="AA37" i="107"/>
  <c r="AA34" i="107"/>
  <c r="W34" i="108"/>
  <c r="U34" i="108"/>
  <c r="AA41" i="107"/>
  <c r="AA42" i="107" s="1"/>
  <c r="S38" i="107"/>
  <c r="S35" i="107"/>
  <c r="AA36" i="107"/>
  <c r="AA39" i="107"/>
  <c r="Y35" i="107"/>
  <c r="W40" i="107"/>
  <c r="W34" i="107"/>
  <c r="W41" i="107"/>
  <c r="W42" i="107" s="1"/>
  <c r="AB38" i="107"/>
  <c r="AB35" i="107"/>
  <c r="T36" i="107"/>
  <c r="T39" i="107"/>
  <c r="Y39" i="107"/>
  <c r="Y38" i="107"/>
  <c r="AD41" i="107"/>
  <c r="AD34" i="107"/>
  <c r="AD40" i="107"/>
  <c r="AD42" i="107" s="1"/>
  <c r="AD37" i="107"/>
  <c r="AD39" i="107"/>
  <c r="AD36" i="107"/>
  <c r="T41" i="108"/>
  <c r="T42" i="108" s="1"/>
  <c r="Y37" i="108"/>
  <c r="X34" i="108"/>
  <c r="AB41" i="108"/>
  <c r="AB42" i="108" s="1"/>
  <c r="U37" i="108"/>
  <c r="Y38" i="108"/>
  <c r="S36" i="108"/>
  <c r="S39" i="108"/>
  <c r="Z41" i="108"/>
  <c r="Z34" i="108"/>
  <c r="Z37" i="108"/>
  <c r="Z40" i="108"/>
  <c r="V35" i="108"/>
  <c r="V38" i="108"/>
  <c r="W41" i="108"/>
  <c r="W39" i="108"/>
  <c r="W36" i="108"/>
  <c r="T37" i="108"/>
  <c r="X37" i="108"/>
  <c r="AB34" i="108"/>
  <c r="AD39" i="108"/>
  <c r="AD36" i="108"/>
  <c r="S34" i="108"/>
  <c r="T38" i="108"/>
  <c r="T35" i="108"/>
  <c r="AB36" i="108"/>
  <c r="AB39" i="108"/>
  <c r="U40" i="108"/>
  <c r="Y34" i="108"/>
  <c r="AC37" i="108"/>
  <c r="W40" i="108"/>
  <c r="Y35" i="108"/>
  <c r="AC38" i="108"/>
  <c r="U36" i="108"/>
  <c r="AD41" i="108"/>
  <c r="AD40" i="108"/>
  <c r="AD34" i="108"/>
  <c r="AD37" i="108"/>
  <c r="AA34" i="108"/>
  <c r="S41" i="108"/>
  <c r="AC42" i="108"/>
  <c r="Z39" i="108"/>
  <c r="Z36" i="108"/>
  <c r="S35" i="108"/>
  <c r="S38" i="108"/>
  <c r="AA36" i="108"/>
  <c r="AA39" i="108"/>
  <c r="X38" i="108"/>
  <c r="X35" i="108"/>
  <c r="Y40" i="108"/>
  <c r="Y42" i="108" s="1"/>
  <c r="AC34" i="108"/>
  <c r="Z35" i="108"/>
  <c r="Z38" i="108"/>
  <c r="AC35" i="108"/>
  <c r="U39" i="108"/>
  <c r="V39" i="108"/>
  <c r="V36" i="108"/>
  <c r="AA41" i="108"/>
  <c r="AA38" i="108"/>
  <c r="AA35" i="108"/>
  <c r="X36" i="108"/>
  <c r="X39" i="108"/>
  <c r="X41" i="108"/>
  <c r="X42" i="108" s="1"/>
  <c r="S40" i="108"/>
  <c r="W38" i="108"/>
  <c r="W35" i="108"/>
  <c r="AD35" i="108"/>
  <c r="AD38" i="108"/>
  <c r="AB38" i="108"/>
  <c r="AB35" i="108"/>
  <c r="T36" i="108"/>
  <c r="T39" i="108"/>
  <c r="W37" i="108"/>
  <c r="U38" i="108"/>
  <c r="Y39" i="108"/>
  <c r="AC36" i="108"/>
  <c r="V41" i="108"/>
  <c r="V34" i="108"/>
  <c r="V37" i="108"/>
  <c r="V40" i="108"/>
  <c r="AA40" i="108"/>
  <c r="K6" i="98"/>
  <c r="K6" i="99" s="1"/>
  <c r="K6" i="100" s="1"/>
  <c r="K6" i="109" s="1"/>
  <c r="K6" i="105" s="1"/>
  <c r="K6" i="110" s="1"/>
  <c r="K6" i="103" s="1"/>
  <c r="K5" i="98"/>
  <c r="K5" i="99" s="1"/>
  <c r="K5" i="100" s="1"/>
  <c r="K5" i="109" s="1"/>
  <c r="K5" i="105" s="1"/>
  <c r="K5" i="110" s="1"/>
  <c r="K5" i="103" s="1"/>
  <c r="G5" i="98"/>
  <c r="G5" i="99" s="1"/>
  <c r="G5" i="100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8"/>
  <c r="G6" i="110"/>
  <c r="G6" i="98"/>
  <c r="G6" i="96"/>
  <c r="G6" i="107"/>
  <c r="G6" i="99"/>
  <c r="G6" i="97"/>
  <c r="G6" i="95"/>
  <c r="D6" i="108"/>
  <c r="D6" i="110"/>
  <c r="D6" i="98"/>
  <c r="D6" i="96"/>
  <c r="D6" i="107"/>
  <c r="D6" i="99"/>
  <c r="D6" i="97"/>
  <c r="D6" i="95"/>
  <c r="U42" i="108" l="1"/>
  <c r="AD42" i="108"/>
  <c r="X42" i="107"/>
  <c r="V42" i="107"/>
  <c r="Y42" i="107"/>
  <c r="U42" i="107"/>
  <c r="T42" i="107"/>
  <c r="AC42" i="107"/>
  <c r="Z42" i="107"/>
  <c r="AA42" i="108"/>
  <c r="V42" i="108"/>
  <c r="S42" i="108"/>
  <c r="Z42" i="108"/>
  <c r="W42" i="108"/>
  <c r="K5" i="107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A19" i="103"/>
  <c r="Z19" i="103"/>
  <c r="Y19" i="103"/>
  <c r="X19" i="103"/>
  <c r="X27" i="103" s="1"/>
  <c r="W19" i="103"/>
  <c r="W27" i="103" s="1"/>
  <c r="V19" i="103"/>
  <c r="V27" i="103" s="1"/>
  <c r="U19" i="103"/>
  <c r="U24" i="103" s="1"/>
  <c r="T19" i="103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97" l="1"/>
  <c r="AD38" i="101"/>
  <c r="Y27" i="103"/>
  <c r="Z27" i="103"/>
  <c r="V39" i="105"/>
  <c r="AD39" i="105"/>
  <c r="AC39" i="109"/>
  <c r="T27" i="97"/>
  <c r="S27" i="103"/>
  <c r="AB27" i="97"/>
  <c r="AA27" i="103"/>
  <c r="S27" i="99"/>
  <c r="AA27" i="99"/>
  <c r="S39" i="101"/>
  <c r="T27" i="103"/>
  <c r="AB27" i="103"/>
  <c r="AA26" i="95"/>
  <c r="X26" i="98"/>
  <c r="W39" i="105"/>
  <c r="AA39" i="105"/>
  <c r="X39" i="105"/>
  <c r="Y39" i="109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U38" i="110" s="1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U22" i="110"/>
  <c r="Y22" i="110"/>
  <c r="AC22" i="110"/>
  <c r="U24" i="110"/>
  <c r="Y24" i="110"/>
  <c r="AC24" i="110"/>
  <c r="U26" i="110"/>
  <c r="Y26" i="110"/>
  <c r="AC26" i="110"/>
  <c r="U28" i="110"/>
  <c r="Y28" i="110"/>
  <c r="AC28" i="110"/>
  <c r="U30" i="110"/>
  <c r="Y30" i="110"/>
  <c r="AC30" i="110"/>
  <c r="U32" i="110"/>
  <c r="Y32" i="110"/>
  <c r="AC3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7" i="110"/>
  <c r="V21" i="110"/>
  <c r="X21" i="110"/>
  <c r="Z21" i="110"/>
  <c r="AB21" i="110"/>
  <c r="AD21" i="110"/>
  <c r="V22" i="110"/>
  <c r="X22" i="110"/>
  <c r="Z22" i="110"/>
  <c r="AB22" i="110"/>
  <c r="AD22" i="110"/>
  <c r="V23" i="110"/>
  <c r="X23" i="110"/>
  <c r="Z23" i="110"/>
  <c r="AB23" i="110"/>
  <c r="AD23" i="110"/>
  <c r="V24" i="110"/>
  <c r="X24" i="110"/>
  <c r="Z24" i="110"/>
  <c r="AB24" i="110"/>
  <c r="AD24" i="110"/>
  <c r="V25" i="110"/>
  <c r="X25" i="110"/>
  <c r="Z25" i="110"/>
  <c r="AB25" i="110"/>
  <c r="AD25" i="110"/>
  <c r="V26" i="110"/>
  <c r="X26" i="110"/>
  <c r="Z26" i="110"/>
  <c r="AB26" i="110"/>
  <c r="AD26" i="110"/>
  <c r="V27" i="110"/>
  <c r="X27" i="110"/>
  <c r="Z27" i="110"/>
  <c r="AB27" i="110"/>
  <c r="AD27" i="110"/>
  <c r="V28" i="110"/>
  <c r="X28" i="110"/>
  <c r="Z28" i="110"/>
  <c r="AB28" i="110"/>
  <c r="AD28" i="110"/>
  <c r="V29" i="110"/>
  <c r="X29" i="110"/>
  <c r="Z29" i="110"/>
  <c r="AB29" i="110"/>
  <c r="AD29" i="110"/>
  <c r="V30" i="110"/>
  <c r="X30" i="110"/>
  <c r="Z30" i="110"/>
  <c r="W38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T31" i="110"/>
  <c r="V31" i="110"/>
  <c r="X31" i="110"/>
  <c r="Z31" i="110"/>
  <c r="AB31" i="110"/>
  <c r="AD31" i="110"/>
  <c r="T32" i="110"/>
  <c r="V32" i="110"/>
  <c r="X32" i="110"/>
  <c r="Z32" i="110"/>
  <c r="AB32" i="110"/>
  <c r="AD32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X10" i="94"/>
  <c r="AB10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P106" i="94" l="1"/>
  <c r="G107" i="94" s="1"/>
  <c r="X26" i="96"/>
  <c r="AB26" i="103"/>
  <c r="X23" i="103"/>
  <c r="V39" i="109"/>
  <c r="O106" i="94"/>
  <c r="Y38" i="105"/>
  <c r="AF32" i="101"/>
  <c r="AF33" i="101"/>
  <c r="U38" i="109"/>
  <c r="AB26" i="98"/>
  <c r="S38" i="110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AB12" i="111" s="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Y1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AE21" i="108" s="1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AF16" i="107" s="1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AE10" i="94"/>
  <c r="AF10" i="94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8" i="107" l="1"/>
  <c r="AE19" i="107"/>
  <c r="AF15" i="107"/>
  <c r="AE14" i="107"/>
  <c r="F107" i="94"/>
  <c r="D107" i="94"/>
  <c r="I107" i="94"/>
  <c r="J107" i="94"/>
  <c r="M107" i="94"/>
  <c r="L107" i="94"/>
  <c r="E107" i="94"/>
  <c r="H107" i="94"/>
  <c r="C107" i="94"/>
  <c r="N107" i="94"/>
  <c r="K107" i="94"/>
  <c r="AE20" i="107"/>
  <c r="AF21" i="107"/>
  <c r="AF21" i="108"/>
  <c r="AB11" i="111"/>
  <c r="Z13" i="111"/>
  <c r="Z15" i="111"/>
  <c r="Z17" i="111"/>
  <c r="Z19" i="111"/>
  <c r="Z39" i="111" s="1"/>
  <c r="Z21" i="111"/>
  <c r="S11" i="111"/>
  <c r="S13" i="111"/>
  <c r="X14" i="111"/>
  <c r="X16" i="111"/>
  <c r="X18" i="111"/>
  <c r="X20" i="111"/>
  <c r="S18" i="111"/>
  <c r="AE16" i="108"/>
  <c r="V12" i="111"/>
  <c r="AE11" i="107"/>
  <c r="S15" i="111"/>
  <c r="AC17" i="111"/>
  <c r="AC19" i="111"/>
  <c r="Z14" i="111"/>
  <c r="Z16" i="111"/>
  <c r="Z38" i="111" s="1"/>
  <c r="Z18" i="111"/>
  <c r="Z20" i="111"/>
  <c r="S12" i="111"/>
  <c r="X15" i="111"/>
  <c r="X17" i="111"/>
  <c r="X19" i="111"/>
  <c r="X21" i="111"/>
  <c r="S17" i="111"/>
  <c r="S35" i="111" s="1"/>
  <c r="G106" i="111"/>
  <c r="K106" i="111"/>
  <c r="L108" i="94"/>
  <c r="H108" i="94"/>
  <c r="K108" i="94"/>
  <c r="D108" i="94"/>
  <c r="J108" i="94"/>
  <c r="N108" i="94"/>
  <c r="E108" i="94"/>
  <c r="G108" i="94"/>
  <c r="C108" i="94"/>
  <c r="F108" i="94"/>
  <c r="I108" i="94"/>
  <c r="V22" i="93"/>
  <c r="O106" i="107"/>
  <c r="H108" i="107" s="1"/>
  <c r="AE10" i="107"/>
  <c r="AE37" i="107" s="1"/>
  <c r="AE15" i="107"/>
  <c r="AF14" i="107"/>
  <c r="AE12" i="107"/>
  <c r="AF18" i="107"/>
  <c r="AF19" i="107"/>
  <c r="AF20" i="107"/>
  <c r="AE21" i="107"/>
  <c r="AE36" i="107" s="1"/>
  <c r="AF12" i="107"/>
  <c r="H106" i="111"/>
  <c r="C106" i="111"/>
  <c r="J106" i="111"/>
  <c r="P106" i="107"/>
  <c r="C107" i="107" s="1"/>
  <c r="AF10" i="107"/>
  <c r="AF11" i="107"/>
  <c r="AF10" i="108"/>
  <c r="P106" i="108"/>
  <c r="H107" i="108" s="1"/>
  <c r="AD10" i="111"/>
  <c r="N106" i="111"/>
  <c r="E106" i="111"/>
  <c r="L106" i="111"/>
  <c r="AE13" i="107"/>
  <c r="I106" i="111"/>
  <c r="AF17" i="107"/>
  <c r="AE16" i="107"/>
  <c r="AE17" i="107"/>
  <c r="AF13" i="107"/>
  <c r="AF16" i="108"/>
  <c r="O106" i="108"/>
  <c r="H108" i="108" s="1"/>
  <c r="V10" i="111"/>
  <c r="V34" i="111" s="1"/>
  <c r="F106" i="111"/>
  <c r="AD12" i="111"/>
  <c r="AD41" i="111" s="1"/>
  <c r="M106" i="111"/>
  <c r="D106" i="111"/>
  <c r="S42" i="110"/>
  <c r="AE14" i="108"/>
  <c r="AF17" i="108"/>
  <c r="AE10" i="108"/>
  <c r="S14" i="111"/>
  <c r="S38" i="111" s="1"/>
  <c r="V11" i="111"/>
  <c r="X13" i="111"/>
  <c r="AF11" i="108"/>
  <c r="AE19" i="108"/>
  <c r="AE12" i="108"/>
  <c r="AF14" i="108"/>
  <c r="AE11" i="108"/>
  <c r="AA42" i="110"/>
  <c r="W10" i="111"/>
  <c r="U11" i="111"/>
  <c r="U12" i="111"/>
  <c r="U13" i="111"/>
  <c r="W14" i="111"/>
  <c r="U15" i="111"/>
  <c r="W16" i="111"/>
  <c r="S19" i="111"/>
  <c r="W20" i="111"/>
  <c r="S21" i="111"/>
  <c r="AB13" i="111"/>
  <c r="AD14" i="111"/>
  <c r="AD15" i="111"/>
  <c r="AD16" i="111"/>
  <c r="AD17" i="111"/>
  <c r="AD18" i="111"/>
  <c r="AD19" i="111"/>
  <c r="AD20" i="111"/>
  <c r="AD21" i="111"/>
  <c r="W11" i="111"/>
  <c r="W12" i="111"/>
  <c r="W13" i="111"/>
  <c r="U14" i="111"/>
  <c r="W15" i="111"/>
  <c r="U16" i="111"/>
  <c r="X11" i="111"/>
  <c r="Z12" i="111"/>
  <c r="AD13" i="111"/>
  <c r="AB14" i="111"/>
  <c r="AB15" i="111"/>
  <c r="AB16" i="111"/>
  <c r="AB17" i="111"/>
  <c r="AB18" i="111"/>
  <c r="AB19" i="111"/>
  <c r="AB20" i="111"/>
  <c r="AB21" i="111"/>
  <c r="AC10" i="111"/>
  <c r="U17" i="111"/>
  <c r="U18" i="111"/>
  <c r="U19" i="111"/>
  <c r="S20" i="111"/>
  <c r="W21" i="111"/>
  <c r="T10" i="111"/>
  <c r="Z35" i="111"/>
  <c r="AC20" i="111"/>
  <c r="AF18" i="108"/>
  <c r="AE13" i="108"/>
  <c r="AE15" i="108"/>
  <c r="AE17" i="108"/>
  <c r="AA10" i="111"/>
  <c r="Y11" i="111"/>
  <c r="Y12" i="111"/>
  <c r="Y13" i="111"/>
  <c r="Y14" i="111"/>
  <c r="AC15" i="111"/>
  <c r="AC16" i="111"/>
  <c r="W17" i="111"/>
  <c r="W18" i="111"/>
  <c r="Y20" i="111"/>
  <c r="U21" i="111"/>
  <c r="X10" i="111"/>
  <c r="T11" i="111"/>
  <c r="T12" i="111"/>
  <c r="T13" i="111"/>
  <c r="AA11" i="111"/>
  <c r="AA12" i="111"/>
  <c r="AA13" i="111"/>
  <c r="AA14" i="111"/>
  <c r="Y15" i="111"/>
  <c r="Y16" i="111"/>
  <c r="AD11" i="111"/>
  <c r="S10" i="111"/>
  <c r="AA17" i="111"/>
  <c r="Y18" i="111"/>
  <c r="W19" i="111"/>
  <c r="U20" i="111"/>
  <c r="Y21" i="111"/>
  <c r="Z10" i="111"/>
  <c r="X12" i="111"/>
  <c r="X38" i="111"/>
  <c r="X35" i="111"/>
  <c r="X36" i="111"/>
  <c r="X39" i="111"/>
  <c r="Y10" i="111"/>
  <c r="AF12" i="108"/>
  <c r="AE18" i="108"/>
  <c r="AF20" i="108"/>
  <c r="AF15" i="108"/>
  <c r="AE20" i="108"/>
  <c r="AF19" i="108"/>
  <c r="AF13" i="108"/>
  <c r="AC11" i="111"/>
  <c r="AC12" i="111"/>
  <c r="AC13" i="111"/>
  <c r="Y17" i="111"/>
  <c r="AC18" i="111"/>
  <c r="AA19" i="111"/>
  <c r="AC21" i="111"/>
  <c r="Z11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15" i="111"/>
  <c r="T16" i="111"/>
  <c r="T17" i="111"/>
  <c r="T18" i="111"/>
  <c r="T19" i="111"/>
  <c r="T20" i="111"/>
  <c r="T21" i="111"/>
  <c r="U10" i="111"/>
  <c r="AA18" i="111"/>
  <c r="AA20" i="111"/>
  <c r="AA21" i="111"/>
  <c r="AB10" i="111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F107" i="105"/>
  <c r="E107" i="105"/>
  <c r="D107" i="105"/>
  <c r="C107" i="105"/>
  <c r="AF35" i="105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AE28" i="94"/>
  <c r="AE25" i="94"/>
  <c r="AE22" i="94"/>
  <c r="AF22" i="94"/>
  <c r="AF28" i="94"/>
  <c r="AF25" i="94"/>
  <c r="AE26" i="94"/>
  <c r="AE23" i="94"/>
  <c r="AE27" i="94"/>
  <c r="AE24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34" i="108" l="1"/>
  <c r="AF37" i="108"/>
  <c r="U36" i="111"/>
  <c r="AE39" i="107"/>
  <c r="AE12" i="111"/>
  <c r="Z36" i="111"/>
  <c r="V37" i="111"/>
  <c r="AD37" i="111"/>
  <c r="P106" i="111"/>
  <c r="N107" i="111" s="1"/>
  <c r="AF38" i="107"/>
  <c r="AF35" i="107"/>
  <c r="AF40" i="107"/>
  <c r="AF34" i="107"/>
  <c r="AF37" i="107"/>
  <c r="AF41" i="107"/>
  <c r="AF36" i="107"/>
  <c r="AF39" i="107"/>
  <c r="AE38" i="107"/>
  <c r="AE35" i="107"/>
  <c r="AE40" i="107"/>
  <c r="AE41" i="107"/>
  <c r="AE34" i="107"/>
  <c r="O106" i="111"/>
  <c r="K108" i="111" s="1"/>
  <c r="AC35" i="111"/>
  <c r="Y36" i="111"/>
  <c r="AF41" i="108"/>
  <c r="AF12" i="111"/>
  <c r="AE21" i="111"/>
  <c r="AC36" i="111"/>
  <c r="AE40" i="108"/>
  <c r="AF21" i="111"/>
  <c r="V40" i="111"/>
  <c r="AE41" i="108"/>
  <c r="AD40" i="111"/>
  <c r="AD42" i="111" s="1"/>
  <c r="AE10" i="111"/>
  <c r="AF17" i="111"/>
  <c r="AF14" i="111"/>
  <c r="AF38" i="108"/>
  <c r="AF35" i="108"/>
  <c r="S40" i="111"/>
  <c r="S34" i="111"/>
  <c r="S37" i="111"/>
  <c r="T38" i="111"/>
  <c r="T35" i="111"/>
  <c r="Y35" i="111"/>
  <c r="AB36" i="111"/>
  <c r="AB39" i="111"/>
  <c r="W38" i="111"/>
  <c r="W35" i="111"/>
  <c r="AE20" i="111"/>
  <c r="AF18" i="111"/>
  <c r="AE15" i="111"/>
  <c r="AE16" i="111"/>
  <c r="V39" i="111"/>
  <c r="V36" i="111"/>
  <c r="AF36" i="108"/>
  <c r="AF39" i="108"/>
  <c r="AF40" i="108"/>
  <c r="AA38" i="111"/>
  <c r="AA35" i="111"/>
  <c r="AC34" i="111"/>
  <c r="AC37" i="111"/>
  <c r="AC41" i="111"/>
  <c r="AC42" i="111" s="1"/>
  <c r="AC40" i="111"/>
  <c r="AD39" i="111"/>
  <c r="AD36" i="111"/>
  <c r="W40" i="111"/>
  <c r="W37" i="111"/>
  <c r="W34" i="111"/>
  <c r="AF11" i="111"/>
  <c r="AF10" i="111"/>
  <c r="T36" i="111"/>
  <c r="T39" i="111"/>
  <c r="AC38" i="111"/>
  <c r="AD34" i="111"/>
  <c r="AA39" i="111"/>
  <c r="AA36" i="111"/>
  <c r="AF34" i="108"/>
  <c r="Z41" i="111"/>
  <c r="Z34" i="111"/>
  <c r="Z40" i="111"/>
  <c r="Z37" i="111"/>
  <c r="Y39" i="111"/>
  <c r="AE35" i="108"/>
  <c r="AE38" i="108"/>
  <c r="U39" i="111"/>
  <c r="AD35" i="111"/>
  <c r="AD38" i="111"/>
  <c r="W41" i="111"/>
  <c r="S36" i="111"/>
  <c r="S39" i="111"/>
  <c r="U35" i="111"/>
  <c r="AE39" i="108"/>
  <c r="AE36" i="108"/>
  <c r="AE14" i="111"/>
  <c r="AE13" i="111"/>
  <c r="W36" i="111"/>
  <c r="W39" i="111"/>
  <c r="AF13" i="111"/>
  <c r="AE19" i="111"/>
  <c r="AE17" i="111"/>
  <c r="AF16" i="111"/>
  <c r="AF20" i="111"/>
  <c r="AF15" i="111"/>
  <c r="AE11" i="111"/>
  <c r="AE18" i="111"/>
  <c r="AF19" i="111"/>
  <c r="AB40" i="111"/>
  <c r="AB37" i="111"/>
  <c r="AB34" i="111"/>
  <c r="AB41" i="111"/>
  <c r="U34" i="111"/>
  <c r="U40" i="111"/>
  <c r="U37" i="111"/>
  <c r="U41" i="111"/>
  <c r="V35" i="111"/>
  <c r="V38" i="111"/>
  <c r="Y40" i="111"/>
  <c r="Y34" i="111"/>
  <c r="Y37" i="111"/>
  <c r="Y41" i="111"/>
  <c r="S41" i="111"/>
  <c r="S42" i="111" s="1"/>
  <c r="AA41" i="111"/>
  <c r="AA42" i="111" s="1"/>
  <c r="X40" i="111"/>
  <c r="X34" i="111"/>
  <c r="X41" i="111"/>
  <c r="X37" i="111"/>
  <c r="Y38" i="111"/>
  <c r="AA40" i="111"/>
  <c r="AA37" i="111"/>
  <c r="AA34" i="111"/>
  <c r="AC39" i="111"/>
  <c r="T40" i="111"/>
  <c r="T41" i="111"/>
  <c r="T37" i="111"/>
  <c r="T34" i="111"/>
  <c r="U38" i="111"/>
  <c r="AB38" i="111"/>
  <c r="AB35" i="111"/>
  <c r="V41" i="111"/>
  <c r="V42" i="111" s="1"/>
  <c r="AE37" i="108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2" i="108" l="1"/>
  <c r="U42" i="111"/>
  <c r="AF42" i="108"/>
  <c r="AB42" i="111"/>
  <c r="AF42" i="107"/>
  <c r="X42" i="111"/>
  <c r="AE42" i="107"/>
  <c r="T42" i="111"/>
  <c r="AF36" i="111"/>
  <c r="AF39" i="111"/>
  <c r="AF38" i="111"/>
  <c r="AF35" i="111"/>
  <c r="AE40" i="111"/>
  <c r="AE37" i="111"/>
  <c r="AE34" i="111"/>
  <c r="Y42" i="111"/>
  <c r="AE41" i="111"/>
  <c r="W42" i="111"/>
  <c r="Z42" i="111"/>
  <c r="AF40" i="111"/>
  <c r="AF37" i="111"/>
  <c r="AF34" i="111"/>
  <c r="AF41" i="111"/>
  <c r="K107" i="111"/>
  <c r="AE36" i="111"/>
  <c r="AE39" i="111"/>
  <c r="AE35" i="111"/>
  <c r="AE38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  <c r="AF42" i="111"/>
</calcChain>
</file>

<file path=xl/sharedStrings.xml><?xml version="1.0" encoding="utf-8"?>
<sst xmlns="http://schemas.openxmlformats.org/spreadsheetml/2006/main" count="2393" uniqueCount="178">
  <si>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</si>
  <si>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</si>
  <si>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</si>
  <si>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</si>
  <si>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</si>
  <si>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</si>
  <si>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</si>
  <si>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</si>
  <si>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</si>
  <si>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</si>
  <si>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</si>
  <si>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</si>
  <si>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</si>
  <si>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</si>
  <si>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</si>
  <si>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</si>
  <si>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</si>
  <si>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</si>
  <si>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</si>
  <si>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</si>
  <si>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</si>
  <si>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</si>
  <si>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</si>
  <si>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</si>
  <si>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</si>
  <si>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</si>
  <si>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</si>
  <si>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</si>
  <si>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</si>
  <si>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</si>
  <si>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</si>
  <si>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</si>
  <si>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</si>
  <si>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</si>
  <si>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</si>
  <si>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</si>
  <si>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</si>
  <si>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</si>
  <si>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</si>
  <si>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</si>
  <si>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</si>
  <si>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</si>
  <si>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</si>
  <si>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</si>
  <si>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</si>
  <si>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</si>
  <si>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</si>
  <si>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</si>
  <si>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</si>
  <si>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</si>
  <si>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</si>
  <si>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</si>
  <si>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</si>
  <si>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</si>
  <si>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</si>
  <si>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</si>
  <si>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</si>
  <si>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</si>
  <si>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</si>
  <si>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</si>
  <si>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</si>
  <si>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</si>
  <si>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</si>
  <si>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</si>
  <si>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</si>
  <si>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</si>
  <si>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</si>
  <si>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</si>
  <si>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</si>
  <si>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</si>
  <si>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</si>
  <si>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</si>
  <si>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</si>
  <si>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</si>
  <si>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</si>
  <si>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</si>
  <si>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</si>
  <si>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</si>
  <si>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</si>
  <si>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</si>
  <si>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</si>
  <si>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</si>
  <si>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</si>
  <si>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</si>
  <si>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</si>
  <si>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</si>
  <si>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</si>
  <si>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</si>
  <si>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</si>
  <si>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</si>
  <si>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</si>
  <si>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</si>
  <si>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</si>
  <si>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</si>
  <si>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</si>
  <si>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</si>
  <si>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</si>
  <si>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</si>
  <si>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</si>
  <si>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</si>
  <si>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</si>
  <si>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</si>
  <si>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</si>
  <si>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</si>
  <si>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</si>
  <si>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</si>
  <si>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</si>
  <si>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</si>
  <si>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</si>
  <si>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</si>
  <si>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</si>
  <si>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</si>
  <si>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</si>
  <si>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</si>
  <si>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</si>
  <si>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</si>
  <si>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</si>
  <si>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</si>
  <si>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</si>
  <si>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</si>
  <si>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</si>
  <si>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</si>
  <si>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</si>
  <si>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</si>
  <si>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</si>
  <si>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</si>
  <si>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</si>
  <si>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</si>
  <si>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</si>
  <si>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</si>
  <si>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</si>
  <si>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</si>
  <si>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</si>
  <si>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</si>
  <si>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</si>
  <si>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</si>
  <si>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</si>
  <si>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</si>
  <si>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</si>
  <si>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</si>
  <si>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</si>
  <si>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</si>
  <si>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</si>
  <si>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</si>
  <si>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</si>
  <si>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</si>
  <si>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</si>
  <si>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</si>
  <si>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</si>
  <si>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</si>
  <si>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</si>
  <si>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</si>
  <si>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</si>
  <si>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</si>
  <si>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</si>
  <si>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</si>
  <si>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</si>
  <si>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</si>
  <si>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</si>
  <si>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</si>
  <si>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</si>
  <si>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</si>
  <si>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</si>
  <si>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 xml:space="preserve"> </t>
  </si>
  <si>
    <t>MCC-C3-STN90-KAYUNGA-KANGULUMIRA ROAD</t>
  </si>
  <si>
    <t>19.08.19</t>
  </si>
  <si>
    <t>KAYUNGA</t>
  </si>
  <si>
    <t>KANGULUMIRA</t>
  </si>
  <si>
    <t>20.08.19</t>
  </si>
  <si>
    <t>21.08.19</t>
  </si>
  <si>
    <t>22.08.19</t>
  </si>
  <si>
    <t>23.08.19</t>
  </si>
  <si>
    <t>24.08.19</t>
  </si>
  <si>
    <t>25.08.19</t>
  </si>
  <si>
    <t>24 Hours</t>
  </si>
  <si>
    <t>Comfort</t>
  </si>
  <si>
    <t>Kayunga</t>
  </si>
  <si>
    <t>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</si>
</sst>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Kayunga-Kangulumira'!$AE$10:$AE$21</c:f>
              <c:numCache>
                <c:formatCode>0</c:formatCode>
                <c:ptCount val="12"/>
                <c:pt idx="0">
                  <c:v>59</c:v>
                </c:pt>
                <c:pt idx="1">
                  <c:v>67</c:v>
                </c:pt>
                <c:pt idx="2">
                  <c:v>73</c:v>
                </c:pt>
                <c:pt idx="3">
                  <c:v>70</c:v>
                </c:pt>
                <c:pt idx="4">
                  <c:v>78</c:v>
                </c:pt>
                <c:pt idx="5">
                  <c:v>73</c:v>
                </c:pt>
                <c:pt idx="6">
                  <c:v>59</c:v>
                </c:pt>
                <c:pt idx="7">
                  <c:v>58</c:v>
                </c:pt>
                <c:pt idx="8">
                  <c:v>74</c:v>
                </c:pt>
                <c:pt idx="9">
                  <c:v>98</c:v>
                </c:pt>
                <c:pt idx="10">
                  <c:v>96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'19.8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Kayunga-Kangulumira'!$AF$10:$AF$21</c:f>
              <c:numCache>
                <c:formatCode>0</c:formatCode>
                <c:ptCount val="12"/>
                <c:pt idx="0">
                  <c:v>189</c:v>
                </c:pt>
                <c:pt idx="1">
                  <c:v>222</c:v>
                </c:pt>
                <c:pt idx="2">
                  <c:v>199</c:v>
                </c:pt>
                <c:pt idx="3">
                  <c:v>195</c:v>
                </c:pt>
                <c:pt idx="4">
                  <c:v>212</c:v>
                </c:pt>
                <c:pt idx="5">
                  <c:v>171</c:v>
                </c:pt>
                <c:pt idx="6">
                  <c:v>151</c:v>
                </c:pt>
                <c:pt idx="7">
                  <c:v>159</c:v>
                </c:pt>
                <c:pt idx="8">
                  <c:v>181</c:v>
                </c:pt>
                <c:pt idx="9">
                  <c:v>197</c:v>
                </c:pt>
                <c:pt idx="10">
                  <c:v>225</c:v>
                </c:pt>
                <c:pt idx="11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'19.8 Kayunga-Kangulumira'!$C$59:$N$59</c:f>
              <c:numCache>
                <c:formatCode>0.0%</c:formatCode>
                <c:ptCount val="12"/>
                <c:pt idx="0">
                  <c:v>0.10286458333333333</c:v>
                </c:pt>
                <c:pt idx="1">
                  <c:v>0</c:v>
                </c:pt>
                <c:pt idx="2">
                  <c:v>9.7222222222222224E-2</c:v>
                </c:pt>
                <c:pt idx="3">
                  <c:v>9.6354166666666671E-2</c:v>
                </c:pt>
                <c:pt idx="4">
                  <c:v>5.208333333333333E-3</c:v>
                </c:pt>
                <c:pt idx="5">
                  <c:v>4.7743055555555559E-3</c:v>
                </c:pt>
                <c:pt idx="6">
                  <c:v>5.7291666666666664E-2</c:v>
                </c:pt>
                <c:pt idx="7">
                  <c:v>6.9444444444444441E-3</c:v>
                </c:pt>
                <c:pt idx="8">
                  <c:v>8.6805555555555559E-3</c:v>
                </c:pt>
                <c:pt idx="9">
                  <c:v>3.90625E-3</c:v>
                </c:pt>
                <c:pt idx="10">
                  <c:v>0.61675347222222221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'19.8 Kayunga-Kangulumira'!$C$60:$N$60</c:f>
              <c:numCache>
                <c:formatCode>0.00%</c:formatCode>
                <c:ptCount val="12"/>
                <c:pt idx="0">
                  <c:v>0.26840317100792754</c:v>
                </c:pt>
                <c:pt idx="1">
                  <c:v>0</c:v>
                </c:pt>
                <c:pt idx="2">
                  <c:v>0.25368063420158549</c:v>
                </c:pt>
                <c:pt idx="3">
                  <c:v>0.25141562853907135</c:v>
                </c:pt>
                <c:pt idx="4">
                  <c:v>1.3590033975084938E-2</c:v>
                </c:pt>
                <c:pt idx="5">
                  <c:v>1.245753114382786E-2</c:v>
                </c:pt>
                <c:pt idx="6">
                  <c:v>0.14949037372593432</c:v>
                </c:pt>
                <c:pt idx="7">
                  <c:v>1.8120045300113252E-2</c:v>
                </c:pt>
                <c:pt idx="8">
                  <c:v>2.2650056625141562E-2</c:v>
                </c:pt>
                <c:pt idx="9">
                  <c:v>1.0192525481313703E-2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Kangulumira-Kayunga'!$AE$10:$AE$21</c:f>
              <c:numCache>
                <c:formatCode>0</c:formatCode>
                <c:ptCount val="12"/>
                <c:pt idx="0">
                  <c:v>59</c:v>
                </c:pt>
                <c:pt idx="1">
                  <c:v>58</c:v>
                </c:pt>
                <c:pt idx="2">
                  <c:v>60</c:v>
                </c:pt>
                <c:pt idx="3">
                  <c:v>59</c:v>
                </c:pt>
                <c:pt idx="4">
                  <c:v>76</c:v>
                </c:pt>
                <c:pt idx="5">
                  <c:v>68</c:v>
                </c:pt>
                <c:pt idx="6">
                  <c:v>71</c:v>
                </c:pt>
                <c:pt idx="7">
                  <c:v>75</c:v>
                </c:pt>
                <c:pt idx="8">
                  <c:v>69</c:v>
                </c:pt>
                <c:pt idx="9">
                  <c:v>70</c:v>
                </c:pt>
                <c:pt idx="10">
                  <c:v>83</c:v>
                </c:pt>
                <c:pt idx="11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'19.8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Kangulumira-Kayunga'!$AF$10:$AF$21</c:f>
              <c:numCache>
                <c:formatCode>0</c:formatCode>
                <c:ptCount val="12"/>
                <c:pt idx="0">
                  <c:v>111</c:v>
                </c:pt>
                <c:pt idx="1">
                  <c:v>158</c:v>
                </c:pt>
                <c:pt idx="2">
                  <c:v>171</c:v>
                </c:pt>
                <c:pt idx="3">
                  <c:v>168</c:v>
                </c:pt>
                <c:pt idx="4">
                  <c:v>192</c:v>
                </c:pt>
                <c:pt idx="5">
                  <c:v>186</c:v>
                </c:pt>
                <c:pt idx="6">
                  <c:v>177</c:v>
                </c:pt>
                <c:pt idx="7">
                  <c:v>180</c:v>
                </c:pt>
                <c:pt idx="8">
                  <c:v>170</c:v>
                </c:pt>
                <c:pt idx="9">
                  <c:v>171</c:v>
                </c:pt>
                <c:pt idx="10">
                  <c:v>208</c:v>
                </c:pt>
                <c:pt idx="11">
                  <c:v>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'19.8 Kangulumira-Kayunga'!$C$59:$N$59</c:f>
              <c:numCache>
                <c:formatCode>0.0%</c:formatCode>
                <c:ptCount val="12"/>
                <c:pt idx="0">
                  <c:v>0.12729844413012731</c:v>
                </c:pt>
                <c:pt idx="1">
                  <c:v>0</c:v>
                </c:pt>
                <c:pt idx="2">
                  <c:v>8.2508250825082508E-2</c:v>
                </c:pt>
                <c:pt idx="3">
                  <c:v>9.1937765205091934E-2</c:v>
                </c:pt>
                <c:pt idx="4">
                  <c:v>4.2432814710042432E-3</c:v>
                </c:pt>
                <c:pt idx="5">
                  <c:v>1.8859028760018859E-3</c:v>
                </c:pt>
                <c:pt idx="6">
                  <c:v>6.8363979255068361E-2</c:v>
                </c:pt>
                <c:pt idx="7">
                  <c:v>1.0372465818010372E-2</c:v>
                </c:pt>
                <c:pt idx="8">
                  <c:v>7.0721357850070717E-3</c:v>
                </c:pt>
                <c:pt idx="9">
                  <c:v>4.7147571900047151E-3</c:v>
                </c:pt>
                <c:pt idx="10">
                  <c:v>0.60160301744460165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'19.8 Kangulumira-Kayunga'!$S$9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'19.8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Kangulumira-Kayunga'!$S$10:$S$21</c:f>
              <c:numCache>
                <c:formatCode>0</c:formatCode>
                <c:ptCount val="12"/>
                <c:pt idx="0">
                  <c:v>18</c:v>
                </c:pt>
                <c:pt idx="1">
                  <c:v>23</c:v>
                </c:pt>
                <c:pt idx="2">
                  <c:v>19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24</c:v>
                </c:pt>
                <c:pt idx="7">
                  <c:v>27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'19.8 Kangulumira-Kayunga'!$T$9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'19.8 Kangulumira-Kayunga'!$T$10:$T$21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'19.8 Kangulumira-Kayunga'!$U$9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Kangulumira-Kayunga'!$U$10:$U$21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16</c:v>
                </c:pt>
                <c:pt idx="3">
                  <c:v>8</c:v>
                </c:pt>
                <c:pt idx="4">
                  <c:v>21</c:v>
                </c:pt>
                <c:pt idx="5">
                  <c:v>12</c:v>
                </c:pt>
                <c:pt idx="6">
                  <c:v>9</c:v>
                </c:pt>
                <c:pt idx="7">
                  <c:v>16</c:v>
                </c:pt>
                <c:pt idx="8">
                  <c:v>12</c:v>
                </c:pt>
                <c:pt idx="9">
                  <c:v>12</c:v>
                </c:pt>
                <c:pt idx="10">
                  <c:v>26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'19.8 Kangulumira-Kayunga'!$V$9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Kangulumira-Kayunga'!$V$10:$V$21</c:f>
              <c:numCache>
                <c:formatCode>0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15</c:v>
                </c:pt>
                <c:pt idx="3">
                  <c:v>17</c:v>
                </c:pt>
                <c:pt idx="4">
                  <c:v>19</c:v>
                </c:pt>
                <c:pt idx="5">
                  <c:v>15</c:v>
                </c:pt>
                <c:pt idx="6">
                  <c:v>18</c:v>
                </c:pt>
                <c:pt idx="7">
                  <c:v>15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'19.8 Kangulumira-Kayunga'!$W$9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'19.8 Kangulumira-Kayunga'!$X$9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'19.8 Kangulumira-Kayunga'!$Y$9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Kangulumira-Kayunga'!$Y$10:$Y$21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13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15</c:v>
                </c:pt>
                <c:pt idx="10">
                  <c:v>13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'19.8 Kangulumira-Kayunga'!$Z$9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Kangulumira-Kayunga'!$Z$10:$Z$21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'19.8 Kangulumira-Kayunga'!$AA$9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'19.8 Kangulumira-Kayunga'!$AB$9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'19.8 Kangulumira-Kayunga'!$AC$9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Kangulumira-Kayunga'!$AC$10:$AC$21</c:f>
              <c:numCache>
                <c:formatCode>0</c:formatCode>
                <c:ptCount val="12"/>
                <c:pt idx="0">
                  <c:v>52</c:v>
                </c:pt>
                <c:pt idx="1">
                  <c:v>100</c:v>
                </c:pt>
                <c:pt idx="2">
                  <c:v>111</c:v>
                </c:pt>
                <c:pt idx="3">
                  <c:v>109</c:v>
                </c:pt>
                <c:pt idx="4">
                  <c:v>116</c:v>
                </c:pt>
                <c:pt idx="5">
                  <c:v>118</c:v>
                </c:pt>
                <c:pt idx="6">
                  <c:v>106</c:v>
                </c:pt>
                <c:pt idx="7">
                  <c:v>105</c:v>
                </c:pt>
                <c:pt idx="8">
                  <c:v>101</c:v>
                </c:pt>
                <c:pt idx="9">
                  <c:v>101</c:v>
                </c:pt>
                <c:pt idx="10">
                  <c:v>125</c:v>
                </c:pt>
                <c:pt idx="11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'19.8 Kangulumira-Kayunga'!$AD$9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'19.8 Kangulumira-Kayunga'!$AD$10:$AD$21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'19.8 Kangulumira-Kayunga'!$C$60:$N$60</c:f>
              <c:numCache>
                <c:formatCode>0.00%</c:formatCode>
                <c:ptCount val="12"/>
                <c:pt idx="0">
                  <c:v>0.31952662721893493</c:v>
                </c:pt>
                <c:pt idx="1">
                  <c:v>0</c:v>
                </c:pt>
                <c:pt idx="2">
                  <c:v>0.20710059171597633</c:v>
                </c:pt>
                <c:pt idx="3">
                  <c:v>0.23076923076923078</c:v>
                </c:pt>
                <c:pt idx="4">
                  <c:v>1.0650887573964497E-2</c:v>
                </c:pt>
                <c:pt idx="5">
                  <c:v>4.7337278106508876E-3</c:v>
                </c:pt>
                <c:pt idx="6">
                  <c:v>0.17159763313609466</c:v>
                </c:pt>
                <c:pt idx="7">
                  <c:v>2.6035502958579881E-2</c:v>
                </c:pt>
                <c:pt idx="8">
                  <c:v>1.7751479289940829E-2</c:v>
                </c:pt>
                <c:pt idx="9">
                  <c:v>1.1834319526627219E-2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'20.8 Kayunga-Kangulumira'!$AE$10:$AE$21</c:f>
              <c:numCache>
                <c:formatCode>0</c:formatCode>
                <c:ptCount val="12"/>
                <c:pt idx="0">
                  <c:v>56</c:v>
                </c:pt>
                <c:pt idx="1">
                  <c:v>78</c:v>
                </c:pt>
                <c:pt idx="2">
                  <c:v>65</c:v>
                </c:pt>
                <c:pt idx="3">
                  <c:v>61</c:v>
                </c:pt>
                <c:pt idx="4">
                  <c:v>68</c:v>
                </c:pt>
                <c:pt idx="5">
                  <c:v>69</c:v>
                </c:pt>
                <c:pt idx="6">
                  <c:v>81</c:v>
                </c:pt>
                <c:pt idx="7">
                  <c:v>86</c:v>
                </c:pt>
                <c:pt idx="8">
                  <c:v>64</c:v>
                </c:pt>
                <c:pt idx="9">
                  <c:v>106</c:v>
                </c:pt>
                <c:pt idx="10">
                  <c:v>90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'20.8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'20.8 Kayunga-Kangulumira'!$AF$10:$AF$21</c:f>
              <c:numCache>
                <c:formatCode>0</c:formatCode>
                <c:ptCount val="12"/>
                <c:pt idx="0">
                  <c:v>199</c:v>
                </c:pt>
                <c:pt idx="1">
                  <c:v>228</c:v>
                </c:pt>
                <c:pt idx="2">
                  <c:v>180</c:v>
                </c:pt>
                <c:pt idx="3">
                  <c:v>159</c:v>
                </c:pt>
                <c:pt idx="4">
                  <c:v>171</c:v>
                </c:pt>
                <c:pt idx="5">
                  <c:v>162</c:v>
                </c:pt>
                <c:pt idx="6">
                  <c:v>187</c:v>
                </c:pt>
                <c:pt idx="7">
                  <c:v>167</c:v>
                </c:pt>
                <c:pt idx="8">
                  <c:v>121</c:v>
                </c:pt>
                <c:pt idx="9">
                  <c:v>233</c:v>
                </c:pt>
                <c:pt idx="10">
                  <c:v>223</c:v>
                </c:pt>
                <c:pt idx="11">
                  <c:v>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'20.8 Kayunga-Kangulumira'!$C$59:$N$59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'20.8 Kayunga-Kangulumira'!$S$9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'20.8 Kayunga-Kangulumira'!$S$10:$S$21</c:f>
              <c:numCache>
                <c:formatCode>0</c:formatCode>
                <c:ptCount val="12"/>
                <c:pt idx="0">
                  <c:v>14</c:v>
                </c:pt>
                <c:pt idx="1">
                  <c:v>21</c:v>
                </c:pt>
                <c:pt idx="2">
                  <c:v>25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23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'20.8 Kayunga-Kangulumira'!$T$9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'20.8 Kayunga-Kangulumira'!$T$10:$T$21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'20.8 Kayunga-Kangulumira'!$U$9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Kayunga-Kangulumira'!$U$10:$U$21</c:f>
              <c:numCache>
                <c:formatCode>0</c:formatCode>
                <c:ptCount val="12"/>
                <c:pt idx="0">
                  <c:v>8</c:v>
                </c:pt>
                <c:pt idx="1">
                  <c:v>25</c:v>
                </c:pt>
                <c:pt idx="2">
                  <c:v>15</c:v>
                </c:pt>
                <c:pt idx="3">
                  <c:v>16</c:v>
                </c:pt>
                <c:pt idx="4">
                  <c:v>21</c:v>
                </c:pt>
                <c:pt idx="5">
                  <c:v>17</c:v>
                </c:pt>
                <c:pt idx="6">
                  <c:v>16</c:v>
                </c:pt>
                <c:pt idx="7">
                  <c:v>23</c:v>
                </c:pt>
                <c:pt idx="8">
                  <c:v>20</c:v>
                </c:pt>
                <c:pt idx="9">
                  <c:v>31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'20.8 Kayunga-Kangulumira'!$V$9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Kayunga-Kangulumira'!$V$10:$V$21</c:f>
              <c:numCache>
                <c:formatCode>0</c:formatCode>
                <c:ptCount val="12"/>
                <c:pt idx="0">
                  <c:v>32</c:v>
                </c:pt>
                <c:pt idx="1">
                  <c:v>19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18</c:v>
                </c:pt>
                <c:pt idx="6">
                  <c:v>14</c:v>
                </c:pt>
                <c:pt idx="7">
                  <c:v>24</c:v>
                </c:pt>
                <c:pt idx="8">
                  <c:v>12</c:v>
                </c:pt>
                <c:pt idx="9">
                  <c:v>20</c:v>
                </c:pt>
                <c:pt idx="10">
                  <c:v>21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'20.8 Kayunga-Kangulumira'!$W$9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'20.8 Kayunga-Kangulumira'!$X$9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'20.8 Kayunga-Kangulumira'!$Y$9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Kayunga-Kangulumira'!$Y$10:$Y$21</c:f>
              <c:numCache>
                <c:formatCode>0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  <c:pt idx="6">
                  <c:v>18</c:v>
                </c:pt>
                <c:pt idx="7">
                  <c:v>15</c:v>
                </c:pt>
                <c:pt idx="8">
                  <c:v>14</c:v>
                </c:pt>
                <c:pt idx="9">
                  <c:v>23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'20.8 Kayunga-Kangulumira'!$Z$9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'20.8 Kayunga-Kangulumira'!$AA$9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'20.8 Kayunga-Kangulumira'!$AB$9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'20.8 Kayunga-Kangulumira'!$AC$9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Kayunga-Kangulumira'!$AC$10:$AC$21</c:f>
              <c:numCache>
                <c:formatCode>0</c:formatCode>
                <c:ptCount val="12"/>
                <c:pt idx="0">
                  <c:v>143</c:v>
                </c:pt>
                <c:pt idx="1">
                  <c:v>150</c:v>
                </c:pt>
                <c:pt idx="2">
                  <c:v>115</c:v>
                </c:pt>
                <c:pt idx="3">
                  <c:v>98</c:v>
                </c:pt>
                <c:pt idx="4">
                  <c:v>103</c:v>
                </c:pt>
                <c:pt idx="5">
                  <c:v>93</c:v>
                </c:pt>
                <c:pt idx="6">
                  <c:v>106</c:v>
                </c:pt>
                <c:pt idx="7">
                  <c:v>81</c:v>
                </c:pt>
                <c:pt idx="8">
                  <c:v>57</c:v>
                </c:pt>
                <c:pt idx="9">
                  <c:v>127</c:v>
                </c:pt>
                <c:pt idx="10">
                  <c:v>133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'20.8 Kayunga-Kangulumira'!$AD$9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'20.8 Kayunga-Kangulumira'!$AD$10:$AD$21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'20.8 Kayunga-Kangulumira'!$C$60:$N$60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'20.8 Kangulumira-Kayunga'!$AE$10:$AE$33</c:f>
              <c:numCache>
                <c:formatCode>0</c:formatCode>
                <c:ptCount val="24"/>
                <c:pt idx="0">
                  <c:v>59</c:v>
                </c:pt>
                <c:pt idx="1">
                  <c:v>52</c:v>
                </c:pt>
                <c:pt idx="2">
                  <c:v>58</c:v>
                </c:pt>
                <c:pt idx="3">
                  <c:v>66</c:v>
                </c:pt>
                <c:pt idx="4">
                  <c:v>64</c:v>
                </c:pt>
                <c:pt idx="5">
                  <c:v>58</c:v>
                </c:pt>
                <c:pt idx="6">
                  <c:v>79</c:v>
                </c:pt>
                <c:pt idx="7">
                  <c:v>82</c:v>
                </c:pt>
                <c:pt idx="8">
                  <c:v>98</c:v>
                </c:pt>
                <c:pt idx="9">
                  <c:v>97</c:v>
                </c:pt>
                <c:pt idx="10">
                  <c:v>93</c:v>
                </c:pt>
                <c:pt idx="11">
                  <c:v>98</c:v>
                </c:pt>
                <c:pt idx="12">
                  <c:v>57</c:v>
                </c:pt>
                <c:pt idx="13">
                  <c:v>57</c:v>
                </c:pt>
                <c:pt idx="14">
                  <c:v>52</c:v>
                </c:pt>
                <c:pt idx="15">
                  <c:v>34</c:v>
                </c:pt>
                <c:pt idx="16">
                  <c:v>33</c:v>
                </c:pt>
                <c:pt idx="17">
                  <c:v>34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'20.8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'20.8 Kangulumira-Kayunga'!$AF$10:$AF$33</c:f>
              <c:numCache>
                <c:formatCode>0</c:formatCode>
                <c:ptCount val="24"/>
                <c:pt idx="0">
                  <c:v>133</c:v>
                </c:pt>
                <c:pt idx="1">
                  <c:v>147</c:v>
                </c:pt>
                <c:pt idx="2">
                  <c:v>143</c:v>
                </c:pt>
                <c:pt idx="3">
                  <c:v>155</c:v>
                </c:pt>
                <c:pt idx="4">
                  <c:v>178</c:v>
                </c:pt>
                <c:pt idx="5">
                  <c:v>162</c:v>
                </c:pt>
                <c:pt idx="6">
                  <c:v>178</c:v>
                </c:pt>
                <c:pt idx="7">
                  <c:v>187</c:v>
                </c:pt>
                <c:pt idx="8">
                  <c:v>180</c:v>
                </c:pt>
                <c:pt idx="9">
                  <c:v>204</c:v>
                </c:pt>
                <c:pt idx="10">
                  <c:v>205</c:v>
                </c:pt>
                <c:pt idx="11">
                  <c:v>203</c:v>
                </c:pt>
                <c:pt idx="12">
                  <c:v>138</c:v>
                </c:pt>
                <c:pt idx="13">
                  <c:v>118</c:v>
                </c:pt>
                <c:pt idx="14">
                  <c:v>99</c:v>
                </c:pt>
                <c:pt idx="15">
                  <c:v>49</c:v>
                </c:pt>
                <c:pt idx="16">
                  <c:v>43</c:v>
                </c:pt>
                <c:pt idx="17">
                  <c:v>35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'20.8 Kangulumira-Kayunga'!$C$107:$N$107</c:f>
              <c:numCache>
                <c:formatCode>0.0%</c:formatCode>
                <c:ptCount val="12"/>
                <c:pt idx="0">
                  <c:v>0.10458991723100075</c:v>
                </c:pt>
                <c:pt idx="1">
                  <c:v>0</c:v>
                </c:pt>
                <c:pt idx="2">
                  <c:v>0.1275395033860045</c:v>
                </c:pt>
                <c:pt idx="3">
                  <c:v>0.1000752445447705</c:v>
                </c:pt>
                <c:pt idx="4">
                  <c:v>8.2768999247554553E-3</c:v>
                </c:pt>
                <c:pt idx="5">
                  <c:v>9.0293453724604959E-3</c:v>
                </c:pt>
                <c:pt idx="6">
                  <c:v>7.8254326561324306E-2</c:v>
                </c:pt>
                <c:pt idx="7">
                  <c:v>2.0316027088036117E-2</c:v>
                </c:pt>
                <c:pt idx="8">
                  <c:v>1.7306245297215951E-2</c:v>
                </c:pt>
                <c:pt idx="9">
                  <c:v>1.1286681715575621E-2</c:v>
                </c:pt>
                <c:pt idx="10">
                  <c:v>0.52257336343115124</c:v>
                </c:pt>
                <c:pt idx="11">
                  <c:v>7.5244544770504136E-4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'20.8 Kangulumira-Kayunga'!$C$108:$N$108</c:f>
              <c:numCache>
                <c:formatCode>0.00%</c:formatCode>
                <c:ptCount val="12"/>
                <c:pt idx="0">
                  <c:v>0.219070133963751</c:v>
                </c:pt>
                <c:pt idx="1">
                  <c:v>0</c:v>
                </c:pt>
                <c:pt idx="2">
                  <c:v>0.26713947990543735</c:v>
                </c:pt>
                <c:pt idx="3">
                  <c:v>0.20961386918833727</c:v>
                </c:pt>
                <c:pt idx="4">
                  <c:v>1.7336485421591805E-2</c:v>
                </c:pt>
                <c:pt idx="5">
                  <c:v>1.8912529550827423E-2</c:v>
                </c:pt>
                <c:pt idx="6">
                  <c:v>0.16390858944050432</c:v>
                </c:pt>
                <c:pt idx="7">
                  <c:v>4.2553191489361701E-2</c:v>
                </c:pt>
                <c:pt idx="8">
                  <c:v>3.6249014972419225E-2</c:v>
                </c:pt>
                <c:pt idx="9">
                  <c:v>2.3640661938534278E-2</c:v>
                </c:pt>
                <c:pt idx="11">
                  <c:v>1.5760441292356187E-3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'21.8 Kayunga-Kangulumira'!$AE$10:$AE$21</c:f>
              <c:numCache>
                <c:formatCode>0</c:formatCode>
                <c:ptCount val="12"/>
                <c:pt idx="0">
                  <c:v>57</c:v>
                </c:pt>
                <c:pt idx="1">
                  <c:v>51</c:v>
                </c:pt>
                <c:pt idx="2">
                  <c:v>69</c:v>
                </c:pt>
                <c:pt idx="3">
                  <c:v>55</c:v>
                </c:pt>
                <c:pt idx="4">
                  <c:v>72</c:v>
                </c:pt>
                <c:pt idx="5">
                  <c:v>70</c:v>
                </c:pt>
                <c:pt idx="6">
                  <c:v>62</c:v>
                </c:pt>
                <c:pt idx="7">
                  <c:v>63</c:v>
                </c:pt>
                <c:pt idx="8">
                  <c:v>63</c:v>
                </c:pt>
                <c:pt idx="9">
                  <c:v>96</c:v>
                </c:pt>
                <c:pt idx="10">
                  <c:v>111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'21.8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'21.8 Kayunga-Kangulumira'!$AF$10:$AF$21</c:f>
              <c:numCache>
                <c:formatCode>0</c:formatCode>
                <c:ptCount val="12"/>
                <c:pt idx="0">
                  <c:v>165</c:v>
                </c:pt>
                <c:pt idx="1">
                  <c:v>189</c:v>
                </c:pt>
                <c:pt idx="2">
                  <c:v>157</c:v>
                </c:pt>
                <c:pt idx="3">
                  <c:v>162</c:v>
                </c:pt>
                <c:pt idx="4">
                  <c:v>155</c:v>
                </c:pt>
                <c:pt idx="5">
                  <c:v>188</c:v>
                </c:pt>
                <c:pt idx="6">
                  <c:v>161</c:v>
                </c:pt>
                <c:pt idx="7">
                  <c:v>143</c:v>
                </c:pt>
                <c:pt idx="8">
                  <c:v>158</c:v>
                </c:pt>
                <c:pt idx="9">
                  <c:v>230</c:v>
                </c:pt>
                <c:pt idx="10">
                  <c:v>231</c:v>
                </c:pt>
                <c:pt idx="11">
                  <c:v>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'21.8 Kayunga-Kangulumira'!$C$59:$N$59</c:f>
              <c:numCache>
                <c:formatCode>0.0%</c:formatCode>
                <c:ptCount val="12"/>
                <c:pt idx="0">
                  <c:v>9.2350746268656719E-2</c:v>
                </c:pt>
                <c:pt idx="1">
                  <c:v>0</c:v>
                </c:pt>
                <c:pt idx="2">
                  <c:v>0.10680970149253731</c:v>
                </c:pt>
                <c:pt idx="3">
                  <c:v>9.0951492537313439E-2</c:v>
                </c:pt>
                <c:pt idx="4">
                  <c:v>8.3955223880597014E-3</c:v>
                </c:pt>
                <c:pt idx="5">
                  <c:v>4.1977611940298507E-3</c:v>
                </c:pt>
                <c:pt idx="6">
                  <c:v>6.9029850746268662E-2</c:v>
                </c:pt>
                <c:pt idx="7">
                  <c:v>5.1305970149253732E-3</c:v>
                </c:pt>
                <c:pt idx="8">
                  <c:v>1.4458955223880597E-2</c:v>
                </c:pt>
                <c:pt idx="9">
                  <c:v>6.5298507462686565E-3</c:v>
                </c:pt>
                <c:pt idx="10">
                  <c:v>0.6012126865671642</c:v>
                </c:pt>
                <c:pt idx="11">
                  <c:v>9.3283582089552237E-4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'21.8 Kayunga-Kangulumira'!$S$9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'21.8 Kayunga-Kangulumira'!$S$10:$S$21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21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18</c:v>
                </c:pt>
                <c:pt idx="7">
                  <c:v>14</c:v>
                </c:pt>
                <c:pt idx="8">
                  <c:v>17</c:v>
                </c:pt>
                <c:pt idx="9">
                  <c:v>23</c:v>
                </c:pt>
                <c:pt idx="10">
                  <c:v>13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'21.8 Kayunga-Kangulumira'!$T$9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'21.8 Kayunga-Kangulumira'!$T$10:$T$21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'21.8 Kayunga-Kangulumira'!$U$9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Kayunga-Kangulumira'!$U$10:$U$21</c:f>
              <c:numCache>
                <c:formatCode>0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20</c:v>
                </c:pt>
                <c:pt idx="3">
                  <c:v>15</c:v>
                </c:pt>
                <c:pt idx="4">
                  <c:v>21</c:v>
                </c:pt>
                <c:pt idx="5">
                  <c:v>24</c:v>
                </c:pt>
                <c:pt idx="6">
                  <c:v>10</c:v>
                </c:pt>
                <c:pt idx="7">
                  <c:v>16</c:v>
                </c:pt>
                <c:pt idx="8">
                  <c:v>13</c:v>
                </c:pt>
                <c:pt idx="9">
                  <c:v>21</c:v>
                </c:pt>
                <c:pt idx="10">
                  <c:v>32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'21.8 Kayunga-Kangulumira'!$V$9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Kayunga-Kangulumira'!$V$10:$V$21</c:f>
              <c:numCache>
                <c:formatCode>0</c:formatCode>
                <c:ptCount val="12"/>
                <c:pt idx="0">
                  <c:v>29</c:v>
                </c:pt>
                <c:pt idx="1">
                  <c:v>17</c:v>
                </c:pt>
                <c:pt idx="2">
                  <c:v>15</c:v>
                </c:pt>
                <c:pt idx="3">
                  <c:v>11</c:v>
                </c:pt>
                <c:pt idx="4">
                  <c:v>20</c:v>
                </c:pt>
                <c:pt idx="5">
                  <c:v>13</c:v>
                </c:pt>
                <c:pt idx="6">
                  <c:v>21</c:v>
                </c:pt>
                <c:pt idx="7">
                  <c:v>13</c:v>
                </c:pt>
                <c:pt idx="8">
                  <c:v>10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'21.8 Kayunga-Kangulumira'!$W$9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'21.8 Kayunga-Kangulumira'!$X$9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'21.8 Kayunga-Kangulumira'!$Y$9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Kayunga-Kangulumira'!$Y$10:$Y$21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7</c:v>
                </c:pt>
                <c:pt idx="7">
                  <c:v>12</c:v>
                </c:pt>
                <c:pt idx="8">
                  <c:v>17</c:v>
                </c:pt>
                <c:pt idx="9">
                  <c:v>17</c:v>
                </c:pt>
                <c:pt idx="10">
                  <c:v>38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'21.8 Kayunga-Kangulumira'!$Z$9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'21.8 Kayunga-Kangulumira'!$AA$9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'21.8 Kayunga-Kangulumira'!$AB$9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'21.8 Kayunga-Kangulumira'!$AC$9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Kayunga-Kangulumira'!$AC$10:$AC$21</c:f>
              <c:numCache>
                <c:formatCode>0</c:formatCode>
                <c:ptCount val="12"/>
                <c:pt idx="0">
                  <c:v>108</c:v>
                </c:pt>
                <c:pt idx="1">
                  <c:v>138</c:v>
                </c:pt>
                <c:pt idx="2">
                  <c:v>88</c:v>
                </c:pt>
                <c:pt idx="3">
                  <c:v>107</c:v>
                </c:pt>
                <c:pt idx="4">
                  <c:v>83</c:v>
                </c:pt>
                <c:pt idx="5">
                  <c:v>118</c:v>
                </c:pt>
                <c:pt idx="6">
                  <c:v>99</c:v>
                </c:pt>
                <c:pt idx="7">
                  <c:v>80</c:v>
                </c:pt>
                <c:pt idx="8">
                  <c:v>95</c:v>
                </c:pt>
                <c:pt idx="9">
                  <c:v>134</c:v>
                </c:pt>
                <c:pt idx="10">
                  <c:v>120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'21.8 Kayunga-Kangulumira'!$AD$9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'21.8 Kayunga-Kangulumira'!$AD$10:$AD$21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'21.8 Kayunga-Kangulumira'!$C$60:$N$60</c:f>
              <c:numCache>
                <c:formatCode>0.00%</c:formatCode>
                <c:ptCount val="12"/>
                <c:pt idx="0">
                  <c:v>0.23157894736842105</c:v>
                </c:pt>
                <c:pt idx="1">
                  <c:v>0</c:v>
                </c:pt>
                <c:pt idx="2">
                  <c:v>0.26783625730994154</c:v>
                </c:pt>
                <c:pt idx="3">
                  <c:v>0.22807017543859648</c:v>
                </c:pt>
                <c:pt idx="4">
                  <c:v>2.1052631578947368E-2</c:v>
                </c:pt>
                <c:pt idx="5">
                  <c:v>1.0526315789473684E-2</c:v>
                </c:pt>
                <c:pt idx="6">
                  <c:v>0.17309941520467836</c:v>
                </c:pt>
                <c:pt idx="7">
                  <c:v>1.2865497076023392E-2</c:v>
                </c:pt>
                <c:pt idx="8">
                  <c:v>3.6257309941520467E-2</c:v>
                </c:pt>
                <c:pt idx="9">
                  <c:v>1.6374269005847954E-2</c:v>
                </c:pt>
                <c:pt idx="11">
                  <c:v>2.3391812865497076E-3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'21.8 Kangulumira-Kayunga'!$AE$10:$AE$33</c:f>
              <c:numCache>
                <c:formatCode>0</c:formatCode>
                <c:ptCount val="24"/>
                <c:pt idx="0">
                  <c:v>57</c:v>
                </c:pt>
                <c:pt idx="1">
                  <c:v>40</c:v>
                </c:pt>
                <c:pt idx="2">
                  <c:v>55</c:v>
                </c:pt>
                <c:pt idx="3">
                  <c:v>69</c:v>
                </c:pt>
                <c:pt idx="4">
                  <c:v>85</c:v>
                </c:pt>
                <c:pt idx="5">
                  <c:v>81</c:v>
                </c:pt>
                <c:pt idx="6">
                  <c:v>57</c:v>
                </c:pt>
                <c:pt idx="7">
                  <c:v>86</c:v>
                </c:pt>
                <c:pt idx="8">
                  <c:v>81</c:v>
                </c:pt>
                <c:pt idx="9">
                  <c:v>70</c:v>
                </c:pt>
                <c:pt idx="10">
                  <c:v>98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'21.8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'21.8 Kangulumira-Kayunga'!$AF$10:$AF$33</c:f>
              <c:numCache>
                <c:formatCode>0</c:formatCode>
                <c:ptCount val="24"/>
                <c:pt idx="0">
                  <c:v>111</c:v>
                </c:pt>
                <c:pt idx="1">
                  <c:v>128</c:v>
                </c:pt>
                <c:pt idx="2">
                  <c:v>120</c:v>
                </c:pt>
                <c:pt idx="3">
                  <c:v>152</c:v>
                </c:pt>
                <c:pt idx="4">
                  <c:v>175</c:v>
                </c:pt>
                <c:pt idx="5">
                  <c:v>191</c:v>
                </c:pt>
                <c:pt idx="6">
                  <c:v>169</c:v>
                </c:pt>
                <c:pt idx="7">
                  <c:v>189</c:v>
                </c:pt>
                <c:pt idx="8">
                  <c:v>168</c:v>
                </c:pt>
                <c:pt idx="9">
                  <c:v>176</c:v>
                </c:pt>
                <c:pt idx="10">
                  <c:v>218</c:v>
                </c:pt>
                <c:pt idx="11">
                  <c:v>246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'21.8 Kangulumira-Kayunga'!$C$107:$N$107</c:f>
              <c:numCache>
                <c:formatCode>0.0%</c:formatCode>
                <c:ptCount val="12"/>
                <c:pt idx="0">
                  <c:v>0.11062163485070974</c:v>
                </c:pt>
                <c:pt idx="1">
                  <c:v>0</c:v>
                </c:pt>
                <c:pt idx="2">
                  <c:v>0.11698482623592756</c:v>
                </c:pt>
                <c:pt idx="3">
                  <c:v>8.5168869309838469E-2</c:v>
                </c:pt>
                <c:pt idx="4">
                  <c:v>1.1257953989231522E-2</c:v>
                </c:pt>
                <c:pt idx="5">
                  <c:v>1.9579050416054823E-3</c:v>
                </c:pt>
                <c:pt idx="6">
                  <c:v>7.7337249143416539E-2</c:v>
                </c:pt>
                <c:pt idx="7">
                  <c:v>4.4052863436123352E-3</c:v>
                </c:pt>
                <c:pt idx="8">
                  <c:v>1.4684287812041116E-2</c:v>
                </c:pt>
                <c:pt idx="9">
                  <c:v>7.8316201664219293E-3</c:v>
                </c:pt>
                <c:pt idx="10">
                  <c:v>0.56975036710719529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'21.8 Kangulumira-Kayunga'!$C$108:$N$108</c:f>
              <c:numCache>
                <c:formatCode>0.00%</c:formatCode>
                <c:ptCount val="12"/>
                <c:pt idx="0">
                  <c:v>0.25711035267349258</c:v>
                </c:pt>
                <c:pt idx="1">
                  <c:v>0</c:v>
                </c:pt>
                <c:pt idx="2">
                  <c:v>0.27189988623435724</c:v>
                </c:pt>
                <c:pt idx="3">
                  <c:v>0.19795221843003413</c:v>
                </c:pt>
                <c:pt idx="4">
                  <c:v>2.6166097838452786E-2</c:v>
                </c:pt>
                <c:pt idx="5">
                  <c:v>4.5506257110352671E-3</c:v>
                </c:pt>
                <c:pt idx="6">
                  <c:v>0.17974971558589306</c:v>
                </c:pt>
                <c:pt idx="7">
                  <c:v>1.0238907849829351E-2</c:v>
                </c:pt>
                <c:pt idx="8">
                  <c:v>3.4129692832764506E-2</c:v>
                </c:pt>
                <c:pt idx="9">
                  <c:v>1.8202502844141068E-2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'22.8 Kayunga-Kangulumira'!$AE$10:$AE$21</c:f>
              <c:numCache>
                <c:formatCode>0</c:formatCode>
                <c:ptCount val="12"/>
                <c:pt idx="0">
                  <c:v>71</c:v>
                </c:pt>
                <c:pt idx="1">
                  <c:v>65</c:v>
                </c:pt>
                <c:pt idx="2">
                  <c:v>57</c:v>
                </c:pt>
                <c:pt idx="3">
                  <c:v>71</c:v>
                </c:pt>
                <c:pt idx="4">
                  <c:v>81</c:v>
                </c:pt>
                <c:pt idx="5">
                  <c:v>91</c:v>
                </c:pt>
                <c:pt idx="6">
                  <c:v>91</c:v>
                </c:pt>
                <c:pt idx="7">
                  <c:v>86</c:v>
                </c:pt>
                <c:pt idx="8">
                  <c:v>77</c:v>
                </c:pt>
                <c:pt idx="9">
                  <c:v>67</c:v>
                </c:pt>
                <c:pt idx="10">
                  <c:v>109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'22.8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'22.8 Kayunga-Kangulumira'!$AF$10:$AF$21</c:f>
              <c:numCache>
                <c:formatCode>0</c:formatCode>
                <c:ptCount val="12"/>
                <c:pt idx="0">
                  <c:v>191</c:v>
                </c:pt>
                <c:pt idx="1">
                  <c:v>189</c:v>
                </c:pt>
                <c:pt idx="2">
                  <c:v>191</c:v>
                </c:pt>
                <c:pt idx="3">
                  <c:v>169</c:v>
                </c:pt>
                <c:pt idx="4">
                  <c:v>186</c:v>
                </c:pt>
                <c:pt idx="5">
                  <c:v>197</c:v>
                </c:pt>
                <c:pt idx="6">
                  <c:v>181</c:v>
                </c:pt>
                <c:pt idx="7">
                  <c:v>189</c:v>
                </c:pt>
                <c:pt idx="8">
                  <c:v>176</c:v>
                </c:pt>
                <c:pt idx="9">
                  <c:v>162</c:v>
                </c:pt>
                <c:pt idx="10">
                  <c:v>217</c:v>
                </c:pt>
                <c:pt idx="11">
                  <c:v>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'22.8 Kayunga-Kangulumira'!$C$59:$N$59</c:f>
              <c:numCache>
                <c:formatCode>0.0%</c:formatCode>
                <c:ptCount val="12"/>
                <c:pt idx="0">
                  <c:v>0.1033259423503326</c:v>
                </c:pt>
                <c:pt idx="1">
                  <c:v>0</c:v>
                </c:pt>
                <c:pt idx="2">
                  <c:v>0.11529933481152993</c:v>
                </c:pt>
                <c:pt idx="3">
                  <c:v>9.6230598669623066E-2</c:v>
                </c:pt>
                <c:pt idx="4">
                  <c:v>6.6518847006651885E-3</c:v>
                </c:pt>
                <c:pt idx="5">
                  <c:v>3.5476718403547672E-3</c:v>
                </c:pt>
                <c:pt idx="6">
                  <c:v>8.3370288248337032E-2</c:v>
                </c:pt>
                <c:pt idx="7">
                  <c:v>8.4257206208425729E-3</c:v>
                </c:pt>
                <c:pt idx="8">
                  <c:v>1.1529933481152993E-2</c:v>
                </c:pt>
                <c:pt idx="9">
                  <c:v>4.434589800443459E-3</c:v>
                </c:pt>
                <c:pt idx="10">
                  <c:v>0.56718403547671836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'22.8 Kayunga-Kangulumira'!$S$9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'22.8 Kayunga-Kangulumira'!$S$10:$S$21</c:f>
              <c:numCache>
                <c:formatCode>0</c:formatCode>
                <c:ptCount val="12"/>
                <c:pt idx="0">
                  <c:v>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23</c:v>
                </c:pt>
                <c:pt idx="5">
                  <c:v>21</c:v>
                </c:pt>
                <c:pt idx="6">
                  <c:v>21</c:v>
                </c:pt>
                <c:pt idx="7">
                  <c:v>27</c:v>
                </c:pt>
                <c:pt idx="8">
                  <c:v>21</c:v>
                </c:pt>
                <c:pt idx="9">
                  <c:v>15</c:v>
                </c:pt>
                <c:pt idx="10">
                  <c:v>25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'22.8 Kayunga-Kangulumira'!$T$9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'22.8 Kayunga-Kangulumira'!$T$10:$T$21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'22.8 Kayunga-Kangulumira'!$U$9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Kayunga-Kangulumira'!$U$10:$U$21</c:f>
              <c:numCache>
                <c:formatCode>0</c:formatCode>
                <c:ptCount val="12"/>
                <c:pt idx="0">
                  <c:v>24</c:v>
                </c:pt>
                <c:pt idx="1">
                  <c:v>22</c:v>
                </c:pt>
                <c:pt idx="2">
                  <c:v>17</c:v>
                </c:pt>
                <c:pt idx="3">
                  <c:v>30</c:v>
                </c:pt>
                <c:pt idx="4">
                  <c:v>19</c:v>
                </c:pt>
                <c:pt idx="5">
                  <c:v>27</c:v>
                </c:pt>
                <c:pt idx="6">
                  <c:v>25</c:v>
                </c:pt>
                <c:pt idx="7">
                  <c:v>19</c:v>
                </c:pt>
                <c:pt idx="8">
                  <c:v>15</c:v>
                </c:pt>
                <c:pt idx="9">
                  <c:v>17</c:v>
                </c:pt>
                <c:pt idx="10">
                  <c:v>24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'22.8 Kayunga-Kangulumira'!$V$9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Kayunga-Kangulumira'!$V$10:$V$21</c:f>
              <c:numCache>
                <c:formatCode>0</c:formatCode>
                <c:ptCount val="12"/>
                <c:pt idx="0">
                  <c:v>33</c:v>
                </c:pt>
                <c:pt idx="1">
                  <c:v>17</c:v>
                </c:pt>
                <c:pt idx="2">
                  <c:v>14</c:v>
                </c:pt>
                <c:pt idx="3">
                  <c:v>13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16</c:v>
                </c:pt>
                <c:pt idx="8">
                  <c:v>12</c:v>
                </c:pt>
                <c:pt idx="9">
                  <c:v>15</c:v>
                </c:pt>
                <c:pt idx="10">
                  <c:v>25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'22.8 Kayunga-Kangulumira'!$W$9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'22.8 Kayunga-Kangulumira'!$X$9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'22.8 Kayunga-Kangulumira'!$Y$9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Kayunga-Kangulumira'!$Y$10:$Y$21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19</c:v>
                </c:pt>
                <c:pt idx="5">
                  <c:v>16</c:v>
                </c:pt>
                <c:pt idx="6">
                  <c:v>22</c:v>
                </c:pt>
                <c:pt idx="7">
                  <c:v>16</c:v>
                </c:pt>
                <c:pt idx="8">
                  <c:v>22</c:v>
                </c:pt>
                <c:pt idx="9">
                  <c:v>12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'22.8 Kayunga-Kangulumira'!$Z$9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'22.8 Kayunga-Kangulumira'!$AA$9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'22.8 Kayunga-Kangulumira'!$AB$9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'22.8 Kayunga-Kangulumira'!$AC$9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Kayunga-Kangulumira'!$AC$10:$AC$21</c:f>
              <c:numCache>
                <c:formatCode>0</c:formatCode>
                <c:ptCount val="12"/>
                <c:pt idx="0">
                  <c:v>120</c:v>
                </c:pt>
                <c:pt idx="1">
                  <c:v>124</c:v>
                </c:pt>
                <c:pt idx="2">
                  <c:v>134</c:v>
                </c:pt>
                <c:pt idx="3">
                  <c:v>98</c:v>
                </c:pt>
                <c:pt idx="4">
                  <c:v>105</c:v>
                </c:pt>
                <c:pt idx="5">
                  <c:v>106</c:v>
                </c:pt>
                <c:pt idx="6">
                  <c:v>90</c:v>
                </c:pt>
                <c:pt idx="7">
                  <c:v>103</c:v>
                </c:pt>
                <c:pt idx="8">
                  <c:v>99</c:v>
                </c:pt>
                <c:pt idx="9">
                  <c:v>95</c:v>
                </c:pt>
                <c:pt idx="10">
                  <c:v>108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'22.8 Kayunga-Kangulumira'!$AD$9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'22.8 Kayunga-Kangulumira'!$AD$10:$AD$21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'22.8 Kayunga-Kangulumira'!$C$60:$N$60</c:f>
              <c:numCache>
                <c:formatCode>0.00%</c:formatCode>
                <c:ptCount val="12"/>
                <c:pt idx="0">
                  <c:v>0.23872950819672131</c:v>
                </c:pt>
                <c:pt idx="1">
                  <c:v>0</c:v>
                </c:pt>
                <c:pt idx="2">
                  <c:v>0.26639344262295084</c:v>
                </c:pt>
                <c:pt idx="3">
                  <c:v>0.2223360655737705</c:v>
                </c:pt>
                <c:pt idx="4">
                  <c:v>1.5368852459016393E-2</c:v>
                </c:pt>
                <c:pt idx="5">
                  <c:v>8.1967213114754103E-3</c:v>
                </c:pt>
                <c:pt idx="6">
                  <c:v>0.19262295081967212</c:v>
                </c:pt>
                <c:pt idx="7">
                  <c:v>1.9467213114754099E-2</c:v>
                </c:pt>
                <c:pt idx="8">
                  <c:v>2.663934426229508E-2</c:v>
                </c:pt>
                <c:pt idx="9">
                  <c:v>1.0245901639344262E-2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'22.8 Kaangulumira-Kayunga'!$AE$9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'22.8 Kaangulumira-Kayunga'!$R$10:$R$33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'22.8 Kaangulumira-Kayunga'!$AE$10:$AE$33</c:f>
              <c:numCache>
                <c:formatCode>0</c:formatCode>
                <c:ptCount val="24"/>
                <c:pt idx="0">
                  <c:v>64</c:v>
                </c:pt>
                <c:pt idx="1">
                  <c:v>56</c:v>
                </c:pt>
                <c:pt idx="2">
                  <c:v>60</c:v>
                </c:pt>
                <c:pt idx="3">
                  <c:v>68</c:v>
                </c:pt>
                <c:pt idx="4">
                  <c:v>79</c:v>
                </c:pt>
                <c:pt idx="5">
                  <c:v>63</c:v>
                </c:pt>
                <c:pt idx="6">
                  <c:v>66</c:v>
                </c:pt>
                <c:pt idx="7">
                  <c:v>92</c:v>
                </c:pt>
                <c:pt idx="8">
                  <c:v>108</c:v>
                </c:pt>
                <c:pt idx="9">
                  <c:v>92</c:v>
                </c:pt>
                <c:pt idx="10">
                  <c:v>120</c:v>
                </c:pt>
                <c:pt idx="11">
                  <c:v>112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'22.8 Kaangulumira-Kayunga'!$AF$9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'22.8 Kaangulumira-Kayunga'!$R$10:$R$33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'22.8 Kaangulumira-Kayunga'!$AF$10:$AF$33</c:f>
              <c:numCache>
                <c:formatCode>0</c:formatCode>
                <c:ptCount val="24"/>
                <c:pt idx="0">
                  <c:v>119</c:v>
                </c:pt>
                <c:pt idx="1">
                  <c:v>139</c:v>
                </c:pt>
                <c:pt idx="2">
                  <c:v>157</c:v>
                </c:pt>
                <c:pt idx="3">
                  <c:v>172</c:v>
                </c:pt>
                <c:pt idx="4">
                  <c:v>176</c:v>
                </c:pt>
                <c:pt idx="5">
                  <c:v>162</c:v>
                </c:pt>
                <c:pt idx="6">
                  <c:v>162</c:v>
                </c:pt>
                <c:pt idx="7">
                  <c:v>190</c:v>
                </c:pt>
                <c:pt idx="8">
                  <c:v>201</c:v>
                </c:pt>
                <c:pt idx="9">
                  <c:v>204</c:v>
                </c:pt>
                <c:pt idx="10">
                  <c:v>251</c:v>
                </c:pt>
                <c:pt idx="11">
                  <c:v>240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'22.8 Kaangulumira-Kayunga'!$C$9:$N$9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'22.8 Kaangulumira-Kayunga'!$C$107:$N$107</c:f>
              <c:numCache>
                <c:formatCode>0.0%</c:formatCode>
                <c:ptCount val="12"/>
                <c:pt idx="0">
                  <c:v>0.11151570323167956</c:v>
                </c:pt>
                <c:pt idx="1">
                  <c:v>0</c:v>
                </c:pt>
                <c:pt idx="2">
                  <c:v>0.13336367774237598</c:v>
                </c:pt>
                <c:pt idx="3">
                  <c:v>8.9212562585343644E-2</c:v>
                </c:pt>
                <c:pt idx="4">
                  <c:v>6.3723258989531175E-3</c:v>
                </c:pt>
                <c:pt idx="5">
                  <c:v>1.3654984069185253E-3</c:v>
                </c:pt>
                <c:pt idx="6">
                  <c:v>7.7378243058716434E-2</c:v>
                </c:pt>
                <c:pt idx="7">
                  <c:v>1.1834319526627219E-2</c:v>
                </c:pt>
                <c:pt idx="8">
                  <c:v>1.1834319526627219E-2</c:v>
                </c:pt>
                <c:pt idx="9">
                  <c:v>6.8274920345926266E-3</c:v>
                </c:pt>
                <c:pt idx="10">
                  <c:v>0.55029585798816572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'22.8 Kaangulumira-Kayunga'!$C$9:$N$9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'22.8 Kaangulumira-Kayunga'!$C$108:$N$108</c:f>
              <c:numCache>
                <c:formatCode>0.00%</c:formatCode>
                <c:ptCount val="12"/>
                <c:pt idx="0">
                  <c:v>0.2479757085020243</c:v>
                </c:pt>
                <c:pt idx="1">
                  <c:v>0</c:v>
                </c:pt>
                <c:pt idx="2">
                  <c:v>0.29655870445344129</c:v>
                </c:pt>
                <c:pt idx="3">
                  <c:v>0.19838056680161945</c:v>
                </c:pt>
                <c:pt idx="4">
                  <c:v>1.417004048582996E-2</c:v>
                </c:pt>
                <c:pt idx="5">
                  <c:v>3.0364372469635628E-3</c:v>
                </c:pt>
                <c:pt idx="6">
                  <c:v>0.17206477732793521</c:v>
                </c:pt>
                <c:pt idx="7">
                  <c:v>2.6315789473684209E-2</c:v>
                </c:pt>
                <c:pt idx="8">
                  <c:v>2.6315789473684209E-2</c:v>
                </c:pt>
                <c:pt idx="9">
                  <c:v>1.5182186234817813E-2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'23.8 Kayunga-Kangulumira'!$AE$10:$AE$21</c:f>
              <c:numCache>
                <c:formatCode>0</c:formatCode>
                <c:ptCount val="12"/>
                <c:pt idx="0">
                  <c:v>59</c:v>
                </c:pt>
                <c:pt idx="1">
                  <c:v>57</c:v>
                </c:pt>
                <c:pt idx="2">
                  <c:v>62</c:v>
                </c:pt>
                <c:pt idx="3">
                  <c:v>94</c:v>
                </c:pt>
                <c:pt idx="4">
                  <c:v>69</c:v>
                </c:pt>
                <c:pt idx="5">
                  <c:v>102</c:v>
                </c:pt>
                <c:pt idx="6">
                  <c:v>79</c:v>
                </c:pt>
                <c:pt idx="7">
                  <c:v>93</c:v>
                </c:pt>
                <c:pt idx="8">
                  <c:v>102</c:v>
                </c:pt>
                <c:pt idx="9">
                  <c:v>92</c:v>
                </c:pt>
                <c:pt idx="10">
                  <c:v>119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'23.8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'23.8 Kayunga-Kangulumira'!$AF$10:$AF$21</c:f>
              <c:numCache>
                <c:formatCode>0</c:formatCode>
                <c:ptCount val="12"/>
                <c:pt idx="0">
                  <c:v>190</c:v>
                </c:pt>
                <c:pt idx="1">
                  <c:v>180</c:v>
                </c:pt>
                <c:pt idx="2">
                  <c:v>177</c:v>
                </c:pt>
                <c:pt idx="3">
                  <c:v>178</c:v>
                </c:pt>
                <c:pt idx="4">
                  <c:v>163</c:v>
                </c:pt>
                <c:pt idx="5">
                  <c:v>203</c:v>
                </c:pt>
                <c:pt idx="6">
                  <c:v>172</c:v>
                </c:pt>
                <c:pt idx="7">
                  <c:v>196</c:v>
                </c:pt>
                <c:pt idx="8">
                  <c:v>199</c:v>
                </c:pt>
                <c:pt idx="9">
                  <c:v>188</c:v>
                </c:pt>
                <c:pt idx="10">
                  <c:v>237</c:v>
                </c:pt>
                <c:pt idx="11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'23.8 Kayunga-Kangulumira'!$C$59:$N$59</c:f>
              <c:numCache>
                <c:formatCode>0.0%</c:formatCode>
                <c:ptCount val="12"/>
                <c:pt idx="0">
                  <c:v>0.13391684901531728</c:v>
                </c:pt>
                <c:pt idx="1">
                  <c:v>0</c:v>
                </c:pt>
                <c:pt idx="2">
                  <c:v>0.11816192560175055</c:v>
                </c:pt>
                <c:pt idx="3">
                  <c:v>0.10109409190371992</c:v>
                </c:pt>
                <c:pt idx="4">
                  <c:v>9.1903719912472641E-3</c:v>
                </c:pt>
                <c:pt idx="5">
                  <c:v>4.3763676148796497E-3</c:v>
                </c:pt>
                <c:pt idx="6">
                  <c:v>6.9146608315098473E-2</c:v>
                </c:pt>
                <c:pt idx="7">
                  <c:v>5.2516411378555799E-3</c:v>
                </c:pt>
                <c:pt idx="8">
                  <c:v>7.8774617067833702E-3</c:v>
                </c:pt>
                <c:pt idx="9">
                  <c:v>3.50109409190372E-3</c:v>
                </c:pt>
                <c:pt idx="10">
                  <c:v>0.5466083150984683</c:v>
                </c:pt>
                <c:pt idx="11">
                  <c:v>8.7527352297593001E-4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'23.8 Kayunga-Kangulumira'!$S$9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'23.8 Kayunga-Kangulumira'!$S$10:$S$21</c:f>
              <c:numCache>
                <c:formatCode>0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15</c:v>
                </c:pt>
                <c:pt idx="3">
                  <c:v>29</c:v>
                </c:pt>
                <c:pt idx="4">
                  <c:v>19</c:v>
                </c:pt>
                <c:pt idx="5">
                  <c:v>34</c:v>
                </c:pt>
                <c:pt idx="6">
                  <c:v>17</c:v>
                </c:pt>
                <c:pt idx="7">
                  <c:v>34</c:v>
                </c:pt>
                <c:pt idx="8">
                  <c:v>34</c:v>
                </c:pt>
                <c:pt idx="9">
                  <c:v>28</c:v>
                </c:pt>
                <c:pt idx="10">
                  <c:v>40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'23.8 Kayunga-Kangulumira'!$T$9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'23.8 Kayunga-Kangulumira'!$T$10:$T$21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'23.8 Kayunga-Kangulumira'!$U$9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Kayunga-Kangulumira'!$U$10:$U$21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18</c:v>
                </c:pt>
                <c:pt idx="5">
                  <c:v>23</c:v>
                </c:pt>
                <c:pt idx="6">
                  <c:v>25</c:v>
                </c:pt>
                <c:pt idx="7">
                  <c:v>22</c:v>
                </c:pt>
                <c:pt idx="8">
                  <c:v>25</c:v>
                </c:pt>
                <c:pt idx="9">
                  <c:v>26</c:v>
                </c:pt>
                <c:pt idx="10">
                  <c:v>28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'23.8 Kayunga-Kangulumira'!$V$9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Kayunga-Kangulumira'!$V$10:$V$21</c:f>
              <c:numCache>
                <c:formatCode>0</c:formatCode>
                <c:ptCount val="12"/>
                <c:pt idx="0">
                  <c:v>27</c:v>
                </c:pt>
                <c:pt idx="1">
                  <c:v>19</c:v>
                </c:pt>
                <c:pt idx="2">
                  <c:v>13</c:v>
                </c:pt>
                <c:pt idx="3">
                  <c:v>20</c:v>
                </c:pt>
                <c:pt idx="4">
                  <c:v>17</c:v>
                </c:pt>
                <c:pt idx="5">
                  <c:v>22</c:v>
                </c:pt>
                <c:pt idx="6">
                  <c:v>24</c:v>
                </c:pt>
                <c:pt idx="7">
                  <c:v>16</c:v>
                </c:pt>
                <c:pt idx="8">
                  <c:v>19</c:v>
                </c:pt>
                <c:pt idx="9">
                  <c:v>15</c:v>
                </c:pt>
                <c:pt idx="10">
                  <c:v>22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'23.8 Kayunga-Kangulumira'!$W$9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'23.8 Kayunga-Kangulumira'!$X$9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'23.8 Kayunga-Kangulumira'!$Y$9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Kayunga-Kangulumira'!$Y$10:$Y$21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18</c:v>
                </c:pt>
                <c:pt idx="6">
                  <c:v>12</c:v>
                </c:pt>
                <c:pt idx="7">
                  <c:v>18</c:v>
                </c:pt>
                <c:pt idx="8">
                  <c:v>16</c:v>
                </c:pt>
                <c:pt idx="9">
                  <c:v>12</c:v>
                </c:pt>
                <c:pt idx="10">
                  <c:v>18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'23.8 Kayunga-Kangulumira'!$Z$9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'23.8 Kayunga-Kangulumira'!$AA$9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'23.8 Kayunga-Kangulumira'!$AB$9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'23.8 Kayunga-Kangulumira'!$AC$9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Kayunga-Kangulumira'!$AC$10:$AC$21</c:f>
              <c:numCache>
                <c:formatCode>0</c:formatCode>
                <c:ptCount val="12"/>
                <c:pt idx="0">
                  <c:v>131</c:v>
                </c:pt>
                <c:pt idx="1">
                  <c:v>123</c:v>
                </c:pt>
                <c:pt idx="2">
                  <c:v>115</c:v>
                </c:pt>
                <c:pt idx="3">
                  <c:v>84</c:v>
                </c:pt>
                <c:pt idx="4">
                  <c:v>94</c:v>
                </c:pt>
                <c:pt idx="5">
                  <c:v>101</c:v>
                </c:pt>
                <c:pt idx="6">
                  <c:v>93</c:v>
                </c:pt>
                <c:pt idx="7">
                  <c:v>103</c:v>
                </c:pt>
                <c:pt idx="8">
                  <c:v>97</c:v>
                </c:pt>
                <c:pt idx="9">
                  <c:v>96</c:v>
                </c:pt>
                <c:pt idx="10">
                  <c:v>118</c:v>
                </c:pt>
                <c:pt idx="11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'23.8 Kayunga-Kangulumira'!$AD$9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'23.8 Kayunga-Kangulumira'!$AD$10:$AD$21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'23.8 Kayunga-Kangulumira'!$C$60:$N$60</c:f>
              <c:numCache>
                <c:formatCode>0.00%</c:formatCode>
                <c:ptCount val="12"/>
                <c:pt idx="0">
                  <c:v>0.29536679536679539</c:v>
                </c:pt>
                <c:pt idx="1">
                  <c:v>0</c:v>
                </c:pt>
                <c:pt idx="2">
                  <c:v>0.2606177606177606</c:v>
                </c:pt>
                <c:pt idx="3">
                  <c:v>0.22297297297297297</c:v>
                </c:pt>
                <c:pt idx="4">
                  <c:v>2.0270270270270271E-2</c:v>
                </c:pt>
                <c:pt idx="5">
                  <c:v>9.6525096525096523E-3</c:v>
                </c:pt>
                <c:pt idx="6">
                  <c:v>0.15250965250965251</c:v>
                </c:pt>
                <c:pt idx="7">
                  <c:v>1.1583011583011582E-2</c:v>
                </c:pt>
                <c:pt idx="8">
                  <c:v>1.7374517374517374E-2</c:v>
                </c:pt>
                <c:pt idx="9">
                  <c:v>7.7220077220077222E-3</c:v>
                </c:pt>
                <c:pt idx="11">
                  <c:v>1.9305019305019305E-3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'23.8 Kangulumira-Kayunga'!$AE$10:$AE$33</c:f>
              <c:numCache>
                <c:formatCode>0</c:formatCode>
                <c:ptCount val="24"/>
                <c:pt idx="0">
                  <c:v>69</c:v>
                </c:pt>
                <c:pt idx="1">
                  <c:v>69</c:v>
                </c:pt>
                <c:pt idx="2">
                  <c:v>90</c:v>
                </c:pt>
                <c:pt idx="3">
                  <c:v>88</c:v>
                </c:pt>
                <c:pt idx="4">
                  <c:v>84</c:v>
                </c:pt>
                <c:pt idx="5">
                  <c:v>84</c:v>
                </c:pt>
                <c:pt idx="6">
                  <c:v>80</c:v>
                </c:pt>
                <c:pt idx="7">
                  <c:v>99</c:v>
                </c:pt>
                <c:pt idx="8">
                  <c:v>109</c:v>
                </c:pt>
                <c:pt idx="9">
                  <c:v>112</c:v>
                </c:pt>
                <c:pt idx="10">
                  <c:v>100</c:v>
                </c:pt>
                <c:pt idx="11">
                  <c:v>117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'23.8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'23.8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'23.8 Kangulumira-Kayunga'!$AF$10:$AF$33</c:f>
              <c:numCache>
                <c:formatCode>0</c:formatCode>
                <c:ptCount val="24"/>
                <c:pt idx="0">
                  <c:v>151</c:v>
                </c:pt>
                <c:pt idx="1">
                  <c:v>161</c:v>
                </c:pt>
                <c:pt idx="2">
                  <c:v>169</c:v>
                </c:pt>
                <c:pt idx="3">
                  <c:v>156</c:v>
                </c:pt>
                <c:pt idx="4">
                  <c:v>163</c:v>
                </c:pt>
                <c:pt idx="5">
                  <c:v>175</c:v>
                </c:pt>
                <c:pt idx="6">
                  <c:v>177</c:v>
                </c:pt>
                <c:pt idx="7">
                  <c:v>187</c:v>
                </c:pt>
                <c:pt idx="8">
                  <c:v>212</c:v>
                </c:pt>
                <c:pt idx="9">
                  <c:v>233</c:v>
                </c:pt>
                <c:pt idx="10">
                  <c:v>212</c:v>
                </c:pt>
                <c:pt idx="11">
                  <c:v>243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'23.8 Kangulumira-Kayunga'!$C$107:$N$107</c:f>
              <c:numCache>
                <c:formatCode>0.0%</c:formatCode>
                <c:ptCount val="12"/>
                <c:pt idx="0">
                  <c:v>0.1317552478785172</c:v>
                </c:pt>
                <c:pt idx="1">
                  <c:v>0</c:v>
                </c:pt>
                <c:pt idx="2">
                  <c:v>0.16435908887896383</c:v>
                </c:pt>
                <c:pt idx="3">
                  <c:v>9.5578383206788742E-2</c:v>
                </c:pt>
                <c:pt idx="4">
                  <c:v>1.027244305493524E-2</c:v>
                </c:pt>
                <c:pt idx="5">
                  <c:v>1.3398838767306833E-3</c:v>
                </c:pt>
                <c:pt idx="6">
                  <c:v>6.7887449754354623E-2</c:v>
                </c:pt>
                <c:pt idx="7">
                  <c:v>5.3595355069227333E-3</c:v>
                </c:pt>
                <c:pt idx="8">
                  <c:v>5.8061634658329612E-3</c:v>
                </c:pt>
                <c:pt idx="9">
                  <c:v>8.9325591782045549E-3</c:v>
                </c:pt>
                <c:pt idx="10">
                  <c:v>0.50826261723983923</c:v>
                </c:pt>
                <c:pt idx="11">
                  <c:v>4.4662795891022776E-4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'23.8 Kangulumira-Kayunga'!$C$108:$N$108</c:f>
              <c:numCache>
                <c:formatCode>0.00%</c:formatCode>
                <c:ptCount val="12"/>
                <c:pt idx="0">
                  <c:v>0.26793823796548594</c:v>
                </c:pt>
                <c:pt idx="1">
                  <c:v>0</c:v>
                </c:pt>
                <c:pt idx="2">
                  <c:v>0.33424159854677565</c:v>
                </c:pt>
                <c:pt idx="3">
                  <c:v>0.1943687556766576</c:v>
                </c:pt>
                <c:pt idx="4">
                  <c:v>2.0890099909173478E-2</c:v>
                </c:pt>
                <c:pt idx="5">
                  <c:v>2.7247956403269754E-3</c:v>
                </c:pt>
                <c:pt idx="6">
                  <c:v>0.13805631244323344</c:v>
                </c:pt>
                <c:pt idx="7">
                  <c:v>1.0899182561307902E-2</c:v>
                </c:pt>
                <c:pt idx="8">
                  <c:v>1.1807447774750226E-2</c:v>
                </c:pt>
                <c:pt idx="9">
                  <c:v>1.8165304268846504E-2</c:v>
                </c:pt>
                <c:pt idx="11">
                  <c:v>9.0826521344232513E-4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Kayunga-Kangulumira'!$AE$10:$AE$21</c:f>
              <c:numCache>
                <c:formatCode>0</c:formatCode>
                <c:ptCount val="12"/>
                <c:pt idx="0">
                  <c:v>54</c:v>
                </c:pt>
                <c:pt idx="1">
                  <c:v>68</c:v>
                </c:pt>
                <c:pt idx="2">
                  <c:v>69</c:v>
                </c:pt>
                <c:pt idx="3">
                  <c:v>70</c:v>
                </c:pt>
                <c:pt idx="4">
                  <c:v>88</c:v>
                </c:pt>
                <c:pt idx="5">
                  <c:v>105</c:v>
                </c:pt>
                <c:pt idx="6">
                  <c:v>80</c:v>
                </c:pt>
                <c:pt idx="7">
                  <c:v>84</c:v>
                </c:pt>
                <c:pt idx="8">
                  <c:v>84</c:v>
                </c:pt>
                <c:pt idx="9">
                  <c:v>80</c:v>
                </c:pt>
                <c:pt idx="10">
                  <c:v>78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Kayunga-Kangulumira'!$AF$10:$AF$21</c:f>
              <c:numCache>
                <c:formatCode>0</c:formatCode>
                <c:ptCount val="12"/>
                <c:pt idx="0">
                  <c:v>183</c:v>
                </c:pt>
                <c:pt idx="1">
                  <c:v>184</c:v>
                </c:pt>
                <c:pt idx="2">
                  <c:v>171</c:v>
                </c:pt>
                <c:pt idx="3">
                  <c:v>175</c:v>
                </c:pt>
                <c:pt idx="4">
                  <c:v>165</c:v>
                </c:pt>
                <c:pt idx="5">
                  <c:v>203</c:v>
                </c:pt>
                <c:pt idx="6">
                  <c:v>190</c:v>
                </c:pt>
                <c:pt idx="7">
                  <c:v>171</c:v>
                </c:pt>
                <c:pt idx="8">
                  <c:v>178</c:v>
                </c:pt>
                <c:pt idx="9">
                  <c:v>190</c:v>
                </c:pt>
                <c:pt idx="10">
                  <c:v>209</c:v>
                </c:pt>
                <c:pt idx="11">
                  <c:v>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'24.8 Kayunga-Kangulumira'!$C$59:$N$59</c:f>
              <c:numCache>
                <c:formatCode>0.0%</c:formatCode>
                <c:ptCount val="12"/>
                <c:pt idx="0">
                  <c:v>0.13714028776978418</c:v>
                </c:pt>
                <c:pt idx="1">
                  <c:v>0</c:v>
                </c:pt>
                <c:pt idx="2">
                  <c:v>9.8920863309352514E-2</c:v>
                </c:pt>
                <c:pt idx="3">
                  <c:v>9.3525179856115109E-2</c:v>
                </c:pt>
                <c:pt idx="4">
                  <c:v>7.1942446043165471E-3</c:v>
                </c:pt>
                <c:pt idx="5">
                  <c:v>3.1474820143884892E-3</c:v>
                </c:pt>
                <c:pt idx="6">
                  <c:v>6.2050359712230219E-2</c:v>
                </c:pt>
                <c:pt idx="7">
                  <c:v>4.9460431654676255E-3</c:v>
                </c:pt>
                <c:pt idx="8">
                  <c:v>1.0791366906474821E-2</c:v>
                </c:pt>
                <c:pt idx="9">
                  <c:v>7.6438848920863311E-3</c:v>
                </c:pt>
                <c:pt idx="10">
                  <c:v>0.57419064748201443</c:v>
                </c:pt>
                <c:pt idx="11">
                  <c:v>4.496402877697842E-4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'24.8 Kayunga-Kangulumira'!$C$60:$N$60</c:f>
              <c:numCache>
                <c:formatCode>0.00%</c:formatCode>
                <c:ptCount val="12"/>
                <c:pt idx="0">
                  <c:v>0.32206969376979938</c:v>
                </c:pt>
                <c:pt idx="1">
                  <c:v>0</c:v>
                </c:pt>
                <c:pt idx="2">
                  <c:v>0.23231256599788808</c:v>
                </c:pt>
                <c:pt idx="3">
                  <c:v>0.21964097148891235</c:v>
                </c:pt>
                <c:pt idx="4">
                  <c:v>1.6895459345300949E-2</c:v>
                </c:pt>
                <c:pt idx="5">
                  <c:v>7.3917634635691657E-3</c:v>
                </c:pt>
                <c:pt idx="6">
                  <c:v>0.1457233368532207</c:v>
                </c:pt>
                <c:pt idx="7">
                  <c:v>1.1615628299894404E-2</c:v>
                </c:pt>
                <c:pt idx="8">
                  <c:v>2.5343189017951427E-2</c:v>
                </c:pt>
                <c:pt idx="9">
                  <c:v>1.7951425554382259E-2</c:v>
                </c:pt>
                <c:pt idx="11">
                  <c:v>1.0559662090813093E-3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Kangulumira-Kayunga'!$AE$10:$AE$21</c:f>
              <c:numCache>
                <c:formatCode>0</c:formatCode>
                <c:ptCount val="12"/>
                <c:pt idx="0">
                  <c:v>64</c:v>
                </c:pt>
                <c:pt idx="1">
                  <c:v>53</c:v>
                </c:pt>
                <c:pt idx="2">
                  <c:v>53</c:v>
                </c:pt>
                <c:pt idx="3">
                  <c:v>61</c:v>
                </c:pt>
                <c:pt idx="4">
                  <c:v>63</c:v>
                </c:pt>
                <c:pt idx="5">
                  <c:v>71</c:v>
                </c:pt>
                <c:pt idx="6">
                  <c:v>70</c:v>
                </c:pt>
                <c:pt idx="7">
                  <c:v>80</c:v>
                </c:pt>
                <c:pt idx="8">
                  <c:v>83</c:v>
                </c:pt>
                <c:pt idx="9">
                  <c:v>87</c:v>
                </c:pt>
                <c:pt idx="10">
                  <c:v>64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'24.8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Kangulumira-Kayunga'!$AF$10:$AF$21</c:f>
              <c:numCache>
                <c:formatCode>0</c:formatCode>
                <c:ptCount val="12"/>
                <c:pt idx="0">
                  <c:v>126</c:v>
                </c:pt>
                <c:pt idx="1">
                  <c:v>138</c:v>
                </c:pt>
                <c:pt idx="2">
                  <c:v>120</c:v>
                </c:pt>
                <c:pt idx="3">
                  <c:v>144</c:v>
                </c:pt>
                <c:pt idx="4">
                  <c:v>156</c:v>
                </c:pt>
                <c:pt idx="5">
                  <c:v>169</c:v>
                </c:pt>
                <c:pt idx="6">
                  <c:v>168</c:v>
                </c:pt>
                <c:pt idx="7">
                  <c:v>181</c:v>
                </c:pt>
                <c:pt idx="8">
                  <c:v>182</c:v>
                </c:pt>
                <c:pt idx="9">
                  <c:v>173</c:v>
                </c:pt>
                <c:pt idx="10">
                  <c:v>190</c:v>
                </c:pt>
                <c:pt idx="11">
                  <c:v>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'24.8 Kangulumira-Kayunga'!$C$59:$N$59</c:f>
              <c:numCache>
                <c:formatCode>0.0%</c:formatCode>
                <c:ptCount val="12"/>
                <c:pt idx="0">
                  <c:v>0.11343893714869699</c:v>
                </c:pt>
                <c:pt idx="1">
                  <c:v>0</c:v>
                </c:pt>
                <c:pt idx="2">
                  <c:v>9.7087378640776698E-2</c:v>
                </c:pt>
                <c:pt idx="3">
                  <c:v>9.8620337250894224E-2</c:v>
                </c:pt>
                <c:pt idx="4">
                  <c:v>2.5549310168625446E-3</c:v>
                </c:pt>
                <c:pt idx="5">
                  <c:v>2.043944813490036E-3</c:v>
                </c:pt>
                <c:pt idx="6">
                  <c:v>7.8180889115993871E-2</c:v>
                </c:pt>
                <c:pt idx="7">
                  <c:v>7.6647930505876344E-3</c:v>
                </c:pt>
                <c:pt idx="8">
                  <c:v>1.0730710270822688E-2</c:v>
                </c:pt>
                <c:pt idx="9">
                  <c:v>6.6428206438426162E-3</c:v>
                </c:pt>
                <c:pt idx="10">
                  <c:v>0.58201328564128774</c:v>
                </c:pt>
                <c:pt idx="11">
                  <c:v>1.021972406745018E-3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'24.8 Kangulumira-Kayunga'!$S$9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Kangulumira-Kayunga'!$S$10:$S$21</c:f>
              <c:numCache>
                <c:formatCode>0</c:formatCode>
                <c:ptCount val="12"/>
                <c:pt idx="0">
                  <c:v>16</c:v>
                </c:pt>
                <c:pt idx="1">
                  <c:v>19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19</c:v>
                </c:pt>
                <c:pt idx="6">
                  <c:v>19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'24.8 Kangulumira-Kayunga'!$T$9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'24.8 Kangulumira-Kayunga'!$T$10:$T$21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'24.8 Kangulumira-Kayunga'!$U$9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Kangulumira-Kayunga'!$U$10:$U$21</c:f>
              <c:numCache>
                <c:formatCode>0</c:formatCode>
                <c:ptCount val="12"/>
                <c:pt idx="0">
                  <c:v>12</c:v>
                </c:pt>
                <c:pt idx="1">
                  <c:v>6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25</c:v>
                </c:pt>
                <c:pt idx="8">
                  <c:v>33</c:v>
                </c:pt>
                <c:pt idx="9">
                  <c:v>22</c:v>
                </c:pt>
                <c:pt idx="10">
                  <c:v>19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'24.8 Kangulumira-Kayunga'!$V$9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Kangulumira-Kayunga'!$V$10:$V$21</c:f>
              <c:numCache>
                <c:formatCode>0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13</c:v>
                </c:pt>
                <c:pt idx="9">
                  <c:v>15</c:v>
                </c:pt>
                <c:pt idx="10">
                  <c:v>15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'24.8 Kangulumira-Kayunga'!$W$9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'24.8 Kangulumira-Kayunga'!$X$9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'24.8 Kangulumira-Kayunga'!$Y$9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Kangulumira-Kayunga'!$Y$10:$Y$21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14</c:v>
                </c:pt>
                <c:pt idx="4">
                  <c:v>19</c:v>
                </c:pt>
                <c:pt idx="5">
                  <c:v>18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21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'24.8 Kangulumira-Kayunga'!$Z$9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Kangulumira-Kayunga'!$Z$10:$Z$21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'24.8 Kangulumira-Kayunga'!$AA$9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Kangulumira-Kayunga'!$AA$10:$AA$21</c:f>
              <c:numCache>
                <c:formatCode>0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'24.8 Kangulumira-Kayunga'!$AB$9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Kangulumira-Kayunga'!$AB$10:$AB$21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'24.8 Kangulumira-Kayunga'!$AC$9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Kangulumira-Kayunga'!$AC$10:$AC$21</c:f>
              <c:numCache>
                <c:formatCode>0</c:formatCode>
                <c:ptCount val="12"/>
                <c:pt idx="0">
                  <c:v>62</c:v>
                </c:pt>
                <c:pt idx="1">
                  <c:v>85</c:v>
                </c:pt>
                <c:pt idx="2">
                  <c:v>67</c:v>
                </c:pt>
                <c:pt idx="3">
                  <c:v>83</c:v>
                </c:pt>
                <c:pt idx="4">
                  <c:v>93</c:v>
                </c:pt>
                <c:pt idx="5">
                  <c:v>98</c:v>
                </c:pt>
                <c:pt idx="6">
                  <c:v>98</c:v>
                </c:pt>
                <c:pt idx="7">
                  <c:v>101</c:v>
                </c:pt>
                <c:pt idx="8">
                  <c:v>99</c:v>
                </c:pt>
                <c:pt idx="9">
                  <c:v>86</c:v>
                </c:pt>
                <c:pt idx="10">
                  <c:v>126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'24.8 Kangulumira-Kayunga'!$AD$9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'24.8 Kangulumira-Kayunga'!$AD$10:$AD$21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'24.8 Kangulumira-Kayunga'!$C$60:$N$60</c:f>
              <c:numCache>
                <c:formatCode>0.00%</c:formatCode>
                <c:ptCount val="12"/>
                <c:pt idx="0">
                  <c:v>0.27139364303178481</c:v>
                </c:pt>
                <c:pt idx="1">
                  <c:v>0</c:v>
                </c:pt>
                <c:pt idx="2">
                  <c:v>0.23227383863080683</c:v>
                </c:pt>
                <c:pt idx="3">
                  <c:v>0.23594132029339854</c:v>
                </c:pt>
                <c:pt idx="4">
                  <c:v>6.1124694376528121E-3</c:v>
                </c:pt>
                <c:pt idx="5">
                  <c:v>4.8899755501222494E-3</c:v>
                </c:pt>
                <c:pt idx="6">
                  <c:v>0.18704156479217604</c:v>
                </c:pt>
                <c:pt idx="7">
                  <c:v>1.8337408312958436E-2</c:v>
                </c:pt>
                <c:pt idx="8">
                  <c:v>2.567237163814181E-2</c:v>
                </c:pt>
                <c:pt idx="9">
                  <c:v>1.5892420537897311E-2</c:v>
                </c:pt>
                <c:pt idx="11">
                  <c:v>2.4449877750611247E-3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'25.8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Kayunga-Kangulumira'!$AE$10:$AE$21</c:f>
              <c:numCache>
                <c:formatCode>0</c:formatCode>
                <c:ptCount val="12"/>
                <c:pt idx="0">
                  <c:v>44</c:v>
                </c:pt>
                <c:pt idx="1">
                  <c:v>36</c:v>
                </c:pt>
                <c:pt idx="2">
                  <c:v>58</c:v>
                </c:pt>
                <c:pt idx="3">
                  <c:v>53</c:v>
                </c:pt>
                <c:pt idx="4">
                  <c:v>55</c:v>
                </c:pt>
                <c:pt idx="5">
                  <c:v>62</c:v>
                </c:pt>
                <c:pt idx="6">
                  <c:v>46</c:v>
                </c:pt>
                <c:pt idx="7">
                  <c:v>54</c:v>
                </c:pt>
                <c:pt idx="8">
                  <c:v>56</c:v>
                </c:pt>
                <c:pt idx="9">
                  <c:v>69</c:v>
                </c:pt>
                <c:pt idx="10">
                  <c:v>88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'25.8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Kayunga-Kangulumira'!$AF$10:$AF$21</c:f>
              <c:numCache>
                <c:formatCode>0</c:formatCode>
                <c:ptCount val="12"/>
                <c:pt idx="0">
                  <c:v>162</c:v>
                </c:pt>
                <c:pt idx="1">
                  <c:v>155</c:v>
                </c:pt>
                <c:pt idx="2">
                  <c:v>179</c:v>
                </c:pt>
                <c:pt idx="3">
                  <c:v>149</c:v>
                </c:pt>
                <c:pt idx="4">
                  <c:v>186</c:v>
                </c:pt>
                <c:pt idx="5">
                  <c:v>175</c:v>
                </c:pt>
                <c:pt idx="6">
                  <c:v>146</c:v>
                </c:pt>
                <c:pt idx="7">
                  <c:v>141</c:v>
                </c:pt>
                <c:pt idx="8">
                  <c:v>159</c:v>
                </c:pt>
                <c:pt idx="9">
                  <c:v>174</c:v>
                </c:pt>
                <c:pt idx="10">
                  <c:v>203</c:v>
                </c:pt>
                <c:pt idx="11">
                  <c:v>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'25.8 Kayunga-Kangulumira'!$C$59:$N$59</c:f>
              <c:numCache>
                <c:formatCode>0.0%</c:formatCode>
                <c:ptCount val="12"/>
                <c:pt idx="0">
                  <c:v>9.768130241736557E-2</c:v>
                </c:pt>
                <c:pt idx="1">
                  <c:v>0</c:v>
                </c:pt>
                <c:pt idx="2">
                  <c:v>8.3374444992599897E-2</c:v>
                </c:pt>
                <c:pt idx="3">
                  <c:v>9.718796250616675E-2</c:v>
                </c:pt>
                <c:pt idx="4">
                  <c:v>6.9067587567834239E-3</c:v>
                </c:pt>
                <c:pt idx="5">
                  <c:v>2.9600394671928957E-3</c:v>
                </c:pt>
                <c:pt idx="6">
                  <c:v>4.6373951652688705E-2</c:v>
                </c:pt>
                <c:pt idx="7">
                  <c:v>4.9333991119881598E-3</c:v>
                </c:pt>
                <c:pt idx="8">
                  <c:v>4.440059200789344E-3</c:v>
                </c:pt>
                <c:pt idx="9">
                  <c:v>3.9467192895905282E-3</c:v>
                </c:pt>
                <c:pt idx="10">
                  <c:v>0.65219536260483468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'25.8 Kayunga-Kangulumira'!$S$9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Kayunga-Kangulumira'!$S$10:$S$21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16</c:v>
                </c:pt>
                <c:pt idx="9">
                  <c:v>26</c:v>
                </c:pt>
                <c:pt idx="10">
                  <c:v>23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'25.8 Kayunga-Kangulumira'!$T$9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'25.8 Kayunga-Kangulumira'!$R$10:$R$21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Kayunga-Kangulumira'!$T$10:$T$21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'25.8 Kayunga-Kangulumira'!$U$9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Kayunga-Kangulumira'!$U$10:$U$21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10</c:v>
                </c:pt>
                <c:pt idx="7">
                  <c:v>13</c:v>
                </c:pt>
                <c:pt idx="8">
                  <c:v>17</c:v>
                </c:pt>
                <c:pt idx="9">
                  <c:v>16</c:v>
                </c:pt>
                <c:pt idx="10">
                  <c:v>24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'25.8 Kayunga-Kangulumira'!$V$9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Kayunga-Kangulumira'!$V$10:$V$21</c:f>
              <c:numCache>
                <c:formatCode>0</c:formatCode>
                <c:ptCount val="12"/>
                <c:pt idx="0">
                  <c:v>25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15</c:v>
                </c:pt>
                <c:pt idx="10">
                  <c:v>19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'25.8 Kayunga-Kangulumira'!$W$9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'25.8 Kayunga-Kangulumira'!$X$9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'25.8 Kayunga-Kangulumira'!$Y$9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Kayunga-Kangulumira'!$Y$10:$Y$21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16</c:v>
                </c:pt>
                <c:pt idx="6">
                  <c:v>4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15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'25.8 Kayunga-Kangulumira'!$Z$9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'25.8 Kayunga-Kangulumira'!$AA$9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'25.8 Kayunga-Kangulumira'!$AB$9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'25.8 Kayunga-Kangulumira'!$AC$9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Kayunga-Kangulumira'!$AC$10:$AC$21</c:f>
              <c:numCache>
                <c:formatCode>0</c:formatCode>
                <c:ptCount val="12"/>
                <c:pt idx="0">
                  <c:v>118</c:v>
                </c:pt>
                <c:pt idx="1">
                  <c:v>119</c:v>
                </c:pt>
                <c:pt idx="2">
                  <c:v>121</c:v>
                </c:pt>
                <c:pt idx="3">
                  <c:v>96</c:v>
                </c:pt>
                <c:pt idx="4">
                  <c:v>131</c:v>
                </c:pt>
                <c:pt idx="5">
                  <c:v>113</c:v>
                </c:pt>
                <c:pt idx="6">
                  <c:v>100</c:v>
                </c:pt>
                <c:pt idx="7">
                  <c:v>87</c:v>
                </c:pt>
                <c:pt idx="8">
                  <c:v>103</c:v>
                </c:pt>
                <c:pt idx="9">
                  <c:v>105</c:v>
                </c:pt>
                <c:pt idx="10">
                  <c:v>115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'25.8 Kayunga-Kangulumira'!$AD$9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Kayunga-Kangulumira'!$AD$10:$AD$21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'25.8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'25.8 Kayunga-Kangulumira'!$C$60:$N$60</c:f>
              <c:numCache>
                <c:formatCode>0.00%</c:formatCode>
                <c:ptCount val="12"/>
                <c:pt idx="0">
                  <c:v>0.28085106382978725</c:v>
                </c:pt>
                <c:pt idx="1">
                  <c:v>0</c:v>
                </c:pt>
                <c:pt idx="2">
                  <c:v>0.2397163120567376</c:v>
                </c:pt>
                <c:pt idx="3">
                  <c:v>0.27943262411347519</c:v>
                </c:pt>
                <c:pt idx="4">
                  <c:v>1.9858156028368795E-2</c:v>
                </c:pt>
                <c:pt idx="5">
                  <c:v>8.5106382978723406E-3</c:v>
                </c:pt>
                <c:pt idx="6">
                  <c:v>0.13333333333333333</c:v>
                </c:pt>
                <c:pt idx="7">
                  <c:v>1.4184397163120567E-2</c:v>
                </c:pt>
                <c:pt idx="8">
                  <c:v>1.276595744680851E-2</c:v>
                </c:pt>
                <c:pt idx="9">
                  <c:v>1.1347517730496455E-2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'25.8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Kangulumira-Kayunga'!$AE$10:$AE$21</c:f>
              <c:numCache>
                <c:formatCode>0</c:formatCode>
                <c:ptCount val="12"/>
                <c:pt idx="0">
                  <c:v>31</c:v>
                </c:pt>
                <c:pt idx="1">
                  <c:v>38</c:v>
                </c:pt>
                <c:pt idx="2">
                  <c:v>44</c:v>
                </c:pt>
                <c:pt idx="3">
                  <c:v>80</c:v>
                </c:pt>
                <c:pt idx="4">
                  <c:v>64</c:v>
                </c:pt>
                <c:pt idx="5">
                  <c:v>86</c:v>
                </c:pt>
                <c:pt idx="6">
                  <c:v>72</c:v>
                </c:pt>
                <c:pt idx="7">
                  <c:v>81</c:v>
                </c:pt>
                <c:pt idx="8">
                  <c:v>86</c:v>
                </c:pt>
                <c:pt idx="9">
                  <c:v>83</c:v>
                </c:pt>
                <c:pt idx="10">
                  <c:v>99</c:v>
                </c:pt>
                <c:pt idx="11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'25.8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Kangulumira-Kayunga'!$AF$10:$AF$21</c:f>
              <c:numCache>
                <c:formatCode>0</c:formatCode>
                <c:ptCount val="12"/>
                <c:pt idx="0">
                  <c:v>91</c:v>
                </c:pt>
                <c:pt idx="1">
                  <c:v>108</c:v>
                </c:pt>
                <c:pt idx="2">
                  <c:v>147</c:v>
                </c:pt>
                <c:pt idx="3">
                  <c:v>191</c:v>
                </c:pt>
                <c:pt idx="4">
                  <c:v>174</c:v>
                </c:pt>
                <c:pt idx="5">
                  <c:v>197</c:v>
                </c:pt>
                <c:pt idx="6">
                  <c:v>175</c:v>
                </c:pt>
                <c:pt idx="7">
                  <c:v>187</c:v>
                </c:pt>
                <c:pt idx="8">
                  <c:v>198</c:v>
                </c:pt>
                <c:pt idx="9">
                  <c:v>182</c:v>
                </c:pt>
                <c:pt idx="10">
                  <c:v>219</c:v>
                </c:pt>
                <c:pt idx="11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'25.8 Kangulumira-Kayunga'!$C$59:$N$59</c:f>
              <c:numCache>
                <c:formatCode>0.0%</c:formatCode>
                <c:ptCount val="12"/>
                <c:pt idx="0">
                  <c:v>0.13855709507883421</c:v>
                </c:pt>
                <c:pt idx="1">
                  <c:v>0</c:v>
                </c:pt>
                <c:pt idx="2">
                  <c:v>0.12040133779264214</c:v>
                </c:pt>
                <c:pt idx="3">
                  <c:v>8.6478738652651696E-2</c:v>
                </c:pt>
                <c:pt idx="4">
                  <c:v>6.2111801242236021E-3</c:v>
                </c:pt>
                <c:pt idx="5">
                  <c:v>4.7778308647873863E-4</c:v>
                </c:pt>
                <c:pt idx="6">
                  <c:v>5.3989488772097464E-2</c:v>
                </c:pt>
                <c:pt idx="7">
                  <c:v>4.7778308647873869E-3</c:v>
                </c:pt>
                <c:pt idx="8">
                  <c:v>1.9111323459149545E-3</c:v>
                </c:pt>
                <c:pt idx="9">
                  <c:v>6.688963210702341E-3</c:v>
                </c:pt>
                <c:pt idx="10">
                  <c:v>0.58050645007166746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'25.8 Kangulumira-Kayunga'!$S$9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Kangulumira-Kayunga'!$S$10:$S$21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14</c:v>
                </c:pt>
                <c:pt idx="3">
                  <c:v>21</c:v>
                </c:pt>
                <c:pt idx="4">
                  <c:v>18</c:v>
                </c:pt>
                <c:pt idx="5">
                  <c:v>27</c:v>
                </c:pt>
                <c:pt idx="6">
                  <c:v>21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34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'25.8 Kangulumira-Kayunga'!$T$9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'25.8 Kangulumira-Kayunga'!$R$10:$R$21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'25.8 Kangulumira-Kayunga'!$T$10:$T$21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'25.8 Kangulumira-Kayunga'!$U$9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Kangulumira-Kayunga'!$U$10:$U$21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26</c:v>
                </c:pt>
                <c:pt idx="4">
                  <c:v>14</c:v>
                </c:pt>
                <c:pt idx="5">
                  <c:v>27</c:v>
                </c:pt>
                <c:pt idx="6">
                  <c:v>28</c:v>
                </c:pt>
                <c:pt idx="7">
                  <c:v>21</c:v>
                </c:pt>
                <c:pt idx="8">
                  <c:v>27</c:v>
                </c:pt>
                <c:pt idx="9">
                  <c:v>20</c:v>
                </c:pt>
                <c:pt idx="10">
                  <c:v>36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'25.8 Kangulumira-Kayunga'!$V$9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Kangulumira-Kayunga'!$V$10:$V$21</c:f>
              <c:numCache>
                <c:formatCode>0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11</c:v>
                </c:pt>
                <c:pt idx="3">
                  <c:v>16</c:v>
                </c:pt>
                <c:pt idx="4">
                  <c:v>13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16</c:v>
                </c:pt>
                <c:pt idx="9">
                  <c:v>18</c:v>
                </c:pt>
                <c:pt idx="10">
                  <c:v>16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'25.8 Kangulumira-Kayunga'!$W$9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'25.8 Kangulumira-Kayunga'!$X$9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'25.8 Kangulumira-Kayunga'!$Y$9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Kangulumira-Kayunga'!$Y$10:$Y$21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5</c:v>
                </c:pt>
                <c:pt idx="9">
                  <c:v>10</c:v>
                </c:pt>
                <c:pt idx="10">
                  <c:v>13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'25.8 Kangulumira-Kayunga'!$Z$9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'25.8 Kangulumira-Kayunga'!$AA$9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'25.8 Kangulumira-Kayunga'!$AB$9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'25.8 Kangulumira-Kayunga'!$AC$9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Kangulumira-Kayunga'!$AC$10:$AC$21</c:f>
              <c:numCache>
                <c:formatCode>0</c:formatCode>
                <c:ptCount val="12"/>
                <c:pt idx="0">
                  <c:v>60</c:v>
                </c:pt>
                <c:pt idx="1">
                  <c:v>70</c:v>
                </c:pt>
                <c:pt idx="2">
                  <c:v>103</c:v>
                </c:pt>
                <c:pt idx="3">
                  <c:v>111</c:v>
                </c:pt>
                <c:pt idx="4">
                  <c:v>110</c:v>
                </c:pt>
                <c:pt idx="5">
                  <c:v>111</c:v>
                </c:pt>
                <c:pt idx="6">
                  <c:v>103</c:v>
                </c:pt>
                <c:pt idx="7">
                  <c:v>106</c:v>
                </c:pt>
                <c:pt idx="8">
                  <c:v>112</c:v>
                </c:pt>
                <c:pt idx="9">
                  <c:v>99</c:v>
                </c:pt>
                <c:pt idx="10">
                  <c:v>120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'25.8 Kangulumira-Kayunga'!$AD$9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'25.8 Kangulumira-Kayunga'!$AD$10:$AD$21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'25.8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'25.8 Kangulumira-Kayunga'!$C$60:$N$60</c:f>
              <c:numCache>
                <c:formatCode>0.00%</c:formatCode>
                <c:ptCount val="12"/>
                <c:pt idx="0">
                  <c:v>0.33029612756264237</c:v>
                </c:pt>
                <c:pt idx="1">
                  <c:v>0</c:v>
                </c:pt>
                <c:pt idx="2">
                  <c:v>0.28701594533029612</c:v>
                </c:pt>
                <c:pt idx="3">
                  <c:v>0.20615034168564919</c:v>
                </c:pt>
                <c:pt idx="4">
                  <c:v>1.4806378132118452E-2</c:v>
                </c:pt>
                <c:pt idx="5">
                  <c:v>1.1389521640091116E-3</c:v>
                </c:pt>
                <c:pt idx="6">
                  <c:v>0.12870159453302962</c:v>
                </c:pt>
                <c:pt idx="7">
                  <c:v>1.1389521640091117E-2</c:v>
                </c:pt>
                <c:pt idx="8">
                  <c:v>4.5558086560364463E-3</c:v>
                </c:pt>
                <c:pt idx="9">
                  <c:v>1.5945330296127564E-2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Kayunga-Kangulumira'!$AE$9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Kayunga-Kangulumira'!$R$10:$R$33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Kayunga-Kangulumira'!$AE$10:$AE$33</c:f>
              <c:numCache>
                <c:formatCode>0</c:formatCode>
                <c:ptCount val="24"/>
                <c:pt idx="0">
                  <c:v>57.142857142857139</c:v>
                </c:pt>
                <c:pt idx="1">
                  <c:v>60.285714285714292</c:v>
                </c:pt>
                <c:pt idx="2">
                  <c:v>64.714285714285708</c:v>
                </c:pt>
                <c:pt idx="3">
                  <c:v>67.714285714285722</c:v>
                </c:pt>
                <c:pt idx="4">
                  <c:v>72.999999999999986</c:v>
                </c:pt>
                <c:pt idx="5">
                  <c:v>81.714285714285708</c:v>
                </c:pt>
                <c:pt idx="6">
                  <c:v>71.142857142857139</c:v>
                </c:pt>
                <c:pt idx="7">
                  <c:v>74.857142857142847</c:v>
                </c:pt>
                <c:pt idx="8">
                  <c:v>74.285714285714292</c:v>
                </c:pt>
                <c:pt idx="9">
                  <c:v>86.857142857142847</c:v>
                </c:pt>
                <c:pt idx="10">
                  <c:v>98.714285714285708</c:v>
                </c:pt>
                <c:pt idx="11">
                  <c:v>91</c:v>
                </c:pt>
                <c:pt idx="12">
                  <c:v>54</c:v>
                </c:pt>
                <c:pt idx="13">
                  <c:v>57</c:v>
                </c:pt>
                <c:pt idx="14">
                  <c:v>52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Kayunga-Kangulumira'!$AF$9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Kayunga-Kangulumira'!$R$10:$R$33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Kayunga-Kangulumira'!$AF$10:$AF$33</c:f>
              <c:numCache>
                <c:formatCode>0</c:formatCode>
                <c:ptCount val="24"/>
                <c:pt idx="0">
                  <c:v>182.71428571428572</c:v>
                </c:pt>
                <c:pt idx="1">
                  <c:v>192.42857142857144</c:v>
                </c:pt>
                <c:pt idx="2">
                  <c:v>179.14285714285714</c:v>
                </c:pt>
                <c:pt idx="3">
                  <c:v>169.57142857142856</c:v>
                </c:pt>
                <c:pt idx="4">
                  <c:v>176.85714285714286</c:v>
                </c:pt>
                <c:pt idx="5">
                  <c:v>185.57142857142856</c:v>
                </c:pt>
                <c:pt idx="6">
                  <c:v>169.71428571428572</c:v>
                </c:pt>
                <c:pt idx="7">
                  <c:v>166.57142857142858</c:v>
                </c:pt>
                <c:pt idx="8">
                  <c:v>167.42857142857144</c:v>
                </c:pt>
                <c:pt idx="9">
                  <c:v>196.28571428571428</c:v>
                </c:pt>
                <c:pt idx="10">
                  <c:v>220.71428571428572</c:v>
                </c:pt>
                <c:pt idx="11">
                  <c:v>201</c:v>
                </c:pt>
                <c:pt idx="12">
                  <c:v>125</c:v>
                </c:pt>
                <c:pt idx="13">
                  <c:v>123</c:v>
                </c:pt>
                <c:pt idx="14">
                  <c:v>98</c:v>
                </c:pt>
                <c:pt idx="15">
                  <c:v>49</c:v>
                </c:pt>
                <c:pt idx="16">
                  <c:v>38</c:v>
                </c:pt>
                <c:pt idx="17">
                  <c:v>35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Kayunga-Kangulumira'!$C$107:$N$107</c:f>
              <c:numCache>
                <c:formatCode>0.0%</c:formatCode>
                <c:ptCount val="12"/>
                <c:pt idx="0">
                  <c:v>0.10610188659846811</c:v>
                </c:pt>
                <c:pt idx="1">
                  <c:v>4.5812985143679687E-2</c:v>
                </c:pt>
                <c:pt idx="2">
                  <c:v>6.8719477715519409E-2</c:v>
                </c:pt>
                <c:pt idx="3">
                  <c:v>9.7876934148974457E-2</c:v>
                </c:pt>
                <c:pt idx="4">
                  <c:v>9.3044774584896926E-3</c:v>
                </c:pt>
                <c:pt idx="5">
                  <c:v>1.03325965146764E-2</c:v>
                </c:pt>
                <c:pt idx="6">
                  <c:v>7.1711304169022785E-2</c:v>
                </c:pt>
                <c:pt idx="7">
                  <c:v>1.7889271577648691E-2</c:v>
                </c:pt>
                <c:pt idx="8">
                  <c:v>1.6861152521461985E-2</c:v>
                </c:pt>
                <c:pt idx="9">
                  <c:v>1.012697270343906E-2</c:v>
                </c:pt>
                <c:pt idx="10">
                  <c:v>0.54500591168457302</c:v>
                </c:pt>
                <c:pt idx="11">
                  <c:v>2.5702976404667655E-4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Kayunga-Kangulumira'!$C$9:$N$9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Kayunga-Kangulumira'!$C$108:$N$108</c:f>
              <c:numCache>
                <c:formatCode>0.00%</c:formatCode>
                <c:ptCount val="12"/>
                <c:pt idx="0">
                  <c:v>0.2331939893797311</c:v>
                </c:pt>
                <c:pt idx="1">
                  <c:v>0.10068918766241113</c:v>
                </c:pt>
                <c:pt idx="2">
                  <c:v>0.1510337814936164</c:v>
                </c:pt>
                <c:pt idx="3">
                  <c:v>0.21511693593944184</c:v>
                </c:pt>
                <c:pt idx="4">
                  <c:v>2.0449666704327189E-2</c:v>
                </c:pt>
                <c:pt idx="5">
                  <c:v>2.2709298384363346E-2</c:v>
                </c:pt>
                <c:pt idx="6">
                  <c:v>0.15760930968252176</c:v>
                </c:pt>
                <c:pt idx="7">
                  <c:v>3.9317591232629082E-2</c:v>
                </c:pt>
                <c:pt idx="8">
                  <c:v>3.7057959552592924E-2</c:v>
                </c:pt>
                <c:pt idx="9">
                  <c:v>2.2257372048356119E-2</c:v>
                </c:pt>
                <c:pt idx="11">
                  <c:v>5.6490792000903837E-4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Kangulumira-Kayunga'!$AE$9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Kangulumira-Kayunga'!$AE$10:$AE$33</c:f>
              <c:numCache>
                <c:formatCode>0</c:formatCode>
                <c:ptCount val="24"/>
                <c:pt idx="0">
                  <c:v>57.571428571428569</c:v>
                </c:pt>
                <c:pt idx="1">
                  <c:v>52.285714285714285</c:v>
                </c:pt>
                <c:pt idx="2">
                  <c:v>60</c:v>
                </c:pt>
                <c:pt idx="3">
                  <c:v>70.142857142857139</c:v>
                </c:pt>
                <c:pt idx="4">
                  <c:v>73.571428571428569</c:v>
                </c:pt>
                <c:pt idx="5">
                  <c:v>73</c:v>
                </c:pt>
                <c:pt idx="6">
                  <c:v>70.714285714285708</c:v>
                </c:pt>
                <c:pt idx="7">
                  <c:v>85</c:v>
                </c:pt>
                <c:pt idx="8">
                  <c:v>90.571428571428555</c:v>
                </c:pt>
                <c:pt idx="9">
                  <c:v>87.285714285714278</c:v>
                </c:pt>
                <c:pt idx="10">
                  <c:v>93.857142857142861</c:v>
                </c:pt>
                <c:pt idx="11">
                  <c:v>101</c:v>
                </c:pt>
                <c:pt idx="12">
                  <c:v>57</c:v>
                </c:pt>
                <c:pt idx="13">
                  <c:v>57</c:v>
                </c:pt>
                <c:pt idx="14">
                  <c:v>52</c:v>
                </c:pt>
                <c:pt idx="15">
                  <c:v>34</c:v>
                </c:pt>
                <c:pt idx="16">
                  <c:v>33</c:v>
                </c:pt>
                <c:pt idx="17">
                  <c:v>34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Kangulumira-Kayunga'!$AF$9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Kangulumira-Kayunga'!$R$10:$R$33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Kangulumira-Kayunga'!$AF$10:$AF$33</c:f>
              <c:numCache>
                <c:formatCode>0</c:formatCode>
                <c:ptCount val="24"/>
                <c:pt idx="0">
                  <c:v>120.28571428571428</c:v>
                </c:pt>
                <c:pt idx="1">
                  <c:v>139.85714285714286</c:v>
                </c:pt>
                <c:pt idx="2">
                  <c:v>146.71428571428572</c:v>
                </c:pt>
                <c:pt idx="3">
                  <c:v>162.57142857142856</c:v>
                </c:pt>
                <c:pt idx="4">
                  <c:v>173.42857142857142</c:v>
                </c:pt>
                <c:pt idx="5">
                  <c:v>177.42857142857142</c:v>
                </c:pt>
                <c:pt idx="6">
                  <c:v>172.28571428571428</c:v>
                </c:pt>
                <c:pt idx="7">
                  <c:v>185.85714285714283</c:v>
                </c:pt>
                <c:pt idx="8">
                  <c:v>187.28571428571431</c:v>
                </c:pt>
                <c:pt idx="9">
                  <c:v>191.85714285714283</c:v>
                </c:pt>
                <c:pt idx="10">
                  <c:v>214.71428571428572</c:v>
                </c:pt>
                <c:pt idx="11">
                  <c:v>227.85714285714289</c:v>
                </c:pt>
                <c:pt idx="12">
                  <c:v>138</c:v>
                </c:pt>
                <c:pt idx="13">
                  <c:v>118</c:v>
                </c:pt>
                <c:pt idx="14">
                  <c:v>99</c:v>
                </c:pt>
                <c:pt idx="15">
                  <c:v>49</c:v>
                </c:pt>
                <c:pt idx="16">
                  <c:v>43</c:v>
                </c:pt>
                <c:pt idx="17">
                  <c:v>35</c:v>
                </c:pt>
                <c:pt idx="18">
                  <c:v>24</c:v>
                </c:pt>
                <c:pt idx="19">
                  <c:v>15</c:v>
                </c:pt>
                <c:pt idx="20">
                  <c:v>11</c:v>
                </c:pt>
                <c:pt idx="21">
                  <c:v>14</c:v>
                </c:pt>
                <c:pt idx="22">
                  <c:v>10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Kangulumira-Kayunga'!$C$107:$N$107</c:f>
              <c:numCache>
                <c:formatCode>0.0%</c:formatCode>
                <c:ptCount val="12"/>
                <c:pt idx="0">
                  <c:v>0.11447130231072303</c:v>
                </c:pt>
                <c:pt idx="1">
                  <c:v>5.0835906719199284E-2</c:v>
                </c:pt>
                <c:pt idx="2">
                  <c:v>7.625386007879878E-2</c:v>
                </c:pt>
                <c:pt idx="3">
                  <c:v>9.4292407624321131E-2</c:v>
                </c:pt>
                <c:pt idx="4">
                  <c:v>8.9979767862847417E-3</c:v>
                </c:pt>
                <c:pt idx="5">
                  <c:v>8.6785219891385365E-3</c:v>
                </c:pt>
                <c:pt idx="6">
                  <c:v>7.5923756788414412E-2</c:v>
                </c:pt>
                <c:pt idx="7">
                  <c:v>1.9380257693536362E-2</c:v>
                </c:pt>
                <c:pt idx="8">
                  <c:v>1.6238952188265356E-2</c:v>
                </c:pt>
                <c:pt idx="9">
                  <c:v>1.1713342562027473E-2</c:v>
                </c:pt>
                <c:pt idx="10">
                  <c:v>0.52294750292833558</c:v>
                </c:pt>
                <c:pt idx="11">
                  <c:v>2.6621233095516978E-4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Kangulumira-Kayunga'!$C$9:$N$9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Kangulumira-Kayunga'!$C$108:$N$108</c:f>
              <c:numCache>
                <c:formatCode>0.00%</c:formatCode>
                <c:ptCount val="12"/>
                <c:pt idx="0">
                  <c:v>0.23995535714285715</c:v>
                </c:pt>
                <c:pt idx="1">
                  <c:v>0.10656250000000012</c:v>
                </c:pt>
                <c:pt idx="2">
                  <c:v>0.15984374999999987</c:v>
                </c:pt>
                <c:pt idx="3">
                  <c:v>0.19765624999999995</c:v>
                </c:pt>
                <c:pt idx="4">
                  <c:v>1.8861607142857145E-2</c:v>
                </c:pt>
                <c:pt idx="5">
                  <c:v>1.8191964285714284E-2</c:v>
                </c:pt>
                <c:pt idx="6">
                  <c:v>0.15915178571428568</c:v>
                </c:pt>
                <c:pt idx="7">
                  <c:v>4.0625000000000001E-2</c:v>
                </c:pt>
                <c:pt idx="8">
                  <c:v>3.4040178571428562E-2</c:v>
                </c:pt>
                <c:pt idx="9">
                  <c:v>2.4553571428571432E-2</c:v>
                </c:pt>
                <c:pt idx="11">
                  <c:v>5.5803571428571425E-4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Kayunga-Kangulumi-2Dir'!$C$9:$N$9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Kayunga-Kangulumi-2Dir'!$C$107:$N$107</c:f>
              <c:numCache>
                <c:formatCode>0.0%</c:formatCode>
                <c:ptCount val="12"/>
                <c:pt idx="0">
                  <c:v>0.11021315548581141</c:v>
                </c:pt>
                <c:pt idx="1">
                  <c:v>4.8280371387472237E-2</c:v>
                </c:pt>
                <c:pt idx="2">
                  <c:v>7.2420557081208259E-2</c:v>
                </c:pt>
                <c:pt idx="3">
                  <c:v>9.6116123970184375E-2</c:v>
                </c:pt>
                <c:pt idx="4">
                  <c:v>9.1539165685889882E-3</c:v>
                </c:pt>
                <c:pt idx="5">
                  <c:v>9.5200732313325473E-3</c:v>
                </c:pt>
                <c:pt idx="6">
                  <c:v>7.3780567542827247E-2</c:v>
                </c:pt>
                <c:pt idx="7">
                  <c:v>1.8621681705243885E-2</c:v>
                </c:pt>
                <c:pt idx="8">
                  <c:v>1.6555511965476655E-2</c:v>
                </c:pt>
                <c:pt idx="9">
                  <c:v>1.0906237740290307E-2</c:v>
                </c:pt>
                <c:pt idx="10">
                  <c:v>0.53417026284817581</c:v>
                </c:pt>
                <c:pt idx="11">
                  <c:v>2.615404733882567E-4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Kayunga-Kangulumi-2Dir'!$C$9:$N$9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Kayunga-Kangulumi-2Dir'!$C$108:$N$108</c:f>
              <c:numCache>
                <c:formatCode>0.00%</c:formatCode>
                <c:ptCount val="12"/>
                <c:pt idx="0">
                  <c:v>0.23659536241648421</c:v>
                </c:pt>
                <c:pt idx="1">
                  <c:v>0.10364381561956103</c:v>
                </c:pt>
                <c:pt idx="2">
                  <c:v>0.15546572342934134</c:v>
                </c:pt>
                <c:pt idx="3">
                  <c:v>0.20633316489809672</c:v>
                </c:pt>
                <c:pt idx="4">
                  <c:v>1.9650777609342543E-2</c:v>
                </c:pt>
                <c:pt idx="5">
                  <c:v>2.0436808713716247E-2</c:v>
                </c:pt>
                <c:pt idx="6">
                  <c:v>0.15838526753130089</c:v>
                </c:pt>
                <c:pt idx="7">
                  <c:v>3.9975296165291122E-2</c:v>
                </c:pt>
                <c:pt idx="8">
                  <c:v>3.5539834933468087E-2</c:v>
                </c:pt>
                <c:pt idx="9">
                  <c:v>2.3412497894559545E-2</c:v>
                </c:pt>
                <c:pt idx="11">
                  <c:v>5.6145078883835825E-4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Kayunga-Kangulumi-2Dir'!$AE$9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Kayunga-Kangulumi-2Dir'!$R$10:$R$33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Kayunga-Kangulumi-2Dir'!$AE$10:$AE$33</c:f>
              <c:numCache>
                <c:formatCode>0</c:formatCode>
                <c:ptCount val="24"/>
                <c:pt idx="0">
                  <c:v>114.71428571428569</c:v>
                </c:pt>
                <c:pt idx="1">
                  <c:v>112.57142857142856</c:v>
                </c:pt>
                <c:pt idx="2">
                  <c:v>124.71428571428571</c:v>
                </c:pt>
                <c:pt idx="3">
                  <c:v>137.85714285714283</c:v>
                </c:pt>
                <c:pt idx="4">
                  <c:v>146.57142857142856</c:v>
                </c:pt>
                <c:pt idx="5">
                  <c:v>154.71428571428572</c:v>
                </c:pt>
                <c:pt idx="6">
                  <c:v>141.85714285714286</c:v>
                </c:pt>
                <c:pt idx="7">
                  <c:v>159.85714285714289</c:v>
                </c:pt>
                <c:pt idx="8">
                  <c:v>164.85714285714286</c:v>
                </c:pt>
                <c:pt idx="9">
                  <c:v>174.14285714285714</c:v>
                </c:pt>
                <c:pt idx="10">
                  <c:v>192.57142857142858</c:v>
                </c:pt>
                <c:pt idx="11">
                  <c:v>192.00000000000003</c:v>
                </c:pt>
                <c:pt idx="12">
                  <c:v>111</c:v>
                </c:pt>
                <c:pt idx="13">
                  <c:v>114</c:v>
                </c:pt>
                <c:pt idx="14">
                  <c:v>104</c:v>
                </c:pt>
                <c:pt idx="15">
                  <c:v>68</c:v>
                </c:pt>
                <c:pt idx="16">
                  <c:v>67</c:v>
                </c:pt>
                <c:pt idx="17">
                  <c:v>68</c:v>
                </c:pt>
                <c:pt idx="18">
                  <c:v>48</c:v>
                </c:pt>
                <c:pt idx="19">
                  <c:v>30</c:v>
                </c:pt>
                <c:pt idx="20">
                  <c:v>22</c:v>
                </c:pt>
                <c:pt idx="21">
                  <c:v>28</c:v>
                </c:pt>
                <c:pt idx="22">
                  <c:v>20</c:v>
                </c:pt>
                <c:pt idx="23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25-4F32-A1D0-C6972BC40648}"/>
            </c:ext>
          </c:extLst>
        </c:ser>
        <c:ser>
          <c:idx val="1"/>
          <c:order val="1"/>
          <c:tx>
            <c:strRef>
              <c:f>'Avg Week Kayunga-Kangulumi-2Dir'!$AF$9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Kayunga-Kangulumi-2Dir'!$R$10:$R$33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Kayunga-Kangulumi-2Dir'!$AF$10:$AF$33</c:f>
              <c:numCache>
                <c:formatCode>0</c:formatCode>
                <c:ptCount val="24"/>
                <c:pt idx="0">
                  <c:v>303</c:v>
                </c:pt>
                <c:pt idx="1">
                  <c:v>332.28571428571433</c:v>
                </c:pt>
                <c:pt idx="2">
                  <c:v>325.85714285714289</c:v>
                </c:pt>
                <c:pt idx="3">
                  <c:v>332.14285714285711</c:v>
                </c:pt>
                <c:pt idx="4">
                  <c:v>350.28571428571433</c:v>
                </c:pt>
                <c:pt idx="5">
                  <c:v>363</c:v>
                </c:pt>
                <c:pt idx="6">
                  <c:v>342</c:v>
                </c:pt>
                <c:pt idx="7">
                  <c:v>352.42857142857144</c:v>
                </c:pt>
                <c:pt idx="8">
                  <c:v>354.71428571428572</c:v>
                </c:pt>
                <c:pt idx="9">
                  <c:v>388.14285714285705</c:v>
                </c:pt>
                <c:pt idx="10">
                  <c:v>435.42857142857144</c:v>
                </c:pt>
                <c:pt idx="11">
                  <c:v>428.85714285714289</c:v>
                </c:pt>
                <c:pt idx="12">
                  <c:v>263</c:v>
                </c:pt>
                <c:pt idx="13">
                  <c:v>241</c:v>
                </c:pt>
                <c:pt idx="14">
                  <c:v>197</c:v>
                </c:pt>
                <c:pt idx="15">
                  <c:v>98</c:v>
                </c:pt>
                <c:pt idx="16">
                  <c:v>81</c:v>
                </c:pt>
                <c:pt idx="17">
                  <c:v>70</c:v>
                </c:pt>
                <c:pt idx="18">
                  <c:v>48</c:v>
                </c:pt>
                <c:pt idx="19">
                  <c:v>30</c:v>
                </c:pt>
                <c:pt idx="20">
                  <c:v>22</c:v>
                </c:pt>
                <c:pt idx="21">
                  <c:v>28</c:v>
                </c:pt>
                <c:pt idx="22">
                  <c:v>20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25-4F32-A1D0-C6972BC40648}"/>
            </c:ext>
          </c:extLst>
        </c:ser>
        <c:ser>
          <c:idx val="5"/>
          <c:order val="2"/>
          <c:tx>
            <c:strRef>
              <c:f>'Avg Week Kayunga-Kangulumi-2Dir'!$AC$9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Kayunga-Kangulumi-2Dir'!$R$10:$R$33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Kayunga-Kangulumi-2Dir'!$AC$10:$AC$33</c:f>
              <c:numCache>
                <c:formatCode>0</c:formatCode>
                <c:ptCount val="24"/>
                <c:pt idx="0">
                  <c:v>188.28571428571428</c:v>
                </c:pt>
                <c:pt idx="1">
                  <c:v>219.71428571428572</c:v>
                </c:pt>
                <c:pt idx="2">
                  <c:v>201.14285714285714</c:v>
                </c:pt>
                <c:pt idx="3">
                  <c:v>194.28571428571428</c:v>
                </c:pt>
                <c:pt idx="4">
                  <c:v>203.71428571428572</c:v>
                </c:pt>
                <c:pt idx="5">
                  <c:v>208.28571428571428</c:v>
                </c:pt>
                <c:pt idx="6">
                  <c:v>200.14285714285717</c:v>
                </c:pt>
                <c:pt idx="7">
                  <c:v>192.57142857142861</c:v>
                </c:pt>
                <c:pt idx="8">
                  <c:v>189.85714285714286</c:v>
                </c:pt>
                <c:pt idx="9">
                  <c:v>214</c:v>
                </c:pt>
                <c:pt idx="10">
                  <c:v>242.85714285714283</c:v>
                </c:pt>
                <c:pt idx="11">
                  <c:v>236.85714285714283</c:v>
                </c:pt>
                <c:pt idx="12">
                  <c:v>152</c:v>
                </c:pt>
                <c:pt idx="13">
                  <c:v>127</c:v>
                </c:pt>
                <c:pt idx="14">
                  <c:v>93</c:v>
                </c:pt>
                <c:pt idx="15">
                  <c:v>30</c:v>
                </c:pt>
                <c:pt idx="16">
                  <c:v>14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5-4F32-A1D0-C6972BC40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'[1]Avg Week Munyonyo-Kibuye-2Dir'!$S$41:$AF$41</c:f>
              <c:numCache>
                <c:formatCode>General</c:formatCode>
                <c:ptCount val="14"/>
                <c:pt idx="0">
                  <c:v>4648.4285714285716</c:v>
                </c:pt>
                <c:pt idx="1">
                  <c:v>1725.2142857142856</c:v>
                </c:pt>
                <c:pt idx="2">
                  <c:v>481.78571428571433</c:v>
                </c:pt>
                <c:pt idx="3">
                  <c:v>5478</c:v>
                </c:pt>
                <c:pt idx="4">
                  <c:v>59.428571428571423</c:v>
                </c:pt>
                <c:pt idx="5">
                  <c:v>12</c:v>
                </c:pt>
                <c:pt idx="6">
                  <c:v>408.64285714285711</c:v>
                </c:pt>
                <c:pt idx="7">
                  <c:v>76.071428571428569</c:v>
                </c:pt>
                <c:pt idx="8">
                  <c:v>66.142857142857139</c:v>
                </c:pt>
                <c:pt idx="9">
                  <c:v>5.0714285714285712</c:v>
                </c:pt>
                <c:pt idx="10">
                  <c:v>22985.285714285714</c:v>
                </c:pt>
                <c:pt idx="11">
                  <c:v>4.1428571428571423</c:v>
                </c:pt>
                <c:pt idx="12">
                  <c:v>12964.928571428572</c:v>
                </c:pt>
                <c:pt idx="13">
                  <c:v>35950.214285714283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9-4049-AA6B-227A88352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'[1]Avg Week Munyonyo-Kibuye-2Dir'!$S$42:$AF$42</c:f>
              <c:numCache>
                <c:formatCode>General</c:formatCode>
                <c:ptCount val="14"/>
                <c:pt idx="0">
                  <c:v>2.206781959986436</c:v>
                </c:pt>
                <c:pt idx="1">
                  <c:v>1.688548657718121</c:v>
                </c:pt>
                <c:pt idx="2">
                  <c:v>1.599099099099099</c:v>
                </c:pt>
                <c:pt idx="3">
                  <c:v>1.7861102054124551</c:v>
                </c:pt>
                <c:pt idx="4">
                  <c:v>1.7777777777777779</c:v>
                </c:pt>
                <c:pt idx="5">
                  <c:v>1.7142857142857142</c:v>
                </c:pt>
                <c:pt idx="6">
                  <c:v>1.2415364583333333</c:v>
                </c:pt>
                <c:pt idx="7">
                  <c:v>1.6511627906976745</c:v>
                </c:pt>
                <c:pt idx="8">
                  <c:v>3.1283783783783781</c:v>
                </c:pt>
                <c:pt idx="9">
                  <c:v>1.109375</c:v>
                </c:pt>
                <c:pt idx="10">
                  <c:v>1.7062429081962693</c:v>
                </c:pt>
                <c:pt idx="11">
                  <c:v>1.3181818181818181</c:v>
                </c:pt>
                <c:pt idx="12">
                  <c:v>1.8678954030440555</c:v>
                </c:pt>
                <c:pt idx="13">
                  <c:v>1.7612108996364222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D13-A3BB-85ABFE44F7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pn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15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png"/><Relationship Id="rId2" Type="http://schemas.openxmlformats.org/officeDocument/2006/relationships/image" Target="../media/image1.emf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png"/><Relationship Id="rId2" Type="http://schemas.openxmlformats.org/officeDocument/2006/relationships/image" Target="../media/image1.emf"/><Relationship Id="rId1" Type="http://schemas.openxmlformats.org/officeDocument/2006/relationships/chart" Target="../charts/chart36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4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3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35835</xdr:colOff>
      <xdr:row>43</xdr:row>
      <xdr:rowOff>22224</xdr:rowOff>
    </xdr:from>
    <xdr:to>
      <xdr:col>28</xdr:col>
      <xdr:colOff>31749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127001</xdr:colOff>
      <xdr:row>58</xdr:row>
      <xdr:rowOff>263525</xdr:rowOff>
    </xdr:from>
    <xdr:to>
      <xdr:col>23</xdr:col>
      <xdr:colOff>1</xdr:colOff>
      <xdr:row>73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59</xdr:row>
      <xdr:rowOff>15875</xdr:rowOff>
    </xdr:from>
    <xdr:to>
      <xdr:col>30</xdr:col>
      <xdr:colOff>127000</xdr:colOff>
      <xdr:row>73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27</xdr:col>
      <xdr:colOff>714374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60</xdr:row>
      <xdr:rowOff>9525</xdr:rowOff>
    </xdr:from>
    <xdr:to>
      <xdr:col>23</xdr:col>
      <xdr:colOff>31751</xdr:colOff>
      <xdr:row>74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60</xdr:row>
      <xdr:rowOff>0</xdr:rowOff>
    </xdr:from>
    <xdr:to>
      <xdr:col>30</xdr:col>
      <xdr:colOff>15875</xdr:colOff>
      <xdr:row>74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59</xdr:row>
      <xdr:rowOff>279400</xdr:rowOff>
    </xdr:from>
    <xdr:to>
      <xdr:col>22</xdr:col>
      <xdr:colOff>698500</xdr:colOff>
      <xdr:row>75</xdr:row>
      <xdr:rowOff>206375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47625</xdr:colOff>
      <xdr:row>75</xdr:row>
      <xdr:rowOff>206375</xdr:rowOff>
    </xdr:from>
    <xdr:to>
      <xdr:col>23</xdr:col>
      <xdr:colOff>0</xdr:colOff>
      <xdr:row>91</xdr:row>
      <xdr:rowOff>238125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186414</xdr:colOff>
      <xdr:row>58</xdr:row>
      <xdr:rowOff>238125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F2D938-22AC-410B-8CA1-B9DAD9949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60</xdr:row>
      <xdr:rowOff>15875</xdr:rowOff>
    </xdr:from>
    <xdr:to>
      <xdr:col>30</xdr:col>
      <xdr:colOff>95250</xdr:colOff>
      <xdr:row>75</xdr:row>
      <xdr:rowOff>222250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53ED13D-ACE4-4100-BBD2-C04F40DE1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714374</xdr:colOff>
      <xdr:row>75</xdr:row>
      <xdr:rowOff>238125</xdr:rowOff>
    </xdr:from>
    <xdr:to>
      <xdr:col>30</xdr:col>
      <xdr:colOff>95249</xdr:colOff>
      <xdr:row>91</xdr:row>
      <xdr:rowOff>252413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C232D3-E86D-4A88-964A-342AC67EF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NT/Desktop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C9" t="str">
            <v>1. Car</v>
          </cell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  <row r="41">
          <cell r="S41">
            <v>4648.4285714285716</v>
          </cell>
          <cell r="T41">
            <v>1725.2142857142856</v>
          </cell>
          <cell r="U41">
            <v>481.78571428571433</v>
          </cell>
          <cell r="V41">
            <v>5478</v>
          </cell>
          <cell r="W41">
            <v>59.428571428571423</v>
          </cell>
          <cell r="X41">
            <v>12</v>
          </cell>
          <cell r="Y41">
            <v>408.64285714285711</v>
          </cell>
          <cell r="Z41">
            <v>76.071428571428569</v>
          </cell>
          <cell r="AA41">
            <v>66.142857142857139</v>
          </cell>
          <cell r="AB41">
            <v>5.0714285714285712</v>
          </cell>
          <cell r="AC41">
            <v>22985.285714285714</v>
          </cell>
          <cell r="AD41">
            <v>4.1428571428571423</v>
          </cell>
          <cell r="AE41">
            <v>12964.928571428572</v>
          </cell>
          <cell r="AF41">
            <v>35950.214285714283</v>
          </cell>
        </row>
        <row r="42">
          <cell r="S42">
            <v>2.206781959986436</v>
          </cell>
          <cell r="T42">
            <v>1.688548657718121</v>
          </cell>
          <cell r="U42">
            <v>1.599099099099099</v>
          </cell>
          <cell r="V42">
            <v>1.7861102054124551</v>
          </cell>
          <cell r="W42">
            <v>1.7777777777777779</v>
          </cell>
          <cell r="X42">
            <v>1.7142857142857142</v>
          </cell>
          <cell r="Y42">
            <v>1.2415364583333333</v>
          </cell>
          <cell r="Z42">
            <v>1.6511627906976745</v>
          </cell>
          <cell r="AA42">
            <v>3.1283783783783781</v>
          </cell>
          <cell r="AB42">
            <v>1.109375</v>
          </cell>
          <cell r="AC42">
            <v>1.7062429081962693</v>
          </cell>
          <cell r="AD42">
            <v>1.3181818181818181</v>
          </cell>
          <cell r="AE42">
            <v>1.8678954030440555</v>
          </cell>
          <cell r="AF42">
            <v>1.7612108996364222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E10" sqref="E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164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57" t="s">
        <v>176</v>
      </c>
      <c r="H5" s="58"/>
      <c r="I5" s="14"/>
      <c r="J5" s="2" t="s">
        <v>5</v>
      </c>
      <c r="K5" s="57" t="s">
        <v>175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167</v>
      </c>
      <c r="H6" s="58"/>
      <c r="J6" s="2" t="s">
        <v>21</v>
      </c>
      <c r="K6" s="57" t="s">
        <v>177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3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26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36</v>
      </c>
      <c r="R10" s="1" t="s">
        <v>6</v>
      </c>
      <c r="S10" s="17">
        <f t="shared" ref="S10:AF10" si="2">SUM(C10:C13)</f>
        <v>18</v>
      </c>
      <c r="T10" s="17">
        <f t="shared" si="2"/>
        <v>0</v>
      </c>
      <c r="U10" s="17">
        <f t="shared" si="2"/>
        <v>13</v>
      </c>
      <c r="V10" s="17">
        <f t="shared" si="2"/>
        <v>20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130</v>
      </c>
      <c r="AD10" s="17">
        <f t="shared" si="2"/>
        <v>0</v>
      </c>
      <c r="AE10" s="31">
        <f t="shared" si="2"/>
        <v>59</v>
      </c>
      <c r="AF10" s="31">
        <f t="shared" si="2"/>
        <v>189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4</v>
      </c>
      <c r="F11" s="50">
        <v>8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16</v>
      </c>
      <c r="P11" s="15">
        <f t="shared" si="1"/>
        <v>44</v>
      </c>
      <c r="R11" s="1" t="s">
        <v>7</v>
      </c>
      <c r="S11" s="17">
        <f t="shared" ref="S11:AF11" si="3">SUM(C14:C17)</f>
        <v>20</v>
      </c>
      <c r="T11" s="17">
        <f t="shared" si="3"/>
        <v>0</v>
      </c>
      <c r="U11" s="17">
        <f t="shared" si="3"/>
        <v>21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155</v>
      </c>
      <c r="AD11" s="17">
        <f t="shared" si="3"/>
        <v>0</v>
      </c>
      <c r="AE11" s="31">
        <f t="shared" si="3"/>
        <v>67</v>
      </c>
      <c r="AF11" s="31">
        <f t="shared" si="3"/>
        <v>222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1</v>
      </c>
      <c r="F12" s="50">
        <v>7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37</v>
      </c>
      <c r="N12" s="50">
        <v>0</v>
      </c>
      <c r="O12" s="15">
        <f t="shared" si="0"/>
        <v>14</v>
      </c>
      <c r="P12" s="15">
        <f t="shared" si="1"/>
        <v>51</v>
      </c>
      <c r="R12" s="1" t="s">
        <v>8</v>
      </c>
      <c r="S12" s="17">
        <f t="shared" ref="S12:AF12" si="4">SUM(C18:C21)</f>
        <v>23</v>
      </c>
      <c r="T12" s="17">
        <f t="shared" si="4"/>
        <v>0</v>
      </c>
      <c r="U12" s="17">
        <f t="shared" si="4"/>
        <v>21</v>
      </c>
      <c r="V12" s="17">
        <f t="shared" si="4"/>
        <v>16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4</v>
      </c>
      <c r="AB12" s="17">
        <f t="shared" si="4"/>
        <v>0</v>
      </c>
      <c r="AC12" s="17">
        <f t="shared" si="4"/>
        <v>126</v>
      </c>
      <c r="AD12" s="17">
        <f t="shared" si="4"/>
        <v>0</v>
      </c>
      <c r="AE12" s="31">
        <f t="shared" si="4"/>
        <v>73</v>
      </c>
      <c r="AF12" s="31">
        <f t="shared" si="4"/>
        <v>199</v>
      </c>
    </row>
    <row r="13" spans="2:32" ht="23.1" customHeight="1" x14ac:dyDescent="0.25">
      <c r="B13" s="23" t="s">
        <v>40</v>
      </c>
      <c r="C13" s="50">
        <v>10</v>
      </c>
      <c r="D13" s="50">
        <v>0</v>
      </c>
      <c r="E13" s="50">
        <v>6</v>
      </c>
      <c r="F13" s="50">
        <v>2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39</v>
      </c>
      <c r="N13" s="50">
        <v>0</v>
      </c>
      <c r="O13" s="15">
        <f t="shared" si="0"/>
        <v>19</v>
      </c>
      <c r="P13" s="15">
        <f t="shared" si="1"/>
        <v>58</v>
      </c>
      <c r="R13" s="1" t="s">
        <v>9</v>
      </c>
      <c r="S13" s="17">
        <f t="shared" ref="S13:AF13" si="5">SUM(C22:C25)</f>
        <v>25</v>
      </c>
      <c r="T13" s="17">
        <f t="shared" si="5"/>
        <v>0</v>
      </c>
      <c r="U13" s="17">
        <f t="shared" si="5"/>
        <v>15</v>
      </c>
      <c r="V13" s="17">
        <f t="shared" si="5"/>
        <v>19</v>
      </c>
      <c r="W13" s="17">
        <f t="shared" si="5"/>
        <v>0</v>
      </c>
      <c r="X13" s="17">
        <f t="shared" si="5"/>
        <v>1</v>
      </c>
      <c r="Y13" s="17">
        <f t="shared" si="5"/>
        <v>9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125</v>
      </c>
      <c r="AD13" s="17">
        <f t="shared" si="5"/>
        <v>0</v>
      </c>
      <c r="AE13" s="31">
        <f t="shared" si="5"/>
        <v>70</v>
      </c>
      <c r="AF13" s="31">
        <f t="shared" si="5"/>
        <v>195</v>
      </c>
    </row>
    <row r="14" spans="2:32" ht="23.1" customHeight="1" x14ac:dyDescent="0.25">
      <c r="B14" s="23" t="s">
        <v>41</v>
      </c>
      <c r="C14" s="50">
        <v>7</v>
      </c>
      <c r="D14" s="50">
        <v>0</v>
      </c>
      <c r="E14" s="50">
        <v>2</v>
      </c>
      <c r="F14" s="50">
        <v>5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40</v>
      </c>
      <c r="N14" s="50">
        <v>0</v>
      </c>
      <c r="O14" s="15">
        <f t="shared" si="0"/>
        <v>16</v>
      </c>
      <c r="P14" s="15">
        <f t="shared" si="1"/>
        <v>56</v>
      </c>
      <c r="R14" s="1" t="s">
        <v>10</v>
      </c>
      <c r="S14" s="17">
        <f t="shared" ref="S14:AF14" si="6">SUM(C26:C29)</f>
        <v>22</v>
      </c>
      <c r="T14" s="17">
        <f t="shared" si="6"/>
        <v>0</v>
      </c>
      <c r="U14" s="17">
        <f t="shared" si="6"/>
        <v>24</v>
      </c>
      <c r="V14" s="17">
        <f t="shared" si="6"/>
        <v>20</v>
      </c>
      <c r="W14" s="17">
        <f t="shared" si="6"/>
        <v>3</v>
      </c>
      <c r="X14" s="17">
        <f t="shared" si="6"/>
        <v>1</v>
      </c>
      <c r="Y14" s="17">
        <f t="shared" si="6"/>
        <v>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134</v>
      </c>
      <c r="AD14" s="17">
        <f t="shared" si="6"/>
        <v>0</v>
      </c>
      <c r="AE14" s="31">
        <f t="shared" si="6"/>
        <v>78</v>
      </c>
      <c r="AF14" s="31">
        <f t="shared" si="6"/>
        <v>212</v>
      </c>
    </row>
    <row r="15" spans="2:32" ht="23.1" customHeight="1" x14ac:dyDescent="0.25">
      <c r="B15" s="23" t="s">
        <v>42</v>
      </c>
      <c r="C15" s="50">
        <v>6</v>
      </c>
      <c r="D15" s="50">
        <v>0</v>
      </c>
      <c r="E15" s="50">
        <v>7</v>
      </c>
      <c r="F15" s="50">
        <v>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37</v>
      </c>
      <c r="N15" s="50">
        <v>0</v>
      </c>
      <c r="O15" s="15">
        <f t="shared" si="0"/>
        <v>18</v>
      </c>
      <c r="P15" s="15">
        <f t="shared" si="1"/>
        <v>55</v>
      </c>
      <c r="R15" s="1" t="s">
        <v>11</v>
      </c>
      <c r="S15" s="17">
        <f t="shared" ref="S15:AF15" si="7">SUM(C30:C33)</f>
        <v>22</v>
      </c>
      <c r="T15" s="17">
        <f t="shared" si="7"/>
        <v>0</v>
      </c>
      <c r="U15" s="17">
        <f t="shared" si="7"/>
        <v>14</v>
      </c>
      <c r="V15" s="17">
        <f t="shared" si="7"/>
        <v>19</v>
      </c>
      <c r="W15" s="17">
        <f t="shared" si="7"/>
        <v>1</v>
      </c>
      <c r="X15" s="17">
        <f t="shared" si="7"/>
        <v>2</v>
      </c>
      <c r="Y15" s="17">
        <f t="shared" si="7"/>
        <v>11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98</v>
      </c>
      <c r="AD15" s="17">
        <f t="shared" si="7"/>
        <v>0</v>
      </c>
      <c r="AE15" s="31">
        <f t="shared" si="7"/>
        <v>73</v>
      </c>
      <c r="AF15" s="31">
        <f t="shared" si="7"/>
        <v>171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8</v>
      </c>
      <c r="F16" s="50">
        <v>7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0</v>
      </c>
      <c r="M16" s="50">
        <v>43</v>
      </c>
      <c r="N16" s="50">
        <v>0</v>
      </c>
      <c r="O16" s="15">
        <f t="shared" si="0"/>
        <v>22</v>
      </c>
      <c r="P16" s="15">
        <f t="shared" si="1"/>
        <v>65</v>
      </c>
      <c r="R16" s="1" t="s">
        <v>12</v>
      </c>
      <c r="S16" s="17">
        <f t="shared" ref="S16:AF16" si="8">SUM(C34:C37)</f>
        <v>12</v>
      </c>
      <c r="T16" s="17">
        <f t="shared" si="8"/>
        <v>0</v>
      </c>
      <c r="U16" s="17">
        <f t="shared" si="8"/>
        <v>12</v>
      </c>
      <c r="V16" s="17">
        <f t="shared" si="8"/>
        <v>17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3</v>
      </c>
      <c r="AA16" s="17">
        <f t="shared" si="8"/>
        <v>1</v>
      </c>
      <c r="AB16" s="17">
        <f t="shared" si="8"/>
        <v>1</v>
      </c>
      <c r="AC16" s="17">
        <f t="shared" si="8"/>
        <v>92</v>
      </c>
      <c r="AD16" s="17">
        <f t="shared" si="8"/>
        <v>0</v>
      </c>
      <c r="AE16" s="31">
        <f t="shared" si="8"/>
        <v>59</v>
      </c>
      <c r="AF16" s="31">
        <f t="shared" si="8"/>
        <v>151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4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11</v>
      </c>
      <c r="P17" s="15">
        <f t="shared" si="1"/>
        <v>46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18</v>
      </c>
      <c r="V17" s="17">
        <f t="shared" si="9"/>
        <v>12</v>
      </c>
      <c r="W17" s="17">
        <f t="shared" si="9"/>
        <v>1</v>
      </c>
      <c r="X17" s="17">
        <f t="shared" si="9"/>
        <v>0</v>
      </c>
      <c r="Y17" s="17">
        <f t="shared" si="9"/>
        <v>12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101</v>
      </c>
      <c r="AD17" s="17">
        <f t="shared" si="9"/>
        <v>0</v>
      </c>
      <c r="AE17" s="31">
        <f t="shared" si="9"/>
        <v>58</v>
      </c>
      <c r="AF17" s="31">
        <f t="shared" si="9"/>
        <v>159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3</v>
      </c>
      <c r="F18" s="50">
        <v>6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18</v>
      </c>
      <c r="P18" s="15">
        <f t="shared" si="1"/>
        <v>42</v>
      </c>
      <c r="R18" s="1" t="s">
        <v>14</v>
      </c>
      <c r="S18" s="17">
        <f t="shared" ref="S18:AF18" si="10">SUM(C42:C45)</f>
        <v>18</v>
      </c>
      <c r="T18" s="17">
        <f t="shared" si="10"/>
        <v>0</v>
      </c>
      <c r="U18" s="17">
        <f t="shared" si="10"/>
        <v>16</v>
      </c>
      <c r="V18" s="17">
        <f t="shared" si="10"/>
        <v>16</v>
      </c>
      <c r="W18" s="17">
        <f t="shared" si="10"/>
        <v>1</v>
      </c>
      <c r="X18" s="17">
        <f t="shared" si="10"/>
        <v>0</v>
      </c>
      <c r="Y18" s="17">
        <f t="shared" si="10"/>
        <v>20</v>
      </c>
      <c r="Z18" s="17">
        <f t="shared" si="10"/>
        <v>1</v>
      </c>
      <c r="AA18" s="17">
        <f t="shared" si="10"/>
        <v>1</v>
      </c>
      <c r="AB18" s="17">
        <f t="shared" si="10"/>
        <v>1</v>
      </c>
      <c r="AC18" s="17">
        <f t="shared" si="10"/>
        <v>107</v>
      </c>
      <c r="AD18" s="17">
        <f t="shared" si="10"/>
        <v>0</v>
      </c>
      <c r="AE18" s="31">
        <f t="shared" si="10"/>
        <v>74</v>
      </c>
      <c r="AF18" s="31">
        <f t="shared" si="10"/>
        <v>181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7</v>
      </c>
      <c r="F19" s="50">
        <v>4</v>
      </c>
      <c r="G19" s="50">
        <v>1</v>
      </c>
      <c r="H19" s="50">
        <v>0</v>
      </c>
      <c r="I19" s="50">
        <v>3</v>
      </c>
      <c r="J19" s="50">
        <v>0</v>
      </c>
      <c r="K19" s="50">
        <v>2</v>
      </c>
      <c r="L19" s="50">
        <v>0</v>
      </c>
      <c r="M19" s="50">
        <v>37</v>
      </c>
      <c r="N19" s="50">
        <v>0</v>
      </c>
      <c r="O19" s="15">
        <f t="shared" si="0"/>
        <v>21</v>
      </c>
      <c r="P19" s="15">
        <f t="shared" si="1"/>
        <v>58</v>
      </c>
      <c r="R19" s="1" t="s">
        <v>15</v>
      </c>
      <c r="S19" s="17">
        <f t="shared" ref="S19:AF19" si="11">SUM(C46:C49)</f>
        <v>24</v>
      </c>
      <c r="T19" s="17">
        <f t="shared" si="11"/>
        <v>0</v>
      </c>
      <c r="U19" s="17">
        <f t="shared" si="11"/>
        <v>24</v>
      </c>
      <c r="V19" s="17">
        <f t="shared" si="11"/>
        <v>26</v>
      </c>
      <c r="W19" s="17">
        <f t="shared" si="11"/>
        <v>1</v>
      </c>
      <c r="X19" s="17">
        <f t="shared" si="11"/>
        <v>1</v>
      </c>
      <c r="Y19" s="17">
        <f t="shared" si="11"/>
        <v>16</v>
      </c>
      <c r="Z19" s="17">
        <f t="shared" si="11"/>
        <v>3</v>
      </c>
      <c r="AA19" s="17">
        <f t="shared" si="11"/>
        <v>1</v>
      </c>
      <c r="AB19" s="17">
        <f t="shared" si="11"/>
        <v>2</v>
      </c>
      <c r="AC19" s="17">
        <f t="shared" si="11"/>
        <v>99</v>
      </c>
      <c r="AD19" s="17">
        <f t="shared" si="11"/>
        <v>0</v>
      </c>
      <c r="AE19" s="31">
        <f t="shared" si="11"/>
        <v>98</v>
      </c>
      <c r="AF19" s="31">
        <f t="shared" si="11"/>
        <v>197</v>
      </c>
    </row>
    <row r="20" spans="2:32" ht="23.1" customHeight="1" x14ac:dyDescent="0.25">
      <c r="B20" s="23" t="s">
        <v>47</v>
      </c>
      <c r="C20" s="50">
        <v>7</v>
      </c>
      <c r="D20" s="50">
        <v>0</v>
      </c>
      <c r="E20" s="50">
        <v>4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32</v>
      </c>
      <c r="N20" s="50">
        <v>0</v>
      </c>
      <c r="O20" s="15">
        <f t="shared" si="0"/>
        <v>14</v>
      </c>
      <c r="P20" s="15">
        <f t="shared" si="1"/>
        <v>46</v>
      </c>
      <c r="R20" s="1" t="s">
        <v>16</v>
      </c>
      <c r="S20" s="17">
        <f t="shared" ref="S20:AF20" si="12">SUM(C50:C53)</f>
        <v>24</v>
      </c>
      <c r="T20" s="17">
        <f t="shared" si="12"/>
        <v>0</v>
      </c>
      <c r="U20" s="17">
        <f t="shared" si="12"/>
        <v>24</v>
      </c>
      <c r="V20" s="17">
        <f t="shared" si="12"/>
        <v>23</v>
      </c>
      <c r="W20" s="17">
        <f t="shared" si="12"/>
        <v>2</v>
      </c>
      <c r="X20" s="17">
        <f t="shared" si="12"/>
        <v>3</v>
      </c>
      <c r="Y20" s="17">
        <f t="shared" si="12"/>
        <v>9</v>
      </c>
      <c r="Z20" s="17">
        <f t="shared" si="12"/>
        <v>3</v>
      </c>
      <c r="AA20" s="17">
        <f t="shared" si="12"/>
        <v>5</v>
      </c>
      <c r="AB20" s="17">
        <f t="shared" si="12"/>
        <v>3</v>
      </c>
      <c r="AC20" s="17">
        <f t="shared" si="12"/>
        <v>129</v>
      </c>
      <c r="AD20" s="17">
        <f t="shared" si="12"/>
        <v>0</v>
      </c>
      <c r="AE20" s="31">
        <f t="shared" si="12"/>
        <v>96</v>
      </c>
      <c r="AF20" s="31">
        <f t="shared" si="12"/>
        <v>225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7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2</v>
      </c>
      <c r="L21" s="50">
        <v>0</v>
      </c>
      <c r="M21" s="50">
        <v>33</v>
      </c>
      <c r="N21" s="50">
        <v>0</v>
      </c>
      <c r="O21" s="15">
        <f t="shared" si="0"/>
        <v>20</v>
      </c>
      <c r="P21" s="15">
        <f t="shared" si="1"/>
        <v>53</v>
      </c>
      <c r="R21" s="36" t="s">
        <v>20</v>
      </c>
      <c r="S21" s="34">
        <f t="shared" ref="S21:AF21" si="13">SUM(C54:C57)</f>
        <v>16</v>
      </c>
      <c r="T21" s="17">
        <f t="shared" si="13"/>
        <v>0</v>
      </c>
      <c r="U21" s="17">
        <f t="shared" si="13"/>
        <v>22</v>
      </c>
      <c r="V21" s="17">
        <f t="shared" si="13"/>
        <v>15</v>
      </c>
      <c r="W21" s="17">
        <f t="shared" si="13"/>
        <v>0</v>
      </c>
      <c r="X21" s="17">
        <f t="shared" si="13"/>
        <v>3</v>
      </c>
      <c r="Y21" s="17">
        <f t="shared" si="13"/>
        <v>15</v>
      </c>
      <c r="Z21" s="17">
        <f t="shared" si="13"/>
        <v>3</v>
      </c>
      <c r="AA21" s="17">
        <f t="shared" si="13"/>
        <v>4</v>
      </c>
      <c r="AB21" s="17">
        <f t="shared" si="13"/>
        <v>0</v>
      </c>
      <c r="AC21" s="17">
        <f t="shared" si="13"/>
        <v>125</v>
      </c>
      <c r="AD21" s="17">
        <f t="shared" si="13"/>
        <v>0</v>
      </c>
      <c r="AE21" s="31">
        <f t="shared" si="13"/>
        <v>78</v>
      </c>
      <c r="AF21" s="31">
        <f t="shared" si="13"/>
        <v>203</v>
      </c>
    </row>
    <row r="22" spans="2:32" ht="23.1" customHeight="1" x14ac:dyDescent="0.25">
      <c r="B22" s="23" t="s">
        <v>49</v>
      </c>
      <c r="C22" s="50">
        <v>10</v>
      </c>
      <c r="D22" s="50">
        <v>0</v>
      </c>
      <c r="E22" s="50">
        <v>7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21</v>
      </c>
      <c r="P22" s="15">
        <f t="shared" si="1"/>
        <v>51</v>
      </c>
      <c r="R22" s="38" t="s">
        <v>90</v>
      </c>
      <c r="S22" s="39">
        <f>MAX(S10:S12)</f>
        <v>23</v>
      </c>
      <c r="T22" s="39">
        <f t="shared" ref="T22:AF22" si="14">MAX(T10:T12)</f>
        <v>0</v>
      </c>
      <c r="U22" s="39">
        <f t="shared" si="14"/>
        <v>21</v>
      </c>
      <c r="V22" s="39">
        <f t="shared" si="14"/>
        <v>20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0</v>
      </c>
      <c r="AA22" s="39">
        <f t="shared" si="14"/>
        <v>4</v>
      </c>
      <c r="AB22" s="39">
        <f t="shared" si="14"/>
        <v>0</v>
      </c>
      <c r="AC22" s="39">
        <f t="shared" si="14"/>
        <v>155</v>
      </c>
      <c r="AD22" s="39">
        <f t="shared" si="14"/>
        <v>0</v>
      </c>
      <c r="AE22" s="40">
        <f t="shared" si="14"/>
        <v>73</v>
      </c>
      <c r="AF22" s="40">
        <f t="shared" si="14"/>
        <v>222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3</v>
      </c>
      <c r="F23" s="50">
        <v>6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37</v>
      </c>
      <c r="N23" s="50">
        <v>0</v>
      </c>
      <c r="O23" s="15">
        <f t="shared" si="0"/>
        <v>15</v>
      </c>
      <c r="P23" s="15">
        <f t="shared" si="1"/>
        <v>52</v>
      </c>
      <c r="R23" s="38" t="s">
        <v>91</v>
      </c>
      <c r="S23" s="39">
        <f>MAX(S13:S18)</f>
        <v>25</v>
      </c>
      <c r="T23" s="39">
        <f t="shared" ref="T23:AF23" si="15">MAX(T13:T18)</f>
        <v>0</v>
      </c>
      <c r="U23" s="39">
        <f t="shared" si="15"/>
        <v>24</v>
      </c>
      <c r="V23" s="39">
        <f t="shared" si="15"/>
        <v>20</v>
      </c>
      <c r="W23" s="39">
        <f t="shared" si="15"/>
        <v>3</v>
      </c>
      <c r="X23" s="39">
        <f t="shared" si="15"/>
        <v>2</v>
      </c>
      <c r="Y23" s="39">
        <f t="shared" si="15"/>
        <v>20</v>
      </c>
      <c r="Z23" s="39">
        <f t="shared" si="15"/>
        <v>3</v>
      </c>
      <c r="AA23" s="39">
        <f t="shared" si="15"/>
        <v>2</v>
      </c>
      <c r="AB23" s="39">
        <f t="shared" si="15"/>
        <v>2</v>
      </c>
      <c r="AC23" s="39">
        <f t="shared" si="15"/>
        <v>134</v>
      </c>
      <c r="AD23" s="39">
        <f t="shared" si="15"/>
        <v>0</v>
      </c>
      <c r="AE23" s="40">
        <f t="shared" si="15"/>
        <v>78</v>
      </c>
      <c r="AF23" s="40">
        <f t="shared" si="15"/>
        <v>212</v>
      </c>
    </row>
    <row r="24" spans="2:32" ht="23.1" customHeight="1" x14ac:dyDescent="0.25">
      <c r="B24" s="23" t="s">
        <v>51</v>
      </c>
      <c r="C24" s="50">
        <v>6</v>
      </c>
      <c r="D24" s="50">
        <v>0</v>
      </c>
      <c r="E24" s="50">
        <v>2</v>
      </c>
      <c r="F24" s="50">
        <v>4</v>
      </c>
      <c r="G24" s="50">
        <v>0</v>
      </c>
      <c r="H24" s="50">
        <v>1</v>
      </c>
      <c r="I24" s="50">
        <v>6</v>
      </c>
      <c r="J24" s="50">
        <v>0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19</v>
      </c>
      <c r="P24" s="15">
        <f t="shared" si="1"/>
        <v>41</v>
      </c>
      <c r="R24" s="38" t="s">
        <v>92</v>
      </c>
      <c r="S24" s="39">
        <f>MAX(S19:S21)</f>
        <v>24</v>
      </c>
      <c r="T24" s="39">
        <f t="shared" ref="T24:AF24" si="16">MAX(T19:T21)</f>
        <v>0</v>
      </c>
      <c r="U24" s="39">
        <f t="shared" si="16"/>
        <v>24</v>
      </c>
      <c r="V24" s="39">
        <f t="shared" si="16"/>
        <v>26</v>
      </c>
      <c r="W24" s="39">
        <f t="shared" si="16"/>
        <v>2</v>
      </c>
      <c r="X24" s="39">
        <f t="shared" si="16"/>
        <v>3</v>
      </c>
      <c r="Y24" s="39">
        <f t="shared" si="16"/>
        <v>16</v>
      </c>
      <c r="Z24" s="39">
        <f t="shared" si="16"/>
        <v>3</v>
      </c>
      <c r="AA24" s="39">
        <f t="shared" si="16"/>
        <v>5</v>
      </c>
      <c r="AB24" s="39">
        <f t="shared" si="16"/>
        <v>3</v>
      </c>
      <c r="AC24" s="39">
        <f t="shared" si="16"/>
        <v>129</v>
      </c>
      <c r="AD24" s="39">
        <f t="shared" si="16"/>
        <v>0</v>
      </c>
      <c r="AE24" s="40">
        <f t="shared" si="16"/>
        <v>98</v>
      </c>
      <c r="AF24" s="40">
        <f t="shared" si="16"/>
        <v>225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3</v>
      </c>
      <c r="F25" s="50">
        <v>6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36</v>
      </c>
      <c r="N25" s="50">
        <v>0</v>
      </c>
      <c r="O25" s="15">
        <f t="shared" si="0"/>
        <v>15</v>
      </c>
      <c r="P25" s="15">
        <f t="shared" si="1"/>
        <v>51</v>
      </c>
      <c r="R25" s="37" t="s">
        <v>85</v>
      </c>
      <c r="S25" s="35">
        <f t="shared" ref="S25:AF25" si="17">SUM(S10:S12)</f>
        <v>61</v>
      </c>
      <c r="T25" s="16">
        <f t="shared" si="17"/>
        <v>0</v>
      </c>
      <c r="U25" s="16">
        <f t="shared" si="17"/>
        <v>55</v>
      </c>
      <c r="V25" s="16">
        <f t="shared" si="17"/>
        <v>55</v>
      </c>
      <c r="W25" s="16">
        <f t="shared" si="17"/>
        <v>2</v>
      </c>
      <c r="X25" s="16">
        <f t="shared" si="17"/>
        <v>0</v>
      </c>
      <c r="Y25" s="16">
        <f t="shared" si="17"/>
        <v>21</v>
      </c>
      <c r="Z25" s="16">
        <f t="shared" si="17"/>
        <v>0</v>
      </c>
      <c r="AA25" s="16">
        <f t="shared" si="17"/>
        <v>5</v>
      </c>
      <c r="AB25" s="16">
        <f t="shared" si="17"/>
        <v>0</v>
      </c>
      <c r="AC25" s="16">
        <f t="shared" si="17"/>
        <v>411</v>
      </c>
      <c r="AD25" s="16">
        <f t="shared" si="17"/>
        <v>0</v>
      </c>
      <c r="AE25" s="32">
        <f t="shared" si="17"/>
        <v>199</v>
      </c>
      <c r="AF25" s="32">
        <f t="shared" si="17"/>
        <v>610</v>
      </c>
    </row>
    <row r="26" spans="2:32" ht="23.1" customHeight="1" x14ac:dyDescent="0.25">
      <c r="B26" s="23" t="s">
        <v>53</v>
      </c>
      <c r="C26" s="50">
        <v>9</v>
      </c>
      <c r="D26" s="50">
        <v>0</v>
      </c>
      <c r="E26" s="50">
        <v>5</v>
      </c>
      <c r="F26" s="50">
        <v>6</v>
      </c>
      <c r="G26" s="50">
        <v>2</v>
      </c>
      <c r="H26" s="50">
        <v>1</v>
      </c>
      <c r="I26" s="50">
        <v>2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25</v>
      </c>
      <c r="P26" s="15">
        <f t="shared" si="1"/>
        <v>65</v>
      </c>
      <c r="R26" s="28" t="s">
        <v>86</v>
      </c>
      <c r="S26" s="16">
        <f t="shared" ref="S26:AF26" si="18">SUM(S13:S18)</f>
        <v>112</v>
      </c>
      <c r="T26" s="16">
        <f t="shared" si="18"/>
        <v>0</v>
      </c>
      <c r="U26" s="16">
        <f t="shared" si="18"/>
        <v>99</v>
      </c>
      <c r="V26" s="16">
        <f t="shared" si="18"/>
        <v>103</v>
      </c>
      <c r="W26" s="16">
        <f t="shared" si="18"/>
        <v>7</v>
      </c>
      <c r="X26" s="16">
        <f t="shared" si="18"/>
        <v>4</v>
      </c>
      <c r="Y26" s="16">
        <f t="shared" si="18"/>
        <v>71</v>
      </c>
      <c r="Z26" s="16">
        <f t="shared" si="18"/>
        <v>7</v>
      </c>
      <c r="AA26" s="16">
        <f t="shared" si="18"/>
        <v>5</v>
      </c>
      <c r="AB26" s="16">
        <f t="shared" si="18"/>
        <v>4</v>
      </c>
      <c r="AC26" s="16">
        <f t="shared" si="18"/>
        <v>657</v>
      </c>
      <c r="AD26" s="16">
        <f t="shared" si="18"/>
        <v>0</v>
      </c>
      <c r="AE26" s="32">
        <f t="shared" si="18"/>
        <v>412</v>
      </c>
      <c r="AF26" s="32">
        <f t="shared" si="18"/>
        <v>1069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8</v>
      </c>
      <c r="F27" s="50">
        <v>4</v>
      </c>
      <c r="G27" s="50">
        <v>1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19</v>
      </c>
      <c r="P27" s="15">
        <f t="shared" si="1"/>
        <v>50</v>
      </c>
      <c r="R27" s="29" t="s">
        <v>87</v>
      </c>
      <c r="S27" s="16">
        <f t="shared" ref="S27:AF27" si="19">SUM(S19:S21)</f>
        <v>64</v>
      </c>
      <c r="T27" s="16">
        <f t="shared" si="19"/>
        <v>0</v>
      </c>
      <c r="U27" s="16">
        <f t="shared" si="19"/>
        <v>70</v>
      </c>
      <c r="V27" s="16">
        <f t="shared" si="19"/>
        <v>64</v>
      </c>
      <c r="W27" s="16">
        <f t="shared" si="19"/>
        <v>3</v>
      </c>
      <c r="X27" s="16">
        <f t="shared" si="19"/>
        <v>7</v>
      </c>
      <c r="Y27" s="16">
        <f t="shared" si="19"/>
        <v>40</v>
      </c>
      <c r="Z27" s="16">
        <f t="shared" si="19"/>
        <v>9</v>
      </c>
      <c r="AA27" s="16">
        <f t="shared" si="19"/>
        <v>10</v>
      </c>
      <c r="AB27" s="16">
        <f t="shared" si="19"/>
        <v>5</v>
      </c>
      <c r="AC27" s="16">
        <f t="shared" si="19"/>
        <v>353</v>
      </c>
      <c r="AD27" s="16">
        <f t="shared" si="19"/>
        <v>0</v>
      </c>
      <c r="AE27" s="32">
        <f t="shared" si="19"/>
        <v>272</v>
      </c>
      <c r="AF27" s="32">
        <f t="shared" si="19"/>
        <v>625</v>
      </c>
    </row>
    <row r="28" spans="2:32" ht="23.1" customHeight="1" x14ac:dyDescent="0.25">
      <c r="B28" s="23" t="s">
        <v>55</v>
      </c>
      <c r="C28" s="50">
        <v>6</v>
      </c>
      <c r="D28" s="50">
        <v>0</v>
      </c>
      <c r="E28" s="50">
        <v>7</v>
      </c>
      <c r="F28" s="50">
        <v>3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36</v>
      </c>
      <c r="N28" s="50">
        <v>0</v>
      </c>
      <c r="O28" s="15">
        <f t="shared" si="0"/>
        <v>18</v>
      </c>
      <c r="P28" s="15">
        <f t="shared" si="1"/>
        <v>54</v>
      </c>
      <c r="R28" s="5" t="s">
        <v>17</v>
      </c>
      <c r="S28" s="16">
        <f t="shared" ref="S28:AF28" si="20">SUM(S10:S21)</f>
        <v>237</v>
      </c>
      <c r="T28" s="16">
        <f t="shared" si="20"/>
        <v>0</v>
      </c>
      <c r="U28" s="16">
        <f t="shared" si="20"/>
        <v>224</v>
      </c>
      <c r="V28" s="16">
        <f t="shared" si="20"/>
        <v>222</v>
      </c>
      <c r="W28" s="16">
        <f t="shared" si="20"/>
        <v>12</v>
      </c>
      <c r="X28" s="16">
        <f t="shared" si="20"/>
        <v>11</v>
      </c>
      <c r="Y28" s="16">
        <f t="shared" si="20"/>
        <v>132</v>
      </c>
      <c r="Z28" s="16">
        <f t="shared" si="20"/>
        <v>16</v>
      </c>
      <c r="AA28" s="16">
        <f t="shared" si="20"/>
        <v>20</v>
      </c>
      <c r="AB28" s="16">
        <f t="shared" si="20"/>
        <v>9</v>
      </c>
      <c r="AC28" s="16">
        <f t="shared" si="20"/>
        <v>1421</v>
      </c>
      <c r="AD28" s="16">
        <f t="shared" si="20"/>
        <v>0</v>
      </c>
      <c r="AE28" s="32">
        <f t="shared" si="20"/>
        <v>883</v>
      </c>
      <c r="AF28" s="32">
        <f t="shared" si="20"/>
        <v>2304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4</v>
      </c>
      <c r="F29" s="50">
        <v>7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16</v>
      </c>
      <c r="P29" s="15">
        <f t="shared" si="1"/>
        <v>43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0</v>
      </c>
      <c r="E30" s="50">
        <v>5</v>
      </c>
      <c r="F30" s="50">
        <v>6</v>
      </c>
      <c r="G30" s="50">
        <v>0</v>
      </c>
      <c r="H30" s="50">
        <v>0</v>
      </c>
      <c r="I30" s="50">
        <v>3</v>
      </c>
      <c r="J30" s="50">
        <v>1</v>
      </c>
      <c r="K30" s="50">
        <v>1</v>
      </c>
      <c r="L30" s="50">
        <v>1</v>
      </c>
      <c r="M30" s="50">
        <v>28</v>
      </c>
      <c r="N30" s="50">
        <v>0</v>
      </c>
      <c r="O30" s="15">
        <f t="shared" si="0"/>
        <v>23</v>
      </c>
      <c r="P30" s="15">
        <f t="shared" si="1"/>
        <v>51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1</v>
      </c>
      <c r="F31" s="50">
        <v>7</v>
      </c>
      <c r="G31" s="50">
        <v>1</v>
      </c>
      <c r="H31" s="50">
        <v>2</v>
      </c>
      <c r="I31" s="50">
        <v>2</v>
      </c>
      <c r="J31" s="50">
        <v>0</v>
      </c>
      <c r="K31" s="50">
        <v>0</v>
      </c>
      <c r="L31" s="50">
        <v>0</v>
      </c>
      <c r="M31" s="50">
        <v>20</v>
      </c>
      <c r="N31" s="50">
        <v>0</v>
      </c>
      <c r="O31" s="15">
        <f t="shared" si="0"/>
        <v>18</v>
      </c>
      <c r="P31" s="15">
        <f t="shared" si="1"/>
        <v>38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13</v>
      </c>
      <c r="P32" s="15">
        <f t="shared" si="1"/>
        <v>45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7</v>
      </c>
      <c r="F33" s="50">
        <v>5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1</v>
      </c>
      <c r="M33" s="50">
        <v>18</v>
      </c>
      <c r="N33" s="50">
        <v>0</v>
      </c>
      <c r="O33" s="15">
        <f t="shared" si="0"/>
        <v>19</v>
      </c>
      <c r="P33" s="15">
        <f t="shared" si="1"/>
        <v>37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3</v>
      </c>
      <c r="G34" s="50">
        <v>0</v>
      </c>
      <c r="H34" s="50">
        <v>0</v>
      </c>
      <c r="I34" s="50">
        <v>6</v>
      </c>
      <c r="J34" s="50">
        <v>0</v>
      </c>
      <c r="K34" s="50">
        <v>1</v>
      </c>
      <c r="L34" s="50">
        <v>0</v>
      </c>
      <c r="M34" s="50">
        <v>21</v>
      </c>
      <c r="N34" s="50">
        <v>0</v>
      </c>
      <c r="O34" s="15">
        <f t="shared" si="0"/>
        <v>11</v>
      </c>
      <c r="P34" s="15">
        <f t="shared" si="1"/>
        <v>32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3</v>
      </c>
      <c r="F35" s="50">
        <v>5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15</v>
      </c>
      <c r="P35" s="15">
        <f t="shared" si="1"/>
        <v>33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3</v>
      </c>
      <c r="F36" s="50">
        <v>3</v>
      </c>
      <c r="G36" s="50">
        <v>1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11</v>
      </c>
      <c r="P36" s="15">
        <f t="shared" si="1"/>
        <v>33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6</v>
      </c>
      <c r="F37" s="50">
        <v>6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1</v>
      </c>
      <c r="M37" s="50">
        <v>31</v>
      </c>
      <c r="N37" s="50">
        <v>0</v>
      </c>
      <c r="O37" s="15">
        <f t="shared" si="0"/>
        <v>22</v>
      </c>
      <c r="P37" s="15">
        <f t="shared" si="1"/>
        <v>53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5</v>
      </c>
      <c r="F38" s="50">
        <v>3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17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5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1</v>
      </c>
      <c r="L39" s="50">
        <v>0</v>
      </c>
      <c r="M39" s="50">
        <v>31</v>
      </c>
      <c r="N39" s="50">
        <v>0</v>
      </c>
      <c r="O39" s="15">
        <f t="shared" si="0"/>
        <v>13</v>
      </c>
      <c r="P39" s="15">
        <f t="shared" si="1"/>
        <v>44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5</v>
      </c>
      <c r="F40" s="50">
        <v>2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12</v>
      </c>
      <c r="P40" s="15">
        <f t="shared" si="1"/>
        <v>33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3</v>
      </c>
      <c r="F41" s="50">
        <v>4</v>
      </c>
      <c r="G41" s="50">
        <v>1</v>
      </c>
      <c r="H41" s="50">
        <v>0</v>
      </c>
      <c r="I41" s="50">
        <v>3</v>
      </c>
      <c r="J41" s="50">
        <v>0</v>
      </c>
      <c r="K41" s="50">
        <v>1</v>
      </c>
      <c r="L41" s="50">
        <v>0</v>
      </c>
      <c r="M41" s="50">
        <v>23</v>
      </c>
      <c r="N41" s="50">
        <v>0</v>
      </c>
      <c r="O41" s="15">
        <f t="shared" si="0"/>
        <v>16</v>
      </c>
      <c r="P41" s="15">
        <f t="shared" si="1"/>
        <v>39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2</v>
      </c>
      <c r="F42" s="50">
        <v>2</v>
      </c>
      <c r="G42" s="50">
        <v>1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26</v>
      </c>
      <c r="N42" s="50">
        <v>0</v>
      </c>
      <c r="O42" s="15">
        <f t="shared" si="0"/>
        <v>15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4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16</v>
      </c>
      <c r="P43" s="15">
        <f t="shared" si="1"/>
        <v>46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6</v>
      </c>
      <c r="F44" s="50">
        <v>4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1</v>
      </c>
      <c r="M44" s="50">
        <v>27</v>
      </c>
      <c r="N44" s="50">
        <v>0</v>
      </c>
      <c r="O44" s="15">
        <f t="shared" si="0"/>
        <v>22</v>
      </c>
      <c r="P44" s="15">
        <f t="shared" si="1"/>
        <v>49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4</v>
      </c>
      <c r="F45" s="50">
        <v>5</v>
      </c>
      <c r="G45" s="50">
        <v>0</v>
      </c>
      <c r="H45" s="50">
        <v>0</v>
      </c>
      <c r="I45" s="50">
        <v>5</v>
      </c>
      <c r="J45" s="50">
        <v>1</v>
      </c>
      <c r="K45" s="50">
        <v>1</v>
      </c>
      <c r="L45" s="50">
        <v>0</v>
      </c>
      <c r="M45" s="50">
        <v>24</v>
      </c>
      <c r="N45" s="50">
        <v>0</v>
      </c>
      <c r="O45" s="15">
        <f t="shared" si="0"/>
        <v>21</v>
      </c>
      <c r="P45" s="15">
        <f t="shared" si="1"/>
        <v>45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6</v>
      </c>
      <c r="F46" s="50">
        <v>8</v>
      </c>
      <c r="G46" s="50">
        <v>0</v>
      </c>
      <c r="H46" s="50">
        <v>0</v>
      </c>
      <c r="I46" s="50">
        <v>3</v>
      </c>
      <c r="J46" s="50">
        <v>0</v>
      </c>
      <c r="K46" s="50">
        <v>1</v>
      </c>
      <c r="L46" s="50">
        <v>0</v>
      </c>
      <c r="M46" s="50">
        <v>13</v>
      </c>
      <c r="N46" s="50">
        <v>0</v>
      </c>
      <c r="O46" s="15">
        <f t="shared" si="0"/>
        <v>24</v>
      </c>
      <c r="P46" s="15">
        <f t="shared" si="1"/>
        <v>37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0</v>
      </c>
      <c r="E47" s="50">
        <v>4</v>
      </c>
      <c r="F47" s="50">
        <v>6</v>
      </c>
      <c r="G47" s="50">
        <v>0</v>
      </c>
      <c r="H47" s="50">
        <v>1</v>
      </c>
      <c r="I47" s="50">
        <v>5</v>
      </c>
      <c r="J47" s="50">
        <v>0</v>
      </c>
      <c r="K47" s="50">
        <v>0</v>
      </c>
      <c r="L47" s="50">
        <v>2</v>
      </c>
      <c r="M47" s="50">
        <v>28</v>
      </c>
      <c r="N47" s="50">
        <v>0</v>
      </c>
      <c r="O47" s="15">
        <f t="shared" si="0"/>
        <v>27</v>
      </c>
      <c r="P47" s="15">
        <f t="shared" si="1"/>
        <v>55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8</v>
      </c>
      <c r="F48" s="50">
        <v>7</v>
      </c>
      <c r="G48" s="50">
        <v>1</v>
      </c>
      <c r="H48" s="50">
        <v>0</v>
      </c>
      <c r="I48" s="50">
        <v>6</v>
      </c>
      <c r="J48" s="50">
        <v>1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27</v>
      </c>
      <c r="P48" s="15">
        <f t="shared" si="1"/>
        <v>58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6</v>
      </c>
      <c r="F49" s="50">
        <v>5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27</v>
      </c>
      <c r="N49" s="50">
        <v>0</v>
      </c>
      <c r="O49" s="15">
        <f t="shared" si="0"/>
        <v>20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5</v>
      </c>
      <c r="F50" s="50">
        <v>5</v>
      </c>
      <c r="G50" s="50">
        <v>0</v>
      </c>
      <c r="H50" s="50">
        <v>0</v>
      </c>
      <c r="I50" s="50">
        <v>2</v>
      </c>
      <c r="J50" s="50">
        <v>1</v>
      </c>
      <c r="K50" s="50">
        <v>2</v>
      </c>
      <c r="L50" s="50">
        <v>2</v>
      </c>
      <c r="M50" s="50">
        <v>39</v>
      </c>
      <c r="N50" s="50">
        <v>0</v>
      </c>
      <c r="O50" s="15">
        <f t="shared" si="0"/>
        <v>23</v>
      </c>
      <c r="P50" s="15">
        <f t="shared" si="1"/>
        <v>62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0</v>
      </c>
      <c r="E51" s="50">
        <v>5</v>
      </c>
      <c r="F51" s="50">
        <v>9</v>
      </c>
      <c r="G51" s="50">
        <v>0</v>
      </c>
      <c r="H51" s="50">
        <v>1</v>
      </c>
      <c r="I51" s="50">
        <v>4</v>
      </c>
      <c r="J51" s="50">
        <v>2</v>
      </c>
      <c r="K51" s="50">
        <v>1</v>
      </c>
      <c r="L51" s="50">
        <v>1</v>
      </c>
      <c r="M51" s="50">
        <v>18</v>
      </c>
      <c r="N51" s="50">
        <v>0</v>
      </c>
      <c r="O51" s="15">
        <f t="shared" si="0"/>
        <v>32</v>
      </c>
      <c r="P51" s="15">
        <f t="shared" si="1"/>
        <v>50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5</v>
      </c>
      <c r="F52" s="50">
        <v>4</v>
      </c>
      <c r="G52" s="50">
        <v>1</v>
      </c>
      <c r="H52" s="50">
        <v>1</v>
      </c>
      <c r="I52" s="50">
        <v>1</v>
      </c>
      <c r="J52" s="50">
        <v>0</v>
      </c>
      <c r="K52" s="50">
        <v>2</v>
      </c>
      <c r="L52" s="50">
        <v>0</v>
      </c>
      <c r="M52" s="50">
        <v>29</v>
      </c>
      <c r="N52" s="50">
        <v>0</v>
      </c>
      <c r="O52" s="15">
        <f t="shared" si="0"/>
        <v>17</v>
      </c>
      <c r="P52" s="15">
        <f t="shared" si="1"/>
        <v>46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9</v>
      </c>
      <c r="F53" s="50">
        <v>5</v>
      </c>
      <c r="G53" s="50">
        <v>1</v>
      </c>
      <c r="H53" s="50">
        <v>1</v>
      </c>
      <c r="I53" s="50">
        <v>2</v>
      </c>
      <c r="J53" s="50">
        <v>0</v>
      </c>
      <c r="K53" s="50">
        <v>0</v>
      </c>
      <c r="L53" s="50">
        <v>0</v>
      </c>
      <c r="M53" s="50">
        <v>43</v>
      </c>
      <c r="N53" s="50">
        <v>0</v>
      </c>
      <c r="O53" s="15">
        <f t="shared" si="0"/>
        <v>24</v>
      </c>
      <c r="P53" s="15">
        <f t="shared" si="1"/>
        <v>67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4</v>
      </c>
      <c r="F54" s="50">
        <v>2</v>
      </c>
      <c r="G54" s="50">
        <v>0</v>
      </c>
      <c r="H54" s="50">
        <v>2</v>
      </c>
      <c r="I54" s="50">
        <v>4</v>
      </c>
      <c r="J54" s="50">
        <v>0</v>
      </c>
      <c r="K54" s="50">
        <v>0</v>
      </c>
      <c r="L54" s="50">
        <v>0</v>
      </c>
      <c r="M54" s="50">
        <v>33</v>
      </c>
      <c r="N54" s="50">
        <v>0</v>
      </c>
      <c r="O54" s="15">
        <f t="shared" si="0"/>
        <v>17</v>
      </c>
      <c r="P54" s="15">
        <f t="shared" si="1"/>
        <v>50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7</v>
      </c>
      <c r="F55" s="50">
        <v>8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38</v>
      </c>
      <c r="N55" s="50">
        <v>0</v>
      </c>
      <c r="O55" s="15">
        <f t="shared" si="0"/>
        <v>25</v>
      </c>
      <c r="P55" s="15">
        <f t="shared" si="1"/>
        <v>63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6</v>
      </c>
      <c r="F56" s="50">
        <v>3</v>
      </c>
      <c r="G56" s="50">
        <v>0</v>
      </c>
      <c r="H56" s="50">
        <v>0</v>
      </c>
      <c r="I56" s="50">
        <v>2</v>
      </c>
      <c r="J56" s="50">
        <v>1</v>
      </c>
      <c r="K56" s="50">
        <v>2</v>
      </c>
      <c r="L56" s="50">
        <v>0</v>
      </c>
      <c r="M56" s="50">
        <v>26</v>
      </c>
      <c r="N56" s="50">
        <v>0</v>
      </c>
      <c r="O56" s="15">
        <f t="shared" si="0"/>
        <v>18</v>
      </c>
      <c r="P56" s="15">
        <f t="shared" si="1"/>
        <v>44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5</v>
      </c>
      <c r="F57" s="50">
        <v>2</v>
      </c>
      <c r="G57" s="50">
        <v>0</v>
      </c>
      <c r="H57" s="50">
        <v>1</v>
      </c>
      <c r="I57" s="50">
        <v>5</v>
      </c>
      <c r="J57" s="50">
        <v>1</v>
      </c>
      <c r="K57" s="50">
        <v>2</v>
      </c>
      <c r="L57" s="50">
        <v>0</v>
      </c>
      <c r="M57" s="50">
        <v>28</v>
      </c>
      <c r="N57" s="50">
        <v>0</v>
      </c>
      <c r="O57" s="15">
        <f t="shared" si="0"/>
        <v>18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237</v>
      </c>
      <c r="D58" s="16">
        <f t="shared" si="21"/>
        <v>0</v>
      </c>
      <c r="E58" s="16">
        <f t="shared" si="21"/>
        <v>224</v>
      </c>
      <c r="F58" s="16">
        <f t="shared" si="21"/>
        <v>222</v>
      </c>
      <c r="G58" s="16">
        <f t="shared" si="21"/>
        <v>12</v>
      </c>
      <c r="H58" s="16">
        <f t="shared" si="21"/>
        <v>11</v>
      </c>
      <c r="I58" s="16">
        <f t="shared" si="21"/>
        <v>132</v>
      </c>
      <c r="J58" s="16">
        <f t="shared" si="21"/>
        <v>16</v>
      </c>
      <c r="K58" s="16">
        <f t="shared" si="21"/>
        <v>20</v>
      </c>
      <c r="L58" s="16">
        <f t="shared" si="21"/>
        <v>9</v>
      </c>
      <c r="M58" s="16">
        <f t="shared" si="21"/>
        <v>1421</v>
      </c>
      <c r="N58" s="16">
        <f t="shared" si="21"/>
        <v>0</v>
      </c>
      <c r="O58" s="16">
        <f t="shared" si="21"/>
        <v>883</v>
      </c>
      <c r="P58" s="16">
        <f t="shared" si="21"/>
        <v>2304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0.10286458333333333</v>
      </c>
      <c r="D59" s="43">
        <f t="shared" si="22"/>
        <v>0</v>
      </c>
      <c r="E59" s="43">
        <f t="shared" si="22"/>
        <v>9.7222222222222224E-2</v>
      </c>
      <c r="F59" s="43">
        <f t="shared" si="22"/>
        <v>9.6354166666666671E-2</v>
      </c>
      <c r="G59" s="43">
        <f t="shared" si="22"/>
        <v>5.208333333333333E-3</v>
      </c>
      <c r="H59" s="43">
        <f t="shared" si="22"/>
        <v>4.7743055555555559E-3</v>
      </c>
      <c r="I59" s="43">
        <f t="shared" si="22"/>
        <v>5.7291666666666664E-2</v>
      </c>
      <c r="J59" s="43">
        <f t="shared" si="22"/>
        <v>6.9444444444444441E-3</v>
      </c>
      <c r="K59" s="43">
        <f t="shared" si="22"/>
        <v>8.6805555555555559E-3</v>
      </c>
      <c r="L59" s="43">
        <f t="shared" si="22"/>
        <v>3.90625E-3</v>
      </c>
      <c r="M59" s="43">
        <f t="shared" si="22"/>
        <v>0.61675347222222221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0.26840317100792754</v>
      </c>
      <c r="D60" s="44">
        <f t="shared" ref="D60:N60" si="23">D58/$O$58</f>
        <v>0</v>
      </c>
      <c r="E60" s="44">
        <f t="shared" si="23"/>
        <v>0.25368063420158549</v>
      </c>
      <c r="F60" s="44">
        <f t="shared" si="23"/>
        <v>0.25141562853907135</v>
      </c>
      <c r="G60" s="44">
        <f t="shared" si="23"/>
        <v>1.3590033975084938E-2</v>
      </c>
      <c r="H60" s="44">
        <f t="shared" si="23"/>
        <v>1.245753114382786E-2</v>
      </c>
      <c r="I60" s="44">
        <f t="shared" si="23"/>
        <v>0.14949037372593432</v>
      </c>
      <c r="J60" s="44">
        <f t="shared" si="23"/>
        <v>1.8120045300113252E-2</v>
      </c>
      <c r="K60" s="44">
        <f t="shared" si="23"/>
        <v>2.2650056625141562E-2</v>
      </c>
      <c r="L60" s="44">
        <f t="shared" si="23"/>
        <v>1.0192525481313703E-2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16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'20.8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3" t="str">
        <f>'25.8 Kayunga-Kangulumira'!G5:H5</f>
        <v>Kayunga</v>
      </c>
      <c r="H5" s="64"/>
      <c r="I5" s="14"/>
      <c r="J5" s="2" t="s">
        <v>5</v>
      </c>
      <c r="K5" s="63" t="str">
        <f>'25.8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'25.8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3</v>
      </c>
      <c r="F10" s="50">
        <v>4</v>
      </c>
      <c r="G10" s="50">
        <v>0</v>
      </c>
      <c r="H10" s="50">
        <v>0</v>
      </c>
      <c r="I10" s="50">
        <v>3</v>
      </c>
      <c r="J10" s="50">
        <v>2</v>
      </c>
      <c r="K10" s="50">
        <v>1</v>
      </c>
      <c r="L10" s="50">
        <v>0</v>
      </c>
      <c r="M10" s="50">
        <v>8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25</v>
      </c>
      <c r="R10" s="1" t="s">
        <v>6</v>
      </c>
      <c r="S10" s="17">
        <f t="shared" ref="S10:AF10" si="2">SUM(C10:C13)</f>
        <v>18</v>
      </c>
      <c r="T10" s="17">
        <f t="shared" si="2"/>
        <v>0</v>
      </c>
      <c r="U10" s="17">
        <f t="shared" si="2"/>
        <v>10</v>
      </c>
      <c r="V10" s="17">
        <f t="shared" si="2"/>
        <v>15</v>
      </c>
      <c r="W10" s="17">
        <f t="shared" si="2"/>
        <v>2</v>
      </c>
      <c r="X10" s="17">
        <f t="shared" si="2"/>
        <v>1</v>
      </c>
      <c r="Y10" s="17">
        <f t="shared" si="2"/>
        <v>9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52</v>
      </c>
      <c r="AD10" s="17">
        <f t="shared" si="2"/>
        <v>0</v>
      </c>
      <c r="AE10" s="31">
        <f t="shared" si="2"/>
        <v>59</v>
      </c>
      <c r="AF10" s="31">
        <f t="shared" si="2"/>
        <v>111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2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9</v>
      </c>
      <c r="P11" s="15">
        <f t="shared" si="1"/>
        <v>16</v>
      </c>
      <c r="R11" s="1" t="s">
        <v>7</v>
      </c>
      <c r="S11" s="17">
        <f t="shared" ref="S11:AF11" si="3">SUM(C14:C17)</f>
        <v>23</v>
      </c>
      <c r="T11" s="17">
        <f t="shared" si="3"/>
        <v>0</v>
      </c>
      <c r="U11" s="17">
        <f t="shared" si="3"/>
        <v>10</v>
      </c>
      <c r="V11" s="17">
        <f t="shared" si="3"/>
        <v>13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4</v>
      </c>
      <c r="AA11" s="17">
        <f t="shared" si="3"/>
        <v>0</v>
      </c>
      <c r="AB11" s="17">
        <f t="shared" si="3"/>
        <v>1</v>
      </c>
      <c r="AC11" s="17">
        <f t="shared" si="3"/>
        <v>100</v>
      </c>
      <c r="AD11" s="17">
        <f t="shared" si="3"/>
        <v>0</v>
      </c>
      <c r="AE11" s="31">
        <f t="shared" si="3"/>
        <v>58</v>
      </c>
      <c r="AF11" s="31">
        <f t="shared" si="3"/>
        <v>158</v>
      </c>
    </row>
    <row r="12" spans="2:32" ht="23.1" customHeight="1" x14ac:dyDescent="0.25">
      <c r="B12" s="23" t="s">
        <v>39</v>
      </c>
      <c r="C12" s="50">
        <v>7</v>
      </c>
      <c r="D12" s="50">
        <v>0</v>
      </c>
      <c r="E12" s="50">
        <v>4</v>
      </c>
      <c r="F12" s="50">
        <v>5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18</v>
      </c>
      <c r="P12" s="15">
        <f t="shared" si="1"/>
        <v>33</v>
      </c>
      <c r="R12" s="1" t="s">
        <v>8</v>
      </c>
      <c r="S12" s="17">
        <f t="shared" ref="S12:AF12" si="4">SUM(C18:C21)</f>
        <v>19</v>
      </c>
      <c r="T12" s="17">
        <f t="shared" si="4"/>
        <v>0</v>
      </c>
      <c r="U12" s="17">
        <f t="shared" si="4"/>
        <v>16</v>
      </c>
      <c r="V12" s="17">
        <f t="shared" si="4"/>
        <v>15</v>
      </c>
      <c r="W12" s="17">
        <f t="shared" si="4"/>
        <v>1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2</v>
      </c>
      <c r="AC12" s="17">
        <f t="shared" si="4"/>
        <v>111</v>
      </c>
      <c r="AD12" s="17">
        <f t="shared" si="4"/>
        <v>0</v>
      </c>
      <c r="AE12" s="31">
        <f t="shared" si="4"/>
        <v>60</v>
      </c>
      <c r="AF12" s="31">
        <f t="shared" si="4"/>
        <v>171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1</v>
      </c>
      <c r="F13" s="50">
        <v>3</v>
      </c>
      <c r="G13" s="50">
        <v>1</v>
      </c>
      <c r="H13" s="50">
        <v>1</v>
      </c>
      <c r="I13" s="50">
        <v>4</v>
      </c>
      <c r="J13" s="50">
        <v>1</v>
      </c>
      <c r="K13" s="50">
        <v>0</v>
      </c>
      <c r="L13" s="50">
        <v>0</v>
      </c>
      <c r="M13" s="50">
        <v>22</v>
      </c>
      <c r="N13" s="50">
        <v>0</v>
      </c>
      <c r="O13" s="15">
        <f t="shared" si="0"/>
        <v>15</v>
      </c>
      <c r="P13" s="15">
        <f t="shared" si="1"/>
        <v>37</v>
      </c>
      <c r="R13" s="1" t="s">
        <v>9</v>
      </c>
      <c r="S13" s="17">
        <f t="shared" ref="S13:AF13" si="5">SUM(C22:C25)</f>
        <v>18</v>
      </c>
      <c r="T13" s="17">
        <f t="shared" si="5"/>
        <v>0</v>
      </c>
      <c r="U13" s="17">
        <f t="shared" si="5"/>
        <v>8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2</v>
      </c>
      <c r="AA13" s="17">
        <f t="shared" si="5"/>
        <v>2</v>
      </c>
      <c r="AB13" s="17">
        <f t="shared" si="5"/>
        <v>2</v>
      </c>
      <c r="AC13" s="17">
        <f t="shared" si="5"/>
        <v>109</v>
      </c>
      <c r="AD13" s="17">
        <f t="shared" si="5"/>
        <v>0</v>
      </c>
      <c r="AE13" s="31">
        <f t="shared" si="5"/>
        <v>59</v>
      </c>
      <c r="AF13" s="31">
        <f t="shared" si="5"/>
        <v>168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1</v>
      </c>
      <c r="F14" s="50">
        <v>4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12</v>
      </c>
      <c r="P14" s="15">
        <f t="shared" si="1"/>
        <v>40</v>
      </c>
      <c r="R14" s="1" t="s">
        <v>10</v>
      </c>
      <c r="S14" s="17">
        <f t="shared" ref="S14:AF14" si="6">SUM(C26:C29)</f>
        <v>21</v>
      </c>
      <c r="T14" s="17">
        <f t="shared" si="6"/>
        <v>0</v>
      </c>
      <c r="U14" s="17">
        <f t="shared" si="6"/>
        <v>21</v>
      </c>
      <c r="V14" s="17">
        <f t="shared" si="6"/>
        <v>19</v>
      </c>
      <c r="W14" s="17">
        <f t="shared" si="6"/>
        <v>2</v>
      </c>
      <c r="X14" s="17">
        <f t="shared" si="6"/>
        <v>1</v>
      </c>
      <c r="Y14" s="17">
        <f t="shared" si="6"/>
        <v>9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116</v>
      </c>
      <c r="AD14" s="17">
        <f t="shared" si="6"/>
        <v>0</v>
      </c>
      <c r="AE14" s="31">
        <f t="shared" si="6"/>
        <v>76</v>
      </c>
      <c r="AF14" s="31">
        <f t="shared" si="6"/>
        <v>192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4</v>
      </c>
      <c r="F15" s="50">
        <v>3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23</v>
      </c>
      <c r="N15" s="50">
        <v>0</v>
      </c>
      <c r="O15" s="15">
        <f t="shared" si="0"/>
        <v>16</v>
      </c>
      <c r="P15" s="15">
        <f t="shared" si="1"/>
        <v>39</v>
      </c>
      <c r="R15" s="1" t="s">
        <v>11</v>
      </c>
      <c r="S15" s="17">
        <f t="shared" ref="S15:AF15" si="7">SUM(C30:C33)</f>
        <v>23</v>
      </c>
      <c r="T15" s="17">
        <f t="shared" si="7"/>
        <v>0</v>
      </c>
      <c r="U15" s="17">
        <f t="shared" si="7"/>
        <v>12</v>
      </c>
      <c r="V15" s="17">
        <f t="shared" si="7"/>
        <v>15</v>
      </c>
      <c r="W15" s="17">
        <f t="shared" si="7"/>
        <v>0</v>
      </c>
      <c r="X15" s="17">
        <f t="shared" si="7"/>
        <v>1</v>
      </c>
      <c r="Y15" s="17">
        <f t="shared" si="7"/>
        <v>13</v>
      </c>
      <c r="Z15" s="17">
        <f t="shared" si="7"/>
        <v>1</v>
      </c>
      <c r="AA15" s="17">
        <f t="shared" si="7"/>
        <v>2</v>
      </c>
      <c r="AB15" s="17">
        <f t="shared" si="7"/>
        <v>1</v>
      </c>
      <c r="AC15" s="17">
        <f t="shared" si="7"/>
        <v>118</v>
      </c>
      <c r="AD15" s="17">
        <f t="shared" si="7"/>
        <v>0</v>
      </c>
      <c r="AE15" s="31">
        <f t="shared" si="7"/>
        <v>68</v>
      </c>
      <c r="AF15" s="31">
        <f t="shared" si="7"/>
        <v>186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3</v>
      </c>
      <c r="F16" s="50">
        <v>4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1</v>
      </c>
      <c r="M16" s="50">
        <v>28</v>
      </c>
      <c r="N16" s="50">
        <v>0</v>
      </c>
      <c r="O16" s="15">
        <f t="shared" si="0"/>
        <v>18</v>
      </c>
      <c r="P16" s="15">
        <f t="shared" si="1"/>
        <v>46</v>
      </c>
      <c r="R16" s="1" t="s">
        <v>12</v>
      </c>
      <c r="S16" s="17">
        <f t="shared" ref="S16:AF16" si="8">SUM(C34:C37)</f>
        <v>24</v>
      </c>
      <c r="T16" s="17">
        <f t="shared" si="8"/>
        <v>0</v>
      </c>
      <c r="U16" s="17">
        <f t="shared" si="8"/>
        <v>9</v>
      </c>
      <c r="V16" s="17">
        <f t="shared" si="8"/>
        <v>18</v>
      </c>
      <c r="W16" s="17">
        <f t="shared" si="8"/>
        <v>0</v>
      </c>
      <c r="X16" s="17">
        <f t="shared" si="8"/>
        <v>1</v>
      </c>
      <c r="Y16" s="17">
        <f t="shared" si="8"/>
        <v>15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106</v>
      </c>
      <c r="AD16" s="17">
        <f t="shared" si="8"/>
        <v>0</v>
      </c>
      <c r="AE16" s="31">
        <f t="shared" si="8"/>
        <v>71</v>
      </c>
      <c r="AF16" s="31">
        <f t="shared" si="8"/>
        <v>177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12</v>
      </c>
      <c r="P17" s="15">
        <f t="shared" si="1"/>
        <v>33</v>
      </c>
      <c r="R17" s="1" t="s">
        <v>13</v>
      </c>
      <c r="S17" s="17">
        <f t="shared" ref="S17:AF17" si="9">SUM(C38:C41)</f>
        <v>27</v>
      </c>
      <c r="T17" s="17">
        <f t="shared" si="9"/>
        <v>0</v>
      </c>
      <c r="U17" s="17">
        <f t="shared" si="9"/>
        <v>16</v>
      </c>
      <c r="V17" s="17">
        <f t="shared" si="9"/>
        <v>15</v>
      </c>
      <c r="W17" s="17">
        <f t="shared" si="9"/>
        <v>2</v>
      </c>
      <c r="X17" s="17">
        <f t="shared" si="9"/>
        <v>0</v>
      </c>
      <c r="Y17" s="17">
        <f t="shared" si="9"/>
        <v>13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105</v>
      </c>
      <c r="AD17" s="17">
        <f t="shared" si="9"/>
        <v>0</v>
      </c>
      <c r="AE17" s="31">
        <f t="shared" si="9"/>
        <v>75</v>
      </c>
      <c r="AF17" s="31">
        <f t="shared" si="9"/>
        <v>180</v>
      </c>
    </row>
    <row r="18" spans="2:32" ht="23.1" customHeight="1" x14ac:dyDescent="0.25">
      <c r="B18" s="23" t="s">
        <v>45</v>
      </c>
      <c r="C18" s="50">
        <v>7</v>
      </c>
      <c r="D18" s="50">
        <v>0</v>
      </c>
      <c r="E18" s="50">
        <v>3</v>
      </c>
      <c r="F18" s="50">
        <v>6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18</v>
      </c>
      <c r="P18" s="15">
        <f t="shared" si="1"/>
        <v>54</v>
      </c>
      <c r="R18" s="1" t="s">
        <v>14</v>
      </c>
      <c r="S18" s="17">
        <f t="shared" ref="S18:AF18" si="10">SUM(C42:C45)</f>
        <v>24</v>
      </c>
      <c r="T18" s="17">
        <f t="shared" si="10"/>
        <v>0</v>
      </c>
      <c r="U18" s="17">
        <f t="shared" si="10"/>
        <v>12</v>
      </c>
      <c r="V18" s="17">
        <f t="shared" si="10"/>
        <v>17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1</v>
      </c>
      <c r="AA18" s="17">
        <f t="shared" si="10"/>
        <v>1</v>
      </c>
      <c r="AB18" s="17">
        <f t="shared" si="10"/>
        <v>1</v>
      </c>
      <c r="AC18" s="17">
        <f t="shared" si="10"/>
        <v>101</v>
      </c>
      <c r="AD18" s="17">
        <f t="shared" si="10"/>
        <v>0</v>
      </c>
      <c r="AE18" s="31">
        <f t="shared" si="10"/>
        <v>69</v>
      </c>
      <c r="AF18" s="31">
        <f t="shared" si="10"/>
        <v>170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5</v>
      </c>
      <c r="F19" s="50">
        <v>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1</v>
      </c>
      <c r="M19" s="50">
        <v>23</v>
      </c>
      <c r="N19" s="50">
        <v>0</v>
      </c>
      <c r="O19" s="15">
        <f t="shared" si="0"/>
        <v>14</v>
      </c>
      <c r="P19" s="15">
        <f t="shared" si="1"/>
        <v>37</v>
      </c>
      <c r="R19" s="1" t="s">
        <v>15</v>
      </c>
      <c r="S19" s="17">
        <f t="shared" ref="S19:AF19" si="11">SUM(C46:C49)</f>
        <v>23</v>
      </c>
      <c r="T19" s="17">
        <f t="shared" si="11"/>
        <v>0</v>
      </c>
      <c r="U19" s="17">
        <f t="shared" si="11"/>
        <v>12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1</v>
      </c>
      <c r="AA19" s="17">
        <f t="shared" si="11"/>
        <v>3</v>
      </c>
      <c r="AB19" s="17">
        <f t="shared" si="11"/>
        <v>1</v>
      </c>
      <c r="AC19" s="17">
        <f t="shared" si="11"/>
        <v>101</v>
      </c>
      <c r="AD19" s="17">
        <f t="shared" si="11"/>
        <v>0</v>
      </c>
      <c r="AE19" s="31">
        <f t="shared" si="11"/>
        <v>70</v>
      </c>
      <c r="AF19" s="31">
        <f t="shared" si="11"/>
        <v>171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5</v>
      </c>
      <c r="F20" s="50">
        <v>2</v>
      </c>
      <c r="G20" s="50">
        <v>1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15</v>
      </c>
      <c r="P20" s="15">
        <f t="shared" si="1"/>
        <v>39</v>
      </c>
      <c r="R20" s="1" t="s">
        <v>16</v>
      </c>
      <c r="S20" s="17">
        <f t="shared" ref="S20:AF20" si="12">SUM(C50:C53)</f>
        <v>23</v>
      </c>
      <c r="T20" s="17">
        <f t="shared" si="12"/>
        <v>0</v>
      </c>
      <c r="U20" s="17">
        <f t="shared" si="12"/>
        <v>26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13</v>
      </c>
      <c r="Z20" s="17">
        <f t="shared" si="12"/>
        <v>3</v>
      </c>
      <c r="AA20" s="17">
        <f t="shared" si="12"/>
        <v>3</v>
      </c>
      <c r="AB20" s="17">
        <f t="shared" si="12"/>
        <v>1</v>
      </c>
      <c r="AC20" s="17">
        <f t="shared" si="12"/>
        <v>125</v>
      </c>
      <c r="AD20" s="17">
        <f t="shared" si="12"/>
        <v>0</v>
      </c>
      <c r="AE20" s="31">
        <f t="shared" si="12"/>
        <v>83</v>
      </c>
      <c r="AF20" s="31">
        <f t="shared" si="12"/>
        <v>208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3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28</v>
      </c>
      <c r="N21" s="50">
        <v>0</v>
      </c>
      <c r="O21" s="15">
        <f t="shared" si="0"/>
        <v>13</v>
      </c>
      <c r="P21" s="15">
        <f t="shared" si="1"/>
        <v>41</v>
      </c>
      <c r="R21" s="36" t="s">
        <v>20</v>
      </c>
      <c r="S21" s="34">
        <f t="shared" ref="S21:AF21" si="13">SUM(C54:C57)</f>
        <v>27</v>
      </c>
      <c r="T21" s="17">
        <f t="shared" si="13"/>
        <v>0</v>
      </c>
      <c r="U21" s="17">
        <f t="shared" si="13"/>
        <v>23</v>
      </c>
      <c r="V21" s="17">
        <f t="shared" si="13"/>
        <v>22</v>
      </c>
      <c r="W21" s="17">
        <f t="shared" si="13"/>
        <v>1</v>
      </c>
      <c r="X21" s="17">
        <f t="shared" si="13"/>
        <v>0</v>
      </c>
      <c r="Y21" s="17">
        <f t="shared" si="13"/>
        <v>23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132</v>
      </c>
      <c r="AD21" s="17">
        <f t="shared" si="13"/>
        <v>0</v>
      </c>
      <c r="AE21" s="31">
        <f t="shared" si="13"/>
        <v>97</v>
      </c>
      <c r="AF21" s="31">
        <f t="shared" si="13"/>
        <v>229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1</v>
      </c>
      <c r="M22" s="50">
        <v>20</v>
      </c>
      <c r="N22" s="50">
        <v>0</v>
      </c>
      <c r="O22" s="15">
        <f t="shared" si="0"/>
        <v>12</v>
      </c>
      <c r="P22" s="15">
        <f t="shared" si="1"/>
        <v>32</v>
      </c>
      <c r="R22" s="38" t="s">
        <v>90</v>
      </c>
      <c r="S22" s="39">
        <f>MAX(S10:S12)</f>
        <v>23</v>
      </c>
      <c r="T22" s="39">
        <f t="shared" ref="T22:AF22" si="14">MAX(T10:T12)</f>
        <v>0</v>
      </c>
      <c r="U22" s="39">
        <f t="shared" si="14"/>
        <v>16</v>
      </c>
      <c r="V22" s="39">
        <f t="shared" si="14"/>
        <v>15</v>
      </c>
      <c r="W22" s="39">
        <f t="shared" si="14"/>
        <v>2</v>
      </c>
      <c r="X22" s="39">
        <f t="shared" si="14"/>
        <v>1</v>
      </c>
      <c r="Y22" s="39">
        <f t="shared" si="14"/>
        <v>9</v>
      </c>
      <c r="Z22" s="39">
        <f t="shared" si="14"/>
        <v>4</v>
      </c>
      <c r="AA22" s="39">
        <f t="shared" si="14"/>
        <v>1</v>
      </c>
      <c r="AB22" s="39">
        <f t="shared" si="14"/>
        <v>2</v>
      </c>
      <c r="AC22" s="39">
        <f t="shared" si="14"/>
        <v>111</v>
      </c>
      <c r="AD22" s="39">
        <f t="shared" si="14"/>
        <v>0</v>
      </c>
      <c r="AE22" s="40">
        <f t="shared" si="14"/>
        <v>60</v>
      </c>
      <c r="AF22" s="40">
        <f t="shared" si="14"/>
        <v>171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6</v>
      </c>
      <c r="G23" s="50">
        <v>0</v>
      </c>
      <c r="H23" s="50">
        <v>0</v>
      </c>
      <c r="I23" s="50">
        <v>3</v>
      </c>
      <c r="J23" s="50">
        <v>0</v>
      </c>
      <c r="K23" s="50">
        <v>1</v>
      </c>
      <c r="L23" s="50">
        <v>0</v>
      </c>
      <c r="M23" s="50">
        <v>26</v>
      </c>
      <c r="N23" s="50">
        <v>0</v>
      </c>
      <c r="O23" s="15">
        <f t="shared" si="0"/>
        <v>14</v>
      </c>
      <c r="P23" s="15">
        <f t="shared" si="1"/>
        <v>40</v>
      </c>
      <c r="R23" s="38" t="s">
        <v>91</v>
      </c>
      <c r="S23" s="39">
        <f>MAX(S13:S18)</f>
        <v>27</v>
      </c>
      <c r="T23" s="39">
        <f t="shared" ref="T23:AF23" si="15">MAX(T13:T18)</f>
        <v>0</v>
      </c>
      <c r="U23" s="39">
        <f t="shared" si="15"/>
        <v>21</v>
      </c>
      <c r="V23" s="39">
        <f t="shared" si="15"/>
        <v>19</v>
      </c>
      <c r="W23" s="39">
        <f t="shared" si="15"/>
        <v>2</v>
      </c>
      <c r="X23" s="39">
        <f t="shared" si="15"/>
        <v>1</v>
      </c>
      <c r="Y23" s="39">
        <f t="shared" si="15"/>
        <v>15</v>
      </c>
      <c r="Z23" s="39">
        <f t="shared" si="15"/>
        <v>3</v>
      </c>
      <c r="AA23" s="39">
        <f t="shared" si="15"/>
        <v>2</v>
      </c>
      <c r="AB23" s="39">
        <f t="shared" si="15"/>
        <v>2</v>
      </c>
      <c r="AC23" s="39">
        <f t="shared" si="15"/>
        <v>118</v>
      </c>
      <c r="AD23" s="39">
        <f t="shared" si="15"/>
        <v>0</v>
      </c>
      <c r="AE23" s="40">
        <f t="shared" si="15"/>
        <v>76</v>
      </c>
      <c r="AF23" s="40">
        <f t="shared" si="15"/>
        <v>192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3</v>
      </c>
      <c r="F24" s="50">
        <v>3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35</v>
      </c>
      <c r="N24" s="50">
        <v>0</v>
      </c>
      <c r="O24" s="15">
        <f t="shared" si="0"/>
        <v>14</v>
      </c>
      <c r="P24" s="15">
        <f t="shared" si="1"/>
        <v>49</v>
      </c>
      <c r="R24" s="38" t="s">
        <v>92</v>
      </c>
      <c r="S24" s="39">
        <f>MAX(S19:S21)</f>
        <v>27</v>
      </c>
      <c r="T24" s="39">
        <f t="shared" ref="T24:AF24" si="16">MAX(T19:T21)</f>
        <v>0</v>
      </c>
      <c r="U24" s="39">
        <f t="shared" si="16"/>
        <v>26</v>
      </c>
      <c r="V24" s="39">
        <f t="shared" si="16"/>
        <v>22</v>
      </c>
      <c r="W24" s="39">
        <f t="shared" si="16"/>
        <v>1</v>
      </c>
      <c r="X24" s="39">
        <f t="shared" si="16"/>
        <v>0</v>
      </c>
      <c r="Y24" s="39">
        <f t="shared" si="16"/>
        <v>23</v>
      </c>
      <c r="Z24" s="39">
        <f t="shared" si="16"/>
        <v>3</v>
      </c>
      <c r="AA24" s="39">
        <f t="shared" si="16"/>
        <v>3</v>
      </c>
      <c r="AB24" s="39">
        <f t="shared" si="16"/>
        <v>1</v>
      </c>
      <c r="AC24" s="39">
        <f t="shared" si="16"/>
        <v>132</v>
      </c>
      <c r="AD24" s="39">
        <f t="shared" si="16"/>
        <v>0</v>
      </c>
      <c r="AE24" s="40">
        <f t="shared" si="16"/>
        <v>97</v>
      </c>
      <c r="AF24" s="40">
        <f t="shared" si="16"/>
        <v>229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3</v>
      </c>
      <c r="F25" s="50">
        <v>5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1</v>
      </c>
      <c r="M25" s="50">
        <v>28</v>
      </c>
      <c r="N25" s="50">
        <v>0</v>
      </c>
      <c r="O25" s="15">
        <f t="shared" si="0"/>
        <v>19</v>
      </c>
      <c r="P25" s="15">
        <f t="shared" si="1"/>
        <v>47</v>
      </c>
      <c r="R25" s="37" t="s">
        <v>85</v>
      </c>
      <c r="S25" s="35">
        <f t="shared" ref="S25:AF25" si="17">SUM(S10:S12)</f>
        <v>60</v>
      </c>
      <c r="T25" s="16">
        <f t="shared" si="17"/>
        <v>0</v>
      </c>
      <c r="U25" s="16">
        <f t="shared" si="17"/>
        <v>36</v>
      </c>
      <c r="V25" s="16">
        <f t="shared" si="17"/>
        <v>43</v>
      </c>
      <c r="W25" s="16">
        <f t="shared" si="17"/>
        <v>3</v>
      </c>
      <c r="X25" s="16">
        <f t="shared" si="17"/>
        <v>1</v>
      </c>
      <c r="Y25" s="16">
        <f t="shared" si="17"/>
        <v>22</v>
      </c>
      <c r="Z25" s="16">
        <f t="shared" si="17"/>
        <v>8</v>
      </c>
      <c r="AA25" s="16">
        <f t="shared" si="17"/>
        <v>1</v>
      </c>
      <c r="AB25" s="16">
        <f t="shared" si="17"/>
        <v>3</v>
      </c>
      <c r="AC25" s="16">
        <f t="shared" si="17"/>
        <v>263</v>
      </c>
      <c r="AD25" s="16">
        <f t="shared" si="17"/>
        <v>0</v>
      </c>
      <c r="AE25" s="32">
        <f t="shared" si="17"/>
        <v>177</v>
      </c>
      <c r="AF25" s="32">
        <f t="shared" si="17"/>
        <v>440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5</v>
      </c>
      <c r="F26" s="50">
        <v>6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21</v>
      </c>
      <c r="P26" s="15">
        <f t="shared" si="1"/>
        <v>48</v>
      </c>
      <c r="R26" s="28" t="s">
        <v>86</v>
      </c>
      <c r="S26" s="16">
        <f t="shared" ref="S26:AF26" si="18">SUM(S13:S18)</f>
        <v>137</v>
      </c>
      <c r="T26" s="16">
        <f t="shared" si="18"/>
        <v>0</v>
      </c>
      <c r="U26" s="16">
        <f t="shared" si="18"/>
        <v>78</v>
      </c>
      <c r="V26" s="16">
        <f t="shared" si="18"/>
        <v>101</v>
      </c>
      <c r="W26" s="16">
        <f t="shared" si="18"/>
        <v>5</v>
      </c>
      <c r="X26" s="16">
        <f t="shared" si="18"/>
        <v>3</v>
      </c>
      <c r="Y26" s="16">
        <f t="shared" si="18"/>
        <v>72</v>
      </c>
      <c r="Z26" s="16">
        <f t="shared" si="18"/>
        <v>9</v>
      </c>
      <c r="AA26" s="16">
        <f t="shared" si="18"/>
        <v>8</v>
      </c>
      <c r="AB26" s="16">
        <f t="shared" si="18"/>
        <v>5</v>
      </c>
      <c r="AC26" s="16">
        <f t="shared" si="18"/>
        <v>655</v>
      </c>
      <c r="AD26" s="16">
        <f t="shared" si="18"/>
        <v>0</v>
      </c>
      <c r="AE26" s="32">
        <f t="shared" si="18"/>
        <v>418</v>
      </c>
      <c r="AF26" s="32">
        <f t="shared" si="18"/>
        <v>1073</v>
      </c>
    </row>
    <row r="27" spans="2:32" ht="23.1" customHeight="1" x14ac:dyDescent="0.25">
      <c r="B27" s="23" t="s">
        <v>54</v>
      </c>
      <c r="C27" s="50">
        <v>7</v>
      </c>
      <c r="D27" s="50">
        <v>0</v>
      </c>
      <c r="E27" s="50">
        <v>4</v>
      </c>
      <c r="F27" s="50">
        <v>3</v>
      </c>
      <c r="G27" s="50">
        <v>0</v>
      </c>
      <c r="H27" s="50">
        <v>0</v>
      </c>
      <c r="I27" s="50">
        <v>3</v>
      </c>
      <c r="J27" s="50">
        <v>0</v>
      </c>
      <c r="K27" s="50">
        <v>1</v>
      </c>
      <c r="L27" s="50">
        <v>0</v>
      </c>
      <c r="M27" s="50">
        <v>29</v>
      </c>
      <c r="N27" s="50">
        <v>0</v>
      </c>
      <c r="O27" s="15">
        <f t="shared" si="0"/>
        <v>18</v>
      </c>
      <c r="P27" s="15">
        <f t="shared" si="1"/>
        <v>47</v>
      </c>
      <c r="R27" s="29" t="s">
        <v>87</v>
      </c>
      <c r="S27" s="16">
        <f t="shared" ref="S27:AF27" si="19">SUM(S19:S21)</f>
        <v>73</v>
      </c>
      <c r="T27" s="16">
        <f t="shared" si="19"/>
        <v>0</v>
      </c>
      <c r="U27" s="16">
        <f t="shared" si="19"/>
        <v>61</v>
      </c>
      <c r="V27" s="16">
        <f t="shared" si="19"/>
        <v>51</v>
      </c>
      <c r="W27" s="16">
        <f t="shared" si="19"/>
        <v>1</v>
      </c>
      <c r="X27" s="16">
        <f t="shared" si="19"/>
        <v>0</v>
      </c>
      <c r="Y27" s="16">
        <f t="shared" si="19"/>
        <v>51</v>
      </c>
      <c r="Z27" s="16">
        <f t="shared" si="19"/>
        <v>5</v>
      </c>
      <c r="AA27" s="16">
        <f t="shared" si="19"/>
        <v>6</v>
      </c>
      <c r="AB27" s="16">
        <f t="shared" si="19"/>
        <v>2</v>
      </c>
      <c r="AC27" s="16">
        <f t="shared" si="19"/>
        <v>358</v>
      </c>
      <c r="AD27" s="16">
        <f t="shared" si="19"/>
        <v>0</v>
      </c>
      <c r="AE27" s="32">
        <f t="shared" si="19"/>
        <v>250</v>
      </c>
      <c r="AF27" s="32">
        <f t="shared" si="19"/>
        <v>608</v>
      </c>
    </row>
    <row r="28" spans="2:32" ht="23.1" customHeight="1" x14ac:dyDescent="0.25">
      <c r="B28" s="23" t="s">
        <v>55</v>
      </c>
      <c r="C28" s="50">
        <v>6</v>
      </c>
      <c r="D28" s="50">
        <v>0</v>
      </c>
      <c r="E28" s="50">
        <v>10</v>
      </c>
      <c r="F28" s="50">
        <v>5</v>
      </c>
      <c r="G28" s="50">
        <v>0</v>
      </c>
      <c r="H28" s="50">
        <v>1</v>
      </c>
      <c r="I28" s="50">
        <v>3</v>
      </c>
      <c r="J28" s="50">
        <v>1</v>
      </c>
      <c r="K28" s="50">
        <v>0</v>
      </c>
      <c r="L28" s="50">
        <v>1</v>
      </c>
      <c r="M28" s="50">
        <v>34</v>
      </c>
      <c r="N28" s="50">
        <v>0</v>
      </c>
      <c r="O28" s="15">
        <f t="shared" si="0"/>
        <v>27</v>
      </c>
      <c r="P28" s="15">
        <f t="shared" si="1"/>
        <v>61</v>
      </c>
      <c r="R28" s="5" t="s">
        <v>17</v>
      </c>
      <c r="S28" s="16">
        <f t="shared" ref="S28:AF28" si="20">SUM(S10:S21)</f>
        <v>270</v>
      </c>
      <c r="T28" s="16">
        <f t="shared" si="20"/>
        <v>0</v>
      </c>
      <c r="U28" s="16">
        <f t="shared" si="20"/>
        <v>175</v>
      </c>
      <c r="V28" s="16">
        <f t="shared" si="20"/>
        <v>195</v>
      </c>
      <c r="W28" s="16">
        <f t="shared" si="20"/>
        <v>9</v>
      </c>
      <c r="X28" s="16">
        <f t="shared" si="20"/>
        <v>4</v>
      </c>
      <c r="Y28" s="16">
        <f t="shared" si="20"/>
        <v>145</v>
      </c>
      <c r="Z28" s="16">
        <f t="shared" si="20"/>
        <v>22</v>
      </c>
      <c r="AA28" s="16">
        <f t="shared" si="20"/>
        <v>15</v>
      </c>
      <c r="AB28" s="16">
        <f t="shared" si="20"/>
        <v>10</v>
      </c>
      <c r="AC28" s="16">
        <f t="shared" si="20"/>
        <v>1276</v>
      </c>
      <c r="AD28" s="16">
        <f t="shared" si="20"/>
        <v>0</v>
      </c>
      <c r="AE28" s="32">
        <f t="shared" si="20"/>
        <v>845</v>
      </c>
      <c r="AF28" s="32">
        <f t="shared" si="20"/>
        <v>2121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2</v>
      </c>
      <c r="F29" s="50">
        <v>5</v>
      </c>
      <c r="G29" s="50">
        <v>1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10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2</v>
      </c>
      <c r="F30" s="50">
        <v>4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v>1</v>
      </c>
      <c r="M30" s="50">
        <v>28</v>
      </c>
      <c r="N30" s="50">
        <v>0</v>
      </c>
      <c r="O30" s="15">
        <f t="shared" si="0"/>
        <v>17</v>
      </c>
      <c r="P30" s="15">
        <f t="shared" si="1"/>
        <v>45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3</v>
      </c>
      <c r="F31" s="50">
        <v>3</v>
      </c>
      <c r="G31" s="50">
        <v>0</v>
      </c>
      <c r="H31" s="50">
        <v>1</v>
      </c>
      <c r="I31" s="50">
        <v>3</v>
      </c>
      <c r="J31" s="50">
        <v>1</v>
      </c>
      <c r="K31" s="50">
        <v>0</v>
      </c>
      <c r="L31" s="50">
        <v>0</v>
      </c>
      <c r="M31" s="50">
        <v>30</v>
      </c>
      <c r="N31" s="50">
        <v>0</v>
      </c>
      <c r="O31" s="15">
        <f t="shared" si="0"/>
        <v>17</v>
      </c>
      <c r="P31" s="15">
        <f t="shared" si="1"/>
        <v>47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3</v>
      </c>
      <c r="F32" s="50">
        <v>6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31</v>
      </c>
      <c r="N32" s="50">
        <v>0</v>
      </c>
      <c r="O32" s="15">
        <f t="shared" si="0"/>
        <v>14</v>
      </c>
      <c r="P32" s="15">
        <f t="shared" si="1"/>
        <v>45</v>
      </c>
    </row>
    <row r="33" spans="2:20" ht="23.1" customHeight="1" x14ac:dyDescent="0.25">
      <c r="B33" s="23" t="s">
        <v>60</v>
      </c>
      <c r="C33" s="50">
        <v>10</v>
      </c>
      <c r="D33" s="50">
        <v>0</v>
      </c>
      <c r="E33" s="50">
        <v>4</v>
      </c>
      <c r="F33" s="50">
        <v>2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v>0</v>
      </c>
      <c r="M33" s="50">
        <v>29</v>
      </c>
      <c r="N33" s="50">
        <v>0</v>
      </c>
      <c r="O33" s="15">
        <f t="shared" si="0"/>
        <v>20</v>
      </c>
      <c r="P33" s="15">
        <f t="shared" si="1"/>
        <v>49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5</v>
      </c>
      <c r="G34" s="50">
        <v>0</v>
      </c>
      <c r="H34" s="50">
        <v>0</v>
      </c>
      <c r="I34" s="50">
        <v>3</v>
      </c>
      <c r="J34" s="50">
        <v>0</v>
      </c>
      <c r="K34" s="50">
        <v>1</v>
      </c>
      <c r="L34" s="50">
        <v>0</v>
      </c>
      <c r="M34" s="50">
        <v>28</v>
      </c>
      <c r="N34" s="50">
        <v>0</v>
      </c>
      <c r="O34" s="15">
        <f t="shared" si="0"/>
        <v>13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4</v>
      </c>
      <c r="F35" s="50">
        <v>2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14</v>
      </c>
      <c r="P35" s="15">
        <f t="shared" si="1"/>
        <v>39</v>
      </c>
    </row>
    <row r="36" spans="2:20" ht="23.1" customHeight="1" x14ac:dyDescent="0.25">
      <c r="B36" s="24" t="s">
        <v>63</v>
      </c>
      <c r="C36" s="50">
        <v>9</v>
      </c>
      <c r="D36" s="50">
        <v>0</v>
      </c>
      <c r="E36" s="50">
        <v>4</v>
      </c>
      <c r="F36" s="50">
        <v>6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23</v>
      </c>
      <c r="P36" s="15">
        <f t="shared" si="1"/>
        <v>50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0</v>
      </c>
      <c r="F37" s="50">
        <v>5</v>
      </c>
      <c r="G37" s="50">
        <v>0</v>
      </c>
      <c r="H37" s="50">
        <v>1</v>
      </c>
      <c r="I37" s="50">
        <v>5</v>
      </c>
      <c r="J37" s="50">
        <v>2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21</v>
      </c>
      <c r="P37" s="15">
        <f t="shared" si="1"/>
        <v>47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3</v>
      </c>
      <c r="F38" s="50">
        <v>3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33</v>
      </c>
      <c r="N38" s="50">
        <v>0</v>
      </c>
      <c r="O38" s="15">
        <f t="shared" si="0"/>
        <v>15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8</v>
      </c>
      <c r="F39" s="50">
        <v>4</v>
      </c>
      <c r="G39" s="50">
        <v>1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23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12</v>
      </c>
      <c r="D40" s="50">
        <v>0</v>
      </c>
      <c r="E40" s="50">
        <v>1</v>
      </c>
      <c r="F40" s="50">
        <v>5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22</v>
      </c>
      <c r="P40" s="15">
        <f t="shared" si="1"/>
        <v>58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4</v>
      </c>
      <c r="F41" s="50">
        <v>3</v>
      </c>
      <c r="G41" s="50">
        <v>1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15</v>
      </c>
      <c r="P41" s="15">
        <f t="shared" si="1"/>
        <v>33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3</v>
      </c>
      <c r="F42" s="50">
        <v>4</v>
      </c>
      <c r="G42" s="50">
        <v>1</v>
      </c>
      <c r="H42" s="50">
        <v>0</v>
      </c>
      <c r="I42" s="50">
        <v>3</v>
      </c>
      <c r="J42" s="50">
        <v>0</v>
      </c>
      <c r="K42" s="50">
        <v>1</v>
      </c>
      <c r="L42" s="50">
        <v>0</v>
      </c>
      <c r="M42" s="50">
        <v>34</v>
      </c>
      <c r="N42" s="50">
        <v>0</v>
      </c>
      <c r="O42" s="15">
        <f t="shared" si="0"/>
        <v>19</v>
      </c>
      <c r="P42" s="15">
        <f t="shared" si="1"/>
        <v>53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2</v>
      </c>
      <c r="F43" s="50">
        <v>6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1</v>
      </c>
      <c r="M43" s="50">
        <v>22</v>
      </c>
      <c r="N43" s="50">
        <v>0</v>
      </c>
      <c r="O43" s="15">
        <f t="shared" si="0"/>
        <v>17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5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16</v>
      </c>
      <c r="P44" s="15">
        <f t="shared" si="1"/>
        <v>38</v>
      </c>
    </row>
    <row r="45" spans="2:20" ht="23.1" customHeight="1" x14ac:dyDescent="0.25">
      <c r="B45" s="23" t="s">
        <v>72</v>
      </c>
      <c r="C45" s="50">
        <v>7</v>
      </c>
      <c r="D45" s="50">
        <v>0</v>
      </c>
      <c r="E45" s="50">
        <v>2</v>
      </c>
      <c r="F45" s="50">
        <v>4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17</v>
      </c>
      <c r="P45" s="15">
        <f t="shared" si="1"/>
        <v>40</v>
      </c>
    </row>
    <row r="46" spans="2:20" ht="23.1" customHeight="1" x14ac:dyDescent="0.25">
      <c r="B46" s="24" t="s">
        <v>73</v>
      </c>
      <c r="C46" s="50">
        <v>13</v>
      </c>
      <c r="D46" s="50">
        <v>0</v>
      </c>
      <c r="E46" s="50">
        <v>3</v>
      </c>
      <c r="F46" s="50">
        <v>5</v>
      </c>
      <c r="G46" s="50">
        <v>0</v>
      </c>
      <c r="H46" s="50">
        <v>0</v>
      </c>
      <c r="I46" s="50">
        <v>4</v>
      </c>
      <c r="J46" s="50">
        <v>1</v>
      </c>
      <c r="K46" s="50">
        <v>1</v>
      </c>
      <c r="L46" s="50">
        <v>0</v>
      </c>
      <c r="M46" s="50">
        <v>20</v>
      </c>
      <c r="N46" s="50">
        <v>0</v>
      </c>
      <c r="O46" s="15">
        <f t="shared" si="0"/>
        <v>27</v>
      </c>
      <c r="P46" s="15">
        <f t="shared" si="1"/>
        <v>47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1</v>
      </c>
      <c r="F47" s="50">
        <v>4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1</v>
      </c>
      <c r="M47" s="50">
        <v>31</v>
      </c>
      <c r="N47" s="50">
        <v>0</v>
      </c>
      <c r="O47" s="15">
        <f t="shared" si="0"/>
        <v>14</v>
      </c>
      <c r="P47" s="15">
        <f t="shared" si="1"/>
        <v>45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4</v>
      </c>
      <c r="F48" s="50">
        <v>3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27</v>
      </c>
      <c r="N48" s="50">
        <v>0</v>
      </c>
      <c r="O48" s="15">
        <f t="shared" si="0"/>
        <v>13</v>
      </c>
      <c r="P48" s="15">
        <f t="shared" si="1"/>
        <v>40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4</v>
      </c>
      <c r="F49" s="50">
        <v>3</v>
      </c>
      <c r="G49" s="50">
        <v>0</v>
      </c>
      <c r="H49" s="50">
        <v>0</v>
      </c>
      <c r="I49" s="50">
        <v>6</v>
      </c>
      <c r="J49" s="50">
        <v>0</v>
      </c>
      <c r="K49" s="50">
        <v>1</v>
      </c>
      <c r="L49" s="50">
        <v>0</v>
      </c>
      <c r="M49" s="50">
        <v>23</v>
      </c>
      <c r="N49" s="50">
        <v>0</v>
      </c>
      <c r="O49" s="15">
        <f t="shared" si="0"/>
        <v>16</v>
      </c>
      <c r="P49" s="15">
        <f t="shared" si="1"/>
        <v>39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0</v>
      </c>
      <c r="E50" s="50">
        <v>5</v>
      </c>
      <c r="F50" s="50">
        <v>5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27</v>
      </c>
      <c r="N50" s="50">
        <v>0</v>
      </c>
      <c r="O50" s="15">
        <f t="shared" si="0"/>
        <v>23</v>
      </c>
      <c r="P50" s="15">
        <f t="shared" si="1"/>
        <v>50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0</v>
      </c>
      <c r="E51" s="50">
        <v>5</v>
      </c>
      <c r="F51" s="50">
        <v>3</v>
      </c>
      <c r="G51" s="50">
        <v>0</v>
      </c>
      <c r="H51" s="50">
        <v>0</v>
      </c>
      <c r="I51" s="50">
        <v>5</v>
      </c>
      <c r="J51" s="50">
        <v>1</v>
      </c>
      <c r="K51" s="50">
        <v>2</v>
      </c>
      <c r="L51" s="50">
        <v>1</v>
      </c>
      <c r="M51" s="50">
        <v>31</v>
      </c>
      <c r="N51" s="50">
        <v>0</v>
      </c>
      <c r="O51" s="15">
        <f t="shared" si="0"/>
        <v>26</v>
      </c>
      <c r="P51" s="15">
        <f t="shared" si="1"/>
        <v>57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11</v>
      </c>
      <c r="F52" s="50">
        <v>3</v>
      </c>
      <c r="G52" s="50">
        <v>0</v>
      </c>
      <c r="H52" s="50">
        <v>0</v>
      </c>
      <c r="I52" s="50">
        <v>2</v>
      </c>
      <c r="J52" s="50">
        <v>2</v>
      </c>
      <c r="K52" s="50">
        <v>1</v>
      </c>
      <c r="L52" s="50">
        <v>0</v>
      </c>
      <c r="M52" s="50">
        <v>34</v>
      </c>
      <c r="N52" s="50">
        <v>0</v>
      </c>
      <c r="O52" s="15">
        <f t="shared" si="0"/>
        <v>22</v>
      </c>
      <c r="P52" s="15">
        <f t="shared" si="1"/>
        <v>56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5</v>
      </c>
      <c r="F53" s="50">
        <v>3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33</v>
      </c>
      <c r="N53" s="50">
        <v>0</v>
      </c>
      <c r="O53" s="15">
        <f t="shared" si="0"/>
        <v>12</v>
      </c>
      <c r="P53" s="15">
        <f t="shared" si="1"/>
        <v>45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0</v>
      </c>
      <c r="E54" s="50">
        <v>8</v>
      </c>
      <c r="F54" s="50">
        <v>7</v>
      </c>
      <c r="G54" s="50">
        <v>0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45</v>
      </c>
      <c r="N54" s="50">
        <v>0</v>
      </c>
      <c r="O54" s="15">
        <f t="shared" si="0"/>
        <v>30</v>
      </c>
      <c r="P54" s="15">
        <f t="shared" si="1"/>
        <v>75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2</v>
      </c>
      <c r="F55" s="50">
        <v>5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36</v>
      </c>
      <c r="N55" s="50">
        <v>0</v>
      </c>
      <c r="O55" s="15">
        <f t="shared" si="0"/>
        <v>20</v>
      </c>
      <c r="P55" s="15">
        <f t="shared" si="1"/>
        <v>56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6</v>
      </c>
      <c r="F56" s="50">
        <v>4</v>
      </c>
      <c r="G56" s="50">
        <v>1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28</v>
      </c>
      <c r="N56" s="50">
        <v>0</v>
      </c>
      <c r="O56" s="15">
        <f t="shared" si="0"/>
        <v>19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0</v>
      </c>
      <c r="E57" s="50">
        <v>7</v>
      </c>
      <c r="F57" s="50">
        <v>6</v>
      </c>
      <c r="G57" s="50">
        <v>0</v>
      </c>
      <c r="H57" s="50">
        <v>0</v>
      </c>
      <c r="I57" s="50">
        <v>7</v>
      </c>
      <c r="J57" s="50">
        <v>1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28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270</v>
      </c>
      <c r="D58" s="16">
        <f t="shared" si="21"/>
        <v>0</v>
      </c>
      <c r="E58" s="16">
        <f t="shared" si="21"/>
        <v>175</v>
      </c>
      <c r="F58" s="16">
        <f t="shared" si="21"/>
        <v>195</v>
      </c>
      <c r="G58" s="16">
        <f t="shared" si="21"/>
        <v>9</v>
      </c>
      <c r="H58" s="16">
        <f t="shared" si="21"/>
        <v>4</v>
      </c>
      <c r="I58" s="16">
        <f t="shared" si="21"/>
        <v>145</v>
      </c>
      <c r="J58" s="16">
        <f t="shared" si="21"/>
        <v>22</v>
      </c>
      <c r="K58" s="16">
        <f t="shared" si="21"/>
        <v>15</v>
      </c>
      <c r="L58" s="16">
        <f t="shared" si="21"/>
        <v>10</v>
      </c>
      <c r="M58" s="16">
        <f t="shared" si="21"/>
        <v>1276</v>
      </c>
      <c r="N58" s="16">
        <f t="shared" si="21"/>
        <v>0</v>
      </c>
      <c r="O58" s="16">
        <f t="shared" si="21"/>
        <v>845</v>
      </c>
      <c r="P58" s="16">
        <f t="shared" si="21"/>
        <v>2121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0.12729844413012731</v>
      </c>
      <c r="D59" s="43">
        <f t="shared" si="22"/>
        <v>0</v>
      </c>
      <c r="E59" s="43">
        <f t="shared" si="22"/>
        <v>8.2508250825082508E-2</v>
      </c>
      <c r="F59" s="43">
        <f t="shared" si="22"/>
        <v>9.1937765205091934E-2</v>
      </c>
      <c r="G59" s="43">
        <f t="shared" si="22"/>
        <v>4.2432814710042432E-3</v>
      </c>
      <c r="H59" s="43">
        <f t="shared" si="22"/>
        <v>1.8859028760018859E-3</v>
      </c>
      <c r="I59" s="43">
        <f t="shared" si="22"/>
        <v>6.8363979255068361E-2</v>
      </c>
      <c r="J59" s="43">
        <f t="shared" si="22"/>
        <v>1.0372465818010372E-2</v>
      </c>
      <c r="K59" s="43">
        <f t="shared" si="22"/>
        <v>7.0721357850070717E-3</v>
      </c>
      <c r="L59" s="43">
        <f t="shared" si="22"/>
        <v>4.7147571900047151E-3</v>
      </c>
      <c r="M59" s="43">
        <f t="shared" si="22"/>
        <v>0.60160301744460165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0.31952662721893493</v>
      </c>
      <c r="D60" s="44">
        <f t="shared" ref="D60:N60" si="23">D58/$O$58</f>
        <v>0</v>
      </c>
      <c r="E60" s="44">
        <f t="shared" si="23"/>
        <v>0.20710059171597633</v>
      </c>
      <c r="F60" s="44">
        <f t="shared" si="23"/>
        <v>0.23076923076923078</v>
      </c>
      <c r="G60" s="44">
        <f t="shared" si="23"/>
        <v>1.0650887573964497E-2</v>
      </c>
      <c r="H60" s="44">
        <f t="shared" si="23"/>
        <v>4.7337278106508876E-3</v>
      </c>
      <c r="I60" s="44">
        <f t="shared" si="23"/>
        <v>0.17159763313609466</v>
      </c>
      <c r="J60" s="44">
        <f t="shared" si="23"/>
        <v>2.6035502958579881E-2</v>
      </c>
      <c r="K60" s="44">
        <f t="shared" si="23"/>
        <v>1.7751479289940829E-2</v>
      </c>
      <c r="L60" s="44">
        <f t="shared" si="23"/>
        <v>1.1834319526627219E-2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'19.8 Kayunga-Kangulumira'!G5:H5</f>
        <v>Kayunga</v>
      </c>
      <c r="H5" s="67"/>
      <c r="I5" s="14"/>
      <c r="J5" s="2" t="s">
        <v>5</v>
      </c>
      <c r="K5" s="66" t="str">
        <f>'19.8 Kayunga-Kangulumira'!K5:L5</f>
        <v>Comfort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167</v>
      </c>
      <c r="H6" s="58"/>
      <c r="J6" s="2" t="s">
        <v>21</v>
      </c>
      <c r="K6" s="66" t="str">
        <f>'19.8 Kayunga-Kangulumira'!K6:L6</f>
        <v>Bella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7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24</v>
      </c>
      <c r="N10" s="50">
        <v>0</v>
      </c>
      <c r="O10" s="15">
        <f t="shared" ref="O10:O73" si="0">SUM(C10:L10,N10)</f>
        <v>12</v>
      </c>
      <c r="P10" s="15">
        <f t="shared" ref="P10:P73" si="1">SUM(C10:N10)</f>
        <v>36</v>
      </c>
      <c r="R10" s="1" t="s">
        <v>6</v>
      </c>
      <c r="S10" s="17">
        <f t="shared" ref="S10:AF10" si="2">SUM(C10:C13)</f>
        <v>14</v>
      </c>
      <c r="T10" s="17">
        <f t="shared" si="2"/>
        <v>0</v>
      </c>
      <c r="U10" s="17">
        <f t="shared" si="2"/>
        <v>8</v>
      </c>
      <c r="V10" s="17">
        <f t="shared" si="2"/>
        <v>32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143</v>
      </c>
      <c r="AD10" s="17">
        <f t="shared" si="2"/>
        <v>0</v>
      </c>
      <c r="AE10" s="31">
        <f t="shared" si="2"/>
        <v>56</v>
      </c>
      <c r="AF10" s="31">
        <f t="shared" si="2"/>
        <v>199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3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35</v>
      </c>
      <c r="N11" s="50">
        <v>0</v>
      </c>
      <c r="O11" s="15">
        <f t="shared" si="0"/>
        <v>12</v>
      </c>
      <c r="P11" s="15">
        <f t="shared" si="1"/>
        <v>47</v>
      </c>
      <c r="R11" s="1" t="s">
        <v>7</v>
      </c>
      <c r="S11" s="17">
        <f t="shared" ref="S11:AF11" si="3">SUM(C14:C17)</f>
        <v>21</v>
      </c>
      <c r="T11" s="17">
        <f t="shared" si="3"/>
        <v>0</v>
      </c>
      <c r="U11" s="17">
        <f t="shared" si="3"/>
        <v>25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150</v>
      </c>
      <c r="AD11" s="17">
        <f t="shared" si="3"/>
        <v>0</v>
      </c>
      <c r="AE11" s="31">
        <f t="shared" si="3"/>
        <v>78</v>
      </c>
      <c r="AF11" s="31">
        <f t="shared" si="3"/>
        <v>228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1</v>
      </c>
      <c r="F12" s="50">
        <v>10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31</v>
      </c>
      <c r="N12" s="50">
        <v>0</v>
      </c>
      <c r="O12" s="15">
        <f t="shared" si="0"/>
        <v>16</v>
      </c>
      <c r="P12" s="15">
        <f t="shared" si="1"/>
        <v>47</v>
      </c>
      <c r="R12" s="1" t="s">
        <v>8</v>
      </c>
      <c r="S12" s="17">
        <f t="shared" ref="S12:AF12" si="4">SUM(C18:C21)</f>
        <v>25</v>
      </c>
      <c r="T12" s="17">
        <f t="shared" si="4"/>
        <v>0</v>
      </c>
      <c r="U12" s="17">
        <f t="shared" si="4"/>
        <v>15</v>
      </c>
      <c r="V12" s="17">
        <f t="shared" si="4"/>
        <v>17</v>
      </c>
      <c r="W12" s="17">
        <f t="shared" si="4"/>
        <v>1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3</v>
      </c>
      <c r="AB12" s="17">
        <f t="shared" si="4"/>
        <v>0</v>
      </c>
      <c r="AC12" s="17">
        <f t="shared" si="4"/>
        <v>115</v>
      </c>
      <c r="AD12" s="17">
        <f t="shared" si="4"/>
        <v>0</v>
      </c>
      <c r="AE12" s="31">
        <f t="shared" si="4"/>
        <v>65</v>
      </c>
      <c r="AF12" s="31">
        <f t="shared" si="4"/>
        <v>180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3</v>
      </c>
      <c r="F13" s="50">
        <v>7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53</v>
      </c>
      <c r="N13" s="50">
        <v>0</v>
      </c>
      <c r="O13" s="15">
        <f t="shared" si="0"/>
        <v>16</v>
      </c>
      <c r="P13" s="15">
        <f t="shared" si="1"/>
        <v>69</v>
      </c>
      <c r="R13" s="1" t="s">
        <v>9</v>
      </c>
      <c r="S13" s="17">
        <f t="shared" ref="S13:AF13" si="5">SUM(C22:C25)</f>
        <v>17</v>
      </c>
      <c r="T13" s="17">
        <f t="shared" si="5"/>
        <v>0</v>
      </c>
      <c r="U13" s="17">
        <f t="shared" si="5"/>
        <v>16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2</v>
      </c>
      <c r="AA13" s="17">
        <f t="shared" si="5"/>
        <v>1</v>
      </c>
      <c r="AB13" s="17">
        <f t="shared" si="5"/>
        <v>2</v>
      </c>
      <c r="AC13" s="17">
        <f t="shared" si="5"/>
        <v>98</v>
      </c>
      <c r="AD13" s="17">
        <f t="shared" si="5"/>
        <v>0</v>
      </c>
      <c r="AE13" s="31">
        <f t="shared" si="5"/>
        <v>61</v>
      </c>
      <c r="AF13" s="31">
        <f t="shared" si="5"/>
        <v>159</v>
      </c>
    </row>
    <row r="14" spans="2:32" ht="23.1" customHeight="1" x14ac:dyDescent="0.25">
      <c r="B14" s="23" t="s">
        <v>41</v>
      </c>
      <c r="C14" s="50">
        <v>9</v>
      </c>
      <c r="D14" s="50">
        <v>0</v>
      </c>
      <c r="E14" s="50">
        <v>7</v>
      </c>
      <c r="F14" s="50">
        <v>3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42</v>
      </c>
      <c r="N14" s="50">
        <v>0</v>
      </c>
      <c r="O14" s="15">
        <f t="shared" si="0"/>
        <v>24</v>
      </c>
      <c r="P14" s="15">
        <f t="shared" si="1"/>
        <v>66</v>
      </c>
      <c r="R14" s="1" t="s">
        <v>10</v>
      </c>
      <c r="S14" s="17">
        <f t="shared" ref="S14:AF14" si="6">SUM(C26:C29)</f>
        <v>16</v>
      </c>
      <c r="T14" s="17">
        <f t="shared" si="6"/>
        <v>0</v>
      </c>
      <c r="U14" s="17">
        <f t="shared" si="6"/>
        <v>21</v>
      </c>
      <c r="V14" s="17">
        <f t="shared" si="6"/>
        <v>16</v>
      </c>
      <c r="W14" s="17">
        <f t="shared" si="6"/>
        <v>1</v>
      </c>
      <c r="X14" s="17">
        <f t="shared" si="6"/>
        <v>1</v>
      </c>
      <c r="Y14" s="17">
        <f t="shared" si="6"/>
        <v>9</v>
      </c>
      <c r="Z14" s="17">
        <f t="shared" si="6"/>
        <v>1</v>
      </c>
      <c r="AA14" s="17">
        <f t="shared" si="6"/>
        <v>2</v>
      </c>
      <c r="AB14" s="17">
        <f t="shared" si="6"/>
        <v>1</v>
      </c>
      <c r="AC14" s="17">
        <f t="shared" si="6"/>
        <v>103</v>
      </c>
      <c r="AD14" s="17">
        <f t="shared" si="6"/>
        <v>0</v>
      </c>
      <c r="AE14" s="31">
        <f t="shared" si="6"/>
        <v>68</v>
      </c>
      <c r="AF14" s="31">
        <f t="shared" si="6"/>
        <v>171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5</v>
      </c>
      <c r="F15" s="50">
        <v>4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44</v>
      </c>
      <c r="N15" s="50">
        <v>0</v>
      </c>
      <c r="O15" s="15">
        <f t="shared" si="0"/>
        <v>18</v>
      </c>
      <c r="P15" s="15">
        <f t="shared" si="1"/>
        <v>62</v>
      </c>
      <c r="R15" s="1" t="s">
        <v>11</v>
      </c>
      <c r="S15" s="17">
        <f t="shared" ref="S15:AF15" si="7">SUM(C30:C33)</f>
        <v>15</v>
      </c>
      <c r="T15" s="17">
        <f t="shared" si="7"/>
        <v>0</v>
      </c>
      <c r="U15" s="17">
        <f t="shared" si="7"/>
        <v>17</v>
      </c>
      <c r="V15" s="17">
        <f t="shared" si="7"/>
        <v>18</v>
      </c>
      <c r="W15" s="17">
        <f t="shared" si="7"/>
        <v>5</v>
      </c>
      <c r="X15" s="17">
        <f t="shared" si="7"/>
        <v>0</v>
      </c>
      <c r="Y15" s="17">
        <f t="shared" si="7"/>
        <v>13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93</v>
      </c>
      <c r="AD15" s="17">
        <f t="shared" si="7"/>
        <v>0</v>
      </c>
      <c r="AE15" s="31">
        <f t="shared" si="7"/>
        <v>69</v>
      </c>
      <c r="AF15" s="31">
        <f t="shared" si="7"/>
        <v>162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6</v>
      </c>
      <c r="F16" s="50">
        <v>10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29</v>
      </c>
      <c r="N16" s="50">
        <v>0</v>
      </c>
      <c r="O16" s="15">
        <f t="shared" si="0"/>
        <v>21</v>
      </c>
      <c r="P16" s="15">
        <f t="shared" si="1"/>
        <v>50</v>
      </c>
      <c r="R16" s="1" t="s">
        <v>12</v>
      </c>
      <c r="S16" s="17">
        <f t="shared" ref="S16:AF16" si="8">SUM(C34:C37)</f>
        <v>23</v>
      </c>
      <c r="T16" s="17">
        <f t="shared" si="8"/>
        <v>0</v>
      </c>
      <c r="U16" s="17">
        <f t="shared" si="8"/>
        <v>16</v>
      </c>
      <c r="V16" s="17">
        <f t="shared" si="8"/>
        <v>14</v>
      </c>
      <c r="W16" s="17">
        <f t="shared" si="8"/>
        <v>3</v>
      </c>
      <c r="X16" s="17">
        <f t="shared" si="8"/>
        <v>0</v>
      </c>
      <c r="Y16" s="17">
        <f t="shared" si="8"/>
        <v>18</v>
      </c>
      <c r="Z16" s="17">
        <f t="shared" si="8"/>
        <v>2</v>
      </c>
      <c r="AA16" s="17">
        <f t="shared" si="8"/>
        <v>3</v>
      </c>
      <c r="AB16" s="17">
        <f t="shared" si="8"/>
        <v>2</v>
      </c>
      <c r="AC16" s="17">
        <f t="shared" si="8"/>
        <v>106</v>
      </c>
      <c r="AD16" s="17">
        <f t="shared" si="8"/>
        <v>0</v>
      </c>
      <c r="AE16" s="31">
        <f t="shared" si="8"/>
        <v>81</v>
      </c>
      <c r="AF16" s="31">
        <f t="shared" si="8"/>
        <v>187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7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15</v>
      </c>
      <c r="P17" s="15">
        <f t="shared" si="1"/>
        <v>50</v>
      </c>
      <c r="R17" s="1" t="s">
        <v>13</v>
      </c>
      <c r="S17" s="17">
        <f t="shared" ref="S17:AF17" si="9">SUM(C38:C41)</f>
        <v>15</v>
      </c>
      <c r="T17" s="17">
        <f t="shared" si="9"/>
        <v>0</v>
      </c>
      <c r="U17" s="17">
        <f t="shared" si="9"/>
        <v>23</v>
      </c>
      <c r="V17" s="17">
        <f t="shared" si="9"/>
        <v>24</v>
      </c>
      <c r="W17" s="17">
        <f t="shared" si="9"/>
        <v>1</v>
      </c>
      <c r="X17" s="17">
        <f t="shared" si="9"/>
        <v>1</v>
      </c>
      <c r="Y17" s="17">
        <f t="shared" si="9"/>
        <v>15</v>
      </c>
      <c r="Z17" s="17">
        <f t="shared" si="9"/>
        <v>1</v>
      </c>
      <c r="AA17" s="17">
        <f t="shared" si="9"/>
        <v>4</v>
      </c>
      <c r="AB17" s="17">
        <f t="shared" si="9"/>
        <v>2</v>
      </c>
      <c r="AC17" s="17">
        <f t="shared" si="9"/>
        <v>81</v>
      </c>
      <c r="AD17" s="17">
        <f t="shared" si="9"/>
        <v>0</v>
      </c>
      <c r="AE17" s="31">
        <f t="shared" si="9"/>
        <v>86</v>
      </c>
      <c r="AF17" s="31">
        <f t="shared" si="9"/>
        <v>167</v>
      </c>
    </row>
    <row r="18" spans="2:32" ht="23.1" customHeight="1" x14ac:dyDescent="0.25">
      <c r="B18" s="23" t="s">
        <v>45</v>
      </c>
      <c r="C18" s="50">
        <v>9</v>
      </c>
      <c r="D18" s="50">
        <v>0</v>
      </c>
      <c r="E18" s="50">
        <v>4</v>
      </c>
      <c r="F18" s="50">
        <v>2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18</v>
      </c>
      <c r="P18" s="15">
        <f t="shared" si="1"/>
        <v>39</v>
      </c>
      <c r="R18" s="1" t="s">
        <v>14</v>
      </c>
      <c r="S18" s="17">
        <f t="shared" ref="S18:AF18" si="10">SUM(C42:C45)</f>
        <v>13</v>
      </c>
      <c r="T18" s="17">
        <f t="shared" si="10"/>
        <v>0</v>
      </c>
      <c r="U18" s="17">
        <f t="shared" si="10"/>
        <v>20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57</v>
      </c>
      <c r="AD18" s="17">
        <f t="shared" si="10"/>
        <v>0</v>
      </c>
      <c r="AE18" s="31">
        <f t="shared" si="10"/>
        <v>64</v>
      </c>
      <c r="AF18" s="31">
        <f t="shared" si="10"/>
        <v>121</v>
      </c>
    </row>
    <row r="19" spans="2:32" ht="23.1" customHeight="1" x14ac:dyDescent="0.25">
      <c r="B19" s="23" t="s">
        <v>46</v>
      </c>
      <c r="C19" s="50">
        <v>6</v>
      </c>
      <c r="D19" s="50">
        <v>0</v>
      </c>
      <c r="E19" s="50">
        <v>0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2</v>
      </c>
      <c r="L19" s="50">
        <v>0</v>
      </c>
      <c r="M19" s="50">
        <v>27</v>
      </c>
      <c r="N19" s="50">
        <v>0</v>
      </c>
      <c r="O19" s="15">
        <f t="shared" si="0"/>
        <v>12</v>
      </c>
      <c r="P19" s="15">
        <f t="shared" si="1"/>
        <v>39</v>
      </c>
      <c r="R19" s="1" t="s">
        <v>15</v>
      </c>
      <c r="S19" s="17">
        <f t="shared" ref="S19:AF19" si="11">SUM(C46:C49)</f>
        <v>19</v>
      </c>
      <c r="T19" s="17">
        <f t="shared" si="11"/>
        <v>0</v>
      </c>
      <c r="U19" s="17">
        <f t="shared" si="11"/>
        <v>31</v>
      </c>
      <c r="V19" s="17">
        <f t="shared" si="11"/>
        <v>20</v>
      </c>
      <c r="W19" s="17">
        <f t="shared" si="11"/>
        <v>1</v>
      </c>
      <c r="X19" s="17">
        <f t="shared" si="11"/>
        <v>2</v>
      </c>
      <c r="Y19" s="17">
        <f t="shared" si="11"/>
        <v>23</v>
      </c>
      <c r="Z19" s="17">
        <f t="shared" si="11"/>
        <v>3</v>
      </c>
      <c r="AA19" s="17">
        <f t="shared" si="11"/>
        <v>6</v>
      </c>
      <c r="AB19" s="17">
        <f t="shared" si="11"/>
        <v>1</v>
      </c>
      <c r="AC19" s="17">
        <f t="shared" si="11"/>
        <v>127</v>
      </c>
      <c r="AD19" s="17">
        <f t="shared" si="11"/>
        <v>0</v>
      </c>
      <c r="AE19" s="31">
        <f t="shared" si="11"/>
        <v>106</v>
      </c>
      <c r="AF19" s="31">
        <f t="shared" si="11"/>
        <v>233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5</v>
      </c>
      <c r="F20" s="50">
        <v>8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41</v>
      </c>
      <c r="N20" s="50">
        <v>0</v>
      </c>
      <c r="O20" s="15">
        <f t="shared" si="0"/>
        <v>19</v>
      </c>
      <c r="P20" s="15">
        <f t="shared" si="1"/>
        <v>60</v>
      </c>
      <c r="R20" s="1" t="s">
        <v>16</v>
      </c>
      <c r="S20" s="17">
        <f t="shared" ref="S20:AF20" si="12">SUM(C50:C53)</f>
        <v>16</v>
      </c>
      <c r="T20" s="17">
        <f t="shared" si="12"/>
        <v>0</v>
      </c>
      <c r="U20" s="17">
        <f t="shared" si="12"/>
        <v>23</v>
      </c>
      <c r="V20" s="17">
        <f t="shared" si="12"/>
        <v>21</v>
      </c>
      <c r="W20" s="17">
        <f t="shared" si="12"/>
        <v>2</v>
      </c>
      <c r="X20" s="17">
        <f t="shared" si="12"/>
        <v>4</v>
      </c>
      <c r="Y20" s="17">
        <f t="shared" si="12"/>
        <v>17</v>
      </c>
      <c r="Z20" s="17">
        <f t="shared" si="12"/>
        <v>3</v>
      </c>
      <c r="AA20" s="17">
        <f t="shared" si="12"/>
        <v>2</v>
      </c>
      <c r="AB20" s="17">
        <f t="shared" si="12"/>
        <v>2</v>
      </c>
      <c r="AC20" s="17">
        <f t="shared" si="12"/>
        <v>133</v>
      </c>
      <c r="AD20" s="17">
        <f t="shared" si="12"/>
        <v>0</v>
      </c>
      <c r="AE20" s="31">
        <f t="shared" si="12"/>
        <v>90</v>
      </c>
      <c r="AF20" s="31">
        <f t="shared" si="12"/>
        <v>223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6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16</v>
      </c>
      <c r="P21" s="15">
        <f t="shared" si="1"/>
        <v>42</v>
      </c>
      <c r="R21" s="36" t="s">
        <v>20</v>
      </c>
      <c r="S21" s="34">
        <f t="shared" ref="S21:AF21" si="13">SUM(C54:C57)</f>
        <v>22</v>
      </c>
      <c r="T21" s="17">
        <f t="shared" si="13"/>
        <v>0</v>
      </c>
      <c r="U21" s="17">
        <f t="shared" si="13"/>
        <v>25</v>
      </c>
      <c r="V21" s="17">
        <f t="shared" si="13"/>
        <v>13</v>
      </c>
      <c r="W21" s="17">
        <f t="shared" si="13"/>
        <v>1</v>
      </c>
      <c r="X21" s="17">
        <f t="shared" si="13"/>
        <v>2</v>
      </c>
      <c r="Y21" s="17">
        <f t="shared" si="13"/>
        <v>17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103</v>
      </c>
      <c r="AD21" s="17">
        <f t="shared" si="13"/>
        <v>0</v>
      </c>
      <c r="AE21" s="31">
        <f t="shared" si="13"/>
        <v>84</v>
      </c>
      <c r="AF21" s="31">
        <f t="shared" si="13"/>
        <v>187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3</v>
      </c>
      <c r="G22" s="50">
        <v>0</v>
      </c>
      <c r="H22" s="50">
        <v>0</v>
      </c>
      <c r="I22" s="50">
        <v>4</v>
      </c>
      <c r="J22" s="50">
        <v>1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14</v>
      </c>
      <c r="P22" s="15">
        <f t="shared" si="1"/>
        <v>36</v>
      </c>
      <c r="R22" s="38" t="s">
        <v>90</v>
      </c>
      <c r="S22" s="39">
        <f>MAX(S10:S12)</f>
        <v>25</v>
      </c>
      <c r="T22" s="39">
        <f t="shared" ref="T22:AF22" si="14">MAX(T10:T12)</f>
        <v>0</v>
      </c>
      <c r="U22" s="39">
        <f t="shared" si="14"/>
        <v>25</v>
      </c>
      <c r="V22" s="39">
        <f t="shared" si="14"/>
        <v>32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0</v>
      </c>
      <c r="AA22" s="39">
        <f t="shared" si="14"/>
        <v>3</v>
      </c>
      <c r="AB22" s="39">
        <f t="shared" si="14"/>
        <v>0</v>
      </c>
      <c r="AC22" s="39">
        <f t="shared" si="14"/>
        <v>150</v>
      </c>
      <c r="AD22" s="39">
        <f t="shared" si="14"/>
        <v>0</v>
      </c>
      <c r="AE22" s="40">
        <f t="shared" si="14"/>
        <v>78</v>
      </c>
      <c r="AF22" s="40">
        <f t="shared" si="14"/>
        <v>228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3</v>
      </c>
      <c r="F23" s="50">
        <v>6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0</v>
      </c>
      <c r="M23" s="50">
        <v>29</v>
      </c>
      <c r="N23" s="50">
        <v>0</v>
      </c>
      <c r="O23" s="15">
        <f t="shared" si="0"/>
        <v>16</v>
      </c>
      <c r="P23" s="15">
        <f t="shared" si="1"/>
        <v>45</v>
      </c>
      <c r="R23" s="38" t="s">
        <v>91</v>
      </c>
      <c r="S23" s="39">
        <f>MAX(S13:S18)</f>
        <v>23</v>
      </c>
      <c r="T23" s="39">
        <f t="shared" ref="T23:AF23" si="15">MAX(T13:T18)</f>
        <v>0</v>
      </c>
      <c r="U23" s="39">
        <f t="shared" si="15"/>
        <v>23</v>
      </c>
      <c r="V23" s="39">
        <f t="shared" si="15"/>
        <v>24</v>
      </c>
      <c r="W23" s="39">
        <f t="shared" si="15"/>
        <v>5</v>
      </c>
      <c r="X23" s="39">
        <f t="shared" si="15"/>
        <v>1</v>
      </c>
      <c r="Y23" s="39">
        <f t="shared" si="15"/>
        <v>18</v>
      </c>
      <c r="Z23" s="39">
        <f t="shared" si="15"/>
        <v>3</v>
      </c>
      <c r="AA23" s="39">
        <f t="shared" si="15"/>
        <v>4</v>
      </c>
      <c r="AB23" s="39">
        <f t="shared" si="15"/>
        <v>2</v>
      </c>
      <c r="AC23" s="39">
        <f t="shared" si="15"/>
        <v>106</v>
      </c>
      <c r="AD23" s="39">
        <f t="shared" si="15"/>
        <v>0</v>
      </c>
      <c r="AE23" s="40">
        <f t="shared" si="15"/>
        <v>86</v>
      </c>
      <c r="AF23" s="40">
        <f t="shared" si="15"/>
        <v>187</v>
      </c>
    </row>
    <row r="24" spans="2:32" ht="23.1" customHeight="1" x14ac:dyDescent="0.25">
      <c r="B24" s="23" t="s">
        <v>51</v>
      </c>
      <c r="C24" s="50">
        <v>8</v>
      </c>
      <c r="D24" s="50">
        <v>0</v>
      </c>
      <c r="E24" s="50">
        <v>4</v>
      </c>
      <c r="F24" s="50">
        <v>4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1</v>
      </c>
      <c r="M24" s="50">
        <v>21</v>
      </c>
      <c r="N24" s="50">
        <v>0</v>
      </c>
      <c r="O24" s="15">
        <f t="shared" si="0"/>
        <v>20</v>
      </c>
      <c r="P24" s="15">
        <f t="shared" si="1"/>
        <v>41</v>
      </c>
      <c r="R24" s="38" t="s">
        <v>92</v>
      </c>
      <c r="S24" s="39">
        <f>MAX(S19:S21)</f>
        <v>22</v>
      </c>
      <c r="T24" s="39">
        <f t="shared" ref="T24:AF24" si="16">MAX(T19:T21)</f>
        <v>0</v>
      </c>
      <c r="U24" s="39">
        <f t="shared" si="16"/>
        <v>31</v>
      </c>
      <c r="V24" s="39">
        <f t="shared" si="16"/>
        <v>21</v>
      </c>
      <c r="W24" s="39">
        <f t="shared" si="16"/>
        <v>2</v>
      </c>
      <c r="X24" s="39">
        <f t="shared" si="16"/>
        <v>4</v>
      </c>
      <c r="Y24" s="39">
        <f t="shared" si="16"/>
        <v>23</v>
      </c>
      <c r="Z24" s="39">
        <f t="shared" si="16"/>
        <v>3</v>
      </c>
      <c r="AA24" s="39">
        <f t="shared" si="16"/>
        <v>6</v>
      </c>
      <c r="AB24" s="39">
        <f t="shared" si="16"/>
        <v>2</v>
      </c>
      <c r="AC24" s="39">
        <f t="shared" si="16"/>
        <v>133</v>
      </c>
      <c r="AD24" s="39">
        <f t="shared" si="16"/>
        <v>0</v>
      </c>
      <c r="AE24" s="40">
        <f t="shared" si="16"/>
        <v>106</v>
      </c>
      <c r="AF24" s="40">
        <f t="shared" si="16"/>
        <v>233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6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26</v>
      </c>
      <c r="N25" s="50">
        <v>0</v>
      </c>
      <c r="O25" s="15">
        <f t="shared" si="0"/>
        <v>11</v>
      </c>
      <c r="P25" s="15">
        <f t="shared" si="1"/>
        <v>37</v>
      </c>
      <c r="R25" s="37" t="s">
        <v>85</v>
      </c>
      <c r="S25" s="35">
        <f t="shared" ref="S25:AF25" si="17">SUM(S10:S12)</f>
        <v>60</v>
      </c>
      <c r="T25" s="16">
        <f t="shared" si="17"/>
        <v>0</v>
      </c>
      <c r="U25" s="16">
        <f t="shared" si="17"/>
        <v>48</v>
      </c>
      <c r="V25" s="16">
        <f t="shared" si="17"/>
        <v>68</v>
      </c>
      <c r="W25" s="16">
        <f t="shared" si="17"/>
        <v>1</v>
      </c>
      <c r="X25" s="16">
        <f t="shared" si="17"/>
        <v>0</v>
      </c>
      <c r="Y25" s="16">
        <f t="shared" si="17"/>
        <v>18</v>
      </c>
      <c r="Z25" s="16">
        <f t="shared" si="17"/>
        <v>0</v>
      </c>
      <c r="AA25" s="16">
        <f t="shared" si="17"/>
        <v>4</v>
      </c>
      <c r="AB25" s="16">
        <f t="shared" si="17"/>
        <v>0</v>
      </c>
      <c r="AC25" s="16">
        <f t="shared" si="17"/>
        <v>408</v>
      </c>
      <c r="AD25" s="16">
        <f t="shared" si="17"/>
        <v>0</v>
      </c>
      <c r="AE25" s="32">
        <f t="shared" si="17"/>
        <v>199</v>
      </c>
      <c r="AF25" s="32">
        <f t="shared" si="17"/>
        <v>607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3</v>
      </c>
      <c r="F26" s="50">
        <v>4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</v>
      </c>
      <c r="M26" s="50">
        <v>24</v>
      </c>
      <c r="N26" s="50">
        <v>0</v>
      </c>
      <c r="O26" s="15">
        <f t="shared" si="0"/>
        <v>12</v>
      </c>
      <c r="P26" s="15">
        <f t="shared" si="1"/>
        <v>36</v>
      </c>
      <c r="R26" s="28" t="s">
        <v>86</v>
      </c>
      <c r="S26" s="16">
        <f t="shared" ref="S26:AF26" si="18">SUM(S13:S18)</f>
        <v>99</v>
      </c>
      <c r="T26" s="16">
        <f t="shared" si="18"/>
        <v>0</v>
      </c>
      <c r="U26" s="16">
        <f t="shared" si="18"/>
        <v>113</v>
      </c>
      <c r="V26" s="16">
        <f t="shared" si="18"/>
        <v>99</v>
      </c>
      <c r="W26" s="16">
        <f t="shared" si="18"/>
        <v>10</v>
      </c>
      <c r="X26" s="16">
        <f t="shared" si="18"/>
        <v>2</v>
      </c>
      <c r="Y26" s="16">
        <f t="shared" si="18"/>
        <v>77</v>
      </c>
      <c r="Z26" s="16">
        <f t="shared" si="18"/>
        <v>9</v>
      </c>
      <c r="AA26" s="16">
        <f t="shared" si="18"/>
        <v>12</v>
      </c>
      <c r="AB26" s="16">
        <f t="shared" si="18"/>
        <v>8</v>
      </c>
      <c r="AC26" s="16">
        <f t="shared" si="18"/>
        <v>538</v>
      </c>
      <c r="AD26" s="16">
        <f t="shared" si="18"/>
        <v>0</v>
      </c>
      <c r="AE26" s="32">
        <f t="shared" si="18"/>
        <v>429</v>
      </c>
      <c r="AF26" s="32">
        <f t="shared" si="18"/>
        <v>967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6</v>
      </c>
      <c r="F27" s="50">
        <v>4</v>
      </c>
      <c r="G27" s="50">
        <v>0</v>
      </c>
      <c r="H27" s="50">
        <v>1</v>
      </c>
      <c r="I27" s="50">
        <v>2</v>
      </c>
      <c r="J27" s="50">
        <v>0</v>
      </c>
      <c r="K27" s="50">
        <v>1</v>
      </c>
      <c r="L27" s="50">
        <v>0</v>
      </c>
      <c r="M27" s="50">
        <v>28</v>
      </c>
      <c r="N27" s="50">
        <v>0</v>
      </c>
      <c r="O27" s="15">
        <f t="shared" si="0"/>
        <v>18</v>
      </c>
      <c r="P27" s="15">
        <f t="shared" si="1"/>
        <v>46</v>
      </c>
      <c r="R27" s="29" t="s">
        <v>87</v>
      </c>
      <c r="S27" s="16">
        <f t="shared" ref="S27:AF27" si="19">SUM(S19:S21)</f>
        <v>57</v>
      </c>
      <c r="T27" s="16">
        <f t="shared" si="19"/>
        <v>0</v>
      </c>
      <c r="U27" s="16">
        <f t="shared" si="19"/>
        <v>79</v>
      </c>
      <c r="V27" s="16">
        <f t="shared" si="19"/>
        <v>54</v>
      </c>
      <c r="W27" s="16">
        <f t="shared" si="19"/>
        <v>4</v>
      </c>
      <c r="X27" s="16">
        <f t="shared" si="19"/>
        <v>8</v>
      </c>
      <c r="Y27" s="16">
        <f t="shared" si="19"/>
        <v>57</v>
      </c>
      <c r="Z27" s="16">
        <f t="shared" si="19"/>
        <v>8</v>
      </c>
      <c r="AA27" s="16">
        <f t="shared" si="19"/>
        <v>9</v>
      </c>
      <c r="AB27" s="16">
        <f t="shared" si="19"/>
        <v>4</v>
      </c>
      <c r="AC27" s="16">
        <f t="shared" si="19"/>
        <v>363</v>
      </c>
      <c r="AD27" s="16">
        <f t="shared" si="19"/>
        <v>0</v>
      </c>
      <c r="AE27" s="32">
        <f t="shared" si="19"/>
        <v>280</v>
      </c>
      <c r="AF27" s="32">
        <f t="shared" si="19"/>
        <v>643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8</v>
      </c>
      <c r="F28" s="50">
        <v>2</v>
      </c>
      <c r="G28" s="50">
        <v>1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25</v>
      </c>
      <c r="N28" s="50">
        <v>0</v>
      </c>
      <c r="O28" s="15">
        <f t="shared" si="0"/>
        <v>19</v>
      </c>
      <c r="P28" s="15">
        <f t="shared" si="1"/>
        <v>44</v>
      </c>
      <c r="R28" s="5" t="s">
        <v>17</v>
      </c>
      <c r="S28" s="16">
        <f t="shared" ref="S28:AF28" si="20">SUM(S10:S21)</f>
        <v>216</v>
      </c>
      <c r="T28" s="16">
        <f t="shared" si="20"/>
        <v>0</v>
      </c>
      <c r="U28" s="16">
        <f t="shared" si="20"/>
        <v>240</v>
      </c>
      <c r="V28" s="16">
        <f t="shared" si="20"/>
        <v>221</v>
      </c>
      <c r="W28" s="16">
        <f t="shared" si="20"/>
        <v>15</v>
      </c>
      <c r="X28" s="16">
        <f t="shared" si="20"/>
        <v>10</v>
      </c>
      <c r="Y28" s="16">
        <f t="shared" si="20"/>
        <v>152</v>
      </c>
      <c r="Z28" s="16">
        <f t="shared" si="20"/>
        <v>17</v>
      </c>
      <c r="AA28" s="16">
        <f t="shared" si="20"/>
        <v>25</v>
      </c>
      <c r="AB28" s="16">
        <f t="shared" si="20"/>
        <v>12</v>
      </c>
      <c r="AC28" s="16">
        <f t="shared" si="20"/>
        <v>1309</v>
      </c>
      <c r="AD28" s="16">
        <f t="shared" si="20"/>
        <v>0</v>
      </c>
      <c r="AE28" s="32">
        <f t="shared" si="20"/>
        <v>908</v>
      </c>
      <c r="AF28" s="32">
        <f t="shared" si="20"/>
        <v>2217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4</v>
      </c>
      <c r="F29" s="50">
        <v>6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19</v>
      </c>
      <c r="P29" s="15">
        <f t="shared" si="1"/>
        <v>45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4</v>
      </c>
      <c r="F30" s="50">
        <v>7</v>
      </c>
      <c r="G30" s="50">
        <v>2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19</v>
      </c>
      <c r="P30" s="15">
        <f t="shared" si="1"/>
        <v>44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5</v>
      </c>
      <c r="F31" s="50">
        <v>3</v>
      </c>
      <c r="G31" s="50">
        <v>0</v>
      </c>
      <c r="H31" s="50">
        <v>0</v>
      </c>
      <c r="I31" s="50">
        <v>6</v>
      </c>
      <c r="J31" s="50">
        <v>0</v>
      </c>
      <c r="K31" s="50">
        <v>1</v>
      </c>
      <c r="L31" s="50">
        <v>0</v>
      </c>
      <c r="M31" s="50">
        <v>19</v>
      </c>
      <c r="N31" s="50">
        <v>0</v>
      </c>
      <c r="O31" s="15">
        <f t="shared" si="0"/>
        <v>21</v>
      </c>
      <c r="P31" s="15">
        <f t="shared" si="1"/>
        <v>40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3</v>
      </c>
      <c r="F32" s="50">
        <v>5</v>
      </c>
      <c r="G32" s="50">
        <v>1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15</v>
      </c>
      <c r="P32" s="15">
        <f t="shared" si="1"/>
        <v>37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5</v>
      </c>
      <c r="F33" s="50">
        <v>3</v>
      </c>
      <c r="G33" s="50">
        <v>2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27</v>
      </c>
      <c r="N33" s="50">
        <v>0</v>
      </c>
      <c r="O33" s="15">
        <f t="shared" si="0"/>
        <v>14</v>
      </c>
      <c r="P33" s="15">
        <f t="shared" si="1"/>
        <v>41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3</v>
      </c>
      <c r="F34" s="50">
        <v>3</v>
      </c>
      <c r="G34" s="50">
        <v>2</v>
      </c>
      <c r="H34" s="50">
        <v>0</v>
      </c>
      <c r="I34" s="50">
        <v>2</v>
      </c>
      <c r="J34" s="50">
        <v>0</v>
      </c>
      <c r="K34" s="50">
        <v>2</v>
      </c>
      <c r="L34" s="50">
        <v>2</v>
      </c>
      <c r="M34" s="50">
        <v>37</v>
      </c>
      <c r="N34" s="50">
        <v>0</v>
      </c>
      <c r="O34" s="15">
        <f t="shared" si="0"/>
        <v>19</v>
      </c>
      <c r="P34" s="15">
        <f t="shared" si="1"/>
        <v>56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5</v>
      </c>
      <c r="F35" s="50">
        <v>3</v>
      </c>
      <c r="G35" s="50">
        <v>0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23</v>
      </c>
      <c r="N35" s="50">
        <v>0</v>
      </c>
      <c r="O35" s="15">
        <f t="shared" si="0"/>
        <v>16</v>
      </c>
      <c r="P35" s="15">
        <f t="shared" si="1"/>
        <v>39</v>
      </c>
    </row>
    <row r="36" spans="2:20" ht="23.1" customHeight="1" x14ac:dyDescent="0.25">
      <c r="B36" s="24" t="s">
        <v>63</v>
      </c>
      <c r="C36" s="50">
        <v>9</v>
      </c>
      <c r="D36" s="50">
        <v>0</v>
      </c>
      <c r="E36" s="50">
        <v>5</v>
      </c>
      <c r="F36" s="50">
        <v>3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23</v>
      </c>
      <c r="P36" s="15">
        <f t="shared" si="1"/>
        <v>50</v>
      </c>
    </row>
    <row r="37" spans="2:20" ht="23.1" customHeight="1" x14ac:dyDescent="0.25">
      <c r="B37" s="23" t="s">
        <v>64</v>
      </c>
      <c r="C37" s="50">
        <v>7</v>
      </c>
      <c r="D37" s="50">
        <v>0</v>
      </c>
      <c r="E37" s="50">
        <v>3</v>
      </c>
      <c r="F37" s="50">
        <v>5</v>
      </c>
      <c r="G37" s="50">
        <v>1</v>
      </c>
      <c r="H37" s="50">
        <v>0</v>
      </c>
      <c r="I37" s="50">
        <v>6</v>
      </c>
      <c r="J37" s="50">
        <v>1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23</v>
      </c>
      <c r="P37" s="15">
        <f t="shared" si="1"/>
        <v>42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6</v>
      </c>
      <c r="F38" s="50">
        <v>3</v>
      </c>
      <c r="G38" s="50">
        <v>0</v>
      </c>
      <c r="H38" s="50">
        <v>1</v>
      </c>
      <c r="I38" s="50">
        <v>4</v>
      </c>
      <c r="J38" s="50">
        <v>1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18</v>
      </c>
      <c r="P38" s="15">
        <f t="shared" si="1"/>
        <v>47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5</v>
      </c>
      <c r="F39" s="50">
        <v>7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22</v>
      </c>
      <c r="N39" s="50">
        <v>0</v>
      </c>
      <c r="O39" s="15">
        <f t="shared" si="0"/>
        <v>19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4</v>
      </c>
      <c r="F40" s="50">
        <v>7</v>
      </c>
      <c r="G40" s="50">
        <v>0</v>
      </c>
      <c r="H40" s="50">
        <v>0</v>
      </c>
      <c r="I40" s="50">
        <v>3</v>
      </c>
      <c r="J40" s="50">
        <v>0</v>
      </c>
      <c r="K40" s="50">
        <v>2</v>
      </c>
      <c r="L40" s="50">
        <v>1</v>
      </c>
      <c r="M40" s="50">
        <v>11</v>
      </c>
      <c r="N40" s="50">
        <v>0</v>
      </c>
      <c r="O40" s="15">
        <f t="shared" si="0"/>
        <v>22</v>
      </c>
      <c r="P40" s="15">
        <f t="shared" si="1"/>
        <v>33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8</v>
      </c>
      <c r="F41" s="50">
        <v>7</v>
      </c>
      <c r="G41" s="50">
        <v>1</v>
      </c>
      <c r="H41" s="50">
        <v>0</v>
      </c>
      <c r="I41" s="50">
        <v>4</v>
      </c>
      <c r="J41" s="50">
        <v>0</v>
      </c>
      <c r="K41" s="50">
        <v>2</v>
      </c>
      <c r="L41" s="50">
        <v>1</v>
      </c>
      <c r="M41" s="50">
        <v>19</v>
      </c>
      <c r="N41" s="50">
        <v>0</v>
      </c>
      <c r="O41" s="15">
        <f t="shared" si="0"/>
        <v>27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19</v>
      </c>
      <c r="N42" s="50">
        <v>0</v>
      </c>
      <c r="O42" s="15">
        <f t="shared" si="0"/>
        <v>9</v>
      </c>
      <c r="P42" s="15">
        <f t="shared" si="1"/>
        <v>28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6</v>
      </c>
      <c r="F43" s="50">
        <v>2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15</v>
      </c>
      <c r="P43" s="15">
        <f t="shared" si="1"/>
        <v>31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4</v>
      </c>
      <c r="F44" s="50">
        <v>3</v>
      </c>
      <c r="G44" s="50">
        <v>0</v>
      </c>
      <c r="H44" s="50">
        <v>0</v>
      </c>
      <c r="I44" s="50">
        <v>5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17</v>
      </c>
      <c r="P44" s="15">
        <f t="shared" si="1"/>
        <v>28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8</v>
      </c>
      <c r="F45" s="50">
        <v>5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1</v>
      </c>
      <c r="M45" s="50">
        <v>11</v>
      </c>
      <c r="N45" s="50">
        <v>0</v>
      </c>
      <c r="O45" s="15">
        <f t="shared" si="0"/>
        <v>23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11</v>
      </c>
      <c r="F46" s="50">
        <v>4</v>
      </c>
      <c r="G46" s="50">
        <v>0</v>
      </c>
      <c r="H46" s="50">
        <v>1</v>
      </c>
      <c r="I46" s="50">
        <v>4</v>
      </c>
      <c r="J46" s="50">
        <v>0</v>
      </c>
      <c r="K46" s="50">
        <v>2</v>
      </c>
      <c r="L46" s="50">
        <v>1</v>
      </c>
      <c r="M46" s="50">
        <v>33</v>
      </c>
      <c r="N46" s="50">
        <v>0</v>
      </c>
      <c r="O46" s="15">
        <f t="shared" si="0"/>
        <v>27</v>
      </c>
      <c r="P46" s="15">
        <f t="shared" si="1"/>
        <v>60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7</v>
      </c>
      <c r="F47" s="50">
        <v>6</v>
      </c>
      <c r="G47" s="50">
        <v>1</v>
      </c>
      <c r="H47" s="50">
        <v>1</v>
      </c>
      <c r="I47" s="50">
        <v>8</v>
      </c>
      <c r="J47" s="50">
        <v>1</v>
      </c>
      <c r="K47" s="50">
        <v>1</v>
      </c>
      <c r="L47" s="50">
        <v>0</v>
      </c>
      <c r="M47" s="50">
        <v>17</v>
      </c>
      <c r="N47" s="50">
        <v>0</v>
      </c>
      <c r="O47" s="15">
        <f t="shared" si="0"/>
        <v>26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12</v>
      </c>
      <c r="F48" s="50">
        <v>2</v>
      </c>
      <c r="G48" s="50">
        <v>0</v>
      </c>
      <c r="H48" s="50">
        <v>0</v>
      </c>
      <c r="I48" s="50">
        <v>7</v>
      </c>
      <c r="J48" s="50">
        <v>1</v>
      </c>
      <c r="K48" s="50">
        <v>1</v>
      </c>
      <c r="L48" s="50">
        <v>0</v>
      </c>
      <c r="M48" s="50">
        <v>46</v>
      </c>
      <c r="N48" s="50">
        <v>0</v>
      </c>
      <c r="O48" s="15">
        <f t="shared" si="0"/>
        <v>29</v>
      </c>
      <c r="P48" s="15">
        <f t="shared" si="1"/>
        <v>75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1</v>
      </c>
      <c r="F49" s="50">
        <v>8</v>
      </c>
      <c r="G49" s="50">
        <v>0</v>
      </c>
      <c r="H49" s="50">
        <v>0</v>
      </c>
      <c r="I49" s="50">
        <v>4</v>
      </c>
      <c r="J49" s="50">
        <v>1</v>
      </c>
      <c r="K49" s="50">
        <v>2</v>
      </c>
      <c r="L49" s="50">
        <v>0</v>
      </c>
      <c r="M49" s="50">
        <v>31</v>
      </c>
      <c r="N49" s="50">
        <v>0</v>
      </c>
      <c r="O49" s="15">
        <f t="shared" si="0"/>
        <v>24</v>
      </c>
      <c r="P49" s="15">
        <f t="shared" si="1"/>
        <v>55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9</v>
      </c>
      <c r="F50" s="50">
        <v>6</v>
      </c>
      <c r="G50" s="50">
        <v>2</v>
      </c>
      <c r="H50" s="50">
        <v>2</v>
      </c>
      <c r="I50" s="50">
        <v>5</v>
      </c>
      <c r="J50" s="50">
        <v>1</v>
      </c>
      <c r="K50" s="50">
        <v>1</v>
      </c>
      <c r="L50" s="50">
        <v>0</v>
      </c>
      <c r="M50" s="50">
        <v>35</v>
      </c>
      <c r="N50" s="50">
        <v>0</v>
      </c>
      <c r="O50" s="15">
        <f t="shared" si="0"/>
        <v>27</v>
      </c>
      <c r="P50" s="15">
        <f t="shared" si="1"/>
        <v>62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2</v>
      </c>
      <c r="F51" s="50">
        <v>7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1</v>
      </c>
      <c r="M51" s="50">
        <v>34</v>
      </c>
      <c r="N51" s="50">
        <v>0</v>
      </c>
      <c r="O51" s="15">
        <f t="shared" si="0"/>
        <v>20</v>
      </c>
      <c r="P51" s="15">
        <f t="shared" si="1"/>
        <v>54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8</v>
      </c>
      <c r="F52" s="50">
        <v>3</v>
      </c>
      <c r="G52" s="50">
        <v>0</v>
      </c>
      <c r="H52" s="50">
        <v>0</v>
      </c>
      <c r="I52" s="50">
        <v>4</v>
      </c>
      <c r="J52" s="50">
        <v>1</v>
      </c>
      <c r="K52" s="50">
        <v>1</v>
      </c>
      <c r="L52" s="50">
        <v>1</v>
      </c>
      <c r="M52" s="50">
        <v>30</v>
      </c>
      <c r="N52" s="50">
        <v>0</v>
      </c>
      <c r="O52" s="15">
        <f t="shared" si="0"/>
        <v>22</v>
      </c>
      <c r="P52" s="15">
        <f t="shared" si="1"/>
        <v>52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4</v>
      </c>
      <c r="F53" s="50">
        <v>5</v>
      </c>
      <c r="G53" s="50">
        <v>0</v>
      </c>
      <c r="H53" s="50">
        <v>2</v>
      </c>
      <c r="I53" s="50">
        <v>6</v>
      </c>
      <c r="J53" s="50">
        <v>0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21</v>
      </c>
      <c r="P53" s="15">
        <f t="shared" si="1"/>
        <v>55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6</v>
      </c>
      <c r="F54" s="50">
        <v>2</v>
      </c>
      <c r="G54" s="50">
        <v>1</v>
      </c>
      <c r="H54" s="50">
        <v>1</v>
      </c>
      <c r="I54" s="50">
        <v>6</v>
      </c>
      <c r="J54" s="50">
        <v>0</v>
      </c>
      <c r="K54" s="50">
        <v>0</v>
      </c>
      <c r="L54" s="50">
        <v>1</v>
      </c>
      <c r="M54" s="50">
        <v>35</v>
      </c>
      <c r="N54" s="50">
        <v>0</v>
      </c>
      <c r="O54" s="15">
        <f t="shared" si="0"/>
        <v>23</v>
      </c>
      <c r="P54" s="15">
        <f t="shared" si="1"/>
        <v>58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8</v>
      </c>
      <c r="F55" s="50">
        <v>5</v>
      </c>
      <c r="G55" s="50">
        <v>0</v>
      </c>
      <c r="H55" s="50">
        <v>1</v>
      </c>
      <c r="I55" s="50">
        <v>5</v>
      </c>
      <c r="J55" s="50">
        <v>1</v>
      </c>
      <c r="K55" s="50">
        <v>1</v>
      </c>
      <c r="L55" s="50">
        <v>0</v>
      </c>
      <c r="M55" s="50">
        <v>26</v>
      </c>
      <c r="N55" s="50">
        <v>0</v>
      </c>
      <c r="O55" s="15">
        <f t="shared" si="0"/>
        <v>24</v>
      </c>
      <c r="P55" s="15">
        <f t="shared" si="1"/>
        <v>50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4</v>
      </c>
      <c r="F56" s="50">
        <v>2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11</v>
      </c>
      <c r="P56" s="15">
        <f t="shared" si="1"/>
        <v>32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0</v>
      </c>
      <c r="E57" s="50">
        <v>7</v>
      </c>
      <c r="F57" s="50">
        <v>4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26</v>
      </c>
      <c r="P57" s="15">
        <f t="shared" si="1"/>
        <v>47</v>
      </c>
      <c r="R57" s="8"/>
      <c r="T57"/>
    </row>
    <row r="58" spans="2:20" ht="23.1" customHeight="1" x14ac:dyDescent="0.25">
      <c r="B58" s="23" t="s">
        <v>99</v>
      </c>
      <c r="C58" s="50">
        <v>2</v>
      </c>
      <c r="D58" s="50">
        <v>0</v>
      </c>
      <c r="E58" s="50">
        <v>2</v>
      </c>
      <c r="F58" s="50">
        <v>2</v>
      </c>
      <c r="G58" s="50">
        <v>0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10</v>
      </c>
      <c r="P58" s="15">
        <f t="shared" si="1"/>
        <v>29</v>
      </c>
      <c r="R58" s="8"/>
      <c r="T58"/>
    </row>
    <row r="59" spans="2:20" ht="23.1" customHeight="1" x14ac:dyDescent="0.25">
      <c r="B59" s="23" t="s">
        <v>100</v>
      </c>
      <c r="C59" s="50">
        <v>1</v>
      </c>
      <c r="D59" s="50">
        <v>0</v>
      </c>
      <c r="E59" s="50">
        <v>4</v>
      </c>
      <c r="F59" s="50">
        <v>3</v>
      </c>
      <c r="G59" s="50">
        <v>0</v>
      </c>
      <c r="H59" s="50">
        <v>0</v>
      </c>
      <c r="I59" s="50">
        <v>3</v>
      </c>
      <c r="J59" s="50">
        <v>1</v>
      </c>
      <c r="K59" s="50">
        <v>0</v>
      </c>
      <c r="L59" s="50">
        <v>1</v>
      </c>
      <c r="M59" s="50">
        <v>20</v>
      </c>
      <c r="N59" s="50">
        <v>0</v>
      </c>
      <c r="O59" s="15">
        <f t="shared" si="0"/>
        <v>13</v>
      </c>
      <c r="P59" s="15">
        <f t="shared" si="1"/>
        <v>33</v>
      </c>
      <c r="R59" s="8"/>
      <c r="T59"/>
    </row>
    <row r="60" spans="2:20" ht="23.1" customHeight="1" x14ac:dyDescent="0.25">
      <c r="B60" s="23" t="s">
        <v>101</v>
      </c>
      <c r="C60" s="50">
        <v>2</v>
      </c>
      <c r="D60" s="50">
        <v>0</v>
      </c>
      <c r="E60" s="50">
        <v>6</v>
      </c>
      <c r="F60" s="50">
        <v>2</v>
      </c>
      <c r="G60" s="50">
        <v>0</v>
      </c>
      <c r="H60" s="50">
        <v>1</v>
      </c>
      <c r="I60" s="50">
        <v>2</v>
      </c>
      <c r="J60" s="50">
        <v>0</v>
      </c>
      <c r="K60" s="50">
        <v>1</v>
      </c>
      <c r="L60" s="50">
        <v>1</v>
      </c>
      <c r="M60" s="50">
        <v>17</v>
      </c>
      <c r="N60" s="50">
        <v>0</v>
      </c>
      <c r="O60" s="15">
        <f t="shared" si="0"/>
        <v>15</v>
      </c>
      <c r="P60" s="15">
        <f t="shared" si="1"/>
        <v>32</v>
      </c>
      <c r="Q60" s="7"/>
      <c r="R60" s="8"/>
      <c r="T60"/>
    </row>
    <row r="61" spans="2:20" ht="20.100000000000001" customHeight="1" x14ac:dyDescent="0.25">
      <c r="B61" s="23" t="s">
        <v>102</v>
      </c>
      <c r="C61" s="50">
        <v>1</v>
      </c>
      <c r="D61" s="50">
        <v>0</v>
      </c>
      <c r="E61" s="50">
        <v>4</v>
      </c>
      <c r="F61" s="50">
        <v>3</v>
      </c>
      <c r="G61" s="50">
        <v>1</v>
      </c>
      <c r="H61" s="50">
        <v>1</v>
      </c>
      <c r="I61" s="50">
        <v>4</v>
      </c>
      <c r="J61" s="50">
        <v>1</v>
      </c>
      <c r="K61" s="50">
        <v>1</v>
      </c>
      <c r="L61" s="50">
        <v>0</v>
      </c>
      <c r="M61" s="50">
        <v>15</v>
      </c>
      <c r="N61" s="50">
        <v>0</v>
      </c>
      <c r="O61" s="15">
        <f t="shared" si="0"/>
        <v>16</v>
      </c>
      <c r="P61" s="15">
        <f t="shared" si="1"/>
        <v>31</v>
      </c>
      <c r="Q61" s="7"/>
      <c r="R61" s="8"/>
      <c r="T61"/>
    </row>
    <row r="62" spans="2:20" ht="20.100000000000001" customHeight="1" x14ac:dyDescent="0.25">
      <c r="B62" s="23" t="s">
        <v>107</v>
      </c>
      <c r="C62" s="50">
        <v>3</v>
      </c>
      <c r="D62" s="50">
        <v>0</v>
      </c>
      <c r="E62" s="50">
        <v>6</v>
      </c>
      <c r="F62" s="50">
        <v>1</v>
      </c>
      <c r="G62" s="50">
        <v>0</v>
      </c>
      <c r="H62" s="50">
        <v>0</v>
      </c>
      <c r="I62" s="50">
        <v>4</v>
      </c>
      <c r="J62" s="50">
        <v>1</v>
      </c>
      <c r="K62" s="50">
        <v>1</v>
      </c>
      <c r="L62" s="50">
        <v>0</v>
      </c>
      <c r="M62" s="50">
        <v>23</v>
      </c>
      <c r="N62" s="50">
        <v>0</v>
      </c>
      <c r="O62" s="15">
        <f t="shared" si="0"/>
        <v>16</v>
      </c>
      <c r="P62" s="15">
        <f t="shared" si="1"/>
        <v>39</v>
      </c>
      <c r="Q62" s="7"/>
      <c r="R62" s="8"/>
      <c r="T62"/>
    </row>
    <row r="63" spans="2:20" ht="20.100000000000001" customHeight="1" x14ac:dyDescent="0.25">
      <c r="B63" s="23" t="s">
        <v>108</v>
      </c>
      <c r="C63" s="50">
        <v>4</v>
      </c>
      <c r="D63" s="50">
        <v>0</v>
      </c>
      <c r="E63" s="50">
        <v>1</v>
      </c>
      <c r="F63" s="50">
        <v>4</v>
      </c>
      <c r="G63" s="50">
        <v>0</v>
      </c>
      <c r="H63" s="50">
        <v>0</v>
      </c>
      <c r="I63" s="50">
        <v>2</v>
      </c>
      <c r="J63" s="50">
        <v>1</v>
      </c>
      <c r="K63" s="50">
        <v>1</v>
      </c>
      <c r="L63" s="50">
        <v>0</v>
      </c>
      <c r="M63" s="50">
        <v>16</v>
      </c>
      <c r="N63" s="50">
        <v>0</v>
      </c>
      <c r="O63" s="15">
        <f t="shared" si="0"/>
        <v>13</v>
      </c>
      <c r="P63" s="15">
        <f t="shared" si="1"/>
        <v>29</v>
      </c>
      <c r="Q63" s="7"/>
    </row>
    <row r="64" spans="2:20" ht="20.100000000000001" customHeight="1" x14ac:dyDescent="0.25">
      <c r="B64" s="23" t="s">
        <v>109</v>
      </c>
      <c r="C64" s="50">
        <v>1</v>
      </c>
      <c r="D64" s="50">
        <v>0</v>
      </c>
      <c r="E64" s="50">
        <v>5</v>
      </c>
      <c r="F64" s="50">
        <v>3</v>
      </c>
      <c r="G64" s="50">
        <v>1</v>
      </c>
      <c r="H64" s="50">
        <v>1</v>
      </c>
      <c r="I64" s="50">
        <v>3</v>
      </c>
      <c r="J64" s="50">
        <v>1</v>
      </c>
      <c r="K64" s="50">
        <v>1</v>
      </c>
      <c r="L64" s="50">
        <v>0</v>
      </c>
      <c r="M64" s="50">
        <v>14</v>
      </c>
      <c r="N64" s="50">
        <v>0</v>
      </c>
      <c r="O64" s="15">
        <f t="shared" si="0"/>
        <v>16</v>
      </c>
      <c r="P64" s="15">
        <f t="shared" si="1"/>
        <v>30</v>
      </c>
      <c r="Q64" s="7"/>
    </row>
    <row r="65" spans="2:20" s="7" customFormat="1" ht="20.100000000000001" customHeight="1" x14ac:dyDescent="0.25">
      <c r="B65" s="23" t="s">
        <v>158</v>
      </c>
      <c r="C65" s="50">
        <v>4</v>
      </c>
      <c r="D65" s="50">
        <v>0</v>
      </c>
      <c r="E65" s="50">
        <v>1</v>
      </c>
      <c r="F65" s="50">
        <v>4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1</v>
      </c>
      <c r="M65" s="50">
        <v>13</v>
      </c>
      <c r="N65" s="50">
        <v>0</v>
      </c>
      <c r="O65" s="15">
        <f t="shared" si="0"/>
        <v>12</v>
      </c>
      <c r="P65" s="15">
        <f t="shared" si="1"/>
        <v>25</v>
      </c>
      <c r="S65" s="8"/>
      <c r="T65" s="8"/>
    </row>
    <row r="66" spans="2:20" s="7" customFormat="1" ht="20.100000000000001" customHeight="1" x14ac:dyDescent="0.25">
      <c r="B66" s="23" t="s">
        <v>103</v>
      </c>
      <c r="C66" s="50">
        <v>2</v>
      </c>
      <c r="D66" s="50">
        <v>0</v>
      </c>
      <c r="E66" s="50">
        <v>4</v>
      </c>
      <c r="F66" s="50">
        <v>2</v>
      </c>
      <c r="G66" s="50">
        <v>0</v>
      </c>
      <c r="H66" s="50">
        <v>0</v>
      </c>
      <c r="I66" s="50">
        <v>2</v>
      </c>
      <c r="J66" s="50">
        <v>1</v>
      </c>
      <c r="K66" s="50">
        <v>1</v>
      </c>
      <c r="L66" s="50">
        <v>1</v>
      </c>
      <c r="M66" s="50">
        <v>17</v>
      </c>
      <c r="N66" s="50">
        <v>0</v>
      </c>
      <c r="O66" s="15">
        <f t="shared" si="0"/>
        <v>13</v>
      </c>
      <c r="P66" s="15">
        <f t="shared" si="1"/>
        <v>30</v>
      </c>
      <c r="S66" s="8"/>
      <c r="T66" s="8"/>
    </row>
    <row r="67" spans="2:20" s="7" customFormat="1" ht="20.100000000000001" customHeight="1" x14ac:dyDescent="0.25">
      <c r="B67" s="23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1</v>
      </c>
      <c r="I67" s="50">
        <v>3</v>
      </c>
      <c r="J67" s="50">
        <v>0</v>
      </c>
      <c r="K67" s="50">
        <v>0</v>
      </c>
      <c r="L67" s="50">
        <v>0</v>
      </c>
      <c r="M67" s="50">
        <v>11</v>
      </c>
      <c r="N67" s="50">
        <v>0</v>
      </c>
      <c r="O67" s="15">
        <f t="shared" si="0"/>
        <v>11</v>
      </c>
      <c r="P67" s="15">
        <f t="shared" si="1"/>
        <v>22</v>
      </c>
      <c r="S67" s="8"/>
      <c r="T67" s="8"/>
    </row>
    <row r="68" spans="2:20" s="7" customFormat="1" ht="20.100000000000001" customHeight="1" x14ac:dyDescent="0.25">
      <c r="B68" s="23" t="s">
        <v>105</v>
      </c>
      <c r="C68" s="50">
        <v>3</v>
      </c>
      <c r="D68" s="50">
        <v>0</v>
      </c>
      <c r="E68" s="50">
        <v>3</v>
      </c>
      <c r="F68" s="50">
        <v>1</v>
      </c>
      <c r="G68" s="50">
        <v>1</v>
      </c>
      <c r="H68" s="50">
        <v>1</v>
      </c>
      <c r="I68" s="50">
        <v>3</v>
      </c>
      <c r="J68" s="50">
        <v>0</v>
      </c>
      <c r="K68" s="50">
        <v>0</v>
      </c>
      <c r="L68" s="50">
        <v>1</v>
      </c>
      <c r="M68" s="50">
        <v>10</v>
      </c>
      <c r="N68" s="50">
        <v>0</v>
      </c>
      <c r="O68" s="15">
        <f t="shared" si="0"/>
        <v>13</v>
      </c>
      <c r="P68" s="15">
        <f t="shared" si="1"/>
        <v>23</v>
      </c>
      <c r="S68" s="8"/>
      <c r="T68" s="8"/>
    </row>
    <row r="69" spans="2:20" s="7" customFormat="1" ht="20.100000000000001" customHeight="1" x14ac:dyDescent="0.25">
      <c r="B69" s="23" t="s">
        <v>106</v>
      </c>
      <c r="C69" s="50">
        <v>2</v>
      </c>
      <c r="D69" s="50">
        <v>0</v>
      </c>
      <c r="E69" s="50">
        <v>4</v>
      </c>
      <c r="F69" s="50">
        <v>3</v>
      </c>
      <c r="G69" s="50">
        <v>0</v>
      </c>
      <c r="H69" s="50">
        <v>1</v>
      </c>
      <c r="I69" s="50">
        <v>3</v>
      </c>
      <c r="J69" s="50">
        <v>1</v>
      </c>
      <c r="K69" s="50">
        <v>1</v>
      </c>
      <c r="L69" s="50">
        <v>0</v>
      </c>
      <c r="M69" s="50">
        <v>8</v>
      </c>
      <c r="N69" s="50">
        <v>0</v>
      </c>
      <c r="O69" s="15">
        <f t="shared" si="0"/>
        <v>15</v>
      </c>
      <c r="P69" s="15">
        <f t="shared" si="1"/>
        <v>23</v>
      </c>
      <c r="S69" s="8"/>
      <c r="T69" s="8"/>
    </row>
    <row r="70" spans="2:20" s="7" customFormat="1" ht="20.100000000000001" customHeight="1" x14ac:dyDescent="0.25">
      <c r="B70" s="23" t="s">
        <v>110</v>
      </c>
      <c r="C70" s="50">
        <v>2</v>
      </c>
      <c r="D70" s="50">
        <v>0</v>
      </c>
      <c r="E70" s="50">
        <v>2</v>
      </c>
      <c r="F70" s="50">
        <v>1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6</v>
      </c>
      <c r="P70" s="15">
        <f t="shared" si="1"/>
        <v>11</v>
      </c>
      <c r="S70" s="8"/>
      <c r="T70" s="8"/>
    </row>
    <row r="71" spans="2:20" s="7" customFormat="1" ht="20.100000000000001" customHeight="1" x14ac:dyDescent="0.25">
      <c r="B71" s="23" t="s">
        <v>111</v>
      </c>
      <c r="C71" s="50">
        <v>5</v>
      </c>
      <c r="D71" s="50">
        <v>0</v>
      </c>
      <c r="E71" s="50">
        <v>4</v>
      </c>
      <c r="F71" s="50">
        <v>2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14</v>
      </c>
      <c r="P71" s="15">
        <f t="shared" si="1"/>
        <v>17</v>
      </c>
      <c r="S71" s="8"/>
      <c r="T71" s="8"/>
    </row>
    <row r="72" spans="2:20" s="7" customFormat="1" ht="20.100000000000001" customHeight="1" x14ac:dyDescent="0.25">
      <c r="B72" s="23" t="s">
        <v>112</v>
      </c>
      <c r="C72" s="50">
        <v>1</v>
      </c>
      <c r="D72" s="50">
        <v>0</v>
      </c>
      <c r="E72" s="50">
        <v>1</v>
      </c>
      <c r="F72" s="50">
        <v>1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5</v>
      </c>
      <c r="P72" s="15">
        <f t="shared" si="1"/>
        <v>9</v>
      </c>
      <c r="S72" s="8"/>
      <c r="T72" s="8"/>
    </row>
    <row r="73" spans="2:20" s="7" customFormat="1" ht="20.100000000000001" customHeight="1" x14ac:dyDescent="0.25">
      <c r="B73" s="23" t="s">
        <v>113</v>
      </c>
      <c r="C73" s="50">
        <v>1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1</v>
      </c>
      <c r="M73" s="50">
        <v>3</v>
      </c>
      <c r="N73" s="50">
        <v>0</v>
      </c>
      <c r="O73" s="15">
        <f t="shared" si="0"/>
        <v>9</v>
      </c>
      <c r="P73" s="15">
        <f t="shared" si="1"/>
        <v>12</v>
      </c>
      <c r="S73" s="8"/>
      <c r="T73" s="8"/>
    </row>
    <row r="74" spans="2:20" s="7" customFormat="1" ht="20.100000000000001" customHeight="1" x14ac:dyDescent="0.25">
      <c r="B74" s="23" t="s">
        <v>114</v>
      </c>
      <c r="C74" s="50">
        <v>0</v>
      </c>
      <c r="D74" s="50">
        <v>0</v>
      </c>
      <c r="E74" s="50">
        <v>3</v>
      </c>
      <c r="F74" s="50">
        <v>1</v>
      </c>
      <c r="G74" s="50">
        <v>0</v>
      </c>
      <c r="H74" s="50">
        <v>1</v>
      </c>
      <c r="I74" s="50">
        <v>1</v>
      </c>
      <c r="J74" s="50">
        <v>0</v>
      </c>
      <c r="K74" s="50">
        <v>1</v>
      </c>
      <c r="L74" s="50">
        <v>1</v>
      </c>
      <c r="M74" s="50">
        <v>0</v>
      </c>
      <c r="N74" s="50">
        <v>0</v>
      </c>
      <c r="O74" s="15">
        <f t="shared" ref="O74:O105" si="21">SUM(C74:L74,N74)</f>
        <v>8</v>
      </c>
      <c r="P74" s="15">
        <f t="shared" ref="P74:P105" si="22">SUM(C74:N74)</f>
        <v>8</v>
      </c>
      <c r="S74" s="8"/>
      <c r="T74" s="8"/>
    </row>
    <row r="75" spans="2:20" s="7" customFormat="1" ht="20.100000000000001" customHeight="1" x14ac:dyDescent="0.25">
      <c r="B75" s="23" t="s">
        <v>115</v>
      </c>
      <c r="C75" s="50">
        <v>1</v>
      </c>
      <c r="D75" s="50">
        <v>0</v>
      </c>
      <c r="E75" s="50">
        <v>2</v>
      </c>
      <c r="F75" s="50">
        <v>2</v>
      </c>
      <c r="G75" s="50">
        <v>1</v>
      </c>
      <c r="H75" s="50">
        <v>1</v>
      </c>
      <c r="I75" s="50">
        <v>1</v>
      </c>
      <c r="J75" s="50">
        <v>1</v>
      </c>
      <c r="K75" s="50">
        <v>1</v>
      </c>
      <c r="L75" s="50">
        <v>0</v>
      </c>
      <c r="M75" s="50">
        <v>1</v>
      </c>
      <c r="N75" s="50">
        <v>0</v>
      </c>
      <c r="O75" s="15">
        <f t="shared" si="21"/>
        <v>10</v>
      </c>
      <c r="P75" s="15">
        <f t="shared" si="22"/>
        <v>11</v>
      </c>
      <c r="S75" s="8"/>
      <c r="T75" s="8"/>
    </row>
    <row r="76" spans="2:20" s="7" customFormat="1" ht="20.100000000000001" customHeight="1" x14ac:dyDescent="0.25">
      <c r="B76" s="23" t="s">
        <v>116</v>
      </c>
      <c r="C76" s="50">
        <v>2</v>
      </c>
      <c r="D76" s="50">
        <v>0</v>
      </c>
      <c r="E76" s="50">
        <v>3</v>
      </c>
      <c r="F76" s="50">
        <v>1</v>
      </c>
      <c r="G76" s="50">
        <v>0</v>
      </c>
      <c r="H76" s="50">
        <v>0</v>
      </c>
      <c r="I76" s="50">
        <v>2</v>
      </c>
      <c r="J76" s="50">
        <v>1</v>
      </c>
      <c r="K76" s="50">
        <v>1</v>
      </c>
      <c r="L76" s="50">
        <v>0</v>
      </c>
      <c r="M76" s="50">
        <v>2</v>
      </c>
      <c r="N76" s="50">
        <v>0</v>
      </c>
      <c r="O76" s="15">
        <f t="shared" si="21"/>
        <v>10</v>
      </c>
      <c r="P76" s="15">
        <f t="shared" si="22"/>
        <v>12</v>
      </c>
      <c r="S76" s="8"/>
      <c r="T76" s="8"/>
    </row>
    <row r="77" spans="2:20" s="7" customFormat="1" ht="20.100000000000001" customHeight="1" x14ac:dyDescent="0.25">
      <c r="B77" s="23" t="s">
        <v>117</v>
      </c>
      <c r="C77" s="50">
        <v>0</v>
      </c>
      <c r="D77" s="50">
        <v>0</v>
      </c>
      <c r="E77" s="50">
        <v>1</v>
      </c>
      <c r="F77" s="50">
        <v>2</v>
      </c>
      <c r="G77" s="50">
        <v>0</v>
      </c>
      <c r="H77" s="50">
        <v>0</v>
      </c>
      <c r="I77" s="50">
        <v>1</v>
      </c>
      <c r="J77" s="50">
        <v>1</v>
      </c>
      <c r="K77" s="50">
        <v>1</v>
      </c>
      <c r="L77" s="50">
        <v>0</v>
      </c>
      <c r="M77" s="50">
        <v>1</v>
      </c>
      <c r="N77" s="50">
        <v>0</v>
      </c>
      <c r="O77" s="15">
        <f t="shared" si="21"/>
        <v>6</v>
      </c>
      <c r="P77" s="15">
        <f t="shared" si="22"/>
        <v>7</v>
      </c>
      <c r="Q77"/>
      <c r="S77" s="8"/>
      <c r="T77" s="8"/>
    </row>
    <row r="78" spans="2:20" s="7" customFormat="1" ht="20.100000000000001" customHeight="1" x14ac:dyDescent="0.25">
      <c r="B78" s="24" t="s">
        <v>118</v>
      </c>
      <c r="C78" s="50">
        <v>1</v>
      </c>
      <c r="D78" s="50">
        <v>0</v>
      </c>
      <c r="E78" s="50">
        <v>3</v>
      </c>
      <c r="F78" s="50">
        <v>2</v>
      </c>
      <c r="G78" s="50">
        <v>1</v>
      </c>
      <c r="H78" s="50">
        <v>1</v>
      </c>
      <c r="I78" s="50">
        <v>2</v>
      </c>
      <c r="J78" s="50">
        <v>1</v>
      </c>
      <c r="K78" s="50">
        <v>1</v>
      </c>
      <c r="L78" s="50">
        <v>0</v>
      </c>
      <c r="M78" s="50">
        <v>1</v>
      </c>
      <c r="N78" s="50">
        <v>0</v>
      </c>
      <c r="O78" s="15">
        <f t="shared" si="21"/>
        <v>12</v>
      </c>
      <c r="P78" s="15">
        <f t="shared" si="22"/>
        <v>13</v>
      </c>
      <c r="Q78"/>
      <c r="S78" s="8"/>
      <c r="T78" s="8"/>
    </row>
    <row r="79" spans="2:20" s="7" customFormat="1" ht="20.100000000000001" customHeight="1" x14ac:dyDescent="0.25">
      <c r="B79" s="23" t="s">
        <v>119</v>
      </c>
      <c r="C79" s="50">
        <v>2</v>
      </c>
      <c r="D79" s="50">
        <v>0</v>
      </c>
      <c r="E79" s="50">
        <v>1</v>
      </c>
      <c r="F79" s="50">
        <v>2</v>
      </c>
      <c r="G79" s="50">
        <v>0</v>
      </c>
      <c r="H79" s="50">
        <v>0</v>
      </c>
      <c r="I79" s="50">
        <v>1</v>
      </c>
      <c r="J79" s="50">
        <v>1</v>
      </c>
      <c r="K79" s="50">
        <v>0</v>
      </c>
      <c r="L79" s="50">
        <v>1</v>
      </c>
      <c r="M79" s="50">
        <v>0</v>
      </c>
      <c r="N79" s="50">
        <v>0</v>
      </c>
      <c r="O79" s="15">
        <f t="shared" si="21"/>
        <v>8</v>
      </c>
      <c r="P79" s="15">
        <f t="shared" si="22"/>
        <v>8</v>
      </c>
      <c r="Q79"/>
      <c r="S79" s="8"/>
      <c r="T79" s="8"/>
    </row>
    <row r="80" spans="2:20" s="7" customFormat="1" ht="20.100000000000001" customHeight="1" x14ac:dyDescent="0.25">
      <c r="B80" s="25" t="s">
        <v>120</v>
      </c>
      <c r="C80" s="50">
        <v>0</v>
      </c>
      <c r="D80" s="50">
        <v>0</v>
      </c>
      <c r="E80" s="50">
        <v>2</v>
      </c>
      <c r="F80" s="50">
        <v>1</v>
      </c>
      <c r="G80" s="50">
        <v>0</v>
      </c>
      <c r="H80" s="50">
        <v>0</v>
      </c>
      <c r="I80" s="50">
        <v>1</v>
      </c>
      <c r="J80" s="50">
        <v>1</v>
      </c>
      <c r="K80" s="50">
        <v>1</v>
      </c>
      <c r="L80" s="50">
        <v>1</v>
      </c>
      <c r="M80" s="50">
        <v>0</v>
      </c>
      <c r="N80" s="50">
        <v>0</v>
      </c>
      <c r="O80" s="15">
        <f t="shared" si="21"/>
        <v>7</v>
      </c>
      <c r="P80" s="15">
        <f t="shared" si="22"/>
        <v>7</v>
      </c>
      <c r="Q80"/>
      <c r="S80" s="8"/>
      <c r="T80" s="8"/>
    </row>
    <row r="81" spans="2:16" ht="20.100000000000001" customHeight="1" x14ac:dyDescent="0.25">
      <c r="B81" s="23" t="s">
        <v>121</v>
      </c>
      <c r="C81" s="50">
        <v>1</v>
      </c>
      <c r="D81" s="50">
        <v>0</v>
      </c>
      <c r="E81" s="50">
        <v>1</v>
      </c>
      <c r="F81" s="50">
        <v>2</v>
      </c>
      <c r="G81" s="50">
        <v>0</v>
      </c>
      <c r="H81" s="50">
        <v>1</v>
      </c>
      <c r="I81" s="50">
        <v>2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21"/>
        <v>7</v>
      </c>
      <c r="P81" s="15">
        <f t="shared" si="22"/>
        <v>7</v>
      </c>
    </row>
    <row r="82" spans="2:16" ht="20.100000000000001" customHeight="1" x14ac:dyDescent="0.25">
      <c r="B82" s="24" t="s">
        <v>122</v>
      </c>
      <c r="C82" s="50">
        <v>1</v>
      </c>
      <c r="D82" s="50">
        <v>0</v>
      </c>
      <c r="E82" s="50">
        <v>2</v>
      </c>
      <c r="F82" s="50">
        <v>1</v>
      </c>
      <c r="G82" s="50">
        <v>1</v>
      </c>
      <c r="H82" s="50">
        <v>1</v>
      </c>
      <c r="I82" s="50">
        <v>1</v>
      </c>
      <c r="J82" s="50">
        <v>0</v>
      </c>
      <c r="K82" s="50">
        <v>0</v>
      </c>
      <c r="L82" s="50">
        <v>1</v>
      </c>
      <c r="M82" s="50">
        <v>0</v>
      </c>
      <c r="N82" s="50">
        <v>0</v>
      </c>
      <c r="O82" s="15">
        <f t="shared" si="21"/>
        <v>8</v>
      </c>
      <c r="P82" s="15">
        <f t="shared" si="22"/>
        <v>8</v>
      </c>
    </row>
    <row r="83" spans="2:16" ht="20.100000000000001" customHeight="1" x14ac:dyDescent="0.25">
      <c r="B83" s="23" t="s">
        <v>123</v>
      </c>
      <c r="C83" s="50">
        <v>0</v>
      </c>
      <c r="D83" s="50">
        <v>0</v>
      </c>
      <c r="E83" s="50">
        <v>2</v>
      </c>
      <c r="F83" s="50">
        <v>2</v>
      </c>
      <c r="G83" s="50">
        <v>0</v>
      </c>
      <c r="H83" s="50">
        <v>1</v>
      </c>
      <c r="I83" s="50">
        <v>1</v>
      </c>
      <c r="J83" s="50">
        <v>1</v>
      </c>
      <c r="K83" s="50">
        <v>1</v>
      </c>
      <c r="L83" s="50">
        <v>0</v>
      </c>
      <c r="M83" s="50">
        <v>0</v>
      </c>
      <c r="N83" s="50">
        <v>0</v>
      </c>
      <c r="O83" s="15">
        <f t="shared" si="21"/>
        <v>8</v>
      </c>
      <c r="P83" s="15">
        <f t="shared" si="22"/>
        <v>8</v>
      </c>
    </row>
    <row r="84" spans="2:16" ht="20.100000000000001" customHeight="1" x14ac:dyDescent="0.25">
      <c r="B84" s="25" t="s">
        <v>124</v>
      </c>
      <c r="C84" s="50">
        <v>1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21"/>
        <v>3</v>
      </c>
      <c r="P84" s="15">
        <f t="shared" si="22"/>
        <v>3</v>
      </c>
    </row>
    <row r="85" spans="2:16" ht="20.100000000000001" customHeight="1" x14ac:dyDescent="0.25">
      <c r="B85" s="23" t="s">
        <v>125</v>
      </c>
      <c r="C85" s="50">
        <v>2</v>
      </c>
      <c r="D85" s="50">
        <v>0</v>
      </c>
      <c r="E85" s="50">
        <v>1</v>
      </c>
      <c r="F85" s="50">
        <v>1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21"/>
        <v>5</v>
      </c>
      <c r="P85" s="15">
        <f t="shared" si="22"/>
        <v>5</v>
      </c>
    </row>
    <row r="86" spans="2:16" ht="20.100000000000001" customHeight="1" x14ac:dyDescent="0.25">
      <c r="B86" s="24" t="s">
        <v>126</v>
      </c>
      <c r="C86" s="50">
        <v>1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0</v>
      </c>
      <c r="N86" s="50">
        <v>0</v>
      </c>
      <c r="O86" s="15">
        <f t="shared" si="21"/>
        <v>4</v>
      </c>
      <c r="P86" s="15">
        <f t="shared" si="22"/>
        <v>4</v>
      </c>
    </row>
    <row r="87" spans="2:16" ht="20.100000000000001" customHeight="1" x14ac:dyDescent="0.25">
      <c r="B87" s="23" t="s">
        <v>127</v>
      </c>
      <c r="C87" s="50">
        <v>0</v>
      </c>
      <c r="D87" s="50">
        <v>0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1</v>
      </c>
      <c r="M87" s="50">
        <v>0</v>
      </c>
      <c r="N87" s="50">
        <v>0</v>
      </c>
      <c r="O87" s="15">
        <f t="shared" si="21"/>
        <v>4</v>
      </c>
      <c r="P87" s="15">
        <f t="shared" si="22"/>
        <v>4</v>
      </c>
    </row>
    <row r="88" spans="2:16" ht="20.100000000000001" customHeight="1" x14ac:dyDescent="0.25">
      <c r="B88" s="25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1</v>
      </c>
      <c r="L88" s="50">
        <v>1</v>
      </c>
      <c r="M88" s="50">
        <v>0</v>
      </c>
      <c r="N88" s="50">
        <v>0</v>
      </c>
      <c r="O88" s="15">
        <f t="shared" si="21"/>
        <v>3</v>
      </c>
      <c r="P88" s="15">
        <f t="shared" si="22"/>
        <v>3</v>
      </c>
    </row>
    <row r="89" spans="2:16" ht="20.100000000000001" customHeight="1" x14ac:dyDescent="0.25">
      <c r="B89" s="23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1</v>
      </c>
      <c r="H89" s="50">
        <v>1</v>
      </c>
      <c r="I89" s="50">
        <v>0</v>
      </c>
      <c r="J89" s="50">
        <v>1</v>
      </c>
      <c r="K89" s="50">
        <v>1</v>
      </c>
      <c r="L89" s="50">
        <v>0</v>
      </c>
      <c r="M89" s="50">
        <v>0</v>
      </c>
      <c r="N89" s="50">
        <v>0</v>
      </c>
      <c r="O89" s="15">
        <f t="shared" si="21"/>
        <v>4</v>
      </c>
      <c r="P89" s="15">
        <f t="shared" si="22"/>
        <v>4</v>
      </c>
    </row>
    <row r="90" spans="2:16" ht="20.100000000000001" customHeight="1" x14ac:dyDescent="0.25">
      <c r="B90" s="24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1</v>
      </c>
      <c r="L90" s="50">
        <v>0</v>
      </c>
      <c r="M90" s="50">
        <v>0</v>
      </c>
      <c r="N90" s="50">
        <v>0</v>
      </c>
      <c r="O90" s="15">
        <f t="shared" si="21"/>
        <v>2</v>
      </c>
      <c r="P90" s="15">
        <f t="shared" si="22"/>
        <v>2</v>
      </c>
    </row>
    <row r="91" spans="2:16" ht="20.100000000000001" customHeight="1" x14ac:dyDescent="0.25">
      <c r="B91" s="23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1</v>
      </c>
      <c r="L91" s="50">
        <v>0</v>
      </c>
      <c r="M91" s="50">
        <v>0</v>
      </c>
      <c r="N91" s="50">
        <v>0</v>
      </c>
      <c r="O91" s="15">
        <f t="shared" si="21"/>
        <v>2</v>
      </c>
      <c r="P91" s="15">
        <f t="shared" si="22"/>
        <v>2</v>
      </c>
    </row>
    <row r="92" spans="2:16" ht="20.100000000000001" customHeight="1" x14ac:dyDescent="0.25">
      <c r="B92" s="25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1</v>
      </c>
      <c r="H92" s="50">
        <v>1</v>
      </c>
      <c r="I92" s="50">
        <v>0</v>
      </c>
      <c r="J92" s="50">
        <v>1</v>
      </c>
      <c r="K92" s="50">
        <v>1</v>
      </c>
      <c r="L92" s="50">
        <v>0</v>
      </c>
      <c r="M92" s="50">
        <v>0</v>
      </c>
      <c r="N92" s="50">
        <v>0</v>
      </c>
      <c r="O92" s="15">
        <f t="shared" si="21"/>
        <v>4</v>
      </c>
      <c r="P92" s="15">
        <f t="shared" si="22"/>
        <v>4</v>
      </c>
    </row>
    <row r="93" spans="2:16" ht="20.100000000000001" customHeight="1" x14ac:dyDescent="0.25">
      <c r="B93" s="23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50">
        <v>0</v>
      </c>
      <c r="N93" s="50">
        <v>0</v>
      </c>
      <c r="O93" s="15">
        <f t="shared" si="21"/>
        <v>3</v>
      </c>
      <c r="P93" s="15">
        <f t="shared" si="22"/>
        <v>3</v>
      </c>
    </row>
    <row r="94" spans="2:16" ht="20.100000000000001" customHeight="1" x14ac:dyDescent="0.25">
      <c r="B94" s="24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1</v>
      </c>
      <c r="L94" s="50">
        <v>1</v>
      </c>
      <c r="M94" s="50">
        <v>0</v>
      </c>
      <c r="N94" s="50">
        <v>0</v>
      </c>
      <c r="O94" s="15">
        <f t="shared" si="21"/>
        <v>4</v>
      </c>
      <c r="P94" s="15">
        <f t="shared" si="22"/>
        <v>4</v>
      </c>
    </row>
    <row r="95" spans="2:16" ht="20.100000000000001" customHeight="1" x14ac:dyDescent="0.25">
      <c r="B95" s="23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21"/>
        <v>2</v>
      </c>
      <c r="P95" s="15">
        <f t="shared" si="22"/>
        <v>2</v>
      </c>
    </row>
    <row r="96" spans="2:16" ht="20.100000000000001" customHeight="1" x14ac:dyDescent="0.25">
      <c r="B96" s="25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1</v>
      </c>
      <c r="H96" s="50">
        <v>1</v>
      </c>
      <c r="I96" s="50">
        <v>0</v>
      </c>
      <c r="J96" s="50">
        <v>0</v>
      </c>
      <c r="K96" s="50">
        <v>0</v>
      </c>
      <c r="L96" s="50">
        <v>1</v>
      </c>
      <c r="M96" s="50">
        <v>0</v>
      </c>
      <c r="N96" s="50">
        <v>0</v>
      </c>
      <c r="O96" s="15">
        <f t="shared" si="21"/>
        <v>4</v>
      </c>
      <c r="P96" s="15">
        <f t="shared" si="22"/>
        <v>4</v>
      </c>
    </row>
    <row r="97" spans="2:16" ht="20.100000000000001" customHeight="1" x14ac:dyDescent="0.25">
      <c r="B97" s="23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1</v>
      </c>
      <c r="I97" s="50">
        <v>0</v>
      </c>
      <c r="J97" s="50">
        <v>1</v>
      </c>
      <c r="K97" s="50">
        <v>1</v>
      </c>
      <c r="L97" s="50">
        <v>0</v>
      </c>
      <c r="M97" s="50">
        <v>0</v>
      </c>
      <c r="N97" s="50">
        <v>0</v>
      </c>
      <c r="O97" s="15">
        <f t="shared" si="21"/>
        <v>4</v>
      </c>
      <c r="P97" s="15">
        <f t="shared" si="22"/>
        <v>4</v>
      </c>
    </row>
    <row r="98" spans="2:16" ht="20.100000000000001" customHeight="1" x14ac:dyDescent="0.25">
      <c r="B98" s="24" t="s">
        <v>138</v>
      </c>
      <c r="C98" s="50">
        <v>1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21"/>
        <v>2</v>
      </c>
      <c r="P98" s="15">
        <f t="shared" si="22"/>
        <v>2</v>
      </c>
    </row>
    <row r="99" spans="2:16" ht="20.100000000000001" customHeight="1" x14ac:dyDescent="0.25">
      <c r="B99" s="23" t="s">
        <v>139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15">
        <f t="shared" si="21"/>
        <v>2</v>
      </c>
      <c r="P99" s="15">
        <f t="shared" si="22"/>
        <v>2</v>
      </c>
    </row>
    <row r="100" spans="2:16" ht="20.100000000000001" customHeight="1" x14ac:dyDescent="0.25">
      <c r="B100" s="25" t="s">
        <v>140</v>
      </c>
      <c r="C100" s="50">
        <v>1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21"/>
        <v>3</v>
      </c>
      <c r="P100" s="15">
        <f t="shared" si="22"/>
        <v>3</v>
      </c>
    </row>
    <row r="101" spans="2:16" ht="20.100000000000001" customHeight="1" x14ac:dyDescent="0.25">
      <c r="B101" s="23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21"/>
        <v>3</v>
      </c>
      <c r="P101" s="15">
        <f t="shared" si="22"/>
        <v>3</v>
      </c>
    </row>
    <row r="102" spans="2:16" ht="20.100000000000001" customHeight="1" x14ac:dyDescent="0.25">
      <c r="B102" s="24" t="s">
        <v>142</v>
      </c>
      <c r="C102" s="50">
        <v>0</v>
      </c>
      <c r="D102" s="50">
        <v>0</v>
      </c>
      <c r="E102" s="50">
        <v>1</v>
      </c>
      <c r="F102" s="50">
        <v>0</v>
      </c>
      <c r="G102" s="50">
        <v>0</v>
      </c>
      <c r="H102" s="50">
        <v>1</v>
      </c>
      <c r="I102" s="50">
        <v>0</v>
      </c>
      <c r="J102" s="50">
        <v>0</v>
      </c>
      <c r="K102" s="50">
        <v>1</v>
      </c>
      <c r="L102" s="50">
        <v>1</v>
      </c>
      <c r="M102" s="50">
        <v>0</v>
      </c>
      <c r="N102" s="50">
        <v>0</v>
      </c>
      <c r="O102" s="15">
        <f t="shared" si="21"/>
        <v>4</v>
      </c>
      <c r="P102" s="15">
        <f t="shared" si="22"/>
        <v>4</v>
      </c>
    </row>
    <row r="103" spans="2:16" ht="20.100000000000001" customHeight="1" x14ac:dyDescent="0.25">
      <c r="B103" s="23" t="s">
        <v>143</v>
      </c>
      <c r="C103" s="50">
        <v>1</v>
      </c>
      <c r="D103" s="50">
        <v>0</v>
      </c>
      <c r="E103" s="50">
        <v>1</v>
      </c>
      <c r="F103" s="50">
        <v>0</v>
      </c>
      <c r="G103" s="50">
        <v>1</v>
      </c>
      <c r="H103" s="50">
        <v>1</v>
      </c>
      <c r="I103" s="50">
        <v>0</v>
      </c>
      <c r="J103" s="50">
        <v>1</v>
      </c>
      <c r="K103" s="50">
        <v>1</v>
      </c>
      <c r="L103" s="50">
        <v>0</v>
      </c>
      <c r="M103" s="50">
        <v>1</v>
      </c>
      <c r="N103" s="50">
        <v>0</v>
      </c>
      <c r="O103" s="15">
        <f t="shared" si="21"/>
        <v>6</v>
      </c>
      <c r="P103" s="15">
        <f t="shared" si="22"/>
        <v>7</v>
      </c>
    </row>
    <row r="104" spans="2:16" ht="22.5" customHeight="1" x14ac:dyDescent="0.25">
      <c r="B104" s="25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2</v>
      </c>
      <c r="J104" s="50">
        <v>1</v>
      </c>
      <c r="K104" s="50">
        <v>1</v>
      </c>
      <c r="L104" s="50">
        <v>0</v>
      </c>
      <c r="M104" s="50">
        <v>3</v>
      </c>
      <c r="N104" s="50">
        <v>0</v>
      </c>
      <c r="O104" s="15">
        <f t="shared" si="21"/>
        <v>7</v>
      </c>
      <c r="P104" s="15">
        <f t="shared" si="22"/>
        <v>10</v>
      </c>
    </row>
    <row r="105" spans="2:16" ht="20.100000000000001" customHeight="1" x14ac:dyDescent="0.25">
      <c r="B105" s="23" t="s">
        <v>145</v>
      </c>
      <c r="C105" s="50">
        <v>1</v>
      </c>
      <c r="D105" s="50">
        <v>0</v>
      </c>
      <c r="E105" s="50">
        <v>1</v>
      </c>
      <c r="F105" s="50">
        <v>1</v>
      </c>
      <c r="G105" s="50">
        <v>0</v>
      </c>
      <c r="H105" s="50">
        <v>0</v>
      </c>
      <c r="I105" s="50">
        <v>1</v>
      </c>
      <c r="J105" s="50">
        <v>2</v>
      </c>
      <c r="K105" s="50">
        <v>1</v>
      </c>
      <c r="L105" s="50">
        <v>0</v>
      </c>
      <c r="M105" s="50">
        <v>1</v>
      </c>
      <c r="N105" s="50">
        <v>0</v>
      </c>
      <c r="O105" s="15">
        <f t="shared" si="21"/>
        <v>7</v>
      </c>
      <c r="P105" s="15">
        <f t="shared" si="22"/>
        <v>8</v>
      </c>
    </row>
    <row r="106" spans="2:16" ht="20.100000000000001" customHeight="1" x14ac:dyDescent="0.25">
      <c r="B106" s="26" t="s">
        <v>18</v>
      </c>
      <c r="C106" s="16">
        <f>SUM(C10:C105)</f>
        <v>269</v>
      </c>
      <c r="D106" s="16">
        <f t="shared" ref="D106:P106" si="23">SUM(D10:D105)</f>
        <v>0</v>
      </c>
      <c r="E106" s="16">
        <f t="shared" si="23"/>
        <v>328</v>
      </c>
      <c r="F106" s="16">
        <f t="shared" si="23"/>
        <v>280</v>
      </c>
      <c r="G106" s="16">
        <f t="shared" si="23"/>
        <v>25</v>
      </c>
      <c r="H106" s="16">
        <f t="shared" si="23"/>
        <v>30</v>
      </c>
      <c r="I106" s="16">
        <f t="shared" si="23"/>
        <v>207</v>
      </c>
      <c r="J106" s="16">
        <f t="shared" si="23"/>
        <v>53</v>
      </c>
      <c r="K106" s="16">
        <f t="shared" si="23"/>
        <v>50</v>
      </c>
      <c r="L106" s="16">
        <f t="shared" si="23"/>
        <v>29</v>
      </c>
      <c r="M106" s="16">
        <f t="shared" si="23"/>
        <v>1517</v>
      </c>
      <c r="N106" s="16">
        <f t="shared" si="23"/>
        <v>0</v>
      </c>
      <c r="O106" s="16">
        <f t="shared" si="23"/>
        <v>1271</v>
      </c>
      <c r="P106" s="16">
        <f t="shared" si="23"/>
        <v>2788</v>
      </c>
    </row>
    <row r="107" spans="2:16" ht="20.100000000000001" customHeight="1" x14ac:dyDescent="0.25">
      <c r="B107" s="26" t="s">
        <v>93</v>
      </c>
      <c r="C107" s="43">
        <f t="shared" ref="C107:N107" si="24">C106/$P$106</f>
        <v>9.6484935437589667E-2</v>
      </c>
      <c r="D107" s="43">
        <f t="shared" si="24"/>
        <v>0</v>
      </c>
      <c r="E107" s="43">
        <f t="shared" si="24"/>
        <v>0.11764705882352941</v>
      </c>
      <c r="F107" s="43">
        <f t="shared" si="24"/>
        <v>0.10043041606886657</v>
      </c>
      <c r="G107" s="43">
        <f t="shared" si="24"/>
        <v>8.9670014347202291E-3</v>
      </c>
      <c r="H107" s="43">
        <f t="shared" si="24"/>
        <v>1.0760401721664276E-2</v>
      </c>
      <c r="I107" s="43">
        <f t="shared" si="24"/>
        <v>7.4246771879483503E-2</v>
      </c>
      <c r="J107" s="43">
        <f t="shared" si="24"/>
        <v>1.9010043041606885E-2</v>
      </c>
      <c r="K107" s="43">
        <f t="shared" si="24"/>
        <v>1.7934002869440458E-2</v>
      </c>
      <c r="L107" s="43">
        <f t="shared" si="24"/>
        <v>1.0401721664275465E-2</v>
      </c>
      <c r="M107" s="43">
        <f t="shared" si="24"/>
        <v>0.54411764705882348</v>
      </c>
      <c r="N107" s="43">
        <f t="shared" si="24"/>
        <v>0</v>
      </c>
    </row>
    <row r="108" spans="2:16" ht="20.100000000000001" customHeight="1" x14ac:dyDescent="0.25">
      <c r="B108" s="42" t="s">
        <v>94</v>
      </c>
      <c r="C108" s="44">
        <f>C106/$O$106</f>
        <v>0.21164437450826121</v>
      </c>
      <c r="D108" s="44">
        <f t="shared" ref="D108:N108" si="25">D106/$O$106</f>
        <v>0</v>
      </c>
      <c r="E108" s="44">
        <f t="shared" si="25"/>
        <v>0.25806451612903225</v>
      </c>
      <c r="F108" s="44">
        <f t="shared" si="25"/>
        <v>0.22029897718332023</v>
      </c>
      <c r="G108" s="44">
        <f t="shared" si="25"/>
        <v>1.9669551534225019E-2</v>
      </c>
      <c r="H108" s="44">
        <f t="shared" si="25"/>
        <v>2.3603461841070025E-2</v>
      </c>
      <c r="I108" s="44">
        <f t="shared" si="25"/>
        <v>0.16286388670338317</v>
      </c>
      <c r="J108" s="44">
        <f t="shared" si="25"/>
        <v>4.1699449252557044E-2</v>
      </c>
      <c r="K108" s="44">
        <f t="shared" si="25"/>
        <v>3.9339103068450038E-2</v>
      </c>
      <c r="L108" s="44">
        <f t="shared" si="25"/>
        <v>2.2816679779701022E-2</v>
      </c>
      <c r="M108" s="44"/>
      <c r="N108" s="44">
        <f t="shared" si="25"/>
        <v>0</v>
      </c>
    </row>
    <row r="109" spans="2:16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6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6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6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72" zoomScale="60" workbookViewId="0">
      <selection activeCell="M75" sqref="M7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'20.8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'20.8 Kayunga-Kangulumira'!D5</f>
        <v>20.08.19</v>
      </c>
      <c r="E5" s="3"/>
      <c r="F5" s="41" t="s">
        <v>1</v>
      </c>
      <c r="G5" s="63" t="s">
        <v>163</v>
      </c>
      <c r="H5" s="64"/>
      <c r="I5" s="14"/>
      <c r="J5" s="2" t="s">
        <v>5</v>
      </c>
      <c r="K5" s="63" t="s">
        <v>163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">
        <v>163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1</v>
      </c>
      <c r="F10" s="50">
        <v>8</v>
      </c>
      <c r="G10" s="50">
        <v>0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10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26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11</v>
      </c>
      <c r="V10" s="17">
        <f t="shared" si="2"/>
        <v>22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4</v>
      </c>
      <c r="AB10" s="17">
        <f t="shared" si="2"/>
        <v>3</v>
      </c>
      <c r="AC10" s="17">
        <f t="shared" si="2"/>
        <v>74</v>
      </c>
      <c r="AD10" s="17">
        <f t="shared" si="2"/>
        <v>1</v>
      </c>
      <c r="AE10" s="31">
        <f t="shared" si="2"/>
        <v>59</v>
      </c>
      <c r="AF10" s="31">
        <f t="shared" si="2"/>
        <v>133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5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19</v>
      </c>
      <c r="N11" s="50">
        <v>1</v>
      </c>
      <c r="O11" s="15">
        <f t="shared" si="0"/>
        <v>13</v>
      </c>
      <c r="P11" s="15">
        <f t="shared" si="1"/>
        <v>32</v>
      </c>
      <c r="R11" s="1" t="s">
        <v>7</v>
      </c>
      <c r="S11" s="17">
        <f t="shared" ref="S11:AF11" si="3">SUM(C14:C17)</f>
        <v>17</v>
      </c>
      <c r="T11" s="17">
        <f t="shared" si="3"/>
        <v>0</v>
      </c>
      <c r="U11" s="17">
        <f t="shared" si="3"/>
        <v>8</v>
      </c>
      <c r="V11" s="17">
        <f t="shared" si="3"/>
        <v>15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95</v>
      </c>
      <c r="AD11" s="17">
        <f t="shared" si="3"/>
        <v>0</v>
      </c>
      <c r="AE11" s="31">
        <f t="shared" si="3"/>
        <v>52</v>
      </c>
      <c r="AF11" s="31">
        <f t="shared" si="3"/>
        <v>147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4</v>
      </c>
      <c r="F12" s="50">
        <v>9</v>
      </c>
      <c r="G12" s="50">
        <v>0</v>
      </c>
      <c r="H12" s="50">
        <v>0</v>
      </c>
      <c r="I12" s="50">
        <v>3</v>
      </c>
      <c r="J12" s="50">
        <v>0</v>
      </c>
      <c r="K12" s="50">
        <v>3</v>
      </c>
      <c r="L12" s="50">
        <v>0</v>
      </c>
      <c r="M12" s="50">
        <v>19</v>
      </c>
      <c r="N12" s="50">
        <v>0</v>
      </c>
      <c r="O12" s="15">
        <f t="shared" si="0"/>
        <v>22</v>
      </c>
      <c r="P12" s="15">
        <f t="shared" si="1"/>
        <v>41</v>
      </c>
      <c r="R12" s="1" t="s">
        <v>8</v>
      </c>
      <c r="S12" s="17">
        <f t="shared" ref="S12:AF12" si="4">SUM(C18:C21)</f>
        <v>14</v>
      </c>
      <c r="T12" s="17">
        <f t="shared" si="4"/>
        <v>0</v>
      </c>
      <c r="U12" s="17">
        <f t="shared" si="4"/>
        <v>17</v>
      </c>
      <c r="V12" s="17">
        <f t="shared" si="4"/>
        <v>15</v>
      </c>
      <c r="W12" s="17">
        <f t="shared" si="4"/>
        <v>0</v>
      </c>
      <c r="X12" s="17">
        <f t="shared" si="4"/>
        <v>1</v>
      </c>
      <c r="Y12" s="17">
        <f t="shared" si="4"/>
        <v>7</v>
      </c>
      <c r="Z12" s="17">
        <f t="shared" si="4"/>
        <v>1</v>
      </c>
      <c r="AA12" s="17">
        <f t="shared" si="4"/>
        <v>1</v>
      </c>
      <c r="AB12" s="17">
        <f t="shared" si="4"/>
        <v>2</v>
      </c>
      <c r="AC12" s="17">
        <f t="shared" si="4"/>
        <v>85</v>
      </c>
      <c r="AD12" s="17">
        <f t="shared" si="4"/>
        <v>0</v>
      </c>
      <c r="AE12" s="31">
        <f t="shared" si="4"/>
        <v>58</v>
      </c>
      <c r="AF12" s="31">
        <f t="shared" si="4"/>
        <v>143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1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3</v>
      </c>
      <c r="M13" s="50">
        <v>26</v>
      </c>
      <c r="N13" s="50">
        <v>0</v>
      </c>
      <c r="O13" s="15">
        <f t="shared" si="0"/>
        <v>8</v>
      </c>
      <c r="P13" s="15">
        <f t="shared" si="1"/>
        <v>34</v>
      </c>
      <c r="R13" s="1" t="s">
        <v>9</v>
      </c>
      <c r="S13" s="17">
        <f t="shared" ref="S13:AF13" si="5">SUM(C22:C25)</f>
        <v>14</v>
      </c>
      <c r="T13" s="17">
        <f t="shared" si="5"/>
        <v>0</v>
      </c>
      <c r="U13" s="17">
        <f t="shared" si="5"/>
        <v>19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1</v>
      </c>
      <c r="AA13" s="17">
        <f t="shared" si="5"/>
        <v>4</v>
      </c>
      <c r="AB13" s="17">
        <f t="shared" si="5"/>
        <v>3</v>
      </c>
      <c r="AC13" s="17">
        <f t="shared" si="5"/>
        <v>89</v>
      </c>
      <c r="AD13" s="17">
        <f t="shared" si="5"/>
        <v>0</v>
      </c>
      <c r="AE13" s="31">
        <f t="shared" si="5"/>
        <v>66</v>
      </c>
      <c r="AF13" s="31">
        <f t="shared" si="5"/>
        <v>155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8</v>
      </c>
      <c r="P14" s="15">
        <f t="shared" si="1"/>
        <v>35</v>
      </c>
      <c r="R14" s="1" t="s">
        <v>10</v>
      </c>
      <c r="S14" s="17">
        <f t="shared" ref="S14:AF14" si="6">SUM(C26:C29)</f>
        <v>16</v>
      </c>
      <c r="T14" s="17">
        <f t="shared" si="6"/>
        <v>0</v>
      </c>
      <c r="U14" s="17">
        <f t="shared" si="6"/>
        <v>13</v>
      </c>
      <c r="V14" s="17">
        <f t="shared" si="6"/>
        <v>13</v>
      </c>
      <c r="W14" s="17">
        <f t="shared" si="6"/>
        <v>1</v>
      </c>
      <c r="X14" s="17">
        <f t="shared" si="6"/>
        <v>0</v>
      </c>
      <c r="Y14" s="17">
        <f t="shared" si="6"/>
        <v>15</v>
      </c>
      <c r="Z14" s="17">
        <f t="shared" si="6"/>
        <v>3</v>
      </c>
      <c r="AA14" s="17">
        <f t="shared" si="6"/>
        <v>3</v>
      </c>
      <c r="AB14" s="17">
        <f t="shared" si="6"/>
        <v>0</v>
      </c>
      <c r="AC14" s="17">
        <f t="shared" si="6"/>
        <v>114</v>
      </c>
      <c r="AD14" s="17">
        <f t="shared" si="6"/>
        <v>0</v>
      </c>
      <c r="AE14" s="31">
        <f t="shared" si="6"/>
        <v>64</v>
      </c>
      <c r="AF14" s="31">
        <f t="shared" si="6"/>
        <v>178</v>
      </c>
    </row>
    <row r="15" spans="2:32" ht="23.1" customHeight="1" x14ac:dyDescent="0.25">
      <c r="B15" s="45" t="s">
        <v>42</v>
      </c>
      <c r="C15" s="50">
        <v>5</v>
      </c>
      <c r="D15" s="50">
        <v>0</v>
      </c>
      <c r="E15" s="50">
        <v>2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27</v>
      </c>
      <c r="N15" s="50">
        <v>0</v>
      </c>
      <c r="O15" s="15">
        <f t="shared" si="0"/>
        <v>11</v>
      </c>
      <c r="P15" s="15">
        <f t="shared" si="1"/>
        <v>38</v>
      </c>
      <c r="R15" s="1" t="s">
        <v>11</v>
      </c>
      <c r="S15" s="17">
        <f t="shared" ref="S15:AF15" si="7">SUM(C30:C33)</f>
        <v>11</v>
      </c>
      <c r="T15" s="17">
        <f t="shared" si="7"/>
        <v>0</v>
      </c>
      <c r="U15" s="17">
        <f t="shared" si="7"/>
        <v>6</v>
      </c>
      <c r="V15" s="17">
        <f t="shared" si="7"/>
        <v>19</v>
      </c>
      <c r="W15" s="17">
        <f t="shared" si="7"/>
        <v>2</v>
      </c>
      <c r="X15" s="17">
        <f t="shared" si="7"/>
        <v>0</v>
      </c>
      <c r="Y15" s="17">
        <f t="shared" si="7"/>
        <v>16</v>
      </c>
      <c r="Z15" s="17">
        <f t="shared" si="7"/>
        <v>1</v>
      </c>
      <c r="AA15" s="17">
        <f t="shared" si="7"/>
        <v>2</v>
      </c>
      <c r="AB15" s="17">
        <f t="shared" si="7"/>
        <v>1</v>
      </c>
      <c r="AC15" s="17">
        <f t="shared" si="7"/>
        <v>104</v>
      </c>
      <c r="AD15" s="17">
        <f t="shared" si="7"/>
        <v>0</v>
      </c>
      <c r="AE15" s="31">
        <f t="shared" si="7"/>
        <v>58</v>
      </c>
      <c r="AF15" s="31">
        <f t="shared" si="7"/>
        <v>162</v>
      </c>
    </row>
    <row r="16" spans="2:32" ht="23.1" customHeight="1" x14ac:dyDescent="0.25">
      <c r="B16" s="45" t="s">
        <v>43</v>
      </c>
      <c r="C16" s="50">
        <v>5</v>
      </c>
      <c r="D16" s="50">
        <v>0</v>
      </c>
      <c r="E16" s="50">
        <v>2</v>
      </c>
      <c r="F16" s="50">
        <v>6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18</v>
      </c>
      <c r="P16" s="15">
        <f t="shared" si="1"/>
        <v>37</v>
      </c>
      <c r="R16" s="1" t="s">
        <v>12</v>
      </c>
      <c r="S16" s="17">
        <f t="shared" ref="S16:AF16" si="8">SUM(C34:C37)</f>
        <v>19</v>
      </c>
      <c r="T16" s="17">
        <f t="shared" si="8"/>
        <v>0</v>
      </c>
      <c r="U16" s="17">
        <f t="shared" si="8"/>
        <v>21</v>
      </c>
      <c r="V16" s="17">
        <f t="shared" si="8"/>
        <v>14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2</v>
      </c>
      <c r="AA16" s="17">
        <f t="shared" si="8"/>
        <v>2</v>
      </c>
      <c r="AB16" s="17">
        <f t="shared" si="8"/>
        <v>1</v>
      </c>
      <c r="AC16" s="17">
        <f t="shared" si="8"/>
        <v>99</v>
      </c>
      <c r="AD16" s="17">
        <f t="shared" si="8"/>
        <v>0</v>
      </c>
      <c r="AE16" s="31">
        <f t="shared" si="8"/>
        <v>79</v>
      </c>
      <c r="AF16" s="31">
        <f t="shared" si="8"/>
        <v>178</v>
      </c>
    </row>
    <row r="17" spans="2:32" ht="23.1" customHeight="1" x14ac:dyDescent="0.25">
      <c r="B17" s="45" t="s">
        <v>44</v>
      </c>
      <c r="C17" s="50">
        <v>4</v>
      </c>
      <c r="D17" s="50">
        <v>0</v>
      </c>
      <c r="E17" s="50">
        <v>3</v>
      </c>
      <c r="F17" s="50">
        <v>6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15</v>
      </c>
      <c r="P17" s="15">
        <f t="shared" si="1"/>
        <v>37</v>
      </c>
      <c r="R17" s="1" t="s">
        <v>13</v>
      </c>
      <c r="S17" s="17">
        <f t="shared" ref="S17:AF17" si="9">SUM(C38:C41)</f>
        <v>20</v>
      </c>
      <c r="T17" s="17">
        <f t="shared" si="9"/>
        <v>0</v>
      </c>
      <c r="U17" s="17">
        <f t="shared" si="9"/>
        <v>20</v>
      </c>
      <c r="V17" s="17">
        <f t="shared" si="9"/>
        <v>19</v>
      </c>
      <c r="W17" s="17">
        <f t="shared" si="9"/>
        <v>0</v>
      </c>
      <c r="X17" s="17">
        <f t="shared" si="9"/>
        <v>2</v>
      </c>
      <c r="Y17" s="17">
        <f t="shared" si="9"/>
        <v>18</v>
      </c>
      <c r="Z17" s="17">
        <f t="shared" si="9"/>
        <v>1</v>
      </c>
      <c r="AA17" s="17">
        <f t="shared" si="9"/>
        <v>1</v>
      </c>
      <c r="AB17" s="17">
        <f t="shared" si="9"/>
        <v>1</v>
      </c>
      <c r="AC17" s="17">
        <f t="shared" si="9"/>
        <v>105</v>
      </c>
      <c r="AD17" s="17">
        <f t="shared" si="9"/>
        <v>0</v>
      </c>
      <c r="AE17" s="31">
        <f t="shared" si="9"/>
        <v>82</v>
      </c>
      <c r="AF17" s="31">
        <f t="shared" si="9"/>
        <v>187</v>
      </c>
    </row>
    <row r="18" spans="2:32" ht="23.1" customHeight="1" x14ac:dyDescent="0.25">
      <c r="B18" s="45" t="s">
        <v>45</v>
      </c>
      <c r="C18" s="50">
        <v>4</v>
      </c>
      <c r="D18" s="50">
        <v>0</v>
      </c>
      <c r="E18" s="50">
        <v>3</v>
      </c>
      <c r="F18" s="50">
        <v>4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1</v>
      </c>
      <c r="M18" s="50">
        <v>19</v>
      </c>
      <c r="N18" s="50">
        <v>0</v>
      </c>
      <c r="O18" s="15">
        <f t="shared" si="0"/>
        <v>15</v>
      </c>
      <c r="P18" s="15">
        <f t="shared" si="1"/>
        <v>34</v>
      </c>
      <c r="R18" s="1" t="s">
        <v>14</v>
      </c>
      <c r="S18" s="17">
        <f t="shared" ref="S18:AF18" si="10">SUM(C42:C45)</f>
        <v>29</v>
      </c>
      <c r="T18" s="17">
        <f t="shared" si="10"/>
        <v>0</v>
      </c>
      <c r="U18" s="17">
        <f t="shared" si="10"/>
        <v>37</v>
      </c>
      <c r="V18" s="17">
        <f t="shared" si="10"/>
        <v>17</v>
      </c>
      <c r="W18" s="17">
        <f t="shared" si="10"/>
        <v>1</v>
      </c>
      <c r="X18" s="17">
        <f t="shared" si="10"/>
        <v>0</v>
      </c>
      <c r="Y18" s="17">
        <f t="shared" si="10"/>
        <v>11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82</v>
      </c>
      <c r="AD18" s="17">
        <f t="shared" si="10"/>
        <v>0</v>
      </c>
      <c r="AE18" s="31">
        <f t="shared" si="10"/>
        <v>98</v>
      </c>
      <c r="AF18" s="31">
        <f t="shared" si="10"/>
        <v>180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8</v>
      </c>
      <c r="F19" s="50">
        <v>4</v>
      </c>
      <c r="G19" s="50">
        <v>0</v>
      </c>
      <c r="H19" s="50">
        <v>1</v>
      </c>
      <c r="I19" s="50">
        <v>2</v>
      </c>
      <c r="J19" s="50">
        <v>1</v>
      </c>
      <c r="K19" s="50">
        <v>0</v>
      </c>
      <c r="L19" s="50">
        <v>1</v>
      </c>
      <c r="M19" s="50">
        <v>22</v>
      </c>
      <c r="N19" s="50">
        <v>0</v>
      </c>
      <c r="O19" s="15">
        <f t="shared" si="0"/>
        <v>19</v>
      </c>
      <c r="P19" s="15">
        <f t="shared" si="1"/>
        <v>41</v>
      </c>
      <c r="R19" s="1" t="s">
        <v>15</v>
      </c>
      <c r="S19" s="17">
        <f t="shared" ref="S19:AF19" si="11">SUM(C46:C49)</f>
        <v>25</v>
      </c>
      <c r="T19" s="17">
        <f t="shared" si="11"/>
        <v>0</v>
      </c>
      <c r="U19" s="17">
        <f t="shared" si="11"/>
        <v>35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18</v>
      </c>
      <c r="Z19" s="17">
        <f t="shared" si="11"/>
        <v>2</v>
      </c>
      <c r="AA19" s="17">
        <f t="shared" si="11"/>
        <v>0</v>
      </c>
      <c r="AB19" s="17">
        <f t="shared" si="11"/>
        <v>1</v>
      </c>
      <c r="AC19" s="17">
        <f t="shared" si="11"/>
        <v>107</v>
      </c>
      <c r="AD19" s="17">
        <f t="shared" si="11"/>
        <v>1</v>
      </c>
      <c r="AE19" s="31">
        <f t="shared" si="11"/>
        <v>97</v>
      </c>
      <c r="AF19" s="31">
        <f t="shared" si="11"/>
        <v>204</v>
      </c>
    </row>
    <row r="20" spans="2:32" ht="23.1" customHeight="1" x14ac:dyDescent="0.25">
      <c r="B20" s="45" t="s">
        <v>47</v>
      </c>
      <c r="C20" s="50">
        <v>5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22</v>
      </c>
      <c r="N20" s="50">
        <v>0</v>
      </c>
      <c r="O20" s="15">
        <f t="shared" si="0"/>
        <v>10</v>
      </c>
      <c r="P20" s="15">
        <f t="shared" si="1"/>
        <v>32</v>
      </c>
      <c r="R20" s="1" t="s">
        <v>16</v>
      </c>
      <c r="S20" s="17">
        <f t="shared" ref="S20:AF20" si="12">SUM(C50:C53)</f>
        <v>21</v>
      </c>
      <c r="T20" s="17">
        <f t="shared" si="12"/>
        <v>0</v>
      </c>
      <c r="U20" s="17">
        <f t="shared" si="12"/>
        <v>33</v>
      </c>
      <c r="V20" s="17">
        <f t="shared" si="12"/>
        <v>18</v>
      </c>
      <c r="W20" s="17">
        <f t="shared" si="12"/>
        <v>6</v>
      </c>
      <c r="X20" s="17">
        <f t="shared" si="12"/>
        <v>1</v>
      </c>
      <c r="Y20" s="17">
        <f t="shared" si="12"/>
        <v>10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112</v>
      </c>
      <c r="AD20" s="17">
        <f t="shared" si="12"/>
        <v>0</v>
      </c>
      <c r="AE20" s="31">
        <f t="shared" si="12"/>
        <v>93</v>
      </c>
      <c r="AF20" s="31">
        <f t="shared" si="12"/>
        <v>205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4</v>
      </c>
      <c r="F21" s="50">
        <v>5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14</v>
      </c>
      <c r="P21" s="15">
        <f t="shared" si="1"/>
        <v>36</v>
      </c>
      <c r="R21" s="36" t="s">
        <v>20</v>
      </c>
      <c r="S21" s="34">
        <f t="shared" ref="S21:AF21" si="13">SUM(C54:C57)</f>
        <v>27</v>
      </c>
      <c r="T21" s="17">
        <f t="shared" si="13"/>
        <v>0</v>
      </c>
      <c r="U21" s="17">
        <f t="shared" si="13"/>
        <v>30</v>
      </c>
      <c r="V21" s="17">
        <f t="shared" si="13"/>
        <v>25</v>
      </c>
      <c r="W21" s="17">
        <f t="shared" si="13"/>
        <v>1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105</v>
      </c>
      <c r="AD21" s="17">
        <f t="shared" si="13"/>
        <v>0</v>
      </c>
      <c r="AE21" s="31">
        <f t="shared" si="13"/>
        <v>98</v>
      </c>
      <c r="AF21" s="31">
        <f t="shared" si="13"/>
        <v>203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2</v>
      </c>
      <c r="F22" s="50">
        <v>4</v>
      </c>
      <c r="G22" s="50">
        <v>0</v>
      </c>
      <c r="H22" s="50">
        <v>0</v>
      </c>
      <c r="I22" s="50">
        <v>1</v>
      </c>
      <c r="J22" s="50">
        <v>0</v>
      </c>
      <c r="K22" s="50">
        <v>2</v>
      </c>
      <c r="L22" s="50">
        <v>0</v>
      </c>
      <c r="M22" s="50">
        <v>21</v>
      </c>
      <c r="N22" s="50">
        <v>0</v>
      </c>
      <c r="O22" s="15">
        <f t="shared" si="0"/>
        <v>11</v>
      </c>
      <c r="P22" s="15">
        <f t="shared" si="1"/>
        <v>32</v>
      </c>
      <c r="R22" s="36" t="s">
        <v>146</v>
      </c>
      <c r="S22" s="34">
        <f>SUM(C58:C61)</f>
        <v>9</v>
      </c>
      <c r="T22" s="34">
        <f t="shared" ref="T22:AF22" si="14">SUM(D58:D61)</f>
        <v>0</v>
      </c>
      <c r="U22" s="34">
        <f t="shared" si="14"/>
        <v>16</v>
      </c>
      <c r="V22" s="34">
        <f t="shared" si="14"/>
        <v>10</v>
      </c>
      <c r="W22" s="34">
        <f t="shared" si="14"/>
        <v>1</v>
      </c>
      <c r="X22" s="34">
        <f t="shared" si="14"/>
        <v>2</v>
      </c>
      <c r="Y22" s="34">
        <f t="shared" si="14"/>
        <v>12</v>
      </c>
      <c r="Z22" s="34">
        <f t="shared" si="14"/>
        <v>3</v>
      </c>
      <c r="AA22" s="34">
        <f t="shared" si="14"/>
        <v>2</v>
      </c>
      <c r="AB22" s="34">
        <f t="shared" si="14"/>
        <v>2</v>
      </c>
      <c r="AC22" s="34">
        <f t="shared" si="14"/>
        <v>81</v>
      </c>
      <c r="AD22" s="34">
        <f t="shared" si="14"/>
        <v>0</v>
      </c>
      <c r="AE22" s="31">
        <f t="shared" si="14"/>
        <v>57</v>
      </c>
      <c r="AF22" s="31">
        <f t="shared" si="14"/>
        <v>138</v>
      </c>
    </row>
    <row r="23" spans="2:32" ht="23.1" customHeight="1" x14ac:dyDescent="0.25">
      <c r="B23" s="45" t="s">
        <v>50</v>
      </c>
      <c r="C23" s="50">
        <v>5</v>
      </c>
      <c r="D23" s="50">
        <v>0</v>
      </c>
      <c r="E23" s="50">
        <v>4</v>
      </c>
      <c r="F23" s="50">
        <v>2</v>
      </c>
      <c r="G23" s="50">
        <v>0</v>
      </c>
      <c r="H23" s="50">
        <v>0</v>
      </c>
      <c r="I23" s="50">
        <v>1</v>
      </c>
      <c r="J23" s="50">
        <v>1</v>
      </c>
      <c r="K23" s="50">
        <v>1</v>
      </c>
      <c r="L23" s="50">
        <v>0</v>
      </c>
      <c r="M23" s="50">
        <v>23</v>
      </c>
      <c r="N23" s="50">
        <v>0</v>
      </c>
      <c r="O23" s="15">
        <f t="shared" si="0"/>
        <v>14</v>
      </c>
      <c r="P23" s="15">
        <f t="shared" si="1"/>
        <v>37</v>
      </c>
      <c r="R23" s="36" t="s">
        <v>147</v>
      </c>
      <c r="S23" s="34">
        <f>SUM(C62:C65)</f>
        <v>12</v>
      </c>
      <c r="T23" s="34">
        <f t="shared" ref="T23:AF23" si="15">SUM(D62:D65)</f>
        <v>0</v>
      </c>
      <c r="U23" s="34">
        <f t="shared" si="15"/>
        <v>13</v>
      </c>
      <c r="V23" s="34">
        <f t="shared" si="15"/>
        <v>12</v>
      </c>
      <c r="W23" s="34">
        <f t="shared" si="15"/>
        <v>1</v>
      </c>
      <c r="X23" s="34">
        <f t="shared" si="15"/>
        <v>1</v>
      </c>
      <c r="Y23" s="34">
        <f t="shared" si="15"/>
        <v>10</v>
      </c>
      <c r="Z23" s="34">
        <f t="shared" si="15"/>
        <v>4</v>
      </c>
      <c r="AA23" s="34">
        <f t="shared" si="15"/>
        <v>3</v>
      </c>
      <c r="AB23" s="34">
        <f t="shared" si="15"/>
        <v>1</v>
      </c>
      <c r="AC23" s="34">
        <f t="shared" si="15"/>
        <v>61</v>
      </c>
      <c r="AD23" s="34">
        <f t="shared" si="15"/>
        <v>0</v>
      </c>
      <c r="AE23" s="31">
        <f t="shared" si="15"/>
        <v>57</v>
      </c>
      <c r="AF23" s="31">
        <f t="shared" si="15"/>
        <v>118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6</v>
      </c>
      <c r="F24" s="50">
        <v>5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19</v>
      </c>
      <c r="P24" s="15">
        <f t="shared" si="1"/>
        <v>37</v>
      </c>
      <c r="R24" s="36" t="s">
        <v>148</v>
      </c>
      <c r="S24" s="34">
        <f>SUM(C66:C69)</f>
        <v>9</v>
      </c>
      <c r="T24" s="34">
        <f t="shared" ref="T24:AF24" si="16">SUM(D66:D69)</f>
        <v>0</v>
      </c>
      <c r="U24" s="34">
        <f t="shared" si="16"/>
        <v>13</v>
      </c>
      <c r="V24" s="34">
        <f t="shared" si="16"/>
        <v>9</v>
      </c>
      <c r="W24" s="34">
        <f t="shared" si="16"/>
        <v>1</v>
      </c>
      <c r="X24" s="34">
        <f t="shared" si="16"/>
        <v>3</v>
      </c>
      <c r="Y24" s="34">
        <f t="shared" si="16"/>
        <v>11</v>
      </c>
      <c r="Z24" s="34">
        <f t="shared" si="16"/>
        <v>2</v>
      </c>
      <c r="AA24" s="34">
        <f t="shared" si="16"/>
        <v>2</v>
      </c>
      <c r="AB24" s="34">
        <f t="shared" si="16"/>
        <v>2</v>
      </c>
      <c r="AC24" s="34">
        <f t="shared" si="16"/>
        <v>47</v>
      </c>
      <c r="AD24" s="34">
        <f t="shared" si="16"/>
        <v>0</v>
      </c>
      <c r="AE24" s="31">
        <f t="shared" si="16"/>
        <v>52</v>
      </c>
      <c r="AF24" s="31">
        <f t="shared" si="16"/>
        <v>99</v>
      </c>
    </row>
    <row r="25" spans="2:32" ht="23.1" customHeight="1" x14ac:dyDescent="0.25">
      <c r="B25" s="45" t="s">
        <v>52</v>
      </c>
      <c r="C25" s="50">
        <v>3</v>
      </c>
      <c r="D25" s="50">
        <v>0</v>
      </c>
      <c r="E25" s="50">
        <v>7</v>
      </c>
      <c r="F25" s="50">
        <v>4</v>
      </c>
      <c r="G25" s="50">
        <v>0</v>
      </c>
      <c r="H25" s="50">
        <v>0</v>
      </c>
      <c r="I25" s="50">
        <v>4</v>
      </c>
      <c r="J25" s="50">
        <v>0</v>
      </c>
      <c r="K25" s="50">
        <v>1</v>
      </c>
      <c r="L25" s="50">
        <v>3</v>
      </c>
      <c r="M25" s="50">
        <v>27</v>
      </c>
      <c r="N25" s="50">
        <v>0</v>
      </c>
      <c r="O25" s="15">
        <f t="shared" si="0"/>
        <v>22</v>
      </c>
      <c r="P25" s="15">
        <f t="shared" si="1"/>
        <v>49</v>
      </c>
      <c r="R25" s="36" t="s">
        <v>149</v>
      </c>
      <c r="S25" s="34">
        <f>SUM(C70:C73)</f>
        <v>9</v>
      </c>
      <c r="T25" s="34">
        <f t="shared" ref="T25:AF25" si="17">SUM(D70:D73)</f>
        <v>0</v>
      </c>
      <c r="U25" s="34">
        <f t="shared" si="17"/>
        <v>9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3</v>
      </c>
      <c r="AA25" s="34">
        <f t="shared" si="17"/>
        <v>0</v>
      </c>
      <c r="AB25" s="34">
        <f t="shared" si="17"/>
        <v>1</v>
      </c>
      <c r="AC25" s="34">
        <f t="shared" si="17"/>
        <v>15</v>
      </c>
      <c r="AD25" s="34">
        <f t="shared" si="17"/>
        <v>0</v>
      </c>
      <c r="AE25" s="31">
        <f t="shared" si="17"/>
        <v>34</v>
      </c>
      <c r="AF25" s="31">
        <f t="shared" si="17"/>
        <v>49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3</v>
      </c>
      <c r="F26" s="50">
        <v>5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16</v>
      </c>
      <c r="P26" s="15">
        <f t="shared" si="1"/>
        <v>46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9</v>
      </c>
      <c r="V26" s="34">
        <f t="shared" si="18"/>
        <v>6</v>
      </c>
      <c r="W26" s="34">
        <f t="shared" si="18"/>
        <v>1</v>
      </c>
      <c r="X26" s="34">
        <f t="shared" si="18"/>
        <v>2</v>
      </c>
      <c r="Y26" s="34">
        <f t="shared" si="18"/>
        <v>5</v>
      </c>
      <c r="Z26" s="34">
        <f t="shared" si="18"/>
        <v>3</v>
      </c>
      <c r="AA26" s="34">
        <f t="shared" si="18"/>
        <v>4</v>
      </c>
      <c r="AB26" s="34">
        <f t="shared" si="18"/>
        <v>1</v>
      </c>
      <c r="AC26" s="34">
        <f t="shared" si="18"/>
        <v>10</v>
      </c>
      <c r="AD26" s="34">
        <f t="shared" si="18"/>
        <v>0</v>
      </c>
      <c r="AE26" s="31">
        <f t="shared" si="18"/>
        <v>33</v>
      </c>
      <c r="AF26" s="31">
        <f t="shared" si="18"/>
        <v>43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3</v>
      </c>
      <c r="F27" s="50">
        <v>3</v>
      </c>
      <c r="G27" s="50">
        <v>0</v>
      </c>
      <c r="H27" s="50">
        <v>0</v>
      </c>
      <c r="I27" s="50">
        <v>3</v>
      </c>
      <c r="J27" s="50">
        <v>0</v>
      </c>
      <c r="K27" s="50">
        <v>3</v>
      </c>
      <c r="L27" s="50">
        <v>0</v>
      </c>
      <c r="M27" s="50">
        <v>23</v>
      </c>
      <c r="N27" s="50">
        <v>0</v>
      </c>
      <c r="O27" s="15">
        <f t="shared" si="0"/>
        <v>14</v>
      </c>
      <c r="P27" s="15">
        <f t="shared" si="1"/>
        <v>37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7</v>
      </c>
      <c r="V27" s="34">
        <f t="shared" si="19"/>
        <v>7</v>
      </c>
      <c r="W27" s="34">
        <f t="shared" si="19"/>
        <v>1</v>
      </c>
      <c r="X27" s="34">
        <f t="shared" si="19"/>
        <v>2</v>
      </c>
      <c r="Y27" s="34">
        <f t="shared" si="19"/>
        <v>6</v>
      </c>
      <c r="Z27" s="34">
        <f t="shared" si="19"/>
        <v>3</v>
      </c>
      <c r="AA27" s="34">
        <f t="shared" si="19"/>
        <v>2</v>
      </c>
      <c r="AB27" s="34">
        <f t="shared" si="19"/>
        <v>2</v>
      </c>
      <c r="AC27" s="34">
        <f t="shared" si="19"/>
        <v>1</v>
      </c>
      <c r="AD27" s="34">
        <f t="shared" si="19"/>
        <v>0</v>
      </c>
      <c r="AE27" s="31">
        <f t="shared" si="19"/>
        <v>34</v>
      </c>
      <c r="AF27" s="31">
        <f t="shared" si="19"/>
        <v>35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5</v>
      </c>
      <c r="F28" s="50">
        <v>4</v>
      </c>
      <c r="G28" s="50">
        <v>0</v>
      </c>
      <c r="H28" s="50">
        <v>0</v>
      </c>
      <c r="I28" s="50">
        <v>4</v>
      </c>
      <c r="J28" s="50">
        <v>2</v>
      </c>
      <c r="K28" s="50">
        <v>0</v>
      </c>
      <c r="L28" s="50">
        <v>0</v>
      </c>
      <c r="M28" s="50">
        <v>31</v>
      </c>
      <c r="N28" s="50">
        <v>0</v>
      </c>
      <c r="O28" s="15">
        <f t="shared" si="0"/>
        <v>19</v>
      </c>
      <c r="P28" s="15">
        <f t="shared" si="1"/>
        <v>50</v>
      </c>
      <c r="R28" s="36" t="s">
        <v>152</v>
      </c>
      <c r="S28" s="34">
        <f>SUM(C82:C85)</f>
        <v>4</v>
      </c>
      <c r="T28" s="34">
        <f t="shared" ref="T28:AF28" si="20">SUM(D82:D85)</f>
        <v>0</v>
      </c>
      <c r="U28" s="34">
        <f t="shared" si="20"/>
        <v>6</v>
      </c>
      <c r="V28" s="34">
        <f t="shared" si="20"/>
        <v>5</v>
      </c>
      <c r="W28" s="34">
        <f t="shared" si="20"/>
        <v>1</v>
      </c>
      <c r="X28" s="34">
        <f t="shared" si="20"/>
        <v>2</v>
      </c>
      <c r="Y28" s="34">
        <f t="shared" si="20"/>
        <v>2</v>
      </c>
      <c r="Z28" s="34">
        <f t="shared" si="20"/>
        <v>2</v>
      </c>
      <c r="AA28" s="34">
        <f t="shared" si="20"/>
        <v>1</v>
      </c>
      <c r="AB28" s="34">
        <f t="shared" si="20"/>
        <v>1</v>
      </c>
      <c r="AC28" s="34">
        <f t="shared" si="20"/>
        <v>0</v>
      </c>
      <c r="AD28" s="34">
        <f t="shared" si="20"/>
        <v>0</v>
      </c>
      <c r="AE28" s="31">
        <f t="shared" si="20"/>
        <v>24</v>
      </c>
      <c r="AF28" s="31">
        <f t="shared" si="20"/>
        <v>24</v>
      </c>
    </row>
    <row r="29" spans="2:32" ht="23.1" customHeight="1" x14ac:dyDescent="0.25">
      <c r="B29" s="45" t="s">
        <v>56</v>
      </c>
      <c r="C29" s="50">
        <v>7</v>
      </c>
      <c r="D29" s="50">
        <v>0</v>
      </c>
      <c r="E29" s="50">
        <v>2</v>
      </c>
      <c r="F29" s="50">
        <v>1</v>
      </c>
      <c r="G29" s="50">
        <v>1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15</v>
      </c>
      <c r="P29" s="15">
        <f t="shared" si="1"/>
        <v>45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2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3</v>
      </c>
      <c r="AA29" s="34">
        <f t="shared" si="21"/>
        <v>2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15</v>
      </c>
      <c r="AF29" s="31">
        <f t="shared" si="21"/>
        <v>15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2</v>
      </c>
      <c r="F30" s="50">
        <v>7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16</v>
      </c>
      <c r="P30" s="15">
        <f t="shared" si="1"/>
        <v>51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1</v>
      </c>
      <c r="X30" s="34">
        <f t="shared" si="22"/>
        <v>1</v>
      </c>
      <c r="Y30" s="34">
        <f t="shared" si="22"/>
        <v>0</v>
      </c>
      <c r="Z30" s="34">
        <f t="shared" si="22"/>
        <v>4</v>
      </c>
      <c r="AA30" s="34">
        <f t="shared" si="22"/>
        <v>3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11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1</v>
      </c>
      <c r="F31" s="50">
        <v>5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26</v>
      </c>
      <c r="N31" s="50">
        <v>0</v>
      </c>
      <c r="O31" s="15">
        <f t="shared" si="0"/>
        <v>11</v>
      </c>
      <c r="P31" s="15">
        <f t="shared" si="1"/>
        <v>37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4</v>
      </c>
      <c r="V31" s="34">
        <f t="shared" si="23"/>
        <v>0</v>
      </c>
      <c r="W31" s="34">
        <f t="shared" si="23"/>
        <v>1</v>
      </c>
      <c r="X31" s="34">
        <f t="shared" si="23"/>
        <v>3</v>
      </c>
      <c r="Y31" s="34">
        <f t="shared" si="23"/>
        <v>0</v>
      </c>
      <c r="Z31" s="34">
        <f t="shared" si="23"/>
        <v>2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14</v>
      </c>
      <c r="AF31" s="31">
        <f t="shared" si="23"/>
        <v>14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3</v>
      </c>
      <c r="G32" s="50">
        <v>0</v>
      </c>
      <c r="H32" s="50">
        <v>0</v>
      </c>
      <c r="I32" s="50">
        <v>7</v>
      </c>
      <c r="J32" s="50">
        <v>0</v>
      </c>
      <c r="K32" s="50">
        <v>1</v>
      </c>
      <c r="L32" s="50">
        <v>0</v>
      </c>
      <c r="M32" s="50">
        <v>27</v>
      </c>
      <c r="N32" s="50">
        <v>0</v>
      </c>
      <c r="O32" s="15">
        <f t="shared" si="0"/>
        <v>14</v>
      </c>
      <c r="P32" s="15">
        <f t="shared" si="1"/>
        <v>41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3</v>
      </c>
      <c r="AA32" s="34">
        <f t="shared" si="24"/>
        <v>0</v>
      </c>
      <c r="AB32" s="34">
        <f t="shared" si="24"/>
        <v>1</v>
      </c>
      <c r="AC32" s="34">
        <f t="shared" si="24"/>
        <v>0</v>
      </c>
      <c r="AD32" s="34">
        <f t="shared" si="24"/>
        <v>0</v>
      </c>
      <c r="AE32" s="31">
        <f t="shared" si="24"/>
        <v>10</v>
      </c>
      <c r="AF32" s="31">
        <f t="shared" si="24"/>
        <v>10</v>
      </c>
    </row>
    <row r="33" spans="2:32" ht="23.1" customHeight="1" x14ac:dyDescent="0.25">
      <c r="B33" s="45" t="s">
        <v>60</v>
      </c>
      <c r="C33" s="50">
        <v>5</v>
      </c>
      <c r="D33" s="50">
        <v>0</v>
      </c>
      <c r="E33" s="50">
        <v>1</v>
      </c>
      <c r="F33" s="50">
        <v>4</v>
      </c>
      <c r="G33" s="50">
        <v>1</v>
      </c>
      <c r="H33" s="50">
        <v>0</v>
      </c>
      <c r="I33" s="50">
        <v>5</v>
      </c>
      <c r="J33" s="50">
        <v>0</v>
      </c>
      <c r="K33" s="50">
        <v>1</v>
      </c>
      <c r="L33" s="50">
        <v>0</v>
      </c>
      <c r="M33" s="50">
        <v>16</v>
      </c>
      <c r="N33" s="50">
        <v>0</v>
      </c>
      <c r="O33" s="15">
        <f t="shared" si="0"/>
        <v>17</v>
      </c>
      <c r="P33" s="15">
        <f t="shared" si="1"/>
        <v>33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2</v>
      </c>
      <c r="W33" s="34">
        <f t="shared" si="25"/>
        <v>1</v>
      </c>
      <c r="X33" s="34">
        <f t="shared" si="25"/>
        <v>2</v>
      </c>
      <c r="Y33" s="34">
        <f t="shared" si="25"/>
        <v>3</v>
      </c>
      <c r="Z33" s="34">
        <f t="shared" si="25"/>
        <v>4</v>
      </c>
      <c r="AA33" s="34">
        <f t="shared" si="25"/>
        <v>4</v>
      </c>
      <c r="AB33" s="34">
        <f t="shared" si="25"/>
        <v>1</v>
      </c>
      <c r="AC33" s="34">
        <f t="shared" si="25"/>
        <v>3</v>
      </c>
      <c r="AD33" s="34">
        <f t="shared" si="25"/>
        <v>0</v>
      </c>
      <c r="AE33" s="31">
        <f t="shared" si="25"/>
        <v>24</v>
      </c>
      <c r="AF33" s="31">
        <f t="shared" si="25"/>
        <v>27</v>
      </c>
    </row>
    <row r="34" spans="2:32" ht="23.1" customHeight="1" x14ac:dyDescent="0.25">
      <c r="B34" s="46" t="s">
        <v>61</v>
      </c>
      <c r="C34" s="50">
        <v>4</v>
      </c>
      <c r="D34" s="50">
        <v>0</v>
      </c>
      <c r="E34" s="50">
        <v>5</v>
      </c>
      <c r="F34" s="50">
        <v>5</v>
      </c>
      <c r="G34" s="50">
        <v>0</v>
      </c>
      <c r="H34" s="50">
        <v>0</v>
      </c>
      <c r="I34" s="50">
        <v>2</v>
      </c>
      <c r="J34" s="50">
        <v>1</v>
      </c>
      <c r="K34" s="50">
        <v>1</v>
      </c>
      <c r="L34" s="50">
        <v>0</v>
      </c>
      <c r="M34" s="50">
        <v>20</v>
      </c>
      <c r="N34" s="50">
        <v>0</v>
      </c>
      <c r="O34" s="15">
        <f t="shared" si="0"/>
        <v>18</v>
      </c>
      <c r="P34" s="15">
        <f t="shared" si="1"/>
        <v>38</v>
      </c>
      <c r="R34" s="38" t="s">
        <v>90</v>
      </c>
      <c r="S34" s="39">
        <f t="shared" ref="S34:AF34" si="26">MAX(S10:S12)</f>
        <v>17</v>
      </c>
      <c r="T34" s="39">
        <f t="shared" si="26"/>
        <v>0</v>
      </c>
      <c r="U34" s="39">
        <f t="shared" si="26"/>
        <v>17</v>
      </c>
      <c r="V34" s="39">
        <f t="shared" si="26"/>
        <v>22</v>
      </c>
      <c r="W34" s="39">
        <f t="shared" si="26"/>
        <v>0</v>
      </c>
      <c r="X34" s="39">
        <f t="shared" si="26"/>
        <v>1</v>
      </c>
      <c r="Y34" s="39">
        <f t="shared" si="26"/>
        <v>9</v>
      </c>
      <c r="Z34" s="39">
        <f t="shared" si="26"/>
        <v>2</v>
      </c>
      <c r="AA34" s="39">
        <f t="shared" si="26"/>
        <v>4</v>
      </c>
      <c r="AB34" s="39">
        <f t="shared" si="26"/>
        <v>3</v>
      </c>
      <c r="AC34" s="39">
        <f t="shared" si="26"/>
        <v>95</v>
      </c>
      <c r="AD34" s="39">
        <f t="shared" si="26"/>
        <v>1</v>
      </c>
      <c r="AE34" s="40">
        <f t="shared" si="26"/>
        <v>59</v>
      </c>
      <c r="AF34" s="40">
        <f t="shared" si="26"/>
        <v>147</v>
      </c>
    </row>
    <row r="35" spans="2:32" ht="23.1" customHeight="1" x14ac:dyDescent="0.25">
      <c r="B35" s="46" t="s">
        <v>62</v>
      </c>
      <c r="C35" s="50">
        <v>6</v>
      </c>
      <c r="D35" s="50">
        <v>0</v>
      </c>
      <c r="E35" s="50">
        <v>7</v>
      </c>
      <c r="F35" s="50">
        <v>4</v>
      </c>
      <c r="G35" s="50">
        <v>0</v>
      </c>
      <c r="H35" s="50">
        <v>0</v>
      </c>
      <c r="I35" s="50">
        <v>6</v>
      </c>
      <c r="J35" s="50">
        <v>1</v>
      </c>
      <c r="K35" s="50">
        <v>1</v>
      </c>
      <c r="L35" s="50">
        <v>0</v>
      </c>
      <c r="M35" s="50">
        <v>30</v>
      </c>
      <c r="N35" s="50">
        <v>0</v>
      </c>
      <c r="O35" s="15">
        <f t="shared" si="0"/>
        <v>25</v>
      </c>
      <c r="P35" s="15">
        <f t="shared" si="1"/>
        <v>55</v>
      </c>
      <c r="R35" s="38" t="s">
        <v>91</v>
      </c>
      <c r="S35" s="39">
        <f t="shared" ref="S35:AF35" si="27">MAX(S13:S18)</f>
        <v>29</v>
      </c>
      <c r="T35" s="39">
        <f t="shared" si="27"/>
        <v>0</v>
      </c>
      <c r="U35" s="39">
        <f t="shared" si="27"/>
        <v>37</v>
      </c>
      <c r="V35" s="39">
        <f t="shared" si="27"/>
        <v>19</v>
      </c>
      <c r="W35" s="39">
        <f t="shared" si="27"/>
        <v>2</v>
      </c>
      <c r="X35" s="39">
        <f t="shared" si="27"/>
        <v>2</v>
      </c>
      <c r="Y35" s="39">
        <f t="shared" si="27"/>
        <v>19</v>
      </c>
      <c r="Z35" s="39">
        <f t="shared" si="27"/>
        <v>3</v>
      </c>
      <c r="AA35" s="39">
        <f t="shared" si="27"/>
        <v>4</v>
      </c>
      <c r="AB35" s="39">
        <f t="shared" si="27"/>
        <v>3</v>
      </c>
      <c r="AC35" s="39">
        <f t="shared" si="27"/>
        <v>114</v>
      </c>
      <c r="AD35" s="39">
        <f t="shared" si="27"/>
        <v>0</v>
      </c>
      <c r="AE35" s="40">
        <f t="shared" si="27"/>
        <v>98</v>
      </c>
      <c r="AF35" s="40">
        <f t="shared" si="27"/>
        <v>187</v>
      </c>
    </row>
    <row r="36" spans="2:32" ht="23.1" customHeight="1" x14ac:dyDescent="0.25">
      <c r="B36" s="46" t="s">
        <v>63</v>
      </c>
      <c r="C36" s="50">
        <v>4</v>
      </c>
      <c r="D36" s="50">
        <v>0</v>
      </c>
      <c r="E36" s="50">
        <v>3</v>
      </c>
      <c r="F36" s="50">
        <v>3</v>
      </c>
      <c r="G36" s="50">
        <v>1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23</v>
      </c>
      <c r="N36" s="50">
        <v>0</v>
      </c>
      <c r="O36" s="15">
        <f t="shared" si="0"/>
        <v>15</v>
      </c>
      <c r="P36" s="15">
        <f t="shared" si="1"/>
        <v>38</v>
      </c>
      <c r="R36" s="38" t="s">
        <v>92</v>
      </c>
      <c r="S36" s="39">
        <f t="shared" ref="S36:AF36" si="28">MAX(S19:S21)</f>
        <v>27</v>
      </c>
      <c r="T36" s="39">
        <f t="shared" si="28"/>
        <v>0</v>
      </c>
      <c r="U36" s="39">
        <f t="shared" si="28"/>
        <v>35</v>
      </c>
      <c r="V36" s="39">
        <f t="shared" si="28"/>
        <v>25</v>
      </c>
      <c r="W36" s="39">
        <f t="shared" si="28"/>
        <v>6</v>
      </c>
      <c r="X36" s="39">
        <f t="shared" si="28"/>
        <v>1</v>
      </c>
      <c r="Y36" s="39">
        <f t="shared" si="28"/>
        <v>18</v>
      </c>
      <c r="Z36" s="39">
        <f t="shared" si="28"/>
        <v>4</v>
      </c>
      <c r="AA36" s="39">
        <f t="shared" si="28"/>
        <v>1</v>
      </c>
      <c r="AB36" s="39">
        <f t="shared" si="28"/>
        <v>1</v>
      </c>
      <c r="AC36" s="39">
        <f t="shared" si="28"/>
        <v>112</v>
      </c>
      <c r="AD36" s="39">
        <f t="shared" si="28"/>
        <v>1</v>
      </c>
      <c r="AE36" s="40">
        <f t="shared" si="28"/>
        <v>98</v>
      </c>
      <c r="AF36" s="40">
        <f t="shared" si="28"/>
        <v>205</v>
      </c>
    </row>
    <row r="37" spans="2:32" ht="23.1" customHeight="1" x14ac:dyDescent="0.25">
      <c r="B37" s="45" t="s">
        <v>64</v>
      </c>
      <c r="C37" s="50">
        <v>5</v>
      </c>
      <c r="D37" s="50">
        <v>0</v>
      </c>
      <c r="E37" s="50">
        <v>6</v>
      </c>
      <c r="F37" s="50">
        <v>2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1</v>
      </c>
      <c r="M37" s="50">
        <v>26</v>
      </c>
      <c r="N37" s="50">
        <v>0</v>
      </c>
      <c r="O37" s="15">
        <f t="shared" si="0"/>
        <v>21</v>
      </c>
      <c r="P37" s="15">
        <f t="shared" si="1"/>
        <v>47</v>
      </c>
      <c r="R37" s="37" t="s">
        <v>85</v>
      </c>
      <c r="S37" s="35">
        <f t="shared" ref="S37:AF37" si="29">SUM(S10:S12)</f>
        <v>42</v>
      </c>
      <c r="T37" s="16">
        <f t="shared" si="29"/>
        <v>0</v>
      </c>
      <c r="U37" s="16">
        <f t="shared" si="29"/>
        <v>36</v>
      </c>
      <c r="V37" s="16">
        <f t="shared" si="29"/>
        <v>52</v>
      </c>
      <c r="W37" s="16">
        <f t="shared" si="29"/>
        <v>0</v>
      </c>
      <c r="X37" s="16">
        <f t="shared" si="29"/>
        <v>1</v>
      </c>
      <c r="Y37" s="16">
        <f t="shared" si="29"/>
        <v>23</v>
      </c>
      <c r="Z37" s="16">
        <f t="shared" si="29"/>
        <v>3</v>
      </c>
      <c r="AA37" s="16">
        <f t="shared" si="29"/>
        <v>6</v>
      </c>
      <c r="AB37" s="16">
        <f t="shared" si="29"/>
        <v>5</v>
      </c>
      <c r="AC37" s="16">
        <f t="shared" si="29"/>
        <v>254</v>
      </c>
      <c r="AD37" s="16">
        <f t="shared" si="29"/>
        <v>1</v>
      </c>
      <c r="AE37" s="32">
        <f t="shared" si="29"/>
        <v>169</v>
      </c>
      <c r="AF37" s="32">
        <f t="shared" si="29"/>
        <v>423</v>
      </c>
    </row>
    <row r="38" spans="2:32" ht="23.1" customHeight="1" x14ac:dyDescent="0.25">
      <c r="B38" s="46" t="s">
        <v>65</v>
      </c>
      <c r="C38" s="50">
        <v>5</v>
      </c>
      <c r="D38" s="50">
        <v>0</v>
      </c>
      <c r="E38" s="50">
        <v>2</v>
      </c>
      <c r="F38" s="50">
        <v>5</v>
      </c>
      <c r="G38" s="50">
        <v>0</v>
      </c>
      <c r="H38" s="50">
        <v>1</v>
      </c>
      <c r="I38" s="50">
        <v>2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15</v>
      </c>
      <c r="P38" s="15">
        <f t="shared" si="1"/>
        <v>29</v>
      </c>
      <c r="R38" s="28" t="s">
        <v>86</v>
      </c>
      <c r="S38" s="16">
        <f t="shared" ref="S38:AF38" si="30">SUM(S13:S18)</f>
        <v>109</v>
      </c>
      <c r="T38" s="16">
        <f t="shared" si="30"/>
        <v>0</v>
      </c>
      <c r="U38" s="16">
        <f t="shared" si="30"/>
        <v>116</v>
      </c>
      <c r="V38" s="16">
        <f t="shared" si="30"/>
        <v>97</v>
      </c>
      <c r="W38" s="16">
        <f t="shared" si="30"/>
        <v>5</v>
      </c>
      <c r="X38" s="16">
        <f t="shared" si="30"/>
        <v>2</v>
      </c>
      <c r="Y38" s="16">
        <f t="shared" si="30"/>
        <v>89</v>
      </c>
      <c r="Z38" s="16">
        <f t="shared" si="30"/>
        <v>9</v>
      </c>
      <c r="AA38" s="16">
        <f t="shared" si="30"/>
        <v>14</v>
      </c>
      <c r="AB38" s="16">
        <f t="shared" si="30"/>
        <v>6</v>
      </c>
      <c r="AC38" s="16">
        <f t="shared" si="30"/>
        <v>593</v>
      </c>
      <c r="AD38" s="16">
        <f t="shared" si="30"/>
        <v>0</v>
      </c>
      <c r="AE38" s="32">
        <f t="shared" si="30"/>
        <v>447</v>
      </c>
      <c r="AF38" s="32">
        <f t="shared" si="30"/>
        <v>1040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3</v>
      </c>
      <c r="F39" s="50">
        <v>4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31</v>
      </c>
      <c r="N39" s="50">
        <v>0</v>
      </c>
      <c r="O39" s="15">
        <f t="shared" si="0"/>
        <v>14</v>
      </c>
      <c r="P39" s="15">
        <f t="shared" si="1"/>
        <v>45</v>
      </c>
      <c r="R39" s="29" t="s">
        <v>87</v>
      </c>
      <c r="S39" s="16">
        <f t="shared" ref="S39:AF39" si="31">SUM(S19:S21)</f>
        <v>73</v>
      </c>
      <c r="T39" s="16">
        <f t="shared" si="31"/>
        <v>0</v>
      </c>
      <c r="U39" s="16">
        <f t="shared" si="31"/>
        <v>98</v>
      </c>
      <c r="V39" s="16">
        <f t="shared" si="31"/>
        <v>58</v>
      </c>
      <c r="W39" s="16">
        <f t="shared" si="31"/>
        <v>7</v>
      </c>
      <c r="X39" s="16">
        <f t="shared" si="31"/>
        <v>1</v>
      </c>
      <c r="Y39" s="16">
        <f t="shared" si="31"/>
        <v>41</v>
      </c>
      <c r="Z39" s="16">
        <f t="shared" si="31"/>
        <v>6</v>
      </c>
      <c r="AA39" s="16">
        <f t="shared" si="31"/>
        <v>1</v>
      </c>
      <c r="AB39" s="16">
        <f t="shared" si="31"/>
        <v>2</v>
      </c>
      <c r="AC39" s="16">
        <f t="shared" si="31"/>
        <v>324</v>
      </c>
      <c r="AD39" s="16">
        <f t="shared" si="31"/>
        <v>1</v>
      </c>
      <c r="AE39" s="32">
        <f t="shared" si="31"/>
        <v>288</v>
      </c>
      <c r="AF39" s="32">
        <f t="shared" si="31"/>
        <v>612</v>
      </c>
    </row>
    <row r="40" spans="2:32" ht="23.1" customHeight="1" x14ac:dyDescent="0.25">
      <c r="B40" s="46" t="s">
        <v>67</v>
      </c>
      <c r="C40" s="50">
        <v>8</v>
      </c>
      <c r="D40" s="50">
        <v>0</v>
      </c>
      <c r="E40" s="50">
        <v>3</v>
      </c>
      <c r="F40" s="50">
        <v>6</v>
      </c>
      <c r="G40" s="50">
        <v>0</v>
      </c>
      <c r="H40" s="50">
        <v>1</v>
      </c>
      <c r="I40" s="50">
        <v>5</v>
      </c>
      <c r="J40" s="50">
        <v>0</v>
      </c>
      <c r="K40" s="50">
        <v>0</v>
      </c>
      <c r="L40" s="50">
        <v>1</v>
      </c>
      <c r="M40" s="50">
        <v>33</v>
      </c>
      <c r="N40" s="50">
        <v>0</v>
      </c>
      <c r="O40" s="15">
        <f t="shared" si="0"/>
        <v>24</v>
      </c>
      <c r="P40" s="15">
        <f t="shared" si="1"/>
        <v>57</v>
      </c>
      <c r="R40" s="5" t="s">
        <v>17</v>
      </c>
      <c r="S40" s="16">
        <f t="shared" ref="S40:AF40" si="32">SUM(S10:S21)</f>
        <v>224</v>
      </c>
      <c r="T40" s="16">
        <f t="shared" si="32"/>
        <v>0</v>
      </c>
      <c r="U40" s="16">
        <f t="shared" si="32"/>
        <v>250</v>
      </c>
      <c r="V40" s="16">
        <f t="shared" si="32"/>
        <v>207</v>
      </c>
      <c r="W40" s="16">
        <f t="shared" si="32"/>
        <v>12</v>
      </c>
      <c r="X40" s="16">
        <f t="shared" si="32"/>
        <v>4</v>
      </c>
      <c r="Y40" s="16">
        <f t="shared" si="32"/>
        <v>153</v>
      </c>
      <c r="Z40" s="16">
        <f t="shared" si="32"/>
        <v>18</v>
      </c>
      <c r="AA40" s="16">
        <f t="shared" si="32"/>
        <v>21</v>
      </c>
      <c r="AB40" s="16">
        <f t="shared" si="32"/>
        <v>13</v>
      </c>
      <c r="AC40" s="16">
        <f t="shared" si="32"/>
        <v>1171</v>
      </c>
      <c r="AD40" s="16">
        <f t="shared" si="32"/>
        <v>2</v>
      </c>
      <c r="AE40" s="32">
        <f t="shared" si="32"/>
        <v>904</v>
      </c>
      <c r="AF40" s="32">
        <f t="shared" si="32"/>
        <v>2075</v>
      </c>
    </row>
    <row r="41" spans="2:32" ht="23.1" customHeight="1" x14ac:dyDescent="0.25">
      <c r="B41" s="45" t="s">
        <v>68</v>
      </c>
      <c r="C41" s="50">
        <v>3</v>
      </c>
      <c r="D41" s="50">
        <v>0</v>
      </c>
      <c r="E41" s="50">
        <v>12</v>
      </c>
      <c r="F41" s="50">
        <v>4</v>
      </c>
      <c r="G41" s="50">
        <v>0</v>
      </c>
      <c r="H41" s="50">
        <v>0</v>
      </c>
      <c r="I41" s="50">
        <v>8</v>
      </c>
      <c r="J41" s="50">
        <v>1</v>
      </c>
      <c r="K41" s="50">
        <v>1</v>
      </c>
      <c r="L41" s="50">
        <v>0</v>
      </c>
      <c r="M41" s="50">
        <v>27</v>
      </c>
      <c r="N41" s="50">
        <v>0</v>
      </c>
      <c r="O41" s="15">
        <f t="shared" si="0"/>
        <v>29</v>
      </c>
      <c r="P41" s="15">
        <f t="shared" si="1"/>
        <v>56</v>
      </c>
      <c r="R41" s="5" t="s">
        <v>159</v>
      </c>
      <c r="S41" s="16">
        <f>SUM(S10:S33)</f>
        <v>278</v>
      </c>
      <c r="T41" s="16">
        <f t="shared" ref="T41:AF41" si="33">SUM(T10:T33)</f>
        <v>0</v>
      </c>
      <c r="U41" s="16">
        <f t="shared" si="33"/>
        <v>339</v>
      </c>
      <c r="V41" s="16">
        <f t="shared" si="33"/>
        <v>266</v>
      </c>
      <c r="W41" s="16">
        <f t="shared" si="33"/>
        <v>22</v>
      </c>
      <c r="X41" s="16">
        <f t="shared" si="33"/>
        <v>24</v>
      </c>
      <c r="Y41" s="16">
        <f t="shared" si="33"/>
        <v>208</v>
      </c>
      <c r="Z41" s="16">
        <f t="shared" si="33"/>
        <v>54</v>
      </c>
      <c r="AA41" s="16">
        <f t="shared" si="33"/>
        <v>46</v>
      </c>
      <c r="AB41" s="16">
        <f t="shared" si="33"/>
        <v>30</v>
      </c>
      <c r="AC41" s="16">
        <f t="shared" si="33"/>
        <v>1389</v>
      </c>
      <c r="AD41" s="16">
        <f t="shared" si="33"/>
        <v>2</v>
      </c>
      <c r="AE41" s="32">
        <f t="shared" si="33"/>
        <v>1269</v>
      </c>
      <c r="AF41" s="32">
        <f t="shared" si="33"/>
        <v>2658</v>
      </c>
    </row>
    <row r="42" spans="2:32" ht="23.1" customHeight="1" x14ac:dyDescent="0.25">
      <c r="B42" s="46" t="s">
        <v>69</v>
      </c>
      <c r="C42" s="50">
        <v>11</v>
      </c>
      <c r="D42" s="50">
        <v>0</v>
      </c>
      <c r="E42" s="50">
        <v>9</v>
      </c>
      <c r="F42" s="50">
        <v>5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29</v>
      </c>
      <c r="N42" s="50">
        <v>0</v>
      </c>
      <c r="O42" s="15">
        <f t="shared" si="0"/>
        <v>26</v>
      </c>
      <c r="P42" s="15">
        <f t="shared" si="1"/>
        <v>55</v>
      </c>
      <c r="R42" s="5" t="s">
        <v>160</v>
      </c>
      <c r="S42" s="48">
        <f>S41/S40</f>
        <v>1.2410714285714286</v>
      </c>
      <c r="T42" s="48" t="e">
        <f t="shared" ref="T42:AF42" si="34">T41/T40</f>
        <v>#DIV/0!</v>
      </c>
      <c r="U42" s="48">
        <f t="shared" si="34"/>
        <v>1.3560000000000001</v>
      </c>
      <c r="V42" s="48">
        <f t="shared" si="34"/>
        <v>1.2850241545893719</v>
      </c>
      <c r="W42" s="48">
        <f t="shared" si="34"/>
        <v>1.8333333333333333</v>
      </c>
      <c r="X42" s="48">
        <f t="shared" si="34"/>
        <v>6</v>
      </c>
      <c r="Y42" s="48">
        <f t="shared" si="34"/>
        <v>1.3594771241830066</v>
      </c>
      <c r="Z42" s="48">
        <f t="shared" si="34"/>
        <v>3</v>
      </c>
      <c r="AA42" s="48">
        <f t="shared" si="34"/>
        <v>2.1904761904761907</v>
      </c>
      <c r="AB42" s="48">
        <f t="shared" si="34"/>
        <v>2.3076923076923075</v>
      </c>
      <c r="AC42" s="48">
        <f t="shared" si="34"/>
        <v>1.1861656703672074</v>
      </c>
      <c r="AD42" s="48">
        <f t="shared" si="34"/>
        <v>1</v>
      </c>
      <c r="AE42" s="48">
        <f t="shared" si="34"/>
        <v>1.4037610619469028</v>
      </c>
      <c r="AF42" s="48">
        <f t="shared" si="34"/>
        <v>1.2809638554216867</v>
      </c>
    </row>
    <row r="43" spans="2:32" ht="23.1" customHeight="1" x14ac:dyDescent="0.25">
      <c r="B43" s="45" t="s">
        <v>70</v>
      </c>
      <c r="C43" s="50">
        <v>8</v>
      </c>
      <c r="D43" s="50">
        <v>0</v>
      </c>
      <c r="E43" s="50">
        <v>8</v>
      </c>
      <c r="F43" s="50">
        <v>3</v>
      </c>
      <c r="G43" s="50">
        <v>1</v>
      </c>
      <c r="H43" s="50">
        <v>0</v>
      </c>
      <c r="I43" s="50">
        <v>2</v>
      </c>
      <c r="J43" s="50">
        <v>0</v>
      </c>
      <c r="K43" s="50">
        <v>1</v>
      </c>
      <c r="L43" s="50">
        <v>0</v>
      </c>
      <c r="M43" s="50">
        <v>23</v>
      </c>
      <c r="N43" s="50">
        <v>0</v>
      </c>
      <c r="O43" s="15">
        <f t="shared" si="0"/>
        <v>23</v>
      </c>
      <c r="P43" s="15">
        <f t="shared" si="1"/>
        <v>46</v>
      </c>
    </row>
    <row r="44" spans="2:32" ht="23.1" customHeight="1" x14ac:dyDescent="0.25">
      <c r="B44" s="47" t="s">
        <v>71</v>
      </c>
      <c r="C44" s="50">
        <v>7</v>
      </c>
      <c r="D44" s="50">
        <v>0</v>
      </c>
      <c r="E44" s="50">
        <v>11</v>
      </c>
      <c r="F44" s="50">
        <v>5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27</v>
      </c>
      <c r="P44" s="15">
        <f t="shared" si="1"/>
        <v>41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9</v>
      </c>
      <c r="F45" s="50">
        <v>4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22</v>
      </c>
      <c r="P45" s="15">
        <f t="shared" si="1"/>
        <v>38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11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</v>
      </c>
      <c r="M46" s="50">
        <v>23</v>
      </c>
      <c r="N46" s="50">
        <v>0</v>
      </c>
      <c r="O46" s="15">
        <f t="shared" si="0"/>
        <v>19</v>
      </c>
      <c r="P46" s="15">
        <f t="shared" si="1"/>
        <v>42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0</v>
      </c>
      <c r="E47" s="50">
        <v>4</v>
      </c>
      <c r="F47" s="50">
        <v>3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25</v>
      </c>
      <c r="N47" s="50">
        <v>0</v>
      </c>
      <c r="O47" s="15">
        <f t="shared" si="0"/>
        <v>21</v>
      </c>
      <c r="P47" s="15">
        <f t="shared" si="1"/>
        <v>46</v>
      </c>
      <c r="R47" s="8"/>
      <c r="T47"/>
    </row>
    <row r="48" spans="2:32" ht="23.1" customHeight="1" x14ac:dyDescent="0.25">
      <c r="B48" s="46" t="s">
        <v>75</v>
      </c>
      <c r="C48" s="50">
        <v>9</v>
      </c>
      <c r="D48" s="50">
        <v>0</v>
      </c>
      <c r="E48" s="50">
        <v>6</v>
      </c>
      <c r="F48" s="50">
        <v>2</v>
      </c>
      <c r="G48" s="50">
        <v>0</v>
      </c>
      <c r="H48" s="50">
        <v>0</v>
      </c>
      <c r="I48" s="50">
        <v>7</v>
      </c>
      <c r="J48" s="50">
        <v>0</v>
      </c>
      <c r="K48" s="50">
        <v>0</v>
      </c>
      <c r="L48" s="50">
        <v>0</v>
      </c>
      <c r="M48" s="50">
        <v>31</v>
      </c>
      <c r="N48" s="50">
        <v>1</v>
      </c>
      <c r="O48" s="15">
        <f t="shared" si="0"/>
        <v>25</v>
      </c>
      <c r="P48" s="15">
        <f t="shared" si="1"/>
        <v>56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0</v>
      </c>
      <c r="E49" s="50">
        <v>14</v>
      </c>
      <c r="F49" s="50">
        <v>8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28</v>
      </c>
      <c r="N49" s="50">
        <v>0</v>
      </c>
      <c r="O49" s="15">
        <f t="shared" si="0"/>
        <v>32</v>
      </c>
      <c r="P49" s="15">
        <f t="shared" si="1"/>
        <v>60</v>
      </c>
      <c r="R49" s="8"/>
      <c r="T49"/>
    </row>
    <row r="50" spans="2:20" ht="23.1" customHeight="1" x14ac:dyDescent="0.25">
      <c r="B50" s="46" t="s">
        <v>77</v>
      </c>
      <c r="C50" s="50">
        <v>8</v>
      </c>
      <c r="D50" s="50">
        <v>0</v>
      </c>
      <c r="E50" s="50">
        <v>5</v>
      </c>
      <c r="F50" s="50">
        <v>7</v>
      </c>
      <c r="G50" s="50">
        <v>3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29</v>
      </c>
      <c r="N50" s="50">
        <v>0</v>
      </c>
      <c r="O50" s="15">
        <f t="shared" si="0"/>
        <v>25</v>
      </c>
      <c r="P50" s="15">
        <f t="shared" si="1"/>
        <v>54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6</v>
      </c>
      <c r="F51" s="50">
        <v>4</v>
      </c>
      <c r="G51" s="50">
        <v>1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20</v>
      </c>
      <c r="P51" s="15">
        <f t="shared" si="1"/>
        <v>40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10</v>
      </c>
      <c r="F52" s="50">
        <v>4</v>
      </c>
      <c r="G52" s="50">
        <v>1</v>
      </c>
      <c r="H52" s="50">
        <v>1</v>
      </c>
      <c r="I52" s="50">
        <v>3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24</v>
      </c>
      <c r="P52" s="15">
        <f t="shared" si="1"/>
        <v>48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12</v>
      </c>
      <c r="F53" s="50">
        <v>3</v>
      </c>
      <c r="G53" s="50">
        <v>1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39</v>
      </c>
      <c r="N53" s="50">
        <v>0</v>
      </c>
      <c r="O53" s="15">
        <f t="shared" si="0"/>
        <v>24</v>
      </c>
      <c r="P53" s="15">
        <f t="shared" si="1"/>
        <v>63</v>
      </c>
      <c r="R53" s="8"/>
      <c r="T53"/>
    </row>
    <row r="54" spans="2:20" ht="23.1" customHeight="1" x14ac:dyDescent="0.25">
      <c r="B54" s="45" t="s">
        <v>81</v>
      </c>
      <c r="C54" s="50">
        <v>8</v>
      </c>
      <c r="D54" s="50">
        <v>0</v>
      </c>
      <c r="E54" s="50">
        <v>10</v>
      </c>
      <c r="F54" s="50">
        <v>8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29</v>
      </c>
      <c r="P54" s="15">
        <f t="shared" si="1"/>
        <v>54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0</v>
      </c>
      <c r="E55" s="50">
        <v>2</v>
      </c>
      <c r="F55" s="50">
        <v>7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30</v>
      </c>
      <c r="N55" s="50">
        <v>0</v>
      </c>
      <c r="O55" s="15">
        <f t="shared" si="0"/>
        <v>16</v>
      </c>
      <c r="P55" s="15">
        <f t="shared" si="1"/>
        <v>46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v>0</v>
      </c>
      <c r="E56" s="50">
        <v>10</v>
      </c>
      <c r="F56" s="50">
        <v>6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1</v>
      </c>
      <c r="M56" s="50">
        <v>27</v>
      </c>
      <c r="N56" s="50">
        <v>0</v>
      </c>
      <c r="O56" s="15">
        <f t="shared" si="0"/>
        <v>30</v>
      </c>
      <c r="P56" s="15">
        <f t="shared" si="1"/>
        <v>57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0</v>
      </c>
      <c r="E57" s="50">
        <v>8</v>
      </c>
      <c r="F57" s="50">
        <v>4</v>
      </c>
      <c r="G57" s="50">
        <v>0</v>
      </c>
      <c r="H57" s="50">
        <v>0</v>
      </c>
      <c r="I57" s="50">
        <v>4</v>
      </c>
      <c r="J57" s="50">
        <v>0</v>
      </c>
      <c r="K57" s="50">
        <v>1</v>
      </c>
      <c r="L57" s="50">
        <v>0</v>
      </c>
      <c r="M57" s="50">
        <v>23</v>
      </c>
      <c r="N57" s="50">
        <v>0</v>
      </c>
      <c r="O57" s="15">
        <f t="shared" si="0"/>
        <v>23</v>
      </c>
      <c r="P57" s="15">
        <f t="shared" si="1"/>
        <v>46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v>0</v>
      </c>
      <c r="E58" s="50">
        <v>2</v>
      </c>
      <c r="F58" s="50">
        <v>2</v>
      </c>
      <c r="G58" s="50">
        <v>0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25</v>
      </c>
      <c r="N58" s="50">
        <v>0</v>
      </c>
      <c r="O58" s="15">
        <f t="shared" ref="O58:O105" si="35">SUM(C58:L58,N58)</f>
        <v>13</v>
      </c>
      <c r="P58" s="15">
        <f t="shared" ref="P58:P105" si="36">SUM(C58:N58)</f>
        <v>38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4</v>
      </c>
      <c r="F59" s="50">
        <v>3</v>
      </c>
      <c r="G59" s="50">
        <v>0</v>
      </c>
      <c r="H59" s="50">
        <v>0</v>
      </c>
      <c r="I59" s="50">
        <v>3</v>
      </c>
      <c r="J59" s="50">
        <v>1</v>
      </c>
      <c r="K59" s="50">
        <v>0</v>
      </c>
      <c r="L59" s="50">
        <v>1</v>
      </c>
      <c r="M59" s="50">
        <v>23</v>
      </c>
      <c r="N59" s="50">
        <v>0</v>
      </c>
      <c r="O59" s="15">
        <f t="shared" si="35"/>
        <v>13</v>
      </c>
      <c r="P59" s="15">
        <f t="shared" si="36"/>
        <v>36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6</v>
      </c>
      <c r="F60" s="50">
        <v>2</v>
      </c>
      <c r="G60" s="50">
        <v>0</v>
      </c>
      <c r="H60" s="50">
        <v>1</v>
      </c>
      <c r="I60" s="50">
        <v>2</v>
      </c>
      <c r="J60" s="50">
        <v>0</v>
      </c>
      <c r="K60" s="50">
        <v>1</v>
      </c>
      <c r="L60" s="50">
        <v>1</v>
      </c>
      <c r="M60" s="50">
        <v>13</v>
      </c>
      <c r="N60" s="50">
        <v>0</v>
      </c>
      <c r="O60" s="15">
        <f t="shared" si="35"/>
        <v>15</v>
      </c>
      <c r="P60" s="15">
        <f t="shared" si="36"/>
        <v>28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4</v>
      </c>
      <c r="F61" s="50">
        <v>3</v>
      </c>
      <c r="G61" s="50">
        <v>1</v>
      </c>
      <c r="H61" s="50">
        <v>1</v>
      </c>
      <c r="I61" s="50">
        <v>4</v>
      </c>
      <c r="J61" s="50">
        <v>1</v>
      </c>
      <c r="K61" s="50">
        <v>1</v>
      </c>
      <c r="L61" s="50">
        <v>0</v>
      </c>
      <c r="M61" s="50">
        <v>20</v>
      </c>
      <c r="N61" s="50">
        <v>0</v>
      </c>
      <c r="O61" s="15">
        <f t="shared" si="35"/>
        <v>16</v>
      </c>
      <c r="P61" s="15">
        <f t="shared" si="36"/>
        <v>36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0</v>
      </c>
      <c r="E62" s="50">
        <v>6</v>
      </c>
      <c r="F62" s="50">
        <v>1</v>
      </c>
      <c r="G62" s="50">
        <v>0</v>
      </c>
      <c r="H62" s="50">
        <v>0</v>
      </c>
      <c r="I62" s="50">
        <v>4</v>
      </c>
      <c r="J62" s="50">
        <v>1</v>
      </c>
      <c r="K62" s="50">
        <v>1</v>
      </c>
      <c r="L62" s="50">
        <v>0</v>
      </c>
      <c r="M62" s="50">
        <v>15</v>
      </c>
      <c r="N62" s="50">
        <v>0</v>
      </c>
      <c r="O62" s="15">
        <f t="shared" si="35"/>
        <v>16</v>
      </c>
      <c r="P62" s="15">
        <f t="shared" si="36"/>
        <v>31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0</v>
      </c>
      <c r="E63" s="50">
        <v>1</v>
      </c>
      <c r="F63" s="50">
        <v>4</v>
      </c>
      <c r="G63" s="50">
        <v>0</v>
      </c>
      <c r="H63" s="50">
        <v>0</v>
      </c>
      <c r="I63" s="50">
        <v>2</v>
      </c>
      <c r="J63" s="50">
        <v>1</v>
      </c>
      <c r="K63" s="50">
        <v>1</v>
      </c>
      <c r="L63" s="50">
        <v>0</v>
      </c>
      <c r="M63" s="50">
        <v>16</v>
      </c>
      <c r="N63" s="50">
        <v>0</v>
      </c>
      <c r="O63" s="15">
        <f t="shared" si="35"/>
        <v>13</v>
      </c>
      <c r="P63" s="15">
        <f t="shared" si="36"/>
        <v>29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5</v>
      </c>
      <c r="F64" s="50">
        <v>3</v>
      </c>
      <c r="G64" s="50">
        <v>1</v>
      </c>
      <c r="H64" s="50">
        <v>1</v>
      </c>
      <c r="I64" s="50">
        <v>3</v>
      </c>
      <c r="J64" s="50">
        <v>1</v>
      </c>
      <c r="K64" s="50">
        <v>1</v>
      </c>
      <c r="L64" s="50">
        <v>0</v>
      </c>
      <c r="M64" s="50">
        <v>17</v>
      </c>
      <c r="N64" s="50">
        <v>0</v>
      </c>
      <c r="O64" s="15">
        <f t="shared" si="35"/>
        <v>16</v>
      </c>
      <c r="P64" s="15">
        <f t="shared" si="36"/>
        <v>33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0</v>
      </c>
      <c r="E65" s="50">
        <v>1</v>
      </c>
      <c r="F65" s="50">
        <v>4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1</v>
      </c>
      <c r="M65" s="50">
        <v>13</v>
      </c>
      <c r="N65" s="50">
        <v>0</v>
      </c>
      <c r="O65" s="15">
        <f t="shared" si="35"/>
        <v>12</v>
      </c>
      <c r="P65" s="15">
        <f t="shared" si="36"/>
        <v>25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4</v>
      </c>
      <c r="F66" s="50">
        <v>2</v>
      </c>
      <c r="G66" s="50">
        <v>0</v>
      </c>
      <c r="H66" s="50">
        <v>0</v>
      </c>
      <c r="I66" s="50">
        <v>2</v>
      </c>
      <c r="J66" s="50">
        <v>1</v>
      </c>
      <c r="K66" s="50">
        <v>1</v>
      </c>
      <c r="L66" s="50">
        <v>1</v>
      </c>
      <c r="M66" s="50">
        <v>12</v>
      </c>
      <c r="N66" s="50">
        <v>0</v>
      </c>
      <c r="O66" s="15">
        <f t="shared" si="35"/>
        <v>13</v>
      </c>
      <c r="P66" s="15">
        <f t="shared" si="36"/>
        <v>25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2</v>
      </c>
      <c r="F67" s="50">
        <v>3</v>
      </c>
      <c r="G67" s="50">
        <v>0</v>
      </c>
      <c r="H67" s="50">
        <v>1</v>
      </c>
      <c r="I67" s="50">
        <v>3</v>
      </c>
      <c r="J67" s="50">
        <v>0</v>
      </c>
      <c r="K67" s="50">
        <v>0</v>
      </c>
      <c r="L67" s="50">
        <v>0</v>
      </c>
      <c r="M67" s="50">
        <v>14</v>
      </c>
      <c r="N67" s="50">
        <v>0</v>
      </c>
      <c r="O67" s="15">
        <f t="shared" si="35"/>
        <v>11</v>
      </c>
      <c r="P67" s="15">
        <f t="shared" si="36"/>
        <v>25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0</v>
      </c>
      <c r="E68" s="50">
        <v>3</v>
      </c>
      <c r="F68" s="50">
        <v>1</v>
      </c>
      <c r="G68" s="50">
        <v>1</v>
      </c>
      <c r="H68" s="50">
        <v>1</v>
      </c>
      <c r="I68" s="50">
        <v>3</v>
      </c>
      <c r="J68" s="50">
        <v>0</v>
      </c>
      <c r="K68" s="50">
        <v>0</v>
      </c>
      <c r="L68" s="50">
        <v>1</v>
      </c>
      <c r="M68" s="50">
        <v>10</v>
      </c>
      <c r="N68" s="50">
        <v>0</v>
      </c>
      <c r="O68" s="15">
        <f t="shared" si="35"/>
        <v>13</v>
      </c>
      <c r="P68" s="15">
        <f t="shared" si="36"/>
        <v>23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4</v>
      </c>
      <c r="F69" s="50">
        <v>3</v>
      </c>
      <c r="G69" s="50">
        <v>0</v>
      </c>
      <c r="H69" s="50">
        <v>1</v>
      </c>
      <c r="I69" s="50">
        <v>3</v>
      </c>
      <c r="J69" s="50">
        <v>1</v>
      </c>
      <c r="K69" s="50">
        <v>1</v>
      </c>
      <c r="L69" s="50">
        <v>0</v>
      </c>
      <c r="M69" s="50">
        <v>11</v>
      </c>
      <c r="N69" s="50">
        <v>0</v>
      </c>
      <c r="O69" s="15">
        <f t="shared" si="35"/>
        <v>15</v>
      </c>
      <c r="P69" s="15">
        <f t="shared" si="36"/>
        <v>26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2</v>
      </c>
      <c r="F70" s="50">
        <v>1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35"/>
        <v>6</v>
      </c>
      <c r="P70" s="15">
        <f t="shared" si="36"/>
        <v>11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0</v>
      </c>
      <c r="E71" s="50">
        <v>4</v>
      </c>
      <c r="F71" s="50">
        <v>2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0</v>
      </c>
      <c r="M71" s="50">
        <v>3</v>
      </c>
      <c r="N71" s="50">
        <v>0</v>
      </c>
      <c r="O71" s="15">
        <f t="shared" si="35"/>
        <v>14</v>
      </c>
      <c r="P71" s="15">
        <f t="shared" si="36"/>
        <v>17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1</v>
      </c>
      <c r="F72" s="50">
        <v>1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4</v>
      </c>
      <c r="N72" s="50">
        <v>0</v>
      </c>
      <c r="O72" s="15">
        <f t="shared" si="35"/>
        <v>5</v>
      </c>
      <c r="P72" s="15">
        <f t="shared" si="36"/>
        <v>9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2</v>
      </c>
      <c r="F73" s="50">
        <v>2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1</v>
      </c>
      <c r="M73" s="50">
        <v>3</v>
      </c>
      <c r="N73" s="50">
        <v>0</v>
      </c>
      <c r="O73" s="15">
        <f t="shared" si="35"/>
        <v>9</v>
      </c>
      <c r="P73" s="15">
        <f t="shared" si="36"/>
        <v>12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3</v>
      </c>
      <c r="F74" s="50">
        <v>1</v>
      </c>
      <c r="G74" s="50">
        <v>0</v>
      </c>
      <c r="H74" s="50">
        <v>1</v>
      </c>
      <c r="I74" s="50">
        <v>1</v>
      </c>
      <c r="J74" s="50">
        <v>0</v>
      </c>
      <c r="K74" s="50">
        <v>1</v>
      </c>
      <c r="L74" s="50">
        <v>1</v>
      </c>
      <c r="M74" s="50">
        <v>6</v>
      </c>
      <c r="N74" s="50">
        <v>0</v>
      </c>
      <c r="O74" s="15">
        <f t="shared" si="35"/>
        <v>8</v>
      </c>
      <c r="P74" s="15">
        <f t="shared" si="36"/>
        <v>14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2</v>
      </c>
      <c r="F75" s="50">
        <v>2</v>
      </c>
      <c r="G75" s="50">
        <v>1</v>
      </c>
      <c r="H75" s="50">
        <v>1</v>
      </c>
      <c r="I75" s="50">
        <v>1</v>
      </c>
      <c r="J75" s="50">
        <v>1</v>
      </c>
      <c r="K75" s="50">
        <v>1</v>
      </c>
      <c r="L75" s="50">
        <v>0</v>
      </c>
      <c r="M75" s="50">
        <v>1</v>
      </c>
      <c r="N75" s="50">
        <v>0</v>
      </c>
      <c r="O75" s="15">
        <f t="shared" si="35"/>
        <v>10</v>
      </c>
      <c r="P75" s="15">
        <f t="shared" si="36"/>
        <v>11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3</v>
      </c>
      <c r="F76" s="50">
        <v>1</v>
      </c>
      <c r="G76" s="50">
        <v>0</v>
      </c>
      <c r="H76" s="50">
        <v>0</v>
      </c>
      <c r="I76" s="50">
        <v>2</v>
      </c>
      <c r="J76" s="50">
        <v>1</v>
      </c>
      <c r="K76" s="50">
        <v>1</v>
      </c>
      <c r="L76" s="50">
        <v>0</v>
      </c>
      <c r="M76" s="50">
        <v>2</v>
      </c>
      <c r="N76" s="50">
        <v>0</v>
      </c>
      <c r="O76" s="15">
        <f t="shared" si="35"/>
        <v>9</v>
      </c>
      <c r="P76" s="15">
        <f t="shared" si="36"/>
        <v>11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1</v>
      </c>
      <c r="F77" s="50">
        <v>2</v>
      </c>
      <c r="G77" s="50">
        <v>0</v>
      </c>
      <c r="H77" s="50">
        <v>0</v>
      </c>
      <c r="I77" s="50">
        <v>1</v>
      </c>
      <c r="J77" s="50">
        <v>1</v>
      </c>
      <c r="K77" s="50">
        <v>1</v>
      </c>
      <c r="L77" s="50">
        <v>0</v>
      </c>
      <c r="M77" s="50">
        <v>1</v>
      </c>
      <c r="N77" s="50">
        <v>0</v>
      </c>
      <c r="O77" s="15">
        <f t="shared" si="35"/>
        <v>6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3</v>
      </c>
      <c r="F78" s="50">
        <v>2</v>
      </c>
      <c r="G78" s="50">
        <v>1</v>
      </c>
      <c r="H78" s="50">
        <v>1</v>
      </c>
      <c r="I78" s="50">
        <v>2</v>
      </c>
      <c r="J78" s="50">
        <v>1</v>
      </c>
      <c r="K78" s="50">
        <v>1</v>
      </c>
      <c r="L78" s="50">
        <v>0</v>
      </c>
      <c r="M78" s="50">
        <v>1</v>
      </c>
      <c r="N78" s="50">
        <v>0</v>
      </c>
      <c r="O78" s="15">
        <f t="shared" si="35"/>
        <v>12</v>
      </c>
      <c r="P78" s="15">
        <f t="shared" si="36"/>
        <v>13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1</v>
      </c>
      <c r="F79" s="50">
        <v>2</v>
      </c>
      <c r="G79" s="50">
        <v>0</v>
      </c>
      <c r="H79" s="50">
        <v>0</v>
      </c>
      <c r="I79" s="50">
        <v>1</v>
      </c>
      <c r="J79" s="50">
        <v>1</v>
      </c>
      <c r="K79" s="50">
        <v>0</v>
      </c>
      <c r="L79" s="50">
        <v>1</v>
      </c>
      <c r="M79" s="50">
        <v>0</v>
      </c>
      <c r="N79" s="50"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2</v>
      </c>
      <c r="F80" s="50">
        <v>1</v>
      </c>
      <c r="G80" s="50">
        <v>0</v>
      </c>
      <c r="H80" s="50">
        <v>0</v>
      </c>
      <c r="I80" s="50">
        <v>1</v>
      </c>
      <c r="J80" s="50">
        <v>1</v>
      </c>
      <c r="K80" s="50">
        <v>1</v>
      </c>
      <c r="L80" s="50">
        <v>1</v>
      </c>
      <c r="M80" s="50">
        <v>0</v>
      </c>
      <c r="N80" s="50"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2</v>
      </c>
      <c r="G81" s="50">
        <v>0</v>
      </c>
      <c r="H81" s="50">
        <v>1</v>
      </c>
      <c r="I81" s="50">
        <v>2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2</v>
      </c>
      <c r="F82" s="50">
        <v>1</v>
      </c>
      <c r="G82" s="50">
        <v>1</v>
      </c>
      <c r="H82" s="50">
        <v>1</v>
      </c>
      <c r="I82" s="50">
        <v>1</v>
      </c>
      <c r="J82" s="50">
        <v>0</v>
      </c>
      <c r="K82" s="50">
        <v>0</v>
      </c>
      <c r="L82" s="50">
        <v>1</v>
      </c>
      <c r="M82" s="50">
        <v>0</v>
      </c>
      <c r="N82" s="50"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2</v>
      </c>
      <c r="F83" s="50">
        <v>2</v>
      </c>
      <c r="G83" s="50">
        <v>0</v>
      </c>
      <c r="H83" s="50">
        <v>1</v>
      </c>
      <c r="I83" s="50">
        <v>1</v>
      </c>
      <c r="J83" s="50">
        <v>1</v>
      </c>
      <c r="K83" s="50">
        <v>1</v>
      </c>
      <c r="L83" s="50">
        <v>0</v>
      </c>
      <c r="M83" s="50">
        <v>0</v>
      </c>
      <c r="N83" s="50">
        <v>0</v>
      </c>
      <c r="O83" s="15">
        <f t="shared" si="35"/>
        <v>8</v>
      </c>
      <c r="P83" s="15">
        <f t="shared" si="36"/>
        <v>8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1</v>
      </c>
      <c r="F85" s="50">
        <v>1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4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1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1</v>
      </c>
      <c r="L88" s="50">
        <v>1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1</v>
      </c>
      <c r="H89" s="50">
        <v>1</v>
      </c>
      <c r="I89" s="50">
        <v>0</v>
      </c>
      <c r="J89" s="50">
        <v>1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1</v>
      </c>
      <c r="H92" s="50">
        <v>1</v>
      </c>
      <c r="I92" s="50">
        <v>0</v>
      </c>
      <c r="J92" s="50">
        <v>1</v>
      </c>
      <c r="K92" s="50">
        <v>1</v>
      </c>
      <c r="L92" s="50">
        <v>0</v>
      </c>
      <c r="M92" s="50">
        <v>0</v>
      </c>
      <c r="N92" s="50"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50">
        <v>0</v>
      </c>
      <c r="N93" s="50"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1</v>
      </c>
      <c r="L94" s="50">
        <v>1</v>
      </c>
      <c r="M94" s="50">
        <v>0</v>
      </c>
      <c r="N94" s="50"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1</v>
      </c>
      <c r="H96" s="50">
        <v>1</v>
      </c>
      <c r="I96" s="50">
        <v>0</v>
      </c>
      <c r="J96" s="50">
        <v>0</v>
      </c>
      <c r="K96" s="50">
        <v>0</v>
      </c>
      <c r="L96" s="50">
        <v>1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1</v>
      </c>
      <c r="I97" s="50">
        <v>0</v>
      </c>
      <c r="J97" s="50">
        <v>1</v>
      </c>
      <c r="K97" s="50">
        <v>1</v>
      </c>
      <c r="L97" s="50">
        <v>0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3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0</v>
      </c>
      <c r="G102" s="50">
        <v>0</v>
      </c>
      <c r="H102" s="50">
        <v>1</v>
      </c>
      <c r="I102" s="50">
        <v>0</v>
      </c>
      <c r="J102" s="50">
        <v>0</v>
      </c>
      <c r="K102" s="50">
        <v>1</v>
      </c>
      <c r="L102" s="50">
        <v>1</v>
      </c>
      <c r="M102" s="50">
        <v>0</v>
      </c>
      <c r="N102" s="50"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0</v>
      </c>
      <c r="G103" s="50">
        <v>1</v>
      </c>
      <c r="H103" s="50">
        <v>1</v>
      </c>
      <c r="I103" s="50">
        <v>0</v>
      </c>
      <c r="J103" s="50">
        <v>1</v>
      </c>
      <c r="K103" s="50">
        <v>1</v>
      </c>
      <c r="L103" s="50">
        <v>0</v>
      </c>
      <c r="M103" s="50">
        <v>1</v>
      </c>
      <c r="N103" s="50">
        <v>0</v>
      </c>
      <c r="O103" s="15">
        <f t="shared" si="35"/>
        <v>5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2</v>
      </c>
      <c r="J104" s="50">
        <v>1</v>
      </c>
      <c r="K104" s="50">
        <v>1</v>
      </c>
      <c r="L104" s="50">
        <v>0</v>
      </c>
      <c r="M104" s="50">
        <v>1</v>
      </c>
      <c r="N104" s="50">
        <v>0</v>
      </c>
      <c r="O104" s="15">
        <f t="shared" si="35"/>
        <v>7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2</v>
      </c>
      <c r="F105" s="50">
        <v>1</v>
      </c>
      <c r="G105" s="50">
        <v>0</v>
      </c>
      <c r="H105" s="50">
        <v>0</v>
      </c>
      <c r="I105" s="50">
        <v>1</v>
      </c>
      <c r="J105" s="50">
        <v>2</v>
      </c>
      <c r="K105" s="50">
        <v>1</v>
      </c>
      <c r="L105" s="50">
        <v>0</v>
      </c>
      <c r="M105" s="50">
        <v>1</v>
      </c>
      <c r="N105" s="50">
        <v>0</v>
      </c>
      <c r="O105" s="15">
        <f t="shared" si="35"/>
        <v>8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278</v>
      </c>
      <c r="D106" s="16">
        <f t="shared" ref="D106:P106" si="37">SUM(D10:D105)</f>
        <v>0</v>
      </c>
      <c r="E106" s="16">
        <f t="shared" si="37"/>
        <v>339</v>
      </c>
      <c r="F106" s="16">
        <f t="shared" si="37"/>
        <v>266</v>
      </c>
      <c r="G106" s="16">
        <f t="shared" si="37"/>
        <v>22</v>
      </c>
      <c r="H106" s="16">
        <f t="shared" si="37"/>
        <v>24</v>
      </c>
      <c r="I106" s="16">
        <f t="shared" si="37"/>
        <v>208</v>
      </c>
      <c r="J106" s="16">
        <f t="shared" si="37"/>
        <v>54</v>
      </c>
      <c r="K106" s="16">
        <f t="shared" si="37"/>
        <v>46</v>
      </c>
      <c r="L106" s="16">
        <f t="shared" si="37"/>
        <v>30</v>
      </c>
      <c r="M106" s="16">
        <f t="shared" si="37"/>
        <v>1389</v>
      </c>
      <c r="N106" s="16">
        <f t="shared" si="37"/>
        <v>2</v>
      </c>
      <c r="O106" s="16">
        <f t="shared" si="37"/>
        <v>1269</v>
      </c>
      <c r="P106" s="16">
        <f t="shared" si="37"/>
        <v>2658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0.10458991723100075</v>
      </c>
      <c r="D107" s="43">
        <f t="shared" si="38"/>
        <v>0</v>
      </c>
      <c r="E107" s="43">
        <f t="shared" si="38"/>
        <v>0.1275395033860045</v>
      </c>
      <c r="F107" s="43">
        <f t="shared" si="38"/>
        <v>0.1000752445447705</v>
      </c>
      <c r="G107" s="43">
        <f t="shared" si="38"/>
        <v>8.2768999247554553E-3</v>
      </c>
      <c r="H107" s="43">
        <f t="shared" si="38"/>
        <v>9.0293453724604959E-3</v>
      </c>
      <c r="I107" s="43">
        <f t="shared" si="38"/>
        <v>7.8254326561324306E-2</v>
      </c>
      <c r="J107" s="43">
        <f t="shared" si="38"/>
        <v>2.0316027088036117E-2</v>
      </c>
      <c r="K107" s="43">
        <f t="shared" si="38"/>
        <v>1.7306245297215951E-2</v>
      </c>
      <c r="L107" s="43">
        <f t="shared" si="38"/>
        <v>1.1286681715575621E-2</v>
      </c>
      <c r="M107" s="43">
        <f t="shared" si="38"/>
        <v>0.52257336343115124</v>
      </c>
      <c r="N107" s="43">
        <f t="shared" si="38"/>
        <v>7.5244544770504136E-4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0.219070133963751</v>
      </c>
      <c r="D108" s="44">
        <f t="shared" ref="D108:N108" si="39">D106/$O$106</f>
        <v>0</v>
      </c>
      <c r="E108" s="44">
        <f t="shared" si="39"/>
        <v>0.26713947990543735</v>
      </c>
      <c r="F108" s="44">
        <f t="shared" si="39"/>
        <v>0.20961386918833727</v>
      </c>
      <c r="G108" s="44">
        <f t="shared" si="39"/>
        <v>1.7336485421591805E-2</v>
      </c>
      <c r="H108" s="44">
        <f t="shared" si="39"/>
        <v>1.8912529550827423E-2</v>
      </c>
      <c r="I108" s="44">
        <f t="shared" si="39"/>
        <v>0.16390858944050432</v>
      </c>
      <c r="J108" s="44">
        <f t="shared" si="39"/>
        <v>4.2553191489361701E-2</v>
      </c>
      <c r="K108" s="44">
        <f t="shared" si="39"/>
        <v>3.6249014972419225E-2</v>
      </c>
      <c r="L108" s="44">
        <f t="shared" si="39"/>
        <v>2.3640661938534278E-2</v>
      </c>
      <c r="M108" s="44"/>
      <c r="N108" s="44">
        <f t="shared" si="39"/>
        <v>1.5760441292356187E-3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52" zoomScale="60" workbookViewId="0">
      <selection activeCell="M4" sqref="M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'19.8 Kayunga-Kangulumira'!G5:H5</f>
        <v>Kayunga</v>
      </c>
      <c r="H5" s="64"/>
      <c r="I5" s="14"/>
      <c r="J5" s="2" t="s">
        <v>5</v>
      </c>
      <c r="K5" s="63" t="str">
        <f>'19.8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'19.8 Kayunga-Kangulumira'!D6:E6</f>
        <v>KAYUNGA</v>
      </c>
      <c r="E6" s="64"/>
      <c r="F6" s="2" t="s">
        <v>2</v>
      </c>
      <c r="G6" s="63" t="str">
        <f>'19.8 Kayunga-Kangulumira'!G6:H6</f>
        <v>KANGULUMIRA</v>
      </c>
      <c r="H6" s="64"/>
      <c r="J6" s="2" t="s">
        <v>21</v>
      </c>
      <c r="K6" s="63" t="str">
        <f>'19.8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2</v>
      </c>
      <c r="F10" s="50">
        <v>8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25</v>
      </c>
      <c r="R10" s="1" t="s">
        <v>6</v>
      </c>
      <c r="S10" s="17">
        <f t="shared" ref="S10:AF10" si="2">SUM(C10:C13)</f>
        <v>9</v>
      </c>
      <c r="T10" s="17">
        <f t="shared" si="2"/>
        <v>0</v>
      </c>
      <c r="U10" s="17">
        <f t="shared" si="2"/>
        <v>14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108</v>
      </c>
      <c r="AD10" s="17">
        <f t="shared" si="2"/>
        <v>0</v>
      </c>
      <c r="AE10" s="31">
        <f t="shared" si="2"/>
        <v>57</v>
      </c>
      <c r="AF10" s="31">
        <f t="shared" si="2"/>
        <v>165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3</v>
      </c>
      <c r="F11" s="50">
        <v>7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14</v>
      </c>
      <c r="P11" s="15">
        <f t="shared" si="1"/>
        <v>34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15</v>
      </c>
      <c r="V11" s="17">
        <f t="shared" si="3"/>
        <v>17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138</v>
      </c>
      <c r="AD11" s="17">
        <f t="shared" si="3"/>
        <v>0</v>
      </c>
      <c r="AE11" s="31">
        <f t="shared" si="3"/>
        <v>51</v>
      </c>
      <c r="AF11" s="31">
        <f t="shared" si="3"/>
        <v>189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3</v>
      </c>
      <c r="F12" s="50">
        <v>7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15</v>
      </c>
      <c r="P12" s="15">
        <f t="shared" si="1"/>
        <v>50</v>
      </c>
      <c r="R12" s="1" t="s">
        <v>8</v>
      </c>
      <c r="S12" s="17">
        <f t="shared" ref="S12:AF12" si="4">SUM(C18:C21)</f>
        <v>21</v>
      </c>
      <c r="T12" s="17">
        <f t="shared" si="4"/>
        <v>0</v>
      </c>
      <c r="U12" s="17">
        <f t="shared" si="4"/>
        <v>20</v>
      </c>
      <c r="V12" s="17">
        <f t="shared" si="4"/>
        <v>15</v>
      </c>
      <c r="W12" s="17">
        <f t="shared" si="4"/>
        <v>2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5</v>
      </c>
      <c r="AB12" s="17">
        <f t="shared" si="4"/>
        <v>0</v>
      </c>
      <c r="AC12" s="17">
        <f t="shared" si="4"/>
        <v>88</v>
      </c>
      <c r="AD12" s="17">
        <f t="shared" si="4"/>
        <v>0</v>
      </c>
      <c r="AE12" s="31">
        <f t="shared" si="4"/>
        <v>69</v>
      </c>
      <c r="AF12" s="31">
        <f t="shared" si="4"/>
        <v>157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6</v>
      </c>
      <c r="F13" s="50">
        <v>7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40</v>
      </c>
      <c r="N13" s="50">
        <v>0</v>
      </c>
      <c r="O13" s="15">
        <f t="shared" si="0"/>
        <v>16</v>
      </c>
      <c r="P13" s="15">
        <f t="shared" si="1"/>
        <v>56</v>
      </c>
      <c r="R13" s="1" t="s">
        <v>9</v>
      </c>
      <c r="S13" s="17">
        <f t="shared" ref="S13:AF13" si="5">SUM(C22:C25)</f>
        <v>15</v>
      </c>
      <c r="T13" s="17">
        <f t="shared" si="5"/>
        <v>0</v>
      </c>
      <c r="U13" s="17">
        <f t="shared" si="5"/>
        <v>15</v>
      </c>
      <c r="V13" s="17">
        <f t="shared" si="5"/>
        <v>11</v>
      </c>
      <c r="W13" s="17">
        <f t="shared" si="5"/>
        <v>0</v>
      </c>
      <c r="X13" s="17">
        <f t="shared" si="5"/>
        <v>1</v>
      </c>
      <c r="Y13" s="17">
        <f t="shared" si="5"/>
        <v>8</v>
      </c>
      <c r="Z13" s="17">
        <f t="shared" si="5"/>
        <v>1</v>
      </c>
      <c r="AA13" s="17">
        <f t="shared" si="5"/>
        <v>2</v>
      </c>
      <c r="AB13" s="17">
        <f t="shared" si="5"/>
        <v>2</v>
      </c>
      <c r="AC13" s="17">
        <f t="shared" si="5"/>
        <v>107</v>
      </c>
      <c r="AD13" s="17">
        <f t="shared" si="5"/>
        <v>0</v>
      </c>
      <c r="AE13" s="31">
        <f t="shared" si="5"/>
        <v>55</v>
      </c>
      <c r="AF13" s="31">
        <f t="shared" si="5"/>
        <v>162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4</v>
      </c>
      <c r="F14" s="50">
        <v>7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16</v>
      </c>
      <c r="P14" s="15">
        <f t="shared" si="1"/>
        <v>41</v>
      </c>
      <c r="R14" s="1" t="s">
        <v>10</v>
      </c>
      <c r="S14" s="17">
        <f t="shared" ref="S14:AF14" si="6">SUM(C26:C29)</f>
        <v>17</v>
      </c>
      <c r="T14" s="17">
        <f t="shared" si="6"/>
        <v>0</v>
      </c>
      <c r="U14" s="17">
        <f t="shared" si="6"/>
        <v>21</v>
      </c>
      <c r="V14" s="17">
        <f t="shared" si="6"/>
        <v>20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0</v>
      </c>
      <c r="AA14" s="17">
        <f t="shared" si="6"/>
        <v>3</v>
      </c>
      <c r="AB14" s="17">
        <f t="shared" si="6"/>
        <v>1</v>
      </c>
      <c r="AC14" s="17">
        <f t="shared" si="6"/>
        <v>83</v>
      </c>
      <c r="AD14" s="17">
        <f t="shared" si="6"/>
        <v>0</v>
      </c>
      <c r="AE14" s="31">
        <f t="shared" si="6"/>
        <v>72</v>
      </c>
      <c r="AF14" s="31">
        <f t="shared" si="6"/>
        <v>155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4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45</v>
      </c>
      <c r="N15" s="50">
        <v>0</v>
      </c>
      <c r="O15" s="15">
        <f t="shared" si="0"/>
        <v>10</v>
      </c>
      <c r="P15" s="15">
        <f t="shared" si="1"/>
        <v>55</v>
      </c>
      <c r="R15" s="1" t="s">
        <v>11</v>
      </c>
      <c r="S15" s="17">
        <f t="shared" ref="S15:AF15" si="7">SUM(C30:C33)</f>
        <v>18</v>
      </c>
      <c r="T15" s="17">
        <f t="shared" si="7"/>
        <v>0</v>
      </c>
      <c r="U15" s="17">
        <f t="shared" si="7"/>
        <v>24</v>
      </c>
      <c r="V15" s="17">
        <f t="shared" si="7"/>
        <v>13</v>
      </c>
      <c r="W15" s="17">
        <f t="shared" si="7"/>
        <v>2</v>
      </c>
      <c r="X15" s="17">
        <f t="shared" si="7"/>
        <v>0</v>
      </c>
      <c r="Y15" s="17">
        <f t="shared" si="7"/>
        <v>10</v>
      </c>
      <c r="Z15" s="17">
        <f t="shared" si="7"/>
        <v>0</v>
      </c>
      <c r="AA15" s="17">
        <f t="shared" si="7"/>
        <v>3</v>
      </c>
      <c r="AB15" s="17">
        <f t="shared" si="7"/>
        <v>0</v>
      </c>
      <c r="AC15" s="17">
        <f t="shared" si="7"/>
        <v>118</v>
      </c>
      <c r="AD15" s="17">
        <f t="shared" si="7"/>
        <v>0</v>
      </c>
      <c r="AE15" s="31">
        <f t="shared" si="7"/>
        <v>70</v>
      </c>
      <c r="AF15" s="31">
        <f t="shared" si="7"/>
        <v>188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3</v>
      </c>
      <c r="F16" s="50">
        <v>4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34</v>
      </c>
      <c r="N16" s="50">
        <v>0</v>
      </c>
      <c r="O16" s="15">
        <f t="shared" si="0"/>
        <v>11</v>
      </c>
      <c r="P16" s="15">
        <f t="shared" si="1"/>
        <v>45</v>
      </c>
      <c r="R16" s="1" t="s">
        <v>12</v>
      </c>
      <c r="S16" s="17">
        <f t="shared" ref="S16:AF16" si="8">SUM(C34:C37)</f>
        <v>18</v>
      </c>
      <c r="T16" s="17">
        <f t="shared" si="8"/>
        <v>0</v>
      </c>
      <c r="U16" s="17">
        <f t="shared" si="8"/>
        <v>10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3</v>
      </c>
      <c r="AB16" s="17">
        <f t="shared" si="8"/>
        <v>1</v>
      </c>
      <c r="AC16" s="17">
        <f t="shared" si="8"/>
        <v>99</v>
      </c>
      <c r="AD16" s="17">
        <f t="shared" si="8"/>
        <v>0</v>
      </c>
      <c r="AE16" s="31">
        <f t="shared" si="8"/>
        <v>62</v>
      </c>
      <c r="AF16" s="31">
        <f t="shared" si="8"/>
        <v>161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4</v>
      </c>
      <c r="F17" s="50">
        <v>3</v>
      </c>
      <c r="G17" s="50">
        <v>0</v>
      </c>
      <c r="H17" s="50">
        <v>0</v>
      </c>
      <c r="I17" s="50">
        <v>4</v>
      </c>
      <c r="J17" s="50">
        <v>0</v>
      </c>
      <c r="K17" s="50">
        <v>1</v>
      </c>
      <c r="L17" s="50">
        <v>0</v>
      </c>
      <c r="M17" s="50">
        <v>34</v>
      </c>
      <c r="N17" s="50">
        <v>0</v>
      </c>
      <c r="O17" s="15">
        <f t="shared" si="0"/>
        <v>14</v>
      </c>
      <c r="P17" s="15">
        <f t="shared" si="1"/>
        <v>48</v>
      </c>
      <c r="R17" s="1" t="s">
        <v>13</v>
      </c>
      <c r="S17" s="17">
        <f t="shared" ref="S17:AF17" si="9">SUM(C38:C41)</f>
        <v>14</v>
      </c>
      <c r="T17" s="17">
        <f t="shared" si="9"/>
        <v>0</v>
      </c>
      <c r="U17" s="17">
        <f t="shared" si="9"/>
        <v>16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2</v>
      </c>
      <c r="AA17" s="17">
        <f t="shared" si="9"/>
        <v>2</v>
      </c>
      <c r="AB17" s="17">
        <f t="shared" si="9"/>
        <v>3</v>
      </c>
      <c r="AC17" s="17">
        <f t="shared" si="9"/>
        <v>80</v>
      </c>
      <c r="AD17" s="17">
        <f t="shared" si="9"/>
        <v>1</v>
      </c>
      <c r="AE17" s="31">
        <f t="shared" si="9"/>
        <v>63</v>
      </c>
      <c r="AF17" s="31">
        <f t="shared" si="9"/>
        <v>143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4</v>
      </c>
      <c r="F18" s="50">
        <v>3</v>
      </c>
      <c r="G18" s="50">
        <v>1</v>
      </c>
      <c r="H18" s="50">
        <v>0</v>
      </c>
      <c r="I18" s="50">
        <v>3</v>
      </c>
      <c r="J18" s="50">
        <v>0</v>
      </c>
      <c r="K18" s="50">
        <v>2</v>
      </c>
      <c r="L18" s="50">
        <v>0</v>
      </c>
      <c r="M18" s="50">
        <v>31</v>
      </c>
      <c r="N18" s="50">
        <v>0</v>
      </c>
      <c r="O18" s="15">
        <f t="shared" si="0"/>
        <v>18</v>
      </c>
      <c r="P18" s="15">
        <f t="shared" si="1"/>
        <v>49</v>
      </c>
      <c r="R18" s="1" t="s">
        <v>14</v>
      </c>
      <c r="S18" s="17">
        <f t="shared" ref="S18:AF18" si="10">SUM(C42:C45)</f>
        <v>17</v>
      </c>
      <c r="T18" s="17">
        <f t="shared" si="10"/>
        <v>0</v>
      </c>
      <c r="U18" s="17">
        <f t="shared" si="10"/>
        <v>13</v>
      </c>
      <c r="V18" s="17">
        <f t="shared" si="10"/>
        <v>10</v>
      </c>
      <c r="W18" s="17">
        <f t="shared" si="10"/>
        <v>1</v>
      </c>
      <c r="X18" s="17">
        <f t="shared" si="10"/>
        <v>1</v>
      </c>
      <c r="Y18" s="17">
        <f t="shared" si="10"/>
        <v>17</v>
      </c>
      <c r="Z18" s="17">
        <f t="shared" si="10"/>
        <v>1</v>
      </c>
      <c r="AA18" s="17">
        <f t="shared" si="10"/>
        <v>3</v>
      </c>
      <c r="AB18" s="17">
        <f t="shared" si="10"/>
        <v>0</v>
      </c>
      <c r="AC18" s="17">
        <f t="shared" si="10"/>
        <v>95</v>
      </c>
      <c r="AD18" s="17">
        <f t="shared" si="10"/>
        <v>0</v>
      </c>
      <c r="AE18" s="31">
        <f t="shared" si="10"/>
        <v>63</v>
      </c>
      <c r="AF18" s="31">
        <f t="shared" si="10"/>
        <v>158</v>
      </c>
    </row>
    <row r="19" spans="2:32" ht="23.1" customHeight="1" x14ac:dyDescent="0.25">
      <c r="B19" s="23" t="s">
        <v>46</v>
      </c>
      <c r="C19" s="50">
        <v>8</v>
      </c>
      <c r="D19" s="50">
        <v>0</v>
      </c>
      <c r="E19" s="50">
        <v>4</v>
      </c>
      <c r="F19" s="50">
        <v>7</v>
      </c>
      <c r="G19" s="50">
        <v>1</v>
      </c>
      <c r="H19" s="50">
        <v>0</v>
      </c>
      <c r="I19" s="50">
        <v>2</v>
      </c>
      <c r="J19" s="50">
        <v>0</v>
      </c>
      <c r="K19" s="50">
        <v>2</v>
      </c>
      <c r="L19" s="50">
        <v>0</v>
      </c>
      <c r="M19" s="50">
        <v>14</v>
      </c>
      <c r="N19" s="50">
        <v>0</v>
      </c>
      <c r="O19" s="15">
        <f t="shared" si="0"/>
        <v>24</v>
      </c>
      <c r="P19" s="15">
        <f t="shared" si="1"/>
        <v>38</v>
      </c>
      <c r="R19" s="1" t="s">
        <v>15</v>
      </c>
      <c r="S19" s="17">
        <f t="shared" ref="S19:AF19" si="11">SUM(C46:C49)</f>
        <v>23</v>
      </c>
      <c r="T19" s="17">
        <f t="shared" si="11"/>
        <v>0</v>
      </c>
      <c r="U19" s="17">
        <f t="shared" si="11"/>
        <v>21</v>
      </c>
      <c r="V19" s="17">
        <f t="shared" si="11"/>
        <v>18</v>
      </c>
      <c r="W19" s="17">
        <f t="shared" si="11"/>
        <v>6</v>
      </c>
      <c r="X19" s="17">
        <f t="shared" si="11"/>
        <v>0</v>
      </c>
      <c r="Y19" s="17">
        <f t="shared" si="11"/>
        <v>17</v>
      </c>
      <c r="Z19" s="17">
        <f t="shared" si="11"/>
        <v>2</v>
      </c>
      <c r="AA19" s="17">
        <f t="shared" si="11"/>
        <v>5</v>
      </c>
      <c r="AB19" s="17">
        <f t="shared" si="11"/>
        <v>3</v>
      </c>
      <c r="AC19" s="17">
        <f t="shared" si="11"/>
        <v>134</v>
      </c>
      <c r="AD19" s="17">
        <f t="shared" si="11"/>
        <v>1</v>
      </c>
      <c r="AE19" s="31">
        <f t="shared" si="11"/>
        <v>96</v>
      </c>
      <c r="AF19" s="31">
        <f t="shared" si="11"/>
        <v>230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7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26</v>
      </c>
      <c r="N20" s="50">
        <v>0</v>
      </c>
      <c r="O20" s="15">
        <f t="shared" si="0"/>
        <v>14</v>
      </c>
      <c r="P20" s="15">
        <f t="shared" si="1"/>
        <v>40</v>
      </c>
      <c r="R20" s="1" t="s">
        <v>16</v>
      </c>
      <c r="S20" s="17">
        <f t="shared" ref="S20:AF20" si="12">SUM(C50:C53)</f>
        <v>13</v>
      </c>
      <c r="T20" s="17">
        <f t="shared" si="12"/>
        <v>0</v>
      </c>
      <c r="U20" s="17">
        <f t="shared" si="12"/>
        <v>32</v>
      </c>
      <c r="V20" s="17">
        <f t="shared" si="12"/>
        <v>17</v>
      </c>
      <c r="W20" s="17">
        <f t="shared" si="12"/>
        <v>3</v>
      </c>
      <c r="X20" s="17">
        <f t="shared" si="12"/>
        <v>3</v>
      </c>
      <c r="Y20" s="17">
        <f t="shared" si="12"/>
        <v>38</v>
      </c>
      <c r="Z20" s="17">
        <f t="shared" si="12"/>
        <v>1</v>
      </c>
      <c r="AA20" s="17">
        <f t="shared" si="12"/>
        <v>1</v>
      </c>
      <c r="AB20" s="17">
        <f t="shared" si="12"/>
        <v>3</v>
      </c>
      <c r="AC20" s="17">
        <f t="shared" si="12"/>
        <v>120</v>
      </c>
      <c r="AD20" s="17">
        <f t="shared" si="12"/>
        <v>0</v>
      </c>
      <c r="AE20" s="31">
        <f t="shared" si="12"/>
        <v>111</v>
      </c>
      <c r="AF20" s="31">
        <f t="shared" si="12"/>
        <v>231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5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13</v>
      </c>
      <c r="P21" s="15">
        <f t="shared" si="1"/>
        <v>30</v>
      </c>
      <c r="R21" s="36" t="s">
        <v>20</v>
      </c>
      <c r="S21" s="34">
        <f t="shared" ref="S21:AF21" si="13">SUM(C54:C57)</f>
        <v>22</v>
      </c>
      <c r="T21" s="17">
        <f t="shared" si="13"/>
        <v>0</v>
      </c>
      <c r="U21" s="17">
        <f t="shared" si="13"/>
        <v>28</v>
      </c>
      <c r="V21" s="17">
        <f t="shared" si="13"/>
        <v>11</v>
      </c>
      <c r="W21" s="17">
        <f t="shared" si="13"/>
        <v>4</v>
      </c>
      <c r="X21" s="17">
        <f t="shared" si="13"/>
        <v>4</v>
      </c>
      <c r="Y21" s="17">
        <f t="shared" si="13"/>
        <v>12</v>
      </c>
      <c r="Z21" s="17">
        <f t="shared" si="13"/>
        <v>2</v>
      </c>
      <c r="AA21" s="17">
        <f t="shared" si="13"/>
        <v>2</v>
      </c>
      <c r="AB21" s="17">
        <f t="shared" si="13"/>
        <v>1</v>
      </c>
      <c r="AC21" s="17">
        <f t="shared" si="13"/>
        <v>119</v>
      </c>
      <c r="AD21" s="17">
        <f t="shared" si="13"/>
        <v>0</v>
      </c>
      <c r="AE21" s="31">
        <f t="shared" si="13"/>
        <v>86</v>
      </c>
      <c r="AF21" s="31">
        <f t="shared" si="13"/>
        <v>205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4</v>
      </c>
      <c r="F22" s="50">
        <v>2</v>
      </c>
      <c r="G22" s="50">
        <v>0</v>
      </c>
      <c r="H22" s="50">
        <v>0</v>
      </c>
      <c r="I22" s="50">
        <v>3</v>
      </c>
      <c r="J22" s="50">
        <v>1</v>
      </c>
      <c r="K22" s="50">
        <v>1</v>
      </c>
      <c r="L22" s="50">
        <v>0</v>
      </c>
      <c r="M22" s="50">
        <v>23</v>
      </c>
      <c r="N22" s="50">
        <v>0</v>
      </c>
      <c r="O22" s="15">
        <f t="shared" si="0"/>
        <v>15</v>
      </c>
      <c r="P22" s="15">
        <f t="shared" si="1"/>
        <v>38</v>
      </c>
      <c r="R22" s="38" t="s">
        <v>90</v>
      </c>
      <c r="S22" s="39">
        <f>MAX(S10:S12)</f>
        <v>21</v>
      </c>
      <c r="T22" s="39">
        <f t="shared" ref="T22:AF22" si="14">MAX(T10:T12)</f>
        <v>0</v>
      </c>
      <c r="U22" s="39">
        <f t="shared" si="14"/>
        <v>20</v>
      </c>
      <c r="V22" s="39">
        <f t="shared" si="14"/>
        <v>29</v>
      </c>
      <c r="W22" s="39">
        <f t="shared" si="14"/>
        <v>2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5</v>
      </c>
      <c r="AB22" s="39">
        <f t="shared" si="14"/>
        <v>0</v>
      </c>
      <c r="AC22" s="39">
        <f t="shared" si="14"/>
        <v>138</v>
      </c>
      <c r="AD22" s="39">
        <f t="shared" si="14"/>
        <v>0</v>
      </c>
      <c r="AE22" s="40">
        <f t="shared" si="14"/>
        <v>69</v>
      </c>
      <c r="AF22" s="40">
        <f t="shared" si="14"/>
        <v>189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5</v>
      </c>
      <c r="F23" s="50">
        <v>4</v>
      </c>
      <c r="G23" s="50">
        <v>0</v>
      </c>
      <c r="H23" s="50">
        <v>1</v>
      </c>
      <c r="I23" s="50">
        <v>1</v>
      </c>
      <c r="J23" s="50">
        <v>0</v>
      </c>
      <c r="K23" s="50">
        <v>1</v>
      </c>
      <c r="L23" s="50">
        <v>0</v>
      </c>
      <c r="M23" s="50">
        <v>20</v>
      </c>
      <c r="N23" s="50">
        <v>0</v>
      </c>
      <c r="O23" s="15">
        <f t="shared" si="0"/>
        <v>16</v>
      </c>
      <c r="P23" s="15">
        <f t="shared" si="1"/>
        <v>36</v>
      </c>
      <c r="R23" s="38" t="s">
        <v>91</v>
      </c>
      <c r="S23" s="39">
        <f>MAX(S13:S18)</f>
        <v>18</v>
      </c>
      <c r="T23" s="39">
        <f t="shared" ref="T23:AF23" si="15">MAX(T13:T18)</f>
        <v>0</v>
      </c>
      <c r="U23" s="39">
        <f t="shared" si="15"/>
        <v>24</v>
      </c>
      <c r="V23" s="39">
        <f t="shared" si="15"/>
        <v>21</v>
      </c>
      <c r="W23" s="39">
        <f t="shared" si="15"/>
        <v>2</v>
      </c>
      <c r="X23" s="39">
        <f t="shared" si="15"/>
        <v>1</v>
      </c>
      <c r="Y23" s="39">
        <f t="shared" si="15"/>
        <v>17</v>
      </c>
      <c r="Z23" s="39">
        <f t="shared" si="15"/>
        <v>2</v>
      </c>
      <c r="AA23" s="39">
        <f t="shared" si="15"/>
        <v>3</v>
      </c>
      <c r="AB23" s="39">
        <f t="shared" si="15"/>
        <v>3</v>
      </c>
      <c r="AC23" s="39">
        <f t="shared" si="15"/>
        <v>118</v>
      </c>
      <c r="AD23" s="39">
        <f t="shared" si="15"/>
        <v>1</v>
      </c>
      <c r="AE23" s="40">
        <f t="shared" si="15"/>
        <v>72</v>
      </c>
      <c r="AF23" s="40">
        <f t="shared" si="15"/>
        <v>188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3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33</v>
      </c>
      <c r="N24" s="50">
        <v>0</v>
      </c>
      <c r="O24" s="15">
        <f t="shared" si="0"/>
        <v>12</v>
      </c>
      <c r="P24" s="15">
        <f t="shared" si="1"/>
        <v>45</v>
      </c>
      <c r="R24" s="38" t="s">
        <v>92</v>
      </c>
      <c r="S24" s="39">
        <f>MAX(S19:S21)</f>
        <v>23</v>
      </c>
      <c r="T24" s="39">
        <f t="shared" ref="T24:AF24" si="16">MAX(T19:T21)</f>
        <v>0</v>
      </c>
      <c r="U24" s="39">
        <f t="shared" si="16"/>
        <v>32</v>
      </c>
      <c r="V24" s="39">
        <f t="shared" si="16"/>
        <v>18</v>
      </c>
      <c r="W24" s="39">
        <f t="shared" si="16"/>
        <v>6</v>
      </c>
      <c r="X24" s="39">
        <f t="shared" si="16"/>
        <v>4</v>
      </c>
      <c r="Y24" s="39">
        <f t="shared" si="16"/>
        <v>38</v>
      </c>
      <c r="Z24" s="39">
        <f t="shared" si="16"/>
        <v>2</v>
      </c>
      <c r="AA24" s="39">
        <f t="shared" si="16"/>
        <v>5</v>
      </c>
      <c r="AB24" s="39">
        <f t="shared" si="16"/>
        <v>3</v>
      </c>
      <c r="AC24" s="39">
        <f t="shared" si="16"/>
        <v>134</v>
      </c>
      <c r="AD24" s="39">
        <f t="shared" si="16"/>
        <v>1</v>
      </c>
      <c r="AE24" s="40">
        <f t="shared" si="16"/>
        <v>111</v>
      </c>
      <c r="AF24" s="40">
        <f t="shared" si="16"/>
        <v>231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3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2</v>
      </c>
      <c r="M25" s="50">
        <v>31</v>
      </c>
      <c r="N25" s="50">
        <v>0</v>
      </c>
      <c r="O25" s="15">
        <f t="shared" si="0"/>
        <v>12</v>
      </c>
      <c r="P25" s="15">
        <f t="shared" si="1"/>
        <v>43</v>
      </c>
      <c r="R25" s="37" t="s">
        <v>85</v>
      </c>
      <c r="S25" s="35">
        <f t="shared" ref="S25:AF25" si="17">SUM(S10:S12)</f>
        <v>41</v>
      </c>
      <c r="T25" s="16">
        <f t="shared" si="17"/>
        <v>0</v>
      </c>
      <c r="U25" s="16">
        <f t="shared" si="17"/>
        <v>49</v>
      </c>
      <c r="V25" s="16">
        <f t="shared" si="17"/>
        <v>61</v>
      </c>
      <c r="W25" s="16">
        <f t="shared" si="17"/>
        <v>2</v>
      </c>
      <c r="X25" s="16">
        <f t="shared" si="17"/>
        <v>0</v>
      </c>
      <c r="Y25" s="16">
        <f t="shared" si="17"/>
        <v>17</v>
      </c>
      <c r="Z25" s="16">
        <f t="shared" si="17"/>
        <v>0</v>
      </c>
      <c r="AA25" s="16">
        <f t="shared" si="17"/>
        <v>7</v>
      </c>
      <c r="AB25" s="16">
        <f t="shared" si="17"/>
        <v>0</v>
      </c>
      <c r="AC25" s="16">
        <f t="shared" si="17"/>
        <v>334</v>
      </c>
      <c r="AD25" s="16">
        <f t="shared" si="17"/>
        <v>0</v>
      </c>
      <c r="AE25" s="32">
        <f t="shared" si="17"/>
        <v>177</v>
      </c>
      <c r="AF25" s="32">
        <f t="shared" si="17"/>
        <v>511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2</v>
      </c>
      <c r="F26" s="50">
        <v>6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24</v>
      </c>
      <c r="N26" s="50">
        <v>0</v>
      </c>
      <c r="O26" s="15">
        <f t="shared" si="0"/>
        <v>20</v>
      </c>
      <c r="P26" s="15">
        <f t="shared" si="1"/>
        <v>44</v>
      </c>
      <c r="R26" s="28" t="s">
        <v>86</v>
      </c>
      <c r="S26" s="16">
        <f t="shared" ref="S26:AF26" si="18">SUM(S13:S18)</f>
        <v>99</v>
      </c>
      <c r="T26" s="16">
        <f t="shared" si="18"/>
        <v>0</v>
      </c>
      <c r="U26" s="16">
        <f t="shared" si="18"/>
        <v>99</v>
      </c>
      <c r="V26" s="16">
        <f t="shared" si="18"/>
        <v>88</v>
      </c>
      <c r="W26" s="16">
        <f t="shared" si="18"/>
        <v>3</v>
      </c>
      <c r="X26" s="16">
        <f t="shared" si="18"/>
        <v>2</v>
      </c>
      <c r="Y26" s="16">
        <f t="shared" si="18"/>
        <v>64</v>
      </c>
      <c r="Z26" s="16">
        <f t="shared" si="18"/>
        <v>6</v>
      </c>
      <c r="AA26" s="16">
        <f t="shared" si="18"/>
        <v>16</v>
      </c>
      <c r="AB26" s="16">
        <f t="shared" si="18"/>
        <v>7</v>
      </c>
      <c r="AC26" s="16">
        <f t="shared" si="18"/>
        <v>582</v>
      </c>
      <c r="AD26" s="16">
        <f t="shared" si="18"/>
        <v>1</v>
      </c>
      <c r="AE26" s="32">
        <f t="shared" si="18"/>
        <v>385</v>
      </c>
      <c r="AF26" s="32">
        <f t="shared" si="18"/>
        <v>967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8</v>
      </c>
      <c r="F27" s="50">
        <v>3</v>
      </c>
      <c r="G27" s="50">
        <v>0</v>
      </c>
      <c r="H27" s="50">
        <v>0</v>
      </c>
      <c r="I27" s="50">
        <v>2</v>
      </c>
      <c r="J27" s="50">
        <v>0</v>
      </c>
      <c r="K27" s="50">
        <v>2</v>
      </c>
      <c r="L27" s="50">
        <v>0</v>
      </c>
      <c r="M27" s="50">
        <v>18</v>
      </c>
      <c r="N27" s="50">
        <v>0</v>
      </c>
      <c r="O27" s="15">
        <f t="shared" si="0"/>
        <v>20</v>
      </c>
      <c r="P27" s="15">
        <f t="shared" si="1"/>
        <v>38</v>
      </c>
      <c r="R27" s="29" t="s">
        <v>87</v>
      </c>
      <c r="S27" s="16">
        <f t="shared" ref="S27:AF27" si="19">SUM(S19:S21)</f>
        <v>58</v>
      </c>
      <c r="T27" s="16">
        <f t="shared" si="19"/>
        <v>0</v>
      </c>
      <c r="U27" s="16">
        <f t="shared" si="19"/>
        <v>81</v>
      </c>
      <c r="V27" s="16">
        <f t="shared" si="19"/>
        <v>46</v>
      </c>
      <c r="W27" s="16">
        <f t="shared" si="19"/>
        <v>13</v>
      </c>
      <c r="X27" s="16">
        <f t="shared" si="19"/>
        <v>7</v>
      </c>
      <c r="Y27" s="16">
        <f t="shared" si="19"/>
        <v>67</v>
      </c>
      <c r="Z27" s="16">
        <f t="shared" si="19"/>
        <v>5</v>
      </c>
      <c r="AA27" s="16">
        <f t="shared" si="19"/>
        <v>8</v>
      </c>
      <c r="AB27" s="16">
        <f t="shared" si="19"/>
        <v>7</v>
      </c>
      <c r="AC27" s="16">
        <f t="shared" si="19"/>
        <v>373</v>
      </c>
      <c r="AD27" s="16">
        <f t="shared" si="19"/>
        <v>1</v>
      </c>
      <c r="AE27" s="32">
        <f t="shared" si="19"/>
        <v>293</v>
      </c>
      <c r="AF27" s="32">
        <f t="shared" si="19"/>
        <v>666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6</v>
      </c>
      <c r="F28" s="50">
        <v>6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0</v>
      </c>
      <c r="M28" s="50">
        <v>22</v>
      </c>
      <c r="N28" s="50">
        <v>0</v>
      </c>
      <c r="O28" s="15">
        <f t="shared" si="0"/>
        <v>19</v>
      </c>
      <c r="P28" s="15">
        <f t="shared" si="1"/>
        <v>41</v>
      </c>
      <c r="R28" s="5" t="s">
        <v>17</v>
      </c>
      <c r="S28" s="16">
        <f t="shared" ref="S28:AF28" si="20">SUM(S10:S21)</f>
        <v>198</v>
      </c>
      <c r="T28" s="16">
        <f t="shared" si="20"/>
        <v>0</v>
      </c>
      <c r="U28" s="16">
        <f t="shared" si="20"/>
        <v>229</v>
      </c>
      <c r="V28" s="16">
        <f t="shared" si="20"/>
        <v>195</v>
      </c>
      <c r="W28" s="16">
        <f t="shared" si="20"/>
        <v>18</v>
      </c>
      <c r="X28" s="16">
        <f t="shared" si="20"/>
        <v>9</v>
      </c>
      <c r="Y28" s="16">
        <f t="shared" si="20"/>
        <v>148</v>
      </c>
      <c r="Z28" s="16">
        <f t="shared" si="20"/>
        <v>11</v>
      </c>
      <c r="AA28" s="16">
        <f t="shared" si="20"/>
        <v>31</v>
      </c>
      <c r="AB28" s="16">
        <f t="shared" si="20"/>
        <v>14</v>
      </c>
      <c r="AC28" s="16">
        <f t="shared" si="20"/>
        <v>1289</v>
      </c>
      <c r="AD28" s="16">
        <f t="shared" si="20"/>
        <v>2</v>
      </c>
      <c r="AE28" s="32">
        <f t="shared" si="20"/>
        <v>855</v>
      </c>
      <c r="AF28" s="32">
        <f t="shared" si="20"/>
        <v>2144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5</v>
      </c>
      <c r="F29" s="50">
        <v>5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</v>
      </c>
      <c r="M29" s="50">
        <v>19</v>
      </c>
      <c r="N29" s="50">
        <v>0</v>
      </c>
      <c r="O29" s="15">
        <f t="shared" si="0"/>
        <v>13</v>
      </c>
      <c r="P29" s="15">
        <f t="shared" si="1"/>
        <v>32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6</v>
      </c>
      <c r="F30" s="50">
        <v>5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30</v>
      </c>
      <c r="N30" s="50">
        <v>0</v>
      </c>
      <c r="O30" s="15">
        <f t="shared" si="0"/>
        <v>16</v>
      </c>
      <c r="P30" s="15">
        <f t="shared" si="1"/>
        <v>46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4</v>
      </c>
      <c r="F31" s="50">
        <v>6</v>
      </c>
      <c r="G31" s="50">
        <v>1</v>
      </c>
      <c r="H31" s="50">
        <v>0</v>
      </c>
      <c r="I31" s="50">
        <v>5</v>
      </c>
      <c r="J31" s="50">
        <v>0</v>
      </c>
      <c r="K31" s="50">
        <v>1</v>
      </c>
      <c r="L31" s="50">
        <v>0</v>
      </c>
      <c r="M31" s="50">
        <v>33</v>
      </c>
      <c r="N31" s="50">
        <v>0</v>
      </c>
      <c r="O31" s="15">
        <f t="shared" si="0"/>
        <v>20</v>
      </c>
      <c r="P31" s="15">
        <f t="shared" si="1"/>
        <v>53</v>
      </c>
    </row>
    <row r="32" spans="2:32" ht="23.1" customHeight="1" x14ac:dyDescent="0.25">
      <c r="B32" s="24" t="s">
        <v>59</v>
      </c>
      <c r="C32" s="50">
        <v>7</v>
      </c>
      <c r="D32" s="50">
        <v>0</v>
      </c>
      <c r="E32" s="50">
        <v>5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28</v>
      </c>
      <c r="N32" s="50">
        <v>0</v>
      </c>
      <c r="O32" s="15">
        <f t="shared" si="0"/>
        <v>16</v>
      </c>
      <c r="P32" s="15">
        <f t="shared" si="1"/>
        <v>44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9</v>
      </c>
      <c r="F33" s="50">
        <v>0</v>
      </c>
      <c r="G33" s="50">
        <v>1</v>
      </c>
      <c r="H33" s="50">
        <v>0</v>
      </c>
      <c r="I33" s="50">
        <v>2</v>
      </c>
      <c r="J33" s="50">
        <v>0</v>
      </c>
      <c r="K33" s="50">
        <v>1</v>
      </c>
      <c r="L33" s="50">
        <v>0</v>
      </c>
      <c r="M33" s="50">
        <v>27</v>
      </c>
      <c r="N33" s="50">
        <v>0</v>
      </c>
      <c r="O33" s="15">
        <f t="shared" si="0"/>
        <v>18</v>
      </c>
      <c r="P33" s="15">
        <f t="shared" si="1"/>
        <v>45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2</v>
      </c>
      <c r="F34" s="50">
        <v>5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1</v>
      </c>
      <c r="M34" s="50">
        <v>26</v>
      </c>
      <c r="N34" s="50">
        <v>0</v>
      </c>
      <c r="O34" s="15">
        <f t="shared" si="0"/>
        <v>19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1</v>
      </c>
      <c r="F35" s="50">
        <v>6</v>
      </c>
      <c r="G35" s="50">
        <v>0</v>
      </c>
      <c r="H35" s="50">
        <v>0</v>
      </c>
      <c r="I35" s="50">
        <v>0</v>
      </c>
      <c r="J35" s="50">
        <v>0</v>
      </c>
      <c r="K35" s="50">
        <v>2</v>
      </c>
      <c r="L35" s="50">
        <v>0</v>
      </c>
      <c r="M35" s="50">
        <v>33</v>
      </c>
      <c r="N35" s="50">
        <v>0</v>
      </c>
      <c r="O35" s="15">
        <f t="shared" si="0"/>
        <v>13</v>
      </c>
      <c r="P35" s="15">
        <f t="shared" si="1"/>
        <v>46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6</v>
      </c>
      <c r="F36" s="50">
        <v>2</v>
      </c>
      <c r="G36" s="50">
        <v>0</v>
      </c>
      <c r="H36" s="50">
        <v>0</v>
      </c>
      <c r="I36" s="50">
        <v>1</v>
      </c>
      <c r="J36" s="50">
        <v>1</v>
      </c>
      <c r="K36" s="50">
        <v>1</v>
      </c>
      <c r="L36" s="50">
        <v>0</v>
      </c>
      <c r="M36" s="50">
        <v>22</v>
      </c>
      <c r="N36" s="50">
        <v>0</v>
      </c>
      <c r="O36" s="15">
        <f t="shared" si="0"/>
        <v>16</v>
      </c>
      <c r="P36" s="15">
        <f t="shared" si="1"/>
        <v>38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8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14</v>
      </c>
      <c r="P37" s="15">
        <f t="shared" si="1"/>
        <v>32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3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1</v>
      </c>
      <c r="M38" s="50">
        <v>14</v>
      </c>
      <c r="N38" s="50">
        <v>0</v>
      </c>
      <c r="O38" s="15">
        <f t="shared" si="0"/>
        <v>10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5</v>
      </c>
      <c r="F39" s="50">
        <v>4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18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3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17</v>
      </c>
      <c r="N40" s="50">
        <v>0</v>
      </c>
      <c r="O40" s="15">
        <f t="shared" si="0"/>
        <v>12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5</v>
      </c>
      <c r="F41" s="50">
        <v>5</v>
      </c>
      <c r="G41" s="50">
        <v>0</v>
      </c>
      <c r="H41" s="50">
        <v>0</v>
      </c>
      <c r="I41" s="50">
        <v>5</v>
      </c>
      <c r="J41" s="50">
        <v>1</v>
      </c>
      <c r="K41" s="50">
        <v>1</v>
      </c>
      <c r="L41" s="50">
        <v>1</v>
      </c>
      <c r="M41" s="50">
        <v>36</v>
      </c>
      <c r="N41" s="50">
        <v>1</v>
      </c>
      <c r="O41" s="15">
        <f t="shared" si="0"/>
        <v>23</v>
      </c>
      <c r="P41" s="15">
        <f t="shared" si="1"/>
        <v>59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3</v>
      </c>
      <c r="F42" s="50">
        <v>4</v>
      </c>
      <c r="G42" s="50">
        <v>0</v>
      </c>
      <c r="H42" s="50">
        <v>1</v>
      </c>
      <c r="I42" s="50">
        <v>4</v>
      </c>
      <c r="J42" s="50">
        <v>0</v>
      </c>
      <c r="K42" s="50">
        <v>0</v>
      </c>
      <c r="L42" s="50">
        <v>0</v>
      </c>
      <c r="M42" s="50">
        <v>27</v>
      </c>
      <c r="N42" s="50">
        <v>0</v>
      </c>
      <c r="O42" s="15">
        <f t="shared" si="0"/>
        <v>17</v>
      </c>
      <c r="P42" s="15">
        <f t="shared" si="1"/>
        <v>44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4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0</v>
      </c>
      <c r="M43" s="50">
        <v>27</v>
      </c>
      <c r="N43" s="50">
        <v>0</v>
      </c>
      <c r="O43" s="15">
        <f t="shared" si="0"/>
        <v>12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2</v>
      </c>
      <c r="F44" s="50">
        <v>0</v>
      </c>
      <c r="G44" s="50">
        <v>1</v>
      </c>
      <c r="H44" s="50">
        <v>0</v>
      </c>
      <c r="I44" s="50">
        <v>5</v>
      </c>
      <c r="J44" s="50">
        <v>0</v>
      </c>
      <c r="K44" s="50">
        <v>2</v>
      </c>
      <c r="L44" s="50">
        <v>0</v>
      </c>
      <c r="M44" s="50">
        <v>20</v>
      </c>
      <c r="N44" s="50">
        <v>0</v>
      </c>
      <c r="O44" s="15">
        <f t="shared" si="0"/>
        <v>14</v>
      </c>
      <c r="P44" s="15">
        <f t="shared" si="1"/>
        <v>34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4</v>
      </c>
      <c r="F45" s="50">
        <v>5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21</v>
      </c>
      <c r="N45" s="50">
        <v>0</v>
      </c>
      <c r="O45" s="15">
        <f t="shared" si="0"/>
        <v>20</v>
      </c>
      <c r="P45" s="15">
        <f t="shared" si="1"/>
        <v>41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5</v>
      </c>
      <c r="F46" s="50">
        <v>3</v>
      </c>
      <c r="G46" s="50">
        <v>0</v>
      </c>
      <c r="H46" s="50">
        <v>0</v>
      </c>
      <c r="I46" s="50">
        <v>3</v>
      </c>
      <c r="J46" s="50">
        <v>0</v>
      </c>
      <c r="K46" s="50">
        <v>2</v>
      </c>
      <c r="L46" s="50">
        <v>0</v>
      </c>
      <c r="M46" s="50">
        <v>34</v>
      </c>
      <c r="N46" s="50">
        <v>1</v>
      </c>
      <c r="O46" s="15">
        <f t="shared" si="0"/>
        <v>17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6</v>
      </c>
      <c r="F47" s="50">
        <v>5</v>
      </c>
      <c r="G47" s="50">
        <v>3</v>
      </c>
      <c r="H47" s="50">
        <v>0</v>
      </c>
      <c r="I47" s="50">
        <v>4</v>
      </c>
      <c r="J47" s="50">
        <v>0</v>
      </c>
      <c r="K47" s="50">
        <v>1</v>
      </c>
      <c r="L47" s="50">
        <v>1</v>
      </c>
      <c r="M47" s="50">
        <v>40</v>
      </c>
      <c r="N47" s="50">
        <v>0</v>
      </c>
      <c r="O47" s="15">
        <f t="shared" si="0"/>
        <v>26</v>
      </c>
      <c r="P47" s="15">
        <f t="shared" si="1"/>
        <v>66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0</v>
      </c>
      <c r="E48" s="50">
        <v>5</v>
      </c>
      <c r="F48" s="50">
        <v>7</v>
      </c>
      <c r="G48" s="50">
        <v>2</v>
      </c>
      <c r="H48" s="50">
        <v>0</v>
      </c>
      <c r="I48" s="50">
        <v>5</v>
      </c>
      <c r="J48" s="50">
        <v>2</v>
      </c>
      <c r="K48" s="50">
        <v>2</v>
      </c>
      <c r="L48" s="50">
        <v>1</v>
      </c>
      <c r="M48" s="50">
        <v>34</v>
      </c>
      <c r="N48" s="50">
        <v>0</v>
      </c>
      <c r="O48" s="15">
        <f t="shared" si="0"/>
        <v>32</v>
      </c>
      <c r="P48" s="15">
        <f t="shared" si="1"/>
        <v>66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0</v>
      </c>
      <c r="E49" s="50">
        <v>5</v>
      </c>
      <c r="F49" s="50">
        <v>3</v>
      </c>
      <c r="G49" s="50">
        <v>1</v>
      </c>
      <c r="H49" s="50">
        <v>0</v>
      </c>
      <c r="I49" s="50">
        <v>5</v>
      </c>
      <c r="J49" s="50">
        <v>0</v>
      </c>
      <c r="K49" s="50">
        <v>0</v>
      </c>
      <c r="L49" s="50">
        <v>1</v>
      </c>
      <c r="M49" s="50">
        <v>26</v>
      </c>
      <c r="N49" s="50">
        <v>0</v>
      </c>
      <c r="O49" s="15">
        <f t="shared" si="0"/>
        <v>21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6</v>
      </c>
      <c r="F50" s="50">
        <v>5</v>
      </c>
      <c r="G50" s="50">
        <v>1</v>
      </c>
      <c r="H50" s="50">
        <v>1</v>
      </c>
      <c r="I50" s="50">
        <v>8</v>
      </c>
      <c r="J50" s="50">
        <v>0</v>
      </c>
      <c r="K50" s="50">
        <v>1</v>
      </c>
      <c r="L50" s="50">
        <v>1</v>
      </c>
      <c r="M50" s="50">
        <v>34</v>
      </c>
      <c r="N50" s="50">
        <v>0</v>
      </c>
      <c r="O50" s="15">
        <f t="shared" si="0"/>
        <v>26</v>
      </c>
      <c r="P50" s="15">
        <f t="shared" si="1"/>
        <v>60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12</v>
      </c>
      <c r="F51" s="50">
        <v>8</v>
      </c>
      <c r="G51" s="50">
        <v>0</v>
      </c>
      <c r="H51" s="50">
        <v>1</v>
      </c>
      <c r="I51" s="50">
        <v>10</v>
      </c>
      <c r="J51" s="50">
        <v>0</v>
      </c>
      <c r="K51" s="50">
        <v>0</v>
      </c>
      <c r="L51" s="50">
        <v>1</v>
      </c>
      <c r="M51" s="50">
        <v>27</v>
      </c>
      <c r="N51" s="50">
        <v>0</v>
      </c>
      <c r="O51" s="15">
        <f t="shared" si="0"/>
        <v>36</v>
      </c>
      <c r="P51" s="15">
        <f t="shared" si="1"/>
        <v>63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10</v>
      </c>
      <c r="F52" s="50">
        <v>1</v>
      </c>
      <c r="G52" s="50">
        <v>1</v>
      </c>
      <c r="H52" s="50">
        <v>0</v>
      </c>
      <c r="I52" s="50">
        <v>15</v>
      </c>
      <c r="J52" s="50">
        <v>1</v>
      </c>
      <c r="K52" s="50">
        <v>0</v>
      </c>
      <c r="L52" s="50">
        <v>1</v>
      </c>
      <c r="M52" s="50">
        <v>35</v>
      </c>
      <c r="N52" s="50">
        <v>0</v>
      </c>
      <c r="O52" s="15">
        <f t="shared" si="0"/>
        <v>33</v>
      </c>
      <c r="P52" s="15">
        <f t="shared" si="1"/>
        <v>68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4</v>
      </c>
      <c r="F53" s="50">
        <v>3</v>
      </c>
      <c r="G53" s="50">
        <v>1</v>
      </c>
      <c r="H53" s="50">
        <v>1</v>
      </c>
      <c r="I53" s="50">
        <v>5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16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8</v>
      </c>
      <c r="F54" s="50">
        <v>4</v>
      </c>
      <c r="G54" s="50">
        <v>0</v>
      </c>
      <c r="H54" s="50">
        <v>2</v>
      </c>
      <c r="I54" s="50">
        <v>1</v>
      </c>
      <c r="J54" s="50">
        <v>0</v>
      </c>
      <c r="K54" s="50">
        <v>1</v>
      </c>
      <c r="L54" s="50">
        <v>0</v>
      </c>
      <c r="M54" s="50">
        <v>47</v>
      </c>
      <c r="N54" s="50">
        <v>0</v>
      </c>
      <c r="O54" s="15">
        <f t="shared" si="0"/>
        <v>21</v>
      </c>
      <c r="P54" s="15">
        <f t="shared" si="1"/>
        <v>68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4</v>
      </c>
      <c r="F55" s="50">
        <v>2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10</v>
      </c>
      <c r="P55" s="15">
        <f t="shared" si="1"/>
        <v>38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0</v>
      </c>
      <c r="E56" s="50">
        <v>6</v>
      </c>
      <c r="F56" s="50">
        <v>3</v>
      </c>
      <c r="G56" s="50">
        <v>2</v>
      </c>
      <c r="H56" s="50">
        <v>0</v>
      </c>
      <c r="I56" s="50">
        <v>3</v>
      </c>
      <c r="J56" s="50">
        <v>0</v>
      </c>
      <c r="K56" s="50">
        <v>1</v>
      </c>
      <c r="L56" s="50">
        <v>0</v>
      </c>
      <c r="M56" s="50">
        <v>23</v>
      </c>
      <c r="N56" s="50">
        <v>0</v>
      </c>
      <c r="O56" s="15">
        <f t="shared" si="0"/>
        <v>24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0</v>
      </c>
      <c r="E57" s="50">
        <v>10</v>
      </c>
      <c r="F57" s="50">
        <v>2</v>
      </c>
      <c r="G57" s="50">
        <v>1</v>
      </c>
      <c r="H57" s="50">
        <v>2</v>
      </c>
      <c r="I57" s="50">
        <v>5</v>
      </c>
      <c r="J57" s="50">
        <v>2</v>
      </c>
      <c r="K57" s="50">
        <v>0</v>
      </c>
      <c r="L57" s="50">
        <v>1</v>
      </c>
      <c r="M57" s="50">
        <v>21</v>
      </c>
      <c r="N57" s="50">
        <v>0</v>
      </c>
      <c r="O57" s="15">
        <f t="shared" si="0"/>
        <v>31</v>
      </c>
      <c r="P57" s="15">
        <f t="shared" si="1"/>
        <v>52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198</v>
      </c>
      <c r="D58" s="16">
        <f t="shared" si="21"/>
        <v>0</v>
      </c>
      <c r="E58" s="16">
        <f t="shared" si="21"/>
        <v>229</v>
      </c>
      <c r="F58" s="16">
        <f t="shared" si="21"/>
        <v>195</v>
      </c>
      <c r="G58" s="16">
        <f t="shared" si="21"/>
        <v>18</v>
      </c>
      <c r="H58" s="16">
        <f t="shared" si="21"/>
        <v>9</v>
      </c>
      <c r="I58" s="16">
        <f t="shared" si="21"/>
        <v>148</v>
      </c>
      <c r="J58" s="16">
        <f t="shared" si="21"/>
        <v>11</v>
      </c>
      <c r="K58" s="16">
        <f t="shared" si="21"/>
        <v>31</v>
      </c>
      <c r="L58" s="16">
        <f t="shared" si="21"/>
        <v>14</v>
      </c>
      <c r="M58" s="16">
        <f t="shared" si="21"/>
        <v>1289</v>
      </c>
      <c r="N58" s="16">
        <f t="shared" si="21"/>
        <v>2</v>
      </c>
      <c r="O58" s="16">
        <f t="shared" si="21"/>
        <v>855</v>
      </c>
      <c r="P58" s="16">
        <f t="shared" si="21"/>
        <v>2144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9.2350746268656719E-2</v>
      </c>
      <c r="D59" s="43">
        <f t="shared" si="22"/>
        <v>0</v>
      </c>
      <c r="E59" s="43">
        <f t="shared" si="22"/>
        <v>0.10680970149253731</v>
      </c>
      <c r="F59" s="43">
        <f t="shared" si="22"/>
        <v>9.0951492537313439E-2</v>
      </c>
      <c r="G59" s="43">
        <f t="shared" si="22"/>
        <v>8.3955223880597014E-3</v>
      </c>
      <c r="H59" s="43">
        <f t="shared" si="22"/>
        <v>4.1977611940298507E-3</v>
      </c>
      <c r="I59" s="43">
        <f t="shared" si="22"/>
        <v>6.9029850746268662E-2</v>
      </c>
      <c r="J59" s="43">
        <f t="shared" si="22"/>
        <v>5.1305970149253732E-3</v>
      </c>
      <c r="K59" s="43">
        <f t="shared" si="22"/>
        <v>1.4458955223880597E-2</v>
      </c>
      <c r="L59" s="43">
        <f t="shared" si="22"/>
        <v>6.5298507462686565E-3</v>
      </c>
      <c r="M59" s="43">
        <f t="shared" si="22"/>
        <v>0.6012126865671642</v>
      </c>
      <c r="N59" s="43">
        <f t="shared" si="22"/>
        <v>9.3283582089552237E-4</v>
      </c>
      <c r="R59" s="8"/>
      <c r="T59"/>
    </row>
    <row r="60" spans="2:20" ht="23.1" customHeight="1" x14ac:dyDescent="0.25">
      <c r="B60" s="42" t="s">
        <v>94</v>
      </c>
      <c r="C60" s="44">
        <f>C58/$O$58</f>
        <v>0.23157894736842105</v>
      </c>
      <c r="D60" s="44">
        <f t="shared" ref="D60:N60" si="23">D58/$O$58</f>
        <v>0</v>
      </c>
      <c r="E60" s="44">
        <f t="shared" si="23"/>
        <v>0.26783625730994154</v>
      </c>
      <c r="F60" s="44">
        <f t="shared" si="23"/>
        <v>0.22807017543859648</v>
      </c>
      <c r="G60" s="44">
        <f t="shared" si="23"/>
        <v>2.1052631578947368E-2</v>
      </c>
      <c r="H60" s="44">
        <f t="shared" si="23"/>
        <v>1.0526315789473684E-2</v>
      </c>
      <c r="I60" s="44">
        <f t="shared" si="23"/>
        <v>0.17309941520467836</v>
      </c>
      <c r="J60" s="44">
        <f t="shared" si="23"/>
        <v>1.2865497076023392E-2</v>
      </c>
      <c r="K60" s="44">
        <f t="shared" si="23"/>
        <v>3.6257309941520467E-2</v>
      </c>
      <c r="L60" s="44">
        <f t="shared" si="23"/>
        <v>1.6374269005847954E-2</v>
      </c>
      <c r="M60" s="44"/>
      <c r="N60" s="44">
        <f t="shared" si="23"/>
        <v>2.3391812865497076E-3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74"/>
  <sheetViews>
    <sheetView view="pageBreakPreview" topLeftCell="A73" zoomScale="60" workbookViewId="0">
      <selection activeCell="O91" sqref="O9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'20.8 Kangulumira-Kayunga'!G5:H5</f>
        <v xml:space="preserve"> </v>
      </c>
      <c r="H5" s="64"/>
      <c r="I5" s="14"/>
      <c r="J5" s="2" t="s">
        <v>5</v>
      </c>
      <c r="K5" s="63" t="str">
        <f>'20.8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'20.8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6</v>
      </c>
      <c r="F10" s="50">
        <v>3</v>
      </c>
      <c r="G10" s="50">
        <v>0</v>
      </c>
      <c r="H10" s="50">
        <v>1</v>
      </c>
      <c r="I10" s="50">
        <v>1</v>
      </c>
      <c r="J10" s="50">
        <v>1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73" si="0">SUM(C10:L10,N10)</f>
        <v>13</v>
      </c>
      <c r="P10" s="15">
        <f t="shared" ref="P10:P73" si="1">SUM(C10:N10)</f>
        <v>20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14</v>
      </c>
      <c r="V10" s="17">
        <f t="shared" si="2"/>
        <v>18</v>
      </c>
      <c r="W10" s="17">
        <f t="shared" si="2"/>
        <v>0</v>
      </c>
      <c r="X10" s="17">
        <f t="shared" si="2"/>
        <v>2</v>
      </c>
      <c r="Y10" s="17">
        <f t="shared" si="2"/>
        <v>3</v>
      </c>
      <c r="Z10" s="17">
        <f t="shared" si="2"/>
        <v>3</v>
      </c>
      <c r="AA10" s="17">
        <f t="shared" si="2"/>
        <v>6</v>
      </c>
      <c r="AB10" s="17">
        <f t="shared" si="2"/>
        <v>3</v>
      </c>
      <c r="AC10" s="17">
        <f t="shared" si="2"/>
        <v>54</v>
      </c>
      <c r="AD10" s="17">
        <f t="shared" si="2"/>
        <v>0</v>
      </c>
      <c r="AE10" s="31">
        <f t="shared" si="2"/>
        <v>57</v>
      </c>
      <c r="AF10" s="31">
        <f t="shared" si="2"/>
        <v>111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2</v>
      </c>
      <c r="F11" s="50">
        <v>5</v>
      </c>
      <c r="G11" s="50">
        <v>0</v>
      </c>
      <c r="H11" s="50">
        <v>1</v>
      </c>
      <c r="I11" s="50">
        <v>0</v>
      </c>
      <c r="J11" s="50">
        <v>1</v>
      </c>
      <c r="K11" s="50">
        <v>3</v>
      </c>
      <c r="L11" s="50">
        <v>0</v>
      </c>
      <c r="M11" s="50">
        <v>12</v>
      </c>
      <c r="N11" s="50">
        <v>0</v>
      </c>
      <c r="O11" s="15">
        <f t="shared" si="0"/>
        <v>13</v>
      </c>
      <c r="P11" s="15">
        <f t="shared" si="1"/>
        <v>25</v>
      </c>
      <c r="R11" s="1" t="s">
        <v>7</v>
      </c>
      <c r="S11" s="17">
        <f t="shared" ref="S11:AF11" si="3">SUM(C14:C17)</f>
        <v>13</v>
      </c>
      <c r="T11" s="17">
        <f t="shared" si="3"/>
        <v>0</v>
      </c>
      <c r="U11" s="17">
        <f t="shared" si="3"/>
        <v>8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88</v>
      </c>
      <c r="AD11" s="17">
        <f t="shared" si="3"/>
        <v>0</v>
      </c>
      <c r="AE11" s="31">
        <f t="shared" si="3"/>
        <v>40</v>
      </c>
      <c r="AF11" s="31">
        <f t="shared" si="3"/>
        <v>128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3</v>
      </c>
      <c r="F12" s="50">
        <v>6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2</v>
      </c>
      <c r="M12" s="50">
        <v>14</v>
      </c>
      <c r="N12" s="50">
        <v>0</v>
      </c>
      <c r="O12" s="15">
        <f t="shared" si="0"/>
        <v>16</v>
      </c>
      <c r="P12" s="15">
        <f t="shared" si="1"/>
        <v>30</v>
      </c>
      <c r="R12" s="1" t="s">
        <v>8</v>
      </c>
      <c r="S12" s="17">
        <f t="shared" ref="S12:AF12" si="4">SUM(C18:C21)</f>
        <v>16</v>
      </c>
      <c r="T12" s="17">
        <f t="shared" si="4"/>
        <v>0</v>
      </c>
      <c r="U12" s="17">
        <f t="shared" si="4"/>
        <v>16</v>
      </c>
      <c r="V12" s="17">
        <f t="shared" si="4"/>
        <v>12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1</v>
      </c>
      <c r="AA12" s="17">
        <f t="shared" si="4"/>
        <v>1</v>
      </c>
      <c r="AB12" s="17">
        <f t="shared" si="4"/>
        <v>1</v>
      </c>
      <c r="AC12" s="17">
        <f t="shared" si="4"/>
        <v>65</v>
      </c>
      <c r="AD12" s="17">
        <f t="shared" si="4"/>
        <v>0</v>
      </c>
      <c r="AE12" s="31">
        <f t="shared" si="4"/>
        <v>55</v>
      </c>
      <c r="AF12" s="31">
        <f t="shared" si="4"/>
        <v>120</v>
      </c>
    </row>
    <row r="13" spans="2:32" ht="23.1" customHeight="1" x14ac:dyDescent="0.25">
      <c r="B13" s="45" t="s">
        <v>40</v>
      </c>
      <c r="C13" s="50">
        <v>4</v>
      </c>
      <c r="D13" s="50">
        <v>0</v>
      </c>
      <c r="E13" s="50">
        <v>3</v>
      </c>
      <c r="F13" s="50">
        <v>4</v>
      </c>
      <c r="G13" s="50">
        <v>0</v>
      </c>
      <c r="H13" s="50">
        <v>0</v>
      </c>
      <c r="I13" s="50">
        <v>0</v>
      </c>
      <c r="J13" s="50">
        <v>1</v>
      </c>
      <c r="K13" s="50">
        <v>2</v>
      </c>
      <c r="L13" s="50">
        <v>1</v>
      </c>
      <c r="M13" s="50">
        <v>21</v>
      </c>
      <c r="N13" s="50">
        <v>0</v>
      </c>
      <c r="O13" s="15">
        <f t="shared" si="0"/>
        <v>15</v>
      </c>
      <c r="P13" s="15">
        <f t="shared" si="1"/>
        <v>36</v>
      </c>
      <c r="R13" s="1" t="s">
        <v>9</v>
      </c>
      <c r="S13" s="17">
        <f t="shared" ref="S13:AF13" si="5">SUM(C22:C25)</f>
        <v>15</v>
      </c>
      <c r="T13" s="17">
        <f t="shared" si="5"/>
        <v>0</v>
      </c>
      <c r="U13" s="17">
        <f t="shared" si="5"/>
        <v>15</v>
      </c>
      <c r="V13" s="17">
        <f t="shared" si="5"/>
        <v>12</v>
      </c>
      <c r="W13" s="17">
        <f t="shared" si="5"/>
        <v>2</v>
      </c>
      <c r="X13" s="17">
        <f t="shared" si="5"/>
        <v>0</v>
      </c>
      <c r="Y13" s="17">
        <f t="shared" si="5"/>
        <v>17</v>
      </c>
      <c r="Z13" s="17">
        <f t="shared" si="5"/>
        <v>1</v>
      </c>
      <c r="AA13" s="17">
        <f t="shared" si="5"/>
        <v>6</v>
      </c>
      <c r="AB13" s="17">
        <f t="shared" si="5"/>
        <v>1</v>
      </c>
      <c r="AC13" s="17">
        <f t="shared" si="5"/>
        <v>83</v>
      </c>
      <c r="AD13" s="17">
        <f t="shared" si="5"/>
        <v>0</v>
      </c>
      <c r="AE13" s="31">
        <f t="shared" si="5"/>
        <v>69</v>
      </c>
      <c r="AF13" s="31">
        <f t="shared" si="5"/>
        <v>152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2</v>
      </c>
      <c r="F14" s="50">
        <v>3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23</v>
      </c>
      <c r="N14" s="50">
        <v>0</v>
      </c>
      <c r="O14" s="15">
        <f t="shared" si="0"/>
        <v>11</v>
      </c>
      <c r="P14" s="15">
        <f t="shared" si="1"/>
        <v>34</v>
      </c>
      <c r="R14" s="1" t="s">
        <v>10</v>
      </c>
      <c r="S14" s="17">
        <f t="shared" ref="S14:AF14" si="6">SUM(C26:C29)</f>
        <v>25</v>
      </c>
      <c r="T14" s="17">
        <f t="shared" si="6"/>
        <v>0</v>
      </c>
      <c r="U14" s="17">
        <f t="shared" si="6"/>
        <v>18</v>
      </c>
      <c r="V14" s="17">
        <f t="shared" si="6"/>
        <v>19</v>
      </c>
      <c r="W14" s="17">
        <f t="shared" si="6"/>
        <v>4</v>
      </c>
      <c r="X14" s="17">
        <f t="shared" si="6"/>
        <v>1</v>
      </c>
      <c r="Y14" s="17">
        <f t="shared" si="6"/>
        <v>10</v>
      </c>
      <c r="Z14" s="17">
        <f t="shared" si="6"/>
        <v>1</v>
      </c>
      <c r="AA14" s="17">
        <f t="shared" si="6"/>
        <v>3</v>
      </c>
      <c r="AB14" s="17">
        <f t="shared" si="6"/>
        <v>4</v>
      </c>
      <c r="AC14" s="17">
        <f t="shared" si="6"/>
        <v>90</v>
      </c>
      <c r="AD14" s="17">
        <f t="shared" si="6"/>
        <v>0</v>
      </c>
      <c r="AE14" s="31">
        <f t="shared" si="6"/>
        <v>85</v>
      </c>
      <c r="AF14" s="31">
        <f t="shared" si="6"/>
        <v>175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2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5">
        <f t="shared" si="0"/>
        <v>6</v>
      </c>
      <c r="P15" s="15">
        <f t="shared" si="1"/>
        <v>34</v>
      </c>
      <c r="R15" s="1" t="s">
        <v>11</v>
      </c>
      <c r="S15" s="17">
        <f t="shared" ref="S15:AF15" si="7">SUM(C30:C33)</f>
        <v>24</v>
      </c>
      <c r="T15" s="17">
        <f t="shared" si="7"/>
        <v>0</v>
      </c>
      <c r="U15" s="17">
        <f t="shared" si="7"/>
        <v>16</v>
      </c>
      <c r="V15" s="17">
        <f t="shared" si="7"/>
        <v>17</v>
      </c>
      <c r="W15" s="17">
        <f t="shared" si="7"/>
        <v>2</v>
      </c>
      <c r="X15" s="17">
        <f t="shared" si="7"/>
        <v>0</v>
      </c>
      <c r="Y15" s="17">
        <f t="shared" si="7"/>
        <v>17</v>
      </c>
      <c r="Z15" s="17">
        <f t="shared" si="7"/>
        <v>1</v>
      </c>
      <c r="AA15" s="17">
        <f t="shared" si="7"/>
        <v>3</v>
      </c>
      <c r="AB15" s="17">
        <f t="shared" si="7"/>
        <v>1</v>
      </c>
      <c r="AC15" s="17">
        <f t="shared" si="7"/>
        <v>110</v>
      </c>
      <c r="AD15" s="17">
        <f t="shared" si="7"/>
        <v>0</v>
      </c>
      <c r="AE15" s="31">
        <f t="shared" si="7"/>
        <v>81</v>
      </c>
      <c r="AF15" s="31">
        <f t="shared" si="7"/>
        <v>191</v>
      </c>
    </row>
    <row r="16" spans="2:32" ht="23.1" customHeight="1" x14ac:dyDescent="0.25">
      <c r="B16" s="45" t="s">
        <v>43</v>
      </c>
      <c r="C16" s="50">
        <v>6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14</v>
      </c>
      <c r="P16" s="15">
        <f t="shared" si="1"/>
        <v>29</v>
      </c>
      <c r="R16" s="1" t="s">
        <v>12</v>
      </c>
      <c r="S16" s="17">
        <f t="shared" ref="S16:AF16" si="8">SUM(C34:C37)</f>
        <v>13</v>
      </c>
      <c r="T16" s="17">
        <f t="shared" si="8"/>
        <v>0</v>
      </c>
      <c r="U16" s="17">
        <f t="shared" si="8"/>
        <v>14</v>
      </c>
      <c r="V16" s="17">
        <f t="shared" si="8"/>
        <v>13</v>
      </c>
      <c r="W16" s="17">
        <f t="shared" si="8"/>
        <v>2</v>
      </c>
      <c r="X16" s="17">
        <f t="shared" si="8"/>
        <v>0</v>
      </c>
      <c r="Y16" s="17">
        <f t="shared" si="8"/>
        <v>12</v>
      </c>
      <c r="Z16" s="17">
        <f t="shared" si="8"/>
        <v>0</v>
      </c>
      <c r="AA16" s="17">
        <f t="shared" si="8"/>
        <v>1</v>
      </c>
      <c r="AB16" s="17">
        <f t="shared" si="8"/>
        <v>2</v>
      </c>
      <c r="AC16" s="17">
        <f t="shared" si="8"/>
        <v>112</v>
      </c>
      <c r="AD16" s="17">
        <f t="shared" si="8"/>
        <v>0</v>
      </c>
      <c r="AE16" s="31">
        <f t="shared" si="8"/>
        <v>57</v>
      </c>
      <c r="AF16" s="31">
        <f t="shared" si="8"/>
        <v>169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9</v>
      </c>
      <c r="P17" s="15">
        <f t="shared" si="1"/>
        <v>31</v>
      </c>
      <c r="R17" s="1" t="s">
        <v>13</v>
      </c>
      <c r="S17" s="17">
        <f t="shared" ref="S17:AF17" si="9">SUM(C38:C41)</f>
        <v>23</v>
      </c>
      <c r="T17" s="17">
        <f t="shared" si="9"/>
        <v>0</v>
      </c>
      <c r="U17" s="17">
        <f t="shared" si="9"/>
        <v>16</v>
      </c>
      <c r="V17" s="17">
        <f t="shared" si="9"/>
        <v>10</v>
      </c>
      <c r="W17" s="17">
        <f t="shared" si="9"/>
        <v>10</v>
      </c>
      <c r="X17" s="17">
        <f t="shared" si="9"/>
        <v>1</v>
      </c>
      <c r="Y17" s="17">
        <f t="shared" si="9"/>
        <v>19</v>
      </c>
      <c r="Z17" s="17">
        <f t="shared" si="9"/>
        <v>1</v>
      </c>
      <c r="AA17" s="17">
        <f t="shared" si="9"/>
        <v>5</v>
      </c>
      <c r="AB17" s="17">
        <f t="shared" si="9"/>
        <v>1</v>
      </c>
      <c r="AC17" s="17">
        <f t="shared" si="9"/>
        <v>103</v>
      </c>
      <c r="AD17" s="17">
        <f t="shared" si="9"/>
        <v>0</v>
      </c>
      <c r="AE17" s="31">
        <f t="shared" si="9"/>
        <v>86</v>
      </c>
      <c r="AF17" s="31">
        <f t="shared" si="9"/>
        <v>189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6</v>
      </c>
      <c r="F18" s="50">
        <v>4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13</v>
      </c>
      <c r="P18" s="15">
        <f t="shared" si="1"/>
        <v>34</v>
      </c>
      <c r="R18" s="1" t="s">
        <v>14</v>
      </c>
      <c r="S18" s="17">
        <f t="shared" ref="S18:AF18" si="10">SUM(C42:C45)</f>
        <v>24</v>
      </c>
      <c r="T18" s="17">
        <f t="shared" si="10"/>
        <v>0</v>
      </c>
      <c r="U18" s="17">
        <f t="shared" si="10"/>
        <v>29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0</v>
      </c>
      <c r="AA18" s="17">
        <f t="shared" si="10"/>
        <v>1</v>
      </c>
      <c r="AB18" s="17">
        <f t="shared" si="10"/>
        <v>1</v>
      </c>
      <c r="AC18" s="17">
        <f t="shared" si="10"/>
        <v>87</v>
      </c>
      <c r="AD18" s="17">
        <f t="shared" si="10"/>
        <v>0</v>
      </c>
      <c r="AE18" s="31">
        <f t="shared" si="10"/>
        <v>81</v>
      </c>
      <c r="AF18" s="31">
        <f t="shared" si="10"/>
        <v>168</v>
      </c>
    </row>
    <row r="19" spans="2:32" ht="23.1" customHeight="1" x14ac:dyDescent="0.25">
      <c r="B19" s="45" t="s">
        <v>46</v>
      </c>
      <c r="C19" s="50">
        <v>5</v>
      </c>
      <c r="D19" s="50">
        <v>0</v>
      </c>
      <c r="E19" s="50">
        <v>2</v>
      </c>
      <c r="F19" s="50">
        <v>4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1</v>
      </c>
      <c r="M19" s="50">
        <v>14</v>
      </c>
      <c r="N19" s="50">
        <v>0</v>
      </c>
      <c r="O19" s="15">
        <f t="shared" si="0"/>
        <v>14</v>
      </c>
      <c r="P19" s="15">
        <f t="shared" si="1"/>
        <v>28</v>
      </c>
      <c r="R19" s="1" t="s">
        <v>15</v>
      </c>
      <c r="S19" s="17">
        <f t="shared" ref="S19:AF19" si="11">SUM(C46:C49)</f>
        <v>23</v>
      </c>
      <c r="T19" s="17">
        <f t="shared" si="11"/>
        <v>0</v>
      </c>
      <c r="U19" s="17">
        <f t="shared" si="11"/>
        <v>19</v>
      </c>
      <c r="V19" s="17">
        <f t="shared" si="11"/>
        <v>13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106</v>
      </c>
      <c r="AD19" s="17">
        <f t="shared" si="11"/>
        <v>0</v>
      </c>
      <c r="AE19" s="31">
        <f t="shared" si="11"/>
        <v>70</v>
      </c>
      <c r="AF19" s="31">
        <f t="shared" si="11"/>
        <v>176</v>
      </c>
    </row>
    <row r="20" spans="2:32" ht="23.1" customHeight="1" x14ac:dyDescent="0.25">
      <c r="B20" s="45" t="s">
        <v>47</v>
      </c>
      <c r="C20" s="50">
        <v>7</v>
      </c>
      <c r="D20" s="50">
        <v>0</v>
      </c>
      <c r="E20" s="50">
        <v>5</v>
      </c>
      <c r="F20" s="50">
        <v>1</v>
      </c>
      <c r="G20" s="50">
        <v>0</v>
      </c>
      <c r="H20" s="50">
        <v>0</v>
      </c>
      <c r="I20" s="50">
        <v>1</v>
      </c>
      <c r="J20" s="50">
        <v>1</v>
      </c>
      <c r="K20" s="50">
        <v>1</v>
      </c>
      <c r="L20" s="50">
        <v>0</v>
      </c>
      <c r="M20" s="50">
        <v>16</v>
      </c>
      <c r="N20" s="50">
        <v>0</v>
      </c>
      <c r="O20" s="15">
        <f t="shared" si="0"/>
        <v>16</v>
      </c>
      <c r="P20" s="15">
        <f t="shared" si="1"/>
        <v>32</v>
      </c>
      <c r="R20" s="1" t="s">
        <v>16</v>
      </c>
      <c r="S20" s="17">
        <f t="shared" ref="S20:AF20" si="12">SUM(C50:C53)</f>
        <v>18</v>
      </c>
      <c r="T20" s="17">
        <f t="shared" si="12"/>
        <v>0</v>
      </c>
      <c r="U20" s="17">
        <f t="shared" si="12"/>
        <v>40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23</v>
      </c>
      <c r="Z20" s="17">
        <f t="shared" si="12"/>
        <v>0</v>
      </c>
      <c r="AA20" s="17">
        <f t="shared" si="12"/>
        <v>2</v>
      </c>
      <c r="AB20" s="17">
        <f t="shared" si="12"/>
        <v>1</v>
      </c>
      <c r="AC20" s="17">
        <f t="shared" si="12"/>
        <v>120</v>
      </c>
      <c r="AD20" s="17">
        <f t="shared" si="12"/>
        <v>0</v>
      </c>
      <c r="AE20" s="31">
        <f t="shared" si="12"/>
        <v>98</v>
      </c>
      <c r="AF20" s="31">
        <f t="shared" si="12"/>
        <v>218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3</v>
      </c>
      <c r="F21" s="50">
        <v>3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12</v>
      </c>
      <c r="P21" s="15">
        <f t="shared" si="1"/>
        <v>26</v>
      </c>
      <c r="R21" s="36" t="s">
        <v>20</v>
      </c>
      <c r="S21" s="34">
        <f t="shared" ref="S21:AF21" si="13">SUM(C54:C57)</f>
        <v>24</v>
      </c>
      <c r="T21" s="17">
        <f t="shared" si="13"/>
        <v>0</v>
      </c>
      <c r="U21" s="17">
        <f t="shared" si="13"/>
        <v>34</v>
      </c>
      <c r="V21" s="17">
        <f t="shared" si="13"/>
        <v>21</v>
      </c>
      <c r="W21" s="17">
        <f t="shared" si="13"/>
        <v>2</v>
      </c>
      <c r="X21" s="17">
        <f t="shared" si="13"/>
        <v>0</v>
      </c>
      <c r="Y21" s="17">
        <f t="shared" si="13"/>
        <v>18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146</v>
      </c>
      <c r="AD21" s="17">
        <f t="shared" si="13"/>
        <v>0</v>
      </c>
      <c r="AE21" s="31">
        <f t="shared" si="13"/>
        <v>100</v>
      </c>
      <c r="AF21" s="31">
        <f t="shared" si="13"/>
        <v>246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2</v>
      </c>
      <c r="F22" s="50">
        <v>4</v>
      </c>
      <c r="G22" s="50">
        <v>1</v>
      </c>
      <c r="H22" s="50">
        <v>0</v>
      </c>
      <c r="I22" s="50">
        <v>4</v>
      </c>
      <c r="J22" s="50">
        <v>1</v>
      </c>
      <c r="K22" s="50">
        <v>2</v>
      </c>
      <c r="L22" s="50">
        <v>0</v>
      </c>
      <c r="M22" s="50">
        <v>14</v>
      </c>
      <c r="N22" s="50">
        <v>0</v>
      </c>
      <c r="O22" s="15">
        <f t="shared" si="0"/>
        <v>17</v>
      </c>
      <c r="P22" s="15">
        <f t="shared" si="1"/>
        <v>31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0</v>
      </c>
      <c r="AD22" s="34">
        <f t="shared" si="14"/>
        <v>0</v>
      </c>
      <c r="AE22" s="31">
        <f t="shared" si="14"/>
        <v>0</v>
      </c>
      <c r="AF22" s="31">
        <f t="shared" si="14"/>
        <v>0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6</v>
      </c>
      <c r="F23" s="50">
        <v>3</v>
      </c>
      <c r="G23" s="50">
        <v>0</v>
      </c>
      <c r="H23" s="50">
        <v>0</v>
      </c>
      <c r="I23" s="50">
        <v>6</v>
      </c>
      <c r="J23" s="50">
        <v>0</v>
      </c>
      <c r="K23" s="50">
        <v>1</v>
      </c>
      <c r="L23" s="50">
        <v>1</v>
      </c>
      <c r="M23" s="50">
        <v>28</v>
      </c>
      <c r="N23" s="50">
        <v>0</v>
      </c>
      <c r="O23" s="15">
        <f t="shared" si="0"/>
        <v>20</v>
      </c>
      <c r="P23" s="15">
        <f t="shared" si="1"/>
        <v>48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3</v>
      </c>
      <c r="F24" s="50">
        <v>3</v>
      </c>
      <c r="G24" s="50">
        <v>1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18</v>
      </c>
      <c r="N24" s="50">
        <v>0</v>
      </c>
      <c r="O24" s="15">
        <f t="shared" si="0"/>
        <v>14</v>
      </c>
      <c r="P24" s="15">
        <f t="shared" si="1"/>
        <v>32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5</v>
      </c>
      <c r="D25" s="50">
        <v>0</v>
      </c>
      <c r="E25" s="50">
        <v>4</v>
      </c>
      <c r="F25" s="50">
        <v>2</v>
      </c>
      <c r="G25" s="50">
        <v>0</v>
      </c>
      <c r="H25" s="50">
        <v>0</v>
      </c>
      <c r="I25" s="50">
        <v>5</v>
      </c>
      <c r="J25" s="50">
        <v>0</v>
      </c>
      <c r="K25" s="50">
        <v>2</v>
      </c>
      <c r="L25" s="50">
        <v>0</v>
      </c>
      <c r="M25" s="50">
        <v>23</v>
      </c>
      <c r="N25" s="50">
        <v>0</v>
      </c>
      <c r="O25" s="15">
        <f t="shared" si="0"/>
        <v>18</v>
      </c>
      <c r="P25" s="15">
        <f t="shared" si="1"/>
        <v>41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5</v>
      </c>
      <c r="F26" s="50">
        <v>4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2</v>
      </c>
      <c r="M26" s="50">
        <v>22</v>
      </c>
      <c r="N26" s="50">
        <v>0</v>
      </c>
      <c r="O26" s="15">
        <f t="shared" si="0"/>
        <v>20</v>
      </c>
      <c r="P26" s="15">
        <f t="shared" si="1"/>
        <v>42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5</v>
      </c>
      <c r="D27" s="50">
        <v>0</v>
      </c>
      <c r="E27" s="50">
        <v>3</v>
      </c>
      <c r="F27" s="50">
        <v>6</v>
      </c>
      <c r="G27" s="50">
        <v>2</v>
      </c>
      <c r="H27" s="50">
        <v>0</v>
      </c>
      <c r="I27" s="50">
        <v>2</v>
      </c>
      <c r="J27" s="50">
        <v>1</v>
      </c>
      <c r="K27" s="50">
        <v>2</v>
      </c>
      <c r="L27" s="50">
        <v>0</v>
      </c>
      <c r="M27" s="50">
        <v>15</v>
      </c>
      <c r="N27" s="50">
        <v>0</v>
      </c>
      <c r="O27" s="15">
        <f t="shared" si="0"/>
        <v>21</v>
      </c>
      <c r="P27" s="15">
        <f t="shared" si="1"/>
        <v>36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2</v>
      </c>
      <c r="F28" s="50">
        <v>5</v>
      </c>
      <c r="G28" s="50">
        <v>0</v>
      </c>
      <c r="H28" s="50">
        <v>1</v>
      </c>
      <c r="I28" s="50">
        <v>2</v>
      </c>
      <c r="J28" s="50">
        <v>0</v>
      </c>
      <c r="K28" s="50">
        <v>0</v>
      </c>
      <c r="L28" s="50">
        <v>0</v>
      </c>
      <c r="M28" s="50">
        <v>28</v>
      </c>
      <c r="N28" s="50">
        <v>0</v>
      </c>
      <c r="O28" s="15">
        <f t="shared" si="0"/>
        <v>14</v>
      </c>
      <c r="P28" s="15">
        <f t="shared" si="1"/>
        <v>42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10</v>
      </c>
      <c r="D29" s="50">
        <v>0</v>
      </c>
      <c r="E29" s="50">
        <v>8</v>
      </c>
      <c r="F29" s="50">
        <v>4</v>
      </c>
      <c r="G29" s="50">
        <v>2</v>
      </c>
      <c r="H29" s="50">
        <v>0</v>
      </c>
      <c r="I29" s="50">
        <v>4</v>
      </c>
      <c r="J29" s="50">
        <v>0</v>
      </c>
      <c r="K29" s="50">
        <v>0</v>
      </c>
      <c r="L29" s="50">
        <v>2</v>
      </c>
      <c r="M29" s="50">
        <v>25</v>
      </c>
      <c r="N29" s="50">
        <v>0</v>
      </c>
      <c r="O29" s="15">
        <f t="shared" si="0"/>
        <v>30</v>
      </c>
      <c r="P29" s="15">
        <f t="shared" si="1"/>
        <v>55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5</v>
      </c>
      <c r="F30" s="50">
        <v>5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1</v>
      </c>
      <c r="M30" s="50">
        <v>34</v>
      </c>
      <c r="N30" s="50">
        <v>0</v>
      </c>
      <c r="O30" s="15">
        <f t="shared" si="0"/>
        <v>16</v>
      </c>
      <c r="P30" s="15">
        <f t="shared" si="1"/>
        <v>50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9</v>
      </c>
      <c r="D31" s="50">
        <v>0</v>
      </c>
      <c r="E31" s="50">
        <v>3</v>
      </c>
      <c r="F31" s="50">
        <v>3</v>
      </c>
      <c r="G31" s="50">
        <v>2</v>
      </c>
      <c r="H31" s="50">
        <v>0</v>
      </c>
      <c r="I31" s="50">
        <v>10</v>
      </c>
      <c r="J31" s="50">
        <v>0</v>
      </c>
      <c r="K31" s="50">
        <v>2</v>
      </c>
      <c r="L31" s="50">
        <v>0</v>
      </c>
      <c r="M31" s="50">
        <v>17</v>
      </c>
      <c r="N31" s="50">
        <v>0</v>
      </c>
      <c r="O31" s="15">
        <f t="shared" si="0"/>
        <v>29</v>
      </c>
      <c r="P31" s="15">
        <f t="shared" si="1"/>
        <v>46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6</v>
      </c>
      <c r="D32" s="50">
        <v>0</v>
      </c>
      <c r="E32" s="50">
        <v>3</v>
      </c>
      <c r="F32" s="50">
        <v>6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19</v>
      </c>
      <c r="P32" s="15">
        <f t="shared" si="1"/>
        <v>53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6</v>
      </c>
      <c r="D33" s="50">
        <v>0</v>
      </c>
      <c r="E33" s="50">
        <v>5</v>
      </c>
      <c r="F33" s="50">
        <v>3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17</v>
      </c>
      <c r="P33" s="15">
        <f t="shared" si="1"/>
        <v>42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3</v>
      </c>
      <c r="F34" s="50">
        <v>5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39</v>
      </c>
      <c r="N34" s="50">
        <v>0</v>
      </c>
      <c r="O34" s="15">
        <f t="shared" si="0"/>
        <v>17</v>
      </c>
      <c r="P34" s="15">
        <f t="shared" si="1"/>
        <v>56</v>
      </c>
      <c r="R34" s="38" t="s">
        <v>90</v>
      </c>
      <c r="S34" s="39">
        <f t="shared" ref="S34:AF34" si="26">MAX(S10:S12)</f>
        <v>16</v>
      </c>
      <c r="T34" s="39">
        <f t="shared" si="26"/>
        <v>0</v>
      </c>
      <c r="U34" s="39">
        <f t="shared" si="26"/>
        <v>16</v>
      </c>
      <c r="V34" s="39">
        <f t="shared" si="26"/>
        <v>18</v>
      </c>
      <c r="W34" s="39">
        <f t="shared" si="26"/>
        <v>0</v>
      </c>
      <c r="X34" s="39">
        <f t="shared" si="26"/>
        <v>2</v>
      </c>
      <c r="Y34" s="39">
        <f t="shared" si="26"/>
        <v>8</v>
      </c>
      <c r="Z34" s="39">
        <f t="shared" si="26"/>
        <v>3</v>
      </c>
      <c r="AA34" s="39">
        <f t="shared" si="26"/>
        <v>6</v>
      </c>
      <c r="AB34" s="39">
        <f t="shared" si="26"/>
        <v>3</v>
      </c>
      <c r="AC34" s="39">
        <f t="shared" si="26"/>
        <v>88</v>
      </c>
      <c r="AD34" s="39">
        <f t="shared" si="26"/>
        <v>0</v>
      </c>
      <c r="AE34" s="40">
        <f t="shared" si="26"/>
        <v>57</v>
      </c>
      <c r="AF34" s="40">
        <f t="shared" si="26"/>
        <v>128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5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24</v>
      </c>
      <c r="N35" s="50">
        <v>0</v>
      </c>
      <c r="O35" s="15">
        <f t="shared" si="0"/>
        <v>12</v>
      </c>
      <c r="P35" s="15">
        <f t="shared" si="1"/>
        <v>36</v>
      </c>
      <c r="R35" s="38" t="s">
        <v>91</v>
      </c>
      <c r="S35" s="39">
        <f t="shared" ref="S35:AF35" si="27">MAX(S13:S18)</f>
        <v>25</v>
      </c>
      <c r="T35" s="39">
        <f t="shared" si="27"/>
        <v>0</v>
      </c>
      <c r="U35" s="39">
        <f t="shared" si="27"/>
        <v>29</v>
      </c>
      <c r="V35" s="39">
        <f t="shared" si="27"/>
        <v>19</v>
      </c>
      <c r="W35" s="39">
        <f t="shared" si="27"/>
        <v>10</v>
      </c>
      <c r="X35" s="39">
        <f t="shared" si="27"/>
        <v>1</v>
      </c>
      <c r="Y35" s="39">
        <f t="shared" si="27"/>
        <v>19</v>
      </c>
      <c r="Z35" s="39">
        <f t="shared" si="27"/>
        <v>1</v>
      </c>
      <c r="AA35" s="39">
        <f t="shared" si="27"/>
        <v>6</v>
      </c>
      <c r="AB35" s="39">
        <f t="shared" si="27"/>
        <v>4</v>
      </c>
      <c r="AC35" s="39">
        <f t="shared" si="27"/>
        <v>112</v>
      </c>
      <c r="AD35" s="39">
        <f t="shared" si="27"/>
        <v>0</v>
      </c>
      <c r="AE35" s="40">
        <f t="shared" si="27"/>
        <v>86</v>
      </c>
      <c r="AF35" s="40">
        <f t="shared" si="27"/>
        <v>191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2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1</v>
      </c>
      <c r="L36" s="50">
        <v>2</v>
      </c>
      <c r="M36" s="50">
        <v>23</v>
      </c>
      <c r="N36" s="50">
        <v>0</v>
      </c>
      <c r="O36" s="15">
        <f t="shared" si="0"/>
        <v>12</v>
      </c>
      <c r="P36" s="15">
        <f t="shared" si="1"/>
        <v>35</v>
      </c>
      <c r="R36" s="38" t="s">
        <v>92</v>
      </c>
      <c r="S36" s="39">
        <f t="shared" ref="S36:AF36" si="28">MAX(S19:S21)</f>
        <v>24</v>
      </c>
      <c r="T36" s="39">
        <f t="shared" si="28"/>
        <v>0</v>
      </c>
      <c r="U36" s="39">
        <f t="shared" si="28"/>
        <v>40</v>
      </c>
      <c r="V36" s="39">
        <f t="shared" si="28"/>
        <v>21</v>
      </c>
      <c r="W36" s="39">
        <f t="shared" si="28"/>
        <v>2</v>
      </c>
      <c r="X36" s="39">
        <f t="shared" si="28"/>
        <v>0</v>
      </c>
      <c r="Y36" s="39">
        <f t="shared" si="28"/>
        <v>23</v>
      </c>
      <c r="Z36" s="39">
        <f t="shared" si="28"/>
        <v>0</v>
      </c>
      <c r="AA36" s="39">
        <f t="shared" si="28"/>
        <v>2</v>
      </c>
      <c r="AB36" s="39">
        <f t="shared" si="28"/>
        <v>1</v>
      </c>
      <c r="AC36" s="39">
        <f t="shared" si="28"/>
        <v>146</v>
      </c>
      <c r="AD36" s="39">
        <f t="shared" si="28"/>
        <v>0</v>
      </c>
      <c r="AE36" s="40">
        <f t="shared" si="28"/>
        <v>100</v>
      </c>
      <c r="AF36" s="40">
        <f t="shared" si="28"/>
        <v>246</v>
      </c>
    </row>
    <row r="37" spans="2:32" ht="23.1" customHeight="1" x14ac:dyDescent="0.25">
      <c r="B37" s="45" t="s">
        <v>64</v>
      </c>
      <c r="C37" s="50">
        <v>5</v>
      </c>
      <c r="D37" s="50">
        <v>0</v>
      </c>
      <c r="E37" s="50">
        <v>4</v>
      </c>
      <c r="F37" s="50">
        <v>2</v>
      </c>
      <c r="G37" s="50">
        <v>2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16</v>
      </c>
      <c r="P37" s="15">
        <f t="shared" si="1"/>
        <v>42</v>
      </c>
      <c r="R37" s="37" t="s">
        <v>85</v>
      </c>
      <c r="S37" s="35">
        <f t="shared" ref="S37:AF37" si="29">SUM(S10:S12)</f>
        <v>37</v>
      </c>
      <c r="T37" s="16">
        <f t="shared" si="29"/>
        <v>0</v>
      </c>
      <c r="U37" s="16">
        <f t="shared" si="29"/>
        <v>38</v>
      </c>
      <c r="V37" s="16">
        <f t="shared" si="29"/>
        <v>39</v>
      </c>
      <c r="W37" s="16">
        <f t="shared" si="29"/>
        <v>0</v>
      </c>
      <c r="X37" s="16">
        <f t="shared" si="29"/>
        <v>2</v>
      </c>
      <c r="Y37" s="16">
        <f t="shared" si="29"/>
        <v>19</v>
      </c>
      <c r="Z37" s="16">
        <f t="shared" si="29"/>
        <v>5</v>
      </c>
      <c r="AA37" s="16">
        <f t="shared" si="29"/>
        <v>8</v>
      </c>
      <c r="AB37" s="16">
        <f t="shared" si="29"/>
        <v>4</v>
      </c>
      <c r="AC37" s="16">
        <f t="shared" si="29"/>
        <v>207</v>
      </c>
      <c r="AD37" s="16">
        <f t="shared" si="29"/>
        <v>0</v>
      </c>
      <c r="AE37" s="32">
        <f t="shared" si="29"/>
        <v>152</v>
      </c>
      <c r="AF37" s="32">
        <f t="shared" si="29"/>
        <v>359</v>
      </c>
    </row>
    <row r="38" spans="2:32" ht="23.1" customHeight="1" x14ac:dyDescent="0.25">
      <c r="B38" s="46" t="s">
        <v>65</v>
      </c>
      <c r="C38" s="50">
        <v>6</v>
      </c>
      <c r="D38" s="50">
        <v>0</v>
      </c>
      <c r="E38" s="50">
        <v>1</v>
      </c>
      <c r="F38" s="50">
        <v>4</v>
      </c>
      <c r="G38" s="50">
        <v>0</v>
      </c>
      <c r="H38" s="50">
        <v>1</v>
      </c>
      <c r="I38" s="50">
        <v>6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18</v>
      </c>
      <c r="P38" s="15">
        <f t="shared" si="1"/>
        <v>44</v>
      </c>
      <c r="R38" s="28" t="s">
        <v>86</v>
      </c>
      <c r="S38" s="16">
        <f t="shared" ref="S38:AF38" si="30">SUM(S13:S18)</f>
        <v>124</v>
      </c>
      <c r="T38" s="16">
        <f t="shared" si="30"/>
        <v>0</v>
      </c>
      <c r="U38" s="16">
        <f t="shared" si="30"/>
        <v>108</v>
      </c>
      <c r="V38" s="16">
        <f t="shared" si="30"/>
        <v>87</v>
      </c>
      <c r="W38" s="16">
        <f t="shared" si="30"/>
        <v>20</v>
      </c>
      <c r="X38" s="16">
        <f t="shared" si="30"/>
        <v>2</v>
      </c>
      <c r="Y38" s="16">
        <f t="shared" si="30"/>
        <v>85</v>
      </c>
      <c r="Z38" s="16">
        <f t="shared" si="30"/>
        <v>4</v>
      </c>
      <c r="AA38" s="16">
        <f t="shared" si="30"/>
        <v>19</v>
      </c>
      <c r="AB38" s="16">
        <f t="shared" si="30"/>
        <v>10</v>
      </c>
      <c r="AC38" s="16">
        <f t="shared" si="30"/>
        <v>585</v>
      </c>
      <c r="AD38" s="16">
        <f t="shared" si="30"/>
        <v>0</v>
      </c>
      <c r="AE38" s="32">
        <f t="shared" si="30"/>
        <v>459</v>
      </c>
      <c r="AF38" s="32">
        <f t="shared" si="30"/>
        <v>1044</v>
      </c>
    </row>
    <row r="39" spans="2:32" ht="23.1" customHeight="1" x14ac:dyDescent="0.25">
      <c r="B39" s="46" t="s">
        <v>66</v>
      </c>
      <c r="C39" s="50">
        <v>6</v>
      </c>
      <c r="D39" s="50">
        <v>0</v>
      </c>
      <c r="E39" s="50">
        <v>4</v>
      </c>
      <c r="F39" s="50">
        <v>3</v>
      </c>
      <c r="G39" s="50">
        <v>4</v>
      </c>
      <c r="H39" s="50">
        <v>0</v>
      </c>
      <c r="I39" s="50">
        <v>5</v>
      </c>
      <c r="J39" s="50">
        <v>0</v>
      </c>
      <c r="K39" s="50">
        <v>2</v>
      </c>
      <c r="L39" s="50">
        <v>1</v>
      </c>
      <c r="M39" s="50">
        <v>23</v>
      </c>
      <c r="N39" s="50">
        <v>0</v>
      </c>
      <c r="O39" s="15">
        <f t="shared" si="0"/>
        <v>25</v>
      </c>
      <c r="P39" s="15">
        <f t="shared" si="1"/>
        <v>48</v>
      </c>
      <c r="R39" s="29" t="s">
        <v>87</v>
      </c>
      <c r="S39" s="16">
        <f t="shared" ref="S39:AF39" si="31">SUM(S19:S21)</f>
        <v>65</v>
      </c>
      <c r="T39" s="16">
        <f t="shared" si="31"/>
        <v>0</v>
      </c>
      <c r="U39" s="16">
        <f t="shared" si="31"/>
        <v>93</v>
      </c>
      <c r="V39" s="16">
        <f t="shared" si="31"/>
        <v>48</v>
      </c>
      <c r="W39" s="16">
        <f t="shared" si="31"/>
        <v>3</v>
      </c>
      <c r="X39" s="16">
        <f t="shared" si="31"/>
        <v>0</v>
      </c>
      <c r="Y39" s="16">
        <f t="shared" si="31"/>
        <v>54</v>
      </c>
      <c r="Z39" s="16">
        <f t="shared" si="31"/>
        <v>0</v>
      </c>
      <c r="AA39" s="16">
        <f t="shared" si="31"/>
        <v>3</v>
      </c>
      <c r="AB39" s="16">
        <f t="shared" si="31"/>
        <v>2</v>
      </c>
      <c r="AC39" s="16">
        <f t="shared" si="31"/>
        <v>372</v>
      </c>
      <c r="AD39" s="16">
        <f t="shared" si="31"/>
        <v>0</v>
      </c>
      <c r="AE39" s="32">
        <f t="shared" si="31"/>
        <v>268</v>
      </c>
      <c r="AF39" s="32">
        <f t="shared" si="31"/>
        <v>640</v>
      </c>
    </row>
    <row r="40" spans="2:32" ht="23.1" customHeight="1" x14ac:dyDescent="0.25">
      <c r="B40" s="46" t="s">
        <v>67</v>
      </c>
      <c r="C40" s="50">
        <v>8</v>
      </c>
      <c r="D40" s="50">
        <v>0</v>
      </c>
      <c r="E40" s="50">
        <v>7</v>
      </c>
      <c r="F40" s="50">
        <v>0</v>
      </c>
      <c r="G40" s="50">
        <v>5</v>
      </c>
      <c r="H40" s="50">
        <v>0</v>
      </c>
      <c r="I40" s="50">
        <v>4</v>
      </c>
      <c r="J40" s="50">
        <v>0</v>
      </c>
      <c r="K40" s="50">
        <v>1</v>
      </c>
      <c r="L40" s="50">
        <v>0</v>
      </c>
      <c r="M40" s="50">
        <v>26</v>
      </c>
      <c r="N40" s="50">
        <v>0</v>
      </c>
      <c r="O40" s="15">
        <f t="shared" si="0"/>
        <v>25</v>
      </c>
      <c r="P40" s="15">
        <f t="shared" si="1"/>
        <v>51</v>
      </c>
      <c r="R40" s="5" t="s">
        <v>17</v>
      </c>
      <c r="S40" s="16">
        <f t="shared" ref="S40:AF40" si="32">SUM(S10:S21)</f>
        <v>226</v>
      </c>
      <c r="T40" s="16">
        <f t="shared" si="32"/>
        <v>0</v>
      </c>
      <c r="U40" s="16">
        <f t="shared" si="32"/>
        <v>239</v>
      </c>
      <c r="V40" s="16">
        <f t="shared" si="32"/>
        <v>174</v>
      </c>
      <c r="W40" s="16">
        <f t="shared" si="32"/>
        <v>23</v>
      </c>
      <c r="X40" s="16">
        <f t="shared" si="32"/>
        <v>4</v>
      </c>
      <c r="Y40" s="16">
        <f t="shared" si="32"/>
        <v>158</v>
      </c>
      <c r="Z40" s="16">
        <f t="shared" si="32"/>
        <v>9</v>
      </c>
      <c r="AA40" s="16">
        <f t="shared" si="32"/>
        <v>30</v>
      </c>
      <c r="AB40" s="16">
        <f t="shared" si="32"/>
        <v>16</v>
      </c>
      <c r="AC40" s="16">
        <f t="shared" si="32"/>
        <v>1164</v>
      </c>
      <c r="AD40" s="16">
        <f t="shared" si="32"/>
        <v>0</v>
      </c>
      <c r="AE40" s="32">
        <f t="shared" si="32"/>
        <v>879</v>
      </c>
      <c r="AF40" s="32">
        <f t="shared" si="32"/>
        <v>2043</v>
      </c>
    </row>
    <row r="41" spans="2:32" ht="23.1" customHeight="1" x14ac:dyDescent="0.25">
      <c r="B41" s="45" t="s">
        <v>68</v>
      </c>
      <c r="C41" s="50">
        <v>3</v>
      </c>
      <c r="D41" s="50">
        <v>0</v>
      </c>
      <c r="E41" s="50">
        <v>4</v>
      </c>
      <c r="F41" s="50">
        <v>3</v>
      </c>
      <c r="G41" s="50">
        <v>1</v>
      </c>
      <c r="H41" s="50">
        <v>0</v>
      </c>
      <c r="I41" s="50">
        <v>4</v>
      </c>
      <c r="J41" s="50">
        <v>1</v>
      </c>
      <c r="K41" s="50">
        <v>2</v>
      </c>
      <c r="L41" s="50">
        <v>0</v>
      </c>
      <c r="M41" s="50">
        <v>28</v>
      </c>
      <c r="N41" s="50">
        <v>0</v>
      </c>
      <c r="O41" s="15">
        <f t="shared" si="0"/>
        <v>18</v>
      </c>
      <c r="P41" s="15">
        <f t="shared" si="1"/>
        <v>46</v>
      </c>
      <c r="R41" s="5" t="s">
        <v>159</v>
      </c>
      <c r="S41" s="16">
        <f>SUM(S10:S33)</f>
        <v>226</v>
      </c>
      <c r="T41" s="16">
        <f t="shared" ref="T41:AF41" si="33">SUM(T10:T33)</f>
        <v>0</v>
      </c>
      <c r="U41" s="16">
        <f t="shared" si="33"/>
        <v>239</v>
      </c>
      <c r="V41" s="16">
        <f t="shared" si="33"/>
        <v>174</v>
      </c>
      <c r="W41" s="16">
        <f t="shared" si="33"/>
        <v>23</v>
      </c>
      <c r="X41" s="16">
        <f t="shared" si="33"/>
        <v>4</v>
      </c>
      <c r="Y41" s="16">
        <f t="shared" si="33"/>
        <v>158</v>
      </c>
      <c r="Z41" s="16">
        <f t="shared" si="33"/>
        <v>9</v>
      </c>
      <c r="AA41" s="16">
        <f t="shared" si="33"/>
        <v>30</v>
      </c>
      <c r="AB41" s="16">
        <f t="shared" si="33"/>
        <v>16</v>
      </c>
      <c r="AC41" s="16">
        <f t="shared" si="33"/>
        <v>1164</v>
      </c>
      <c r="AD41" s="16">
        <f t="shared" si="33"/>
        <v>0</v>
      </c>
      <c r="AE41" s="32">
        <f t="shared" si="33"/>
        <v>879</v>
      </c>
      <c r="AF41" s="32">
        <f t="shared" si="33"/>
        <v>2043</v>
      </c>
    </row>
    <row r="42" spans="2:32" ht="23.1" customHeight="1" x14ac:dyDescent="0.25">
      <c r="B42" s="46" t="s">
        <v>69</v>
      </c>
      <c r="C42" s="50">
        <v>3</v>
      </c>
      <c r="D42" s="50">
        <v>0</v>
      </c>
      <c r="E42" s="50">
        <v>10</v>
      </c>
      <c r="F42" s="50">
        <v>3</v>
      </c>
      <c r="G42" s="50">
        <v>0</v>
      </c>
      <c r="H42" s="50">
        <v>0</v>
      </c>
      <c r="I42" s="50">
        <v>4</v>
      </c>
      <c r="J42" s="50">
        <v>0</v>
      </c>
      <c r="K42" s="50">
        <v>1</v>
      </c>
      <c r="L42" s="50">
        <v>0</v>
      </c>
      <c r="M42" s="50">
        <v>18</v>
      </c>
      <c r="N42" s="50">
        <v>0</v>
      </c>
      <c r="O42" s="15">
        <f t="shared" si="0"/>
        <v>21</v>
      </c>
      <c r="P42" s="15">
        <f t="shared" si="1"/>
        <v>39</v>
      </c>
      <c r="R42" s="5" t="s">
        <v>160</v>
      </c>
      <c r="S42" s="48">
        <f>S41/S40</f>
        <v>1</v>
      </c>
      <c r="T42" s="48" t="e">
        <f t="shared" ref="T42:AF42" si="34">T41/T40</f>
        <v>#DIV/0!</v>
      </c>
      <c r="U42" s="48">
        <f t="shared" si="34"/>
        <v>1</v>
      </c>
      <c r="V42" s="48">
        <f t="shared" si="34"/>
        <v>1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</v>
      </c>
      <c r="AD42" s="48" t="e">
        <f t="shared" si="34"/>
        <v>#DIV/0!</v>
      </c>
      <c r="AE42" s="48">
        <f t="shared" si="34"/>
        <v>1</v>
      </c>
      <c r="AF42" s="48">
        <f t="shared" si="34"/>
        <v>1</v>
      </c>
    </row>
    <row r="43" spans="2:32" ht="23.1" customHeight="1" x14ac:dyDescent="0.25">
      <c r="B43" s="45" t="s">
        <v>70</v>
      </c>
      <c r="C43" s="50">
        <v>9</v>
      </c>
      <c r="D43" s="50">
        <v>0</v>
      </c>
      <c r="E43" s="50">
        <v>6</v>
      </c>
      <c r="F43" s="50">
        <v>6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22</v>
      </c>
      <c r="N43" s="50">
        <v>0</v>
      </c>
      <c r="O43" s="15">
        <f t="shared" si="0"/>
        <v>22</v>
      </c>
      <c r="P43" s="15">
        <f t="shared" si="1"/>
        <v>44</v>
      </c>
    </row>
    <row r="44" spans="2:32" ht="23.1" customHeight="1" x14ac:dyDescent="0.25">
      <c r="B44" s="47" t="s">
        <v>71</v>
      </c>
      <c r="C44" s="50">
        <v>6</v>
      </c>
      <c r="D44" s="50">
        <v>0</v>
      </c>
      <c r="E44" s="50">
        <v>6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1</v>
      </c>
      <c r="M44" s="50">
        <v>18</v>
      </c>
      <c r="N44" s="50">
        <v>0</v>
      </c>
      <c r="O44" s="15">
        <f t="shared" si="0"/>
        <v>17</v>
      </c>
      <c r="P44" s="15">
        <f t="shared" si="1"/>
        <v>35</v>
      </c>
    </row>
    <row r="45" spans="2:32" ht="23.1" customHeight="1" x14ac:dyDescent="0.25">
      <c r="B45" s="45" t="s">
        <v>72</v>
      </c>
      <c r="C45" s="50">
        <v>6</v>
      </c>
      <c r="D45" s="50">
        <v>0</v>
      </c>
      <c r="E45" s="50">
        <v>7</v>
      </c>
      <c r="F45" s="50">
        <v>4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29</v>
      </c>
      <c r="N45" s="50">
        <v>0</v>
      </c>
      <c r="O45" s="15">
        <f t="shared" si="0"/>
        <v>21</v>
      </c>
      <c r="P45" s="15">
        <f t="shared" si="1"/>
        <v>50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34</v>
      </c>
      <c r="N46" s="50">
        <v>0</v>
      </c>
      <c r="O46" s="15">
        <f t="shared" si="0"/>
        <v>12</v>
      </c>
      <c r="P46" s="15">
        <f t="shared" si="1"/>
        <v>46</v>
      </c>
      <c r="R46" s="8"/>
      <c r="T46"/>
    </row>
    <row r="47" spans="2:32" ht="23.1" customHeight="1" x14ac:dyDescent="0.25">
      <c r="B47" s="46" t="s">
        <v>74</v>
      </c>
      <c r="C47" s="50">
        <v>10</v>
      </c>
      <c r="D47" s="50">
        <v>0</v>
      </c>
      <c r="E47" s="50">
        <v>6</v>
      </c>
      <c r="F47" s="50">
        <v>5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24</v>
      </c>
      <c r="N47" s="50">
        <v>0</v>
      </c>
      <c r="O47" s="15">
        <f t="shared" si="0"/>
        <v>25</v>
      </c>
      <c r="P47" s="15">
        <f t="shared" si="1"/>
        <v>49</v>
      </c>
      <c r="R47" s="8"/>
      <c r="T47"/>
    </row>
    <row r="48" spans="2:32" ht="23.1" customHeight="1" x14ac:dyDescent="0.25">
      <c r="B48" s="46" t="s">
        <v>75</v>
      </c>
      <c r="C48" s="50">
        <v>7</v>
      </c>
      <c r="D48" s="50">
        <v>0</v>
      </c>
      <c r="E48" s="50">
        <v>5</v>
      </c>
      <c r="F48" s="50">
        <v>1</v>
      </c>
      <c r="G48" s="50">
        <v>1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18</v>
      </c>
      <c r="P48" s="15">
        <f t="shared" si="1"/>
        <v>38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0</v>
      </c>
      <c r="E49" s="50">
        <v>6</v>
      </c>
      <c r="F49" s="50">
        <v>3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28</v>
      </c>
      <c r="N49" s="50">
        <v>0</v>
      </c>
      <c r="O49" s="15">
        <f t="shared" si="0"/>
        <v>15</v>
      </c>
      <c r="P49" s="15">
        <f t="shared" si="1"/>
        <v>43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10</v>
      </c>
      <c r="F50" s="50">
        <v>3</v>
      </c>
      <c r="G50" s="50">
        <v>0</v>
      </c>
      <c r="H50" s="50">
        <v>0</v>
      </c>
      <c r="I50" s="50">
        <v>7</v>
      </c>
      <c r="J50" s="50">
        <v>0</v>
      </c>
      <c r="K50" s="50">
        <v>2</v>
      </c>
      <c r="L50" s="50">
        <v>0</v>
      </c>
      <c r="M50" s="50">
        <v>29</v>
      </c>
      <c r="N50" s="50">
        <v>0</v>
      </c>
      <c r="O50" s="15">
        <f t="shared" si="0"/>
        <v>24</v>
      </c>
      <c r="P50" s="15">
        <f t="shared" si="1"/>
        <v>53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8</v>
      </c>
      <c r="F51" s="50">
        <v>0</v>
      </c>
      <c r="G51" s="50">
        <v>0</v>
      </c>
      <c r="H51" s="50">
        <v>0</v>
      </c>
      <c r="I51" s="50">
        <v>8</v>
      </c>
      <c r="J51" s="50">
        <v>0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21</v>
      </c>
      <c r="P51" s="15">
        <f t="shared" si="1"/>
        <v>44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0</v>
      </c>
      <c r="E52" s="50">
        <v>13</v>
      </c>
      <c r="F52" s="50">
        <v>5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50">
        <v>32</v>
      </c>
      <c r="N52" s="50">
        <v>0</v>
      </c>
      <c r="O52" s="15">
        <f t="shared" si="0"/>
        <v>26</v>
      </c>
      <c r="P52" s="15">
        <f t="shared" si="1"/>
        <v>58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9</v>
      </c>
      <c r="F53" s="50">
        <v>6</v>
      </c>
      <c r="G53" s="50">
        <v>0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36</v>
      </c>
      <c r="N53" s="50">
        <v>0</v>
      </c>
      <c r="O53" s="15">
        <f t="shared" si="0"/>
        <v>27</v>
      </c>
      <c r="P53" s="15">
        <f t="shared" si="1"/>
        <v>63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0</v>
      </c>
      <c r="E54" s="50">
        <v>9</v>
      </c>
      <c r="F54" s="50">
        <v>3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31</v>
      </c>
      <c r="N54" s="50">
        <v>0</v>
      </c>
      <c r="O54" s="15">
        <f t="shared" si="0"/>
        <v>20</v>
      </c>
      <c r="P54" s="15">
        <f t="shared" si="1"/>
        <v>51</v>
      </c>
      <c r="R54" s="8"/>
      <c r="T54"/>
    </row>
    <row r="55" spans="2:20" ht="23.1" customHeight="1" x14ac:dyDescent="0.25">
      <c r="B55" s="45" t="s">
        <v>82</v>
      </c>
      <c r="C55" s="50">
        <v>9</v>
      </c>
      <c r="D55" s="50">
        <v>0</v>
      </c>
      <c r="E55" s="50">
        <v>9</v>
      </c>
      <c r="F55" s="50">
        <v>5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49</v>
      </c>
      <c r="N55" s="50">
        <v>0</v>
      </c>
      <c r="O55" s="15">
        <f t="shared" si="0"/>
        <v>28</v>
      </c>
      <c r="P55" s="15">
        <f t="shared" si="1"/>
        <v>77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0</v>
      </c>
      <c r="E56" s="50">
        <v>11</v>
      </c>
      <c r="F56" s="50">
        <v>7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1</v>
      </c>
      <c r="M56" s="50">
        <v>31</v>
      </c>
      <c r="N56" s="50">
        <v>0</v>
      </c>
      <c r="O56" s="15">
        <f t="shared" si="0"/>
        <v>31</v>
      </c>
      <c r="P56" s="15">
        <f t="shared" si="1"/>
        <v>62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0</v>
      </c>
      <c r="E57" s="50">
        <v>5</v>
      </c>
      <c r="F57" s="50">
        <v>6</v>
      </c>
      <c r="G57" s="50">
        <v>1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35</v>
      </c>
      <c r="N57" s="50">
        <v>0</v>
      </c>
      <c r="O57" s="15">
        <f t="shared" si="0"/>
        <v>21</v>
      </c>
      <c r="P57" s="15">
        <f t="shared" si="1"/>
        <v>56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5">
        <f t="shared" si="0"/>
        <v>0</v>
      </c>
      <c r="P58" s="15">
        <f t="shared" si="1"/>
        <v>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226</v>
      </c>
      <c r="D106" s="16">
        <f t="shared" ref="D106:P106" si="37">SUM(D10:D105)</f>
        <v>0</v>
      </c>
      <c r="E106" s="16">
        <f t="shared" si="37"/>
        <v>239</v>
      </c>
      <c r="F106" s="16">
        <f t="shared" si="37"/>
        <v>174</v>
      </c>
      <c r="G106" s="16">
        <f t="shared" si="37"/>
        <v>23</v>
      </c>
      <c r="H106" s="16">
        <f t="shared" si="37"/>
        <v>4</v>
      </c>
      <c r="I106" s="16">
        <f t="shared" si="37"/>
        <v>158</v>
      </c>
      <c r="J106" s="16">
        <f t="shared" si="37"/>
        <v>9</v>
      </c>
      <c r="K106" s="16">
        <f t="shared" si="37"/>
        <v>30</v>
      </c>
      <c r="L106" s="16">
        <f t="shared" si="37"/>
        <v>16</v>
      </c>
      <c r="M106" s="16">
        <f t="shared" si="37"/>
        <v>1164</v>
      </c>
      <c r="N106" s="16">
        <f t="shared" si="37"/>
        <v>0</v>
      </c>
      <c r="O106" s="16">
        <f t="shared" si="37"/>
        <v>879</v>
      </c>
      <c r="P106" s="16">
        <f t="shared" si="37"/>
        <v>2043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0.11062163485070974</v>
      </c>
      <c r="D107" s="43">
        <f t="shared" si="38"/>
        <v>0</v>
      </c>
      <c r="E107" s="43">
        <f t="shared" si="38"/>
        <v>0.11698482623592756</v>
      </c>
      <c r="F107" s="43">
        <f t="shared" si="38"/>
        <v>8.5168869309838469E-2</v>
      </c>
      <c r="G107" s="43">
        <f t="shared" si="38"/>
        <v>1.1257953989231522E-2</v>
      </c>
      <c r="H107" s="43">
        <f t="shared" si="38"/>
        <v>1.9579050416054823E-3</v>
      </c>
      <c r="I107" s="43">
        <f t="shared" si="38"/>
        <v>7.7337249143416539E-2</v>
      </c>
      <c r="J107" s="43">
        <f t="shared" si="38"/>
        <v>4.4052863436123352E-3</v>
      </c>
      <c r="K107" s="43">
        <f t="shared" si="38"/>
        <v>1.4684287812041116E-2</v>
      </c>
      <c r="L107" s="43">
        <f t="shared" si="38"/>
        <v>7.8316201664219293E-3</v>
      </c>
      <c r="M107" s="43">
        <f t="shared" si="38"/>
        <v>0.56975036710719529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0.25711035267349258</v>
      </c>
      <c r="D108" s="44">
        <f t="shared" ref="D108:N108" si="39">D106/$O$106</f>
        <v>0</v>
      </c>
      <c r="E108" s="44">
        <f t="shared" si="39"/>
        <v>0.27189988623435724</v>
      </c>
      <c r="F108" s="44">
        <f t="shared" si="39"/>
        <v>0.19795221843003413</v>
      </c>
      <c r="G108" s="44">
        <f t="shared" si="39"/>
        <v>2.6166097838452786E-2</v>
      </c>
      <c r="H108" s="44">
        <f t="shared" si="39"/>
        <v>4.5506257110352671E-3</v>
      </c>
      <c r="I108" s="44">
        <f t="shared" si="39"/>
        <v>0.17974971558589306</v>
      </c>
      <c r="J108" s="44">
        <f t="shared" si="39"/>
        <v>1.0238907849829351E-2</v>
      </c>
      <c r="K108" s="44">
        <f t="shared" si="39"/>
        <v>3.4129692832764506E-2</v>
      </c>
      <c r="L108" s="44">
        <f t="shared" si="39"/>
        <v>1.8202502844141068E-2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A40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'20.8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'19.8 Kayunga-Kangulumira'!G5:H5</f>
        <v>Kayunga</v>
      </c>
      <c r="H5" s="64"/>
      <c r="I5" s="14"/>
      <c r="J5" s="2" t="s">
        <v>5</v>
      </c>
      <c r="K5" s="63" t="str">
        <f>'19.8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'20.8 Kayunga-Kangulumira'!D6:E6</f>
        <v>KAYUNGA</v>
      </c>
      <c r="E6" s="64"/>
      <c r="F6" s="2" t="s">
        <v>2</v>
      </c>
      <c r="G6" s="63" t="str">
        <f>'20.8 Kayunga-Kangulumira'!G6:H6</f>
        <v>KANGULUMIRA</v>
      </c>
      <c r="H6" s="64"/>
      <c r="J6" s="2" t="s">
        <v>21</v>
      </c>
      <c r="K6" s="63" t="str">
        <f>'19.8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7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24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36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24</v>
      </c>
      <c r="V10" s="17">
        <f t="shared" si="2"/>
        <v>33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120</v>
      </c>
      <c r="AD10" s="17">
        <f t="shared" si="2"/>
        <v>0</v>
      </c>
      <c r="AE10" s="31">
        <f t="shared" si="2"/>
        <v>71</v>
      </c>
      <c r="AF10" s="31">
        <f t="shared" si="2"/>
        <v>191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12</v>
      </c>
      <c r="F11" s="50">
        <v>6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24</v>
      </c>
      <c r="P11" s="15">
        <f t="shared" si="1"/>
        <v>62</v>
      </c>
      <c r="R11" s="1" t="s">
        <v>7</v>
      </c>
      <c r="S11" s="17">
        <f t="shared" ref="S11:AF11" si="3">SUM(C14:C17)</f>
        <v>16</v>
      </c>
      <c r="T11" s="17">
        <f t="shared" si="3"/>
        <v>0</v>
      </c>
      <c r="U11" s="17">
        <f t="shared" si="3"/>
        <v>22</v>
      </c>
      <c r="V11" s="17">
        <f t="shared" si="3"/>
        <v>17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124</v>
      </c>
      <c r="AD11" s="17">
        <f t="shared" si="3"/>
        <v>0</v>
      </c>
      <c r="AE11" s="31">
        <f t="shared" si="3"/>
        <v>65</v>
      </c>
      <c r="AF11" s="31">
        <f t="shared" si="3"/>
        <v>189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5</v>
      </c>
      <c r="F12" s="50">
        <v>9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30</v>
      </c>
      <c r="N12" s="50">
        <v>0</v>
      </c>
      <c r="O12" s="15">
        <f t="shared" si="0"/>
        <v>16</v>
      </c>
      <c r="P12" s="15">
        <f t="shared" si="1"/>
        <v>46</v>
      </c>
      <c r="R12" s="1" t="s">
        <v>8</v>
      </c>
      <c r="S12" s="17">
        <f t="shared" ref="S12:AF12" si="4">SUM(C18:C21)</f>
        <v>15</v>
      </c>
      <c r="T12" s="17">
        <f t="shared" si="4"/>
        <v>0</v>
      </c>
      <c r="U12" s="17">
        <f t="shared" si="4"/>
        <v>17</v>
      </c>
      <c r="V12" s="17">
        <f t="shared" si="4"/>
        <v>14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5</v>
      </c>
      <c r="AB12" s="17">
        <f t="shared" si="4"/>
        <v>0</v>
      </c>
      <c r="AC12" s="17">
        <f t="shared" si="4"/>
        <v>134</v>
      </c>
      <c r="AD12" s="17">
        <f t="shared" si="4"/>
        <v>0</v>
      </c>
      <c r="AE12" s="31">
        <f t="shared" si="4"/>
        <v>57</v>
      </c>
      <c r="AF12" s="31">
        <f t="shared" si="4"/>
        <v>191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5</v>
      </c>
      <c r="F13" s="50">
        <v>11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19</v>
      </c>
      <c r="P13" s="15">
        <f t="shared" si="1"/>
        <v>47</v>
      </c>
      <c r="R13" s="1" t="s">
        <v>9</v>
      </c>
      <c r="S13" s="17">
        <f t="shared" ref="S13:AF13" si="5">SUM(C22:C25)</f>
        <v>15</v>
      </c>
      <c r="T13" s="17">
        <f t="shared" si="5"/>
        <v>0</v>
      </c>
      <c r="U13" s="17">
        <f t="shared" si="5"/>
        <v>30</v>
      </c>
      <c r="V13" s="17">
        <f t="shared" si="5"/>
        <v>13</v>
      </c>
      <c r="W13" s="17">
        <f t="shared" si="5"/>
        <v>2</v>
      </c>
      <c r="X13" s="17">
        <f t="shared" si="5"/>
        <v>1</v>
      </c>
      <c r="Y13" s="17">
        <f t="shared" si="5"/>
        <v>8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98</v>
      </c>
      <c r="AD13" s="17">
        <f t="shared" si="5"/>
        <v>0</v>
      </c>
      <c r="AE13" s="31">
        <f t="shared" si="5"/>
        <v>71</v>
      </c>
      <c r="AF13" s="31">
        <f t="shared" si="5"/>
        <v>169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8</v>
      </c>
      <c r="F14" s="50">
        <v>2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16</v>
      </c>
      <c r="P14" s="15">
        <f t="shared" si="1"/>
        <v>46</v>
      </c>
      <c r="R14" s="1" t="s">
        <v>10</v>
      </c>
      <c r="S14" s="17">
        <f t="shared" ref="S14:AF14" si="6">SUM(C26:C29)</f>
        <v>23</v>
      </c>
      <c r="T14" s="17">
        <f t="shared" si="6"/>
        <v>0</v>
      </c>
      <c r="U14" s="17">
        <f t="shared" si="6"/>
        <v>19</v>
      </c>
      <c r="V14" s="17">
        <f t="shared" si="6"/>
        <v>17</v>
      </c>
      <c r="W14" s="17">
        <f t="shared" si="6"/>
        <v>0</v>
      </c>
      <c r="X14" s="17">
        <f t="shared" si="6"/>
        <v>0</v>
      </c>
      <c r="Y14" s="17">
        <f t="shared" si="6"/>
        <v>19</v>
      </c>
      <c r="Z14" s="17">
        <f t="shared" si="6"/>
        <v>0</v>
      </c>
      <c r="AA14" s="17">
        <f t="shared" si="6"/>
        <v>3</v>
      </c>
      <c r="AB14" s="17">
        <f t="shared" si="6"/>
        <v>0</v>
      </c>
      <c r="AC14" s="17">
        <f t="shared" si="6"/>
        <v>105</v>
      </c>
      <c r="AD14" s="17">
        <f t="shared" si="6"/>
        <v>0</v>
      </c>
      <c r="AE14" s="31">
        <f t="shared" si="6"/>
        <v>81</v>
      </c>
      <c r="AF14" s="31">
        <f t="shared" si="6"/>
        <v>186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3</v>
      </c>
      <c r="F15" s="50">
        <v>6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16</v>
      </c>
      <c r="P15" s="15">
        <f t="shared" si="1"/>
        <v>56</v>
      </c>
      <c r="R15" s="1" t="s">
        <v>11</v>
      </c>
      <c r="S15" s="17">
        <f t="shared" ref="S15:AF15" si="7">SUM(C30:C33)</f>
        <v>21</v>
      </c>
      <c r="T15" s="17">
        <f t="shared" si="7"/>
        <v>0</v>
      </c>
      <c r="U15" s="17">
        <f t="shared" si="7"/>
        <v>27</v>
      </c>
      <c r="V15" s="17">
        <f t="shared" si="7"/>
        <v>18</v>
      </c>
      <c r="W15" s="17">
        <f t="shared" si="7"/>
        <v>7</v>
      </c>
      <c r="X15" s="17">
        <f t="shared" si="7"/>
        <v>0</v>
      </c>
      <c r="Y15" s="17">
        <f t="shared" si="7"/>
        <v>16</v>
      </c>
      <c r="Z15" s="17">
        <f t="shared" si="7"/>
        <v>0</v>
      </c>
      <c r="AA15" s="17">
        <f t="shared" si="7"/>
        <v>2</v>
      </c>
      <c r="AB15" s="17">
        <f t="shared" si="7"/>
        <v>0</v>
      </c>
      <c r="AC15" s="17">
        <f t="shared" si="7"/>
        <v>106</v>
      </c>
      <c r="AD15" s="17">
        <f t="shared" si="7"/>
        <v>0</v>
      </c>
      <c r="AE15" s="31">
        <f t="shared" si="7"/>
        <v>91</v>
      </c>
      <c r="AF15" s="31">
        <f t="shared" si="7"/>
        <v>197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4</v>
      </c>
      <c r="F16" s="50">
        <v>4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24</v>
      </c>
      <c r="N16" s="50">
        <v>0</v>
      </c>
      <c r="O16" s="15">
        <f t="shared" si="0"/>
        <v>15</v>
      </c>
      <c r="P16" s="15">
        <f t="shared" si="1"/>
        <v>39</v>
      </c>
      <c r="R16" s="1" t="s">
        <v>12</v>
      </c>
      <c r="S16" s="17">
        <f t="shared" ref="S16:AF16" si="8">SUM(C34:C37)</f>
        <v>21</v>
      </c>
      <c r="T16" s="17">
        <f t="shared" si="8"/>
        <v>0</v>
      </c>
      <c r="U16" s="17">
        <f t="shared" si="8"/>
        <v>25</v>
      </c>
      <c r="V16" s="17">
        <f t="shared" si="8"/>
        <v>19</v>
      </c>
      <c r="W16" s="17">
        <f t="shared" si="8"/>
        <v>2</v>
      </c>
      <c r="X16" s="17">
        <f t="shared" si="8"/>
        <v>0</v>
      </c>
      <c r="Y16" s="17">
        <f t="shared" si="8"/>
        <v>22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90</v>
      </c>
      <c r="AD16" s="17">
        <f t="shared" si="8"/>
        <v>0</v>
      </c>
      <c r="AE16" s="31">
        <f t="shared" si="8"/>
        <v>91</v>
      </c>
      <c r="AF16" s="31">
        <f t="shared" si="8"/>
        <v>181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7</v>
      </c>
      <c r="F17" s="50">
        <v>5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18</v>
      </c>
      <c r="P17" s="15">
        <f t="shared" si="1"/>
        <v>48</v>
      </c>
      <c r="R17" s="1" t="s">
        <v>13</v>
      </c>
      <c r="S17" s="17">
        <f t="shared" ref="S17:AF17" si="9">SUM(C38:C41)</f>
        <v>27</v>
      </c>
      <c r="T17" s="17">
        <f t="shared" si="9"/>
        <v>0</v>
      </c>
      <c r="U17" s="17">
        <f t="shared" si="9"/>
        <v>19</v>
      </c>
      <c r="V17" s="17">
        <f t="shared" si="9"/>
        <v>16</v>
      </c>
      <c r="W17" s="17">
        <f t="shared" si="9"/>
        <v>1</v>
      </c>
      <c r="X17" s="17">
        <f t="shared" si="9"/>
        <v>0</v>
      </c>
      <c r="Y17" s="17">
        <f t="shared" si="9"/>
        <v>16</v>
      </c>
      <c r="Z17" s="17">
        <f t="shared" si="9"/>
        <v>1</v>
      </c>
      <c r="AA17" s="17">
        <f t="shared" si="9"/>
        <v>4</v>
      </c>
      <c r="AB17" s="17">
        <f t="shared" si="9"/>
        <v>2</v>
      </c>
      <c r="AC17" s="17">
        <f t="shared" si="9"/>
        <v>103</v>
      </c>
      <c r="AD17" s="17">
        <f t="shared" si="9"/>
        <v>0</v>
      </c>
      <c r="AE17" s="31">
        <f t="shared" si="9"/>
        <v>86</v>
      </c>
      <c r="AF17" s="31">
        <f t="shared" si="9"/>
        <v>189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7</v>
      </c>
      <c r="F18" s="50">
        <v>4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33</v>
      </c>
      <c r="N18" s="50">
        <v>0</v>
      </c>
      <c r="O18" s="15">
        <f t="shared" si="0"/>
        <v>17</v>
      </c>
      <c r="P18" s="15">
        <f t="shared" si="1"/>
        <v>50</v>
      </c>
      <c r="R18" s="1" t="s">
        <v>14</v>
      </c>
      <c r="S18" s="17">
        <f t="shared" ref="S18:AF18" si="10">SUM(C42:C45)</f>
        <v>21</v>
      </c>
      <c r="T18" s="17">
        <f t="shared" si="10"/>
        <v>0</v>
      </c>
      <c r="U18" s="17">
        <f t="shared" si="10"/>
        <v>15</v>
      </c>
      <c r="V18" s="17">
        <f t="shared" si="10"/>
        <v>12</v>
      </c>
      <c r="W18" s="17">
        <f t="shared" si="10"/>
        <v>0</v>
      </c>
      <c r="X18" s="17">
        <f t="shared" si="10"/>
        <v>1</v>
      </c>
      <c r="Y18" s="17">
        <f t="shared" si="10"/>
        <v>22</v>
      </c>
      <c r="Z18" s="17">
        <f t="shared" si="10"/>
        <v>3</v>
      </c>
      <c r="AA18" s="17">
        <f t="shared" si="10"/>
        <v>1</v>
      </c>
      <c r="AB18" s="17">
        <f t="shared" si="10"/>
        <v>2</v>
      </c>
      <c r="AC18" s="17">
        <f t="shared" si="10"/>
        <v>99</v>
      </c>
      <c r="AD18" s="17">
        <f t="shared" si="10"/>
        <v>0</v>
      </c>
      <c r="AE18" s="31">
        <f t="shared" si="10"/>
        <v>77</v>
      </c>
      <c r="AF18" s="31">
        <f t="shared" si="10"/>
        <v>176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4</v>
      </c>
      <c r="F19" s="50">
        <v>4</v>
      </c>
      <c r="G19" s="50">
        <v>0</v>
      </c>
      <c r="H19" s="50">
        <v>0</v>
      </c>
      <c r="I19" s="50">
        <v>2</v>
      </c>
      <c r="J19" s="50">
        <v>0</v>
      </c>
      <c r="K19" s="50">
        <v>2</v>
      </c>
      <c r="L19" s="50">
        <v>0</v>
      </c>
      <c r="M19" s="50">
        <v>38</v>
      </c>
      <c r="N19" s="50">
        <v>0</v>
      </c>
      <c r="O19" s="15">
        <f t="shared" si="0"/>
        <v>14</v>
      </c>
      <c r="P19" s="15">
        <f t="shared" si="1"/>
        <v>52</v>
      </c>
      <c r="R19" s="1" t="s">
        <v>15</v>
      </c>
      <c r="S19" s="17">
        <f t="shared" ref="S19:AF19" si="11">SUM(C46:C49)</f>
        <v>15</v>
      </c>
      <c r="T19" s="17">
        <f t="shared" si="11"/>
        <v>0</v>
      </c>
      <c r="U19" s="17">
        <f t="shared" si="11"/>
        <v>17</v>
      </c>
      <c r="V19" s="17">
        <f t="shared" si="11"/>
        <v>15</v>
      </c>
      <c r="W19" s="17">
        <f t="shared" si="11"/>
        <v>2</v>
      </c>
      <c r="X19" s="17">
        <f t="shared" si="11"/>
        <v>1</v>
      </c>
      <c r="Y19" s="17">
        <f t="shared" si="11"/>
        <v>12</v>
      </c>
      <c r="Z19" s="17">
        <f t="shared" si="11"/>
        <v>3</v>
      </c>
      <c r="AA19" s="17">
        <f t="shared" si="11"/>
        <v>2</v>
      </c>
      <c r="AB19" s="17">
        <f t="shared" si="11"/>
        <v>0</v>
      </c>
      <c r="AC19" s="17">
        <f t="shared" si="11"/>
        <v>95</v>
      </c>
      <c r="AD19" s="17">
        <f t="shared" si="11"/>
        <v>0</v>
      </c>
      <c r="AE19" s="31">
        <f t="shared" si="11"/>
        <v>67</v>
      </c>
      <c r="AF19" s="31">
        <f t="shared" si="11"/>
        <v>162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3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2</v>
      </c>
      <c r="L20" s="50">
        <v>0</v>
      </c>
      <c r="M20" s="50">
        <v>32</v>
      </c>
      <c r="N20" s="50">
        <v>0</v>
      </c>
      <c r="O20" s="15">
        <f t="shared" si="0"/>
        <v>13</v>
      </c>
      <c r="P20" s="15">
        <f t="shared" si="1"/>
        <v>45</v>
      </c>
      <c r="R20" s="1" t="s">
        <v>16</v>
      </c>
      <c r="S20" s="17">
        <f t="shared" ref="S20:AF20" si="12">SUM(C50:C53)</f>
        <v>25</v>
      </c>
      <c r="T20" s="17">
        <f t="shared" si="12"/>
        <v>0</v>
      </c>
      <c r="U20" s="17">
        <f t="shared" si="12"/>
        <v>24</v>
      </c>
      <c r="V20" s="17">
        <f t="shared" si="12"/>
        <v>25</v>
      </c>
      <c r="W20" s="17">
        <f t="shared" si="12"/>
        <v>0</v>
      </c>
      <c r="X20" s="17">
        <f t="shared" si="12"/>
        <v>1</v>
      </c>
      <c r="Y20" s="17">
        <f t="shared" si="12"/>
        <v>26</v>
      </c>
      <c r="Z20" s="17">
        <f t="shared" si="12"/>
        <v>2</v>
      </c>
      <c r="AA20" s="17">
        <f t="shared" si="12"/>
        <v>2</v>
      </c>
      <c r="AB20" s="17">
        <f t="shared" si="12"/>
        <v>4</v>
      </c>
      <c r="AC20" s="17">
        <f t="shared" si="12"/>
        <v>108</v>
      </c>
      <c r="AD20" s="17">
        <f t="shared" si="12"/>
        <v>0</v>
      </c>
      <c r="AE20" s="31">
        <f t="shared" si="12"/>
        <v>109</v>
      </c>
      <c r="AF20" s="31">
        <f t="shared" si="12"/>
        <v>217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3</v>
      </c>
      <c r="F21" s="50">
        <v>3</v>
      </c>
      <c r="G21" s="50">
        <v>1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31</v>
      </c>
      <c r="N21" s="50">
        <v>0</v>
      </c>
      <c r="O21" s="15">
        <f t="shared" si="0"/>
        <v>13</v>
      </c>
      <c r="P21" s="15">
        <f t="shared" si="1"/>
        <v>44</v>
      </c>
      <c r="R21" s="36" t="s">
        <v>20</v>
      </c>
      <c r="S21" s="34">
        <f t="shared" ref="S21:AF21" si="13">SUM(C54:C57)</f>
        <v>28</v>
      </c>
      <c r="T21" s="17">
        <f t="shared" si="13"/>
        <v>0</v>
      </c>
      <c r="U21" s="17">
        <f t="shared" si="13"/>
        <v>21</v>
      </c>
      <c r="V21" s="17">
        <f t="shared" si="13"/>
        <v>18</v>
      </c>
      <c r="W21" s="17">
        <f t="shared" si="13"/>
        <v>0</v>
      </c>
      <c r="X21" s="17">
        <f t="shared" si="13"/>
        <v>4</v>
      </c>
      <c r="Y21" s="17">
        <f t="shared" si="13"/>
        <v>26</v>
      </c>
      <c r="Z21" s="17">
        <f t="shared" si="13"/>
        <v>8</v>
      </c>
      <c r="AA21" s="17">
        <f t="shared" si="13"/>
        <v>3</v>
      </c>
      <c r="AB21" s="17">
        <f t="shared" si="13"/>
        <v>2</v>
      </c>
      <c r="AC21" s="17">
        <f t="shared" si="13"/>
        <v>97</v>
      </c>
      <c r="AD21" s="17">
        <f t="shared" si="13"/>
        <v>0</v>
      </c>
      <c r="AE21" s="31">
        <f t="shared" si="13"/>
        <v>110</v>
      </c>
      <c r="AF21" s="31">
        <f t="shared" si="13"/>
        <v>207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4</v>
      </c>
      <c r="F22" s="50">
        <v>5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23</v>
      </c>
      <c r="N22" s="50">
        <v>0</v>
      </c>
      <c r="O22" s="15">
        <f t="shared" si="0"/>
        <v>10</v>
      </c>
      <c r="P22" s="15">
        <f t="shared" si="1"/>
        <v>33</v>
      </c>
      <c r="R22" s="38" t="s">
        <v>90</v>
      </c>
      <c r="S22" s="39">
        <f>MAX(S10:S12)</f>
        <v>16</v>
      </c>
      <c r="T22" s="39">
        <f t="shared" ref="T22:AF22" si="14">MAX(T10:T12)</f>
        <v>0</v>
      </c>
      <c r="U22" s="39">
        <f t="shared" si="14"/>
        <v>24</v>
      </c>
      <c r="V22" s="39">
        <f t="shared" si="14"/>
        <v>33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2</v>
      </c>
      <c r="AA22" s="39">
        <f t="shared" si="14"/>
        <v>5</v>
      </c>
      <c r="AB22" s="39">
        <f t="shared" si="14"/>
        <v>0</v>
      </c>
      <c r="AC22" s="39">
        <f t="shared" si="14"/>
        <v>134</v>
      </c>
      <c r="AD22" s="39">
        <f t="shared" si="14"/>
        <v>0</v>
      </c>
      <c r="AE22" s="40">
        <f t="shared" si="14"/>
        <v>71</v>
      </c>
      <c r="AF22" s="40">
        <f t="shared" si="14"/>
        <v>191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11</v>
      </c>
      <c r="F23" s="50">
        <v>2</v>
      </c>
      <c r="G23" s="50">
        <v>1</v>
      </c>
      <c r="H23" s="50">
        <v>0</v>
      </c>
      <c r="I23" s="50">
        <v>4</v>
      </c>
      <c r="J23" s="50">
        <v>0</v>
      </c>
      <c r="K23" s="50">
        <v>1</v>
      </c>
      <c r="L23" s="50">
        <v>0</v>
      </c>
      <c r="M23" s="50">
        <v>25</v>
      </c>
      <c r="N23" s="50">
        <v>0</v>
      </c>
      <c r="O23" s="15">
        <f t="shared" si="0"/>
        <v>22</v>
      </c>
      <c r="P23" s="15">
        <f t="shared" si="1"/>
        <v>47</v>
      </c>
      <c r="R23" s="38" t="s">
        <v>91</v>
      </c>
      <c r="S23" s="39">
        <f>MAX(S13:S18)</f>
        <v>27</v>
      </c>
      <c r="T23" s="39">
        <f t="shared" ref="T23:AF23" si="15">MAX(T13:T18)</f>
        <v>0</v>
      </c>
      <c r="U23" s="39">
        <f t="shared" si="15"/>
        <v>30</v>
      </c>
      <c r="V23" s="39">
        <f t="shared" si="15"/>
        <v>19</v>
      </c>
      <c r="W23" s="39">
        <f t="shared" si="15"/>
        <v>7</v>
      </c>
      <c r="X23" s="39">
        <f t="shared" si="15"/>
        <v>1</v>
      </c>
      <c r="Y23" s="39">
        <f t="shared" si="15"/>
        <v>22</v>
      </c>
      <c r="Z23" s="39">
        <f t="shared" si="15"/>
        <v>3</v>
      </c>
      <c r="AA23" s="39">
        <f t="shared" si="15"/>
        <v>4</v>
      </c>
      <c r="AB23" s="39">
        <f t="shared" si="15"/>
        <v>2</v>
      </c>
      <c r="AC23" s="39">
        <f t="shared" si="15"/>
        <v>106</v>
      </c>
      <c r="AD23" s="39">
        <f t="shared" si="15"/>
        <v>0</v>
      </c>
      <c r="AE23" s="40">
        <f t="shared" si="15"/>
        <v>91</v>
      </c>
      <c r="AF23" s="40">
        <f t="shared" si="15"/>
        <v>197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8</v>
      </c>
      <c r="F24" s="50">
        <v>3</v>
      </c>
      <c r="G24" s="50">
        <v>1</v>
      </c>
      <c r="H24" s="50">
        <v>1</v>
      </c>
      <c r="I24" s="50">
        <v>3</v>
      </c>
      <c r="J24" s="50">
        <v>0</v>
      </c>
      <c r="K24" s="50">
        <v>1</v>
      </c>
      <c r="L24" s="50">
        <v>0</v>
      </c>
      <c r="M24" s="50">
        <v>19</v>
      </c>
      <c r="N24" s="50">
        <v>0</v>
      </c>
      <c r="O24" s="15">
        <f t="shared" si="0"/>
        <v>22</v>
      </c>
      <c r="P24" s="15">
        <f t="shared" si="1"/>
        <v>41</v>
      </c>
      <c r="R24" s="38" t="s">
        <v>92</v>
      </c>
      <c r="S24" s="39">
        <f>MAX(S19:S21)</f>
        <v>28</v>
      </c>
      <c r="T24" s="39">
        <f t="shared" ref="T24:AF24" si="16">MAX(T19:T21)</f>
        <v>0</v>
      </c>
      <c r="U24" s="39">
        <f t="shared" si="16"/>
        <v>24</v>
      </c>
      <c r="V24" s="39">
        <f t="shared" si="16"/>
        <v>25</v>
      </c>
      <c r="W24" s="39">
        <f t="shared" si="16"/>
        <v>2</v>
      </c>
      <c r="X24" s="39">
        <f t="shared" si="16"/>
        <v>4</v>
      </c>
      <c r="Y24" s="39">
        <f t="shared" si="16"/>
        <v>26</v>
      </c>
      <c r="Z24" s="39">
        <f t="shared" si="16"/>
        <v>8</v>
      </c>
      <c r="AA24" s="39">
        <f t="shared" si="16"/>
        <v>3</v>
      </c>
      <c r="AB24" s="39">
        <f t="shared" si="16"/>
        <v>4</v>
      </c>
      <c r="AC24" s="39">
        <f t="shared" si="16"/>
        <v>108</v>
      </c>
      <c r="AD24" s="39">
        <f t="shared" si="16"/>
        <v>0</v>
      </c>
      <c r="AE24" s="40">
        <f t="shared" si="16"/>
        <v>110</v>
      </c>
      <c r="AF24" s="40">
        <f t="shared" si="16"/>
        <v>217</v>
      </c>
    </row>
    <row r="25" spans="2:32" ht="23.1" customHeight="1" x14ac:dyDescent="0.25">
      <c r="B25" s="23" t="s">
        <v>52</v>
      </c>
      <c r="C25" s="50">
        <v>7</v>
      </c>
      <c r="D25" s="50">
        <v>0</v>
      </c>
      <c r="E25" s="50">
        <v>7</v>
      </c>
      <c r="F25" s="50">
        <v>3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31</v>
      </c>
      <c r="N25" s="50">
        <v>0</v>
      </c>
      <c r="O25" s="15">
        <f t="shared" si="0"/>
        <v>17</v>
      </c>
      <c r="P25" s="15">
        <f t="shared" si="1"/>
        <v>48</v>
      </c>
      <c r="R25" s="37" t="s">
        <v>85</v>
      </c>
      <c r="S25" s="35">
        <f t="shared" ref="S25:AF25" si="17">SUM(S10:S12)</f>
        <v>37</v>
      </c>
      <c r="T25" s="16">
        <f t="shared" si="17"/>
        <v>0</v>
      </c>
      <c r="U25" s="16">
        <f t="shared" si="17"/>
        <v>63</v>
      </c>
      <c r="V25" s="16">
        <f t="shared" si="17"/>
        <v>64</v>
      </c>
      <c r="W25" s="16">
        <f t="shared" si="17"/>
        <v>1</v>
      </c>
      <c r="X25" s="16">
        <f t="shared" si="17"/>
        <v>0</v>
      </c>
      <c r="Y25" s="16">
        <f t="shared" si="17"/>
        <v>21</v>
      </c>
      <c r="Z25" s="16">
        <f t="shared" si="17"/>
        <v>2</v>
      </c>
      <c r="AA25" s="16">
        <f t="shared" si="17"/>
        <v>5</v>
      </c>
      <c r="AB25" s="16">
        <f t="shared" si="17"/>
        <v>0</v>
      </c>
      <c r="AC25" s="16">
        <f t="shared" si="17"/>
        <v>378</v>
      </c>
      <c r="AD25" s="16">
        <f t="shared" si="17"/>
        <v>0</v>
      </c>
      <c r="AE25" s="32">
        <f t="shared" si="17"/>
        <v>193</v>
      </c>
      <c r="AF25" s="32">
        <f t="shared" si="17"/>
        <v>571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3</v>
      </c>
      <c r="F26" s="50">
        <v>5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10</v>
      </c>
      <c r="P26" s="15">
        <f t="shared" si="1"/>
        <v>30</v>
      </c>
      <c r="R26" s="28" t="s">
        <v>86</v>
      </c>
      <c r="S26" s="16">
        <f t="shared" ref="S26:AF26" si="18">SUM(S13:S18)</f>
        <v>128</v>
      </c>
      <c r="T26" s="16">
        <f t="shared" si="18"/>
        <v>0</v>
      </c>
      <c r="U26" s="16">
        <f t="shared" si="18"/>
        <v>135</v>
      </c>
      <c r="V26" s="16">
        <f t="shared" si="18"/>
        <v>95</v>
      </c>
      <c r="W26" s="16">
        <f t="shared" si="18"/>
        <v>12</v>
      </c>
      <c r="X26" s="16">
        <f t="shared" si="18"/>
        <v>2</v>
      </c>
      <c r="Y26" s="16">
        <f t="shared" si="18"/>
        <v>103</v>
      </c>
      <c r="Z26" s="16">
        <f t="shared" si="18"/>
        <v>4</v>
      </c>
      <c r="AA26" s="16">
        <f t="shared" si="18"/>
        <v>14</v>
      </c>
      <c r="AB26" s="16">
        <f t="shared" si="18"/>
        <v>4</v>
      </c>
      <c r="AC26" s="16">
        <f t="shared" si="18"/>
        <v>601</v>
      </c>
      <c r="AD26" s="16">
        <f t="shared" si="18"/>
        <v>0</v>
      </c>
      <c r="AE26" s="32">
        <f t="shared" si="18"/>
        <v>497</v>
      </c>
      <c r="AF26" s="32">
        <f t="shared" si="18"/>
        <v>1098</v>
      </c>
    </row>
    <row r="27" spans="2:32" ht="23.1" customHeight="1" x14ac:dyDescent="0.25">
      <c r="B27" s="23" t="s">
        <v>54</v>
      </c>
      <c r="C27" s="50">
        <v>8</v>
      </c>
      <c r="D27" s="50">
        <v>0</v>
      </c>
      <c r="E27" s="50">
        <v>4</v>
      </c>
      <c r="F27" s="50">
        <v>1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35</v>
      </c>
      <c r="N27" s="50">
        <v>0</v>
      </c>
      <c r="O27" s="15">
        <f t="shared" si="0"/>
        <v>19</v>
      </c>
      <c r="P27" s="15">
        <f t="shared" si="1"/>
        <v>54</v>
      </c>
      <c r="R27" s="29" t="s">
        <v>87</v>
      </c>
      <c r="S27" s="16">
        <f t="shared" ref="S27:AF27" si="19">SUM(S19:S21)</f>
        <v>68</v>
      </c>
      <c r="T27" s="16">
        <f t="shared" si="19"/>
        <v>0</v>
      </c>
      <c r="U27" s="16">
        <f t="shared" si="19"/>
        <v>62</v>
      </c>
      <c r="V27" s="16">
        <f t="shared" si="19"/>
        <v>58</v>
      </c>
      <c r="W27" s="16">
        <f t="shared" si="19"/>
        <v>2</v>
      </c>
      <c r="X27" s="16">
        <f t="shared" si="19"/>
        <v>6</v>
      </c>
      <c r="Y27" s="16">
        <f t="shared" si="19"/>
        <v>64</v>
      </c>
      <c r="Z27" s="16">
        <f t="shared" si="19"/>
        <v>13</v>
      </c>
      <c r="AA27" s="16">
        <f t="shared" si="19"/>
        <v>7</v>
      </c>
      <c r="AB27" s="16">
        <f t="shared" si="19"/>
        <v>6</v>
      </c>
      <c r="AC27" s="16">
        <f t="shared" si="19"/>
        <v>300</v>
      </c>
      <c r="AD27" s="16">
        <f t="shared" si="19"/>
        <v>0</v>
      </c>
      <c r="AE27" s="32">
        <f t="shared" si="19"/>
        <v>286</v>
      </c>
      <c r="AF27" s="32">
        <f t="shared" si="19"/>
        <v>586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8</v>
      </c>
      <c r="F28" s="50">
        <v>6</v>
      </c>
      <c r="G28" s="50">
        <v>0</v>
      </c>
      <c r="H28" s="50">
        <v>0</v>
      </c>
      <c r="I28" s="50">
        <v>10</v>
      </c>
      <c r="J28" s="50">
        <v>0</v>
      </c>
      <c r="K28" s="50">
        <v>2</v>
      </c>
      <c r="L28" s="50">
        <v>0</v>
      </c>
      <c r="M28" s="50">
        <v>30</v>
      </c>
      <c r="N28" s="50">
        <v>0</v>
      </c>
      <c r="O28" s="15">
        <f t="shared" si="0"/>
        <v>33</v>
      </c>
      <c r="P28" s="15">
        <f t="shared" si="1"/>
        <v>63</v>
      </c>
      <c r="R28" s="5" t="s">
        <v>17</v>
      </c>
      <c r="S28" s="16">
        <f t="shared" ref="S28:AF28" si="20">SUM(S10:S21)</f>
        <v>233</v>
      </c>
      <c r="T28" s="16">
        <f t="shared" si="20"/>
        <v>0</v>
      </c>
      <c r="U28" s="16">
        <f t="shared" si="20"/>
        <v>260</v>
      </c>
      <c r="V28" s="16">
        <f t="shared" si="20"/>
        <v>217</v>
      </c>
      <c r="W28" s="16">
        <f t="shared" si="20"/>
        <v>15</v>
      </c>
      <c r="X28" s="16">
        <f t="shared" si="20"/>
        <v>8</v>
      </c>
      <c r="Y28" s="16">
        <f t="shared" si="20"/>
        <v>188</v>
      </c>
      <c r="Z28" s="16">
        <f t="shared" si="20"/>
        <v>19</v>
      </c>
      <c r="AA28" s="16">
        <f t="shared" si="20"/>
        <v>26</v>
      </c>
      <c r="AB28" s="16">
        <f t="shared" si="20"/>
        <v>10</v>
      </c>
      <c r="AC28" s="16">
        <f t="shared" si="20"/>
        <v>1279</v>
      </c>
      <c r="AD28" s="16">
        <f t="shared" si="20"/>
        <v>0</v>
      </c>
      <c r="AE28" s="32">
        <f t="shared" si="20"/>
        <v>976</v>
      </c>
      <c r="AF28" s="32">
        <f t="shared" si="20"/>
        <v>2255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4</v>
      </c>
      <c r="F29" s="50">
        <v>5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0</v>
      </c>
      <c r="M29" s="50">
        <v>20</v>
      </c>
      <c r="N29" s="50">
        <v>0</v>
      </c>
      <c r="O29" s="15">
        <f t="shared" si="0"/>
        <v>19</v>
      </c>
      <c r="P29" s="15">
        <f t="shared" si="1"/>
        <v>39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5</v>
      </c>
      <c r="F30" s="50">
        <v>4</v>
      </c>
      <c r="G30" s="50">
        <v>2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27</v>
      </c>
      <c r="N30" s="50">
        <v>0</v>
      </c>
      <c r="O30" s="15">
        <f t="shared" si="0"/>
        <v>18</v>
      </c>
      <c r="P30" s="15">
        <f t="shared" si="1"/>
        <v>45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7</v>
      </c>
      <c r="F31" s="50">
        <v>8</v>
      </c>
      <c r="G31" s="50">
        <v>5</v>
      </c>
      <c r="H31" s="50">
        <v>0</v>
      </c>
      <c r="I31" s="50">
        <v>5</v>
      </c>
      <c r="J31" s="50">
        <v>0</v>
      </c>
      <c r="K31" s="50">
        <v>1</v>
      </c>
      <c r="L31" s="50">
        <v>0</v>
      </c>
      <c r="M31" s="50">
        <v>26</v>
      </c>
      <c r="N31" s="50">
        <v>0</v>
      </c>
      <c r="O31" s="15">
        <f t="shared" si="0"/>
        <v>33</v>
      </c>
      <c r="P31" s="15">
        <f t="shared" si="1"/>
        <v>59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9</v>
      </c>
      <c r="F32" s="50">
        <v>3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21</v>
      </c>
      <c r="P32" s="15">
        <f t="shared" si="1"/>
        <v>44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6</v>
      </c>
      <c r="F33" s="50">
        <v>3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19</v>
      </c>
      <c r="P33" s="15">
        <f t="shared" si="1"/>
        <v>49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5</v>
      </c>
      <c r="F34" s="50">
        <v>6</v>
      </c>
      <c r="G34" s="50">
        <v>0</v>
      </c>
      <c r="H34" s="50">
        <v>0</v>
      </c>
      <c r="I34" s="50">
        <v>10</v>
      </c>
      <c r="J34" s="50">
        <v>0</v>
      </c>
      <c r="K34" s="50">
        <v>1</v>
      </c>
      <c r="L34" s="50">
        <v>0</v>
      </c>
      <c r="M34" s="50">
        <v>29</v>
      </c>
      <c r="N34" s="50">
        <v>0</v>
      </c>
      <c r="O34" s="15">
        <f t="shared" si="0"/>
        <v>27</v>
      </c>
      <c r="P34" s="15">
        <f t="shared" si="1"/>
        <v>56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9</v>
      </c>
      <c r="F35" s="50">
        <v>5</v>
      </c>
      <c r="G35" s="50">
        <v>2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25</v>
      </c>
      <c r="P35" s="15">
        <f t="shared" si="1"/>
        <v>54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7</v>
      </c>
      <c r="F36" s="50">
        <v>6</v>
      </c>
      <c r="G36" s="50">
        <v>0</v>
      </c>
      <c r="H36" s="50">
        <v>0</v>
      </c>
      <c r="I36" s="50">
        <v>5</v>
      </c>
      <c r="J36" s="50">
        <v>0</v>
      </c>
      <c r="K36" s="50">
        <v>1</v>
      </c>
      <c r="L36" s="50">
        <v>0</v>
      </c>
      <c r="M36" s="50">
        <v>19</v>
      </c>
      <c r="N36" s="50">
        <v>0</v>
      </c>
      <c r="O36" s="15">
        <f t="shared" si="0"/>
        <v>26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4</v>
      </c>
      <c r="F37" s="50">
        <v>2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13</v>
      </c>
      <c r="P37" s="15">
        <f t="shared" si="1"/>
        <v>26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5</v>
      </c>
      <c r="F38" s="50">
        <v>4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2</v>
      </c>
      <c r="M38" s="50">
        <v>25</v>
      </c>
      <c r="N38" s="50">
        <v>0</v>
      </c>
      <c r="O38" s="15">
        <f t="shared" si="0"/>
        <v>18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3</v>
      </c>
      <c r="F39" s="50">
        <v>3</v>
      </c>
      <c r="G39" s="50">
        <v>1</v>
      </c>
      <c r="H39" s="50">
        <v>0</v>
      </c>
      <c r="I39" s="50">
        <v>1</v>
      </c>
      <c r="J39" s="50">
        <v>1</v>
      </c>
      <c r="K39" s="50">
        <v>3</v>
      </c>
      <c r="L39" s="50">
        <v>0</v>
      </c>
      <c r="M39" s="50">
        <v>28</v>
      </c>
      <c r="N39" s="50">
        <v>0</v>
      </c>
      <c r="O39" s="15">
        <f t="shared" si="0"/>
        <v>17</v>
      </c>
      <c r="P39" s="15">
        <f t="shared" si="1"/>
        <v>45</v>
      </c>
    </row>
    <row r="40" spans="2:20" ht="23.1" customHeight="1" x14ac:dyDescent="0.25">
      <c r="B40" s="24" t="s">
        <v>67</v>
      </c>
      <c r="C40" s="50">
        <v>13</v>
      </c>
      <c r="D40" s="50">
        <v>0</v>
      </c>
      <c r="E40" s="50">
        <v>10</v>
      </c>
      <c r="F40" s="50">
        <v>6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27</v>
      </c>
      <c r="N40" s="50">
        <v>0</v>
      </c>
      <c r="O40" s="15">
        <f t="shared" si="0"/>
        <v>32</v>
      </c>
      <c r="P40" s="15">
        <f t="shared" si="1"/>
        <v>59</v>
      </c>
    </row>
    <row r="41" spans="2:20" ht="23.1" customHeight="1" x14ac:dyDescent="0.25">
      <c r="B41" s="23" t="s">
        <v>68</v>
      </c>
      <c r="C41" s="50">
        <v>8</v>
      </c>
      <c r="D41" s="50">
        <v>0</v>
      </c>
      <c r="E41" s="50">
        <v>1</v>
      </c>
      <c r="F41" s="50">
        <v>3</v>
      </c>
      <c r="G41" s="50">
        <v>0</v>
      </c>
      <c r="H41" s="50">
        <v>0</v>
      </c>
      <c r="I41" s="50">
        <v>6</v>
      </c>
      <c r="J41" s="50">
        <v>0</v>
      </c>
      <c r="K41" s="50">
        <v>1</v>
      </c>
      <c r="L41" s="50">
        <v>0</v>
      </c>
      <c r="M41" s="50">
        <v>23</v>
      </c>
      <c r="N41" s="50">
        <v>0</v>
      </c>
      <c r="O41" s="15">
        <f t="shared" si="0"/>
        <v>19</v>
      </c>
      <c r="P41" s="15">
        <f t="shared" si="1"/>
        <v>42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6</v>
      </c>
      <c r="F42" s="50">
        <v>3</v>
      </c>
      <c r="G42" s="50">
        <v>0</v>
      </c>
      <c r="H42" s="50">
        <v>1</v>
      </c>
      <c r="I42" s="50">
        <v>9</v>
      </c>
      <c r="J42" s="50">
        <v>0</v>
      </c>
      <c r="K42" s="50">
        <v>0</v>
      </c>
      <c r="L42" s="50">
        <v>1</v>
      </c>
      <c r="M42" s="50">
        <v>24</v>
      </c>
      <c r="N42" s="50">
        <v>0</v>
      </c>
      <c r="O42" s="15">
        <f t="shared" si="0"/>
        <v>24</v>
      </c>
      <c r="P42" s="15">
        <f t="shared" si="1"/>
        <v>48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13</v>
      </c>
      <c r="P43" s="15">
        <f t="shared" si="1"/>
        <v>38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3</v>
      </c>
      <c r="F44" s="50">
        <v>4</v>
      </c>
      <c r="G44" s="50">
        <v>0</v>
      </c>
      <c r="H44" s="50">
        <v>0</v>
      </c>
      <c r="I44" s="50">
        <v>8</v>
      </c>
      <c r="J44" s="50">
        <v>2</v>
      </c>
      <c r="K44" s="50">
        <v>0</v>
      </c>
      <c r="L44" s="50">
        <v>1</v>
      </c>
      <c r="M44" s="50">
        <v>21</v>
      </c>
      <c r="N44" s="50">
        <v>0</v>
      </c>
      <c r="O44" s="15">
        <f t="shared" si="0"/>
        <v>25</v>
      </c>
      <c r="P44" s="15">
        <f t="shared" si="1"/>
        <v>46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4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29</v>
      </c>
      <c r="N45" s="50">
        <v>0</v>
      </c>
      <c r="O45" s="15">
        <f t="shared" si="0"/>
        <v>15</v>
      </c>
      <c r="P45" s="15">
        <f t="shared" si="1"/>
        <v>44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7</v>
      </c>
      <c r="F46" s="50">
        <v>6</v>
      </c>
      <c r="G46" s="50">
        <v>1</v>
      </c>
      <c r="H46" s="50">
        <v>0</v>
      </c>
      <c r="I46" s="50">
        <v>1</v>
      </c>
      <c r="J46" s="50">
        <v>1</v>
      </c>
      <c r="K46" s="50">
        <v>1</v>
      </c>
      <c r="L46" s="50">
        <v>0</v>
      </c>
      <c r="M46" s="50">
        <v>27</v>
      </c>
      <c r="N46" s="50">
        <v>0</v>
      </c>
      <c r="O46" s="15">
        <f t="shared" si="0"/>
        <v>18</v>
      </c>
      <c r="P46" s="15">
        <f t="shared" si="1"/>
        <v>45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2</v>
      </c>
      <c r="F47" s="50">
        <v>4</v>
      </c>
      <c r="G47" s="50">
        <v>1</v>
      </c>
      <c r="H47" s="50">
        <v>1</v>
      </c>
      <c r="I47" s="50">
        <v>1</v>
      </c>
      <c r="J47" s="50">
        <v>1</v>
      </c>
      <c r="K47" s="50">
        <v>0</v>
      </c>
      <c r="L47" s="50">
        <v>0</v>
      </c>
      <c r="M47" s="50">
        <v>24</v>
      </c>
      <c r="N47" s="50">
        <v>0</v>
      </c>
      <c r="O47" s="15">
        <f t="shared" si="0"/>
        <v>16</v>
      </c>
      <c r="P47" s="15">
        <f t="shared" si="1"/>
        <v>40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4</v>
      </c>
      <c r="F48" s="50">
        <v>4</v>
      </c>
      <c r="G48" s="50">
        <v>0</v>
      </c>
      <c r="H48" s="50">
        <v>0</v>
      </c>
      <c r="I48" s="50">
        <v>8</v>
      </c>
      <c r="J48" s="50">
        <v>1</v>
      </c>
      <c r="K48" s="50">
        <v>0</v>
      </c>
      <c r="L48" s="50">
        <v>0</v>
      </c>
      <c r="M48" s="50">
        <v>21</v>
      </c>
      <c r="N48" s="50">
        <v>0</v>
      </c>
      <c r="O48" s="15">
        <f t="shared" si="0"/>
        <v>23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4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23</v>
      </c>
      <c r="N49" s="50">
        <v>0</v>
      </c>
      <c r="O49" s="15">
        <f t="shared" si="0"/>
        <v>10</v>
      </c>
      <c r="P49" s="15">
        <f t="shared" si="1"/>
        <v>33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5</v>
      </c>
      <c r="F50" s="50">
        <v>6</v>
      </c>
      <c r="G50" s="50">
        <v>0</v>
      </c>
      <c r="H50" s="50">
        <v>1</v>
      </c>
      <c r="I50" s="50">
        <v>8</v>
      </c>
      <c r="J50" s="50">
        <v>1</v>
      </c>
      <c r="K50" s="50">
        <v>0</v>
      </c>
      <c r="L50" s="50">
        <v>3</v>
      </c>
      <c r="M50" s="50">
        <v>30</v>
      </c>
      <c r="N50" s="50">
        <v>0</v>
      </c>
      <c r="O50" s="15">
        <f t="shared" si="0"/>
        <v>30</v>
      </c>
      <c r="P50" s="15">
        <f t="shared" si="1"/>
        <v>60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6</v>
      </c>
      <c r="F51" s="50">
        <v>5</v>
      </c>
      <c r="G51" s="50">
        <v>0</v>
      </c>
      <c r="H51" s="50">
        <v>0</v>
      </c>
      <c r="I51" s="50">
        <v>5</v>
      </c>
      <c r="J51" s="50">
        <v>0</v>
      </c>
      <c r="K51" s="50">
        <v>2</v>
      </c>
      <c r="L51" s="50">
        <v>1</v>
      </c>
      <c r="M51" s="50">
        <v>28</v>
      </c>
      <c r="N51" s="50">
        <v>0</v>
      </c>
      <c r="O51" s="15">
        <f t="shared" si="0"/>
        <v>25</v>
      </c>
      <c r="P51" s="15">
        <f t="shared" si="1"/>
        <v>53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5</v>
      </c>
      <c r="F52" s="50">
        <v>5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16</v>
      </c>
      <c r="P52" s="15">
        <f t="shared" si="1"/>
        <v>40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8</v>
      </c>
      <c r="F53" s="50">
        <v>9</v>
      </c>
      <c r="G53" s="50">
        <v>0</v>
      </c>
      <c r="H53" s="50">
        <v>0</v>
      </c>
      <c r="I53" s="50">
        <v>11</v>
      </c>
      <c r="J53" s="50">
        <v>1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38</v>
      </c>
      <c r="P53" s="15">
        <f t="shared" si="1"/>
        <v>64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0</v>
      </c>
      <c r="E54" s="50">
        <v>5</v>
      </c>
      <c r="F54" s="50">
        <v>6</v>
      </c>
      <c r="G54" s="50">
        <v>0</v>
      </c>
      <c r="H54" s="50">
        <v>3</v>
      </c>
      <c r="I54" s="50">
        <v>7</v>
      </c>
      <c r="J54" s="50">
        <v>0</v>
      </c>
      <c r="K54" s="50">
        <v>0</v>
      </c>
      <c r="L54" s="50">
        <v>1</v>
      </c>
      <c r="M54" s="50">
        <v>27</v>
      </c>
      <c r="N54" s="50">
        <v>0</v>
      </c>
      <c r="O54" s="15">
        <f t="shared" si="0"/>
        <v>32</v>
      </c>
      <c r="P54" s="15">
        <f t="shared" si="1"/>
        <v>59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0</v>
      </c>
      <c r="E55" s="50">
        <v>9</v>
      </c>
      <c r="F55" s="50">
        <v>3</v>
      </c>
      <c r="G55" s="50">
        <v>0</v>
      </c>
      <c r="H55" s="50">
        <v>0</v>
      </c>
      <c r="I55" s="50">
        <v>9</v>
      </c>
      <c r="J55" s="50">
        <v>2</v>
      </c>
      <c r="K55" s="50">
        <v>0</v>
      </c>
      <c r="L55" s="50">
        <v>0</v>
      </c>
      <c r="M55" s="50">
        <v>24</v>
      </c>
      <c r="N55" s="50">
        <v>0</v>
      </c>
      <c r="O55" s="15">
        <f t="shared" si="0"/>
        <v>31</v>
      </c>
      <c r="P55" s="15">
        <f t="shared" si="1"/>
        <v>55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0</v>
      </c>
      <c r="E56" s="50">
        <v>6</v>
      </c>
      <c r="F56" s="50">
        <v>5</v>
      </c>
      <c r="G56" s="50">
        <v>0</v>
      </c>
      <c r="H56" s="50">
        <v>0</v>
      </c>
      <c r="I56" s="50">
        <v>6</v>
      </c>
      <c r="J56" s="50">
        <v>3</v>
      </c>
      <c r="K56" s="50">
        <v>2</v>
      </c>
      <c r="L56" s="50">
        <v>1</v>
      </c>
      <c r="M56" s="50">
        <v>24</v>
      </c>
      <c r="N56" s="50">
        <v>0</v>
      </c>
      <c r="O56" s="15">
        <f t="shared" si="0"/>
        <v>31</v>
      </c>
      <c r="P56" s="15">
        <f t="shared" si="1"/>
        <v>55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4</v>
      </c>
      <c r="G57" s="50">
        <v>0</v>
      </c>
      <c r="H57" s="50">
        <v>1</v>
      </c>
      <c r="I57" s="50">
        <v>4</v>
      </c>
      <c r="J57" s="50">
        <v>3</v>
      </c>
      <c r="K57" s="50">
        <v>1</v>
      </c>
      <c r="L57" s="50">
        <v>0</v>
      </c>
      <c r="M57" s="50">
        <v>22</v>
      </c>
      <c r="N57" s="50">
        <v>0</v>
      </c>
      <c r="O57" s="15">
        <f t="shared" si="0"/>
        <v>16</v>
      </c>
      <c r="P57" s="15">
        <f t="shared" si="1"/>
        <v>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233</v>
      </c>
      <c r="D58" s="16">
        <f t="shared" si="21"/>
        <v>0</v>
      </c>
      <c r="E58" s="16">
        <f t="shared" si="21"/>
        <v>260</v>
      </c>
      <c r="F58" s="16">
        <f t="shared" si="21"/>
        <v>217</v>
      </c>
      <c r="G58" s="16">
        <f t="shared" si="21"/>
        <v>15</v>
      </c>
      <c r="H58" s="16">
        <f t="shared" si="21"/>
        <v>8</v>
      </c>
      <c r="I58" s="16">
        <f t="shared" si="21"/>
        <v>188</v>
      </c>
      <c r="J58" s="16">
        <f t="shared" si="21"/>
        <v>19</v>
      </c>
      <c r="K58" s="16">
        <f t="shared" si="21"/>
        <v>26</v>
      </c>
      <c r="L58" s="16">
        <f t="shared" si="21"/>
        <v>10</v>
      </c>
      <c r="M58" s="16">
        <f t="shared" si="21"/>
        <v>1279</v>
      </c>
      <c r="N58" s="16">
        <f t="shared" si="21"/>
        <v>0</v>
      </c>
      <c r="O58" s="16">
        <f t="shared" si="21"/>
        <v>976</v>
      </c>
      <c r="P58" s="16">
        <f t="shared" si="21"/>
        <v>2255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0.1033259423503326</v>
      </c>
      <c r="D59" s="43">
        <f t="shared" si="22"/>
        <v>0</v>
      </c>
      <c r="E59" s="43">
        <f t="shared" si="22"/>
        <v>0.11529933481152993</v>
      </c>
      <c r="F59" s="43">
        <f t="shared" si="22"/>
        <v>9.6230598669623066E-2</v>
      </c>
      <c r="G59" s="43">
        <f t="shared" si="22"/>
        <v>6.6518847006651885E-3</v>
      </c>
      <c r="H59" s="43">
        <f t="shared" si="22"/>
        <v>3.5476718403547672E-3</v>
      </c>
      <c r="I59" s="43">
        <f t="shared" si="22"/>
        <v>8.3370288248337032E-2</v>
      </c>
      <c r="J59" s="43">
        <f t="shared" si="22"/>
        <v>8.4257206208425729E-3</v>
      </c>
      <c r="K59" s="43">
        <f t="shared" si="22"/>
        <v>1.1529933481152993E-2</v>
      </c>
      <c r="L59" s="43">
        <f t="shared" si="22"/>
        <v>4.434589800443459E-3</v>
      </c>
      <c r="M59" s="43">
        <f t="shared" si="22"/>
        <v>0.56718403547671836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0.23872950819672131</v>
      </c>
      <c r="D60" s="44">
        <f t="shared" ref="D60:N60" si="23">D58/$O$58</f>
        <v>0</v>
      </c>
      <c r="E60" s="44">
        <f t="shared" si="23"/>
        <v>0.26639344262295084</v>
      </c>
      <c r="F60" s="44">
        <f t="shared" si="23"/>
        <v>0.2223360655737705</v>
      </c>
      <c r="G60" s="44">
        <f t="shared" si="23"/>
        <v>1.5368852459016393E-2</v>
      </c>
      <c r="H60" s="44">
        <f t="shared" si="23"/>
        <v>8.1967213114754103E-3</v>
      </c>
      <c r="I60" s="44">
        <f t="shared" si="23"/>
        <v>0.19262295081967212</v>
      </c>
      <c r="J60" s="44">
        <f t="shared" si="23"/>
        <v>1.9467213114754099E-2</v>
      </c>
      <c r="K60" s="44">
        <f t="shared" si="23"/>
        <v>2.663934426229508E-2</v>
      </c>
      <c r="L60" s="44">
        <f t="shared" si="23"/>
        <v>1.0245901639344262E-2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74"/>
  <sheetViews>
    <sheetView view="pageBreakPreview" topLeftCell="A91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'21.8 Kangulumira-Kayunga'!G5:H5</f>
        <v xml:space="preserve"> </v>
      </c>
      <c r="H5" s="64"/>
      <c r="I5" s="14"/>
      <c r="J5" s="2" t="s">
        <v>5</v>
      </c>
      <c r="K5" s="63" t="str">
        <f>'21.8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'21.8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4</v>
      </c>
      <c r="F10" s="50">
        <v>3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2</v>
      </c>
      <c r="M10" s="50">
        <v>8</v>
      </c>
      <c r="N10" s="50">
        <v>0</v>
      </c>
      <c r="O10" s="15">
        <f t="shared" ref="O10:O73" si="0">SUM(C10:L10,N10)</f>
        <v>13</v>
      </c>
      <c r="P10" s="15">
        <f t="shared" ref="P10:P73" si="1">SUM(C10:N10)</f>
        <v>21</v>
      </c>
      <c r="R10" s="1" t="s">
        <v>6</v>
      </c>
      <c r="S10" s="17">
        <f t="shared" ref="S10:AF10" si="2">SUM(C10:C13)</f>
        <v>10</v>
      </c>
      <c r="T10" s="17">
        <f t="shared" si="2"/>
        <v>0</v>
      </c>
      <c r="U10" s="17">
        <f t="shared" si="2"/>
        <v>18</v>
      </c>
      <c r="V10" s="17">
        <f t="shared" si="2"/>
        <v>15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5</v>
      </c>
      <c r="AB10" s="17">
        <f t="shared" si="2"/>
        <v>4</v>
      </c>
      <c r="AC10" s="17">
        <f t="shared" si="2"/>
        <v>55</v>
      </c>
      <c r="AD10" s="17">
        <f t="shared" si="2"/>
        <v>0</v>
      </c>
      <c r="AE10" s="31">
        <f t="shared" si="2"/>
        <v>64</v>
      </c>
      <c r="AF10" s="31">
        <f t="shared" si="2"/>
        <v>119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3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12</v>
      </c>
      <c r="P11" s="15">
        <f t="shared" si="1"/>
        <v>25</v>
      </c>
      <c r="R11" s="1" t="s">
        <v>7</v>
      </c>
      <c r="S11" s="17">
        <f t="shared" ref="S11:AF11" si="3">SUM(C14:C17)</f>
        <v>12</v>
      </c>
      <c r="T11" s="17">
        <f t="shared" si="3"/>
        <v>0</v>
      </c>
      <c r="U11" s="17">
        <f t="shared" si="3"/>
        <v>19</v>
      </c>
      <c r="V11" s="17">
        <f t="shared" si="3"/>
        <v>12</v>
      </c>
      <c r="W11" s="17">
        <f t="shared" si="3"/>
        <v>0</v>
      </c>
      <c r="X11" s="17">
        <f t="shared" si="3"/>
        <v>2</v>
      </c>
      <c r="Y11" s="17">
        <f t="shared" si="3"/>
        <v>6</v>
      </c>
      <c r="Z11" s="17">
        <f t="shared" si="3"/>
        <v>2</v>
      </c>
      <c r="AA11" s="17">
        <f t="shared" si="3"/>
        <v>2</v>
      </c>
      <c r="AB11" s="17">
        <f t="shared" si="3"/>
        <v>1</v>
      </c>
      <c r="AC11" s="17">
        <f t="shared" si="3"/>
        <v>83</v>
      </c>
      <c r="AD11" s="17">
        <f t="shared" si="3"/>
        <v>0</v>
      </c>
      <c r="AE11" s="31">
        <f t="shared" si="3"/>
        <v>56</v>
      </c>
      <c r="AF11" s="31">
        <f t="shared" si="3"/>
        <v>139</v>
      </c>
    </row>
    <row r="12" spans="2:32" ht="23.1" customHeight="1" x14ac:dyDescent="0.25">
      <c r="B12" s="45" t="s">
        <v>39</v>
      </c>
      <c r="C12" s="50">
        <v>4</v>
      </c>
      <c r="D12" s="50">
        <v>0</v>
      </c>
      <c r="E12" s="50">
        <v>6</v>
      </c>
      <c r="F12" s="50">
        <v>4</v>
      </c>
      <c r="G12" s="50">
        <v>1</v>
      </c>
      <c r="H12" s="50">
        <v>0</v>
      </c>
      <c r="I12" s="50">
        <v>3</v>
      </c>
      <c r="J12" s="50">
        <v>3</v>
      </c>
      <c r="K12" s="50">
        <v>4</v>
      </c>
      <c r="L12" s="50">
        <v>1</v>
      </c>
      <c r="M12" s="50">
        <v>14</v>
      </c>
      <c r="N12" s="50">
        <v>0</v>
      </c>
      <c r="O12" s="15">
        <f t="shared" si="0"/>
        <v>26</v>
      </c>
      <c r="P12" s="15">
        <f t="shared" si="1"/>
        <v>40</v>
      </c>
      <c r="R12" s="1" t="s">
        <v>8</v>
      </c>
      <c r="S12" s="17">
        <f t="shared" ref="S12:AF12" si="4">SUM(C18:C21)</f>
        <v>9</v>
      </c>
      <c r="T12" s="17">
        <f t="shared" si="4"/>
        <v>0</v>
      </c>
      <c r="U12" s="17">
        <f t="shared" si="4"/>
        <v>27</v>
      </c>
      <c r="V12" s="17">
        <f t="shared" si="4"/>
        <v>12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97</v>
      </c>
      <c r="AD12" s="17">
        <f t="shared" si="4"/>
        <v>0</v>
      </c>
      <c r="AE12" s="31">
        <f t="shared" si="4"/>
        <v>60</v>
      </c>
      <c r="AF12" s="31">
        <f t="shared" si="4"/>
        <v>157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5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1</v>
      </c>
      <c r="M13" s="50">
        <v>20</v>
      </c>
      <c r="N13" s="50">
        <v>0</v>
      </c>
      <c r="O13" s="15">
        <f t="shared" si="0"/>
        <v>13</v>
      </c>
      <c r="P13" s="15">
        <f t="shared" si="1"/>
        <v>33</v>
      </c>
      <c r="R13" s="1" t="s">
        <v>9</v>
      </c>
      <c r="S13" s="17">
        <f t="shared" ref="S13:AF13" si="5">SUM(C22:C25)</f>
        <v>11</v>
      </c>
      <c r="T13" s="17">
        <f t="shared" si="5"/>
        <v>0</v>
      </c>
      <c r="U13" s="17">
        <f t="shared" si="5"/>
        <v>16</v>
      </c>
      <c r="V13" s="17">
        <f t="shared" si="5"/>
        <v>19</v>
      </c>
      <c r="W13" s="17">
        <f t="shared" si="5"/>
        <v>2</v>
      </c>
      <c r="X13" s="17">
        <f t="shared" si="5"/>
        <v>0</v>
      </c>
      <c r="Y13" s="17">
        <f t="shared" si="5"/>
        <v>16</v>
      </c>
      <c r="Z13" s="17">
        <f t="shared" si="5"/>
        <v>0</v>
      </c>
      <c r="AA13" s="17">
        <f t="shared" si="5"/>
        <v>3</v>
      </c>
      <c r="AB13" s="17">
        <f t="shared" si="5"/>
        <v>1</v>
      </c>
      <c r="AC13" s="17">
        <f t="shared" si="5"/>
        <v>104</v>
      </c>
      <c r="AD13" s="17">
        <f t="shared" si="5"/>
        <v>0</v>
      </c>
      <c r="AE13" s="31">
        <f t="shared" si="5"/>
        <v>68</v>
      </c>
      <c r="AF13" s="31">
        <f t="shared" si="5"/>
        <v>172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7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1</v>
      </c>
      <c r="M14" s="50">
        <v>20</v>
      </c>
      <c r="N14" s="50">
        <v>0</v>
      </c>
      <c r="O14" s="15">
        <f t="shared" si="0"/>
        <v>13</v>
      </c>
      <c r="P14" s="15">
        <f t="shared" si="1"/>
        <v>33</v>
      </c>
      <c r="R14" s="1" t="s">
        <v>10</v>
      </c>
      <c r="S14" s="17">
        <f t="shared" ref="S14:AF14" si="6">SUM(C26:C29)</f>
        <v>24</v>
      </c>
      <c r="T14" s="17">
        <f t="shared" si="6"/>
        <v>0</v>
      </c>
      <c r="U14" s="17">
        <f t="shared" si="6"/>
        <v>13</v>
      </c>
      <c r="V14" s="17">
        <f t="shared" si="6"/>
        <v>21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1</v>
      </c>
      <c r="AA14" s="17">
        <f t="shared" si="6"/>
        <v>4</v>
      </c>
      <c r="AB14" s="17">
        <f t="shared" si="6"/>
        <v>2</v>
      </c>
      <c r="AC14" s="17">
        <f t="shared" si="6"/>
        <v>97</v>
      </c>
      <c r="AD14" s="17">
        <f t="shared" si="6"/>
        <v>0</v>
      </c>
      <c r="AE14" s="31">
        <f t="shared" si="6"/>
        <v>79</v>
      </c>
      <c r="AF14" s="31">
        <f t="shared" si="6"/>
        <v>176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3</v>
      </c>
      <c r="F15" s="50">
        <v>2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8</v>
      </c>
      <c r="P15" s="15">
        <f t="shared" si="1"/>
        <v>32</v>
      </c>
      <c r="R15" s="1" t="s">
        <v>11</v>
      </c>
      <c r="S15" s="17">
        <f t="shared" ref="S15:AF15" si="7">SUM(C30:C33)</f>
        <v>19</v>
      </c>
      <c r="T15" s="17">
        <f t="shared" si="7"/>
        <v>0</v>
      </c>
      <c r="U15" s="17">
        <f t="shared" si="7"/>
        <v>15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1</v>
      </c>
      <c r="AA15" s="17">
        <f t="shared" si="7"/>
        <v>1</v>
      </c>
      <c r="AB15" s="17">
        <f t="shared" si="7"/>
        <v>1</v>
      </c>
      <c r="AC15" s="17">
        <f t="shared" si="7"/>
        <v>99</v>
      </c>
      <c r="AD15" s="17">
        <f t="shared" si="7"/>
        <v>0</v>
      </c>
      <c r="AE15" s="31">
        <f t="shared" si="7"/>
        <v>63</v>
      </c>
      <c r="AF15" s="31">
        <f t="shared" si="7"/>
        <v>162</v>
      </c>
    </row>
    <row r="16" spans="2:32" ht="23.1" customHeight="1" x14ac:dyDescent="0.25">
      <c r="B16" s="45" t="s">
        <v>43</v>
      </c>
      <c r="C16" s="50">
        <v>4</v>
      </c>
      <c r="D16" s="50">
        <v>0</v>
      </c>
      <c r="E16" s="50">
        <v>4</v>
      </c>
      <c r="F16" s="50">
        <v>5</v>
      </c>
      <c r="G16" s="50">
        <v>0</v>
      </c>
      <c r="H16" s="50">
        <v>0</v>
      </c>
      <c r="I16" s="50">
        <v>3</v>
      </c>
      <c r="J16" s="50">
        <v>2</v>
      </c>
      <c r="K16" s="50">
        <v>2</v>
      </c>
      <c r="L16" s="50">
        <v>0</v>
      </c>
      <c r="M16" s="50">
        <v>17</v>
      </c>
      <c r="N16" s="50">
        <v>0</v>
      </c>
      <c r="O16" s="15">
        <f t="shared" si="0"/>
        <v>20</v>
      </c>
      <c r="P16" s="15">
        <f t="shared" si="1"/>
        <v>37</v>
      </c>
      <c r="R16" s="1" t="s">
        <v>12</v>
      </c>
      <c r="S16" s="17">
        <f t="shared" ref="S16:AF16" si="8">SUM(C34:C37)</f>
        <v>15</v>
      </c>
      <c r="T16" s="17">
        <f t="shared" si="8"/>
        <v>0</v>
      </c>
      <c r="U16" s="17">
        <f t="shared" si="8"/>
        <v>14</v>
      </c>
      <c r="V16" s="17">
        <f t="shared" si="8"/>
        <v>17</v>
      </c>
      <c r="W16" s="17">
        <f t="shared" si="8"/>
        <v>1</v>
      </c>
      <c r="X16" s="17">
        <f t="shared" si="8"/>
        <v>1</v>
      </c>
      <c r="Y16" s="17">
        <f t="shared" si="8"/>
        <v>14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96</v>
      </c>
      <c r="AD16" s="17">
        <f t="shared" si="8"/>
        <v>0</v>
      </c>
      <c r="AE16" s="31">
        <f t="shared" si="8"/>
        <v>66</v>
      </c>
      <c r="AF16" s="31">
        <f t="shared" si="8"/>
        <v>162</v>
      </c>
    </row>
    <row r="17" spans="2:32" ht="23.1" customHeight="1" x14ac:dyDescent="0.25">
      <c r="B17" s="45" t="s">
        <v>44</v>
      </c>
      <c r="C17" s="50">
        <v>4</v>
      </c>
      <c r="D17" s="50">
        <v>0</v>
      </c>
      <c r="E17" s="50">
        <v>5</v>
      </c>
      <c r="F17" s="50">
        <v>3</v>
      </c>
      <c r="G17" s="50">
        <v>0</v>
      </c>
      <c r="H17" s="50">
        <v>1</v>
      </c>
      <c r="I17" s="50">
        <v>2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15</v>
      </c>
      <c r="P17" s="15">
        <f t="shared" si="1"/>
        <v>37</v>
      </c>
      <c r="R17" s="1" t="s">
        <v>13</v>
      </c>
      <c r="S17" s="17">
        <f t="shared" ref="S17:AF17" si="9">SUM(C38:C41)</f>
        <v>24</v>
      </c>
      <c r="T17" s="17">
        <f t="shared" si="9"/>
        <v>0</v>
      </c>
      <c r="U17" s="17">
        <f t="shared" si="9"/>
        <v>25</v>
      </c>
      <c r="V17" s="17">
        <f t="shared" si="9"/>
        <v>16</v>
      </c>
      <c r="W17" s="17">
        <f t="shared" si="9"/>
        <v>1</v>
      </c>
      <c r="X17" s="17">
        <f t="shared" si="9"/>
        <v>0</v>
      </c>
      <c r="Y17" s="17">
        <f t="shared" si="9"/>
        <v>20</v>
      </c>
      <c r="Z17" s="17">
        <f t="shared" si="9"/>
        <v>2</v>
      </c>
      <c r="AA17" s="17">
        <f t="shared" si="9"/>
        <v>3</v>
      </c>
      <c r="AB17" s="17">
        <f t="shared" si="9"/>
        <v>1</v>
      </c>
      <c r="AC17" s="17">
        <f t="shared" si="9"/>
        <v>98</v>
      </c>
      <c r="AD17" s="17">
        <f t="shared" si="9"/>
        <v>0</v>
      </c>
      <c r="AE17" s="31">
        <f t="shared" si="9"/>
        <v>92</v>
      </c>
      <c r="AF17" s="31">
        <f t="shared" si="9"/>
        <v>190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7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29</v>
      </c>
      <c r="N18" s="50">
        <v>0</v>
      </c>
      <c r="O18" s="15">
        <f t="shared" si="0"/>
        <v>14</v>
      </c>
      <c r="P18" s="15">
        <f t="shared" si="1"/>
        <v>43</v>
      </c>
      <c r="R18" s="1" t="s">
        <v>14</v>
      </c>
      <c r="S18" s="17">
        <f t="shared" ref="S18:AF18" si="10">SUM(C42:C45)</f>
        <v>28</v>
      </c>
      <c r="T18" s="17">
        <f t="shared" si="10"/>
        <v>0</v>
      </c>
      <c r="U18" s="17">
        <f t="shared" si="10"/>
        <v>37</v>
      </c>
      <c r="V18" s="17">
        <f t="shared" si="10"/>
        <v>10</v>
      </c>
      <c r="W18" s="17">
        <f t="shared" si="10"/>
        <v>2</v>
      </c>
      <c r="X18" s="17">
        <f t="shared" si="10"/>
        <v>0</v>
      </c>
      <c r="Y18" s="17">
        <f t="shared" si="10"/>
        <v>23</v>
      </c>
      <c r="Z18" s="17">
        <f t="shared" si="10"/>
        <v>4</v>
      </c>
      <c r="AA18" s="17">
        <f t="shared" si="10"/>
        <v>3</v>
      </c>
      <c r="AB18" s="17">
        <f t="shared" si="10"/>
        <v>1</v>
      </c>
      <c r="AC18" s="17">
        <f t="shared" si="10"/>
        <v>93</v>
      </c>
      <c r="AD18" s="17">
        <f t="shared" si="10"/>
        <v>0</v>
      </c>
      <c r="AE18" s="31">
        <f t="shared" si="10"/>
        <v>108</v>
      </c>
      <c r="AF18" s="31">
        <f t="shared" si="10"/>
        <v>201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7</v>
      </c>
      <c r="F19" s="50">
        <v>2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14</v>
      </c>
      <c r="P19" s="15">
        <f t="shared" si="1"/>
        <v>34</v>
      </c>
      <c r="R19" s="1" t="s">
        <v>15</v>
      </c>
      <c r="S19" s="17">
        <f t="shared" ref="S19:AF19" si="11">SUM(C46:C49)</f>
        <v>32</v>
      </c>
      <c r="T19" s="17">
        <f t="shared" si="11"/>
        <v>0</v>
      </c>
      <c r="U19" s="17">
        <f t="shared" si="11"/>
        <v>32</v>
      </c>
      <c r="V19" s="17">
        <f t="shared" si="11"/>
        <v>13</v>
      </c>
      <c r="W19" s="17">
        <f t="shared" si="11"/>
        <v>2</v>
      </c>
      <c r="X19" s="17">
        <f t="shared" si="11"/>
        <v>0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112</v>
      </c>
      <c r="AD19" s="17">
        <f t="shared" si="11"/>
        <v>0</v>
      </c>
      <c r="AE19" s="31">
        <f t="shared" si="11"/>
        <v>92</v>
      </c>
      <c r="AF19" s="31">
        <f t="shared" si="11"/>
        <v>204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4</v>
      </c>
      <c r="F20" s="50">
        <v>3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23</v>
      </c>
      <c r="N20" s="50">
        <v>0</v>
      </c>
      <c r="O20" s="15">
        <f t="shared" si="0"/>
        <v>12</v>
      </c>
      <c r="P20" s="15">
        <f t="shared" si="1"/>
        <v>35</v>
      </c>
      <c r="R20" s="1" t="s">
        <v>16</v>
      </c>
      <c r="S20" s="17">
        <f t="shared" ref="S20:AF20" si="12">SUM(C50:C53)</f>
        <v>39</v>
      </c>
      <c r="T20" s="17">
        <f t="shared" si="12"/>
        <v>0</v>
      </c>
      <c r="U20" s="17">
        <f t="shared" si="12"/>
        <v>29</v>
      </c>
      <c r="V20" s="17">
        <f t="shared" si="12"/>
        <v>19</v>
      </c>
      <c r="W20" s="17">
        <f t="shared" si="12"/>
        <v>1</v>
      </c>
      <c r="X20" s="17">
        <f t="shared" si="12"/>
        <v>0</v>
      </c>
      <c r="Y20" s="17">
        <f t="shared" si="12"/>
        <v>21</v>
      </c>
      <c r="Z20" s="17">
        <f t="shared" si="12"/>
        <v>8</v>
      </c>
      <c r="AA20" s="17">
        <f t="shared" si="12"/>
        <v>1</v>
      </c>
      <c r="AB20" s="17">
        <f t="shared" si="12"/>
        <v>2</v>
      </c>
      <c r="AC20" s="17">
        <f t="shared" si="12"/>
        <v>131</v>
      </c>
      <c r="AD20" s="17">
        <f t="shared" si="12"/>
        <v>0</v>
      </c>
      <c r="AE20" s="31">
        <f t="shared" si="12"/>
        <v>120</v>
      </c>
      <c r="AF20" s="31">
        <f t="shared" si="12"/>
        <v>251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9</v>
      </c>
      <c r="F21" s="50">
        <v>2</v>
      </c>
      <c r="G21" s="50">
        <v>1</v>
      </c>
      <c r="H21" s="50">
        <v>0</v>
      </c>
      <c r="I21" s="50">
        <v>5</v>
      </c>
      <c r="J21" s="50">
        <v>0</v>
      </c>
      <c r="K21" s="50">
        <v>1</v>
      </c>
      <c r="L21" s="50">
        <v>0</v>
      </c>
      <c r="M21" s="50">
        <v>25</v>
      </c>
      <c r="N21" s="50">
        <v>0</v>
      </c>
      <c r="O21" s="15">
        <f t="shared" si="0"/>
        <v>20</v>
      </c>
      <c r="P21" s="15">
        <f t="shared" si="1"/>
        <v>45</v>
      </c>
      <c r="R21" s="36" t="s">
        <v>20</v>
      </c>
      <c r="S21" s="34">
        <f t="shared" ref="S21:AF21" si="13">SUM(C54:C57)</f>
        <v>22</v>
      </c>
      <c r="T21" s="17">
        <f t="shared" si="13"/>
        <v>0</v>
      </c>
      <c r="U21" s="17">
        <f t="shared" si="13"/>
        <v>45</v>
      </c>
      <c r="V21" s="17">
        <f t="shared" si="13"/>
        <v>24</v>
      </c>
      <c r="W21" s="17">
        <f t="shared" si="13"/>
        <v>3</v>
      </c>
      <c r="X21" s="17">
        <f t="shared" si="13"/>
        <v>0</v>
      </c>
      <c r="Y21" s="17">
        <f t="shared" si="13"/>
        <v>16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128</v>
      </c>
      <c r="AD21" s="17">
        <f t="shared" si="13"/>
        <v>0</v>
      </c>
      <c r="AE21" s="31">
        <f t="shared" si="13"/>
        <v>112</v>
      </c>
      <c r="AF21" s="31">
        <f t="shared" si="13"/>
        <v>240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3</v>
      </c>
      <c r="F22" s="50">
        <v>2</v>
      </c>
      <c r="G22" s="50">
        <v>0</v>
      </c>
      <c r="H22" s="50">
        <v>0</v>
      </c>
      <c r="I22" s="50">
        <v>3</v>
      </c>
      <c r="J22" s="50">
        <v>0</v>
      </c>
      <c r="K22" s="50">
        <v>2</v>
      </c>
      <c r="L22" s="50">
        <v>1</v>
      </c>
      <c r="M22" s="50">
        <v>20</v>
      </c>
      <c r="N22" s="50">
        <v>0</v>
      </c>
      <c r="O22" s="15">
        <f t="shared" si="0"/>
        <v>13</v>
      </c>
      <c r="P22" s="15">
        <f t="shared" si="1"/>
        <v>33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3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16</v>
      </c>
      <c r="AD22" s="34">
        <f t="shared" si="14"/>
        <v>0</v>
      </c>
      <c r="AE22" s="31">
        <f t="shared" si="14"/>
        <v>8</v>
      </c>
      <c r="AF22" s="31">
        <f t="shared" si="14"/>
        <v>24</v>
      </c>
    </row>
    <row r="23" spans="2:32" ht="23.1" customHeight="1" x14ac:dyDescent="0.25">
      <c r="B23" s="45" t="s">
        <v>50</v>
      </c>
      <c r="C23" s="50">
        <v>5</v>
      </c>
      <c r="D23" s="50">
        <v>0</v>
      </c>
      <c r="E23" s="50">
        <v>6</v>
      </c>
      <c r="F23" s="50">
        <v>5</v>
      </c>
      <c r="G23" s="50">
        <v>0</v>
      </c>
      <c r="H23" s="50">
        <v>0</v>
      </c>
      <c r="I23" s="50">
        <v>4</v>
      </c>
      <c r="J23" s="50">
        <v>0</v>
      </c>
      <c r="K23" s="50">
        <v>1</v>
      </c>
      <c r="L23" s="50">
        <v>0</v>
      </c>
      <c r="M23" s="50">
        <v>33</v>
      </c>
      <c r="N23" s="50">
        <v>0</v>
      </c>
      <c r="O23" s="15">
        <f t="shared" si="0"/>
        <v>21</v>
      </c>
      <c r="P23" s="15">
        <f t="shared" si="1"/>
        <v>54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4</v>
      </c>
      <c r="F24" s="50">
        <v>5</v>
      </c>
      <c r="G24" s="50">
        <v>2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19</v>
      </c>
      <c r="P24" s="15">
        <f t="shared" si="1"/>
        <v>42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3</v>
      </c>
      <c r="F25" s="50">
        <v>7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28</v>
      </c>
      <c r="N25" s="50">
        <v>0</v>
      </c>
      <c r="O25" s="15">
        <f t="shared" si="0"/>
        <v>15</v>
      </c>
      <c r="P25" s="15">
        <f t="shared" si="1"/>
        <v>43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7</v>
      </c>
      <c r="D26" s="50">
        <v>0</v>
      </c>
      <c r="E26" s="50">
        <v>1</v>
      </c>
      <c r="F26" s="50">
        <v>6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1</v>
      </c>
      <c r="M26" s="50">
        <v>26</v>
      </c>
      <c r="N26" s="50">
        <v>0</v>
      </c>
      <c r="O26" s="15">
        <f t="shared" si="0"/>
        <v>17</v>
      </c>
      <c r="P26" s="15">
        <f t="shared" si="1"/>
        <v>43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8</v>
      </c>
      <c r="D27" s="50">
        <v>0</v>
      </c>
      <c r="E27" s="50">
        <v>5</v>
      </c>
      <c r="F27" s="50">
        <v>5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21</v>
      </c>
      <c r="P27" s="15">
        <f t="shared" si="1"/>
        <v>45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6</v>
      </c>
      <c r="D28" s="50">
        <v>0</v>
      </c>
      <c r="E28" s="50">
        <v>3</v>
      </c>
      <c r="F28" s="50">
        <v>4</v>
      </c>
      <c r="G28" s="50">
        <v>0</v>
      </c>
      <c r="H28" s="50">
        <v>0</v>
      </c>
      <c r="I28" s="50">
        <v>8</v>
      </c>
      <c r="J28" s="50">
        <v>1</v>
      </c>
      <c r="K28" s="50">
        <v>2</v>
      </c>
      <c r="L28" s="50">
        <v>0</v>
      </c>
      <c r="M28" s="50">
        <v>25</v>
      </c>
      <c r="N28" s="50">
        <v>0</v>
      </c>
      <c r="O28" s="15">
        <f t="shared" si="0"/>
        <v>24</v>
      </c>
      <c r="P28" s="15">
        <f t="shared" si="1"/>
        <v>49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4</v>
      </c>
      <c r="F29" s="50">
        <v>6</v>
      </c>
      <c r="G29" s="50">
        <v>0</v>
      </c>
      <c r="H29" s="50">
        <v>0</v>
      </c>
      <c r="I29" s="50">
        <v>2</v>
      </c>
      <c r="J29" s="50">
        <v>0</v>
      </c>
      <c r="K29" s="50">
        <v>1</v>
      </c>
      <c r="L29" s="50">
        <v>1</v>
      </c>
      <c r="M29" s="50">
        <v>22</v>
      </c>
      <c r="N29" s="50">
        <v>0</v>
      </c>
      <c r="O29" s="15">
        <f t="shared" si="0"/>
        <v>17</v>
      </c>
      <c r="P29" s="15">
        <f t="shared" si="1"/>
        <v>39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3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1</v>
      </c>
      <c r="M30" s="50">
        <v>21</v>
      </c>
      <c r="N30" s="50">
        <v>0</v>
      </c>
      <c r="O30" s="15">
        <f t="shared" si="0"/>
        <v>12</v>
      </c>
      <c r="P30" s="15">
        <f t="shared" si="1"/>
        <v>33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11</v>
      </c>
      <c r="D31" s="50">
        <v>0</v>
      </c>
      <c r="E31" s="50">
        <v>3</v>
      </c>
      <c r="F31" s="50">
        <v>4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5">
        <f t="shared" si="0"/>
        <v>21</v>
      </c>
      <c r="P31" s="15">
        <f t="shared" si="1"/>
        <v>43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4</v>
      </c>
      <c r="F32" s="50">
        <v>6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16</v>
      </c>
      <c r="P32" s="15">
        <f t="shared" si="1"/>
        <v>39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5</v>
      </c>
      <c r="F33" s="50">
        <v>4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33</v>
      </c>
      <c r="N33" s="50">
        <v>0</v>
      </c>
      <c r="O33" s="15">
        <f t="shared" si="0"/>
        <v>14</v>
      </c>
      <c r="P33" s="15">
        <f t="shared" si="1"/>
        <v>47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4</v>
      </c>
      <c r="D34" s="50">
        <v>0</v>
      </c>
      <c r="E34" s="50">
        <v>2</v>
      </c>
      <c r="F34" s="50">
        <v>7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31</v>
      </c>
      <c r="N34" s="50">
        <v>0</v>
      </c>
      <c r="O34" s="15">
        <f t="shared" si="0"/>
        <v>17</v>
      </c>
      <c r="P34" s="15">
        <f t="shared" si="1"/>
        <v>48</v>
      </c>
      <c r="R34" s="38" t="s">
        <v>90</v>
      </c>
      <c r="S34" s="39">
        <f t="shared" ref="S34:AF34" si="26">MAX(S10:S12)</f>
        <v>12</v>
      </c>
      <c r="T34" s="39">
        <f t="shared" si="26"/>
        <v>0</v>
      </c>
      <c r="U34" s="39">
        <f t="shared" si="26"/>
        <v>27</v>
      </c>
      <c r="V34" s="39">
        <f t="shared" si="26"/>
        <v>15</v>
      </c>
      <c r="W34" s="39">
        <f t="shared" si="26"/>
        <v>1</v>
      </c>
      <c r="X34" s="39">
        <f t="shared" si="26"/>
        <v>2</v>
      </c>
      <c r="Y34" s="39">
        <f t="shared" si="26"/>
        <v>8</v>
      </c>
      <c r="Z34" s="39">
        <f t="shared" si="26"/>
        <v>4</v>
      </c>
      <c r="AA34" s="39">
        <f t="shared" si="26"/>
        <v>5</v>
      </c>
      <c r="AB34" s="39">
        <f t="shared" si="26"/>
        <v>4</v>
      </c>
      <c r="AC34" s="39">
        <f t="shared" si="26"/>
        <v>97</v>
      </c>
      <c r="AD34" s="39">
        <f t="shared" si="26"/>
        <v>0</v>
      </c>
      <c r="AE34" s="40">
        <f t="shared" si="26"/>
        <v>64</v>
      </c>
      <c r="AF34" s="40">
        <f t="shared" si="26"/>
        <v>157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4</v>
      </c>
      <c r="F35" s="50">
        <v>3</v>
      </c>
      <c r="G35" s="50">
        <v>1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16</v>
      </c>
      <c r="N35" s="50">
        <v>0</v>
      </c>
      <c r="O35" s="15">
        <f t="shared" si="0"/>
        <v>18</v>
      </c>
      <c r="P35" s="15">
        <f t="shared" si="1"/>
        <v>34</v>
      </c>
      <c r="R35" s="38" t="s">
        <v>91</v>
      </c>
      <c r="S35" s="39">
        <f t="shared" ref="S35:AF35" si="27">MAX(S13:S18)</f>
        <v>28</v>
      </c>
      <c r="T35" s="39">
        <f t="shared" si="27"/>
        <v>0</v>
      </c>
      <c r="U35" s="39">
        <f t="shared" si="27"/>
        <v>37</v>
      </c>
      <c r="V35" s="39">
        <f t="shared" si="27"/>
        <v>21</v>
      </c>
      <c r="W35" s="39">
        <f t="shared" si="27"/>
        <v>2</v>
      </c>
      <c r="X35" s="39">
        <f t="shared" si="27"/>
        <v>1</v>
      </c>
      <c r="Y35" s="39">
        <f t="shared" si="27"/>
        <v>23</v>
      </c>
      <c r="Z35" s="39">
        <f t="shared" si="27"/>
        <v>4</v>
      </c>
      <c r="AA35" s="39">
        <f t="shared" si="27"/>
        <v>4</v>
      </c>
      <c r="AB35" s="39">
        <f t="shared" si="27"/>
        <v>2</v>
      </c>
      <c r="AC35" s="39">
        <f t="shared" si="27"/>
        <v>104</v>
      </c>
      <c r="AD35" s="39">
        <f t="shared" si="27"/>
        <v>0</v>
      </c>
      <c r="AE35" s="40">
        <f t="shared" si="27"/>
        <v>108</v>
      </c>
      <c r="AF35" s="40">
        <f t="shared" si="27"/>
        <v>201</v>
      </c>
    </row>
    <row r="36" spans="2:32" ht="23.1" customHeight="1" x14ac:dyDescent="0.25">
      <c r="B36" s="46" t="s">
        <v>63</v>
      </c>
      <c r="C36" s="50">
        <v>4</v>
      </c>
      <c r="D36" s="50">
        <v>0</v>
      </c>
      <c r="E36" s="50">
        <v>4</v>
      </c>
      <c r="F36" s="50">
        <v>4</v>
      </c>
      <c r="G36" s="50">
        <v>0</v>
      </c>
      <c r="H36" s="50">
        <v>0</v>
      </c>
      <c r="I36" s="50">
        <v>3</v>
      </c>
      <c r="J36" s="50">
        <v>1</v>
      </c>
      <c r="K36" s="50">
        <v>1</v>
      </c>
      <c r="L36" s="50">
        <v>0</v>
      </c>
      <c r="M36" s="50">
        <v>14</v>
      </c>
      <c r="N36" s="50">
        <v>0</v>
      </c>
      <c r="O36" s="15">
        <f t="shared" si="0"/>
        <v>17</v>
      </c>
      <c r="P36" s="15">
        <f t="shared" si="1"/>
        <v>31</v>
      </c>
      <c r="R36" s="38" t="s">
        <v>92</v>
      </c>
      <c r="S36" s="39">
        <f t="shared" ref="S36:AF36" si="28">MAX(S19:S21)</f>
        <v>39</v>
      </c>
      <c r="T36" s="39">
        <f t="shared" si="28"/>
        <v>0</v>
      </c>
      <c r="U36" s="39">
        <f t="shared" si="28"/>
        <v>45</v>
      </c>
      <c r="V36" s="39">
        <f t="shared" si="28"/>
        <v>24</v>
      </c>
      <c r="W36" s="39">
        <f t="shared" si="28"/>
        <v>3</v>
      </c>
      <c r="X36" s="39">
        <f t="shared" si="28"/>
        <v>0</v>
      </c>
      <c r="Y36" s="39">
        <f t="shared" si="28"/>
        <v>21</v>
      </c>
      <c r="Z36" s="39">
        <f t="shared" si="28"/>
        <v>8</v>
      </c>
      <c r="AA36" s="39">
        <f t="shared" si="28"/>
        <v>1</v>
      </c>
      <c r="AB36" s="39">
        <f t="shared" si="28"/>
        <v>2</v>
      </c>
      <c r="AC36" s="39">
        <f t="shared" si="28"/>
        <v>131</v>
      </c>
      <c r="AD36" s="39">
        <f t="shared" si="28"/>
        <v>0</v>
      </c>
      <c r="AE36" s="40">
        <f t="shared" si="28"/>
        <v>120</v>
      </c>
      <c r="AF36" s="40">
        <f t="shared" si="28"/>
        <v>251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4</v>
      </c>
      <c r="F37" s="50">
        <v>3</v>
      </c>
      <c r="G37" s="50">
        <v>0</v>
      </c>
      <c r="H37" s="50">
        <v>1</v>
      </c>
      <c r="I37" s="50">
        <v>3</v>
      </c>
      <c r="J37" s="50">
        <v>0</v>
      </c>
      <c r="K37" s="50">
        <v>0</v>
      </c>
      <c r="L37" s="50">
        <v>0</v>
      </c>
      <c r="M37" s="50">
        <v>35</v>
      </c>
      <c r="N37" s="50">
        <v>0</v>
      </c>
      <c r="O37" s="15">
        <f t="shared" si="0"/>
        <v>14</v>
      </c>
      <c r="P37" s="15">
        <f t="shared" si="1"/>
        <v>49</v>
      </c>
      <c r="R37" s="37" t="s">
        <v>85</v>
      </c>
      <c r="S37" s="35">
        <f t="shared" ref="S37:AF37" si="29">SUM(S10:S12)</f>
        <v>31</v>
      </c>
      <c r="T37" s="16">
        <f t="shared" si="29"/>
        <v>0</v>
      </c>
      <c r="U37" s="16">
        <f t="shared" si="29"/>
        <v>64</v>
      </c>
      <c r="V37" s="16">
        <f t="shared" si="29"/>
        <v>39</v>
      </c>
      <c r="W37" s="16">
        <f t="shared" si="29"/>
        <v>2</v>
      </c>
      <c r="X37" s="16">
        <f t="shared" si="29"/>
        <v>2</v>
      </c>
      <c r="Y37" s="16">
        <f t="shared" si="29"/>
        <v>21</v>
      </c>
      <c r="Z37" s="16">
        <f t="shared" si="29"/>
        <v>8</v>
      </c>
      <c r="AA37" s="16">
        <f t="shared" si="29"/>
        <v>8</v>
      </c>
      <c r="AB37" s="16">
        <f t="shared" si="29"/>
        <v>5</v>
      </c>
      <c r="AC37" s="16">
        <f t="shared" si="29"/>
        <v>235</v>
      </c>
      <c r="AD37" s="16">
        <f t="shared" si="29"/>
        <v>0</v>
      </c>
      <c r="AE37" s="32">
        <f t="shared" si="29"/>
        <v>180</v>
      </c>
      <c r="AF37" s="32">
        <f t="shared" si="29"/>
        <v>415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6</v>
      </c>
      <c r="F38" s="50">
        <v>3</v>
      </c>
      <c r="G38" s="50">
        <v>1</v>
      </c>
      <c r="H38" s="50">
        <v>0</v>
      </c>
      <c r="I38" s="50">
        <v>4</v>
      </c>
      <c r="J38" s="50">
        <v>0</v>
      </c>
      <c r="K38" s="50">
        <v>0</v>
      </c>
      <c r="L38" s="50">
        <v>1</v>
      </c>
      <c r="M38" s="50">
        <v>20</v>
      </c>
      <c r="N38" s="50">
        <v>0</v>
      </c>
      <c r="O38" s="15">
        <f t="shared" si="0"/>
        <v>22</v>
      </c>
      <c r="P38" s="15">
        <f t="shared" si="1"/>
        <v>42</v>
      </c>
      <c r="R38" s="28" t="s">
        <v>86</v>
      </c>
      <c r="S38" s="16">
        <f t="shared" ref="S38:AF38" si="30">SUM(S13:S18)</f>
        <v>121</v>
      </c>
      <c r="T38" s="16">
        <f t="shared" si="30"/>
        <v>0</v>
      </c>
      <c r="U38" s="16">
        <f t="shared" si="30"/>
        <v>120</v>
      </c>
      <c r="V38" s="16">
        <f t="shared" si="30"/>
        <v>99</v>
      </c>
      <c r="W38" s="16">
        <f t="shared" si="30"/>
        <v>6</v>
      </c>
      <c r="X38" s="16">
        <f t="shared" si="30"/>
        <v>1</v>
      </c>
      <c r="Y38" s="16">
        <f t="shared" si="30"/>
        <v>97</v>
      </c>
      <c r="Z38" s="16">
        <f t="shared" si="30"/>
        <v>10</v>
      </c>
      <c r="AA38" s="16">
        <f t="shared" si="30"/>
        <v>16</v>
      </c>
      <c r="AB38" s="16">
        <f t="shared" si="30"/>
        <v>6</v>
      </c>
      <c r="AC38" s="16">
        <f t="shared" si="30"/>
        <v>587</v>
      </c>
      <c r="AD38" s="16">
        <f t="shared" si="30"/>
        <v>0</v>
      </c>
      <c r="AE38" s="32">
        <f t="shared" si="30"/>
        <v>476</v>
      </c>
      <c r="AF38" s="32">
        <f t="shared" si="30"/>
        <v>1063</v>
      </c>
    </row>
    <row r="39" spans="2:32" ht="23.1" customHeight="1" x14ac:dyDescent="0.25">
      <c r="B39" s="46" t="s">
        <v>66</v>
      </c>
      <c r="C39" s="50">
        <v>9</v>
      </c>
      <c r="D39" s="50">
        <v>0</v>
      </c>
      <c r="E39" s="50">
        <v>6</v>
      </c>
      <c r="F39" s="50">
        <v>5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0</v>
      </c>
      <c r="M39" s="50">
        <v>32</v>
      </c>
      <c r="N39" s="50">
        <v>0</v>
      </c>
      <c r="O39" s="15">
        <f t="shared" si="0"/>
        <v>24</v>
      </c>
      <c r="P39" s="15">
        <f t="shared" si="1"/>
        <v>56</v>
      </c>
      <c r="R39" s="29" t="s">
        <v>87</v>
      </c>
      <c r="S39" s="16">
        <f t="shared" ref="S39:AF39" si="31">SUM(S19:S21)</f>
        <v>93</v>
      </c>
      <c r="T39" s="16">
        <f t="shared" si="31"/>
        <v>0</v>
      </c>
      <c r="U39" s="16">
        <f t="shared" si="31"/>
        <v>106</v>
      </c>
      <c r="V39" s="16">
        <f t="shared" si="31"/>
        <v>56</v>
      </c>
      <c r="W39" s="16">
        <f t="shared" si="31"/>
        <v>6</v>
      </c>
      <c r="X39" s="16">
        <f t="shared" si="31"/>
        <v>0</v>
      </c>
      <c r="Y39" s="16">
        <f t="shared" si="31"/>
        <v>49</v>
      </c>
      <c r="Z39" s="16">
        <f t="shared" si="31"/>
        <v>8</v>
      </c>
      <c r="AA39" s="16">
        <f t="shared" si="31"/>
        <v>2</v>
      </c>
      <c r="AB39" s="16">
        <f t="shared" si="31"/>
        <v>4</v>
      </c>
      <c r="AC39" s="16">
        <f t="shared" si="31"/>
        <v>371</v>
      </c>
      <c r="AD39" s="16">
        <f t="shared" si="31"/>
        <v>0</v>
      </c>
      <c r="AE39" s="32">
        <f t="shared" si="31"/>
        <v>324</v>
      </c>
      <c r="AF39" s="32">
        <f t="shared" si="31"/>
        <v>695</v>
      </c>
    </row>
    <row r="40" spans="2:32" ht="23.1" customHeight="1" x14ac:dyDescent="0.25">
      <c r="B40" s="46" t="s">
        <v>67</v>
      </c>
      <c r="C40" s="50">
        <v>4</v>
      </c>
      <c r="D40" s="50">
        <v>0</v>
      </c>
      <c r="E40" s="50">
        <v>8</v>
      </c>
      <c r="F40" s="50">
        <v>2</v>
      </c>
      <c r="G40" s="50">
        <v>0</v>
      </c>
      <c r="H40" s="50">
        <v>0</v>
      </c>
      <c r="I40" s="50">
        <v>6</v>
      </c>
      <c r="J40" s="50">
        <v>0</v>
      </c>
      <c r="K40" s="50">
        <v>1</v>
      </c>
      <c r="L40" s="50">
        <v>0</v>
      </c>
      <c r="M40" s="50">
        <v>25</v>
      </c>
      <c r="N40" s="50">
        <v>0</v>
      </c>
      <c r="O40" s="15">
        <f t="shared" si="0"/>
        <v>21</v>
      </c>
      <c r="P40" s="15">
        <f t="shared" si="1"/>
        <v>46</v>
      </c>
      <c r="R40" s="5" t="s">
        <v>17</v>
      </c>
      <c r="S40" s="16">
        <f t="shared" ref="S40:AF40" si="32">SUM(S10:S21)</f>
        <v>245</v>
      </c>
      <c r="T40" s="16">
        <f t="shared" si="32"/>
        <v>0</v>
      </c>
      <c r="U40" s="16">
        <f t="shared" si="32"/>
        <v>290</v>
      </c>
      <c r="V40" s="16">
        <f t="shared" si="32"/>
        <v>194</v>
      </c>
      <c r="W40" s="16">
        <f t="shared" si="32"/>
        <v>14</v>
      </c>
      <c r="X40" s="16">
        <f t="shared" si="32"/>
        <v>3</v>
      </c>
      <c r="Y40" s="16">
        <f t="shared" si="32"/>
        <v>167</v>
      </c>
      <c r="Z40" s="16">
        <f t="shared" si="32"/>
        <v>26</v>
      </c>
      <c r="AA40" s="16">
        <f t="shared" si="32"/>
        <v>26</v>
      </c>
      <c r="AB40" s="16">
        <f t="shared" si="32"/>
        <v>15</v>
      </c>
      <c r="AC40" s="16">
        <f t="shared" si="32"/>
        <v>1193</v>
      </c>
      <c r="AD40" s="16">
        <f t="shared" si="32"/>
        <v>0</v>
      </c>
      <c r="AE40" s="32">
        <f t="shared" si="32"/>
        <v>980</v>
      </c>
      <c r="AF40" s="32">
        <f t="shared" si="32"/>
        <v>2173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5</v>
      </c>
      <c r="F41" s="50">
        <v>6</v>
      </c>
      <c r="G41" s="50">
        <v>0</v>
      </c>
      <c r="H41" s="50">
        <v>0</v>
      </c>
      <c r="I41" s="50">
        <v>8</v>
      </c>
      <c r="J41" s="50">
        <v>1</v>
      </c>
      <c r="K41" s="50">
        <v>1</v>
      </c>
      <c r="L41" s="50">
        <v>0</v>
      </c>
      <c r="M41" s="50">
        <v>21</v>
      </c>
      <c r="N41" s="50">
        <v>0</v>
      </c>
      <c r="O41" s="15">
        <f t="shared" si="0"/>
        <v>25</v>
      </c>
      <c r="P41" s="15">
        <f t="shared" si="1"/>
        <v>46</v>
      </c>
      <c r="R41" s="5" t="s">
        <v>159</v>
      </c>
      <c r="S41" s="16">
        <f>SUM(S10:S33)</f>
        <v>245</v>
      </c>
      <c r="T41" s="16">
        <f t="shared" ref="T41:AF41" si="33">SUM(T10:T33)</f>
        <v>0</v>
      </c>
      <c r="U41" s="16">
        <f t="shared" si="33"/>
        <v>293</v>
      </c>
      <c r="V41" s="16">
        <f t="shared" si="33"/>
        <v>196</v>
      </c>
      <c r="W41" s="16">
        <f t="shared" si="33"/>
        <v>14</v>
      </c>
      <c r="X41" s="16">
        <f t="shared" si="33"/>
        <v>3</v>
      </c>
      <c r="Y41" s="16">
        <f t="shared" si="33"/>
        <v>170</v>
      </c>
      <c r="Z41" s="16">
        <f t="shared" si="33"/>
        <v>26</v>
      </c>
      <c r="AA41" s="16">
        <f t="shared" si="33"/>
        <v>26</v>
      </c>
      <c r="AB41" s="16">
        <f t="shared" si="33"/>
        <v>15</v>
      </c>
      <c r="AC41" s="16">
        <f t="shared" si="33"/>
        <v>1209</v>
      </c>
      <c r="AD41" s="16">
        <f t="shared" si="33"/>
        <v>0</v>
      </c>
      <c r="AE41" s="32">
        <f t="shared" si="33"/>
        <v>988</v>
      </c>
      <c r="AF41" s="32">
        <f t="shared" si="33"/>
        <v>2197</v>
      </c>
    </row>
    <row r="42" spans="2:32" ht="23.1" customHeight="1" x14ac:dyDescent="0.25">
      <c r="B42" s="46" t="s">
        <v>69</v>
      </c>
      <c r="C42" s="50">
        <v>7</v>
      </c>
      <c r="D42" s="50">
        <v>0</v>
      </c>
      <c r="E42" s="50">
        <v>12</v>
      </c>
      <c r="F42" s="50">
        <v>1</v>
      </c>
      <c r="G42" s="50">
        <v>0</v>
      </c>
      <c r="H42" s="50">
        <v>0</v>
      </c>
      <c r="I42" s="50">
        <v>8</v>
      </c>
      <c r="J42" s="50">
        <v>1</v>
      </c>
      <c r="K42" s="50">
        <v>1</v>
      </c>
      <c r="L42" s="50">
        <v>1</v>
      </c>
      <c r="M42" s="50">
        <v>23</v>
      </c>
      <c r="N42" s="50">
        <v>0</v>
      </c>
      <c r="O42" s="15">
        <f t="shared" si="0"/>
        <v>31</v>
      </c>
      <c r="P42" s="15">
        <f t="shared" si="1"/>
        <v>54</v>
      </c>
      <c r="R42" s="5" t="s">
        <v>160</v>
      </c>
      <c r="S42" s="48">
        <f>S41/S40</f>
        <v>1</v>
      </c>
      <c r="T42" s="48" t="e">
        <f t="shared" ref="T42:AF42" si="34">T41/T40</f>
        <v>#DIV/0!</v>
      </c>
      <c r="U42" s="48">
        <f t="shared" si="34"/>
        <v>1.0103448275862068</v>
      </c>
      <c r="V42" s="48">
        <f t="shared" si="34"/>
        <v>1.0103092783505154</v>
      </c>
      <c r="W42" s="48">
        <f t="shared" si="34"/>
        <v>1</v>
      </c>
      <c r="X42" s="48">
        <f t="shared" si="34"/>
        <v>1</v>
      </c>
      <c r="Y42" s="48">
        <f t="shared" si="34"/>
        <v>1.0179640718562875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1.0134115674769488</v>
      </c>
      <c r="AD42" s="48" t="e">
        <f t="shared" si="34"/>
        <v>#DIV/0!</v>
      </c>
      <c r="AE42" s="48">
        <f t="shared" si="34"/>
        <v>1.0081632653061225</v>
      </c>
      <c r="AF42" s="48">
        <f t="shared" si="34"/>
        <v>1.0110446387482743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11</v>
      </c>
      <c r="F43" s="50">
        <v>4</v>
      </c>
      <c r="G43" s="50">
        <v>2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28</v>
      </c>
      <c r="P43" s="15">
        <f t="shared" si="1"/>
        <v>56</v>
      </c>
    </row>
    <row r="44" spans="2:32" ht="23.1" customHeight="1" x14ac:dyDescent="0.25">
      <c r="B44" s="47" t="s">
        <v>71</v>
      </c>
      <c r="C44" s="50">
        <v>6</v>
      </c>
      <c r="D44" s="50">
        <v>0</v>
      </c>
      <c r="E44" s="50">
        <v>5</v>
      </c>
      <c r="F44" s="50">
        <v>3</v>
      </c>
      <c r="G44" s="50">
        <v>0</v>
      </c>
      <c r="H44" s="50">
        <v>0</v>
      </c>
      <c r="I44" s="50">
        <v>3</v>
      </c>
      <c r="J44" s="50">
        <v>3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20</v>
      </c>
      <c r="P44" s="15">
        <f t="shared" si="1"/>
        <v>37</v>
      </c>
    </row>
    <row r="45" spans="2:32" ht="23.1" customHeight="1" x14ac:dyDescent="0.25">
      <c r="B45" s="45" t="s">
        <v>72</v>
      </c>
      <c r="C45" s="50">
        <v>11</v>
      </c>
      <c r="D45" s="50">
        <v>0</v>
      </c>
      <c r="E45" s="50">
        <v>9</v>
      </c>
      <c r="F45" s="50">
        <v>2</v>
      </c>
      <c r="G45" s="50">
        <v>0</v>
      </c>
      <c r="H45" s="50">
        <v>0</v>
      </c>
      <c r="I45" s="50">
        <v>5</v>
      </c>
      <c r="J45" s="50">
        <v>0</v>
      </c>
      <c r="K45" s="50">
        <v>2</v>
      </c>
      <c r="L45" s="50">
        <v>0</v>
      </c>
      <c r="M45" s="50">
        <v>25</v>
      </c>
      <c r="N45" s="50">
        <v>0</v>
      </c>
      <c r="O45" s="15">
        <f t="shared" si="0"/>
        <v>29</v>
      </c>
      <c r="P45" s="15">
        <f t="shared" si="1"/>
        <v>54</v>
      </c>
    </row>
    <row r="46" spans="2:32" ht="23.1" customHeight="1" x14ac:dyDescent="0.25">
      <c r="B46" s="46" t="s">
        <v>73</v>
      </c>
      <c r="C46" s="50">
        <v>7</v>
      </c>
      <c r="D46" s="50">
        <v>0</v>
      </c>
      <c r="E46" s="50">
        <v>4</v>
      </c>
      <c r="F46" s="50">
        <v>3</v>
      </c>
      <c r="G46" s="50">
        <v>1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23</v>
      </c>
      <c r="N46" s="50">
        <v>0</v>
      </c>
      <c r="O46" s="15">
        <f t="shared" si="0"/>
        <v>18</v>
      </c>
      <c r="P46" s="15">
        <f t="shared" si="1"/>
        <v>41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0</v>
      </c>
      <c r="E47" s="50">
        <v>5</v>
      </c>
      <c r="F47" s="50">
        <v>3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19</v>
      </c>
      <c r="P47" s="15">
        <f t="shared" si="1"/>
        <v>40</v>
      </c>
      <c r="R47" s="8"/>
      <c r="T47"/>
    </row>
    <row r="48" spans="2:32" ht="23.1" customHeight="1" x14ac:dyDescent="0.25">
      <c r="B48" s="46" t="s">
        <v>75</v>
      </c>
      <c r="C48" s="50">
        <v>11</v>
      </c>
      <c r="D48" s="50">
        <v>0</v>
      </c>
      <c r="E48" s="50">
        <v>10</v>
      </c>
      <c r="F48" s="50">
        <v>5</v>
      </c>
      <c r="G48" s="50">
        <v>1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36</v>
      </c>
      <c r="N48" s="50">
        <v>0</v>
      </c>
      <c r="O48" s="15">
        <f t="shared" si="0"/>
        <v>30</v>
      </c>
      <c r="P48" s="15">
        <f t="shared" si="1"/>
        <v>66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0</v>
      </c>
      <c r="E49" s="50">
        <v>13</v>
      </c>
      <c r="F49" s="50">
        <v>2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1</v>
      </c>
      <c r="M49" s="50">
        <v>32</v>
      </c>
      <c r="N49" s="50">
        <v>0</v>
      </c>
      <c r="O49" s="15">
        <f t="shared" si="0"/>
        <v>25</v>
      </c>
      <c r="P49" s="15">
        <f t="shared" si="1"/>
        <v>57</v>
      </c>
      <c r="R49" s="8"/>
      <c r="T49"/>
    </row>
    <row r="50" spans="2:20" ht="23.1" customHeight="1" x14ac:dyDescent="0.25">
      <c r="B50" s="46" t="s">
        <v>77</v>
      </c>
      <c r="C50" s="50">
        <v>12</v>
      </c>
      <c r="D50" s="50">
        <v>0</v>
      </c>
      <c r="E50" s="50">
        <v>3</v>
      </c>
      <c r="F50" s="50">
        <v>6</v>
      </c>
      <c r="G50" s="50">
        <v>1</v>
      </c>
      <c r="H50" s="50">
        <v>0</v>
      </c>
      <c r="I50" s="50">
        <v>6</v>
      </c>
      <c r="J50" s="50">
        <v>3</v>
      </c>
      <c r="K50" s="50">
        <v>1</v>
      </c>
      <c r="L50" s="50">
        <v>0</v>
      </c>
      <c r="M50" s="50">
        <v>35</v>
      </c>
      <c r="N50" s="50">
        <v>0</v>
      </c>
      <c r="O50" s="15">
        <f t="shared" si="0"/>
        <v>32</v>
      </c>
      <c r="P50" s="15">
        <f t="shared" si="1"/>
        <v>67</v>
      </c>
      <c r="R50" s="8"/>
      <c r="T50"/>
    </row>
    <row r="51" spans="2:20" ht="23.1" customHeight="1" x14ac:dyDescent="0.25">
      <c r="B51" s="46" t="s">
        <v>78</v>
      </c>
      <c r="C51" s="50">
        <v>11</v>
      </c>
      <c r="D51" s="50">
        <v>0</v>
      </c>
      <c r="E51" s="50">
        <v>12</v>
      </c>
      <c r="F51" s="50">
        <v>6</v>
      </c>
      <c r="G51" s="50">
        <v>0</v>
      </c>
      <c r="H51" s="50">
        <v>0</v>
      </c>
      <c r="I51" s="50">
        <v>9</v>
      </c>
      <c r="J51" s="50">
        <v>5</v>
      </c>
      <c r="K51" s="50">
        <v>0</v>
      </c>
      <c r="L51" s="50">
        <v>0</v>
      </c>
      <c r="M51" s="50">
        <v>27</v>
      </c>
      <c r="N51" s="50">
        <v>0</v>
      </c>
      <c r="O51" s="15">
        <f t="shared" si="0"/>
        <v>43</v>
      </c>
      <c r="P51" s="15">
        <f t="shared" si="1"/>
        <v>70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0</v>
      </c>
      <c r="E52" s="50">
        <v>6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33</v>
      </c>
      <c r="N52" s="50">
        <v>0</v>
      </c>
      <c r="O52" s="15">
        <f t="shared" si="0"/>
        <v>16</v>
      </c>
      <c r="P52" s="15">
        <f t="shared" si="1"/>
        <v>49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v>0</v>
      </c>
      <c r="E53" s="50">
        <v>8</v>
      </c>
      <c r="F53" s="50">
        <v>6</v>
      </c>
      <c r="G53" s="50">
        <v>0</v>
      </c>
      <c r="H53" s="50">
        <v>0</v>
      </c>
      <c r="I53" s="50">
        <v>6</v>
      </c>
      <c r="J53" s="50">
        <v>0</v>
      </c>
      <c r="K53" s="50">
        <v>0</v>
      </c>
      <c r="L53" s="50">
        <v>1</v>
      </c>
      <c r="M53" s="50">
        <v>36</v>
      </c>
      <c r="N53" s="50">
        <v>0</v>
      </c>
      <c r="O53" s="15">
        <f t="shared" si="0"/>
        <v>29</v>
      </c>
      <c r="P53" s="15">
        <f t="shared" si="1"/>
        <v>65</v>
      </c>
      <c r="R53" s="8"/>
      <c r="T53"/>
    </row>
    <row r="54" spans="2:20" ht="23.1" customHeight="1" x14ac:dyDescent="0.25">
      <c r="B54" s="45" t="s">
        <v>81</v>
      </c>
      <c r="C54" s="50">
        <v>9</v>
      </c>
      <c r="D54" s="50">
        <v>0</v>
      </c>
      <c r="E54" s="50">
        <v>10</v>
      </c>
      <c r="F54" s="50">
        <v>5</v>
      </c>
      <c r="G54" s="50">
        <v>1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35</v>
      </c>
      <c r="N54" s="50">
        <v>0</v>
      </c>
      <c r="O54" s="15">
        <f t="shared" si="0"/>
        <v>31</v>
      </c>
      <c r="P54" s="15">
        <f t="shared" si="1"/>
        <v>66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0</v>
      </c>
      <c r="E55" s="50">
        <v>12</v>
      </c>
      <c r="F55" s="50">
        <v>4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29</v>
      </c>
      <c r="N55" s="50">
        <v>0</v>
      </c>
      <c r="O55" s="15">
        <f t="shared" si="0"/>
        <v>24</v>
      </c>
      <c r="P55" s="15">
        <f t="shared" si="1"/>
        <v>53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0</v>
      </c>
      <c r="E56" s="50">
        <v>9</v>
      </c>
      <c r="F56" s="50">
        <v>10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50">
        <v>29</v>
      </c>
      <c r="N56" s="50">
        <v>0</v>
      </c>
      <c r="O56" s="15">
        <f t="shared" si="0"/>
        <v>25</v>
      </c>
      <c r="P56" s="15">
        <f t="shared" si="1"/>
        <v>54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0</v>
      </c>
      <c r="E57" s="50">
        <v>14</v>
      </c>
      <c r="F57" s="50">
        <v>5</v>
      </c>
      <c r="G57" s="50">
        <v>2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35</v>
      </c>
      <c r="N57" s="50">
        <v>0</v>
      </c>
      <c r="O57" s="15">
        <f t="shared" si="0"/>
        <v>32</v>
      </c>
      <c r="P57" s="15">
        <f t="shared" si="1"/>
        <v>67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3</v>
      </c>
      <c r="F58" s="50">
        <v>2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16</v>
      </c>
      <c r="N58" s="50">
        <v>0</v>
      </c>
      <c r="O58" s="15">
        <f t="shared" si="0"/>
        <v>8</v>
      </c>
      <c r="P58" s="15">
        <f t="shared" si="1"/>
        <v>24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245</v>
      </c>
      <c r="D106" s="16">
        <f t="shared" ref="D106:P106" si="37">SUM(D10:D105)</f>
        <v>0</v>
      </c>
      <c r="E106" s="16">
        <f t="shared" si="37"/>
        <v>293</v>
      </c>
      <c r="F106" s="16">
        <f t="shared" si="37"/>
        <v>196</v>
      </c>
      <c r="G106" s="16">
        <f t="shared" si="37"/>
        <v>14</v>
      </c>
      <c r="H106" s="16">
        <f t="shared" si="37"/>
        <v>3</v>
      </c>
      <c r="I106" s="16">
        <f t="shared" si="37"/>
        <v>170</v>
      </c>
      <c r="J106" s="16">
        <f t="shared" si="37"/>
        <v>26</v>
      </c>
      <c r="K106" s="16">
        <f t="shared" si="37"/>
        <v>26</v>
      </c>
      <c r="L106" s="16">
        <f t="shared" si="37"/>
        <v>15</v>
      </c>
      <c r="M106" s="16">
        <f t="shared" si="37"/>
        <v>1209</v>
      </c>
      <c r="N106" s="16">
        <f t="shared" si="37"/>
        <v>0</v>
      </c>
      <c r="O106" s="16">
        <f t="shared" si="37"/>
        <v>988</v>
      </c>
      <c r="P106" s="16">
        <f t="shared" si="37"/>
        <v>2197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0.11151570323167956</v>
      </c>
      <c r="D107" s="43">
        <f t="shared" si="38"/>
        <v>0</v>
      </c>
      <c r="E107" s="43">
        <f t="shared" si="38"/>
        <v>0.13336367774237598</v>
      </c>
      <c r="F107" s="43">
        <f t="shared" si="38"/>
        <v>8.9212562585343644E-2</v>
      </c>
      <c r="G107" s="43">
        <f t="shared" si="38"/>
        <v>6.3723258989531175E-3</v>
      </c>
      <c r="H107" s="43">
        <f t="shared" si="38"/>
        <v>1.3654984069185253E-3</v>
      </c>
      <c r="I107" s="43">
        <f t="shared" si="38"/>
        <v>7.7378243058716434E-2</v>
      </c>
      <c r="J107" s="43">
        <f t="shared" si="38"/>
        <v>1.1834319526627219E-2</v>
      </c>
      <c r="K107" s="43">
        <f t="shared" si="38"/>
        <v>1.1834319526627219E-2</v>
      </c>
      <c r="L107" s="43">
        <f t="shared" si="38"/>
        <v>6.8274920345926266E-3</v>
      </c>
      <c r="M107" s="43">
        <f t="shared" si="38"/>
        <v>0.55029585798816572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0.2479757085020243</v>
      </c>
      <c r="D108" s="44">
        <f t="shared" ref="D108:N108" si="39">D106/$O$106</f>
        <v>0</v>
      </c>
      <c r="E108" s="44">
        <f t="shared" si="39"/>
        <v>0.29655870445344129</v>
      </c>
      <c r="F108" s="44">
        <f t="shared" si="39"/>
        <v>0.19838056680161945</v>
      </c>
      <c r="G108" s="44">
        <f t="shared" si="39"/>
        <v>1.417004048582996E-2</v>
      </c>
      <c r="H108" s="44">
        <f t="shared" si="39"/>
        <v>3.0364372469635628E-3</v>
      </c>
      <c r="I108" s="44">
        <f t="shared" si="39"/>
        <v>0.17206477732793521</v>
      </c>
      <c r="J108" s="44">
        <f t="shared" si="39"/>
        <v>2.6315789473684209E-2</v>
      </c>
      <c r="K108" s="44">
        <f t="shared" si="39"/>
        <v>2.6315789473684209E-2</v>
      </c>
      <c r="L108" s="44">
        <f t="shared" si="39"/>
        <v>1.5182186234817813E-2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46" zoomScale="60" workbookViewId="0">
      <selection activeCell="I3" sqref="I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'19.8 Kayunga-Kangulumira'!G5:H5</f>
        <v>Kayunga</v>
      </c>
      <c r="H5" s="64"/>
      <c r="I5" s="14"/>
      <c r="J5" s="2" t="s">
        <v>5</v>
      </c>
      <c r="K5" s="63" t="str">
        <f>'19.8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'19.8 Kayunga-Kangulumira'!D6:E6</f>
        <v>KAYUNGA</v>
      </c>
      <c r="E6" s="64"/>
      <c r="F6" s="2" t="s">
        <v>2</v>
      </c>
      <c r="G6" s="63" t="str">
        <f>'19.8 Kayunga-Kangulumira'!G6:H6</f>
        <v>KANGULUMIRA</v>
      </c>
      <c r="H6" s="64"/>
      <c r="J6" s="2" t="s">
        <v>21</v>
      </c>
      <c r="K6" s="63" t="str">
        <f>'19.8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4</v>
      </c>
      <c r="F10" s="50">
        <v>11</v>
      </c>
      <c r="G10" s="50">
        <v>0</v>
      </c>
      <c r="H10" s="50">
        <v>0</v>
      </c>
      <c r="I10" s="50">
        <v>4</v>
      </c>
      <c r="J10" s="50">
        <v>0</v>
      </c>
      <c r="K10" s="50">
        <v>1</v>
      </c>
      <c r="L10" s="50">
        <v>0</v>
      </c>
      <c r="M10" s="50">
        <v>17</v>
      </c>
      <c r="N10" s="50">
        <v>0</v>
      </c>
      <c r="O10" s="15">
        <f t="shared" ref="O10:O57" si="0">SUM(C10:L10,N10)</f>
        <v>25</v>
      </c>
      <c r="P10" s="15">
        <f t="shared" ref="P10:P57" si="1">SUM(C10:N10)</f>
        <v>42</v>
      </c>
      <c r="R10" s="1" t="s">
        <v>6</v>
      </c>
      <c r="S10" s="17">
        <f t="shared" ref="S10:AF10" si="2">SUM(C10:C13)</f>
        <v>13</v>
      </c>
      <c r="T10" s="17">
        <f t="shared" si="2"/>
        <v>0</v>
      </c>
      <c r="U10" s="17">
        <f t="shared" si="2"/>
        <v>10</v>
      </c>
      <c r="V10" s="17">
        <f t="shared" si="2"/>
        <v>27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131</v>
      </c>
      <c r="AD10" s="17">
        <f t="shared" si="2"/>
        <v>0</v>
      </c>
      <c r="AE10" s="31">
        <f t="shared" si="2"/>
        <v>59</v>
      </c>
      <c r="AF10" s="31">
        <f t="shared" si="2"/>
        <v>190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5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9</v>
      </c>
      <c r="P11" s="15">
        <f t="shared" si="1"/>
        <v>47</v>
      </c>
      <c r="R11" s="1" t="s">
        <v>7</v>
      </c>
      <c r="S11" s="17">
        <f t="shared" ref="S11:AF11" si="3">SUM(C14:C17)</f>
        <v>18</v>
      </c>
      <c r="T11" s="17">
        <f t="shared" si="3"/>
        <v>0</v>
      </c>
      <c r="U11" s="17">
        <f t="shared" si="3"/>
        <v>16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1</v>
      </c>
      <c r="AB11" s="17">
        <f t="shared" si="3"/>
        <v>1</v>
      </c>
      <c r="AC11" s="17">
        <f t="shared" si="3"/>
        <v>123</v>
      </c>
      <c r="AD11" s="17">
        <f t="shared" si="3"/>
        <v>0</v>
      </c>
      <c r="AE11" s="31">
        <f t="shared" si="3"/>
        <v>57</v>
      </c>
      <c r="AF11" s="31">
        <f t="shared" si="3"/>
        <v>180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4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36</v>
      </c>
      <c r="N12" s="50">
        <v>0</v>
      </c>
      <c r="O12" s="15">
        <f t="shared" si="0"/>
        <v>12</v>
      </c>
      <c r="P12" s="15">
        <f t="shared" si="1"/>
        <v>48</v>
      </c>
      <c r="R12" s="1" t="s">
        <v>8</v>
      </c>
      <c r="S12" s="17">
        <f t="shared" ref="S12:AF12" si="4">SUM(C18:C21)</f>
        <v>15</v>
      </c>
      <c r="T12" s="17">
        <f t="shared" si="4"/>
        <v>0</v>
      </c>
      <c r="U12" s="17">
        <f t="shared" si="4"/>
        <v>18</v>
      </c>
      <c r="V12" s="17">
        <f t="shared" si="4"/>
        <v>13</v>
      </c>
      <c r="W12" s="17">
        <f t="shared" si="4"/>
        <v>1</v>
      </c>
      <c r="X12" s="17">
        <f t="shared" si="4"/>
        <v>0</v>
      </c>
      <c r="Y12" s="17">
        <f t="shared" si="4"/>
        <v>14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115</v>
      </c>
      <c r="AD12" s="17">
        <f t="shared" si="4"/>
        <v>0</v>
      </c>
      <c r="AE12" s="31">
        <f t="shared" si="4"/>
        <v>62</v>
      </c>
      <c r="AF12" s="31">
        <f t="shared" si="4"/>
        <v>177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2</v>
      </c>
      <c r="F13" s="50">
        <v>6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40</v>
      </c>
      <c r="N13" s="50">
        <v>0</v>
      </c>
      <c r="O13" s="15">
        <f t="shared" si="0"/>
        <v>13</v>
      </c>
      <c r="P13" s="15">
        <f t="shared" si="1"/>
        <v>53</v>
      </c>
      <c r="R13" s="1" t="s">
        <v>9</v>
      </c>
      <c r="S13" s="17">
        <f t="shared" ref="S13:AF13" si="5">SUM(C22:C25)</f>
        <v>29</v>
      </c>
      <c r="T13" s="17">
        <f t="shared" si="5"/>
        <v>0</v>
      </c>
      <c r="U13" s="17">
        <f t="shared" si="5"/>
        <v>20</v>
      </c>
      <c r="V13" s="17">
        <f t="shared" si="5"/>
        <v>20</v>
      </c>
      <c r="W13" s="17">
        <f t="shared" si="5"/>
        <v>2</v>
      </c>
      <c r="X13" s="17">
        <f t="shared" si="5"/>
        <v>1</v>
      </c>
      <c r="Y13" s="17">
        <f t="shared" si="5"/>
        <v>12</v>
      </c>
      <c r="Z13" s="17">
        <f t="shared" si="5"/>
        <v>1</v>
      </c>
      <c r="AA13" s="17">
        <f t="shared" si="5"/>
        <v>9</v>
      </c>
      <c r="AB13" s="17">
        <f t="shared" si="5"/>
        <v>0</v>
      </c>
      <c r="AC13" s="17">
        <f t="shared" si="5"/>
        <v>84</v>
      </c>
      <c r="AD13" s="17">
        <f t="shared" si="5"/>
        <v>0</v>
      </c>
      <c r="AE13" s="31">
        <f t="shared" si="5"/>
        <v>94</v>
      </c>
      <c r="AF13" s="31">
        <f t="shared" si="5"/>
        <v>178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2</v>
      </c>
      <c r="F14" s="50">
        <v>6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35</v>
      </c>
      <c r="N14" s="50">
        <v>0</v>
      </c>
      <c r="O14" s="15">
        <f t="shared" si="0"/>
        <v>10</v>
      </c>
      <c r="P14" s="15">
        <f t="shared" si="1"/>
        <v>45</v>
      </c>
      <c r="R14" s="1" t="s">
        <v>10</v>
      </c>
      <c r="S14" s="17">
        <f t="shared" ref="S14:AF14" si="6">SUM(C26:C29)</f>
        <v>19</v>
      </c>
      <c r="T14" s="17">
        <f t="shared" si="6"/>
        <v>0</v>
      </c>
      <c r="U14" s="17">
        <f t="shared" si="6"/>
        <v>18</v>
      </c>
      <c r="V14" s="17">
        <f t="shared" si="6"/>
        <v>17</v>
      </c>
      <c r="W14" s="17">
        <f t="shared" si="6"/>
        <v>1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94</v>
      </c>
      <c r="AD14" s="17">
        <f t="shared" si="6"/>
        <v>2</v>
      </c>
      <c r="AE14" s="31">
        <f t="shared" si="6"/>
        <v>69</v>
      </c>
      <c r="AF14" s="31">
        <f t="shared" si="6"/>
        <v>163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2</v>
      </c>
      <c r="F15" s="50">
        <v>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32</v>
      </c>
      <c r="N15" s="50">
        <v>0</v>
      </c>
      <c r="O15" s="15">
        <f t="shared" si="0"/>
        <v>11</v>
      </c>
      <c r="P15" s="15">
        <f t="shared" si="1"/>
        <v>43</v>
      </c>
      <c r="R15" s="1" t="s">
        <v>11</v>
      </c>
      <c r="S15" s="17">
        <f t="shared" ref="S15:AF15" si="7">SUM(C30:C33)</f>
        <v>34</v>
      </c>
      <c r="T15" s="17">
        <f t="shared" si="7"/>
        <v>0</v>
      </c>
      <c r="U15" s="17">
        <f t="shared" si="7"/>
        <v>23</v>
      </c>
      <c r="V15" s="17">
        <f t="shared" si="7"/>
        <v>22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2</v>
      </c>
      <c r="AA15" s="17">
        <f t="shared" si="7"/>
        <v>1</v>
      </c>
      <c r="AB15" s="17">
        <f t="shared" si="7"/>
        <v>1</v>
      </c>
      <c r="AC15" s="17">
        <f t="shared" si="7"/>
        <v>101</v>
      </c>
      <c r="AD15" s="17">
        <f t="shared" si="7"/>
        <v>0</v>
      </c>
      <c r="AE15" s="31">
        <f t="shared" si="7"/>
        <v>102</v>
      </c>
      <c r="AF15" s="31">
        <f t="shared" si="7"/>
        <v>203</v>
      </c>
    </row>
    <row r="16" spans="2:32" ht="23.1" customHeight="1" x14ac:dyDescent="0.25">
      <c r="B16" s="23" t="s">
        <v>43</v>
      </c>
      <c r="C16" s="50">
        <v>6</v>
      </c>
      <c r="D16" s="50">
        <v>0</v>
      </c>
      <c r="E16" s="50">
        <v>5</v>
      </c>
      <c r="F16" s="50">
        <v>6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32</v>
      </c>
      <c r="N16" s="50">
        <v>0</v>
      </c>
      <c r="O16" s="15">
        <f t="shared" si="0"/>
        <v>18</v>
      </c>
      <c r="P16" s="15">
        <f t="shared" si="1"/>
        <v>50</v>
      </c>
      <c r="R16" s="1" t="s">
        <v>12</v>
      </c>
      <c r="S16" s="17">
        <f t="shared" ref="S16:AF16" si="8">SUM(C34:C37)</f>
        <v>17</v>
      </c>
      <c r="T16" s="17">
        <f t="shared" si="8"/>
        <v>0</v>
      </c>
      <c r="U16" s="17">
        <f t="shared" si="8"/>
        <v>25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93</v>
      </c>
      <c r="AD16" s="17">
        <f t="shared" si="8"/>
        <v>0</v>
      </c>
      <c r="AE16" s="31">
        <f t="shared" si="8"/>
        <v>79</v>
      </c>
      <c r="AF16" s="31">
        <f t="shared" si="8"/>
        <v>172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7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1</v>
      </c>
      <c r="M17" s="50">
        <v>24</v>
      </c>
      <c r="N17" s="50">
        <v>0</v>
      </c>
      <c r="O17" s="15">
        <f t="shared" si="0"/>
        <v>18</v>
      </c>
      <c r="P17" s="15">
        <f t="shared" si="1"/>
        <v>42</v>
      </c>
      <c r="R17" s="1" t="s">
        <v>13</v>
      </c>
      <c r="S17" s="17">
        <f t="shared" ref="S17:AF17" si="9">SUM(C38:C41)</f>
        <v>34</v>
      </c>
      <c r="T17" s="17">
        <f t="shared" si="9"/>
        <v>0</v>
      </c>
      <c r="U17" s="17">
        <f t="shared" si="9"/>
        <v>22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18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103</v>
      </c>
      <c r="AD17" s="17">
        <f t="shared" si="9"/>
        <v>0</v>
      </c>
      <c r="AE17" s="31">
        <f t="shared" si="9"/>
        <v>93</v>
      </c>
      <c r="AF17" s="31">
        <f t="shared" si="9"/>
        <v>196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6</v>
      </c>
      <c r="F18" s="50">
        <v>6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32</v>
      </c>
      <c r="N18" s="50">
        <v>0</v>
      </c>
      <c r="O18" s="15">
        <f t="shared" si="0"/>
        <v>17</v>
      </c>
      <c r="P18" s="15">
        <f t="shared" si="1"/>
        <v>49</v>
      </c>
      <c r="R18" s="1" t="s">
        <v>14</v>
      </c>
      <c r="S18" s="17">
        <f t="shared" ref="S18:AF18" si="10">SUM(C42:C45)</f>
        <v>34</v>
      </c>
      <c r="T18" s="17">
        <f t="shared" si="10"/>
        <v>0</v>
      </c>
      <c r="U18" s="17">
        <f t="shared" si="10"/>
        <v>25</v>
      </c>
      <c r="V18" s="17">
        <f t="shared" si="10"/>
        <v>19</v>
      </c>
      <c r="W18" s="17">
        <f t="shared" si="10"/>
        <v>2</v>
      </c>
      <c r="X18" s="17">
        <f t="shared" si="10"/>
        <v>1</v>
      </c>
      <c r="Y18" s="17">
        <f t="shared" si="10"/>
        <v>16</v>
      </c>
      <c r="Z18" s="17">
        <f t="shared" si="10"/>
        <v>2</v>
      </c>
      <c r="AA18" s="17">
        <f t="shared" si="10"/>
        <v>3</v>
      </c>
      <c r="AB18" s="17">
        <f t="shared" si="10"/>
        <v>0</v>
      </c>
      <c r="AC18" s="17">
        <f t="shared" si="10"/>
        <v>97</v>
      </c>
      <c r="AD18" s="17">
        <f t="shared" si="10"/>
        <v>0</v>
      </c>
      <c r="AE18" s="31">
        <f t="shared" si="10"/>
        <v>102</v>
      </c>
      <c r="AF18" s="31">
        <f t="shared" si="10"/>
        <v>199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2</v>
      </c>
      <c r="F19" s="50">
        <v>1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8</v>
      </c>
      <c r="P19" s="15">
        <f t="shared" si="1"/>
        <v>33</v>
      </c>
      <c r="R19" s="1" t="s">
        <v>15</v>
      </c>
      <c r="S19" s="17">
        <f t="shared" ref="S19:AF19" si="11">SUM(C46:C49)</f>
        <v>28</v>
      </c>
      <c r="T19" s="17">
        <f t="shared" si="11"/>
        <v>0</v>
      </c>
      <c r="U19" s="17">
        <f t="shared" si="11"/>
        <v>26</v>
      </c>
      <c r="V19" s="17">
        <f t="shared" si="11"/>
        <v>15</v>
      </c>
      <c r="W19" s="17">
        <f t="shared" si="11"/>
        <v>2</v>
      </c>
      <c r="X19" s="17">
        <f t="shared" si="11"/>
        <v>2</v>
      </c>
      <c r="Y19" s="17">
        <f t="shared" si="11"/>
        <v>12</v>
      </c>
      <c r="Z19" s="17">
        <f t="shared" si="11"/>
        <v>1</v>
      </c>
      <c r="AA19" s="17">
        <f t="shared" si="11"/>
        <v>2</v>
      </c>
      <c r="AB19" s="17">
        <f t="shared" si="11"/>
        <v>4</v>
      </c>
      <c r="AC19" s="17">
        <f t="shared" si="11"/>
        <v>96</v>
      </c>
      <c r="AD19" s="17">
        <f t="shared" si="11"/>
        <v>0</v>
      </c>
      <c r="AE19" s="31">
        <f t="shared" si="11"/>
        <v>92</v>
      </c>
      <c r="AF19" s="31">
        <f t="shared" si="11"/>
        <v>188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6</v>
      </c>
      <c r="F20" s="50">
        <v>2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35</v>
      </c>
      <c r="N20" s="50">
        <v>0</v>
      </c>
      <c r="O20" s="15">
        <f t="shared" si="0"/>
        <v>16</v>
      </c>
      <c r="P20" s="15">
        <f t="shared" si="1"/>
        <v>51</v>
      </c>
      <c r="R20" s="1" t="s">
        <v>16</v>
      </c>
      <c r="S20" s="17">
        <f t="shared" ref="S20:AF20" si="12">SUM(C50:C53)</f>
        <v>40</v>
      </c>
      <c r="T20" s="17">
        <f t="shared" si="12"/>
        <v>0</v>
      </c>
      <c r="U20" s="17">
        <f t="shared" si="12"/>
        <v>28</v>
      </c>
      <c r="V20" s="17">
        <f t="shared" si="12"/>
        <v>22</v>
      </c>
      <c r="W20" s="17">
        <f t="shared" si="12"/>
        <v>6</v>
      </c>
      <c r="X20" s="17">
        <f t="shared" si="12"/>
        <v>3</v>
      </c>
      <c r="Y20" s="17">
        <f t="shared" si="12"/>
        <v>18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118</v>
      </c>
      <c r="AD20" s="17">
        <f t="shared" si="12"/>
        <v>0</v>
      </c>
      <c r="AE20" s="31">
        <f t="shared" si="12"/>
        <v>119</v>
      </c>
      <c r="AF20" s="31">
        <f t="shared" si="12"/>
        <v>237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4</v>
      </c>
      <c r="F21" s="50">
        <v>4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21</v>
      </c>
      <c r="P21" s="15">
        <f t="shared" si="1"/>
        <v>44</v>
      </c>
      <c r="R21" s="36" t="s">
        <v>20</v>
      </c>
      <c r="S21" s="34">
        <f t="shared" ref="S21:AF21" si="13">SUM(C54:C57)</f>
        <v>25</v>
      </c>
      <c r="T21" s="17">
        <f t="shared" si="13"/>
        <v>0</v>
      </c>
      <c r="U21" s="17">
        <f t="shared" si="13"/>
        <v>39</v>
      </c>
      <c r="V21" s="17">
        <f t="shared" si="13"/>
        <v>17</v>
      </c>
      <c r="W21" s="17">
        <f t="shared" si="13"/>
        <v>6</v>
      </c>
      <c r="X21" s="17">
        <f t="shared" si="13"/>
        <v>3</v>
      </c>
      <c r="Y21" s="17">
        <f t="shared" si="13"/>
        <v>16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94</v>
      </c>
      <c r="AD21" s="17">
        <f t="shared" si="13"/>
        <v>0</v>
      </c>
      <c r="AE21" s="31">
        <f t="shared" si="13"/>
        <v>108</v>
      </c>
      <c r="AF21" s="31">
        <f t="shared" si="13"/>
        <v>202</v>
      </c>
    </row>
    <row r="22" spans="2:32" ht="23.1" customHeight="1" x14ac:dyDescent="0.25">
      <c r="B22" s="23" t="s">
        <v>49</v>
      </c>
      <c r="C22" s="50">
        <v>9</v>
      </c>
      <c r="D22" s="50">
        <v>0</v>
      </c>
      <c r="E22" s="50">
        <v>4</v>
      </c>
      <c r="F22" s="50">
        <v>6</v>
      </c>
      <c r="G22" s="50">
        <v>1</v>
      </c>
      <c r="H22" s="50">
        <v>0</v>
      </c>
      <c r="I22" s="50">
        <v>2</v>
      </c>
      <c r="J22" s="50">
        <v>1</v>
      </c>
      <c r="K22" s="50">
        <v>2</v>
      </c>
      <c r="L22" s="50">
        <v>0</v>
      </c>
      <c r="M22" s="50">
        <v>27</v>
      </c>
      <c r="N22" s="50">
        <v>0</v>
      </c>
      <c r="O22" s="15">
        <f t="shared" si="0"/>
        <v>25</v>
      </c>
      <c r="P22" s="15">
        <f t="shared" si="1"/>
        <v>52</v>
      </c>
      <c r="R22" s="38" t="s">
        <v>90</v>
      </c>
      <c r="S22" s="39">
        <f>MAX(S10:S12)</f>
        <v>18</v>
      </c>
      <c r="T22" s="39">
        <f t="shared" ref="T22:AF22" si="14">MAX(T10:T12)</f>
        <v>0</v>
      </c>
      <c r="U22" s="39">
        <f t="shared" si="14"/>
        <v>18</v>
      </c>
      <c r="V22" s="39">
        <f t="shared" si="14"/>
        <v>27</v>
      </c>
      <c r="W22" s="39">
        <f t="shared" si="14"/>
        <v>1</v>
      </c>
      <c r="X22" s="39">
        <f t="shared" si="14"/>
        <v>0</v>
      </c>
      <c r="Y22" s="39">
        <f t="shared" si="14"/>
        <v>14</v>
      </c>
      <c r="Z22" s="39">
        <f t="shared" si="14"/>
        <v>0</v>
      </c>
      <c r="AA22" s="39">
        <f t="shared" si="14"/>
        <v>1</v>
      </c>
      <c r="AB22" s="39">
        <f t="shared" si="14"/>
        <v>1</v>
      </c>
      <c r="AC22" s="39">
        <f t="shared" si="14"/>
        <v>131</v>
      </c>
      <c r="AD22" s="39">
        <f t="shared" si="14"/>
        <v>0</v>
      </c>
      <c r="AE22" s="40">
        <f t="shared" si="14"/>
        <v>62</v>
      </c>
      <c r="AF22" s="40">
        <f t="shared" si="14"/>
        <v>190</v>
      </c>
    </row>
    <row r="23" spans="2:32" ht="23.1" customHeight="1" x14ac:dyDescent="0.25">
      <c r="B23" s="23" t="s">
        <v>50</v>
      </c>
      <c r="C23" s="50">
        <v>8</v>
      </c>
      <c r="D23" s="50">
        <v>0</v>
      </c>
      <c r="E23" s="50">
        <v>6</v>
      </c>
      <c r="F23" s="50">
        <v>4</v>
      </c>
      <c r="G23" s="50">
        <v>1</v>
      </c>
      <c r="H23" s="50">
        <v>0</v>
      </c>
      <c r="I23" s="50">
        <v>2</v>
      </c>
      <c r="J23" s="50">
        <v>0</v>
      </c>
      <c r="K23" s="50">
        <v>2</v>
      </c>
      <c r="L23" s="50">
        <v>0</v>
      </c>
      <c r="M23" s="50">
        <v>27</v>
      </c>
      <c r="N23" s="50">
        <v>0</v>
      </c>
      <c r="O23" s="15">
        <f t="shared" si="0"/>
        <v>23</v>
      </c>
      <c r="P23" s="15">
        <f t="shared" si="1"/>
        <v>50</v>
      </c>
      <c r="R23" s="38" t="s">
        <v>91</v>
      </c>
      <c r="S23" s="39">
        <f>MAX(S13:S18)</f>
        <v>34</v>
      </c>
      <c r="T23" s="39">
        <f t="shared" ref="T23:AF23" si="15">MAX(T13:T18)</f>
        <v>0</v>
      </c>
      <c r="U23" s="39">
        <f t="shared" si="15"/>
        <v>25</v>
      </c>
      <c r="V23" s="39">
        <f t="shared" si="15"/>
        <v>24</v>
      </c>
      <c r="W23" s="39">
        <f t="shared" si="15"/>
        <v>2</v>
      </c>
      <c r="X23" s="39">
        <f t="shared" si="15"/>
        <v>1</v>
      </c>
      <c r="Y23" s="39">
        <f t="shared" si="15"/>
        <v>18</v>
      </c>
      <c r="Z23" s="39">
        <f t="shared" si="15"/>
        <v>3</v>
      </c>
      <c r="AA23" s="39">
        <f t="shared" si="15"/>
        <v>9</v>
      </c>
      <c r="AB23" s="39">
        <f t="shared" si="15"/>
        <v>1</v>
      </c>
      <c r="AC23" s="39">
        <f t="shared" si="15"/>
        <v>103</v>
      </c>
      <c r="AD23" s="39">
        <f t="shared" si="15"/>
        <v>2</v>
      </c>
      <c r="AE23" s="40">
        <f t="shared" si="15"/>
        <v>102</v>
      </c>
      <c r="AF23" s="40">
        <f t="shared" si="15"/>
        <v>203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6</v>
      </c>
      <c r="F24" s="50">
        <v>4</v>
      </c>
      <c r="G24" s="50">
        <v>0</v>
      </c>
      <c r="H24" s="50">
        <v>0</v>
      </c>
      <c r="I24" s="50">
        <v>3</v>
      </c>
      <c r="J24" s="50">
        <v>0</v>
      </c>
      <c r="K24" s="50">
        <v>3</v>
      </c>
      <c r="L24" s="50">
        <v>0</v>
      </c>
      <c r="M24" s="50">
        <v>14</v>
      </c>
      <c r="N24" s="50">
        <v>0</v>
      </c>
      <c r="O24" s="15">
        <f t="shared" si="0"/>
        <v>20</v>
      </c>
      <c r="P24" s="15">
        <f t="shared" si="1"/>
        <v>34</v>
      </c>
      <c r="R24" s="38" t="s">
        <v>92</v>
      </c>
      <c r="S24" s="39">
        <f>MAX(S19:S21)</f>
        <v>40</v>
      </c>
      <c r="T24" s="39">
        <f t="shared" ref="T24:AF24" si="16">MAX(T19:T21)</f>
        <v>0</v>
      </c>
      <c r="U24" s="39">
        <f t="shared" si="16"/>
        <v>39</v>
      </c>
      <c r="V24" s="39">
        <f t="shared" si="16"/>
        <v>22</v>
      </c>
      <c r="W24" s="39">
        <f t="shared" si="16"/>
        <v>6</v>
      </c>
      <c r="X24" s="39">
        <f t="shared" si="16"/>
        <v>3</v>
      </c>
      <c r="Y24" s="39">
        <f t="shared" si="16"/>
        <v>18</v>
      </c>
      <c r="Z24" s="39">
        <f t="shared" si="16"/>
        <v>2</v>
      </c>
      <c r="AA24" s="39">
        <f t="shared" si="16"/>
        <v>2</v>
      </c>
      <c r="AB24" s="39">
        <f t="shared" si="16"/>
        <v>4</v>
      </c>
      <c r="AC24" s="39">
        <f t="shared" si="16"/>
        <v>118</v>
      </c>
      <c r="AD24" s="39">
        <f t="shared" si="16"/>
        <v>0</v>
      </c>
      <c r="AE24" s="40">
        <f t="shared" si="16"/>
        <v>119</v>
      </c>
      <c r="AF24" s="40">
        <f t="shared" si="16"/>
        <v>237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4</v>
      </c>
      <c r="F25" s="50">
        <v>6</v>
      </c>
      <c r="G25" s="50">
        <v>0</v>
      </c>
      <c r="H25" s="50">
        <v>1</v>
      </c>
      <c r="I25" s="50">
        <v>5</v>
      </c>
      <c r="J25" s="50">
        <v>0</v>
      </c>
      <c r="K25" s="50">
        <v>2</v>
      </c>
      <c r="L25" s="50">
        <v>0</v>
      </c>
      <c r="M25" s="50">
        <v>16</v>
      </c>
      <c r="N25" s="50">
        <v>0</v>
      </c>
      <c r="O25" s="15">
        <f t="shared" si="0"/>
        <v>26</v>
      </c>
      <c r="P25" s="15">
        <f t="shared" si="1"/>
        <v>42</v>
      </c>
      <c r="R25" s="37" t="s">
        <v>85</v>
      </c>
      <c r="S25" s="35">
        <f t="shared" ref="S25:AF25" si="17">SUM(S10:S12)</f>
        <v>46</v>
      </c>
      <c r="T25" s="16">
        <f t="shared" si="17"/>
        <v>0</v>
      </c>
      <c r="U25" s="16">
        <f t="shared" si="17"/>
        <v>44</v>
      </c>
      <c r="V25" s="16">
        <f t="shared" si="17"/>
        <v>59</v>
      </c>
      <c r="W25" s="16">
        <f t="shared" si="17"/>
        <v>1</v>
      </c>
      <c r="X25" s="16">
        <f t="shared" si="17"/>
        <v>0</v>
      </c>
      <c r="Y25" s="16">
        <f t="shared" si="17"/>
        <v>24</v>
      </c>
      <c r="Z25" s="16">
        <f t="shared" si="17"/>
        <v>0</v>
      </c>
      <c r="AA25" s="16">
        <f t="shared" si="17"/>
        <v>3</v>
      </c>
      <c r="AB25" s="16">
        <f t="shared" si="17"/>
        <v>1</v>
      </c>
      <c r="AC25" s="16">
        <f t="shared" si="17"/>
        <v>369</v>
      </c>
      <c r="AD25" s="16">
        <f t="shared" si="17"/>
        <v>0</v>
      </c>
      <c r="AE25" s="32">
        <f t="shared" si="17"/>
        <v>178</v>
      </c>
      <c r="AF25" s="32">
        <f t="shared" si="17"/>
        <v>547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2</v>
      </c>
      <c r="F26" s="50">
        <v>5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24</v>
      </c>
      <c r="N26" s="50">
        <v>0</v>
      </c>
      <c r="O26" s="15">
        <f t="shared" si="0"/>
        <v>14</v>
      </c>
      <c r="P26" s="15">
        <f t="shared" si="1"/>
        <v>38</v>
      </c>
      <c r="R26" s="28" t="s">
        <v>86</v>
      </c>
      <c r="S26" s="16">
        <f t="shared" ref="S26:AF26" si="18">SUM(S13:S18)</f>
        <v>167</v>
      </c>
      <c r="T26" s="16">
        <f t="shared" si="18"/>
        <v>0</v>
      </c>
      <c r="U26" s="16">
        <f t="shared" si="18"/>
        <v>133</v>
      </c>
      <c r="V26" s="16">
        <f t="shared" si="18"/>
        <v>118</v>
      </c>
      <c r="W26" s="16">
        <f t="shared" si="18"/>
        <v>6</v>
      </c>
      <c r="X26" s="16">
        <f t="shared" si="18"/>
        <v>2</v>
      </c>
      <c r="Y26" s="16">
        <f t="shared" si="18"/>
        <v>88</v>
      </c>
      <c r="Z26" s="16">
        <f t="shared" si="18"/>
        <v>8</v>
      </c>
      <c r="AA26" s="16">
        <f t="shared" si="18"/>
        <v>13</v>
      </c>
      <c r="AB26" s="16">
        <f t="shared" si="18"/>
        <v>2</v>
      </c>
      <c r="AC26" s="16">
        <f t="shared" si="18"/>
        <v>572</v>
      </c>
      <c r="AD26" s="16">
        <f t="shared" si="18"/>
        <v>2</v>
      </c>
      <c r="AE26" s="32">
        <f t="shared" si="18"/>
        <v>539</v>
      </c>
      <c r="AF26" s="32">
        <f t="shared" si="18"/>
        <v>1111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6</v>
      </c>
      <c r="F27" s="50">
        <v>4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18</v>
      </c>
      <c r="P27" s="15">
        <f t="shared" si="1"/>
        <v>36</v>
      </c>
      <c r="R27" s="29" t="s">
        <v>87</v>
      </c>
      <c r="S27" s="16">
        <f t="shared" ref="S27:AF27" si="19">SUM(S19:S21)</f>
        <v>93</v>
      </c>
      <c r="T27" s="16">
        <f t="shared" si="19"/>
        <v>0</v>
      </c>
      <c r="U27" s="16">
        <f t="shared" si="19"/>
        <v>93</v>
      </c>
      <c r="V27" s="16">
        <f t="shared" si="19"/>
        <v>54</v>
      </c>
      <c r="W27" s="16">
        <f t="shared" si="19"/>
        <v>14</v>
      </c>
      <c r="X27" s="16">
        <f t="shared" si="19"/>
        <v>8</v>
      </c>
      <c r="Y27" s="16">
        <f t="shared" si="19"/>
        <v>46</v>
      </c>
      <c r="Z27" s="16">
        <f t="shared" si="19"/>
        <v>4</v>
      </c>
      <c r="AA27" s="16">
        <f t="shared" si="19"/>
        <v>2</v>
      </c>
      <c r="AB27" s="16">
        <f t="shared" si="19"/>
        <v>5</v>
      </c>
      <c r="AC27" s="16">
        <f t="shared" si="19"/>
        <v>308</v>
      </c>
      <c r="AD27" s="16">
        <f t="shared" si="19"/>
        <v>0</v>
      </c>
      <c r="AE27" s="32">
        <f t="shared" si="19"/>
        <v>319</v>
      </c>
      <c r="AF27" s="32">
        <f t="shared" si="19"/>
        <v>627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9</v>
      </c>
      <c r="F28" s="50">
        <v>5</v>
      </c>
      <c r="G28" s="50">
        <v>1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23</v>
      </c>
      <c r="P28" s="15">
        <f t="shared" si="1"/>
        <v>48</v>
      </c>
      <c r="R28" s="5" t="s">
        <v>17</v>
      </c>
      <c r="S28" s="16">
        <f t="shared" ref="S28:AF28" si="20">SUM(S10:S21)</f>
        <v>306</v>
      </c>
      <c r="T28" s="16">
        <f t="shared" si="20"/>
        <v>0</v>
      </c>
      <c r="U28" s="16">
        <f t="shared" si="20"/>
        <v>270</v>
      </c>
      <c r="V28" s="16">
        <f t="shared" si="20"/>
        <v>231</v>
      </c>
      <c r="W28" s="16">
        <f t="shared" si="20"/>
        <v>21</v>
      </c>
      <c r="X28" s="16">
        <f t="shared" si="20"/>
        <v>10</v>
      </c>
      <c r="Y28" s="16">
        <f t="shared" si="20"/>
        <v>158</v>
      </c>
      <c r="Z28" s="16">
        <f t="shared" si="20"/>
        <v>12</v>
      </c>
      <c r="AA28" s="16">
        <f t="shared" si="20"/>
        <v>18</v>
      </c>
      <c r="AB28" s="16">
        <f t="shared" si="20"/>
        <v>8</v>
      </c>
      <c r="AC28" s="16">
        <f t="shared" si="20"/>
        <v>1249</v>
      </c>
      <c r="AD28" s="16">
        <f t="shared" si="20"/>
        <v>2</v>
      </c>
      <c r="AE28" s="32">
        <f t="shared" si="20"/>
        <v>1036</v>
      </c>
      <c r="AF28" s="32">
        <f t="shared" si="20"/>
        <v>2285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1</v>
      </c>
      <c r="F29" s="50">
        <v>3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27</v>
      </c>
      <c r="N29" s="50">
        <v>2</v>
      </c>
      <c r="O29" s="15">
        <f t="shared" si="0"/>
        <v>14</v>
      </c>
      <c r="P29" s="15">
        <f t="shared" si="1"/>
        <v>41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9</v>
      </c>
      <c r="F30" s="50">
        <v>8</v>
      </c>
      <c r="G30" s="50">
        <v>0</v>
      </c>
      <c r="H30" s="50">
        <v>0</v>
      </c>
      <c r="I30" s="50">
        <v>4</v>
      </c>
      <c r="J30" s="50">
        <v>2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26</v>
      </c>
      <c r="P30" s="15">
        <f t="shared" si="1"/>
        <v>42</v>
      </c>
    </row>
    <row r="31" spans="2:32" ht="23.1" customHeight="1" x14ac:dyDescent="0.25">
      <c r="B31" s="24" t="s">
        <v>58</v>
      </c>
      <c r="C31" s="50">
        <v>9</v>
      </c>
      <c r="D31" s="50">
        <v>0</v>
      </c>
      <c r="E31" s="50">
        <v>9</v>
      </c>
      <c r="F31" s="50">
        <v>4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24</v>
      </c>
      <c r="P31" s="15">
        <f t="shared" si="1"/>
        <v>51</v>
      </c>
    </row>
    <row r="32" spans="2:32" ht="23.1" customHeight="1" x14ac:dyDescent="0.25">
      <c r="B32" s="24" t="s">
        <v>59</v>
      </c>
      <c r="C32" s="50">
        <v>10</v>
      </c>
      <c r="D32" s="50">
        <v>0</v>
      </c>
      <c r="E32" s="50">
        <v>2</v>
      </c>
      <c r="F32" s="50">
        <v>4</v>
      </c>
      <c r="G32" s="50">
        <v>0</v>
      </c>
      <c r="H32" s="50">
        <v>0</v>
      </c>
      <c r="I32" s="50">
        <v>6</v>
      </c>
      <c r="J32" s="50">
        <v>0</v>
      </c>
      <c r="K32" s="50">
        <v>1</v>
      </c>
      <c r="L32" s="50">
        <v>0</v>
      </c>
      <c r="M32" s="50">
        <v>24</v>
      </c>
      <c r="N32" s="50">
        <v>0</v>
      </c>
      <c r="O32" s="15">
        <f t="shared" si="0"/>
        <v>23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12</v>
      </c>
      <c r="D33" s="50">
        <v>0</v>
      </c>
      <c r="E33" s="50">
        <v>3</v>
      </c>
      <c r="F33" s="50">
        <v>6</v>
      </c>
      <c r="G33" s="50">
        <v>0</v>
      </c>
      <c r="H33" s="50">
        <v>0</v>
      </c>
      <c r="I33" s="50">
        <v>7</v>
      </c>
      <c r="J33" s="50">
        <v>0</v>
      </c>
      <c r="K33" s="50">
        <v>0</v>
      </c>
      <c r="L33" s="50">
        <v>1</v>
      </c>
      <c r="M33" s="50">
        <v>34</v>
      </c>
      <c r="N33" s="50">
        <v>0</v>
      </c>
      <c r="O33" s="15">
        <f t="shared" si="0"/>
        <v>29</v>
      </c>
      <c r="P33" s="15">
        <f t="shared" si="1"/>
        <v>63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4</v>
      </c>
      <c r="F34" s="50">
        <v>7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18</v>
      </c>
      <c r="P34" s="15">
        <f t="shared" si="1"/>
        <v>35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5</v>
      </c>
      <c r="F35" s="50">
        <v>8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1</v>
      </c>
      <c r="M35" s="50">
        <v>20</v>
      </c>
      <c r="N35" s="50">
        <v>0</v>
      </c>
      <c r="O35" s="15">
        <f t="shared" si="0"/>
        <v>21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4</v>
      </c>
      <c r="F36" s="50">
        <v>6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25</v>
      </c>
      <c r="N36" s="50">
        <v>0</v>
      </c>
      <c r="O36" s="15">
        <f t="shared" si="0"/>
        <v>18</v>
      </c>
      <c r="P36" s="15">
        <f t="shared" si="1"/>
        <v>43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12</v>
      </c>
      <c r="F37" s="50">
        <v>3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31</v>
      </c>
      <c r="N37" s="50">
        <v>0</v>
      </c>
      <c r="O37" s="15">
        <f t="shared" si="0"/>
        <v>22</v>
      </c>
      <c r="P37" s="15">
        <f t="shared" si="1"/>
        <v>53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6</v>
      </c>
      <c r="F38" s="50">
        <v>3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19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12</v>
      </c>
      <c r="D39" s="50">
        <v>0</v>
      </c>
      <c r="E39" s="50">
        <v>5</v>
      </c>
      <c r="F39" s="50">
        <v>4</v>
      </c>
      <c r="G39" s="50">
        <v>0</v>
      </c>
      <c r="H39" s="50">
        <v>0</v>
      </c>
      <c r="I39" s="50">
        <v>3</v>
      </c>
      <c r="J39" s="50">
        <v>2</v>
      </c>
      <c r="K39" s="50">
        <v>0</v>
      </c>
      <c r="L39" s="50">
        <v>0</v>
      </c>
      <c r="M39" s="50">
        <v>23</v>
      </c>
      <c r="N39" s="50">
        <v>0</v>
      </c>
      <c r="O39" s="15">
        <f t="shared" si="0"/>
        <v>26</v>
      </c>
      <c r="P39" s="15">
        <f t="shared" si="1"/>
        <v>49</v>
      </c>
    </row>
    <row r="40" spans="2:20" ht="23.1" customHeight="1" x14ac:dyDescent="0.25">
      <c r="B40" s="24" t="s">
        <v>67</v>
      </c>
      <c r="C40" s="50">
        <v>7</v>
      </c>
      <c r="D40" s="50">
        <v>0</v>
      </c>
      <c r="E40" s="50">
        <v>4</v>
      </c>
      <c r="F40" s="50">
        <v>4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31</v>
      </c>
      <c r="N40" s="50">
        <v>0</v>
      </c>
      <c r="O40" s="15">
        <f t="shared" si="0"/>
        <v>20</v>
      </c>
      <c r="P40" s="15">
        <f t="shared" si="1"/>
        <v>51</v>
      </c>
    </row>
    <row r="41" spans="2:20" ht="23.1" customHeight="1" x14ac:dyDescent="0.25">
      <c r="B41" s="23" t="s">
        <v>68</v>
      </c>
      <c r="C41" s="50">
        <v>9</v>
      </c>
      <c r="D41" s="50">
        <v>0</v>
      </c>
      <c r="E41" s="50">
        <v>7</v>
      </c>
      <c r="F41" s="50">
        <v>5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25</v>
      </c>
      <c r="N41" s="50">
        <v>0</v>
      </c>
      <c r="O41" s="15">
        <f t="shared" si="0"/>
        <v>28</v>
      </c>
      <c r="P41" s="15">
        <f t="shared" si="1"/>
        <v>53</v>
      </c>
    </row>
    <row r="42" spans="2:20" ht="23.1" customHeight="1" x14ac:dyDescent="0.25">
      <c r="B42" s="24" t="s">
        <v>69</v>
      </c>
      <c r="C42" s="50">
        <v>11</v>
      </c>
      <c r="D42" s="50">
        <v>0</v>
      </c>
      <c r="E42" s="50">
        <v>7</v>
      </c>
      <c r="F42" s="50">
        <v>6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27</v>
      </c>
      <c r="P42" s="15">
        <f t="shared" si="1"/>
        <v>47</v>
      </c>
    </row>
    <row r="43" spans="2:20" ht="23.1" customHeight="1" x14ac:dyDescent="0.25">
      <c r="B43" s="23" t="s">
        <v>70</v>
      </c>
      <c r="C43" s="50">
        <v>8</v>
      </c>
      <c r="D43" s="50">
        <v>0</v>
      </c>
      <c r="E43" s="50">
        <v>5</v>
      </c>
      <c r="F43" s="50">
        <v>3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5">
        <f t="shared" si="0"/>
        <v>22</v>
      </c>
      <c r="P43" s="15">
        <f t="shared" si="1"/>
        <v>48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6</v>
      </c>
      <c r="F44" s="50">
        <v>4</v>
      </c>
      <c r="G44" s="50">
        <v>0</v>
      </c>
      <c r="H44" s="50">
        <v>1</v>
      </c>
      <c r="I44" s="50">
        <v>3</v>
      </c>
      <c r="J44" s="50">
        <v>1</v>
      </c>
      <c r="K44" s="50">
        <v>3</v>
      </c>
      <c r="L44" s="50">
        <v>0</v>
      </c>
      <c r="M44" s="50">
        <v>33</v>
      </c>
      <c r="N44" s="50">
        <v>0</v>
      </c>
      <c r="O44" s="15">
        <f t="shared" si="0"/>
        <v>24</v>
      </c>
      <c r="P44" s="15">
        <f t="shared" si="1"/>
        <v>57</v>
      </c>
    </row>
    <row r="45" spans="2:20" ht="23.1" customHeight="1" x14ac:dyDescent="0.25">
      <c r="B45" s="23" t="s">
        <v>72</v>
      </c>
      <c r="C45" s="50">
        <v>9</v>
      </c>
      <c r="D45" s="50">
        <v>0</v>
      </c>
      <c r="E45" s="50">
        <v>7</v>
      </c>
      <c r="F45" s="50">
        <v>6</v>
      </c>
      <c r="G45" s="50">
        <v>2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18</v>
      </c>
      <c r="N45" s="50">
        <v>0</v>
      </c>
      <c r="O45" s="15">
        <f t="shared" si="0"/>
        <v>29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8</v>
      </c>
      <c r="D46" s="50">
        <v>0</v>
      </c>
      <c r="E46" s="50">
        <v>7</v>
      </c>
      <c r="F46" s="50">
        <v>1</v>
      </c>
      <c r="G46" s="50">
        <v>0</v>
      </c>
      <c r="H46" s="50">
        <v>0</v>
      </c>
      <c r="I46" s="50">
        <v>4</v>
      </c>
      <c r="J46" s="50">
        <v>0</v>
      </c>
      <c r="K46" s="50">
        <v>2</v>
      </c>
      <c r="L46" s="50">
        <v>1</v>
      </c>
      <c r="M46" s="50">
        <v>32</v>
      </c>
      <c r="N46" s="50">
        <v>0</v>
      </c>
      <c r="O46" s="15">
        <f t="shared" si="0"/>
        <v>23</v>
      </c>
      <c r="P46" s="15">
        <f t="shared" si="1"/>
        <v>55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0</v>
      </c>
      <c r="E47" s="50">
        <v>9</v>
      </c>
      <c r="F47" s="50">
        <v>6</v>
      </c>
      <c r="G47" s="50">
        <v>1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28</v>
      </c>
      <c r="N47" s="50">
        <v>0</v>
      </c>
      <c r="O47" s="15">
        <f t="shared" si="0"/>
        <v>28</v>
      </c>
      <c r="P47" s="15">
        <f t="shared" si="1"/>
        <v>56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0</v>
      </c>
      <c r="E48" s="50">
        <v>6</v>
      </c>
      <c r="F48" s="50">
        <v>4</v>
      </c>
      <c r="G48" s="50">
        <v>1</v>
      </c>
      <c r="H48" s="50">
        <v>1</v>
      </c>
      <c r="I48" s="50">
        <v>2</v>
      </c>
      <c r="J48" s="50">
        <v>0</v>
      </c>
      <c r="K48" s="50">
        <v>0</v>
      </c>
      <c r="L48" s="50">
        <v>3</v>
      </c>
      <c r="M48" s="50">
        <v>18</v>
      </c>
      <c r="N48" s="50">
        <v>0</v>
      </c>
      <c r="O48" s="15">
        <f t="shared" si="0"/>
        <v>25</v>
      </c>
      <c r="P48" s="15">
        <f t="shared" si="1"/>
        <v>43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4</v>
      </c>
      <c r="F49" s="50">
        <v>4</v>
      </c>
      <c r="G49" s="50">
        <v>0</v>
      </c>
      <c r="H49" s="50">
        <v>1</v>
      </c>
      <c r="I49" s="50">
        <v>3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16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14</v>
      </c>
      <c r="D50" s="50">
        <v>0</v>
      </c>
      <c r="E50" s="50">
        <v>8</v>
      </c>
      <c r="F50" s="50">
        <v>5</v>
      </c>
      <c r="G50" s="50">
        <v>1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32</v>
      </c>
      <c r="N50" s="50">
        <v>0</v>
      </c>
      <c r="O50" s="15">
        <f t="shared" si="0"/>
        <v>31</v>
      </c>
      <c r="P50" s="15">
        <f t="shared" si="1"/>
        <v>63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0</v>
      </c>
      <c r="E51" s="50">
        <v>8</v>
      </c>
      <c r="F51" s="50">
        <v>6</v>
      </c>
      <c r="G51" s="50">
        <v>1</v>
      </c>
      <c r="H51" s="50">
        <v>1</v>
      </c>
      <c r="I51" s="50">
        <v>3</v>
      </c>
      <c r="J51" s="50">
        <v>1</v>
      </c>
      <c r="K51" s="50">
        <v>0</v>
      </c>
      <c r="L51" s="50">
        <v>0</v>
      </c>
      <c r="M51" s="50">
        <v>24</v>
      </c>
      <c r="N51" s="50">
        <v>0</v>
      </c>
      <c r="O51" s="15">
        <f t="shared" si="0"/>
        <v>35</v>
      </c>
      <c r="P51" s="15">
        <f t="shared" si="1"/>
        <v>59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5</v>
      </c>
      <c r="F52" s="50">
        <v>4</v>
      </c>
      <c r="G52" s="50">
        <v>2</v>
      </c>
      <c r="H52" s="50">
        <v>0</v>
      </c>
      <c r="I52" s="50">
        <v>5</v>
      </c>
      <c r="J52" s="50">
        <v>1</v>
      </c>
      <c r="K52" s="50">
        <v>0</v>
      </c>
      <c r="L52" s="50">
        <v>0</v>
      </c>
      <c r="M52" s="50">
        <v>34</v>
      </c>
      <c r="N52" s="50">
        <v>0</v>
      </c>
      <c r="O52" s="15">
        <f t="shared" si="0"/>
        <v>22</v>
      </c>
      <c r="P52" s="15">
        <f t="shared" si="1"/>
        <v>56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7</v>
      </c>
      <c r="F53" s="50">
        <v>7</v>
      </c>
      <c r="G53" s="50">
        <v>2</v>
      </c>
      <c r="H53" s="50">
        <v>2</v>
      </c>
      <c r="I53" s="50">
        <v>7</v>
      </c>
      <c r="J53" s="50">
        <v>0</v>
      </c>
      <c r="K53" s="50">
        <v>0</v>
      </c>
      <c r="L53" s="50">
        <v>0</v>
      </c>
      <c r="M53" s="50">
        <v>28</v>
      </c>
      <c r="N53" s="50">
        <v>0</v>
      </c>
      <c r="O53" s="15">
        <f t="shared" si="0"/>
        <v>31</v>
      </c>
      <c r="P53" s="15">
        <f t="shared" si="1"/>
        <v>59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4</v>
      </c>
      <c r="F54" s="50">
        <v>6</v>
      </c>
      <c r="G54" s="50">
        <v>4</v>
      </c>
      <c r="H54" s="50">
        <v>1</v>
      </c>
      <c r="I54" s="50">
        <v>4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25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10</v>
      </c>
      <c r="F55" s="50">
        <v>5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21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7</v>
      </c>
      <c r="F56" s="50">
        <v>5</v>
      </c>
      <c r="G56" s="50">
        <v>1</v>
      </c>
      <c r="H56" s="50">
        <v>1</v>
      </c>
      <c r="I56" s="50">
        <v>6</v>
      </c>
      <c r="J56" s="50">
        <v>1</v>
      </c>
      <c r="K56" s="50">
        <v>0</v>
      </c>
      <c r="L56" s="50">
        <v>1</v>
      </c>
      <c r="M56" s="50">
        <v>20</v>
      </c>
      <c r="N56" s="50">
        <v>0</v>
      </c>
      <c r="O56" s="15">
        <f t="shared" si="0"/>
        <v>27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0</v>
      </c>
      <c r="E57" s="50">
        <v>18</v>
      </c>
      <c r="F57" s="50">
        <v>1</v>
      </c>
      <c r="G57" s="50">
        <v>1</v>
      </c>
      <c r="H57" s="50">
        <v>1</v>
      </c>
      <c r="I57" s="50">
        <v>5</v>
      </c>
      <c r="J57" s="50">
        <v>0</v>
      </c>
      <c r="K57" s="50">
        <v>0</v>
      </c>
      <c r="L57" s="50">
        <v>0</v>
      </c>
      <c r="M57" s="50">
        <v>26</v>
      </c>
      <c r="N57" s="50">
        <v>0</v>
      </c>
      <c r="O57" s="15">
        <f t="shared" si="0"/>
        <v>35</v>
      </c>
      <c r="P57" s="15">
        <f t="shared" si="1"/>
        <v>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306</v>
      </c>
      <c r="D58" s="16">
        <f t="shared" si="21"/>
        <v>0</v>
      </c>
      <c r="E58" s="16">
        <f t="shared" si="21"/>
        <v>270</v>
      </c>
      <c r="F58" s="16">
        <f t="shared" si="21"/>
        <v>231</v>
      </c>
      <c r="G58" s="16">
        <f t="shared" si="21"/>
        <v>21</v>
      </c>
      <c r="H58" s="16">
        <f t="shared" si="21"/>
        <v>10</v>
      </c>
      <c r="I58" s="16">
        <f t="shared" si="21"/>
        <v>158</v>
      </c>
      <c r="J58" s="16">
        <f t="shared" si="21"/>
        <v>12</v>
      </c>
      <c r="K58" s="16">
        <f t="shared" si="21"/>
        <v>18</v>
      </c>
      <c r="L58" s="16">
        <f t="shared" si="21"/>
        <v>8</v>
      </c>
      <c r="M58" s="16">
        <f t="shared" si="21"/>
        <v>1249</v>
      </c>
      <c r="N58" s="16">
        <f t="shared" si="21"/>
        <v>2</v>
      </c>
      <c r="O58" s="16">
        <f t="shared" si="21"/>
        <v>1036</v>
      </c>
      <c r="P58" s="16">
        <f t="shared" si="21"/>
        <v>2285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0.13391684901531728</v>
      </c>
      <c r="D59" s="43">
        <f t="shared" si="22"/>
        <v>0</v>
      </c>
      <c r="E59" s="43">
        <f t="shared" si="22"/>
        <v>0.11816192560175055</v>
      </c>
      <c r="F59" s="43">
        <f t="shared" si="22"/>
        <v>0.10109409190371992</v>
      </c>
      <c r="G59" s="43">
        <f t="shared" si="22"/>
        <v>9.1903719912472641E-3</v>
      </c>
      <c r="H59" s="43">
        <f t="shared" si="22"/>
        <v>4.3763676148796497E-3</v>
      </c>
      <c r="I59" s="43">
        <f t="shared" si="22"/>
        <v>6.9146608315098473E-2</v>
      </c>
      <c r="J59" s="43">
        <f t="shared" si="22"/>
        <v>5.2516411378555799E-3</v>
      </c>
      <c r="K59" s="43">
        <f t="shared" si="22"/>
        <v>7.8774617067833702E-3</v>
      </c>
      <c r="L59" s="43">
        <f t="shared" si="22"/>
        <v>3.50109409190372E-3</v>
      </c>
      <c r="M59" s="43">
        <f t="shared" si="22"/>
        <v>0.5466083150984683</v>
      </c>
      <c r="N59" s="43">
        <f t="shared" si="22"/>
        <v>8.7527352297593001E-4</v>
      </c>
      <c r="R59" s="8"/>
      <c r="T59"/>
    </row>
    <row r="60" spans="2:20" ht="23.1" customHeight="1" x14ac:dyDescent="0.25">
      <c r="B60" s="42" t="s">
        <v>94</v>
      </c>
      <c r="C60" s="44">
        <f>C58/$O$58</f>
        <v>0.29536679536679539</v>
      </c>
      <c r="D60" s="44">
        <f t="shared" ref="D60:N60" si="23">D58/$O$58</f>
        <v>0</v>
      </c>
      <c r="E60" s="44">
        <f t="shared" si="23"/>
        <v>0.2606177606177606</v>
      </c>
      <c r="F60" s="44">
        <f t="shared" si="23"/>
        <v>0.22297297297297297</v>
      </c>
      <c r="G60" s="44">
        <f t="shared" si="23"/>
        <v>2.0270270270270271E-2</v>
      </c>
      <c r="H60" s="44">
        <f t="shared" si="23"/>
        <v>9.6525096525096523E-3</v>
      </c>
      <c r="I60" s="44">
        <f t="shared" si="23"/>
        <v>0.15250965250965251</v>
      </c>
      <c r="J60" s="44">
        <f t="shared" si="23"/>
        <v>1.1583011583011582E-2</v>
      </c>
      <c r="K60" s="44">
        <f t="shared" si="23"/>
        <v>1.7374517374517374E-2</v>
      </c>
      <c r="L60" s="44">
        <f t="shared" si="23"/>
        <v>7.7220077220077222E-3</v>
      </c>
      <c r="M60" s="44"/>
      <c r="N60" s="44">
        <f t="shared" si="23"/>
        <v>1.9305019305019305E-3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74"/>
  <sheetViews>
    <sheetView view="pageBreakPreview" topLeftCell="A70" zoomScale="60" workbookViewId="0">
      <selection activeCell="M89" sqref="M8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'22.8 Kaangulumira-Kayunga'!G5:H5</f>
        <v xml:space="preserve"> </v>
      </c>
      <c r="H5" s="64"/>
      <c r="I5" s="14"/>
      <c r="J5" s="2" t="s">
        <v>5</v>
      </c>
      <c r="K5" s="63" t="str">
        <f>'22.8 Kaangulumira-Kayunga'!K5:L5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'20.8 Kayunga-Kangulumira'!D6:E6</f>
        <v>KAYUNGA</v>
      </c>
      <c r="E6" s="64"/>
      <c r="F6" s="2" t="s">
        <v>2</v>
      </c>
      <c r="G6" s="63" t="str">
        <f>'20.8 Kayunga-Kangulumira'!G6:H6</f>
        <v>KANGULUMIRA</v>
      </c>
      <c r="H6" s="64"/>
      <c r="J6" s="2" t="s">
        <v>21</v>
      </c>
      <c r="K6" s="63" t="str">
        <f>'22.8 Kaangulumira-Kayunga'!K6:L6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3</v>
      </c>
      <c r="F10" s="50">
        <v>2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5">
        <f t="shared" ref="O10:O73" si="0">SUM(C10:L10,N10)</f>
        <v>11</v>
      </c>
      <c r="P10" s="15">
        <f t="shared" ref="P10:P73" si="1">SUM(C10:N10)</f>
        <v>27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24</v>
      </c>
      <c r="V10" s="17">
        <f t="shared" si="2"/>
        <v>19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3</v>
      </c>
      <c r="AA10" s="17">
        <f t="shared" si="2"/>
        <v>3</v>
      </c>
      <c r="AB10" s="17">
        <f t="shared" si="2"/>
        <v>0</v>
      </c>
      <c r="AC10" s="17">
        <f t="shared" si="2"/>
        <v>82</v>
      </c>
      <c r="AD10" s="17">
        <f t="shared" si="2"/>
        <v>0</v>
      </c>
      <c r="AE10" s="31">
        <f t="shared" si="2"/>
        <v>69</v>
      </c>
      <c r="AF10" s="31">
        <f t="shared" si="2"/>
        <v>151</v>
      </c>
    </row>
    <row r="11" spans="2:32" s="6" customFormat="1" ht="23.1" customHeight="1" x14ac:dyDescent="0.25">
      <c r="B11" s="45" t="s">
        <v>38</v>
      </c>
      <c r="C11" s="50">
        <v>5</v>
      </c>
      <c r="D11" s="50">
        <v>0</v>
      </c>
      <c r="E11" s="50">
        <v>6</v>
      </c>
      <c r="F11" s="50">
        <v>8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22</v>
      </c>
      <c r="P11" s="15">
        <f t="shared" si="1"/>
        <v>39</v>
      </c>
      <c r="R11" s="1" t="s">
        <v>7</v>
      </c>
      <c r="S11" s="17">
        <f>SUM(C14:C17)</f>
        <v>16</v>
      </c>
      <c r="T11" s="17">
        <f t="shared" ref="T11:AF11" si="3">SUM(D14:D17)</f>
        <v>0</v>
      </c>
      <c r="U11" s="17">
        <f t="shared" si="3"/>
        <v>19</v>
      </c>
      <c r="V11" s="17">
        <f t="shared" si="3"/>
        <v>14</v>
      </c>
      <c r="W11" s="17">
        <f t="shared" si="3"/>
        <v>1</v>
      </c>
      <c r="X11" s="17">
        <f t="shared" si="3"/>
        <v>1</v>
      </c>
      <c r="Y11" s="17">
        <f t="shared" si="3"/>
        <v>12</v>
      </c>
      <c r="Z11" s="17">
        <f t="shared" si="3"/>
        <v>2</v>
      </c>
      <c r="AA11" s="17">
        <f t="shared" si="3"/>
        <v>1</v>
      </c>
      <c r="AB11" s="17">
        <f t="shared" si="3"/>
        <v>3</v>
      </c>
      <c r="AC11" s="17">
        <f t="shared" si="3"/>
        <v>92</v>
      </c>
      <c r="AD11" s="17">
        <f t="shared" si="3"/>
        <v>0</v>
      </c>
      <c r="AE11" s="31">
        <f t="shared" si="3"/>
        <v>69</v>
      </c>
      <c r="AF11" s="31">
        <f t="shared" si="3"/>
        <v>161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8</v>
      </c>
      <c r="F12" s="50">
        <v>4</v>
      </c>
      <c r="G12" s="50">
        <v>0</v>
      </c>
      <c r="H12" s="50">
        <v>0</v>
      </c>
      <c r="I12" s="50">
        <v>2</v>
      </c>
      <c r="J12" s="50">
        <v>2</v>
      </c>
      <c r="K12" s="50">
        <v>2</v>
      </c>
      <c r="L12" s="50">
        <v>0</v>
      </c>
      <c r="M12" s="50">
        <v>18</v>
      </c>
      <c r="N12" s="50">
        <v>0</v>
      </c>
      <c r="O12" s="15">
        <f t="shared" si="0"/>
        <v>19</v>
      </c>
      <c r="P12" s="15">
        <f t="shared" si="1"/>
        <v>37</v>
      </c>
      <c r="R12" s="1" t="s">
        <v>8</v>
      </c>
      <c r="S12" s="17">
        <f t="shared" ref="S12:AF12" si="4">SUM(C18:C21)</f>
        <v>31</v>
      </c>
      <c r="T12" s="17">
        <f t="shared" si="4"/>
        <v>0</v>
      </c>
      <c r="U12" s="17">
        <f t="shared" si="4"/>
        <v>22</v>
      </c>
      <c r="V12" s="17">
        <f t="shared" si="4"/>
        <v>16</v>
      </c>
      <c r="W12" s="17">
        <f t="shared" si="4"/>
        <v>4</v>
      </c>
      <c r="X12" s="17">
        <f t="shared" si="4"/>
        <v>0</v>
      </c>
      <c r="Y12" s="17">
        <f t="shared" si="4"/>
        <v>12</v>
      </c>
      <c r="Z12" s="17">
        <f t="shared" si="4"/>
        <v>1</v>
      </c>
      <c r="AA12" s="17">
        <f t="shared" si="4"/>
        <v>2</v>
      </c>
      <c r="AB12" s="17">
        <f t="shared" si="4"/>
        <v>2</v>
      </c>
      <c r="AC12" s="17">
        <f t="shared" si="4"/>
        <v>79</v>
      </c>
      <c r="AD12" s="17">
        <f t="shared" si="4"/>
        <v>0</v>
      </c>
      <c r="AE12" s="31">
        <f t="shared" si="4"/>
        <v>90</v>
      </c>
      <c r="AF12" s="31">
        <f t="shared" si="4"/>
        <v>169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7</v>
      </c>
      <c r="F13" s="50">
        <v>5</v>
      </c>
      <c r="G13" s="50">
        <v>1</v>
      </c>
      <c r="H13" s="50">
        <v>0</v>
      </c>
      <c r="I13" s="50">
        <v>1</v>
      </c>
      <c r="J13" s="50">
        <v>0</v>
      </c>
      <c r="K13" s="50">
        <v>1</v>
      </c>
      <c r="L13" s="50">
        <v>0</v>
      </c>
      <c r="M13" s="50">
        <v>31</v>
      </c>
      <c r="N13" s="50">
        <v>0</v>
      </c>
      <c r="O13" s="15">
        <f t="shared" si="0"/>
        <v>17</v>
      </c>
      <c r="P13" s="15">
        <f t="shared" si="1"/>
        <v>48</v>
      </c>
      <c r="R13" s="1" t="s">
        <v>9</v>
      </c>
      <c r="S13" s="17">
        <f t="shared" ref="S13:AF13" si="5">SUM(C22:C25)</f>
        <v>18</v>
      </c>
      <c r="T13" s="17">
        <f t="shared" si="5"/>
        <v>0</v>
      </c>
      <c r="U13" s="17">
        <f t="shared" si="5"/>
        <v>33</v>
      </c>
      <c r="V13" s="17">
        <f t="shared" si="5"/>
        <v>13</v>
      </c>
      <c r="W13" s="17">
        <f t="shared" si="5"/>
        <v>6</v>
      </c>
      <c r="X13" s="17">
        <f t="shared" si="5"/>
        <v>0</v>
      </c>
      <c r="Y13" s="17">
        <f t="shared" si="5"/>
        <v>12</v>
      </c>
      <c r="Z13" s="17">
        <f t="shared" si="5"/>
        <v>2</v>
      </c>
      <c r="AA13" s="17">
        <f t="shared" si="5"/>
        <v>1</v>
      </c>
      <c r="AB13" s="17">
        <f t="shared" si="5"/>
        <v>3</v>
      </c>
      <c r="AC13" s="17">
        <f t="shared" si="5"/>
        <v>68</v>
      </c>
      <c r="AD13" s="17">
        <f t="shared" si="5"/>
        <v>0</v>
      </c>
      <c r="AE13" s="31">
        <f t="shared" si="5"/>
        <v>88</v>
      </c>
      <c r="AF13" s="31">
        <f t="shared" si="5"/>
        <v>156</v>
      </c>
    </row>
    <row r="14" spans="2:32" ht="23.1" customHeight="1" x14ac:dyDescent="0.25">
      <c r="B14" s="45" t="s">
        <v>41</v>
      </c>
      <c r="C14" s="50">
        <v>6</v>
      </c>
      <c r="D14" s="50">
        <v>0</v>
      </c>
      <c r="E14" s="50">
        <v>6</v>
      </c>
      <c r="F14" s="50">
        <v>2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3</v>
      </c>
      <c r="M14" s="50">
        <v>19</v>
      </c>
      <c r="N14" s="50">
        <v>0</v>
      </c>
      <c r="O14" s="15">
        <f t="shared" si="0"/>
        <v>19</v>
      </c>
      <c r="P14" s="15">
        <f t="shared" si="1"/>
        <v>38</v>
      </c>
      <c r="R14" s="1" t="s">
        <v>10</v>
      </c>
      <c r="S14" s="17">
        <f t="shared" ref="S14:AF14" si="6">SUM(C26:C29)</f>
        <v>23</v>
      </c>
      <c r="T14" s="17">
        <f t="shared" si="6"/>
        <v>0</v>
      </c>
      <c r="U14" s="17">
        <f t="shared" si="6"/>
        <v>25</v>
      </c>
      <c r="V14" s="17">
        <f t="shared" si="6"/>
        <v>18</v>
      </c>
      <c r="W14" s="17">
        <f t="shared" si="6"/>
        <v>1</v>
      </c>
      <c r="X14" s="17">
        <f t="shared" si="6"/>
        <v>0</v>
      </c>
      <c r="Y14" s="17">
        <f t="shared" si="6"/>
        <v>13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79</v>
      </c>
      <c r="AD14" s="17">
        <f t="shared" si="6"/>
        <v>0</v>
      </c>
      <c r="AE14" s="31">
        <f t="shared" si="6"/>
        <v>84</v>
      </c>
      <c r="AF14" s="31">
        <f t="shared" si="6"/>
        <v>163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3</v>
      </c>
      <c r="F15" s="50">
        <v>4</v>
      </c>
      <c r="G15" s="50">
        <v>1</v>
      </c>
      <c r="H15" s="50">
        <v>1</v>
      </c>
      <c r="I15" s="50">
        <v>4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5">
        <f t="shared" si="0"/>
        <v>15</v>
      </c>
      <c r="P15" s="15">
        <f t="shared" si="1"/>
        <v>43</v>
      </c>
      <c r="R15" s="1" t="s">
        <v>11</v>
      </c>
      <c r="S15" s="17">
        <f t="shared" ref="S15:AF15" si="7">SUM(C30:C33)</f>
        <v>25</v>
      </c>
      <c r="T15" s="17">
        <f t="shared" si="7"/>
        <v>0</v>
      </c>
      <c r="U15" s="17">
        <f t="shared" si="7"/>
        <v>29</v>
      </c>
      <c r="V15" s="17">
        <f t="shared" si="7"/>
        <v>18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91</v>
      </c>
      <c r="AD15" s="17">
        <f t="shared" si="7"/>
        <v>0</v>
      </c>
      <c r="AE15" s="31">
        <f t="shared" si="7"/>
        <v>84</v>
      </c>
      <c r="AF15" s="31">
        <f t="shared" si="7"/>
        <v>175</v>
      </c>
    </row>
    <row r="16" spans="2:32" ht="23.1" customHeight="1" x14ac:dyDescent="0.25">
      <c r="B16" s="45" t="s">
        <v>43</v>
      </c>
      <c r="C16" s="50">
        <v>4</v>
      </c>
      <c r="D16" s="50">
        <v>0</v>
      </c>
      <c r="E16" s="50">
        <v>6</v>
      </c>
      <c r="F16" s="50">
        <v>6</v>
      </c>
      <c r="G16" s="50">
        <v>0</v>
      </c>
      <c r="H16" s="50">
        <v>0</v>
      </c>
      <c r="I16" s="50">
        <v>5</v>
      </c>
      <c r="J16" s="50">
        <v>0</v>
      </c>
      <c r="K16" s="50">
        <v>1</v>
      </c>
      <c r="L16" s="50">
        <v>0</v>
      </c>
      <c r="M16" s="50">
        <v>21</v>
      </c>
      <c r="N16" s="50">
        <v>0</v>
      </c>
      <c r="O16" s="15">
        <f t="shared" si="0"/>
        <v>22</v>
      </c>
      <c r="P16" s="15">
        <f t="shared" si="1"/>
        <v>43</v>
      </c>
      <c r="R16" s="1" t="s">
        <v>12</v>
      </c>
      <c r="S16" s="17">
        <f t="shared" ref="S16:AF16" si="8">SUM(C34:C37)</f>
        <v>28</v>
      </c>
      <c r="T16" s="17">
        <f t="shared" si="8"/>
        <v>0</v>
      </c>
      <c r="U16" s="17">
        <f t="shared" si="8"/>
        <v>17</v>
      </c>
      <c r="V16" s="17">
        <f t="shared" si="8"/>
        <v>14</v>
      </c>
      <c r="W16" s="17">
        <f t="shared" si="8"/>
        <v>0</v>
      </c>
      <c r="X16" s="17">
        <f t="shared" si="8"/>
        <v>2</v>
      </c>
      <c r="Y16" s="17">
        <f t="shared" si="8"/>
        <v>16</v>
      </c>
      <c r="Z16" s="17">
        <f t="shared" si="8"/>
        <v>0</v>
      </c>
      <c r="AA16" s="17">
        <f t="shared" si="8"/>
        <v>2</v>
      </c>
      <c r="AB16" s="17">
        <f t="shared" si="8"/>
        <v>1</v>
      </c>
      <c r="AC16" s="17">
        <f t="shared" si="8"/>
        <v>97</v>
      </c>
      <c r="AD16" s="17">
        <f t="shared" si="8"/>
        <v>0</v>
      </c>
      <c r="AE16" s="31">
        <f t="shared" si="8"/>
        <v>80</v>
      </c>
      <c r="AF16" s="31">
        <f t="shared" si="8"/>
        <v>177</v>
      </c>
    </row>
    <row r="17" spans="2:32" ht="23.1" customHeight="1" x14ac:dyDescent="0.25">
      <c r="B17" s="45" t="s">
        <v>44</v>
      </c>
      <c r="C17" s="50">
        <v>4</v>
      </c>
      <c r="D17" s="50">
        <v>0</v>
      </c>
      <c r="E17" s="50">
        <v>4</v>
      </c>
      <c r="F17" s="50">
        <v>2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24</v>
      </c>
      <c r="N17" s="50">
        <v>0</v>
      </c>
      <c r="O17" s="15">
        <f t="shared" si="0"/>
        <v>13</v>
      </c>
      <c r="P17" s="15">
        <f t="shared" si="1"/>
        <v>37</v>
      </c>
      <c r="R17" s="1" t="s">
        <v>13</v>
      </c>
      <c r="S17" s="17">
        <f t="shared" ref="S17:AF17" si="9">SUM(C38:C41)</f>
        <v>26</v>
      </c>
      <c r="T17" s="17">
        <f t="shared" si="9"/>
        <v>0</v>
      </c>
      <c r="U17" s="17">
        <f t="shared" si="9"/>
        <v>40</v>
      </c>
      <c r="V17" s="17">
        <f t="shared" si="9"/>
        <v>19</v>
      </c>
      <c r="W17" s="17">
        <f t="shared" si="9"/>
        <v>1</v>
      </c>
      <c r="X17" s="17">
        <f t="shared" si="9"/>
        <v>0</v>
      </c>
      <c r="Y17" s="17">
        <f t="shared" si="9"/>
        <v>11</v>
      </c>
      <c r="Z17" s="17">
        <f t="shared" si="9"/>
        <v>0</v>
      </c>
      <c r="AA17" s="17">
        <f t="shared" si="9"/>
        <v>0</v>
      </c>
      <c r="AB17" s="17">
        <f t="shared" si="9"/>
        <v>2</v>
      </c>
      <c r="AC17" s="17">
        <f t="shared" si="9"/>
        <v>88</v>
      </c>
      <c r="AD17" s="17">
        <f t="shared" si="9"/>
        <v>0</v>
      </c>
      <c r="AE17" s="31">
        <f t="shared" si="9"/>
        <v>99</v>
      </c>
      <c r="AF17" s="31">
        <f t="shared" si="9"/>
        <v>187</v>
      </c>
    </row>
    <row r="18" spans="2:32" ht="23.1" customHeight="1" x14ac:dyDescent="0.25">
      <c r="B18" s="45" t="s">
        <v>45</v>
      </c>
      <c r="C18" s="50">
        <v>7</v>
      </c>
      <c r="D18" s="50">
        <v>0</v>
      </c>
      <c r="E18" s="50">
        <v>3</v>
      </c>
      <c r="F18" s="50">
        <v>1</v>
      </c>
      <c r="G18" s="50">
        <v>1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15</v>
      </c>
      <c r="P18" s="15">
        <f t="shared" si="1"/>
        <v>36</v>
      </c>
      <c r="R18" s="1" t="s">
        <v>14</v>
      </c>
      <c r="S18" s="17">
        <f t="shared" ref="S18:AF18" si="10">SUM(C42:C45)</f>
        <v>26</v>
      </c>
      <c r="T18" s="17">
        <f t="shared" si="10"/>
        <v>0</v>
      </c>
      <c r="U18" s="17">
        <f t="shared" si="10"/>
        <v>39</v>
      </c>
      <c r="V18" s="17">
        <f t="shared" si="10"/>
        <v>23</v>
      </c>
      <c r="W18" s="17">
        <f t="shared" si="10"/>
        <v>2</v>
      </c>
      <c r="X18" s="17">
        <f t="shared" si="10"/>
        <v>0</v>
      </c>
      <c r="Y18" s="17">
        <f t="shared" si="10"/>
        <v>13</v>
      </c>
      <c r="Z18" s="17">
        <f t="shared" si="10"/>
        <v>0</v>
      </c>
      <c r="AA18" s="17">
        <f t="shared" si="10"/>
        <v>1</v>
      </c>
      <c r="AB18" s="17">
        <f t="shared" si="10"/>
        <v>4</v>
      </c>
      <c r="AC18" s="17">
        <f t="shared" si="10"/>
        <v>103</v>
      </c>
      <c r="AD18" s="17">
        <f t="shared" si="10"/>
        <v>1</v>
      </c>
      <c r="AE18" s="31">
        <f t="shared" si="10"/>
        <v>109</v>
      </c>
      <c r="AF18" s="31">
        <f t="shared" si="10"/>
        <v>212</v>
      </c>
    </row>
    <row r="19" spans="2:32" ht="23.1" customHeight="1" x14ac:dyDescent="0.25">
      <c r="B19" s="45" t="s">
        <v>46</v>
      </c>
      <c r="C19" s="50">
        <v>8</v>
      </c>
      <c r="D19" s="50">
        <v>0</v>
      </c>
      <c r="E19" s="50">
        <v>3</v>
      </c>
      <c r="F19" s="50">
        <v>6</v>
      </c>
      <c r="G19" s="50">
        <v>1</v>
      </c>
      <c r="H19" s="50">
        <v>0</v>
      </c>
      <c r="I19" s="50">
        <v>3</v>
      </c>
      <c r="J19" s="50">
        <v>0</v>
      </c>
      <c r="K19" s="50">
        <v>1</v>
      </c>
      <c r="L19" s="50">
        <v>2</v>
      </c>
      <c r="M19" s="50">
        <v>14</v>
      </c>
      <c r="N19" s="50">
        <v>0</v>
      </c>
      <c r="O19" s="15">
        <f t="shared" si="0"/>
        <v>24</v>
      </c>
      <c r="P19" s="15">
        <f t="shared" si="1"/>
        <v>38</v>
      </c>
      <c r="R19" s="1" t="s">
        <v>15</v>
      </c>
      <c r="S19" s="17">
        <f t="shared" ref="S19:AF19" si="11">SUM(C46:C49)</f>
        <v>32</v>
      </c>
      <c r="T19" s="17">
        <f t="shared" si="11"/>
        <v>0</v>
      </c>
      <c r="U19" s="17">
        <f t="shared" si="11"/>
        <v>46</v>
      </c>
      <c r="V19" s="17">
        <f t="shared" si="11"/>
        <v>17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121</v>
      </c>
      <c r="AD19" s="17">
        <f t="shared" si="11"/>
        <v>0</v>
      </c>
      <c r="AE19" s="31">
        <f t="shared" si="11"/>
        <v>112</v>
      </c>
      <c r="AF19" s="31">
        <f t="shared" si="11"/>
        <v>233</v>
      </c>
    </row>
    <row r="20" spans="2:32" ht="23.1" customHeight="1" x14ac:dyDescent="0.25">
      <c r="B20" s="45" t="s">
        <v>47</v>
      </c>
      <c r="C20" s="50">
        <v>7</v>
      </c>
      <c r="D20" s="50">
        <v>0</v>
      </c>
      <c r="E20" s="50">
        <v>14</v>
      </c>
      <c r="F20" s="50">
        <v>3</v>
      </c>
      <c r="G20" s="50">
        <v>2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25</v>
      </c>
      <c r="N20" s="50">
        <v>0</v>
      </c>
      <c r="O20" s="15">
        <f t="shared" si="0"/>
        <v>28</v>
      </c>
      <c r="P20" s="15">
        <f t="shared" si="1"/>
        <v>53</v>
      </c>
      <c r="R20" s="1" t="s">
        <v>16</v>
      </c>
      <c r="S20" s="17">
        <f t="shared" ref="S20:AF20" si="12">SUM(C50:C53)</f>
        <v>29</v>
      </c>
      <c r="T20" s="17">
        <f t="shared" si="12"/>
        <v>0</v>
      </c>
      <c r="U20" s="17">
        <f t="shared" si="12"/>
        <v>38</v>
      </c>
      <c r="V20" s="17">
        <f t="shared" si="12"/>
        <v>20</v>
      </c>
      <c r="W20" s="17">
        <f t="shared" si="12"/>
        <v>2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112</v>
      </c>
      <c r="AD20" s="17">
        <f t="shared" si="12"/>
        <v>0</v>
      </c>
      <c r="AE20" s="31">
        <f t="shared" si="12"/>
        <v>100</v>
      </c>
      <c r="AF20" s="31">
        <f t="shared" si="12"/>
        <v>212</v>
      </c>
    </row>
    <row r="21" spans="2:32" ht="23.1" customHeight="1" x14ac:dyDescent="0.25">
      <c r="B21" s="45" t="s">
        <v>48</v>
      </c>
      <c r="C21" s="50">
        <v>9</v>
      </c>
      <c r="D21" s="50">
        <v>0</v>
      </c>
      <c r="E21" s="50">
        <v>2</v>
      </c>
      <c r="F21" s="50">
        <v>6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23</v>
      </c>
      <c r="P21" s="15">
        <f t="shared" si="1"/>
        <v>42</v>
      </c>
      <c r="R21" s="36" t="s">
        <v>20</v>
      </c>
      <c r="S21" s="34">
        <f t="shared" ref="S21:AF21" si="13">SUM(C54:C57)</f>
        <v>30</v>
      </c>
      <c r="T21" s="17">
        <f t="shared" si="13"/>
        <v>0</v>
      </c>
      <c r="U21" s="17">
        <f t="shared" si="13"/>
        <v>36</v>
      </c>
      <c r="V21" s="17">
        <f t="shared" si="13"/>
        <v>23</v>
      </c>
      <c r="W21" s="17">
        <f t="shared" si="13"/>
        <v>4</v>
      </c>
      <c r="X21" s="17">
        <f t="shared" si="13"/>
        <v>0</v>
      </c>
      <c r="Y21" s="17">
        <f t="shared" si="13"/>
        <v>22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126</v>
      </c>
      <c r="AD21" s="17">
        <f t="shared" si="13"/>
        <v>0</v>
      </c>
      <c r="AE21" s="31">
        <f t="shared" si="13"/>
        <v>117</v>
      </c>
      <c r="AF21" s="31">
        <f t="shared" si="13"/>
        <v>243</v>
      </c>
    </row>
    <row r="22" spans="2:32" ht="23.1" customHeight="1" x14ac:dyDescent="0.25">
      <c r="B22" s="45" t="s">
        <v>49</v>
      </c>
      <c r="C22" s="50">
        <v>7</v>
      </c>
      <c r="D22" s="50">
        <v>0</v>
      </c>
      <c r="E22" s="50">
        <v>5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17</v>
      </c>
      <c r="N22" s="50">
        <v>0</v>
      </c>
      <c r="O22" s="15">
        <f t="shared" si="0"/>
        <v>16</v>
      </c>
      <c r="P22" s="15">
        <f t="shared" si="1"/>
        <v>33</v>
      </c>
      <c r="R22" s="36" t="s">
        <v>146</v>
      </c>
      <c r="S22" s="34">
        <f t="shared" ref="S22:AF22" si="14">SUM(C58:C61)</f>
        <v>0</v>
      </c>
      <c r="T22" s="34">
        <f t="shared" si="14"/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0</v>
      </c>
      <c r="AD22" s="34">
        <f t="shared" si="14"/>
        <v>0</v>
      </c>
      <c r="AE22" s="31">
        <f t="shared" si="14"/>
        <v>0</v>
      </c>
      <c r="AF22" s="31">
        <f t="shared" si="14"/>
        <v>0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7</v>
      </c>
      <c r="F23" s="50">
        <v>5</v>
      </c>
      <c r="G23" s="50">
        <v>4</v>
      </c>
      <c r="H23" s="50">
        <v>0</v>
      </c>
      <c r="I23" s="50">
        <v>5</v>
      </c>
      <c r="J23" s="50">
        <v>1</v>
      </c>
      <c r="K23" s="50">
        <v>0</v>
      </c>
      <c r="L23" s="50">
        <v>1</v>
      </c>
      <c r="M23" s="50">
        <v>14</v>
      </c>
      <c r="N23" s="50">
        <v>0</v>
      </c>
      <c r="O23" s="15">
        <f t="shared" si="0"/>
        <v>25</v>
      </c>
      <c r="P23" s="15">
        <f t="shared" si="1"/>
        <v>39</v>
      </c>
      <c r="R23" s="36" t="s">
        <v>147</v>
      </c>
      <c r="S23" s="34">
        <f t="shared" ref="S23:AF23" si="15">SUM(C62:C65)</f>
        <v>0</v>
      </c>
      <c r="T23" s="34">
        <f t="shared" si="15"/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13</v>
      </c>
      <c r="F24" s="50">
        <v>3</v>
      </c>
      <c r="G24" s="50">
        <v>2</v>
      </c>
      <c r="H24" s="50">
        <v>0</v>
      </c>
      <c r="I24" s="50">
        <v>3</v>
      </c>
      <c r="J24" s="50">
        <v>0</v>
      </c>
      <c r="K24" s="50">
        <v>1</v>
      </c>
      <c r="L24" s="50">
        <v>1</v>
      </c>
      <c r="M24" s="50">
        <v>17</v>
      </c>
      <c r="N24" s="50">
        <v>0</v>
      </c>
      <c r="O24" s="15">
        <f t="shared" si="0"/>
        <v>27</v>
      </c>
      <c r="P24" s="15">
        <f t="shared" si="1"/>
        <v>44</v>
      </c>
      <c r="R24" s="36" t="s">
        <v>148</v>
      </c>
      <c r="S24" s="34">
        <f t="shared" ref="S24:AF24" si="16">SUM(C66:C69)</f>
        <v>0</v>
      </c>
      <c r="T24" s="34">
        <f t="shared" si="16"/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5</v>
      </c>
      <c r="D25" s="50">
        <v>0</v>
      </c>
      <c r="E25" s="50">
        <v>8</v>
      </c>
      <c r="F25" s="50">
        <v>3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20</v>
      </c>
      <c r="P25" s="15">
        <f t="shared" si="1"/>
        <v>40</v>
      </c>
      <c r="R25" s="36" t="s">
        <v>149</v>
      </c>
      <c r="S25" s="34">
        <f t="shared" ref="S25:AF25" si="17">SUM(C70:C73)</f>
        <v>0</v>
      </c>
      <c r="T25" s="34">
        <f t="shared" si="17"/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4</v>
      </c>
      <c r="D26" s="50">
        <v>0</v>
      </c>
      <c r="E26" s="50">
        <v>10</v>
      </c>
      <c r="F26" s="50">
        <v>6</v>
      </c>
      <c r="G26" s="50">
        <v>1</v>
      </c>
      <c r="H26" s="50">
        <v>0</v>
      </c>
      <c r="I26" s="50">
        <v>4</v>
      </c>
      <c r="J26" s="50">
        <v>1</v>
      </c>
      <c r="K26" s="50">
        <v>1</v>
      </c>
      <c r="L26" s="50">
        <v>0</v>
      </c>
      <c r="M26" s="50">
        <v>20</v>
      </c>
      <c r="N26" s="50">
        <v>0</v>
      </c>
      <c r="O26" s="15">
        <f t="shared" si="0"/>
        <v>27</v>
      </c>
      <c r="P26" s="15">
        <f t="shared" si="1"/>
        <v>47</v>
      </c>
      <c r="R26" s="36" t="s">
        <v>150</v>
      </c>
      <c r="S26" s="34">
        <f t="shared" ref="S26:AF26" si="18">SUM(C74:C77)</f>
        <v>0</v>
      </c>
      <c r="T26" s="34">
        <f t="shared" si="18"/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6</v>
      </c>
      <c r="D27" s="50">
        <v>0</v>
      </c>
      <c r="E27" s="50">
        <v>5</v>
      </c>
      <c r="F27" s="50">
        <v>5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18</v>
      </c>
      <c r="P27" s="15">
        <f t="shared" si="1"/>
        <v>36</v>
      </c>
      <c r="R27" s="36" t="s">
        <v>151</v>
      </c>
      <c r="S27" s="34">
        <f t="shared" ref="S27:AF27" si="19">SUM(C78:C81)</f>
        <v>0</v>
      </c>
      <c r="T27" s="34">
        <f t="shared" si="19"/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6</v>
      </c>
      <c r="F28" s="50">
        <v>3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18</v>
      </c>
      <c r="P28" s="15">
        <f t="shared" si="1"/>
        <v>40</v>
      </c>
      <c r="R28" s="36" t="s">
        <v>152</v>
      </c>
      <c r="S28" s="34">
        <f t="shared" ref="S28:AF28" si="20">SUM(C82:C85)</f>
        <v>0</v>
      </c>
      <c r="T28" s="34">
        <f t="shared" si="20"/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8</v>
      </c>
      <c r="D29" s="50">
        <v>0</v>
      </c>
      <c r="E29" s="50">
        <v>4</v>
      </c>
      <c r="F29" s="50">
        <v>4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0</v>
      </c>
      <c r="M29" s="50">
        <v>19</v>
      </c>
      <c r="N29" s="50">
        <v>0</v>
      </c>
      <c r="O29" s="15">
        <f t="shared" si="0"/>
        <v>21</v>
      </c>
      <c r="P29" s="15">
        <f t="shared" si="1"/>
        <v>40</v>
      </c>
      <c r="R29" s="36" t="s">
        <v>153</v>
      </c>
      <c r="S29" s="34">
        <f t="shared" ref="S29:AF29" si="21">SUM(C86:C89)</f>
        <v>0</v>
      </c>
      <c r="T29" s="34">
        <f t="shared" si="21"/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6</v>
      </c>
      <c r="F30" s="50">
        <v>4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14</v>
      </c>
      <c r="P30" s="15">
        <f t="shared" si="1"/>
        <v>35</v>
      </c>
      <c r="R30" s="36" t="s">
        <v>154</v>
      </c>
      <c r="S30" s="34">
        <f t="shared" ref="S30:AF30" si="22">SUM(C90:C93)</f>
        <v>0</v>
      </c>
      <c r="T30" s="34">
        <f t="shared" si="22"/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11</v>
      </c>
      <c r="D31" s="50">
        <v>0</v>
      </c>
      <c r="E31" s="50">
        <v>10</v>
      </c>
      <c r="F31" s="50">
        <v>5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24</v>
      </c>
      <c r="N31" s="50">
        <v>0</v>
      </c>
      <c r="O31" s="15">
        <f t="shared" si="0"/>
        <v>29</v>
      </c>
      <c r="P31" s="15">
        <f t="shared" si="1"/>
        <v>53</v>
      </c>
      <c r="R31" s="36" t="s">
        <v>155</v>
      </c>
      <c r="S31" s="34">
        <f t="shared" ref="S31:AF31" si="23">SUM(C94:C97)</f>
        <v>0</v>
      </c>
      <c r="T31" s="34">
        <f t="shared" si="23"/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9</v>
      </c>
      <c r="D32" s="50">
        <v>0</v>
      </c>
      <c r="E32" s="50">
        <v>5</v>
      </c>
      <c r="F32" s="50">
        <v>3</v>
      </c>
      <c r="G32" s="50">
        <v>0</v>
      </c>
      <c r="H32" s="50">
        <v>0</v>
      </c>
      <c r="I32" s="50">
        <v>3</v>
      </c>
      <c r="J32" s="50">
        <v>0</v>
      </c>
      <c r="K32" s="50">
        <v>1</v>
      </c>
      <c r="L32" s="50">
        <v>0</v>
      </c>
      <c r="M32" s="50">
        <v>24</v>
      </c>
      <c r="N32" s="50">
        <v>0</v>
      </c>
      <c r="O32" s="15">
        <f t="shared" si="0"/>
        <v>21</v>
      </c>
      <c r="P32" s="15">
        <f t="shared" si="1"/>
        <v>45</v>
      </c>
      <c r="R32" s="33" t="s">
        <v>156</v>
      </c>
      <c r="S32" s="34">
        <f t="shared" ref="S32:AF32" si="24">SUM(C98:C101)</f>
        <v>0</v>
      </c>
      <c r="T32" s="34">
        <f t="shared" si="24"/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8</v>
      </c>
      <c r="F33" s="50">
        <v>6</v>
      </c>
      <c r="G33" s="50">
        <v>0</v>
      </c>
      <c r="H33" s="50">
        <v>0</v>
      </c>
      <c r="I33" s="50">
        <v>2</v>
      </c>
      <c r="J33" s="50">
        <v>1</v>
      </c>
      <c r="K33" s="50">
        <v>1</v>
      </c>
      <c r="L33" s="50">
        <v>0</v>
      </c>
      <c r="M33" s="50">
        <v>22</v>
      </c>
      <c r="N33" s="50">
        <v>0</v>
      </c>
      <c r="O33" s="15">
        <f t="shared" si="0"/>
        <v>20</v>
      </c>
      <c r="P33" s="15">
        <f t="shared" si="1"/>
        <v>42</v>
      </c>
      <c r="R33" s="33" t="s">
        <v>157</v>
      </c>
      <c r="S33" s="34">
        <f t="shared" ref="S33:AF33" si="25">SUM(C102:C105)</f>
        <v>0</v>
      </c>
      <c r="T33" s="34">
        <f t="shared" si="25"/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8</v>
      </c>
      <c r="D34" s="50">
        <v>0</v>
      </c>
      <c r="E34" s="50">
        <v>7</v>
      </c>
      <c r="F34" s="50">
        <v>5</v>
      </c>
      <c r="G34" s="50">
        <v>0</v>
      </c>
      <c r="H34" s="50">
        <v>0</v>
      </c>
      <c r="I34" s="50">
        <v>3</v>
      </c>
      <c r="J34" s="50">
        <v>0</v>
      </c>
      <c r="K34" s="50">
        <v>1</v>
      </c>
      <c r="L34" s="50">
        <v>1</v>
      </c>
      <c r="M34" s="50">
        <v>26</v>
      </c>
      <c r="N34" s="50">
        <v>0</v>
      </c>
      <c r="O34" s="15">
        <f t="shared" si="0"/>
        <v>25</v>
      </c>
      <c r="P34" s="15">
        <f t="shared" si="1"/>
        <v>51</v>
      </c>
      <c r="R34" s="38" t="s">
        <v>90</v>
      </c>
      <c r="S34" s="39">
        <f t="shared" ref="S34:AF34" si="26">MAX(S10:S12)</f>
        <v>31</v>
      </c>
      <c r="T34" s="39">
        <f t="shared" si="26"/>
        <v>0</v>
      </c>
      <c r="U34" s="39">
        <f t="shared" si="26"/>
        <v>24</v>
      </c>
      <c r="V34" s="39">
        <f t="shared" si="26"/>
        <v>19</v>
      </c>
      <c r="W34" s="39">
        <f t="shared" si="26"/>
        <v>4</v>
      </c>
      <c r="X34" s="39">
        <f t="shared" si="26"/>
        <v>1</v>
      </c>
      <c r="Y34" s="39">
        <f t="shared" si="26"/>
        <v>12</v>
      </c>
      <c r="Z34" s="39">
        <f t="shared" si="26"/>
        <v>3</v>
      </c>
      <c r="AA34" s="39">
        <f t="shared" si="26"/>
        <v>3</v>
      </c>
      <c r="AB34" s="39">
        <f t="shared" si="26"/>
        <v>3</v>
      </c>
      <c r="AC34" s="39">
        <f t="shared" si="26"/>
        <v>92</v>
      </c>
      <c r="AD34" s="39">
        <f t="shared" si="26"/>
        <v>0</v>
      </c>
      <c r="AE34" s="40">
        <f t="shared" si="26"/>
        <v>90</v>
      </c>
      <c r="AF34" s="40">
        <f t="shared" si="26"/>
        <v>169</v>
      </c>
    </row>
    <row r="35" spans="2:32" ht="23.1" customHeight="1" x14ac:dyDescent="0.25">
      <c r="B35" s="46" t="s">
        <v>62</v>
      </c>
      <c r="C35" s="50">
        <v>7</v>
      </c>
      <c r="D35" s="50">
        <v>0</v>
      </c>
      <c r="E35" s="50">
        <v>3</v>
      </c>
      <c r="F35" s="50">
        <v>6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22</v>
      </c>
      <c r="P35" s="15">
        <f t="shared" si="1"/>
        <v>43</v>
      </c>
      <c r="R35" s="38" t="s">
        <v>91</v>
      </c>
      <c r="S35" s="39">
        <f t="shared" ref="S35:AF35" si="27">MAX(S13:S18)</f>
        <v>28</v>
      </c>
      <c r="T35" s="39">
        <f t="shared" si="27"/>
        <v>0</v>
      </c>
      <c r="U35" s="39">
        <f t="shared" si="27"/>
        <v>40</v>
      </c>
      <c r="V35" s="39">
        <f t="shared" si="27"/>
        <v>23</v>
      </c>
      <c r="W35" s="39">
        <f t="shared" si="27"/>
        <v>6</v>
      </c>
      <c r="X35" s="39">
        <f t="shared" si="27"/>
        <v>2</v>
      </c>
      <c r="Y35" s="39">
        <f t="shared" si="27"/>
        <v>16</v>
      </c>
      <c r="Z35" s="39">
        <f t="shared" si="27"/>
        <v>3</v>
      </c>
      <c r="AA35" s="39">
        <f t="shared" si="27"/>
        <v>2</v>
      </c>
      <c r="AB35" s="39">
        <f t="shared" si="27"/>
        <v>4</v>
      </c>
      <c r="AC35" s="39">
        <f t="shared" si="27"/>
        <v>103</v>
      </c>
      <c r="AD35" s="39">
        <f t="shared" si="27"/>
        <v>1</v>
      </c>
      <c r="AE35" s="40">
        <f t="shared" si="27"/>
        <v>109</v>
      </c>
      <c r="AF35" s="40">
        <f t="shared" si="27"/>
        <v>212</v>
      </c>
    </row>
    <row r="36" spans="2:32" ht="23.1" customHeight="1" x14ac:dyDescent="0.25">
      <c r="B36" s="46" t="s">
        <v>63</v>
      </c>
      <c r="C36" s="50">
        <v>6</v>
      </c>
      <c r="D36" s="50">
        <v>0</v>
      </c>
      <c r="E36" s="50">
        <v>4</v>
      </c>
      <c r="F36" s="50">
        <v>1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16</v>
      </c>
      <c r="P36" s="15">
        <f t="shared" si="1"/>
        <v>38</v>
      </c>
      <c r="R36" s="38" t="s">
        <v>92</v>
      </c>
      <c r="S36" s="39">
        <f t="shared" ref="S36:AF36" si="28">MAX(S19:S21)</f>
        <v>32</v>
      </c>
      <c r="T36" s="39">
        <f t="shared" si="28"/>
        <v>0</v>
      </c>
      <c r="U36" s="39">
        <f t="shared" si="28"/>
        <v>46</v>
      </c>
      <c r="V36" s="39">
        <f t="shared" si="28"/>
        <v>23</v>
      </c>
      <c r="W36" s="39">
        <f t="shared" si="28"/>
        <v>4</v>
      </c>
      <c r="X36" s="39">
        <f t="shared" si="28"/>
        <v>0</v>
      </c>
      <c r="Y36" s="39">
        <f t="shared" si="28"/>
        <v>22</v>
      </c>
      <c r="Z36" s="39">
        <f t="shared" si="28"/>
        <v>0</v>
      </c>
      <c r="AA36" s="39">
        <f t="shared" si="28"/>
        <v>0</v>
      </c>
      <c r="AB36" s="39">
        <f t="shared" si="28"/>
        <v>2</v>
      </c>
      <c r="AC36" s="39">
        <f t="shared" si="28"/>
        <v>126</v>
      </c>
      <c r="AD36" s="39">
        <f t="shared" si="28"/>
        <v>0</v>
      </c>
      <c r="AE36" s="40">
        <f t="shared" si="28"/>
        <v>117</v>
      </c>
      <c r="AF36" s="40">
        <f t="shared" si="28"/>
        <v>243</v>
      </c>
    </row>
    <row r="37" spans="2:32" ht="23.1" customHeight="1" x14ac:dyDescent="0.25">
      <c r="B37" s="45" t="s">
        <v>64</v>
      </c>
      <c r="C37" s="50">
        <v>7</v>
      </c>
      <c r="D37" s="50">
        <v>0</v>
      </c>
      <c r="E37" s="50">
        <v>3</v>
      </c>
      <c r="F37" s="50">
        <v>2</v>
      </c>
      <c r="G37" s="50">
        <v>0</v>
      </c>
      <c r="H37" s="50">
        <v>2</v>
      </c>
      <c r="I37" s="50">
        <v>2</v>
      </c>
      <c r="J37" s="50">
        <v>0</v>
      </c>
      <c r="K37" s="50">
        <v>1</v>
      </c>
      <c r="L37" s="50">
        <v>0</v>
      </c>
      <c r="M37" s="50">
        <v>28</v>
      </c>
      <c r="N37" s="50">
        <v>0</v>
      </c>
      <c r="O37" s="15">
        <f t="shared" si="0"/>
        <v>17</v>
      </c>
      <c r="P37" s="15">
        <f t="shared" si="1"/>
        <v>45</v>
      </c>
      <c r="R37" s="37" t="s">
        <v>85</v>
      </c>
      <c r="S37" s="35">
        <f t="shared" ref="S37:AF37" si="29">SUM(S10:S12)</f>
        <v>58</v>
      </c>
      <c r="T37" s="16">
        <f t="shared" si="29"/>
        <v>0</v>
      </c>
      <c r="U37" s="16">
        <f t="shared" si="29"/>
        <v>65</v>
      </c>
      <c r="V37" s="16">
        <f t="shared" si="29"/>
        <v>49</v>
      </c>
      <c r="W37" s="16">
        <f t="shared" si="29"/>
        <v>6</v>
      </c>
      <c r="X37" s="16">
        <f t="shared" si="29"/>
        <v>1</v>
      </c>
      <c r="Y37" s="16">
        <f t="shared" si="29"/>
        <v>32</v>
      </c>
      <c r="Z37" s="16">
        <f t="shared" si="29"/>
        <v>6</v>
      </c>
      <c r="AA37" s="16">
        <f t="shared" si="29"/>
        <v>6</v>
      </c>
      <c r="AB37" s="16">
        <f t="shared" si="29"/>
        <v>5</v>
      </c>
      <c r="AC37" s="16">
        <f t="shared" si="29"/>
        <v>253</v>
      </c>
      <c r="AD37" s="16">
        <f t="shared" si="29"/>
        <v>0</v>
      </c>
      <c r="AE37" s="32">
        <f t="shared" si="29"/>
        <v>228</v>
      </c>
      <c r="AF37" s="32">
        <f t="shared" si="29"/>
        <v>481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8</v>
      </c>
      <c r="F38" s="50">
        <v>4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20</v>
      </c>
      <c r="P38" s="15">
        <f t="shared" si="1"/>
        <v>39</v>
      </c>
      <c r="R38" s="28" t="s">
        <v>86</v>
      </c>
      <c r="S38" s="16">
        <f t="shared" ref="S38:AF38" si="30">SUM(S13:S18)</f>
        <v>146</v>
      </c>
      <c r="T38" s="16">
        <f t="shared" si="30"/>
        <v>0</v>
      </c>
      <c r="U38" s="16">
        <f t="shared" si="30"/>
        <v>183</v>
      </c>
      <c r="V38" s="16">
        <f t="shared" si="30"/>
        <v>105</v>
      </c>
      <c r="W38" s="16">
        <f t="shared" si="30"/>
        <v>11</v>
      </c>
      <c r="X38" s="16">
        <f t="shared" si="30"/>
        <v>2</v>
      </c>
      <c r="Y38" s="16">
        <f t="shared" si="30"/>
        <v>73</v>
      </c>
      <c r="Z38" s="16">
        <f t="shared" si="30"/>
        <v>6</v>
      </c>
      <c r="AA38" s="16">
        <f t="shared" si="30"/>
        <v>7</v>
      </c>
      <c r="AB38" s="16">
        <f t="shared" si="30"/>
        <v>10</v>
      </c>
      <c r="AC38" s="16">
        <f t="shared" si="30"/>
        <v>526</v>
      </c>
      <c r="AD38" s="16">
        <f t="shared" si="30"/>
        <v>1</v>
      </c>
      <c r="AE38" s="32">
        <f t="shared" si="30"/>
        <v>544</v>
      </c>
      <c r="AF38" s="32">
        <f t="shared" si="30"/>
        <v>1070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12</v>
      </c>
      <c r="F39" s="50">
        <v>4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1</v>
      </c>
      <c r="M39" s="50">
        <v>27</v>
      </c>
      <c r="N39" s="50">
        <v>0</v>
      </c>
      <c r="O39" s="15">
        <f t="shared" si="0"/>
        <v>24</v>
      </c>
      <c r="P39" s="15">
        <f t="shared" si="1"/>
        <v>51</v>
      </c>
      <c r="R39" s="29" t="s">
        <v>87</v>
      </c>
      <c r="S39" s="16">
        <f t="shared" ref="S39:AF39" si="31">SUM(S19:S21)</f>
        <v>91</v>
      </c>
      <c r="T39" s="16">
        <f t="shared" si="31"/>
        <v>0</v>
      </c>
      <c r="U39" s="16">
        <f t="shared" si="31"/>
        <v>120</v>
      </c>
      <c r="V39" s="16">
        <f t="shared" si="31"/>
        <v>60</v>
      </c>
      <c r="W39" s="16">
        <f t="shared" si="31"/>
        <v>6</v>
      </c>
      <c r="X39" s="16">
        <f t="shared" si="31"/>
        <v>0</v>
      </c>
      <c r="Y39" s="16">
        <f t="shared" si="31"/>
        <v>47</v>
      </c>
      <c r="Z39" s="16">
        <f t="shared" si="31"/>
        <v>0</v>
      </c>
      <c r="AA39" s="16">
        <f t="shared" si="31"/>
        <v>0</v>
      </c>
      <c r="AB39" s="16">
        <f t="shared" si="31"/>
        <v>5</v>
      </c>
      <c r="AC39" s="16">
        <f t="shared" si="31"/>
        <v>359</v>
      </c>
      <c r="AD39" s="16">
        <f t="shared" si="31"/>
        <v>0</v>
      </c>
      <c r="AE39" s="32">
        <f t="shared" si="31"/>
        <v>329</v>
      </c>
      <c r="AF39" s="32">
        <f t="shared" si="31"/>
        <v>688</v>
      </c>
    </row>
    <row r="40" spans="2:32" ht="23.1" customHeight="1" x14ac:dyDescent="0.25">
      <c r="B40" s="46" t="s">
        <v>67</v>
      </c>
      <c r="C40" s="50">
        <v>7</v>
      </c>
      <c r="D40" s="50">
        <v>0</v>
      </c>
      <c r="E40" s="50">
        <v>10</v>
      </c>
      <c r="F40" s="50">
        <v>5</v>
      </c>
      <c r="G40" s="50">
        <v>1</v>
      </c>
      <c r="H40" s="50">
        <v>0</v>
      </c>
      <c r="I40" s="50">
        <v>2</v>
      </c>
      <c r="J40" s="50">
        <v>0</v>
      </c>
      <c r="K40" s="50">
        <v>0</v>
      </c>
      <c r="L40" s="50">
        <v>1</v>
      </c>
      <c r="M40" s="50">
        <v>20</v>
      </c>
      <c r="N40" s="50">
        <v>0</v>
      </c>
      <c r="O40" s="15">
        <f t="shared" si="0"/>
        <v>26</v>
      </c>
      <c r="P40" s="15">
        <f t="shared" si="1"/>
        <v>46</v>
      </c>
      <c r="R40" s="5" t="s">
        <v>17</v>
      </c>
      <c r="S40" s="16">
        <f t="shared" ref="S40:AF40" si="32">SUM(S10:S21)</f>
        <v>295</v>
      </c>
      <c r="T40" s="16">
        <f t="shared" si="32"/>
        <v>0</v>
      </c>
      <c r="U40" s="16">
        <f t="shared" si="32"/>
        <v>368</v>
      </c>
      <c r="V40" s="16">
        <f t="shared" si="32"/>
        <v>214</v>
      </c>
      <c r="W40" s="16">
        <f t="shared" si="32"/>
        <v>23</v>
      </c>
      <c r="X40" s="16">
        <f t="shared" si="32"/>
        <v>3</v>
      </c>
      <c r="Y40" s="16">
        <f t="shared" si="32"/>
        <v>152</v>
      </c>
      <c r="Z40" s="16">
        <f t="shared" si="32"/>
        <v>12</v>
      </c>
      <c r="AA40" s="16">
        <f t="shared" si="32"/>
        <v>13</v>
      </c>
      <c r="AB40" s="16">
        <f t="shared" si="32"/>
        <v>20</v>
      </c>
      <c r="AC40" s="16">
        <f t="shared" si="32"/>
        <v>1138</v>
      </c>
      <c r="AD40" s="16">
        <f t="shared" si="32"/>
        <v>1</v>
      </c>
      <c r="AE40" s="32">
        <f t="shared" si="32"/>
        <v>1101</v>
      </c>
      <c r="AF40" s="32">
        <f t="shared" si="32"/>
        <v>2239</v>
      </c>
    </row>
    <row r="41" spans="2:32" ht="23.1" customHeight="1" x14ac:dyDescent="0.25">
      <c r="B41" s="45" t="s">
        <v>68</v>
      </c>
      <c r="C41" s="50">
        <v>8</v>
      </c>
      <c r="D41" s="50">
        <v>0</v>
      </c>
      <c r="E41" s="50">
        <v>10</v>
      </c>
      <c r="F41" s="50">
        <v>6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22</v>
      </c>
      <c r="N41" s="50">
        <v>0</v>
      </c>
      <c r="O41" s="15">
        <f t="shared" si="0"/>
        <v>29</v>
      </c>
      <c r="P41" s="15">
        <f t="shared" si="1"/>
        <v>51</v>
      </c>
      <c r="R41" s="5" t="s">
        <v>159</v>
      </c>
      <c r="S41" s="16">
        <f>SUM(S10:S33)</f>
        <v>295</v>
      </c>
      <c r="T41" s="16">
        <f t="shared" ref="T41:AF41" si="33">SUM(T10:T33)</f>
        <v>0</v>
      </c>
      <c r="U41" s="16">
        <f t="shared" si="33"/>
        <v>368</v>
      </c>
      <c r="V41" s="16">
        <f t="shared" si="33"/>
        <v>214</v>
      </c>
      <c r="W41" s="16">
        <f t="shared" si="33"/>
        <v>23</v>
      </c>
      <c r="X41" s="16">
        <f t="shared" si="33"/>
        <v>3</v>
      </c>
      <c r="Y41" s="16">
        <f t="shared" si="33"/>
        <v>152</v>
      </c>
      <c r="Z41" s="16">
        <f t="shared" si="33"/>
        <v>12</v>
      </c>
      <c r="AA41" s="16">
        <f t="shared" si="33"/>
        <v>13</v>
      </c>
      <c r="AB41" s="16">
        <f t="shared" si="33"/>
        <v>20</v>
      </c>
      <c r="AC41" s="16">
        <f t="shared" si="33"/>
        <v>1138</v>
      </c>
      <c r="AD41" s="16">
        <f t="shared" si="33"/>
        <v>1</v>
      </c>
      <c r="AE41" s="32">
        <f t="shared" si="33"/>
        <v>1101</v>
      </c>
      <c r="AF41" s="32">
        <f t="shared" si="33"/>
        <v>2239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8</v>
      </c>
      <c r="F42" s="50">
        <v>5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33</v>
      </c>
      <c r="N42" s="50">
        <v>1</v>
      </c>
      <c r="O42" s="15">
        <f t="shared" si="0"/>
        <v>20</v>
      </c>
      <c r="P42" s="15">
        <f t="shared" si="1"/>
        <v>53</v>
      </c>
      <c r="R42" s="5" t="s">
        <v>160</v>
      </c>
      <c r="S42" s="48">
        <f>S41/S40</f>
        <v>1</v>
      </c>
      <c r="T42" s="48" t="e">
        <f t="shared" ref="T42:AF42" si="34">T41/T40</f>
        <v>#DIV/0!</v>
      </c>
      <c r="U42" s="48">
        <f t="shared" si="34"/>
        <v>1</v>
      </c>
      <c r="V42" s="48">
        <f t="shared" si="34"/>
        <v>1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</v>
      </c>
      <c r="AD42" s="48">
        <f t="shared" si="34"/>
        <v>1</v>
      </c>
      <c r="AE42" s="48">
        <f t="shared" si="34"/>
        <v>1</v>
      </c>
      <c r="AF42" s="48">
        <f t="shared" si="34"/>
        <v>1</v>
      </c>
    </row>
    <row r="43" spans="2:32" ht="23.1" customHeight="1" x14ac:dyDescent="0.25">
      <c r="B43" s="45" t="s">
        <v>70</v>
      </c>
      <c r="C43" s="50">
        <v>8</v>
      </c>
      <c r="D43" s="50">
        <v>0</v>
      </c>
      <c r="E43" s="50">
        <v>11</v>
      </c>
      <c r="F43" s="50">
        <v>6</v>
      </c>
      <c r="G43" s="50">
        <v>1</v>
      </c>
      <c r="H43" s="50">
        <v>0</v>
      </c>
      <c r="I43" s="50">
        <v>1</v>
      </c>
      <c r="J43" s="50">
        <v>0</v>
      </c>
      <c r="K43" s="50">
        <v>0</v>
      </c>
      <c r="L43" s="50">
        <v>1</v>
      </c>
      <c r="M43" s="50">
        <v>22</v>
      </c>
      <c r="N43" s="50">
        <v>0</v>
      </c>
      <c r="O43" s="15">
        <f t="shared" si="0"/>
        <v>28</v>
      </c>
      <c r="P43" s="15">
        <f t="shared" si="1"/>
        <v>50</v>
      </c>
    </row>
    <row r="44" spans="2:32" ht="23.1" customHeight="1" x14ac:dyDescent="0.25">
      <c r="B44" s="47" t="s">
        <v>71</v>
      </c>
      <c r="C44" s="50">
        <v>5</v>
      </c>
      <c r="D44" s="50">
        <v>0</v>
      </c>
      <c r="E44" s="50">
        <v>6</v>
      </c>
      <c r="F44" s="50">
        <v>5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26</v>
      </c>
      <c r="N44" s="50">
        <v>0</v>
      </c>
      <c r="O44" s="15">
        <f t="shared" si="0"/>
        <v>21</v>
      </c>
      <c r="P44" s="15">
        <f t="shared" si="1"/>
        <v>47</v>
      </c>
    </row>
    <row r="45" spans="2:32" ht="23.1" customHeight="1" x14ac:dyDescent="0.25">
      <c r="B45" s="45" t="s">
        <v>72</v>
      </c>
      <c r="C45" s="50">
        <v>9</v>
      </c>
      <c r="D45" s="50">
        <v>0</v>
      </c>
      <c r="E45" s="50">
        <v>14</v>
      </c>
      <c r="F45" s="50">
        <v>7</v>
      </c>
      <c r="G45" s="50">
        <v>1</v>
      </c>
      <c r="H45" s="50">
        <v>0</v>
      </c>
      <c r="I45" s="50">
        <v>6</v>
      </c>
      <c r="J45" s="50">
        <v>0</v>
      </c>
      <c r="K45" s="50">
        <v>1</v>
      </c>
      <c r="L45" s="50">
        <v>2</v>
      </c>
      <c r="M45" s="50">
        <v>22</v>
      </c>
      <c r="N45" s="50">
        <v>0</v>
      </c>
      <c r="O45" s="15">
        <f t="shared" si="0"/>
        <v>40</v>
      </c>
      <c r="P45" s="15">
        <f t="shared" si="1"/>
        <v>62</v>
      </c>
    </row>
    <row r="46" spans="2:32" ht="23.1" customHeight="1" x14ac:dyDescent="0.25">
      <c r="B46" s="46" t="s">
        <v>73</v>
      </c>
      <c r="C46" s="50">
        <v>10</v>
      </c>
      <c r="D46" s="50">
        <v>0</v>
      </c>
      <c r="E46" s="50">
        <v>14</v>
      </c>
      <c r="F46" s="50">
        <v>3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30</v>
      </c>
      <c r="P46" s="15">
        <f t="shared" si="1"/>
        <v>62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6</v>
      </c>
      <c r="F47" s="50">
        <v>2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31</v>
      </c>
      <c r="N47" s="50">
        <v>0</v>
      </c>
      <c r="O47" s="15">
        <f t="shared" si="0"/>
        <v>16</v>
      </c>
      <c r="P47" s="15">
        <f t="shared" si="1"/>
        <v>47</v>
      </c>
      <c r="R47" s="8"/>
      <c r="T47"/>
    </row>
    <row r="48" spans="2:32" ht="23.1" customHeight="1" x14ac:dyDescent="0.25">
      <c r="B48" s="46" t="s">
        <v>75</v>
      </c>
      <c r="C48" s="50">
        <v>11</v>
      </c>
      <c r="D48" s="50">
        <v>0</v>
      </c>
      <c r="E48" s="50">
        <v>13</v>
      </c>
      <c r="F48" s="50">
        <v>3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28</v>
      </c>
      <c r="N48" s="50">
        <v>0</v>
      </c>
      <c r="O48" s="15">
        <f t="shared" si="0"/>
        <v>31</v>
      </c>
      <c r="P48" s="15">
        <f t="shared" si="1"/>
        <v>59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0</v>
      </c>
      <c r="E49" s="50">
        <v>13</v>
      </c>
      <c r="F49" s="50">
        <v>9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1</v>
      </c>
      <c r="M49" s="50">
        <v>30</v>
      </c>
      <c r="N49" s="50">
        <v>0</v>
      </c>
      <c r="O49" s="15">
        <f t="shared" si="0"/>
        <v>35</v>
      </c>
      <c r="P49" s="15">
        <f t="shared" si="1"/>
        <v>65</v>
      </c>
      <c r="R49" s="8"/>
      <c r="T49"/>
    </row>
    <row r="50" spans="2:20" ht="23.1" customHeight="1" x14ac:dyDescent="0.25">
      <c r="B50" s="46" t="s">
        <v>77</v>
      </c>
      <c r="C50" s="50">
        <v>10</v>
      </c>
      <c r="D50" s="50">
        <v>0</v>
      </c>
      <c r="E50" s="50">
        <v>7</v>
      </c>
      <c r="F50" s="50">
        <v>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1</v>
      </c>
      <c r="M50" s="50">
        <v>27</v>
      </c>
      <c r="N50" s="50">
        <v>0</v>
      </c>
      <c r="O50" s="15">
        <f t="shared" si="0"/>
        <v>24</v>
      </c>
      <c r="P50" s="15">
        <f t="shared" si="1"/>
        <v>51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9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24</v>
      </c>
      <c r="N51" s="50">
        <v>0</v>
      </c>
      <c r="O51" s="15">
        <f t="shared" si="0"/>
        <v>19</v>
      </c>
      <c r="P51" s="15">
        <f t="shared" si="1"/>
        <v>43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0</v>
      </c>
      <c r="E52" s="50">
        <v>14</v>
      </c>
      <c r="F52" s="50">
        <v>9</v>
      </c>
      <c r="G52" s="50">
        <v>1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34</v>
      </c>
      <c r="N52" s="50">
        <v>0</v>
      </c>
      <c r="O52" s="15">
        <f t="shared" si="0"/>
        <v>37</v>
      </c>
      <c r="P52" s="15">
        <f t="shared" si="1"/>
        <v>71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0</v>
      </c>
      <c r="E53" s="50">
        <v>8</v>
      </c>
      <c r="F53" s="50">
        <v>4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27</v>
      </c>
      <c r="N53" s="50">
        <v>0</v>
      </c>
      <c r="O53" s="15">
        <f t="shared" si="0"/>
        <v>20</v>
      </c>
      <c r="P53" s="15">
        <f t="shared" si="1"/>
        <v>47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0</v>
      </c>
      <c r="E54" s="50">
        <v>9</v>
      </c>
      <c r="F54" s="50">
        <v>7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1</v>
      </c>
      <c r="M54" s="50">
        <v>29</v>
      </c>
      <c r="N54" s="50">
        <v>0</v>
      </c>
      <c r="O54" s="15">
        <f t="shared" si="0"/>
        <v>27</v>
      </c>
      <c r="P54" s="15">
        <f t="shared" si="1"/>
        <v>56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0</v>
      </c>
      <c r="E55" s="50">
        <v>5</v>
      </c>
      <c r="F55" s="50">
        <v>4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21</v>
      </c>
      <c r="P55" s="15">
        <f t="shared" si="1"/>
        <v>49</v>
      </c>
      <c r="R55" s="8"/>
      <c r="T55"/>
    </row>
    <row r="56" spans="2:20" ht="23.1" customHeight="1" x14ac:dyDescent="0.25">
      <c r="B56" s="45" t="s">
        <v>83</v>
      </c>
      <c r="C56" s="50">
        <v>10</v>
      </c>
      <c r="D56" s="50">
        <v>0</v>
      </c>
      <c r="E56" s="50">
        <v>9</v>
      </c>
      <c r="F56" s="50">
        <v>4</v>
      </c>
      <c r="G56" s="50">
        <v>2</v>
      </c>
      <c r="H56" s="50">
        <v>0</v>
      </c>
      <c r="I56" s="50">
        <v>9</v>
      </c>
      <c r="J56" s="50">
        <v>0</v>
      </c>
      <c r="K56" s="50">
        <v>0</v>
      </c>
      <c r="L56" s="50">
        <v>0</v>
      </c>
      <c r="M56" s="50">
        <v>33</v>
      </c>
      <c r="N56" s="50">
        <v>0</v>
      </c>
      <c r="O56" s="15">
        <f t="shared" si="0"/>
        <v>34</v>
      </c>
      <c r="P56" s="15">
        <f t="shared" si="1"/>
        <v>67</v>
      </c>
      <c r="R56" s="8"/>
      <c r="T56"/>
    </row>
    <row r="57" spans="2:20" ht="23.1" customHeight="1" x14ac:dyDescent="0.25">
      <c r="B57" s="45" t="s">
        <v>84</v>
      </c>
      <c r="C57" s="50">
        <v>9</v>
      </c>
      <c r="D57" s="50">
        <v>0</v>
      </c>
      <c r="E57" s="50">
        <v>13</v>
      </c>
      <c r="F57" s="50">
        <v>8</v>
      </c>
      <c r="G57" s="50">
        <v>2</v>
      </c>
      <c r="H57" s="50">
        <v>0</v>
      </c>
      <c r="I57" s="50">
        <v>2</v>
      </c>
      <c r="J57" s="50">
        <v>0</v>
      </c>
      <c r="K57" s="50">
        <v>0</v>
      </c>
      <c r="L57" s="50">
        <v>1</v>
      </c>
      <c r="M57" s="50">
        <v>36</v>
      </c>
      <c r="N57" s="50">
        <v>0</v>
      </c>
      <c r="O57" s="15">
        <f t="shared" si="0"/>
        <v>35</v>
      </c>
      <c r="P57" s="15">
        <f t="shared" si="1"/>
        <v>71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5">
        <f t="shared" si="0"/>
        <v>0</v>
      </c>
      <c r="P58" s="15">
        <f t="shared" si="1"/>
        <v>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SUM(C10:C105)</f>
        <v>295</v>
      </c>
      <c r="D106" s="16">
        <f t="shared" si="37"/>
        <v>0</v>
      </c>
      <c r="E106" s="16">
        <f t="shared" si="37"/>
        <v>368</v>
      </c>
      <c r="F106" s="16">
        <f t="shared" si="37"/>
        <v>214</v>
      </c>
      <c r="G106" s="16">
        <f t="shared" si="37"/>
        <v>23</v>
      </c>
      <c r="H106" s="16">
        <f t="shared" si="37"/>
        <v>3</v>
      </c>
      <c r="I106" s="16">
        <f t="shared" si="37"/>
        <v>152</v>
      </c>
      <c r="J106" s="16">
        <f t="shared" si="37"/>
        <v>12</v>
      </c>
      <c r="K106" s="16">
        <f t="shared" si="37"/>
        <v>13</v>
      </c>
      <c r="L106" s="16">
        <f t="shared" si="37"/>
        <v>20</v>
      </c>
      <c r="M106" s="16">
        <f t="shared" si="37"/>
        <v>1138</v>
      </c>
      <c r="N106" s="16">
        <f t="shared" si="37"/>
        <v>1</v>
      </c>
      <c r="O106" s="16">
        <f t="shared" si="37"/>
        <v>1101</v>
      </c>
      <c r="P106" s="16">
        <f t="shared" si="37"/>
        <v>2239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0.1317552478785172</v>
      </c>
      <c r="D107" s="43">
        <f t="shared" si="38"/>
        <v>0</v>
      </c>
      <c r="E107" s="43">
        <f t="shared" si="38"/>
        <v>0.16435908887896383</v>
      </c>
      <c r="F107" s="43">
        <f t="shared" si="38"/>
        <v>9.5578383206788742E-2</v>
      </c>
      <c r="G107" s="43">
        <f t="shared" si="38"/>
        <v>1.027244305493524E-2</v>
      </c>
      <c r="H107" s="43">
        <f t="shared" si="38"/>
        <v>1.3398838767306833E-3</v>
      </c>
      <c r="I107" s="43">
        <f t="shared" si="38"/>
        <v>6.7887449754354623E-2</v>
      </c>
      <c r="J107" s="43">
        <f t="shared" si="38"/>
        <v>5.3595355069227333E-3</v>
      </c>
      <c r="K107" s="43">
        <f t="shared" si="38"/>
        <v>5.8061634658329612E-3</v>
      </c>
      <c r="L107" s="43">
        <f t="shared" si="38"/>
        <v>8.9325591782045549E-3</v>
      </c>
      <c r="M107" s="43">
        <f t="shared" si="38"/>
        <v>0.50826261723983923</v>
      </c>
      <c r="N107" s="43">
        <f t="shared" si="38"/>
        <v>4.4662795891022776E-4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0.26793823796548594</v>
      </c>
      <c r="D108" s="44">
        <f t="shared" ref="D108:N108" si="39">D106/$O$106</f>
        <v>0</v>
      </c>
      <c r="E108" s="44">
        <f t="shared" si="39"/>
        <v>0.33424159854677565</v>
      </c>
      <c r="F108" s="44">
        <f t="shared" si="39"/>
        <v>0.1943687556766576</v>
      </c>
      <c r="G108" s="44">
        <f t="shared" si="39"/>
        <v>2.0890099909173478E-2</v>
      </c>
      <c r="H108" s="44">
        <f t="shared" si="39"/>
        <v>2.7247956403269754E-3</v>
      </c>
      <c r="I108" s="44">
        <f t="shared" si="39"/>
        <v>0.13805631244323344</v>
      </c>
      <c r="J108" s="44">
        <f t="shared" si="39"/>
        <v>1.0899182561307902E-2</v>
      </c>
      <c r="K108" s="44">
        <f t="shared" si="39"/>
        <v>1.1807447774750226E-2</v>
      </c>
      <c r="L108" s="44">
        <f t="shared" si="39"/>
        <v>1.8165304268846504E-2</v>
      </c>
      <c r="M108" s="44"/>
      <c r="N108" s="44">
        <f t="shared" si="39"/>
        <v>9.0826521344232513E-4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43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'20.8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'19.8 Kayunga-Kangulumira'!G5:H5</f>
        <v>Kayunga</v>
      </c>
      <c r="H5" s="64"/>
      <c r="I5" s="14"/>
      <c r="J5" s="2" t="s">
        <v>5</v>
      </c>
      <c r="K5" s="63" t="str">
        <f>'19.8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'20.8 Kayunga-Kangulumira'!D6:E6</f>
        <v>KAYUNGA</v>
      </c>
      <c r="E6" s="64"/>
      <c r="F6" s="2" t="s">
        <v>2</v>
      </c>
      <c r="G6" s="63" t="str">
        <f>'20.8 Kayunga-Kangulumira'!G6:H6</f>
        <v>KANGULUMIRA</v>
      </c>
      <c r="H6" s="64"/>
      <c r="J6" s="2" t="s">
        <v>21</v>
      </c>
      <c r="K6" s="63" t="str">
        <f>'19.8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5</v>
      </c>
      <c r="F10" s="50">
        <v>4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44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11</v>
      </c>
      <c r="V10" s="17">
        <f t="shared" si="2"/>
        <v>22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129</v>
      </c>
      <c r="AD10" s="17">
        <f t="shared" si="2"/>
        <v>1</v>
      </c>
      <c r="AE10" s="31">
        <f t="shared" si="2"/>
        <v>54</v>
      </c>
      <c r="AF10" s="31">
        <f t="shared" si="2"/>
        <v>183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2</v>
      </c>
      <c r="F11" s="50">
        <v>6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30</v>
      </c>
      <c r="N11" s="50">
        <v>1</v>
      </c>
      <c r="O11" s="15">
        <f t="shared" si="0"/>
        <v>13</v>
      </c>
      <c r="P11" s="15">
        <f t="shared" si="1"/>
        <v>43</v>
      </c>
      <c r="R11" s="1" t="s">
        <v>7</v>
      </c>
      <c r="S11" s="17">
        <f t="shared" ref="S11:AF11" si="3">SUM(C14:C17)</f>
        <v>21</v>
      </c>
      <c r="T11" s="17">
        <f t="shared" si="3"/>
        <v>0</v>
      </c>
      <c r="U11" s="17">
        <f t="shared" si="3"/>
        <v>9</v>
      </c>
      <c r="V11" s="17">
        <f t="shared" si="3"/>
        <v>25</v>
      </c>
      <c r="W11" s="17">
        <f t="shared" si="3"/>
        <v>4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116</v>
      </c>
      <c r="AD11" s="17">
        <f t="shared" si="3"/>
        <v>0</v>
      </c>
      <c r="AE11" s="31">
        <f t="shared" si="3"/>
        <v>68</v>
      </c>
      <c r="AF11" s="31">
        <f t="shared" si="3"/>
        <v>184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2</v>
      </c>
      <c r="F12" s="50">
        <v>4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31</v>
      </c>
      <c r="N12" s="50">
        <v>0</v>
      </c>
      <c r="O12" s="15">
        <f t="shared" si="0"/>
        <v>9</v>
      </c>
      <c r="P12" s="15">
        <f t="shared" si="1"/>
        <v>40</v>
      </c>
      <c r="R12" s="1" t="s">
        <v>8</v>
      </c>
      <c r="S12" s="17">
        <f t="shared" ref="S12:AF12" si="4">SUM(C18:C21)</f>
        <v>24</v>
      </c>
      <c r="T12" s="17">
        <f t="shared" si="4"/>
        <v>0</v>
      </c>
      <c r="U12" s="17">
        <f t="shared" si="4"/>
        <v>9</v>
      </c>
      <c r="V12" s="17">
        <f t="shared" si="4"/>
        <v>18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1</v>
      </c>
      <c r="AA12" s="17">
        <f t="shared" si="4"/>
        <v>8</v>
      </c>
      <c r="AB12" s="17">
        <f t="shared" si="4"/>
        <v>0</v>
      </c>
      <c r="AC12" s="17">
        <f t="shared" si="4"/>
        <v>102</v>
      </c>
      <c r="AD12" s="17">
        <f t="shared" si="4"/>
        <v>0</v>
      </c>
      <c r="AE12" s="31">
        <f t="shared" si="4"/>
        <v>69</v>
      </c>
      <c r="AF12" s="31">
        <f t="shared" si="4"/>
        <v>171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2</v>
      </c>
      <c r="F13" s="50">
        <v>8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41</v>
      </c>
      <c r="N13" s="50">
        <v>0</v>
      </c>
      <c r="O13" s="15">
        <f t="shared" si="0"/>
        <v>15</v>
      </c>
      <c r="P13" s="15">
        <f t="shared" si="1"/>
        <v>56</v>
      </c>
      <c r="R13" s="1" t="s">
        <v>9</v>
      </c>
      <c r="S13" s="17">
        <f t="shared" ref="S13:AF13" si="5">SUM(C22:C25)</f>
        <v>23</v>
      </c>
      <c r="T13" s="17">
        <f t="shared" si="5"/>
        <v>0</v>
      </c>
      <c r="U13" s="17">
        <f t="shared" si="5"/>
        <v>13</v>
      </c>
      <c r="V13" s="17">
        <f t="shared" si="5"/>
        <v>20</v>
      </c>
      <c r="W13" s="17">
        <f t="shared" si="5"/>
        <v>2</v>
      </c>
      <c r="X13" s="17">
        <f t="shared" si="5"/>
        <v>1</v>
      </c>
      <c r="Y13" s="17">
        <f t="shared" si="5"/>
        <v>9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105</v>
      </c>
      <c r="AD13" s="17">
        <f t="shared" si="5"/>
        <v>0</v>
      </c>
      <c r="AE13" s="31">
        <f t="shared" si="5"/>
        <v>70</v>
      </c>
      <c r="AF13" s="31">
        <f t="shared" si="5"/>
        <v>175</v>
      </c>
    </row>
    <row r="14" spans="2:32" ht="23.1" customHeight="1" x14ac:dyDescent="0.25">
      <c r="B14" s="23" t="s">
        <v>41</v>
      </c>
      <c r="C14" s="50">
        <v>7</v>
      </c>
      <c r="D14" s="50">
        <v>0</v>
      </c>
      <c r="E14" s="50">
        <v>2</v>
      </c>
      <c r="F14" s="50">
        <v>9</v>
      </c>
      <c r="G14" s="50">
        <v>2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37</v>
      </c>
      <c r="N14" s="50">
        <v>0</v>
      </c>
      <c r="O14" s="15">
        <f t="shared" si="0"/>
        <v>22</v>
      </c>
      <c r="P14" s="15">
        <f t="shared" si="1"/>
        <v>59</v>
      </c>
      <c r="R14" s="1" t="s">
        <v>10</v>
      </c>
      <c r="S14" s="17">
        <f t="shared" ref="S14:AF14" si="6">SUM(C26:C29)</f>
        <v>34</v>
      </c>
      <c r="T14" s="17">
        <f t="shared" si="6"/>
        <v>0</v>
      </c>
      <c r="U14" s="17">
        <f t="shared" si="6"/>
        <v>25</v>
      </c>
      <c r="V14" s="17">
        <f t="shared" si="6"/>
        <v>20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77</v>
      </c>
      <c r="AD14" s="17">
        <f t="shared" si="6"/>
        <v>0</v>
      </c>
      <c r="AE14" s="31">
        <f t="shared" si="6"/>
        <v>88</v>
      </c>
      <c r="AF14" s="31">
        <f t="shared" si="6"/>
        <v>165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1</v>
      </c>
      <c r="F15" s="50">
        <v>7</v>
      </c>
      <c r="G15" s="50">
        <v>1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29</v>
      </c>
      <c r="N15" s="50">
        <v>0</v>
      </c>
      <c r="O15" s="15">
        <f t="shared" si="0"/>
        <v>15</v>
      </c>
      <c r="P15" s="15">
        <f t="shared" si="1"/>
        <v>44</v>
      </c>
      <c r="R15" s="1" t="s">
        <v>11</v>
      </c>
      <c r="S15" s="17">
        <f t="shared" ref="S15:AF15" si="7">SUM(C30:C33)</f>
        <v>44</v>
      </c>
      <c r="T15" s="17">
        <f t="shared" si="7"/>
        <v>0</v>
      </c>
      <c r="U15" s="17">
        <f t="shared" si="7"/>
        <v>23</v>
      </c>
      <c r="V15" s="17">
        <f t="shared" si="7"/>
        <v>17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98</v>
      </c>
      <c r="AD15" s="17">
        <f t="shared" si="7"/>
        <v>0</v>
      </c>
      <c r="AE15" s="31">
        <f t="shared" si="7"/>
        <v>105</v>
      </c>
      <c r="AF15" s="31">
        <f t="shared" si="7"/>
        <v>203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2</v>
      </c>
      <c r="F16" s="50">
        <v>5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28</v>
      </c>
      <c r="N16" s="50">
        <v>0</v>
      </c>
      <c r="O16" s="15">
        <f t="shared" si="0"/>
        <v>14</v>
      </c>
      <c r="P16" s="15">
        <f t="shared" si="1"/>
        <v>42</v>
      </c>
      <c r="R16" s="1" t="s">
        <v>12</v>
      </c>
      <c r="S16" s="17">
        <f t="shared" ref="S16:AF16" si="8">SUM(C34:C37)</f>
        <v>30</v>
      </c>
      <c r="T16" s="17">
        <f t="shared" si="8"/>
        <v>0</v>
      </c>
      <c r="U16" s="17">
        <f t="shared" si="8"/>
        <v>21</v>
      </c>
      <c r="V16" s="17">
        <f t="shared" si="8"/>
        <v>12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0</v>
      </c>
      <c r="AA16" s="17">
        <f t="shared" si="8"/>
        <v>1</v>
      </c>
      <c r="AB16" s="17">
        <f t="shared" si="8"/>
        <v>2</v>
      </c>
      <c r="AC16" s="17">
        <f t="shared" si="8"/>
        <v>110</v>
      </c>
      <c r="AD16" s="17">
        <f t="shared" si="8"/>
        <v>0</v>
      </c>
      <c r="AE16" s="31">
        <f t="shared" si="8"/>
        <v>80</v>
      </c>
      <c r="AF16" s="31">
        <f t="shared" si="8"/>
        <v>190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4</v>
      </c>
      <c r="F17" s="50">
        <v>4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17</v>
      </c>
      <c r="P17" s="15">
        <f t="shared" si="1"/>
        <v>39</v>
      </c>
      <c r="R17" s="1" t="s">
        <v>13</v>
      </c>
      <c r="S17" s="17">
        <f t="shared" ref="S17:AF17" si="9">SUM(C38:C41)</f>
        <v>28</v>
      </c>
      <c r="T17" s="17">
        <f t="shared" si="9"/>
        <v>0</v>
      </c>
      <c r="U17" s="17">
        <f t="shared" si="9"/>
        <v>26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1</v>
      </c>
      <c r="AA17" s="17">
        <f t="shared" si="9"/>
        <v>1</v>
      </c>
      <c r="AB17" s="17">
        <f t="shared" si="9"/>
        <v>7</v>
      </c>
      <c r="AC17" s="17">
        <f t="shared" si="9"/>
        <v>87</v>
      </c>
      <c r="AD17" s="17">
        <f t="shared" si="9"/>
        <v>0</v>
      </c>
      <c r="AE17" s="31">
        <f t="shared" si="9"/>
        <v>84</v>
      </c>
      <c r="AF17" s="31">
        <f t="shared" si="9"/>
        <v>171</v>
      </c>
    </row>
    <row r="18" spans="2:32" ht="23.1" customHeight="1" x14ac:dyDescent="0.25">
      <c r="B18" s="23" t="s">
        <v>45</v>
      </c>
      <c r="C18" s="50">
        <v>9</v>
      </c>
      <c r="D18" s="50">
        <v>0</v>
      </c>
      <c r="E18" s="50">
        <v>1</v>
      </c>
      <c r="F18" s="50">
        <v>6</v>
      </c>
      <c r="G18" s="50">
        <v>1</v>
      </c>
      <c r="H18" s="50">
        <v>0</v>
      </c>
      <c r="I18" s="50">
        <v>4</v>
      </c>
      <c r="J18" s="50">
        <v>0</v>
      </c>
      <c r="K18" s="50">
        <v>1</v>
      </c>
      <c r="L18" s="50">
        <v>0</v>
      </c>
      <c r="M18" s="50">
        <v>30</v>
      </c>
      <c r="N18" s="50">
        <v>0</v>
      </c>
      <c r="O18" s="15">
        <f t="shared" si="0"/>
        <v>22</v>
      </c>
      <c r="P18" s="15">
        <f t="shared" si="1"/>
        <v>52</v>
      </c>
      <c r="R18" s="1" t="s">
        <v>14</v>
      </c>
      <c r="S18" s="17">
        <f t="shared" ref="S18:AF18" si="10">SUM(C42:C45)</f>
        <v>27</v>
      </c>
      <c r="T18" s="17">
        <f t="shared" si="10"/>
        <v>0</v>
      </c>
      <c r="U18" s="17">
        <f t="shared" si="10"/>
        <v>18</v>
      </c>
      <c r="V18" s="17">
        <f t="shared" si="10"/>
        <v>16</v>
      </c>
      <c r="W18" s="17">
        <f t="shared" si="10"/>
        <v>2</v>
      </c>
      <c r="X18" s="17">
        <f t="shared" si="10"/>
        <v>0</v>
      </c>
      <c r="Y18" s="17">
        <f t="shared" si="10"/>
        <v>13</v>
      </c>
      <c r="Z18" s="17">
        <f t="shared" si="10"/>
        <v>1</v>
      </c>
      <c r="AA18" s="17">
        <f t="shared" si="10"/>
        <v>4</v>
      </c>
      <c r="AB18" s="17">
        <f t="shared" si="10"/>
        <v>3</v>
      </c>
      <c r="AC18" s="17">
        <f t="shared" si="10"/>
        <v>94</v>
      </c>
      <c r="AD18" s="17">
        <f t="shared" si="10"/>
        <v>0</v>
      </c>
      <c r="AE18" s="31">
        <f t="shared" si="10"/>
        <v>84</v>
      </c>
      <c r="AF18" s="31">
        <f t="shared" si="10"/>
        <v>178</v>
      </c>
    </row>
    <row r="19" spans="2:32" ht="23.1" customHeight="1" x14ac:dyDescent="0.25">
      <c r="B19" s="23" t="s">
        <v>46</v>
      </c>
      <c r="C19" s="50">
        <v>6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22</v>
      </c>
      <c r="N19" s="50">
        <v>0</v>
      </c>
      <c r="O19" s="15">
        <f t="shared" si="0"/>
        <v>12</v>
      </c>
      <c r="P19" s="15">
        <f t="shared" si="1"/>
        <v>34</v>
      </c>
      <c r="R19" s="1" t="s">
        <v>15</v>
      </c>
      <c r="S19" s="17">
        <f t="shared" ref="S19:AF19" si="11">SUM(C46:C49)</f>
        <v>24</v>
      </c>
      <c r="T19" s="17">
        <f t="shared" si="11"/>
        <v>0</v>
      </c>
      <c r="U19" s="17">
        <f t="shared" si="11"/>
        <v>21</v>
      </c>
      <c r="V19" s="17">
        <f t="shared" si="11"/>
        <v>13</v>
      </c>
      <c r="W19" s="17">
        <f t="shared" si="11"/>
        <v>3</v>
      </c>
      <c r="X19" s="17">
        <f t="shared" si="11"/>
        <v>1</v>
      </c>
      <c r="Y19" s="17">
        <f t="shared" si="11"/>
        <v>15</v>
      </c>
      <c r="Z19" s="17">
        <f t="shared" si="11"/>
        <v>1</v>
      </c>
      <c r="AA19" s="17">
        <f t="shared" si="11"/>
        <v>2</v>
      </c>
      <c r="AB19" s="17">
        <f t="shared" si="11"/>
        <v>0</v>
      </c>
      <c r="AC19" s="17">
        <f t="shared" si="11"/>
        <v>110</v>
      </c>
      <c r="AD19" s="17">
        <f t="shared" si="11"/>
        <v>0</v>
      </c>
      <c r="AE19" s="31">
        <f t="shared" si="11"/>
        <v>80</v>
      </c>
      <c r="AF19" s="31">
        <f t="shared" si="11"/>
        <v>190</v>
      </c>
    </row>
    <row r="20" spans="2:32" ht="23.1" customHeight="1" x14ac:dyDescent="0.25">
      <c r="B20" s="23" t="s">
        <v>47</v>
      </c>
      <c r="C20" s="50">
        <v>6</v>
      </c>
      <c r="D20" s="50">
        <v>0</v>
      </c>
      <c r="E20" s="50">
        <v>3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2</v>
      </c>
      <c r="L20" s="50">
        <v>0</v>
      </c>
      <c r="M20" s="50">
        <v>26</v>
      </c>
      <c r="N20" s="50">
        <v>0</v>
      </c>
      <c r="O20" s="15">
        <f t="shared" si="0"/>
        <v>15</v>
      </c>
      <c r="P20" s="15">
        <f t="shared" si="1"/>
        <v>41</v>
      </c>
      <c r="R20" s="1" t="s">
        <v>16</v>
      </c>
      <c r="S20" s="17">
        <f t="shared" ref="S20:AF20" si="12">SUM(C50:C53)</f>
        <v>23</v>
      </c>
      <c r="T20" s="17">
        <f t="shared" si="12"/>
        <v>0</v>
      </c>
      <c r="U20" s="17">
        <f t="shared" si="12"/>
        <v>16</v>
      </c>
      <c r="V20" s="17">
        <f t="shared" si="12"/>
        <v>14</v>
      </c>
      <c r="W20" s="17">
        <f t="shared" si="12"/>
        <v>0</v>
      </c>
      <c r="X20" s="17">
        <f t="shared" si="12"/>
        <v>4</v>
      </c>
      <c r="Y20" s="17">
        <f t="shared" si="12"/>
        <v>14</v>
      </c>
      <c r="Z20" s="17">
        <f t="shared" si="12"/>
        <v>1</v>
      </c>
      <c r="AA20" s="17">
        <f t="shared" si="12"/>
        <v>3</v>
      </c>
      <c r="AB20" s="17">
        <f t="shared" si="12"/>
        <v>3</v>
      </c>
      <c r="AC20" s="17">
        <f t="shared" si="12"/>
        <v>131</v>
      </c>
      <c r="AD20" s="17">
        <f t="shared" si="12"/>
        <v>0</v>
      </c>
      <c r="AE20" s="31">
        <f t="shared" si="12"/>
        <v>78</v>
      </c>
      <c r="AF20" s="31">
        <f t="shared" si="12"/>
        <v>209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4</v>
      </c>
      <c r="F21" s="50">
        <v>5</v>
      </c>
      <c r="G21" s="50">
        <v>0</v>
      </c>
      <c r="H21" s="50">
        <v>0</v>
      </c>
      <c r="I21" s="50">
        <v>3</v>
      </c>
      <c r="J21" s="50">
        <v>1</v>
      </c>
      <c r="K21" s="50">
        <v>4</v>
      </c>
      <c r="L21" s="50">
        <v>0</v>
      </c>
      <c r="M21" s="50">
        <v>24</v>
      </c>
      <c r="N21" s="50">
        <v>0</v>
      </c>
      <c r="O21" s="15">
        <f t="shared" si="0"/>
        <v>20</v>
      </c>
      <c r="P21" s="15">
        <f t="shared" si="1"/>
        <v>44</v>
      </c>
      <c r="R21" s="36" t="s">
        <v>20</v>
      </c>
      <c r="S21" s="34">
        <f t="shared" ref="S21:AF21" si="13">SUM(C54:C57)</f>
        <v>16</v>
      </c>
      <c r="T21" s="17">
        <f t="shared" si="13"/>
        <v>0</v>
      </c>
      <c r="U21" s="17">
        <f t="shared" si="13"/>
        <v>28</v>
      </c>
      <c r="V21" s="17">
        <f t="shared" si="13"/>
        <v>18</v>
      </c>
      <c r="W21" s="17">
        <f t="shared" si="13"/>
        <v>0</v>
      </c>
      <c r="X21" s="17">
        <f t="shared" si="13"/>
        <v>1</v>
      </c>
      <c r="Y21" s="17">
        <f t="shared" si="13"/>
        <v>16</v>
      </c>
      <c r="Z21" s="17">
        <f t="shared" si="13"/>
        <v>2</v>
      </c>
      <c r="AA21" s="17">
        <f t="shared" si="13"/>
        <v>4</v>
      </c>
      <c r="AB21" s="17">
        <f t="shared" si="13"/>
        <v>2</v>
      </c>
      <c r="AC21" s="17">
        <f t="shared" si="13"/>
        <v>118</v>
      </c>
      <c r="AD21" s="17">
        <f t="shared" si="13"/>
        <v>0</v>
      </c>
      <c r="AE21" s="31">
        <f t="shared" si="13"/>
        <v>87</v>
      </c>
      <c r="AF21" s="31">
        <f t="shared" si="13"/>
        <v>205</v>
      </c>
    </row>
    <row r="22" spans="2:32" ht="23.1" customHeight="1" x14ac:dyDescent="0.25">
      <c r="B22" s="23" t="s">
        <v>49</v>
      </c>
      <c r="C22" s="50">
        <v>6</v>
      </c>
      <c r="D22" s="50">
        <v>0</v>
      </c>
      <c r="E22" s="50">
        <v>4</v>
      </c>
      <c r="F22" s="50">
        <v>4</v>
      </c>
      <c r="G22" s="50">
        <v>1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17</v>
      </c>
      <c r="P22" s="15">
        <f t="shared" si="1"/>
        <v>46</v>
      </c>
      <c r="R22" s="38" t="s">
        <v>90</v>
      </c>
      <c r="S22" s="39">
        <f>MAX(S10:S12)</f>
        <v>24</v>
      </c>
      <c r="T22" s="39">
        <f t="shared" ref="T22:AF22" si="14">MAX(T10:T12)</f>
        <v>0</v>
      </c>
      <c r="U22" s="39">
        <f t="shared" si="14"/>
        <v>11</v>
      </c>
      <c r="V22" s="39">
        <f t="shared" si="14"/>
        <v>25</v>
      </c>
      <c r="W22" s="39">
        <f t="shared" si="14"/>
        <v>4</v>
      </c>
      <c r="X22" s="39">
        <f t="shared" si="14"/>
        <v>0</v>
      </c>
      <c r="Y22" s="39">
        <f t="shared" si="14"/>
        <v>8</v>
      </c>
      <c r="Z22" s="39">
        <f t="shared" si="14"/>
        <v>1</v>
      </c>
      <c r="AA22" s="39">
        <f t="shared" si="14"/>
        <v>8</v>
      </c>
      <c r="AB22" s="39">
        <f t="shared" si="14"/>
        <v>0</v>
      </c>
      <c r="AC22" s="39">
        <f t="shared" si="14"/>
        <v>129</v>
      </c>
      <c r="AD22" s="39">
        <f t="shared" si="14"/>
        <v>1</v>
      </c>
      <c r="AE22" s="40">
        <f t="shared" si="14"/>
        <v>69</v>
      </c>
      <c r="AF22" s="40">
        <f t="shared" si="14"/>
        <v>184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5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13</v>
      </c>
      <c r="P23" s="15">
        <f t="shared" si="1"/>
        <v>43</v>
      </c>
      <c r="R23" s="38" t="s">
        <v>91</v>
      </c>
      <c r="S23" s="39">
        <f>MAX(S13:S18)</f>
        <v>44</v>
      </c>
      <c r="T23" s="39">
        <f t="shared" ref="T23:AF23" si="15">MAX(T13:T18)</f>
        <v>0</v>
      </c>
      <c r="U23" s="39">
        <f t="shared" si="15"/>
        <v>26</v>
      </c>
      <c r="V23" s="39">
        <f t="shared" si="15"/>
        <v>20</v>
      </c>
      <c r="W23" s="39">
        <f t="shared" si="15"/>
        <v>2</v>
      </c>
      <c r="X23" s="39">
        <f t="shared" si="15"/>
        <v>1</v>
      </c>
      <c r="Y23" s="39">
        <f t="shared" si="15"/>
        <v>18</v>
      </c>
      <c r="Z23" s="39">
        <f t="shared" si="15"/>
        <v>2</v>
      </c>
      <c r="AA23" s="39">
        <f t="shared" si="15"/>
        <v>4</v>
      </c>
      <c r="AB23" s="39">
        <f t="shared" si="15"/>
        <v>7</v>
      </c>
      <c r="AC23" s="39">
        <f t="shared" si="15"/>
        <v>110</v>
      </c>
      <c r="AD23" s="39">
        <f t="shared" si="15"/>
        <v>0</v>
      </c>
      <c r="AE23" s="40">
        <f t="shared" si="15"/>
        <v>105</v>
      </c>
      <c r="AF23" s="40">
        <f t="shared" si="15"/>
        <v>203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2</v>
      </c>
      <c r="F24" s="50">
        <v>6</v>
      </c>
      <c r="G24" s="50">
        <v>0</v>
      </c>
      <c r="H24" s="50">
        <v>1</v>
      </c>
      <c r="I24" s="50">
        <v>1</v>
      </c>
      <c r="J24" s="50">
        <v>2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19</v>
      </c>
      <c r="P24" s="15">
        <f t="shared" si="1"/>
        <v>47</v>
      </c>
      <c r="R24" s="38" t="s">
        <v>92</v>
      </c>
      <c r="S24" s="39">
        <f>MAX(S19:S21)</f>
        <v>24</v>
      </c>
      <c r="T24" s="39">
        <f t="shared" ref="T24:AF24" si="16">MAX(T19:T21)</f>
        <v>0</v>
      </c>
      <c r="U24" s="39">
        <f t="shared" si="16"/>
        <v>28</v>
      </c>
      <c r="V24" s="39">
        <f t="shared" si="16"/>
        <v>18</v>
      </c>
      <c r="W24" s="39">
        <f t="shared" si="16"/>
        <v>3</v>
      </c>
      <c r="X24" s="39">
        <f t="shared" si="16"/>
        <v>4</v>
      </c>
      <c r="Y24" s="39">
        <f t="shared" si="16"/>
        <v>16</v>
      </c>
      <c r="Z24" s="39">
        <f t="shared" si="16"/>
        <v>2</v>
      </c>
      <c r="AA24" s="39">
        <f t="shared" si="16"/>
        <v>4</v>
      </c>
      <c r="AB24" s="39">
        <f t="shared" si="16"/>
        <v>3</v>
      </c>
      <c r="AC24" s="39">
        <f t="shared" si="16"/>
        <v>131</v>
      </c>
      <c r="AD24" s="39">
        <f t="shared" si="16"/>
        <v>0</v>
      </c>
      <c r="AE24" s="40">
        <f t="shared" si="16"/>
        <v>87</v>
      </c>
      <c r="AF24" s="40">
        <f t="shared" si="16"/>
        <v>209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2</v>
      </c>
      <c r="F25" s="50">
        <v>8</v>
      </c>
      <c r="G25" s="50">
        <v>1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21</v>
      </c>
      <c r="P25" s="15">
        <f t="shared" si="1"/>
        <v>39</v>
      </c>
      <c r="R25" s="37" t="s">
        <v>85</v>
      </c>
      <c r="S25" s="35">
        <f t="shared" ref="S25:AF25" si="17">SUM(S10:S12)</f>
        <v>56</v>
      </c>
      <c r="T25" s="16">
        <f t="shared" si="17"/>
        <v>0</v>
      </c>
      <c r="U25" s="16">
        <f t="shared" si="17"/>
        <v>29</v>
      </c>
      <c r="V25" s="16">
        <f t="shared" si="17"/>
        <v>65</v>
      </c>
      <c r="W25" s="16">
        <f t="shared" si="17"/>
        <v>7</v>
      </c>
      <c r="X25" s="16">
        <f t="shared" si="17"/>
        <v>0</v>
      </c>
      <c r="Y25" s="16">
        <f t="shared" si="17"/>
        <v>23</v>
      </c>
      <c r="Z25" s="16">
        <f t="shared" si="17"/>
        <v>2</v>
      </c>
      <c r="AA25" s="16">
        <f t="shared" si="17"/>
        <v>8</v>
      </c>
      <c r="AB25" s="16">
        <f t="shared" si="17"/>
        <v>0</v>
      </c>
      <c r="AC25" s="16">
        <f t="shared" si="17"/>
        <v>347</v>
      </c>
      <c r="AD25" s="16">
        <f t="shared" si="17"/>
        <v>1</v>
      </c>
      <c r="AE25" s="32">
        <f t="shared" si="17"/>
        <v>191</v>
      </c>
      <c r="AF25" s="32">
        <f t="shared" si="17"/>
        <v>538</v>
      </c>
    </row>
    <row r="26" spans="2:32" ht="23.1" customHeight="1" x14ac:dyDescent="0.25">
      <c r="B26" s="23" t="s">
        <v>53</v>
      </c>
      <c r="C26" s="50">
        <v>9</v>
      </c>
      <c r="D26" s="50">
        <v>0</v>
      </c>
      <c r="E26" s="50">
        <v>2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14</v>
      </c>
      <c r="P26" s="15">
        <f t="shared" si="1"/>
        <v>30</v>
      </c>
      <c r="R26" s="28" t="s">
        <v>86</v>
      </c>
      <c r="S26" s="16">
        <f t="shared" ref="S26:AF26" si="18">SUM(S13:S18)</f>
        <v>186</v>
      </c>
      <c r="T26" s="16">
        <f t="shared" si="18"/>
        <v>0</v>
      </c>
      <c r="U26" s="16">
        <f t="shared" si="18"/>
        <v>126</v>
      </c>
      <c r="V26" s="16">
        <f t="shared" si="18"/>
        <v>98</v>
      </c>
      <c r="W26" s="16">
        <f t="shared" si="18"/>
        <v>6</v>
      </c>
      <c r="X26" s="16">
        <f t="shared" si="18"/>
        <v>1</v>
      </c>
      <c r="Y26" s="16">
        <f t="shared" si="18"/>
        <v>70</v>
      </c>
      <c r="Z26" s="16">
        <f t="shared" si="18"/>
        <v>5</v>
      </c>
      <c r="AA26" s="16">
        <f t="shared" si="18"/>
        <v>7</v>
      </c>
      <c r="AB26" s="16">
        <f t="shared" si="18"/>
        <v>12</v>
      </c>
      <c r="AC26" s="16">
        <f t="shared" si="18"/>
        <v>571</v>
      </c>
      <c r="AD26" s="16">
        <f t="shared" si="18"/>
        <v>0</v>
      </c>
      <c r="AE26" s="32">
        <f t="shared" si="18"/>
        <v>511</v>
      </c>
      <c r="AF26" s="32">
        <f t="shared" si="18"/>
        <v>1082</v>
      </c>
    </row>
    <row r="27" spans="2:32" ht="23.1" customHeight="1" x14ac:dyDescent="0.25">
      <c r="B27" s="23" t="s">
        <v>54</v>
      </c>
      <c r="C27" s="50">
        <v>9</v>
      </c>
      <c r="D27" s="50">
        <v>0</v>
      </c>
      <c r="E27" s="50">
        <v>6</v>
      </c>
      <c r="F27" s="50">
        <v>8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25</v>
      </c>
      <c r="P27" s="15">
        <f t="shared" si="1"/>
        <v>42</v>
      </c>
      <c r="R27" s="29" t="s">
        <v>87</v>
      </c>
      <c r="S27" s="16">
        <f t="shared" ref="S27:AF27" si="19">SUM(S19:S21)</f>
        <v>63</v>
      </c>
      <c r="T27" s="16">
        <f t="shared" si="19"/>
        <v>0</v>
      </c>
      <c r="U27" s="16">
        <f t="shared" si="19"/>
        <v>65</v>
      </c>
      <c r="V27" s="16">
        <f t="shared" si="19"/>
        <v>45</v>
      </c>
      <c r="W27" s="16">
        <f t="shared" si="19"/>
        <v>3</v>
      </c>
      <c r="X27" s="16">
        <f t="shared" si="19"/>
        <v>6</v>
      </c>
      <c r="Y27" s="16">
        <f t="shared" si="19"/>
        <v>45</v>
      </c>
      <c r="Z27" s="16">
        <f t="shared" si="19"/>
        <v>4</v>
      </c>
      <c r="AA27" s="16">
        <f t="shared" si="19"/>
        <v>9</v>
      </c>
      <c r="AB27" s="16">
        <f t="shared" si="19"/>
        <v>5</v>
      </c>
      <c r="AC27" s="16">
        <f t="shared" si="19"/>
        <v>359</v>
      </c>
      <c r="AD27" s="16">
        <f t="shared" si="19"/>
        <v>0</v>
      </c>
      <c r="AE27" s="32">
        <f t="shared" si="19"/>
        <v>245</v>
      </c>
      <c r="AF27" s="32">
        <f t="shared" si="19"/>
        <v>604</v>
      </c>
    </row>
    <row r="28" spans="2:32" ht="23.1" customHeight="1" x14ac:dyDescent="0.25">
      <c r="B28" s="23" t="s">
        <v>55</v>
      </c>
      <c r="C28" s="50">
        <v>6</v>
      </c>
      <c r="D28" s="50">
        <v>0</v>
      </c>
      <c r="E28" s="50">
        <v>9</v>
      </c>
      <c r="F28" s="50">
        <v>5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23</v>
      </c>
      <c r="P28" s="15">
        <f t="shared" si="1"/>
        <v>49</v>
      </c>
      <c r="R28" s="5" t="s">
        <v>17</v>
      </c>
      <c r="S28" s="16">
        <f t="shared" ref="S28:AF28" si="20">SUM(S10:S21)</f>
        <v>305</v>
      </c>
      <c r="T28" s="16">
        <f t="shared" si="20"/>
        <v>0</v>
      </c>
      <c r="U28" s="16">
        <f t="shared" si="20"/>
        <v>220</v>
      </c>
      <c r="V28" s="16">
        <f t="shared" si="20"/>
        <v>208</v>
      </c>
      <c r="W28" s="16">
        <f t="shared" si="20"/>
        <v>16</v>
      </c>
      <c r="X28" s="16">
        <f t="shared" si="20"/>
        <v>7</v>
      </c>
      <c r="Y28" s="16">
        <f t="shared" si="20"/>
        <v>138</v>
      </c>
      <c r="Z28" s="16">
        <f t="shared" si="20"/>
        <v>11</v>
      </c>
      <c r="AA28" s="16">
        <f t="shared" si="20"/>
        <v>24</v>
      </c>
      <c r="AB28" s="16">
        <f t="shared" si="20"/>
        <v>17</v>
      </c>
      <c r="AC28" s="16">
        <f t="shared" si="20"/>
        <v>1277</v>
      </c>
      <c r="AD28" s="16">
        <f t="shared" si="20"/>
        <v>1</v>
      </c>
      <c r="AE28" s="32">
        <f t="shared" si="20"/>
        <v>947</v>
      </c>
      <c r="AF28" s="32">
        <f t="shared" si="20"/>
        <v>2224</v>
      </c>
    </row>
    <row r="29" spans="2:32" ht="23.1" customHeight="1" x14ac:dyDescent="0.25">
      <c r="B29" s="23" t="s">
        <v>56</v>
      </c>
      <c r="C29" s="50">
        <v>10</v>
      </c>
      <c r="D29" s="50">
        <v>0</v>
      </c>
      <c r="E29" s="50">
        <v>8</v>
      </c>
      <c r="F29" s="50">
        <v>5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26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9</v>
      </c>
      <c r="D30" s="50">
        <v>0</v>
      </c>
      <c r="E30" s="50">
        <v>4</v>
      </c>
      <c r="F30" s="50">
        <v>4</v>
      </c>
      <c r="G30" s="50">
        <v>0</v>
      </c>
      <c r="H30" s="50">
        <v>0</v>
      </c>
      <c r="I30" s="50">
        <v>9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26</v>
      </c>
      <c r="P30" s="15">
        <f t="shared" si="1"/>
        <v>41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5</v>
      </c>
      <c r="F31" s="50">
        <v>5</v>
      </c>
      <c r="G31" s="50">
        <v>1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28</v>
      </c>
      <c r="N31" s="50">
        <v>0</v>
      </c>
      <c r="O31" s="15">
        <f t="shared" si="0"/>
        <v>21</v>
      </c>
      <c r="P31" s="15">
        <f t="shared" si="1"/>
        <v>49</v>
      </c>
    </row>
    <row r="32" spans="2:32" ht="23.1" customHeight="1" x14ac:dyDescent="0.25">
      <c r="B32" s="24" t="s">
        <v>59</v>
      </c>
      <c r="C32" s="50">
        <v>12</v>
      </c>
      <c r="D32" s="50">
        <v>0</v>
      </c>
      <c r="E32" s="50">
        <v>9</v>
      </c>
      <c r="F32" s="50">
        <v>4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32</v>
      </c>
      <c r="N32" s="50">
        <v>0</v>
      </c>
      <c r="O32" s="15">
        <f t="shared" si="0"/>
        <v>28</v>
      </c>
      <c r="P32" s="15">
        <f t="shared" si="1"/>
        <v>60</v>
      </c>
    </row>
    <row r="33" spans="2:20" ht="23.1" customHeight="1" x14ac:dyDescent="0.25">
      <c r="B33" s="23" t="s">
        <v>60</v>
      </c>
      <c r="C33" s="50">
        <v>16</v>
      </c>
      <c r="D33" s="50">
        <v>0</v>
      </c>
      <c r="E33" s="50">
        <v>5</v>
      </c>
      <c r="F33" s="50">
        <v>4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30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4</v>
      </c>
      <c r="F34" s="50">
        <v>3</v>
      </c>
      <c r="G34" s="50">
        <v>1</v>
      </c>
      <c r="H34" s="50">
        <v>0</v>
      </c>
      <c r="I34" s="50">
        <v>3</v>
      </c>
      <c r="J34" s="50">
        <v>0</v>
      </c>
      <c r="K34" s="50">
        <v>1</v>
      </c>
      <c r="L34" s="50">
        <v>1</v>
      </c>
      <c r="M34" s="50">
        <v>27</v>
      </c>
      <c r="N34" s="50">
        <v>0</v>
      </c>
      <c r="O34" s="15">
        <f t="shared" si="0"/>
        <v>18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15</v>
      </c>
      <c r="D35" s="50">
        <v>0</v>
      </c>
      <c r="E35" s="50">
        <v>6</v>
      </c>
      <c r="F35" s="50">
        <v>3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23</v>
      </c>
      <c r="N35" s="50">
        <v>0</v>
      </c>
      <c r="O35" s="15">
        <f t="shared" si="0"/>
        <v>26</v>
      </c>
      <c r="P35" s="15">
        <f t="shared" si="1"/>
        <v>49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5</v>
      </c>
      <c r="F36" s="50">
        <v>4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30</v>
      </c>
      <c r="N36" s="50">
        <v>0</v>
      </c>
      <c r="O36" s="15">
        <f t="shared" si="0"/>
        <v>18</v>
      </c>
      <c r="P36" s="15">
        <f t="shared" si="1"/>
        <v>48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6</v>
      </c>
      <c r="F37" s="50">
        <v>2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1</v>
      </c>
      <c r="M37" s="50">
        <v>30</v>
      </c>
      <c r="N37" s="50">
        <v>0</v>
      </c>
      <c r="O37" s="15">
        <f t="shared" si="0"/>
        <v>18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13</v>
      </c>
      <c r="D38" s="50">
        <v>0</v>
      </c>
      <c r="E38" s="50">
        <v>8</v>
      </c>
      <c r="F38" s="50">
        <v>3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1</v>
      </c>
      <c r="M38" s="50">
        <v>20</v>
      </c>
      <c r="N38" s="50">
        <v>0</v>
      </c>
      <c r="O38" s="15">
        <f t="shared" si="0"/>
        <v>29</v>
      </c>
      <c r="P38" s="15">
        <f t="shared" si="1"/>
        <v>49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6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12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6</v>
      </c>
      <c r="D40" s="50">
        <v>0</v>
      </c>
      <c r="E40" s="50">
        <v>4</v>
      </c>
      <c r="F40" s="50">
        <v>3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3</v>
      </c>
      <c r="M40" s="50">
        <v>17</v>
      </c>
      <c r="N40" s="50">
        <v>0</v>
      </c>
      <c r="O40" s="15">
        <f t="shared" si="0"/>
        <v>18</v>
      </c>
      <c r="P40" s="15">
        <f t="shared" si="1"/>
        <v>35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8</v>
      </c>
      <c r="F41" s="50">
        <v>6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3</v>
      </c>
      <c r="M41" s="50">
        <v>31</v>
      </c>
      <c r="N41" s="50">
        <v>0</v>
      </c>
      <c r="O41" s="15">
        <f t="shared" si="0"/>
        <v>25</v>
      </c>
      <c r="P41" s="15">
        <f t="shared" si="1"/>
        <v>56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5</v>
      </c>
      <c r="F42" s="50">
        <v>3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18</v>
      </c>
      <c r="N42" s="50">
        <v>0</v>
      </c>
      <c r="O42" s="15">
        <f t="shared" si="0"/>
        <v>17</v>
      </c>
      <c r="P42" s="15">
        <f t="shared" si="1"/>
        <v>35</v>
      </c>
    </row>
    <row r="43" spans="2:20" ht="23.1" customHeight="1" x14ac:dyDescent="0.25">
      <c r="B43" s="23" t="s">
        <v>70</v>
      </c>
      <c r="C43" s="50">
        <v>5</v>
      </c>
      <c r="D43" s="50">
        <v>0</v>
      </c>
      <c r="E43" s="50">
        <v>5</v>
      </c>
      <c r="F43" s="50">
        <v>3</v>
      </c>
      <c r="G43" s="50">
        <v>0</v>
      </c>
      <c r="H43" s="50">
        <v>0</v>
      </c>
      <c r="I43" s="50">
        <v>4</v>
      </c>
      <c r="J43" s="50">
        <v>1</v>
      </c>
      <c r="K43" s="50">
        <v>1</v>
      </c>
      <c r="L43" s="50">
        <v>0</v>
      </c>
      <c r="M43" s="50">
        <v>23</v>
      </c>
      <c r="N43" s="50">
        <v>0</v>
      </c>
      <c r="O43" s="15">
        <f t="shared" si="0"/>
        <v>19</v>
      </c>
      <c r="P43" s="15">
        <f t="shared" si="1"/>
        <v>42</v>
      </c>
    </row>
    <row r="44" spans="2:20" ht="23.1" customHeight="1" x14ac:dyDescent="0.25">
      <c r="B44" s="25" t="s">
        <v>71</v>
      </c>
      <c r="C44" s="50">
        <v>11</v>
      </c>
      <c r="D44" s="50">
        <v>0</v>
      </c>
      <c r="E44" s="50">
        <v>5</v>
      </c>
      <c r="F44" s="50">
        <v>3</v>
      </c>
      <c r="G44" s="50">
        <v>0</v>
      </c>
      <c r="H44" s="50">
        <v>0</v>
      </c>
      <c r="I44" s="50">
        <v>8</v>
      </c>
      <c r="J44" s="50">
        <v>0</v>
      </c>
      <c r="K44" s="50">
        <v>1</v>
      </c>
      <c r="L44" s="50">
        <v>0</v>
      </c>
      <c r="M44" s="50">
        <v>26</v>
      </c>
      <c r="N44" s="50">
        <v>0</v>
      </c>
      <c r="O44" s="15">
        <f t="shared" si="0"/>
        <v>28</v>
      </c>
      <c r="P44" s="15">
        <f t="shared" si="1"/>
        <v>54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3</v>
      </c>
      <c r="F45" s="50">
        <v>7</v>
      </c>
      <c r="G45" s="50">
        <v>1</v>
      </c>
      <c r="H45" s="50">
        <v>0</v>
      </c>
      <c r="I45" s="50">
        <v>1</v>
      </c>
      <c r="J45" s="50">
        <v>0</v>
      </c>
      <c r="K45" s="50">
        <v>2</v>
      </c>
      <c r="L45" s="50">
        <v>2</v>
      </c>
      <c r="M45" s="50">
        <v>27</v>
      </c>
      <c r="N45" s="50">
        <v>0</v>
      </c>
      <c r="O45" s="15">
        <f t="shared" si="0"/>
        <v>20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10</v>
      </c>
      <c r="D46" s="50">
        <v>0</v>
      </c>
      <c r="E46" s="50">
        <v>6</v>
      </c>
      <c r="F46" s="50">
        <v>1</v>
      </c>
      <c r="G46" s="50">
        <v>2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30</v>
      </c>
      <c r="N46" s="50">
        <v>0</v>
      </c>
      <c r="O46" s="15">
        <f t="shared" si="0"/>
        <v>22</v>
      </c>
      <c r="P46" s="15">
        <f t="shared" si="1"/>
        <v>52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7</v>
      </c>
      <c r="F47" s="50">
        <v>6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25</v>
      </c>
      <c r="N47" s="50">
        <v>0</v>
      </c>
      <c r="O47" s="15">
        <f t="shared" si="0"/>
        <v>22</v>
      </c>
      <c r="P47" s="15">
        <f t="shared" si="1"/>
        <v>47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6</v>
      </c>
      <c r="F48" s="50">
        <v>1</v>
      </c>
      <c r="G48" s="50">
        <v>1</v>
      </c>
      <c r="H48" s="50">
        <v>1</v>
      </c>
      <c r="I48" s="50">
        <v>5</v>
      </c>
      <c r="J48" s="50">
        <v>0</v>
      </c>
      <c r="K48" s="50">
        <v>1</v>
      </c>
      <c r="L48" s="50">
        <v>0</v>
      </c>
      <c r="M48" s="50">
        <v>28</v>
      </c>
      <c r="N48" s="50">
        <v>0</v>
      </c>
      <c r="O48" s="15">
        <f t="shared" si="0"/>
        <v>21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2</v>
      </c>
      <c r="F49" s="50">
        <v>5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27</v>
      </c>
      <c r="N49" s="50">
        <v>0</v>
      </c>
      <c r="O49" s="15">
        <f t="shared" si="0"/>
        <v>15</v>
      </c>
      <c r="P49" s="15">
        <f t="shared" si="1"/>
        <v>42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3</v>
      </c>
      <c r="F50" s="50">
        <v>2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23</v>
      </c>
      <c r="N50" s="50">
        <v>0</v>
      </c>
      <c r="O50" s="15">
        <f t="shared" si="0"/>
        <v>13</v>
      </c>
      <c r="P50" s="15">
        <f t="shared" si="1"/>
        <v>36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1</v>
      </c>
      <c r="F51" s="50">
        <v>1</v>
      </c>
      <c r="G51" s="50">
        <v>0</v>
      </c>
      <c r="H51" s="50">
        <v>2</v>
      </c>
      <c r="I51" s="50">
        <v>2</v>
      </c>
      <c r="J51" s="50">
        <v>0</v>
      </c>
      <c r="K51" s="50">
        <v>0</v>
      </c>
      <c r="L51" s="50">
        <v>0</v>
      </c>
      <c r="M51" s="50">
        <v>34</v>
      </c>
      <c r="N51" s="50">
        <v>0</v>
      </c>
      <c r="O51" s="15">
        <f t="shared" si="0"/>
        <v>13</v>
      </c>
      <c r="P51" s="15">
        <f t="shared" si="1"/>
        <v>47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8</v>
      </c>
      <c r="F52" s="50">
        <v>4</v>
      </c>
      <c r="G52" s="50">
        <v>0</v>
      </c>
      <c r="H52" s="50">
        <v>0</v>
      </c>
      <c r="I52" s="50">
        <v>4</v>
      </c>
      <c r="J52" s="50">
        <v>0</v>
      </c>
      <c r="K52" s="50">
        <v>2</v>
      </c>
      <c r="L52" s="50">
        <v>1</v>
      </c>
      <c r="M52" s="50">
        <v>35</v>
      </c>
      <c r="N52" s="50">
        <v>0</v>
      </c>
      <c r="O52" s="15">
        <f t="shared" si="0"/>
        <v>23</v>
      </c>
      <c r="P52" s="15">
        <f t="shared" si="1"/>
        <v>58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4</v>
      </c>
      <c r="F53" s="50">
        <v>7</v>
      </c>
      <c r="G53" s="50">
        <v>0</v>
      </c>
      <c r="H53" s="50">
        <v>2</v>
      </c>
      <c r="I53" s="50">
        <v>5</v>
      </c>
      <c r="J53" s="50">
        <v>1</v>
      </c>
      <c r="K53" s="50">
        <v>1</v>
      </c>
      <c r="L53" s="50">
        <v>2</v>
      </c>
      <c r="M53" s="50">
        <v>39</v>
      </c>
      <c r="N53" s="50">
        <v>0</v>
      </c>
      <c r="O53" s="15">
        <f t="shared" si="0"/>
        <v>29</v>
      </c>
      <c r="P53" s="15">
        <f t="shared" si="1"/>
        <v>68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4</v>
      </c>
      <c r="F54" s="50">
        <v>4</v>
      </c>
      <c r="G54" s="50">
        <v>0</v>
      </c>
      <c r="H54" s="50">
        <v>0</v>
      </c>
      <c r="I54" s="50">
        <v>2</v>
      </c>
      <c r="J54" s="50">
        <v>1</v>
      </c>
      <c r="K54" s="50">
        <v>2</v>
      </c>
      <c r="L54" s="50">
        <v>1</v>
      </c>
      <c r="M54" s="50">
        <v>20</v>
      </c>
      <c r="N54" s="50">
        <v>0</v>
      </c>
      <c r="O54" s="15">
        <f t="shared" si="0"/>
        <v>18</v>
      </c>
      <c r="P54" s="15">
        <f t="shared" si="1"/>
        <v>38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7</v>
      </c>
      <c r="F55" s="50">
        <v>7</v>
      </c>
      <c r="G55" s="50">
        <v>0</v>
      </c>
      <c r="H55" s="50">
        <v>0</v>
      </c>
      <c r="I55" s="50">
        <v>5</v>
      </c>
      <c r="J55" s="50">
        <v>0</v>
      </c>
      <c r="K55" s="50">
        <v>1</v>
      </c>
      <c r="L55" s="50">
        <v>1</v>
      </c>
      <c r="M55" s="50">
        <v>27</v>
      </c>
      <c r="N55" s="50">
        <v>0</v>
      </c>
      <c r="O55" s="15">
        <f t="shared" si="0"/>
        <v>23</v>
      </c>
      <c r="P55" s="15">
        <f t="shared" si="1"/>
        <v>50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8</v>
      </c>
      <c r="F56" s="50">
        <v>5</v>
      </c>
      <c r="G56" s="50">
        <v>0</v>
      </c>
      <c r="H56" s="50">
        <v>1</v>
      </c>
      <c r="I56" s="50">
        <v>6</v>
      </c>
      <c r="J56" s="50">
        <v>1</v>
      </c>
      <c r="K56" s="50">
        <v>0</v>
      </c>
      <c r="L56" s="50">
        <v>0</v>
      </c>
      <c r="M56" s="50">
        <v>39</v>
      </c>
      <c r="N56" s="50">
        <v>0</v>
      </c>
      <c r="O56" s="15">
        <f t="shared" si="0"/>
        <v>27</v>
      </c>
      <c r="P56" s="15">
        <f t="shared" si="1"/>
        <v>66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9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32</v>
      </c>
      <c r="N57" s="50">
        <v>0</v>
      </c>
      <c r="O57" s="15">
        <f t="shared" si="0"/>
        <v>19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305</v>
      </c>
      <c r="D58" s="16">
        <f t="shared" si="21"/>
        <v>0</v>
      </c>
      <c r="E58" s="16">
        <f t="shared" si="21"/>
        <v>220</v>
      </c>
      <c r="F58" s="16">
        <f t="shared" si="21"/>
        <v>208</v>
      </c>
      <c r="G58" s="16">
        <f t="shared" si="21"/>
        <v>16</v>
      </c>
      <c r="H58" s="16">
        <f t="shared" si="21"/>
        <v>7</v>
      </c>
      <c r="I58" s="16">
        <f t="shared" si="21"/>
        <v>138</v>
      </c>
      <c r="J58" s="16">
        <f t="shared" si="21"/>
        <v>11</v>
      </c>
      <c r="K58" s="16">
        <f t="shared" si="21"/>
        <v>24</v>
      </c>
      <c r="L58" s="16">
        <f t="shared" si="21"/>
        <v>17</v>
      </c>
      <c r="M58" s="16">
        <f t="shared" si="21"/>
        <v>1277</v>
      </c>
      <c r="N58" s="16">
        <f t="shared" si="21"/>
        <v>1</v>
      </c>
      <c r="O58" s="16">
        <f t="shared" si="21"/>
        <v>947</v>
      </c>
      <c r="P58" s="16">
        <f t="shared" si="21"/>
        <v>2224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0.13714028776978418</v>
      </c>
      <c r="D59" s="43">
        <f t="shared" si="22"/>
        <v>0</v>
      </c>
      <c r="E59" s="43">
        <f t="shared" si="22"/>
        <v>9.8920863309352514E-2</v>
      </c>
      <c r="F59" s="43">
        <f t="shared" si="22"/>
        <v>9.3525179856115109E-2</v>
      </c>
      <c r="G59" s="43">
        <f t="shared" si="22"/>
        <v>7.1942446043165471E-3</v>
      </c>
      <c r="H59" s="43">
        <f t="shared" si="22"/>
        <v>3.1474820143884892E-3</v>
      </c>
      <c r="I59" s="43">
        <f t="shared" si="22"/>
        <v>6.2050359712230219E-2</v>
      </c>
      <c r="J59" s="43">
        <f t="shared" si="22"/>
        <v>4.9460431654676255E-3</v>
      </c>
      <c r="K59" s="43">
        <f t="shared" si="22"/>
        <v>1.0791366906474821E-2</v>
      </c>
      <c r="L59" s="43">
        <f t="shared" si="22"/>
        <v>7.6438848920863311E-3</v>
      </c>
      <c r="M59" s="43">
        <f t="shared" si="22"/>
        <v>0.57419064748201443</v>
      </c>
      <c r="N59" s="43">
        <f t="shared" si="22"/>
        <v>4.496402877697842E-4</v>
      </c>
      <c r="R59" s="8"/>
      <c r="T59"/>
    </row>
    <row r="60" spans="2:20" ht="23.1" customHeight="1" x14ac:dyDescent="0.25">
      <c r="B60" s="42" t="s">
        <v>94</v>
      </c>
      <c r="C60" s="44">
        <f>C58/$O$58</f>
        <v>0.32206969376979938</v>
      </c>
      <c r="D60" s="44">
        <f t="shared" ref="D60:N60" si="23">D58/$O$58</f>
        <v>0</v>
      </c>
      <c r="E60" s="44">
        <f t="shared" si="23"/>
        <v>0.23231256599788808</v>
      </c>
      <c r="F60" s="44">
        <f t="shared" si="23"/>
        <v>0.21964097148891235</v>
      </c>
      <c r="G60" s="44">
        <f t="shared" si="23"/>
        <v>1.6895459345300949E-2</v>
      </c>
      <c r="H60" s="44">
        <f t="shared" si="23"/>
        <v>7.3917634635691657E-3</v>
      </c>
      <c r="I60" s="44">
        <f t="shared" si="23"/>
        <v>0.1457233368532207</v>
      </c>
      <c r="J60" s="44">
        <f t="shared" si="23"/>
        <v>1.1615628299894404E-2</v>
      </c>
      <c r="K60" s="44">
        <f t="shared" si="23"/>
        <v>2.5343189017951427E-2</v>
      </c>
      <c r="L60" s="44">
        <f t="shared" si="23"/>
        <v>1.7951425554382259E-2</v>
      </c>
      <c r="M60" s="44"/>
      <c r="N60" s="44">
        <f t="shared" si="23"/>
        <v>1.0559662090813093E-3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topLeftCell="A46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'23.8 Kangulumira-Kayunga'!G5:H5</f>
        <v xml:space="preserve"> </v>
      </c>
      <c r="H5" s="64"/>
      <c r="I5" s="14"/>
      <c r="J5" s="2" t="s">
        <v>5</v>
      </c>
      <c r="K5" s="63" t="str">
        <f>'23.8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'23.8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2</v>
      </c>
      <c r="F10" s="50">
        <v>3</v>
      </c>
      <c r="G10" s="50">
        <v>0</v>
      </c>
      <c r="H10" s="50">
        <v>0</v>
      </c>
      <c r="I10" s="50">
        <v>3</v>
      </c>
      <c r="J10" s="50">
        <v>3</v>
      </c>
      <c r="K10" s="50">
        <v>2</v>
      </c>
      <c r="L10" s="50">
        <v>1</v>
      </c>
      <c r="M10" s="50">
        <v>11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30</v>
      </c>
      <c r="R10" s="1" t="s">
        <v>6</v>
      </c>
      <c r="S10" s="17">
        <f t="shared" ref="S10:AF10" si="2">SUM(C10:C13)</f>
        <v>16</v>
      </c>
      <c r="T10" s="17">
        <f t="shared" si="2"/>
        <v>0</v>
      </c>
      <c r="U10" s="17">
        <f t="shared" si="2"/>
        <v>12</v>
      </c>
      <c r="V10" s="17">
        <f t="shared" si="2"/>
        <v>15</v>
      </c>
      <c r="W10" s="17">
        <f t="shared" si="2"/>
        <v>0</v>
      </c>
      <c r="X10" s="17">
        <f t="shared" si="2"/>
        <v>1</v>
      </c>
      <c r="Y10" s="17">
        <f t="shared" si="2"/>
        <v>6</v>
      </c>
      <c r="Z10" s="17">
        <f t="shared" si="2"/>
        <v>3</v>
      </c>
      <c r="AA10" s="17">
        <f t="shared" si="2"/>
        <v>7</v>
      </c>
      <c r="AB10" s="17">
        <f t="shared" si="2"/>
        <v>4</v>
      </c>
      <c r="AC10" s="17">
        <f t="shared" si="2"/>
        <v>62</v>
      </c>
      <c r="AD10" s="17">
        <f t="shared" si="2"/>
        <v>0</v>
      </c>
      <c r="AE10" s="31">
        <f t="shared" si="2"/>
        <v>64</v>
      </c>
      <c r="AF10" s="31">
        <f t="shared" si="2"/>
        <v>126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5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2</v>
      </c>
      <c r="M11" s="50">
        <v>13</v>
      </c>
      <c r="N11" s="50">
        <v>0</v>
      </c>
      <c r="O11" s="15">
        <f t="shared" si="0"/>
        <v>13</v>
      </c>
      <c r="P11" s="15">
        <f t="shared" si="1"/>
        <v>26</v>
      </c>
      <c r="R11" s="1" t="s">
        <v>7</v>
      </c>
      <c r="S11" s="17">
        <f t="shared" ref="S11:AF11" si="3">SUM(C14:C17)</f>
        <v>19</v>
      </c>
      <c r="T11" s="17">
        <f t="shared" si="3"/>
        <v>0</v>
      </c>
      <c r="U11" s="17">
        <f t="shared" si="3"/>
        <v>6</v>
      </c>
      <c r="V11" s="17">
        <f t="shared" si="3"/>
        <v>13</v>
      </c>
      <c r="W11" s="17">
        <f t="shared" si="3"/>
        <v>0</v>
      </c>
      <c r="X11" s="17">
        <f t="shared" si="3"/>
        <v>1</v>
      </c>
      <c r="Y11" s="17">
        <f t="shared" si="3"/>
        <v>9</v>
      </c>
      <c r="Z11" s="17">
        <f t="shared" si="3"/>
        <v>1</v>
      </c>
      <c r="AA11" s="17">
        <f t="shared" si="3"/>
        <v>1</v>
      </c>
      <c r="AB11" s="17">
        <f t="shared" si="3"/>
        <v>3</v>
      </c>
      <c r="AC11" s="17">
        <f t="shared" si="3"/>
        <v>85</v>
      </c>
      <c r="AD11" s="17">
        <f t="shared" si="3"/>
        <v>0</v>
      </c>
      <c r="AE11" s="31">
        <f t="shared" si="3"/>
        <v>53</v>
      </c>
      <c r="AF11" s="31">
        <f t="shared" si="3"/>
        <v>138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2</v>
      </c>
      <c r="F12" s="50">
        <v>3</v>
      </c>
      <c r="G12" s="50">
        <v>0</v>
      </c>
      <c r="H12" s="50">
        <v>1</v>
      </c>
      <c r="I12" s="50">
        <v>1</v>
      </c>
      <c r="J12" s="50">
        <v>0</v>
      </c>
      <c r="K12" s="50">
        <v>2</v>
      </c>
      <c r="L12" s="50">
        <v>1</v>
      </c>
      <c r="M12" s="50">
        <v>19</v>
      </c>
      <c r="N12" s="50">
        <v>0</v>
      </c>
      <c r="O12" s="15">
        <f t="shared" si="0"/>
        <v>15</v>
      </c>
      <c r="P12" s="15">
        <f t="shared" si="1"/>
        <v>34</v>
      </c>
      <c r="R12" s="1" t="s">
        <v>8</v>
      </c>
      <c r="S12" s="17">
        <f t="shared" ref="S12:AF12" si="4">SUM(C18:C21)</f>
        <v>16</v>
      </c>
      <c r="T12" s="17">
        <f t="shared" si="4"/>
        <v>0</v>
      </c>
      <c r="U12" s="17">
        <f t="shared" si="4"/>
        <v>12</v>
      </c>
      <c r="V12" s="17">
        <f t="shared" si="4"/>
        <v>15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2</v>
      </c>
      <c r="AA12" s="17">
        <f t="shared" si="4"/>
        <v>0</v>
      </c>
      <c r="AB12" s="17">
        <f t="shared" si="4"/>
        <v>2</v>
      </c>
      <c r="AC12" s="17">
        <f t="shared" si="4"/>
        <v>67</v>
      </c>
      <c r="AD12" s="17">
        <f t="shared" si="4"/>
        <v>1</v>
      </c>
      <c r="AE12" s="31">
        <f t="shared" si="4"/>
        <v>53</v>
      </c>
      <c r="AF12" s="31">
        <f t="shared" si="4"/>
        <v>120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3</v>
      </c>
      <c r="F13" s="50">
        <v>7</v>
      </c>
      <c r="G13" s="50">
        <v>0</v>
      </c>
      <c r="H13" s="50">
        <v>0</v>
      </c>
      <c r="I13" s="50">
        <v>1</v>
      </c>
      <c r="J13" s="50">
        <v>0</v>
      </c>
      <c r="K13" s="50">
        <v>3</v>
      </c>
      <c r="L13" s="50">
        <v>0</v>
      </c>
      <c r="M13" s="50">
        <v>19</v>
      </c>
      <c r="N13" s="50">
        <v>0</v>
      </c>
      <c r="O13" s="15">
        <f t="shared" si="0"/>
        <v>17</v>
      </c>
      <c r="P13" s="15">
        <f t="shared" si="1"/>
        <v>36</v>
      </c>
      <c r="R13" s="1" t="s">
        <v>9</v>
      </c>
      <c r="S13" s="17">
        <f t="shared" ref="S13:AF13" si="5">SUM(C22:C25)</f>
        <v>14</v>
      </c>
      <c r="T13" s="17">
        <f t="shared" si="5"/>
        <v>0</v>
      </c>
      <c r="U13" s="17">
        <f t="shared" si="5"/>
        <v>10</v>
      </c>
      <c r="V13" s="17">
        <f t="shared" si="5"/>
        <v>18</v>
      </c>
      <c r="W13" s="17">
        <f t="shared" si="5"/>
        <v>2</v>
      </c>
      <c r="X13" s="17">
        <f t="shared" si="5"/>
        <v>0</v>
      </c>
      <c r="Y13" s="17">
        <f t="shared" si="5"/>
        <v>14</v>
      </c>
      <c r="Z13" s="17">
        <f t="shared" si="5"/>
        <v>2</v>
      </c>
      <c r="AA13" s="17">
        <f t="shared" si="5"/>
        <v>0</v>
      </c>
      <c r="AB13" s="17">
        <f t="shared" si="5"/>
        <v>1</v>
      </c>
      <c r="AC13" s="17">
        <f t="shared" si="5"/>
        <v>83</v>
      </c>
      <c r="AD13" s="17">
        <f t="shared" si="5"/>
        <v>0</v>
      </c>
      <c r="AE13" s="31">
        <f t="shared" si="5"/>
        <v>61</v>
      </c>
      <c r="AF13" s="31">
        <f t="shared" si="5"/>
        <v>144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2</v>
      </c>
      <c r="F14" s="50">
        <v>3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2</v>
      </c>
      <c r="M14" s="50">
        <v>26</v>
      </c>
      <c r="N14" s="50">
        <v>0</v>
      </c>
      <c r="O14" s="15">
        <f t="shared" si="0"/>
        <v>11</v>
      </c>
      <c r="P14" s="15">
        <f t="shared" si="1"/>
        <v>37</v>
      </c>
      <c r="R14" s="1" t="s">
        <v>10</v>
      </c>
      <c r="S14" s="17">
        <f t="shared" ref="S14:AF14" si="6">SUM(C26:C29)</f>
        <v>13</v>
      </c>
      <c r="T14" s="17">
        <f t="shared" si="6"/>
        <v>0</v>
      </c>
      <c r="U14" s="17">
        <f t="shared" si="6"/>
        <v>10</v>
      </c>
      <c r="V14" s="17">
        <f t="shared" si="6"/>
        <v>15</v>
      </c>
      <c r="W14" s="17">
        <f t="shared" si="6"/>
        <v>1</v>
      </c>
      <c r="X14" s="17">
        <f t="shared" si="6"/>
        <v>1</v>
      </c>
      <c r="Y14" s="17">
        <f t="shared" si="6"/>
        <v>19</v>
      </c>
      <c r="Z14" s="17">
        <f t="shared" si="6"/>
        <v>1</v>
      </c>
      <c r="AA14" s="17">
        <f t="shared" si="6"/>
        <v>2</v>
      </c>
      <c r="AB14" s="17">
        <f t="shared" si="6"/>
        <v>1</v>
      </c>
      <c r="AC14" s="17">
        <f t="shared" si="6"/>
        <v>93</v>
      </c>
      <c r="AD14" s="17">
        <f t="shared" si="6"/>
        <v>0</v>
      </c>
      <c r="AE14" s="31">
        <f t="shared" si="6"/>
        <v>63</v>
      </c>
      <c r="AF14" s="31">
        <f t="shared" si="6"/>
        <v>156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2</v>
      </c>
      <c r="F15" s="50">
        <v>3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31</v>
      </c>
      <c r="N15" s="50">
        <v>0</v>
      </c>
      <c r="O15" s="15">
        <f t="shared" si="0"/>
        <v>15</v>
      </c>
      <c r="P15" s="15">
        <f t="shared" si="1"/>
        <v>46</v>
      </c>
      <c r="R15" s="1" t="s">
        <v>11</v>
      </c>
      <c r="S15" s="17">
        <f t="shared" ref="S15:AF15" si="7">SUM(C30:C33)</f>
        <v>19</v>
      </c>
      <c r="T15" s="17">
        <f t="shared" si="7"/>
        <v>0</v>
      </c>
      <c r="U15" s="17">
        <f t="shared" si="7"/>
        <v>13</v>
      </c>
      <c r="V15" s="17">
        <f t="shared" si="7"/>
        <v>19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98</v>
      </c>
      <c r="AD15" s="17">
        <f t="shared" si="7"/>
        <v>0</v>
      </c>
      <c r="AE15" s="31">
        <f t="shared" si="7"/>
        <v>71</v>
      </c>
      <c r="AF15" s="31">
        <f t="shared" si="7"/>
        <v>169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2</v>
      </c>
      <c r="F16" s="50">
        <v>5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14</v>
      </c>
      <c r="P16" s="15">
        <f t="shared" si="1"/>
        <v>28</v>
      </c>
      <c r="R16" s="1" t="s">
        <v>12</v>
      </c>
      <c r="S16" s="17">
        <f t="shared" ref="S16:AF16" si="8">SUM(C34:C37)</f>
        <v>19</v>
      </c>
      <c r="T16" s="17">
        <f t="shared" si="8"/>
        <v>0</v>
      </c>
      <c r="U16" s="17">
        <f t="shared" si="8"/>
        <v>14</v>
      </c>
      <c r="V16" s="17">
        <f t="shared" si="8"/>
        <v>22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1</v>
      </c>
      <c r="AA16" s="17">
        <f t="shared" si="8"/>
        <v>3</v>
      </c>
      <c r="AB16" s="17">
        <f t="shared" si="8"/>
        <v>0</v>
      </c>
      <c r="AC16" s="17">
        <f t="shared" si="8"/>
        <v>98</v>
      </c>
      <c r="AD16" s="17">
        <f t="shared" si="8"/>
        <v>0</v>
      </c>
      <c r="AE16" s="31">
        <f t="shared" si="8"/>
        <v>70</v>
      </c>
      <c r="AF16" s="31">
        <f t="shared" si="8"/>
        <v>168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4</v>
      </c>
      <c r="J17" s="50">
        <v>0</v>
      </c>
      <c r="K17" s="50">
        <v>1</v>
      </c>
      <c r="L17" s="50">
        <v>1</v>
      </c>
      <c r="M17" s="50">
        <v>14</v>
      </c>
      <c r="N17" s="50">
        <v>0</v>
      </c>
      <c r="O17" s="15">
        <f t="shared" si="0"/>
        <v>13</v>
      </c>
      <c r="P17" s="15">
        <f t="shared" si="1"/>
        <v>27</v>
      </c>
      <c r="R17" s="1" t="s">
        <v>13</v>
      </c>
      <c r="S17" s="17">
        <f t="shared" ref="S17:AF17" si="9">SUM(C38:C41)</f>
        <v>21</v>
      </c>
      <c r="T17" s="17">
        <f t="shared" si="9"/>
        <v>0</v>
      </c>
      <c r="U17" s="17">
        <f t="shared" si="9"/>
        <v>25</v>
      </c>
      <c r="V17" s="17">
        <f t="shared" si="9"/>
        <v>14</v>
      </c>
      <c r="W17" s="17">
        <f t="shared" si="9"/>
        <v>1</v>
      </c>
      <c r="X17" s="17">
        <f t="shared" si="9"/>
        <v>1</v>
      </c>
      <c r="Y17" s="17">
        <f t="shared" si="9"/>
        <v>13</v>
      </c>
      <c r="Z17" s="17">
        <f t="shared" si="9"/>
        <v>0</v>
      </c>
      <c r="AA17" s="17">
        <f t="shared" si="9"/>
        <v>3</v>
      </c>
      <c r="AB17" s="17">
        <f t="shared" si="9"/>
        <v>1</v>
      </c>
      <c r="AC17" s="17">
        <f t="shared" si="9"/>
        <v>101</v>
      </c>
      <c r="AD17" s="17">
        <f t="shared" si="9"/>
        <v>1</v>
      </c>
      <c r="AE17" s="31">
        <f t="shared" si="9"/>
        <v>80</v>
      </c>
      <c r="AF17" s="31">
        <f t="shared" si="9"/>
        <v>181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4</v>
      </c>
      <c r="F18" s="50">
        <v>4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1</v>
      </c>
      <c r="M18" s="50">
        <v>24</v>
      </c>
      <c r="N18" s="50">
        <v>0</v>
      </c>
      <c r="O18" s="15">
        <f t="shared" si="0"/>
        <v>18</v>
      </c>
      <c r="P18" s="15">
        <f t="shared" si="1"/>
        <v>42</v>
      </c>
      <c r="R18" s="1" t="s">
        <v>14</v>
      </c>
      <c r="S18" s="17">
        <f t="shared" ref="S18:AF18" si="10">SUM(C42:C45)</f>
        <v>21</v>
      </c>
      <c r="T18" s="17">
        <f t="shared" si="10"/>
        <v>0</v>
      </c>
      <c r="U18" s="17">
        <f t="shared" si="10"/>
        <v>33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99</v>
      </c>
      <c r="AD18" s="17">
        <f t="shared" si="10"/>
        <v>0</v>
      </c>
      <c r="AE18" s="31">
        <f t="shared" si="10"/>
        <v>83</v>
      </c>
      <c r="AF18" s="31">
        <f t="shared" si="10"/>
        <v>182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5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14</v>
      </c>
      <c r="P19" s="15">
        <f t="shared" si="1"/>
        <v>31</v>
      </c>
      <c r="R19" s="1" t="s">
        <v>15</v>
      </c>
      <c r="S19" s="17">
        <f t="shared" ref="S19:AF19" si="11">SUM(C46:C49)</f>
        <v>24</v>
      </c>
      <c r="T19" s="17">
        <f t="shared" si="11"/>
        <v>0</v>
      </c>
      <c r="U19" s="17">
        <f t="shared" si="11"/>
        <v>22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21</v>
      </c>
      <c r="Z19" s="17">
        <f t="shared" si="11"/>
        <v>2</v>
      </c>
      <c r="AA19" s="17">
        <f t="shared" si="11"/>
        <v>3</v>
      </c>
      <c r="AB19" s="17">
        <f t="shared" si="11"/>
        <v>0</v>
      </c>
      <c r="AC19" s="17">
        <f t="shared" si="11"/>
        <v>86</v>
      </c>
      <c r="AD19" s="17">
        <f t="shared" si="11"/>
        <v>0</v>
      </c>
      <c r="AE19" s="31">
        <f t="shared" si="11"/>
        <v>87</v>
      </c>
      <c r="AF19" s="31">
        <f t="shared" si="11"/>
        <v>173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4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13</v>
      </c>
      <c r="N20" s="50">
        <v>1</v>
      </c>
      <c r="O20" s="15">
        <f t="shared" si="0"/>
        <v>10</v>
      </c>
      <c r="P20" s="15">
        <f t="shared" si="1"/>
        <v>23</v>
      </c>
      <c r="R20" s="1" t="s">
        <v>16</v>
      </c>
      <c r="S20" s="17">
        <f t="shared" ref="S20:AF20" si="12">SUM(C50:C53)</f>
        <v>17</v>
      </c>
      <c r="T20" s="17">
        <f t="shared" si="12"/>
        <v>0</v>
      </c>
      <c r="U20" s="17">
        <f t="shared" si="12"/>
        <v>19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1</v>
      </c>
      <c r="AB20" s="17">
        <f t="shared" si="12"/>
        <v>1</v>
      </c>
      <c r="AC20" s="17">
        <f t="shared" si="12"/>
        <v>126</v>
      </c>
      <c r="AD20" s="17">
        <f t="shared" si="12"/>
        <v>0</v>
      </c>
      <c r="AE20" s="31">
        <f t="shared" si="12"/>
        <v>64</v>
      </c>
      <c r="AF20" s="31">
        <f t="shared" si="12"/>
        <v>190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2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50">
        <v>13</v>
      </c>
      <c r="N21" s="50">
        <v>0</v>
      </c>
      <c r="O21" s="15">
        <f t="shared" si="0"/>
        <v>11</v>
      </c>
      <c r="P21" s="15">
        <f t="shared" si="1"/>
        <v>24</v>
      </c>
      <c r="R21" s="36" t="s">
        <v>20</v>
      </c>
      <c r="S21" s="34">
        <f t="shared" ref="S21:AF21" si="13">SUM(C54:C57)</f>
        <v>23</v>
      </c>
      <c r="T21" s="17">
        <f t="shared" si="13"/>
        <v>0</v>
      </c>
      <c r="U21" s="17">
        <f t="shared" si="13"/>
        <v>14</v>
      </c>
      <c r="V21" s="17">
        <f t="shared" si="13"/>
        <v>19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141</v>
      </c>
      <c r="AD21" s="17">
        <f t="shared" si="13"/>
        <v>0</v>
      </c>
      <c r="AE21" s="31">
        <f t="shared" si="13"/>
        <v>69</v>
      </c>
      <c r="AF21" s="31">
        <f t="shared" si="13"/>
        <v>210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5</v>
      </c>
      <c r="G22" s="50">
        <v>1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16</v>
      </c>
      <c r="P22" s="15">
        <f t="shared" si="1"/>
        <v>36</v>
      </c>
      <c r="R22" s="38" t="s">
        <v>90</v>
      </c>
      <c r="S22" s="39">
        <f>MAX(S10:S12)</f>
        <v>19</v>
      </c>
      <c r="T22" s="39">
        <f t="shared" ref="T22:AF22" si="14">MAX(T10:T12)</f>
        <v>0</v>
      </c>
      <c r="U22" s="39">
        <f t="shared" si="14"/>
        <v>12</v>
      </c>
      <c r="V22" s="39">
        <f t="shared" si="14"/>
        <v>15</v>
      </c>
      <c r="W22" s="39">
        <f t="shared" si="14"/>
        <v>0</v>
      </c>
      <c r="X22" s="39">
        <f t="shared" si="14"/>
        <v>1</v>
      </c>
      <c r="Y22" s="39">
        <f t="shared" si="14"/>
        <v>9</v>
      </c>
      <c r="Z22" s="39">
        <f t="shared" si="14"/>
        <v>3</v>
      </c>
      <c r="AA22" s="39">
        <f t="shared" si="14"/>
        <v>7</v>
      </c>
      <c r="AB22" s="39">
        <f t="shared" si="14"/>
        <v>4</v>
      </c>
      <c r="AC22" s="39">
        <f t="shared" si="14"/>
        <v>85</v>
      </c>
      <c r="AD22" s="39">
        <f t="shared" si="14"/>
        <v>1</v>
      </c>
      <c r="AE22" s="40">
        <f t="shared" si="14"/>
        <v>64</v>
      </c>
      <c r="AF22" s="40">
        <f t="shared" si="14"/>
        <v>138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4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9</v>
      </c>
      <c r="P23" s="15">
        <f t="shared" si="1"/>
        <v>23</v>
      </c>
      <c r="R23" s="38" t="s">
        <v>91</v>
      </c>
      <c r="S23" s="39">
        <f>MAX(S13:S18)</f>
        <v>21</v>
      </c>
      <c r="T23" s="39">
        <f t="shared" ref="T23:AF23" si="15">MAX(T13:T18)</f>
        <v>0</v>
      </c>
      <c r="U23" s="39">
        <f t="shared" si="15"/>
        <v>33</v>
      </c>
      <c r="V23" s="39">
        <f t="shared" si="15"/>
        <v>22</v>
      </c>
      <c r="W23" s="39">
        <f t="shared" si="15"/>
        <v>2</v>
      </c>
      <c r="X23" s="39">
        <f t="shared" si="15"/>
        <v>1</v>
      </c>
      <c r="Y23" s="39">
        <f t="shared" si="15"/>
        <v>19</v>
      </c>
      <c r="Z23" s="39">
        <f t="shared" si="15"/>
        <v>2</v>
      </c>
      <c r="AA23" s="39">
        <f t="shared" si="15"/>
        <v>3</v>
      </c>
      <c r="AB23" s="39">
        <f t="shared" si="15"/>
        <v>1</v>
      </c>
      <c r="AC23" s="39">
        <f t="shared" si="15"/>
        <v>101</v>
      </c>
      <c r="AD23" s="39">
        <f t="shared" si="15"/>
        <v>1</v>
      </c>
      <c r="AE23" s="40">
        <f t="shared" si="15"/>
        <v>83</v>
      </c>
      <c r="AF23" s="40">
        <f t="shared" si="15"/>
        <v>182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0</v>
      </c>
      <c r="F24" s="50">
        <v>2</v>
      </c>
      <c r="G24" s="50">
        <v>1</v>
      </c>
      <c r="H24" s="50">
        <v>0</v>
      </c>
      <c r="I24" s="50">
        <v>6</v>
      </c>
      <c r="J24" s="50">
        <v>1</v>
      </c>
      <c r="K24" s="50">
        <v>0</v>
      </c>
      <c r="L24" s="50">
        <v>0</v>
      </c>
      <c r="M24" s="50">
        <v>21</v>
      </c>
      <c r="N24" s="50">
        <v>0</v>
      </c>
      <c r="O24" s="15">
        <f t="shared" si="0"/>
        <v>14</v>
      </c>
      <c r="P24" s="15">
        <f t="shared" si="1"/>
        <v>35</v>
      </c>
      <c r="R24" s="38" t="s">
        <v>92</v>
      </c>
      <c r="S24" s="39">
        <f>MAX(S19:S21)</f>
        <v>24</v>
      </c>
      <c r="T24" s="39">
        <f t="shared" ref="T24:AF24" si="16">MAX(T19:T21)</f>
        <v>0</v>
      </c>
      <c r="U24" s="39">
        <f t="shared" si="16"/>
        <v>22</v>
      </c>
      <c r="V24" s="39">
        <f t="shared" si="16"/>
        <v>19</v>
      </c>
      <c r="W24" s="39">
        <f t="shared" si="16"/>
        <v>0</v>
      </c>
      <c r="X24" s="39">
        <f t="shared" si="16"/>
        <v>0</v>
      </c>
      <c r="Y24" s="39">
        <f t="shared" si="16"/>
        <v>21</v>
      </c>
      <c r="Z24" s="39">
        <f t="shared" si="16"/>
        <v>2</v>
      </c>
      <c r="AA24" s="39">
        <f t="shared" si="16"/>
        <v>3</v>
      </c>
      <c r="AB24" s="39">
        <f t="shared" si="16"/>
        <v>1</v>
      </c>
      <c r="AC24" s="39">
        <f t="shared" si="16"/>
        <v>141</v>
      </c>
      <c r="AD24" s="39">
        <f t="shared" si="16"/>
        <v>0</v>
      </c>
      <c r="AE24" s="40">
        <f t="shared" si="16"/>
        <v>87</v>
      </c>
      <c r="AF24" s="40">
        <f t="shared" si="16"/>
        <v>210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6</v>
      </c>
      <c r="F25" s="50">
        <v>7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1</v>
      </c>
      <c r="M25" s="50">
        <v>28</v>
      </c>
      <c r="N25" s="50">
        <v>0</v>
      </c>
      <c r="O25" s="15">
        <f t="shared" si="0"/>
        <v>22</v>
      </c>
      <c r="P25" s="15">
        <f t="shared" si="1"/>
        <v>50</v>
      </c>
      <c r="R25" s="37" t="s">
        <v>85</v>
      </c>
      <c r="S25" s="35">
        <f t="shared" ref="S25:AF25" si="17">SUM(S10:S12)</f>
        <v>51</v>
      </c>
      <c r="T25" s="16">
        <f t="shared" si="17"/>
        <v>0</v>
      </c>
      <c r="U25" s="16">
        <f t="shared" si="17"/>
        <v>30</v>
      </c>
      <c r="V25" s="16">
        <f t="shared" si="17"/>
        <v>43</v>
      </c>
      <c r="W25" s="16">
        <f t="shared" si="17"/>
        <v>0</v>
      </c>
      <c r="X25" s="16">
        <f t="shared" si="17"/>
        <v>2</v>
      </c>
      <c r="Y25" s="16">
        <f t="shared" si="17"/>
        <v>20</v>
      </c>
      <c r="Z25" s="16">
        <f t="shared" si="17"/>
        <v>6</v>
      </c>
      <c r="AA25" s="16">
        <f t="shared" si="17"/>
        <v>8</v>
      </c>
      <c r="AB25" s="16">
        <f t="shared" si="17"/>
        <v>9</v>
      </c>
      <c r="AC25" s="16">
        <f t="shared" si="17"/>
        <v>214</v>
      </c>
      <c r="AD25" s="16">
        <f t="shared" si="17"/>
        <v>1</v>
      </c>
      <c r="AE25" s="32">
        <f t="shared" si="17"/>
        <v>170</v>
      </c>
      <c r="AF25" s="32">
        <f t="shared" si="17"/>
        <v>384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3</v>
      </c>
      <c r="F26" s="50">
        <v>3</v>
      </c>
      <c r="G26" s="50">
        <v>0</v>
      </c>
      <c r="H26" s="50">
        <v>0</v>
      </c>
      <c r="I26" s="50">
        <v>9</v>
      </c>
      <c r="J26" s="50">
        <v>1</v>
      </c>
      <c r="K26" s="50">
        <v>1</v>
      </c>
      <c r="L26" s="50">
        <v>0</v>
      </c>
      <c r="M26" s="50">
        <v>23</v>
      </c>
      <c r="N26" s="50">
        <v>0</v>
      </c>
      <c r="O26" s="15">
        <f t="shared" si="0"/>
        <v>21</v>
      </c>
      <c r="P26" s="15">
        <f t="shared" si="1"/>
        <v>44</v>
      </c>
      <c r="R26" s="28" t="s">
        <v>86</v>
      </c>
      <c r="S26" s="16">
        <f t="shared" ref="S26:AF26" si="18">SUM(S13:S18)</f>
        <v>107</v>
      </c>
      <c r="T26" s="16">
        <f t="shared" si="18"/>
        <v>0</v>
      </c>
      <c r="U26" s="16">
        <f t="shared" si="18"/>
        <v>105</v>
      </c>
      <c r="V26" s="16">
        <f t="shared" si="18"/>
        <v>101</v>
      </c>
      <c r="W26" s="16">
        <f t="shared" si="18"/>
        <v>5</v>
      </c>
      <c r="X26" s="16">
        <f t="shared" si="18"/>
        <v>2</v>
      </c>
      <c r="Y26" s="16">
        <f t="shared" si="18"/>
        <v>90</v>
      </c>
      <c r="Z26" s="16">
        <f t="shared" si="18"/>
        <v>5</v>
      </c>
      <c r="AA26" s="16">
        <f t="shared" si="18"/>
        <v>9</v>
      </c>
      <c r="AB26" s="16">
        <f t="shared" si="18"/>
        <v>3</v>
      </c>
      <c r="AC26" s="16">
        <f t="shared" si="18"/>
        <v>572</v>
      </c>
      <c r="AD26" s="16">
        <f t="shared" si="18"/>
        <v>1</v>
      </c>
      <c r="AE26" s="32">
        <f t="shared" si="18"/>
        <v>428</v>
      </c>
      <c r="AF26" s="32">
        <f t="shared" si="18"/>
        <v>1000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5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15</v>
      </c>
      <c r="P27" s="15">
        <f t="shared" si="1"/>
        <v>42</v>
      </c>
      <c r="R27" s="29" t="s">
        <v>87</v>
      </c>
      <c r="S27" s="16">
        <f t="shared" ref="S27:AF27" si="19">SUM(S19:S21)</f>
        <v>64</v>
      </c>
      <c r="T27" s="16">
        <f t="shared" si="19"/>
        <v>0</v>
      </c>
      <c r="U27" s="16">
        <f t="shared" si="19"/>
        <v>55</v>
      </c>
      <c r="V27" s="16">
        <f t="shared" si="19"/>
        <v>49</v>
      </c>
      <c r="W27" s="16">
        <f t="shared" si="19"/>
        <v>0</v>
      </c>
      <c r="X27" s="16">
        <f t="shared" si="19"/>
        <v>0</v>
      </c>
      <c r="Y27" s="16">
        <f t="shared" si="19"/>
        <v>43</v>
      </c>
      <c r="Z27" s="16">
        <f t="shared" si="19"/>
        <v>4</v>
      </c>
      <c r="AA27" s="16">
        <f t="shared" si="19"/>
        <v>4</v>
      </c>
      <c r="AB27" s="16">
        <f t="shared" si="19"/>
        <v>1</v>
      </c>
      <c r="AC27" s="16">
        <f t="shared" si="19"/>
        <v>353</v>
      </c>
      <c r="AD27" s="16">
        <f t="shared" si="19"/>
        <v>0</v>
      </c>
      <c r="AE27" s="32">
        <f t="shared" si="19"/>
        <v>220</v>
      </c>
      <c r="AF27" s="32">
        <f t="shared" si="19"/>
        <v>573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3</v>
      </c>
      <c r="F28" s="50">
        <v>4</v>
      </c>
      <c r="G28" s="50">
        <v>1</v>
      </c>
      <c r="H28" s="50">
        <v>1</v>
      </c>
      <c r="I28" s="50">
        <v>3</v>
      </c>
      <c r="J28" s="50">
        <v>0</v>
      </c>
      <c r="K28" s="50">
        <v>1</v>
      </c>
      <c r="L28" s="50">
        <v>1</v>
      </c>
      <c r="M28" s="50">
        <v>22</v>
      </c>
      <c r="N28" s="50">
        <v>0</v>
      </c>
      <c r="O28" s="15">
        <f t="shared" si="0"/>
        <v>17</v>
      </c>
      <c r="P28" s="15">
        <f t="shared" si="1"/>
        <v>39</v>
      </c>
      <c r="R28" s="5" t="s">
        <v>17</v>
      </c>
      <c r="S28" s="16">
        <f t="shared" ref="S28:AF28" si="20">SUM(S10:S21)</f>
        <v>222</v>
      </c>
      <c r="T28" s="16">
        <f t="shared" si="20"/>
        <v>0</v>
      </c>
      <c r="U28" s="16">
        <f t="shared" si="20"/>
        <v>190</v>
      </c>
      <c r="V28" s="16">
        <f t="shared" si="20"/>
        <v>193</v>
      </c>
      <c r="W28" s="16">
        <f t="shared" si="20"/>
        <v>5</v>
      </c>
      <c r="X28" s="16">
        <f t="shared" si="20"/>
        <v>4</v>
      </c>
      <c r="Y28" s="16">
        <f t="shared" si="20"/>
        <v>153</v>
      </c>
      <c r="Z28" s="16">
        <f t="shared" si="20"/>
        <v>15</v>
      </c>
      <c r="AA28" s="16">
        <f t="shared" si="20"/>
        <v>21</v>
      </c>
      <c r="AB28" s="16">
        <f t="shared" si="20"/>
        <v>13</v>
      </c>
      <c r="AC28" s="16">
        <f t="shared" si="20"/>
        <v>1139</v>
      </c>
      <c r="AD28" s="16">
        <f t="shared" si="20"/>
        <v>2</v>
      </c>
      <c r="AE28" s="32">
        <f t="shared" si="20"/>
        <v>818</v>
      </c>
      <c r="AF28" s="32">
        <f t="shared" si="20"/>
        <v>1957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3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21</v>
      </c>
      <c r="N29" s="50">
        <v>0</v>
      </c>
      <c r="O29" s="15">
        <f t="shared" si="0"/>
        <v>10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2</v>
      </c>
      <c r="F30" s="50">
        <v>3</v>
      </c>
      <c r="G30" s="50">
        <v>1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16</v>
      </c>
      <c r="P30" s="15">
        <f t="shared" si="1"/>
        <v>35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4</v>
      </c>
      <c r="F31" s="50">
        <v>6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29</v>
      </c>
      <c r="N31" s="50">
        <v>0</v>
      </c>
      <c r="O31" s="15">
        <f t="shared" si="0"/>
        <v>15</v>
      </c>
      <c r="P31" s="15">
        <f t="shared" si="1"/>
        <v>44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4</v>
      </c>
      <c r="F32" s="50">
        <v>3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28</v>
      </c>
      <c r="N32" s="50">
        <v>0</v>
      </c>
      <c r="O32" s="15">
        <f t="shared" si="0"/>
        <v>17</v>
      </c>
      <c r="P32" s="15">
        <f t="shared" si="1"/>
        <v>45</v>
      </c>
    </row>
    <row r="33" spans="2:20" ht="23.1" customHeight="1" x14ac:dyDescent="0.25">
      <c r="B33" s="23" t="s">
        <v>60</v>
      </c>
      <c r="C33" s="50">
        <v>8</v>
      </c>
      <c r="D33" s="50">
        <v>0</v>
      </c>
      <c r="E33" s="50">
        <v>3</v>
      </c>
      <c r="F33" s="50">
        <v>7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23</v>
      </c>
      <c r="P33" s="15">
        <f t="shared" si="1"/>
        <v>45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5</v>
      </c>
      <c r="F34" s="50">
        <v>6</v>
      </c>
      <c r="G34" s="50">
        <v>0</v>
      </c>
      <c r="H34" s="50">
        <v>0</v>
      </c>
      <c r="I34" s="50">
        <v>2</v>
      </c>
      <c r="J34" s="50">
        <v>1</v>
      </c>
      <c r="K34" s="50">
        <v>1</v>
      </c>
      <c r="L34" s="50">
        <v>0</v>
      </c>
      <c r="M34" s="50">
        <v>24</v>
      </c>
      <c r="N34" s="50">
        <v>0</v>
      </c>
      <c r="O34" s="15">
        <f t="shared" si="0"/>
        <v>18</v>
      </c>
      <c r="P34" s="15">
        <f t="shared" si="1"/>
        <v>42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1</v>
      </c>
      <c r="F35" s="50">
        <v>5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26</v>
      </c>
      <c r="N35" s="50">
        <v>0</v>
      </c>
      <c r="O35" s="15">
        <f t="shared" si="0"/>
        <v>12</v>
      </c>
      <c r="P35" s="15">
        <f t="shared" si="1"/>
        <v>38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3</v>
      </c>
      <c r="F36" s="50">
        <v>7</v>
      </c>
      <c r="G36" s="50">
        <v>0</v>
      </c>
      <c r="H36" s="50">
        <v>0</v>
      </c>
      <c r="I36" s="50">
        <v>2</v>
      </c>
      <c r="J36" s="50">
        <v>0</v>
      </c>
      <c r="K36" s="50">
        <v>2</v>
      </c>
      <c r="L36" s="50">
        <v>0</v>
      </c>
      <c r="M36" s="50">
        <v>20</v>
      </c>
      <c r="N36" s="50">
        <v>0</v>
      </c>
      <c r="O36" s="15">
        <f t="shared" si="0"/>
        <v>20</v>
      </c>
      <c r="P36" s="15">
        <f t="shared" si="1"/>
        <v>40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5</v>
      </c>
      <c r="F37" s="50">
        <v>4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20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6</v>
      </c>
      <c r="F38" s="50">
        <v>0</v>
      </c>
      <c r="G38" s="50">
        <v>1</v>
      </c>
      <c r="H38" s="50">
        <v>1</v>
      </c>
      <c r="I38" s="50">
        <v>2</v>
      </c>
      <c r="J38" s="50">
        <v>0</v>
      </c>
      <c r="K38" s="50">
        <v>1</v>
      </c>
      <c r="L38" s="50">
        <v>0</v>
      </c>
      <c r="M38" s="50">
        <v>22</v>
      </c>
      <c r="N38" s="50">
        <v>0</v>
      </c>
      <c r="O38" s="15">
        <f t="shared" si="0"/>
        <v>17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6</v>
      </c>
      <c r="F39" s="50">
        <v>6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1</v>
      </c>
      <c r="M39" s="50">
        <v>19</v>
      </c>
      <c r="N39" s="50">
        <v>0</v>
      </c>
      <c r="O39" s="15">
        <f t="shared" si="0"/>
        <v>23</v>
      </c>
      <c r="P39" s="15">
        <f t="shared" si="1"/>
        <v>42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4</v>
      </c>
      <c r="F40" s="50">
        <v>1</v>
      </c>
      <c r="G40" s="50">
        <v>0</v>
      </c>
      <c r="H40" s="50">
        <v>0</v>
      </c>
      <c r="I40" s="50">
        <v>2</v>
      </c>
      <c r="J40" s="50">
        <v>0</v>
      </c>
      <c r="K40" s="50">
        <v>1</v>
      </c>
      <c r="L40" s="50">
        <v>0</v>
      </c>
      <c r="M40" s="50">
        <v>32</v>
      </c>
      <c r="N40" s="50">
        <v>1</v>
      </c>
      <c r="O40" s="15">
        <f t="shared" si="0"/>
        <v>14</v>
      </c>
      <c r="P40" s="15">
        <f t="shared" si="1"/>
        <v>46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9</v>
      </c>
      <c r="F41" s="50">
        <v>7</v>
      </c>
      <c r="G41" s="50">
        <v>0</v>
      </c>
      <c r="H41" s="50">
        <v>0</v>
      </c>
      <c r="I41" s="50">
        <v>4</v>
      </c>
      <c r="J41" s="50">
        <v>0</v>
      </c>
      <c r="K41" s="50">
        <v>1</v>
      </c>
      <c r="L41" s="50">
        <v>0</v>
      </c>
      <c r="M41" s="50">
        <v>28</v>
      </c>
      <c r="N41" s="50">
        <v>0</v>
      </c>
      <c r="O41" s="15">
        <f t="shared" si="0"/>
        <v>26</v>
      </c>
      <c r="P41" s="15">
        <f t="shared" si="1"/>
        <v>54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17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24</v>
      </c>
      <c r="N42" s="50">
        <v>0</v>
      </c>
      <c r="O42" s="15">
        <f t="shared" si="0"/>
        <v>27</v>
      </c>
      <c r="P42" s="15">
        <f t="shared" si="1"/>
        <v>51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3</v>
      </c>
      <c r="G43" s="50">
        <v>0</v>
      </c>
      <c r="H43" s="50">
        <v>0</v>
      </c>
      <c r="I43" s="50">
        <v>4</v>
      </c>
      <c r="J43" s="50">
        <v>0</v>
      </c>
      <c r="K43" s="50">
        <v>1</v>
      </c>
      <c r="L43" s="50">
        <v>0</v>
      </c>
      <c r="M43" s="50">
        <v>21</v>
      </c>
      <c r="N43" s="50">
        <v>0</v>
      </c>
      <c r="O43" s="15">
        <f t="shared" si="0"/>
        <v>12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8</v>
      </c>
      <c r="F44" s="50">
        <v>2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22</v>
      </c>
      <c r="P44" s="15">
        <f t="shared" si="1"/>
        <v>54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8</v>
      </c>
      <c r="F45" s="50">
        <v>5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22</v>
      </c>
      <c r="P45" s="15">
        <f t="shared" si="1"/>
        <v>44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7</v>
      </c>
      <c r="F46" s="50">
        <v>5</v>
      </c>
      <c r="G46" s="50">
        <v>0</v>
      </c>
      <c r="H46" s="50">
        <v>0</v>
      </c>
      <c r="I46" s="50">
        <v>4</v>
      </c>
      <c r="J46" s="50">
        <v>0</v>
      </c>
      <c r="K46" s="50">
        <v>2</v>
      </c>
      <c r="L46" s="50">
        <v>0</v>
      </c>
      <c r="M46" s="50">
        <v>22</v>
      </c>
      <c r="N46" s="50">
        <v>0</v>
      </c>
      <c r="O46" s="15">
        <f t="shared" si="0"/>
        <v>24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7</v>
      </c>
      <c r="F47" s="50">
        <v>3</v>
      </c>
      <c r="G47" s="50">
        <v>0</v>
      </c>
      <c r="H47" s="50">
        <v>0</v>
      </c>
      <c r="I47" s="50">
        <v>5</v>
      </c>
      <c r="J47" s="50">
        <v>1</v>
      </c>
      <c r="K47" s="50">
        <v>1</v>
      </c>
      <c r="L47" s="50">
        <v>0</v>
      </c>
      <c r="M47" s="50">
        <v>20</v>
      </c>
      <c r="N47" s="50">
        <v>0</v>
      </c>
      <c r="O47" s="15">
        <f t="shared" si="0"/>
        <v>24</v>
      </c>
      <c r="P47" s="15">
        <f t="shared" si="1"/>
        <v>44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0</v>
      </c>
      <c r="E48" s="50">
        <v>5</v>
      </c>
      <c r="F48" s="50">
        <v>3</v>
      </c>
      <c r="G48" s="50">
        <v>0</v>
      </c>
      <c r="H48" s="50">
        <v>0</v>
      </c>
      <c r="I48" s="50">
        <v>6</v>
      </c>
      <c r="J48" s="50">
        <v>1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24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3</v>
      </c>
      <c r="F49" s="50">
        <v>4</v>
      </c>
      <c r="G49" s="50">
        <v>0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5">
        <f t="shared" si="0"/>
        <v>15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0</v>
      </c>
      <c r="E50" s="50">
        <v>2</v>
      </c>
      <c r="F50" s="50">
        <v>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13</v>
      </c>
      <c r="P50" s="15">
        <f t="shared" si="1"/>
        <v>38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2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1</v>
      </c>
      <c r="L51" s="50">
        <v>1</v>
      </c>
      <c r="M51" s="50">
        <v>31</v>
      </c>
      <c r="N51" s="50">
        <v>0</v>
      </c>
      <c r="O51" s="15">
        <f t="shared" si="0"/>
        <v>15</v>
      </c>
      <c r="P51" s="15">
        <f t="shared" si="1"/>
        <v>46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9</v>
      </c>
      <c r="F52" s="50">
        <v>3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18</v>
      </c>
      <c r="P52" s="15">
        <f t="shared" si="1"/>
        <v>44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6</v>
      </c>
      <c r="F53" s="50">
        <v>6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44</v>
      </c>
      <c r="N53" s="50">
        <v>0</v>
      </c>
      <c r="O53" s="15">
        <f t="shared" si="0"/>
        <v>18</v>
      </c>
      <c r="P53" s="15">
        <f t="shared" si="1"/>
        <v>62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3</v>
      </c>
      <c r="F54" s="50">
        <v>4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36</v>
      </c>
      <c r="N54" s="50">
        <v>0</v>
      </c>
      <c r="O54" s="15">
        <f t="shared" si="0"/>
        <v>14</v>
      </c>
      <c r="P54" s="15">
        <f t="shared" si="1"/>
        <v>50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2</v>
      </c>
      <c r="F55" s="50">
        <v>5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17</v>
      </c>
      <c r="P55" s="15">
        <f t="shared" si="1"/>
        <v>50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5</v>
      </c>
      <c r="F56" s="50">
        <v>6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38</v>
      </c>
      <c r="N56" s="50">
        <v>0</v>
      </c>
      <c r="O56" s="15">
        <f t="shared" si="0"/>
        <v>21</v>
      </c>
      <c r="P56" s="15">
        <f t="shared" si="1"/>
        <v>59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4</v>
      </c>
      <c r="F57" s="50">
        <v>4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34</v>
      </c>
      <c r="N57" s="50">
        <v>0</v>
      </c>
      <c r="O57" s="15">
        <f t="shared" si="0"/>
        <v>17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222</v>
      </c>
      <c r="D58" s="16">
        <f t="shared" si="21"/>
        <v>0</v>
      </c>
      <c r="E58" s="16">
        <f t="shared" si="21"/>
        <v>190</v>
      </c>
      <c r="F58" s="16">
        <f t="shared" si="21"/>
        <v>193</v>
      </c>
      <c r="G58" s="16">
        <f t="shared" si="21"/>
        <v>5</v>
      </c>
      <c r="H58" s="16">
        <f t="shared" si="21"/>
        <v>4</v>
      </c>
      <c r="I58" s="16">
        <f t="shared" si="21"/>
        <v>153</v>
      </c>
      <c r="J58" s="16">
        <f t="shared" si="21"/>
        <v>15</v>
      </c>
      <c r="K58" s="16">
        <f t="shared" si="21"/>
        <v>21</v>
      </c>
      <c r="L58" s="16">
        <f t="shared" si="21"/>
        <v>13</v>
      </c>
      <c r="M58" s="16">
        <f t="shared" si="21"/>
        <v>1139</v>
      </c>
      <c r="N58" s="16">
        <f t="shared" si="21"/>
        <v>2</v>
      </c>
      <c r="O58" s="16">
        <f t="shared" si="21"/>
        <v>818</v>
      </c>
      <c r="P58" s="16">
        <f t="shared" si="21"/>
        <v>1957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0.11343893714869699</v>
      </c>
      <c r="D59" s="43">
        <f t="shared" si="22"/>
        <v>0</v>
      </c>
      <c r="E59" s="43">
        <f t="shared" si="22"/>
        <v>9.7087378640776698E-2</v>
      </c>
      <c r="F59" s="43">
        <f t="shared" si="22"/>
        <v>9.8620337250894224E-2</v>
      </c>
      <c r="G59" s="43">
        <f t="shared" si="22"/>
        <v>2.5549310168625446E-3</v>
      </c>
      <c r="H59" s="43">
        <f t="shared" si="22"/>
        <v>2.043944813490036E-3</v>
      </c>
      <c r="I59" s="43">
        <f t="shared" si="22"/>
        <v>7.8180889115993871E-2</v>
      </c>
      <c r="J59" s="43">
        <f t="shared" si="22"/>
        <v>7.6647930505876344E-3</v>
      </c>
      <c r="K59" s="43">
        <f t="shared" si="22"/>
        <v>1.0730710270822688E-2</v>
      </c>
      <c r="L59" s="43">
        <f t="shared" si="22"/>
        <v>6.6428206438426162E-3</v>
      </c>
      <c r="M59" s="43">
        <f t="shared" si="22"/>
        <v>0.58201328564128774</v>
      </c>
      <c r="N59" s="43">
        <f t="shared" si="22"/>
        <v>1.021972406745018E-3</v>
      </c>
      <c r="R59" s="8"/>
      <c r="T59"/>
    </row>
    <row r="60" spans="2:20" ht="23.1" customHeight="1" x14ac:dyDescent="0.25">
      <c r="B60" s="42" t="s">
        <v>94</v>
      </c>
      <c r="C60" s="44">
        <f>C58/$O$58</f>
        <v>0.27139364303178481</v>
      </c>
      <c r="D60" s="44">
        <f t="shared" ref="D60:N60" si="23">D58/$O$58</f>
        <v>0</v>
      </c>
      <c r="E60" s="44">
        <f t="shared" si="23"/>
        <v>0.23227383863080683</v>
      </c>
      <c r="F60" s="44">
        <f t="shared" si="23"/>
        <v>0.23594132029339854</v>
      </c>
      <c r="G60" s="44">
        <f t="shared" si="23"/>
        <v>6.1124694376528121E-3</v>
      </c>
      <c r="H60" s="44">
        <f t="shared" si="23"/>
        <v>4.8899755501222494E-3</v>
      </c>
      <c r="I60" s="44">
        <f t="shared" si="23"/>
        <v>0.18704156479217604</v>
      </c>
      <c r="J60" s="44">
        <f t="shared" si="23"/>
        <v>1.8337408312958436E-2</v>
      </c>
      <c r="K60" s="44">
        <f t="shared" si="23"/>
        <v>2.567237163814181E-2</v>
      </c>
      <c r="L60" s="44">
        <f t="shared" si="23"/>
        <v>1.5892420537897311E-2</v>
      </c>
      <c r="M60" s="44"/>
      <c r="N60" s="44">
        <f t="shared" si="23"/>
        <v>2.4449877750611247E-3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40" zoomScale="60" workbookViewId="0">
      <selection activeCell="N5" sqref="N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'24.8 Kayunga-Kangulumira'!G5:H5</f>
        <v>Kayunga</v>
      </c>
      <c r="H5" s="64"/>
      <c r="I5" s="14"/>
      <c r="J5" s="2" t="s">
        <v>5</v>
      </c>
      <c r="K5" s="63" t="str">
        <f>'24.8 Kayunga-Kangulumira'!K5:L5</f>
        <v>Comfort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'19.8 Kayunga-Kangulumira'!D6:E6</f>
        <v>KAYUNGA</v>
      </c>
      <c r="E6" s="64"/>
      <c r="F6" s="2" t="s">
        <v>2</v>
      </c>
      <c r="G6" s="63" t="str">
        <f>'19.8 Kayunga-Kangulumira'!G6:H6</f>
        <v>KANGULUMIRA</v>
      </c>
      <c r="H6" s="64"/>
      <c r="J6" s="2" t="s">
        <v>21</v>
      </c>
      <c r="K6" s="63" t="str">
        <f>'24.8 Kayunga-Kangulumira'!K6:L6</f>
        <v>Bella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6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32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8</v>
      </c>
      <c r="V10" s="17">
        <f t="shared" si="2"/>
        <v>25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118</v>
      </c>
      <c r="AD10" s="17">
        <f t="shared" si="2"/>
        <v>0</v>
      </c>
      <c r="AE10" s="31">
        <f t="shared" si="2"/>
        <v>44</v>
      </c>
      <c r="AF10" s="31">
        <f t="shared" si="2"/>
        <v>162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2</v>
      </c>
      <c r="F11" s="50">
        <v>4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11</v>
      </c>
      <c r="P11" s="15">
        <f t="shared" si="1"/>
        <v>44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5</v>
      </c>
      <c r="V11" s="17">
        <f t="shared" si="3"/>
        <v>14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3</v>
      </c>
      <c r="AB11" s="17">
        <f t="shared" si="3"/>
        <v>0</v>
      </c>
      <c r="AC11" s="17">
        <f t="shared" si="3"/>
        <v>119</v>
      </c>
      <c r="AD11" s="17">
        <f t="shared" si="3"/>
        <v>0</v>
      </c>
      <c r="AE11" s="31">
        <f t="shared" si="3"/>
        <v>36</v>
      </c>
      <c r="AF11" s="31">
        <f t="shared" si="3"/>
        <v>155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6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31</v>
      </c>
      <c r="N12" s="50">
        <v>0</v>
      </c>
      <c r="O12" s="15">
        <f t="shared" si="0"/>
        <v>9</v>
      </c>
      <c r="P12" s="15">
        <f t="shared" si="1"/>
        <v>40</v>
      </c>
      <c r="R12" s="1" t="s">
        <v>8</v>
      </c>
      <c r="S12" s="17">
        <f t="shared" ref="S12:AF12" si="4">SUM(C18:C21)</f>
        <v>16</v>
      </c>
      <c r="T12" s="17">
        <f t="shared" si="4"/>
        <v>0</v>
      </c>
      <c r="U12" s="17">
        <f t="shared" si="4"/>
        <v>15</v>
      </c>
      <c r="V12" s="17">
        <f t="shared" si="4"/>
        <v>15</v>
      </c>
      <c r="W12" s="17">
        <f t="shared" si="4"/>
        <v>2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121</v>
      </c>
      <c r="AD12" s="17">
        <f t="shared" si="4"/>
        <v>0</v>
      </c>
      <c r="AE12" s="31">
        <f t="shared" si="4"/>
        <v>58</v>
      </c>
      <c r="AF12" s="31">
        <f t="shared" si="4"/>
        <v>179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4</v>
      </c>
      <c r="F13" s="50">
        <v>9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32</v>
      </c>
      <c r="N13" s="50">
        <v>0</v>
      </c>
      <c r="O13" s="15">
        <f t="shared" si="0"/>
        <v>14</v>
      </c>
      <c r="P13" s="15">
        <f t="shared" si="1"/>
        <v>46</v>
      </c>
      <c r="R13" s="1" t="s">
        <v>9</v>
      </c>
      <c r="S13" s="17">
        <f t="shared" ref="S13:AF13" si="5">SUM(C22:C25)</f>
        <v>16</v>
      </c>
      <c r="T13" s="17">
        <f t="shared" si="5"/>
        <v>0</v>
      </c>
      <c r="U13" s="17">
        <f t="shared" si="5"/>
        <v>15</v>
      </c>
      <c r="V13" s="17">
        <f t="shared" si="5"/>
        <v>17</v>
      </c>
      <c r="W13" s="17">
        <f t="shared" si="5"/>
        <v>1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96</v>
      </c>
      <c r="AD13" s="17">
        <f t="shared" si="5"/>
        <v>0</v>
      </c>
      <c r="AE13" s="31">
        <f t="shared" si="5"/>
        <v>53</v>
      </c>
      <c r="AF13" s="31">
        <f t="shared" si="5"/>
        <v>149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5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34</v>
      </c>
      <c r="N14" s="50">
        <v>0</v>
      </c>
      <c r="O14" s="15">
        <f t="shared" si="0"/>
        <v>8</v>
      </c>
      <c r="P14" s="15">
        <f t="shared" si="1"/>
        <v>42</v>
      </c>
      <c r="R14" s="1" t="s">
        <v>10</v>
      </c>
      <c r="S14" s="17">
        <f t="shared" ref="S14:AF14" si="6">SUM(C26:C29)</f>
        <v>14</v>
      </c>
      <c r="T14" s="17">
        <f t="shared" si="6"/>
        <v>0</v>
      </c>
      <c r="U14" s="17">
        <f t="shared" si="6"/>
        <v>14</v>
      </c>
      <c r="V14" s="17">
        <f t="shared" si="6"/>
        <v>16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1</v>
      </c>
      <c r="AA14" s="17">
        <f t="shared" si="6"/>
        <v>0</v>
      </c>
      <c r="AB14" s="17">
        <f t="shared" si="6"/>
        <v>1</v>
      </c>
      <c r="AC14" s="17">
        <f t="shared" si="6"/>
        <v>131</v>
      </c>
      <c r="AD14" s="17">
        <f t="shared" si="6"/>
        <v>0</v>
      </c>
      <c r="AE14" s="31">
        <f t="shared" si="6"/>
        <v>55</v>
      </c>
      <c r="AF14" s="31">
        <f t="shared" si="6"/>
        <v>186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5</v>
      </c>
      <c r="P15" s="15">
        <f t="shared" si="1"/>
        <v>31</v>
      </c>
      <c r="R15" s="1" t="s">
        <v>11</v>
      </c>
      <c r="S15" s="17">
        <f t="shared" ref="S15:AF15" si="7">SUM(C30:C33)</f>
        <v>14</v>
      </c>
      <c r="T15" s="17">
        <f t="shared" si="7"/>
        <v>0</v>
      </c>
      <c r="U15" s="17">
        <f t="shared" si="7"/>
        <v>14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113</v>
      </c>
      <c r="AD15" s="17">
        <f t="shared" si="7"/>
        <v>0</v>
      </c>
      <c r="AE15" s="31">
        <f t="shared" si="7"/>
        <v>62</v>
      </c>
      <c r="AF15" s="31">
        <f t="shared" si="7"/>
        <v>175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4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29</v>
      </c>
      <c r="N16" s="50">
        <v>0</v>
      </c>
      <c r="O16" s="15">
        <f t="shared" si="0"/>
        <v>11</v>
      </c>
      <c r="P16" s="15">
        <f t="shared" si="1"/>
        <v>40</v>
      </c>
      <c r="R16" s="1" t="s">
        <v>12</v>
      </c>
      <c r="S16" s="17">
        <f t="shared" ref="S16:AF16" si="8">SUM(C34:C37)</f>
        <v>13</v>
      </c>
      <c r="T16" s="17">
        <f t="shared" si="8"/>
        <v>0</v>
      </c>
      <c r="U16" s="17">
        <f t="shared" si="8"/>
        <v>10</v>
      </c>
      <c r="V16" s="17">
        <f t="shared" si="8"/>
        <v>14</v>
      </c>
      <c r="W16" s="17">
        <f t="shared" si="8"/>
        <v>3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100</v>
      </c>
      <c r="AD16" s="17">
        <f t="shared" si="8"/>
        <v>0</v>
      </c>
      <c r="AE16" s="31">
        <f t="shared" si="8"/>
        <v>46</v>
      </c>
      <c r="AF16" s="31">
        <f t="shared" si="8"/>
        <v>146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4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2</v>
      </c>
      <c r="L17" s="50">
        <v>0</v>
      </c>
      <c r="M17" s="50">
        <v>30</v>
      </c>
      <c r="N17" s="50">
        <v>0</v>
      </c>
      <c r="O17" s="15">
        <f t="shared" si="0"/>
        <v>12</v>
      </c>
      <c r="P17" s="15">
        <f t="shared" si="1"/>
        <v>42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13</v>
      </c>
      <c r="V17" s="17">
        <f t="shared" si="9"/>
        <v>14</v>
      </c>
      <c r="W17" s="17">
        <f t="shared" si="9"/>
        <v>2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1</v>
      </c>
      <c r="AB17" s="17">
        <f t="shared" si="9"/>
        <v>2</v>
      </c>
      <c r="AC17" s="17">
        <f t="shared" si="9"/>
        <v>87</v>
      </c>
      <c r="AD17" s="17">
        <f t="shared" si="9"/>
        <v>0</v>
      </c>
      <c r="AE17" s="31">
        <f t="shared" si="9"/>
        <v>54</v>
      </c>
      <c r="AF17" s="31">
        <f t="shared" si="9"/>
        <v>141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3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27</v>
      </c>
      <c r="N18" s="50">
        <v>0</v>
      </c>
      <c r="O18" s="15">
        <f t="shared" si="0"/>
        <v>12</v>
      </c>
      <c r="P18" s="15">
        <f t="shared" si="1"/>
        <v>39</v>
      </c>
      <c r="R18" s="1" t="s">
        <v>14</v>
      </c>
      <c r="S18" s="17">
        <f t="shared" ref="S18:AF18" si="10">SUM(C42:C45)</f>
        <v>16</v>
      </c>
      <c r="T18" s="17">
        <f t="shared" si="10"/>
        <v>0</v>
      </c>
      <c r="U18" s="17">
        <f t="shared" si="10"/>
        <v>17</v>
      </c>
      <c r="V18" s="17">
        <f t="shared" si="10"/>
        <v>13</v>
      </c>
      <c r="W18" s="17">
        <f t="shared" si="10"/>
        <v>1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103</v>
      </c>
      <c r="AD18" s="17">
        <f t="shared" si="10"/>
        <v>0</v>
      </c>
      <c r="AE18" s="31">
        <f t="shared" si="10"/>
        <v>56</v>
      </c>
      <c r="AF18" s="31">
        <f t="shared" si="10"/>
        <v>159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5</v>
      </c>
      <c r="F19" s="50">
        <v>6</v>
      </c>
      <c r="G19" s="50">
        <v>1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19</v>
      </c>
      <c r="P19" s="15">
        <f t="shared" si="1"/>
        <v>49</v>
      </c>
      <c r="R19" s="1" t="s">
        <v>15</v>
      </c>
      <c r="S19" s="17">
        <f t="shared" ref="S19:AF19" si="11">SUM(C46:C49)</f>
        <v>26</v>
      </c>
      <c r="T19" s="17">
        <f t="shared" si="11"/>
        <v>0</v>
      </c>
      <c r="U19" s="17">
        <f t="shared" si="11"/>
        <v>16</v>
      </c>
      <c r="V19" s="17">
        <f t="shared" si="11"/>
        <v>15</v>
      </c>
      <c r="W19" s="17">
        <f t="shared" si="11"/>
        <v>0</v>
      </c>
      <c r="X19" s="17">
        <f t="shared" si="11"/>
        <v>1</v>
      </c>
      <c r="Y19" s="17">
        <f t="shared" si="11"/>
        <v>8</v>
      </c>
      <c r="Z19" s="17">
        <f t="shared" si="11"/>
        <v>1</v>
      </c>
      <c r="AA19" s="17">
        <f t="shared" si="11"/>
        <v>2</v>
      </c>
      <c r="AB19" s="17">
        <f t="shared" si="11"/>
        <v>0</v>
      </c>
      <c r="AC19" s="17">
        <f t="shared" si="11"/>
        <v>105</v>
      </c>
      <c r="AD19" s="17">
        <f t="shared" si="11"/>
        <v>0</v>
      </c>
      <c r="AE19" s="31">
        <f t="shared" si="11"/>
        <v>69</v>
      </c>
      <c r="AF19" s="31">
        <f t="shared" si="11"/>
        <v>174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3</v>
      </c>
      <c r="F20" s="50">
        <v>3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10</v>
      </c>
      <c r="P20" s="15">
        <f t="shared" si="1"/>
        <v>40</v>
      </c>
      <c r="R20" s="1" t="s">
        <v>16</v>
      </c>
      <c r="S20" s="17">
        <f t="shared" ref="S20:AF20" si="12">SUM(C50:C53)</f>
        <v>23</v>
      </c>
      <c r="T20" s="17">
        <f t="shared" si="12"/>
        <v>0</v>
      </c>
      <c r="U20" s="17">
        <f t="shared" si="12"/>
        <v>24</v>
      </c>
      <c r="V20" s="17">
        <f t="shared" si="12"/>
        <v>19</v>
      </c>
      <c r="W20" s="17">
        <f t="shared" si="12"/>
        <v>1</v>
      </c>
      <c r="X20" s="17">
        <f t="shared" si="12"/>
        <v>3</v>
      </c>
      <c r="Y20" s="17">
        <f t="shared" si="12"/>
        <v>15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115</v>
      </c>
      <c r="AD20" s="17">
        <f t="shared" si="12"/>
        <v>0</v>
      </c>
      <c r="AE20" s="31">
        <f t="shared" si="12"/>
        <v>88</v>
      </c>
      <c r="AF20" s="31">
        <f t="shared" si="12"/>
        <v>203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4</v>
      </c>
      <c r="F21" s="50">
        <v>4</v>
      </c>
      <c r="G21" s="50">
        <v>0</v>
      </c>
      <c r="H21" s="50">
        <v>0</v>
      </c>
      <c r="I21" s="50">
        <v>3</v>
      </c>
      <c r="J21" s="50">
        <v>0</v>
      </c>
      <c r="K21" s="50">
        <v>1</v>
      </c>
      <c r="L21" s="50">
        <v>0</v>
      </c>
      <c r="M21" s="50">
        <v>34</v>
      </c>
      <c r="N21" s="50">
        <v>0</v>
      </c>
      <c r="O21" s="15">
        <f t="shared" si="0"/>
        <v>17</v>
      </c>
      <c r="P21" s="15">
        <f t="shared" si="1"/>
        <v>51</v>
      </c>
      <c r="R21" s="36" t="s">
        <v>20</v>
      </c>
      <c r="S21" s="34">
        <f t="shared" ref="S21:AF21" si="13">SUM(C54:C57)</f>
        <v>30</v>
      </c>
      <c r="T21" s="17">
        <f t="shared" si="13"/>
        <v>0</v>
      </c>
      <c r="U21" s="17">
        <f t="shared" si="13"/>
        <v>18</v>
      </c>
      <c r="V21" s="17">
        <f t="shared" si="13"/>
        <v>21</v>
      </c>
      <c r="W21" s="17">
        <f t="shared" si="13"/>
        <v>3</v>
      </c>
      <c r="X21" s="17">
        <f t="shared" si="13"/>
        <v>2</v>
      </c>
      <c r="Y21" s="17">
        <f t="shared" si="13"/>
        <v>8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114</v>
      </c>
      <c r="AD21" s="17">
        <f t="shared" si="13"/>
        <v>0</v>
      </c>
      <c r="AE21" s="31">
        <f t="shared" si="13"/>
        <v>84</v>
      </c>
      <c r="AF21" s="31">
        <f t="shared" si="13"/>
        <v>198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4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21</v>
      </c>
      <c r="N22" s="50">
        <v>0</v>
      </c>
      <c r="O22" s="15">
        <f t="shared" si="0"/>
        <v>11</v>
      </c>
      <c r="P22" s="15">
        <f t="shared" si="1"/>
        <v>32</v>
      </c>
      <c r="R22" s="38" t="s">
        <v>90</v>
      </c>
      <c r="S22" s="39">
        <f>MAX(S10:S12)</f>
        <v>16</v>
      </c>
      <c r="T22" s="39">
        <f t="shared" ref="T22:AF22" si="14">MAX(T10:T12)</f>
        <v>0</v>
      </c>
      <c r="U22" s="39">
        <f t="shared" si="14"/>
        <v>15</v>
      </c>
      <c r="V22" s="39">
        <f t="shared" si="14"/>
        <v>25</v>
      </c>
      <c r="W22" s="39">
        <f t="shared" si="14"/>
        <v>2</v>
      </c>
      <c r="X22" s="39">
        <f t="shared" si="14"/>
        <v>0</v>
      </c>
      <c r="Y22" s="39">
        <f t="shared" si="14"/>
        <v>8</v>
      </c>
      <c r="Z22" s="39">
        <f t="shared" si="14"/>
        <v>0</v>
      </c>
      <c r="AA22" s="39">
        <f t="shared" si="14"/>
        <v>3</v>
      </c>
      <c r="AB22" s="39">
        <f t="shared" si="14"/>
        <v>0</v>
      </c>
      <c r="AC22" s="39">
        <f t="shared" si="14"/>
        <v>121</v>
      </c>
      <c r="AD22" s="39">
        <f t="shared" si="14"/>
        <v>0</v>
      </c>
      <c r="AE22" s="40">
        <f t="shared" si="14"/>
        <v>58</v>
      </c>
      <c r="AF22" s="40">
        <f t="shared" si="14"/>
        <v>179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2</v>
      </c>
      <c r="F23" s="50">
        <v>5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22</v>
      </c>
      <c r="N23" s="50">
        <v>0</v>
      </c>
      <c r="O23" s="15">
        <f t="shared" si="0"/>
        <v>11</v>
      </c>
      <c r="P23" s="15">
        <f t="shared" si="1"/>
        <v>33</v>
      </c>
      <c r="R23" s="38" t="s">
        <v>91</v>
      </c>
      <c r="S23" s="39">
        <f>MAX(S13:S18)</f>
        <v>16</v>
      </c>
      <c r="T23" s="39">
        <f t="shared" ref="T23:AF23" si="15">MAX(T13:T18)</f>
        <v>0</v>
      </c>
      <c r="U23" s="39">
        <f t="shared" si="15"/>
        <v>17</v>
      </c>
      <c r="V23" s="39">
        <f t="shared" si="15"/>
        <v>17</v>
      </c>
      <c r="W23" s="39">
        <f t="shared" si="15"/>
        <v>3</v>
      </c>
      <c r="X23" s="39">
        <f t="shared" si="15"/>
        <v>0</v>
      </c>
      <c r="Y23" s="39">
        <f t="shared" si="15"/>
        <v>16</v>
      </c>
      <c r="Z23" s="39">
        <f t="shared" si="15"/>
        <v>3</v>
      </c>
      <c r="AA23" s="39">
        <f t="shared" si="15"/>
        <v>1</v>
      </c>
      <c r="AB23" s="39">
        <f t="shared" si="15"/>
        <v>2</v>
      </c>
      <c r="AC23" s="39">
        <f t="shared" si="15"/>
        <v>131</v>
      </c>
      <c r="AD23" s="39">
        <f t="shared" si="15"/>
        <v>0</v>
      </c>
      <c r="AE23" s="40">
        <f t="shared" si="15"/>
        <v>62</v>
      </c>
      <c r="AF23" s="40">
        <f t="shared" si="15"/>
        <v>186</v>
      </c>
    </row>
    <row r="24" spans="2:32" ht="23.1" customHeight="1" x14ac:dyDescent="0.25">
      <c r="B24" s="23" t="s">
        <v>51</v>
      </c>
      <c r="C24" s="50">
        <v>6</v>
      </c>
      <c r="D24" s="50">
        <v>0</v>
      </c>
      <c r="E24" s="50">
        <v>5</v>
      </c>
      <c r="F24" s="50">
        <v>4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16</v>
      </c>
      <c r="P24" s="15">
        <f t="shared" si="1"/>
        <v>39</v>
      </c>
      <c r="R24" s="38" t="s">
        <v>92</v>
      </c>
      <c r="S24" s="39">
        <f>MAX(S19:S21)</f>
        <v>30</v>
      </c>
      <c r="T24" s="39">
        <f t="shared" ref="T24:AF24" si="16">MAX(T19:T21)</f>
        <v>0</v>
      </c>
      <c r="U24" s="39">
        <f t="shared" si="16"/>
        <v>24</v>
      </c>
      <c r="V24" s="39">
        <f t="shared" si="16"/>
        <v>21</v>
      </c>
      <c r="W24" s="39">
        <f t="shared" si="16"/>
        <v>3</v>
      </c>
      <c r="X24" s="39">
        <f t="shared" si="16"/>
        <v>3</v>
      </c>
      <c r="Y24" s="39">
        <f t="shared" si="16"/>
        <v>15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115</v>
      </c>
      <c r="AD24" s="39">
        <f t="shared" si="16"/>
        <v>0</v>
      </c>
      <c r="AE24" s="40">
        <f t="shared" si="16"/>
        <v>88</v>
      </c>
      <c r="AF24" s="40">
        <f t="shared" si="16"/>
        <v>203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4</v>
      </c>
      <c r="F25" s="50">
        <v>5</v>
      </c>
      <c r="G25" s="50">
        <v>1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15</v>
      </c>
      <c r="P25" s="15">
        <f t="shared" si="1"/>
        <v>45</v>
      </c>
      <c r="R25" s="37" t="s">
        <v>85</v>
      </c>
      <c r="S25" s="35">
        <f t="shared" ref="S25:AF25" si="17">SUM(S10:S12)</f>
        <v>33</v>
      </c>
      <c r="T25" s="16">
        <f t="shared" si="17"/>
        <v>0</v>
      </c>
      <c r="U25" s="16">
        <f t="shared" si="17"/>
        <v>28</v>
      </c>
      <c r="V25" s="16">
        <f t="shared" si="17"/>
        <v>54</v>
      </c>
      <c r="W25" s="16">
        <f t="shared" si="17"/>
        <v>2</v>
      </c>
      <c r="X25" s="16">
        <f t="shared" si="17"/>
        <v>0</v>
      </c>
      <c r="Y25" s="16">
        <f t="shared" si="17"/>
        <v>16</v>
      </c>
      <c r="Z25" s="16">
        <f t="shared" si="17"/>
        <v>0</v>
      </c>
      <c r="AA25" s="16">
        <f t="shared" si="17"/>
        <v>5</v>
      </c>
      <c r="AB25" s="16">
        <f t="shared" si="17"/>
        <v>0</v>
      </c>
      <c r="AC25" s="16">
        <f t="shared" si="17"/>
        <v>358</v>
      </c>
      <c r="AD25" s="16">
        <f t="shared" si="17"/>
        <v>0</v>
      </c>
      <c r="AE25" s="32">
        <f t="shared" si="17"/>
        <v>138</v>
      </c>
      <c r="AF25" s="32">
        <f t="shared" si="17"/>
        <v>496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4</v>
      </c>
      <c r="F26" s="50">
        <v>2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32</v>
      </c>
      <c r="N26" s="50">
        <v>0</v>
      </c>
      <c r="O26" s="15">
        <f t="shared" si="0"/>
        <v>10</v>
      </c>
      <c r="P26" s="15">
        <f t="shared" si="1"/>
        <v>42</v>
      </c>
      <c r="R26" s="28" t="s">
        <v>86</v>
      </c>
      <c r="S26" s="16">
        <f t="shared" ref="S26:AF26" si="18">SUM(S13:S18)</f>
        <v>86</v>
      </c>
      <c r="T26" s="16">
        <f t="shared" si="18"/>
        <v>0</v>
      </c>
      <c r="U26" s="16">
        <f t="shared" si="18"/>
        <v>83</v>
      </c>
      <c r="V26" s="16">
        <f t="shared" si="18"/>
        <v>88</v>
      </c>
      <c r="W26" s="16">
        <f t="shared" si="18"/>
        <v>8</v>
      </c>
      <c r="X26" s="16">
        <f t="shared" si="18"/>
        <v>0</v>
      </c>
      <c r="Y26" s="16">
        <f t="shared" si="18"/>
        <v>47</v>
      </c>
      <c r="Z26" s="16">
        <f t="shared" si="18"/>
        <v>5</v>
      </c>
      <c r="AA26" s="16">
        <f t="shared" si="18"/>
        <v>1</v>
      </c>
      <c r="AB26" s="16">
        <f t="shared" si="18"/>
        <v>8</v>
      </c>
      <c r="AC26" s="16">
        <f t="shared" si="18"/>
        <v>630</v>
      </c>
      <c r="AD26" s="16">
        <f t="shared" si="18"/>
        <v>0</v>
      </c>
      <c r="AE26" s="32">
        <f t="shared" si="18"/>
        <v>326</v>
      </c>
      <c r="AF26" s="32">
        <f t="shared" si="18"/>
        <v>956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4</v>
      </c>
      <c r="F27" s="50">
        <v>4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14</v>
      </c>
      <c r="P27" s="15">
        <f t="shared" si="1"/>
        <v>44</v>
      </c>
      <c r="R27" s="29" t="s">
        <v>87</v>
      </c>
      <c r="S27" s="16">
        <f t="shared" ref="S27:AF27" si="19">SUM(S19:S21)</f>
        <v>79</v>
      </c>
      <c r="T27" s="16">
        <f t="shared" si="19"/>
        <v>0</v>
      </c>
      <c r="U27" s="16">
        <f t="shared" si="19"/>
        <v>58</v>
      </c>
      <c r="V27" s="16">
        <f t="shared" si="19"/>
        <v>55</v>
      </c>
      <c r="W27" s="16">
        <f t="shared" si="19"/>
        <v>4</v>
      </c>
      <c r="X27" s="16">
        <f t="shared" si="19"/>
        <v>6</v>
      </c>
      <c r="Y27" s="16">
        <f t="shared" si="19"/>
        <v>31</v>
      </c>
      <c r="Z27" s="16">
        <f t="shared" si="19"/>
        <v>5</v>
      </c>
      <c r="AA27" s="16">
        <f t="shared" si="19"/>
        <v>3</v>
      </c>
      <c r="AB27" s="16">
        <f t="shared" si="19"/>
        <v>0</v>
      </c>
      <c r="AC27" s="16">
        <f t="shared" si="19"/>
        <v>334</v>
      </c>
      <c r="AD27" s="16">
        <f t="shared" si="19"/>
        <v>0</v>
      </c>
      <c r="AE27" s="32">
        <f t="shared" si="19"/>
        <v>241</v>
      </c>
      <c r="AF27" s="32">
        <f t="shared" si="19"/>
        <v>575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5</v>
      </c>
      <c r="F28" s="50">
        <v>4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1</v>
      </c>
      <c r="M28" s="50">
        <v>36</v>
      </c>
      <c r="N28" s="50">
        <v>0</v>
      </c>
      <c r="O28" s="15">
        <f t="shared" si="0"/>
        <v>16</v>
      </c>
      <c r="P28" s="15">
        <f t="shared" si="1"/>
        <v>52</v>
      </c>
      <c r="R28" s="5" t="s">
        <v>17</v>
      </c>
      <c r="S28" s="16">
        <f t="shared" ref="S28:AF28" si="20">SUM(S10:S21)</f>
        <v>198</v>
      </c>
      <c r="T28" s="16">
        <f t="shared" si="20"/>
        <v>0</v>
      </c>
      <c r="U28" s="16">
        <f t="shared" si="20"/>
        <v>169</v>
      </c>
      <c r="V28" s="16">
        <f t="shared" si="20"/>
        <v>197</v>
      </c>
      <c r="W28" s="16">
        <f t="shared" si="20"/>
        <v>14</v>
      </c>
      <c r="X28" s="16">
        <f t="shared" si="20"/>
        <v>6</v>
      </c>
      <c r="Y28" s="16">
        <f t="shared" si="20"/>
        <v>94</v>
      </c>
      <c r="Z28" s="16">
        <f t="shared" si="20"/>
        <v>10</v>
      </c>
      <c r="AA28" s="16">
        <f t="shared" si="20"/>
        <v>9</v>
      </c>
      <c r="AB28" s="16">
        <f t="shared" si="20"/>
        <v>8</v>
      </c>
      <c r="AC28" s="16">
        <f t="shared" si="20"/>
        <v>1322</v>
      </c>
      <c r="AD28" s="16">
        <f t="shared" si="20"/>
        <v>0</v>
      </c>
      <c r="AE28" s="32">
        <f t="shared" si="20"/>
        <v>705</v>
      </c>
      <c r="AF28" s="32">
        <f t="shared" si="20"/>
        <v>2027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1</v>
      </c>
      <c r="F29" s="50">
        <v>6</v>
      </c>
      <c r="G29" s="50">
        <v>1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33</v>
      </c>
      <c r="N29" s="50">
        <v>0</v>
      </c>
      <c r="O29" s="15">
        <f t="shared" si="0"/>
        <v>15</v>
      </c>
      <c r="P29" s="15">
        <f t="shared" si="1"/>
        <v>48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4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24</v>
      </c>
      <c r="N30" s="50">
        <v>0</v>
      </c>
      <c r="O30" s="15">
        <f t="shared" si="0"/>
        <v>12</v>
      </c>
      <c r="P30" s="15">
        <f t="shared" si="1"/>
        <v>36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6</v>
      </c>
      <c r="F31" s="50">
        <v>1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18</v>
      </c>
      <c r="P31" s="15">
        <f t="shared" si="1"/>
        <v>44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5</v>
      </c>
      <c r="F32" s="50">
        <v>7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30</v>
      </c>
      <c r="N32" s="50">
        <v>0</v>
      </c>
      <c r="O32" s="15">
        <f t="shared" si="0"/>
        <v>19</v>
      </c>
      <c r="P32" s="15">
        <f t="shared" si="1"/>
        <v>49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1</v>
      </c>
      <c r="M33" s="50">
        <v>33</v>
      </c>
      <c r="N33" s="50">
        <v>0</v>
      </c>
      <c r="O33" s="15">
        <f t="shared" si="0"/>
        <v>13</v>
      </c>
      <c r="P33" s="15">
        <f t="shared" si="1"/>
        <v>46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3</v>
      </c>
      <c r="F34" s="50">
        <v>4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14</v>
      </c>
      <c r="P34" s="15">
        <f t="shared" si="1"/>
        <v>42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5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2</v>
      </c>
      <c r="M35" s="50">
        <v>26</v>
      </c>
      <c r="N35" s="50">
        <v>0</v>
      </c>
      <c r="O35" s="15">
        <f t="shared" si="0"/>
        <v>11</v>
      </c>
      <c r="P35" s="15">
        <f t="shared" si="1"/>
        <v>37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4</v>
      </c>
      <c r="F36" s="50">
        <v>4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13</v>
      </c>
      <c r="P36" s="15">
        <f t="shared" si="1"/>
        <v>34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1</v>
      </c>
      <c r="G37" s="50">
        <v>2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8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2</v>
      </c>
      <c r="F38" s="50">
        <v>2</v>
      </c>
      <c r="G38" s="50">
        <v>1</v>
      </c>
      <c r="H38" s="50">
        <v>0</v>
      </c>
      <c r="I38" s="50">
        <v>1</v>
      </c>
      <c r="J38" s="50">
        <v>0</v>
      </c>
      <c r="K38" s="50">
        <v>1</v>
      </c>
      <c r="L38" s="50">
        <v>0</v>
      </c>
      <c r="M38" s="50">
        <v>19</v>
      </c>
      <c r="N38" s="50">
        <v>0</v>
      </c>
      <c r="O38" s="15">
        <f t="shared" si="0"/>
        <v>10</v>
      </c>
      <c r="P38" s="15">
        <f t="shared" si="1"/>
        <v>29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3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24</v>
      </c>
      <c r="N39" s="50">
        <v>0</v>
      </c>
      <c r="O39" s="15">
        <f t="shared" si="0"/>
        <v>10</v>
      </c>
      <c r="P39" s="15">
        <f t="shared" si="1"/>
        <v>34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5</v>
      </c>
      <c r="F40" s="50">
        <v>1</v>
      </c>
      <c r="G40" s="50">
        <v>1</v>
      </c>
      <c r="H40" s="50">
        <v>0</v>
      </c>
      <c r="I40" s="50">
        <v>3</v>
      </c>
      <c r="J40" s="50">
        <v>0</v>
      </c>
      <c r="K40" s="50">
        <v>0</v>
      </c>
      <c r="L40" s="50">
        <v>2</v>
      </c>
      <c r="M40" s="50">
        <v>25</v>
      </c>
      <c r="N40" s="50">
        <v>0</v>
      </c>
      <c r="O40" s="15">
        <f t="shared" si="0"/>
        <v>16</v>
      </c>
      <c r="P40" s="15">
        <f t="shared" si="1"/>
        <v>41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3</v>
      </c>
      <c r="F41" s="50">
        <v>9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18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3</v>
      </c>
      <c r="F42" s="50">
        <v>5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28</v>
      </c>
      <c r="N42" s="50">
        <v>0</v>
      </c>
      <c r="O42" s="15">
        <f t="shared" si="0"/>
        <v>16</v>
      </c>
      <c r="P42" s="15">
        <f t="shared" si="1"/>
        <v>44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3</v>
      </c>
      <c r="F43" s="50">
        <v>4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1</v>
      </c>
      <c r="M43" s="50">
        <v>33</v>
      </c>
      <c r="N43" s="50">
        <v>0</v>
      </c>
      <c r="O43" s="15">
        <f t="shared" si="0"/>
        <v>16</v>
      </c>
      <c r="P43" s="15">
        <f t="shared" si="1"/>
        <v>49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4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8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7</v>
      </c>
      <c r="F45" s="50">
        <v>2</v>
      </c>
      <c r="G45" s="50">
        <v>1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26</v>
      </c>
      <c r="N45" s="50">
        <v>0</v>
      </c>
      <c r="O45" s="15">
        <f t="shared" si="0"/>
        <v>16</v>
      </c>
      <c r="P45" s="15">
        <f t="shared" si="1"/>
        <v>42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2</v>
      </c>
      <c r="F46" s="50">
        <v>3</v>
      </c>
      <c r="G46" s="50">
        <v>0</v>
      </c>
      <c r="H46" s="50">
        <v>1</v>
      </c>
      <c r="I46" s="50">
        <v>2</v>
      </c>
      <c r="J46" s="50">
        <v>0</v>
      </c>
      <c r="K46" s="50">
        <v>0</v>
      </c>
      <c r="L46" s="50">
        <v>0</v>
      </c>
      <c r="M46" s="50">
        <v>26</v>
      </c>
      <c r="N46" s="50">
        <v>0</v>
      </c>
      <c r="O46" s="15">
        <f t="shared" si="0"/>
        <v>12</v>
      </c>
      <c r="P46" s="15">
        <f t="shared" si="1"/>
        <v>38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3</v>
      </c>
      <c r="J47" s="50">
        <v>0</v>
      </c>
      <c r="K47" s="50">
        <v>2</v>
      </c>
      <c r="L47" s="50">
        <v>0</v>
      </c>
      <c r="M47" s="50">
        <v>28</v>
      </c>
      <c r="N47" s="50">
        <v>0</v>
      </c>
      <c r="O47" s="15">
        <f t="shared" si="0"/>
        <v>19</v>
      </c>
      <c r="P47" s="15">
        <f t="shared" si="1"/>
        <v>47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3</v>
      </c>
      <c r="F48" s="50">
        <v>6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17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9</v>
      </c>
      <c r="F49" s="50">
        <v>3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21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6</v>
      </c>
      <c r="F50" s="50">
        <v>2</v>
      </c>
      <c r="G50" s="50">
        <v>0</v>
      </c>
      <c r="H50" s="50">
        <v>2</v>
      </c>
      <c r="I50" s="50">
        <v>4</v>
      </c>
      <c r="J50" s="50">
        <v>1</v>
      </c>
      <c r="K50" s="50">
        <v>1</v>
      </c>
      <c r="L50" s="50">
        <v>0</v>
      </c>
      <c r="M50" s="50">
        <v>23</v>
      </c>
      <c r="N50" s="50">
        <v>0</v>
      </c>
      <c r="O50" s="15">
        <f t="shared" si="0"/>
        <v>20</v>
      </c>
      <c r="P50" s="15">
        <f t="shared" si="1"/>
        <v>43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0</v>
      </c>
      <c r="E51" s="50">
        <v>7</v>
      </c>
      <c r="F51" s="50">
        <v>8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35</v>
      </c>
      <c r="N51" s="50">
        <v>0</v>
      </c>
      <c r="O51" s="15">
        <f t="shared" si="0"/>
        <v>31</v>
      </c>
      <c r="P51" s="15">
        <f t="shared" si="1"/>
        <v>66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6</v>
      </c>
      <c r="F52" s="50">
        <v>3</v>
      </c>
      <c r="G52" s="50">
        <v>1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31</v>
      </c>
      <c r="N52" s="50">
        <v>0</v>
      </c>
      <c r="O52" s="15">
        <f t="shared" si="0"/>
        <v>17</v>
      </c>
      <c r="P52" s="15">
        <f t="shared" si="1"/>
        <v>48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5</v>
      </c>
      <c r="F53" s="50">
        <v>6</v>
      </c>
      <c r="G53" s="50">
        <v>0</v>
      </c>
      <c r="H53" s="50">
        <v>1</v>
      </c>
      <c r="I53" s="50">
        <v>2</v>
      </c>
      <c r="J53" s="50">
        <v>0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20</v>
      </c>
      <c r="P53" s="15">
        <f t="shared" si="1"/>
        <v>46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5</v>
      </c>
      <c r="F54" s="50">
        <v>7</v>
      </c>
      <c r="G54" s="50">
        <v>2</v>
      </c>
      <c r="H54" s="50">
        <v>1</v>
      </c>
      <c r="I54" s="50">
        <v>2</v>
      </c>
      <c r="J54" s="50">
        <v>0</v>
      </c>
      <c r="K54" s="50">
        <v>0</v>
      </c>
      <c r="L54" s="50">
        <v>0</v>
      </c>
      <c r="M54" s="50">
        <v>27</v>
      </c>
      <c r="N54" s="50">
        <v>0</v>
      </c>
      <c r="O54" s="15">
        <f t="shared" si="0"/>
        <v>21</v>
      </c>
      <c r="P54" s="15">
        <f t="shared" si="1"/>
        <v>48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0</v>
      </c>
      <c r="E55" s="50">
        <v>2</v>
      </c>
      <c r="F55" s="50">
        <v>4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5">
        <f t="shared" si="0"/>
        <v>20</v>
      </c>
      <c r="P55" s="15">
        <f t="shared" si="1"/>
        <v>45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0</v>
      </c>
      <c r="E56" s="50">
        <v>7</v>
      </c>
      <c r="F56" s="50">
        <v>5</v>
      </c>
      <c r="G56" s="50">
        <v>0</v>
      </c>
      <c r="H56" s="50">
        <v>1</v>
      </c>
      <c r="I56" s="50">
        <v>2</v>
      </c>
      <c r="J56" s="50">
        <v>2</v>
      </c>
      <c r="K56" s="50">
        <v>0</v>
      </c>
      <c r="L56" s="50">
        <v>0</v>
      </c>
      <c r="M56" s="50">
        <v>32</v>
      </c>
      <c r="N56" s="50">
        <v>0</v>
      </c>
      <c r="O56" s="15">
        <f t="shared" si="0"/>
        <v>27</v>
      </c>
      <c r="P56" s="15">
        <f t="shared" si="1"/>
        <v>59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4</v>
      </c>
      <c r="F57" s="50">
        <v>5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30</v>
      </c>
      <c r="N57" s="50">
        <v>0</v>
      </c>
      <c r="O57" s="15">
        <f t="shared" si="0"/>
        <v>16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198</v>
      </c>
      <c r="D58" s="16">
        <f t="shared" si="21"/>
        <v>0</v>
      </c>
      <c r="E58" s="16">
        <f t="shared" si="21"/>
        <v>169</v>
      </c>
      <c r="F58" s="16">
        <f t="shared" si="21"/>
        <v>197</v>
      </c>
      <c r="G58" s="16">
        <f t="shared" si="21"/>
        <v>14</v>
      </c>
      <c r="H58" s="16">
        <f t="shared" si="21"/>
        <v>6</v>
      </c>
      <c r="I58" s="16">
        <f t="shared" si="21"/>
        <v>94</v>
      </c>
      <c r="J58" s="16">
        <f t="shared" si="21"/>
        <v>10</v>
      </c>
      <c r="K58" s="16">
        <f t="shared" si="21"/>
        <v>9</v>
      </c>
      <c r="L58" s="16">
        <f t="shared" si="21"/>
        <v>8</v>
      </c>
      <c r="M58" s="16">
        <f t="shared" si="21"/>
        <v>1322</v>
      </c>
      <c r="N58" s="16">
        <f t="shared" si="21"/>
        <v>0</v>
      </c>
      <c r="O58" s="16">
        <f t="shared" si="21"/>
        <v>705</v>
      </c>
      <c r="P58" s="16">
        <f t="shared" si="21"/>
        <v>2027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9.768130241736557E-2</v>
      </c>
      <c r="D59" s="43">
        <f t="shared" si="22"/>
        <v>0</v>
      </c>
      <c r="E59" s="43">
        <f t="shared" si="22"/>
        <v>8.3374444992599897E-2</v>
      </c>
      <c r="F59" s="43">
        <f t="shared" si="22"/>
        <v>9.718796250616675E-2</v>
      </c>
      <c r="G59" s="43">
        <f t="shared" si="22"/>
        <v>6.9067587567834239E-3</v>
      </c>
      <c r="H59" s="43">
        <f t="shared" si="22"/>
        <v>2.9600394671928957E-3</v>
      </c>
      <c r="I59" s="43">
        <f t="shared" si="22"/>
        <v>4.6373951652688705E-2</v>
      </c>
      <c r="J59" s="43">
        <f t="shared" si="22"/>
        <v>4.9333991119881598E-3</v>
      </c>
      <c r="K59" s="43">
        <f t="shared" si="22"/>
        <v>4.440059200789344E-3</v>
      </c>
      <c r="L59" s="43">
        <f t="shared" si="22"/>
        <v>3.9467192895905282E-3</v>
      </c>
      <c r="M59" s="43">
        <f t="shared" si="22"/>
        <v>0.65219536260483468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0.28085106382978725</v>
      </c>
      <c r="D60" s="44">
        <f t="shared" ref="D60:N60" si="23">D58/$O$58</f>
        <v>0</v>
      </c>
      <c r="E60" s="44">
        <f t="shared" si="23"/>
        <v>0.2397163120567376</v>
      </c>
      <c r="F60" s="44">
        <f t="shared" si="23"/>
        <v>0.27943262411347519</v>
      </c>
      <c r="G60" s="44">
        <f t="shared" si="23"/>
        <v>1.9858156028368795E-2</v>
      </c>
      <c r="H60" s="44">
        <f t="shared" si="23"/>
        <v>8.5106382978723406E-3</v>
      </c>
      <c r="I60" s="44">
        <f t="shared" si="23"/>
        <v>0.13333333333333333</v>
      </c>
      <c r="J60" s="44">
        <f t="shared" si="23"/>
        <v>1.4184397163120567E-2</v>
      </c>
      <c r="K60" s="44">
        <f t="shared" si="23"/>
        <v>1.276595744680851E-2</v>
      </c>
      <c r="L60" s="44">
        <f t="shared" si="23"/>
        <v>1.1347517730496455E-2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46" zoomScale="60" workbookViewId="0">
      <selection activeCell="O6" sqref="O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'20.8 Kayunga-Kangulumira'!C3:G3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'24.8 Kangulumira-Kayunga'!G5:H5</f>
        <v xml:space="preserve"> </v>
      </c>
      <c r="H5" s="64"/>
      <c r="I5" s="14"/>
      <c r="J5" s="2" t="s">
        <v>5</v>
      </c>
      <c r="K5" s="63" t="str">
        <f>'24.8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167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'24.8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3</v>
      </c>
      <c r="G10" s="50">
        <v>0</v>
      </c>
      <c r="H10" s="50">
        <v>0</v>
      </c>
      <c r="I10" s="50">
        <v>1</v>
      </c>
      <c r="J10" s="50">
        <v>1</v>
      </c>
      <c r="K10" s="50">
        <v>1</v>
      </c>
      <c r="L10" s="50">
        <v>0</v>
      </c>
      <c r="M10" s="50">
        <v>10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3</v>
      </c>
      <c r="V10" s="17">
        <f t="shared" si="2"/>
        <v>14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2</v>
      </c>
      <c r="AB10" s="17">
        <f t="shared" si="2"/>
        <v>1</v>
      </c>
      <c r="AC10" s="17">
        <f t="shared" si="2"/>
        <v>60</v>
      </c>
      <c r="AD10" s="17">
        <f t="shared" si="2"/>
        <v>0</v>
      </c>
      <c r="AE10" s="31">
        <f t="shared" si="2"/>
        <v>31</v>
      </c>
      <c r="AF10" s="31">
        <f t="shared" si="2"/>
        <v>91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5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6</v>
      </c>
      <c r="P11" s="15">
        <f t="shared" si="1"/>
        <v>21</v>
      </c>
      <c r="R11" s="1" t="s">
        <v>7</v>
      </c>
      <c r="S11" s="17">
        <f t="shared" ref="S11:AF11" si="3">SUM(C14:C17)</f>
        <v>13</v>
      </c>
      <c r="T11" s="17">
        <f t="shared" si="3"/>
        <v>0</v>
      </c>
      <c r="U11" s="17">
        <f t="shared" si="3"/>
        <v>10</v>
      </c>
      <c r="V11" s="17">
        <f t="shared" si="3"/>
        <v>9</v>
      </c>
      <c r="W11" s="17">
        <f t="shared" si="3"/>
        <v>1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1</v>
      </c>
      <c r="AC11" s="17">
        <f t="shared" si="3"/>
        <v>70</v>
      </c>
      <c r="AD11" s="17">
        <f t="shared" si="3"/>
        <v>0</v>
      </c>
      <c r="AE11" s="31">
        <f t="shared" si="3"/>
        <v>38</v>
      </c>
      <c r="AF11" s="31">
        <f t="shared" si="3"/>
        <v>108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4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</v>
      </c>
      <c r="M12" s="50">
        <v>16</v>
      </c>
      <c r="N12" s="50">
        <v>0</v>
      </c>
      <c r="O12" s="15">
        <f t="shared" si="0"/>
        <v>7</v>
      </c>
      <c r="P12" s="15">
        <f t="shared" si="1"/>
        <v>23</v>
      </c>
      <c r="R12" s="1" t="s">
        <v>8</v>
      </c>
      <c r="S12" s="17">
        <f t="shared" ref="S12:AF12" si="4">SUM(C18:C21)</f>
        <v>14</v>
      </c>
      <c r="T12" s="17">
        <f t="shared" si="4"/>
        <v>0</v>
      </c>
      <c r="U12" s="17">
        <f t="shared" si="4"/>
        <v>6</v>
      </c>
      <c r="V12" s="17">
        <f t="shared" si="4"/>
        <v>11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1</v>
      </c>
      <c r="AB12" s="17">
        <f t="shared" si="4"/>
        <v>1</v>
      </c>
      <c r="AC12" s="17">
        <f t="shared" si="4"/>
        <v>103</v>
      </c>
      <c r="AD12" s="17">
        <f t="shared" si="4"/>
        <v>0</v>
      </c>
      <c r="AE12" s="31">
        <f t="shared" si="4"/>
        <v>44</v>
      </c>
      <c r="AF12" s="31">
        <f t="shared" si="4"/>
        <v>147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2</v>
      </c>
      <c r="G13" s="50">
        <v>1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19</v>
      </c>
      <c r="N13" s="50">
        <v>0</v>
      </c>
      <c r="O13" s="15">
        <f t="shared" si="0"/>
        <v>10</v>
      </c>
      <c r="P13" s="15">
        <f t="shared" si="1"/>
        <v>29</v>
      </c>
      <c r="R13" s="1" t="s">
        <v>9</v>
      </c>
      <c r="S13" s="17">
        <f t="shared" ref="S13:AF13" si="5">SUM(C22:C25)</f>
        <v>21</v>
      </c>
      <c r="T13" s="17">
        <f t="shared" si="5"/>
        <v>0</v>
      </c>
      <c r="U13" s="17">
        <f t="shared" si="5"/>
        <v>26</v>
      </c>
      <c r="V13" s="17">
        <f t="shared" si="5"/>
        <v>16</v>
      </c>
      <c r="W13" s="17">
        <f t="shared" si="5"/>
        <v>2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111</v>
      </c>
      <c r="AD13" s="17">
        <f t="shared" si="5"/>
        <v>0</v>
      </c>
      <c r="AE13" s="31">
        <f t="shared" si="5"/>
        <v>80</v>
      </c>
      <c r="AF13" s="31">
        <f t="shared" si="5"/>
        <v>191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1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17</v>
      </c>
      <c r="N14" s="50">
        <v>0</v>
      </c>
      <c r="O14" s="15">
        <f t="shared" si="0"/>
        <v>8</v>
      </c>
      <c r="P14" s="15">
        <f t="shared" si="1"/>
        <v>25</v>
      </c>
      <c r="R14" s="1" t="s">
        <v>10</v>
      </c>
      <c r="S14" s="17">
        <f t="shared" ref="S14:AF14" si="6">SUM(C26:C29)</f>
        <v>18</v>
      </c>
      <c r="T14" s="17">
        <f t="shared" si="6"/>
        <v>0</v>
      </c>
      <c r="U14" s="17">
        <f t="shared" si="6"/>
        <v>14</v>
      </c>
      <c r="V14" s="17">
        <f t="shared" si="6"/>
        <v>13</v>
      </c>
      <c r="W14" s="17">
        <f t="shared" si="6"/>
        <v>3</v>
      </c>
      <c r="X14" s="17">
        <f t="shared" si="6"/>
        <v>0</v>
      </c>
      <c r="Y14" s="17">
        <f t="shared" si="6"/>
        <v>14</v>
      </c>
      <c r="Z14" s="17">
        <f t="shared" si="6"/>
        <v>1</v>
      </c>
      <c r="AA14" s="17">
        <f t="shared" si="6"/>
        <v>0</v>
      </c>
      <c r="AB14" s="17">
        <f t="shared" si="6"/>
        <v>1</v>
      </c>
      <c r="AC14" s="17">
        <f t="shared" si="6"/>
        <v>110</v>
      </c>
      <c r="AD14" s="17">
        <f t="shared" si="6"/>
        <v>0</v>
      </c>
      <c r="AE14" s="31">
        <f t="shared" si="6"/>
        <v>64</v>
      </c>
      <c r="AF14" s="31">
        <f t="shared" si="6"/>
        <v>174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2</v>
      </c>
      <c r="F15" s="50">
        <v>1</v>
      </c>
      <c r="G15" s="50">
        <v>1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8</v>
      </c>
      <c r="P15" s="15">
        <f t="shared" si="1"/>
        <v>20</v>
      </c>
      <c r="R15" s="1" t="s">
        <v>11</v>
      </c>
      <c r="S15" s="17">
        <f t="shared" ref="S15:AF15" si="7">SUM(C30:C33)</f>
        <v>27</v>
      </c>
      <c r="T15" s="17">
        <f t="shared" si="7"/>
        <v>0</v>
      </c>
      <c r="U15" s="17">
        <f t="shared" si="7"/>
        <v>27</v>
      </c>
      <c r="V15" s="17">
        <f t="shared" si="7"/>
        <v>16</v>
      </c>
      <c r="W15" s="17">
        <f t="shared" si="7"/>
        <v>2</v>
      </c>
      <c r="X15" s="17">
        <f t="shared" si="7"/>
        <v>0</v>
      </c>
      <c r="Y15" s="17">
        <f t="shared" si="7"/>
        <v>11</v>
      </c>
      <c r="Z15" s="17">
        <f t="shared" si="7"/>
        <v>1</v>
      </c>
      <c r="AA15" s="17">
        <f t="shared" si="7"/>
        <v>0</v>
      </c>
      <c r="AB15" s="17">
        <f t="shared" si="7"/>
        <v>2</v>
      </c>
      <c r="AC15" s="17">
        <f t="shared" si="7"/>
        <v>111</v>
      </c>
      <c r="AD15" s="17">
        <f t="shared" si="7"/>
        <v>0</v>
      </c>
      <c r="AE15" s="31">
        <f t="shared" si="7"/>
        <v>86</v>
      </c>
      <c r="AF15" s="31">
        <f t="shared" si="7"/>
        <v>197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3</v>
      </c>
      <c r="F16" s="50">
        <v>4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13</v>
      </c>
      <c r="P16" s="15">
        <f t="shared" si="1"/>
        <v>28</v>
      </c>
      <c r="R16" s="1" t="s">
        <v>12</v>
      </c>
      <c r="S16" s="17">
        <f t="shared" ref="S16:AF16" si="8">SUM(C34:C37)</f>
        <v>21</v>
      </c>
      <c r="T16" s="17">
        <f t="shared" si="8"/>
        <v>0</v>
      </c>
      <c r="U16" s="17">
        <f t="shared" si="8"/>
        <v>28</v>
      </c>
      <c r="V16" s="17">
        <f t="shared" si="8"/>
        <v>14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103</v>
      </c>
      <c r="AD16" s="17">
        <f t="shared" si="8"/>
        <v>0</v>
      </c>
      <c r="AE16" s="31">
        <f t="shared" si="8"/>
        <v>72</v>
      </c>
      <c r="AF16" s="31">
        <f t="shared" si="8"/>
        <v>175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4</v>
      </c>
      <c r="F17" s="50">
        <v>1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9</v>
      </c>
      <c r="P17" s="15">
        <f t="shared" si="1"/>
        <v>35</v>
      </c>
      <c r="R17" s="1" t="s">
        <v>13</v>
      </c>
      <c r="S17" s="17">
        <f t="shared" ref="S17:AF17" si="9">SUM(C38:C41)</f>
        <v>36</v>
      </c>
      <c r="T17" s="17">
        <f t="shared" si="9"/>
        <v>0</v>
      </c>
      <c r="U17" s="17">
        <f t="shared" si="9"/>
        <v>21</v>
      </c>
      <c r="V17" s="17">
        <f t="shared" si="9"/>
        <v>12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106</v>
      </c>
      <c r="AD17" s="17">
        <f t="shared" si="9"/>
        <v>0</v>
      </c>
      <c r="AE17" s="31">
        <f t="shared" si="9"/>
        <v>81</v>
      </c>
      <c r="AF17" s="31">
        <f t="shared" si="9"/>
        <v>187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1</v>
      </c>
      <c r="F18" s="50">
        <v>4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11</v>
      </c>
      <c r="P18" s="15">
        <f t="shared" si="1"/>
        <v>32</v>
      </c>
      <c r="R18" s="1" t="s">
        <v>14</v>
      </c>
      <c r="S18" s="17">
        <f t="shared" ref="S18:AF18" si="10">SUM(C42:C45)</f>
        <v>35</v>
      </c>
      <c r="T18" s="17">
        <f t="shared" si="10"/>
        <v>0</v>
      </c>
      <c r="U18" s="17">
        <f t="shared" si="10"/>
        <v>27</v>
      </c>
      <c r="V18" s="17">
        <f t="shared" si="10"/>
        <v>16</v>
      </c>
      <c r="W18" s="17">
        <f t="shared" si="10"/>
        <v>0</v>
      </c>
      <c r="X18" s="17">
        <f t="shared" si="10"/>
        <v>1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112</v>
      </c>
      <c r="AD18" s="17">
        <f t="shared" si="10"/>
        <v>0</v>
      </c>
      <c r="AE18" s="31">
        <f t="shared" si="10"/>
        <v>86</v>
      </c>
      <c r="AF18" s="31">
        <f t="shared" si="10"/>
        <v>198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2</v>
      </c>
      <c r="G19" s="50">
        <v>1</v>
      </c>
      <c r="H19" s="50">
        <v>0</v>
      </c>
      <c r="I19" s="50">
        <v>1</v>
      </c>
      <c r="J19" s="50">
        <v>0</v>
      </c>
      <c r="K19" s="50">
        <v>1</v>
      </c>
      <c r="L19" s="50">
        <v>1</v>
      </c>
      <c r="M19" s="50">
        <v>33</v>
      </c>
      <c r="N19" s="50">
        <v>0</v>
      </c>
      <c r="O19" s="15">
        <f t="shared" si="0"/>
        <v>9</v>
      </c>
      <c r="P19" s="15">
        <f t="shared" si="1"/>
        <v>42</v>
      </c>
      <c r="R19" s="1" t="s">
        <v>15</v>
      </c>
      <c r="S19" s="17">
        <f t="shared" ref="S19:AF19" si="11">SUM(C46:C49)</f>
        <v>31</v>
      </c>
      <c r="T19" s="17">
        <f t="shared" si="11"/>
        <v>0</v>
      </c>
      <c r="U19" s="17">
        <f t="shared" si="11"/>
        <v>20</v>
      </c>
      <c r="V19" s="17">
        <f t="shared" si="11"/>
        <v>18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99</v>
      </c>
      <c r="AD19" s="17">
        <f t="shared" si="11"/>
        <v>0</v>
      </c>
      <c r="AE19" s="31">
        <f t="shared" si="11"/>
        <v>83</v>
      </c>
      <c r="AF19" s="31">
        <f t="shared" si="11"/>
        <v>182</v>
      </c>
    </row>
    <row r="20" spans="2:32" ht="23.1" customHeight="1" x14ac:dyDescent="0.25">
      <c r="B20" s="23" t="s">
        <v>47</v>
      </c>
      <c r="C20" s="50">
        <v>6</v>
      </c>
      <c r="D20" s="50">
        <v>0</v>
      </c>
      <c r="E20" s="50">
        <v>1</v>
      </c>
      <c r="F20" s="50">
        <v>3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28</v>
      </c>
      <c r="N20" s="50">
        <v>0</v>
      </c>
      <c r="O20" s="15">
        <f t="shared" si="0"/>
        <v>13</v>
      </c>
      <c r="P20" s="15">
        <f t="shared" si="1"/>
        <v>41</v>
      </c>
      <c r="R20" s="1" t="s">
        <v>16</v>
      </c>
      <c r="S20" s="17">
        <f t="shared" ref="S20:AF20" si="12">SUM(C50:C53)</f>
        <v>34</v>
      </c>
      <c r="T20" s="17">
        <f t="shared" si="12"/>
        <v>0</v>
      </c>
      <c r="U20" s="17">
        <f t="shared" si="12"/>
        <v>36</v>
      </c>
      <c r="V20" s="17">
        <f t="shared" si="12"/>
        <v>16</v>
      </c>
      <c r="W20" s="17">
        <f t="shared" si="12"/>
        <v>0</v>
      </c>
      <c r="X20" s="17">
        <f t="shared" si="12"/>
        <v>0</v>
      </c>
      <c r="Y20" s="17">
        <f t="shared" si="12"/>
        <v>13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120</v>
      </c>
      <c r="AD20" s="17">
        <f t="shared" si="12"/>
        <v>0</v>
      </c>
      <c r="AE20" s="31">
        <f t="shared" si="12"/>
        <v>99</v>
      </c>
      <c r="AF20" s="31">
        <f t="shared" si="12"/>
        <v>219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11</v>
      </c>
      <c r="P21" s="15">
        <f t="shared" si="1"/>
        <v>32</v>
      </c>
      <c r="R21" s="36" t="s">
        <v>20</v>
      </c>
      <c r="S21" s="34">
        <f t="shared" ref="S21:AF21" si="13">SUM(C54:C57)</f>
        <v>35</v>
      </c>
      <c r="T21" s="17">
        <f t="shared" si="13"/>
        <v>0</v>
      </c>
      <c r="U21" s="17">
        <f t="shared" si="13"/>
        <v>34</v>
      </c>
      <c r="V21" s="17">
        <f t="shared" si="13"/>
        <v>26</v>
      </c>
      <c r="W21" s="17">
        <f t="shared" si="13"/>
        <v>1</v>
      </c>
      <c r="X21" s="17">
        <f t="shared" si="13"/>
        <v>0</v>
      </c>
      <c r="Y21" s="17">
        <f t="shared" si="13"/>
        <v>16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110</v>
      </c>
      <c r="AD21" s="17">
        <f t="shared" si="13"/>
        <v>0</v>
      </c>
      <c r="AE21" s="31">
        <f t="shared" si="13"/>
        <v>114</v>
      </c>
      <c r="AF21" s="31">
        <f t="shared" si="13"/>
        <v>224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4</v>
      </c>
      <c r="F22" s="50">
        <v>4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29</v>
      </c>
      <c r="N22" s="50">
        <v>0</v>
      </c>
      <c r="O22" s="15">
        <f t="shared" si="0"/>
        <v>15</v>
      </c>
      <c r="P22" s="15">
        <f t="shared" si="1"/>
        <v>44</v>
      </c>
      <c r="R22" s="38" t="s">
        <v>90</v>
      </c>
      <c r="S22" s="39">
        <f>MAX(S10:S12)</f>
        <v>14</v>
      </c>
      <c r="T22" s="39">
        <f t="shared" ref="T22:AF22" si="14">MAX(T10:T12)</f>
        <v>0</v>
      </c>
      <c r="U22" s="39">
        <f t="shared" si="14"/>
        <v>10</v>
      </c>
      <c r="V22" s="39">
        <f t="shared" si="14"/>
        <v>14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2</v>
      </c>
      <c r="AA22" s="39">
        <f t="shared" si="14"/>
        <v>2</v>
      </c>
      <c r="AB22" s="39">
        <f t="shared" si="14"/>
        <v>1</v>
      </c>
      <c r="AC22" s="39">
        <f t="shared" si="14"/>
        <v>103</v>
      </c>
      <c r="AD22" s="39">
        <f t="shared" si="14"/>
        <v>0</v>
      </c>
      <c r="AE22" s="40">
        <f t="shared" si="14"/>
        <v>44</v>
      </c>
      <c r="AF22" s="40">
        <f t="shared" si="14"/>
        <v>147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3</v>
      </c>
      <c r="F23" s="50">
        <v>3</v>
      </c>
      <c r="G23" s="50">
        <v>2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16</v>
      </c>
      <c r="P23" s="15">
        <f t="shared" si="1"/>
        <v>41</v>
      </c>
      <c r="R23" s="38" t="s">
        <v>91</v>
      </c>
      <c r="S23" s="39">
        <f>MAX(S13:S18)</f>
        <v>36</v>
      </c>
      <c r="T23" s="39">
        <f t="shared" ref="T23:AF23" si="15">MAX(T13:T18)</f>
        <v>0</v>
      </c>
      <c r="U23" s="39">
        <f t="shared" si="15"/>
        <v>28</v>
      </c>
      <c r="V23" s="39">
        <f t="shared" si="15"/>
        <v>16</v>
      </c>
      <c r="W23" s="39">
        <f t="shared" si="15"/>
        <v>3</v>
      </c>
      <c r="X23" s="39">
        <f t="shared" si="15"/>
        <v>1</v>
      </c>
      <c r="Y23" s="39">
        <f t="shared" si="15"/>
        <v>14</v>
      </c>
      <c r="Z23" s="39">
        <f t="shared" si="15"/>
        <v>1</v>
      </c>
      <c r="AA23" s="39">
        <f t="shared" si="15"/>
        <v>0</v>
      </c>
      <c r="AB23" s="39">
        <f t="shared" si="15"/>
        <v>3</v>
      </c>
      <c r="AC23" s="39">
        <f t="shared" si="15"/>
        <v>112</v>
      </c>
      <c r="AD23" s="39">
        <f t="shared" si="15"/>
        <v>0</v>
      </c>
      <c r="AE23" s="40">
        <f t="shared" si="15"/>
        <v>86</v>
      </c>
      <c r="AF23" s="40">
        <f t="shared" si="15"/>
        <v>198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8</v>
      </c>
      <c r="F24" s="50">
        <v>5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26</v>
      </c>
      <c r="N24" s="50">
        <v>0</v>
      </c>
      <c r="O24" s="15">
        <f t="shared" si="0"/>
        <v>19</v>
      </c>
      <c r="P24" s="15">
        <f t="shared" si="1"/>
        <v>45</v>
      </c>
      <c r="R24" s="38" t="s">
        <v>92</v>
      </c>
      <c r="S24" s="39">
        <f>MAX(S19:S21)</f>
        <v>35</v>
      </c>
      <c r="T24" s="39">
        <f t="shared" ref="T24:AF24" si="16">MAX(T19:T21)</f>
        <v>0</v>
      </c>
      <c r="U24" s="39">
        <f t="shared" si="16"/>
        <v>36</v>
      </c>
      <c r="V24" s="39">
        <f t="shared" si="16"/>
        <v>26</v>
      </c>
      <c r="W24" s="39">
        <f t="shared" si="16"/>
        <v>1</v>
      </c>
      <c r="X24" s="39">
        <f t="shared" si="16"/>
        <v>0</v>
      </c>
      <c r="Y24" s="39">
        <f t="shared" si="16"/>
        <v>16</v>
      </c>
      <c r="Z24" s="39">
        <f t="shared" si="16"/>
        <v>1</v>
      </c>
      <c r="AA24" s="39">
        <f t="shared" si="16"/>
        <v>1</v>
      </c>
      <c r="AB24" s="39">
        <f t="shared" si="16"/>
        <v>2</v>
      </c>
      <c r="AC24" s="39">
        <f t="shared" si="16"/>
        <v>120</v>
      </c>
      <c r="AD24" s="39">
        <f t="shared" si="16"/>
        <v>0</v>
      </c>
      <c r="AE24" s="40">
        <f t="shared" si="16"/>
        <v>114</v>
      </c>
      <c r="AF24" s="40">
        <f t="shared" si="16"/>
        <v>224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11</v>
      </c>
      <c r="F25" s="50">
        <v>4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1</v>
      </c>
      <c r="M25" s="50">
        <v>31</v>
      </c>
      <c r="N25" s="50">
        <v>0</v>
      </c>
      <c r="O25" s="15">
        <f t="shared" si="0"/>
        <v>30</v>
      </c>
      <c r="P25" s="15">
        <f t="shared" si="1"/>
        <v>61</v>
      </c>
      <c r="R25" s="37" t="s">
        <v>85</v>
      </c>
      <c r="S25" s="35">
        <f t="shared" ref="S25:AF25" si="17">SUM(S10:S12)</f>
        <v>32</v>
      </c>
      <c r="T25" s="16">
        <f t="shared" si="17"/>
        <v>0</v>
      </c>
      <c r="U25" s="16">
        <f t="shared" si="17"/>
        <v>19</v>
      </c>
      <c r="V25" s="16">
        <f t="shared" si="17"/>
        <v>34</v>
      </c>
      <c r="W25" s="16">
        <f t="shared" si="17"/>
        <v>3</v>
      </c>
      <c r="X25" s="16">
        <f t="shared" si="17"/>
        <v>0</v>
      </c>
      <c r="Y25" s="16">
        <f t="shared" si="17"/>
        <v>14</v>
      </c>
      <c r="Z25" s="16">
        <f t="shared" si="17"/>
        <v>5</v>
      </c>
      <c r="AA25" s="16">
        <f t="shared" si="17"/>
        <v>3</v>
      </c>
      <c r="AB25" s="16">
        <f t="shared" si="17"/>
        <v>3</v>
      </c>
      <c r="AC25" s="16">
        <f t="shared" si="17"/>
        <v>233</v>
      </c>
      <c r="AD25" s="16">
        <f t="shared" si="17"/>
        <v>0</v>
      </c>
      <c r="AE25" s="32">
        <f t="shared" si="17"/>
        <v>113</v>
      </c>
      <c r="AF25" s="32">
        <f t="shared" si="17"/>
        <v>346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4</v>
      </c>
      <c r="F26" s="50">
        <v>3</v>
      </c>
      <c r="G26" s="50">
        <v>1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18</v>
      </c>
      <c r="P26" s="15">
        <f t="shared" si="1"/>
        <v>39</v>
      </c>
      <c r="R26" s="28" t="s">
        <v>86</v>
      </c>
      <c r="S26" s="16">
        <f t="shared" ref="S26:AF26" si="18">SUM(S13:S18)</f>
        <v>158</v>
      </c>
      <c r="T26" s="16">
        <f t="shared" si="18"/>
        <v>0</v>
      </c>
      <c r="U26" s="16">
        <f t="shared" si="18"/>
        <v>143</v>
      </c>
      <c r="V26" s="16">
        <f t="shared" si="18"/>
        <v>87</v>
      </c>
      <c r="W26" s="16">
        <f t="shared" si="18"/>
        <v>8</v>
      </c>
      <c r="X26" s="16">
        <f t="shared" si="18"/>
        <v>1</v>
      </c>
      <c r="Y26" s="16">
        <f t="shared" si="18"/>
        <v>60</v>
      </c>
      <c r="Z26" s="16">
        <f t="shared" si="18"/>
        <v>4</v>
      </c>
      <c r="AA26" s="16">
        <f t="shared" si="18"/>
        <v>0</v>
      </c>
      <c r="AB26" s="16">
        <f t="shared" si="18"/>
        <v>8</v>
      </c>
      <c r="AC26" s="16">
        <f t="shared" si="18"/>
        <v>653</v>
      </c>
      <c r="AD26" s="16">
        <f t="shared" si="18"/>
        <v>0</v>
      </c>
      <c r="AE26" s="32">
        <f t="shared" si="18"/>
        <v>469</v>
      </c>
      <c r="AF26" s="32">
        <f t="shared" si="18"/>
        <v>1122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3</v>
      </c>
      <c r="F27" s="50">
        <v>3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36</v>
      </c>
      <c r="N27" s="50">
        <v>0</v>
      </c>
      <c r="O27" s="15">
        <f t="shared" si="0"/>
        <v>8</v>
      </c>
      <c r="P27" s="15">
        <f t="shared" si="1"/>
        <v>44</v>
      </c>
      <c r="R27" s="29" t="s">
        <v>87</v>
      </c>
      <c r="S27" s="16">
        <f t="shared" ref="S27:AF27" si="19">SUM(S19:S21)</f>
        <v>100</v>
      </c>
      <c r="T27" s="16">
        <f t="shared" si="19"/>
        <v>0</v>
      </c>
      <c r="U27" s="16">
        <f t="shared" si="19"/>
        <v>90</v>
      </c>
      <c r="V27" s="16">
        <f t="shared" si="19"/>
        <v>60</v>
      </c>
      <c r="W27" s="16">
        <f t="shared" si="19"/>
        <v>2</v>
      </c>
      <c r="X27" s="16">
        <f t="shared" si="19"/>
        <v>0</v>
      </c>
      <c r="Y27" s="16">
        <f t="shared" si="19"/>
        <v>39</v>
      </c>
      <c r="Z27" s="16">
        <f t="shared" si="19"/>
        <v>1</v>
      </c>
      <c r="AA27" s="16">
        <f t="shared" si="19"/>
        <v>1</v>
      </c>
      <c r="AB27" s="16">
        <f t="shared" si="19"/>
        <v>3</v>
      </c>
      <c r="AC27" s="16">
        <f t="shared" si="19"/>
        <v>329</v>
      </c>
      <c r="AD27" s="16">
        <f t="shared" si="19"/>
        <v>0</v>
      </c>
      <c r="AE27" s="32">
        <f t="shared" si="19"/>
        <v>296</v>
      </c>
      <c r="AF27" s="32">
        <f t="shared" si="19"/>
        <v>625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4</v>
      </c>
      <c r="F28" s="50">
        <v>4</v>
      </c>
      <c r="G28" s="50">
        <v>2</v>
      </c>
      <c r="H28" s="50">
        <v>0</v>
      </c>
      <c r="I28" s="50">
        <v>8</v>
      </c>
      <c r="J28" s="50">
        <v>0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25</v>
      </c>
      <c r="P28" s="15">
        <f t="shared" si="1"/>
        <v>51</v>
      </c>
      <c r="R28" s="5" t="s">
        <v>17</v>
      </c>
      <c r="S28" s="16">
        <f t="shared" ref="S28:AF28" si="20">SUM(S10:S21)</f>
        <v>290</v>
      </c>
      <c r="T28" s="16">
        <f t="shared" si="20"/>
        <v>0</v>
      </c>
      <c r="U28" s="16">
        <f t="shared" si="20"/>
        <v>252</v>
      </c>
      <c r="V28" s="16">
        <f t="shared" si="20"/>
        <v>181</v>
      </c>
      <c r="W28" s="16">
        <f t="shared" si="20"/>
        <v>13</v>
      </c>
      <c r="X28" s="16">
        <f t="shared" si="20"/>
        <v>1</v>
      </c>
      <c r="Y28" s="16">
        <f t="shared" si="20"/>
        <v>113</v>
      </c>
      <c r="Z28" s="16">
        <f t="shared" si="20"/>
        <v>10</v>
      </c>
      <c r="AA28" s="16">
        <f t="shared" si="20"/>
        <v>4</v>
      </c>
      <c r="AB28" s="16">
        <f t="shared" si="20"/>
        <v>14</v>
      </c>
      <c r="AC28" s="16">
        <f t="shared" si="20"/>
        <v>1215</v>
      </c>
      <c r="AD28" s="16">
        <f t="shared" si="20"/>
        <v>0</v>
      </c>
      <c r="AE28" s="32">
        <f t="shared" si="20"/>
        <v>878</v>
      </c>
      <c r="AF28" s="32">
        <f t="shared" si="20"/>
        <v>2093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3</v>
      </c>
      <c r="F29" s="50">
        <v>3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</v>
      </c>
      <c r="M29" s="50">
        <v>27</v>
      </c>
      <c r="N29" s="50">
        <v>0</v>
      </c>
      <c r="O29" s="15">
        <f t="shared" si="0"/>
        <v>13</v>
      </c>
      <c r="P29" s="15">
        <f t="shared" si="1"/>
        <v>40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0</v>
      </c>
      <c r="E30" s="50">
        <v>8</v>
      </c>
      <c r="F30" s="50">
        <v>5</v>
      </c>
      <c r="G30" s="50">
        <v>1</v>
      </c>
      <c r="H30" s="50">
        <v>0</v>
      </c>
      <c r="I30" s="50">
        <v>6</v>
      </c>
      <c r="J30" s="50">
        <v>1</v>
      </c>
      <c r="K30" s="50">
        <v>0</v>
      </c>
      <c r="L30" s="50">
        <v>1</v>
      </c>
      <c r="M30" s="50">
        <v>22</v>
      </c>
      <c r="N30" s="50">
        <v>0</v>
      </c>
      <c r="O30" s="15">
        <f t="shared" si="0"/>
        <v>29</v>
      </c>
      <c r="P30" s="15">
        <f t="shared" si="1"/>
        <v>51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6</v>
      </c>
      <c r="F31" s="50">
        <v>3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33</v>
      </c>
      <c r="N31" s="50">
        <v>0</v>
      </c>
      <c r="O31" s="15">
        <f t="shared" si="0"/>
        <v>17</v>
      </c>
      <c r="P31" s="15">
        <f t="shared" si="1"/>
        <v>50</v>
      </c>
    </row>
    <row r="32" spans="2:32" ht="23.1" customHeight="1" x14ac:dyDescent="0.25">
      <c r="B32" s="24" t="s">
        <v>59</v>
      </c>
      <c r="C32" s="50">
        <v>7</v>
      </c>
      <c r="D32" s="50">
        <v>0</v>
      </c>
      <c r="E32" s="50">
        <v>7</v>
      </c>
      <c r="F32" s="50">
        <v>6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22</v>
      </c>
      <c r="P32" s="15">
        <f t="shared" si="1"/>
        <v>44</v>
      </c>
    </row>
    <row r="33" spans="2:20" ht="23.1" customHeight="1" x14ac:dyDescent="0.25">
      <c r="B33" s="23" t="s">
        <v>60</v>
      </c>
      <c r="C33" s="50">
        <v>8</v>
      </c>
      <c r="D33" s="50">
        <v>0</v>
      </c>
      <c r="E33" s="50">
        <v>6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5">
        <f t="shared" si="0"/>
        <v>18</v>
      </c>
      <c r="P33" s="15">
        <f t="shared" si="1"/>
        <v>52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7</v>
      </c>
      <c r="F34" s="50">
        <v>3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26</v>
      </c>
      <c r="N34" s="50">
        <v>0</v>
      </c>
      <c r="O34" s="15">
        <f t="shared" si="0"/>
        <v>15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5</v>
      </c>
      <c r="F35" s="50">
        <v>6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16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6</v>
      </c>
      <c r="F36" s="50">
        <v>1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24</v>
      </c>
      <c r="N36" s="50">
        <v>0</v>
      </c>
      <c r="O36" s="15">
        <f t="shared" si="0"/>
        <v>15</v>
      </c>
      <c r="P36" s="15">
        <f t="shared" si="1"/>
        <v>39</v>
      </c>
    </row>
    <row r="37" spans="2:20" ht="23.1" customHeight="1" x14ac:dyDescent="0.25">
      <c r="B37" s="23" t="s">
        <v>64</v>
      </c>
      <c r="C37" s="50">
        <v>10</v>
      </c>
      <c r="D37" s="50">
        <v>0</v>
      </c>
      <c r="E37" s="50">
        <v>10</v>
      </c>
      <c r="F37" s="50">
        <v>4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26</v>
      </c>
      <c r="P37" s="15">
        <f t="shared" si="1"/>
        <v>52</v>
      </c>
    </row>
    <row r="38" spans="2:20" ht="23.1" customHeight="1" x14ac:dyDescent="0.25">
      <c r="B38" s="24" t="s">
        <v>65</v>
      </c>
      <c r="C38" s="50">
        <v>10</v>
      </c>
      <c r="D38" s="50">
        <v>0</v>
      </c>
      <c r="E38" s="50">
        <v>8</v>
      </c>
      <c r="F38" s="50">
        <v>2</v>
      </c>
      <c r="G38" s="50">
        <v>1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34</v>
      </c>
      <c r="N38" s="50">
        <v>0</v>
      </c>
      <c r="O38" s="15">
        <f t="shared" si="0"/>
        <v>24</v>
      </c>
      <c r="P38" s="15">
        <f t="shared" si="1"/>
        <v>58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4</v>
      </c>
      <c r="F39" s="50">
        <v>5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28</v>
      </c>
      <c r="N39" s="50">
        <v>0</v>
      </c>
      <c r="O39" s="15">
        <f t="shared" si="0"/>
        <v>17</v>
      </c>
      <c r="P39" s="15">
        <f t="shared" si="1"/>
        <v>45</v>
      </c>
    </row>
    <row r="40" spans="2:20" ht="23.1" customHeight="1" x14ac:dyDescent="0.25">
      <c r="B40" s="24" t="s">
        <v>67</v>
      </c>
      <c r="C40" s="50">
        <v>11</v>
      </c>
      <c r="D40" s="50">
        <v>0</v>
      </c>
      <c r="E40" s="50">
        <v>4</v>
      </c>
      <c r="F40" s="50">
        <v>3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22</v>
      </c>
      <c r="P40" s="15">
        <f t="shared" si="1"/>
        <v>40</v>
      </c>
    </row>
    <row r="41" spans="2:20" ht="23.1" customHeight="1" x14ac:dyDescent="0.25">
      <c r="B41" s="23" t="s">
        <v>68</v>
      </c>
      <c r="C41" s="50">
        <v>9</v>
      </c>
      <c r="D41" s="50">
        <v>0</v>
      </c>
      <c r="E41" s="50">
        <v>5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26</v>
      </c>
      <c r="N41" s="50">
        <v>0</v>
      </c>
      <c r="O41" s="15">
        <f t="shared" si="0"/>
        <v>18</v>
      </c>
      <c r="P41" s="15">
        <f t="shared" si="1"/>
        <v>44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4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34</v>
      </c>
      <c r="N42" s="50">
        <v>0</v>
      </c>
      <c r="O42" s="15">
        <f t="shared" si="0"/>
        <v>17</v>
      </c>
      <c r="P42" s="15">
        <f t="shared" si="1"/>
        <v>51</v>
      </c>
    </row>
    <row r="43" spans="2:20" ht="23.1" customHeight="1" x14ac:dyDescent="0.25">
      <c r="B43" s="23" t="s">
        <v>70</v>
      </c>
      <c r="C43" s="50">
        <v>9</v>
      </c>
      <c r="D43" s="50">
        <v>0</v>
      </c>
      <c r="E43" s="50">
        <v>6</v>
      </c>
      <c r="F43" s="50">
        <v>3</v>
      </c>
      <c r="G43" s="50">
        <v>0</v>
      </c>
      <c r="H43" s="50">
        <v>1</v>
      </c>
      <c r="I43" s="50">
        <v>3</v>
      </c>
      <c r="J43" s="50">
        <v>0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22</v>
      </c>
      <c r="P43" s="15">
        <f t="shared" si="1"/>
        <v>53</v>
      </c>
    </row>
    <row r="44" spans="2:20" ht="23.1" customHeight="1" x14ac:dyDescent="0.25">
      <c r="B44" s="25" t="s">
        <v>71</v>
      </c>
      <c r="C44" s="50">
        <v>9</v>
      </c>
      <c r="D44" s="50">
        <v>0</v>
      </c>
      <c r="E44" s="50">
        <v>9</v>
      </c>
      <c r="F44" s="50">
        <v>3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22</v>
      </c>
      <c r="P44" s="15">
        <f t="shared" si="1"/>
        <v>47</v>
      </c>
    </row>
    <row r="45" spans="2:20" ht="23.1" customHeight="1" x14ac:dyDescent="0.25">
      <c r="B45" s="23" t="s">
        <v>72</v>
      </c>
      <c r="C45" s="50">
        <v>10</v>
      </c>
      <c r="D45" s="50">
        <v>0</v>
      </c>
      <c r="E45" s="50">
        <v>8</v>
      </c>
      <c r="F45" s="50">
        <v>6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25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5</v>
      </c>
      <c r="F46" s="50">
        <v>6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23</v>
      </c>
      <c r="N46" s="50">
        <v>0</v>
      </c>
      <c r="O46" s="15">
        <f t="shared" si="0"/>
        <v>23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5</v>
      </c>
      <c r="F47" s="50">
        <v>4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14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0</v>
      </c>
      <c r="E48" s="50">
        <v>3</v>
      </c>
      <c r="F48" s="50">
        <v>5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2</v>
      </c>
      <c r="M48" s="50">
        <v>23</v>
      </c>
      <c r="N48" s="50">
        <v>0</v>
      </c>
      <c r="O48" s="15">
        <f t="shared" si="0"/>
        <v>23</v>
      </c>
      <c r="P48" s="15">
        <f t="shared" si="1"/>
        <v>46</v>
      </c>
      <c r="R48" s="8"/>
      <c r="T48"/>
    </row>
    <row r="49" spans="2:20" ht="23.1" customHeight="1" x14ac:dyDescent="0.25">
      <c r="B49" s="23" t="s">
        <v>76</v>
      </c>
      <c r="C49" s="50">
        <v>9</v>
      </c>
      <c r="D49" s="50">
        <v>0</v>
      </c>
      <c r="E49" s="50">
        <v>7</v>
      </c>
      <c r="F49" s="50">
        <v>3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31</v>
      </c>
      <c r="N49" s="50">
        <v>0</v>
      </c>
      <c r="O49" s="15">
        <f t="shared" si="0"/>
        <v>23</v>
      </c>
      <c r="P49" s="15">
        <f t="shared" si="1"/>
        <v>54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10</v>
      </c>
      <c r="F50" s="50">
        <v>1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32</v>
      </c>
      <c r="N50" s="50">
        <v>0</v>
      </c>
      <c r="O50" s="15">
        <f t="shared" si="0"/>
        <v>19</v>
      </c>
      <c r="P50" s="15">
        <f t="shared" si="1"/>
        <v>51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0</v>
      </c>
      <c r="E51" s="50">
        <v>8</v>
      </c>
      <c r="F51" s="50">
        <v>7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37</v>
      </c>
      <c r="N51" s="50">
        <v>0</v>
      </c>
      <c r="O51" s="15">
        <f t="shared" si="0"/>
        <v>28</v>
      </c>
      <c r="P51" s="15">
        <f t="shared" si="1"/>
        <v>65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0</v>
      </c>
      <c r="E52" s="50">
        <v>9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26</v>
      </c>
      <c r="P52" s="15">
        <f t="shared" si="1"/>
        <v>53</v>
      </c>
      <c r="R52" s="8"/>
      <c r="T52"/>
    </row>
    <row r="53" spans="2:20" ht="23.1" customHeight="1" x14ac:dyDescent="0.25">
      <c r="B53" s="23" t="s">
        <v>80</v>
      </c>
      <c r="C53" s="50">
        <v>8</v>
      </c>
      <c r="D53" s="50">
        <v>0</v>
      </c>
      <c r="E53" s="50">
        <v>9</v>
      </c>
      <c r="F53" s="50">
        <v>4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26</v>
      </c>
      <c r="P53" s="15">
        <f t="shared" si="1"/>
        <v>50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7</v>
      </c>
      <c r="F54" s="50">
        <v>4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1</v>
      </c>
      <c r="M54" s="50">
        <v>25</v>
      </c>
      <c r="N54" s="50">
        <v>0</v>
      </c>
      <c r="O54" s="15">
        <f t="shared" si="0"/>
        <v>22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0</v>
      </c>
      <c r="E55" s="50">
        <v>10</v>
      </c>
      <c r="F55" s="50">
        <v>7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30</v>
      </c>
      <c r="P55" s="15">
        <f t="shared" si="1"/>
        <v>58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0</v>
      </c>
      <c r="E56" s="50">
        <v>10</v>
      </c>
      <c r="F56" s="50">
        <v>6</v>
      </c>
      <c r="G56" s="50">
        <v>0</v>
      </c>
      <c r="H56" s="50">
        <v>0</v>
      </c>
      <c r="I56" s="50">
        <v>5</v>
      </c>
      <c r="J56" s="50">
        <v>0</v>
      </c>
      <c r="K56" s="50">
        <v>1</v>
      </c>
      <c r="L56" s="50">
        <v>0</v>
      </c>
      <c r="M56" s="50">
        <v>29</v>
      </c>
      <c r="N56" s="50">
        <v>0</v>
      </c>
      <c r="O56" s="15">
        <f t="shared" si="0"/>
        <v>37</v>
      </c>
      <c r="P56" s="15">
        <f t="shared" si="1"/>
        <v>66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7</v>
      </c>
      <c r="F57" s="50">
        <v>9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25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290</v>
      </c>
      <c r="D58" s="16">
        <f t="shared" si="21"/>
        <v>0</v>
      </c>
      <c r="E58" s="16">
        <f t="shared" si="21"/>
        <v>252</v>
      </c>
      <c r="F58" s="16">
        <f t="shared" si="21"/>
        <v>181</v>
      </c>
      <c r="G58" s="16">
        <f t="shared" si="21"/>
        <v>13</v>
      </c>
      <c r="H58" s="16">
        <f t="shared" si="21"/>
        <v>1</v>
      </c>
      <c r="I58" s="16">
        <f t="shared" si="21"/>
        <v>113</v>
      </c>
      <c r="J58" s="16">
        <f t="shared" si="21"/>
        <v>10</v>
      </c>
      <c r="K58" s="16">
        <f t="shared" si="21"/>
        <v>4</v>
      </c>
      <c r="L58" s="16">
        <f t="shared" si="21"/>
        <v>14</v>
      </c>
      <c r="M58" s="16">
        <f t="shared" si="21"/>
        <v>1215</v>
      </c>
      <c r="N58" s="16">
        <f t="shared" si="21"/>
        <v>0</v>
      </c>
      <c r="O58" s="16">
        <f t="shared" si="21"/>
        <v>878</v>
      </c>
      <c r="P58" s="16">
        <f t="shared" si="21"/>
        <v>2093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0.13855709507883421</v>
      </c>
      <c r="D59" s="43">
        <f t="shared" si="22"/>
        <v>0</v>
      </c>
      <c r="E59" s="43">
        <f t="shared" si="22"/>
        <v>0.12040133779264214</v>
      </c>
      <c r="F59" s="43">
        <f t="shared" si="22"/>
        <v>8.6478738652651696E-2</v>
      </c>
      <c r="G59" s="43">
        <f t="shared" si="22"/>
        <v>6.2111801242236021E-3</v>
      </c>
      <c r="H59" s="43">
        <f t="shared" si="22"/>
        <v>4.7778308647873863E-4</v>
      </c>
      <c r="I59" s="43">
        <f t="shared" si="22"/>
        <v>5.3989488772097464E-2</v>
      </c>
      <c r="J59" s="43">
        <f t="shared" si="22"/>
        <v>4.7778308647873869E-3</v>
      </c>
      <c r="K59" s="43">
        <f t="shared" si="22"/>
        <v>1.9111323459149545E-3</v>
      </c>
      <c r="L59" s="43">
        <f t="shared" si="22"/>
        <v>6.688963210702341E-3</v>
      </c>
      <c r="M59" s="43">
        <f t="shared" si="22"/>
        <v>0.58050645007166746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0.33029612756264237</v>
      </c>
      <c r="D60" s="44">
        <f t="shared" ref="D60:N60" si="23">D58/$O$58</f>
        <v>0</v>
      </c>
      <c r="E60" s="44">
        <f t="shared" si="23"/>
        <v>0.28701594533029612</v>
      </c>
      <c r="F60" s="44">
        <f t="shared" si="23"/>
        <v>0.20615034168564919</v>
      </c>
      <c r="G60" s="44">
        <f t="shared" si="23"/>
        <v>1.4806378132118452E-2</v>
      </c>
      <c r="H60" s="44">
        <f t="shared" si="23"/>
        <v>1.1389521640091116E-3</v>
      </c>
      <c r="I60" s="44">
        <f t="shared" si="23"/>
        <v>0.12870159453302962</v>
      </c>
      <c r="J60" s="44">
        <f t="shared" si="23"/>
        <v>1.1389521640091117E-2</v>
      </c>
      <c r="K60" s="44">
        <f t="shared" si="23"/>
        <v>4.5558086560364463E-3</v>
      </c>
      <c r="L60" s="44">
        <f t="shared" si="23"/>
        <v>1.5945330296127564E-2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A25" zoomScale="60" workbookViewId="0">
      <selection activeCell="D58" sqref="D58:E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'25.8 Kangulumira-Kayunga'!C3:G3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3" t="str">
        <f>'24.8 Kangulumira-Kayunga'!G5:H5</f>
        <v xml:space="preserve"> </v>
      </c>
      <c r="H5" s="64"/>
      <c r="I5" s="14"/>
      <c r="J5" s="2" t="s">
        <v>5</v>
      </c>
      <c r="K5" s="63" t="str">
        <f>'24.8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'24.8 Kangulumira-Kayunga'!D6:E6</f>
        <v>KANGULUMIRA</v>
      </c>
      <c r="E6" s="64"/>
      <c r="F6" s="2" t="s">
        <v>2</v>
      </c>
      <c r="G6" s="63" t="str">
        <f>'24.8 Kangulumira-Kayunga'!G6:H6</f>
        <v>KAYUNGA</v>
      </c>
      <c r="H6" s="64"/>
      <c r="J6" s="2" t="s">
        <v>21</v>
      </c>
      <c r="K6" s="63" t="str">
        <f>'24.8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AVERAGE('19.8 Kayunga-Kangulumira'!C10,'20.8 Kayunga-Kangulumira'!C10,'21.8 Kayunga-Kangulumira'!C10,'22.8 Kayunga-Kangulumira'!C10,'23.8 Kayunga-Kangulumira'!C10,'24.8 Kayunga-Kangulumira'!C10,'25.8 Kayunga-Kangulumira'!C10)</f>
        <v>2.5714285714285716</v>
      </c>
      <c r="D10" s="49">
        <f>0.4*(AVERAGE('19.8 Kayunga-Kangulumira'!E10,'20.8 Kayunga-Kangulumira'!E10,'21.8 Kayunga-Kangulumira'!E10,'22.8 Kayunga-Kangulumira'!E10,'23.8 Kayunga-Kangulumira'!E10,'24.8 Kayunga-Kangulumira'!E10,'25.8 Kayunga-Kangulumira'!E10))</f>
        <v>0.97142857142857142</v>
      </c>
      <c r="E10" s="49">
        <f>0.6*(AVERAGE('19.8 Kayunga-Kangulumira'!E10,'20.8 Kayunga-Kangulumira'!E10,'21.8 Kayunga-Kangulumira'!E10,'22.8 Kayunga-Kangulumira'!E10,'23.8 Kayunga-Kangulumira'!E10,'24.8 Kayunga-Kangulumira'!E10,'25.8 Kayunga-Kangulumira'!E10))</f>
        <v>1.4571428571428571</v>
      </c>
      <c r="F10" s="49">
        <f>AVERAGE('19.8 Kayunga-Kangulumira'!F10,'20.8 Kayunga-Kangulumira'!F10,'21.8 Kayunga-Kangulumira'!F10,'22.8 Kayunga-Kangulumira'!F10,'23.8 Kayunga-Kangulumira'!F10,'24.8 Kayunga-Kangulumira'!F10,'25.8 Kayunga-Kangulumira'!F10)</f>
        <v>6.5714285714285712</v>
      </c>
      <c r="G10" s="49">
        <f>AVERAGE('19.8 Kayunga-Kangulumira'!G10,'20.8 Kayunga-Kangulumira'!G10,'21.8 Kayunga-Kangulumira'!G10,'22.8 Kayunga-Kangulumira'!G10,'23.8 Kayunga-Kangulumira'!G10,'24.8 Kayunga-Kangulumira'!G10,'25.8 Kayunga-Kangulumira'!G10)</f>
        <v>0.14285714285714285</v>
      </c>
      <c r="H10" s="49">
        <f>AVERAGE('19.8 Kayunga-Kangulumira'!H10,'20.8 Kayunga-Kangulumira'!H10,'21.8 Kayunga-Kangulumira'!H10,'22.8 Kayunga-Kangulumira'!H10,'23.8 Kayunga-Kangulumira'!H10,'24.8 Kayunga-Kangulumira'!H10,'25.8 Kayunga-Kangulumira'!H10)</f>
        <v>0</v>
      </c>
      <c r="I10" s="49">
        <f>AVERAGE('19.8 Kayunga-Kangulumira'!I10,'20.8 Kayunga-Kangulumira'!I10,'21.8 Kayunga-Kangulumira'!I10,'22.8 Kayunga-Kangulumira'!I10,'23.8 Kayunga-Kangulumira'!I10,'24.8 Kayunga-Kangulumira'!I10,'25.8 Kayunga-Kangulumira'!I10)</f>
        <v>2.1428571428571428</v>
      </c>
      <c r="J10" s="49">
        <f>AVERAGE('19.8 Kayunga-Kangulumira'!J10,'20.8 Kayunga-Kangulumira'!J10,'21.8 Kayunga-Kangulumira'!J10,'22.8 Kayunga-Kangulumira'!J10,'23.8 Kayunga-Kangulumira'!J10,'24.8 Kayunga-Kangulumira'!J10,'25.8 Kayunga-Kangulumira'!J10)</f>
        <v>0</v>
      </c>
      <c r="K10" s="49">
        <f>AVERAGE('19.8 Kayunga-Kangulumira'!K10,'20.8 Kayunga-Kangulumira'!K10,'21.8 Kayunga-Kangulumira'!K10,'22.8 Kayunga-Kangulumira'!K10,'23.8 Kayunga-Kangulumira'!K10,'24.8 Kayunga-Kangulumira'!K10,'25.8 Kayunga-Kangulumira'!K10)</f>
        <v>0.14285714285714285</v>
      </c>
      <c r="L10" s="49">
        <f>AVERAGE('19.8 Kayunga-Kangulumira'!L10,'20.8 Kayunga-Kangulumira'!L10,'21.8 Kayunga-Kangulumira'!L10,'22.8 Kayunga-Kangulumira'!L10,'23.8 Kayunga-Kangulumira'!L10,'24.8 Kayunga-Kangulumira'!L10,'25.8 Kayunga-Kangulumira'!L10)</f>
        <v>0</v>
      </c>
      <c r="M10" s="49">
        <f>AVERAGE('19.8 Kayunga-Kangulumira'!M10,'20.8 Kayunga-Kangulumira'!M10,'21.8 Kayunga-Kangulumira'!M10,'22.8 Kayunga-Kangulumira'!M10,'23.8 Kayunga-Kangulumira'!M10,'24.8 Kayunga-Kangulumira'!M10,'25.8 Kayunga-Kangulumira'!M10)</f>
        <v>21.857142857142858</v>
      </c>
      <c r="N10" s="49">
        <f>AVERAGE('19.8 Kayunga-Kangulumira'!N10,'20.8 Kayunga-Kangulumira'!N10,'21.8 Kayunga-Kangulumira'!N10,'22.8 Kayunga-Kangulumira'!N10,'23.8 Kayunga-Kangulumira'!N10,'24.8 Kayunga-Kangulumira'!N10,'25.8 Kayunga-Kangulumira'!N10)</f>
        <v>0</v>
      </c>
      <c r="O10" s="15">
        <f t="shared" ref="O10:O57" si="0">SUM(C10:L10,N10)</f>
        <v>13.999999999999998</v>
      </c>
      <c r="P10" s="15">
        <f t="shared" ref="P10:P57" si="1">SUM(C10:N10)</f>
        <v>35.857142857142854</v>
      </c>
      <c r="R10" s="1" t="s">
        <v>6</v>
      </c>
      <c r="S10" s="17">
        <f t="shared" ref="S10:AF10" si="2">SUM(C10:C13)</f>
        <v>11.142857142857142</v>
      </c>
      <c r="T10" s="17">
        <f t="shared" si="2"/>
        <v>5.0285714285714285</v>
      </c>
      <c r="U10" s="17">
        <f t="shared" si="2"/>
        <v>7.5428571428571427</v>
      </c>
      <c r="V10" s="17">
        <f t="shared" si="2"/>
        <v>26.857142857142858</v>
      </c>
      <c r="W10" s="17">
        <f t="shared" si="2"/>
        <v>0.42857142857142855</v>
      </c>
      <c r="X10" s="17">
        <f t="shared" si="2"/>
        <v>0</v>
      </c>
      <c r="Y10" s="17">
        <f t="shared" si="2"/>
        <v>5.8571428571428568</v>
      </c>
      <c r="Z10" s="17">
        <f t="shared" si="2"/>
        <v>0</v>
      </c>
      <c r="AA10" s="17">
        <f t="shared" si="2"/>
        <v>0.14285714285714285</v>
      </c>
      <c r="AB10" s="17">
        <f t="shared" si="2"/>
        <v>0</v>
      </c>
      <c r="AC10" s="17">
        <f t="shared" si="2"/>
        <v>125.57142857142857</v>
      </c>
      <c r="AD10" s="17">
        <f t="shared" si="2"/>
        <v>0.14285714285714285</v>
      </c>
      <c r="AE10" s="31">
        <f t="shared" si="2"/>
        <v>57.142857142857139</v>
      </c>
      <c r="AF10" s="31">
        <f t="shared" si="2"/>
        <v>182.71428571428572</v>
      </c>
    </row>
    <row r="11" spans="2:32" s="6" customFormat="1" ht="23.1" customHeight="1" x14ac:dyDescent="0.25">
      <c r="B11" s="23" t="s">
        <v>38</v>
      </c>
      <c r="C11" s="49">
        <f>AVERAGE('19.8 Kayunga-Kangulumira'!C11,'20.8 Kayunga-Kangulumira'!C11,'21.8 Kayunga-Kangulumira'!C11,'22.8 Kayunga-Kangulumira'!C11,'23.8 Kayunga-Kangulumira'!C11,'24.8 Kayunga-Kangulumira'!C11,'25.8 Kayunga-Kangulumira'!C11)</f>
        <v>2.4285714285714284</v>
      </c>
      <c r="D11" s="49">
        <f>0.4*(AVERAGE('19.8 Kayunga-Kangulumira'!E11,'20.8 Kayunga-Kangulumira'!E11,'21.8 Kayunga-Kangulumira'!E11,'22.8 Kayunga-Kangulumira'!E11,'23.8 Kayunga-Kangulumira'!E11,'24.8 Kayunga-Kangulumira'!E11,'25.8 Kayunga-Kangulumira'!E11))</f>
        <v>1.4857142857142858</v>
      </c>
      <c r="E11" s="49">
        <f>0.6*(AVERAGE('19.8 Kayunga-Kangulumira'!E11,'20.8 Kayunga-Kangulumira'!E11,'21.8 Kayunga-Kangulumira'!E11,'22.8 Kayunga-Kangulumira'!E11,'23.8 Kayunga-Kangulumira'!E11,'24.8 Kayunga-Kangulumira'!E11,'25.8 Kayunga-Kangulumira'!E11))</f>
        <v>2.2285714285714286</v>
      </c>
      <c r="F11" s="49">
        <f>AVERAGE('19.8 Kayunga-Kangulumira'!F11,'20.8 Kayunga-Kangulumira'!F11,'21.8 Kayunga-Kangulumira'!F11,'22.8 Kayunga-Kangulumira'!F11,'23.8 Kayunga-Kangulumira'!F11,'24.8 Kayunga-Kangulumira'!F11,'25.8 Kayunga-Kangulumira'!F11)</f>
        <v>6.2857142857142856</v>
      </c>
      <c r="G11" s="49">
        <f>AVERAGE('19.8 Kayunga-Kangulumira'!G11,'20.8 Kayunga-Kangulumira'!G11,'21.8 Kayunga-Kangulumira'!G11,'22.8 Kayunga-Kangulumira'!G11,'23.8 Kayunga-Kangulumira'!G11,'24.8 Kayunga-Kangulumira'!G11,'25.8 Kayunga-Kangulumira'!G11)</f>
        <v>0.14285714285714285</v>
      </c>
      <c r="H11" s="49">
        <f>AVERAGE('19.8 Kayunga-Kangulumira'!H11,'20.8 Kayunga-Kangulumira'!H11,'21.8 Kayunga-Kangulumira'!H11,'22.8 Kayunga-Kangulumira'!H11,'23.8 Kayunga-Kangulumira'!H11,'24.8 Kayunga-Kangulumira'!H11,'25.8 Kayunga-Kangulumira'!H11)</f>
        <v>0</v>
      </c>
      <c r="I11" s="49">
        <f>AVERAGE('19.8 Kayunga-Kangulumira'!I11,'20.8 Kayunga-Kangulumira'!I11,'21.8 Kayunga-Kangulumira'!I11,'22.8 Kayunga-Kangulumira'!I11,'23.8 Kayunga-Kangulumira'!I11,'24.8 Kayunga-Kangulumira'!I11,'25.8 Kayunga-Kangulumira'!I11)</f>
        <v>1.4285714285714286</v>
      </c>
      <c r="J11" s="49">
        <f>AVERAGE('19.8 Kayunga-Kangulumira'!J11,'20.8 Kayunga-Kangulumira'!J11,'21.8 Kayunga-Kangulumira'!J11,'22.8 Kayunga-Kangulumira'!J11,'23.8 Kayunga-Kangulumira'!J11,'24.8 Kayunga-Kangulumira'!J11,'25.8 Kayunga-Kangulumira'!J11)</f>
        <v>0</v>
      </c>
      <c r="K11" s="49">
        <f>AVERAGE('19.8 Kayunga-Kangulumira'!K11,'20.8 Kayunga-Kangulumira'!K11,'21.8 Kayunga-Kangulumira'!K11,'22.8 Kayunga-Kangulumira'!K11,'23.8 Kayunga-Kangulumira'!K11,'24.8 Kayunga-Kangulumira'!K11,'25.8 Kayunga-Kangulumira'!K11)</f>
        <v>0</v>
      </c>
      <c r="L11" s="49">
        <f>AVERAGE('19.8 Kayunga-Kangulumira'!L11,'20.8 Kayunga-Kangulumira'!L11,'21.8 Kayunga-Kangulumira'!L11,'22.8 Kayunga-Kangulumira'!L11,'23.8 Kayunga-Kangulumira'!L11,'24.8 Kayunga-Kangulumira'!L11,'25.8 Kayunga-Kangulumira'!L11)</f>
        <v>0</v>
      </c>
      <c r="M11" s="49">
        <f>AVERAGE('19.8 Kayunga-Kangulumira'!M11,'20.8 Kayunga-Kangulumira'!M11,'21.8 Kayunga-Kangulumira'!M11,'22.8 Kayunga-Kangulumira'!M11,'23.8 Kayunga-Kangulumira'!M11,'24.8 Kayunga-Kangulumira'!M11,'25.8 Kayunga-Kangulumira'!M11)</f>
        <v>31.714285714285715</v>
      </c>
      <c r="N11" s="49">
        <f>AVERAGE('19.8 Kayunga-Kangulumira'!N11,'20.8 Kayunga-Kangulumira'!N11,'21.8 Kayunga-Kangulumira'!N11,'22.8 Kayunga-Kangulumira'!N11,'23.8 Kayunga-Kangulumira'!N11,'24.8 Kayunga-Kangulumira'!N11,'25.8 Kayunga-Kangulumira'!N11)</f>
        <v>0.14285714285714285</v>
      </c>
      <c r="O11" s="15">
        <f t="shared" si="0"/>
        <v>14.142857142857141</v>
      </c>
      <c r="P11" s="15">
        <f t="shared" si="1"/>
        <v>45.857142857142861</v>
      </c>
      <c r="R11" s="1" t="s">
        <v>7</v>
      </c>
      <c r="S11" s="17">
        <f t="shared" ref="S11:AF11" si="3">SUM(C14:C17)</f>
        <v>16.714285714285715</v>
      </c>
      <c r="T11" s="17">
        <f t="shared" si="3"/>
        <v>6.4571428571428573</v>
      </c>
      <c r="U11" s="17">
        <f t="shared" si="3"/>
        <v>9.6857142857142851</v>
      </c>
      <c r="V11" s="17">
        <f t="shared" si="3"/>
        <v>18.571428571428573</v>
      </c>
      <c r="W11" s="17">
        <f t="shared" si="3"/>
        <v>0.5714285714285714</v>
      </c>
      <c r="X11" s="17">
        <f t="shared" si="3"/>
        <v>0</v>
      </c>
      <c r="Y11" s="17">
        <f t="shared" si="3"/>
        <v>6.5714285714285712</v>
      </c>
      <c r="Z11" s="17">
        <f t="shared" si="3"/>
        <v>0.42857142857142855</v>
      </c>
      <c r="AA11" s="17">
        <f t="shared" si="3"/>
        <v>1.1428571428571428</v>
      </c>
      <c r="AB11" s="17">
        <f t="shared" si="3"/>
        <v>0.14285714285714285</v>
      </c>
      <c r="AC11" s="17">
        <f t="shared" si="3"/>
        <v>132.14285714285714</v>
      </c>
      <c r="AD11" s="17">
        <f t="shared" si="3"/>
        <v>0</v>
      </c>
      <c r="AE11" s="31">
        <f t="shared" si="3"/>
        <v>60.285714285714292</v>
      </c>
      <c r="AF11" s="31">
        <f t="shared" si="3"/>
        <v>192.42857142857144</v>
      </c>
    </row>
    <row r="12" spans="2:32" ht="23.1" customHeight="1" x14ac:dyDescent="0.25">
      <c r="B12" s="23" t="s">
        <v>39</v>
      </c>
      <c r="C12" s="49">
        <f>AVERAGE('19.8 Kayunga-Kangulumira'!C12,'20.8 Kayunga-Kangulumira'!C12,'21.8 Kayunga-Kangulumira'!C12,'22.8 Kayunga-Kangulumira'!C12,'23.8 Kayunga-Kangulumira'!C12,'24.8 Kayunga-Kangulumira'!C12,'25.8 Kayunga-Kangulumira'!C12)</f>
        <v>2.2857142857142856</v>
      </c>
      <c r="D12" s="49">
        <f>0.4*(AVERAGE('19.8 Kayunga-Kangulumira'!E12,'20.8 Kayunga-Kangulumira'!E12,'21.8 Kayunga-Kangulumira'!E12,'22.8 Kayunga-Kangulumira'!E12,'23.8 Kayunga-Kangulumira'!E12,'24.8 Kayunga-Kangulumira'!E12,'25.8 Kayunga-Kangulumira'!E12))</f>
        <v>0.97142857142857142</v>
      </c>
      <c r="E12" s="49">
        <f>0.6*(AVERAGE('19.8 Kayunga-Kangulumira'!E12,'20.8 Kayunga-Kangulumira'!E12,'21.8 Kayunga-Kangulumira'!E12,'22.8 Kayunga-Kangulumira'!E12,'23.8 Kayunga-Kangulumira'!E12,'24.8 Kayunga-Kangulumira'!E12,'25.8 Kayunga-Kangulumira'!E12))</f>
        <v>1.4571428571428571</v>
      </c>
      <c r="F12" s="49">
        <f>AVERAGE('19.8 Kayunga-Kangulumira'!F12,'20.8 Kayunga-Kangulumira'!F12,'21.8 Kayunga-Kangulumira'!F12,'22.8 Kayunga-Kangulumira'!F12,'23.8 Kayunga-Kangulumira'!F12,'24.8 Kayunga-Kangulumira'!F12,'25.8 Kayunga-Kangulumira'!F12)</f>
        <v>6.8571428571428568</v>
      </c>
      <c r="G12" s="49">
        <f>AVERAGE('19.8 Kayunga-Kangulumira'!G12,'20.8 Kayunga-Kangulumira'!G12,'21.8 Kayunga-Kangulumira'!G12,'22.8 Kayunga-Kangulumira'!G12,'23.8 Kayunga-Kangulumira'!G12,'24.8 Kayunga-Kangulumira'!G12,'25.8 Kayunga-Kangulumira'!G12)</f>
        <v>0</v>
      </c>
      <c r="H12" s="49">
        <f>AVERAGE('19.8 Kayunga-Kangulumira'!H12,'20.8 Kayunga-Kangulumira'!H12,'21.8 Kayunga-Kangulumira'!H12,'22.8 Kayunga-Kangulumira'!H12,'23.8 Kayunga-Kangulumira'!H12,'24.8 Kayunga-Kangulumira'!H12,'25.8 Kayunga-Kangulumira'!H12)</f>
        <v>0</v>
      </c>
      <c r="I12" s="49">
        <f>AVERAGE('19.8 Kayunga-Kangulumira'!I12,'20.8 Kayunga-Kangulumira'!I12,'21.8 Kayunga-Kangulumira'!I12,'22.8 Kayunga-Kangulumira'!I12,'23.8 Kayunga-Kangulumira'!I12,'24.8 Kayunga-Kangulumira'!I12,'25.8 Kayunga-Kangulumira'!I12)</f>
        <v>1.4285714285714286</v>
      </c>
      <c r="J12" s="49">
        <f>AVERAGE('19.8 Kayunga-Kangulumira'!J12,'20.8 Kayunga-Kangulumira'!J12,'21.8 Kayunga-Kangulumira'!J12,'22.8 Kayunga-Kangulumira'!J12,'23.8 Kayunga-Kangulumira'!J12,'24.8 Kayunga-Kangulumira'!J12,'25.8 Kayunga-Kangulumira'!J12)</f>
        <v>0</v>
      </c>
      <c r="K12" s="49">
        <f>AVERAGE('19.8 Kayunga-Kangulumira'!K12,'20.8 Kayunga-Kangulumira'!K12,'21.8 Kayunga-Kangulumira'!K12,'22.8 Kayunga-Kangulumira'!K12,'23.8 Kayunga-Kangulumira'!K12,'24.8 Kayunga-Kangulumira'!K12,'25.8 Kayunga-Kangulumira'!K12)</f>
        <v>0</v>
      </c>
      <c r="L12" s="49">
        <f>AVERAGE('19.8 Kayunga-Kangulumira'!L12,'20.8 Kayunga-Kangulumira'!L12,'21.8 Kayunga-Kangulumira'!L12,'22.8 Kayunga-Kangulumira'!L12,'23.8 Kayunga-Kangulumira'!L12,'24.8 Kayunga-Kangulumira'!L12,'25.8 Kayunga-Kangulumira'!L12)</f>
        <v>0</v>
      </c>
      <c r="M12" s="49">
        <f>AVERAGE('19.8 Kayunga-Kangulumira'!M12,'20.8 Kayunga-Kangulumira'!M12,'21.8 Kayunga-Kangulumira'!M12,'22.8 Kayunga-Kangulumira'!M12,'23.8 Kayunga-Kangulumira'!M12,'24.8 Kayunga-Kangulumira'!M12,'25.8 Kayunga-Kangulumira'!M12)</f>
        <v>33</v>
      </c>
      <c r="N12" s="49">
        <f>AVERAGE('19.8 Kayunga-Kangulumira'!N12,'20.8 Kayunga-Kangulumira'!N12,'21.8 Kayunga-Kangulumira'!N12,'22.8 Kayunga-Kangulumira'!N12,'23.8 Kayunga-Kangulumira'!N12,'24.8 Kayunga-Kangulumira'!N12,'25.8 Kayunga-Kangulumira'!N12)</f>
        <v>0</v>
      </c>
      <c r="O12" s="15">
        <f t="shared" si="0"/>
        <v>13</v>
      </c>
      <c r="P12" s="15">
        <f t="shared" si="1"/>
        <v>46</v>
      </c>
      <c r="R12" s="1" t="s">
        <v>8</v>
      </c>
      <c r="S12" s="17">
        <f t="shared" ref="S12:AF12" si="4">SUM(C18:C21)</f>
        <v>19.857142857142854</v>
      </c>
      <c r="T12" s="17">
        <f t="shared" si="4"/>
        <v>6.5714285714285721</v>
      </c>
      <c r="U12" s="17">
        <f t="shared" si="4"/>
        <v>9.8571428571428577</v>
      </c>
      <c r="V12" s="17">
        <f t="shared" si="4"/>
        <v>15.428571428571429</v>
      </c>
      <c r="W12" s="17">
        <f t="shared" si="4"/>
        <v>1.2857142857142856</v>
      </c>
      <c r="X12" s="17">
        <f t="shared" si="4"/>
        <v>0</v>
      </c>
      <c r="Y12" s="17">
        <f t="shared" si="4"/>
        <v>7.5714285714285712</v>
      </c>
      <c r="Z12" s="17">
        <f t="shared" si="4"/>
        <v>0.14285714285714285</v>
      </c>
      <c r="AA12" s="17">
        <f t="shared" si="4"/>
        <v>4</v>
      </c>
      <c r="AB12" s="17">
        <f t="shared" si="4"/>
        <v>0</v>
      </c>
      <c r="AC12" s="17">
        <f t="shared" si="4"/>
        <v>114.42857142857144</v>
      </c>
      <c r="AD12" s="17">
        <f t="shared" si="4"/>
        <v>0</v>
      </c>
      <c r="AE12" s="31">
        <f t="shared" si="4"/>
        <v>64.714285714285708</v>
      </c>
      <c r="AF12" s="31">
        <f t="shared" si="4"/>
        <v>179.14285714285714</v>
      </c>
    </row>
    <row r="13" spans="2:32" ht="23.1" customHeight="1" x14ac:dyDescent="0.25">
      <c r="B13" s="23" t="s">
        <v>40</v>
      </c>
      <c r="C13" s="49">
        <f>AVERAGE('19.8 Kayunga-Kangulumira'!C13,'20.8 Kayunga-Kangulumira'!C13,'21.8 Kayunga-Kangulumira'!C13,'22.8 Kayunga-Kangulumira'!C13,'23.8 Kayunga-Kangulumira'!C13,'24.8 Kayunga-Kangulumira'!C13,'25.8 Kayunga-Kangulumira'!C13)</f>
        <v>3.8571428571428572</v>
      </c>
      <c r="D13" s="49">
        <f>0.4*(AVERAGE('19.8 Kayunga-Kangulumira'!E13,'20.8 Kayunga-Kangulumira'!E13,'21.8 Kayunga-Kangulumira'!E13,'22.8 Kayunga-Kangulumira'!E13,'23.8 Kayunga-Kangulumira'!E13,'24.8 Kayunga-Kangulumira'!E13,'25.8 Kayunga-Kangulumira'!E13))</f>
        <v>1.6</v>
      </c>
      <c r="E13" s="49">
        <f>0.6*(AVERAGE('19.8 Kayunga-Kangulumira'!E13,'20.8 Kayunga-Kangulumira'!E13,'21.8 Kayunga-Kangulumira'!E13,'22.8 Kayunga-Kangulumira'!E13,'23.8 Kayunga-Kangulumira'!E13,'24.8 Kayunga-Kangulumira'!E13,'25.8 Kayunga-Kangulumira'!E13))</f>
        <v>2.4</v>
      </c>
      <c r="F13" s="49">
        <f>AVERAGE('19.8 Kayunga-Kangulumira'!F13,'20.8 Kayunga-Kangulumira'!F13,'21.8 Kayunga-Kangulumira'!F13,'22.8 Kayunga-Kangulumira'!F13,'23.8 Kayunga-Kangulumira'!F13,'24.8 Kayunga-Kangulumira'!F13,'25.8 Kayunga-Kangulumira'!F13)</f>
        <v>7.1428571428571432</v>
      </c>
      <c r="G13" s="49">
        <f>AVERAGE('19.8 Kayunga-Kangulumira'!G13,'20.8 Kayunga-Kangulumira'!G13,'21.8 Kayunga-Kangulumira'!G13,'22.8 Kayunga-Kangulumira'!G13,'23.8 Kayunga-Kangulumira'!G13,'24.8 Kayunga-Kangulumira'!G13,'25.8 Kayunga-Kangulumira'!G13)</f>
        <v>0.14285714285714285</v>
      </c>
      <c r="H13" s="49">
        <f>AVERAGE('19.8 Kayunga-Kangulumira'!H13,'20.8 Kayunga-Kangulumira'!H13,'21.8 Kayunga-Kangulumira'!H13,'22.8 Kayunga-Kangulumira'!H13,'23.8 Kayunga-Kangulumira'!H13,'24.8 Kayunga-Kangulumira'!H13,'25.8 Kayunga-Kangulumira'!H13)</f>
        <v>0</v>
      </c>
      <c r="I13" s="49">
        <f>AVERAGE('19.8 Kayunga-Kangulumira'!I13,'20.8 Kayunga-Kangulumira'!I13,'21.8 Kayunga-Kangulumira'!I13,'22.8 Kayunga-Kangulumira'!I13,'23.8 Kayunga-Kangulumira'!I13,'24.8 Kayunga-Kangulumira'!I13,'25.8 Kayunga-Kangulumira'!I13)</f>
        <v>0.8571428571428571</v>
      </c>
      <c r="J13" s="49">
        <f>AVERAGE('19.8 Kayunga-Kangulumira'!J13,'20.8 Kayunga-Kangulumira'!J13,'21.8 Kayunga-Kangulumira'!J13,'22.8 Kayunga-Kangulumira'!J13,'23.8 Kayunga-Kangulumira'!J13,'24.8 Kayunga-Kangulumira'!J13,'25.8 Kayunga-Kangulumira'!J13)</f>
        <v>0</v>
      </c>
      <c r="K13" s="49">
        <f>AVERAGE('19.8 Kayunga-Kangulumira'!K13,'20.8 Kayunga-Kangulumira'!K13,'21.8 Kayunga-Kangulumira'!K13,'22.8 Kayunga-Kangulumira'!K13,'23.8 Kayunga-Kangulumira'!K13,'24.8 Kayunga-Kangulumira'!K13,'25.8 Kayunga-Kangulumira'!K13)</f>
        <v>0</v>
      </c>
      <c r="L13" s="49">
        <f>AVERAGE('19.8 Kayunga-Kangulumira'!L13,'20.8 Kayunga-Kangulumira'!L13,'21.8 Kayunga-Kangulumira'!L13,'22.8 Kayunga-Kangulumira'!L13,'23.8 Kayunga-Kangulumira'!L13,'24.8 Kayunga-Kangulumira'!L13,'25.8 Kayunga-Kangulumira'!L13)</f>
        <v>0</v>
      </c>
      <c r="M13" s="49">
        <f>AVERAGE('19.8 Kayunga-Kangulumira'!M13,'20.8 Kayunga-Kangulumira'!M13,'21.8 Kayunga-Kangulumira'!M13,'22.8 Kayunga-Kangulumira'!M13,'23.8 Kayunga-Kangulumira'!M13,'24.8 Kayunga-Kangulumira'!M13,'25.8 Kayunga-Kangulumira'!M13)</f>
        <v>39</v>
      </c>
      <c r="N13" s="49">
        <f>AVERAGE('19.8 Kayunga-Kangulumira'!N13,'20.8 Kayunga-Kangulumira'!N13,'21.8 Kayunga-Kangulumira'!N13,'22.8 Kayunga-Kangulumira'!N13,'23.8 Kayunga-Kangulumira'!N13,'24.8 Kayunga-Kangulumira'!N13,'25.8 Kayunga-Kangulumira'!N13)</f>
        <v>0</v>
      </c>
      <c r="O13" s="15">
        <f t="shared" si="0"/>
        <v>16</v>
      </c>
      <c r="P13" s="15">
        <f t="shared" si="1"/>
        <v>55</v>
      </c>
      <c r="R13" s="1" t="s">
        <v>9</v>
      </c>
      <c r="S13" s="17">
        <f t="shared" ref="S13:AF13" si="5">SUM(C22:C25)</f>
        <v>20</v>
      </c>
      <c r="T13" s="17">
        <f t="shared" si="5"/>
        <v>7.0857142857142863</v>
      </c>
      <c r="U13" s="17">
        <f t="shared" si="5"/>
        <v>10.628571428571428</v>
      </c>
      <c r="V13" s="17">
        <f t="shared" si="5"/>
        <v>16.428571428571431</v>
      </c>
      <c r="W13" s="17">
        <f t="shared" si="5"/>
        <v>0.99999999999999989</v>
      </c>
      <c r="X13" s="17">
        <f t="shared" si="5"/>
        <v>0.71428571428571419</v>
      </c>
      <c r="Y13" s="17">
        <f t="shared" si="5"/>
        <v>8.1428571428571423</v>
      </c>
      <c r="Z13" s="17">
        <f t="shared" si="5"/>
        <v>1</v>
      </c>
      <c r="AA13" s="17">
        <f t="shared" si="5"/>
        <v>2</v>
      </c>
      <c r="AB13" s="17">
        <f t="shared" si="5"/>
        <v>0.71428571428571419</v>
      </c>
      <c r="AC13" s="17">
        <f t="shared" si="5"/>
        <v>101.85714285714286</v>
      </c>
      <c r="AD13" s="17">
        <f t="shared" si="5"/>
        <v>0</v>
      </c>
      <c r="AE13" s="31">
        <f t="shared" si="5"/>
        <v>67.714285714285722</v>
      </c>
      <c r="AF13" s="31">
        <f t="shared" si="5"/>
        <v>169.57142857142856</v>
      </c>
    </row>
    <row r="14" spans="2:32" ht="23.1" customHeight="1" x14ac:dyDescent="0.25">
      <c r="B14" s="23" t="s">
        <v>41</v>
      </c>
      <c r="C14" s="49">
        <f>AVERAGE('19.8 Kayunga-Kangulumira'!C14,'20.8 Kayunga-Kangulumira'!C14,'21.8 Kayunga-Kangulumira'!C14,'22.8 Kayunga-Kangulumira'!C14,'23.8 Kayunga-Kangulumira'!C14,'24.8 Kayunga-Kangulumira'!C14,'25.8 Kayunga-Kangulumira'!C14)</f>
        <v>4.7142857142857144</v>
      </c>
      <c r="D14" s="49">
        <f>0.4*(AVERAGE('19.8 Kayunga-Kangulumira'!E14,'20.8 Kayunga-Kangulumira'!E14,'21.8 Kayunga-Kangulumira'!E14,'22.8 Kayunga-Kangulumira'!E14,'23.8 Kayunga-Kangulumira'!E14,'24.8 Kayunga-Kangulumira'!E14,'25.8 Kayunga-Kangulumira'!E14))</f>
        <v>1.4857142857142858</v>
      </c>
      <c r="E14" s="49">
        <f>0.6*(AVERAGE('19.8 Kayunga-Kangulumira'!E14,'20.8 Kayunga-Kangulumira'!E14,'21.8 Kayunga-Kangulumira'!E14,'22.8 Kayunga-Kangulumira'!E14,'23.8 Kayunga-Kangulumira'!E14,'24.8 Kayunga-Kangulumira'!E14,'25.8 Kayunga-Kangulumira'!E14))</f>
        <v>2.2285714285714286</v>
      </c>
      <c r="F14" s="49">
        <f>AVERAGE('19.8 Kayunga-Kangulumira'!F14,'20.8 Kayunga-Kangulumira'!F14,'21.8 Kayunga-Kangulumira'!F14,'22.8 Kayunga-Kangulumira'!F14,'23.8 Kayunga-Kangulumira'!F14,'24.8 Kayunga-Kangulumira'!F14,'25.8 Kayunga-Kangulumira'!F14)</f>
        <v>5.2857142857142856</v>
      </c>
      <c r="G14" s="49">
        <f>AVERAGE('19.8 Kayunga-Kangulumira'!G14,'20.8 Kayunga-Kangulumira'!G14,'21.8 Kayunga-Kangulumira'!G14,'22.8 Kayunga-Kangulumira'!G14,'23.8 Kayunga-Kangulumira'!G14,'24.8 Kayunga-Kangulumira'!G14,'25.8 Kayunga-Kangulumira'!G14)</f>
        <v>0.2857142857142857</v>
      </c>
      <c r="H14" s="49">
        <f>AVERAGE('19.8 Kayunga-Kangulumira'!H14,'20.8 Kayunga-Kangulumira'!H14,'21.8 Kayunga-Kangulumira'!H14,'22.8 Kayunga-Kangulumira'!H14,'23.8 Kayunga-Kangulumira'!H14,'24.8 Kayunga-Kangulumira'!H14,'25.8 Kayunga-Kangulumira'!H14)</f>
        <v>0</v>
      </c>
      <c r="I14" s="49">
        <f>AVERAGE('19.8 Kayunga-Kangulumira'!I14,'20.8 Kayunga-Kangulumira'!I14,'21.8 Kayunga-Kangulumira'!I14,'22.8 Kayunga-Kangulumira'!I14,'23.8 Kayunga-Kangulumira'!I14,'24.8 Kayunga-Kangulumira'!I14,'25.8 Kayunga-Kangulumira'!I14)</f>
        <v>1.8571428571428572</v>
      </c>
      <c r="J14" s="49">
        <f>AVERAGE('19.8 Kayunga-Kangulumira'!J14,'20.8 Kayunga-Kangulumira'!J14,'21.8 Kayunga-Kangulumira'!J14,'22.8 Kayunga-Kangulumira'!J14,'23.8 Kayunga-Kangulumira'!J14,'24.8 Kayunga-Kangulumira'!J14,'25.8 Kayunga-Kangulumira'!J14)</f>
        <v>0.14285714285714285</v>
      </c>
      <c r="K14" s="49">
        <f>AVERAGE('19.8 Kayunga-Kangulumira'!K14,'20.8 Kayunga-Kangulumira'!K14,'21.8 Kayunga-Kangulumira'!K14,'22.8 Kayunga-Kangulumira'!K14,'23.8 Kayunga-Kangulumira'!K14,'24.8 Kayunga-Kangulumira'!K14,'25.8 Kayunga-Kangulumira'!K14)</f>
        <v>0</v>
      </c>
      <c r="L14" s="49">
        <f>AVERAGE('19.8 Kayunga-Kangulumira'!L14,'20.8 Kayunga-Kangulumira'!L14,'21.8 Kayunga-Kangulumira'!L14,'22.8 Kayunga-Kangulumira'!L14,'23.8 Kayunga-Kangulumira'!L14,'24.8 Kayunga-Kangulumira'!L14,'25.8 Kayunga-Kangulumira'!L14)</f>
        <v>0</v>
      </c>
      <c r="M14" s="49">
        <f>AVERAGE('19.8 Kayunga-Kangulumira'!M14,'20.8 Kayunga-Kangulumira'!M14,'21.8 Kayunga-Kangulumira'!M14,'22.8 Kayunga-Kangulumira'!M14,'23.8 Kayunga-Kangulumira'!M14,'24.8 Kayunga-Kangulumira'!M14,'25.8 Kayunga-Kangulumira'!M14)</f>
        <v>34.714285714285715</v>
      </c>
      <c r="N14" s="49">
        <f>AVERAGE('19.8 Kayunga-Kangulumira'!N14,'20.8 Kayunga-Kangulumira'!N14,'21.8 Kayunga-Kangulumira'!N14,'22.8 Kayunga-Kangulumira'!N14,'23.8 Kayunga-Kangulumira'!N14,'24.8 Kayunga-Kangulumira'!N14,'25.8 Kayunga-Kangulumira'!N14)</f>
        <v>0</v>
      </c>
      <c r="O14" s="15">
        <f t="shared" si="0"/>
        <v>16.000000000000004</v>
      </c>
      <c r="P14" s="15">
        <f t="shared" si="1"/>
        <v>50.714285714285722</v>
      </c>
      <c r="R14" s="1" t="s">
        <v>10</v>
      </c>
      <c r="S14" s="17">
        <f t="shared" ref="S14:AF14" si="6">SUM(C26:C29)</f>
        <v>20.714285714285715</v>
      </c>
      <c r="T14" s="17">
        <f t="shared" si="6"/>
        <v>8.1142857142857157</v>
      </c>
      <c r="U14" s="17">
        <f t="shared" si="6"/>
        <v>12.171428571428571</v>
      </c>
      <c r="V14" s="17">
        <f t="shared" si="6"/>
        <v>18</v>
      </c>
      <c r="W14" s="17">
        <f t="shared" si="6"/>
        <v>0.85714285714285698</v>
      </c>
      <c r="X14" s="17">
        <f t="shared" si="6"/>
        <v>0.2857142857142857</v>
      </c>
      <c r="Y14" s="17">
        <f t="shared" si="6"/>
        <v>10.571428571428573</v>
      </c>
      <c r="Z14" s="17">
        <f t="shared" si="6"/>
        <v>0.42857142857142855</v>
      </c>
      <c r="AA14" s="17">
        <f t="shared" si="6"/>
        <v>1.1428571428571428</v>
      </c>
      <c r="AB14" s="17">
        <f t="shared" si="6"/>
        <v>0.42857142857142855</v>
      </c>
      <c r="AC14" s="17">
        <f t="shared" si="6"/>
        <v>103.85714285714286</v>
      </c>
      <c r="AD14" s="17">
        <f t="shared" si="6"/>
        <v>0.2857142857142857</v>
      </c>
      <c r="AE14" s="31">
        <f t="shared" si="6"/>
        <v>72.999999999999986</v>
      </c>
      <c r="AF14" s="31">
        <f t="shared" si="6"/>
        <v>176.85714285714286</v>
      </c>
    </row>
    <row r="15" spans="2:32" ht="23.1" customHeight="1" x14ac:dyDescent="0.25">
      <c r="B15" s="23" t="s">
        <v>42</v>
      </c>
      <c r="C15" s="49">
        <f>AVERAGE('19.8 Kayunga-Kangulumira'!C15,'20.8 Kayunga-Kangulumira'!C15,'21.8 Kayunga-Kangulumira'!C15,'22.8 Kayunga-Kangulumira'!C15,'23.8 Kayunga-Kangulumira'!C15,'24.8 Kayunga-Kangulumira'!C15,'25.8 Kayunga-Kangulumira'!C15)</f>
        <v>4</v>
      </c>
      <c r="D15" s="49">
        <f>0.4*(AVERAGE('19.8 Kayunga-Kangulumira'!E15,'20.8 Kayunga-Kangulumira'!E15,'21.8 Kayunga-Kangulumira'!E15,'22.8 Kayunga-Kangulumira'!E15,'23.8 Kayunga-Kangulumira'!E15,'24.8 Kayunga-Kangulumira'!E15,'25.8 Kayunga-Kangulumira'!E15))</f>
        <v>1.2571428571428571</v>
      </c>
      <c r="E15" s="49">
        <f>0.6*(AVERAGE('19.8 Kayunga-Kangulumira'!E15,'20.8 Kayunga-Kangulumira'!E15,'21.8 Kayunga-Kangulumira'!E15,'22.8 Kayunga-Kangulumira'!E15,'23.8 Kayunga-Kangulumira'!E15,'24.8 Kayunga-Kangulumira'!E15,'25.8 Kayunga-Kangulumira'!E15))</f>
        <v>1.8857142857142857</v>
      </c>
      <c r="F15" s="49">
        <f>AVERAGE('19.8 Kayunga-Kangulumira'!F15,'20.8 Kayunga-Kangulumira'!F15,'21.8 Kayunga-Kangulumira'!F15,'22.8 Kayunga-Kangulumira'!F15,'23.8 Kayunga-Kangulumira'!F15,'24.8 Kayunga-Kangulumira'!F15,'25.8 Kayunga-Kangulumira'!F15)</f>
        <v>4.4285714285714288</v>
      </c>
      <c r="G15" s="49">
        <f>AVERAGE('19.8 Kayunga-Kangulumira'!G15,'20.8 Kayunga-Kangulumira'!G15,'21.8 Kayunga-Kangulumira'!G15,'22.8 Kayunga-Kangulumira'!G15,'23.8 Kayunga-Kangulumira'!G15,'24.8 Kayunga-Kangulumira'!G15,'25.8 Kayunga-Kangulumira'!G15)</f>
        <v>0.14285714285714285</v>
      </c>
      <c r="H15" s="49">
        <f>AVERAGE('19.8 Kayunga-Kangulumira'!H15,'20.8 Kayunga-Kangulumira'!H15,'21.8 Kayunga-Kangulumira'!H15,'22.8 Kayunga-Kangulumira'!H15,'23.8 Kayunga-Kangulumira'!H15,'24.8 Kayunga-Kangulumira'!H15,'25.8 Kayunga-Kangulumira'!H15)</f>
        <v>0</v>
      </c>
      <c r="I15" s="49">
        <f>AVERAGE('19.8 Kayunga-Kangulumira'!I15,'20.8 Kayunga-Kangulumira'!I15,'21.8 Kayunga-Kangulumira'!I15,'22.8 Kayunga-Kangulumira'!I15,'23.8 Kayunga-Kangulumira'!I15,'24.8 Kayunga-Kangulumira'!I15,'25.8 Kayunga-Kangulumira'!I15)</f>
        <v>1.5714285714285714</v>
      </c>
      <c r="J15" s="49">
        <f>AVERAGE('19.8 Kayunga-Kangulumira'!J15,'20.8 Kayunga-Kangulumira'!J15,'21.8 Kayunga-Kangulumira'!J15,'22.8 Kayunga-Kangulumira'!J15,'23.8 Kayunga-Kangulumira'!J15,'24.8 Kayunga-Kangulumira'!J15,'25.8 Kayunga-Kangulumira'!J15)</f>
        <v>0</v>
      </c>
      <c r="K15" s="49">
        <f>AVERAGE('19.8 Kayunga-Kangulumira'!K15,'20.8 Kayunga-Kangulumira'!K15,'21.8 Kayunga-Kangulumira'!K15,'22.8 Kayunga-Kangulumira'!K15,'23.8 Kayunga-Kangulumira'!K15,'24.8 Kayunga-Kangulumira'!K15,'25.8 Kayunga-Kangulumira'!K15)</f>
        <v>0</v>
      </c>
      <c r="L15" s="49">
        <f>AVERAGE('19.8 Kayunga-Kangulumira'!L15,'20.8 Kayunga-Kangulumira'!L15,'21.8 Kayunga-Kangulumira'!L15,'22.8 Kayunga-Kangulumira'!L15,'23.8 Kayunga-Kangulumira'!L15,'24.8 Kayunga-Kangulumira'!L15,'25.8 Kayunga-Kangulumira'!L15)</f>
        <v>0</v>
      </c>
      <c r="M15" s="49">
        <f>AVERAGE('19.8 Kayunga-Kangulumira'!M15,'20.8 Kayunga-Kangulumira'!M15,'21.8 Kayunga-Kangulumira'!M15,'22.8 Kayunga-Kangulumira'!M15,'23.8 Kayunga-Kangulumira'!M15,'24.8 Kayunga-Kangulumira'!M15,'25.8 Kayunga-Kangulumira'!M15)</f>
        <v>36.142857142857146</v>
      </c>
      <c r="N15" s="49">
        <f>AVERAGE('19.8 Kayunga-Kangulumira'!N15,'20.8 Kayunga-Kangulumira'!N15,'21.8 Kayunga-Kangulumira'!N15,'22.8 Kayunga-Kangulumira'!N15,'23.8 Kayunga-Kangulumira'!N15,'24.8 Kayunga-Kangulumira'!N15,'25.8 Kayunga-Kangulumira'!N15)</f>
        <v>0</v>
      </c>
      <c r="O15" s="15">
        <f t="shared" si="0"/>
        <v>13.285714285714285</v>
      </c>
      <c r="P15" s="15">
        <f t="shared" si="1"/>
        <v>49.428571428571431</v>
      </c>
      <c r="R15" s="1" t="s">
        <v>11</v>
      </c>
      <c r="S15" s="17">
        <f t="shared" ref="S15:AF15" si="7">SUM(C30:C33)</f>
        <v>24</v>
      </c>
      <c r="T15" s="17">
        <f t="shared" si="7"/>
        <v>8.1142857142857139</v>
      </c>
      <c r="U15" s="17">
        <f t="shared" si="7"/>
        <v>12.171428571428571</v>
      </c>
      <c r="V15" s="17">
        <f t="shared" si="7"/>
        <v>17.285714285714285</v>
      </c>
      <c r="W15" s="17">
        <f t="shared" si="7"/>
        <v>2.4285714285714284</v>
      </c>
      <c r="X15" s="17">
        <f t="shared" si="7"/>
        <v>0.2857142857142857</v>
      </c>
      <c r="Y15" s="17">
        <f t="shared" si="7"/>
        <v>14.571428571428571</v>
      </c>
      <c r="Z15" s="17">
        <f t="shared" si="7"/>
        <v>1</v>
      </c>
      <c r="AA15" s="17">
        <f t="shared" si="7"/>
        <v>1.2857142857142856</v>
      </c>
      <c r="AB15" s="17">
        <f t="shared" si="7"/>
        <v>0.5714285714285714</v>
      </c>
      <c r="AC15" s="17">
        <f t="shared" si="7"/>
        <v>103.85714285714286</v>
      </c>
      <c r="AD15" s="17">
        <f t="shared" si="7"/>
        <v>0</v>
      </c>
      <c r="AE15" s="31">
        <f t="shared" si="7"/>
        <v>81.714285714285708</v>
      </c>
      <c r="AF15" s="31">
        <f t="shared" si="7"/>
        <v>185.57142857142856</v>
      </c>
    </row>
    <row r="16" spans="2:32" ht="23.1" customHeight="1" x14ac:dyDescent="0.25">
      <c r="B16" s="23" t="s">
        <v>43</v>
      </c>
      <c r="C16" s="49">
        <f>AVERAGE('19.8 Kayunga-Kangulumira'!C16,'20.8 Kayunga-Kangulumira'!C16,'21.8 Kayunga-Kangulumira'!C16,'22.8 Kayunga-Kangulumira'!C16,'23.8 Kayunga-Kangulumira'!C16,'24.8 Kayunga-Kangulumira'!C16,'25.8 Kayunga-Kangulumira'!C16)</f>
        <v>4.1428571428571432</v>
      </c>
      <c r="D16" s="49">
        <f>0.4*(AVERAGE('19.8 Kayunga-Kangulumira'!E16,'20.8 Kayunga-Kangulumira'!E16,'21.8 Kayunga-Kangulumira'!E16,'22.8 Kayunga-Kangulumira'!E16,'23.8 Kayunga-Kangulumira'!E16,'24.8 Kayunga-Kangulumira'!E16,'25.8 Kayunga-Kangulumira'!E16))</f>
        <v>1.6</v>
      </c>
      <c r="E16" s="49">
        <f>0.6*(AVERAGE('19.8 Kayunga-Kangulumira'!E16,'20.8 Kayunga-Kangulumira'!E16,'21.8 Kayunga-Kangulumira'!E16,'22.8 Kayunga-Kangulumira'!E16,'23.8 Kayunga-Kangulumira'!E16,'24.8 Kayunga-Kangulumira'!E16,'25.8 Kayunga-Kangulumira'!E16))</f>
        <v>2.4</v>
      </c>
      <c r="F16" s="49">
        <f>AVERAGE('19.8 Kayunga-Kangulumira'!F16,'20.8 Kayunga-Kangulumira'!F16,'21.8 Kayunga-Kangulumira'!F16,'22.8 Kayunga-Kangulumira'!F16,'23.8 Kayunga-Kangulumira'!F16,'24.8 Kayunga-Kangulumira'!F16,'25.8 Kayunga-Kangulumira'!F16)</f>
        <v>5.7142857142857144</v>
      </c>
      <c r="G16" s="49">
        <f>AVERAGE('19.8 Kayunga-Kangulumira'!G16,'20.8 Kayunga-Kangulumira'!G16,'21.8 Kayunga-Kangulumira'!G16,'22.8 Kayunga-Kangulumira'!G16,'23.8 Kayunga-Kangulumira'!G16,'24.8 Kayunga-Kangulumira'!G16,'25.8 Kayunga-Kangulumira'!G16)</f>
        <v>0</v>
      </c>
      <c r="H16" s="49">
        <f>AVERAGE('19.8 Kayunga-Kangulumira'!H16,'20.8 Kayunga-Kangulumira'!H16,'21.8 Kayunga-Kangulumira'!H16,'22.8 Kayunga-Kangulumira'!H16,'23.8 Kayunga-Kangulumira'!H16,'24.8 Kayunga-Kangulumira'!H16,'25.8 Kayunga-Kangulumira'!H16)</f>
        <v>0</v>
      </c>
      <c r="I16" s="49">
        <f>AVERAGE('19.8 Kayunga-Kangulumira'!I16,'20.8 Kayunga-Kangulumira'!I16,'21.8 Kayunga-Kangulumira'!I16,'22.8 Kayunga-Kangulumira'!I16,'23.8 Kayunga-Kangulumira'!I16,'24.8 Kayunga-Kangulumira'!I16,'25.8 Kayunga-Kangulumira'!I16)</f>
        <v>1.2857142857142858</v>
      </c>
      <c r="J16" s="49">
        <f>AVERAGE('19.8 Kayunga-Kangulumira'!J16,'20.8 Kayunga-Kangulumira'!J16,'21.8 Kayunga-Kangulumira'!J16,'22.8 Kayunga-Kangulumira'!J16,'23.8 Kayunga-Kangulumira'!J16,'24.8 Kayunga-Kangulumira'!J16,'25.8 Kayunga-Kangulumira'!J16)</f>
        <v>0.2857142857142857</v>
      </c>
      <c r="K16" s="49">
        <f>AVERAGE('19.8 Kayunga-Kangulumira'!K16,'20.8 Kayunga-Kangulumira'!K16,'21.8 Kayunga-Kangulumira'!K16,'22.8 Kayunga-Kangulumira'!K16,'23.8 Kayunga-Kangulumira'!K16,'24.8 Kayunga-Kangulumira'!K16,'25.8 Kayunga-Kangulumira'!K16)</f>
        <v>0.5714285714285714</v>
      </c>
      <c r="L16" s="49">
        <f>AVERAGE('19.8 Kayunga-Kangulumira'!L16,'20.8 Kayunga-Kangulumira'!L16,'21.8 Kayunga-Kangulumira'!L16,'22.8 Kayunga-Kangulumira'!L16,'23.8 Kayunga-Kangulumira'!L16,'24.8 Kayunga-Kangulumira'!L16,'25.8 Kayunga-Kangulumira'!L16)</f>
        <v>0</v>
      </c>
      <c r="M16" s="49">
        <f>AVERAGE('19.8 Kayunga-Kangulumira'!M16,'20.8 Kayunga-Kangulumira'!M16,'21.8 Kayunga-Kangulumira'!M16,'22.8 Kayunga-Kangulumira'!M16,'23.8 Kayunga-Kangulumira'!M16,'24.8 Kayunga-Kangulumira'!M16,'25.8 Kayunga-Kangulumira'!M16)</f>
        <v>31.285714285714285</v>
      </c>
      <c r="N16" s="49">
        <f>AVERAGE('19.8 Kayunga-Kangulumira'!N16,'20.8 Kayunga-Kangulumira'!N16,'21.8 Kayunga-Kangulumira'!N16,'22.8 Kayunga-Kangulumira'!N16,'23.8 Kayunga-Kangulumira'!N16,'24.8 Kayunga-Kangulumira'!N16,'25.8 Kayunga-Kangulumira'!N16)</f>
        <v>0</v>
      </c>
      <c r="O16" s="15">
        <f t="shared" si="0"/>
        <v>16.000000000000004</v>
      </c>
      <c r="P16" s="15">
        <f t="shared" si="1"/>
        <v>47.285714285714292</v>
      </c>
      <c r="R16" s="1" t="s">
        <v>12</v>
      </c>
      <c r="S16" s="17">
        <f t="shared" ref="S16:AF16" si="8">SUM(C34:C37)</f>
        <v>19.142857142857142</v>
      </c>
      <c r="T16" s="17">
        <f t="shared" si="8"/>
        <v>6.8000000000000007</v>
      </c>
      <c r="U16" s="17">
        <f t="shared" si="8"/>
        <v>10.199999999999999</v>
      </c>
      <c r="V16" s="17">
        <f t="shared" si="8"/>
        <v>17.285714285714285</v>
      </c>
      <c r="W16" s="17">
        <f t="shared" si="8"/>
        <v>1.4285714285714286</v>
      </c>
      <c r="X16" s="17">
        <f t="shared" si="8"/>
        <v>0</v>
      </c>
      <c r="Y16" s="17">
        <f t="shared" si="8"/>
        <v>12.571428571428571</v>
      </c>
      <c r="Z16" s="17">
        <f t="shared" si="8"/>
        <v>1</v>
      </c>
      <c r="AA16" s="17">
        <f t="shared" si="8"/>
        <v>1.4285714285714284</v>
      </c>
      <c r="AB16" s="17">
        <f t="shared" si="8"/>
        <v>1.2857142857142856</v>
      </c>
      <c r="AC16" s="17">
        <f t="shared" si="8"/>
        <v>98.571428571428584</v>
      </c>
      <c r="AD16" s="17">
        <f t="shared" si="8"/>
        <v>0</v>
      </c>
      <c r="AE16" s="31">
        <f t="shared" si="8"/>
        <v>71.142857142857139</v>
      </c>
      <c r="AF16" s="31">
        <f t="shared" si="8"/>
        <v>169.71428571428572</v>
      </c>
    </row>
    <row r="17" spans="2:32" ht="23.1" customHeight="1" x14ac:dyDescent="0.25">
      <c r="B17" s="23" t="s">
        <v>44</v>
      </c>
      <c r="C17" s="49">
        <f>AVERAGE('19.8 Kayunga-Kangulumira'!C17,'20.8 Kayunga-Kangulumira'!C17,'21.8 Kayunga-Kangulumira'!C17,'22.8 Kayunga-Kangulumira'!C17,'23.8 Kayunga-Kangulumira'!C17,'24.8 Kayunga-Kangulumira'!C17,'25.8 Kayunga-Kangulumira'!C17)</f>
        <v>3.8571428571428572</v>
      </c>
      <c r="D17" s="49">
        <f>0.4*(AVERAGE('19.8 Kayunga-Kangulumira'!E17,'20.8 Kayunga-Kangulumira'!E17,'21.8 Kayunga-Kangulumira'!E17,'22.8 Kayunga-Kangulumira'!E17,'23.8 Kayunga-Kangulumira'!E17,'24.8 Kayunga-Kangulumira'!E17,'25.8 Kayunga-Kangulumira'!E17))</f>
        <v>2.1142857142857143</v>
      </c>
      <c r="E17" s="49">
        <f>0.6*(AVERAGE('19.8 Kayunga-Kangulumira'!E17,'20.8 Kayunga-Kangulumira'!E17,'21.8 Kayunga-Kangulumira'!E17,'22.8 Kayunga-Kangulumira'!E17,'23.8 Kayunga-Kangulumira'!E17,'24.8 Kayunga-Kangulumira'!E17,'25.8 Kayunga-Kangulumira'!E17))</f>
        <v>3.1714285714285713</v>
      </c>
      <c r="F17" s="49">
        <f>AVERAGE('19.8 Kayunga-Kangulumira'!F17,'20.8 Kayunga-Kangulumira'!F17,'21.8 Kayunga-Kangulumira'!F17,'22.8 Kayunga-Kangulumira'!F17,'23.8 Kayunga-Kangulumira'!F17,'24.8 Kayunga-Kangulumira'!F17,'25.8 Kayunga-Kangulumira'!F17)</f>
        <v>3.1428571428571428</v>
      </c>
      <c r="G17" s="49">
        <f>AVERAGE('19.8 Kayunga-Kangulumira'!G17,'20.8 Kayunga-Kangulumira'!G17,'21.8 Kayunga-Kangulumira'!G17,'22.8 Kayunga-Kangulumira'!G17,'23.8 Kayunga-Kangulumira'!G17,'24.8 Kayunga-Kangulumira'!G17,'25.8 Kayunga-Kangulumira'!G17)</f>
        <v>0.14285714285714285</v>
      </c>
      <c r="H17" s="49">
        <f>AVERAGE('19.8 Kayunga-Kangulumira'!H17,'20.8 Kayunga-Kangulumira'!H17,'21.8 Kayunga-Kangulumira'!H17,'22.8 Kayunga-Kangulumira'!H17,'23.8 Kayunga-Kangulumira'!H17,'24.8 Kayunga-Kangulumira'!H17,'25.8 Kayunga-Kangulumira'!H17)</f>
        <v>0</v>
      </c>
      <c r="I17" s="49">
        <f>AVERAGE('19.8 Kayunga-Kangulumira'!I17,'20.8 Kayunga-Kangulumira'!I17,'21.8 Kayunga-Kangulumira'!I17,'22.8 Kayunga-Kangulumira'!I17,'23.8 Kayunga-Kangulumira'!I17,'24.8 Kayunga-Kangulumira'!I17,'25.8 Kayunga-Kangulumira'!I17)</f>
        <v>1.8571428571428572</v>
      </c>
      <c r="J17" s="49">
        <f>AVERAGE('19.8 Kayunga-Kangulumira'!J17,'20.8 Kayunga-Kangulumira'!J17,'21.8 Kayunga-Kangulumira'!J17,'22.8 Kayunga-Kangulumira'!J17,'23.8 Kayunga-Kangulumira'!J17,'24.8 Kayunga-Kangulumira'!J17,'25.8 Kayunga-Kangulumira'!J17)</f>
        <v>0</v>
      </c>
      <c r="K17" s="49">
        <f>AVERAGE('19.8 Kayunga-Kangulumira'!K17,'20.8 Kayunga-Kangulumira'!K17,'21.8 Kayunga-Kangulumira'!K17,'22.8 Kayunga-Kangulumira'!K17,'23.8 Kayunga-Kangulumira'!K17,'24.8 Kayunga-Kangulumira'!K17,'25.8 Kayunga-Kangulumira'!K17)</f>
        <v>0.5714285714285714</v>
      </c>
      <c r="L17" s="49">
        <f>AVERAGE('19.8 Kayunga-Kangulumira'!L17,'20.8 Kayunga-Kangulumira'!L17,'21.8 Kayunga-Kangulumira'!L17,'22.8 Kayunga-Kangulumira'!L17,'23.8 Kayunga-Kangulumira'!L17,'24.8 Kayunga-Kangulumira'!L17,'25.8 Kayunga-Kangulumira'!L17)</f>
        <v>0.14285714285714285</v>
      </c>
      <c r="M17" s="49">
        <f>AVERAGE('19.8 Kayunga-Kangulumira'!M17,'20.8 Kayunga-Kangulumira'!M17,'21.8 Kayunga-Kangulumira'!M17,'22.8 Kayunga-Kangulumira'!M17,'23.8 Kayunga-Kangulumira'!M17,'24.8 Kayunga-Kangulumira'!M17,'25.8 Kayunga-Kangulumira'!M17)</f>
        <v>30</v>
      </c>
      <c r="N17" s="49">
        <f>AVERAGE('19.8 Kayunga-Kangulumira'!N17,'20.8 Kayunga-Kangulumira'!N17,'21.8 Kayunga-Kangulumira'!N17,'22.8 Kayunga-Kangulumira'!N17,'23.8 Kayunga-Kangulumira'!N17,'24.8 Kayunga-Kangulumira'!N17,'25.8 Kayunga-Kangulumira'!N17)</f>
        <v>0</v>
      </c>
      <c r="O17" s="15">
        <f t="shared" si="0"/>
        <v>14.999999999999998</v>
      </c>
      <c r="P17" s="15">
        <f t="shared" si="1"/>
        <v>45</v>
      </c>
      <c r="R17" s="1" t="s">
        <v>13</v>
      </c>
      <c r="S17" s="17">
        <f t="shared" ref="S17:AF17" si="9">SUM(C38:C41)</f>
        <v>20.571428571428569</v>
      </c>
      <c r="T17" s="17">
        <f t="shared" si="9"/>
        <v>7.8285714285714283</v>
      </c>
      <c r="U17" s="17">
        <f t="shared" si="9"/>
        <v>11.742857142857142</v>
      </c>
      <c r="V17" s="17">
        <f t="shared" si="9"/>
        <v>15.428571428571429</v>
      </c>
      <c r="W17" s="17">
        <f t="shared" si="9"/>
        <v>0.71428571428571419</v>
      </c>
      <c r="X17" s="17">
        <f t="shared" si="9"/>
        <v>0.14285714285714285</v>
      </c>
      <c r="Y17" s="17">
        <f t="shared" si="9"/>
        <v>12.857142857142858</v>
      </c>
      <c r="Z17" s="17">
        <f t="shared" si="9"/>
        <v>1.1428571428571428</v>
      </c>
      <c r="AA17" s="17">
        <f t="shared" si="9"/>
        <v>2</v>
      </c>
      <c r="AB17" s="17">
        <f t="shared" si="9"/>
        <v>2.2857142857142856</v>
      </c>
      <c r="AC17" s="17">
        <f t="shared" si="9"/>
        <v>91.714285714285708</v>
      </c>
      <c r="AD17" s="17">
        <f t="shared" si="9"/>
        <v>0.14285714285714285</v>
      </c>
      <c r="AE17" s="31">
        <f t="shared" si="9"/>
        <v>74.857142857142847</v>
      </c>
      <c r="AF17" s="31">
        <f t="shared" si="9"/>
        <v>166.57142857142858</v>
      </c>
    </row>
    <row r="18" spans="2:32" ht="23.1" customHeight="1" x14ac:dyDescent="0.25">
      <c r="B18" s="23" t="s">
        <v>45</v>
      </c>
      <c r="C18" s="49">
        <f>AVERAGE('19.8 Kayunga-Kangulumira'!C18,'20.8 Kayunga-Kangulumira'!C18,'21.8 Kayunga-Kangulumira'!C18,'22.8 Kayunga-Kangulumira'!C18,'23.8 Kayunga-Kangulumira'!C18,'24.8 Kayunga-Kangulumira'!C18,'25.8 Kayunga-Kangulumira'!C18)</f>
        <v>5.5714285714285712</v>
      </c>
      <c r="D18" s="49">
        <f>0.4*(AVERAGE('19.8 Kayunga-Kangulumira'!E18,'20.8 Kayunga-Kangulumira'!E18,'21.8 Kayunga-Kangulumira'!E18,'22.8 Kayunga-Kangulumira'!E18,'23.8 Kayunga-Kangulumira'!E18,'24.8 Kayunga-Kangulumira'!E18,'25.8 Kayunga-Kangulumira'!E18))</f>
        <v>1.6</v>
      </c>
      <c r="E18" s="49">
        <f>0.6*(AVERAGE('19.8 Kayunga-Kangulumira'!E18,'20.8 Kayunga-Kangulumira'!E18,'21.8 Kayunga-Kangulumira'!E18,'22.8 Kayunga-Kangulumira'!E18,'23.8 Kayunga-Kangulumira'!E18,'24.8 Kayunga-Kangulumira'!E18,'25.8 Kayunga-Kangulumira'!E18))</f>
        <v>2.4</v>
      </c>
      <c r="F18" s="49">
        <f>AVERAGE('19.8 Kayunga-Kangulumira'!F18,'20.8 Kayunga-Kangulumira'!F18,'21.8 Kayunga-Kangulumira'!F18,'22.8 Kayunga-Kangulumira'!F18,'23.8 Kayunga-Kangulumira'!F18,'24.8 Kayunga-Kangulumira'!F18,'25.8 Kayunga-Kangulumira'!F18)</f>
        <v>4.1428571428571432</v>
      </c>
      <c r="G18" s="49">
        <f>AVERAGE('19.8 Kayunga-Kangulumira'!G18,'20.8 Kayunga-Kangulumira'!G18,'21.8 Kayunga-Kangulumira'!G18,'22.8 Kayunga-Kangulumira'!G18,'23.8 Kayunga-Kangulumira'!G18,'24.8 Kayunga-Kangulumira'!G18,'25.8 Kayunga-Kangulumira'!G18)</f>
        <v>0.42857142857142855</v>
      </c>
      <c r="H18" s="49">
        <f>AVERAGE('19.8 Kayunga-Kangulumira'!H18,'20.8 Kayunga-Kangulumira'!H18,'21.8 Kayunga-Kangulumira'!H18,'22.8 Kayunga-Kangulumira'!H18,'23.8 Kayunga-Kangulumira'!H18,'24.8 Kayunga-Kangulumira'!H18,'25.8 Kayunga-Kangulumira'!H18)</f>
        <v>0</v>
      </c>
      <c r="I18" s="49">
        <f>AVERAGE('19.8 Kayunga-Kangulumira'!I18,'20.8 Kayunga-Kangulumira'!I18,'21.8 Kayunga-Kangulumira'!I18,'22.8 Kayunga-Kangulumira'!I18,'23.8 Kayunga-Kangulumira'!I18,'24.8 Kayunga-Kangulumira'!I18,'25.8 Kayunga-Kangulumira'!I18)</f>
        <v>2.5714285714285716</v>
      </c>
      <c r="J18" s="49">
        <f>AVERAGE('19.8 Kayunga-Kangulumira'!J18,'20.8 Kayunga-Kangulumira'!J18,'21.8 Kayunga-Kangulumira'!J18,'22.8 Kayunga-Kangulumira'!J18,'23.8 Kayunga-Kangulumira'!J18,'24.8 Kayunga-Kangulumira'!J18,'25.8 Kayunga-Kangulumira'!J18)</f>
        <v>0</v>
      </c>
      <c r="K18" s="49">
        <f>AVERAGE('19.8 Kayunga-Kangulumira'!K18,'20.8 Kayunga-Kangulumira'!K18,'21.8 Kayunga-Kangulumira'!K18,'22.8 Kayunga-Kangulumira'!K18,'23.8 Kayunga-Kangulumira'!K18,'24.8 Kayunga-Kangulumira'!K18,'25.8 Kayunga-Kangulumira'!K18)</f>
        <v>0.7142857142857143</v>
      </c>
      <c r="L18" s="49">
        <f>AVERAGE('19.8 Kayunga-Kangulumira'!L18,'20.8 Kayunga-Kangulumira'!L18,'21.8 Kayunga-Kangulumira'!L18,'22.8 Kayunga-Kangulumira'!L18,'23.8 Kayunga-Kangulumira'!L18,'24.8 Kayunga-Kangulumira'!L18,'25.8 Kayunga-Kangulumira'!L18)</f>
        <v>0</v>
      </c>
      <c r="M18" s="49">
        <f>AVERAGE('19.8 Kayunga-Kangulumira'!M18,'20.8 Kayunga-Kangulumira'!M18,'21.8 Kayunga-Kangulumira'!M18,'22.8 Kayunga-Kangulumira'!M18,'23.8 Kayunga-Kangulumira'!M18,'24.8 Kayunga-Kangulumira'!M18,'25.8 Kayunga-Kangulumira'!M18)</f>
        <v>28.285714285714285</v>
      </c>
      <c r="N18" s="49">
        <f>AVERAGE('19.8 Kayunga-Kangulumira'!N18,'20.8 Kayunga-Kangulumira'!N18,'21.8 Kayunga-Kangulumira'!N18,'22.8 Kayunga-Kangulumira'!N18,'23.8 Kayunga-Kangulumira'!N18,'24.8 Kayunga-Kangulumira'!N18,'25.8 Kayunga-Kangulumira'!N18)</f>
        <v>0</v>
      </c>
      <c r="O18" s="15">
        <f t="shared" si="0"/>
        <v>17.428571428571431</v>
      </c>
      <c r="P18" s="15">
        <f t="shared" si="1"/>
        <v>45.714285714285715</v>
      </c>
      <c r="R18" s="1" t="s">
        <v>14</v>
      </c>
      <c r="S18" s="17">
        <f t="shared" ref="S18:AF18" si="10">SUM(C42:C45)</f>
        <v>20.857142857142858</v>
      </c>
      <c r="T18" s="17">
        <f t="shared" si="10"/>
        <v>7.0857142857142854</v>
      </c>
      <c r="U18" s="17">
        <f t="shared" si="10"/>
        <v>10.628571428571428</v>
      </c>
      <c r="V18" s="17">
        <f t="shared" si="10"/>
        <v>14</v>
      </c>
      <c r="W18" s="17">
        <f t="shared" si="10"/>
        <v>1</v>
      </c>
      <c r="X18" s="17">
        <f t="shared" si="10"/>
        <v>0.42857142857142855</v>
      </c>
      <c r="Y18" s="17">
        <f t="shared" si="10"/>
        <v>15.571428571428569</v>
      </c>
      <c r="Z18" s="17">
        <f t="shared" si="10"/>
        <v>1.7142857142857144</v>
      </c>
      <c r="AA18" s="17">
        <f t="shared" si="10"/>
        <v>1.857142857142857</v>
      </c>
      <c r="AB18" s="17">
        <f t="shared" si="10"/>
        <v>1.1428571428571428</v>
      </c>
      <c r="AC18" s="17">
        <f t="shared" si="10"/>
        <v>93.142857142857139</v>
      </c>
      <c r="AD18" s="17">
        <f t="shared" si="10"/>
        <v>0</v>
      </c>
      <c r="AE18" s="31">
        <f t="shared" si="10"/>
        <v>74.285714285714292</v>
      </c>
      <c r="AF18" s="31">
        <f t="shared" si="10"/>
        <v>167.42857142857144</v>
      </c>
    </row>
    <row r="19" spans="2:32" ht="23.1" customHeight="1" x14ac:dyDescent="0.25">
      <c r="B19" s="23" t="s">
        <v>46</v>
      </c>
      <c r="C19" s="49">
        <f>AVERAGE('19.8 Kayunga-Kangulumira'!C19,'20.8 Kayunga-Kangulumira'!C19,'21.8 Kayunga-Kangulumira'!C19,'22.8 Kayunga-Kangulumira'!C19,'23.8 Kayunga-Kangulumira'!C19,'24.8 Kayunga-Kangulumira'!C19,'25.8 Kayunga-Kangulumira'!C19)</f>
        <v>4.5714285714285712</v>
      </c>
      <c r="D19" s="49">
        <f>0.4*(AVERAGE('19.8 Kayunga-Kangulumira'!E19,'20.8 Kayunga-Kangulumira'!E19,'21.8 Kayunga-Kangulumira'!E19,'22.8 Kayunga-Kangulumira'!E19,'23.8 Kayunga-Kangulumira'!E19,'24.8 Kayunga-Kangulumira'!E19,'25.8 Kayunga-Kangulumira'!E19))</f>
        <v>1.3142857142857143</v>
      </c>
      <c r="E19" s="49">
        <f>0.6*(AVERAGE('19.8 Kayunga-Kangulumira'!E19,'20.8 Kayunga-Kangulumira'!E19,'21.8 Kayunga-Kangulumira'!E19,'22.8 Kayunga-Kangulumira'!E19,'23.8 Kayunga-Kangulumira'!E19,'24.8 Kayunga-Kangulumira'!E19,'25.8 Kayunga-Kangulumira'!E19))</f>
        <v>1.9714285714285713</v>
      </c>
      <c r="F19" s="49">
        <f>AVERAGE('19.8 Kayunga-Kangulumira'!F19,'20.8 Kayunga-Kangulumira'!F19,'21.8 Kayunga-Kangulumira'!F19,'22.8 Kayunga-Kangulumira'!F19,'23.8 Kayunga-Kangulumira'!F19,'24.8 Kayunga-Kangulumira'!F19,'25.8 Kayunga-Kangulumira'!F19)</f>
        <v>4.1428571428571432</v>
      </c>
      <c r="G19" s="49">
        <f>AVERAGE('19.8 Kayunga-Kangulumira'!G19,'20.8 Kayunga-Kangulumira'!G19,'21.8 Kayunga-Kangulumira'!G19,'22.8 Kayunga-Kangulumira'!G19,'23.8 Kayunga-Kangulumira'!G19,'24.8 Kayunga-Kangulumira'!G19,'25.8 Kayunga-Kangulumira'!G19)</f>
        <v>0.5714285714285714</v>
      </c>
      <c r="H19" s="49">
        <f>AVERAGE('19.8 Kayunga-Kangulumira'!H19,'20.8 Kayunga-Kangulumira'!H19,'21.8 Kayunga-Kangulumira'!H19,'22.8 Kayunga-Kangulumira'!H19,'23.8 Kayunga-Kangulumira'!H19,'24.8 Kayunga-Kangulumira'!H19,'25.8 Kayunga-Kangulumira'!H19)</f>
        <v>0</v>
      </c>
      <c r="I19" s="49">
        <f>AVERAGE('19.8 Kayunga-Kangulumira'!I19,'20.8 Kayunga-Kangulumira'!I19,'21.8 Kayunga-Kangulumira'!I19,'22.8 Kayunga-Kangulumira'!I19,'23.8 Kayunga-Kangulumira'!I19,'24.8 Kayunga-Kangulumira'!I19,'25.8 Kayunga-Kangulumira'!I19)</f>
        <v>1.8571428571428572</v>
      </c>
      <c r="J19" s="49">
        <f>AVERAGE('19.8 Kayunga-Kangulumira'!J19,'20.8 Kayunga-Kangulumira'!J19,'21.8 Kayunga-Kangulumira'!J19,'22.8 Kayunga-Kangulumira'!J19,'23.8 Kayunga-Kangulumira'!J19,'24.8 Kayunga-Kangulumira'!J19,'25.8 Kayunga-Kangulumira'!J19)</f>
        <v>0</v>
      </c>
      <c r="K19" s="49">
        <f>AVERAGE('19.8 Kayunga-Kangulumira'!K19,'20.8 Kayunga-Kangulumira'!K19,'21.8 Kayunga-Kangulumira'!K19,'22.8 Kayunga-Kangulumira'!K19,'23.8 Kayunga-Kangulumira'!K19,'24.8 Kayunga-Kangulumira'!K19,'25.8 Kayunga-Kangulumira'!K19)</f>
        <v>1.2857142857142858</v>
      </c>
      <c r="L19" s="49">
        <f>AVERAGE('19.8 Kayunga-Kangulumira'!L19,'20.8 Kayunga-Kangulumira'!L19,'21.8 Kayunga-Kangulumira'!L19,'22.8 Kayunga-Kangulumira'!L19,'23.8 Kayunga-Kangulumira'!L19,'24.8 Kayunga-Kangulumira'!L19,'25.8 Kayunga-Kangulumira'!L19)</f>
        <v>0</v>
      </c>
      <c r="M19" s="49">
        <f>AVERAGE('19.8 Kayunga-Kangulumira'!M19,'20.8 Kayunga-Kangulumira'!M19,'21.8 Kayunga-Kangulumira'!M19,'22.8 Kayunga-Kangulumira'!M19,'23.8 Kayunga-Kangulumira'!M19,'24.8 Kayunga-Kangulumira'!M19,'25.8 Kayunga-Kangulumira'!M19)</f>
        <v>27.571428571428573</v>
      </c>
      <c r="N19" s="49">
        <f>AVERAGE('19.8 Kayunga-Kangulumira'!N19,'20.8 Kayunga-Kangulumira'!N19,'21.8 Kayunga-Kangulumira'!N19,'22.8 Kayunga-Kangulumira'!N19,'23.8 Kayunga-Kangulumira'!N19,'24.8 Kayunga-Kangulumira'!N19,'25.8 Kayunga-Kangulumira'!N19)</f>
        <v>0</v>
      </c>
      <c r="O19" s="15">
        <f t="shared" si="0"/>
        <v>15.714285714285715</v>
      </c>
      <c r="P19" s="15">
        <f t="shared" si="1"/>
        <v>43.285714285714292</v>
      </c>
      <c r="R19" s="1" t="s">
        <v>15</v>
      </c>
      <c r="S19" s="17">
        <f t="shared" ref="S19:AF19" si="11">SUM(C46:C49)</f>
        <v>22.714285714285712</v>
      </c>
      <c r="T19" s="17">
        <f t="shared" si="11"/>
        <v>8.9142857142857146</v>
      </c>
      <c r="U19" s="17">
        <f t="shared" si="11"/>
        <v>13.371428571428572</v>
      </c>
      <c r="V19" s="17">
        <f t="shared" si="11"/>
        <v>17.428571428571431</v>
      </c>
      <c r="W19" s="17">
        <f t="shared" si="11"/>
        <v>2.1428571428571428</v>
      </c>
      <c r="X19" s="17">
        <f t="shared" si="11"/>
        <v>1.1428571428571428</v>
      </c>
      <c r="Y19" s="17">
        <f t="shared" si="11"/>
        <v>14.714285714285715</v>
      </c>
      <c r="Z19" s="17">
        <f t="shared" si="11"/>
        <v>1.9999999999999998</v>
      </c>
      <c r="AA19" s="17">
        <f t="shared" si="11"/>
        <v>2.8571428571428568</v>
      </c>
      <c r="AB19" s="17">
        <f t="shared" si="11"/>
        <v>1.4285714285714284</v>
      </c>
      <c r="AC19" s="17">
        <f t="shared" si="11"/>
        <v>109.42857142857143</v>
      </c>
      <c r="AD19" s="17">
        <f t="shared" si="11"/>
        <v>0.14285714285714285</v>
      </c>
      <c r="AE19" s="31">
        <f t="shared" si="11"/>
        <v>86.857142857142847</v>
      </c>
      <c r="AF19" s="31">
        <f t="shared" si="11"/>
        <v>196.28571428571428</v>
      </c>
    </row>
    <row r="20" spans="2:32" ht="23.1" customHeight="1" x14ac:dyDescent="0.25">
      <c r="B20" s="23" t="s">
        <v>47</v>
      </c>
      <c r="C20" s="49">
        <f>AVERAGE('19.8 Kayunga-Kangulumira'!C20,'20.8 Kayunga-Kangulumira'!C20,'21.8 Kayunga-Kangulumira'!C20,'22.8 Kayunga-Kangulumira'!C20,'23.8 Kayunga-Kangulumira'!C20,'24.8 Kayunga-Kangulumira'!C20,'25.8 Kayunga-Kangulumira'!C20)</f>
        <v>4.2857142857142856</v>
      </c>
      <c r="D20" s="49">
        <f>0.4*(AVERAGE('19.8 Kayunga-Kangulumira'!E20,'20.8 Kayunga-Kangulumira'!E20,'21.8 Kayunga-Kangulumira'!E20,'22.8 Kayunga-Kangulumira'!E20,'23.8 Kayunga-Kangulumira'!E20,'24.8 Kayunga-Kangulumira'!E20,'25.8 Kayunga-Kangulumira'!E20))</f>
        <v>1.7714285714285716</v>
      </c>
      <c r="E20" s="49">
        <f>0.6*(AVERAGE('19.8 Kayunga-Kangulumira'!E20,'20.8 Kayunga-Kangulumira'!E20,'21.8 Kayunga-Kangulumira'!E20,'22.8 Kayunga-Kangulumira'!E20,'23.8 Kayunga-Kangulumira'!E20,'24.8 Kayunga-Kangulumira'!E20,'25.8 Kayunga-Kangulumira'!E20))</f>
        <v>2.657142857142857</v>
      </c>
      <c r="F20" s="49">
        <f>AVERAGE('19.8 Kayunga-Kangulumira'!F20,'20.8 Kayunga-Kangulumira'!F20,'21.8 Kayunga-Kangulumira'!F20,'22.8 Kayunga-Kangulumira'!F20,'23.8 Kayunga-Kangulumira'!F20,'24.8 Kayunga-Kangulumira'!F20,'25.8 Kayunga-Kangulumira'!F20)</f>
        <v>3.5714285714285716</v>
      </c>
      <c r="G20" s="49">
        <f>AVERAGE('19.8 Kayunga-Kangulumira'!G20,'20.8 Kayunga-Kangulumira'!G20,'21.8 Kayunga-Kangulumira'!G20,'22.8 Kayunga-Kangulumira'!G20,'23.8 Kayunga-Kangulumira'!G20,'24.8 Kayunga-Kangulumira'!G20,'25.8 Kayunga-Kangulumira'!G20)</f>
        <v>0.14285714285714285</v>
      </c>
      <c r="H20" s="49">
        <f>AVERAGE('19.8 Kayunga-Kangulumira'!H20,'20.8 Kayunga-Kangulumira'!H20,'21.8 Kayunga-Kangulumira'!H20,'22.8 Kayunga-Kangulumira'!H20,'23.8 Kayunga-Kangulumira'!H20,'24.8 Kayunga-Kangulumira'!H20,'25.8 Kayunga-Kangulumira'!H20)</f>
        <v>0</v>
      </c>
      <c r="I20" s="49">
        <f>AVERAGE('19.8 Kayunga-Kangulumira'!I20,'20.8 Kayunga-Kangulumira'!I20,'21.8 Kayunga-Kangulumira'!I20,'22.8 Kayunga-Kangulumira'!I20,'23.8 Kayunga-Kangulumira'!I20,'24.8 Kayunga-Kangulumira'!I20,'25.8 Kayunga-Kangulumira'!I20)</f>
        <v>1</v>
      </c>
      <c r="J20" s="49">
        <f>AVERAGE('19.8 Kayunga-Kangulumira'!J20,'20.8 Kayunga-Kangulumira'!J20,'21.8 Kayunga-Kangulumira'!J20,'22.8 Kayunga-Kangulumira'!J20,'23.8 Kayunga-Kangulumira'!J20,'24.8 Kayunga-Kangulumira'!J20,'25.8 Kayunga-Kangulumira'!J20)</f>
        <v>0</v>
      </c>
      <c r="K20" s="49">
        <f>AVERAGE('19.8 Kayunga-Kangulumira'!K20,'20.8 Kayunga-Kangulumira'!K20,'21.8 Kayunga-Kangulumira'!K20,'22.8 Kayunga-Kangulumira'!K20,'23.8 Kayunga-Kangulumira'!K20,'24.8 Kayunga-Kangulumira'!K20,'25.8 Kayunga-Kangulumira'!K20)</f>
        <v>1</v>
      </c>
      <c r="L20" s="49">
        <f>AVERAGE('19.8 Kayunga-Kangulumira'!L20,'20.8 Kayunga-Kangulumira'!L20,'21.8 Kayunga-Kangulumira'!L20,'22.8 Kayunga-Kangulumira'!L20,'23.8 Kayunga-Kangulumira'!L20,'24.8 Kayunga-Kangulumira'!L20,'25.8 Kayunga-Kangulumira'!L20)</f>
        <v>0</v>
      </c>
      <c r="M20" s="49">
        <f>AVERAGE('19.8 Kayunga-Kangulumira'!M20,'20.8 Kayunga-Kangulumira'!M20,'21.8 Kayunga-Kangulumira'!M20,'22.8 Kayunga-Kangulumira'!M20,'23.8 Kayunga-Kangulumira'!M20,'24.8 Kayunga-Kangulumira'!M20,'25.8 Kayunga-Kangulumira'!M20)</f>
        <v>31.714285714285715</v>
      </c>
      <c r="N20" s="49">
        <f>AVERAGE('19.8 Kayunga-Kangulumira'!N20,'20.8 Kayunga-Kangulumira'!N20,'21.8 Kayunga-Kangulumira'!N20,'22.8 Kayunga-Kangulumira'!N20,'23.8 Kayunga-Kangulumira'!N20,'24.8 Kayunga-Kangulumira'!N20,'25.8 Kayunga-Kangulumira'!N20)</f>
        <v>0</v>
      </c>
      <c r="O20" s="15">
        <f t="shared" si="0"/>
        <v>14.428571428571427</v>
      </c>
      <c r="P20" s="15">
        <f t="shared" si="1"/>
        <v>46.142857142857139</v>
      </c>
      <c r="R20" s="1" t="s">
        <v>16</v>
      </c>
      <c r="S20" s="17">
        <f t="shared" ref="S20:AF20" si="12">SUM(C50:C53)</f>
        <v>23.428571428571431</v>
      </c>
      <c r="T20" s="17">
        <f t="shared" si="12"/>
        <v>9.7714285714285722</v>
      </c>
      <c r="U20" s="17">
        <f t="shared" si="12"/>
        <v>14.657142857142857</v>
      </c>
      <c r="V20" s="17">
        <f t="shared" si="12"/>
        <v>20.142857142857146</v>
      </c>
      <c r="W20" s="17">
        <f t="shared" si="12"/>
        <v>1.9999999999999998</v>
      </c>
      <c r="X20" s="17">
        <f t="shared" si="12"/>
        <v>3</v>
      </c>
      <c r="Y20" s="17">
        <f t="shared" si="12"/>
        <v>19.571428571428569</v>
      </c>
      <c r="Z20" s="17">
        <f t="shared" si="12"/>
        <v>2</v>
      </c>
      <c r="AA20" s="17">
        <f t="shared" si="12"/>
        <v>2</v>
      </c>
      <c r="AB20" s="17">
        <f t="shared" si="12"/>
        <v>2.1428571428571428</v>
      </c>
      <c r="AC20" s="17">
        <f t="shared" si="12"/>
        <v>122</v>
      </c>
      <c r="AD20" s="17">
        <f t="shared" si="12"/>
        <v>0</v>
      </c>
      <c r="AE20" s="31">
        <f t="shared" si="12"/>
        <v>98.714285714285708</v>
      </c>
      <c r="AF20" s="31">
        <f t="shared" si="12"/>
        <v>220.71428571428572</v>
      </c>
    </row>
    <row r="21" spans="2:32" ht="23.1" customHeight="1" x14ac:dyDescent="0.25">
      <c r="B21" s="23" t="s">
        <v>48</v>
      </c>
      <c r="C21" s="49">
        <f>AVERAGE('19.8 Kayunga-Kangulumira'!C21,'20.8 Kayunga-Kangulumira'!C21,'21.8 Kayunga-Kangulumira'!C21,'22.8 Kayunga-Kangulumira'!C21,'23.8 Kayunga-Kangulumira'!C21,'24.8 Kayunga-Kangulumira'!C21,'25.8 Kayunga-Kangulumira'!C21)</f>
        <v>5.4285714285714288</v>
      </c>
      <c r="D21" s="49">
        <f>0.4*(AVERAGE('19.8 Kayunga-Kangulumira'!E21,'20.8 Kayunga-Kangulumira'!E21,'21.8 Kayunga-Kangulumira'!E21,'22.8 Kayunga-Kangulumira'!E21,'23.8 Kayunga-Kangulumira'!E21,'24.8 Kayunga-Kangulumira'!E21,'25.8 Kayunga-Kangulumira'!E21))</f>
        <v>1.8857142857142859</v>
      </c>
      <c r="E21" s="49">
        <f>0.6*(AVERAGE('19.8 Kayunga-Kangulumira'!E21,'20.8 Kayunga-Kangulumira'!E21,'21.8 Kayunga-Kangulumira'!E21,'22.8 Kayunga-Kangulumira'!E21,'23.8 Kayunga-Kangulumira'!E21,'24.8 Kayunga-Kangulumira'!E21,'25.8 Kayunga-Kangulumira'!E21))</f>
        <v>2.8285714285714287</v>
      </c>
      <c r="F21" s="49">
        <f>AVERAGE('19.8 Kayunga-Kangulumira'!F21,'20.8 Kayunga-Kangulumira'!F21,'21.8 Kayunga-Kangulumira'!F21,'22.8 Kayunga-Kangulumira'!F21,'23.8 Kayunga-Kangulumira'!F21,'24.8 Kayunga-Kangulumira'!F21,'25.8 Kayunga-Kangulumira'!F21)</f>
        <v>3.5714285714285716</v>
      </c>
      <c r="G21" s="49">
        <f>AVERAGE('19.8 Kayunga-Kangulumira'!G21,'20.8 Kayunga-Kangulumira'!G21,'21.8 Kayunga-Kangulumira'!G21,'22.8 Kayunga-Kangulumira'!G21,'23.8 Kayunga-Kangulumira'!G21,'24.8 Kayunga-Kangulumira'!G21,'25.8 Kayunga-Kangulumira'!G21)</f>
        <v>0.14285714285714285</v>
      </c>
      <c r="H21" s="49">
        <f>AVERAGE('19.8 Kayunga-Kangulumira'!H21,'20.8 Kayunga-Kangulumira'!H21,'21.8 Kayunga-Kangulumira'!H21,'22.8 Kayunga-Kangulumira'!H21,'23.8 Kayunga-Kangulumira'!H21,'24.8 Kayunga-Kangulumira'!H21,'25.8 Kayunga-Kangulumira'!H21)</f>
        <v>0</v>
      </c>
      <c r="I21" s="49">
        <f>AVERAGE('19.8 Kayunga-Kangulumira'!I21,'20.8 Kayunga-Kangulumira'!I21,'21.8 Kayunga-Kangulumira'!I21,'22.8 Kayunga-Kangulumira'!I21,'23.8 Kayunga-Kangulumira'!I21,'24.8 Kayunga-Kangulumira'!I21,'25.8 Kayunga-Kangulumira'!I21)</f>
        <v>2.1428571428571428</v>
      </c>
      <c r="J21" s="49">
        <f>AVERAGE('19.8 Kayunga-Kangulumira'!J21,'20.8 Kayunga-Kangulumira'!J21,'21.8 Kayunga-Kangulumira'!J21,'22.8 Kayunga-Kangulumira'!J21,'23.8 Kayunga-Kangulumira'!J21,'24.8 Kayunga-Kangulumira'!J21,'25.8 Kayunga-Kangulumira'!J21)</f>
        <v>0.14285714285714285</v>
      </c>
      <c r="K21" s="49">
        <f>AVERAGE('19.8 Kayunga-Kangulumira'!K21,'20.8 Kayunga-Kangulumira'!K21,'21.8 Kayunga-Kangulumira'!K21,'22.8 Kayunga-Kangulumira'!K21,'23.8 Kayunga-Kangulumira'!K21,'24.8 Kayunga-Kangulumira'!K21,'25.8 Kayunga-Kangulumira'!K21)</f>
        <v>1</v>
      </c>
      <c r="L21" s="49">
        <f>AVERAGE('19.8 Kayunga-Kangulumira'!L21,'20.8 Kayunga-Kangulumira'!L21,'21.8 Kayunga-Kangulumira'!L21,'22.8 Kayunga-Kangulumira'!L21,'23.8 Kayunga-Kangulumira'!L21,'24.8 Kayunga-Kangulumira'!L21,'25.8 Kayunga-Kangulumira'!L21)</f>
        <v>0</v>
      </c>
      <c r="M21" s="49">
        <f>AVERAGE('19.8 Kayunga-Kangulumira'!M21,'20.8 Kayunga-Kangulumira'!M21,'21.8 Kayunga-Kangulumira'!M21,'22.8 Kayunga-Kangulumira'!M21,'23.8 Kayunga-Kangulumira'!M21,'24.8 Kayunga-Kangulumira'!M21,'25.8 Kayunga-Kangulumira'!M21)</f>
        <v>26.857142857142858</v>
      </c>
      <c r="N21" s="49">
        <f>AVERAGE('19.8 Kayunga-Kangulumira'!N21,'20.8 Kayunga-Kangulumira'!N21,'21.8 Kayunga-Kangulumira'!N21,'22.8 Kayunga-Kangulumira'!N21,'23.8 Kayunga-Kangulumira'!N21,'24.8 Kayunga-Kangulumira'!N21,'25.8 Kayunga-Kangulumira'!N21)</f>
        <v>0</v>
      </c>
      <c r="O21" s="15">
        <f t="shared" si="0"/>
        <v>17.142857142857142</v>
      </c>
      <c r="P21" s="15">
        <f t="shared" si="1"/>
        <v>44</v>
      </c>
      <c r="R21" s="36" t="s">
        <v>20</v>
      </c>
      <c r="S21" s="34">
        <f t="shared" ref="S21:AF21" si="13">SUM(C54:C57)</f>
        <v>22.714285714285715</v>
      </c>
      <c r="T21" s="17">
        <f t="shared" si="13"/>
        <v>10.342857142857143</v>
      </c>
      <c r="U21" s="17">
        <f t="shared" si="13"/>
        <v>15.514285714285714</v>
      </c>
      <c r="V21" s="17">
        <f t="shared" si="13"/>
        <v>16.142857142857142</v>
      </c>
      <c r="W21" s="17">
        <f t="shared" si="13"/>
        <v>2</v>
      </c>
      <c r="X21" s="17">
        <f t="shared" si="13"/>
        <v>2.7142857142857144</v>
      </c>
      <c r="Y21" s="17">
        <f t="shared" si="13"/>
        <v>15.714285714285715</v>
      </c>
      <c r="Z21" s="17">
        <f t="shared" si="13"/>
        <v>2.8571428571428568</v>
      </c>
      <c r="AA21" s="17">
        <f t="shared" si="13"/>
        <v>1.9999999999999998</v>
      </c>
      <c r="AB21" s="17">
        <f t="shared" si="13"/>
        <v>1</v>
      </c>
      <c r="AC21" s="17">
        <f t="shared" si="13"/>
        <v>110</v>
      </c>
      <c r="AD21" s="17">
        <f t="shared" si="13"/>
        <v>0</v>
      </c>
      <c r="AE21" s="31">
        <f t="shared" si="13"/>
        <v>91</v>
      </c>
      <c r="AF21" s="31">
        <f t="shared" si="13"/>
        <v>201</v>
      </c>
    </row>
    <row r="22" spans="2:32" ht="23.1" customHeight="1" x14ac:dyDescent="0.25">
      <c r="B22" s="23" t="s">
        <v>49</v>
      </c>
      <c r="C22" s="49">
        <f>AVERAGE('19.8 Kayunga-Kangulumira'!C22,'20.8 Kayunga-Kangulumira'!C22,'21.8 Kayunga-Kangulumira'!C22,'22.8 Kayunga-Kangulumira'!C22,'23.8 Kayunga-Kangulumira'!C22,'24.8 Kayunga-Kangulumira'!C22,'25.8 Kayunga-Kangulumira'!C22)</f>
        <v>5</v>
      </c>
      <c r="D22" s="49">
        <f>0.4*(AVERAGE('19.8 Kayunga-Kangulumira'!E22,'20.8 Kayunga-Kangulumira'!E22,'21.8 Kayunga-Kangulumira'!E22,'22.8 Kayunga-Kangulumira'!E22,'23.8 Kayunga-Kangulumira'!E22,'24.8 Kayunga-Kangulumira'!E22,'25.8 Kayunga-Kangulumira'!E22))</f>
        <v>1.7142857142857144</v>
      </c>
      <c r="E22" s="49">
        <f>0.6*(AVERAGE('19.8 Kayunga-Kangulumira'!E22,'20.8 Kayunga-Kangulumira'!E22,'21.8 Kayunga-Kangulumira'!E22,'22.8 Kayunga-Kangulumira'!E22,'23.8 Kayunga-Kangulumira'!E22,'24.8 Kayunga-Kangulumira'!E22,'25.8 Kayunga-Kangulumira'!E22))</f>
        <v>2.5714285714285712</v>
      </c>
      <c r="F22" s="49">
        <f>AVERAGE('19.8 Kayunga-Kangulumira'!F22,'20.8 Kayunga-Kangulumira'!F22,'21.8 Kayunga-Kangulumira'!F22,'22.8 Kayunga-Kangulumira'!F22,'23.8 Kayunga-Kangulumira'!F22,'24.8 Kayunga-Kangulumira'!F22,'25.8 Kayunga-Kangulumira'!F22)</f>
        <v>3.7142857142857144</v>
      </c>
      <c r="G22" s="49">
        <f>AVERAGE('19.8 Kayunga-Kangulumira'!G22,'20.8 Kayunga-Kangulumira'!G22,'21.8 Kayunga-Kangulumira'!G22,'22.8 Kayunga-Kangulumira'!G22,'23.8 Kayunga-Kangulumira'!G22,'24.8 Kayunga-Kangulumira'!G22,'25.8 Kayunga-Kangulumira'!G22)</f>
        <v>0.2857142857142857</v>
      </c>
      <c r="H22" s="49">
        <f>AVERAGE('19.8 Kayunga-Kangulumira'!H22,'20.8 Kayunga-Kangulumira'!H22,'21.8 Kayunga-Kangulumira'!H22,'22.8 Kayunga-Kangulumira'!H22,'23.8 Kayunga-Kangulumira'!H22,'24.8 Kayunga-Kangulumira'!H22,'25.8 Kayunga-Kangulumira'!H22)</f>
        <v>0</v>
      </c>
      <c r="I22" s="49">
        <f>AVERAGE('19.8 Kayunga-Kangulumira'!I22,'20.8 Kayunga-Kangulumira'!I22,'21.8 Kayunga-Kangulumira'!I22,'22.8 Kayunga-Kangulumira'!I22,'23.8 Kayunga-Kangulumira'!I22,'24.8 Kayunga-Kangulumira'!I22,'25.8 Kayunga-Kangulumira'!I22)</f>
        <v>1.8571428571428572</v>
      </c>
      <c r="J22" s="49">
        <f>AVERAGE('19.8 Kayunga-Kangulumira'!J22,'20.8 Kayunga-Kangulumira'!J22,'21.8 Kayunga-Kangulumira'!J22,'22.8 Kayunga-Kangulumira'!J22,'23.8 Kayunga-Kangulumira'!J22,'24.8 Kayunga-Kangulumira'!J22,'25.8 Kayunga-Kangulumira'!J22)</f>
        <v>0.42857142857142855</v>
      </c>
      <c r="K22" s="49">
        <f>AVERAGE('19.8 Kayunga-Kangulumira'!K22,'20.8 Kayunga-Kangulumira'!K22,'21.8 Kayunga-Kangulumira'!K22,'22.8 Kayunga-Kangulumira'!K22,'23.8 Kayunga-Kangulumira'!K22,'24.8 Kayunga-Kangulumira'!K22,'25.8 Kayunga-Kangulumira'!K22)</f>
        <v>0.42857142857142855</v>
      </c>
      <c r="L22" s="49">
        <f>AVERAGE('19.8 Kayunga-Kangulumira'!L22,'20.8 Kayunga-Kangulumira'!L22,'21.8 Kayunga-Kangulumira'!L22,'22.8 Kayunga-Kangulumira'!L22,'23.8 Kayunga-Kangulumira'!L22,'24.8 Kayunga-Kangulumira'!L22,'25.8 Kayunga-Kangulumira'!L22)</f>
        <v>0.14285714285714285</v>
      </c>
      <c r="M22" s="49">
        <f>AVERAGE('19.8 Kayunga-Kangulumira'!M22,'20.8 Kayunga-Kangulumira'!M22,'21.8 Kayunga-Kangulumira'!M22,'22.8 Kayunga-Kangulumira'!M22,'23.8 Kayunga-Kangulumira'!M22,'24.8 Kayunga-Kangulumira'!M22,'25.8 Kayunga-Kangulumira'!M22)</f>
        <v>25</v>
      </c>
      <c r="N22" s="49">
        <f>AVERAGE('19.8 Kayunga-Kangulumira'!N22,'20.8 Kayunga-Kangulumira'!N22,'21.8 Kayunga-Kangulumira'!N22,'22.8 Kayunga-Kangulumira'!N22,'23.8 Kayunga-Kangulumira'!N22,'24.8 Kayunga-Kangulumira'!N22,'25.8 Kayunga-Kangulumira'!N22)</f>
        <v>0</v>
      </c>
      <c r="O22" s="15">
        <f t="shared" si="0"/>
        <v>16.142857142857142</v>
      </c>
      <c r="P22" s="15">
        <f t="shared" si="1"/>
        <v>41.142857142857139</v>
      </c>
      <c r="R22" s="1" t="s">
        <v>146</v>
      </c>
      <c r="S22" s="34">
        <f>SUM(C58:C61)</f>
        <v>6</v>
      </c>
      <c r="T22" s="34">
        <f t="shared" ref="T22:AF22" si="14">SUM(D58:D61)</f>
        <v>6.4</v>
      </c>
      <c r="U22" s="34">
        <f t="shared" si="14"/>
        <v>9.6</v>
      </c>
      <c r="V22" s="34">
        <f t="shared" si="14"/>
        <v>10</v>
      </c>
      <c r="W22" s="34">
        <f t="shared" si="14"/>
        <v>1</v>
      </c>
      <c r="X22" s="34">
        <f t="shared" si="14"/>
        <v>2</v>
      </c>
      <c r="Y22" s="34">
        <f t="shared" si="14"/>
        <v>12</v>
      </c>
      <c r="Z22" s="34">
        <f t="shared" si="14"/>
        <v>3</v>
      </c>
      <c r="AA22" s="34">
        <f t="shared" si="14"/>
        <v>2</v>
      </c>
      <c r="AB22" s="34">
        <f t="shared" si="14"/>
        <v>2</v>
      </c>
      <c r="AC22" s="34">
        <f t="shared" si="14"/>
        <v>71</v>
      </c>
      <c r="AD22" s="34">
        <f t="shared" si="14"/>
        <v>0</v>
      </c>
      <c r="AE22" s="31">
        <f t="shared" si="14"/>
        <v>54</v>
      </c>
      <c r="AF22" s="31">
        <f t="shared" si="14"/>
        <v>125</v>
      </c>
    </row>
    <row r="23" spans="2:32" ht="23.1" customHeight="1" x14ac:dyDescent="0.25">
      <c r="B23" s="23" t="s">
        <v>50</v>
      </c>
      <c r="C23" s="49">
        <f>AVERAGE('19.8 Kayunga-Kangulumira'!C23,'20.8 Kayunga-Kangulumira'!C23,'21.8 Kayunga-Kangulumira'!C23,'22.8 Kayunga-Kangulumira'!C23,'23.8 Kayunga-Kangulumira'!C23,'24.8 Kayunga-Kangulumira'!C23,'25.8 Kayunga-Kangulumira'!C23)</f>
        <v>4.5714285714285712</v>
      </c>
      <c r="D23" s="49">
        <f>0.4*(AVERAGE('19.8 Kayunga-Kangulumira'!E23,'20.8 Kayunga-Kangulumira'!E23,'21.8 Kayunga-Kangulumira'!E23,'22.8 Kayunga-Kangulumira'!E23,'23.8 Kayunga-Kangulumira'!E23,'24.8 Kayunga-Kangulumira'!E23,'25.8 Kayunga-Kangulumira'!E23))</f>
        <v>2</v>
      </c>
      <c r="E23" s="49">
        <f>0.6*(AVERAGE('19.8 Kayunga-Kangulumira'!E23,'20.8 Kayunga-Kangulumira'!E23,'21.8 Kayunga-Kangulumira'!E23,'22.8 Kayunga-Kangulumira'!E23,'23.8 Kayunga-Kangulumira'!E23,'24.8 Kayunga-Kangulumira'!E23,'25.8 Kayunga-Kangulumira'!E23))</f>
        <v>3</v>
      </c>
      <c r="F23" s="49">
        <f>AVERAGE('19.8 Kayunga-Kangulumira'!F23,'20.8 Kayunga-Kangulumira'!F23,'21.8 Kayunga-Kangulumira'!F23,'22.8 Kayunga-Kangulumira'!F23,'23.8 Kayunga-Kangulumira'!F23,'24.8 Kayunga-Kangulumira'!F23,'25.8 Kayunga-Kangulumira'!F23)</f>
        <v>4.1428571428571432</v>
      </c>
      <c r="G23" s="49">
        <f>AVERAGE('19.8 Kayunga-Kangulumira'!G23,'20.8 Kayunga-Kangulumira'!G23,'21.8 Kayunga-Kangulumira'!G23,'22.8 Kayunga-Kangulumira'!G23,'23.8 Kayunga-Kangulumira'!G23,'24.8 Kayunga-Kangulumira'!G23,'25.8 Kayunga-Kangulumira'!G23)</f>
        <v>0.2857142857142857</v>
      </c>
      <c r="H23" s="49">
        <f>AVERAGE('19.8 Kayunga-Kangulumira'!H23,'20.8 Kayunga-Kangulumira'!H23,'21.8 Kayunga-Kangulumira'!H23,'22.8 Kayunga-Kangulumira'!H23,'23.8 Kayunga-Kangulumira'!H23,'24.8 Kayunga-Kangulumira'!H23,'25.8 Kayunga-Kangulumira'!H23)</f>
        <v>0.14285714285714285</v>
      </c>
      <c r="I23" s="49">
        <f>AVERAGE('19.8 Kayunga-Kangulumira'!I23,'20.8 Kayunga-Kangulumira'!I23,'21.8 Kayunga-Kangulumira'!I23,'22.8 Kayunga-Kangulumira'!I23,'23.8 Kayunga-Kangulumira'!I23,'24.8 Kayunga-Kangulumira'!I23,'25.8 Kayunga-Kangulumira'!I23)</f>
        <v>1.7142857142857142</v>
      </c>
      <c r="J23" s="49">
        <f>AVERAGE('19.8 Kayunga-Kangulumira'!J23,'20.8 Kayunga-Kangulumira'!J23,'21.8 Kayunga-Kangulumira'!J23,'22.8 Kayunga-Kangulumira'!J23,'23.8 Kayunga-Kangulumira'!J23,'24.8 Kayunga-Kangulumira'!J23,'25.8 Kayunga-Kangulumira'!J23)</f>
        <v>0</v>
      </c>
      <c r="K23" s="49">
        <f>AVERAGE('19.8 Kayunga-Kangulumira'!K23,'20.8 Kayunga-Kangulumira'!K23,'21.8 Kayunga-Kangulumira'!K23,'22.8 Kayunga-Kangulumira'!K23,'23.8 Kayunga-Kangulumira'!K23,'24.8 Kayunga-Kangulumira'!K23,'25.8 Kayunga-Kangulumira'!K23)</f>
        <v>0.7142857142857143</v>
      </c>
      <c r="L23" s="49">
        <f>AVERAGE('19.8 Kayunga-Kangulumira'!L23,'20.8 Kayunga-Kangulumira'!L23,'21.8 Kayunga-Kangulumira'!L23,'22.8 Kayunga-Kangulumira'!L23,'23.8 Kayunga-Kangulumira'!L23,'24.8 Kayunga-Kangulumira'!L23,'25.8 Kayunga-Kangulumira'!L23)</f>
        <v>0</v>
      </c>
      <c r="M23" s="49">
        <f>AVERAGE('19.8 Kayunga-Kangulumira'!M23,'20.8 Kayunga-Kangulumira'!M23,'21.8 Kayunga-Kangulumira'!M23,'22.8 Kayunga-Kangulumira'!M23,'23.8 Kayunga-Kangulumira'!M23,'24.8 Kayunga-Kangulumira'!M23,'25.8 Kayunga-Kangulumira'!M23)</f>
        <v>27.142857142857142</v>
      </c>
      <c r="N23" s="49">
        <f>AVERAGE('19.8 Kayunga-Kangulumira'!N23,'20.8 Kayunga-Kangulumira'!N23,'21.8 Kayunga-Kangulumira'!N23,'22.8 Kayunga-Kangulumira'!N23,'23.8 Kayunga-Kangulumira'!N23,'24.8 Kayunga-Kangulumira'!N23,'25.8 Kayunga-Kangulumira'!N23)</f>
        <v>0</v>
      </c>
      <c r="O23" s="15">
        <f t="shared" si="0"/>
        <v>16.571428571428573</v>
      </c>
      <c r="P23" s="15">
        <f t="shared" si="1"/>
        <v>43.714285714285715</v>
      </c>
      <c r="R23" s="1" t="s">
        <v>147</v>
      </c>
      <c r="S23" s="34">
        <f>SUM(C62:C65)</f>
        <v>12</v>
      </c>
      <c r="T23" s="34">
        <f t="shared" ref="T23:AF23" si="15">SUM(D62:D65)</f>
        <v>5.2000000000000011</v>
      </c>
      <c r="U23" s="34">
        <f t="shared" si="15"/>
        <v>7.7999999999999989</v>
      </c>
      <c r="V23" s="34">
        <f t="shared" si="15"/>
        <v>12</v>
      </c>
      <c r="W23" s="34">
        <f t="shared" si="15"/>
        <v>1</v>
      </c>
      <c r="X23" s="34">
        <f t="shared" si="15"/>
        <v>1</v>
      </c>
      <c r="Y23" s="34">
        <f t="shared" si="15"/>
        <v>10</v>
      </c>
      <c r="Z23" s="34">
        <f t="shared" si="15"/>
        <v>4</v>
      </c>
      <c r="AA23" s="34">
        <f t="shared" si="15"/>
        <v>3</v>
      </c>
      <c r="AB23" s="34">
        <f t="shared" si="15"/>
        <v>1</v>
      </c>
      <c r="AC23" s="34">
        <f t="shared" si="15"/>
        <v>66</v>
      </c>
      <c r="AD23" s="34">
        <f t="shared" si="15"/>
        <v>0</v>
      </c>
      <c r="AE23" s="31">
        <f t="shared" si="15"/>
        <v>57</v>
      </c>
      <c r="AF23" s="31">
        <f t="shared" si="15"/>
        <v>123</v>
      </c>
    </row>
    <row r="24" spans="2:32" ht="23.1" customHeight="1" x14ac:dyDescent="0.25">
      <c r="B24" s="23" t="s">
        <v>51</v>
      </c>
      <c r="C24" s="49">
        <f>AVERAGE('19.8 Kayunga-Kangulumira'!C24,'20.8 Kayunga-Kangulumira'!C24,'21.8 Kayunga-Kangulumira'!C24,'22.8 Kayunga-Kangulumira'!C24,'23.8 Kayunga-Kangulumira'!C24,'24.8 Kayunga-Kangulumira'!C24,'25.8 Kayunga-Kangulumira'!C24)</f>
        <v>5.8571428571428568</v>
      </c>
      <c r="D24" s="49">
        <f>0.4*(AVERAGE('19.8 Kayunga-Kangulumira'!E24,'20.8 Kayunga-Kangulumira'!E24,'21.8 Kayunga-Kangulumira'!E24,'22.8 Kayunga-Kangulumira'!E24,'23.8 Kayunga-Kangulumira'!E24,'24.8 Kayunga-Kangulumira'!E24,'25.8 Kayunga-Kangulumira'!E24))</f>
        <v>1.7142857142857144</v>
      </c>
      <c r="E24" s="49">
        <f>0.6*(AVERAGE('19.8 Kayunga-Kangulumira'!E24,'20.8 Kayunga-Kangulumira'!E24,'21.8 Kayunga-Kangulumira'!E24,'22.8 Kayunga-Kangulumira'!E24,'23.8 Kayunga-Kangulumira'!E24,'24.8 Kayunga-Kangulumira'!E24,'25.8 Kayunga-Kangulumira'!E24))</f>
        <v>2.5714285714285712</v>
      </c>
      <c r="F24" s="49">
        <f>AVERAGE('19.8 Kayunga-Kangulumira'!F24,'20.8 Kayunga-Kangulumira'!F24,'21.8 Kayunga-Kangulumira'!F24,'22.8 Kayunga-Kangulumira'!F24,'23.8 Kayunga-Kangulumira'!F24,'24.8 Kayunga-Kangulumira'!F24,'25.8 Kayunga-Kangulumira'!F24)</f>
        <v>3.8571428571428572</v>
      </c>
      <c r="G24" s="49">
        <f>AVERAGE('19.8 Kayunga-Kangulumira'!G24,'20.8 Kayunga-Kangulumira'!G24,'21.8 Kayunga-Kangulumira'!G24,'22.8 Kayunga-Kangulumira'!G24,'23.8 Kayunga-Kangulumira'!G24,'24.8 Kayunga-Kangulumira'!G24,'25.8 Kayunga-Kangulumira'!G24)</f>
        <v>0.14285714285714285</v>
      </c>
      <c r="H24" s="49">
        <f>AVERAGE('19.8 Kayunga-Kangulumira'!H24,'20.8 Kayunga-Kangulumira'!H24,'21.8 Kayunga-Kangulumira'!H24,'22.8 Kayunga-Kangulumira'!H24,'23.8 Kayunga-Kangulumira'!H24,'24.8 Kayunga-Kangulumira'!H24,'25.8 Kayunga-Kangulumira'!H24)</f>
        <v>0.42857142857142855</v>
      </c>
      <c r="I24" s="49">
        <f>AVERAGE('19.8 Kayunga-Kangulumira'!I24,'20.8 Kayunga-Kangulumira'!I24,'21.8 Kayunga-Kangulumira'!I24,'22.8 Kayunga-Kangulumira'!I24,'23.8 Kayunga-Kangulumira'!I24,'24.8 Kayunga-Kangulumira'!I24,'25.8 Kayunga-Kangulumira'!I24)</f>
        <v>2.5714285714285716</v>
      </c>
      <c r="J24" s="49">
        <f>AVERAGE('19.8 Kayunga-Kangulumira'!J24,'20.8 Kayunga-Kangulumira'!J24,'21.8 Kayunga-Kangulumira'!J24,'22.8 Kayunga-Kangulumira'!J24,'23.8 Kayunga-Kangulumira'!J24,'24.8 Kayunga-Kangulumira'!J24,'25.8 Kayunga-Kangulumira'!J24)</f>
        <v>0.42857142857142855</v>
      </c>
      <c r="K24" s="49">
        <f>AVERAGE('19.8 Kayunga-Kangulumira'!K24,'20.8 Kayunga-Kangulumira'!K24,'21.8 Kayunga-Kangulumira'!K24,'22.8 Kayunga-Kangulumira'!K24,'23.8 Kayunga-Kangulumira'!K24,'24.8 Kayunga-Kangulumira'!K24,'25.8 Kayunga-Kangulumira'!K24)</f>
        <v>0.5714285714285714</v>
      </c>
      <c r="L24" s="49">
        <f>AVERAGE('19.8 Kayunga-Kangulumira'!L24,'20.8 Kayunga-Kangulumira'!L24,'21.8 Kayunga-Kangulumira'!L24,'22.8 Kayunga-Kangulumira'!L24,'23.8 Kayunga-Kangulumira'!L24,'24.8 Kayunga-Kangulumira'!L24,'25.8 Kayunga-Kangulumira'!L24)</f>
        <v>0.14285714285714285</v>
      </c>
      <c r="M24" s="49">
        <f>AVERAGE('19.8 Kayunga-Kangulumira'!M24,'20.8 Kayunga-Kangulumira'!M24,'21.8 Kayunga-Kangulumira'!M24,'22.8 Kayunga-Kangulumira'!M24,'23.8 Kayunga-Kangulumira'!M24,'24.8 Kayunga-Kangulumira'!M24,'25.8 Kayunga-Kangulumira'!M24)</f>
        <v>22.857142857142858</v>
      </c>
      <c r="N24" s="49">
        <f>AVERAGE('19.8 Kayunga-Kangulumira'!N24,'20.8 Kayunga-Kangulumira'!N24,'21.8 Kayunga-Kangulumira'!N24,'22.8 Kayunga-Kangulumira'!N24,'23.8 Kayunga-Kangulumira'!N24,'24.8 Kayunga-Kangulumira'!N24,'25.8 Kayunga-Kangulumira'!N24)</f>
        <v>0</v>
      </c>
      <c r="O24" s="15">
        <f t="shared" si="0"/>
        <v>18.285714285714285</v>
      </c>
      <c r="P24" s="15">
        <f t="shared" si="1"/>
        <v>41.142857142857139</v>
      </c>
      <c r="R24" s="1" t="s">
        <v>148</v>
      </c>
      <c r="S24" s="34">
        <f>SUM(C66:C69)</f>
        <v>9</v>
      </c>
      <c r="T24" s="34">
        <f t="shared" ref="T24:AF24" si="16">SUM(D66:D69)</f>
        <v>5.2000000000000011</v>
      </c>
      <c r="U24" s="34">
        <f t="shared" si="16"/>
        <v>7.7999999999999989</v>
      </c>
      <c r="V24" s="34">
        <f t="shared" si="16"/>
        <v>9</v>
      </c>
      <c r="W24" s="34">
        <f t="shared" si="16"/>
        <v>1</v>
      </c>
      <c r="X24" s="34">
        <f t="shared" si="16"/>
        <v>3</v>
      </c>
      <c r="Y24" s="34">
        <f t="shared" si="16"/>
        <v>11</v>
      </c>
      <c r="Z24" s="34">
        <f t="shared" si="16"/>
        <v>2</v>
      </c>
      <c r="AA24" s="34">
        <f t="shared" si="16"/>
        <v>2</v>
      </c>
      <c r="AB24" s="34">
        <f t="shared" si="16"/>
        <v>2</v>
      </c>
      <c r="AC24" s="34">
        <f t="shared" si="16"/>
        <v>46</v>
      </c>
      <c r="AD24" s="34">
        <f t="shared" si="16"/>
        <v>0</v>
      </c>
      <c r="AE24" s="31">
        <f t="shared" si="16"/>
        <v>52</v>
      </c>
      <c r="AF24" s="31">
        <f t="shared" si="16"/>
        <v>98</v>
      </c>
    </row>
    <row r="25" spans="2:32" ht="23.1" customHeight="1" x14ac:dyDescent="0.25">
      <c r="B25" s="23" t="s">
        <v>52</v>
      </c>
      <c r="C25" s="49">
        <f>AVERAGE('19.8 Kayunga-Kangulumira'!C25,'20.8 Kayunga-Kangulumira'!C25,'21.8 Kayunga-Kangulumira'!C25,'22.8 Kayunga-Kangulumira'!C25,'23.8 Kayunga-Kangulumira'!C25,'24.8 Kayunga-Kangulumira'!C25,'25.8 Kayunga-Kangulumira'!C25)</f>
        <v>4.5714285714285712</v>
      </c>
      <c r="D25" s="49">
        <f>0.4*(AVERAGE('19.8 Kayunga-Kangulumira'!E25,'20.8 Kayunga-Kangulumira'!E25,'21.8 Kayunga-Kangulumira'!E25,'22.8 Kayunga-Kangulumira'!E25,'23.8 Kayunga-Kangulumira'!E25,'24.8 Kayunga-Kangulumira'!E25,'25.8 Kayunga-Kangulumira'!E25))</f>
        <v>1.6571428571428575</v>
      </c>
      <c r="E25" s="49">
        <f>0.6*(AVERAGE('19.8 Kayunga-Kangulumira'!E25,'20.8 Kayunga-Kangulumira'!E25,'21.8 Kayunga-Kangulumira'!E25,'22.8 Kayunga-Kangulumira'!E25,'23.8 Kayunga-Kangulumira'!E25,'24.8 Kayunga-Kangulumira'!E25,'25.8 Kayunga-Kangulumira'!E25))</f>
        <v>2.4857142857142858</v>
      </c>
      <c r="F25" s="49">
        <f>AVERAGE('19.8 Kayunga-Kangulumira'!F25,'20.8 Kayunga-Kangulumira'!F25,'21.8 Kayunga-Kangulumira'!F25,'22.8 Kayunga-Kangulumira'!F25,'23.8 Kayunga-Kangulumira'!F25,'24.8 Kayunga-Kangulumira'!F25,'25.8 Kayunga-Kangulumira'!F25)</f>
        <v>4.7142857142857144</v>
      </c>
      <c r="G25" s="49">
        <f>AVERAGE('19.8 Kayunga-Kangulumira'!G25,'20.8 Kayunga-Kangulumira'!G25,'21.8 Kayunga-Kangulumira'!G25,'22.8 Kayunga-Kangulumira'!G25,'23.8 Kayunga-Kangulumira'!G25,'24.8 Kayunga-Kangulumira'!G25,'25.8 Kayunga-Kangulumira'!G25)</f>
        <v>0.2857142857142857</v>
      </c>
      <c r="H25" s="49">
        <f>AVERAGE('19.8 Kayunga-Kangulumira'!H25,'20.8 Kayunga-Kangulumira'!H25,'21.8 Kayunga-Kangulumira'!H25,'22.8 Kayunga-Kangulumira'!H25,'23.8 Kayunga-Kangulumira'!H25,'24.8 Kayunga-Kangulumira'!H25,'25.8 Kayunga-Kangulumira'!H25)</f>
        <v>0.14285714285714285</v>
      </c>
      <c r="I25" s="49">
        <f>AVERAGE('19.8 Kayunga-Kangulumira'!I25,'20.8 Kayunga-Kangulumira'!I25,'21.8 Kayunga-Kangulumira'!I25,'22.8 Kayunga-Kangulumira'!I25,'23.8 Kayunga-Kangulumira'!I25,'24.8 Kayunga-Kangulumira'!I25,'25.8 Kayunga-Kangulumira'!I25)</f>
        <v>2</v>
      </c>
      <c r="J25" s="49">
        <f>AVERAGE('19.8 Kayunga-Kangulumira'!J25,'20.8 Kayunga-Kangulumira'!J25,'21.8 Kayunga-Kangulumira'!J25,'22.8 Kayunga-Kangulumira'!J25,'23.8 Kayunga-Kangulumira'!J25,'24.8 Kayunga-Kangulumira'!J25,'25.8 Kayunga-Kangulumira'!J25)</f>
        <v>0.14285714285714285</v>
      </c>
      <c r="K25" s="49">
        <f>AVERAGE('19.8 Kayunga-Kangulumira'!K25,'20.8 Kayunga-Kangulumira'!K25,'21.8 Kayunga-Kangulumira'!K25,'22.8 Kayunga-Kangulumira'!K25,'23.8 Kayunga-Kangulumira'!K25,'24.8 Kayunga-Kangulumira'!K25,'25.8 Kayunga-Kangulumira'!K25)</f>
        <v>0.2857142857142857</v>
      </c>
      <c r="L25" s="49">
        <f>AVERAGE('19.8 Kayunga-Kangulumira'!L25,'20.8 Kayunga-Kangulumira'!L25,'21.8 Kayunga-Kangulumira'!L25,'22.8 Kayunga-Kangulumira'!L25,'23.8 Kayunga-Kangulumira'!L25,'24.8 Kayunga-Kangulumira'!L25,'25.8 Kayunga-Kangulumira'!L25)</f>
        <v>0.42857142857142855</v>
      </c>
      <c r="M25" s="49">
        <f>AVERAGE('19.8 Kayunga-Kangulumira'!M25,'20.8 Kayunga-Kangulumira'!M25,'21.8 Kayunga-Kangulumira'!M25,'22.8 Kayunga-Kangulumira'!M25,'23.8 Kayunga-Kangulumira'!M25,'24.8 Kayunga-Kangulumira'!M25,'25.8 Kayunga-Kangulumira'!M25)</f>
        <v>26.857142857142858</v>
      </c>
      <c r="N25" s="49">
        <f>AVERAGE('19.8 Kayunga-Kangulumira'!N25,'20.8 Kayunga-Kangulumira'!N25,'21.8 Kayunga-Kangulumira'!N25,'22.8 Kayunga-Kangulumira'!N25,'23.8 Kayunga-Kangulumira'!N25,'24.8 Kayunga-Kangulumira'!N25,'25.8 Kayunga-Kangulumira'!N25)</f>
        <v>0</v>
      </c>
      <c r="O25" s="15">
        <f t="shared" si="0"/>
        <v>16.714285714285715</v>
      </c>
      <c r="P25" s="15">
        <f t="shared" si="1"/>
        <v>43.571428571428569</v>
      </c>
      <c r="R25" s="1" t="s">
        <v>149</v>
      </c>
      <c r="S25" s="34">
        <f>SUM(C70:C73)</f>
        <v>9</v>
      </c>
      <c r="T25" s="34">
        <f t="shared" ref="T25:AF25" si="17">SUM(D70:D73)</f>
        <v>3.6000000000000005</v>
      </c>
      <c r="U25" s="34">
        <f t="shared" si="17"/>
        <v>5.3999999999999995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3</v>
      </c>
      <c r="AA25" s="34">
        <f t="shared" si="17"/>
        <v>0</v>
      </c>
      <c r="AB25" s="34">
        <f t="shared" si="17"/>
        <v>1</v>
      </c>
      <c r="AC25" s="34">
        <f t="shared" si="17"/>
        <v>15</v>
      </c>
      <c r="AD25" s="34">
        <f t="shared" si="17"/>
        <v>0</v>
      </c>
      <c r="AE25" s="31">
        <f t="shared" si="17"/>
        <v>34</v>
      </c>
      <c r="AF25" s="31">
        <f t="shared" si="17"/>
        <v>49</v>
      </c>
    </row>
    <row r="26" spans="2:32" ht="23.1" customHeight="1" x14ac:dyDescent="0.25">
      <c r="B26" s="23" t="s">
        <v>53</v>
      </c>
      <c r="C26" s="49">
        <f>AVERAGE('19.8 Kayunga-Kangulumira'!C26,'20.8 Kayunga-Kangulumira'!C26,'21.8 Kayunga-Kangulumira'!C26,'22.8 Kayunga-Kangulumira'!C26,'23.8 Kayunga-Kangulumira'!C26,'24.8 Kayunga-Kangulumira'!C26,'25.8 Kayunga-Kangulumira'!C26)</f>
        <v>5</v>
      </c>
      <c r="D26" s="49">
        <f>0.4*(AVERAGE('19.8 Kayunga-Kangulumira'!E26,'20.8 Kayunga-Kangulumira'!E26,'21.8 Kayunga-Kangulumira'!E26,'22.8 Kayunga-Kangulumira'!E26,'23.8 Kayunga-Kangulumira'!E26,'24.8 Kayunga-Kangulumira'!E26,'25.8 Kayunga-Kangulumira'!E26))</f>
        <v>1.2000000000000002</v>
      </c>
      <c r="E26" s="49">
        <f>0.6*(AVERAGE('19.8 Kayunga-Kangulumira'!E26,'20.8 Kayunga-Kangulumira'!E26,'21.8 Kayunga-Kangulumira'!E26,'22.8 Kayunga-Kangulumira'!E26,'23.8 Kayunga-Kangulumira'!E26,'24.8 Kayunga-Kangulumira'!E26,'25.8 Kayunga-Kangulumira'!E26))</f>
        <v>1.7999999999999998</v>
      </c>
      <c r="F26" s="49">
        <f>AVERAGE('19.8 Kayunga-Kangulumira'!F26,'20.8 Kayunga-Kangulumira'!F26,'21.8 Kayunga-Kangulumira'!F26,'22.8 Kayunga-Kangulumira'!F26,'23.8 Kayunga-Kangulumira'!F26,'24.8 Kayunga-Kangulumira'!F26,'25.8 Kayunga-Kangulumira'!F26)</f>
        <v>4.2857142857142856</v>
      </c>
      <c r="G26" s="49">
        <f>AVERAGE('19.8 Kayunga-Kangulumira'!G26,'20.8 Kayunga-Kangulumira'!G26,'21.8 Kayunga-Kangulumira'!G26,'22.8 Kayunga-Kangulumira'!G26,'23.8 Kayunga-Kangulumira'!G26,'24.8 Kayunga-Kangulumira'!G26,'25.8 Kayunga-Kangulumira'!G26)</f>
        <v>0.2857142857142857</v>
      </c>
      <c r="H26" s="49">
        <f>AVERAGE('19.8 Kayunga-Kangulumira'!H26,'20.8 Kayunga-Kangulumira'!H26,'21.8 Kayunga-Kangulumira'!H26,'22.8 Kayunga-Kangulumira'!H26,'23.8 Kayunga-Kangulumira'!H26,'24.8 Kayunga-Kangulumira'!H26,'25.8 Kayunga-Kangulumira'!H26)</f>
        <v>0.14285714285714285</v>
      </c>
      <c r="I26" s="49">
        <f>AVERAGE('19.8 Kayunga-Kangulumira'!I26,'20.8 Kayunga-Kangulumira'!I26,'21.8 Kayunga-Kangulumira'!I26,'22.8 Kayunga-Kangulumira'!I26,'23.8 Kayunga-Kangulumira'!I26,'24.8 Kayunga-Kangulumira'!I26,'25.8 Kayunga-Kangulumira'!I26)</f>
        <v>2.1428571428571428</v>
      </c>
      <c r="J26" s="49">
        <f>AVERAGE('19.8 Kayunga-Kangulumira'!J26,'20.8 Kayunga-Kangulumira'!J26,'21.8 Kayunga-Kangulumira'!J26,'22.8 Kayunga-Kangulumira'!J26,'23.8 Kayunga-Kangulumira'!J26,'24.8 Kayunga-Kangulumira'!J26,'25.8 Kayunga-Kangulumira'!J26)</f>
        <v>0</v>
      </c>
      <c r="K26" s="49">
        <f>AVERAGE('19.8 Kayunga-Kangulumira'!K26,'20.8 Kayunga-Kangulumira'!K26,'21.8 Kayunga-Kangulumira'!K26,'22.8 Kayunga-Kangulumira'!K26,'23.8 Kayunga-Kangulumira'!K26,'24.8 Kayunga-Kangulumira'!K26,'25.8 Kayunga-Kangulumira'!K26)</f>
        <v>0</v>
      </c>
      <c r="L26" s="49">
        <f>AVERAGE('19.8 Kayunga-Kangulumira'!L26,'20.8 Kayunga-Kangulumira'!L26,'21.8 Kayunga-Kangulumira'!L26,'22.8 Kayunga-Kangulumira'!L26,'23.8 Kayunga-Kangulumira'!L26,'24.8 Kayunga-Kangulumira'!L26,'25.8 Kayunga-Kangulumira'!L26)</f>
        <v>0.14285714285714285</v>
      </c>
      <c r="M26" s="49">
        <f>AVERAGE('19.8 Kayunga-Kangulumira'!M26,'20.8 Kayunga-Kangulumira'!M26,'21.8 Kayunga-Kangulumira'!M26,'22.8 Kayunga-Kangulumira'!M26,'23.8 Kayunga-Kangulumira'!M26,'24.8 Kayunga-Kangulumira'!M26,'25.8 Kayunga-Kangulumira'!M26)</f>
        <v>25.714285714285715</v>
      </c>
      <c r="N26" s="49">
        <f>AVERAGE('19.8 Kayunga-Kangulumira'!N26,'20.8 Kayunga-Kangulumira'!N26,'21.8 Kayunga-Kangulumira'!N26,'22.8 Kayunga-Kangulumira'!N26,'23.8 Kayunga-Kangulumira'!N26,'24.8 Kayunga-Kangulumira'!N26,'25.8 Kayunga-Kangulumira'!N26)</f>
        <v>0</v>
      </c>
      <c r="O26" s="15">
        <f t="shared" si="0"/>
        <v>14.999999999999998</v>
      </c>
      <c r="P26" s="15">
        <f t="shared" si="1"/>
        <v>40.714285714285715</v>
      </c>
      <c r="R26" s="1" t="s">
        <v>150</v>
      </c>
      <c r="S26" s="34">
        <f>SUM(C74:C77)</f>
        <v>3</v>
      </c>
      <c r="T26" s="34">
        <f t="shared" ref="T26:AF26" si="18">SUM(D74:D77)</f>
        <v>3.6</v>
      </c>
      <c r="U26" s="34">
        <f t="shared" si="18"/>
        <v>5.3999999999999995</v>
      </c>
      <c r="V26" s="34">
        <f t="shared" si="18"/>
        <v>6</v>
      </c>
      <c r="W26" s="34">
        <f t="shared" si="18"/>
        <v>1</v>
      </c>
      <c r="X26" s="34">
        <f t="shared" si="18"/>
        <v>2</v>
      </c>
      <c r="Y26" s="34">
        <f t="shared" si="18"/>
        <v>5</v>
      </c>
      <c r="Z26" s="34">
        <f t="shared" si="18"/>
        <v>3</v>
      </c>
      <c r="AA26" s="34">
        <f t="shared" si="18"/>
        <v>4</v>
      </c>
      <c r="AB26" s="34">
        <f t="shared" si="18"/>
        <v>1</v>
      </c>
      <c r="AC26" s="34">
        <f t="shared" si="18"/>
        <v>4</v>
      </c>
      <c r="AD26" s="34">
        <f t="shared" si="18"/>
        <v>0</v>
      </c>
      <c r="AE26" s="31">
        <f t="shared" si="18"/>
        <v>34</v>
      </c>
      <c r="AF26" s="31">
        <f t="shared" si="18"/>
        <v>38</v>
      </c>
    </row>
    <row r="27" spans="2:32" ht="23.1" customHeight="1" x14ac:dyDescent="0.25">
      <c r="B27" s="23" t="s">
        <v>54</v>
      </c>
      <c r="C27" s="49">
        <f>AVERAGE('19.8 Kayunga-Kangulumira'!C27,'20.8 Kayunga-Kangulumira'!C27,'21.8 Kayunga-Kangulumira'!C27,'22.8 Kayunga-Kangulumira'!C27,'23.8 Kayunga-Kangulumira'!C27,'24.8 Kayunga-Kangulumira'!C27,'25.8 Kayunga-Kangulumira'!C27)</f>
        <v>5.8571428571428568</v>
      </c>
      <c r="D27" s="49">
        <f>0.4*(AVERAGE('19.8 Kayunga-Kangulumira'!E27,'20.8 Kayunga-Kangulumira'!E27,'21.8 Kayunga-Kangulumira'!E27,'22.8 Kayunga-Kangulumira'!E27,'23.8 Kayunga-Kangulumira'!E27,'24.8 Kayunga-Kangulumira'!E27,'25.8 Kayunga-Kangulumira'!E27))</f>
        <v>2.4000000000000004</v>
      </c>
      <c r="E27" s="49">
        <f>0.6*(AVERAGE('19.8 Kayunga-Kangulumira'!E27,'20.8 Kayunga-Kangulumira'!E27,'21.8 Kayunga-Kangulumira'!E27,'22.8 Kayunga-Kangulumira'!E27,'23.8 Kayunga-Kangulumira'!E27,'24.8 Kayunga-Kangulumira'!E27,'25.8 Kayunga-Kangulumira'!E27))</f>
        <v>3.5999999999999996</v>
      </c>
      <c r="F27" s="49">
        <f>AVERAGE('19.8 Kayunga-Kangulumira'!F27,'20.8 Kayunga-Kangulumira'!F27,'21.8 Kayunga-Kangulumira'!F27,'22.8 Kayunga-Kangulumira'!F27,'23.8 Kayunga-Kangulumira'!F27,'24.8 Kayunga-Kangulumira'!F27,'25.8 Kayunga-Kangulumira'!F27)</f>
        <v>4</v>
      </c>
      <c r="G27" s="49">
        <f>AVERAGE('19.8 Kayunga-Kangulumira'!G27,'20.8 Kayunga-Kangulumira'!G27,'21.8 Kayunga-Kangulumira'!G27,'22.8 Kayunga-Kangulumira'!G27,'23.8 Kayunga-Kangulumira'!G27,'24.8 Kayunga-Kangulumira'!G27,'25.8 Kayunga-Kangulumira'!G27)</f>
        <v>0.14285714285714285</v>
      </c>
      <c r="H27" s="49">
        <f>AVERAGE('19.8 Kayunga-Kangulumira'!H27,'20.8 Kayunga-Kangulumira'!H27,'21.8 Kayunga-Kangulumira'!H27,'22.8 Kayunga-Kangulumira'!H27,'23.8 Kayunga-Kangulumira'!H27,'24.8 Kayunga-Kangulumira'!H27,'25.8 Kayunga-Kangulumira'!H27)</f>
        <v>0.14285714285714285</v>
      </c>
      <c r="I27" s="49">
        <f>AVERAGE('19.8 Kayunga-Kangulumira'!I27,'20.8 Kayunga-Kangulumira'!I27,'21.8 Kayunga-Kangulumira'!I27,'22.8 Kayunga-Kangulumira'!I27,'23.8 Kayunga-Kangulumira'!I27,'24.8 Kayunga-Kangulumira'!I27,'25.8 Kayunga-Kangulumira'!I27)</f>
        <v>2.2857142857142856</v>
      </c>
      <c r="J27" s="49">
        <f>AVERAGE('19.8 Kayunga-Kangulumira'!J27,'20.8 Kayunga-Kangulumira'!J27,'21.8 Kayunga-Kangulumira'!J27,'22.8 Kayunga-Kangulumira'!J27,'23.8 Kayunga-Kangulumira'!J27,'24.8 Kayunga-Kangulumira'!J27,'25.8 Kayunga-Kangulumira'!J27)</f>
        <v>0.14285714285714285</v>
      </c>
      <c r="K27" s="49">
        <f>AVERAGE('19.8 Kayunga-Kangulumira'!K27,'20.8 Kayunga-Kangulumira'!K27,'21.8 Kayunga-Kangulumira'!K27,'22.8 Kayunga-Kangulumira'!K27,'23.8 Kayunga-Kangulumira'!K27,'24.8 Kayunga-Kangulumira'!K27,'25.8 Kayunga-Kangulumira'!K27)</f>
        <v>0.42857142857142855</v>
      </c>
      <c r="L27" s="49">
        <f>AVERAGE('19.8 Kayunga-Kangulumira'!L27,'20.8 Kayunga-Kangulumira'!L27,'21.8 Kayunga-Kangulumira'!L27,'22.8 Kayunga-Kangulumira'!L27,'23.8 Kayunga-Kangulumira'!L27,'24.8 Kayunga-Kangulumira'!L27,'25.8 Kayunga-Kangulumira'!L27)</f>
        <v>0</v>
      </c>
      <c r="M27" s="49">
        <f>AVERAGE('19.8 Kayunga-Kangulumira'!M27,'20.8 Kayunga-Kangulumira'!M27,'21.8 Kayunga-Kangulumira'!M27,'22.8 Kayunga-Kangulumira'!M27,'23.8 Kayunga-Kangulumira'!M27,'24.8 Kayunga-Kangulumira'!M27,'25.8 Kayunga-Kangulumira'!M27)</f>
        <v>25.285714285714285</v>
      </c>
      <c r="N27" s="49">
        <f>AVERAGE('19.8 Kayunga-Kangulumira'!N27,'20.8 Kayunga-Kangulumira'!N27,'21.8 Kayunga-Kangulumira'!N27,'22.8 Kayunga-Kangulumira'!N27,'23.8 Kayunga-Kangulumira'!N27,'24.8 Kayunga-Kangulumira'!N27,'25.8 Kayunga-Kangulumira'!N27)</f>
        <v>0</v>
      </c>
      <c r="O27" s="15">
        <f t="shared" si="0"/>
        <v>18.999999999999996</v>
      </c>
      <c r="P27" s="15">
        <f t="shared" si="1"/>
        <v>44.285714285714278</v>
      </c>
      <c r="R27" s="1" t="s">
        <v>151</v>
      </c>
      <c r="S27" s="34">
        <f>SUM(C78:C81)</f>
        <v>4</v>
      </c>
      <c r="T27" s="34">
        <f t="shared" ref="T27:AF27" si="19">SUM(D78:D81)</f>
        <v>2.8000000000000003</v>
      </c>
      <c r="U27" s="34">
        <f t="shared" si="19"/>
        <v>4.1999999999999993</v>
      </c>
      <c r="V27" s="34">
        <f t="shared" si="19"/>
        <v>7</v>
      </c>
      <c r="W27" s="34">
        <f t="shared" si="19"/>
        <v>1</v>
      </c>
      <c r="X27" s="34">
        <f t="shared" si="19"/>
        <v>2</v>
      </c>
      <c r="Y27" s="34">
        <f t="shared" si="19"/>
        <v>6</v>
      </c>
      <c r="Z27" s="34">
        <f t="shared" si="19"/>
        <v>3</v>
      </c>
      <c r="AA27" s="34">
        <f t="shared" si="19"/>
        <v>2</v>
      </c>
      <c r="AB27" s="34">
        <f t="shared" si="19"/>
        <v>2</v>
      </c>
      <c r="AC27" s="34">
        <f t="shared" si="19"/>
        <v>1</v>
      </c>
      <c r="AD27" s="34">
        <f t="shared" si="19"/>
        <v>0</v>
      </c>
      <c r="AE27" s="31">
        <f t="shared" si="19"/>
        <v>34</v>
      </c>
      <c r="AF27" s="31">
        <f t="shared" si="19"/>
        <v>35</v>
      </c>
    </row>
    <row r="28" spans="2:32" ht="23.1" customHeight="1" x14ac:dyDescent="0.25">
      <c r="B28" s="23" t="s">
        <v>55</v>
      </c>
      <c r="C28" s="49">
        <f>AVERAGE('19.8 Kayunga-Kangulumira'!C28,'20.8 Kayunga-Kangulumira'!C28,'21.8 Kayunga-Kangulumira'!C28,'22.8 Kayunga-Kangulumira'!C28,'23.8 Kayunga-Kangulumira'!C28,'24.8 Kayunga-Kangulumira'!C28,'25.8 Kayunga-Kangulumira'!C28)</f>
        <v>5.1428571428571432</v>
      </c>
      <c r="D28" s="49">
        <f>0.4*(AVERAGE('19.8 Kayunga-Kangulumira'!E28,'20.8 Kayunga-Kangulumira'!E28,'21.8 Kayunga-Kangulumira'!E28,'22.8 Kayunga-Kangulumira'!E28,'23.8 Kayunga-Kangulumira'!E28,'24.8 Kayunga-Kangulumira'!E28,'25.8 Kayunga-Kangulumira'!E28))</f>
        <v>2.9714285714285715</v>
      </c>
      <c r="E28" s="49">
        <f>0.6*(AVERAGE('19.8 Kayunga-Kangulumira'!E28,'20.8 Kayunga-Kangulumira'!E28,'21.8 Kayunga-Kangulumira'!E28,'22.8 Kayunga-Kangulumira'!E28,'23.8 Kayunga-Kangulumira'!E28,'24.8 Kayunga-Kangulumira'!E28,'25.8 Kayunga-Kangulumira'!E28))</f>
        <v>4.4571428571428573</v>
      </c>
      <c r="F28" s="49">
        <f>AVERAGE('19.8 Kayunga-Kangulumira'!F28,'20.8 Kayunga-Kangulumira'!F28,'21.8 Kayunga-Kangulumira'!F28,'22.8 Kayunga-Kangulumira'!F28,'23.8 Kayunga-Kangulumira'!F28,'24.8 Kayunga-Kangulumira'!F28,'25.8 Kayunga-Kangulumira'!F28)</f>
        <v>4.4285714285714288</v>
      </c>
      <c r="G28" s="49">
        <f>AVERAGE('19.8 Kayunga-Kangulumira'!G28,'20.8 Kayunga-Kangulumira'!G28,'21.8 Kayunga-Kangulumira'!G28,'22.8 Kayunga-Kangulumira'!G28,'23.8 Kayunga-Kangulumira'!G28,'24.8 Kayunga-Kangulumira'!G28,'25.8 Kayunga-Kangulumira'!G28)</f>
        <v>0.2857142857142857</v>
      </c>
      <c r="H28" s="49">
        <f>AVERAGE('19.8 Kayunga-Kangulumira'!H28,'20.8 Kayunga-Kangulumira'!H28,'21.8 Kayunga-Kangulumira'!H28,'22.8 Kayunga-Kangulumira'!H28,'23.8 Kayunga-Kangulumira'!H28,'24.8 Kayunga-Kangulumira'!H28,'25.8 Kayunga-Kangulumira'!H28)</f>
        <v>0</v>
      </c>
      <c r="I28" s="49">
        <f>AVERAGE('19.8 Kayunga-Kangulumira'!I28,'20.8 Kayunga-Kangulumira'!I28,'21.8 Kayunga-Kangulumira'!I28,'22.8 Kayunga-Kangulumira'!I28,'23.8 Kayunga-Kangulumira'!I28,'24.8 Kayunga-Kangulumira'!I28,'25.8 Kayunga-Kangulumira'!I28)</f>
        <v>3.4285714285714284</v>
      </c>
      <c r="J28" s="49">
        <f>AVERAGE('19.8 Kayunga-Kangulumira'!J28,'20.8 Kayunga-Kangulumira'!J28,'21.8 Kayunga-Kangulumira'!J28,'22.8 Kayunga-Kangulumira'!J28,'23.8 Kayunga-Kangulumira'!J28,'24.8 Kayunga-Kangulumira'!J28,'25.8 Kayunga-Kangulumira'!J28)</f>
        <v>0.14285714285714285</v>
      </c>
      <c r="K28" s="49">
        <f>AVERAGE('19.8 Kayunga-Kangulumira'!K28,'20.8 Kayunga-Kangulumira'!K28,'21.8 Kayunga-Kangulumira'!K28,'22.8 Kayunga-Kangulumira'!K28,'23.8 Kayunga-Kangulumira'!K28,'24.8 Kayunga-Kangulumira'!K28,'25.8 Kayunga-Kangulumira'!K28)</f>
        <v>0.5714285714285714</v>
      </c>
      <c r="L28" s="49">
        <f>AVERAGE('19.8 Kayunga-Kangulumira'!L28,'20.8 Kayunga-Kangulumira'!L28,'21.8 Kayunga-Kangulumira'!L28,'22.8 Kayunga-Kangulumira'!L28,'23.8 Kayunga-Kangulumira'!L28,'24.8 Kayunga-Kangulumira'!L28,'25.8 Kayunga-Kangulumira'!L28)</f>
        <v>0.14285714285714285</v>
      </c>
      <c r="M28" s="49">
        <f>AVERAGE('19.8 Kayunga-Kangulumira'!M28,'20.8 Kayunga-Kangulumira'!M28,'21.8 Kayunga-Kangulumira'!M28,'22.8 Kayunga-Kangulumira'!M28,'23.8 Kayunga-Kangulumira'!M28,'24.8 Kayunga-Kangulumira'!M28,'25.8 Kayunga-Kangulumira'!M28)</f>
        <v>28.571428571428573</v>
      </c>
      <c r="N28" s="49">
        <f>AVERAGE('19.8 Kayunga-Kangulumira'!N28,'20.8 Kayunga-Kangulumira'!N28,'21.8 Kayunga-Kangulumira'!N28,'22.8 Kayunga-Kangulumira'!N28,'23.8 Kayunga-Kangulumira'!N28,'24.8 Kayunga-Kangulumira'!N28,'25.8 Kayunga-Kangulumira'!N28)</f>
        <v>0</v>
      </c>
      <c r="O28" s="15">
        <f t="shared" si="0"/>
        <v>21.571428571428569</v>
      </c>
      <c r="P28" s="15">
        <f t="shared" si="1"/>
        <v>50.142857142857139</v>
      </c>
      <c r="R28" s="1" t="s">
        <v>152</v>
      </c>
      <c r="S28" s="34">
        <f>SUM(C82:C85)</f>
        <v>4</v>
      </c>
      <c r="T28" s="34">
        <f t="shared" ref="T28:AF28" si="20">SUM(D82:D85)</f>
        <v>2.4</v>
      </c>
      <c r="U28" s="34">
        <f t="shared" si="20"/>
        <v>3.6</v>
      </c>
      <c r="V28" s="34">
        <f t="shared" si="20"/>
        <v>5</v>
      </c>
      <c r="W28" s="34">
        <f t="shared" si="20"/>
        <v>1</v>
      </c>
      <c r="X28" s="34">
        <f t="shared" si="20"/>
        <v>2</v>
      </c>
      <c r="Y28" s="34">
        <f t="shared" si="20"/>
        <v>2</v>
      </c>
      <c r="Z28" s="34">
        <f t="shared" si="20"/>
        <v>2</v>
      </c>
      <c r="AA28" s="34">
        <f t="shared" si="20"/>
        <v>1</v>
      </c>
      <c r="AB28" s="34">
        <f t="shared" si="20"/>
        <v>1</v>
      </c>
      <c r="AC28" s="34">
        <f t="shared" si="20"/>
        <v>0</v>
      </c>
      <c r="AD28" s="34">
        <f t="shared" si="20"/>
        <v>0</v>
      </c>
      <c r="AE28" s="31">
        <f t="shared" si="20"/>
        <v>24</v>
      </c>
      <c r="AF28" s="31">
        <f t="shared" si="20"/>
        <v>24</v>
      </c>
    </row>
    <row r="29" spans="2:32" ht="23.1" customHeight="1" x14ac:dyDescent="0.25">
      <c r="B29" s="23" t="s">
        <v>56</v>
      </c>
      <c r="C29" s="49">
        <f>AVERAGE('19.8 Kayunga-Kangulumira'!C29,'20.8 Kayunga-Kangulumira'!C29,'21.8 Kayunga-Kangulumira'!C29,'22.8 Kayunga-Kangulumira'!C29,'23.8 Kayunga-Kangulumira'!C29,'24.8 Kayunga-Kangulumira'!C29,'25.8 Kayunga-Kangulumira'!C29)</f>
        <v>4.7142857142857144</v>
      </c>
      <c r="D29" s="49">
        <f>0.4*(AVERAGE('19.8 Kayunga-Kangulumira'!E29,'20.8 Kayunga-Kangulumira'!E29,'21.8 Kayunga-Kangulumira'!E29,'22.8 Kayunga-Kangulumira'!E29,'23.8 Kayunga-Kangulumira'!E29,'24.8 Kayunga-Kangulumira'!E29,'25.8 Kayunga-Kangulumira'!E29))</f>
        <v>1.5428571428571429</v>
      </c>
      <c r="E29" s="49">
        <f>0.6*(AVERAGE('19.8 Kayunga-Kangulumira'!E29,'20.8 Kayunga-Kangulumira'!E29,'21.8 Kayunga-Kangulumira'!E29,'22.8 Kayunga-Kangulumira'!E29,'23.8 Kayunga-Kangulumira'!E29,'24.8 Kayunga-Kangulumira'!E29,'25.8 Kayunga-Kangulumira'!E29))</f>
        <v>2.3142857142857141</v>
      </c>
      <c r="F29" s="49">
        <f>AVERAGE('19.8 Kayunga-Kangulumira'!F29,'20.8 Kayunga-Kangulumira'!F29,'21.8 Kayunga-Kangulumira'!F29,'22.8 Kayunga-Kangulumira'!F29,'23.8 Kayunga-Kangulumira'!F29,'24.8 Kayunga-Kangulumira'!F29,'25.8 Kayunga-Kangulumira'!F29)</f>
        <v>5.2857142857142856</v>
      </c>
      <c r="G29" s="49">
        <f>AVERAGE('19.8 Kayunga-Kangulumira'!G29,'20.8 Kayunga-Kangulumira'!G29,'21.8 Kayunga-Kangulumira'!G29,'22.8 Kayunga-Kangulumira'!G29,'23.8 Kayunga-Kangulumira'!G29,'24.8 Kayunga-Kangulumira'!G29,'25.8 Kayunga-Kangulumira'!G29)</f>
        <v>0.14285714285714285</v>
      </c>
      <c r="H29" s="49">
        <f>AVERAGE('19.8 Kayunga-Kangulumira'!H29,'20.8 Kayunga-Kangulumira'!H29,'21.8 Kayunga-Kangulumira'!H29,'22.8 Kayunga-Kangulumira'!H29,'23.8 Kayunga-Kangulumira'!H29,'24.8 Kayunga-Kangulumira'!H29,'25.8 Kayunga-Kangulumira'!H29)</f>
        <v>0</v>
      </c>
      <c r="I29" s="49">
        <f>AVERAGE('19.8 Kayunga-Kangulumira'!I29,'20.8 Kayunga-Kangulumira'!I29,'21.8 Kayunga-Kangulumira'!I29,'22.8 Kayunga-Kangulumira'!I29,'23.8 Kayunga-Kangulumira'!I29,'24.8 Kayunga-Kangulumira'!I29,'25.8 Kayunga-Kangulumira'!I29)</f>
        <v>2.7142857142857144</v>
      </c>
      <c r="J29" s="49">
        <f>AVERAGE('19.8 Kayunga-Kangulumira'!J29,'20.8 Kayunga-Kangulumira'!J29,'21.8 Kayunga-Kangulumira'!J29,'22.8 Kayunga-Kangulumira'!J29,'23.8 Kayunga-Kangulumira'!J29,'24.8 Kayunga-Kangulumira'!J29,'25.8 Kayunga-Kangulumira'!J29)</f>
        <v>0.14285714285714285</v>
      </c>
      <c r="K29" s="49">
        <f>AVERAGE('19.8 Kayunga-Kangulumira'!K29,'20.8 Kayunga-Kangulumira'!K29,'21.8 Kayunga-Kangulumira'!K29,'22.8 Kayunga-Kangulumira'!K29,'23.8 Kayunga-Kangulumira'!K29,'24.8 Kayunga-Kangulumira'!K29,'25.8 Kayunga-Kangulumira'!K29)</f>
        <v>0.14285714285714285</v>
      </c>
      <c r="L29" s="49">
        <f>AVERAGE('19.8 Kayunga-Kangulumira'!L29,'20.8 Kayunga-Kangulumira'!L29,'21.8 Kayunga-Kangulumira'!L29,'22.8 Kayunga-Kangulumira'!L29,'23.8 Kayunga-Kangulumira'!L29,'24.8 Kayunga-Kangulumira'!L29,'25.8 Kayunga-Kangulumira'!L29)</f>
        <v>0.14285714285714285</v>
      </c>
      <c r="M29" s="49">
        <f>AVERAGE('19.8 Kayunga-Kangulumira'!M29,'20.8 Kayunga-Kangulumira'!M29,'21.8 Kayunga-Kangulumira'!M29,'22.8 Kayunga-Kangulumira'!M29,'23.8 Kayunga-Kangulumira'!M29,'24.8 Kayunga-Kangulumira'!M29,'25.8 Kayunga-Kangulumira'!M29)</f>
        <v>24.285714285714285</v>
      </c>
      <c r="N29" s="49">
        <f>AVERAGE('19.8 Kayunga-Kangulumira'!N29,'20.8 Kayunga-Kangulumira'!N29,'21.8 Kayunga-Kangulumira'!N29,'22.8 Kayunga-Kangulumira'!N29,'23.8 Kayunga-Kangulumira'!N29,'24.8 Kayunga-Kangulumira'!N29,'25.8 Kayunga-Kangulumira'!N29)</f>
        <v>0.2857142857142857</v>
      </c>
      <c r="O29" s="15">
        <f t="shared" si="0"/>
        <v>17.428571428571427</v>
      </c>
      <c r="P29" s="15">
        <f t="shared" si="1"/>
        <v>41.714285714285715</v>
      </c>
      <c r="R29" s="1" t="s">
        <v>153</v>
      </c>
      <c r="S29" s="34">
        <f>SUM(C86:C89)</f>
        <v>1</v>
      </c>
      <c r="T29" s="34">
        <f t="shared" ref="T29:AF29" si="21">SUM(D86:D89)</f>
        <v>0.8</v>
      </c>
      <c r="U29" s="34">
        <f t="shared" si="21"/>
        <v>1.2</v>
      </c>
      <c r="V29" s="34">
        <f t="shared" si="21"/>
        <v>2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3</v>
      </c>
      <c r="AA29" s="34">
        <f t="shared" si="21"/>
        <v>2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15</v>
      </c>
      <c r="AF29" s="31">
        <f t="shared" si="21"/>
        <v>15</v>
      </c>
    </row>
    <row r="30" spans="2:32" ht="23.1" customHeight="1" x14ac:dyDescent="0.25">
      <c r="B30" s="23" t="s">
        <v>57</v>
      </c>
      <c r="C30" s="49">
        <f>AVERAGE('19.8 Kayunga-Kangulumira'!C30,'20.8 Kayunga-Kangulumira'!C30,'21.8 Kayunga-Kangulumira'!C30,'22.8 Kayunga-Kangulumira'!C30,'23.8 Kayunga-Kangulumira'!C30,'24.8 Kayunga-Kangulumira'!C30,'25.8 Kayunga-Kangulumira'!C30)</f>
        <v>4.5714285714285712</v>
      </c>
      <c r="D30" s="49">
        <f>0.4*(AVERAGE('19.8 Kayunga-Kangulumira'!E30,'20.8 Kayunga-Kangulumira'!E30,'21.8 Kayunga-Kangulumira'!E30,'22.8 Kayunga-Kangulumira'!E30,'23.8 Kayunga-Kangulumira'!E30,'24.8 Kayunga-Kangulumira'!E30,'25.8 Kayunga-Kangulumira'!E30))</f>
        <v>1.9428571428571428</v>
      </c>
      <c r="E30" s="49">
        <f>0.6*(AVERAGE('19.8 Kayunga-Kangulumira'!E30,'20.8 Kayunga-Kangulumira'!E30,'21.8 Kayunga-Kangulumira'!E30,'22.8 Kayunga-Kangulumira'!E30,'23.8 Kayunga-Kangulumira'!E30,'24.8 Kayunga-Kangulumira'!E30,'25.8 Kayunga-Kangulumira'!E30))</f>
        <v>2.9142857142857141</v>
      </c>
      <c r="F30" s="49">
        <f>AVERAGE('19.8 Kayunga-Kangulumira'!F30,'20.8 Kayunga-Kangulumira'!F30,'21.8 Kayunga-Kangulumira'!F30,'22.8 Kayunga-Kangulumira'!F30,'23.8 Kayunga-Kangulumira'!F30,'24.8 Kayunga-Kangulumira'!F30,'25.8 Kayunga-Kangulumira'!F30)</f>
        <v>5.4285714285714288</v>
      </c>
      <c r="G30" s="49">
        <f>AVERAGE('19.8 Kayunga-Kangulumira'!G30,'20.8 Kayunga-Kangulumira'!G30,'21.8 Kayunga-Kangulumira'!G30,'22.8 Kayunga-Kangulumira'!G30,'23.8 Kayunga-Kangulumira'!G30,'24.8 Kayunga-Kangulumira'!G30,'25.8 Kayunga-Kangulumira'!G30)</f>
        <v>0.5714285714285714</v>
      </c>
      <c r="H30" s="49">
        <f>AVERAGE('19.8 Kayunga-Kangulumira'!H30,'20.8 Kayunga-Kangulumira'!H30,'21.8 Kayunga-Kangulumira'!H30,'22.8 Kayunga-Kangulumira'!H30,'23.8 Kayunga-Kangulumira'!H30,'24.8 Kayunga-Kangulumira'!H30,'25.8 Kayunga-Kangulumira'!H30)</f>
        <v>0</v>
      </c>
      <c r="I30" s="49">
        <f>AVERAGE('19.8 Kayunga-Kangulumira'!I30,'20.8 Kayunga-Kangulumira'!I30,'21.8 Kayunga-Kangulumira'!I30,'22.8 Kayunga-Kangulumira'!I30,'23.8 Kayunga-Kangulumira'!I30,'24.8 Kayunga-Kangulumira'!I30,'25.8 Kayunga-Kangulumira'!I30)</f>
        <v>3.5714285714285716</v>
      </c>
      <c r="J30" s="49">
        <f>AVERAGE('19.8 Kayunga-Kangulumira'!J30,'20.8 Kayunga-Kangulumira'!J30,'21.8 Kayunga-Kangulumira'!J30,'22.8 Kayunga-Kangulumira'!J30,'23.8 Kayunga-Kangulumira'!J30,'24.8 Kayunga-Kangulumira'!J30,'25.8 Kayunga-Kangulumira'!J30)</f>
        <v>0.5714285714285714</v>
      </c>
      <c r="K30" s="49">
        <f>AVERAGE('19.8 Kayunga-Kangulumira'!K30,'20.8 Kayunga-Kangulumira'!K30,'21.8 Kayunga-Kangulumira'!K30,'22.8 Kayunga-Kangulumira'!K30,'23.8 Kayunga-Kangulumira'!K30,'24.8 Kayunga-Kangulumira'!K30,'25.8 Kayunga-Kangulumira'!K30)</f>
        <v>0.2857142857142857</v>
      </c>
      <c r="L30" s="49">
        <f>AVERAGE('19.8 Kayunga-Kangulumira'!L30,'20.8 Kayunga-Kangulumira'!L30,'21.8 Kayunga-Kangulumira'!L30,'22.8 Kayunga-Kangulumira'!L30,'23.8 Kayunga-Kangulumira'!L30,'24.8 Kayunga-Kangulumira'!L30,'25.8 Kayunga-Kangulumira'!L30)</f>
        <v>0.14285714285714285</v>
      </c>
      <c r="M30" s="49">
        <f>AVERAGE('19.8 Kayunga-Kangulumira'!M30,'20.8 Kayunga-Kangulumira'!M30,'21.8 Kayunga-Kangulumira'!M30,'22.8 Kayunga-Kangulumira'!M30,'23.8 Kayunga-Kangulumira'!M30,'24.8 Kayunga-Kangulumira'!M30,'25.8 Kayunga-Kangulumira'!M30)</f>
        <v>23.571428571428573</v>
      </c>
      <c r="N30" s="49">
        <f>AVERAGE('19.8 Kayunga-Kangulumira'!N30,'20.8 Kayunga-Kangulumira'!N30,'21.8 Kayunga-Kangulumira'!N30,'22.8 Kayunga-Kangulumira'!N30,'23.8 Kayunga-Kangulumira'!N30,'24.8 Kayunga-Kangulumira'!N30,'25.8 Kayunga-Kangulumira'!N30)</f>
        <v>0</v>
      </c>
      <c r="O30" s="15">
        <f t="shared" si="0"/>
        <v>20</v>
      </c>
      <c r="P30" s="15">
        <f t="shared" si="1"/>
        <v>43.571428571428569</v>
      </c>
      <c r="R30" s="1" t="s">
        <v>154</v>
      </c>
      <c r="S30" s="34">
        <f>SUM(C90:C93)</f>
        <v>0</v>
      </c>
      <c r="T30" s="34">
        <f t="shared" ref="T30:AF30" si="22">SUM(D90:D93)</f>
        <v>0.4</v>
      </c>
      <c r="U30" s="34">
        <f t="shared" si="22"/>
        <v>0.6</v>
      </c>
      <c r="V30" s="34">
        <f t="shared" si="22"/>
        <v>0</v>
      </c>
      <c r="W30" s="34">
        <f t="shared" si="22"/>
        <v>1</v>
      </c>
      <c r="X30" s="34">
        <f t="shared" si="22"/>
        <v>1</v>
      </c>
      <c r="Y30" s="34">
        <f t="shared" si="22"/>
        <v>0</v>
      </c>
      <c r="Z30" s="34">
        <f t="shared" si="22"/>
        <v>4</v>
      </c>
      <c r="AA30" s="34">
        <f t="shared" si="22"/>
        <v>3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11</v>
      </c>
      <c r="AF30" s="31">
        <f t="shared" si="22"/>
        <v>11</v>
      </c>
    </row>
    <row r="31" spans="2:32" ht="23.1" customHeight="1" x14ac:dyDescent="0.25">
      <c r="B31" s="24" t="s">
        <v>58</v>
      </c>
      <c r="C31" s="49">
        <f>AVERAGE('19.8 Kayunga-Kangulumira'!C31,'20.8 Kayunga-Kangulumira'!C31,'21.8 Kayunga-Kangulumira'!C31,'22.8 Kayunga-Kangulumira'!C31,'23.8 Kayunga-Kangulumira'!C31,'24.8 Kayunga-Kangulumira'!C31,'25.8 Kayunga-Kangulumira'!C31)</f>
        <v>6.2857142857142856</v>
      </c>
      <c r="D31" s="49">
        <f>0.4*(AVERAGE('19.8 Kayunga-Kangulumira'!E31,'20.8 Kayunga-Kangulumira'!E31,'21.8 Kayunga-Kangulumira'!E31,'22.8 Kayunga-Kangulumira'!E31,'23.8 Kayunga-Kangulumira'!E31,'24.8 Kayunga-Kangulumira'!E31,'25.8 Kayunga-Kangulumira'!E31))</f>
        <v>2.1142857142857143</v>
      </c>
      <c r="E31" s="49">
        <f>0.6*(AVERAGE('19.8 Kayunga-Kangulumira'!E31,'20.8 Kayunga-Kangulumira'!E31,'21.8 Kayunga-Kangulumira'!E31,'22.8 Kayunga-Kangulumira'!E31,'23.8 Kayunga-Kangulumira'!E31,'24.8 Kayunga-Kangulumira'!E31,'25.8 Kayunga-Kangulumira'!E31))</f>
        <v>3.1714285714285713</v>
      </c>
      <c r="F31" s="49">
        <f>AVERAGE('19.8 Kayunga-Kangulumira'!F31,'20.8 Kayunga-Kangulumira'!F31,'21.8 Kayunga-Kangulumira'!F31,'22.8 Kayunga-Kangulumira'!F31,'23.8 Kayunga-Kangulumira'!F31,'24.8 Kayunga-Kangulumira'!F31,'25.8 Kayunga-Kangulumira'!F31)</f>
        <v>4.8571428571428568</v>
      </c>
      <c r="G31" s="49">
        <f>AVERAGE('19.8 Kayunga-Kangulumira'!G31,'20.8 Kayunga-Kangulumira'!G31,'21.8 Kayunga-Kangulumira'!G31,'22.8 Kayunga-Kangulumira'!G31,'23.8 Kayunga-Kangulumira'!G31,'24.8 Kayunga-Kangulumira'!G31,'25.8 Kayunga-Kangulumira'!G31)</f>
        <v>1.2857142857142858</v>
      </c>
      <c r="H31" s="49">
        <f>AVERAGE('19.8 Kayunga-Kangulumira'!H31,'20.8 Kayunga-Kangulumira'!H31,'21.8 Kayunga-Kangulumira'!H31,'22.8 Kayunga-Kangulumira'!H31,'23.8 Kayunga-Kangulumira'!H31,'24.8 Kayunga-Kangulumira'!H31,'25.8 Kayunga-Kangulumira'!H31)</f>
        <v>0.2857142857142857</v>
      </c>
      <c r="I31" s="49">
        <f>AVERAGE('19.8 Kayunga-Kangulumira'!I31,'20.8 Kayunga-Kangulumira'!I31,'21.8 Kayunga-Kangulumira'!I31,'22.8 Kayunga-Kangulumira'!I31,'23.8 Kayunga-Kangulumira'!I31,'24.8 Kayunga-Kangulumira'!I31,'25.8 Kayunga-Kangulumira'!I31)</f>
        <v>3.4285714285714284</v>
      </c>
      <c r="J31" s="49">
        <f>AVERAGE('19.8 Kayunga-Kangulumira'!J31,'20.8 Kayunga-Kangulumira'!J31,'21.8 Kayunga-Kangulumira'!J31,'22.8 Kayunga-Kangulumira'!J31,'23.8 Kayunga-Kangulumira'!J31,'24.8 Kayunga-Kangulumira'!J31,'25.8 Kayunga-Kangulumira'!J31)</f>
        <v>0.2857142857142857</v>
      </c>
      <c r="K31" s="49">
        <f>AVERAGE('19.8 Kayunga-Kangulumira'!K31,'20.8 Kayunga-Kangulumira'!K31,'21.8 Kayunga-Kangulumira'!K31,'22.8 Kayunga-Kangulumira'!K31,'23.8 Kayunga-Kangulumira'!K31,'24.8 Kayunga-Kangulumira'!K31,'25.8 Kayunga-Kangulumira'!K31)</f>
        <v>0.42857142857142855</v>
      </c>
      <c r="L31" s="49">
        <f>AVERAGE('19.8 Kayunga-Kangulumira'!L31,'20.8 Kayunga-Kangulumira'!L31,'21.8 Kayunga-Kangulumira'!L31,'22.8 Kayunga-Kangulumira'!L31,'23.8 Kayunga-Kangulumira'!L31,'24.8 Kayunga-Kangulumira'!L31,'25.8 Kayunga-Kangulumira'!L31)</f>
        <v>0</v>
      </c>
      <c r="M31" s="49">
        <f>AVERAGE('19.8 Kayunga-Kangulumira'!M31,'20.8 Kayunga-Kangulumira'!M31,'21.8 Kayunga-Kangulumira'!M31,'22.8 Kayunga-Kangulumira'!M31,'23.8 Kayunga-Kangulumira'!M31,'24.8 Kayunga-Kangulumira'!M31,'25.8 Kayunga-Kangulumira'!M31)</f>
        <v>25.571428571428573</v>
      </c>
      <c r="N31" s="49">
        <f>AVERAGE('19.8 Kayunga-Kangulumira'!N31,'20.8 Kayunga-Kangulumira'!N31,'21.8 Kayunga-Kangulumira'!N31,'22.8 Kayunga-Kangulumira'!N31,'23.8 Kayunga-Kangulumira'!N31,'24.8 Kayunga-Kangulumira'!N31,'25.8 Kayunga-Kangulumira'!N31)</f>
        <v>0</v>
      </c>
      <c r="O31" s="15">
        <f t="shared" si="0"/>
        <v>22.142857142857135</v>
      </c>
      <c r="P31" s="15">
        <f t="shared" si="1"/>
        <v>47.714285714285708</v>
      </c>
      <c r="R31" s="1" t="s">
        <v>155</v>
      </c>
      <c r="S31" s="34">
        <f>SUM(C94:C97)</f>
        <v>0</v>
      </c>
      <c r="T31" s="34">
        <f t="shared" ref="T31:AF31" si="23">SUM(D94:D97)</f>
        <v>1.6</v>
      </c>
      <c r="U31" s="34">
        <f t="shared" si="23"/>
        <v>2.4</v>
      </c>
      <c r="V31" s="34">
        <f t="shared" si="23"/>
        <v>0</v>
      </c>
      <c r="W31" s="34">
        <f t="shared" si="23"/>
        <v>1</v>
      </c>
      <c r="X31" s="34">
        <f t="shared" si="23"/>
        <v>3</v>
      </c>
      <c r="Y31" s="34">
        <f t="shared" si="23"/>
        <v>0</v>
      </c>
      <c r="Z31" s="34">
        <f t="shared" si="23"/>
        <v>2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14</v>
      </c>
      <c r="AF31" s="31">
        <f t="shared" si="23"/>
        <v>14</v>
      </c>
    </row>
    <row r="32" spans="2:32" ht="23.1" customHeight="1" x14ac:dyDescent="0.25">
      <c r="B32" s="24" t="s">
        <v>59</v>
      </c>
      <c r="C32" s="49">
        <f>AVERAGE('19.8 Kayunga-Kangulumira'!C32,'20.8 Kayunga-Kangulumira'!C32,'21.8 Kayunga-Kangulumira'!C32,'22.8 Kayunga-Kangulumira'!C32,'23.8 Kayunga-Kangulumira'!C32,'24.8 Kayunga-Kangulumira'!C32,'25.8 Kayunga-Kangulumira'!C32)</f>
        <v>6.1428571428571432</v>
      </c>
      <c r="D32" s="49">
        <f>0.4*(AVERAGE('19.8 Kayunga-Kangulumira'!E32,'20.8 Kayunga-Kangulumira'!E32,'21.8 Kayunga-Kangulumira'!E32,'22.8 Kayunga-Kangulumira'!E32,'23.8 Kayunga-Kangulumira'!E32,'24.8 Kayunga-Kangulumira'!E32,'25.8 Kayunga-Kangulumira'!E32))</f>
        <v>1.9428571428571428</v>
      </c>
      <c r="E32" s="49">
        <f>0.6*(AVERAGE('19.8 Kayunga-Kangulumira'!E32,'20.8 Kayunga-Kangulumira'!E32,'21.8 Kayunga-Kangulumira'!E32,'22.8 Kayunga-Kangulumira'!E32,'23.8 Kayunga-Kangulumira'!E32,'24.8 Kayunga-Kangulumira'!E32,'25.8 Kayunga-Kangulumira'!E32))</f>
        <v>2.9142857142857141</v>
      </c>
      <c r="F32" s="49">
        <f>AVERAGE('19.8 Kayunga-Kangulumira'!F32,'20.8 Kayunga-Kangulumira'!F32,'21.8 Kayunga-Kangulumira'!F32,'22.8 Kayunga-Kangulumira'!F32,'23.8 Kayunga-Kangulumira'!F32,'24.8 Kayunga-Kangulumira'!F32,'25.8 Kayunga-Kangulumira'!F32)</f>
        <v>3.7142857142857144</v>
      </c>
      <c r="G32" s="49">
        <f>AVERAGE('19.8 Kayunga-Kangulumira'!G32,'20.8 Kayunga-Kangulumira'!G32,'21.8 Kayunga-Kangulumira'!G32,'22.8 Kayunga-Kangulumira'!G32,'23.8 Kayunga-Kangulumira'!G32,'24.8 Kayunga-Kangulumira'!G32,'25.8 Kayunga-Kangulumira'!G32)</f>
        <v>0.14285714285714285</v>
      </c>
      <c r="H32" s="49">
        <f>AVERAGE('19.8 Kayunga-Kangulumira'!H32,'20.8 Kayunga-Kangulumira'!H32,'21.8 Kayunga-Kangulumira'!H32,'22.8 Kayunga-Kangulumira'!H32,'23.8 Kayunga-Kangulumira'!H32,'24.8 Kayunga-Kangulumira'!H32,'25.8 Kayunga-Kangulumira'!H32)</f>
        <v>0</v>
      </c>
      <c r="I32" s="49">
        <f>AVERAGE('19.8 Kayunga-Kangulumira'!I32,'20.8 Kayunga-Kangulumira'!I32,'21.8 Kayunga-Kangulumira'!I32,'22.8 Kayunga-Kangulumira'!I32,'23.8 Kayunga-Kangulumira'!I32,'24.8 Kayunga-Kangulumira'!I32,'25.8 Kayunga-Kangulumira'!I32)</f>
        <v>4</v>
      </c>
      <c r="J32" s="49">
        <f>AVERAGE('19.8 Kayunga-Kangulumira'!J32,'20.8 Kayunga-Kangulumira'!J32,'21.8 Kayunga-Kangulumira'!J32,'22.8 Kayunga-Kangulumira'!J32,'23.8 Kayunga-Kangulumira'!J32,'24.8 Kayunga-Kangulumira'!J32,'25.8 Kayunga-Kangulumira'!J32)</f>
        <v>0</v>
      </c>
      <c r="K32" s="49">
        <f>AVERAGE('19.8 Kayunga-Kangulumira'!K32,'20.8 Kayunga-Kangulumira'!K32,'21.8 Kayunga-Kangulumira'!K32,'22.8 Kayunga-Kangulumira'!K32,'23.8 Kayunga-Kangulumira'!K32,'24.8 Kayunga-Kangulumira'!K32,'25.8 Kayunga-Kangulumira'!K32)</f>
        <v>0.42857142857142855</v>
      </c>
      <c r="L32" s="49">
        <f>AVERAGE('19.8 Kayunga-Kangulumira'!L32,'20.8 Kayunga-Kangulumira'!L32,'21.8 Kayunga-Kangulumira'!L32,'22.8 Kayunga-Kangulumira'!L32,'23.8 Kayunga-Kangulumira'!L32,'24.8 Kayunga-Kangulumira'!L32,'25.8 Kayunga-Kangulumira'!L32)</f>
        <v>0</v>
      </c>
      <c r="M32" s="49">
        <f>AVERAGE('19.8 Kayunga-Kangulumira'!M32,'20.8 Kayunga-Kangulumira'!M32,'21.8 Kayunga-Kangulumira'!M32,'22.8 Kayunga-Kangulumira'!M32,'23.8 Kayunga-Kangulumira'!M32,'24.8 Kayunga-Kangulumira'!M32,'25.8 Kayunga-Kangulumira'!M32)</f>
        <v>27.285714285714285</v>
      </c>
      <c r="N32" s="49">
        <f>AVERAGE('19.8 Kayunga-Kangulumira'!N32,'20.8 Kayunga-Kangulumira'!N32,'21.8 Kayunga-Kangulumira'!N32,'22.8 Kayunga-Kangulumira'!N32,'23.8 Kayunga-Kangulumira'!N32,'24.8 Kayunga-Kangulumira'!N32,'25.8 Kayunga-Kangulumira'!N32)</f>
        <v>0</v>
      </c>
      <c r="O32" s="15">
        <f t="shared" si="0"/>
        <v>19.285714285714285</v>
      </c>
      <c r="P32" s="15">
        <f t="shared" si="1"/>
        <v>46.571428571428569</v>
      </c>
      <c r="R32" s="1" t="s">
        <v>156</v>
      </c>
      <c r="S32" s="34">
        <f>SUM(C98:C101)</f>
        <v>2</v>
      </c>
      <c r="T32" s="34">
        <f t="shared" ref="T32:AF32" si="24">SUM(D98:D101)</f>
        <v>1.6</v>
      </c>
      <c r="U32" s="34">
        <f t="shared" si="24"/>
        <v>2.4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3</v>
      </c>
      <c r="AA32" s="34">
        <f t="shared" si="24"/>
        <v>0</v>
      </c>
      <c r="AB32" s="34">
        <f t="shared" si="24"/>
        <v>1</v>
      </c>
      <c r="AC32" s="34">
        <f t="shared" si="24"/>
        <v>0</v>
      </c>
      <c r="AD32" s="34">
        <f t="shared" si="24"/>
        <v>0</v>
      </c>
      <c r="AE32" s="31">
        <f t="shared" si="24"/>
        <v>10</v>
      </c>
      <c r="AF32" s="31">
        <f t="shared" si="24"/>
        <v>10</v>
      </c>
    </row>
    <row r="33" spans="2:32" ht="23.1" customHeight="1" x14ac:dyDescent="0.25">
      <c r="B33" s="23" t="s">
        <v>60</v>
      </c>
      <c r="C33" s="49">
        <f>AVERAGE('19.8 Kayunga-Kangulumira'!C33,'20.8 Kayunga-Kangulumira'!C33,'21.8 Kayunga-Kangulumira'!C33,'22.8 Kayunga-Kangulumira'!C33,'23.8 Kayunga-Kangulumira'!C33,'24.8 Kayunga-Kangulumira'!C33,'25.8 Kayunga-Kangulumira'!C33)</f>
        <v>7</v>
      </c>
      <c r="D33" s="49">
        <f>0.4*(AVERAGE('19.8 Kayunga-Kangulumira'!E33,'20.8 Kayunga-Kangulumira'!E33,'21.8 Kayunga-Kangulumira'!E33,'22.8 Kayunga-Kangulumira'!E33,'23.8 Kayunga-Kangulumira'!E33,'24.8 Kayunga-Kangulumira'!E33,'25.8 Kayunga-Kangulumira'!E33))</f>
        <v>2.1142857142857143</v>
      </c>
      <c r="E33" s="49">
        <f>0.6*(AVERAGE('19.8 Kayunga-Kangulumira'!E33,'20.8 Kayunga-Kangulumira'!E33,'21.8 Kayunga-Kangulumira'!E33,'22.8 Kayunga-Kangulumira'!E33,'23.8 Kayunga-Kangulumira'!E33,'24.8 Kayunga-Kangulumira'!E33,'25.8 Kayunga-Kangulumira'!E33))</f>
        <v>3.1714285714285713</v>
      </c>
      <c r="F33" s="49">
        <f>AVERAGE('19.8 Kayunga-Kangulumira'!F33,'20.8 Kayunga-Kangulumira'!F33,'21.8 Kayunga-Kangulumira'!F33,'22.8 Kayunga-Kangulumira'!F33,'23.8 Kayunga-Kangulumira'!F33,'24.8 Kayunga-Kangulumira'!F33,'25.8 Kayunga-Kangulumira'!F33)</f>
        <v>3.2857142857142856</v>
      </c>
      <c r="G33" s="49">
        <f>AVERAGE('19.8 Kayunga-Kangulumira'!G33,'20.8 Kayunga-Kangulumira'!G33,'21.8 Kayunga-Kangulumira'!G33,'22.8 Kayunga-Kangulumira'!G33,'23.8 Kayunga-Kangulumira'!G33,'24.8 Kayunga-Kangulumira'!G33,'25.8 Kayunga-Kangulumira'!G33)</f>
        <v>0.42857142857142855</v>
      </c>
      <c r="H33" s="49">
        <f>AVERAGE('19.8 Kayunga-Kangulumira'!H33,'20.8 Kayunga-Kangulumira'!H33,'21.8 Kayunga-Kangulumira'!H33,'22.8 Kayunga-Kangulumira'!H33,'23.8 Kayunga-Kangulumira'!H33,'24.8 Kayunga-Kangulumira'!H33,'25.8 Kayunga-Kangulumira'!H33)</f>
        <v>0</v>
      </c>
      <c r="I33" s="49">
        <f>AVERAGE('19.8 Kayunga-Kangulumira'!I33,'20.8 Kayunga-Kangulumira'!I33,'21.8 Kayunga-Kangulumira'!I33,'22.8 Kayunga-Kangulumira'!I33,'23.8 Kayunga-Kangulumira'!I33,'24.8 Kayunga-Kangulumira'!I33,'25.8 Kayunga-Kangulumira'!I33)</f>
        <v>3.5714285714285716</v>
      </c>
      <c r="J33" s="49">
        <f>AVERAGE('19.8 Kayunga-Kangulumira'!J33,'20.8 Kayunga-Kangulumira'!J33,'21.8 Kayunga-Kangulumira'!J33,'22.8 Kayunga-Kangulumira'!J33,'23.8 Kayunga-Kangulumira'!J33,'24.8 Kayunga-Kangulumira'!J33,'25.8 Kayunga-Kangulumira'!J33)</f>
        <v>0.14285714285714285</v>
      </c>
      <c r="K33" s="49">
        <f>AVERAGE('19.8 Kayunga-Kangulumira'!K33,'20.8 Kayunga-Kangulumira'!K33,'21.8 Kayunga-Kangulumira'!K33,'22.8 Kayunga-Kangulumira'!K33,'23.8 Kayunga-Kangulumira'!K33,'24.8 Kayunga-Kangulumira'!K33,'25.8 Kayunga-Kangulumira'!K33)</f>
        <v>0.14285714285714285</v>
      </c>
      <c r="L33" s="49">
        <f>AVERAGE('19.8 Kayunga-Kangulumira'!L33,'20.8 Kayunga-Kangulumira'!L33,'21.8 Kayunga-Kangulumira'!L33,'22.8 Kayunga-Kangulumira'!L33,'23.8 Kayunga-Kangulumira'!L33,'24.8 Kayunga-Kangulumira'!L33,'25.8 Kayunga-Kangulumira'!L33)</f>
        <v>0.42857142857142855</v>
      </c>
      <c r="M33" s="49">
        <f>AVERAGE('19.8 Kayunga-Kangulumira'!M33,'20.8 Kayunga-Kangulumira'!M33,'21.8 Kayunga-Kangulumira'!M33,'22.8 Kayunga-Kangulumira'!M33,'23.8 Kayunga-Kangulumira'!M33,'24.8 Kayunga-Kangulumira'!M33,'25.8 Kayunga-Kangulumira'!M33)</f>
        <v>27.428571428571427</v>
      </c>
      <c r="N33" s="49">
        <f>AVERAGE('19.8 Kayunga-Kangulumira'!N33,'20.8 Kayunga-Kangulumira'!N33,'21.8 Kayunga-Kangulumira'!N33,'22.8 Kayunga-Kangulumira'!N33,'23.8 Kayunga-Kangulumira'!N33,'24.8 Kayunga-Kangulumira'!N33,'25.8 Kayunga-Kangulumira'!N33)</f>
        <v>0</v>
      </c>
      <c r="O33" s="15">
        <f t="shared" si="0"/>
        <v>20.285714285714281</v>
      </c>
      <c r="P33" s="15">
        <f t="shared" si="1"/>
        <v>47.714285714285708</v>
      </c>
      <c r="R33" s="1" t="s">
        <v>157</v>
      </c>
      <c r="S33" s="34">
        <f>SUM(C102:C105)</f>
        <v>3</v>
      </c>
      <c r="T33" s="34">
        <f t="shared" ref="T33:AF33" si="25">SUM(D102:D105)</f>
        <v>1.6</v>
      </c>
      <c r="U33" s="34">
        <f t="shared" si="25"/>
        <v>2.4</v>
      </c>
      <c r="V33" s="34">
        <f t="shared" si="25"/>
        <v>2</v>
      </c>
      <c r="W33" s="34">
        <f t="shared" si="25"/>
        <v>1</v>
      </c>
      <c r="X33" s="34">
        <f t="shared" si="25"/>
        <v>2</v>
      </c>
      <c r="Y33" s="34">
        <f t="shared" si="25"/>
        <v>3</v>
      </c>
      <c r="Z33" s="34">
        <f t="shared" si="25"/>
        <v>4</v>
      </c>
      <c r="AA33" s="34">
        <f t="shared" si="25"/>
        <v>4</v>
      </c>
      <c r="AB33" s="34">
        <f t="shared" si="25"/>
        <v>1</v>
      </c>
      <c r="AC33" s="34">
        <f t="shared" si="25"/>
        <v>5</v>
      </c>
      <c r="AD33" s="34">
        <f t="shared" si="25"/>
        <v>0</v>
      </c>
      <c r="AE33" s="31">
        <f t="shared" si="25"/>
        <v>24</v>
      </c>
      <c r="AF33" s="31">
        <f t="shared" si="25"/>
        <v>29</v>
      </c>
    </row>
    <row r="34" spans="2:32" ht="23.1" customHeight="1" x14ac:dyDescent="0.25">
      <c r="B34" s="24" t="s">
        <v>61</v>
      </c>
      <c r="C34" s="49">
        <f>AVERAGE('19.8 Kayunga-Kangulumira'!C34,'20.8 Kayunga-Kangulumira'!C34,'21.8 Kayunga-Kangulumira'!C34,'22.8 Kayunga-Kangulumira'!C34,'23.8 Kayunga-Kangulumira'!C34,'24.8 Kayunga-Kangulumira'!C34,'25.8 Kayunga-Kangulumira'!C34)</f>
        <v>4.5714285714285712</v>
      </c>
      <c r="D34" s="49">
        <f>0.4*(AVERAGE('19.8 Kayunga-Kangulumira'!E34,'20.8 Kayunga-Kangulumira'!E34,'21.8 Kayunga-Kangulumira'!E34,'22.8 Kayunga-Kangulumira'!E34,'23.8 Kayunga-Kangulumira'!E34,'24.8 Kayunga-Kangulumira'!E34,'25.8 Kayunga-Kangulumira'!E34))</f>
        <v>1.2000000000000002</v>
      </c>
      <c r="E34" s="49">
        <f>0.6*(AVERAGE('19.8 Kayunga-Kangulumira'!E34,'20.8 Kayunga-Kangulumira'!E34,'21.8 Kayunga-Kangulumira'!E34,'22.8 Kayunga-Kangulumira'!E34,'23.8 Kayunga-Kangulumira'!E34,'24.8 Kayunga-Kangulumira'!E34,'25.8 Kayunga-Kangulumira'!E34))</f>
        <v>1.7999999999999998</v>
      </c>
      <c r="F34" s="49">
        <f>AVERAGE('19.8 Kayunga-Kangulumira'!F34,'20.8 Kayunga-Kangulumira'!F34,'21.8 Kayunga-Kangulumira'!F34,'22.8 Kayunga-Kangulumira'!F34,'23.8 Kayunga-Kangulumira'!F34,'24.8 Kayunga-Kangulumira'!F34,'25.8 Kayunga-Kangulumira'!F34)</f>
        <v>4.4285714285714288</v>
      </c>
      <c r="G34" s="49">
        <f>AVERAGE('19.8 Kayunga-Kangulumira'!G34,'20.8 Kayunga-Kangulumira'!G34,'21.8 Kayunga-Kangulumira'!G34,'22.8 Kayunga-Kangulumira'!G34,'23.8 Kayunga-Kangulumira'!G34,'24.8 Kayunga-Kangulumira'!G34,'25.8 Kayunga-Kangulumira'!G34)</f>
        <v>0.5714285714285714</v>
      </c>
      <c r="H34" s="49">
        <f>AVERAGE('19.8 Kayunga-Kangulumira'!H34,'20.8 Kayunga-Kangulumira'!H34,'21.8 Kayunga-Kangulumira'!H34,'22.8 Kayunga-Kangulumira'!H34,'23.8 Kayunga-Kangulumira'!H34,'24.8 Kayunga-Kangulumira'!H34,'25.8 Kayunga-Kangulumira'!H34)</f>
        <v>0</v>
      </c>
      <c r="I34" s="49">
        <f>AVERAGE('19.8 Kayunga-Kangulumira'!I34,'20.8 Kayunga-Kangulumira'!I34,'21.8 Kayunga-Kangulumira'!I34,'22.8 Kayunga-Kangulumira'!I34,'23.8 Kayunga-Kangulumira'!I34,'24.8 Kayunga-Kangulumira'!I34,'25.8 Kayunga-Kangulumira'!I34)</f>
        <v>4</v>
      </c>
      <c r="J34" s="49">
        <f>AVERAGE('19.8 Kayunga-Kangulumira'!J34,'20.8 Kayunga-Kangulumira'!J34,'21.8 Kayunga-Kangulumira'!J34,'22.8 Kayunga-Kangulumira'!J34,'23.8 Kayunga-Kangulumira'!J34,'24.8 Kayunga-Kangulumira'!J34,'25.8 Kayunga-Kangulumira'!J34)</f>
        <v>0.14285714285714285</v>
      </c>
      <c r="K34" s="49">
        <f>AVERAGE('19.8 Kayunga-Kangulumira'!K34,'20.8 Kayunga-Kangulumira'!K34,'21.8 Kayunga-Kangulumira'!K34,'22.8 Kayunga-Kangulumira'!K34,'23.8 Kayunga-Kangulumira'!K34,'24.8 Kayunga-Kangulumira'!K34,'25.8 Kayunga-Kangulumira'!K34)</f>
        <v>0.7142857142857143</v>
      </c>
      <c r="L34" s="49">
        <f>AVERAGE('19.8 Kayunga-Kangulumira'!L34,'20.8 Kayunga-Kangulumira'!L34,'21.8 Kayunga-Kangulumira'!L34,'22.8 Kayunga-Kangulumira'!L34,'23.8 Kayunga-Kangulumira'!L34,'24.8 Kayunga-Kangulumira'!L34,'25.8 Kayunga-Kangulumira'!L34)</f>
        <v>0.5714285714285714</v>
      </c>
      <c r="M34" s="49">
        <f>AVERAGE('19.8 Kayunga-Kangulumira'!M34,'20.8 Kayunga-Kangulumira'!M34,'21.8 Kayunga-Kangulumira'!M34,'22.8 Kayunga-Kangulumira'!M34,'23.8 Kayunga-Kangulumira'!M34,'24.8 Kayunga-Kangulumira'!M34,'25.8 Kayunga-Kangulumira'!M34)</f>
        <v>26.428571428571427</v>
      </c>
      <c r="N34" s="49">
        <f>AVERAGE('19.8 Kayunga-Kangulumira'!N34,'20.8 Kayunga-Kangulumira'!N34,'21.8 Kayunga-Kangulumira'!N34,'22.8 Kayunga-Kangulumira'!N34,'23.8 Kayunga-Kangulumira'!N34,'24.8 Kayunga-Kangulumira'!N34,'25.8 Kayunga-Kangulumira'!N34)</f>
        <v>0</v>
      </c>
      <c r="O34" s="15">
        <f t="shared" si="0"/>
        <v>18</v>
      </c>
      <c r="P34" s="15">
        <f t="shared" si="1"/>
        <v>44.428571428571431</v>
      </c>
      <c r="R34" s="51" t="s">
        <v>90</v>
      </c>
      <c r="S34" s="52">
        <f t="shared" ref="S34:AF34" si="26">MAX(S10:S12)</f>
        <v>19.857142857142854</v>
      </c>
      <c r="T34" s="52">
        <f t="shared" si="26"/>
        <v>6.5714285714285721</v>
      </c>
      <c r="U34" s="52">
        <f t="shared" si="26"/>
        <v>9.8571428571428577</v>
      </c>
      <c r="V34" s="52">
        <f t="shared" si="26"/>
        <v>26.857142857142858</v>
      </c>
      <c r="W34" s="52">
        <f t="shared" si="26"/>
        <v>1.2857142857142856</v>
      </c>
      <c r="X34" s="52">
        <f t="shared" si="26"/>
        <v>0</v>
      </c>
      <c r="Y34" s="52">
        <f t="shared" si="26"/>
        <v>7.5714285714285712</v>
      </c>
      <c r="Z34" s="52">
        <f t="shared" si="26"/>
        <v>0.42857142857142855</v>
      </c>
      <c r="AA34" s="52">
        <f t="shared" si="26"/>
        <v>4</v>
      </c>
      <c r="AB34" s="52">
        <f t="shared" si="26"/>
        <v>0.14285714285714285</v>
      </c>
      <c r="AC34" s="52">
        <f t="shared" si="26"/>
        <v>132.14285714285714</v>
      </c>
      <c r="AD34" s="52">
        <f t="shared" si="26"/>
        <v>0.14285714285714285</v>
      </c>
      <c r="AE34" s="40">
        <f t="shared" si="26"/>
        <v>64.714285714285708</v>
      </c>
      <c r="AF34" s="40">
        <f t="shared" si="26"/>
        <v>192.42857142857144</v>
      </c>
    </row>
    <row r="35" spans="2:32" ht="23.1" customHeight="1" x14ac:dyDescent="0.25">
      <c r="B35" s="24" t="s">
        <v>62</v>
      </c>
      <c r="C35" s="49">
        <f>AVERAGE('19.8 Kayunga-Kangulumira'!C35,'20.8 Kayunga-Kangulumira'!C35,'21.8 Kayunga-Kangulumira'!C35,'22.8 Kayunga-Kangulumira'!C35,'23.8 Kayunga-Kangulumira'!C35,'24.8 Kayunga-Kangulumira'!C35,'25.8 Kayunga-Kangulumira'!C35)</f>
        <v>5.2857142857142856</v>
      </c>
      <c r="D35" s="49">
        <f>0.4*(AVERAGE('19.8 Kayunga-Kangulumira'!E35,'20.8 Kayunga-Kangulumira'!E35,'21.8 Kayunga-Kangulumira'!E35,'22.8 Kayunga-Kangulumira'!E35,'23.8 Kayunga-Kangulumira'!E35,'24.8 Kayunga-Kangulumira'!E35,'25.8 Kayunga-Kangulumira'!E35))</f>
        <v>1.7142857142857144</v>
      </c>
      <c r="E35" s="49">
        <f>0.6*(AVERAGE('19.8 Kayunga-Kangulumira'!E35,'20.8 Kayunga-Kangulumira'!E35,'21.8 Kayunga-Kangulumira'!E35,'22.8 Kayunga-Kangulumira'!E35,'23.8 Kayunga-Kangulumira'!E35,'24.8 Kayunga-Kangulumira'!E35,'25.8 Kayunga-Kangulumira'!E35))</f>
        <v>2.5714285714285712</v>
      </c>
      <c r="F35" s="49">
        <f>AVERAGE('19.8 Kayunga-Kangulumira'!F35,'20.8 Kayunga-Kangulumira'!F35,'21.8 Kayunga-Kangulumira'!F35,'22.8 Kayunga-Kangulumira'!F35,'23.8 Kayunga-Kangulumira'!F35,'24.8 Kayunga-Kangulumira'!F35,'25.8 Kayunga-Kangulumira'!F35)</f>
        <v>5</v>
      </c>
      <c r="G35" s="49">
        <f>AVERAGE('19.8 Kayunga-Kangulumira'!G35,'20.8 Kayunga-Kangulumira'!G35,'21.8 Kayunga-Kangulumira'!G35,'22.8 Kayunga-Kangulumira'!G35,'23.8 Kayunga-Kangulumira'!G35,'24.8 Kayunga-Kangulumira'!G35,'25.8 Kayunga-Kangulumira'!G35)</f>
        <v>0.2857142857142857</v>
      </c>
      <c r="H35" s="49">
        <f>AVERAGE('19.8 Kayunga-Kangulumira'!H35,'20.8 Kayunga-Kangulumira'!H35,'21.8 Kayunga-Kangulumira'!H35,'22.8 Kayunga-Kangulumira'!H35,'23.8 Kayunga-Kangulumira'!H35,'24.8 Kayunga-Kangulumira'!H35,'25.8 Kayunga-Kangulumira'!H35)</f>
        <v>0</v>
      </c>
      <c r="I35" s="49">
        <f>AVERAGE('19.8 Kayunga-Kangulumira'!I35,'20.8 Kayunga-Kangulumira'!I35,'21.8 Kayunga-Kangulumira'!I35,'22.8 Kayunga-Kangulumira'!I35,'23.8 Kayunga-Kangulumira'!I35,'24.8 Kayunga-Kangulumira'!I35,'25.8 Kayunga-Kangulumira'!I35)</f>
        <v>2.2857142857142856</v>
      </c>
      <c r="J35" s="49">
        <f>AVERAGE('19.8 Kayunga-Kangulumira'!J35,'20.8 Kayunga-Kangulumira'!J35,'21.8 Kayunga-Kangulumira'!J35,'22.8 Kayunga-Kangulumira'!J35,'23.8 Kayunga-Kangulumira'!J35,'24.8 Kayunga-Kangulumira'!J35,'25.8 Kayunga-Kangulumira'!J35)</f>
        <v>0.14285714285714285</v>
      </c>
      <c r="K35" s="49">
        <f>AVERAGE('19.8 Kayunga-Kangulumira'!K35,'20.8 Kayunga-Kangulumira'!K35,'21.8 Kayunga-Kangulumira'!K35,'22.8 Kayunga-Kangulumira'!K35,'23.8 Kayunga-Kangulumira'!K35,'24.8 Kayunga-Kangulumira'!K35,'25.8 Kayunga-Kangulumira'!K35)</f>
        <v>0.42857142857142855</v>
      </c>
      <c r="L35" s="49">
        <f>AVERAGE('19.8 Kayunga-Kangulumira'!L35,'20.8 Kayunga-Kangulumira'!L35,'21.8 Kayunga-Kangulumira'!L35,'22.8 Kayunga-Kangulumira'!L35,'23.8 Kayunga-Kangulumira'!L35,'24.8 Kayunga-Kangulumira'!L35,'25.8 Kayunga-Kangulumira'!L35)</f>
        <v>0.42857142857142855</v>
      </c>
      <c r="M35" s="49">
        <f>AVERAGE('19.8 Kayunga-Kangulumira'!M35,'20.8 Kayunga-Kangulumira'!M35,'21.8 Kayunga-Kangulumira'!M35,'22.8 Kayunga-Kangulumira'!M35,'23.8 Kayunga-Kangulumira'!M35,'24.8 Kayunga-Kangulumira'!M35,'25.8 Kayunga-Kangulumira'!M35)</f>
        <v>24.571428571428573</v>
      </c>
      <c r="N35" s="49">
        <f>AVERAGE('19.8 Kayunga-Kangulumira'!N35,'20.8 Kayunga-Kangulumira'!N35,'21.8 Kayunga-Kangulumira'!N35,'22.8 Kayunga-Kangulumira'!N35,'23.8 Kayunga-Kangulumira'!N35,'24.8 Kayunga-Kangulumira'!N35,'25.8 Kayunga-Kangulumira'!N35)</f>
        <v>0</v>
      </c>
      <c r="O35" s="15">
        <f t="shared" si="0"/>
        <v>18.142857142857139</v>
      </c>
      <c r="P35" s="15">
        <f t="shared" si="1"/>
        <v>42.714285714285708</v>
      </c>
      <c r="R35" s="51" t="s">
        <v>91</v>
      </c>
      <c r="S35" s="52">
        <f t="shared" ref="S35:AF35" si="27">MAX(S13:S18)</f>
        <v>24</v>
      </c>
      <c r="T35" s="52">
        <f t="shared" si="27"/>
        <v>8.1142857142857157</v>
      </c>
      <c r="U35" s="52">
        <f t="shared" si="27"/>
        <v>12.171428571428571</v>
      </c>
      <c r="V35" s="52">
        <f t="shared" si="27"/>
        <v>18</v>
      </c>
      <c r="W35" s="52">
        <f t="shared" si="27"/>
        <v>2.4285714285714284</v>
      </c>
      <c r="X35" s="52">
        <f t="shared" si="27"/>
        <v>0.71428571428571419</v>
      </c>
      <c r="Y35" s="52">
        <f t="shared" si="27"/>
        <v>15.571428571428569</v>
      </c>
      <c r="Z35" s="52">
        <f t="shared" si="27"/>
        <v>1.7142857142857144</v>
      </c>
      <c r="AA35" s="52">
        <f t="shared" si="27"/>
        <v>2</v>
      </c>
      <c r="AB35" s="52">
        <f t="shared" si="27"/>
        <v>2.2857142857142856</v>
      </c>
      <c r="AC35" s="52">
        <f t="shared" si="27"/>
        <v>103.85714285714286</v>
      </c>
      <c r="AD35" s="52">
        <f t="shared" si="27"/>
        <v>0.2857142857142857</v>
      </c>
      <c r="AE35" s="40">
        <f t="shared" si="27"/>
        <v>81.714285714285708</v>
      </c>
      <c r="AF35" s="40">
        <f t="shared" si="27"/>
        <v>185.57142857142856</v>
      </c>
    </row>
    <row r="36" spans="2:32" ht="23.1" customHeight="1" x14ac:dyDescent="0.25">
      <c r="B36" s="24" t="s">
        <v>63</v>
      </c>
      <c r="C36" s="49">
        <f>AVERAGE('19.8 Kayunga-Kangulumira'!C36,'20.8 Kayunga-Kangulumira'!C36,'21.8 Kayunga-Kangulumira'!C36,'22.8 Kayunga-Kangulumira'!C36,'23.8 Kayunga-Kangulumira'!C36,'24.8 Kayunga-Kangulumira'!C36,'25.8 Kayunga-Kangulumira'!C36)</f>
        <v>5.1428571428571432</v>
      </c>
      <c r="D36" s="49">
        <f>0.4*(AVERAGE('19.8 Kayunga-Kangulumira'!E36,'20.8 Kayunga-Kangulumira'!E36,'21.8 Kayunga-Kangulumira'!E36,'22.8 Kayunga-Kangulumira'!E36,'23.8 Kayunga-Kangulumira'!E36,'24.8 Kayunga-Kangulumira'!E36,'25.8 Kayunga-Kangulumira'!E36))</f>
        <v>1.9428571428571428</v>
      </c>
      <c r="E36" s="49">
        <f>0.6*(AVERAGE('19.8 Kayunga-Kangulumira'!E36,'20.8 Kayunga-Kangulumira'!E36,'21.8 Kayunga-Kangulumira'!E36,'22.8 Kayunga-Kangulumira'!E36,'23.8 Kayunga-Kangulumira'!E36,'24.8 Kayunga-Kangulumira'!E36,'25.8 Kayunga-Kangulumira'!E36))</f>
        <v>2.9142857142857141</v>
      </c>
      <c r="F36" s="49">
        <f>AVERAGE('19.8 Kayunga-Kangulumira'!F36,'20.8 Kayunga-Kangulumira'!F36,'21.8 Kayunga-Kangulumira'!F36,'22.8 Kayunga-Kangulumira'!F36,'23.8 Kayunga-Kangulumira'!F36,'24.8 Kayunga-Kangulumira'!F36,'25.8 Kayunga-Kangulumira'!F36)</f>
        <v>4</v>
      </c>
      <c r="G36" s="49">
        <f>AVERAGE('19.8 Kayunga-Kangulumira'!G36,'20.8 Kayunga-Kangulumira'!G36,'21.8 Kayunga-Kangulumira'!G36,'22.8 Kayunga-Kangulumira'!G36,'23.8 Kayunga-Kangulumira'!G36,'24.8 Kayunga-Kangulumira'!G36,'25.8 Kayunga-Kangulumira'!G36)</f>
        <v>0.14285714285714285</v>
      </c>
      <c r="H36" s="49">
        <f>AVERAGE('19.8 Kayunga-Kangulumira'!H36,'20.8 Kayunga-Kangulumira'!H36,'21.8 Kayunga-Kangulumira'!H36,'22.8 Kayunga-Kangulumira'!H36,'23.8 Kayunga-Kangulumira'!H36,'24.8 Kayunga-Kangulumira'!H36,'25.8 Kayunga-Kangulumira'!H36)</f>
        <v>0</v>
      </c>
      <c r="I36" s="49">
        <f>AVERAGE('19.8 Kayunga-Kangulumira'!I36,'20.8 Kayunga-Kangulumira'!I36,'21.8 Kayunga-Kangulumira'!I36,'22.8 Kayunga-Kangulumira'!I36,'23.8 Kayunga-Kangulumira'!I36,'24.8 Kayunga-Kangulumira'!I36,'25.8 Kayunga-Kangulumira'!I36)</f>
        <v>3.1428571428571428</v>
      </c>
      <c r="J36" s="49">
        <f>AVERAGE('19.8 Kayunga-Kangulumira'!J36,'20.8 Kayunga-Kangulumira'!J36,'21.8 Kayunga-Kangulumira'!J36,'22.8 Kayunga-Kangulumira'!J36,'23.8 Kayunga-Kangulumira'!J36,'24.8 Kayunga-Kangulumira'!J36,'25.8 Kayunga-Kangulumira'!J36)</f>
        <v>0.2857142857142857</v>
      </c>
      <c r="K36" s="49">
        <f>AVERAGE('19.8 Kayunga-Kangulumira'!K36,'20.8 Kayunga-Kangulumira'!K36,'21.8 Kayunga-Kangulumira'!K36,'22.8 Kayunga-Kangulumira'!K36,'23.8 Kayunga-Kangulumira'!K36,'24.8 Kayunga-Kangulumira'!K36,'25.8 Kayunga-Kangulumira'!K36)</f>
        <v>0.2857142857142857</v>
      </c>
      <c r="L36" s="49">
        <f>AVERAGE('19.8 Kayunga-Kangulumira'!L36,'20.8 Kayunga-Kangulumira'!L36,'21.8 Kayunga-Kangulumira'!L36,'22.8 Kayunga-Kangulumira'!L36,'23.8 Kayunga-Kangulumira'!L36,'24.8 Kayunga-Kangulumira'!L36,'25.8 Kayunga-Kangulumira'!L36)</f>
        <v>0</v>
      </c>
      <c r="M36" s="49">
        <f>AVERAGE('19.8 Kayunga-Kangulumira'!M36,'20.8 Kayunga-Kangulumira'!M36,'21.8 Kayunga-Kangulumira'!M36,'22.8 Kayunga-Kangulumira'!M36,'23.8 Kayunga-Kangulumira'!M36,'24.8 Kayunga-Kangulumira'!M36,'25.8 Kayunga-Kangulumira'!M36)</f>
        <v>23.714285714285715</v>
      </c>
      <c r="N36" s="49">
        <f>AVERAGE('19.8 Kayunga-Kangulumira'!N36,'20.8 Kayunga-Kangulumira'!N36,'21.8 Kayunga-Kangulumira'!N36,'22.8 Kayunga-Kangulumira'!N36,'23.8 Kayunga-Kangulumira'!N36,'24.8 Kayunga-Kangulumira'!N36,'25.8 Kayunga-Kangulumira'!N36)</f>
        <v>0</v>
      </c>
      <c r="O36" s="15">
        <f t="shared" si="0"/>
        <v>17.857142857142854</v>
      </c>
      <c r="P36" s="15">
        <f t="shared" si="1"/>
        <v>41.571428571428569</v>
      </c>
      <c r="R36" s="51" t="s">
        <v>92</v>
      </c>
      <c r="S36" s="52">
        <f t="shared" ref="S36:AF36" si="28">MAX(S19:S21)</f>
        <v>23.428571428571431</v>
      </c>
      <c r="T36" s="52">
        <f t="shared" si="28"/>
        <v>10.342857142857143</v>
      </c>
      <c r="U36" s="52">
        <f t="shared" si="28"/>
        <v>15.514285714285714</v>
      </c>
      <c r="V36" s="52">
        <f t="shared" si="28"/>
        <v>20.142857142857146</v>
      </c>
      <c r="W36" s="52">
        <f t="shared" si="28"/>
        <v>2.1428571428571428</v>
      </c>
      <c r="X36" s="52">
        <f t="shared" si="28"/>
        <v>3</v>
      </c>
      <c r="Y36" s="52">
        <f t="shared" si="28"/>
        <v>19.571428571428569</v>
      </c>
      <c r="Z36" s="52">
        <f t="shared" si="28"/>
        <v>2.8571428571428568</v>
      </c>
      <c r="AA36" s="52">
        <f t="shared" si="28"/>
        <v>2.8571428571428568</v>
      </c>
      <c r="AB36" s="52">
        <f t="shared" si="28"/>
        <v>2.1428571428571428</v>
      </c>
      <c r="AC36" s="52">
        <f t="shared" si="28"/>
        <v>122</v>
      </c>
      <c r="AD36" s="52">
        <f t="shared" si="28"/>
        <v>0.14285714285714285</v>
      </c>
      <c r="AE36" s="40">
        <f t="shared" si="28"/>
        <v>98.714285714285708</v>
      </c>
      <c r="AF36" s="40">
        <f t="shared" si="28"/>
        <v>220.71428571428572</v>
      </c>
    </row>
    <row r="37" spans="2:32" ht="23.1" customHeight="1" x14ac:dyDescent="0.25">
      <c r="B37" s="23" t="s">
        <v>64</v>
      </c>
      <c r="C37" s="49">
        <f>AVERAGE('19.8 Kayunga-Kangulumira'!C37,'20.8 Kayunga-Kangulumira'!C37,'21.8 Kayunga-Kangulumira'!C37,'22.8 Kayunga-Kangulumira'!C37,'23.8 Kayunga-Kangulumira'!C37,'24.8 Kayunga-Kangulumira'!C37,'25.8 Kayunga-Kangulumira'!C37)</f>
        <v>4.1428571428571432</v>
      </c>
      <c r="D37" s="49">
        <f>0.4*(AVERAGE('19.8 Kayunga-Kangulumira'!E37,'20.8 Kayunga-Kangulumira'!E37,'21.8 Kayunga-Kangulumira'!E37,'22.8 Kayunga-Kangulumira'!E37,'23.8 Kayunga-Kangulumira'!E37,'24.8 Kayunga-Kangulumira'!E37,'25.8 Kayunga-Kangulumira'!E37))</f>
        <v>1.9428571428571428</v>
      </c>
      <c r="E37" s="49">
        <f>0.6*(AVERAGE('19.8 Kayunga-Kangulumira'!E37,'20.8 Kayunga-Kangulumira'!E37,'21.8 Kayunga-Kangulumira'!E37,'22.8 Kayunga-Kangulumira'!E37,'23.8 Kayunga-Kangulumira'!E37,'24.8 Kayunga-Kangulumira'!E37,'25.8 Kayunga-Kangulumira'!E37))</f>
        <v>2.9142857142857141</v>
      </c>
      <c r="F37" s="49">
        <f>AVERAGE('19.8 Kayunga-Kangulumira'!F37,'20.8 Kayunga-Kangulumira'!F37,'21.8 Kayunga-Kangulumira'!F37,'22.8 Kayunga-Kangulumira'!F37,'23.8 Kayunga-Kangulumira'!F37,'24.8 Kayunga-Kangulumira'!F37,'25.8 Kayunga-Kangulumira'!F37)</f>
        <v>3.8571428571428572</v>
      </c>
      <c r="G37" s="49">
        <f>AVERAGE('19.8 Kayunga-Kangulumira'!G37,'20.8 Kayunga-Kangulumira'!G37,'21.8 Kayunga-Kangulumira'!G37,'22.8 Kayunga-Kangulumira'!G37,'23.8 Kayunga-Kangulumira'!G37,'24.8 Kayunga-Kangulumira'!G37,'25.8 Kayunga-Kangulumira'!G37)</f>
        <v>0.42857142857142855</v>
      </c>
      <c r="H37" s="49">
        <f>AVERAGE('19.8 Kayunga-Kangulumira'!H37,'20.8 Kayunga-Kangulumira'!H37,'21.8 Kayunga-Kangulumira'!H37,'22.8 Kayunga-Kangulumira'!H37,'23.8 Kayunga-Kangulumira'!H37,'24.8 Kayunga-Kangulumira'!H37,'25.8 Kayunga-Kangulumira'!H37)</f>
        <v>0</v>
      </c>
      <c r="I37" s="49">
        <f>AVERAGE('19.8 Kayunga-Kangulumira'!I37,'20.8 Kayunga-Kangulumira'!I37,'21.8 Kayunga-Kangulumira'!I37,'22.8 Kayunga-Kangulumira'!I37,'23.8 Kayunga-Kangulumira'!I37,'24.8 Kayunga-Kangulumira'!I37,'25.8 Kayunga-Kangulumira'!I37)</f>
        <v>3.1428571428571428</v>
      </c>
      <c r="J37" s="49">
        <f>AVERAGE('19.8 Kayunga-Kangulumira'!J37,'20.8 Kayunga-Kangulumira'!J37,'21.8 Kayunga-Kangulumira'!J37,'22.8 Kayunga-Kangulumira'!J37,'23.8 Kayunga-Kangulumira'!J37,'24.8 Kayunga-Kangulumira'!J37,'25.8 Kayunga-Kangulumira'!J37)</f>
        <v>0.42857142857142855</v>
      </c>
      <c r="K37" s="49">
        <f>AVERAGE('19.8 Kayunga-Kangulumira'!K37,'20.8 Kayunga-Kangulumira'!K37,'21.8 Kayunga-Kangulumira'!K37,'22.8 Kayunga-Kangulumira'!K37,'23.8 Kayunga-Kangulumira'!K37,'24.8 Kayunga-Kangulumira'!K37,'25.8 Kayunga-Kangulumira'!K37)</f>
        <v>0</v>
      </c>
      <c r="L37" s="49">
        <f>AVERAGE('19.8 Kayunga-Kangulumira'!L37,'20.8 Kayunga-Kangulumira'!L37,'21.8 Kayunga-Kangulumira'!L37,'22.8 Kayunga-Kangulumira'!L37,'23.8 Kayunga-Kangulumira'!L37,'24.8 Kayunga-Kangulumira'!L37,'25.8 Kayunga-Kangulumira'!L37)</f>
        <v>0.2857142857142857</v>
      </c>
      <c r="M37" s="49">
        <f>AVERAGE('19.8 Kayunga-Kangulumira'!M37,'20.8 Kayunga-Kangulumira'!M37,'21.8 Kayunga-Kangulumira'!M37,'22.8 Kayunga-Kangulumira'!M37,'23.8 Kayunga-Kangulumira'!M37,'24.8 Kayunga-Kangulumira'!M37,'25.8 Kayunga-Kangulumira'!M37)</f>
        <v>23.857142857142858</v>
      </c>
      <c r="N37" s="49">
        <f>AVERAGE('19.8 Kayunga-Kangulumira'!N37,'20.8 Kayunga-Kangulumira'!N37,'21.8 Kayunga-Kangulumira'!N37,'22.8 Kayunga-Kangulumira'!N37,'23.8 Kayunga-Kangulumira'!N37,'24.8 Kayunga-Kangulumira'!N37,'25.8 Kayunga-Kangulumira'!N37)</f>
        <v>0</v>
      </c>
      <c r="O37" s="15">
        <f t="shared" si="0"/>
        <v>17.142857142857142</v>
      </c>
      <c r="P37" s="15">
        <f t="shared" si="1"/>
        <v>41</v>
      </c>
      <c r="R37" s="37" t="s">
        <v>85</v>
      </c>
      <c r="S37" s="53">
        <f t="shared" ref="S37:AF37" si="29">SUM(S10:S12)</f>
        <v>47.714285714285708</v>
      </c>
      <c r="T37" s="54">
        <f t="shared" si="29"/>
        <v>18.057142857142857</v>
      </c>
      <c r="U37" s="54">
        <f t="shared" si="29"/>
        <v>27.085714285714285</v>
      </c>
      <c r="V37" s="54">
        <f t="shared" si="29"/>
        <v>60.857142857142861</v>
      </c>
      <c r="W37" s="54">
        <f t="shared" si="29"/>
        <v>2.2857142857142856</v>
      </c>
      <c r="X37" s="54">
        <f t="shared" si="29"/>
        <v>0</v>
      </c>
      <c r="Y37" s="54">
        <f t="shared" si="29"/>
        <v>20</v>
      </c>
      <c r="Z37" s="54">
        <f t="shared" si="29"/>
        <v>0.5714285714285714</v>
      </c>
      <c r="AA37" s="54">
        <f t="shared" si="29"/>
        <v>5.2857142857142856</v>
      </c>
      <c r="AB37" s="54">
        <f t="shared" si="29"/>
        <v>0.14285714285714285</v>
      </c>
      <c r="AC37" s="54">
        <f t="shared" si="29"/>
        <v>372.14285714285717</v>
      </c>
      <c r="AD37" s="54">
        <f t="shared" si="29"/>
        <v>0.14285714285714285</v>
      </c>
      <c r="AE37" s="55">
        <f t="shared" si="29"/>
        <v>182.14285714285714</v>
      </c>
      <c r="AF37" s="55">
        <f t="shared" si="29"/>
        <v>554.28571428571433</v>
      </c>
    </row>
    <row r="38" spans="2:32" ht="23.1" customHeight="1" x14ac:dyDescent="0.25">
      <c r="B38" s="24" t="s">
        <v>65</v>
      </c>
      <c r="C38" s="49">
        <f>AVERAGE('19.8 Kayunga-Kangulumira'!C38,'20.8 Kayunga-Kangulumira'!C38,'21.8 Kayunga-Kangulumira'!C38,'22.8 Kayunga-Kangulumira'!C38,'23.8 Kayunga-Kangulumira'!C38,'24.8 Kayunga-Kangulumira'!C38,'25.8 Kayunga-Kangulumira'!C38)</f>
        <v>4.7142857142857144</v>
      </c>
      <c r="D38" s="49">
        <f>0.4*(AVERAGE('19.8 Kayunga-Kangulumira'!E38,'20.8 Kayunga-Kangulumira'!E38,'21.8 Kayunga-Kangulumira'!E38,'22.8 Kayunga-Kangulumira'!E38,'23.8 Kayunga-Kangulumira'!E38,'24.8 Kayunga-Kangulumira'!E38,'25.8 Kayunga-Kangulumira'!E38))</f>
        <v>2</v>
      </c>
      <c r="E38" s="49">
        <f>0.6*(AVERAGE('19.8 Kayunga-Kangulumira'!E38,'20.8 Kayunga-Kangulumira'!E38,'21.8 Kayunga-Kangulumira'!E38,'22.8 Kayunga-Kangulumira'!E38,'23.8 Kayunga-Kangulumira'!E38,'24.8 Kayunga-Kangulumira'!E38,'25.8 Kayunga-Kangulumira'!E38))</f>
        <v>3</v>
      </c>
      <c r="F38" s="49">
        <f>AVERAGE('19.8 Kayunga-Kangulumira'!F38,'20.8 Kayunga-Kangulumira'!F38,'21.8 Kayunga-Kangulumira'!F38,'22.8 Kayunga-Kangulumira'!F38,'23.8 Kayunga-Kangulumira'!F38,'24.8 Kayunga-Kangulumira'!F38,'25.8 Kayunga-Kangulumira'!F38)</f>
        <v>2.8571428571428572</v>
      </c>
      <c r="G38" s="49">
        <f>AVERAGE('19.8 Kayunga-Kangulumira'!G38,'20.8 Kayunga-Kangulumira'!G38,'21.8 Kayunga-Kangulumira'!G38,'22.8 Kayunga-Kangulumira'!G38,'23.8 Kayunga-Kangulumira'!G38,'24.8 Kayunga-Kangulumira'!G38,'25.8 Kayunga-Kangulumira'!G38)</f>
        <v>0.14285714285714285</v>
      </c>
      <c r="H38" s="49">
        <f>AVERAGE('19.8 Kayunga-Kangulumira'!H38,'20.8 Kayunga-Kangulumira'!H38,'21.8 Kayunga-Kangulumira'!H38,'22.8 Kayunga-Kangulumira'!H38,'23.8 Kayunga-Kangulumira'!H38,'24.8 Kayunga-Kangulumira'!H38,'25.8 Kayunga-Kangulumira'!H38)</f>
        <v>0.14285714285714285</v>
      </c>
      <c r="I38" s="49">
        <f>AVERAGE('19.8 Kayunga-Kangulumira'!I38,'20.8 Kayunga-Kangulumira'!I38,'21.8 Kayunga-Kangulumira'!I38,'22.8 Kayunga-Kangulumira'!I38,'23.8 Kayunga-Kangulumira'!I38,'24.8 Kayunga-Kangulumira'!I38,'25.8 Kayunga-Kangulumira'!I38)</f>
        <v>3.2857142857142856</v>
      </c>
      <c r="J38" s="49">
        <f>AVERAGE('19.8 Kayunga-Kangulumira'!J38,'20.8 Kayunga-Kangulumira'!J38,'21.8 Kayunga-Kangulumira'!J38,'22.8 Kayunga-Kangulumira'!J38,'23.8 Kayunga-Kangulumira'!J38,'24.8 Kayunga-Kangulumira'!J38,'25.8 Kayunga-Kangulumira'!J38)</f>
        <v>0.14285714285714285</v>
      </c>
      <c r="K38" s="49">
        <f>AVERAGE('19.8 Kayunga-Kangulumira'!K38,'20.8 Kayunga-Kangulumira'!K38,'21.8 Kayunga-Kangulumira'!K38,'22.8 Kayunga-Kangulumira'!K38,'23.8 Kayunga-Kangulumira'!K38,'24.8 Kayunga-Kangulumira'!K38,'25.8 Kayunga-Kangulumira'!K38)</f>
        <v>0.42857142857142855</v>
      </c>
      <c r="L38" s="49">
        <f>AVERAGE('19.8 Kayunga-Kangulumira'!L38,'20.8 Kayunga-Kangulumira'!L38,'21.8 Kayunga-Kangulumira'!L38,'22.8 Kayunga-Kangulumira'!L38,'23.8 Kayunga-Kangulumira'!L38,'24.8 Kayunga-Kangulumira'!L38,'25.8 Kayunga-Kangulumira'!L38)</f>
        <v>0.5714285714285714</v>
      </c>
      <c r="M38" s="49">
        <f>AVERAGE('19.8 Kayunga-Kangulumira'!M38,'20.8 Kayunga-Kangulumira'!M38,'21.8 Kayunga-Kangulumira'!M38,'22.8 Kayunga-Kangulumira'!M38,'23.8 Kayunga-Kangulumira'!M38,'24.8 Kayunga-Kangulumira'!M38,'25.8 Kayunga-Kangulumira'!M38)</f>
        <v>22.428571428571427</v>
      </c>
      <c r="N38" s="49">
        <f>AVERAGE('19.8 Kayunga-Kangulumira'!N38,'20.8 Kayunga-Kangulumira'!N38,'21.8 Kayunga-Kangulumira'!N38,'22.8 Kayunga-Kangulumira'!N38,'23.8 Kayunga-Kangulumira'!N38,'24.8 Kayunga-Kangulumira'!N38,'25.8 Kayunga-Kangulumira'!N38)</f>
        <v>0</v>
      </c>
      <c r="O38" s="15">
        <f t="shared" si="0"/>
        <v>17.285714285714285</v>
      </c>
      <c r="P38" s="15">
        <f t="shared" si="1"/>
        <v>39.714285714285708</v>
      </c>
      <c r="R38" s="28" t="s">
        <v>86</v>
      </c>
      <c r="S38" s="54">
        <f t="shared" ref="S38:AF38" si="30">SUM(S13:S18)</f>
        <v>125.28571428571429</v>
      </c>
      <c r="T38" s="54">
        <f t="shared" si="30"/>
        <v>45.028571428571425</v>
      </c>
      <c r="U38" s="54">
        <f t="shared" si="30"/>
        <v>67.54285714285713</v>
      </c>
      <c r="V38" s="54">
        <f t="shared" si="30"/>
        <v>98.428571428571431</v>
      </c>
      <c r="W38" s="54">
        <f t="shared" si="30"/>
        <v>7.4285714285714279</v>
      </c>
      <c r="X38" s="54">
        <f t="shared" si="30"/>
        <v>1.857142857142857</v>
      </c>
      <c r="Y38" s="54">
        <f t="shared" si="30"/>
        <v>74.285714285714278</v>
      </c>
      <c r="Z38" s="54">
        <f t="shared" si="30"/>
        <v>6.2857142857142856</v>
      </c>
      <c r="AA38" s="54">
        <f t="shared" si="30"/>
        <v>9.7142857142857153</v>
      </c>
      <c r="AB38" s="54">
        <f t="shared" si="30"/>
        <v>6.4285714285714288</v>
      </c>
      <c r="AC38" s="54">
        <f t="shared" si="30"/>
        <v>593</v>
      </c>
      <c r="AD38" s="54">
        <f t="shared" si="30"/>
        <v>0.42857142857142855</v>
      </c>
      <c r="AE38" s="55">
        <f t="shared" si="30"/>
        <v>442.71428571428567</v>
      </c>
      <c r="AF38" s="55">
        <f t="shared" si="30"/>
        <v>1035.7142857142858</v>
      </c>
    </row>
    <row r="39" spans="2:32" ht="23.1" customHeight="1" x14ac:dyDescent="0.25">
      <c r="B39" s="24" t="s">
        <v>66</v>
      </c>
      <c r="C39" s="49">
        <f>AVERAGE('19.8 Kayunga-Kangulumira'!C39,'20.8 Kayunga-Kangulumira'!C39,'21.8 Kayunga-Kangulumira'!C39,'22.8 Kayunga-Kangulumira'!C39,'23.8 Kayunga-Kangulumira'!C39,'24.8 Kayunga-Kangulumira'!C39,'25.8 Kayunga-Kangulumira'!C39)</f>
        <v>4.8571428571428568</v>
      </c>
      <c r="D39" s="49">
        <f>0.4*(AVERAGE('19.8 Kayunga-Kangulumira'!E39,'20.8 Kayunga-Kangulumira'!E39,'21.8 Kayunga-Kangulumira'!E39,'22.8 Kayunga-Kangulumira'!E39,'23.8 Kayunga-Kangulumira'!E39,'24.8 Kayunga-Kangulumira'!E39,'25.8 Kayunga-Kangulumira'!E39))</f>
        <v>1.8285714285714285</v>
      </c>
      <c r="E39" s="49">
        <f>0.6*(AVERAGE('19.8 Kayunga-Kangulumira'!E39,'20.8 Kayunga-Kangulumira'!E39,'21.8 Kayunga-Kangulumira'!E39,'22.8 Kayunga-Kangulumira'!E39,'23.8 Kayunga-Kangulumira'!E39,'24.8 Kayunga-Kangulumira'!E39,'25.8 Kayunga-Kangulumira'!E39))</f>
        <v>2.7428571428571424</v>
      </c>
      <c r="F39" s="49">
        <f>AVERAGE('19.8 Kayunga-Kangulumira'!F39,'20.8 Kayunga-Kangulumira'!F39,'21.8 Kayunga-Kangulumira'!F39,'22.8 Kayunga-Kangulumira'!F39,'23.8 Kayunga-Kangulumira'!F39,'24.8 Kayunga-Kangulumira'!F39,'25.8 Kayunga-Kangulumira'!F39)</f>
        <v>3.4285714285714284</v>
      </c>
      <c r="G39" s="49">
        <f>AVERAGE('19.8 Kayunga-Kangulumira'!G39,'20.8 Kayunga-Kangulumira'!G39,'21.8 Kayunga-Kangulumira'!G39,'22.8 Kayunga-Kangulumira'!G39,'23.8 Kayunga-Kangulumira'!G39,'24.8 Kayunga-Kangulumira'!G39,'25.8 Kayunga-Kangulumira'!G39)</f>
        <v>0.14285714285714285</v>
      </c>
      <c r="H39" s="49">
        <f>AVERAGE('19.8 Kayunga-Kangulumira'!H39,'20.8 Kayunga-Kangulumira'!H39,'21.8 Kayunga-Kangulumira'!H39,'22.8 Kayunga-Kangulumira'!H39,'23.8 Kayunga-Kangulumira'!H39,'24.8 Kayunga-Kangulumira'!H39,'25.8 Kayunga-Kangulumira'!H39)</f>
        <v>0</v>
      </c>
      <c r="I39" s="49">
        <f>AVERAGE('19.8 Kayunga-Kangulumira'!I39,'20.8 Kayunga-Kangulumira'!I39,'21.8 Kayunga-Kangulumira'!I39,'22.8 Kayunga-Kangulumira'!I39,'23.8 Kayunga-Kangulumira'!I39,'24.8 Kayunga-Kangulumira'!I39,'25.8 Kayunga-Kangulumira'!I39)</f>
        <v>2.2857142857142856</v>
      </c>
      <c r="J39" s="49">
        <f>AVERAGE('19.8 Kayunga-Kangulumira'!J39,'20.8 Kayunga-Kangulumira'!J39,'21.8 Kayunga-Kangulumira'!J39,'22.8 Kayunga-Kangulumira'!J39,'23.8 Kayunga-Kangulumira'!J39,'24.8 Kayunga-Kangulumira'!J39,'25.8 Kayunga-Kangulumira'!J39)</f>
        <v>0.5714285714285714</v>
      </c>
      <c r="K39" s="49">
        <f>AVERAGE('19.8 Kayunga-Kangulumira'!K39,'20.8 Kayunga-Kangulumira'!K39,'21.8 Kayunga-Kangulumira'!K39,'22.8 Kayunga-Kangulumira'!K39,'23.8 Kayunga-Kangulumira'!K39,'24.8 Kayunga-Kangulumira'!K39,'25.8 Kayunga-Kangulumira'!K39)</f>
        <v>0.5714285714285714</v>
      </c>
      <c r="L39" s="49">
        <f>AVERAGE('19.8 Kayunga-Kangulumira'!L39,'20.8 Kayunga-Kangulumira'!L39,'21.8 Kayunga-Kangulumira'!L39,'22.8 Kayunga-Kangulumira'!L39,'23.8 Kayunga-Kangulumira'!L39,'24.8 Kayunga-Kangulumira'!L39,'25.8 Kayunga-Kangulumira'!L39)</f>
        <v>0</v>
      </c>
      <c r="M39" s="49">
        <f>AVERAGE('19.8 Kayunga-Kangulumira'!M39,'20.8 Kayunga-Kangulumira'!M39,'21.8 Kayunga-Kangulumira'!M39,'22.8 Kayunga-Kangulumira'!M39,'23.8 Kayunga-Kangulumira'!M39,'24.8 Kayunga-Kangulumira'!M39,'25.8 Kayunga-Kangulumira'!M39)</f>
        <v>22.857142857142858</v>
      </c>
      <c r="N39" s="49">
        <f>AVERAGE('19.8 Kayunga-Kangulumira'!N39,'20.8 Kayunga-Kangulumira'!N39,'21.8 Kayunga-Kangulumira'!N39,'22.8 Kayunga-Kangulumira'!N39,'23.8 Kayunga-Kangulumira'!N39,'24.8 Kayunga-Kangulumira'!N39,'25.8 Kayunga-Kangulumira'!N39)</f>
        <v>0</v>
      </c>
      <c r="O39" s="15">
        <f t="shared" si="0"/>
        <v>16.428571428571427</v>
      </c>
      <c r="P39" s="15">
        <f t="shared" si="1"/>
        <v>39.285714285714285</v>
      </c>
      <c r="R39" s="29" t="s">
        <v>87</v>
      </c>
      <c r="S39" s="54">
        <f t="shared" ref="S39:AF39" si="31">SUM(S19:S21)</f>
        <v>68.857142857142861</v>
      </c>
      <c r="T39" s="54">
        <f t="shared" si="31"/>
        <v>29.028571428571432</v>
      </c>
      <c r="U39" s="54">
        <f t="shared" si="31"/>
        <v>43.542857142857144</v>
      </c>
      <c r="V39" s="54">
        <f t="shared" si="31"/>
        <v>53.714285714285722</v>
      </c>
      <c r="W39" s="54">
        <f t="shared" si="31"/>
        <v>6.1428571428571423</v>
      </c>
      <c r="X39" s="54">
        <f t="shared" si="31"/>
        <v>6.8571428571428568</v>
      </c>
      <c r="Y39" s="54">
        <f t="shared" si="31"/>
        <v>50</v>
      </c>
      <c r="Z39" s="54">
        <f t="shared" si="31"/>
        <v>6.8571428571428568</v>
      </c>
      <c r="AA39" s="54">
        <f t="shared" si="31"/>
        <v>6.8571428571428568</v>
      </c>
      <c r="AB39" s="54">
        <f t="shared" si="31"/>
        <v>4.5714285714285712</v>
      </c>
      <c r="AC39" s="54">
        <f t="shared" si="31"/>
        <v>341.42857142857144</v>
      </c>
      <c r="AD39" s="54">
        <f t="shared" si="31"/>
        <v>0.14285714285714285</v>
      </c>
      <c r="AE39" s="55">
        <f t="shared" si="31"/>
        <v>276.57142857142856</v>
      </c>
      <c r="AF39" s="55">
        <f t="shared" si="31"/>
        <v>618</v>
      </c>
    </row>
    <row r="40" spans="2:32" ht="23.1" customHeight="1" x14ac:dyDescent="0.25">
      <c r="B40" s="24" t="s">
        <v>67</v>
      </c>
      <c r="C40" s="49">
        <f>AVERAGE('19.8 Kayunga-Kangulumira'!C40,'20.8 Kayunga-Kangulumira'!C40,'21.8 Kayunga-Kangulumira'!C40,'22.8 Kayunga-Kangulumira'!C40,'23.8 Kayunga-Kangulumira'!C40,'24.8 Kayunga-Kangulumira'!C40,'25.8 Kayunga-Kangulumira'!C40)</f>
        <v>5.8571428571428568</v>
      </c>
      <c r="D40" s="49">
        <f>0.4*(AVERAGE('19.8 Kayunga-Kangulumira'!E40,'20.8 Kayunga-Kangulumira'!E40,'21.8 Kayunga-Kangulumira'!E40,'22.8 Kayunga-Kangulumira'!E40,'23.8 Kayunga-Kangulumira'!E40,'24.8 Kayunga-Kangulumira'!E40,'25.8 Kayunga-Kangulumira'!E40))</f>
        <v>2</v>
      </c>
      <c r="E40" s="49">
        <f>0.6*(AVERAGE('19.8 Kayunga-Kangulumira'!E40,'20.8 Kayunga-Kangulumira'!E40,'21.8 Kayunga-Kangulumira'!E40,'22.8 Kayunga-Kangulumira'!E40,'23.8 Kayunga-Kangulumira'!E40,'24.8 Kayunga-Kangulumira'!E40,'25.8 Kayunga-Kangulumira'!E40))</f>
        <v>3</v>
      </c>
      <c r="F40" s="49">
        <f>AVERAGE('19.8 Kayunga-Kangulumira'!F40,'20.8 Kayunga-Kangulumira'!F40,'21.8 Kayunga-Kangulumira'!F40,'22.8 Kayunga-Kangulumira'!F40,'23.8 Kayunga-Kangulumira'!F40,'24.8 Kayunga-Kangulumira'!F40,'25.8 Kayunga-Kangulumira'!F40)</f>
        <v>3.5714285714285716</v>
      </c>
      <c r="G40" s="49">
        <f>AVERAGE('19.8 Kayunga-Kangulumira'!G40,'20.8 Kayunga-Kangulumira'!G40,'21.8 Kayunga-Kangulumira'!G40,'22.8 Kayunga-Kangulumira'!G40,'23.8 Kayunga-Kangulumira'!G40,'24.8 Kayunga-Kangulumira'!G40,'25.8 Kayunga-Kangulumira'!G40)</f>
        <v>0.14285714285714285</v>
      </c>
      <c r="H40" s="49">
        <f>AVERAGE('19.8 Kayunga-Kangulumira'!H40,'20.8 Kayunga-Kangulumira'!H40,'21.8 Kayunga-Kangulumira'!H40,'22.8 Kayunga-Kangulumira'!H40,'23.8 Kayunga-Kangulumira'!H40,'24.8 Kayunga-Kangulumira'!H40,'25.8 Kayunga-Kangulumira'!H40)</f>
        <v>0</v>
      </c>
      <c r="I40" s="49">
        <f>AVERAGE('19.8 Kayunga-Kangulumira'!I40,'20.8 Kayunga-Kangulumira'!I40,'21.8 Kayunga-Kangulumira'!I40,'22.8 Kayunga-Kangulumira'!I40,'23.8 Kayunga-Kangulumira'!I40,'24.8 Kayunga-Kangulumira'!I40,'25.8 Kayunga-Kangulumira'!I40)</f>
        <v>2.8571428571428572</v>
      </c>
      <c r="J40" s="49">
        <f>AVERAGE('19.8 Kayunga-Kangulumira'!J40,'20.8 Kayunga-Kangulumira'!J40,'21.8 Kayunga-Kangulumira'!J40,'22.8 Kayunga-Kangulumira'!J40,'23.8 Kayunga-Kangulumira'!J40,'24.8 Kayunga-Kangulumira'!J40,'25.8 Kayunga-Kangulumira'!J40)</f>
        <v>0.14285714285714285</v>
      </c>
      <c r="K40" s="49">
        <f>AVERAGE('19.8 Kayunga-Kangulumira'!K40,'20.8 Kayunga-Kangulumira'!K40,'21.8 Kayunga-Kangulumira'!K40,'22.8 Kayunga-Kangulumira'!K40,'23.8 Kayunga-Kangulumira'!K40,'24.8 Kayunga-Kangulumira'!K40,'25.8 Kayunga-Kangulumira'!K40)</f>
        <v>0.2857142857142857</v>
      </c>
      <c r="L40" s="49">
        <f>AVERAGE('19.8 Kayunga-Kangulumira'!L40,'20.8 Kayunga-Kangulumira'!L40,'21.8 Kayunga-Kangulumira'!L40,'22.8 Kayunga-Kangulumira'!L40,'23.8 Kayunga-Kangulumira'!L40,'24.8 Kayunga-Kangulumira'!L40,'25.8 Kayunga-Kangulumira'!L40)</f>
        <v>1</v>
      </c>
      <c r="M40" s="49">
        <f>AVERAGE('19.8 Kayunga-Kangulumira'!M40,'20.8 Kayunga-Kangulumira'!M40,'21.8 Kayunga-Kangulumira'!M40,'22.8 Kayunga-Kangulumira'!M40,'23.8 Kayunga-Kangulumira'!M40,'24.8 Kayunga-Kangulumira'!M40,'25.8 Kayunga-Kangulumira'!M40)</f>
        <v>21.285714285714285</v>
      </c>
      <c r="N40" s="49">
        <f>AVERAGE('19.8 Kayunga-Kangulumira'!N40,'20.8 Kayunga-Kangulumira'!N40,'21.8 Kayunga-Kangulumira'!N40,'22.8 Kayunga-Kangulumira'!N40,'23.8 Kayunga-Kangulumira'!N40,'24.8 Kayunga-Kangulumira'!N40,'25.8 Kayunga-Kangulumira'!N40)</f>
        <v>0</v>
      </c>
      <c r="O40" s="15">
        <f t="shared" si="0"/>
        <v>18.857142857142854</v>
      </c>
      <c r="P40" s="15">
        <f t="shared" si="1"/>
        <v>40.142857142857139</v>
      </c>
      <c r="R40" s="5" t="s">
        <v>17</v>
      </c>
      <c r="S40" s="54">
        <f t="shared" ref="S40:AF40" si="32">SUM(S10:S21)</f>
        <v>241.85714285714283</v>
      </c>
      <c r="T40" s="54">
        <f t="shared" si="32"/>
        <v>92.114285714285714</v>
      </c>
      <c r="U40" s="54">
        <f t="shared" si="32"/>
        <v>138.17142857142858</v>
      </c>
      <c r="V40" s="54">
        <f t="shared" si="32"/>
        <v>213</v>
      </c>
      <c r="W40" s="54">
        <f t="shared" si="32"/>
        <v>15.857142857142856</v>
      </c>
      <c r="X40" s="54">
        <f t="shared" si="32"/>
        <v>8.7142857142857153</v>
      </c>
      <c r="Y40" s="54">
        <f t="shared" si="32"/>
        <v>144.28571428571428</v>
      </c>
      <c r="Z40" s="54">
        <f t="shared" si="32"/>
        <v>13.714285714285712</v>
      </c>
      <c r="AA40" s="54">
        <f t="shared" si="32"/>
        <v>21.857142857142858</v>
      </c>
      <c r="AB40" s="54">
        <f t="shared" si="32"/>
        <v>11.142857142857142</v>
      </c>
      <c r="AC40" s="54">
        <f t="shared" si="32"/>
        <v>1306.5714285714284</v>
      </c>
      <c r="AD40" s="54">
        <f t="shared" si="32"/>
        <v>0.71428571428571419</v>
      </c>
      <c r="AE40" s="55">
        <f t="shared" si="32"/>
        <v>901.42857142857144</v>
      </c>
      <c r="AF40" s="55">
        <f t="shared" si="32"/>
        <v>2208</v>
      </c>
    </row>
    <row r="41" spans="2:32" ht="23.1" customHeight="1" x14ac:dyDescent="0.25">
      <c r="B41" s="23" t="s">
        <v>68</v>
      </c>
      <c r="C41" s="49">
        <f>AVERAGE('19.8 Kayunga-Kangulumira'!C41,'20.8 Kayunga-Kangulumira'!C41,'21.8 Kayunga-Kangulumira'!C41,'22.8 Kayunga-Kangulumira'!C41,'23.8 Kayunga-Kangulumira'!C41,'24.8 Kayunga-Kangulumira'!C41,'25.8 Kayunga-Kangulumira'!C41)</f>
        <v>5.1428571428571432</v>
      </c>
      <c r="D41" s="49">
        <f>0.4*(AVERAGE('19.8 Kayunga-Kangulumira'!E41,'20.8 Kayunga-Kangulumira'!E41,'21.8 Kayunga-Kangulumira'!E41,'22.8 Kayunga-Kangulumira'!E41,'23.8 Kayunga-Kangulumira'!E41,'24.8 Kayunga-Kangulumira'!E41,'25.8 Kayunga-Kangulumira'!E41))</f>
        <v>2</v>
      </c>
      <c r="E41" s="49">
        <f>0.6*(AVERAGE('19.8 Kayunga-Kangulumira'!E41,'20.8 Kayunga-Kangulumira'!E41,'21.8 Kayunga-Kangulumira'!E41,'22.8 Kayunga-Kangulumira'!E41,'23.8 Kayunga-Kangulumira'!E41,'24.8 Kayunga-Kangulumira'!E41,'25.8 Kayunga-Kangulumira'!E41))</f>
        <v>3</v>
      </c>
      <c r="F41" s="49">
        <f>AVERAGE('19.8 Kayunga-Kangulumira'!F41,'20.8 Kayunga-Kangulumira'!F41,'21.8 Kayunga-Kangulumira'!F41,'22.8 Kayunga-Kangulumira'!F41,'23.8 Kayunga-Kangulumira'!F41,'24.8 Kayunga-Kangulumira'!F41,'25.8 Kayunga-Kangulumira'!F41)</f>
        <v>5.5714285714285712</v>
      </c>
      <c r="G41" s="49">
        <f>AVERAGE('19.8 Kayunga-Kangulumira'!G41,'20.8 Kayunga-Kangulumira'!G41,'21.8 Kayunga-Kangulumira'!G41,'22.8 Kayunga-Kangulumira'!G41,'23.8 Kayunga-Kangulumira'!G41,'24.8 Kayunga-Kangulumira'!G41,'25.8 Kayunga-Kangulumira'!G41)</f>
        <v>0.2857142857142857</v>
      </c>
      <c r="H41" s="49">
        <f>AVERAGE('19.8 Kayunga-Kangulumira'!H41,'20.8 Kayunga-Kangulumira'!H41,'21.8 Kayunga-Kangulumira'!H41,'22.8 Kayunga-Kangulumira'!H41,'23.8 Kayunga-Kangulumira'!H41,'24.8 Kayunga-Kangulumira'!H41,'25.8 Kayunga-Kangulumira'!H41)</f>
        <v>0</v>
      </c>
      <c r="I41" s="49">
        <f>AVERAGE('19.8 Kayunga-Kangulumira'!I41,'20.8 Kayunga-Kangulumira'!I41,'21.8 Kayunga-Kangulumira'!I41,'22.8 Kayunga-Kangulumira'!I41,'23.8 Kayunga-Kangulumira'!I41,'24.8 Kayunga-Kangulumira'!I41,'25.8 Kayunga-Kangulumira'!I41)</f>
        <v>4.4285714285714288</v>
      </c>
      <c r="J41" s="49">
        <f>AVERAGE('19.8 Kayunga-Kangulumira'!J41,'20.8 Kayunga-Kangulumira'!J41,'21.8 Kayunga-Kangulumira'!J41,'22.8 Kayunga-Kangulumira'!J41,'23.8 Kayunga-Kangulumira'!J41,'24.8 Kayunga-Kangulumira'!J41,'25.8 Kayunga-Kangulumira'!J41)</f>
        <v>0.2857142857142857</v>
      </c>
      <c r="K41" s="49">
        <f>AVERAGE('19.8 Kayunga-Kangulumira'!K41,'20.8 Kayunga-Kangulumira'!K41,'21.8 Kayunga-Kangulumira'!K41,'22.8 Kayunga-Kangulumira'!K41,'23.8 Kayunga-Kangulumira'!K41,'24.8 Kayunga-Kangulumira'!K41,'25.8 Kayunga-Kangulumira'!K41)</f>
        <v>0.7142857142857143</v>
      </c>
      <c r="L41" s="49">
        <f>AVERAGE('19.8 Kayunga-Kangulumira'!L41,'20.8 Kayunga-Kangulumira'!L41,'21.8 Kayunga-Kangulumira'!L41,'22.8 Kayunga-Kangulumira'!L41,'23.8 Kayunga-Kangulumira'!L41,'24.8 Kayunga-Kangulumira'!L41,'25.8 Kayunga-Kangulumira'!L41)</f>
        <v>0.7142857142857143</v>
      </c>
      <c r="M41" s="49">
        <f>AVERAGE('19.8 Kayunga-Kangulumira'!M41,'20.8 Kayunga-Kangulumira'!M41,'21.8 Kayunga-Kangulumira'!M41,'22.8 Kayunga-Kangulumira'!M41,'23.8 Kayunga-Kangulumira'!M41,'24.8 Kayunga-Kangulumira'!M41,'25.8 Kayunga-Kangulumira'!M41)</f>
        <v>25.142857142857142</v>
      </c>
      <c r="N41" s="49">
        <f>AVERAGE('19.8 Kayunga-Kangulumira'!N41,'20.8 Kayunga-Kangulumira'!N41,'21.8 Kayunga-Kangulumira'!N41,'22.8 Kayunga-Kangulumira'!N41,'23.8 Kayunga-Kangulumira'!N41,'24.8 Kayunga-Kangulumira'!N41,'25.8 Kayunga-Kangulumira'!N41)</f>
        <v>0.14285714285714285</v>
      </c>
      <c r="O41" s="15">
        <f t="shared" si="0"/>
        <v>22.285714285714288</v>
      </c>
      <c r="P41" s="15">
        <f t="shared" si="1"/>
        <v>47.428571428571438</v>
      </c>
      <c r="R41" s="5" t="s">
        <v>174</v>
      </c>
      <c r="S41" s="54">
        <f>SUM(S10:S33)</f>
        <v>294.85714285714283</v>
      </c>
      <c r="T41" s="54">
        <f t="shared" ref="T41:AD41" si="33">SUM(T10:T33)</f>
        <v>127.3142857142857</v>
      </c>
      <c r="U41" s="54">
        <f t="shared" si="33"/>
        <v>190.97142857142859</v>
      </c>
      <c r="V41" s="54">
        <f t="shared" si="33"/>
        <v>272</v>
      </c>
      <c r="W41" s="54">
        <f t="shared" si="33"/>
        <v>25.857142857142854</v>
      </c>
      <c r="X41" s="54">
        <f t="shared" si="33"/>
        <v>28.714285714285715</v>
      </c>
      <c r="Y41" s="54">
        <f t="shared" si="33"/>
        <v>199.28571428571428</v>
      </c>
      <c r="Z41" s="54">
        <f t="shared" si="33"/>
        <v>49.714285714285708</v>
      </c>
      <c r="AA41" s="54">
        <f t="shared" si="33"/>
        <v>46.857142857142861</v>
      </c>
      <c r="AB41" s="54">
        <f t="shared" si="33"/>
        <v>28.142857142857142</v>
      </c>
      <c r="AC41" s="54">
        <f t="shared" si="33"/>
        <v>1514.5714285714284</v>
      </c>
      <c r="AD41" s="54">
        <f t="shared" si="33"/>
        <v>0.71428571428571419</v>
      </c>
      <c r="AE41" s="55">
        <f>SUM(AE10:AE33)</f>
        <v>1264.4285714285716</v>
      </c>
      <c r="AF41" s="55">
        <f>SUM(AF10:AF33)</f>
        <v>2779</v>
      </c>
    </row>
    <row r="42" spans="2:32" ht="23.1" customHeight="1" x14ac:dyDescent="0.25">
      <c r="B42" s="24" t="s">
        <v>69</v>
      </c>
      <c r="C42" s="49">
        <f>AVERAGE('19.8 Kayunga-Kangulumira'!C42,'20.8 Kayunga-Kangulumira'!C42,'21.8 Kayunga-Kangulumira'!C42,'22.8 Kayunga-Kangulumira'!C42,'23.8 Kayunga-Kangulumira'!C42,'24.8 Kayunga-Kangulumira'!C42,'25.8 Kayunga-Kangulumira'!C42)</f>
        <v>5.5714285714285712</v>
      </c>
      <c r="D42" s="49">
        <f>0.4*(AVERAGE('19.8 Kayunga-Kangulumira'!E42,'20.8 Kayunga-Kangulumira'!E42,'21.8 Kayunga-Kangulumira'!E42,'22.8 Kayunga-Kangulumira'!E42,'23.8 Kayunga-Kangulumira'!E42,'24.8 Kayunga-Kangulumira'!E42,'25.8 Kayunga-Kangulumira'!E42))</f>
        <v>1.6</v>
      </c>
      <c r="E42" s="49">
        <f>0.6*(AVERAGE('19.8 Kayunga-Kangulumira'!E42,'20.8 Kayunga-Kangulumira'!E42,'21.8 Kayunga-Kangulumira'!E42,'22.8 Kayunga-Kangulumira'!E42,'23.8 Kayunga-Kangulumira'!E42,'24.8 Kayunga-Kangulumira'!E42,'25.8 Kayunga-Kangulumira'!E42))</f>
        <v>2.4</v>
      </c>
      <c r="F42" s="49">
        <f>AVERAGE('19.8 Kayunga-Kangulumira'!F42,'20.8 Kayunga-Kangulumira'!F42,'21.8 Kayunga-Kangulumira'!F42,'22.8 Kayunga-Kangulumira'!F42,'23.8 Kayunga-Kangulumira'!F42,'24.8 Kayunga-Kangulumira'!F42,'25.8 Kayunga-Kangulumira'!F42)</f>
        <v>3.5714285714285716</v>
      </c>
      <c r="G42" s="49">
        <f>AVERAGE('19.8 Kayunga-Kangulumira'!G42,'20.8 Kayunga-Kangulumira'!G42,'21.8 Kayunga-Kangulumira'!G42,'22.8 Kayunga-Kangulumira'!G42,'23.8 Kayunga-Kangulumira'!G42,'24.8 Kayunga-Kangulumira'!G42,'25.8 Kayunga-Kangulumira'!G42)</f>
        <v>0.2857142857142857</v>
      </c>
      <c r="H42" s="49">
        <f>AVERAGE('19.8 Kayunga-Kangulumira'!H42,'20.8 Kayunga-Kangulumira'!H42,'21.8 Kayunga-Kangulumira'!H42,'22.8 Kayunga-Kangulumira'!H42,'23.8 Kayunga-Kangulumira'!H42,'24.8 Kayunga-Kangulumira'!H42,'25.8 Kayunga-Kangulumira'!H42)</f>
        <v>0.2857142857142857</v>
      </c>
      <c r="I42" s="49">
        <f>AVERAGE('19.8 Kayunga-Kangulumira'!I42,'20.8 Kayunga-Kangulumira'!I42,'21.8 Kayunga-Kangulumira'!I42,'22.8 Kayunga-Kangulumira'!I42,'23.8 Kayunga-Kangulumira'!I42,'24.8 Kayunga-Kangulumira'!I42,'25.8 Kayunga-Kangulumira'!I42)</f>
        <v>3.5714285714285716</v>
      </c>
      <c r="J42" s="49">
        <f>AVERAGE('19.8 Kayunga-Kangulumira'!J42,'20.8 Kayunga-Kangulumira'!J42,'21.8 Kayunga-Kangulumira'!J42,'22.8 Kayunga-Kangulumira'!J42,'23.8 Kayunga-Kangulumira'!J42,'24.8 Kayunga-Kangulumira'!J42,'25.8 Kayunga-Kangulumira'!J42)</f>
        <v>0.14285714285714285</v>
      </c>
      <c r="K42" s="49">
        <f>AVERAGE('19.8 Kayunga-Kangulumira'!K42,'20.8 Kayunga-Kangulumira'!K42,'21.8 Kayunga-Kangulumira'!K42,'22.8 Kayunga-Kangulumira'!K42,'23.8 Kayunga-Kangulumira'!K42,'24.8 Kayunga-Kangulumira'!K42,'25.8 Kayunga-Kangulumira'!K42)</f>
        <v>0.14285714285714285</v>
      </c>
      <c r="L42" s="49">
        <f>AVERAGE('19.8 Kayunga-Kangulumira'!L42,'20.8 Kayunga-Kangulumira'!L42,'21.8 Kayunga-Kangulumira'!L42,'22.8 Kayunga-Kangulumira'!L42,'23.8 Kayunga-Kangulumira'!L42,'24.8 Kayunga-Kangulumira'!L42,'25.8 Kayunga-Kangulumira'!L42)</f>
        <v>0.2857142857142857</v>
      </c>
      <c r="M42" s="49">
        <f>AVERAGE('19.8 Kayunga-Kangulumira'!M42,'20.8 Kayunga-Kangulumira'!M42,'21.8 Kayunga-Kangulumira'!M42,'22.8 Kayunga-Kangulumira'!M42,'23.8 Kayunga-Kangulumira'!M42,'24.8 Kayunga-Kangulumira'!M42,'25.8 Kayunga-Kangulumira'!M42)</f>
        <v>23.142857142857142</v>
      </c>
      <c r="N42" s="49">
        <f>AVERAGE('19.8 Kayunga-Kangulumira'!N42,'20.8 Kayunga-Kangulumira'!N42,'21.8 Kayunga-Kangulumira'!N42,'22.8 Kayunga-Kangulumira'!N42,'23.8 Kayunga-Kangulumira'!N42,'24.8 Kayunga-Kangulumira'!N42,'25.8 Kayunga-Kangulumira'!N42)</f>
        <v>0</v>
      </c>
      <c r="O42" s="15">
        <f t="shared" si="0"/>
        <v>17.857142857142858</v>
      </c>
      <c r="P42" s="15">
        <f t="shared" si="1"/>
        <v>41</v>
      </c>
      <c r="R42" s="5" t="s">
        <v>160</v>
      </c>
      <c r="S42" s="48">
        <f>S41/S40</f>
        <v>1.219137625516834</v>
      </c>
      <c r="T42" s="48">
        <f t="shared" ref="T42:AF42" si="34">T41/T40</f>
        <v>1.3821339950372207</v>
      </c>
      <c r="U42" s="48">
        <f t="shared" si="34"/>
        <v>1.3821339950372209</v>
      </c>
      <c r="V42" s="48">
        <f t="shared" si="34"/>
        <v>1.2769953051643192</v>
      </c>
      <c r="W42" s="48">
        <f t="shared" si="34"/>
        <v>1.6306306306306306</v>
      </c>
      <c r="X42" s="48">
        <f t="shared" si="34"/>
        <v>3.2950819672131146</v>
      </c>
      <c r="Y42" s="48">
        <f t="shared" si="34"/>
        <v>1.3811881188118813</v>
      </c>
      <c r="Z42" s="48">
        <f t="shared" si="34"/>
        <v>3.6250000000000004</v>
      </c>
      <c r="AA42" s="48">
        <f t="shared" si="34"/>
        <v>2.1437908496732025</v>
      </c>
      <c r="AB42" s="48">
        <f t="shared" si="34"/>
        <v>2.5256410256410255</v>
      </c>
      <c r="AC42" s="48">
        <f t="shared" si="34"/>
        <v>1.1591952766236606</v>
      </c>
      <c r="AD42" s="48">
        <f t="shared" si="34"/>
        <v>1</v>
      </c>
      <c r="AE42" s="56">
        <f t="shared" si="34"/>
        <v>1.4026941362916008</v>
      </c>
      <c r="AF42" s="56">
        <f t="shared" si="34"/>
        <v>1.2586050724637681</v>
      </c>
    </row>
    <row r="43" spans="2:32" ht="23.1" customHeight="1" x14ac:dyDescent="0.25">
      <c r="B43" s="23" t="s">
        <v>70</v>
      </c>
      <c r="C43" s="49">
        <f>AVERAGE('19.8 Kayunga-Kangulumira'!C43,'20.8 Kayunga-Kangulumira'!C43,'21.8 Kayunga-Kangulumira'!C43,'22.8 Kayunga-Kangulumira'!C43,'23.8 Kayunga-Kangulumira'!C43,'24.8 Kayunga-Kangulumira'!C43,'25.8 Kayunga-Kangulumira'!C43)</f>
        <v>4.7142857142857144</v>
      </c>
      <c r="D43" s="49">
        <f>0.4*(AVERAGE('19.8 Kayunga-Kangulumira'!E43,'20.8 Kayunga-Kangulumira'!E43,'21.8 Kayunga-Kangulumira'!E43,'22.8 Kayunga-Kangulumira'!E43,'23.8 Kayunga-Kangulumira'!E43,'24.8 Kayunga-Kangulumira'!E43,'25.8 Kayunga-Kangulumira'!E43))</f>
        <v>1.6571428571428575</v>
      </c>
      <c r="E43" s="49">
        <f>0.6*(AVERAGE('19.8 Kayunga-Kangulumira'!E43,'20.8 Kayunga-Kangulumira'!E43,'21.8 Kayunga-Kangulumira'!E43,'22.8 Kayunga-Kangulumira'!E43,'23.8 Kayunga-Kangulumira'!E43,'24.8 Kayunga-Kangulumira'!E43,'25.8 Kayunga-Kangulumira'!E43))</f>
        <v>2.4857142857142858</v>
      </c>
      <c r="F43" s="49">
        <f>AVERAGE('19.8 Kayunga-Kangulumira'!F43,'20.8 Kayunga-Kangulumira'!F43,'21.8 Kayunga-Kangulumira'!F43,'22.8 Kayunga-Kangulumira'!F43,'23.8 Kayunga-Kangulumira'!F43,'24.8 Kayunga-Kangulumira'!F43,'25.8 Kayunga-Kangulumira'!F43)</f>
        <v>2.7142857142857144</v>
      </c>
      <c r="G43" s="49">
        <f>AVERAGE('19.8 Kayunga-Kangulumira'!G43,'20.8 Kayunga-Kangulumira'!G43,'21.8 Kayunga-Kangulumira'!G43,'22.8 Kayunga-Kangulumira'!G43,'23.8 Kayunga-Kangulumira'!G43,'24.8 Kayunga-Kangulumira'!G43,'25.8 Kayunga-Kangulumira'!G43)</f>
        <v>0</v>
      </c>
      <c r="H43" s="49">
        <f>AVERAGE('19.8 Kayunga-Kangulumira'!H43,'20.8 Kayunga-Kangulumira'!H43,'21.8 Kayunga-Kangulumira'!H43,'22.8 Kayunga-Kangulumira'!H43,'23.8 Kayunga-Kangulumira'!H43,'24.8 Kayunga-Kangulumira'!H43,'25.8 Kayunga-Kangulumira'!H43)</f>
        <v>0</v>
      </c>
      <c r="I43" s="49">
        <f>AVERAGE('19.8 Kayunga-Kangulumira'!I43,'20.8 Kayunga-Kangulumira'!I43,'21.8 Kayunga-Kangulumira'!I43,'22.8 Kayunga-Kangulumira'!I43,'23.8 Kayunga-Kangulumira'!I43,'24.8 Kayunga-Kangulumira'!I43,'25.8 Kayunga-Kangulumira'!I43)</f>
        <v>3.8571428571428572</v>
      </c>
      <c r="J43" s="49">
        <f>AVERAGE('19.8 Kayunga-Kangulumira'!J43,'20.8 Kayunga-Kangulumira'!J43,'21.8 Kayunga-Kangulumira'!J43,'22.8 Kayunga-Kangulumira'!J43,'23.8 Kayunga-Kangulumira'!J43,'24.8 Kayunga-Kangulumira'!J43,'25.8 Kayunga-Kangulumira'!J43)</f>
        <v>0.2857142857142857</v>
      </c>
      <c r="K43" s="49">
        <f>AVERAGE('19.8 Kayunga-Kangulumira'!K43,'20.8 Kayunga-Kangulumira'!K43,'21.8 Kayunga-Kangulumira'!K43,'22.8 Kayunga-Kangulumira'!K43,'23.8 Kayunga-Kangulumira'!K43,'24.8 Kayunga-Kangulumira'!K43,'25.8 Kayunga-Kangulumira'!K43)</f>
        <v>0.2857142857142857</v>
      </c>
      <c r="L43" s="49">
        <f>AVERAGE('19.8 Kayunga-Kangulumira'!L43,'20.8 Kayunga-Kangulumira'!L43,'21.8 Kayunga-Kangulumira'!L43,'22.8 Kayunga-Kangulumira'!L43,'23.8 Kayunga-Kangulumira'!L43,'24.8 Kayunga-Kangulumira'!L43,'25.8 Kayunga-Kangulumira'!L43)</f>
        <v>0.14285714285714285</v>
      </c>
      <c r="M43" s="49">
        <f>AVERAGE('19.8 Kayunga-Kangulumira'!M43,'20.8 Kayunga-Kangulumira'!M43,'21.8 Kayunga-Kangulumira'!M43,'22.8 Kayunga-Kangulumira'!M43,'23.8 Kayunga-Kangulumira'!M43,'24.8 Kayunga-Kangulumira'!M43,'25.8 Kayunga-Kangulumira'!M43)</f>
        <v>25.714285714285715</v>
      </c>
      <c r="N43" s="49">
        <f>AVERAGE('19.8 Kayunga-Kangulumira'!N43,'20.8 Kayunga-Kangulumira'!N43,'21.8 Kayunga-Kangulumira'!N43,'22.8 Kayunga-Kangulumira'!N43,'23.8 Kayunga-Kangulumira'!N43,'24.8 Kayunga-Kangulumira'!N43,'25.8 Kayunga-Kangulumira'!N43)</f>
        <v>0</v>
      </c>
      <c r="O43" s="15">
        <f t="shared" si="0"/>
        <v>16.142857142857146</v>
      </c>
      <c r="P43" s="15">
        <f t="shared" si="1"/>
        <v>41.857142857142861</v>
      </c>
    </row>
    <row r="44" spans="2:32" ht="23.1" customHeight="1" x14ac:dyDescent="0.25">
      <c r="B44" s="25" t="s">
        <v>71</v>
      </c>
      <c r="C44" s="49">
        <f>AVERAGE('19.8 Kayunga-Kangulumira'!C44,'20.8 Kayunga-Kangulumira'!C44,'21.8 Kayunga-Kangulumira'!C44,'22.8 Kayunga-Kangulumira'!C44,'23.8 Kayunga-Kangulumira'!C44,'24.8 Kayunga-Kangulumira'!C44,'25.8 Kayunga-Kangulumira'!C44)</f>
        <v>5.7142857142857144</v>
      </c>
      <c r="D44" s="49">
        <f>0.4*(AVERAGE('19.8 Kayunga-Kangulumira'!E44,'20.8 Kayunga-Kangulumira'!E44,'21.8 Kayunga-Kangulumira'!E44,'22.8 Kayunga-Kangulumira'!E44,'23.8 Kayunga-Kangulumira'!E44,'24.8 Kayunga-Kangulumira'!E44,'25.8 Kayunga-Kangulumira'!E44))</f>
        <v>1.7142857142857144</v>
      </c>
      <c r="E44" s="49">
        <f>0.6*(AVERAGE('19.8 Kayunga-Kangulumira'!E44,'20.8 Kayunga-Kangulumira'!E44,'21.8 Kayunga-Kangulumira'!E44,'22.8 Kayunga-Kangulumira'!E44,'23.8 Kayunga-Kangulumira'!E44,'24.8 Kayunga-Kangulumira'!E44,'25.8 Kayunga-Kangulumira'!E44))</f>
        <v>2.5714285714285712</v>
      </c>
      <c r="F44" s="49">
        <f>AVERAGE('19.8 Kayunga-Kangulumira'!F44,'20.8 Kayunga-Kangulumira'!F44,'21.8 Kayunga-Kangulumira'!F44,'22.8 Kayunga-Kangulumira'!F44,'23.8 Kayunga-Kangulumira'!F44,'24.8 Kayunga-Kangulumira'!F44,'25.8 Kayunga-Kangulumira'!F44)</f>
        <v>2.8571428571428572</v>
      </c>
      <c r="G44" s="49">
        <f>AVERAGE('19.8 Kayunga-Kangulumira'!G44,'20.8 Kayunga-Kangulumira'!G44,'21.8 Kayunga-Kangulumira'!G44,'22.8 Kayunga-Kangulumira'!G44,'23.8 Kayunga-Kangulumira'!G44,'24.8 Kayunga-Kangulumira'!G44,'25.8 Kayunga-Kangulumira'!G44)</f>
        <v>0.14285714285714285</v>
      </c>
      <c r="H44" s="49">
        <f>AVERAGE('19.8 Kayunga-Kangulumira'!H44,'20.8 Kayunga-Kangulumira'!H44,'21.8 Kayunga-Kangulumira'!H44,'22.8 Kayunga-Kangulumira'!H44,'23.8 Kayunga-Kangulumira'!H44,'24.8 Kayunga-Kangulumira'!H44,'25.8 Kayunga-Kangulumira'!H44)</f>
        <v>0.14285714285714285</v>
      </c>
      <c r="I44" s="49">
        <f>AVERAGE('19.8 Kayunga-Kangulumira'!I44,'20.8 Kayunga-Kangulumira'!I44,'21.8 Kayunga-Kangulumira'!I44,'22.8 Kayunga-Kangulumira'!I44,'23.8 Kayunga-Kangulumira'!I44,'24.8 Kayunga-Kangulumira'!I44,'25.8 Kayunga-Kangulumira'!I44)</f>
        <v>4.8571428571428568</v>
      </c>
      <c r="J44" s="49">
        <f>AVERAGE('19.8 Kayunga-Kangulumira'!J44,'20.8 Kayunga-Kangulumira'!J44,'21.8 Kayunga-Kangulumira'!J44,'22.8 Kayunga-Kangulumira'!J44,'23.8 Kayunga-Kangulumira'!J44,'24.8 Kayunga-Kangulumira'!J44,'25.8 Kayunga-Kangulumira'!J44)</f>
        <v>0.5714285714285714</v>
      </c>
      <c r="K44" s="49">
        <f>AVERAGE('19.8 Kayunga-Kangulumira'!K44,'20.8 Kayunga-Kangulumira'!K44,'21.8 Kayunga-Kangulumira'!K44,'22.8 Kayunga-Kangulumira'!K44,'23.8 Kayunga-Kangulumira'!K44,'24.8 Kayunga-Kangulumira'!K44,'25.8 Kayunga-Kangulumira'!K44)</f>
        <v>0.8571428571428571</v>
      </c>
      <c r="L44" s="49">
        <f>AVERAGE('19.8 Kayunga-Kangulumira'!L44,'20.8 Kayunga-Kangulumira'!L44,'21.8 Kayunga-Kangulumira'!L44,'22.8 Kayunga-Kangulumira'!L44,'23.8 Kayunga-Kangulumira'!L44,'24.8 Kayunga-Kangulumira'!L44,'25.8 Kayunga-Kangulumira'!L44)</f>
        <v>0.2857142857142857</v>
      </c>
      <c r="M44" s="49">
        <f>AVERAGE('19.8 Kayunga-Kangulumira'!M44,'20.8 Kayunga-Kangulumira'!M44,'21.8 Kayunga-Kangulumira'!M44,'22.8 Kayunga-Kangulumira'!M44,'23.8 Kayunga-Kangulumira'!M44,'24.8 Kayunga-Kangulumira'!M44,'25.8 Kayunga-Kangulumira'!M44)</f>
        <v>22</v>
      </c>
      <c r="N44" s="49">
        <f>AVERAGE('19.8 Kayunga-Kangulumira'!N44,'20.8 Kayunga-Kangulumira'!N44,'21.8 Kayunga-Kangulumira'!N44,'22.8 Kayunga-Kangulumira'!N44,'23.8 Kayunga-Kangulumira'!N44,'24.8 Kayunga-Kangulumira'!N44,'25.8 Kayunga-Kangulumira'!N44)</f>
        <v>0</v>
      </c>
      <c r="O44" s="15">
        <f t="shared" si="0"/>
        <v>19.714285714285715</v>
      </c>
      <c r="P44" s="15">
        <f t="shared" si="1"/>
        <v>41.714285714285715</v>
      </c>
    </row>
    <row r="45" spans="2:32" ht="23.1" customHeight="1" x14ac:dyDescent="0.25">
      <c r="B45" s="23" t="s">
        <v>72</v>
      </c>
      <c r="C45" s="49">
        <f>AVERAGE('19.8 Kayunga-Kangulumira'!C45,'20.8 Kayunga-Kangulumira'!C45,'21.8 Kayunga-Kangulumira'!C45,'22.8 Kayunga-Kangulumira'!C45,'23.8 Kayunga-Kangulumira'!C45,'24.8 Kayunga-Kangulumira'!C45,'25.8 Kayunga-Kangulumira'!C45)</f>
        <v>4.8571428571428568</v>
      </c>
      <c r="D45" s="49">
        <f>0.4*(AVERAGE('19.8 Kayunga-Kangulumira'!E45,'20.8 Kayunga-Kangulumira'!E45,'21.8 Kayunga-Kangulumira'!E45,'22.8 Kayunga-Kangulumira'!E45,'23.8 Kayunga-Kangulumira'!E45,'24.8 Kayunga-Kangulumira'!E45,'25.8 Kayunga-Kangulumira'!E45))</f>
        <v>2.1142857142857143</v>
      </c>
      <c r="E45" s="49">
        <f>0.6*(AVERAGE('19.8 Kayunga-Kangulumira'!E45,'20.8 Kayunga-Kangulumira'!E45,'21.8 Kayunga-Kangulumira'!E45,'22.8 Kayunga-Kangulumira'!E45,'23.8 Kayunga-Kangulumira'!E45,'24.8 Kayunga-Kangulumira'!E45,'25.8 Kayunga-Kangulumira'!E45))</f>
        <v>3.1714285714285713</v>
      </c>
      <c r="F45" s="49">
        <f>AVERAGE('19.8 Kayunga-Kangulumira'!F45,'20.8 Kayunga-Kangulumira'!F45,'21.8 Kayunga-Kangulumira'!F45,'22.8 Kayunga-Kangulumira'!F45,'23.8 Kayunga-Kangulumira'!F45,'24.8 Kayunga-Kangulumira'!F45,'25.8 Kayunga-Kangulumira'!F45)</f>
        <v>4.8571428571428568</v>
      </c>
      <c r="G45" s="49">
        <f>AVERAGE('19.8 Kayunga-Kangulumira'!G45,'20.8 Kayunga-Kangulumira'!G45,'21.8 Kayunga-Kangulumira'!G45,'22.8 Kayunga-Kangulumira'!G45,'23.8 Kayunga-Kangulumira'!G45,'24.8 Kayunga-Kangulumira'!G45,'25.8 Kayunga-Kangulumira'!G45)</f>
        <v>0.5714285714285714</v>
      </c>
      <c r="H45" s="49">
        <f>AVERAGE('19.8 Kayunga-Kangulumira'!H45,'20.8 Kayunga-Kangulumira'!H45,'21.8 Kayunga-Kangulumira'!H45,'22.8 Kayunga-Kangulumira'!H45,'23.8 Kayunga-Kangulumira'!H45,'24.8 Kayunga-Kangulumira'!H45,'25.8 Kayunga-Kangulumira'!H45)</f>
        <v>0</v>
      </c>
      <c r="I45" s="49">
        <f>AVERAGE('19.8 Kayunga-Kangulumira'!I45,'20.8 Kayunga-Kangulumira'!I45,'21.8 Kayunga-Kangulumira'!I45,'22.8 Kayunga-Kangulumira'!I45,'23.8 Kayunga-Kangulumira'!I45,'24.8 Kayunga-Kangulumira'!I45,'25.8 Kayunga-Kangulumira'!I45)</f>
        <v>3.2857142857142856</v>
      </c>
      <c r="J45" s="49">
        <f>AVERAGE('19.8 Kayunga-Kangulumira'!J45,'20.8 Kayunga-Kangulumira'!J45,'21.8 Kayunga-Kangulumira'!J45,'22.8 Kayunga-Kangulumira'!J45,'23.8 Kayunga-Kangulumira'!J45,'24.8 Kayunga-Kangulumira'!J45,'25.8 Kayunga-Kangulumira'!J45)</f>
        <v>0.7142857142857143</v>
      </c>
      <c r="K45" s="49">
        <f>AVERAGE('19.8 Kayunga-Kangulumira'!K45,'20.8 Kayunga-Kangulumira'!K45,'21.8 Kayunga-Kangulumira'!K45,'22.8 Kayunga-Kangulumira'!K45,'23.8 Kayunga-Kangulumira'!K45,'24.8 Kayunga-Kangulumira'!K45,'25.8 Kayunga-Kangulumira'!K45)</f>
        <v>0.5714285714285714</v>
      </c>
      <c r="L45" s="49">
        <f>AVERAGE('19.8 Kayunga-Kangulumira'!L45,'20.8 Kayunga-Kangulumira'!L45,'21.8 Kayunga-Kangulumira'!L45,'22.8 Kayunga-Kangulumira'!L45,'23.8 Kayunga-Kangulumira'!L45,'24.8 Kayunga-Kangulumira'!L45,'25.8 Kayunga-Kangulumira'!L45)</f>
        <v>0.42857142857142855</v>
      </c>
      <c r="M45" s="49">
        <f>AVERAGE('19.8 Kayunga-Kangulumira'!M45,'20.8 Kayunga-Kangulumira'!M45,'21.8 Kayunga-Kangulumira'!M45,'22.8 Kayunga-Kangulumira'!M45,'23.8 Kayunga-Kangulumira'!M45,'24.8 Kayunga-Kangulumira'!M45,'25.8 Kayunga-Kangulumira'!M45)</f>
        <v>22.285714285714285</v>
      </c>
      <c r="N45" s="49">
        <f>AVERAGE('19.8 Kayunga-Kangulumira'!N45,'20.8 Kayunga-Kangulumira'!N45,'21.8 Kayunga-Kangulumira'!N45,'22.8 Kayunga-Kangulumira'!N45,'23.8 Kayunga-Kangulumira'!N45,'24.8 Kayunga-Kangulumira'!N45,'25.8 Kayunga-Kangulumira'!N45)</f>
        <v>0</v>
      </c>
      <c r="O45" s="15">
        <f t="shared" si="0"/>
        <v>20.571428571428573</v>
      </c>
      <c r="P45" s="15">
        <f t="shared" si="1"/>
        <v>42.857142857142861</v>
      </c>
    </row>
    <row r="46" spans="2:32" ht="23.1" customHeight="1" x14ac:dyDescent="0.25">
      <c r="B46" s="24" t="s">
        <v>73</v>
      </c>
      <c r="C46" s="49">
        <f>AVERAGE('19.8 Kayunga-Kangulumira'!C46,'20.8 Kayunga-Kangulumira'!C46,'21.8 Kayunga-Kangulumira'!C46,'22.8 Kayunga-Kangulumira'!C46,'23.8 Kayunga-Kangulumira'!C46,'24.8 Kayunga-Kangulumira'!C46,'25.8 Kayunga-Kangulumira'!C46)</f>
        <v>5.1428571428571432</v>
      </c>
      <c r="D46" s="49">
        <f>0.4*(AVERAGE('19.8 Kayunga-Kangulumira'!E46,'20.8 Kayunga-Kangulumira'!E46,'21.8 Kayunga-Kangulumira'!E46,'22.8 Kayunga-Kangulumira'!E46,'23.8 Kayunga-Kangulumira'!E46,'24.8 Kayunga-Kangulumira'!E46,'25.8 Kayunga-Kangulumira'!E46))</f>
        <v>2.5142857142857142</v>
      </c>
      <c r="E46" s="49">
        <f>0.6*(AVERAGE('19.8 Kayunga-Kangulumira'!E46,'20.8 Kayunga-Kangulumira'!E46,'21.8 Kayunga-Kangulumira'!E46,'22.8 Kayunga-Kangulumira'!E46,'23.8 Kayunga-Kangulumira'!E46,'24.8 Kayunga-Kangulumira'!E46,'25.8 Kayunga-Kangulumira'!E46))</f>
        <v>3.7714285714285714</v>
      </c>
      <c r="F46" s="49">
        <f>AVERAGE('19.8 Kayunga-Kangulumira'!F46,'20.8 Kayunga-Kangulumira'!F46,'21.8 Kayunga-Kangulumira'!F46,'22.8 Kayunga-Kangulumira'!F46,'23.8 Kayunga-Kangulumira'!F46,'24.8 Kayunga-Kangulumira'!F46,'25.8 Kayunga-Kangulumira'!F46)</f>
        <v>3.7142857142857144</v>
      </c>
      <c r="G46" s="49">
        <f>AVERAGE('19.8 Kayunga-Kangulumira'!G46,'20.8 Kayunga-Kangulumira'!G46,'21.8 Kayunga-Kangulumira'!G46,'22.8 Kayunga-Kangulumira'!G46,'23.8 Kayunga-Kangulumira'!G46,'24.8 Kayunga-Kangulumira'!G46,'25.8 Kayunga-Kangulumira'!G46)</f>
        <v>0.42857142857142855</v>
      </c>
      <c r="H46" s="49">
        <f>AVERAGE('19.8 Kayunga-Kangulumira'!H46,'20.8 Kayunga-Kangulumira'!H46,'21.8 Kayunga-Kangulumira'!H46,'22.8 Kayunga-Kangulumira'!H46,'23.8 Kayunga-Kangulumira'!H46,'24.8 Kayunga-Kangulumira'!H46,'25.8 Kayunga-Kangulumira'!H46)</f>
        <v>0.2857142857142857</v>
      </c>
      <c r="I46" s="49">
        <f>AVERAGE('19.8 Kayunga-Kangulumira'!I46,'20.8 Kayunga-Kangulumira'!I46,'21.8 Kayunga-Kangulumira'!I46,'22.8 Kayunga-Kangulumira'!I46,'23.8 Kayunga-Kangulumira'!I46,'24.8 Kayunga-Kangulumira'!I46,'25.8 Kayunga-Kangulumira'!I46)</f>
        <v>2.7142857142857144</v>
      </c>
      <c r="J46" s="49">
        <f>AVERAGE('19.8 Kayunga-Kangulumira'!J46,'20.8 Kayunga-Kangulumira'!J46,'21.8 Kayunga-Kangulumira'!J46,'22.8 Kayunga-Kangulumira'!J46,'23.8 Kayunga-Kangulumira'!J46,'24.8 Kayunga-Kangulumira'!J46,'25.8 Kayunga-Kangulumira'!J46)</f>
        <v>0.2857142857142857</v>
      </c>
      <c r="K46" s="49">
        <f>AVERAGE('19.8 Kayunga-Kangulumira'!K46,'20.8 Kayunga-Kangulumira'!K46,'21.8 Kayunga-Kangulumira'!K46,'22.8 Kayunga-Kangulumira'!K46,'23.8 Kayunga-Kangulumira'!K46,'24.8 Kayunga-Kangulumira'!K46,'25.8 Kayunga-Kangulumira'!K46)</f>
        <v>1.1428571428571428</v>
      </c>
      <c r="L46" s="49">
        <f>AVERAGE('19.8 Kayunga-Kangulumira'!L46,'20.8 Kayunga-Kangulumira'!L46,'21.8 Kayunga-Kangulumira'!L46,'22.8 Kayunga-Kangulumira'!L46,'23.8 Kayunga-Kangulumira'!L46,'24.8 Kayunga-Kangulumira'!L46,'25.8 Kayunga-Kangulumira'!L46)</f>
        <v>0.2857142857142857</v>
      </c>
      <c r="M46" s="49">
        <f>AVERAGE('19.8 Kayunga-Kangulumira'!M46,'20.8 Kayunga-Kangulumira'!M46,'21.8 Kayunga-Kangulumira'!M46,'22.8 Kayunga-Kangulumira'!M46,'23.8 Kayunga-Kangulumira'!M46,'24.8 Kayunga-Kangulumira'!M46,'25.8 Kayunga-Kangulumira'!M46)</f>
        <v>27.857142857142858</v>
      </c>
      <c r="N46" s="49">
        <f>AVERAGE('19.8 Kayunga-Kangulumira'!N46,'20.8 Kayunga-Kangulumira'!N46,'21.8 Kayunga-Kangulumira'!N46,'22.8 Kayunga-Kangulumira'!N46,'23.8 Kayunga-Kangulumira'!N46,'24.8 Kayunga-Kangulumira'!N46,'25.8 Kayunga-Kangulumira'!N46)</f>
        <v>0.14285714285714285</v>
      </c>
      <c r="O46" s="15">
        <f t="shared" si="0"/>
        <v>20.428571428571427</v>
      </c>
      <c r="P46" s="15">
        <f t="shared" si="1"/>
        <v>48.285714285714285</v>
      </c>
      <c r="R46" s="8"/>
      <c r="T46"/>
    </row>
    <row r="47" spans="2:32" ht="23.1" customHeight="1" x14ac:dyDescent="0.25">
      <c r="B47" s="24" t="s">
        <v>74</v>
      </c>
      <c r="C47" s="49">
        <f>AVERAGE('19.8 Kayunga-Kangulumira'!C47,'20.8 Kayunga-Kangulumira'!C47,'21.8 Kayunga-Kangulumira'!C47,'22.8 Kayunga-Kangulumira'!C47,'23.8 Kayunga-Kangulumira'!C47,'24.8 Kayunga-Kangulumira'!C47,'25.8 Kayunga-Kangulumira'!C47)</f>
        <v>6</v>
      </c>
      <c r="D47" s="49">
        <f>0.4*(AVERAGE('19.8 Kayunga-Kangulumira'!E47,'20.8 Kayunga-Kangulumira'!E47,'21.8 Kayunga-Kangulumira'!E47,'22.8 Kayunga-Kangulumira'!E47,'23.8 Kayunga-Kangulumira'!E47,'24.8 Kayunga-Kangulumira'!E47,'25.8 Kayunga-Kangulumira'!E47))</f>
        <v>2.1142857142857143</v>
      </c>
      <c r="E47" s="49">
        <f>0.6*(AVERAGE('19.8 Kayunga-Kangulumira'!E47,'20.8 Kayunga-Kangulumira'!E47,'21.8 Kayunga-Kangulumira'!E47,'22.8 Kayunga-Kangulumira'!E47,'23.8 Kayunga-Kangulumira'!E47,'24.8 Kayunga-Kangulumira'!E47,'25.8 Kayunga-Kangulumira'!E47))</f>
        <v>3.1714285714285713</v>
      </c>
      <c r="F47" s="49">
        <f>AVERAGE('19.8 Kayunga-Kangulumira'!F47,'20.8 Kayunga-Kangulumira'!F47,'21.8 Kayunga-Kangulumira'!F47,'22.8 Kayunga-Kangulumira'!F47,'23.8 Kayunga-Kangulumira'!F47,'24.8 Kayunga-Kangulumira'!F47,'25.8 Kayunga-Kangulumira'!F47)</f>
        <v>5.1428571428571432</v>
      </c>
      <c r="G47" s="49">
        <f>AVERAGE('19.8 Kayunga-Kangulumira'!G47,'20.8 Kayunga-Kangulumira'!G47,'21.8 Kayunga-Kangulumira'!G47,'22.8 Kayunga-Kangulumira'!G47,'23.8 Kayunga-Kangulumira'!G47,'24.8 Kayunga-Kangulumira'!G47,'25.8 Kayunga-Kangulumira'!G47)</f>
        <v>0.8571428571428571</v>
      </c>
      <c r="H47" s="49">
        <f>AVERAGE('19.8 Kayunga-Kangulumira'!H47,'20.8 Kayunga-Kangulumira'!H47,'21.8 Kayunga-Kangulumira'!H47,'22.8 Kayunga-Kangulumira'!H47,'23.8 Kayunga-Kangulumira'!H47,'24.8 Kayunga-Kangulumira'!H47,'25.8 Kayunga-Kangulumira'!H47)</f>
        <v>0.42857142857142855</v>
      </c>
      <c r="I47" s="49">
        <f>AVERAGE('19.8 Kayunga-Kangulumira'!I47,'20.8 Kayunga-Kangulumira'!I47,'21.8 Kayunga-Kangulumira'!I47,'22.8 Kayunga-Kangulumira'!I47,'23.8 Kayunga-Kangulumira'!I47,'24.8 Kayunga-Kangulumira'!I47,'25.8 Kayunga-Kangulumira'!I47)</f>
        <v>4.2857142857142856</v>
      </c>
      <c r="J47" s="49">
        <f>AVERAGE('19.8 Kayunga-Kangulumira'!J47,'20.8 Kayunga-Kangulumira'!J47,'21.8 Kayunga-Kangulumira'!J47,'22.8 Kayunga-Kangulumira'!J47,'23.8 Kayunga-Kangulumira'!J47,'24.8 Kayunga-Kangulumira'!J47,'25.8 Kayunga-Kangulumira'!J47)</f>
        <v>0.42857142857142855</v>
      </c>
      <c r="K47" s="49">
        <f>AVERAGE('19.8 Kayunga-Kangulumira'!K47,'20.8 Kayunga-Kangulumira'!K47,'21.8 Kayunga-Kangulumira'!K47,'22.8 Kayunga-Kangulumira'!K47,'23.8 Kayunga-Kangulumira'!K47,'24.8 Kayunga-Kangulumira'!K47,'25.8 Kayunga-Kangulumira'!K47)</f>
        <v>0.5714285714285714</v>
      </c>
      <c r="L47" s="49">
        <f>AVERAGE('19.8 Kayunga-Kangulumira'!L47,'20.8 Kayunga-Kangulumira'!L47,'21.8 Kayunga-Kangulumira'!L47,'22.8 Kayunga-Kangulumira'!L47,'23.8 Kayunga-Kangulumira'!L47,'24.8 Kayunga-Kangulumira'!L47,'25.8 Kayunga-Kangulumira'!L47)</f>
        <v>0.42857142857142855</v>
      </c>
      <c r="M47" s="49">
        <f>AVERAGE('19.8 Kayunga-Kangulumira'!M47,'20.8 Kayunga-Kangulumira'!M47,'21.8 Kayunga-Kangulumira'!M47,'22.8 Kayunga-Kangulumira'!M47,'23.8 Kayunga-Kangulumira'!M47,'24.8 Kayunga-Kangulumira'!M47,'25.8 Kayunga-Kangulumira'!M47)</f>
        <v>27.142857142857142</v>
      </c>
      <c r="N47" s="49">
        <f>AVERAGE('19.8 Kayunga-Kangulumira'!N47,'20.8 Kayunga-Kangulumira'!N47,'21.8 Kayunga-Kangulumira'!N47,'22.8 Kayunga-Kangulumira'!N47,'23.8 Kayunga-Kangulumira'!N47,'24.8 Kayunga-Kangulumira'!N47,'25.8 Kayunga-Kangulumira'!N47)</f>
        <v>0</v>
      </c>
      <c r="O47" s="15">
        <f t="shared" si="0"/>
        <v>23.428571428571423</v>
      </c>
      <c r="P47" s="15">
        <f t="shared" si="1"/>
        <v>50.571428571428569</v>
      </c>
      <c r="R47" s="8"/>
      <c r="T47"/>
    </row>
    <row r="48" spans="2:32" ht="23.1" customHeight="1" x14ac:dyDescent="0.25">
      <c r="B48" s="24" t="s">
        <v>75</v>
      </c>
      <c r="C48" s="49">
        <f>AVERAGE('19.8 Kayunga-Kangulumira'!C48,'20.8 Kayunga-Kangulumira'!C48,'21.8 Kayunga-Kangulumira'!C48,'22.8 Kayunga-Kangulumira'!C48,'23.8 Kayunga-Kangulumira'!C48,'24.8 Kayunga-Kangulumira'!C48,'25.8 Kayunga-Kangulumira'!C48)</f>
        <v>6.2857142857142856</v>
      </c>
      <c r="D48" s="49">
        <f>0.4*(AVERAGE('19.8 Kayunga-Kangulumira'!E48,'20.8 Kayunga-Kangulumira'!E48,'21.8 Kayunga-Kangulumira'!E48,'22.8 Kayunga-Kangulumira'!E48,'23.8 Kayunga-Kangulumira'!E48,'24.8 Kayunga-Kangulumira'!E48,'25.8 Kayunga-Kangulumira'!E48))</f>
        <v>2.5142857142857142</v>
      </c>
      <c r="E48" s="49">
        <f>0.6*(AVERAGE('19.8 Kayunga-Kangulumira'!E48,'20.8 Kayunga-Kangulumira'!E48,'21.8 Kayunga-Kangulumira'!E48,'22.8 Kayunga-Kangulumira'!E48,'23.8 Kayunga-Kangulumira'!E48,'24.8 Kayunga-Kangulumira'!E48,'25.8 Kayunga-Kangulumira'!E48))</f>
        <v>3.7714285714285714</v>
      </c>
      <c r="F48" s="49">
        <f>AVERAGE('19.8 Kayunga-Kangulumira'!F48,'20.8 Kayunga-Kangulumira'!F48,'21.8 Kayunga-Kangulumira'!F48,'22.8 Kayunga-Kangulumira'!F48,'23.8 Kayunga-Kangulumira'!F48,'24.8 Kayunga-Kangulumira'!F48,'25.8 Kayunga-Kangulumira'!F48)</f>
        <v>4.4285714285714288</v>
      </c>
      <c r="G48" s="49">
        <f>AVERAGE('19.8 Kayunga-Kangulumira'!G48,'20.8 Kayunga-Kangulumira'!G48,'21.8 Kayunga-Kangulumira'!G48,'22.8 Kayunga-Kangulumira'!G48,'23.8 Kayunga-Kangulumira'!G48,'24.8 Kayunga-Kangulumira'!G48,'25.8 Kayunga-Kangulumira'!G48)</f>
        <v>0.7142857142857143</v>
      </c>
      <c r="H48" s="49">
        <f>AVERAGE('19.8 Kayunga-Kangulumira'!H48,'20.8 Kayunga-Kangulumira'!H48,'21.8 Kayunga-Kangulumira'!H48,'22.8 Kayunga-Kangulumira'!H48,'23.8 Kayunga-Kangulumira'!H48,'24.8 Kayunga-Kangulumira'!H48,'25.8 Kayunga-Kangulumira'!H48)</f>
        <v>0.2857142857142857</v>
      </c>
      <c r="I48" s="49">
        <f>AVERAGE('19.8 Kayunga-Kangulumira'!I48,'20.8 Kayunga-Kangulumira'!I48,'21.8 Kayunga-Kangulumira'!I48,'22.8 Kayunga-Kangulumira'!I48,'23.8 Kayunga-Kangulumira'!I48,'24.8 Kayunga-Kangulumira'!I48,'25.8 Kayunga-Kangulumira'!I48)</f>
        <v>4.8571428571428568</v>
      </c>
      <c r="J48" s="49">
        <f>AVERAGE('19.8 Kayunga-Kangulumira'!J48,'20.8 Kayunga-Kangulumira'!J48,'21.8 Kayunga-Kangulumira'!J48,'22.8 Kayunga-Kangulumira'!J48,'23.8 Kayunga-Kangulumira'!J48,'24.8 Kayunga-Kangulumira'!J48,'25.8 Kayunga-Kangulumira'!J48)</f>
        <v>0.8571428571428571</v>
      </c>
      <c r="K48" s="49">
        <f>AVERAGE('19.8 Kayunga-Kangulumira'!K48,'20.8 Kayunga-Kangulumira'!K48,'21.8 Kayunga-Kangulumira'!K48,'22.8 Kayunga-Kangulumira'!K48,'23.8 Kayunga-Kangulumira'!K48,'24.8 Kayunga-Kangulumira'!K48,'25.8 Kayunga-Kangulumira'!K48)</f>
        <v>0.5714285714285714</v>
      </c>
      <c r="L48" s="49">
        <f>AVERAGE('19.8 Kayunga-Kangulumira'!L48,'20.8 Kayunga-Kangulumira'!L48,'21.8 Kayunga-Kangulumira'!L48,'22.8 Kayunga-Kangulumira'!L48,'23.8 Kayunga-Kangulumira'!L48,'24.8 Kayunga-Kangulumira'!L48,'25.8 Kayunga-Kangulumira'!L48)</f>
        <v>0.5714285714285714</v>
      </c>
      <c r="M48" s="49">
        <f>AVERAGE('19.8 Kayunga-Kangulumira'!M48,'20.8 Kayunga-Kangulumira'!M48,'21.8 Kayunga-Kangulumira'!M48,'22.8 Kayunga-Kangulumira'!M48,'23.8 Kayunga-Kangulumira'!M48,'24.8 Kayunga-Kangulumira'!M48,'25.8 Kayunga-Kangulumira'!M48)</f>
        <v>29</v>
      </c>
      <c r="N48" s="49">
        <f>AVERAGE('19.8 Kayunga-Kangulumira'!N48,'20.8 Kayunga-Kangulumira'!N48,'21.8 Kayunga-Kangulumira'!N48,'22.8 Kayunga-Kangulumira'!N48,'23.8 Kayunga-Kangulumira'!N48,'24.8 Kayunga-Kangulumira'!N48,'25.8 Kayunga-Kangulumira'!N48)</f>
        <v>0</v>
      </c>
      <c r="O48" s="15">
        <f t="shared" si="0"/>
        <v>24.857142857142861</v>
      </c>
      <c r="P48" s="15">
        <f t="shared" si="1"/>
        <v>53.857142857142861</v>
      </c>
      <c r="R48" s="8"/>
      <c r="T48"/>
    </row>
    <row r="49" spans="2:20" ht="23.1" customHeight="1" x14ac:dyDescent="0.25">
      <c r="B49" s="23" t="s">
        <v>76</v>
      </c>
      <c r="C49" s="49">
        <f>AVERAGE('19.8 Kayunga-Kangulumira'!C49,'20.8 Kayunga-Kangulumira'!C49,'21.8 Kayunga-Kangulumira'!C49,'22.8 Kayunga-Kangulumira'!C49,'23.8 Kayunga-Kangulumira'!C49,'24.8 Kayunga-Kangulumira'!C49,'25.8 Kayunga-Kangulumira'!C49)</f>
        <v>5.2857142857142856</v>
      </c>
      <c r="D49" s="49">
        <f>0.4*(AVERAGE('19.8 Kayunga-Kangulumira'!E49,'20.8 Kayunga-Kangulumira'!E49,'21.8 Kayunga-Kangulumira'!E49,'22.8 Kayunga-Kangulumira'!E49,'23.8 Kayunga-Kangulumira'!E49,'24.8 Kayunga-Kangulumira'!E49,'25.8 Kayunga-Kangulumira'!E49))</f>
        <v>1.7714285714285716</v>
      </c>
      <c r="E49" s="49">
        <f>0.6*(AVERAGE('19.8 Kayunga-Kangulumira'!E49,'20.8 Kayunga-Kangulumira'!E49,'21.8 Kayunga-Kangulumira'!E49,'22.8 Kayunga-Kangulumira'!E49,'23.8 Kayunga-Kangulumira'!E49,'24.8 Kayunga-Kangulumira'!E49,'25.8 Kayunga-Kangulumira'!E49))</f>
        <v>2.657142857142857</v>
      </c>
      <c r="F49" s="49">
        <f>AVERAGE('19.8 Kayunga-Kangulumira'!F49,'20.8 Kayunga-Kangulumira'!F49,'21.8 Kayunga-Kangulumira'!F49,'22.8 Kayunga-Kangulumira'!F49,'23.8 Kayunga-Kangulumira'!F49,'24.8 Kayunga-Kangulumira'!F49,'25.8 Kayunga-Kangulumira'!F49)</f>
        <v>4.1428571428571432</v>
      </c>
      <c r="G49" s="49">
        <f>AVERAGE('19.8 Kayunga-Kangulumira'!G49,'20.8 Kayunga-Kangulumira'!G49,'21.8 Kayunga-Kangulumira'!G49,'22.8 Kayunga-Kangulumira'!G49,'23.8 Kayunga-Kangulumira'!G49,'24.8 Kayunga-Kangulumira'!G49,'25.8 Kayunga-Kangulumira'!G49)</f>
        <v>0.14285714285714285</v>
      </c>
      <c r="H49" s="49">
        <f>AVERAGE('19.8 Kayunga-Kangulumira'!H49,'20.8 Kayunga-Kangulumira'!H49,'21.8 Kayunga-Kangulumira'!H49,'22.8 Kayunga-Kangulumira'!H49,'23.8 Kayunga-Kangulumira'!H49,'24.8 Kayunga-Kangulumira'!H49,'25.8 Kayunga-Kangulumira'!H49)</f>
        <v>0.14285714285714285</v>
      </c>
      <c r="I49" s="49">
        <f>AVERAGE('19.8 Kayunga-Kangulumira'!I49,'20.8 Kayunga-Kangulumira'!I49,'21.8 Kayunga-Kangulumira'!I49,'22.8 Kayunga-Kangulumira'!I49,'23.8 Kayunga-Kangulumira'!I49,'24.8 Kayunga-Kangulumira'!I49,'25.8 Kayunga-Kangulumira'!I49)</f>
        <v>2.8571428571428572</v>
      </c>
      <c r="J49" s="49">
        <f>AVERAGE('19.8 Kayunga-Kangulumira'!J49,'20.8 Kayunga-Kangulumira'!J49,'21.8 Kayunga-Kangulumira'!J49,'22.8 Kayunga-Kangulumira'!J49,'23.8 Kayunga-Kangulumira'!J49,'24.8 Kayunga-Kangulumira'!J49,'25.8 Kayunga-Kangulumira'!J49)</f>
        <v>0.42857142857142855</v>
      </c>
      <c r="K49" s="49">
        <f>AVERAGE('19.8 Kayunga-Kangulumira'!K49,'20.8 Kayunga-Kangulumira'!K49,'21.8 Kayunga-Kangulumira'!K49,'22.8 Kayunga-Kangulumira'!K49,'23.8 Kayunga-Kangulumira'!K49,'24.8 Kayunga-Kangulumira'!K49,'25.8 Kayunga-Kangulumira'!K49)</f>
        <v>0.5714285714285714</v>
      </c>
      <c r="L49" s="49">
        <f>AVERAGE('19.8 Kayunga-Kangulumira'!L49,'20.8 Kayunga-Kangulumira'!L49,'21.8 Kayunga-Kangulumira'!L49,'22.8 Kayunga-Kangulumira'!L49,'23.8 Kayunga-Kangulumira'!L49,'24.8 Kayunga-Kangulumira'!L49,'25.8 Kayunga-Kangulumira'!L49)</f>
        <v>0.14285714285714285</v>
      </c>
      <c r="M49" s="49">
        <f>AVERAGE('19.8 Kayunga-Kangulumira'!M49,'20.8 Kayunga-Kangulumira'!M49,'21.8 Kayunga-Kangulumira'!M49,'22.8 Kayunga-Kangulumira'!M49,'23.8 Kayunga-Kangulumira'!M49,'24.8 Kayunga-Kangulumira'!M49,'25.8 Kayunga-Kangulumira'!M49)</f>
        <v>25.428571428571427</v>
      </c>
      <c r="N49" s="49">
        <f>AVERAGE('19.8 Kayunga-Kangulumira'!N49,'20.8 Kayunga-Kangulumira'!N49,'21.8 Kayunga-Kangulumira'!N49,'22.8 Kayunga-Kangulumira'!N49,'23.8 Kayunga-Kangulumira'!N49,'24.8 Kayunga-Kangulumira'!N49,'25.8 Kayunga-Kangulumira'!N49)</f>
        <v>0</v>
      </c>
      <c r="O49" s="15">
        <f t="shared" si="0"/>
        <v>18.142857142857142</v>
      </c>
      <c r="P49" s="15">
        <f t="shared" si="1"/>
        <v>43.571428571428569</v>
      </c>
      <c r="R49" s="8"/>
      <c r="T49"/>
    </row>
    <row r="50" spans="2:20" ht="23.1" customHeight="1" x14ac:dyDescent="0.25">
      <c r="B50" s="24" t="s">
        <v>77</v>
      </c>
      <c r="C50" s="49">
        <f>AVERAGE('19.8 Kayunga-Kangulumira'!C50,'20.8 Kayunga-Kangulumira'!C50,'21.8 Kayunga-Kangulumira'!C50,'22.8 Kayunga-Kangulumira'!C50,'23.8 Kayunga-Kangulumira'!C50,'24.8 Kayunga-Kangulumira'!C50,'25.8 Kayunga-Kangulumira'!C50)</f>
        <v>5.5714285714285712</v>
      </c>
      <c r="D50" s="49">
        <f>0.4*(AVERAGE('19.8 Kayunga-Kangulumira'!E50,'20.8 Kayunga-Kangulumira'!E50,'21.8 Kayunga-Kangulumira'!E50,'22.8 Kayunga-Kangulumira'!E50,'23.8 Kayunga-Kangulumira'!E50,'24.8 Kayunga-Kangulumira'!E50,'25.8 Kayunga-Kangulumira'!E50))</f>
        <v>2.4000000000000004</v>
      </c>
      <c r="E50" s="49">
        <f>0.6*(AVERAGE('19.8 Kayunga-Kangulumira'!E50,'20.8 Kayunga-Kangulumira'!E50,'21.8 Kayunga-Kangulumira'!E50,'22.8 Kayunga-Kangulumira'!E50,'23.8 Kayunga-Kangulumira'!E50,'24.8 Kayunga-Kangulumira'!E50,'25.8 Kayunga-Kangulumira'!E50))</f>
        <v>3.5999999999999996</v>
      </c>
      <c r="F50" s="49">
        <f>AVERAGE('19.8 Kayunga-Kangulumira'!F50,'20.8 Kayunga-Kangulumira'!F50,'21.8 Kayunga-Kangulumira'!F50,'22.8 Kayunga-Kangulumira'!F50,'23.8 Kayunga-Kangulumira'!F50,'24.8 Kayunga-Kangulumira'!F50,'25.8 Kayunga-Kangulumira'!F50)</f>
        <v>4.4285714285714288</v>
      </c>
      <c r="G50" s="49">
        <f>AVERAGE('19.8 Kayunga-Kangulumira'!G50,'20.8 Kayunga-Kangulumira'!G50,'21.8 Kayunga-Kangulumira'!G50,'22.8 Kayunga-Kangulumira'!G50,'23.8 Kayunga-Kangulumira'!G50,'24.8 Kayunga-Kangulumira'!G50,'25.8 Kayunga-Kangulumira'!G50)</f>
        <v>0.5714285714285714</v>
      </c>
      <c r="H50" s="49">
        <f>AVERAGE('19.8 Kayunga-Kangulumira'!H50,'20.8 Kayunga-Kangulumira'!H50,'21.8 Kayunga-Kangulumira'!H50,'22.8 Kayunga-Kangulumira'!H50,'23.8 Kayunga-Kangulumira'!H50,'24.8 Kayunga-Kangulumira'!H50,'25.8 Kayunga-Kangulumira'!H50)</f>
        <v>0.8571428571428571</v>
      </c>
      <c r="I50" s="49">
        <f>AVERAGE('19.8 Kayunga-Kangulumira'!I50,'20.8 Kayunga-Kangulumira'!I50,'21.8 Kayunga-Kangulumira'!I50,'22.8 Kayunga-Kangulumira'!I50,'23.8 Kayunga-Kangulumira'!I50,'24.8 Kayunga-Kangulumira'!I50,'25.8 Kayunga-Kangulumira'!I50)</f>
        <v>4.7142857142857144</v>
      </c>
      <c r="J50" s="49">
        <f>AVERAGE('19.8 Kayunga-Kangulumira'!J50,'20.8 Kayunga-Kangulumira'!J50,'21.8 Kayunga-Kangulumira'!J50,'22.8 Kayunga-Kangulumira'!J50,'23.8 Kayunga-Kangulumira'!J50,'24.8 Kayunga-Kangulumira'!J50,'25.8 Kayunga-Kangulumira'!J50)</f>
        <v>0.5714285714285714</v>
      </c>
      <c r="K50" s="49">
        <f>AVERAGE('19.8 Kayunga-Kangulumira'!K50,'20.8 Kayunga-Kangulumira'!K50,'21.8 Kayunga-Kangulumira'!K50,'22.8 Kayunga-Kangulumira'!K50,'23.8 Kayunga-Kangulumira'!K50,'24.8 Kayunga-Kangulumira'!K50,'25.8 Kayunga-Kangulumira'!K50)</f>
        <v>0.7142857142857143</v>
      </c>
      <c r="L50" s="49">
        <f>AVERAGE('19.8 Kayunga-Kangulumira'!L50,'20.8 Kayunga-Kangulumira'!L50,'21.8 Kayunga-Kangulumira'!L50,'22.8 Kayunga-Kangulumira'!L50,'23.8 Kayunga-Kangulumira'!L50,'24.8 Kayunga-Kangulumira'!L50,'25.8 Kayunga-Kangulumira'!L50)</f>
        <v>0.8571428571428571</v>
      </c>
      <c r="M50" s="49">
        <f>AVERAGE('19.8 Kayunga-Kangulumira'!M50,'20.8 Kayunga-Kangulumira'!M50,'21.8 Kayunga-Kangulumira'!M50,'22.8 Kayunga-Kangulumira'!M50,'23.8 Kayunga-Kangulumira'!M50,'24.8 Kayunga-Kangulumira'!M50,'25.8 Kayunga-Kangulumira'!M50)</f>
        <v>30.857142857142858</v>
      </c>
      <c r="N50" s="49">
        <f>AVERAGE('19.8 Kayunga-Kangulumira'!N50,'20.8 Kayunga-Kangulumira'!N50,'21.8 Kayunga-Kangulumira'!N50,'22.8 Kayunga-Kangulumira'!N50,'23.8 Kayunga-Kangulumira'!N50,'24.8 Kayunga-Kangulumira'!N50,'25.8 Kayunga-Kangulumira'!N50)</f>
        <v>0</v>
      </c>
      <c r="O50" s="15">
        <f t="shared" si="0"/>
        <v>24.285714285714292</v>
      </c>
      <c r="P50" s="15">
        <f t="shared" si="1"/>
        <v>55.142857142857153</v>
      </c>
      <c r="R50" s="8"/>
      <c r="T50"/>
    </row>
    <row r="51" spans="2:20" ht="23.1" customHeight="1" x14ac:dyDescent="0.25">
      <c r="B51" s="24" t="s">
        <v>78</v>
      </c>
      <c r="C51" s="49">
        <f>AVERAGE('19.8 Kayunga-Kangulumira'!C51,'20.8 Kayunga-Kangulumira'!C51,'21.8 Kayunga-Kangulumira'!C51,'22.8 Kayunga-Kangulumira'!C51,'23.8 Kayunga-Kangulumira'!C51,'24.8 Kayunga-Kangulumira'!C51,'25.8 Kayunga-Kangulumira'!C51)</f>
        <v>8.2857142857142865</v>
      </c>
      <c r="D51" s="49">
        <f>0.4*(AVERAGE('19.8 Kayunga-Kangulumira'!E51,'20.8 Kayunga-Kangulumira'!E51,'21.8 Kayunga-Kangulumira'!E51,'22.8 Kayunga-Kangulumira'!E51,'23.8 Kayunga-Kangulumira'!E51,'24.8 Kayunga-Kangulumira'!E51,'25.8 Kayunga-Kangulumira'!E51))</f>
        <v>2.342857142857143</v>
      </c>
      <c r="E51" s="49">
        <f>0.6*(AVERAGE('19.8 Kayunga-Kangulumira'!E51,'20.8 Kayunga-Kangulumira'!E51,'21.8 Kayunga-Kangulumira'!E51,'22.8 Kayunga-Kangulumira'!E51,'23.8 Kayunga-Kangulumira'!E51,'24.8 Kayunga-Kangulumira'!E51,'25.8 Kayunga-Kangulumira'!E51))</f>
        <v>3.5142857142857138</v>
      </c>
      <c r="F51" s="49">
        <f>AVERAGE('19.8 Kayunga-Kangulumira'!F51,'20.8 Kayunga-Kangulumira'!F51,'21.8 Kayunga-Kangulumira'!F51,'22.8 Kayunga-Kangulumira'!F51,'23.8 Kayunga-Kangulumira'!F51,'24.8 Kayunga-Kangulumira'!F51,'25.8 Kayunga-Kangulumira'!F51)</f>
        <v>6.2857142857142856</v>
      </c>
      <c r="G51" s="49">
        <f>AVERAGE('19.8 Kayunga-Kangulumira'!G51,'20.8 Kayunga-Kangulumira'!G51,'21.8 Kayunga-Kangulumira'!G51,'22.8 Kayunga-Kangulumira'!G51,'23.8 Kayunga-Kangulumira'!G51,'24.8 Kayunga-Kangulumira'!G51,'25.8 Kayunga-Kangulumira'!G51)</f>
        <v>0.14285714285714285</v>
      </c>
      <c r="H51" s="49">
        <f>AVERAGE('19.8 Kayunga-Kangulumira'!H51,'20.8 Kayunga-Kangulumira'!H51,'21.8 Kayunga-Kangulumira'!H51,'22.8 Kayunga-Kangulumira'!H51,'23.8 Kayunga-Kangulumira'!H51,'24.8 Kayunga-Kangulumira'!H51,'25.8 Kayunga-Kangulumira'!H51)</f>
        <v>0.7142857142857143</v>
      </c>
      <c r="I51" s="49">
        <f>AVERAGE('19.8 Kayunga-Kangulumira'!I51,'20.8 Kayunga-Kangulumira'!I51,'21.8 Kayunga-Kangulumira'!I51,'22.8 Kayunga-Kangulumira'!I51,'23.8 Kayunga-Kangulumira'!I51,'24.8 Kayunga-Kangulumira'!I51,'25.8 Kayunga-Kangulumira'!I51)</f>
        <v>4.4285714285714288</v>
      </c>
      <c r="J51" s="49">
        <f>AVERAGE('19.8 Kayunga-Kangulumira'!J51,'20.8 Kayunga-Kangulumira'!J51,'21.8 Kayunga-Kangulumira'!J51,'22.8 Kayunga-Kangulumira'!J51,'23.8 Kayunga-Kangulumira'!J51,'24.8 Kayunga-Kangulumira'!J51,'25.8 Kayunga-Kangulumira'!J51)</f>
        <v>0.7142857142857143</v>
      </c>
      <c r="K51" s="49">
        <f>AVERAGE('19.8 Kayunga-Kangulumira'!K51,'20.8 Kayunga-Kangulumira'!K51,'21.8 Kayunga-Kangulumira'!K51,'22.8 Kayunga-Kangulumira'!K51,'23.8 Kayunga-Kangulumira'!K51,'24.8 Kayunga-Kangulumira'!K51,'25.8 Kayunga-Kangulumira'!K51)</f>
        <v>0.42857142857142855</v>
      </c>
      <c r="L51" s="49">
        <f>AVERAGE('19.8 Kayunga-Kangulumira'!L51,'20.8 Kayunga-Kangulumira'!L51,'21.8 Kayunga-Kangulumira'!L51,'22.8 Kayunga-Kangulumira'!L51,'23.8 Kayunga-Kangulumira'!L51,'24.8 Kayunga-Kangulumira'!L51,'25.8 Kayunga-Kangulumira'!L51)</f>
        <v>0.5714285714285714</v>
      </c>
      <c r="M51" s="49">
        <f>AVERAGE('19.8 Kayunga-Kangulumira'!M51,'20.8 Kayunga-Kangulumira'!M51,'21.8 Kayunga-Kangulumira'!M51,'22.8 Kayunga-Kangulumira'!M51,'23.8 Kayunga-Kangulumira'!M51,'24.8 Kayunga-Kangulumira'!M51,'25.8 Kayunga-Kangulumira'!M51)</f>
        <v>28.571428571428573</v>
      </c>
      <c r="N51" s="49">
        <f>AVERAGE('19.8 Kayunga-Kangulumira'!N51,'20.8 Kayunga-Kangulumira'!N51,'21.8 Kayunga-Kangulumira'!N51,'22.8 Kayunga-Kangulumira'!N51,'23.8 Kayunga-Kangulumira'!N51,'24.8 Kayunga-Kangulumira'!N51,'25.8 Kayunga-Kangulumira'!N51)</f>
        <v>0</v>
      </c>
      <c r="O51" s="15">
        <f t="shared" si="0"/>
        <v>27.428571428571431</v>
      </c>
      <c r="P51" s="15">
        <f t="shared" si="1"/>
        <v>56</v>
      </c>
      <c r="R51" s="8"/>
      <c r="T51"/>
    </row>
    <row r="52" spans="2:20" ht="23.1" customHeight="1" x14ac:dyDescent="0.25">
      <c r="B52" s="24" t="s">
        <v>79</v>
      </c>
      <c r="C52" s="49">
        <f>AVERAGE('19.8 Kayunga-Kangulumira'!C52,'20.8 Kayunga-Kangulumira'!C52,'21.8 Kayunga-Kangulumira'!C52,'22.8 Kayunga-Kangulumira'!C52,'23.8 Kayunga-Kangulumira'!C52,'24.8 Kayunga-Kangulumira'!C52,'25.8 Kayunga-Kangulumira'!C52)</f>
        <v>3.8571428571428572</v>
      </c>
      <c r="D52" s="49">
        <f>0.4*(AVERAGE('19.8 Kayunga-Kangulumira'!E52,'20.8 Kayunga-Kangulumira'!E52,'21.8 Kayunga-Kangulumira'!E52,'22.8 Kayunga-Kangulumira'!E52,'23.8 Kayunga-Kangulumira'!E52,'24.8 Kayunga-Kangulumira'!E52,'25.8 Kayunga-Kangulumira'!E52))</f>
        <v>2.6857142857142859</v>
      </c>
      <c r="E52" s="49">
        <f>0.6*(AVERAGE('19.8 Kayunga-Kangulumira'!E52,'20.8 Kayunga-Kangulumira'!E52,'21.8 Kayunga-Kangulumira'!E52,'22.8 Kayunga-Kangulumira'!E52,'23.8 Kayunga-Kangulumira'!E52,'24.8 Kayunga-Kangulumira'!E52,'25.8 Kayunga-Kangulumira'!E52))</f>
        <v>4.0285714285714285</v>
      </c>
      <c r="F52" s="49">
        <f>AVERAGE('19.8 Kayunga-Kangulumira'!F52,'20.8 Kayunga-Kangulumira'!F52,'21.8 Kayunga-Kangulumira'!F52,'22.8 Kayunga-Kangulumira'!F52,'23.8 Kayunga-Kangulumira'!F52,'24.8 Kayunga-Kangulumira'!F52,'25.8 Kayunga-Kangulumira'!F52)</f>
        <v>3.4285714285714284</v>
      </c>
      <c r="G52" s="49">
        <f>AVERAGE('19.8 Kayunga-Kangulumira'!G52,'20.8 Kayunga-Kangulumira'!G52,'21.8 Kayunga-Kangulumira'!G52,'22.8 Kayunga-Kangulumira'!G52,'23.8 Kayunga-Kangulumira'!G52,'24.8 Kayunga-Kangulumira'!G52,'25.8 Kayunga-Kangulumira'!G52)</f>
        <v>0.7142857142857143</v>
      </c>
      <c r="H52" s="49">
        <f>AVERAGE('19.8 Kayunga-Kangulumira'!H52,'20.8 Kayunga-Kangulumira'!H52,'21.8 Kayunga-Kangulumira'!H52,'22.8 Kayunga-Kangulumira'!H52,'23.8 Kayunga-Kangulumira'!H52,'24.8 Kayunga-Kangulumira'!H52,'25.8 Kayunga-Kangulumira'!H52)</f>
        <v>0.14285714285714285</v>
      </c>
      <c r="I52" s="49">
        <f>AVERAGE('19.8 Kayunga-Kangulumira'!I52,'20.8 Kayunga-Kangulumira'!I52,'21.8 Kayunga-Kangulumira'!I52,'22.8 Kayunga-Kangulumira'!I52,'23.8 Kayunga-Kangulumira'!I52,'24.8 Kayunga-Kangulumira'!I52,'25.8 Kayunga-Kangulumira'!I52)</f>
        <v>5</v>
      </c>
      <c r="J52" s="49">
        <f>AVERAGE('19.8 Kayunga-Kangulumira'!J52,'20.8 Kayunga-Kangulumira'!J52,'21.8 Kayunga-Kangulumira'!J52,'22.8 Kayunga-Kangulumira'!J52,'23.8 Kayunga-Kangulumira'!J52,'24.8 Kayunga-Kangulumira'!J52,'25.8 Kayunga-Kangulumira'!J52)</f>
        <v>0.42857142857142855</v>
      </c>
      <c r="K52" s="49">
        <f>AVERAGE('19.8 Kayunga-Kangulumira'!K52,'20.8 Kayunga-Kangulumira'!K52,'21.8 Kayunga-Kangulumira'!K52,'22.8 Kayunga-Kangulumira'!K52,'23.8 Kayunga-Kangulumira'!K52,'24.8 Kayunga-Kangulumira'!K52,'25.8 Kayunga-Kangulumira'!K52)</f>
        <v>0.7142857142857143</v>
      </c>
      <c r="L52" s="49">
        <f>AVERAGE('19.8 Kayunga-Kangulumira'!L52,'20.8 Kayunga-Kangulumira'!L52,'21.8 Kayunga-Kangulumira'!L52,'22.8 Kayunga-Kangulumira'!L52,'23.8 Kayunga-Kangulumira'!L52,'24.8 Kayunga-Kangulumira'!L52,'25.8 Kayunga-Kangulumira'!L52)</f>
        <v>0.42857142857142855</v>
      </c>
      <c r="M52" s="49">
        <f>AVERAGE('19.8 Kayunga-Kangulumira'!M52,'20.8 Kayunga-Kangulumira'!M52,'21.8 Kayunga-Kangulumira'!M52,'22.8 Kayunga-Kangulumira'!M52,'23.8 Kayunga-Kangulumira'!M52,'24.8 Kayunga-Kangulumira'!M52,'25.8 Kayunga-Kangulumira'!M52)</f>
        <v>31.142857142857142</v>
      </c>
      <c r="N52" s="49">
        <f>AVERAGE('19.8 Kayunga-Kangulumira'!N52,'20.8 Kayunga-Kangulumira'!N52,'21.8 Kayunga-Kangulumira'!N52,'22.8 Kayunga-Kangulumira'!N52,'23.8 Kayunga-Kangulumira'!N52,'24.8 Kayunga-Kangulumira'!N52,'25.8 Kayunga-Kangulumira'!N52)</f>
        <v>0</v>
      </c>
      <c r="O52" s="15">
        <f t="shared" si="0"/>
        <v>21.428571428571423</v>
      </c>
      <c r="P52" s="15">
        <f t="shared" si="1"/>
        <v>52.571428571428569</v>
      </c>
      <c r="R52" s="8"/>
      <c r="T52"/>
    </row>
    <row r="53" spans="2:20" ht="23.1" customHeight="1" x14ac:dyDescent="0.25">
      <c r="B53" s="23" t="s">
        <v>80</v>
      </c>
      <c r="C53" s="49">
        <f>AVERAGE('19.8 Kayunga-Kangulumira'!C53,'20.8 Kayunga-Kangulumira'!C53,'21.8 Kayunga-Kangulumira'!C53,'22.8 Kayunga-Kangulumira'!C53,'23.8 Kayunga-Kangulumira'!C53,'24.8 Kayunga-Kangulumira'!C53,'25.8 Kayunga-Kangulumira'!C53)</f>
        <v>5.7142857142857144</v>
      </c>
      <c r="D53" s="49">
        <f>0.4*(AVERAGE('19.8 Kayunga-Kangulumira'!E53,'20.8 Kayunga-Kangulumira'!E53,'21.8 Kayunga-Kangulumira'!E53,'22.8 Kayunga-Kangulumira'!E53,'23.8 Kayunga-Kangulumira'!E53,'24.8 Kayunga-Kangulumira'!E53,'25.8 Kayunga-Kangulumira'!E53))</f>
        <v>2.342857142857143</v>
      </c>
      <c r="E53" s="49">
        <f>0.6*(AVERAGE('19.8 Kayunga-Kangulumira'!E53,'20.8 Kayunga-Kangulumira'!E53,'21.8 Kayunga-Kangulumira'!E53,'22.8 Kayunga-Kangulumira'!E53,'23.8 Kayunga-Kangulumira'!E53,'24.8 Kayunga-Kangulumira'!E53,'25.8 Kayunga-Kangulumira'!E53))</f>
        <v>3.5142857142857138</v>
      </c>
      <c r="F53" s="49">
        <f>AVERAGE('19.8 Kayunga-Kangulumira'!F53,'20.8 Kayunga-Kangulumira'!F53,'21.8 Kayunga-Kangulumira'!F53,'22.8 Kayunga-Kangulumira'!F53,'23.8 Kayunga-Kangulumira'!F53,'24.8 Kayunga-Kangulumira'!F53,'25.8 Kayunga-Kangulumira'!F53)</f>
        <v>6</v>
      </c>
      <c r="G53" s="49">
        <f>AVERAGE('19.8 Kayunga-Kangulumira'!G53,'20.8 Kayunga-Kangulumira'!G53,'21.8 Kayunga-Kangulumira'!G53,'22.8 Kayunga-Kangulumira'!G53,'23.8 Kayunga-Kangulumira'!G53,'24.8 Kayunga-Kangulumira'!G53,'25.8 Kayunga-Kangulumira'!G53)</f>
        <v>0.5714285714285714</v>
      </c>
      <c r="H53" s="49">
        <f>AVERAGE('19.8 Kayunga-Kangulumira'!H53,'20.8 Kayunga-Kangulumira'!H53,'21.8 Kayunga-Kangulumira'!H53,'22.8 Kayunga-Kangulumira'!H53,'23.8 Kayunga-Kangulumira'!H53,'24.8 Kayunga-Kangulumira'!H53,'25.8 Kayunga-Kangulumira'!H53)</f>
        <v>1.2857142857142858</v>
      </c>
      <c r="I53" s="49">
        <f>AVERAGE('19.8 Kayunga-Kangulumira'!I53,'20.8 Kayunga-Kangulumira'!I53,'21.8 Kayunga-Kangulumira'!I53,'22.8 Kayunga-Kangulumira'!I53,'23.8 Kayunga-Kangulumira'!I53,'24.8 Kayunga-Kangulumira'!I53,'25.8 Kayunga-Kangulumira'!I53)</f>
        <v>5.4285714285714288</v>
      </c>
      <c r="J53" s="49">
        <f>AVERAGE('19.8 Kayunga-Kangulumira'!J53,'20.8 Kayunga-Kangulumira'!J53,'21.8 Kayunga-Kangulumira'!J53,'22.8 Kayunga-Kangulumira'!J53,'23.8 Kayunga-Kangulumira'!J53,'24.8 Kayunga-Kangulumira'!J53,'25.8 Kayunga-Kangulumira'!J53)</f>
        <v>0.2857142857142857</v>
      </c>
      <c r="K53" s="49">
        <f>AVERAGE('19.8 Kayunga-Kangulumira'!K53,'20.8 Kayunga-Kangulumira'!K53,'21.8 Kayunga-Kangulumira'!K53,'22.8 Kayunga-Kangulumira'!K53,'23.8 Kayunga-Kangulumira'!K53,'24.8 Kayunga-Kangulumira'!K53,'25.8 Kayunga-Kangulumira'!K53)</f>
        <v>0.14285714285714285</v>
      </c>
      <c r="L53" s="49">
        <f>AVERAGE('19.8 Kayunga-Kangulumira'!L53,'20.8 Kayunga-Kangulumira'!L53,'21.8 Kayunga-Kangulumira'!L53,'22.8 Kayunga-Kangulumira'!L53,'23.8 Kayunga-Kangulumira'!L53,'24.8 Kayunga-Kangulumira'!L53,'25.8 Kayunga-Kangulumira'!L53)</f>
        <v>0.2857142857142857</v>
      </c>
      <c r="M53" s="49">
        <f>AVERAGE('19.8 Kayunga-Kangulumira'!M53,'20.8 Kayunga-Kangulumira'!M53,'21.8 Kayunga-Kangulumira'!M53,'22.8 Kayunga-Kangulumira'!M53,'23.8 Kayunga-Kangulumira'!M53,'24.8 Kayunga-Kangulumira'!M53,'25.8 Kayunga-Kangulumira'!M53)</f>
        <v>31.428571428571427</v>
      </c>
      <c r="N53" s="49">
        <f>AVERAGE('19.8 Kayunga-Kangulumira'!N53,'20.8 Kayunga-Kangulumira'!N53,'21.8 Kayunga-Kangulumira'!N53,'22.8 Kayunga-Kangulumira'!N53,'23.8 Kayunga-Kangulumira'!N53,'24.8 Kayunga-Kangulumira'!N53,'25.8 Kayunga-Kangulumira'!N53)</f>
        <v>0</v>
      </c>
      <c r="O53" s="15">
        <f t="shared" si="0"/>
        <v>25.571428571428566</v>
      </c>
      <c r="P53" s="15">
        <f t="shared" si="1"/>
        <v>56.999999999999993</v>
      </c>
      <c r="R53" s="8"/>
      <c r="T53"/>
    </row>
    <row r="54" spans="2:20" ht="23.1" customHeight="1" x14ac:dyDescent="0.25">
      <c r="B54" s="23" t="s">
        <v>81</v>
      </c>
      <c r="C54" s="49">
        <f>AVERAGE('19.8 Kayunga-Kangulumira'!C54,'20.8 Kayunga-Kangulumira'!C54,'21.8 Kayunga-Kangulumira'!C54,'22.8 Kayunga-Kangulumira'!C54,'23.8 Kayunga-Kangulumira'!C54,'24.8 Kayunga-Kangulumira'!C54,'25.8 Kayunga-Kangulumira'!C54)</f>
        <v>5.7142857142857144</v>
      </c>
      <c r="D54" s="49">
        <f>0.4*(AVERAGE('19.8 Kayunga-Kangulumira'!E54,'20.8 Kayunga-Kangulumira'!E54,'21.8 Kayunga-Kangulumira'!E54,'22.8 Kayunga-Kangulumira'!E54,'23.8 Kayunga-Kangulumira'!E54,'24.8 Kayunga-Kangulumira'!E54,'25.8 Kayunga-Kangulumira'!E54))</f>
        <v>2.0571428571428574</v>
      </c>
      <c r="E54" s="49">
        <f>0.6*(AVERAGE('19.8 Kayunga-Kangulumira'!E54,'20.8 Kayunga-Kangulumira'!E54,'21.8 Kayunga-Kangulumira'!E54,'22.8 Kayunga-Kangulumira'!E54,'23.8 Kayunga-Kangulumira'!E54,'24.8 Kayunga-Kangulumira'!E54,'25.8 Kayunga-Kangulumira'!E54))</f>
        <v>3.0857142857142859</v>
      </c>
      <c r="F54" s="49">
        <f>AVERAGE('19.8 Kayunga-Kangulumira'!F54,'20.8 Kayunga-Kangulumira'!F54,'21.8 Kayunga-Kangulumira'!F54,'22.8 Kayunga-Kangulumira'!F54,'23.8 Kayunga-Kangulumira'!F54,'24.8 Kayunga-Kangulumira'!F54,'25.8 Kayunga-Kangulumira'!F54)</f>
        <v>4.4285714285714288</v>
      </c>
      <c r="G54" s="49">
        <f>AVERAGE('19.8 Kayunga-Kangulumira'!G54,'20.8 Kayunga-Kangulumira'!G54,'21.8 Kayunga-Kangulumira'!G54,'22.8 Kayunga-Kangulumira'!G54,'23.8 Kayunga-Kangulumira'!G54,'24.8 Kayunga-Kangulumira'!G54,'25.8 Kayunga-Kangulumira'!G54)</f>
        <v>1</v>
      </c>
      <c r="H54" s="49">
        <f>AVERAGE('19.8 Kayunga-Kangulumira'!H54,'20.8 Kayunga-Kangulumira'!H54,'21.8 Kayunga-Kangulumira'!H54,'22.8 Kayunga-Kangulumira'!H54,'23.8 Kayunga-Kangulumira'!H54,'24.8 Kayunga-Kangulumira'!H54,'25.8 Kayunga-Kangulumira'!H54)</f>
        <v>1.4285714285714286</v>
      </c>
      <c r="I54" s="49">
        <f>AVERAGE('19.8 Kayunga-Kangulumira'!I54,'20.8 Kayunga-Kangulumira'!I54,'21.8 Kayunga-Kangulumira'!I54,'22.8 Kayunga-Kangulumira'!I54,'23.8 Kayunga-Kangulumira'!I54,'24.8 Kayunga-Kangulumira'!I54,'25.8 Kayunga-Kangulumira'!I54)</f>
        <v>3.7142857142857144</v>
      </c>
      <c r="J54" s="49">
        <f>AVERAGE('19.8 Kayunga-Kangulumira'!J54,'20.8 Kayunga-Kangulumira'!J54,'21.8 Kayunga-Kangulumira'!J54,'22.8 Kayunga-Kangulumira'!J54,'23.8 Kayunga-Kangulumira'!J54,'24.8 Kayunga-Kangulumira'!J54,'25.8 Kayunga-Kangulumira'!J54)</f>
        <v>0.14285714285714285</v>
      </c>
      <c r="K54" s="49">
        <f>AVERAGE('19.8 Kayunga-Kangulumira'!K54,'20.8 Kayunga-Kangulumira'!K54,'21.8 Kayunga-Kangulumira'!K54,'22.8 Kayunga-Kangulumira'!K54,'23.8 Kayunga-Kangulumira'!K54,'24.8 Kayunga-Kangulumira'!K54,'25.8 Kayunga-Kangulumira'!K54)</f>
        <v>0.42857142857142855</v>
      </c>
      <c r="L54" s="49">
        <f>AVERAGE('19.8 Kayunga-Kangulumira'!L54,'20.8 Kayunga-Kangulumira'!L54,'21.8 Kayunga-Kangulumira'!L54,'22.8 Kayunga-Kangulumira'!L54,'23.8 Kayunga-Kangulumira'!L54,'24.8 Kayunga-Kangulumira'!L54,'25.8 Kayunga-Kangulumira'!L54)</f>
        <v>0.42857142857142855</v>
      </c>
      <c r="M54" s="49">
        <f>AVERAGE('19.8 Kayunga-Kangulumira'!M54,'20.8 Kayunga-Kangulumira'!M54,'21.8 Kayunga-Kangulumira'!M54,'22.8 Kayunga-Kangulumira'!M54,'23.8 Kayunga-Kangulumira'!M54,'24.8 Kayunga-Kangulumira'!M54,'25.8 Kayunga-Kangulumira'!M54)</f>
        <v>30.142857142857142</v>
      </c>
      <c r="N54" s="49">
        <f>AVERAGE('19.8 Kayunga-Kangulumira'!N54,'20.8 Kayunga-Kangulumira'!N54,'21.8 Kayunga-Kangulumira'!N54,'22.8 Kayunga-Kangulumira'!N54,'23.8 Kayunga-Kangulumira'!N54,'24.8 Kayunga-Kangulumira'!N54,'25.8 Kayunga-Kangulumira'!N54)</f>
        <v>0</v>
      </c>
      <c r="O54" s="15">
        <f t="shared" si="0"/>
        <v>22.428571428571423</v>
      </c>
      <c r="P54" s="15">
        <f t="shared" si="1"/>
        <v>52.571428571428569</v>
      </c>
      <c r="R54" s="8"/>
      <c r="T54"/>
    </row>
    <row r="55" spans="2:20" ht="23.1" customHeight="1" x14ac:dyDescent="0.25">
      <c r="B55" s="23" t="s">
        <v>82</v>
      </c>
      <c r="C55" s="49">
        <f>AVERAGE('19.8 Kayunga-Kangulumira'!C55,'20.8 Kayunga-Kangulumira'!C55,'21.8 Kayunga-Kangulumira'!C55,'22.8 Kayunga-Kangulumira'!C55,'23.8 Kayunga-Kangulumira'!C55,'24.8 Kayunga-Kangulumira'!C55,'25.8 Kayunga-Kangulumira'!C55)</f>
        <v>4.7142857142857144</v>
      </c>
      <c r="D55" s="49">
        <f>0.4*(AVERAGE('19.8 Kayunga-Kangulumira'!E55,'20.8 Kayunga-Kangulumira'!E55,'21.8 Kayunga-Kangulumira'!E55,'22.8 Kayunga-Kangulumira'!E55,'23.8 Kayunga-Kangulumira'!E55,'24.8 Kayunga-Kangulumira'!E55,'25.8 Kayunga-Kangulumira'!E55))</f>
        <v>2.6857142857142859</v>
      </c>
      <c r="E55" s="49">
        <f>0.6*(AVERAGE('19.8 Kayunga-Kangulumira'!E55,'20.8 Kayunga-Kangulumira'!E55,'21.8 Kayunga-Kangulumira'!E55,'22.8 Kayunga-Kangulumira'!E55,'23.8 Kayunga-Kangulumira'!E55,'24.8 Kayunga-Kangulumira'!E55,'25.8 Kayunga-Kangulumira'!E55))</f>
        <v>4.0285714285714285</v>
      </c>
      <c r="F55" s="49">
        <f>AVERAGE('19.8 Kayunga-Kangulumira'!F55,'20.8 Kayunga-Kangulumira'!F55,'21.8 Kayunga-Kangulumira'!F55,'22.8 Kayunga-Kangulumira'!F55,'23.8 Kayunga-Kangulumira'!F55,'24.8 Kayunga-Kangulumira'!F55,'25.8 Kayunga-Kangulumira'!F55)</f>
        <v>4.8571428571428568</v>
      </c>
      <c r="G55" s="49">
        <f>AVERAGE('19.8 Kayunga-Kangulumira'!G55,'20.8 Kayunga-Kangulumira'!G55,'21.8 Kayunga-Kangulumira'!G55,'22.8 Kayunga-Kangulumira'!G55,'23.8 Kayunga-Kangulumira'!G55,'24.8 Kayunga-Kangulumira'!G55,'25.8 Kayunga-Kangulumira'!G55)</f>
        <v>0.14285714285714285</v>
      </c>
      <c r="H55" s="49">
        <f>AVERAGE('19.8 Kayunga-Kangulumira'!H55,'20.8 Kayunga-Kangulumira'!H55,'21.8 Kayunga-Kangulumira'!H55,'22.8 Kayunga-Kangulumira'!H55,'23.8 Kayunga-Kangulumira'!H55,'24.8 Kayunga-Kangulumira'!H55,'25.8 Kayunga-Kangulumira'!H55)</f>
        <v>0.14285714285714285</v>
      </c>
      <c r="I55" s="49">
        <f>AVERAGE('19.8 Kayunga-Kangulumira'!I55,'20.8 Kayunga-Kangulumira'!I55,'21.8 Kayunga-Kangulumira'!I55,'22.8 Kayunga-Kangulumira'!I55,'23.8 Kayunga-Kangulumira'!I55,'24.8 Kayunga-Kangulumira'!I55,'25.8 Kayunga-Kangulumira'!I55)</f>
        <v>4.4285714285714288</v>
      </c>
      <c r="J55" s="49">
        <f>AVERAGE('19.8 Kayunga-Kangulumira'!J55,'20.8 Kayunga-Kangulumira'!J55,'21.8 Kayunga-Kangulumira'!J55,'22.8 Kayunga-Kangulumira'!J55,'23.8 Kayunga-Kangulumira'!J55,'24.8 Kayunga-Kangulumira'!J55,'25.8 Kayunga-Kangulumira'!J55)</f>
        <v>0.5714285714285714</v>
      </c>
      <c r="K55" s="49">
        <f>AVERAGE('19.8 Kayunga-Kangulumira'!K55,'20.8 Kayunga-Kangulumira'!K55,'21.8 Kayunga-Kangulumira'!K55,'22.8 Kayunga-Kangulumira'!K55,'23.8 Kayunga-Kangulumira'!K55,'24.8 Kayunga-Kangulumira'!K55,'25.8 Kayunga-Kangulumira'!K55)</f>
        <v>0.2857142857142857</v>
      </c>
      <c r="L55" s="49">
        <f>AVERAGE('19.8 Kayunga-Kangulumira'!L55,'20.8 Kayunga-Kangulumira'!L55,'21.8 Kayunga-Kangulumira'!L55,'22.8 Kayunga-Kangulumira'!L55,'23.8 Kayunga-Kangulumira'!L55,'24.8 Kayunga-Kangulumira'!L55,'25.8 Kayunga-Kangulumira'!L55)</f>
        <v>0.14285714285714285</v>
      </c>
      <c r="M55" s="49">
        <f>AVERAGE('19.8 Kayunga-Kangulumira'!M55,'20.8 Kayunga-Kangulumira'!M55,'21.8 Kayunga-Kangulumira'!M55,'22.8 Kayunga-Kangulumira'!M55,'23.8 Kayunga-Kangulumira'!M55,'24.8 Kayunga-Kangulumira'!M55,'25.8 Kayunga-Kangulumira'!M55)</f>
        <v>27.714285714285715</v>
      </c>
      <c r="N55" s="49">
        <f>AVERAGE('19.8 Kayunga-Kangulumira'!N55,'20.8 Kayunga-Kangulumira'!N55,'21.8 Kayunga-Kangulumira'!N55,'22.8 Kayunga-Kangulumira'!N55,'23.8 Kayunga-Kangulumira'!N55,'24.8 Kayunga-Kangulumira'!N55,'25.8 Kayunga-Kangulumira'!N55)</f>
        <v>0</v>
      </c>
      <c r="O55" s="15">
        <f t="shared" si="0"/>
        <v>22</v>
      </c>
      <c r="P55" s="15">
        <f t="shared" si="1"/>
        <v>49.714285714285715</v>
      </c>
      <c r="R55" s="8"/>
      <c r="T55"/>
    </row>
    <row r="56" spans="2:20" ht="23.1" customHeight="1" x14ac:dyDescent="0.25">
      <c r="B56" s="23" t="s">
        <v>83</v>
      </c>
      <c r="C56" s="49">
        <f>AVERAGE('19.8 Kayunga-Kangulumira'!C56,'20.8 Kayunga-Kangulumira'!C56,'21.8 Kayunga-Kangulumira'!C56,'22.8 Kayunga-Kangulumira'!C56,'23.8 Kayunga-Kangulumira'!C56,'24.8 Kayunga-Kangulumira'!C56,'25.8 Kayunga-Kangulumira'!C56)</f>
        <v>6.4285714285714288</v>
      </c>
      <c r="D56" s="49">
        <f>0.4*(AVERAGE('19.8 Kayunga-Kangulumira'!E56,'20.8 Kayunga-Kangulumira'!E56,'21.8 Kayunga-Kangulumira'!E56,'22.8 Kayunga-Kangulumira'!E56,'23.8 Kayunga-Kangulumira'!E56,'24.8 Kayunga-Kangulumira'!E56,'25.8 Kayunga-Kangulumira'!E56))</f>
        <v>2.5142857142857142</v>
      </c>
      <c r="E56" s="49">
        <f>0.6*(AVERAGE('19.8 Kayunga-Kangulumira'!E56,'20.8 Kayunga-Kangulumira'!E56,'21.8 Kayunga-Kangulumira'!E56,'22.8 Kayunga-Kangulumira'!E56,'23.8 Kayunga-Kangulumira'!E56,'24.8 Kayunga-Kangulumira'!E56,'25.8 Kayunga-Kangulumira'!E56))</f>
        <v>3.7714285714285714</v>
      </c>
      <c r="F56" s="49">
        <f>AVERAGE('19.8 Kayunga-Kangulumira'!F56,'20.8 Kayunga-Kangulumira'!F56,'21.8 Kayunga-Kangulumira'!F56,'22.8 Kayunga-Kangulumira'!F56,'23.8 Kayunga-Kangulumira'!F56,'24.8 Kayunga-Kangulumira'!F56,'25.8 Kayunga-Kangulumira'!F56)</f>
        <v>4</v>
      </c>
      <c r="G56" s="49">
        <f>AVERAGE('19.8 Kayunga-Kangulumira'!G56,'20.8 Kayunga-Kangulumira'!G56,'21.8 Kayunga-Kangulumira'!G56,'22.8 Kayunga-Kangulumira'!G56,'23.8 Kayunga-Kangulumira'!G56,'24.8 Kayunga-Kangulumira'!G56,'25.8 Kayunga-Kangulumira'!G56)</f>
        <v>0.42857142857142855</v>
      </c>
      <c r="H56" s="49">
        <f>AVERAGE('19.8 Kayunga-Kangulumira'!H56,'20.8 Kayunga-Kangulumira'!H56,'21.8 Kayunga-Kangulumira'!H56,'22.8 Kayunga-Kangulumira'!H56,'23.8 Kayunga-Kangulumira'!H56,'24.8 Kayunga-Kangulumira'!H56,'25.8 Kayunga-Kangulumira'!H56)</f>
        <v>0.42857142857142855</v>
      </c>
      <c r="I56" s="49">
        <f>AVERAGE('19.8 Kayunga-Kangulumira'!I56,'20.8 Kayunga-Kangulumira'!I56,'21.8 Kayunga-Kangulumira'!I56,'22.8 Kayunga-Kangulumira'!I56,'23.8 Kayunga-Kangulumira'!I56,'24.8 Kayunga-Kangulumira'!I56,'25.8 Kayunga-Kangulumira'!I56)</f>
        <v>3.8571428571428572</v>
      </c>
      <c r="J56" s="49">
        <f>AVERAGE('19.8 Kayunga-Kangulumira'!J56,'20.8 Kayunga-Kangulumira'!J56,'21.8 Kayunga-Kangulumira'!J56,'22.8 Kayunga-Kangulumira'!J56,'23.8 Kayunga-Kangulumira'!J56,'24.8 Kayunga-Kangulumira'!J56,'25.8 Kayunga-Kangulumira'!J56)</f>
        <v>1.1428571428571428</v>
      </c>
      <c r="K56" s="49">
        <f>AVERAGE('19.8 Kayunga-Kangulumira'!K56,'20.8 Kayunga-Kangulumira'!K56,'21.8 Kayunga-Kangulumira'!K56,'22.8 Kayunga-Kangulumira'!K56,'23.8 Kayunga-Kangulumira'!K56,'24.8 Kayunga-Kangulumira'!K56,'25.8 Kayunga-Kangulumira'!K56)</f>
        <v>0.7142857142857143</v>
      </c>
      <c r="L56" s="49">
        <f>AVERAGE('19.8 Kayunga-Kangulumira'!L56,'20.8 Kayunga-Kangulumira'!L56,'21.8 Kayunga-Kangulumira'!L56,'22.8 Kayunga-Kangulumira'!L56,'23.8 Kayunga-Kangulumira'!L56,'24.8 Kayunga-Kangulumira'!L56,'25.8 Kayunga-Kangulumira'!L56)</f>
        <v>0.2857142857142857</v>
      </c>
      <c r="M56" s="49">
        <f>AVERAGE('19.8 Kayunga-Kangulumira'!M56,'20.8 Kayunga-Kangulumira'!M56,'21.8 Kayunga-Kangulumira'!M56,'22.8 Kayunga-Kangulumira'!M56,'23.8 Kayunga-Kangulumira'!M56,'24.8 Kayunga-Kangulumira'!M56,'25.8 Kayunga-Kangulumira'!M56)</f>
        <v>26.428571428571427</v>
      </c>
      <c r="N56" s="49">
        <f>AVERAGE('19.8 Kayunga-Kangulumira'!N56,'20.8 Kayunga-Kangulumira'!N56,'21.8 Kayunga-Kangulumira'!N56,'22.8 Kayunga-Kangulumira'!N56,'23.8 Kayunga-Kangulumira'!N56,'24.8 Kayunga-Kangulumira'!N56,'25.8 Kayunga-Kangulumira'!N56)</f>
        <v>0</v>
      </c>
      <c r="O56" s="15">
        <f t="shared" si="0"/>
        <v>23.571428571428569</v>
      </c>
      <c r="P56" s="15">
        <f t="shared" si="1"/>
        <v>50</v>
      </c>
      <c r="R56" s="8"/>
      <c r="T56"/>
    </row>
    <row r="57" spans="2:20" ht="23.1" customHeight="1" x14ac:dyDescent="0.25">
      <c r="B57" s="23" t="s">
        <v>84</v>
      </c>
      <c r="C57" s="49">
        <f>AVERAGE('19.8 Kayunga-Kangulumira'!C57,'20.8 Kayunga-Kangulumira'!C57,'21.8 Kayunga-Kangulumira'!C57,'22.8 Kayunga-Kangulumira'!C57,'23.8 Kayunga-Kangulumira'!C57,'24.8 Kayunga-Kangulumira'!C57,'25.8 Kayunga-Kangulumira'!C57)</f>
        <v>5.8571428571428568</v>
      </c>
      <c r="D57" s="49">
        <f>0.4*(AVERAGE('19.8 Kayunga-Kangulumira'!E57,'20.8 Kayunga-Kangulumira'!E57,'21.8 Kayunga-Kangulumira'!E57,'22.8 Kayunga-Kangulumira'!E57,'23.8 Kayunga-Kangulumira'!E57,'24.8 Kayunga-Kangulumira'!E57,'25.8 Kayunga-Kangulumira'!E57))</f>
        <v>3.0857142857142859</v>
      </c>
      <c r="E57" s="49">
        <f>0.6*(AVERAGE('19.8 Kayunga-Kangulumira'!E57,'20.8 Kayunga-Kangulumira'!E57,'21.8 Kayunga-Kangulumira'!E57,'22.8 Kayunga-Kangulumira'!E57,'23.8 Kayunga-Kangulumira'!E57,'24.8 Kayunga-Kangulumira'!E57,'25.8 Kayunga-Kangulumira'!E57))</f>
        <v>4.6285714285714281</v>
      </c>
      <c r="F57" s="49">
        <f>AVERAGE('19.8 Kayunga-Kangulumira'!F57,'20.8 Kayunga-Kangulumira'!F57,'21.8 Kayunga-Kangulumira'!F57,'22.8 Kayunga-Kangulumira'!F57,'23.8 Kayunga-Kangulumira'!F57,'24.8 Kayunga-Kangulumira'!F57,'25.8 Kayunga-Kangulumira'!F57)</f>
        <v>2.8571428571428572</v>
      </c>
      <c r="G57" s="49">
        <f>AVERAGE('19.8 Kayunga-Kangulumira'!G57,'20.8 Kayunga-Kangulumira'!G57,'21.8 Kayunga-Kangulumira'!G57,'22.8 Kayunga-Kangulumira'!G57,'23.8 Kayunga-Kangulumira'!G57,'24.8 Kayunga-Kangulumira'!G57,'25.8 Kayunga-Kangulumira'!G57)</f>
        <v>0.42857142857142855</v>
      </c>
      <c r="H57" s="49">
        <f>AVERAGE('19.8 Kayunga-Kangulumira'!H57,'20.8 Kayunga-Kangulumira'!H57,'21.8 Kayunga-Kangulumira'!H57,'22.8 Kayunga-Kangulumira'!H57,'23.8 Kayunga-Kangulumira'!H57,'24.8 Kayunga-Kangulumira'!H57,'25.8 Kayunga-Kangulumira'!H57)</f>
        <v>0.7142857142857143</v>
      </c>
      <c r="I57" s="49">
        <f>AVERAGE('19.8 Kayunga-Kangulumira'!I57,'20.8 Kayunga-Kangulumira'!I57,'21.8 Kayunga-Kangulumira'!I57,'22.8 Kayunga-Kangulumira'!I57,'23.8 Kayunga-Kangulumira'!I57,'24.8 Kayunga-Kangulumira'!I57,'25.8 Kayunga-Kangulumira'!I57)</f>
        <v>3.7142857142857144</v>
      </c>
      <c r="J57" s="49">
        <f>AVERAGE('19.8 Kayunga-Kangulumira'!J57,'20.8 Kayunga-Kangulumira'!J57,'21.8 Kayunga-Kangulumira'!J57,'22.8 Kayunga-Kangulumira'!J57,'23.8 Kayunga-Kangulumira'!J57,'24.8 Kayunga-Kangulumira'!J57,'25.8 Kayunga-Kangulumira'!J57)</f>
        <v>1</v>
      </c>
      <c r="K57" s="49">
        <f>AVERAGE('19.8 Kayunga-Kangulumira'!K57,'20.8 Kayunga-Kangulumira'!K57,'21.8 Kayunga-Kangulumira'!K57,'22.8 Kayunga-Kangulumira'!K57,'23.8 Kayunga-Kangulumira'!K57,'24.8 Kayunga-Kangulumira'!K57,'25.8 Kayunga-Kangulumira'!K57)</f>
        <v>0.5714285714285714</v>
      </c>
      <c r="L57" s="49">
        <f>AVERAGE('19.8 Kayunga-Kangulumira'!L57,'20.8 Kayunga-Kangulumira'!L57,'21.8 Kayunga-Kangulumira'!L57,'22.8 Kayunga-Kangulumira'!L57,'23.8 Kayunga-Kangulumira'!L57,'24.8 Kayunga-Kangulumira'!L57,'25.8 Kayunga-Kangulumira'!L57)</f>
        <v>0.14285714285714285</v>
      </c>
      <c r="M57" s="49">
        <f>AVERAGE('19.8 Kayunga-Kangulumira'!M57,'20.8 Kayunga-Kangulumira'!M57,'21.8 Kayunga-Kangulumira'!M57,'22.8 Kayunga-Kangulumira'!M57,'23.8 Kayunga-Kangulumira'!M57,'24.8 Kayunga-Kangulumira'!M57,'25.8 Kayunga-Kangulumira'!M57)</f>
        <v>25.714285714285715</v>
      </c>
      <c r="N57" s="49">
        <f>AVERAGE('19.8 Kayunga-Kangulumira'!N57,'20.8 Kayunga-Kangulumira'!N57,'21.8 Kayunga-Kangulumira'!N57,'22.8 Kayunga-Kangulumira'!N57,'23.8 Kayunga-Kangulumira'!N57,'24.8 Kayunga-Kangulumira'!N57,'25.8 Kayunga-Kangulumira'!N57)</f>
        <v>0</v>
      </c>
      <c r="O57" s="15">
        <f t="shared" si="0"/>
        <v>23</v>
      </c>
      <c r="P57" s="15">
        <f t="shared" si="1"/>
        <v>48.714285714285715</v>
      </c>
      <c r="R57" s="8"/>
      <c r="T57"/>
    </row>
    <row r="58" spans="2:20" ht="23.1" customHeight="1" x14ac:dyDescent="0.25">
      <c r="B58" s="23" t="s">
        <v>99</v>
      </c>
      <c r="C58" s="49">
        <f>'20.8 Kayunga-Kangulumira'!C58</f>
        <v>2</v>
      </c>
      <c r="D58" s="49">
        <f>0.4*('20.8 Kayunga-Kangulumira'!E58)</f>
        <v>0.8</v>
      </c>
      <c r="E58" s="49">
        <f>0.6*('20.8 Kayunga-Kangulumira'!E58)</f>
        <v>1.2</v>
      </c>
      <c r="F58" s="49">
        <f>'20.8 Kayunga-Kangulumira'!F58</f>
        <v>2</v>
      </c>
      <c r="G58" s="49">
        <f>'20.8 Kayunga-Kangulumira'!G58</f>
        <v>0</v>
      </c>
      <c r="H58" s="49">
        <f>'20.8 Kayunga-Kangulumira'!H58</f>
        <v>0</v>
      </c>
      <c r="I58" s="49">
        <f>'20.8 Kayunga-Kangulumira'!I58</f>
        <v>3</v>
      </c>
      <c r="J58" s="49">
        <f>'20.8 Kayunga-Kangulumira'!J58</f>
        <v>1</v>
      </c>
      <c r="K58" s="49">
        <f>'20.8 Kayunga-Kangulumira'!K58</f>
        <v>0</v>
      </c>
      <c r="L58" s="49">
        <f>'20.8 Kayunga-Kangulumira'!L58</f>
        <v>0</v>
      </c>
      <c r="M58" s="49">
        <f>'20.8 Kayunga-Kangulumira'!M58</f>
        <v>19</v>
      </c>
      <c r="N58" s="49">
        <f>'20.8 Kayunga-Kangulumira'!N58</f>
        <v>0</v>
      </c>
      <c r="O58" s="15">
        <f t="shared" ref="O58:O105" si="35">SUM(C58:L58,N58)</f>
        <v>10</v>
      </c>
      <c r="P58" s="15">
        <f t="shared" ref="P58:P105" si="36">SUM(C58:N58)</f>
        <v>29</v>
      </c>
      <c r="R58" s="8"/>
      <c r="T58"/>
    </row>
    <row r="59" spans="2:20" ht="23.1" customHeight="1" x14ac:dyDescent="0.25">
      <c r="B59" s="23" t="s">
        <v>100</v>
      </c>
      <c r="C59" s="49">
        <f>'20.8 Kayunga-Kangulumira'!C59</f>
        <v>1</v>
      </c>
      <c r="D59" s="49">
        <f>0.4*('20.8 Kayunga-Kangulumira'!E59)</f>
        <v>1.6</v>
      </c>
      <c r="E59" s="49">
        <f>0.6*('20.8 Kayunga-Kangulumira'!E59)</f>
        <v>2.4</v>
      </c>
      <c r="F59" s="49">
        <f>'20.8 Kayunga-Kangulumira'!F59</f>
        <v>3</v>
      </c>
      <c r="G59" s="49">
        <f>'20.8 Kayunga-Kangulumira'!G59</f>
        <v>0</v>
      </c>
      <c r="H59" s="49">
        <f>'20.8 Kayunga-Kangulumira'!H59</f>
        <v>0</v>
      </c>
      <c r="I59" s="49">
        <f>'20.8 Kayunga-Kangulumira'!I59</f>
        <v>3</v>
      </c>
      <c r="J59" s="49">
        <f>'20.8 Kayunga-Kangulumira'!J59</f>
        <v>1</v>
      </c>
      <c r="K59" s="49">
        <f>'20.8 Kayunga-Kangulumira'!K59</f>
        <v>0</v>
      </c>
      <c r="L59" s="49">
        <f>'20.8 Kayunga-Kangulumira'!L59</f>
        <v>1</v>
      </c>
      <c r="M59" s="49">
        <f>'20.8 Kayunga-Kangulumira'!M59</f>
        <v>20</v>
      </c>
      <c r="N59" s="49">
        <f>'20.8 Kayunga-Kangulumira'!N59</f>
        <v>0</v>
      </c>
      <c r="O59" s="15">
        <f t="shared" si="35"/>
        <v>13</v>
      </c>
      <c r="P59" s="15">
        <f t="shared" si="36"/>
        <v>33</v>
      </c>
      <c r="R59" s="8"/>
      <c r="T59"/>
    </row>
    <row r="60" spans="2:20" ht="23.1" customHeight="1" x14ac:dyDescent="0.25">
      <c r="B60" s="23" t="s">
        <v>101</v>
      </c>
      <c r="C60" s="49">
        <f>'20.8 Kayunga-Kangulumira'!C60</f>
        <v>2</v>
      </c>
      <c r="D60" s="49">
        <f>0.4*('20.8 Kayunga-Kangulumira'!E60)</f>
        <v>2.4000000000000004</v>
      </c>
      <c r="E60" s="49">
        <f>0.6*('20.8 Kayunga-Kangulumira'!E60)</f>
        <v>3.5999999999999996</v>
      </c>
      <c r="F60" s="49">
        <f>'20.8 Kayunga-Kangulumira'!F60</f>
        <v>2</v>
      </c>
      <c r="G60" s="49">
        <f>'20.8 Kayunga-Kangulumira'!G60</f>
        <v>0</v>
      </c>
      <c r="H60" s="49">
        <f>'20.8 Kayunga-Kangulumira'!H60</f>
        <v>1</v>
      </c>
      <c r="I60" s="49">
        <f>'20.8 Kayunga-Kangulumira'!I60</f>
        <v>2</v>
      </c>
      <c r="J60" s="49">
        <f>'20.8 Kayunga-Kangulumira'!J60</f>
        <v>0</v>
      </c>
      <c r="K60" s="49">
        <f>'20.8 Kayunga-Kangulumira'!K60</f>
        <v>1</v>
      </c>
      <c r="L60" s="49">
        <f>'20.8 Kayunga-Kangulumira'!L60</f>
        <v>1</v>
      </c>
      <c r="M60" s="49">
        <f>'20.8 Kayunga-Kangulumira'!M60</f>
        <v>17</v>
      </c>
      <c r="N60" s="49">
        <f>'20.8 Kayunga-Kangulumira'!N60</f>
        <v>0</v>
      </c>
      <c r="O60" s="15">
        <f t="shared" si="35"/>
        <v>15</v>
      </c>
      <c r="P60" s="15">
        <f t="shared" si="36"/>
        <v>32</v>
      </c>
      <c r="R60" s="8"/>
      <c r="T60"/>
    </row>
    <row r="61" spans="2:20" ht="23.1" customHeight="1" x14ac:dyDescent="0.25">
      <c r="B61" s="23" t="s">
        <v>102</v>
      </c>
      <c r="C61" s="49">
        <f>'20.8 Kayunga-Kangulumira'!C61</f>
        <v>1</v>
      </c>
      <c r="D61" s="49">
        <f>0.4*('20.8 Kayunga-Kangulumira'!E61)</f>
        <v>1.6</v>
      </c>
      <c r="E61" s="49">
        <f>0.6*('20.8 Kayunga-Kangulumira'!E61)</f>
        <v>2.4</v>
      </c>
      <c r="F61" s="49">
        <f>'20.8 Kayunga-Kangulumira'!F61</f>
        <v>3</v>
      </c>
      <c r="G61" s="49">
        <f>'20.8 Kayunga-Kangulumira'!G61</f>
        <v>1</v>
      </c>
      <c r="H61" s="49">
        <f>'20.8 Kayunga-Kangulumira'!H61</f>
        <v>1</v>
      </c>
      <c r="I61" s="49">
        <f>'20.8 Kayunga-Kangulumira'!I61</f>
        <v>4</v>
      </c>
      <c r="J61" s="49">
        <f>'20.8 Kayunga-Kangulumira'!J61</f>
        <v>1</v>
      </c>
      <c r="K61" s="49">
        <f>'20.8 Kayunga-Kangulumira'!K61</f>
        <v>1</v>
      </c>
      <c r="L61" s="49">
        <f>'20.8 Kayunga-Kangulumira'!L61</f>
        <v>0</v>
      </c>
      <c r="M61" s="49">
        <f>'20.8 Kayunga-Kangulumira'!M61</f>
        <v>15</v>
      </c>
      <c r="N61" s="49">
        <f>'20.8 Kayunga-Kangulumira'!N61</f>
        <v>0</v>
      </c>
      <c r="O61" s="15">
        <f t="shared" si="35"/>
        <v>16</v>
      </c>
      <c r="P61" s="15">
        <f t="shared" si="36"/>
        <v>31</v>
      </c>
      <c r="R61" s="8"/>
      <c r="T61"/>
    </row>
    <row r="62" spans="2:20" ht="23.1" customHeight="1" x14ac:dyDescent="0.25">
      <c r="B62" s="23" t="s">
        <v>107</v>
      </c>
      <c r="C62" s="49">
        <f>'20.8 Kayunga-Kangulumira'!C62</f>
        <v>3</v>
      </c>
      <c r="D62" s="49">
        <f>0.4*('20.8 Kayunga-Kangulumira'!E62)</f>
        <v>2.4000000000000004</v>
      </c>
      <c r="E62" s="49">
        <f>0.6*('20.8 Kayunga-Kangulumira'!E62)</f>
        <v>3.5999999999999996</v>
      </c>
      <c r="F62" s="49">
        <f>'20.8 Kayunga-Kangulumira'!F62</f>
        <v>1</v>
      </c>
      <c r="G62" s="49">
        <f>'20.8 Kayunga-Kangulumira'!G62</f>
        <v>0</v>
      </c>
      <c r="H62" s="49">
        <f>'20.8 Kayunga-Kangulumira'!H62</f>
        <v>0</v>
      </c>
      <c r="I62" s="49">
        <f>'20.8 Kayunga-Kangulumira'!I62</f>
        <v>4</v>
      </c>
      <c r="J62" s="49">
        <f>'20.8 Kayunga-Kangulumira'!J62</f>
        <v>1</v>
      </c>
      <c r="K62" s="49">
        <f>'20.8 Kayunga-Kangulumira'!K62</f>
        <v>1</v>
      </c>
      <c r="L62" s="49">
        <f>'20.8 Kayunga-Kangulumira'!L62</f>
        <v>0</v>
      </c>
      <c r="M62" s="49">
        <f>'20.8 Kayunga-Kangulumira'!M62</f>
        <v>23</v>
      </c>
      <c r="N62" s="49">
        <f>'20.8 Kayunga-Kangulumira'!N62</f>
        <v>0</v>
      </c>
      <c r="O62" s="15">
        <f t="shared" si="35"/>
        <v>16</v>
      </c>
      <c r="P62" s="15">
        <f t="shared" si="36"/>
        <v>39</v>
      </c>
      <c r="R62" s="8"/>
      <c r="T62"/>
    </row>
    <row r="63" spans="2:20" ht="23.1" customHeight="1" x14ac:dyDescent="0.25">
      <c r="B63" s="23" t="s">
        <v>108</v>
      </c>
      <c r="C63" s="49">
        <f>'20.8 Kayunga-Kangulumira'!C63</f>
        <v>4</v>
      </c>
      <c r="D63" s="49">
        <f>0.4*('20.8 Kayunga-Kangulumira'!E63)</f>
        <v>0.4</v>
      </c>
      <c r="E63" s="49">
        <f>0.6*('20.8 Kayunga-Kangulumira'!E63)</f>
        <v>0.6</v>
      </c>
      <c r="F63" s="49">
        <f>'20.8 Kayunga-Kangulumira'!F63</f>
        <v>4</v>
      </c>
      <c r="G63" s="49">
        <f>'20.8 Kayunga-Kangulumira'!G63</f>
        <v>0</v>
      </c>
      <c r="H63" s="49">
        <f>'20.8 Kayunga-Kangulumira'!H63</f>
        <v>0</v>
      </c>
      <c r="I63" s="49">
        <f>'20.8 Kayunga-Kangulumira'!I63</f>
        <v>2</v>
      </c>
      <c r="J63" s="49">
        <f>'20.8 Kayunga-Kangulumira'!J63</f>
        <v>1</v>
      </c>
      <c r="K63" s="49">
        <f>'20.8 Kayunga-Kangulumira'!K63</f>
        <v>1</v>
      </c>
      <c r="L63" s="49">
        <f>'20.8 Kayunga-Kangulumira'!L63</f>
        <v>0</v>
      </c>
      <c r="M63" s="49">
        <f>'20.8 Kayunga-Kangulumira'!M63</f>
        <v>16</v>
      </c>
      <c r="N63" s="49">
        <f>'20.8 Kayunga-Kangulumira'!N63</f>
        <v>0</v>
      </c>
      <c r="O63" s="15">
        <f t="shared" si="35"/>
        <v>13</v>
      </c>
      <c r="P63" s="15">
        <f t="shared" si="36"/>
        <v>29</v>
      </c>
      <c r="R63" s="8"/>
      <c r="T63"/>
    </row>
    <row r="64" spans="2:20" ht="23.1" customHeight="1" x14ac:dyDescent="0.25">
      <c r="B64" s="23" t="s">
        <v>109</v>
      </c>
      <c r="C64" s="49">
        <f>'20.8 Kayunga-Kangulumira'!C64</f>
        <v>1</v>
      </c>
      <c r="D64" s="49">
        <f>0.4*('20.8 Kayunga-Kangulumira'!E64)</f>
        <v>2</v>
      </c>
      <c r="E64" s="49">
        <f>0.6*('20.8 Kayunga-Kangulumira'!E64)</f>
        <v>3</v>
      </c>
      <c r="F64" s="49">
        <f>'20.8 Kayunga-Kangulumira'!F64</f>
        <v>3</v>
      </c>
      <c r="G64" s="49">
        <f>'20.8 Kayunga-Kangulumira'!G64</f>
        <v>1</v>
      </c>
      <c r="H64" s="49">
        <f>'20.8 Kayunga-Kangulumira'!H64</f>
        <v>1</v>
      </c>
      <c r="I64" s="49">
        <f>'20.8 Kayunga-Kangulumira'!I64</f>
        <v>3</v>
      </c>
      <c r="J64" s="49">
        <f>'20.8 Kayunga-Kangulumira'!J64</f>
        <v>1</v>
      </c>
      <c r="K64" s="49">
        <f>'20.8 Kayunga-Kangulumira'!K64</f>
        <v>1</v>
      </c>
      <c r="L64" s="49">
        <f>'20.8 Kayunga-Kangulumira'!L64</f>
        <v>0</v>
      </c>
      <c r="M64" s="49">
        <f>'20.8 Kayunga-Kangulumira'!M64</f>
        <v>14</v>
      </c>
      <c r="N64" s="49">
        <f>'20.8 Kayunga-Kangulumira'!N64</f>
        <v>0</v>
      </c>
      <c r="O64" s="15">
        <f t="shared" si="35"/>
        <v>16</v>
      </c>
      <c r="P64" s="15">
        <f t="shared" si="36"/>
        <v>30</v>
      </c>
      <c r="R64" s="8"/>
      <c r="T64"/>
    </row>
    <row r="65" spans="2:20" ht="23.1" customHeight="1" x14ac:dyDescent="0.25">
      <c r="B65" s="23" t="s">
        <v>158</v>
      </c>
      <c r="C65" s="49">
        <f>'20.8 Kayunga-Kangulumira'!C65</f>
        <v>4</v>
      </c>
      <c r="D65" s="49">
        <f>0.4*('20.8 Kayunga-Kangulumira'!E65)</f>
        <v>0.4</v>
      </c>
      <c r="E65" s="49">
        <f>0.6*('20.8 Kayunga-Kangulumira'!E65)</f>
        <v>0.6</v>
      </c>
      <c r="F65" s="49">
        <f>'20.8 Kayunga-Kangulumira'!F65</f>
        <v>4</v>
      </c>
      <c r="G65" s="49">
        <f>'20.8 Kayunga-Kangulumira'!G65</f>
        <v>0</v>
      </c>
      <c r="H65" s="49">
        <f>'20.8 Kayunga-Kangulumira'!H65</f>
        <v>0</v>
      </c>
      <c r="I65" s="49">
        <f>'20.8 Kayunga-Kangulumira'!I65</f>
        <v>1</v>
      </c>
      <c r="J65" s="49">
        <f>'20.8 Kayunga-Kangulumira'!J65</f>
        <v>1</v>
      </c>
      <c r="K65" s="49">
        <f>'20.8 Kayunga-Kangulumira'!K65</f>
        <v>0</v>
      </c>
      <c r="L65" s="49">
        <f>'20.8 Kayunga-Kangulumira'!L65</f>
        <v>1</v>
      </c>
      <c r="M65" s="49">
        <f>'20.8 Kayunga-Kangulumira'!M65</f>
        <v>13</v>
      </c>
      <c r="N65" s="49">
        <f>'20.8 Kayunga-Kangulumira'!N65</f>
        <v>0</v>
      </c>
      <c r="O65" s="15">
        <f t="shared" si="35"/>
        <v>12</v>
      </c>
      <c r="P65" s="15">
        <f t="shared" si="36"/>
        <v>25</v>
      </c>
      <c r="R65" s="8"/>
      <c r="T65"/>
    </row>
    <row r="66" spans="2:20" ht="23.1" customHeight="1" x14ac:dyDescent="0.25">
      <c r="B66" s="23" t="s">
        <v>103</v>
      </c>
      <c r="C66" s="49">
        <f>'20.8 Kayunga-Kangulumira'!C66</f>
        <v>2</v>
      </c>
      <c r="D66" s="49">
        <f>0.4*('20.8 Kayunga-Kangulumira'!E66)</f>
        <v>1.6</v>
      </c>
      <c r="E66" s="49">
        <f>0.6*('20.8 Kayunga-Kangulumira'!E66)</f>
        <v>2.4</v>
      </c>
      <c r="F66" s="49">
        <f>'20.8 Kayunga-Kangulumira'!F66</f>
        <v>2</v>
      </c>
      <c r="G66" s="49">
        <f>'20.8 Kayunga-Kangulumira'!G66</f>
        <v>0</v>
      </c>
      <c r="H66" s="49">
        <f>'20.8 Kayunga-Kangulumira'!H66</f>
        <v>0</v>
      </c>
      <c r="I66" s="49">
        <f>'20.8 Kayunga-Kangulumira'!I66</f>
        <v>2</v>
      </c>
      <c r="J66" s="49">
        <f>'20.8 Kayunga-Kangulumira'!J66</f>
        <v>1</v>
      </c>
      <c r="K66" s="49">
        <f>'20.8 Kayunga-Kangulumira'!K66</f>
        <v>1</v>
      </c>
      <c r="L66" s="49">
        <f>'20.8 Kayunga-Kangulumira'!L66</f>
        <v>1</v>
      </c>
      <c r="M66" s="49">
        <f>'20.8 Kayunga-Kangulumira'!M66</f>
        <v>17</v>
      </c>
      <c r="N66" s="49">
        <f>'20.8 Kayunga-Kangulumira'!N66</f>
        <v>0</v>
      </c>
      <c r="O66" s="15">
        <f t="shared" si="35"/>
        <v>13</v>
      </c>
      <c r="P66" s="15">
        <f t="shared" si="36"/>
        <v>30</v>
      </c>
      <c r="R66" s="8"/>
      <c r="T66"/>
    </row>
    <row r="67" spans="2:20" ht="23.1" customHeight="1" x14ac:dyDescent="0.25">
      <c r="B67" s="23" t="s">
        <v>104</v>
      </c>
      <c r="C67" s="49">
        <f>'20.8 Kayunga-Kangulumira'!C67</f>
        <v>2</v>
      </c>
      <c r="D67" s="49">
        <f>0.4*('20.8 Kayunga-Kangulumira'!E67)</f>
        <v>0.8</v>
      </c>
      <c r="E67" s="49">
        <f>0.6*('20.8 Kayunga-Kangulumira'!E67)</f>
        <v>1.2</v>
      </c>
      <c r="F67" s="49">
        <f>'20.8 Kayunga-Kangulumira'!F67</f>
        <v>3</v>
      </c>
      <c r="G67" s="49">
        <f>'20.8 Kayunga-Kangulumira'!G67</f>
        <v>0</v>
      </c>
      <c r="H67" s="49">
        <f>'20.8 Kayunga-Kangulumira'!H67</f>
        <v>1</v>
      </c>
      <c r="I67" s="49">
        <f>'20.8 Kayunga-Kangulumira'!I67</f>
        <v>3</v>
      </c>
      <c r="J67" s="49">
        <f>'20.8 Kayunga-Kangulumira'!J67</f>
        <v>0</v>
      </c>
      <c r="K67" s="49">
        <f>'20.8 Kayunga-Kangulumira'!K67</f>
        <v>0</v>
      </c>
      <c r="L67" s="49">
        <f>'20.8 Kayunga-Kangulumira'!L67</f>
        <v>0</v>
      </c>
      <c r="M67" s="49">
        <f>'20.8 Kayunga-Kangulumira'!M67</f>
        <v>11</v>
      </c>
      <c r="N67" s="49">
        <f>'20.8 Kayunga-Kangulumira'!N67</f>
        <v>0</v>
      </c>
      <c r="O67" s="15">
        <f t="shared" si="35"/>
        <v>11</v>
      </c>
      <c r="P67" s="15">
        <f t="shared" si="36"/>
        <v>22</v>
      </c>
      <c r="R67" s="8"/>
      <c r="T67"/>
    </row>
    <row r="68" spans="2:20" ht="23.1" customHeight="1" x14ac:dyDescent="0.25">
      <c r="B68" s="23" t="s">
        <v>105</v>
      </c>
      <c r="C68" s="49">
        <f>'20.8 Kayunga-Kangulumira'!C68</f>
        <v>3</v>
      </c>
      <c r="D68" s="49">
        <f>0.4*('20.8 Kayunga-Kangulumira'!E68)</f>
        <v>1.2000000000000002</v>
      </c>
      <c r="E68" s="49">
        <f>0.6*('20.8 Kayunga-Kangulumira'!E68)</f>
        <v>1.7999999999999998</v>
      </c>
      <c r="F68" s="49">
        <f>'20.8 Kayunga-Kangulumira'!F68</f>
        <v>1</v>
      </c>
      <c r="G68" s="49">
        <f>'20.8 Kayunga-Kangulumira'!G68</f>
        <v>1</v>
      </c>
      <c r="H68" s="49">
        <f>'20.8 Kayunga-Kangulumira'!H68</f>
        <v>1</v>
      </c>
      <c r="I68" s="49">
        <f>'20.8 Kayunga-Kangulumira'!I68</f>
        <v>3</v>
      </c>
      <c r="J68" s="49">
        <f>'20.8 Kayunga-Kangulumira'!J68</f>
        <v>0</v>
      </c>
      <c r="K68" s="49">
        <f>'20.8 Kayunga-Kangulumira'!K68</f>
        <v>0</v>
      </c>
      <c r="L68" s="49">
        <f>'20.8 Kayunga-Kangulumira'!L68</f>
        <v>1</v>
      </c>
      <c r="M68" s="49">
        <f>'20.8 Kayunga-Kangulumira'!M68</f>
        <v>10</v>
      </c>
      <c r="N68" s="49">
        <f>'20.8 Kayunga-Kangulumira'!N68</f>
        <v>0</v>
      </c>
      <c r="O68" s="15">
        <f t="shared" si="35"/>
        <v>13</v>
      </c>
      <c r="P68" s="15">
        <f t="shared" si="36"/>
        <v>23</v>
      </c>
      <c r="R68" s="8"/>
      <c r="T68"/>
    </row>
    <row r="69" spans="2:20" ht="23.1" customHeight="1" x14ac:dyDescent="0.25">
      <c r="B69" s="23" t="s">
        <v>106</v>
      </c>
      <c r="C69" s="49">
        <f>'20.8 Kayunga-Kangulumira'!C69</f>
        <v>2</v>
      </c>
      <c r="D69" s="49">
        <f>0.4*('20.8 Kayunga-Kangulumira'!E69)</f>
        <v>1.6</v>
      </c>
      <c r="E69" s="49">
        <f>0.6*('20.8 Kayunga-Kangulumira'!E69)</f>
        <v>2.4</v>
      </c>
      <c r="F69" s="49">
        <f>'20.8 Kayunga-Kangulumira'!F69</f>
        <v>3</v>
      </c>
      <c r="G69" s="49">
        <f>'20.8 Kayunga-Kangulumira'!G69</f>
        <v>0</v>
      </c>
      <c r="H69" s="49">
        <f>'20.8 Kayunga-Kangulumira'!H69</f>
        <v>1</v>
      </c>
      <c r="I69" s="49">
        <f>'20.8 Kayunga-Kangulumira'!I69</f>
        <v>3</v>
      </c>
      <c r="J69" s="49">
        <f>'20.8 Kayunga-Kangulumira'!J69</f>
        <v>1</v>
      </c>
      <c r="K69" s="49">
        <f>'20.8 Kayunga-Kangulumira'!K69</f>
        <v>1</v>
      </c>
      <c r="L69" s="49">
        <f>'20.8 Kayunga-Kangulumira'!L69</f>
        <v>0</v>
      </c>
      <c r="M69" s="49">
        <f>'20.8 Kayunga-Kangulumira'!M69</f>
        <v>8</v>
      </c>
      <c r="N69" s="49">
        <f>'20.8 Kayunga-Kangulumira'!N69</f>
        <v>0</v>
      </c>
      <c r="O69" s="15">
        <f t="shared" si="35"/>
        <v>15</v>
      </c>
      <c r="P69" s="15">
        <f t="shared" si="36"/>
        <v>23</v>
      </c>
      <c r="R69" s="8"/>
      <c r="T69"/>
    </row>
    <row r="70" spans="2:20" ht="23.1" customHeight="1" x14ac:dyDescent="0.25">
      <c r="B70" s="23" t="s">
        <v>110</v>
      </c>
      <c r="C70" s="49">
        <f>'20.8 Kayunga-Kangulumira'!C70</f>
        <v>2</v>
      </c>
      <c r="D70" s="49">
        <f>0.4*('20.8 Kayunga-Kangulumira'!E70)</f>
        <v>0.8</v>
      </c>
      <c r="E70" s="49">
        <f>0.6*('20.8 Kayunga-Kangulumira'!E70)</f>
        <v>1.2</v>
      </c>
      <c r="F70" s="49">
        <f>'20.8 Kayunga-Kangulumira'!F70</f>
        <v>1</v>
      </c>
      <c r="G70" s="49">
        <f>'20.8 Kayunga-Kangulumira'!G70</f>
        <v>0</v>
      </c>
      <c r="H70" s="49">
        <f>'20.8 Kayunga-Kangulumira'!H70</f>
        <v>0</v>
      </c>
      <c r="I70" s="49">
        <f>'20.8 Kayunga-Kangulumira'!I70</f>
        <v>1</v>
      </c>
      <c r="J70" s="49">
        <f>'20.8 Kayunga-Kangulumira'!J70</f>
        <v>0</v>
      </c>
      <c r="K70" s="49">
        <f>'20.8 Kayunga-Kangulumira'!K70</f>
        <v>0</v>
      </c>
      <c r="L70" s="49">
        <f>'20.8 Kayunga-Kangulumira'!L70</f>
        <v>0</v>
      </c>
      <c r="M70" s="49">
        <f>'20.8 Kayunga-Kangulumira'!M70</f>
        <v>5</v>
      </c>
      <c r="N70" s="49">
        <f>'20.8 Kayunga-Kangulumira'!N70</f>
        <v>0</v>
      </c>
      <c r="O70" s="15">
        <f t="shared" si="35"/>
        <v>6</v>
      </c>
      <c r="P70" s="15">
        <f t="shared" si="36"/>
        <v>11</v>
      </c>
      <c r="R70" s="8"/>
      <c r="T70"/>
    </row>
    <row r="71" spans="2:20" ht="23.1" customHeight="1" x14ac:dyDescent="0.25">
      <c r="B71" s="23" t="s">
        <v>111</v>
      </c>
      <c r="C71" s="49">
        <f>'20.8 Kayunga-Kangulumira'!C71</f>
        <v>5</v>
      </c>
      <c r="D71" s="49">
        <f>0.4*('20.8 Kayunga-Kangulumira'!E71)</f>
        <v>1.6</v>
      </c>
      <c r="E71" s="49">
        <f>0.6*('20.8 Kayunga-Kangulumira'!E71)</f>
        <v>2.4</v>
      </c>
      <c r="F71" s="49">
        <f>'20.8 Kayunga-Kangulumira'!F71</f>
        <v>2</v>
      </c>
      <c r="G71" s="49">
        <f>'20.8 Kayunga-Kangulumira'!G71</f>
        <v>0</v>
      </c>
      <c r="H71" s="49">
        <f>'20.8 Kayunga-Kangulumira'!H71</f>
        <v>0</v>
      </c>
      <c r="I71" s="49">
        <f>'20.8 Kayunga-Kangulumira'!I71</f>
        <v>2</v>
      </c>
      <c r="J71" s="49">
        <f>'20.8 Kayunga-Kangulumira'!J71</f>
        <v>1</v>
      </c>
      <c r="K71" s="49">
        <f>'20.8 Kayunga-Kangulumira'!K71</f>
        <v>0</v>
      </c>
      <c r="L71" s="49">
        <f>'20.8 Kayunga-Kangulumira'!L71</f>
        <v>0</v>
      </c>
      <c r="M71" s="49">
        <f>'20.8 Kayunga-Kangulumira'!M71</f>
        <v>3</v>
      </c>
      <c r="N71" s="49">
        <f>'20.8 Kayunga-Kangulumira'!N71</f>
        <v>0</v>
      </c>
      <c r="O71" s="15">
        <f t="shared" si="35"/>
        <v>14</v>
      </c>
      <c r="P71" s="15">
        <f t="shared" si="36"/>
        <v>17</v>
      </c>
      <c r="R71" s="8"/>
      <c r="T71"/>
    </row>
    <row r="72" spans="2:20" ht="23.1" customHeight="1" x14ac:dyDescent="0.25">
      <c r="B72" s="23" t="s">
        <v>112</v>
      </c>
      <c r="C72" s="49">
        <f>'20.8 Kayunga-Kangulumira'!C72</f>
        <v>1</v>
      </c>
      <c r="D72" s="49">
        <f>0.4*('20.8 Kayunga-Kangulumira'!E72)</f>
        <v>0.4</v>
      </c>
      <c r="E72" s="49">
        <f>0.6*('20.8 Kayunga-Kangulumira'!E72)</f>
        <v>0.6</v>
      </c>
      <c r="F72" s="49">
        <f>'20.8 Kayunga-Kangulumira'!F72</f>
        <v>1</v>
      </c>
      <c r="G72" s="49">
        <f>'20.8 Kayunga-Kangulumira'!G72</f>
        <v>0</v>
      </c>
      <c r="H72" s="49">
        <f>'20.8 Kayunga-Kangulumira'!H72</f>
        <v>0</v>
      </c>
      <c r="I72" s="49">
        <f>'20.8 Kayunga-Kangulumira'!I72</f>
        <v>1</v>
      </c>
      <c r="J72" s="49">
        <f>'20.8 Kayunga-Kangulumira'!J72</f>
        <v>1</v>
      </c>
      <c r="K72" s="49">
        <f>'20.8 Kayunga-Kangulumira'!K72</f>
        <v>0</v>
      </c>
      <c r="L72" s="49">
        <f>'20.8 Kayunga-Kangulumira'!L72</f>
        <v>0</v>
      </c>
      <c r="M72" s="49">
        <f>'20.8 Kayunga-Kangulumira'!M72</f>
        <v>4</v>
      </c>
      <c r="N72" s="49">
        <f>'20.8 Kayunga-Kangulumira'!N72</f>
        <v>0</v>
      </c>
      <c r="O72" s="15">
        <f t="shared" si="35"/>
        <v>5</v>
      </c>
      <c r="P72" s="15">
        <f t="shared" si="36"/>
        <v>9</v>
      </c>
      <c r="R72" s="8"/>
      <c r="T72"/>
    </row>
    <row r="73" spans="2:20" ht="23.1" customHeight="1" x14ac:dyDescent="0.25">
      <c r="B73" s="23" t="s">
        <v>113</v>
      </c>
      <c r="C73" s="49">
        <f>'20.8 Kayunga-Kangulumira'!C73</f>
        <v>1</v>
      </c>
      <c r="D73" s="49">
        <f>0.4*('20.8 Kayunga-Kangulumira'!E73)</f>
        <v>0.8</v>
      </c>
      <c r="E73" s="49">
        <f>0.6*('20.8 Kayunga-Kangulumira'!E73)</f>
        <v>1.2</v>
      </c>
      <c r="F73" s="49">
        <f>'20.8 Kayunga-Kangulumira'!F73</f>
        <v>2</v>
      </c>
      <c r="G73" s="49">
        <f>'20.8 Kayunga-Kangulumira'!G73</f>
        <v>0</v>
      </c>
      <c r="H73" s="49">
        <f>'20.8 Kayunga-Kangulumira'!H73</f>
        <v>0</v>
      </c>
      <c r="I73" s="49">
        <f>'20.8 Kayunga-Kangulumira'!I73</f>
        <v>2</v>
      </c>
      <c r="J73" s="49">
        <f>'20.8 Kayunga-Kangulumira'!J73</f>
        <v>1</v>
      </c>
      <c r="K73" s="49">
        <f>'20.8 Kayunga-Kangulumira'!K73</f>
        <v>0</v>
      </c>
      <c r="L73" s="49">
        <f>'20.8 Kayunga-Kangulumira'!L73</f>
        <v>1</v>
      </c>
      <c r="M73" s="49">
        <f>'20.8 Kayunga-Kangulumira'!M73</f>
        <v>3</v>
      </c>
      <c r="N73" s="49">
        <f>'20.8 Kayunga-Kangulumira'!N73</f>
        <v>0</v>
      </c>
      <c r="O73" s="15">
        <f t="shared" si="35"/>
        <v>9</v>
      </c>
      <c r="P73" s="15">
        <f t="shared" si="36"/>
        <v>12</v>
      </c>
      <c r="R73" s="8"/>
      <c r="T73"/>
    </row>
    <row r="74" spans="2:20" ht="23.1" customHeight="1" x14ac:dyDescent="0.25">
      <c r="B74" s="23" t="s">
        <v>114</v>
      </c>
      <c r="C74" s="49">
        <f>'20.8 Kayunga-Kangulumira'!C74</f>
        <v>0</v>
      </c>
      <c r="D74" s="49">
        <f>0.4*('20.8 Kayunga-Kangulumira'!E74)</f>
        <v>1.2000000000000002</v>
      </c>
      <c r="E74" s="49">
        <f>0.6*('20.8 Kayunga-Kangulumira'!E74)</f>
        <v>1.7999999999999998</v>
      </c>
      <c r="F74" s="49">
        <f>'20.8 Kayunga-Kangulumira'!F74</f>
        <v>1</v>
      </c>
      <c r="G74" s="49">
        <f>'20.8 Kayunga-Kangulumira'!G74</f>
        <v>0</v>
      </c>
      <c r="H74" s="49">
        <f>'20.8 Kayunga-Kangulumira'!H74</f>
        <v>1</v>
      </c>
      <c r="I74" s="49">
        <f>'20.8 Kayunga-Kangulumira'!I74</f>
        <v>1</v>
      </c>
      <c r="J74" s="49">
        <f>'20.8 Kayunga-Kangulumira'!J74</f>
        <v>0</v>
      </c>
      <c r="K74" s="49">
        <f>'20.8 Kayunga-Kangulumira'!K74</f>
        <v>1</v>
      </c>
      <c r="L74" s="49">
        <f>'20.8 Kayunga-Kangulumira'!L74</f>
        <v>1</v>
      </c>
      <c r="M74" s="49">
        <f>'20.8 Kayunga-Kangulumira'!M74</f>
        <v>0</v>
      </c>
      <c r="N74" s="49">
        <f>'20.8 Kayunga-Kangulumira'!N74</f>
        <v>0</v>
      </c>
      <c r="O74" s="15">
        <f t="shared" si="35"/>
        <v>8</v>
      </c>
      <c r="P74" s="15">
        <f t="shared" si="36"/>
        <v>8</v>
      </c>
      <c r="R74" s="8"/>
      <c r="T74"/>
    </row>
    <row r="75" spans="2:20" ht="23.1" customHeight="1" x14ac:dyDescent="0.25">
      <c r="B75" s="23" t="s">
        <v>115</v>
      </c>
      <c r="C75" s="49">
        <f>'20.8 Kayunga-Kangulumira'!C75</f>
        <v>1</v>
      </c>
      <c r="D75" s="49">
        <f>0.4*('20.8 Kayunga-Kangulumira'!E75)</f>
        <v>0.8</v>
      </c>
      <c r="E75" s="49">
        <f>0.6*('20.8 Kayunga-Kangulumira'!E75)</f>
        <v>1.2</v>
      </c>
      <c r="F75" s="49">
        <f>'20.8 Kayunga-Kangulumira'!F75</f>
        <v>2</v>
      </c>
      <c r="G75" s="49">
        <f>'20.8 Kayunga-Kangulumira'!G75</f>
        <v>1</v>
      </c>
      <c r="H75" s="49">
        <f>'20.8 Kayunga-Kangulumira'!H75</f>
        <v>1</v>
      </c>
      <c r="I75" s="49">
        <f>'20.8 Kayunga-Kangulumira'!I75</f>
        <v>1</v>
      </c>
      <c r="J75" s="49">
        <f>'20.8 Kayunga-Kangulumira'!J75</f>
        <v>1</v>
      </c>
      <c r="K75" s="49">
        <f>'20.8 Kayunga-Kangulumira'!K75</f>
        <v>1</v>
      </c>
      <c r="L75" s="49">
        <f>'20.8 Kayunga-Kangulumira'!L75</f>
        <v>0</v>
      </c>
      <c r="M75" s="49">
        <f>'20.8 Kayunga-Kangulumira'!M75</f>
        <v>1</v>
      </c>
      <c r="N75" s="49">
        <f>'20.8 Kayunga-Kangulumira'!N75</f>
        <v>0</v>
      </c>
      <c r="O75" s="15">
        <f t="shared" si="35"/>
        <v>10</v>
      </c>
      <c r="P75" s="15">
        <f t="shared" si="36"/>
        <v>11</v>
      </c>
      <c r="R75" s="8"/>
      <c r="T75"/>
    </row>
    <row r="76" spans="2:20" ht="23.1" customHeight="1" x14ac:dyDescent="0.25">
      <c r="B76" s="23" t="s">
        <v>116</v>
      </c>
      <c r="C76" s="49">
        <f>'20.8 Kayunga-Kangulumira'!C76</f>
        <v>2</v>
      </c>
      <c r="D76" s="49">
        <f>0.4*('20.8 Kayunga-Kangulumira'!E76)</f>
        <v>1.2000000000000002</v>
      </c>
      <c r="E76" s="49">
        <f>0.6*('20.8 Kayunga-Kangulumira'!E76)</f>
        <v>1.7999999999999998</v>
      </c>
      <c r="F76" s="49">
        <f>'20.8 Kayunga-Kangulumira'!F76</f>
        <v>1</v>
      </c>
      <c r="G76" s="49">
        <f>'20.8 Kayunga-Kangulumira'!G76</f>
        <v>0</v>
      </c>
      <c r="H76" s="49">
        <f>'20.8 Kayunga-Kangulumira'!H76</f>
        <v>0</v>
      </c>
      <c r="I76" s="49">
        <f>'20.8 Kayunga-Kangulumira'!I76</f>
        <v>2</v>
      </c>
      <c r="J76" s="49">
        <f>'20.8 Kayunga-Kangulumira'!J76</f>
        <v>1</v>
      </c>
      <c r="K76" s="49">
        <f>'20.8 Kayunga-Kangulumira'!K76</f>
        <v>1</v>
      </c>
      <c r="L76" s="49">
        <f>'20.8 Kayunga-Kangulumira'!L76</f>
        <v>0</v>
      </c>
      <c r="M76" s="49">
        <f>'20.8 Kayunga-Kangulumira'!M76</f>
        <v>2</v>
      </c>
      <c r="N76" s="49">
        <f>'20.8 Kayunga-Kangulumira'!N76</f>
        <v>0</v>
      </c>
      <c r="O76" s="15">
        <f t="shared" si="35"/>
        <v>10</v>
      </c>
      <c r="P76" s="15">
        <f t="shared" si="36"/>
        <v>12</v>
      </c>
      <c r="R76" s="8"/>
      <c r="T76"/>
    </row>
    <row r="77" spans="2:20" ht="23.1" customHeight="1" x14ac:dyDescent="0.25">
      <c r="B77" s="23" t="s">
        <v>117</v>
      </c>
      <c r="C77" s="49">
        <f>'20.8 Kayunga-Kangulumira'!C77</f>
        <v>0</v>
      </c>
      <c r="D77" s="49">
        <f>0.4*('20.8 Kayunga-Kangulumira'!E77)</f>
        <v>0.4</v>
      </c>
      <c r="E77" s="49">
        <f>0.6*('20.8 Kayunga-Kangulumira'!E77)</f>
        <v>0.6</v>
      </c>
      <c r="F77" s="49">
        <f>'20.8 Kayunga-Kangulumira'!F77</f>
        <v>2</v>
      </c>
      <c r="G77" s="49">
        <f>'20.8 Kayunga-Kangulumira'!G77</f>
        <v>0</v>
      </c>
      <c r="H77" s="49">
        <f>'20.8 Kayunga-Kangulumira'!H77</f>
        <v>0</v>
      </c>
      <c r="I77" s="49">
        <f>'20.8 Kayunga-Kangulumira'!I77</f>
        <v>1</v>
      </c>
      <c r="J77" s="49">
        <f>'20.8 Kayunga-Kangulumira'!J77</f>
        <v>1</v>
      </c>
      <c r="K77" s="49">
        <f>'20.8 Kayunga-Kangulumira'!K77</f>
        <v>1</v>
      </c>
      <c r="L77" s="49">
        <f>'20.8 Kayunga-Kangulumira'!L77</f>
        <v>0</v>
      </c>
      <c r="M77" s="49">
        <f>'20.8 Kayunga-Kangulumira'!M77</f>
        <v>1</v>
      </c>
      <c r="N77" s="49">
        <f>'20.8 Kayunga-Kangulumira'!N77</f>
        <v>0</v>
      </c>
      <c r="O77" s="15">
        <f t="shared" si="35"/>
        <v>6</v>
      </c>
      <c r="P77" s="15">
        <f t="shared" si="36"/>
        <v>7</v>
      </c>
      <c r="R77" s="8"/>
      <c r="T77"/>
    </row>
    <row r="78" spans="2:20" ht="23.1" customHeight="1" x14ac:dyDescent="0.25">
      <c r="B78" s="24" t="s">
        <v>118</v>
      </c>
      <c r="C78" s="49">
        <f>'20.8 Kayunga-Kangulumira'!C78</f>
        <v>1</v>
      </c>
      <c r="D78" s="49">
        <f>0.4*('20.8 Kayunga-Kangulumira'!E78)</f>
        <v>1.2000000000000002</v>
      </c>
      <c r="E78" s="49">
        <f>0.6*('20.8 Kayunga-Kangulumira'!E78)</f>
        <v>1.7999999999999998</v>
      </c>
      <c r="F78" s="49">
        <f>'20.8 Kayunga-Kangulumira'!F78</f>
        <v>2</v>
      </c>
      <c r="G78" s="49">
        <f>'20.8 Kayunga-Kangulumira'!G78</f>
        <v>1</v>
      </c>
      <c r="H78" s="49">
        <f>'20.8 Kayunga-Kangulumira'!H78</f>
        <v>1</v>
      </c>
      <c r="I78" s="49">
        <f>'20.8 Kayunga-Kangulumira'!I78</f>
        <v>2</v>
      </c>
      <c r="J78" s="49">
        <f>'20.8 Kayunga-Kangulumira'!J78</f>
        <v>1</v>
      </c>
      <c r="K78" s="49">
        <f>'20.8 Kayunga-Kangulumira'!K78</f>
        <v>1</v>
      </c>
      <c r="L78" s="49">
        <f>'20.8 Kayunga-Kangulumira'!L78</f>
        <v>0</v>
      </c>
      <c r="M78" s="49">
        <f>'20.8 Kayunga-Kangulumira'!M78</f>
        <v>1</v>
      </c>
      <c r="N78" s="49">
        <f>'20.8 Kayunga-Kangulumira'!N78</f>
        <v>0</v>
      </c>
      <c r="O78" s="15">
        <f t="shared" si="35"/>
        <v>12</v>
      </c>
      <c r="P78" s="15">
        <f t="shared" si="36"/>
        <v>13</v>
      </c>
      <c r="R78" s="8"/>
      <c r="T78"/>
    </row>
    <row r="79" spans="2:20" ht="23.1" customHeight="1" x14ac:dyDescent="0.25">
      <c r="B79" s="23" t="s">
        <v>119</v>
      </c>
      <c r="C79" s="49">
        <f>'20.8 Kayunga-Kangulumira'!C79</f>
        <v>2</v>
      </c>
      <c r="D79" s="49">
        <f>0.4*('20.8 Kayunga-Kangulumira'!E79)</f>
        <v>0.4</v>
      </c>
      <c r="E79" s="49">
        <f>0.6*('20.8 Kayunga-Kangulumira'!E79)</f>
        <v>0.6</v>
      </c>
      <c r="F79" s="49">
        <f>'20.8 Kayunga-Kangulumira'!F79</f>
        <v>2</v>
      </c>
      <c r="G79" s="49">
        <f>'20.8 Kayunga-Kangulumira'!G79</f>
        <v>0</v>
      </c>
      <c r="H79" s="49">
        <f>'20.8 Kayunga-Kangulumira'!H79</f>
        <v>0</v>
      </c>
      <c r="I79" s="49">
        <f>'20.8 Kayunga-Kangulumira'!I79</f>
        <v>1</v>
      </c>
      <c r="J79" s="49">
        <f>'20.8 Kayunga-Kangulumira'!J79</f>
        <v>1</v>
      </c>
      <c r="K79" s="49">
        <f>'20.8 Kayunga-Kangulumira'!K79</f>
        <v>0</v>
      </c>
      <c r="L79" s="49">
        <f>'20.8 Kayunga-Kangulumira'!L79</f>
        <v>1</v>
      </c>
      <c r="M79" s="49">
        <f>'20.8 Kayunga-Kangulumira'!M79</f>
        <v>0</v>
      </c>
      <c r="N79" s="49">
        <f>'20.8 Kayunga-Kangulumira'!N79</f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25" t="s">
        <v>120</v>
      </c>
      <c r="C80" s="49">
        <f>'20.8 Kayunga-Kangulumira'!C80</f>
        <v>0</v>
      </c>
      <c r="D80" s="49">
        <f>0.4*('20.8 Kayunga-Kangulumira'!E80)</f>
        <v>0.8</v>
      </c>
      <c r="E80" s="49">
        <f>0.6*('20.8 Kayunga-Kangulumira'!E80)</f>
        <v>1.2</v>
      </c>
      <c r="F80" s="49">
        <f>'20.8 Kayunga-Kangulumira'!F80</f>
        <v>1</v>
      </c>
      <c r="G80" s="49">
        <f>'20.8 Kayunga-Kangulumira'!G80</f>
        <v>0</v>
      </c>
      <c r="H80" s="49">
        <f>'20.8 Kayunga-Kangulumira'!H80</f>
        <v>0</v>
      </c>
      <c r="I80" s="49">
        <f>'20.8 Kayunga-Kangulumira'!I80</f>
        <v>1</v>
      </c>
      <c r="J80" s="49">
        <f>'20.8 Kayunga-Kangulumira'!J80</f>
        <v>1</v>
      </c>
      <c r="K80" s="49">
        <f>'20.8 Kayunga-Kangulumira'!K80</f>
        <v>1</v>
      </c>
      <c r="L80" s="49">
        <f>'20.8 Kayunga-Kangulumira'!L80</f>
        <v>1</v>
      </c>
      <c r="M80" s="49">
        <f>'20.8 Kayunga-Kangulumira'!M80</f>
        <v>0</v>
      </c>
      <c r="N80" s="49">
        <f>'20.8 Kayunga-Kangulumira'!N80</f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23" t="s">
        <v>121</v>
      </c>
      <c r="C81" s="49">
        <f>'20.8 Kayunga-Kangulumira'!C81</f>
        <v>1</v>
      </c>
      <c r="D81" s="49">
        <f>0.4*('20.8 Kayunga-Kangulumira'!E81)</f>
        <v>0.4</v>
      </c>
      <c r="E81" s="49">
        <f>0.6*('20.8 Kayunga-Kangulumira'!E81)</f>
        <v>0.6</v>
      </c>
      <c r="F81" s="49">
        <f>'20.8 Kayunga-Kangulumira'!F81</f>
        <v>2</v>
      </c>
      <c r="G81" s="49">
        <f>'20.8 Kayunga-Kangulumira'!G81</f>
        <v>0</v>
      </c>
      <c r="H81" s="49">
        <f>'20.8 Kayunga-Kangulumira'!H81</f>
        <v>1</v>
      </c>
      <c r="I81" s="49">
        <f>'20.8 Kayunga-Kangulumira'!I81</f>
        <v>2</v>
      </c>
      <c r="J81" s="49">
        <f>'20.8 Kayunga-Kangulumira'!J81</f>
        <v>0</v>
      </c>
      <c r="K81" s="49">
        <f>'20.8 Kayunga-Kangulumira'!K81</f>
        <v>0</v>
      </c>
      <c r="L81" s="49">
        <f>'20.8 Kayunga-Kangulumira'!L81</f>
        <v>0</v>
      </c>
      <c r="M81" s="49">
        <f>'20.8 Kayunga-Kangulumira'!M81</f>
        <v>0</v>
      </c>
      <c r="N81" s="49">
        <f>'20.8 Kayunga-Kangulumira'!N81</f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'20.8 Kayunga-Kangulumira'!C82</f>
        <v>1</v>
      </c>
      <c r="D82" s="49">
        <f>0.4*('20.8 Kayunga-Kangulumira'!E82)</f>
        <v>0.8</v>
      </c>
      <c r="E82" s="49">
        <f>0.6*('20.8 Kayunga-Kangulumira'!E82)</f>
        <v>1.2</v>
      </c>
      <c r="F82" s="49">
        <f>'20.8 Kayunga-Kangulumira'!F82</f>
        <v>1</v>
      </c>
      <c r="G82" s="49">
        <f>'20.8 Kayunga-Kangulumira'!G82</f>
        <v>1</v>
      </c>
      <c r="H82" s="49">
        <f>'20.8 Kayunga-Kangulumira'!H82</f>
        <v>1</v>
      </c>
      <c r="I82" s="49">
        <f>'20.8 Kayunga-Kangulumira'!I82</f>
        <v>1</v>
      </c>
      <c r="J82" s="49">
        <f>'20.8 Kayunga-Kangulumira'!J82</f>
        <v>0</v>
      </c>
      <c r="K82" s="49">
        <f>'20.8 Kayunga-Kangulumira'!K82</f>
        <v>0</v>
      </c>
      <c r="L82" s="49">
        <f>'20.8 Kayunga-Kangulumira'!L82</f>
        <v>1</v>
      </c>
      <c r="M82" s="49">
        <f>'20.8 Kayunga-Kangulumira'!M82</f>
        <v>0</v>
      </c>
      <c r="N82" s="49">
        <f>'20.8 Kayunga-Kangulumira'!N82</f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 x14ac:dyDescent="0.25">
      <c r="B83" s="23" t="s">
        <v>123</v>
      </c>
      <c r="C83" s="49">
        <f>'20.8 Kayunga-Kangulumira'!C83</f>
        <v>0</v>
      </c>
      <c r="D83" s="49">
        <f>0.4*('20.8 Kayunga-Kangulumira'!E83)</f>
        <v>0.8</v>
      </c>
      <c r="E83" s="49">
        <f>0.6*('20.8 Kayunga-Kangulumira'!E83)</f>
        <v>1.2</v>
      </c>
      <c r="F83" s="49">
        <f>'20.8 Kayunga-Kangulumira'!F83</f>
        <v>2</v>
      </c>
      <c r="G83" s="49">
        <f>'20.8 Kayunga-Kangulumira'!G83</f>
        <v>0</v>
      </c>
      <c r="H83" s="49">
        <f>'20.8 Kayunga-Kangulumira'!H83</f>
        <v>1</v>
      </c>
      <c r="I83" s="49">
        <f>'20.8 Kayunga-Kangulumira'!I83</f>
        <v>1</v>
      </c>
      <c r="J83" s="49">
        <f>'20.8 Kayunga-Kangulumira'!J83</f>
        <v>1</v>
      </c>
      <c r="K83" s="49">
        <f>'20.8 Kayunga-Kangulumira'!K83</f>
        <v>1</v>
      </c>
      <c r="L83" s="49">
        <f>'20.8 Kayunga-Kangulumira'!L83</f>
        <v>0</v>
      </c>
      <c r="M83" s="49">
        <f>'20.8 Kayunga-Kangulumira'!M83</f>
        <v>0</v>
      </c>
      <c r="N83" s="49">
        <f>'20.8 Kayunga-Kangulumira'!N83</f>
        <v>0</v>
      </c>
      <c r="O83" s="15">
        <f t="shared" si="35"/>
        <v>8</v>
      </c>
      <c r="P83" s="15">
        <f t="shared" si="36"/>
        <v>8</v>
      </c>
      <c r="R83" s="8"/>
      <c r="T83"/>
    </row>
    <row r="84" spans="2:20" ht="23.1" customHeight="1" x14ac:dyDescent="0.25">
      <c r="B84" s="25" t="s">
        <v>124</v>
      </c>
      <c r="C84" s="49">
        <f>'20.8 Kayunga-Kangulumira'!C84</f>
        <v>1</v>
      </c>
      <c r="D84" s="49">
        <f>0.4*('20.8 Kayunga-Kangulumira'!E84)</f>
        <v>0.4</v>
      </c>
      <c r="E84" s="49">
        <f>0.6*('20.8 Kayunga-Kangulumira'!E84)</f>
        <v>0.6</v>
      </c>
      <c r="F84" s="49">
        <f>'20.8 Kayunga-Kangulumira'!F84</f>
        <v>1</v>
      </c>
      <c r="G84" s="49">
        <f>'20.8 Kayunga-Kangulumira'!G84</f>
        <v>0</v>
      </c>
      <c r="H84" s="49">
        <f>'20.8 Kayunga-Kangulumira'!H84</f>
        <v>0</v>
      </c>
      <c r="I84" s="49">
        <f>'20.8 Kayunga-Kangulumira'!I84</f>
        <v>0</v>
      </c>
      <c r="J84" s="49">
        <f>'20.8 Kayunga-Kangulumira'!J84</f>
        <v>0</v>
      </c>
      <c r="K84" s="49">
        <f>'20.8 Kayunga-Kangulumira'!K84</f>
        <v>0</v>
      </c>
      <c r="L84" s="49">
        <f>'20.8 Kayunga-Kangulumira'!L84</f>
        <v>0</v>
      </c>
      <c r="M84" s="49">
        <f>'20.8 Kayunga-Kangulumira'!M84</f>
        <v>0</v>
      </c>
      <c r="N84" s="49">
        <f>'20.8 Kayunga-Kangulumira'!N84</f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'20.8 Kayunga-Kangulumira'!C85</f>
        <v>2</v>
      </c>
      <c r="D85" s="49">
        <f>0.4*('20.8 Kayunga-Kangulumira'!E85)</f>
        <v>0.4</v>
      </c>
      <c r="E85" s="49">
        <f>0.6*('20.8 Kayunga-Kangulumira'!E85)</f>
        <v>0.6</v>
      </c>
      <c r="F85" s="49">
        <f>'20.8 Kayunga-Kangulumira'!F85</f>
        <v>1</v>
      </c>
      <c r="G85" s="49">
        <f>'20.8 Kayunga-Kangulumira'!G85</f>
        <v>0</v>
      </c>
      <c r="H85" s="49">
        <f>'20.8 Kayunga-Kangulumira'!H85</f>
        <v>0</v>
      </c>
      <c r="I85" s="49">
        <f>'20.8 Kayunga-Kangulumira'!I85</f>
        <v>0</v>
      </c>
      <c r="J85" s="49">
        <f>'20.8 Kayunga-Kangulumira'!J85</f>
        <v>1</v>
      </c>
      <c r="K85" s="49">
        <f>'20.8 Kayunga-Kangulumira'!K85</f>
        <v>0</v>
      </c>
      <c r="L85" s="49">
        <f>'20.8 Kayunga-Kangulumira'!L85</f>
        <v>0</v>
      </c>
      <c r="M85" s="49">
        <f>'20.8 Kayunga-Kangulumira'!M85</f>
        <v>0</v>
      </c>
      <c r="N85" s="49">
        <f>'20.8 Kayunga-Kangulumira'!N85</f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'20.8 Kayunga-Kangulumira'!C86</f>
        <v>1</v>
      </c>
      <c r="D86" s="49">
        <f>0.4*('20.8 Kayunga-Kangulumira'!E86)</f>
        <v>0.4</v>
      </c>
      <c r="E86" s="49">
        <f>0.6*('20.8 Kayunga-Kangulumira'!E86)</f>
        <v>0.6</v>
      </c>
      <c r="F86" s="49">
        <f>'20.8 Kayunga-Kangulumira'!F86</f>
        <v>1</v>
      </c>
      <c r="G86" s="49">
        <f>'20.8 Kayunga-Kangulumira'!G86</f>
        <v>0</v>
      </c>
      <c r="H86" s="49">
        <f>'20.8 Kayunga-Kangulumira'!H86</f>
        <v>0</v>
      </c>
      <c r="I86" s="49">
        <f>'20.8 Kayunga-Kangulumira'!I86</f>
        <v>0</v>
      </c>
      <c r="J86" s="49">
        <f>'20.8 Kayunga-Kangulumira'!J86</f>
        <v>1</v>
      </c>
      <c r="K86" s="49">
        <f>'20.8 Kayunga-Kangulumira'!K86</f>
        <v>0</v>
      </c>
      <c r="L86" s="49">
        <f>'20.8 Kayunga-Kangulumira'!L86</f>
        <v>0</v>
      </c>
      <c r="M86" s="49">
        <f>'20.8 Kayunga-Kangulumira'!M86</f>
        <v>0</v>
      </c>
      <c r="N86" s="49">
        <f>'20.8 Kayunga-Kangulumira'!N86</f>
        <v>0</v>
      </c>
      <c r="O86" s="15">
        <f t="shared" si="35"/>
        <v>4</v>
      </c>
      <c r="P86" s="15">
        <f t="shared" si="36"/>
        <v>4</v>
      </c>
      <c r="R86" s="8"/>
      <c r="T86"/>
    </row>
    <row r="87" spans="2:20" ht="23.1" customHeight="1" x14ac:dyDescent="0.25">
      <c r="B87" s="23" t="s">
        <v>127</v>
      </c>
      <c r="C87" s="49">
        <f>'20.8 Kayunga-Kangulumira'!C87</f>
        <v>0</v>
      </c>
      <c r="D87" s="49">
        <f>0.4*('20.8 Kayunga-Kangulumira'!E87)</f>
        <v>0.4</v>
      </c>
      <c r="E87" s="49">
        <f>0.6*('20.8 Kayunga-Kangulumira'!E87)</f>
        <v>0.6</v>
      </c>
      <c r="F87" s="49">
        <f>'20.8 Kayunga-Kangulumira'!F87</f>
        <v>1</v>
      </c>
      <c r="G87" s="49">
        <f>'20.8 Kayunga-Kangulumira'!G87</f>
        <v>0</v>
      </c>
      <c r="H87" s="49">
        <f>'20.8 Kayunga-Kangulumira'!H87</f>
        <v>0</v>
      </c>
      <c r="I87" s="49">
        <f>'20.8 Kayunga-Kangulumira'!I87</f>
        <v>0</v>
      </c>
      <c r="J87" s="49">
        <f>'20.8 Kayunga-Kangulumira'!J87</f>
        <v>1</v>
      </c>
      <c r="K87" s="49">
        <f>'20.8 Kayunga-Kangulumira'!K87</f>
        <v>0</v>
      </c>
      <c r="L87" s="49">
        <f>'20.8 Kayunga-Kangulumira'!L87</f>
        <v>1</v>
      </c>
      <c r="M87" s="49">
        <f>'20.8 Kayunga-Kangulumira'!M87</f>
        <v>0</v>
      </c>
      <c r="N87" s="49">
        <f>'20.8 Kayunga-Kangulumira'!N87</f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25" t="s">
        <v>128</v>
      </c>
      <c r="C88" s="49">
        <f>'20.8 Kayunga-Kangulumira'!C88</f>
        <v>0</v>
      </c>
      <c r="D88" s="49">
        <f>0.4*('20.8 Kayunga-Kangulumira'!E88)</f>
        <v>0</v>
      </c>
      <c r="E88" s="49">
        <f>0.6*('20.8 Kayunga-Kangulumira'!E88)</f>
        <v>0</v>
      </c>
      <c r="F88" s="49">
        <f>'20.8 Kayunga-Kangulumira'!F88</f>
        <v>0</v>
      </c>
      <c r="G88" s="49">
        <f>'20.8 Kayunga-Kangulumira'!G88</f>
        <v>0</v>
      </c>
      <c r="H88" s="49">
        <f>'20.8 Kayunga-Kangulumira'!H88</f>
        <v>1</v>
      </c>
      <c r="I88" s="49">
        <f>'20.8 Kayunga-Kangulumira'!I88</f>
        <v>0</v>
      </c>
      <c r="J88" s="49">
        <f>'20.8 Kayunga-Kangulumira'!J88</f>
        <v>0</v>
      </c>
      <c r="K88" s="49">
        <f>'20.8 Kayunga-Kangulumira'!K88</f>
        <v>1</v>
      </c>
      <c r="L88" s="49">
        <f>'20.8 Kayunga-Kangulumira'!L88</f>
        <v>1</v>
      </c>
      <c r="M88" s="49">
        <f>'20.8 Kayunga-Kangulumira'!M88</f>
        <v>0</v>
      </c>
      <c r="N88" s="49">
        <f>'20.8 Kayunga-Kangulumira'!N88</f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'20.8 Kayunga-Kangulumira'!C89</f>
        <v>0</v>
      </c>
      <c r="D89" s="49">
        <f>0.4*('20.8 Kayunga-Kangulumira'!E89)</f>
        <v>0</v>
      </c>
      <c r="E89" s="49">
        <f>0.6*('20.8 Kayunga-Kangulumira'!E89)</f>
        <v>0</v>
      </c>
      <c r="F89" s="49">
        <f>'20.8 Kayunga-Kangulumira'!F89</f>
        <v>0</v>
      </c>
      <c r="G89" s="49">
        <f>'20.8 Kayunga-Kangulumira'!G89</f>
        <v>1</v>
      </c>
      <c r="H89" s="49">
        <f>'20.8 Kayunga-Kangulumira'!H89</f>
        <v>1</v>
      </c>
      <c r="I89" s="49">
        <f>'20.8 Kayunga-Kangulumira'!I89</f>
        <v>0</v>
      </c>
      <c r="J89" s="49">
        <f>'20.8 Kayunga-Kangulumira'!J89</f>
        <v>1</v>
      </c>
      <c r="K89" s="49">
        <f>'20.8 Kayunga-Kangulumira'!K89</f>
        <v>1</v>
      </c>
      <c r="L89" s="49">
        <f>'20.8 Kayunga-Kangulumira'!L89</f>
        <v>0</v>
      </c>
      <c r="M89" s="49">
        <f>'20.8 Kayunga-Kangulumira'!M89</f>
        <v>0</v>
      </c>
      <c r="N89" s="49">
        <f>'20.8 Kayunga-Kangulumira'!N89</f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24" t="s">
        <v>130</v>
      </c>
      <c r="C90" s="49">
        <f>'20.8 Kayunga-Kangulumira'!C90</f>
        <v>0</v>
      </c>
      <c r="D90" s="49">
        <f>0.4*('20.8 Kayunga-Kangulumira'!E90)</f>
        <v>0</v>
      </c>
      <c r="E90" s="49">
        <f>0.6*('20.8 Kayunga-Kangulumira'!E90)</f>
        <v>0</v>
      </c>
      <c r="F90" s="49">
        <f>'20.8 Kayunga-Kangulumira'!F90</f>
        <v>0</v>
      </c>
      <c r="G90" s="49">
        <f>'20.8 Kayunga-Kangulumira'!G90</f>
        <v>0</v>
      </c>
      <c r="H90" s="49">
        <f>'20.8 Kayunga-Kangulumira'!H90</f>
        <v>0</v>
      </c>
      <c r="I90" s="49">
        <f>'20.8 Kayunga-Kangulumira'!I90</f>
        <v>0</v>
      </c>
      <c r="J90" s="49">
        <f>'20.8 Kayunga-Kangulumira'!J90</f>
        <v>1</v>
      </c>
      <c r="K90" s="49">
        <f>'20.8 Kayunga-Kangulumira'!K90</f>
        <v>1</v>
      </c>
      <c r="L90" s="49">
        <f>'20.8 Kayunga-Kangulumira'!L90</f>
        <v>0</v>
      </c>
      <c r="M90" s="49">
        <f>'20.8 Kayunga-Kangulumira'!M90</f>
        <v>0</v>
      </c>
      <c r="N90" s="49">
        <f>'20.8 Kayunga-Kangulumira'!N90</f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'20.8 Kayunga-Kangulumira'!C91</f>
        <v>0</v>
      </c>
      <c r="D91" s="49">
        <f>0.4*('20.8 Kayunga-Kangulumira'!E91)</f>
        <v>0</v>
      </c>
      <c r="E91" s="49">
        <f>0.6*('20.8 Kayunga-Kangulumira'!E91)</f>
        <v>0</v>
      </c>
      <c r="F91" s="49">
        <f>'20.8 Kayunga-Kangulumira'!F91</f>
        <v>0</v>
      </c>
      <c r="G91" s="49">
        <f>'20.8 Kayunga-Kangulumira'!G91</f>
        <v>0</v>
      </c>
      <c r="H91" s="49">
        <f>'20.8 Kayunga-Kangulumira'!H91</f>
        <v>0</v>
      </c>
      <c r="I91" s="49">
        <f>'20.8 Kayunga-Kangulumira'!I91</f>
        <v>0</v>
      </c>
      <c r="J91" s="49">
        <f>'20.8 Kayunga-Kangulumira'!J91</f>
        <v>1</v>
      </c>
      <c r="K91" s="49">
        <f>'20.8 Kayunga-Kangulumira'!K91</f>
        <v>1</v>
      </c>
      <c r="L91" s="49">
        <f>'20.8 Kayunga-Kangulumira'!L91</f>
        <v>0</v>
      </c>
      <c r="M91" s="49">
        <f>'20.8 Kayunga-Kangulumira'!M91</f>
        <v>0</v>
      </c>
      <c r="N91" s="49">
        <f>'20.8 Kayunga-Kangulumira'!N91</f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'20.8 Kayunga-Kangulumira'!C92</f>
        <v>0</v>
      </c>
      <c r="D92" s="49">
        <f>0.4*('20.8 Kayunga-Kangulumira'!E92)</f>
        <v>0</v>
      </c>
      <c r="E92" s="49">
        <f>0.6*('20.8 Kayunga-Kangulumira'!E92)</f>
        <v>0</v>
      </c>
      <c r="F92" s="49">
        <f>'20.8 Kayunga-Kangulumira'!F92</f>
        <v>0</v>
      </c>
      <c r="G92" s="49">
        <f>'20.8 Kayunga-Kangulumira'!G92</f>
        <v>1</v>
      </c>
      <c r="H92" s="49">
        <f>'20.8 Kayunga-Kangulumira'!H92</f>
        <v>1</v>
      </c>
      <c r="I92" s="49">
        <f>'20.8 Kayunga-Kangulumira'!I92</f>
        <v>0</v>
      </c>
      <c r="J92" s="49">
        <f>'20.8 Kayunga-Kangulumira'!J92</f>
        <v>1</v>
      </c>
      <c r="K92" s="49">
        <f>'20.8 Kayunga-Kangulumira'!K92</f>
        <v>1</v>
      </c>
      <c r="L92" s="49">
        <f>'20.8 Kayunga-Kangulumira'!L92</f>
        <v>0</v>
      </c>
      <c r="M92" s="49">
        <f>'20.8 Kayunga-Kangulumira'!M92</f>
        <v>0</v>
      </c>
      <c r="N92" s="49">
        <f>'20.8 Kayunga-Kangulumira'!N92</f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23" t="s">
        <v>133</v>
      </c>
      <c r="C93" s="49">
        <f>'20.8 Kayunga-Kangulumira'!C93</f>
        <v>0</v>
      </c>
      <c r="D93" s="49">
        <f>0.4*('20.8 Kayunga-Kangulumira'!E93)</f>
        <v>0.4</v>
      </c>
      <c r="E93" s="49">
        <f>0.6*('20.8 Kayunga-Kangulumira'!E93)</f>
        <v>0.6</v>
      </c>
      <c r="F93" s="49">
        <f>'20.8 Kayunga-Kangulumira'!F93</f>
        <v>0</v>
      </c>
      <c r="G93" s="49">
        <f>'20.8 Kayunga-Kangulumira'!G93</f>
        <v>0</v>
      </c>
      <c r="H93" s="49">
        <f>'20.8 Kayunga-Kangulumira'!H93</f>
        <v>0</v>
      </c>
      <c r="I93" s="49">
        <f>'20.8 Kayunga-Kangulumira'!I93</f>
        <v>0</v>
      </c>
      <c r="J93" s="49">
        <f>'20.8 Kayunga-Kangulumira'!J93</f>
        <v>1</v>
      </c>
      <c r="K93" s="49">
        <f>'20.8 Kayunga-Kangulumira'!K93</f>
        <v>0</v>
      </c>
      <c r="L93" s="49">
        <f>'20.8 Kayunga-Kangulumira'!L93</f>
        <v>1</v>
      </c>
      <c r="M93" s="49">
        <f>'20.8 Kayunga-Kangulumira'!M93</f>
        <v>0</v>
      </c>
      <c r="N93" s="49">
        <f>'20.8 Kayunga-Kangulumira'!N93</f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'20.8 Kayunga-Kangulumira'!C94</f>
        <v>0</v>
      </c>
      <c r="D94" s="49">
        <f>0.4*('20.8 Kayunga-Kangulumira'!E94)</f>
        <v>0.4</v>
      </c>
      <c r="E94" s="49">
        <f>0.6*('20.8 Kayunga-Kangulumira'!E94)</f>
        <v>0.6</v>
      </c>
      <c r="F94" s="49">
        <f>'20.8 Kayunga-Kangulumira'!F94</f>
        <v>0</v>
      </c>
      <c r="G94" s="49">
        <f>'20.8 Kayunga-Kangulumira'!G94</f>
        <v>0</v>
      </c>
      <c r="H94" s="49">
        <f>'20.8 Kayunga-Kangulumira'!H94</f>
        <v>0</v>
      </c>
      <c r="I94" s="49">
        <f>'20.8 Kayunga-Kangulumira'!I94</f>
        <v>0</v>
      </c>
      <c r="J94" s="49">
        <f>'20.8 Kayunga-Kangulumira'!J94</f>
        <v>1</v>
      </c>
      <c r="K94" s="49">
        <f>'20.8 Kayunga-Kangulumira'!K94</f>
        <v>1</v>
      </c>
      <c r="L94" s="49">
        <f>'20.8 Kayunga-Kangulumira'!L94</f>
        <v>1</v>
      </c>
      <c r="M94" s="49">
        <f>'20.8 Kayunga-Kangulumira'!M94</f>
        <v>0</v>
      </c>
      <c r="N94" s="49">
        <f>'20.8 Kayunga-Kangulumira'!N94</f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23" t="s">
        <v>135</v>
      </c>
      <c r="C95" s="49">
        <f>'20.8 Kayunga-Kangulumira'!C95</f>
        <v>0</v>
      </c>
      <c r="D95" s="49">
        <f>0.4*('20.8 Kayunga-Kangulumira'!E95)</f>
        <v>0.4</v>
      </c>
      <c r="E95" s="49">
        <f>0.6*('20.8 Kayunga-Kangulumira'!E95)</f>
        <v>0.6</v>
      </c>
      <c r="F95" s="49">
        <f>'20.8 Kayunga-Kangulumira'!F95</f>
        <v>0</v>
      </c>
      <c r="G95" s="49">
        <f>'20.8 Kayunga-Kangulumira'!G95</f>
        <v>0</v>
      </c>
      <c r="H95" s="49">
        <f>'20.8 Kayunga-Kangulumira'!H95</f>
        <v>1</v>
      </c>
      <c r="I95" s="49">
        <f>'20.8 Kayunga-Kangulumira'!I95</f>
        <v>0</v>
      </c>
      <c r="J95" s="49">
        <f>'20.8 Kayunga-Kangulumira'!J95</f>
        <v>0</v>
      </c>
      <c r="K95" s="49">
        <f>'20.8 Kayunga-Kangulumira'!K95</f>
        <v>0</v>
      </c>
      <c r="L95" s="49">
        <f>'20.8 Kayunga-Kangulumira'!L95</f>
        <v>0</v>
      </c>
      <c r="M95" s="49">
        <f>'20.8 Kayunga-Kangulumira'!M95</f>
        <v>0</v>
      </c>
      <c r="N95" s="49">
        <f>'20.8 Kayunga-Kangulumira'!N95</f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'20.8 Kayunga-Kangulumira'!C96</f>
        <v>0</v>
      </c>
      <c r="D96" s="49">
        <f>0.4*('20.8 Kayunga-Kangulumira'!E96)</f>
        <v>0.4</v>
      </c>
      <c r="E96" s="49">
        <f>0.6*('20.8 Kayunga-Kangulumira'!E96)</f>
        <v>0.6</v>
      </c>
      <c r="F96" s="49">
        <f>'20.8 Kayunga-Kangulumira'!F96</f>
        <v>0</v>
      </c>
      <c r="G96" s="49">
        <f>'20.8 Kayunga-Kangulumira'!G96</f>
        <v>1</v>
      </c>
      <c r="H96" s="49">
        <f>'20.8 Kayunga-Kangulumira'!H96</f>
        <v>1</v>
      </c>
      <c r="I96" s="49">
        <f>'20.8 Kayunga-Kangulumira'!I96</f>
        <v>0</v>
      </c>
      <c r="J96" s="49">
        <f>'20.8 Kayunga-Kangulumira'!J96</f>
        <v>0</v>
      </c>
      <c r="K96" s="49">
        <f>'20.8 Kayunga-Kangulumira'!K96</f>
        <v>0</v>
      </c>
      <c r="L96" s="49">
        <f>'20.8 Kayunga-Kangulumira'!L96</f>
        <v>1</v>
      </c>
      <c r="M96" s="49">
        <f>'20.8 Kayunga-Kangulumira'!M96</f>
        <v>0</v>
      </c>
      <c r="N96" s="49">
        <f>'20.8 Kayunga-Kangulumira'!N96</f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'20.8 Kayunga-Kangulumira'!C97</f>
        <v>0</v>
      </c>
      <c r="D97" s="49">
        <f>0.4*('20.8 Kayunga-Kangulumira'!E97)</f>
        <v>0.4</v>
      </c>
      <c r="E97" s="49">
        <f>0.6*('20.8 Kayunga-Kangulumira'!E97)</f>
        <v>0.6</v>
      </c>
      <c r="F97" s="49">
        <f>'20.8 Kayunga-Kangulumira'!F97</f>
        <v>0</v>
      </c>
      <c r="G97" s="49">
        <f>'20.8 Kayunga-Kangulumira'!G97</f>
        <v>0</v>
      </c>
      <c r="H97" s="49">
        <f>'20.8 Kayunga-Kangulumira'!H97</f>
        <v>1</v>
      </c>
      <c r="I97" s="49">
        <f>'20.8 Kayunga-Kangulumira'!I97</f>
        <v>0</v>
      </c>
      <c r="J97" s="49">
        <f>'20.8 Kayunga-Kangulumira'!J97</f>
        <v>1</v>
      </c>
      <c r="K97" s="49">
        <f>'20.8 Kayunga-Kangulumira'!K97</f>
        <v>1</v>
      </c>
      <c r="L97" s="49">
        <f>'20.8 Kayunga-Kangulumira'!L97</f>
        <v>0</v>
      </c>
      <c r="M97" s="49">
        <f>'20.8 Kayunga-Kangulumira'!M97</f>
        <v>0</v>
      </c>
      <c r="N97" s="49">
        <f>'20.8 Kayunga-Kangulumira'!N97</f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'20.8 Kayunga-Kangulumira'!C98</f>
        <v>1</v>
      </c>
      <c r="D98" s="49">
        <f>0.4*('20.8 Kayunga-Kangulumira'!E98)</f>
        <v>0.4</v>
      </c>
      <c r="E98" s="49">
        <f>0.6*('20.8 Kayunga-Kangulumira'!E98)</f>
        <v>0.6</v>
      </c>
      <c r="F98" s="49">
        <f>'20.8 Kayunga-Kangulumira'!F98</f>
        <v>0</v>
      </c>
      <c r="G98" s="49">
        <f>'20.8 Kayunga-Kangulumira'!G98</f>
        <v>0</v>
      </c>
      <c r="H98" s="49">
        <f>'20.8 Kayunga-Kangulumira'!H98</f>
        <v>0</v>
      </c>
      <c r="I98" s="49">
        <f>'20.8 Kayunga-Kangulumira'!I98</f>
        <v>0</v>
      </c>
      <c r="J98" s="49">
        <f>'20.8 Kayunga-Kangulumira'!J98</f>
        <v>0</v>
      </c>
      <c r="K98" s="49">
        <f>'20.8 Kayunga-Kangulumira'!K98</f>
        <v>0</v>
      </c>
      <c r="L98" s="49">
        <f>'20.8 Kayunga-Kangulumira'!L98</f>
        <v>0</v>
      </c>
      <c r="M98" s="49">
        <f>'20.8 Kayunga-Kangulumira'!M98</f>
        <v>0</v>
      </c>
      <c r="N98" s="49">
        <f>'20.8 Kayunga-Kangulumira'!N98</f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'20.8 Kayunga-Kangulumira'!C99</f>
        <v>0</v>
      </c>
      <c r="D99" s="49">
        <f>0.4*('20.8 Kayunga-Kangulumira'!E99)</f>
        <v>0.4</v>
      </c>
      <c r="E99" s="49">
        <f>0.6*('20.8 Kayunga-Kangulumira'!E99)</f>
        <v>0.6</v>
      </c>
      <c r="F99" s="49">
        <f>'20.8 Kayunga-Kangulumira'!F99</f>
        <v>0</v>
      </c>
      <c r="G99" s="49">
        <f>'20.8 Kayunga-Kangulumira'!G99</f>
        <v>0</v>
      </c>
      <c r="H99" s="49">
        <f>'20.8 Kayunga-Kangulumira'!H99</f>
        <v>0</v>
      </c>
      <c r="I99" s="49">
        <f>'20.8 Kayunga-Kangulumira'!I99</f>
        <v>0</v>
      </c>
      <c r="J99" s="49">
        <f>'20.8 Kayunga-Kangulumira'!J99</f>
        <v>1</v>
      </c>
      <c r="K99" s="49">
        <f>'20.8 Kayunga-Kangulumira'!K99</f>
        <v>0</v>
      </c>
      <c r="L99" s="49">
        <f>'20.8 Kayunga-Kangulumira'!L99</f>
        <v>0</v>
      </c>
      <c r="M99" s="49">
        <f>'20.8 Kayunga-Kangulumira'!M99</f>
        <v>0</v>
      </c>
      <c r="N99" s="49">
        <f>'20.8 Kayunga-Kangulumira'!N99</f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'20.8 Kayunga-Kangulumira'!C100</f>
        <v>1</v>
      </c>
      <c r="D100" s="49">
        <f>0.4*('20.8 Kayunga-Kangulumira'!E100)</f>
        <v>0.4</v>
      </c>
      <c r="E100" s="49">
        <f>0.6*('20.8 Kayunga-Kangulumira'!E100)</f>
        <v>0.6</v>
      </c>
      <c r="F100" s="49">
        <f>'20.8 Kayunga-Kangulumira'!F100</f>
        <v>0</v>
      </c>
      <c r="G100" s="49">
        <f>'20.8 Kayunga-Kangulumira'!G100</f>
        <v>0</v>
      </c>
      <c r="H100" s="49">
        <f>'20.8 Kayunga-Kangulumira'!H100</f>
        <v>0</v>
      </c>
      <c r="I100" s="49">
        <f>'20.8 Kayunga-Kangulumira'!I100</f>
        <v>0</v>
      </c>
      <c r="J100" s="49">
        <f>'20.8 Kayunga-Kangulumira'!J100</f>
        <v>1</v>
      </c>
      <c r="K100" s="49">
        <f>'20.8 Kayunga-Kangulumira'!K100</f>
        <v>0</v>
      </c>
      <c r="L100" s="49">
        <f>'20.8 Kayunga-Kangulumira'!L100</f>
        <v>0</v>
      </c>
      <c r="M100" s="49">
        <f>'20.8 Kayunga-Kangulumira'!M100</f>
        <v>0</v>
      </c>
      <c r="N100" s="49">
        <f>'20.8 Kayunga-Kangulumira'!N100</f>
        <v>0</v>
      </c>
      <c r="O100" s="15">
        <f t="shared" si="35"/>
        <v>3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'20.8 Kayunga-Kangulumira'!C101</f>
        <v>0</v>
      </c>
      <c r="D101" s="49">
        <f>0.4*('20.8 Kayunga-Kangulumira'!E101)</f>
        <v>0.4</v>
      </c>
      <c r="E101" s="49">
        <f>0.6*('20.8 Kayunga-Kangulumira'!E101)</f>
        <v>0.6</v>
      </c>
      <c r="F101" s="49">
        <f>'20.8 Kayunga-Kangulumira'!F101</f>
        <v>0</v>
      </c>
      <c r="G101" s="49">
        <f>'20.8 Kayunga-Kangulumira'!G101</f>
        <v>0</v>
      </c>
      <c r="H101" s="49">
        <f>'20.8 Kayunga-Kangulumira'!H101</f>
        <v>0</v>
      </c>
      <c r="I101" s="49">
        <f>'20.8 Kayunga-Kangulumira'!I101</f>
        <v>0</v>
      </c>
      <c r="J101" s="49">
        <f>'20.8 Kayunga-Kangulumira'!J101</f>
        <v>1</v>
      </c>
      <c r="K101" s="49">
        <f>'20.8 Kayunga-Kangulumira'!K101</f>
        <v>0</v>
      </c>
      <c r="L101" s="49">
        <f>'20.8 Kayunga-Kangulumira'!L101</f>
        <v>1</v>
      </c>
      <c r="M101" s="49">
        <f>'20.8 Kayunga-Kangulumira'!M101</f>
        <v>0</v>
      </c>
      <c r="N101" s="49">
        <f>'20.8 Kayunga-Kangulumira'!N101</f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'20.8 Kayunga-Kangulumira'!C102</f>
        <v>0</v>
      </c>
      <c r="D102" s="49">
        <f>0.4*('20.8 Kayunga-Kangulumira'!E102)</f>
        <v>0.4</v>
      </c>
      <c r="E102" s="49">
        <f>0.6*('20.8 Kayunga-Kangulumira'!E102)</f>
        <v>0.6</v>
      </c>
      <c r="F102" s="49">
        <f>'20.8 Kayunga-Kangulumira'!F102</f>
        <v>0</v>
      </c>
      <c r="G102" s="49">
        <f>'20.8 Kayunga-Kangulumira'!G102</f>
        <v>0</v>
      </c>
      <c r="H102" s="49">
        <f>'20.8 Kayunga-Kangulumira'!H102</f>
        <v>1</v>
      </c>
      <c r="I102" s="49">
        <f>'20.8 Kayunga-Kangulumira'!I102</f>
        <v>0</v>
      </c>
      <c r="J102" s="49">
        <f>'20.8 Kayunga-Kangulumira'!J102</f>
        <v>0</v>
      </c>
      <c r="K102" s="49">
        <f>'20.8 Kayunga-Kangulumira'!K102</f>
        <v>1</v>
      </c>
      <c r="L102" s="49">
        <f>'20.8 Kayunga-Kangulumira'!L102</f>
        <v>1</v>
      </c>
      <c r="M102" s="49">
        <f>'20.8 Kayunga-Kangulumira'!M102</f>
        <v>0</v>
      </c>
      <c r="N102" s="49">
        <f>'20.8 Kayunga-Kangulumira'!N102</f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'20.8 Kayunga-Kangulumira'!C103</f>
        <v>1</v>
      </c>
      <c r="D103" s="49">
        <f>0.4*('20.8 Kayunga-Kangulumira'!E103)</f>
        <v>0.4</v>
      </c>
      <c r="E103" s="49">
        <f>0.6*('20.8 Kayunga-Kangulumira'!E103)</f>
        <v>0.6</v>
      </c>
      <c r="F103" s="49">
        <f>'20.8 Kayunga-Kangulumira'!F103</f>
        <v>0</v>
      </c>
      <c r="G103" s="49">
        <f>'20.8 Kayunga-Kangulumira'!G103</f>
        <v>1</v>
      </c>
      <c r="H103" s="49">
        <f>'20.8 Kayunga-Kangulumira'!H103</f>
        <v>1</v>
      </c>
      <c r="I103" s="49">
        <f>'20.8 Kayunga-Kangulumira'!I103</f>
        <v>0</v>
      </c>
      <c r="J103" s="49">
        <f>'20.8 Kayunga-Kangulumira'!J103</f>
        <v>1</v>
      </c>
      <c r="K103" s="49">
        <f>'20.8 Kayunga-Kangulumira'!K103</f>
        <v>1</v>
      </c>
      <c r="L103" s="49">
        <f>'20.8 Kayunga-Kangulumira'!L103</f>
        <v>0</v>
      </c>
      <c r="M103" s="49">
        <f>'20.8 Kayunga-Kangulumira'!M103</f>
        <v>1</v>
      </c>
      <c r="N103" s="49">
        <f>'20.8 Kayunga-Kangulumira'!N103</f>
        <v>0</v>
      </c>
      <c r="O103" s="15">
        <f t="shared" si="35"/>
        <v>6</v>
      </c>
      <c r="P103" s="15">
        <f t="shared" si="36"/>
        <v>7</v>
      </c>
      <c r="R103" s="8"/>
      <c r="T103"/>
    </row>
    <row r="104" spans="2:20" ht="23.1" customHeight="1" x14ac:dyDescent="0.25">
      <c r="B104" s="25" t="s">
        <v>144</v>
      </c>
      <c r="C104" s="49">
        <f>'20.8 Kayunga-Kangulumira'!C104</f>
        <v>1</v>
      </c>
      <c r="D104" s="49">
        <f>0.4*('20.8 Kayunga-Kangulumira'!E104)</f>
        <v>0.4</v>
      </c>
      <c r="E104" s="49">
        <f>0.6*('20.8 Kayunga-Kangulumira'!E104)</f>
        <v>0.6</v>
      </c>
      <c r="F104" s="49">
        <f>'20.8 Kayunga-Kangulumira'!F104</f>
        <v>1</v>
      </c>
      <c r="G104" s="49">
        <f>'20.8 Kayunga-Kangulumira'!G104</f>
        <v>0</v>
      </c>
      <c r="H104" s="49">
        <f>'20.8 Kayunga-Kangulumira'!H104</f>
        <v>0</v>
      </c>
      <c r="I104" s="49">
        <f>'20.8 Kayunga-Kangulumira'!I104</f>
        <v>2</v>
      </c>
      <c r="J104" s="49">
        <f>'20.8 Kayunga-Kangulumira'!J104</f>
        <v>1</v>
      </c>
      <c r="K104" s="49">
        <f>'20.8 Kayunga-Kangulumira'!K104</f>
        <v>1</v>
      </c>
      <c r="L104" s="49">
        <f>'20.8 Kayunga-Kangulumira'!L104</f>
        <v>0</v>
      </c>
      <c r="M104" s="49">
        <f>'20.8 Kayunga-Kangulumira'!M104</f>
        <v>3</v>
      </c>
      <c r="N104" s="49">
        <f>'20.8 Kayunga-Kangulumira'!N104</f>
        <v>0</v>
      </c>
      <c r="O104" s="15">
        <f t="shared" si="35"/>
        <v>7</v>
      </c>
      <c r="P104" s="15">
        <f t="shared" si="36"/>
        <v>10</v>
      </c>
      <c r="R104" s="8"/>
      <c r="T104"/>
    </row>
    <row r="105" spans="2:20" ht="23.1" customHeight="1" x14ac:dyDescent="0.25">
      <c r="B105" s="23" t="s">
        <v>145</v>
      </c>
      <c r="C105" s="49">
        <f>'20.8 Kayunga-Kangulumira'!C105</f>
        <v>1</v>
      </c>
      <c r="D105" s="49">
        <f>0.4*('20.8 Kayunga-Kangulumira'!E105)</f>
        <v>0.4</v>
      </c>
      <c r="E105" s="49">
        <f>0.6*('20.8 Kayunga-Kangulumira'!E105)</f>
        <v>0.6</v>
      </c>
      <c r="F105" s="49">
        <f>'20.8 Kayunga-Kangulumira'!F105</f>
        <v>1</v>
      </c>
      <c r="G105" s="49">
        <f>'20.8 Kayunga-Kangulumira'!G105</f>
        <v>0</v>
      </c>
      <c r="H105" s="49">
        <f>'20.8 Kayunga-Kangulumira'!H105</f>
        <v>0</v>
      </c>
      <c r="I105" s="49">
        <f>'20.8 Kayunga-Kangulumira'!I105</f>
        <v>1</v>
      </c>
      <c r="J105" s="49">
        <f>'20.8 Kayunga-Kangulumira'!J105</f>
        <v>2</v>
      </c>
      <c r="K105" s="49">
        <f>'20.8 Kayunga-Kangulumira'!K105</f>
        <v>1</v>
      </c>
      <c r="L105" s="49">
        <f>'20.8 Kayunga-Kangulumira'!L105</f>
        <v>0</v>
      </c>
      <c r="M105" s="49">
        <f>'20.8 Kayunga-Kangulumira'!M105</f>
        <v>1</v>
      </c>
      <c r="N105" s="49">
        <f>'20.8 Kayunga-Kangulumira'!N105</f>
        <v>0</v>
      </c>
      <c r="O105" s="15">
        <f t="shared" si="35"/>
        <v>7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294.85714285714289</v>
      </c>
      <c r="D106" s="16">
        <f t="shared" ref="D106:P106" si="37">SUM(D10:D105)</f>
        <v>127.31428571428584</v>
      </c>
      <c r="E106" s="16">
        <f t="shared" si="37"/>
        <v>190.97142857142842</v>
      </c>
      <c r="F106" s="16">
        <f t="shared" si="37"/>
        <v>272</v>
      </c>
      <c r="G106" s="16">
        <f t="shared" si="37"/>
        <v>25.857142857142854</v>
      </c>
      <c r="H106" s="16">
        <f>SUM(H10:H105)</f>
        <v>28.714285714285715</v>
      </c>
      <c r="I106" s="16">
        <f t="shared" si="37"/>
        <v>199.28571428571433</v>
      </c>
      <c r="J106" s="16">
        <f t="shared" si="37"/>
        <v>49.714285714285715</v>
      </c>
      <c r="K106" s="16">
        <f t="shared" si="37"/>
        <v>46.857142857142861</v>
      </c>
      <c r="L106" s="16">
        <f t="shared" si="37"/>
        <v>28.142857142857146</v>
      </c>
      <c r="M106" s="16">
        <f t="shared" si="37"/>
        <v>1514.5714285714284</v>
      </c>
      <c r="N106" s="16">
        <f t="shared" si="37"/>
        <v>0.71428571428571419</v>
      </c>
      <c r="O106" s="16">
        <f t="shared" si="37"/>
        <v>1264.4285714285716</v>
      </c>
      <c r="P106" s="16">
        <f t="shared" si="37"/>
        <v>2779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0.10610188659846811</v>
      </c>
      <c r="D107" s="43">
        <f t="shared" si="38"/>
        <v>4.5812985143679687E-2</v>
      </c>
      <c r="E107" s="43">
        <f t="shared" si="38"/>
        <v>6.8719477715519409E-2</v>
      </c>
      <c r="F107" s="43">
        <f t="shared" si="38"/>
        <v>9.7876934148974457E-2</v>
      </c>
      <c r="G107" s="43">
        <f t="shared" si="38"/>
        <v>9.3044774584896926E-3</v>
      </c>
      <c r="H107" s="43">
        <f t="shared" si="38"/>
        <v>1.03325965146764E-2</v>
      </c>
      <c r="I107" s="43">
        <f t="shared" si="38"/>
        <v>7.1711304169022785E-2</v>
      </c>
      <c r="J107" s="43">
        <f t="shared" si="38"/>
        <v>1.7889271577648691E-2</v>
      </c>
      <c r="K107" s="43">
        <f t="shared" si="38"/>
        <v>1.6861152521461985E-2</v>
      </c>
      <c r="L107" s="43">
        <f t="shared" si="38"/>
        <v>1.012697270343906E-2</v>
      </c>
      <c r="M107" s="43">
        <f t="shared" si="38"/>
        <v>0.54500591168457302</v>
      </c>
      <c r="N107" s="43">
        <f t="shared" si="38"/>
        <v>2.5702976404667655E-4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0.2331939893797311</v>
      </c>
      <c r="D108" s="44">
        <f t="shared" ref="D108:N108" si="39">D106/$O$106</f>
        <v>0.10068918766241113</v>
      </c>
      <c r="E108" s="44">
        <f t="shared" si="39"/>
        <v>0.1510337814936164</v>
      </c>
      <c r="F108" s="44">
        <f t="shared" si="39"/>
        <v>0.21511693593944184</v>
      </c>
      <c r="G108" s="44">
        <f t="shared" si="39"/>
        <v>2.0449666704327189E-2</v>
      </c>
      <c r="H108" s="44">
        <f t="shared" si="39"/>
        <v>2.2709298384363346E-2</v>
      </c>
      <c r="I108" s="44">
        <f t="shared" si="39"/>
        <v>0.15760930968252176</v>
      </c>
      <c r="J108" s="44">
        <f t="shared" si="39"/>
        <v>3.9317591232629082E-2</v>
      </c>
      <c r="K108" s="44">
        <f t="shared" si="39"/>
        <v>3.7057959552592924E-2</v>
      </c>
      <c r="L108" s="44">
        <f t="shared" si="39"/>
        <v>2.2257372048356119E-2</v>
      </c>
      <c r="M108" s="44"/>
      <c r="N108" s="44">
        <f t="shared" si="39"/>
        <v>5.6490792000903837E-4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A73" zoomScale="60" workbookViewId="0">
      <selection activeCell="D58" sqref="D58:E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'25.8 Kangulumira-Kayunga'!C3:G3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3" t="str">
        <f>'25.8 Kangulumira-Kayunga'!G5:H5</f>
        <v xml:space="preserve"> </v>
      </c>
      <c r="H5" s="64"/>
      <c r="I5" s="14"/>
      <c r="J5" s="2" t="s">
        <v>5</v>
      </c>
      <c r="K5" s="63" t="str">
        <f>'25.8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'25.8 Kangulumira-Kayunga'!D6:E6</f>
        <v>KANGULUMIRA</v>
      </c>
      <c r="E6" s="64"/>
      <c r="F6" s="2" t="s">
        <v>2</v>
      </c>
      <c r="G6" s="63" t="str">
        <f>'25.8 Kangulumira-Kayunga'!G6:H6</f>
        <v>KAYUNGA</v>
      </c>
      <c r="H6" s="64"/>
      <c r="J6" s="2" t="s">
        <v>21</v>
      </c>
      <c r="K6" s="63" t="str">
        <f>'25.8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AVERAGE('19.8 Kangulumira-Kayunga'!C10,'21.8 Kangulumira-Kayunga'!C10,'20.8 Kangulumira-Kayunga'!C10,'22.8 Kaangulumira-Kayunga'!C10,'23.8 Kangulumira-Kayunga'!C10,'24.8 Kangulumira-Kayunga'!C10,'25.8 Kangulumira-Kayunga'!C10)</f>
        <v>2.7142857142857144</v>
      </c>
      <c r="D10" s="49">
        <f>0.4*(AVERAGE('19.8 Kangulumira-Kayunga'!E10,'21.8 Kangulumira-Kayunga'!E10,'20.8 Kangulumira-Kayunga'!E10,'22.8 Kaangulumira-Kayunga'!E10,'23.8 Kangulumira-Kayunga'!E10,'24.8 Kangulumira-Kayunga'!E10,'25.8 Kangulumira-Kayunga'!E10))</f>
        <v>1.142857142857143</v>
      </c>
      <c r="E10" s="49">
        <f>0.6*(AVERAGE('19.8 Kangulumira-Kayunga'!E10,'21.8 Kangulumira-Kayunga'!E10,'20.8 Kangulumira-Kayunga'!E10,'22.8 Kaangulumira-Kayunga'!E10,'23.8 Kangulumira-Kayunga'!E10,'24.8 Kangulumira-Kayunga'!E10,'25.8 Kangulumira-Kayunga'!E10))</f>
        <v>1.7142857142857142</v>
      </c>
      <c r="F10" s="49">
        <f>AVERAGE('19.8 Kangulumira-Kayunga'!F10,'21.8 Kangulumira-Kayunga'!F10,'20.8 Kangulumira-Kayunga'!F10,'22.8 Kaangulumira-Kayunga'!F10,'23.8 Kangulumira-Kayunga'!F10,'24.8 Kangulumira-Kayunga'!F10,'25.8 Kangulumira-Kayunga'!F10)</f>
        <v>3.7142857142857144</v>
      </c>
      <c r="G10" s="49">
        <f>AVERAGE('19.8 Kangulumira-Kayunga'!G10,'21.8 Kangulumira-Kayunga'!G10,'20.8 Kangulumira-Kayunga'!G10,'22.8 Kaangulumira-Kayunga'!G10,'23.8 Kangulumira-Kayunga'!G10,'24.8 Kangulumira-Kayunga'!G10,'25.8 Kangulumira-Kayunga'!G10)</f>
        <v>0</v>
      </c>
      <c r="H10" s="49">
        <f>AVERAGE('19.8 Kangulumira-Kayunga'!H10,'21.8 Kangulumira-Kayunga'!H10,'20.8 Kangulumira-Kayunga'!H10,'22.8 Kaangulumira-Kayunga'!H10,'23.8 Kangulumira-Kayunga'!H10,'24.8 Kangulumira-Kayunga'!H10,'25.8 Kangulumira-Kayunga'!H10)</f>
        <v>0.14285714285714285</v>
      </c>
      <c r="I10" s="49">
        <f>AVERAGE('19.8 Kangulumira-Kayunga'!I10,'21.8 Kangulumira-Kayunga'!I10,'20.8 Kangulumira-Kayunga'!I10,'22.8 Kaangulumira-Kayunga'!I10,'23.8 Kangulumira-Kayunga'!I10,'24.8 Kangulumira-Kayunga'!I10,'25.8 Kangulumira-Kayunga'!I10)</f>
        <v>2.1428571428571428</v>
      </c>
      <c r="J10" s="49">
        <f>AVERAGE('19.8 Kangulumira-Kayunga'!J10,'21.8 Kangulumira-Kayunga'!J10,'20.8 Kangulumira-Kayunga'!J10,'22.8 Kaangulumira-Kayunga'!J10,'23.8 Kangulumira-Kayunga'!J10,'24.8 Kangulumira-Kayunga'!J10,'25.8 Kangulumira-Kayunga'!J10)</f>
        <v>1.1428571428571428</v>
      </c>
      <c r="K10" s="49">
        <f>AVERAGE('19.8 Kangulumira-Kayunga'!K10,'21.8 Kangulumira-Kayunga'!K10,'20.8 Kangulumira-Kayunga'!K10,'22.8 Kaangulumira-Kayunga'!K10,'23.8 Kangulumira-Kayunga'!K10,'24.8 Kangulumira-Kayunga'!K10,'25.8 Kangulumira-Kayunga'!K10)</f>
        <v>0.7142857142857143</v>
      </c>
      <c r="L10" s="49">
        <f>AVERAGE('19.8 Kangulumira-Kayunga'!L10,'21.8 Kangulumira-Kayunga'!L10,'20.8 Kangulumira-Kayunga'!L10,'22.8 Kaangulumira-Kayunga'!L10,'23.8 Kangulumira-Kayunga'!L10,'24.8 Kangulumira-Kayunga'!L10,'25.8 Kangulumira-Kayunga'!L10)</f>
        <v>0.42857142857142855</v>
      </c>
      <c r="M10" s="49">
        <f>AVERAGE('19.8 Kangulumira-Kayunga'!M10,'21.8 Kangulumira-Kayunga'!M10,'20.8 Kangulumira-Kayunga'!M10,'22.8 Kaangulumira-Kayunga'!M10,'23.8 Kangulumira-Kayunga'!M10,'24.8 Kangulumira-Kayunga'!M10,'25.8 Kangulumira-Kayunga'!M10)</f>
        <v>10</v>
      </c>
      <c r="N10" s="49">
        <f>AVERAGE('19.8 Kangulumira-Kayunga'!N10,'21.8 Kangulumira-Kayunga'!N10,'20.8 Kangulumira-Kayunga'!N10,'22.8 Kaangulumira-Kayunga'!N10,'23.8 Kangulumira-Kayunga'!N10,'24.8 Kangulumira-Kayunga'!N10,'25.8 Kangulumira-Kayunga'!N10)</f>
        <v>0</v>
      </c>
      <c r="O10" s="15">
        <f t="shared" ref="O10:O57" si="0">SUM(C10:L10,N10)</f>
        <v>13.857142857142856</v>
      </c>
      <c r="P10" s="15">
        <f t="shared" ref="P10:P57" si="1">SUM(C10:N10)</f>
        <v>23.857142857142854</v>
      </c>
      <c r="R10" s="1" t="s">
        <v>6</v>
      </c>
      <c r="S10" s="17">
        <f t="shared" ref="S10:AF10" si="2">SUM(C10:C13)</f>
        <v>11.285714285714288</v>
      </c>
      <c r="T10" s="17">
        <f t="shared" si="2"/>
        <v>5.2571428571428571</v>
      </c>
      <c r="U10" s="17">
        <f t="shared" si="2"/>
        <v>7.8857142857142852</v>
      </c>
      <c r="V10" s="17">
        <f t="shared" si="2"/>
        <v>16.857142857142858</v>
      </c>
      <c r="W10" s="17">
        <f t="shared" si="2"/>
        <v>0.71428571428571419</v>
      </c>
      <c r="X10" s="17">
        <f t="shared" si="2"/>
        <v>0.5714285714285714</v>
      </c>
      <c r="Y10" s="17">
        <f t="shared" si="2"/>
        <v>6.2857142857142856</v>
      </c>
      <c r="Z10" s="17">
        <f t="shared" si="2"/>
        <v>2.4285714285714284</v>
      </c>
      <c r="AA10" s="17">
        <f t="shared" si="2"/>
        <v>3.9999999999999996</v>
      </c>
      <c r="AB10" s="17">
        <f t="shared" si="2"/>
        <v>2.1428571428571428</v>
      </c>
      <c r="AC10" s="17">
        <f t="shared" si="2"/>
        <v>62.714285714285708</v>
      </c>
      <c r="AD10" s="17">
        <f t="shared" si="2"/>
        <v>0.14285714285714285</v>
      </c>
      <c r="AE10" s="31">
        <f t="shared" si="2"/>
        <v>57.571428571428569</v>
      </c>
      <c r="AF10" s="31">
        <f t="shared" si="2"/>
        <v>120.28571428571428</v>
      </c>
    </row>
    <row r="11" spans="2:32" s="6" customFormat="1" ht="23.1" customHeight="1" x14ac:dyDescent="0.25">
      <c r="B11" s="23" t="s">
        <v>38</v>
      </c>
      <c r="C11" s="49">
        <f>AVERAGE('19.8 Kangulumira-Kayunga'!C11,'21.8 Kangulumira-Kayunga'!C11,'20.8 Kangulumira-Kayunga'!C11,'22.8 Kaangulumira-Kayunga'!C11,'23.8 Kangulumira-Kayunga'!C11,'24.8 Kangulumira-Kayunga'!C11,'25.8 Kangulumira-Kayunga'!C11)</f>
        <v>2.5714285714285716</v>
      </c>
      <c r="D11" s="49">
        <f>0.4*(AVERAGE('19.8 Kangulumira-Kayunga'!E11,'21.8 Kangulumira-Kayunga'!E11,'20.8 Kangulumira-Kayunga'!E11,'22.8 Kaangulumira-Kayunga'!E11,'23.8 Kangulumira-Kayunga'!E11,'24.8 Kangulumira-Kayunga'!E11,'25.8 Kangulumira-Kayunga'!E11))</f>
        <v>1.3714285714285714</v>
      </c>
      <c r="E11" s="49">
        <f>0.6*(AVERAGE('19.8 Kangulumira-Kayunga'!E11,'21.8 Kangulumira-Kayunga'!E11,'20.8 Kangulumira-Kayunga'!E11,'22.8 Kaangulumira-Kayunga'!E11,'23.8 Kangulumira-Kayunga'!E11,'24.8 Kangulumira-Kayunga'!E11,'25.8 Kangulumira-Kayunga'!E11))</f>
        <v>2.0571428571428569</v>
      </c>
      <c r="F11" s="49">
        <f>AVERAGE('19.8 Kangulumira-Kayunga'!F11,'21.8 Kangulumira-Kayunga'!F11,'20.8 Kangulumira-Kayunga'!F11,'22.8 Kaangulumira-Kayunga'!F11,'23.8 Kangulumira-Kayunga'!F11,'24.8 Kangulumira-Kayunga'!F11,'25.8 Kangulumira-Kayunga'!F11)</f>
        <v>4.5714285714285712</v>
      </c>
      <c r="G11" s="49">
        <f>AVERAGE('19.8 Kangulumira-Kayunga'!G11,'21.8 Kangulumira-Kayunga'!G11,'20.8 Kangulumira-Kayunga'!G11,'22.8 Kaangulumira-Kayunga'!G11,'23.8 Kangulumira-Kayunga'!G11,'24.8 Kangulumira-Kayunga'!G11,'25.8 Kangulumira-Kayunga'!G11)</f>
        <v>0</v>
      </c>
      <c r="H11" s="49">
        <f>AVERAGE('19.8 Kangulumira-Kayunga'!H11,'21.8 Kangulumira-Kayunga'!H11,'20.8 Kangulumira-Kayunga'!H11,'22.8 Kaangulumira-Kayunga'!H11,'23.8 Kangulumira-Kayunga'!H11,'24.8 Kangulumira-Kayunga'!H11,'25.8 Kangulumira-Kayunga'!H11)</f>
        <v>0.14285714285714285</v>
      </c>
      <c r="I11" s="49">
        <f>AVERAGE('19.8 Kangulumira-Kayunga'!I11,'21.8 Kangulumira-Kayunga'!I11,'20.8 Kangulumira-Kayunga'!I11,'22.8 Kaangulumira-Kayunga'!I11,'23.8 Kangulumira-Kayunga'!I11,'24.8 Kangulumira-Kayunga'!I11,'25.8 Kangulumira-Kayunga'!I11)</f>
        <v>0.7142857142857143</v>
      </c>
      <c r="J11" s="49">
        <f>AVERAGE('19.8 Kangulumira-Kayunga'!J11,'21.8 Kangulumira-Kayunga'!J11,'20.8 Kangulumira-Kayunga'!J11,'22.8 Kaangulumira-Kayunga'!J11,'23.8 Kangulumira-Kayunga'!J11,'24.8 Kangulumira-Kayunga'!J11,'25.8 Kangulumira-Kayunga'!J11)</f>
        <v>0.2857142857142857</v>
      </c>
      <c r="K11" s="49">
        <f>AVERAGE('19.8 Kangulumira-Kayunga'!K11,'21.8 Kangulumira-Kayunga'!K11,'20.8 Kangulumira-Kayunga'!K11,'22.8 Kaangulumira-Kayunga'!K11,'23.8 Kangulumira-Kayunga'!K11,'24.8 Kangulumira-Kayunga'!K11,'25.8 Kangulumira-Kayunga'!K11)</f>
        <v>0.42857142857142855</v>
      </c>
      <c r="L11" s="49">
        <f>AVERAGE('19.8 Kangulumira-Kayunga'!L11,'21.8 Kangulumira-Kayunga'!L11,'20.8 Kangulumira-Kayunga'!L11,'22.8 Kaangulumira-Kayunga'!L11,'23.8 Kangulumira-Kayunga'!L11,'24.8 Kangulumira-Kayunga'!L11,'25.8 Kangulumira-Kayunga'!L11)</f>
        <v>0.2857142857142857</v>
      </c>
      <c r="M11" s="49">
        <f>AVERAGE('19.8 Kangulumira-Kayunga'!M11,'21.8 Kangulumira-Kayunga'!M11,'20.8 Kangulumira-Kayunga'!M11,'22.8 Kaangulumira-Kayunga'!M11,'23.8 Kangulumira-Kayunga'!M11,'24.8 Kangulumira-Kayunga'!M11,'25.8 Kangulumira-Kayunga'!M11)</f>
        <v>13.714285714285714</v>
      </c>
      <c r="N11" s="49">
        <f>AVERAGE('19.8 Kangulumira-Kayunga'!N11,'21.8 Kangulumira-Kayunga'!N11,'20.8 Kangulumira-Kayunga'!N11,'22.8 Kaangulumira-Kayunga'!N11,'23.8 Kangulumira-Kayunga'!N11,'24.8 Kangulumira-Kayunga'!N11,'25.8 Kangulumira-Kayunga'!N11)</f>
        <v>0.14285714285714285</v>
      </c>
      <c r="O11" s="15">
        <f t="shared" si="0"/>
        <v>12.571428571428571</v>
      </c>
      <c r="P11" s="15">
        <f t="shared" si="1"/>
        <v>26.285714285714285</v>
      </c>
      <c r="R11" s="1" t="s">
        <v>7</v>
      </c>
      <c r="S11" s="17">
        <f t="shared" ref="S11:AF11" si="3">SUM(C14:C17)</f>
        <v>16.142857142857142</v>
      </c>
      <c r="T11" s="17">
        <f t="shared" si="3"/>
        <v>4.5714285714285721</v>
      </c>
      <c r="U11" s="17">
        <f t="shared" si="3"/>
        <v>6.8571428571428568</v>
      </c>
      <c r="V11" s="17">
        <f t="shared" si="3"/>
        <v>12.142857142857142</v>
      </c>
      <c r="W11" s="17">
        <f t="shared" si="3"/>
        <v>0.2857142857142857</v>
      </c>
      <c r="X11" s="17">
        <f t="shared" si="3"/>
        <v>0.5714285714285714</v>
      </c>
      <c r="Y11" s="17">
        <f t="shared" si="3"/>
        <v>7.5714285714285712</v>
      </c>
      <c r="Z11" s="17">
        <f t="shared" si="3"/>
        <v>2</v>
      </c>
      <c r="AA11" s="17">
        <f t="shared" si="3"/>
        <v>0.85714285714285698</v>
      </c>
      <c r="AB11" s="17">
        <f t="shared" si="3"/>
        <v>1.2857142857142856</v>
      </c>
      <c r="AC11" s="17">
        <f t="shared" si="3"/>
        <v>87.571428571428569</v>
      </c>
      <c r="AD11" s="17">
        <f t="shared" si="3"/>
        <v>0</v>
      </c>
      <c r="AE11" s="31">
        <f t="shared" si="3"/>
        <v>52.285714285714285</v>
      </c>
      <c r="AF11" s="31">
        <f t="shared" si="3"/>
        <v>139.85714285714286</v>
      </c>
    </row>
    <row r="12" spans="2:32" ht="23.1" customHeight="1" x14ac:dyDescent="0.25">
      <c r="B12" s="23" t="s">
        <v>39</v>
      </c>
      <c r="C12" s="49">
        <f>AVERAGE('19.8 Kangulumira-Kayunga'!C12,'21.8 Kangulumira-Kayunga'!C12,'20.8 Kangulumira-Kayunga'!C12,'22.8 Kaangulumira-Kayunga'!C12,'23.8 Kangulumira-Kayunga'!C12,'24.8 Kangulumira-Kayunga'!C12,'25.8 Kangulumira-Kayunga'!C12)</f>
        <v>3.2857142857142856</v>
      </c>
      <c r="D12" s="49">
        <f>0.4*(AVERAGE('19.8 Kangulumira-Kayunga'!E12,'21.8 Kangulumira-Kayunga'!E12,'20.8 Kangulumira-Kayunga'!E12,'22.8 Kaangulumira-Kayunga'!E12,'23.8 Kangulumira-Kayunga'!E12,'24.8 Kangulumira-Kayunga'!E12,'25.8 Kangulumira-Kayunga'!E12))</f>
        <v>1.5428571428571429</v>
      </c>
      <c r="E12" s="49">
        <f>0.6*(AVERAGE('19.8 Kangulumira-Kayunga'!E12,'21.8 Kangulumira-Kayunga'!E12,'20.8 Kangulumira-Kayunga'!E12,'22.8 Kaangulumira-Kayunga'!E12,'23.8 Kangulumira-Kayunga'!E12,'24.8 Kangulumira-Kayunga'!E12,'25.8 Kangulumira-Kayunga'!E12))</f>
        <v>2.3142857142857141</v>
      </c>
      <c r="F12" s="49">
        <f>AVERAGE('19.8 Kangulumira-Kayunga'!F12,'21.8 Kangulumira-Kayunga'!F12,'20.8 Kangulumira-Kayunga'!F12,'22.8 Kaangulumira-Kayunga'!F12,'23.8 Kangulumira-Kayunga'!F12,'24.8 Kangulumira-Kayunga'!F12,'25.8 Kangulumira-Kayunga'!F12)</f>
        <v>5</v>
      </c>
      <c r="G12" s="49">
        <f>AVERAGE('19.8 Kangulumira-Kayunga'!G12,'21.8 Kangulumira-Kayunga'!G12,'20.8 Kangulumira-Kayunga'!G12,'22.8 Kaangulumira-Kayunga'!G12,'23.8 Kangulumira-Kayunga'!G12,'24.8 Kangulumira-Kayunga'!G12,'25.8 Kangulumira-Kayunga'!G12)</f>
        <v>0.2857142857142857</v>
      </c>
      <c r="H12" s="49">
        <f>AVERAGE('19.8 Kangulumira-Kayunga'!H12,'21.8 Kangulumira-Kayunga'!H12,'20.8 Kangulumira-Kayunga'!H12,'22.8 Kaangulumira-Kayunga'!H12,'23.8 Kangulumira-Kayunga'!H12,'24.8 Kangulumira-Kayunga'!H12,'25.8 Kangulumira-Kayunga'!H12)</f>
        <v>0.14285714285714285</v>
      </c>
      <c r="I12" s="49">
        <f>AVERAGE('19.8 Kangulumira-Kayunga'!I12,'21.8 Kangulumira-Kayunga'!I12,'20.8 Kangulumira-Kayunga'!I12,'22.8 Kaangulumira-Kayunga'!I12,'23.8 Kangulumira-Kayunga'!I12,'24.8 Kangulumira-Kayunga'!I12,'25.8 Kangulumira-Kayunga'!I12)</f>
        <v>1.8571428571428572</v>
      </c>
      <c r="J12" s="49">
        <f>AVERAGE('19.8 Kangulumira-Kayunga'!J12,'21.8 Kangulumira-Kayunga'!J12,'20.8 Kangulumira-Kayunga'!J12,'22.8 Kaangulumira-Kayunga'!J12,'23.8 Kangulumira-Kayunga'!J12,'24.8 Kangulumira-Kayunga'!J12,'25.8 Kangulumira-Kayunga'!J12)</f>
        <v>0.7142857142857143</v>
      </c>
      <c r="K12" s="49">
        <f>AVERAGE('19.8 Kangulumira-Kayunga'!K12,'21.8 Kangulumira-Kayunga'!K12,'20.8 Kangulumira-Kayunga'!K12,'22.8 Kaangulumira-Kayunga'!K12,'23.8 Kangulumira-Kayunga'!K12,'24.8 Kangulumira-Kayunga'!K12,'25.8 Kangulumira-Kayunga'!K12)</f>
        <v>1.7142857142857142</v>
      </c>
      <c r="L12" s="49">
        <f>AVERAGE('19.8 Kangulumira-Kayunga'!L12,'21.8 Kangulumira-Kayunga'!L12,'20.8 Kangulumira-Kayunga'!L12,'22.8 Kaangulumira-Kayunga'!L12,'23.8 Kangulumira-Kayunga'!L12,'24.8 Kangulumira-Kayunga'!L12,'25.8 Kangulumira-Kayunga'!L12)</f>
        <v>0.7142857142857143</v>
      </c>
      <c r="M12" s="49">
        <f>AVERAGE('19.8 Kangulumira-Kayunga'!M12,'21.8 Kangulumira-Kayunga'!M12,'20.8 Kangulumira-Kayunga'!M12,'22.8 Kaangulumira-Kayunga'!M12,'23.8 Kangulumira-Kayunga'!M12,'24.8 Kangulumira-Kayunga'!M12,'25.8 Kangulumira-Kayunga'!M12)</f>
        <v>16.428571428571427</v>
      </c>
      <c r="N12" s="49">
        <f>AVERAGE('19.8 Kangulumira-Kayunga'!N12,'21.8 Kangulumira-Kayunga'!N12,'20.8 Kangulumira-Kayunga'!N12,'22.8 Kaangulumira-Kayunga'!N12,'23.8 Kangulumira-Kayunga'!N12,'24.8 Kangulumira-Kayunga'!N12,'25.8 Kangulumira-Kayunga'!N12)</f>
        <v>0</v>
      </c>
      <c r="O12" s="15">
        <f t="shared" si="0"/>
        <v>17.571428571428573</v>
      </c>
      <c r="P12" s="15">
        <f t="shared" si="1"/>
        <v>34</v>
      </c>
      <c r="R12" s="1" t="s">
        <v>8</v>
      </c>
      <c r="S12" s="17">
        <f t="shared" ref="S12:AF12" si="4">SUM(C18:C21)</f>
        <v>17</v>
      </c>
      <c r="T12" s="17">
        <f t="shared" si="4"/>
        <v>6.628571428571429</v>
      </c>
      <c r="U12" s="17">
        <f t="shared" si="4"/>
        <v>9.9428571428571413</v>
      </c>
      <c r="V12" s="17">
        <f t="shared" si="4"/>
        <v>13.714285714285715</v>
      </c>
      <c r="W12" s="17">
        <f t="shared" si="4"/>
        <v>1</v>
      </c>
      <c r="X12" s="17">
        <f t="shared" si="4"/>
        <v>0.14285714285714285</v>
      </c>
      <c r="Y12" s="17">
        <f t="shared" si="4"/>
        <v>7.7142857142857144</v>
      </c>
      <c r="Z12" s="17">
        <f t="shared" si="4"/>
        <v>1.4285714285714284</v>
      </c>
      <c r="AA12" s="17">
        <f t="shared" si="4"/>
        <v>0.85714285714285698</v>
      </c>
      <c r="AB12" s="17">
        <f t="shared" si="4"/>
        <v>1.4285714285714284</v>
      </c>
      <c r="AC12" s="17">
        <f t="shared" si="4"/>
        <v>86.714285714285722</v>
      </c>
      <c r="AD12" s="17">
        <f t="shared" si="4"/>
        <v>0.14285714285714285</v>
      </c>
      <c r="AE12" s="31">
        <f t="shared" si="4"/>
        <v>60</v>
      </c>
      <c r="AF12" s="31">
        <f t="shared" si="4"/>
        <v>146.71428571428572</v>
      </c>
    </row>
    <row r="13" spans="2:32" ht="23.1" customHeight="1" x14ac:dyDescent="0.25">
      <c r="B13" s="23" t="s">
        <v>40</v>
      </c>
      <c r="C13" s="49">
        <f>AVERAGE('19.8 Kangulumira-Kayunga'!C13,'21.8 Kangulumira-Kayunga'!C13,'20.8 Kangulumira-Kayunga'!C13,'22.8 Kaangulumira-Kayunga'!C13,'23.8 Kangulumira-Kayunga'!C13,'24.8 Kangulumira-Kayunga'!C13,'25.8 Kangulumira-Kayunga'!C13)</f>
        <v>2.7142857142857144</v>
      </c>
      <c r="D13" s="49">
        <f>0.4*(AVERAGE('19.8 Kangulumira-Kayunga'!E13,'21.8 Kangulumira-Kayunga'!E13,'20.8 Kangulumira-Kayunga'!E13,'22.8 Kaangulumira-Kayunga'!E13,'23.8 Kangulumira-Kayunga'!E13,'24.8 Kangulumira-Kayunga'!E13,'25.8 Kangulumira-Kayunga'!E13))</f>
        <v>1.2000000000000002</v>
      </c>
      <c r="E13" s="49">
        <f>0.6*(AVERAGE('19.8 Kangulumira-Kayunga'!E13,'21.8 Kangulumira-Kayunga'!E13,'20.8 Kangulumira-Kayunga'!E13,'22.8 Kaangulumira-Kayunga'!E13,'23.8 Kangulumira-Kayunga'!E13,'24.8 Kangulumira-Kayunga'!E13,'25.8 Kangulumira-Kayunga'!E13))</f>
        <v>1.7999999999999998</v>
      </c>
      <c r="F13" s="49">
        <f>AVERAGE('19.8 Kangulumira-Kayunga'!F13,'21.8 Kangulumira-Kayunga'!F13,'20.8 Kangulumira-Kayunga'!F13,'22.8 Kaangulumira-Kayunga'!F13,'23.8 Kangulumira-Kayunga'!F13,'24.8 Kangulumira-Kayunga'!F13,'25.8 Kangulumira-Kayunga'!F13)</f>
        <v>3.5714285714285716</v>
      </c>
      <c r="G13" s="49">
        <f>AVERAGE('19.8 Kangulumira-Kayunga'!G13,'21.8 Kangulumira-Kayunga'!G13,'20.8 Kangulumira-Kayunga'!G13,'22.8 Kaangulumira-Kayunga'!G13,'23.8 Kangulumira-Kayunga'!G13,'24.8 Kangulumira-Kayunga'!G13,'25.8 Kangulumira-Kayunga'!G13)</f>
        <v>0.42857142857142855</v>
      </c>
      <c r="H13" s="49">
        <f>AVERAGE('19.8 Kangulumira-Kayunga'!H13,'21.8 Kangulumira-Kayunga'!H13,'20.8 Kangulumira-Kayunga'!H13,'22.8 Kaangulumira-Kayunga'!H13,'23.8 Kangulumira-Kayunga'!H13,'24.8 Kangulumira-Kayunga'!H13,'25.8 Kangulumira-Kayunga'!H13)</f>
        <v>0.14285714285714285</v>
      </c>
      <c r="I13" s="49">
        <f>AVERAGE('19.8 Kangulumira-Kayunga'!I13,'21.8 Kangulumira-Kayunga'!I13,'20.8 Kangulumira-Kayunga'!I13,'22.8 Kaangulumira-Kayunga'!I13,'23.8 Kangulumira-Kayunga'!I13,'24.8 Kangulumira-Kayunga'!I13,'25.8 Kangulumira-Kayunga'!I13)</f>
        <v>1.5714285714285714</v>
      </c>
      <c r="J13" s="49">
        <f>AVERAGE('19.8 Kangulumira-Kayunga'!J13,'21.8 Kangulumira-Kayunga'!J13,'20.8 Kangulumira-Kayunga'!J13,'22.8 Kaangulumira-Kayunga'!J13,'23.8 Kangulumira-Kayunga'!J13,'24.8 Kangulumira-Kayunga'!J13,'25.8 Kangulumira-Kayunga'!J13)</f>
        <v>0.2857142857142857</v>
      </c>
      <c r="K13" s="49">
        <f>AVERAGE('19.8 Kangulumira-Kayunga'!K13,'21.8 Kangulumira-Kayunga'!K13,'20.8 Kangulumira-Kayunga'!K13,'22.8 Kaangulumira-Kayunga'!K13,'23.8 Kangulumira-Kayunga'!K13,'24.8 Kangulumira-Kayunga'!K13,'25.8 Kangulumira-Kayunga'!K13)</f>
        <v>1.1428571428571428</v>
      </c>
      <c r="L13" s="49">
        <f>AVERAGE('19.8 Kangulumira-Kayunga'!L13,'21.8 Kangulumira-Kayunga'!L13,'20.8 Kangulumira-Kayunga'!L13,'22.8 Kaangulumira-Kayunga'!L13,'23.8 Kangulumira-Kayunga'!L13,'24.8 Kangulumira-Kayunga'!L13,'25.8 Kangulumira-Kayunga'!L13)</f>
        <v>0.7142857142857143</v>
      </c>
      <c r="M13" s="49">
        <f>AVERAGE('19.8 Kangulumira-Kayunga'!M13,'21.8 Kangulumira-Kayunga'!M13,'20.8 Kangulumira-Kayunga'!M13,'22.8 Kaangulumira-Kayunga'!M13,'23.8 Kangulumira-Kayunga'!M13,'24.8 Kangulumira-Kayunga'!M13,'25.8 Kangulumira-Kayunga'!M13)</f>
        <v>22.571428571428573</v>
      </c>
      <c r="N13" s="49">
        <f>AVERAGE('19.8 Kangulumira-Kayunga'!N13,'21.8 Kangulumira-Kayunga'!N13,'20.8 Kangulumira-Kayunga'!N13,'22.8 Kaangulumira-Kayunga'!N13,'23.8 Kangulumira-Kayunga'!N13,'24.8 Kangulumira-Kayunga'!N13,'25.8 Kangulumira-Kayunga'!N13)</f>
        <v>0</v>
      </c>
      <c r="O13" s="15">
        <f t="shared" si="0"/>
        <v>13.571428571428571</v>
      </c>
      <c r="P13" s="15">
        <f t="shared" si="1"/>
        <v>36.142857142857146</v>
      </c>
      <c r="R13" s="1" t="s">
        <v>9</v>
      </c>
      <c r="S13" s="17">
        <f t="shared" ref="S13:AF13" si="5">SUM(C22:C25)</f>
        <v>15.857142857142858</v>
      </c>
      <c r="T13" s="17">
        <f t="shared" si="5"/>
        <v>7.257142857142858</v>
      </c>
      <c r="U13" s="17">
        <f t="shared" si="5"/>
        <v>10.885714285714284</v>
      </c>
      <c r="V13" s="17">
        <f t="shared" si="5"/>
        <v>15.714285714285714</v>
      </c>
      <c r="W13" s="17">
        <f t="shared" si="5"/>
        <v>2</v>
      </c>
      <c r="X13" s="17">
        <f t="shared" si="5"/>
        <v>0</v>
      </c>
      <c r="Y13" s="17">
        <f t="shared" si="5"/>
        <v>13</v>
      </c>
      <c r="Z13" s="17">
        <f t="shared" si="5"/>
        <v>1.1428571428571428</v>
      </c>
      <c r="AA13" s="17">
        <f t="shared" si="5"/>
        <v>2.2857142857142856</v>
      </c>
      <c r="AB13" s="17">
        <f t="shared" si="5"/>
        <v>2</v>
      </c>
      <c r="AC13" s="17">
        <f t="shared" si="5"/>
        <v>92.428571428571431</v>
      </c>
      <c r="AD13" s="17">
        <f t="shared" si="5"/>
        <v>0</v>
      </c>
      <c r="AE13" s="31">
        <f t="shared" si="5"/>
        <v>70.142857142857139</v>
      </c>
      <c r="AF13" s="31">
        <f t="shared" si="5"/>
        <v>162.57142857142856</v>
      </c>
    </row>
    <row r="14" spans="2:32" ht="23.1" customHeight="1" x14ac:dyDescent="0.25">
      <c r="B14" s="23" t="s">
        <v>41</v>
      </c>
      <c r="C14" s="49">
        <f>AVERAGE('19.8 Kangulumira-Kayunga'!C14,'21.8 Kangulumira-Kayunga'!C14,'20.8 Kangulumira-Kayunga'!C14,'22.8 Kaangulumira-Kayunga'!C14,'23.8 Kangulumira-Kayunga'!C14,'24.8 Kangulumira-Kayunga'!C14,'25.8 Kangulumira-Kayunga'!C14)</f>
        <v>3.5714285714285716</v>
      </c>
      <c r="D14" s="49">
        <f>0.4*(AVERAGE('19.8 Kangulumira-Kayunga'!E14,'21.8 Kangulumira-Kayunga'!E14,'20.8 Kangulumira-Kayunga'!E14,'22.8 Kaangulumira-Kayunga'!E14,'23.8 Kangulumira-Kayunga'!E14,'24.8 Kangulumira-Kayunga'!E14,'25.8 Kangulumira-Kayunga'!E14))</f>
        <v>1.142857142857143</v>
      </c>
      <c r="E14" s="49">
        <f>0.6*(AVERAGE('19.8 Kangulumira-Kayunga'!E14,'21.8 Kangulumira-Kayunga'!E14,'20.8 Kangulumira-Kayunga'!E14,'22.8 Kaangulumira-Kayunga'!E14,'23.8 Kangulumira-Kayunga'!E14,'24.8 Kangulumira-Kayunga'!E14,'25.8 Kangulumira-Kayunga'!E14))</f>
        <v>1.7142857142857142</v>
      </c>
      <c r="F14" s="49">
        <f>AVERAGE('19.8 Kangulumira-Kayunga'!F14,'21.8 Kangulumira-Kayunga'!F14,'20.8 Kangulumira-Kayunga'!F14,'22.8 Kaangulumira-Kayunga'!F14,'23.8 Kangulumira-Kayunga'!F14,'24.8 Kangulumira-Kayunga'!F14,'25.8 Kangulumira-Kayunga'!F14)</f>
        <v>2.7142857142857144</v>
      </c>
      <c r="G14" s="49">
        <f>AVERAGE('19.8 Kangulumira-Kayunga'!G14,'21.8 Kangulumira-Kayunga'!G14,'20.8 Kangulumira-Kayunga'!G14,'22.8 Kaangulumira-Kayunga'!G14,'23.8 Kangulumira-Kayunga'!G14,'24.8 Kangulumira-Kayunga'!G14,'25.8 Kangulumira-Kayunga'!G14)</f>
        <v>0</v>
      </c>
      <c r="H14" s="49">
        <f>AVERAGE('19.8 Kangulumira-Kayunga'!H14,'21.8 Kangulumira-Kayunga'!H14,'20.8 Kangulumira-Kayunga'!H14,'22.8 Kaangulumira-Kayunga'!H14,'23.8 Kangulumira-Kayunga'!H14,'24.8 Kangulumira-Kayunga'!H14,'25.8 Kangulumira-Kayunga'!H14)</f>
        <v>0.14285714285714285</v>
      </c>
      <c r="I14" s="49">
        <f>AVERAGE('19.8 Kangulumira-Kayunga'!I14,'21.8 Kangulumira-Kayunga'!I14,'20.8 Kangulumira-Kayunga'!I14,'22.8 Kaangulumira-Kayunga'!I14,'23.8 Kangulumira-Kayunga'!I14,'24.8 Kangulumira-Kayunga'!I14,'25.8 Kangulumira-Kayunga'!I14)</f>
        <v>1</v>
      </c>
      <c r="J14" s="49">
        <f>AVERAGE('19.8 Kangulumira-Kayunga'!J14,'21.8 Kangulumira-Kayunga'!J14,'20.8 Kangulumira-Kayunga'!J14,'22.8 Kaangulumira-Kayunga'!J14,'23.8 Kangulumira-Kayunga'!J14,'24.8 Kangulumira-Kayunga'!J14,'25.8 Kangulumira-Kayunga'!J14)</f>
        <v>0.2857142857142857</v>
      </c>
      <c r="K14" s="49">
        <f>AVERAGE('19.8 Kangulumira-Kayunga'!K14,'21.8 Kangulumira-Kayunga'!K14,'20.8 Kangulumira-Kayunga'!K14,'22.8 Kaangulumira-Kayunga'!K14,'23.8 Kangulumira-Kayunga'!K14,'24.8 Kangulumira-Kayunga'!K14,'25.8 Kangulumira-Kayunga'!K14)</f>
        <v>0.14285714285714285</v>
      </c>
      <c r="L14" s="49">
        <f>AVERAGE('19.8 Kangulumira-Kayunga'!L14,'21.8 Kangulumira-Kayunga'!L14,'20.8 Kangulumira-Kayunga'!L14,'22.8 Kaangulumira-Kayunga'!L14,'23.8 Kangulumira-Kayunga'!L14,'24.8 Kangulumira-Kayunga'!L14,'25.8 Kangulumira-Kayunga'!L14)</f>
        <v>1</v>
      </c>
      <c r="M14" s="49">
        <f>AVERAGE('19.8 Kangulumira-Kayunga'!M14,'21.8 Kangulumira-Kayunga'!M14,'20.8 Kangulumira-Kayunga'!M14,'22.8 Kaangulumira-Kayunga'!M14,'23.8 Kangulumira-Kayunga'!M14,'24.8 Kangulumira-Kayunga'!M14,'25.8 Kangulumira-Kayunga'!M14)</f>
        <v>22.857142857142858</v>
      </c>
      <c r="N14" s="49">
        <f>AVERAGE('19.8 Kangulumira-Kayunga'!N14,'21.8 Kangulumira-Kayunga'!N14,'20.8 Kangulumira-Kayunga'!N14,'22.8 Kaangulumira-Kayunga'!N14,'23.8 Kangulumira-Kayunga'!N14,'24.8 Kangulumira-Kayunga'!N14,'25.8 Kangulumira-Kayunga'!N14)</f>
        <v>0</v>
      </c>
      <c r="O14" s="15">
        <f t="shared" si="0"/>
        <v>11.714285714285714</v>
      </c>
      <c r="P14" s="15">
        <f t="shared" si="1"/>
        <v>34.571428571428569</v>
      </c>
      <c r="R14" s="1" t="s">
        <v>10</v>
      </c>
      <c r="S14" s="17">
        <f t="shared" ref="S14:AF14" si="6">SUM(C26:C29)</f>
        <v>20</v>
      </c>
      <c r="T14" s="17">
        <f t="shared" si="6"/>
        <v>6.5142857142857151</v>
      </c>
      <c r="U14" s="17">
        <f t="shared" si="6"/>
        <v>9.7714285714285722</v>
      </c>
      <c r="V14" s="17">
        <f t="shared" si="6"/>
        <v>16.857142857142858</v>
      </c>
      <c r="W14" s="17">
        <f t="shared" si="6"/>
        <v>1.7142857142857142</v>
      </c>
      <c r="X14" s="17">
        <f t="shared" si="6"/>
        <v>0.42857142857142855</v>
      </c>
      <c r="Y14" s="17">
        <f t="shared" si="6"/>
        <v>13.428571428571429</v>
      </c>
      <c r="Z14" s="17">
        <f t="shared" si="6"/>
        <v>1.5714285714285712</v>
      </c>
      <c r="AA14" s="17">
        <f t="shared" si="6"/>
        <v>1.9999999999999998</v>
      </c>
      <c r="AB14" s="17">
        <f t="shared" si="6"/>
        <v>1.2857142857142856</v>
      </c>
      <c r="AC14" s="17">
        <f t="shared" si="6"/>
        <v>99.857142857142861</v>
      </c>
      <c r="AD14" s="17">
        <f t="shared" si="6"/>
        <v>0</v>
      </c>
      <c r="AE14" s="31">
        <f t="shared" si="6"/>
        <v>73.571428571428569</v>
      </c>
      <c r="AF14" s="31">
        <f t="shared" si="6"/>
        <v>173.42857142857142</v>
      </c>
    </row>
    <row r="15" spans="2:32" ht="23.1" customHeight="1" x14ac:dyDescent="0.25">
      <c r="B15" s="23" t="s">
        <v>42</v>
      </c>
      <c r="C15" s="49">
        <f>AVERAGE('19.8 Kangulumira-Kayunga'!C15,'21.8 Kangulumira-Kayunga'!C15,'20.8 Kangulumira-Kayunga'!C15,'22.8 Kaangulumira-Kayunga'!C15,'23.8 Kangulumira-Kayunga'!C15,'24.8 Kangulumira-Kayunga'!C15,'25.8 Kangulumira-Kayunga'!C15)</f>
        <v>3.8571428571428572</v>
      </c>
      <c r="D15" s="49">
        <f>0.4*(AVERAGE('19.8 Kangulumira-Kayunga'!E15,'21.8 Kangulumira-Kayunga'!E15,'20.8 Kangulumira-Kayunga'!E15,'22.8 Kaangulumira-Kayunga'!E15,'23.8 Kangulumira-Kayunga'!E15,'24.8 Kangulumira-Kayunga'!E15,'25.8 Kangulumira-Kayunga'!E15))</f>
        <v>1.0285714285714287</v>
      </c>
      <c r="E15" s="49">
        <f>0.6*(AVERAGE('19.8 Kangulumira-Kayunga'!E15,'21.8 Kangulumira-Kayunga'!E15,'20.8 Kangulumira-Kayunga'!E15,'22.8 Kaangulumira-Kayunga'!E15,'23.8 Kangulumira-Kayunga'!E15,'24.8 Kangulumira-Kayunga'!E15,'25.8 Kangulumira-Kayunga'!E15))</f>
        <v>1.5428571428571429</v>
      </c>
      <c r="F15" s="49">
        <f>AVERAGE('19.8 Kangulumira-Kayunga'!F15,'21.8 Kangulumira-Kayunga'!F15,'20.8 Kangulumira-Kayunga'!F15,'22.8 Kaangulumira-Kayunga'!F15,'23.8 Kangulumira-Kayunga'!F15,'24.8 Kangulumira-Kayunga'!F15,'25.8 Kangulumira-Kayunga'!F15)</f>
        <v>2.2857142857142856</v>
      </c>
      <c r="G15" s="49">
        <f>AVERAGE('19.8 Kangulumira-Kayunga'!G15,'21.8 Kangulumira-Kayunga'!G15,'20.8 Kangulumira-Kayunga'!G15,'22.8 Kaangulumira-Kayunga'!G15,'23.8 Kangulumira-Kayunga'!G15,'24.8 Kangulumira-Kayunga'!G15,'25.8 Kangulumira-Kayunga'!G15)</f>
        <v>0.2857142857142857</v>
      </c>
      <c r="H15" s="49">
        <f>AVERAGE('19.8 Kangulumira-Kayunga'!H15,'21.8 Kangulumira-Kayunga'!H15,'20.8 Kangulumira-Kayunga'!H15,'22.8 Kaangulumira-Kayunga'!H15,'23.8 Kangulumira-Kayunga'!H15,'24.8 Kangulumira-Kayunga'!H15,'25.8 Kangulumira-Kayunga'!H15)</f>
        <v>0.2857142857142857</v>
      </c>
      <c r="I15" s="49">
        <f>AVERAGE('19.8 Kangulumira-Kayunga'!I15,'21.8 Kangulumira-Kayunga'!I15,'20.8 Kangulumira-Kayunga'!I15,'22.8 Kaangulumira-Kayunga'!I15,'23.8 Kangulumira-Kayunga'!I15,'24.8 Kangulumira-Kayunga'!I15,'25.8 Kangulumira-Kayunga'!I15)</f>
        <v>1.7142857142857142</v>
      </c>
      <c r="J15" s="49">
        <f>AVERAGE('19.8 Kangulumira-Kayunga'!J15,'21.8 Kangulumira-Kayunga'!J15,'20.8 Kangulumira-Kayunga'!J15,'22.8 Kaangulumira-Kayunga'!J15,'23.8 Kangulumira-Kayunga'!J15,'24.8 Kangulumira-Kayunga'!J15,'25.8 Kangulumira-Kayunga'!J15)</f>
        <v>0.14285714285714285</v>
      </c>
      <c r="K15" s="49">
        <f>AVERAGE('19.8 Kangulumira-Kayunga'!K15,'21.8 Kangulumira-Kayunga'!K15,'20.8 Kangulumira-Kayunga'!K15,'22.8 Kaangulumira-Kayunga'!K15,'23.8 Kangulumira-Kayunga'!K15,'24.8 Kangulumira-Kayunga'!K15,'25.8 Kangulumira-Kayunga'!K15)</f>
        <v>0.14285714285714285</v>
      </c>
      <c r="L15" s="49">
        <f>AVERAGE('19.8 Kangulumira-Kayunga'!L15,'21.8 Kangulumira-Kayunga'!L15,'20.8 Kangulumira-Kayunga'!L15,'22.8 Kaangulumira-Kayunga'!L15,'23.8 Kangulumira-Kayunga'!L15,'24.8 Kangulumira-Kayunga'!L15,'25.8 Kangulumira-Kayunga'!L15)</f>
        <v>0</v>
      </c>
      <c r="M15" s="49">
        <f>AVERAGE('19.8 Kangulumira-Kayunga'!M15,'21.8 Kangulumira-Kayunga'!M15,'20.8 Kangulumira-Kayunga'!M15,'22.8 Kaangulumira-Kayunga'!M15,'23.8 Kangulumira-Kayunga'!M15,'24.8 Kangulumira-Kayunga'!M15,'25.8 Kangulumira-Kayunga'!M15)</f>
        <v>24.714285714285715</v>
      </c>
      <c r="N15" s="49">
        <f>AVERAGE('19.8 Kangulumira-Kayunga'!N15,'21.8 Kangulumira-Kayunga'!N15,'20.8 Kangulumira-Kayunga'!N15,'22.8 Kaangulumira-Kayunga'!N15,'23.8 Kangulumira-Kayunga'!N15,'24.8 Kangulumira-Kayunga'!N15,'25.8 Kangulumira-Kayunga'!N15)</f>
        <v>0</v>
      </c>
      <c r="O15" s="15">
        <f t="shared" si="0"/>
        <v>11.285714285714286</v>
      </c>
      <c r="P15" s="15">
        <f t="shared" si="1"/>
        <v>36</v>
      </c>
      <c r="R15" s="1" t="s">
        <v>11</v>
      </c>
      <c r="S15" s="17">
        <f t="shared" ref="S15:AF15" si="7">SUM(C30:C33)</f>
        <v>21.142857142857142</v>
      </c>
      <c r="T15" s="17">
        <f t="shared" si="7"/>
        <v>6.7428571428571429</v>
      </c>
      <c r="U15" s="17">
        <f t="shared" si="7"/>
        <v>10.114285714285714</v>
      </c>
      <c r="V15" s="17">
        <f t="shared" si="7"/>
        <v>17.142857142857142</v>
      </c>
      <c r="W15" s="17">
        <f t="shared" si="7"/>
        <v>1.1428571428571428</v>
      </c>
      <c r="X15" s="17">
        <f t="shared" si="7"/>
        <v>0.14285714285714285</v>
      </c>
      <c r="Y15" s="17">
        <f t="shared" si="7"/>
        <v>13.285714285714285</v>
      </c>
      <c r="Z15" s="17">
        <f t="shared" si="7"/>
        <v>1</v>
      </c>
      <c r="AA15" s="17">
        <f t="shared" si="7"/>
        <v>1.4285714285714284</v>
      </c>
      <c r="AB15" s="17">
        <f t="shared" si="7"/>
        <v>0.8571428571428571</v>
      </c>
      <c r="AC15" s="17">
        <f t="shared" si="7"/>
        <v>104.42857142857143</v>
      </c>
      <c r="AD15" s="17">
        <f t="shared" si="7"/>
        <v>0</v>
      </c>
      <c r="AE15" s="31">
        <f t="shared" si="7"/>
        <v>73</v>
      </c>
      <c r="AF15" s="31">
        <f t="shared" si="7"/>
        <v>177.42857142857142</v>
      </c>
    </row>
    <row r="16" spans="2:32" ht="23.1" customHeight="1" x14ac:dyDescent="0.25">
      <c r="B16" s="23" t="s">
        <v>43</v>
      </c>
      <c r="C16" s="49">
        <f>AVERAGE('19.8 Kangulumira-Kayunga'!C16,'21.8 Kangulumira-Kayunga'!C16,'20.8 Kangulumira-Kayunga'!C16,'22.8 Kaangulumira-Kayunga'!C16,'23.8 Kangulumira-Kayunga'!C16,'24.8 Kangulumira-Kayunga'!C16,'25.8 Kangulumira-Kayunga'!C16)</f>
        <v>4.7142857142857144</v>
      </c>
      <c r="D16" s="49">
        <f>0.4*(AVERAGE('19.8 Kangulumira-Kayunga'!E16,'21.8 Kangulumira-Kayunga'!E16,'20.8 Kangulumira-Kayunga'!E16,'22.8 Kaangulumira-Kayunga'!E16,'23.8 Kangulumira-Kayunga'!E16,'24.8 Kangulumira-Kayunga'!E16,'25.8 Kangulumira-Kayunga'!E16))</f>
        <v>1.2571428571428571</v>
      </c>
      <c r="E16" s="49">
        <f>0.6*(AVERAGE('19.8 Kangulumira-Kayunga'!E16,'21.8 Kangulumira-Kayunga'!E16,'20.8 Kangulumira-Kayunga'!E16,'22.8 Kaangulumira-Kayunga'!E16,'23.8 Kangulumira-Kayunga'!E16,'24.8 Kangulumira-Kayunga'!E16,'25.8 Kangulumira-Kayunga'!E16))</f>
        <v>1.8857142857142857</v>
      </c>
      <c r="F16" s="49">
        <f>AVERAGE('19.8 Kangulumira-Kayunga'!F16,'21.8 Kangulumira-Kayunga'!F16,'20.8 Kangulumira-Kayunga'!F16,'22.8 Kaangulumira-Kayunga'!F16,'23.8 Kangulumira-Kayunga'!F16,'24.8 Kangulumira-Kayunga'!F16,'25.8 Kangulumira-Kayunga'!F16)</f>
        <v>4.5714285714285712</v>
      </c>
      <c r="G16" s="49">
        <f>AVERAGE('19.8 Kangulumira-Kayunga'!G16,'21.8 Kangulumira-Kayunga'!G16,'20.8 Kangulumira-Kayunga'!G16,'22.8 Kaangulumira-Kayunga'!G16,'23.8 Kangulumira-Kayunga'!G16,'24.8 Kangulumira-Kayunga'!G16,'25.8 Kangulumira-Kayunga'!G16)</f>
        <v>0</v>
      </c>
      <c r="H16" s="49">
        <f>AVERAGE('19.8 Kangulumira-Kayunga'!H16,'21.8 Kangulumira-Kayunga'!H16,'20.8 Kangulumira-Kayunga'!H16,'22.8 Kaangulumira-Kayunga'!H16,'23.8 Kangulumira-Kayunga'!H16,'24.8 Kangulumira-Kayunga'!H16,'25.8 Kangulumira-Kayunga'!H16)</f>
        <v>0</v>
      </c>
      <c r="I16" s="49">
        <f>AVERAGE('19.8 Kangulumira-Kayunga'!I16,'21.8 Kangulumira-Kayunga'!I16,'20.8 Kangulumira-Kayunga'!I16,'22.8 Kaangulumira-Kayunga'!I16,'23.8 Kangulumira-Kayunga'!I16,'24.8 Kangulumira-Kayunga'!I16,'25.8 Kangulumira-Kayunga'!I16)</f>
        <v>2.8571428571428572</v>
      </c>
      <c r="J16" s="49">
        <f>AVERAGE('19.8 Kangulumira-Kayunga'!J16,'21.8 Kangulumira-Kayunga'!J16,'20.8 Kangulumira-Kayunga'!J16,'22.8 Kaangulumira-Kayunga'!J16,'23.8 Kangulumira-Kayunga'!J16,'24.8 Kangulumira-Kayunga'!J16,'25.8 Kangulumira-Kayunga'!J16)</f>
        <v>1.1428571428571428</v>
      </c>
      <c r="K16" s="49">
        <f>AVERAGE('19.8 Kangulumira-Kayunga'!K16,'21.8 Kangulumira-Kayunga'!K16,'20.8 Kangulumira-Kayunga'!K16,'22.8 Kaangulumira-Kayunga'!K16,'23.8 Kangulumira-Kayunga'!K16,'24.8 Kangulumira-Kayunga'!K16,'25.8 Kangulumira-Kayunga'!K16)</f>
        <v>0.42857142857142855</v>
      </c>
      <c r="L16" s="49">
        <f>AVERAGE('19.8 Kangulumira-Kayunga'!L16,'21.8 Kangulumira-Kayunga'!L16,'20.8 Kangulumira-Kayunga'!L16,'22.8 Kaangulumira-Kayunga'!L16,'23.8 Kangulumira-Kayunga'!L16,'24.8 Kangulumira-Kayunga'!L16,'25.8 Kangulumira-Kayunga'!L16)</f>
        <v>0.14285714285714285</v>
      </c>
      <c r="M16" s="49">
        <f>AVERAGE('19.8 Kangulumira-Kayunga'!M16,'21.8 Kangulumira-Kayunga'!M16,'20.8 Kangulumira-Kayunga'!M16,'22.8 Kaangulumira-Kayunga'!M16,'23.8 Kangulumira-Kayunga'!M16,'24.8 Kangulumira-Kayunga'!M16,'25.8 Kangulumira-Kayunga'!M16)</f>
        <v>18.428571428571427</v>
      </c>
      <c r="N16" s="49">
        <f>AVERAGE('19.8 Kangulumira-Kayunga'!N16,'21.8 Kangulumira-Kayunga'!N16,'20.8 Kangulumira-Kayunga'!N16,'22.8 Kaangulumira-Kayunga'!N16,'23.8 Kangulumira-Kayunga'!N16,'24.8 Kangulumira-Kayunga'!N16,'25.8 Kangulumira-Kayunga'!N16)</f>
        <v>0</v>
      </c>
      <c r="O16" s="15">
        <f t="shared" si="0"/>
        <v>17</v>
      </c>
      <c r="P16" s="15">
        <f t="shared" si="1"/>
        <v>35.428571428571431</v>
      </c>
      <c r="R16" s="1" t="s">
        <v>12</v>
      </c>
      <c r="S16" s="17">
        <f t="shared" ref="S16:AF16" si="8">SUM(C34:C37)</f>
        <v>19.857142857142858</v>
      </c>
      <c r="T16" s="17">
        <f t="shared" si="8"/>
        <v>6.6857142857142859</v>
      </c>
      <c r="U16" s="17">
        <f t="shared" si="8"/>
        <v>10.028571428571428</v>
      </c>
      <c r="V16" s="17">
        <f t="shared" si="8"/>
        <v>16</v>
      </c>
      <c r="W16" s="17">
        <f t="shared" si="8"/>
        <v>0.5714285714285714</v>
      </c>
      <c r="X16" s="17">
        <f t="shared" si="8"/>
        <v>0.5714285714285714</v>
      </c>
      <c r="Y16" s="17">
        <f t="shared" si="8"/>
        <v>13.571428571428573</v>
      </c>
      <c r="Z16" s="17">
        <f t="shared" si="8"/>
        <v>1.2857142857142856</v>
      </c>
      <c r="AA16" s="17">
        <f t="shared" si="8"/>
        <v>1.5714285714285712</v>
      </c>
      <c r="AB16" s="17">
        <f t="shared" si="8"/>
        <v>0.5714285714285714</v>
      </c>
      <c r="AC16" s="17">
        <f t="shared" si="8"/>
        <v>101.57142857142858</v>
      </c>
      <c r="AD16" s="17">
        <f t="shared" si="8"/>
        <v>0</v>
      </c>
      <c r="AE16" s="31">
        <f t="shared" si="8"/>
        <v>70.714285714285708</v>
      </c>
      <c r="AF16" s="31">
        <f t="shared" si="8"/>
        <v>172.28571428571428</v>
      </c>
    </row>
    <row r="17" spans="2:32" ht="23.1" customHeight="1" x14ac:dyDescent="0.25">
      <c r="B17" s="23" t="s">
        <v>44</v>
      </c>
      <c r="C17" s="49">
        <f>AVERAGE('19.8 Kangulumira-Kayunga'!C17,'21.8 Kangulumira-Kayunga'!C17,'20.8 Kangulumira-Kayunga'!C17,'22.8 Kaangulumira-Kayunga'!C17,'23.8 Kangulumira-Kayunga'!C17,'24.8 Kangulumira-Kayunga'!C17,'25.8 Kangulumira-Kayunga'!C17)</f>
        <v>4</v>
      </c>
      <c r="D17" s="49">
        <f>0.4*(AVERAGE('19.8 Kangulumira-Kayunga'!E17,'21.8 Kangulumira-Kayunga'!E17,'20.8 Kangulumira-Kayunga'!E17,'22.8 Kaangulumira-Kayunga'!E17,'23.8 Kangulumira-Kayunga'!E17,'24.8 Kangulumira-Kayunga'!E17,'25.8 Kangulumira-Kayunga'!E17))</f>
        <v>1.142857142857143</v>
      </c>
      <c r="E17" s="49">
        <f>0.6*(AVERAGE('19.8 Kangulumira-Kayunga'!E17,'21.8 Kangulumira-Kayunga'!E17,'20.8 Kangulumira-Kayunga'!E17,'22.8 Kaangulumira-Kayunga'!E17,'23.8 Kangulumira-Kayunga'!E17,'24.8 Kangulumira-Kayunga'!E17,'25.8 Kangulumira-Kayunga'!E17))</f>
        <v>1.7142857142857142</v>
      </c>
      <c r="F17" s="49">
        <f>AVERAGE('19.8 Kangulumira-Kayunga'!F17,'21.8 Kangulumira-Kayunga'!F17,'20.8 Kangulumira-Kayunga'!F17,'22.8 Kaangulumira-Kayunga'!F17,'23.8 Kangulumira-Kayunga'!F17,'24.8 Kangulumira-Kayunga'!F17,'25.8 Kangulumira-Kayunga'!F17)</f>
        <v>2.5714285714285716</v>
      </c>
      <c r="G17" s="49">
        <f>AVERAGE('19.8 Kangulumira-Kayunga'!G17,'21.8 Kangulumira-Kayunga'!G17,'20.8 Kangulumira-Kayunga'!G17,'22.8 Kaangulumira-Kayunga'!G17,'23.8 Kangulumira-Kayunga'!G17,'24.8 Kangulumira-Kayunga'!G17,'25.8 Kangulumira-Kayunga'!G17)</f>
        <v>0</v>
      </c>
      <c r="H17" s="49">
        <f>AVERAGE('19.8 Kangulumira-Kayunga'!H17,'21.8 Kangulumira-Kayunga'!H17,'20.8 Kangulumira-Kayunga'!H17,'22.8 Kaangulumira-Kayunga'!H17,'23.8 Kangulumira-Kayunga'!H17,'24.8 Kangulumira-Kayunga'!H17,'25.8 Kangulumira-Kayunga'!H17)</f>
        <v>0.14285714285714285</v>
      </c>
      <c r="I17" s="49">
        <f>AVERAGE('19.8 Kangulumira-Kayunga'!I17,'21.8 Kangulumira-Kayunga'!I17,'20.8 Kangulumira-Kayunga'!I17,'22.8 Kaangulumira-Kayunga'!I17,'23.8 Kangulumira-Kayunga'!I17,'24.8 Kangulumira-Kayunga'!I17,'25.8 Kangulumira-Kayunga'!I17)</f>
        <v>2</v>
      </c>
      <c r="J17" s="49">
        <f>AVERAGE('19.8 Kangulumira-Kayunga'!J17,'21.8 Kangulumira-Kayunga'!J17,'20.8 Kangulumira-Kayunga'!J17,'22.8 Kaangulumira-Kayunga'!J17,'23.8 Kangulumira-Kayunga'!J17,'24.8 Kangulumira-Kayunga'!J17,'25.8 Kangulumira-Kayunga'!J17)</f>
        <v>0.42857142857142855</v>
      </c>
      <c r="K17" s="49">
        <f>AVERAGE('19.8 Kangulumira-Kayunga'!K17,'21.8 Kangulumira-Kayunga'!K17,'20.8 Kangulumira-Kayunga'!K17,'22.8 Kaangulumira-Kayunga'!K17,'23.8 Kangulumira-Kayunga'!K17,'24.8 Kangulumira-Kayunga'!K17,'25.8 Kangulumira-Kayunga'!K17)</f>
        <v>0.14285714285714285</v>
      </c>
      <c r="L17" s="49">
        <f>AVERAGE('19.8 Kangulumira-Kayunga'!L17,'21.8 Kangulumira-Kayunga'!L17,'20.8 Kangulumira-Kayunga'!L17,'22.8 Kaangulumira-Kayunga'!L17,'23.8 Kangulumira-Kayunga'!L17,'24.8 Kangulumira-Kayunga'!L17,'25.8 Kangulumira-Kayunga'!L17)</f>
        <v>0.14285714285714285</v>
      </c>
      <c r="M17" s="49">
        <f>AVERAGE('19.8 Kangulumira-Kayunga'!M17,'21.8 Kangulumira-Kayunga'!M17,'20.8 Kangulumira-Kayunga'!M17,'22.8 Kaangulumira-Kayunga'!M17,'23.8 Kangulumira-Kayunga'!M17,'24.8 Kangulumira-Kayunga'!M17,'25.8 Kangulumira-Kayunga'!M17)</f>
        <v>21.571428571428573</v>
      </c>
      <c r="N17" s="49">
        <f>AVERAGE('19.8 Kangulumira-Kayunga'!N17,'21.8 Kangulumira-Kayunga'!N17,'20.8 Kangulumira-Kayunga'!N17,'22.8 Kaangulumira-Kayunga'!N17,'23.8 Kangulumira-Kayunga'!N17,'24.8 Kangulumira-Kayunga'!N17,'25.8 Kangulumira-Kayunga'!N17)</f>
        <v>0</v>
      </c>
      <c r="O17" s="15">
        <f t="shared" si="0"/>
        <v>12.285714285714285</v>
      </c>
      <c r="P17" s="15">
        <f t="shared" si="1"/>
        <v>33.857142857142861</v>
      </c>
      <c r="R17" s="1" t="s">
        <v>13</v>
      </c>
      <c r="S17" s="17">
        <f t="shared" ref="S17:AF17" si="9">SUM(C38:C41)</f>
        <v>25.285714285714285</v>
      </c>
      <c r="T17" s="17">
        <f t="shared" si="9"/>
        <v>9.3142857142857149</v>
      </c>
      <c r="U17" s="17">
        <f t="shared" si="9"/>
        <v>13.971428571428572</v>
      </c>
      <c r="V17" s="17">
        <f t="shared" si="9"/>
        <v>15</v>
      </c>
      <c r="W17" s="17">
        <f t="shared" si="9"/>
        <v>2.2857142857142856</v>
      </c>
      <c r="X17" s="17">
        <f t="shared" si="9"/>
        <v>0.5714285714285714</v>
      </c>
      <c r="Y17" s="17">
        <f t="shared" si="9"/>
        <v>14.857142857142858</v>
      </c>
      <c r="Z17" s="17">
        <f t="shared" si="9"/>
        <v>0.71428571428571419</v>
      </c>
      <c r="AA17" s="17">
        <f t="shared" si="9"/>
        <v>1.8571428571428572</v>
      </c>
      <c r="AB17" s="17">
        <f t="shared" si="9"/>
        <v>0.99999999999999989</v>
      </c>
      <c r="AC17" s="17">
        <f t="shared" si="9"/>
        <v>100.85714285714286</v>
      </c>
      <c r="AD17" s="17">
        <f t="shared" si="9"/>
        <v>0.14285714285714285</v>
      </c>
      <c r="AE17" s="31">
        <f t="shared" si="9"/>
        <v>85</v>
      </c>
      <c r="AF17" s="31">
        <f t="shared" si="9"/>
        <v>185.85714285714283</v>
      </c>
    </row>
    <row r="18" spans="2:32" ht="23.1" customHeight="1" x14ac:dyDescent="0.25">
      <c r="B18" s="23" t="s">
        <v>45</v>
      </c>
      <c r="C18" s="49">
        <f>AVERAGE('19.8 Kangulumira-Kayunga'!C18,'21.8 Kangulumira-Kayunga'!C18,'20.8 Kangulumira-Kayunga'!C18,'22.8 Kaangulumira-Kayunga'!C18,'23.8 Kangulumira-Kayunga'!C18,'24.8 Kangulumira-Kayunga'!C18,'25.8 Kangulumira-Kayunga'!C18)</f>
        <v>4.7142857142857144</v>
      </c>
      <c r="D18" s="49">
        <f>0.4*(AVERAGE('19.8 Kangulumira-Kayunga'!E18,'21.8 Kangulumira-Kayunga'!E18,'20.8 Kangulumira-Kayunga'!E18,'22.8 Kaangulumira-Kayunga'!E18,'23.8 Kangulumira-Kayunga'!E18,'24.8 Kangulumira-Kayunga'!E18,'25.8 Kangulumira-Kayunga'!E18))</f>
        <v>1.5428571428571429</v>
      </c>
      <c r="E18" s="49">
        <f>0.6*(AVERAGE('19.8 Kangulumira-Kayunga'!E18,'21.8 Kangulumira-Kayunga'!E18,'20.8 Kangulumira-Kayunga'!E18,'22.8 Kaangulumira-Kayunga'!E18,'23.8 Kangulumira-Kayunga'!E18,'24.8 Kangulumira-Kayunga'!E18,'25.8 Kangulumira-Kayunga'!E18))</f>
        <v>2.3142857142857141</v>
      </c>
      <c r="F18" s="49">
        <f>AVERAGE('19.8 Kangulumira-Kayunga'!F18,'21.8 Kangulumira-Kayunga'!F18,'20.8 Kangulumira-Kayunga'!F18,'22.8 Kaangulumira-Kayunga'!F18,'23.8 Kangulumira-Kayunga'!F18,'24.8 Kangulumira-Kayunga'!F18,'25.8 Kangulumira-Kayunga'!F18)</f>
        <v>4</v>
      </c>
      <c r="G18" s="49">
        <f>AVERAGE('19.8 Kangulumira-Kayunga'!G18,'21.8 Kangulumira-Kayunga'!G18,'20.8 Kangulumira-Kayunga'!G18,'22.8 Kaangulumira-Kayunga'!G18,'23.8 Kangulumira-Kayunga'!G18,'24.8 Kangulumira-Kayunga'!G18,'25.8 Kangulumira-Kayunga'!G18)</f>
        <v>0.14285714285714285</v>
      </c>
      <c r="H18" s="49">
        <f>AVERAGE('19.8 Kangulumira-Kayunga'!H18,'21.8 Kangulumira-Kayunga'!H18,'20.8 Kangulumira-Kayunga'!H18,'22.8 Kaangulumira-Kayunga'!H18,'23.8 Kangulumira-Kayunga'!H18,'24.8 Kangulumira-Kayunga'!H18,'25.8 Kangulumira-Kayunga'!H18)</f>
        <v>0</v>
      </c>
      <c r="I18" s="49">
        <f>AVERAGE('19.8 Kangulumira-Kayunga'!I18,'21.8 Kangulumira-Kayunga'!I18,'20.8 Kangulumira-Kayunga'!I18,'22.8 Kaangulumira-Kayunga'!I18,'23.8 Kangulumira-Kayunga'!I18,'24.8 Kangulumira-Kayunga'!I18,'25.8 Kangulumira-Kayunga'!I18)</f>
        <v>1.4285714285714286</v>
      </c>
      <c r="J18" s="49">
        <f>AVERAGE('19.8 Kangulumira-Kayunga'!J18,'21.8 Kangulumira-Kayunga'!J18,'20.8 Kangulumira-Kayunga'!J18,'22.8 Kaangulumira-Kayunga'!J18,'23.8 Kangulumira-Kayunga'!J18,'24.8 Kangulumira-Kayunga'!J18,'25.8 Kangulumira-Kayunga'!J18)</f>
        <v>0.42857142857142855</v>
      </c>
      <c r="K18" s="49">
        <f>AVERAGE('19.8 Kangulumira-Kayunga'!K18,'21.8 Kangulumira-Kayunga'!K18,'20.8 Kangulumira-Kayunga'!K18,'22.8 Kaangulumira-Kayunga'!K18,'23.8 Kangulumira-Kayunga'!K18,'24.8 Kangulumira-Kayunga'!K18,'25.8 Kangulumira-Kayunga'!K18)</f>
        <v>0</v>
      </c>
      <c r="L18" s="49">
        <f>AVERAGE('19.8 Kangulumira-Kayunga'!L18,'21.8 Kangulumira-Kayunga'!L18,'20.8 Kangulumira-Kayunga'!L18,'22.8 Kaangulumira-Kayunga'!L18,'23.8 Kangulumira-Kayunga'!L18,'24.8 Kangulumira-Kayunga'!L18,'25.8 Kangulumira-Kayunga'!L18)</f>
        <v>0.2857142857142857</v>
      </c>
      <c r="M18" s="49">
        <f>AVERAGE('19.8 Kangulumira-Kayunga'!M18,'21.8 Kangulumira-Kayunga'!M18,'20.8 Kangulumira-Kayunga'!M18,'22.8 Kaangulumira-Kayunga'!M18,'23.8 Kangulumira-Kayunga'!M18,'24.8 Kangulumira-Kayunga'!M18,'25.8 Kangulumira-Kayunga'!M18)</f>
        <v>24.428571428571427</v>
      </c>
      <c r="N18" s="49">
        <f>AVERAGE('19.8 Kangulumira-Kayunga'!N18,'21.8 Kangulumira-Kayunga'!N18,'20.8 Kangulumira-Kayunga'!N18,'22.8 Kaangulumira-Kayunga'!N18,'23.8 Kangulumira-Kayunga'!N18,'24.8 Kangulumira-Kayunga'!N18,'25.8 Kangulumira-Kayunga'!N18)</f>
        <v>0</v>
      </c>
      <c r="O18" s="15">
        <f t="shared" si="0"/>
        <v>14.857142857142858</v>
      </c>
      <c r="P18" s="15">
        <f t="shared" si="1"/>
        <v>39.285714285714285</v>
      </c>
      <c r="R18" s="1" t="s">
        <v>14</v>
      </c>
      <c r="S18" s="17">
        <f t="shared" ref="S18:AF18" si="10">SUM(C42:C45)</f>
        <v>26.714285714285715</v>
      </c>
      <c r="T18" s="17">
        <f t="shared" si="10"/>
        <v>12.228571428571428</v>
      </c>
      <c r="U18" s="17">
        <f t="shared" si="10"/>
        <v>18.342857142857142</v>
      </c>
      <c r="V18" s="17">
        <f t="shared" si="10"/>
        <v>16</v>
      </c>
      <c r="W18" s="17">
        <f t="shared" si="10"/>
        <v>0.85714285714285698</v>
      </c>
      <c r="X18" s="17">
        <f t="shared" si="10"/>
        <v>0.14285714285714285</v>
      </c>
      <c r="Y18" s="17">
        <f t="shared" si="10"/>
        <v>12.714285714285715</v>
      </c>
      <c r="Z18" s="17">
        <f t="shared" si="10"/>
        <v>1</v>
      </c>
      <c r="AA18" s="17">
        <f t="shared" si="10"/>
        <v>1.2857142857142856</v>
      </c>
      <c r="AB18" s="17">
        <f t="shared" si="10"/>
        <v>1.1428571428571428</v>
      </c>
      <c r="AC18" s="17">
        <f t="shared" si="10"/>
        <v>96.714285714285722</v>
      </c>
      <c r="AD18" s="17">
        <f t="shared" si="10"/>
        <v>0.14285714285714285</v>
      </c>
      <c r="AE18" s="31">
        <f t="shared" si="10"/>
        <v>90.571428571428555</v>
      </c>
      <c r="AF18" s="31">
        <f t="shared" si="10"/>
        <v>187.28571428571431</v>
      </c>
    </row>
    <row r="19" spans="2:32" ht="23.1" customHeight="1" x14ac:dyDescent="0.25">
      <c r="B19" s="23" t="s">
        <v>46</v>
      </c>
      <c r="C19" s="49">
        <f>AVERAGE('19.8 Kangulumira-Kayunga'!C19,'21.8 Kangulumira-Kayunga'!C19,'20.8 Kangulumira-Kayunga'!C19,'22.8 Kaangulumira-Kayunga'!C19,'23.8 Kangulumira-Kayunga'!C19,'24.8 Kangulumira-Kayunga'!C19,'25.8 Kangulumira-Kayunga'!C19)</f>
        <v>3.7142857142857144</v>
      </c>
      <c r="D19" s="49">
        <f>0.4*(AVERAGE('19.8 Kangulumira-Kayunga'!E19,'21.8 Kangulumira-Kayunga'!E19,'20.8 Kangulumira-Kayunga'!E19,'22.8 Kaangulumira-Kayunga'!E19,'23.8 Kangulumira-Kayunga'!E19,'24.8 Kangulumira-Kayunga'!E19,'25.8 Kangulumira-Kayunga'!E19))</f>
        <v>1.8285714285714285</v>
      </c>
      <c r="E19" s="49">
        <f>0.6*(AVERAGE('19.8 Kangulumira-Kayunga'!E19,'21.8 Kangulumira-Kayunga'!E19,'20.8 Kangulumira-Kayunga'!E19,'22.8 Kaangulumira-Kayunga'!E19,'23.8 Kangulumira-Kayunga'!E19,'24.8 Kangulumira-Kayunga'!E19,'25.8 Kangulumira-Kayunga'!E19))</f>
        <v>2.7428571428571424</v>
      </c>
      <c r="F19" s="49">
        <f>AVERAGE('19.8 Kangulumira-Kayunga'!F19,'21.8 Kangulumira-Kayunga'!F19,'20.8 Kangulumira-Kayunga'!F19,'22.8 Kaangulumira-Kayunga'!F19,'23.8 Kangulumira-Kayunga'!F19,'24.8 Kangulumira-Kayunga'!F19,'25.8 Kangulumira-Kayunga'!F19)</f>
        <v>3.4285714285714284</v>
      </c>
      <c r="G19" s="49">
        <f>AVERAGE('19.8 Kangulumira-Kayunga'!G19,'21.8 Kangulumira-Kayunga'!G19,'20.8 Kangulumira-Kayunga'!G19,'22.8 Kaangulumira-Kayunga'!G19,'23.8 Kangulumira-Kayunga'!G19,'24.8 Kangulumira-Kayunga'!G19,'25.8 Kangulumira-Kayunga'!G19)</f>
        <v>0.2857142857142857</v>
      </c>
      <c r="H19" s="49">
        <f>AVERAGE('19.8 Kangulumira-Kayunga'!H19,'21.8 Kangulumira-Kayunga'!H19,'20.8 Kangulumira-Kayunga'!H19,'22.8 Kaangulumira-Kayunga'!H19,'23.8 Kangulumira-Kayunga'!H19,'24.8 Kangulumira-Kayunga'!H19,'25.8 Kangulumira-Kayunga'!H19)</f>
        <v>0.14285714285714285</v>
      </c>
      <c r="I19" s="49">
        <f>AVERAGE('19.8 Kangulumira-Kayunga'!I19,'21.8 Kangulumira-Kayunga'!I19,'20.8 Kangulumira-Kayunga'!I19,'22.8 Kaangulumira-Kayunga'!I19,'23.8 Kangulumira-Kayunga'!I19,'24.8 Kangulumira-Kayunga'!I19,'25.8 Kangulumira-Kayunga'!I19)</f>
        <v>1.8571428571428572</v>
      </c>
      <c r="J19" s="49">
        <f>AVERAGE('19.8 Kangulumira-Kayunga'!J19,'21.8 Kangulumira-Kayunga'!J19,'20.8 Kangulumira-Kayunga'!J19,'22.8 Kaangulumira-Kayunga'!J19,'23.8 Kangulumira-Kayunga'!J19,'24.8 Kangulumira-Kayunga'!J19,'25.8 Kangulumira-Kayunga'!J19)</f>
        <v>0.2857142857142857</v>
      </c>
      <c r="K19" s="49">
        <f>AVERAGE('19.8 Kangulumira-Kayunga'!K19,'21.8 Kangulumira-Kayunga'!K19,'20.8 Kangulumira-Kayunga'!K19,'22.8 Kaangulumira-Kayunga'!K19,'23.8 Kangulumira-Kayunga'!K19,'24.8 Kangulumira-Kayunga'!K19,'25.8 Kangulumira-Kayunga'!K19)</f>
        <v>0.2857142857142857</v>
      </c>
      <c r="L19" s="49">
        <f>AVERAGE('19.8 Kangulumira-Kayunga'!L19,'21.8 Kangulumira-Kayunga'!L19,'20.8 Kangulumira-Kayunga'!L19,'22.8 Kaangulumira-Kayunga'!L19,'23.8 Kangulumira-Kayunga'!L19,'24.8 Kangulumira-Kayunga'!L19,'25.8 Kangulumira-Kayunga'!L19)</f>
        <v>0.8571428571428571</v>
      </c>
      <c r="M19" s="49">
        <f>AVERAGE('19.8 Kangulumira-Kayunga'!M19,'21.8 Kangulumira-Kayunga'!M19,'20.8 Kangulumira-Kayunga'!M19,'22.8 Kaangulumira-Kayunga'!M19,'23.8 Kangulumira-Kayunga'!M19,'24.8 Kangulumira-Kayunga'!M19,'25.8 Kangulumira-Kayunga'!M19)</f>
        <v>20.428571428571427</v>
      </c>
      <c r="N19" s="49">
        <f>AVERAGE('19.8 Kangulumira-Kayunga'!N19,'21.8 Kangulumira-Kayunga'!N19,'20.8 Kangulumira-Kayunga'!N19,'22.8 Kaangulumira-Kayunga'!N19,'23.8 Kangulumira-Kayunga'!N19,'24.8 Kangulumira-Kayunga'!N19,'25.8 Kangulumira-Kayunga'!N19)</f>
        <v>0</v>
      </c>
      <c r="O19" s="15">
        <f t="shared" si="0"/>
        <v>15.428571428571431</v>
      </c>
      <c r="P19" s="15">
        <f t="shared" si="1"/>
        <v>35.857142857142861</v>
      </c>
      <c r="R19" s="1" t="s">
        <v>15</v>
      </c>
      <c r="S19" s="17">
        <f t="shared" ref="S19:AF19" si="11">SUM(C46:C49)</f>
        <v>27.142857142857142</v>
      </c>
      <c r="T19" s="17">
        <f t="shared" si="11"/>
        <v>10.628571428571428</v>
      </c>
      <c r="U19" s="17">
        <f t="shared" si="11"/>
        <v>15.942857142857141</v>
      </c>
      <c r="V19" s="17">
        <f t="shared" si="11"/>
        <v>15.142857142857142</v>
      </c>
      <c r="W19" s="17">
        <f t="shared" si="11"/>
        <v>0.5714285714285714</v>
      </c>
      <c r="X19" s="17">
        <f t="shared" si="11"/>
        <v>0</v>
      </c>
      <c r="Y19" s="17">
        <f t="shared" si="11"/>
        <v>15</v>
      </c>
      <c r="Z19" s="17">
        <f t="shared" si="11"/>
        <v>0.8571428571428571</v>
      </c>
      <c r="AA19" s="17">
        <f t="shared" si="11"/>
        <v>0.99999999999999989</v>
      </c>
      <c r="AB19" s="17">
        <f t="shared" si="11"/>
        <v>0.8571428571428571</v>
      </c>
      <c r="AC19" s="17">
        <f t="shared" si="11"/>
        <v>104.57142857142856</v>
      </c>
      <c r="AD19" s="17">
        <f t="shared" si="11"/>
        <v>0.14285714285714285</v>
      </c>
      <c r="AE19" s="31">
        <f t="shared" si="11"/>
        <v>87.285714285714278</v>
      </c>
      <c r="AF19" s="31">
        <f t="shared" si="11"/>
        <v>191.85714285714283</v>
      </c>
    </row>
    <row r="20" spans="2:32" ht="23.1" customHeight="1" x14ac:dyDescent="0.25">
      <c r="B20" s="23" t="s">
        <v>47</v>
      </c>
      <c r="C20" s="49">
        <f>AVERAGE('19.8 Kangulumira-Kayunga'!C20,'21.8 Kangulumira-Kayunga'!C20,'20.8 Kangulumira-Kayunga'!C20,'22.8 Kaangulumira-Kayunga'!C20,'23.8 Kangulumira-Kayunga'!C20,'24.8 Kangulumira-Kayunga'!C20,'25.8 Kangulumira-Kayunga'!C20)</f>
        <v>4.8571428571428568</v>
      </c>
      <c r="D20" s="49">
        <f>0.4*(AVERAGE('19.8 Kangulumira-Kayunga'!E20,'21.8 Kangulumira-Kayunga'!E20,'20.8 Kangulumira-Kayunga'!E20,'22.8 Kaangulumira-Kayunga'!E20,'23.8 Kangulumira-Kayunga'!E20,'24.8 Kangulumira-Kayunga'!E20,'25.8 Kangulumira-Kayunga'!E20))</f>
        <v>1.8285714285714285</v>
      </c>
      <c r="E20" s="49">
        <f>0.6*(AVERAGE('19.8 Kangulumira-Kayunga'!E20,'21.8 Kangulumira-Kayunga'!E20,'20.8 Kangulumira-Kayunga'!E20,'22.8 Kaangulumira-Kayunga'!E20,'23.8 Kangulumira-Kayunga'!E20,'24.8 Kangulumira-Kayunga'!E20,'25.8 Kangulumira-Kayunga'!E20))</f>
        <v>2.7428571428571424</v>
      </c>
      <c r="F20" s="49">
        <f>AVERAGE('19.8 Kangulumira-Kayunga'!F20,'21.8 Kangulumira-Kayunga'!F20,'20.8 Kangulumira-Kayunga'!F20,'22.8 Kaangulumira-Kayunga'!F20,'23.8 Kangulumira-Kayunga'!F20,'24.8 Kangulumira-Kayunga'!F20,'25.8 Kangulumira-Kayunga'!F20)</f>
        <v>2.5714285714285716</v>
      </c>
      <c r="G20" s="49">
        <f>AVERAGE('19.8 Kangulumira-Kayunga'!G20,'21.8 Kangulumira-Kayunga'!G20,'20.8 Kangulumira-Kayunga'!G20,'22.8 Kaangulumira-Kayunga'!G20,'23.8 Kangulumira-Kayunga'!G20,'24.8 Kangulumira-Kayunga'!G20,'25.8 Kangulumira-Kayunga'!G20)</f>
        <v>0.42857142857142855</v>
      </c>
      <c r="H20" s="49">
        <f>AVERAGE('19.8 Kangulumira-Kayunga'!H20,'21.8 Kangulumira-Kayunga'!H20,'20.8 Kangulumira-Kayunga'!H20,'22.8 Kaangulumira-Kayunga'!H20,'23.8 Kangulumira-Kayunga'!H20,'24.8 Kangulumira-Kayunga'!H20,'25.8 Kangulumira-Kayunga'!H20)</f>
        <v>0</v>
      </c>
      <c r="I20" s="49">
        <f>AVERAGE('19.8 Kangulumira-Kayunga'!I20,'21.8 Kangulumira-Kayunga'!I20,'20.8 Kangulumira-Kayunga'!I20,'22.8 Kaangulumira-Kayunga'!I20,'23.8 Kangulumira-Kayunga'!I20,'24.8 Kangulumira-Kayunga'!I20,'25.8 Kangulumira-Kayunga'!I20)</f>
        <v>1.4285714285714286</v>
      </c>
      <c r="J20" s="49">
        <f>AVERAGE('19.8 Kangulumira-Kayunga'!J20,'21.8 Kangulumira-Kayunga'!J20,'20.8 Kangulumira-Kayunga'!J20,'22.8 Kaangulumira-Kayunga'!J20,'23.8 Kangulumira-Kayunga'!J20,'24.8 Kangulumira-Kayunga'!J20,'25.8 Kangulumira-Kayunga'!J20)</f>
        <v>0.42857142857142855</v>
      </c>
      <c r="K20" s="49">
        <f>AVERAGE('19.8 Kangulumira-Kayunga'!K20,'21.8 Kangulumira-Kayunga'!K20,'20.8 Kangulumira-Kayunga'!K20,'22.8 Kaangulumira-Kayunga'!K20,'23.8 Kangulumira-Kayunga'!K20,'24.8 Kangulumira-Kayunga'!K20,'25.8 Kangulumira-Kayunga'!K20)</f>
        <v>0.42857142857142855</v>
      </c>
      <c r="L20" s="49">
        <f>AVERAGE('19.8 Kangulumira-Kayunga'!L20,'21.8 Kangulumira-Kayunga'!L20,'20.8 Kangulumira-Kayunga'!L20,'22.8 Kaangulumira-Kayunga'!L20,'23.8 Kangulumira-Kayunga'!L20,'24.8 Kangulumira-Kayunga'!L20,'25.8 Kangulumira-Kayunga'!L20)</f>
        <v>0</v>
      </c>
      <c r="M20" s="49">
        <f>AVERAGE('19.8 Kangulumira-Kayunga'!M20,'21.8 Kangulumira-Kayunga'!M20,'20.8 Kangulumira-Kayunga'!M20,'22.8 Kaangulumira-Kayunga'!M20,'23.8 Kangulumira-Kayunga'!M20,'24.8 Kangulumira-Kayunga'!M20,'25.8 Kangulumira-Kayunga'!M20)</f>
        <v>21.571428571428573</v>
      </c>
      <c r="N20" s="49">
        <f>AVERAGE('19.8 Kangulumira-Kayunga'!N20,'21.8 Kangulumira-Kayunga'!N20,'20.8 Kangulumira-Kayunga'!N20,'22.8 Kaangulumira-Kayunga'!N20,'23.8 Kangulumira-Kayunga'!N20,'24.8 Kangulumira-Kayunga'!N20,'25.8 Kangulumira-Kayunga'!N20)</f>
        <v>0.14285714285714285</v>
      </c>
      <c r="O20" s="15">
        <f t="shared" si="0"/>
        <v>14.857142857142856</v>
      </c>
      <c r="P20" s="15">
        <f t="shared" si="1"/>
        <v>36.428571428571431</v>
      </c>
      <c r="R20" s="1" t="s">
        <v>16</v>
      </c>
      <c r="S20" s="17">
        <f t="shared" ref="S20:AF20" si="12">SUM(C50:C53)</f>
        <v>25.857142857142854</v>
      </c>
      <c r="T20" s="17">
        <f t="shared" si="12"/>
        <v>12.62857142857143</v>
      </c>
      <c r="U20" s="17">
        <f t="shared" si="12"/>
        <v>18.942857142857143</v>
      </c>
      <c r="V20" s="17">
        <f t="shared" si="12"/>
        <v>16.571428571428569</v>
      </c>
      <c r="W20" s="17">
        <f t="shared" si="12"/>
        <v>1.2857142857142856</v>
      </c>
      <c r="X20" s="17">
        <f t="shared" si="12"/>
        <v>0.14285714285714285</v>
      </c>
      <c r="Y20" s="17">
        <f t="shared" si="12"/>
        <v>14.142857142857144</v>
      </c>
      <c r="Z20" s="17">
        <f t="shared" si="12"/>
        <v>2.2857142857142856</v>
      </c>
      <c r="AA20" s="17">
        <f t="shared" si="12"/>
        <v>1</v>
      </c>
      <c r="AB20" s="17">
        <f t="shared" si="12"/>
        <v>1</v>
      </c>
      <c r="AC20" s="17">
        <f t="shared" si="12"/>
        <v>120.85714285714286</v>
      </c>
      <c r="AD20" s="17">
        <f t="shared" si="12"/>
        <v>0</v>
      </c>
      <c r="AE20" s="31">
        <f t="shared" si="12"/>
        <v>93.857142857142861</v>
      </c>
      <c r="AF20" s="31">
        <f t="shared" si="12"/>
        <v>214.71428571428572</v>
      </c>
    </row>
    <row r="21" spans="2:32" ht="23.1" customHeight="1" x14ac:dyDescent="0.25">
      <c r="B21" s="23" t="s">
        <v>48</v>
      </c>
      <c r="C21" s="49">
        <f>AVERAGE('19.8 Kangulumira-Kayunga'!C21,'21.8 Kangulumira-Kayunga'!C21,'20.8 Kangulumira-Kayunga'!C21,'22.8 Kaangulumira-Kayunga'!C21,'23.8 Kangulumira-Kayunga'!C21,'24.8 Kangulumira-Kayunga'!C21,'25.8 Kangulumira-Kayunga'!C21)</f>
        <v>3.7142857142857144</v>
      </c>
      <c r="D21" s="49">
        <f>0.4*(AVERAGE('19.8 Kangulumira-Kayunga'!E21,'21.8 Kangulumira-Kayunga'!E21,'20.8 Kangulumira-Kayunga'!E21,'22.8 Kaangulumira-Kayunga'!E21,'23.8 Kangulumira-Kayunga'!E21,'24.8 Kangulumira-Kayunga'!E21,'25.8 Kangulumira-Kayunga'!E21))</f>
        <v>1.4285714285714288</v>
      </c>
      <c r="E21" s="49">
        <f>0.6*(AVERAGE('19.8 Kangulumira-Kayunga'!E21,'21.8 Kangulumira-Kayunga'!E21,'20.8 Kangulumira-Kayunga'!E21,'22.8 Kaangulumira-Kayunga'!E21,'23.8 Kangulumira-Kayunga'!E21,'24.8 Kangulumira-Kayunga'!E21,'25.8 Kangulumira-Kayunga'!E21))</f>
        <v>2.1428571428571428</v>
      </c>
      <c r="F21" s="49">
        <f>AVERAGE('19.8 Kangulumira-Kayunga'!F21,'21.8 Kangulumira-Kayunga'!F21,'20.8 Kangulumira-Kayunga'!F21,'22.8 Kaangulumira-Kayunga'!F21,'23.8 Kangulumira-Kayunga'!F21,'24.8 Kangulumira-Kayunga'!F21,'25.8 Kangulumira-Kayunga'!F21)</f>
        <v>3.7142857142857144</v>
      </c>
      <c r="G21" s="49">
        <f>AVERAGE('19.8 Kangulumira-Kayunga'!G21,'21.8 Kangulumira-Kayunga'!G21,'20.8 Kangulumira-Kayunga'!G21,'22.8 Kaangulumira-Kayunga'!G21,'23.8 Kangulumira-Kayunga'!G21,'24.8 Kangulumira-Kayunga'!G21,'25.8 Kangulumira-Kayunga'!G21)</f>
        <v>0.14285714285714285</v>
      </c>
      <c r="H21" s="49">
        <f>AVERAGE('19.8 Kangulumira-Kayunga'!H21,'21.8 Kangulumira-Kayunga'!H21,'20.8 Kangulumira-Kayunga'!H21,'22.8 Kaangulumira-Kayunga'!H21,'23.8 Kangulumira-Kayunga'!H21,'24.8 Kangulumira-Kayunga'!H21,'25.8 Kangulumira-Kayunga'!H21)</f>
        <v>0</v>
      </c>
      <c r="I21" s="49">
        <f>AVERAGE('19.8 Kangulumira-Kayunga'!I21,'21.8 Kangulumira-Kayunga'!I21,'20.8 Kangulumira-Kayunga'!I21,'22.8 Kaangulumira-Kayunga'!I21,'23.8 Kangulumira-Kayunga'!I21,'24.8 Kangulumira-Kayunga'!I21,'25.8 Kangulumira-Kayunga'!I21)</f>
        <v>3</v>
      </c>
      <c r="J21" s="49">
        <f>AVERAGE('19.8 Kangulumira-Kayunga'!J21,'21.8 Kangulumira-Kayunga'!J21,'20.8 Kangulumira-Kayunga'!J21,'22.8 Kaangulumira-Kayunga'!J21,'23.8 Kangulumira-Kayunga'!J21,'24.8 Kangulumira-Kayunga'!J21,'25.8 Kangulumira-Kayunga'!J21)</f>
        <v>0.2857142857142857</v>
      </c>
      <c r="K21" s="49">
        <f>AVERAGE('19.8 Kangulumira-Kayunga'!K21,'21.8 Kangulumira-Kayunga'!K21,'20.8 Kangulumira-Kayunga'!K21,'22.8 Kaangulumira-Kayunga'!K21,'23.8 Kangulumira-Kayunga'!K21,'24.8 Kangulumira-Kayunga'!K21,'25.8 Kangulumira-Kayunga'!K21)</f>
        <v>0.14285714285714285</v>
      </c>
      <c r="L21" s="49">
        <f>AVERAGE('19.8 Kangulumira-Kayunga'!L21,'21.8 Kangulumira-Kayunga'!L21,'20.8 Kangulumira-Kayunga'!L21,'22.8 Kaangulumira-Kayunga'!L21,'23.8 Kangulumira-Kayunga'!L21,'24.8 Kangulumira-Kayunga'!L21,'25.8 Kangulumira-Kayunga'!L21)</f>
        <v>0.2857142857142857</v>
      </c>
      <c r="M21" s="49">
        <f>AVERAGE('19.8 Kangulumira-Kayunga'!M21,'21.8 Kangulumira-Kayunga'!M21,'20.8 Kangulumira-Kayunga'!M21,'22.8 Kaangulumira-Kayunga'!M21,'23.8 Kangulumira-Kayunga'!M21,'24.8 Kangulumira-Kayunga'!M21,'25.8 Kangulumira-Kayunga'!M21)</f>
        <v>20.285714285714285</v>
      </c>
      <c r="N21" s="49">
        <f>AVERAGE('19.8 Kangulumira-Kayunga'!N21,'21.8 Kangulumira-Kayunga'!N21,'20.8 Kangulumira-Kayunga'!N21,'22.8 Kaangulumira-Kayunga'!N21,'23.8 Kangulumira-Kayunga'!N21,'24.8 Kangulumira-Kayunga'!N21,'25.8 Kangulumira-Kayunga'!N21)</f>
        <v>0</v>
      </c>
      <c r="O21" s="15">
        <f t="shared" si="0"/>
        <v>14.857142857142858</v>
      </c>
      <c r="P21" s="15">
        <f t="shared" si="1"/>
        <v>35.142857142857139</v>
      </c>
      <c r="R21" s="36" t="s">
        <v>20</v>
      </c>
      <c r="S21" s="34">
        <f t="shared" ref="S21:AF21" si="13">SUM(C54:C57)</f>
        <v>26.857142857142858</v>
      </c>
      <c r="T21" s="17">
        <f t="shared" si="13"/>
        <v>12.342857142857143</v>
      </c>
      <c r="U21" s="17">
        <f t="shared" si="13"/>
        <v>18.514285714285712</v>
      </c>
      <c r="V21" s="17">
        <f t="shared" si="13"/>
        <v>22.857142857142858</v>
      </c>
      <c r="W21" s="17">
        <f t="shared" si="13"/>
        <v>1.7142857142857142</v>
      </c>
      <c r="X21" s="17">
        <f t="shared" si="13"/>
        <v>0</v>
      </c>
      <c r="Y21" s="17">
        <f t="shared" si="13"/>
        <v>17.142857142857146</v>
      </c>
      <c r="Z21" s="17">
        <f t="shared" si="13"/>
        <v>0.2857142857142857</v>
      </c>
      <c r="AA21" s="17">
        <f t="shared" si="13"/>
        <v>0.42857142857142855</v>
      </c>
      <c r="AB21" s="17">
        <f t="shared" si="13"/>
        <v>0.85714285714285698</v>
      </c>
      <c r="AC21" s="17">
        <f t="shared" si="13"/>
        <v>126.85714285714285</v>
      </c>
      <c r="AD21" s="17">
        <f t="shared" si="13"/>
        <v>0</v>
      </c>
      <c r="AE21" s="31">
        <f t="shared" si="13"/>
        <v>101</v>
      </c>
      <c r="AF21" s="31">
        <f t="shared" si="13"/>
        <v>227.85714285714289</v>
      </c>
    </row>
    <row r="22" spans="2:32" ht="23.1" customHeight="1" x14ac:dyDescent="0.25">
      <c r="B22" s="23" t="s">
        <v>49</v>
      </c>
      <c r="C22" s="49">
        <f>AVERAGE('19.8 Kangulumira-Kayunga'!C22,'21.8 Kangulumira-Kayunga'!C22,'20.8 Kangulumira-Kayunga'!C22,'22.8 Kaangulumira-Kayunga'!C22,'23.8 Kangulumira-Kayunga'!C22,'24.8 Kangulumira-Kayunga'!C22,'25.8 Kangulumira-Kayunga'!C22)</f>
        <v>3.5714285714285716</v>
      </c>
      <c r="D22" s="49">
        <f>0.4*(AVERAGE('19.8 Kangulumira-Kayunga'!E22,'21.8 Kangulumira-Kayunga'!E22,'20.8 Kangulumira-Kayunga'!E22,'22.8 Kaangulumira-Kayunga'!E22,'23.8 Kangulumira-Kayunga'!E22,'24.8 Kangulumira-Kayunga'!E22,'25.8 Kangulumira-Kayunga'!E22))</f>
        <v>1.142857142857143</v>
      </c>
      <c r="E22" s="49">
        <f>0.6*(AVERAGE('19.8 Kangulumira-Kayunga'!E22,'21.8 Kangulumira-Kayunga'!E22,'20.8 Kangulumira-Kayunga'!E22,'22.8 Kaangulumira-Kayunga'!E22,'23.8 Kangulumira-Kayunga'!E22,'24.8 Kangulumira-Kayunga'!E22,'25.8 Kangulumira-Kayunga'!E22))</f>
        <v>1.7142857142857142</v>
      </c>
      <c r="F22" s="49">
        <f>AVERAGE('19.8 Kangulumira-Kayunga'!F22,'21.8 Kangulumira-Kayunga'!F22,'20.8 Kangulumira-Kayunga'!F22,'22.8 Kaangulumira-Kayunga'!F22,'23.8 Kangulumira-Kayunga'!F22,'24.8 Kangulumira-Kayunga'!F22,'25.8 Kangulumira-Kayunga'!F22)</f>
        <v>3.4285714285714284</v>
      </c>
      <c r="G22" s="49">
        <f>AVERAGE('19.8 Kangulumira-Kayunga'!G22,'21.8 Kangulumira-Kayunga'!G22,'20.8 Kangulumira-Kayunga'!G22,'22.8 Kaangulumira-Kayunga'!G22,'23.8 Kangulumira-Kayunga'!G22,'24.8 Kangulumira-Kayunga'!G22,'25.8 Kangulumira-Kayunga'!G22)</f>
        <v>0.2857142857142857</v>
      </c>
      <c r="H22" s="49">
        <f>AVERAGE('19.8 Kangulumira-Kayunga'!H22,'21.8 Kangulumira-Kayunga'!H22,'20.8 Kangulumira-Kayunga'!H22,'22.8 Kaangulumira-Kayunga'!H22,'23.8 Kangulumira-Kayunga'!H22,'24.8 Kangulumira-Kayunga'!H22,'25.8 Kangulumira-Kayunga'!H22)</f>
        <v>0</v>
      </c>
      <c r="I22" s="49">
        <f>AVERAGE('19.8 Kangulumira-Kayunga'!I22,'21.8 Kangulumira-Kayunga'!I22,'20.8 Kangulumira-Kayunga'!I22,'22.8 Kaangulumira-Kayunga'!I22,'23.8 Kangulumira-Kayunga'!I22,'24.8 Kangulumira-Kayunga'!I22,'25.8 Kangulumira-Kayunga'!I22)</f>
        <v>2.4285714285714284</v>
      </c>
      <c r="J22" s="49">
        <f>AVERAGE('19.8 Kangulumira-Kayunga'!J22,'21.8 Kangulumira-Kayunga'!J22,'20.8 Kangulumira-Kayunga'!J22,'22.8 Kaangulumira-Kayunga'!J22,'23.8 Kangulumira-Kayunga'!J22,'24.8 Kangulumira-Kayunga'!J22,'25.8 Kangulumira-Kayunga'!J22)</f>
        <v>0.14285714285714285</v>
      </c>
      <c r="K22" s="49">
        <f>AVERAGE('19.8 Kangulumira-Kayunga'!K22,'21.8 Kangulumira-Kayunga'!K22,'20.8 Kangulumira-Kayunga'!K22,'22.8 Kaangulumira-Kayunga'!K22,'23.8 Kangulumira-Kayunga'!K22,'24.8 Kangulumira-Kayunga'!K22,'25.8 Kangulumira-Kayunga'!K22)</f>
        <v>1</v>
      </c>
      <c r="L22" s="49">
        <f>AVERAGE('19.8 Kangulumira-Kayunga'!L22,'21.8 Kangulumira-Kayunga'!L22,'20.8 Kangulumira-Kayunga'!L22,'22.8 Kaangulumira-Kayunga'!L22,'23.8 Kangulumira-Kayunga'!L22,'24.8 Kangulumira-Kayunga'!L22,'25.8 Kangulumira-Kayunga'!L22)</f>
        <v>0.5714285714285714</v>
      </c>
      <c r="M22" s="49">
        <f>AVERAGE('19.8 Kangulumira-Kayunga'!M22,'21.8 Kangulumira-Kayunga'!M22,'20.8 Kangulumira-Kayunga'!M22,'22.8 Kaangulumira-Kayunga'!M22,'23.8 Kangulumira-Kayunga'!M22,'24.8 Kangulumira-Kayunga'!M22,'25.8 Kangulumira-Kayunga'!M22)</f>
        <v>20.142857142857142</v>
      </c>
      <c r="N22" s="49">
        <f>AVERAGE('19.8 Kangulumira-Kayunga'!N22,'21.8 Kangulumira-Kayunga'!N22,'20.8 Kangulumira-Kayunga'!N22,'22.8 Kaangulumira-Kayunga'!N22,'23.8 Kangulumira-Kayunga'!N22,'24.8 Kangulumira-Kayunga'!N22,'25.8 Kangulumira-Kayunga'!N22)</f>
        <v>0</v>
      </c>
      <c r="O22" s="15">
        <f t="shared" si="0"/>
        <v>14.285714285714286</v>
      </c>
      <c r="P22" s="15">
        <f t="shared" si="1"/>
        <v>34.428571428571431</v>
      </c>
      <c r="R22" s="1" t="s">
        <v>146</v>
      </c>
      <c r="S22" s="34">
        <f>SUM(C58:C61)</f>
        <v>9</v>
      </c>
      <c r="T22" s="34">
        <f t="shared" ref="T22:AF22" si="14">SUM(D58:D61)</f>
        <v>6.4</v>
      </c>
      <c r="U22" s="34">
        <f t="shared" si="14"/>
        <v>9.6</v>
      </c>
      <c r="V22" s="34">
        <f t="shared" si="14"/>
        <v>10</v>
      </c>
      <c r="W22" s="34">
        <f t="shared" si="14"/>
        <v>1</v>
      </c>
      <c r="X22" s="34">
        <f t="shared" si="14"/>
        <v>2</v>
      </c>
      <c r="Y22" s="34">
        <f t="shared" si="14"/>
        <v>12</v>
      </c>
      <c r="Z22" s="34">
        <f t="shared" si="14"/>
        <v>3</v>
      </c>
      <c r="AA22" s="34">
        <f t="shared" si="14"/>
        <v>2</v>
      </c>
      <c r="AB22" s="34">
        <f t="shared" si="14"/>
        <v>2</v>
      </c>
      <c r="AC22" s="34">
        <f t="shared" si="14"/>
        <v>81</v>
      </c>
      <c r="AD22" s="34">
        <f t="shared" si="14"/>
        <v>0</v>
      </c>
      <c r="AE22" s="31">
        <f t="shared" si="14"/>
        <v>57</v>
      </c>
      <c r="AF22" s="31">
        <f t="shared" si="14"/>
        <v>138</v>
      </c>
    </row>
    <row r="23" spans="2:32" ht="23.1" customHeight="1" x14ac:dyDescent="0.25">
      <c r="B23" s="23" t="s">
        <v>50</v>
      </c>
      <c r="C23" s="49">
        <f>AVERAGE('19.8 Kangulumira-Kayunga'!C23,'21.8 Kangulumira-Kayunga'!C23,'20.8 Kangulumira-Kayunga'!C23,'22.8 Kaangulumira-Kayunga'!C23,'23.8 Kangulumira-Kayunga'!C23,'24.8 Kangulumira-Kayunga'!C23,'25.8 Kangulumira-Kayunga'!C23)</f>
        <v>3.5714285714285716</v>
      </c>
      <c r="D23" s="49">
        <f>0.4*(AVERAGE('19.8 Kangulumira-Kayunga'!E23,'21.8 Kangulumira-Kayunga'!E23,'20.8 Kangulumira-Kayunga'!E23,'22.8 Kaangulumira-Kayunga'!E23,'23.8 Kangulumira-Kayunga'!E23,'24.8 Kangulumira-Kayunga'!E23,'25.8 Kangulumira-Kayunga'!E23))</f>
        <v>1.6</v>
      </c>
      <c r="E23" s="49">
        <f>0.6*(AVERAGE('19.8 Kangulumira-Kayunga'!E23,'21.8 Kangulumira-Kayunga'!E23,'20.8 Kangulumira-Kayunga'!E23,'22.8 Kaangulumira-Kayunga'!E23,'23.8 Kangulumira-Kayunga'!E23,'24.8 Kangulumira-Kayunga'!E23,'25.8 Kangulumira-Kayunga'!E23))</f>
        <v>2.4</v>
      </c>
      <c r="F23" s="49">
        <f>AVERAGE('19.8 Kangulumira-Kayunga'!F23,'21.8 Kangulumira-Kayunga'!F23,'20.8 Kangulumira-Kayunga'!F23,'22.8 Kaangulumira-Kayunga'!F23,'23.8 Kangulumira-Kayunga'!F23,'24.8 Kangulumira-Kayunga'!F23,'25.8 Kangulumira-Kayunga'!F23)</f>
        <v>4</v>
      </c>
      <c r="G23" s="49">
        <f>AVERAGE('19.8 Kangulumira-Kayunga'!G23,'21.8 Kangulumira-Kayunga'!G23,'20.8 Kangulumira-Kayunga'!G23,'22.8 Kaangulumira-Kayunga'!G23,'23.8 Kangulumira-Kayunga'!G23,'24.8 Kangulumira-Kayunga'!G23,'25.8 Kangulumira-Kayunga'!G23)</f>
        <v>0.8571428571428571</v>
      </c>
      <c r="H23" s="49">
        <f>AVERAGE('19.8 Kangulumira-Kayunga'!H23,'21.8 Kangulumira-Kayunga'!H23,'20.8 Kangulumira-Kayunga'!H23,'22.8 Kaangulumira-Kayunga'!H23,'23.8 Kangulumira-Kayunga'!H23,'24.8 Kangulumira-Kayunga'!H23,'25.8 Kangulumira-Kayunga'!H23)</f>
        <v>0</v>
      </c>
      <c r="I23" s="49">
        <f>AVERAGE('19.8 Kangulumira-Kayunga'!I23,'21.8 Kangulumira-Kayunga'!I23,'20.8 Kangulumira-Kayunga'!I23,'22.8 Kaangulumira-Kayunga'!I23,'23.8 Kangulumira-Kayunga'!I23,'24.8 Kangulumira-Kayunga'!I23,'25.8 Kangulumira-Kayunga'!I23)</f>
        <v>3.4285714285714284</v>
      </c>
      <c r="J23" s="49">
        <f>AVERAGE('19.8 Kangulumira-Kayunga'!J23,'21.8 Kangulumira-Kayunga'!J23,'20.8 Kangulumira-Kayunga'!J23,'22.8 Kaangulumira-Kayunga'!J23,'23.8 Kangulumira-Kayunga'!J23,'24.8 Kangulumira-Kayunga'!J23,'25.8 Kangulumira-Kayunga'!J23)</f>
        <v>0.2857142857142857</v>
      </c>
      <c r="K23" s="49">
        <f>AVERAGE('19.8 Kangulumira-Kayunga'!K23,'21.8 Kangulumira-Kayunga'!K23,'20.8 Kangulumira-Kayunga'!K23,'22.8 Kaangulumira-Kayunga'!K23,'23.8 Kangulumira-Kayunga'!K23,'24.8 Kangulumira-Kayunga'!K23,'25.8 Kangulumira-Kayunga'!K23)</f>
        <v>0.5714285714285714</v>
      </c>
      <c r="L23" s="49">
        <f>AVERAGE('19.8 Kangulumira-Kayunga'!L23,'21.8 Kangulumira-Kayunga'!L23,'20.8 Kangulumira-Kayunga'!L23,'22.8 Kaangulumira-Kayunga'!L23,'23.8 Kangulumira-Kayunga'!L23,'24.8 Kangulumira-Kayunga'!L23,'25.8 Kangulumira-Kayunga'!L23)</f>
        <v>0.2857142857142857</v>
      </c>
      <c r="M23" s="49">
        <f>AVERAGE('19.8 Kangulumira-Kayunga'!M23,'21.8 Kangulumira-Kayunga'!M23,'20.8 Kangulumira-Kayunga'!M23,'22.8 Kaangulumira-Kayunga'!M23,'23.8 Kangulumira-Kayunga'!M23,'24.8 Kangulumira-Kayunga'!M23,'25.8 Kangulumira-Kayunga'!M23)</f>
        <v>23.285714285714285</v>
      </c>
      <c r="N23" s="49">
        <f>AVERAGE('19.8 Kangulumira-Kayunga'!N23,'21.8 Kangulumira-Kayunga'!N23,'20.8 Kangulumira-Kayunga'!N23,'22.8 Kaangulumira-Kayunga'!N23,'23.8 Kangulumira-Kayunga'!N23,'24.8 Kangulumira-Kayunga'!N23,'25.8 Kangulumira-Kayunga'!N23)</f>
        <v>0</v>
      </c>
      <c r="O23" s="15">
        <f t="shared" si="0"/>
        <v>17</v>
      </c>
      <c r="P23" s="15">
        <f t="shared" si="1"/>
        <v>40.285714285714285</v>
      </c>
      <c r="R23" s="1" t="s">
        <v>147</v>
      </c>
      <c r="S23" s="34">
        <f>SUM(C62:C65)</f>
        <v>12</v>
      </c>
      <c r="T23" s="34">
        <f t="shared" ref="T23:AF23" si="15">SUM(D62:D65)</f>
        <v>5.2000000000000011</v>
      </c>
      <c r="U23" s="34">
        <f t="shared" si="15"/>
        <v>7.7999999999999989</v>
      </c>
      <c r="V23" s="34">
        <f t="shared" si="15"/>
        <v>12</v>
      </c>
      <c r="W23" s="34">
        <f t="shared" si="15"/>
        <v>1</v>
      </c>
      <c r="X23" s="34">
        <f t="shared" si="15"/>
        <v>1</v>
      </c>
      <c r="Y23" s="34">
        <f t="shared" si="15"/>
        <v>10</v>
      </c>
      <c r="Z23" s="34">
        <f t="shared" si="15"/>
        <v>4</v>
      </c>
      <c r="AA23" s="34">
        <f t="shared" si="15"/>
        <v>3</v>
      </c>
      <c r="AB23" s="34">
        <f t="shared" si="15"/>
        <v>1</v>
      </c>
      <c r="AC23" s="34">
        <f t="shared" si="15"/>
        <v>61</v>
      </c>
      <c r="AD23" s="34">
        <f t="shared" si="15"/>
        <v>0</v>
      </c>
      <c r="AE23" s="31">
        <f t="shared" si="15"/>
        <v>57</v>
      </c>
      <c r="AF23" s="31">
        <f t="shared" si="15"/>
        <v>118</v>
      </c>
    </row>
    <row r="24" spans="2:32" ht="23.1" customHeight="1" x14ac:dyDescent="0.25">
      <c r="B24" s="23" t="s">
        <v>51</v>
      </c>
      <c r="C24" s="49">
        <f>AVERAGE('19.8 Kangulumira-Kayunga'!C24,'21.8 Kangulumira-Kayunga'!C24,'20.8 Kangulumira-Kayunga'!C24,'22.8 Kaangulumira-Kayunga'!C24,'23.8 Kangulumira-Kayunga'!C24,'24.8 Kangulumira-Kayunga'!C24,'25.8 Kangulumira-Kayunga'!C24)</f>
        <v>4</v>
      </c>
      <c r="D24" s="49">
        <f>0.4*(AVERAGE('19.8 Kangulumira-Kayunga'!E24,'21.8 Kangulumira-Kayunga'!E24,'20.8 Kangulumira-Kayunga'!E24,'22.8 Kaangulumira-Kayunga'!E24,'23.8 Kangulumira-Kayunga'!E24,'24.8 Kangulumira-Kayunga'!E24,'25.8 Kangulumira-Kayunga'!E24))</f>
        <v>2.1142857142857143</v>
      </c>
      <c r="E24" s="49">
        <f>0.6*(AVERAGE('19.8 Kangulumira-Kayunga'!E24,'21.8 Kangulumira-Kayunga'!E24,'20.8 Kangulumira-Kayunga'!E24,'22.8 Kaangulumira-Kayunga'!E24,'23.8 Kangulumira-Kayunga'!E24,'24.8 Kangulumira-Kayunga'!E24,'25.8 Kangulumira-Kayunga'!E24))</f>
        <v>3.1714285714285713</v>
      </c>
      <c r="F24" s="49">
        <f>AVERAGE('19.8 Kangulumira-Kayunga'!F24,'21.8 Kangulumira-Kayunga'!F24,'20.8 Kangulumira-Kayunga'!F24,'22.8 Kaangulumira-Kayunga'!F24,'23.8 Kangulumira-Kayunga'!F24,'24.8 Kangulumira-Kayunga'!F24,'25.8 Kangulumira-Kayunga'!F24)</f>
        <v>3.7142857142857144</v>
      </c>
      <c r="G24" s="49">
        <f>AVERAGE('19.8 Kangulumira-Kayunga'!G24,'21.8 Kangulumira-Kayunga'!G24,'20.8 Kangulumira-Kayunga'!G24,'22.8 Kaangulumira-Kayunga'!G24,'23.8 Kangulumira-Kayunga'!G24,'24.8 Kangulumira-Kayunga'!G24,'25.8 Kangulumira-Kayunga'!G24)</f>
        <v>0.8571428571428571</v>
      </c>
      <c r="H24" s="49">
        <f>AVERAGE('19.8 Kangulumira-Kayunga'!H24,'21.8 Kangulumira-Kayunga'!H24,'20.8 Kangulumira-Kayunga'!H24,'22.8 Kaangulumira-Kayunga'!H24,'23.8 Kangulumira-Kayunga'!H24,'24.8 Kangulumira-Kayunga'!H24,'25.8 Kangulumira-Kayunga'!H24)</f>
        <v>0</v>
      </c>
      <c r="I24" s="49">
        <f>AVERAGE('19.8 Kangulumira-Kayunga'!I24,'21.8 Kangulumira-Kayunga'!I24,'20.8 Kangulumira-Kayunga'!I24,'22.8 Kaangulumira-Kayunga'!I24,'23.8 Kangulumira-Kayunga'!I24,'24.8 Kangulumira-Kayunga'!I24,'25.8 Kangulumira-Kayunga'!I24)</f>
        <v>3.2857142857142856</v>
      </c>
      <c r="J24" s="49">
        <f>AVERAGE('19.8 Kangulumira-Kayunga'!J24,'21.8 Kangulumira-Kayunga'!J24,'20.8 Kangulumira-Kayunga'!J24,'22.8 Kaangulumira-Kayunga'!J24,'23.8 Kangulumira-Kayunga'!J24,'24.8 Kangulumira-Kayunga'!J24,'25.8 Kangulumira-Kayunga'!J24)</f>
        <v>0.2857142857142857</v>
      </c>
      <c r="K24" s="49">
        <f>AVERAGE('19.8 Kangulumira-Kayunga'!K24,'21.8 Kangulumira-Kayunga'!K24,'20.8 Kangulumira-Kayunga'!K24,'22.8 Kaangulumira-Kayunga'!K24,'23.8 Kangulumira-Kayunga'!K24,'24.8 Kangulumira-Kayunga'!K24,'25.8 Kangulumira-Kayunga'!K24)</f>
        <v>0.2857142857142857</v>
      </c>
      <c r="L24" s="49">
        <f>AVERAGE('19.8 Kangulumira-Kayunga'!L24,'21.8 Kangulumira-Kayunga'!L24,'20.8 Kangulumira-Kayunga'!L24,'22.8 Kaangulumira-Kayunga'!L24,'23.8 Kangulumira-Kayunga'!L24,'24.8 Kangulumira-Kayunga'!L24,'25.8 Kangulumira-Kayunga'!L24)</f>
        <v>0.2857142857142857</v>
      </c>
      <c r="M24" s="49">
        <f>AVERAGE('19.8 Kangulumira-Kayunga'!M24,'21.8 Kangulumira-Kayunga'!M24,'20.8 Kangulumira-Kayunga'!M24,'22.8 Kaangulumira-Kayunga'!M24,'23.8 Kangulumira-Kayunga'!M24,'24.8 Kangulumira-Kayunga'!M24,'25.8 Kangulumira-Kayunga'!M24)</f>
        <v>22.571428571428573</v>
      </c>
      <c r="N24" s="49">
        <f>AVERAGE('19.8 Kangulumira-Kayunga'!N24,'21.8 Kangulumira-Kayunga'!N24,'20.8 Kangulumira-Kayunga'!N24,'22.8 Kaangulumira-Kayunga'!N24,'23.8 Kangulumira-Kayunga'!N24,'24.8 Kangulumira-Kayunga'!N24,'25.8 Kangulumira-Kayunga'!N24)</f>
        <v>0</v>
      </c>
      <c r="O24" s="15">
        <f t="shared" si="0"/>
        <v>17.999999999999996</v>
      </c>
      <c r="P24" s="15">
        <f t="shared" si="1"/>
        <v>40.571428571428569</v>
      </c>
      <c r="R24" s="1" t="s">
        <v>148</v>
      </c>
      <c r="S24" s="34">
        <f>SUM(C66:C69)</f>
        <v>9</v>
      </c>
      <c r="T24" s="34">
        <f t="shared" ref="T24:AF24" si="16">SUM(D66:D69)</f>
        <v>5.2000000000000011</v>
      </c>
      <c r="U24" s="34">
        <f t="shared" si="16"/>
        <v>7.7999999999999989</v>
      </c>
      <c r="V24" s="34">
        <f t="shared" si="16"/>
        <v>9</v>
      </c>
      <c r="W24" s="34">
        <f t="shared" si="16"/>
        <v>1</v>
      </c>
      <c r="X24" s="34">
        <f t="shared" si="16"/>
        <v>3</v>
      </c>
      <c r="Y24" s="34">
        <f t="shared" si="16"/>
        <v>11</v>
      </c>
      <c r="Z24" s="34">
        <f t="shared" si="16"/>
        <v>2</v>
      </c>
      <c r="AA24" s="34">
        <f t="shared" si="16"/>
        <v>2</v>
      </c>
      <c r="AB24" s="34">
        <f t="shared" si="16"/>
        <v>2</v>
      </c>
      <c r="AC24" s="34">
        <f t="shared" si="16"/>
        <v>47</v>
      </c>
      <c r="AD24" s="34">
        <f t="shared" si="16"/>
        <v>0</v>
      </c>
      <c r="AE24" s="31">
        <f t="shared" si="16"/>
        <v>52</v>
      </c>
      <c r="AF24" s="31">
        <f t="shared" si="16"/>
        <v>99</v>
      </c>
    </row>
    <row r="25" spans="2:32" ht="23.1" customHeight="1" x14ac:dyDescent="0.25">
      <c r="B25" s="23" t="s">
        <v>52</v>
      </c>
      <c r="C25" s="49">
        <f>AVERAGE('19.8 Kangulumira-Kayunga'!C25,'21.8 Kangulumira-Kayunga'!C25,'20.8 Kangulumira-Kayunga'!C25,'22.8 Kaangulumira-Kayunga'!C25,'23.8 Kangulumira-Kayunga'!C25,'24.8 Kangulumira-Kayunga'!C25,'25.8 Kangulumira-Kayunga'!C25)</f>
        <v>4.7142857142857144</v>
      </c>
      <c r="D25" s="49">
        <f>0.4*(AVERAGE('19.8 Kangulumira-Kayunga'!E25,'21.8 Kangulumira-Kayunga'!E25,'20.8 Kangulumira-Kayunga'!E25,'22.8 Kaangulumira-Kayunga'!E25,'23.8 Kangulumira-Kayunga'!E25,'24.8 Kangulumira-Kayunga'!E25,'25.8 Kangulumira-Kayunga'!E25))</f>
        <v>2.4000000000000004</v>
      </c>
      <c r="E25" s="49">
        <f>0.6*(AVERAGE('19.8 Kangulumira-Kayunga'!E25,'21.8 Kangulumira-Kayunga'!E25,'20.8 Kangulumira-Kayunga'!E25,'22.8 Kaangulumira-Kayunga'!E25,'23.8 Kangulumira-Kayunga'!E25,'24.8 Kangulumira-Kayunga'!E25,'25.8 Kangulumira-Kayunga'!E25))</f>
        <v>3.5999999999999996</v>
      </c>
      <c r="F25" s="49">
        <f>AVERAGE('19.8 Kangulumira-Kayunga'!F25,'21.8 Kangulumira-Kayunga'!F25,'20.8 Kangulumira-Kayunga'!F25,'22.8 Kaangulumira-Kayunga'!F25,'23.8 Kangulumira-Kayunga'!F25,'24.8 Kangulumira-Kayunga'!F25,'25.8 Kangulumira-Kayunga'!F25)</f>
        <v>4.5714285714285712</v>
      </c>
      <c r="G25" s="49">
        <f>AVERAGE('19.8 Kangulumira-Kayunga'!G25,'21.8 Kangulumira-Kayunga'!G25,'20.8 Kangulumira-Kayunga'!G25,'22.8 Kaangulumira-Kayunga'!G25,'23.8 Kangulumira-Kayunga'!G25,'24.8 Kangulumira-Kayunga'!G25,'25.8 Kangulumira-Kayunga'!G25)</f>
        <v>0</v>
      </c>
      <c r="H25" s="49">
        <f>AVERAGE('19.8 Kangulumira-Kayunga'!H25,'21.8 Kangulumira-Kayunga'!H25,'20.8 Kangulumira-Kayunga'!H25,'22.8 Kaangulumira-Kayunga'!H25,'23.8 Kangulumira-Kayunga'!H25,'24.8 Kangulumira-Kayunga'!H25,'25.8 Kangulumira-Kayunga'!H25)</f>
        <v>0</v>
      </c>
      <c r="I25" s="49">
        <f>AVERAGE('19.8 Kangulumira-Kayunga'!I25,'21.8 Kangulumira-Kayunga'!I25,'20.8 Kangulumira-Kayunga'!I25,'22.8 Kaangulumira-Kayunga'!I25,'23.8 Kangulumira-Kayunga'!I25,'24.8 Kangulumira-Kayunga'!I25,'25.8 Kangulumira-Kayunga'!I25)</f>
        <v>3.8571428571428572</v>
      </c>
      <c r="J25" s="49">
        <f>AVERAGE('19.8 Kangulumira-Kayunga'!J25,'21.8 Kangulumira-Kayunga'!J25,'20.8 Kangulumira-Kayunga'!J25,'22.8 Kaangulumira-Kayunga'!J25,'23.8 Kangulumira-Kayunga'!J25,'24.8 Kangulumira-Kayunga'!J25,'25.8 Kangulumira-Kayunga'!J25)</f>
        <v>0.42857142857142855</v>
      </c>
      <c r="K25" s="49">
        <f>AVERAGE('19.8 Kangulumira-Kayunga'!K25,'21.8 Kangulumira-Kayunga'!K25,'20.8 Kangulumira-Kayunga'!K25,'22.8 Kaangulumira-Kayunga'!K25,'23.8 Kangulumira-Kayunga'!K25,'24.8 Kangulumira-Kayunga'!K25,'25.8 Kangulumira-Kayunga'!K25)</f>
        <v>0.42857142857142855</v>
      </c>
      <c r="L25" s="49">
        <f>AVERAGE('19.8 Kangulumira-Kayunga'!L25,'21.8 Kangulumira-Kayunga'!L25,'20.8 Kangulumira-Kayunga'!L25,'22.8 Kaangulumira-Kayunga'!L25,'23.8 Kangulumira-Kayunga'!L25,'24.8 Kangulumira-Kayunga'!L25,'25.8 Kangulumira-Kayunga'!L25)</f>
        <v>0.8571428571428571</v>
      </c>
      <c r="M25" s="49">
        <f>AVERAGE('19.8 Kangulumira-Kayunga'!M25,'21.8 Kangulumira-Kayunga'!M25,'20.8 Kangulumira-Kayunga'!M25,'22.8 Kaangulumira-Kayunga'!M25,'23.8 Kangulumira-Kayunga'!M25,'24.8 Kangulumira-Kayunga'!M25,'25.8 Kangulumira-Kayunga'!M25)</f>
        <v>26.428571428571427</v>
      </c>
      <c r="N25" s="49">
        <f>AVERAGE('19.8 Kangulumira-Kayunga'!N25,'21.8 Kangulumira-Kayunga'!N25,'20.8 Kangulumira-Kayunga'!N25,'22.8 Kaangulumira-Kayunga'!N25,'23.8 Kangulumira-Kayunga'!N25,'24.8 Kangulumira-Kayunga'!N25,'25.8 Kangulumira-Kayunga'!N25)</f>
        <v>0</v>
      </c>
      <c r="O25" s="15">
        <f t="shared" si="0"/>
        <v>20.857142857142854</v>
      </c>
      <c r="P25" s="15">
        <f t="shared" si="1"/>
        <v>47.285714285714278</v>
      </c>
      <c r="R25" s="1" t="s">
        <v>149</v>
      </c>
      <c r="S25" s="34">
        <f>SUM(C70:C73)</f>
        <v>9</v>
      </c>
      <c r="T25" s="34">
        <f t="shared" ref="T25:AF25" si="17">SUM(D70:D73)</f>
        <v>3.6000000000000005</v>
      </c>
      <c r="U25" s="34">
        <f t="shared" si="17"/>
        <v>5.3999999999999995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3</v>
      </c>
      <c r="AA25" s="34">
        <f t="shared" si="17"/>
        <v>0</v>
      </c>
      <c r="AB25" s="34">
        <f t="shared" si="17"/>
        <v>1</v>
      </c>
      <c r="AC25" s="34">
        <f t="shared" si="17"/>
        <v>15</v>
      </c>
      <c r="AD25" s="34">
        <f t="shared" si="17"/>
        <v>0</v>
      </c>
      <c r="AE25" s="31">
        <f t="shared" si="17"/>
        <v>34</v>
      </c>
      <c r="AF25" s="31">
        <f t="shared" si="17"/>
        <v>49</v>
      </c>
    </row>
    <row r="26" spans="2:32" ht="23.1" customHeight="1" x14ac:dyDescent="0.25">
      <c r="B26" s="23" t="s">
        <v>53</v>
      </c>
      <c r="C26" s="49">
        <f>AVERAGE('19.8 Kangulumira-Kayunga'!C26,'21.8 Kangulumira-Kayunga'!C26,'20.8 Kangulumira-Kayunga'!C26,'22.8 Kaangulumira-Kayunga'!C26,'23.8 Kangulumira-Kayunga'!C26,'24.8 Kangulumira-Kayunga'!C26,'25.8 Kangulumira-Kayunga'!C26)</f>
        <v>5.2857142857142856</v>
      </c>
      <c r="D26" s="49">
        <f>0.4*(AVERAGE('19.8 Kangulumira-Kayunga'!E26,'21.8 Kangulumira-Kayunga'!E26,'20.8 Kangulumira-Kayunga'!E26,'22.8 Kaangulumira-Kayunga'!E26,'23.8 Kangulumira-Kayunga'!E26,'24.8 Kangulumira-Kayunga'!E26,'25.8 Kangulumira-Kayunga'!E26))</f>
        <v>1.7714285714285716</v>
      </c>
      <c r="E26" s="49">
        <f>0.6*(AVERAGE('19.8 Kangulumira-Kayunga'!E26,'21.8 Kangulumira-Kayunga'!E26,'20.8 Kangulumira-Kayunga'!E26,'22.8 Kaangulumira-Kayunga'!E26,'23.8 Kangulumira-Kayunga'!E26,'24.8 Kangulumira-Kayunga'!E26,'25.8 Kangulumira-Kayunga'!E26))</f>
        <v>2.657142857142857</v>
      </c>
      <c r="F26" s="49">
        <f>AVERAGE('19.8 Kangulumira-Kayunga'!F26,'21.8 Kangulumira-Kayunga'!F26,'20.8 Kangulumira-Kayunga'!F26,'22.8 Kaangulumira-Kayunga'!F26,'23.8 Kangulumira-Kayunga'!F26,'24.8 Kangulumira-Kayunga'!F26,'25.8 Kangulumira-Kayunga'!F26)</f>
        <v>4.7142857142857144</v>
      </c>
      <c r="G26" s="49">
        <f>AVERAGE('19.8 Kangulumira-Kayunga'!G26,'21.8 Kangulumira-Kayunga'!G26,'20.8 Kangulumira-Kayunga'!G26,'22.8 Kaangulumira-Kayunga'!G26,'23.8 Kangulumira-Kayunga'!G26,'24.8 Kangulumira-Kayunga'!G26,'25.8 Kangulumira-Kayunga'!G26)</f>
        <v>0.42857142857142855</v>
      </c>
      <c r="H26" s="49">
        <f>AVERAGE('19.8 Kangulumira-Kayunga'!H26,'21.8 Kangulumira-Kayunga'!H26,'20.8 Kangulumira-Kayunga'!H26,'22.8 Kaangulumira-Kayunga'!H26,'23.8 Kangulumira-Kayunga'!H26,'24.8 Kangulumira-Kayunga'!H26,'25.8 Kangulumira-Kayunga'!H26)</f>
        <v>0</v>
      </c>
      <c r="I26" s="49">
        <f>AVERAGE('19.8 Kangulumira-Kayunga'!I26,'21.8 Kangulumira-Kayunga'!I26,'20.8 Kangulumira-Kayunga'!I26,'22.8 Kaangulumira-Kayunga'!I26,'23.8 Kangulumira-Kayunga'!I26,'24.8 Kangulumira-Kayunga'!I26,'25.8 Kangulumira-Kayunga'!I26)</f>
        <v>3.8571428571428572</v>
      </c>
      <c r="J26" s="49">
        <f>AVERAGE('19.8 Kangulumira-Kayunga'!J26,'21.8 Kangulumira-Kayunga'!J26,'20.8 Kangulumira-Kayunga'!J26,'22.8 Kaangulumira-Kayunga'!J26,'23.8 Kangulumira-Kayunga'!J26,'24.8 Kangulumira-Kayunga'!J26,'25.8 Kangulumira-Kayunga'!J26)</f>
        <v>0.2857142857142857</v>
      </c>
      <c r="K26" s="49">
        <f>AVERAGE('19.8 Kangulumira-Kayunga'!K26,'21.8 Kangulumira-Kayunga'!K26,'20.8 Kangulumira-Kayunga'!K26,'22.8 Kaangulumira-Kayunga'!K26,'23.8 Kangulumira-Kayunga'!K26,'24.8 Kangulumira-Kayunga'!K26,'25.8 Kangulumira-Kayunga'!K26)</f>
        <v>0.5714285714285714</v>
      </c>
      <c r="L26" s="49">
        <f>AVERAGE('19.8 Kangulumira-Kayunga'!L26,'21.8 Kangulumira-Kayunga'!L26,'20.8 Kangulumira-Kayunga'!L26,'22.8 Kaangulumira-Kayunga'!L26,'23.8 Kangulumira-Kayunga'!L26,'24.8 Kangulumira-Kayunga'!L26,'25.8 Kangulumira-Kayunga'!L26)</f>
        <v>0.42857142857142855</v>
      </c>
      <c r="M26" s="49">
        <f>AVERAGE('19.8 Kangulumira-Kayunga'!M26,'21.8 Kangulumira-Kayunga'!M26,'20.8 Kangulumira-Kayunga'!M26,'22.8 Kaangulumira-Kayunga'!M26,'23.8 Kangulumira-Kayunga'!M26,'24.8 Kangulumira-Kayunga'!M26,'25.8 Kangulumira-Kayunga'!M26)</f>
        <v>24.142857142857142</v>
      </c>
      <c r="N26" s="49">
        <f>AVERAGE('19.8 Kangulumira-Kayunga'!N26,'21.8 Kangulumira-Kayunga'!N26,'20.8 Kangulumira-Kayunga'!N26,'22.8 Kaangulumira-Kayunga'!N26,'23.8 Kangulumira-Kayunga'!N26,'24.8 Kangulumira-Kayunga'!N26,'25.8 Kangulumira-Kayunga'!N26)</f>
        <v>0</v>
      </c>
      <c r="O26" s="15">
        <f t="shared" si="0"/>
        <v>19.999999999999996</v>
      </c>
      <c r="P26" s="15">
        <f t="shared" si="1"/>
        <v>44.142857142857139</v>
      </c>
      <c r="R26" s="1" t="s">
        <v>150</v>
      </c>
      <c r="S26" s="34">
        <f>SUM(C74:C77)</f>
        <v>2</v>
      </c>
      <c r="T26" s="34">
        <f t="shared" ref="T26:AF26" si="18">SUM(D74:D77)</f>
        <v>3.6</v>
      </c>
      <c r="U26" s="34">
        <f t="shared" si="18"/>
        <v>5.3999999999999995</v>
      </c>
      <c r="V26" s="34">
        <f t="shared" si="18"/>
        <v>6</v>
      </c>
      <c r="W26" s="34">
        <f t="shared" si="18"/>
        <v>1</v>
      </c>
      <c r="X26" s="34">
        <f t="shared" si="18"/>
        <v>2</v>
      </c>
      <c r="Y26" s="34">
        <f t="shared" si="18"/>
        <v>5</v>
      </c>
      <c r="Z26" s="34">
        <f t="shared" si="18"/>
        <v>3</v>
      </c>
      <c r="AA26" s="34">
        <f t="shared" si="18"/>
        <v>4</v>
      </c>
      <c r="AB26" s="34">
        <f t="shared" si="18"/>
        <v>1</v>
      </c>
      <c r="AC26" s="34">
        <f t="shared" si="18"/>
        <v>10</v>
      </c>
      <c r="AD26" s="34">
        <f t="shared" si="18"/>
        <v>0</v>
      </c>
      <c r="AE26" s="31">
        <f t="shared" si="18"/>
        <v>33</v>
      </c>
      <c r="AF26" s="31">
        <f t="shared" si="18"/>
        <v>43</v>
      </c>
    </row>
    <row r="27" spans="2:32" ht="23.1" customHeight="1" x14ac:dyDescent="0.25">
      <c r="B27" s="23" t="s">
        <v>54</v>
      </c>
      <c r="C27" s="49">
        <f>AVERAGE('19.8 Kangulumira-Kayunga'!C27,'21.8 Kangulumira-Kayunga'!C27,'20.8 Kangulumira-Kayunga'!C27,'22.8 Kaangulumira-Kayunga'!C27,'23.8 Kangulumira-Kayunga'!C27,'24.8 Kangulumira-Kayunga'!C27,'25.8 Kangulumira-Kayunga'!C27)</f>
        <v>4.5714285714285712</v>
      </c>
      <c r="D27" s="49">
        <f>0.4*(AVERAGE('19.8 Kangulumira-Kayunga'!E27,'21.8 Kangulumira-Kayunga'!E27,'20.8 Kangulumira-Kayunga'!E27,'22.8 Kaangulumira-Kayunga'!E27,'23.8 Kangulumira-Kayunga'!E27,'24.8 Kangulumira-Kayunga'!E27,'25.8 Kangulumira-Kayunga'!E27))</f>
        <v>1.3714285714285714</v>
      </c>
      <c r="E27" s="49">
        <f>0.6*(AVERAGE('19.8 Kangulumira-Kayunga'!E27,'21.8 Kangulumira-Kayunga'!E27,'20.8 Kangulumira-Kayunga'!E27,'22.8 Kaangulumira-Kayunga'!E27,'23.8 Kangulumira-Kayunga'!E27,'24.8 Kangulumira-Kayunga'!E27,'25.8 Kangulumira-Kayunga'!E27))</f>
        <v>2.0571428571428569</v>
      </c>
      <c r="F27" s="49">
        <f>AVERAGE('19.8 Kangulumira-Kayunga'!F27,'21.8 Kangulumira-Kayunga'!F27,'20.8 Kangulumira-Kayunga'!F27,'22.8 Kaangulumira-Kayunga'!F27,'23.8 Kangulumira-Kayunga'!F27,'24.8 Kangulumira-Kayunga'!F27,'25.8 Kangulumira-Kayunga'!F27)</f>
        <v>4.2857142857142856</v>
      </c>
      <c r="G27" s="49">
        <f>AVERAGE('19.8 Kangulumira-Kayunga'!G27,'21.8 Kangulumira-Kayunga'!G27,'20.8 Kangulumira-Kayunga'!G27,'22.8 Kaangulumira-Kayunga'!G27,'23.8 Kangulumira-Kayunga'!G27,'24.8 Kangulumira-Kayunga'!G27,'25.8 Kangulumira-Kayunga'!G27)</f>
        <v>0.2857142857142857</v>
      </c>
      <c r="H27" s="49">
        <f>AVERAGE('19.8 Kangulumira-Kayunga'!H27,'21.8 Kangulumira-Kayunga'!H27,'20.8 Kangulumira-Kayunga'!H27,'22.8 Kaangulumira-Kayunga'!H27,'23.8 Kangulumira-Kayunga'!H27,'24.8 Kangulumira-Kayunga'!H27,'25.8 Kangulumira-Kayunga'!H27)</f>
        <v>0</v>
      </c>
      <c r="I27" s="49">
        <f>AVERAGE('19.8 Kangulumira-Kayunga'!I27,'21.8 Kangulumira-Kayunga'!I27,'20.8 Kangulumira-Kayunga'!I27,'22.8 Kaangulumira-Kayunga'!I27,'23.8 Kangulumira-Kayunga'!I27,'24.8 Kangulumira-Kayunga'!I27,'25.8 Kangulumira-Kayunga'!I27)</f>
        <v>2.5714285714285716</v>
      </c>
      <c r="J27" s="49">
        <f>AVERAGE('19.8 Kangulumira-Kayunga'!J27,'21.8 Kangulumira-Kayunga'!J27,'20.8 Kangulumira-Kayunga'!J27,'22.8 Kaangulumira-Kayunga'!J27,'23.8 Kangulumira-Kayunga'!J27,'24.8 Kangulumira-Kayunga'!J27,'25.8 Kangulumira-Kayunga'!J27)</f>
        <v>0.42857142857142855</v>
      </c>
      <c r="K27" s="49">
        <f>AVERAGE('19.8 Kangulumira-Kayunga'!K27,'21.8 Kangulumira-Kayunga'!K27,'20.8 Kangulumira-Kayunga'!K27,'22.8 Kaangulumira-Kayunga'!K27,'23.8 Kangulumira-Kayunga'!K27,'24.8 Kangulumira-Kayunga'!K27,'25.8 Kangulumira-Kayunga'!K27)</f>
        <v>0.8571428571428571</v>
      </c>
      <c r="L27" s="49">
        <f>AVERAGE('19.8 Kangulumira-Kayunga'!L27,'21.8 Kangulumira-Kayunga'!L27,'20.8 Kangulumira-Kayunga'!L27,'22.8 Kaangulumira-Kayunga'!L27,'23.8 Kangulumira-Kayunga'!L27,'24.8 Kangulumira-Kayunga'!L27,'25.8 Kangulumira-Kayunga'!L27)</f>
        <v>0</v>
      </c>
      <c r="M27" s="49">
        <f>AVERAGE('19.8 Kangulumira-Kayunga'!M27,'21.8 Kangulumira-Kayunga'!M27,'20.8 Kangulumira-Kayunga'!M27,'22.8 Kaangulumira-Kayunga'!M27,'23.8 Kangulumira-Kayunga'!M27,'24.8 Kangulumira-Kayunga'!M27,'25.8 Kangulumira-Kayunga'!M27)</f>
        <v>24.571428571428573</v>
      </c>
      <c r="N27" s="49">
        <f>AVERAGE('19.8 Kangulumira-Kayunga'!N27,'21.8 Kangulumira-Kayunga'!N27,'20.8 Kangulumira-Kayunga'!N27,'22.8 Kaangulumira-Kayunga'!N27,'23.8 Kangulumira-Kayunga'!N27,'24.8 Kangulumira-Kayunga'!N27,'25.8 Kangulumira-Kayunga'!N27)</f>
        <v>0</v>
      </c>
      <c r="O27" s="15">
        <f t="shared" si="0"/>
        <v>16.428571428571427</v>
      </c>
      <c r="P27" s="15">
        <f t="shared" si="1"/>
        <v>41</v>
      </c>
      <c r="R27" s="1" t="s">
        <v>151</v>
      </c>
      <c r="S27" s="34">
        <f>SUM(C78:C81)</f>
        <v>4</v>
      </c>
      <c r="T27" s="34">
        <f t="shared" ref="T27:AF27" si="19">SUM(D78:D81)</f>
        <v>2.8000000000000003</v>
      </c>
      <c r="U27" s="34">
        <f t="shared" si="19"/>
        <v>4.1999999999999993</v>
      </c>
      <c r="V27" s="34">
        <f t="shared" si="19"/>
        <v>7</v>
      </c>
      <c r="W27" s="34">
        <f t="shared" si="19"/>
        <v>1</v>
      </c>
      <c r="X27" s="34">
        <f t="shared" si="19"/>
        <v>2</v>
      </c>
      <c r="Y27" s="34">
        <f t="shared" si="19"/>
        <v>6</v>
      </c>
      <c r="Z27" s="34">
        <f t="shared" si="19"/>
        <v>3</v>
      </c>
      <c r="AA27" s="34">
        <f t="shared" si="19"/>
        <v>2</v>
      </c>
      <c r="AB27" s="34">
        <f t="shared" si="19"/>
        <v>2</v>
      </c>
      <c r="AC27" s="34">
        <f t="shared" si="19"/>
        <v>1</v>
      </c>
      <c r="AD27" s="34">
        <f t="shared" si="19"/>
        <v>0</v>
      </c>
      <c r="AE27" s="31">
        <f t="shared" si="19"/>
        <v>34</v>
      </c>
      <c r="AF27" s="31">
        <f t="shared" si="19"/>
        <v>35</v>
      </c>
    </row>
    <row r="28" spans="2:32" ht="23.1" customHeight="1" x14ac:dyDescent="0.25">
      <c r="B28" s="23" t="s">
        <v>55</v>
      </c>
      <c r="C28" s="49">
        <f>AVERAGE('19.8 Kangulumira-Kayunga'!C28,'21.8 Kangulumira-Kayunga'!C28,'20.8 Kangulumira-Kayunga'!C28,'22.8 Kaangulumira-Kayunga'!C28,'23.8 Kangulumira-Kayunga'!C28,'24.8 Kangulumira-Kayunga'!C28,'25.8 Kangulumira-Kayunga'!C28)</f>
        <v>5</v>
      </c>
      <c r="D28" s="49">
        <f>0.4*(AVERAGE('19.8 Kangulumira-Kayunga'!E28,'21.8 Kangulumira-Kayunga'!E28,'20.8 Kangulumira-Kayunga'!E28,'22.8 Kaangulumira-Kayunga'!E28,'23.8 Kangulumira-Kayunga'!E28,'24.8 Kangulumira-Kayunga'!E28,'25.8 Kangulumira-Kayunga'!E28))</f>
        <v>1.8857142857142859</v>
      </c>
      <c r="E28" s="49">
        <f>0.6*(AVERAGE('19.8 Kangulumira-Kayunga'!E28,'21.8 Kangulumira-Kayunga'!E28,'20.8 Kangulumira-Kayunga'!E28,'22.8 Kaangulumira-Kayunga'!E28,'23.8 Kangulumira-Kayunga'!E28,'24.8 Kangulumira-Kayunga'!E28,'25.8 Kangulumira-Kayunga'!E28))</f>
        <v>2.8285714285714287</v>
      </c>
      <c r="F28" s="49">
        <f>AVERAGE('19.8 Kangulumira-Kayunga'!F28,'21.8 Kangulumira-Kayunga'!F28,'20.8 Kangulumira-Kayunga'!F28,'22.8 Kaangulumira-Kayunga'!F28,'23.8 Kangulumira-Kayunga'!F28,'24.8 Kangulumira-Kayunga'!F28,'25.8 Kangulumira-Kayunga'!F28)</f>
        <v>4.1428571428571432</v>
      </c>
      <c r="G28" s="49">
        <f>AVERAGE('19.8 Kangulumira-Kayunga'!G28,'21.8 Kangulumira-Kayunga'!G28,'20.8 Kangulumira-Kayunga'!G28,'22.8 Kaangulumira-Kayunga'!G28,'23.8 Kangulumira-Kayunga'!G28,'24.8 Kangulumira-Kayunga'!G28,'25.8 Kangulumira-Kayunga'!G28)</f>
        <v>0.42857142857142855</v>
      </c>
      <c r="H28" s="49">
        <f>AVERAGE('19.8 Kangulumira-Kayunga'!H28,'21.8 Kangulumira-Kayunga'!H28,'20.8 Kangulumira-Kayunga'!H28,'22.8 Kaangulumira-Kayunga'!H28,'23.8 Kangulumira-Kayunga'!H28,'24.8 Kangulumira-Kayunga'!H28,'25.8 Kangulumira-Kayunga'!H28)</f>
        <v>0.42857142857142855</v>
      </c>
      <c r="I28" s="49">
        <f>AVERAGE('19.8 Kangulumira-Kayunga'!I28,'21.8 Kangulumira-Kayunga'!I28,'20.8 Kangulumira-Kayunga'!I28,'22.8 Kaangulumira-Kayunga'!I28,'23.8 Kangulumira-Kayunga'!I28,'24.8 Kangulumira-Kayunga'!I28,'25.8 Kangulumira-Kayunga'!I28)</f>
        <v>4.5714285714285712</v>
      </c>
      <c r="J28" s="49">
        <f>AVERAGE('19.8 Kangulumira-Kayunga'!J28,'21.8 Kangulumira-Kayunga'!J28,'20.8 Kangulumira-Kayunga'!J28,'22.8 Kaangulumira-Kayunga'!J28,'23.8 Kangulumira-Kayunga'!J28,'24.8 Kangulumira-Kayunga'!J28,'25.8 Kangulumira-Kayunga'!J28)</f>
        <v>0.5714285714285714</v>
      </c>
      <c r="K28" s="49">
        <f>AVERAGE('19.8 Kangulumira-Kayunga'!K28,'21.8 Kangulumira-Kayunga'!K28,'20.8 Kangulumira-Kayunga'!K28,'22.8 Kaangulumira-Kayunga'!K28,'23.8 Kangulumira-Kayunga'!K28,'24.8 Kangulumira-Kayunga'!K28,'25.8 Kangulumira-Kayunga'!K28)</f>
        <v>0.42857142857142855</v>
      </c>
      <c r="L28" s="49">
        <f>AVERAGE('19.8 Kangulumira-Kayunga'!L28,'21.8 Kangulumira-Kayunga'!L28,'20.8 Kangulumira-Kayunga'!L28,'22.8 Kaangulumira-Kayunga'!L28,'23.8 Kangulumira-Kayunga'!L28,'24.8 Kangulumira-Kayunga'!L28,'25.8 Kangulumira-Kayunga'!L28)</f>
        <v>0.2857142857142857</v>
      </c>
      <c r="M28" s="49">
        <f>AVERAGE('19.8 Kangulumira-Kayunga'!M28,'21.8 Kangulumira-Kayunga'!M28,'20.8 Kangulumira-Kayunga'!M28,'22.8 Kaangulumira-Kayunga'!M28,'23.8 Kangulumira-Kayunga'!M28,'24.8 Kangulumira-Kayunga'!M28,'25.8 Kangulumira-Kayunga'!M28)</f>
        <v>26.857142857142858</v>
      </c>
      <c r="N28" s="49">
        <f>AVERAGE('19.8 Kangulumira-Kayunga'!N28,'21.8 Kangulumira-Kayunga'!N28,'20.8 Kangulumira-Kayunga'!N28,'22.8 Kaangulumira-Kayunga'!N28,'23.8 Kangulumira-Kayunga'!N28,'24.8 Kangulumira-Kayunga'!N28,'25.8 Kangulumira-Kayunga'!N28)</f>
        <v>0</v>
      </c>
      <c r="O28" s="15">
        <f t="shared" si="0"/>
        <v>20.571428571428569</v>
      </c>
      <c r="P28" s="15">
        <f t="shared" si="1"/>
        <v>47.428571428571431</v>
      </c>
      <c r="R28" s="1" t="s">
        <v>152</v>
      </c>
      <c r="S28" s="34">
        <f>SUM(C82:C85)</f>
        <v>4</v>
      </c>
      <c r="T28" s="34">
        <f t="shared" ref="T28:AF28" si="20">SUM(D82:D85)</f>
        <v>2.4</v>
      </c>
      <c r="U28" s="34">
        <f t="shared" si="20"/>
        <v>3.6</v>
      </c>
      <c r="V28" s="34">
        <f t="shared" si="20"/>
        <v>5</v>
      </c>
      <c r="W28" s="34">
        <f t="shared" si="20"/>
        <v>1</v>
      </c>
      <c r="X28" s="34">
        <f t="shared" si="20"/>
        <v>2</v>
      </c>
      <c r="Y28" s="34">
        <f t="shared" si="20"/>
        <v>2</v>
      </c>
      <c r="Z28" s="34">
        <f t="shared" si="20"/>
        <v>2</v>
      </c>
      <c r="AA28" s="34">
        <f t="shared" si="20"/>
        <v>1</v>
      </c>
      <c r="AB28" s="34">
        <f t="shared" si="20"/>
        <v>1</v>
      </c>
      <c r="AC28" s="34">
        <f t="shared" si="20"/>
        <v>0</v>
      </c>
      <c r="AD28" s="34">
        <f t="shared" si="20"/>
        <v>0</v>
      </c>
      <c r="AE28" s="31">
        <f t="shared" si="20"/>
        <v>24</v>
      </c>
      <c r="AF28" s="31">
        <f t="shared" si="20"/>
        <v>24</v>
      </c>
    </row>
    <row r="29" spans="2:32" ht="23.1" customHeight="1" x14ac:dyDescent="0.25">
      <c r="B29" s="23" t="s">
        <v>56</v>
      </c>
      <c r="C29" s="49">
        <f>AVERAGE('19.8 Kangulumira-Kayunga'!C29,'21.8 Kangulumira-Kayunga'!C29,'20.8 Kangulumira-Kayunga'!C29,'22.8 Kaangulumira-Kayunga'!C29,'23.8 Kangulumira-Kayunga'!C29,'24.8 Kangulumira-Kayunga'!C29,'25.8 Kangulumira-Kayunga'!C29)</f>
        <v>5.1428571428571432</v>
      </c>
      <c r="D29" s="49">
        <f>0.4*(AVERAGE('19.8 Kangulumira-Kayunga'!E29,'21.8 Kangulumira-Kayunga'!E29,'20.8 Kangulumira-Kayunga'!E29,'22.8 Kaangulumira-Kayunga'!E29,'23.8 Kangulumira-Kayunga'!E29,'24.8 Kangulumira-Kayunga'!E29,'25.8 Kangulumira-Kayunga'!E29))</f>
        <v>1.4857142857142858</v>
      </c>
      <c r="E29" s="49">
        <f>0.6*(AVERAGE('19.8 Kangulumira-Kayunga'!E29,'21.8 Kangulumira-Kayunga'!E29,'20.8 Kangulumira-Kayunga'!E29,'22.8 Kaangulumira-Kayunga'!E29,'23.8 Kangulumira-Kayunga'!E29,'24.8 Kangulumira-Kayunga'!E29,'25.8 Kangulumira-Kayunga'!E29))</f>
        <v>2.2285714285714286</v>
      </c>
      <c r="F29" s="49">
        <f>AVERAGE('19.8 Kangulumira-Kayunga'!F29,'21.8 Kangulumira-Kayunga'!F29,'20.8 Kangulumira-Kayunga'!F29,'22.8 Kaangulumira-Kayunga'!F29,'23.8 Kangulumira-Kayunga'!F29,'24.8 Kangulumira-Kayunga'!F29,'25.8 Kangulumira-Kayunga'!F29)</f>
        <v>3.7142857142857144</v>
      </c>
      <c r="G29" s="49">
        <f>AVERAGE('19.8 Kangulumira-Kayunga'!G29,'21.8 Kangulumira-Kayunga'!G29,'20.8 Kangulumira-Kayunga'!G29,'22.8 Kaangulumira-Kayunga'!G29,'23.8 Kangulumira-Kayunga'!G29,'24.8 Kangulumira-Kayunga'!G29,'25.8 Kangulumira-Kayunga'!G29)</f>
        <v>0.5714285714285714</v>
      </c>
      <c r="H29" s="49">
        <f>AVERAGE('19.8 Kangulumira-Kayunga'!H29,'21.8 Kangulumira-Kayunga'!H29,'20.8 Kangulumira-Kayunga'!H29,'22.8 Kaangulumira-Kayunga'!H29,'23.8 Kangulumira-Kayunga'!H29,'24.8 Kangulumira-Kayunga'!H29,'25.8 Kangulumira-Kayunga'!H29)</f>
        <v>0</v>
      </c>
      <c r="I29" s="49">
        <f>AVERAGE('19.8 Kangulumira-Kayunga'!I29,'21.8 Kangulumira-Kayunga'!I29,'20.8 Kangulumira-Kayunga'!I29,'22.8 Kaangulumira-Kayunga'!I29,'23.8 Kangulumira-Kayunga'!I29,'24.8 Kangulumira-Kayunga'!I29,'25.8 Kangulumira-Kayunga'!I29)</f>
        <v>2.4285714285714284</v>
      </c>
      <c r="J29" s="49">
        <f>AVERAGE('19.8 Kangulumira-Kayunga'!J29,'21.8 Kangulumira-Kayunga'!J29,'20.8 Kangulumira-Kayunga'!J29,'22.8 Kaangulumira-Kayunga'!J29,'23.8 Kangulumira-Kayunga'!J29,'24.8 Kangulumira-Kayunga'!J29,'25.8 Kangulumira-Kayunga'!J29)</f>
        <v>0.2857142857142857</v>
      </c>
      <c r="K29" s="49">
        <f>AVERAGE('19.8 Kangulumira-Kayunga'!K29,'21.8 Kangulumira-Kayunga'!K29,'20.8 Kangulumira-Kayunga'!K29,'22.8 Kaangulumira-Kayunga'!K29,'23.8 Kangulumira-Kayunga'!K29,'24.8 Kangulumira-Kayunga'!K29,'25.8 Kangulumira-Kayunga'!K29)</f>
        <v>0.14285714285714285</v>
      </c>
      <c r="L29" s="49">
        <f>AVERAGE('19.8 Kangulumira-Kayunga'!L29,'21.8 Kangulumira-Kayunga'!L29,'20.8 Kangulumira-Kayunga'!L29,'22.8 Kaangulumira-Kayunga'!L29,'23.8 Kangulumira-Kayunga'!L29,'24.8 Kangulumira-Kayunga'!L29,'25.8 Kangulumira-Kayunga'!L29)</f>
        <v>0.5714285714285714</v>
      </c>
      <c r="M29" s="49">
        <f>AVERAGE('19.8 Kangulumira-Kayunga'!M29,'21.8 Kangulumira-Kayunga'!M29,'20.8 Kangulumira-Kayunga'!M29,'22.8 Kaangulumira-Kayunga'!M29,'23.8 Kangulumira-Kayunga'!M29,'24.8 Kangulumira-Kayunga'!M29,'25.8 Kangulumira-Kayunga'!M29)</f>
        <v>24.285714285714285</v>
      </c>
      <c r="N29" s="49">
        <f>AVERAGE('19.8 Kangulumira-Kayunga'!N29,'21.8 Kangulumira-Kayunga'!N29,'20.8 Kangulumira-Kayunga'!N29,'22.8 Kaangulumira-Kayunga'!N29,'23.8 Kangulumira-Kayunga'!N29,'24.8 Kangulumira-Kayunga'!N29,'25.8 Kangulumira-Kayunga'!N29)</f>
        <v>0</v>
      </c>
      <c r="O29" s="15">
        <f t="shared" si="0"/>
        <v>16.571428571428577</v>
      </c>
      <c r="P29" s="15">
        <f t="shared" si="1"/>
        <v>40.857142857142861</v>
      </c>
      <c r="R29" s="1" t="s">
        <v>153</v>
      </c>
      <c r="S29" s="34">
        <f>SUM(C86:C89)</f>
        <v>1</v>
      </c>
      <c r="T29" s="34">
        <f t="shared" ref="T29:AF29" si="21">SUM(D86:D89)</f>
        <v>0.8</v>
      </c>
      <c r="U29" s="34">
        <f t="shared" si="21"/>
        <v>1.2</v>
      </c>
      <c r="V29" s="34">
        <f t="shared" si="21"/>
        <v>2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3</v>
      </c>
      <c r="AA29" s="34">
        <f t="shared" si="21"/>
        <v>2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15</v>
      </c>
      <c r="AF29" s="31">
        <f t="shared" si="21"/>
        <v>15</v>
      </c>
    </row>
    <row r="30" spans="2:32" ht="23.1" customHeight="1" x14ac:dyDescent="0.25">
      <c r="B30" s="23" t="s">
        <v>57</v>
      </c>
      <c r="C30" s="49">
        <f>AVERAGE('19.8 Kangulumira-Kayunga'!C30,'21.8 Kangulumira-Kayunga'!C30,'20.8 Kangulumira-Kayunga'!C30,'22.8 Kaangulumira-Kayunga'!C30,'23.8 Kangulumira-Kayunga'!C30,'24.8 Kangulumira-Kayunga'!C30,'25.8 Kangulumira-Kayunga'!C30)</f>
        <v>3.8571428571428572</v>
      </c>
      <c r="D30" s="49">
        <f>0.4*(AVERAGE('19.8 Kangulumira-Kayunga'!E30,'21.8 Kangulumira-Kayunga'!E30,'20.8 Kangulumira-Kayunga'!E30,'22.8 Kaangulumira-Kayunga'!E30,'23.8 Kangulumira-Kayunga'!E30,'24.8 Kangulumira-Kayunga'!E30,'25.8 Kangulumira-Kayunga'!E30))</f>
        <v>1.6</v>
      </c>
      <c r="E30" s="49">
        <f>0.6*(AVERAGE('19.8 Kangulumira-Kayunga'!E30,'21.8 Kangulumira-Kayunga'!E30,'20.8 Kangulumira-Kayunga'!E30,'22.8 Kaangulumira-Kayunga'!E30,'23.8 Kangulumira-Kayunga'!E30,'24.8 Kangulumira-Kayunga'!E30,'25.8 Kangulumira-Kayunga'!E30))</f>
        <v>2.4</v>
      </c>
      <c r="F30" s="49">
        <f>AVERAGE('19.8 Kangulumira-Kayunga'!F30,'21.8 Kangulumira-Kayunga'!F30,'20.8 Kangulumira-Kayunga'!F30,'22.8 Kaangulumira-Kayunga'!F30,'23.8 Kangulumira-Kayunga'!F30,'24.8 Kangulumira-Kayunga'!F30,'25.8 Kangulumira-Kayunga'!F30)</f>
        <v>4.2857142857142856</v>
      </c>
      <c r="G30" s="49">
        <f>AVERAGE('19.8 Kangulumira-Kayunga'!G30,'21.8 Kangulumira-Kayunga'!G30,'20.8 Kangulumira-Kayunga'!G30,'22.8 Kaangulumira-Kayunga'!G30,'23.8 Kangulumira-Kayunga'!G30,'24.8 Kangulumira-Kayunga'!G30,'25.8 Kangulumira-Kayunga'!G30)</f>
        <v>0.2857142857142857</v>
      </c>
      <c r="H30" s="49">
        <f>AVERAGE('19.8 Kangulumira-Kayunga'!H30,'21.8 Kangulumira-Kayunga'!H30,'20.8 Kangulumira-Kayunga'!H30,'22.8 Kaangulumira-Kayunga'!H30,'23.8 Kangulumira-Kayunga'!H30,'24.8 Kangulumira-Kayunga'!H30,'25.8 Kangulumira-Kayunga'!H30)</f>
        <v>0</v>
      </c>
      <c r="I30" s="49">
        <f>AVERAGE('19.8 Kangulumira-Kayunga'!I30,'21.8 Kangulumira-Kayunga'!I30,'20.8 Kangulumira-Kayunga'!I30,'22.8 Kaangulumira-Kayunga'!I30,'23.8 Kangulumira-Kayunga'!I30,'24.8 Kangulumira-Kayunga'!I30,'25.8 Kangulumira-Kayunga'!I30)</f>
        <v>3.7142857142857144</v>
      </c>
      <c r="J30" s="49">
        <f>AVERAGE('19.8 Kangulumira-Kayunga'!J30,'21.8 Kangulumira-Kayunga'!J30,'20.8 Kangulumira-Kayunga'!J30,'22.8 Kaangulumira-Kayunga'!J30,'23.8 Kangulumira-Kayunga'!J30,'24.8 Kangulumira-Kayunga'!J30,'25.8 Kangulumira-Kayunga'!J30)</f>
        <v>0.2857142857142857</v>
      </c>
      <c r="K30" s="49">
        <f>AVERAGE('19.8 Kangulumira-Kayunga'!K30,'21.8 Kangulumira-Kayunga'!K30,'20.8 Kangulumira-Kayunga'!K30,'22.8 Kaangulumira-Kayunga'!K30,'23.8 Kangulumira-Kayunga'!K30,'24.8 Kangulumira-Kayunga'!K30,'25.8 Kangulumira-Kayunga'!K30)</f>
        <v>0.14285714285714285</v>
      </c>
      <c r="L30" s="49">
        <f>AVERAGE('19.8 Kangulumira-Kayunga'!L30,'21.8 Kangulumira-Kayunga'!L30,'20.8 Kangulumira-Kayunga'!L30,'22.8 Kaangulumira-Kayunga'!L30,'23.8 Kangulumira-Kayunga'!L30,'24.8 Kangulumira-Kayunga'!L30,'25.8 Kangulumira-Kayunga'!L30)</f>
        <v>0.5714285714285714</v>
      </c>
      <c r="M30" s="49">
        <f>AVERAGE('19.8 Kangulumira-Kayunga'!M30,'21.8 Kangulumira-Kayunga'!M30,'20.8 Kangulumira-Kayunga'!M30,'22.8 Kaangulumira-Kayunga'!M30,'23.8 Kangulumira-Kayunga'!M30,'24.8 Kangulumira-Kayunga'!M30,'25.8 Kangulumira-Kayunga'!M30)</f>
        <v>25.714285714285715</v>
      </c>
      <c r="N30" s="49">
        <f>AVERAGE('19.8 Kangulumira-Kayunga'!N30,'21.8 Kangulumira-Kayunga'!N30,'20.8 Kangulumira-Kayunga'!N30,'22.8 Kaangulumira-Kayunga'!N30,'23.8 Kangulumira-Kayunga'!N30,'24.8 Kangulumira-Kayunga'!N30,'25.8 Kangulumira-Kayunga'!N30)</f>
        <v>0</v>
      </c>
      <c r="O30" s="15">
        <f t="shared" si="0"/>
        <v>17.142857142857142</v>
      </c>
      <c r="P30" s="15">
        <f t="shared" si="1"/>
        <v>42.857142857142861</v>
      </c>
      <c r="R30" s="1" t="s">
        <v>154</v>
      </c>
      <c r="S30" s="34">
        <f>SUM(C90:C93)</f>
        <v>0</v>
      </c>
      <c r="T30" s="34">
        <f t="shared" ref="T30:AF30" si="22">SUM(D90:D93)</f>
        <v>0.4</v>
      </c>
      <c r="U30" s="34">
        <f t="shared" si="22"/>
        <v>0.6</v>
      </c>
      <c r="V30" s="34">
        <f t="shared" si="22"/>
        <v>0</v>
      </c>
      <c r="W30" s="34">
        <f t="shared" si="22"/>
        <v>1</v>
      </c>
      <c r="X30" s="34">
        <f t="shared" si="22"/>
        <v>1</v>
      </c>
      <c r="Y30" s="34">
        <f t="shared" si="22"/>
        <v>0</v>
      </c>
      <c r="Z30" s="34">
        <f t="shared" si="22"/>
        <v>4</v>
      </c>
      <c r="AA30" s="34">
        <f t="shared" si="22"/>
        <v>3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11</v>
      </c>
      <c r="AF30" s="31">
        <f t="shared" si="22"/>
        <v>11</v>
      </c>
    </row>
    <row r="31" spans="2:32" ht="23.1" customHeight="1" x14ac:dyDescent="0.25">
      <c r="B31" s="24" t="s">
        <v>58</v>
      </c>
      <c r="C31" s="49">
        <f>AVERAGE('19.8 Kangulumira-Kayunga'!C31,'21.8 Kangulumira-Kayunga'!C31,'20.8 Kangulumira-Kayunga'!C31,'22.8 Kaangulumira-Kayunga'!C31,'23.8 Kangulumira-Kayunga'!C31,'24.8 Kangulumira-Kayunga'!C31,'25.8 Kangulumira-Kayunga'!C31)</f>
        <v>6.5714285714285712</v>
      </c>
      <c r="D31" s="49">
        <f>0.4*(AVERAGE('19.8 Kangulumira-Kayunga'!E31,'21.8 Kangulumira-Kayunga'!E31,'20.8 Kangulumira-Kayunga'!E31,'22.8 Kaangulumira-Kayunga'!E31,'23.8 Kangulumira-Kayunga'!E31,'24.8 Kangulumira-Kayunga'!E31,'25.8 Kangulumira-Kayunga'!E31))</f>
        <v>1.7142857142857144</v>
      </c>
      <c r="E31" s="49">
        <f>0.6*(AVERAGE('19.8 Kangulumira-Kayunga'!E31,'21.8 Kangulumira-Kayunga'!E31,'20.8 Kangulumira-Kayunga'!E31,'22.8 Kaangulumira-Kayunga'!E31,'23.8 Kangulumira-Kayunga'!E31,'24.8 Kangulumira-Kayunga'!E31,'25.8 Kangulumira-Kayunga'!E31))</f>
        <v>2.5714285714285712</v>
      </c>
      <c r="F31" s="49">
        <f>AVERAGE('19.8 Kangulumira-Kayunga'!F31,'21.8 Kangulumira-Kayunga'!F31,'20.8 Kangulumira-Kayunga'!F31,'22.8 Kaangulumira-Kayunga'!F31,'23.8 Kangulumira-Kayunga'!F31,'24.8 Kangulumira-Kayunga'!F31,'25.8 Kangulumira-Kayunga'!F31)</f>
        <v>4.1428571428571432</v>
      </c>
      <c r="G31" s="49">
        <f>AVERAGE('19.8 Kangulumira-Kayunga'!G31,'21.8 Kangulumira-Kayunga'!G31,'20.8 Kangulumira-Kayunga'!G31,'22.8 Kaangulumira-Kayunga'!G31,'23.8 Kangulumira-Kayunga'!G31,'24.8 Kangulumira-Kayunga'!G31,'25.8 Kangulumira-Kayunga'!G31)</f>
        <v>0.7142857142857143</v>
      </c>
      <c r="H31" s="49">
        <f>AVERAGE('19.8 Kangulumira-Kayunga'!H31,'21.8 Kangulumira-Kayunga'!H31,'20.8 Kangulumira-Kayunga'!H31,'22.8 Kaangulumira-Kayunga'!H31,'23.8 Kangulumira-Kayunga'!H31,'24.8 Kangulumira-Kayunga'!H31,'25.8 Kangulumira-Kayunga'!H31)</f>
        <v>0.14285714285714285</v>
      </c>
      <c r="I31" s="49">
        <f>AVERAGE('19.8 Kangulumira-Kayunga'!I31,'21.8 Kangulumira-Kayunga'!I31,'20.8 Kangulumira-Kayunga'!I31,'22.8 Kaangulumira-Kayunga'!I31,'23.8 Kangulumira-Kayunga'!I31,'24.8 Kangulumira-Kayunga'!I31,'25.8 Kangulumira-Kayunga'!I31)</f>
        <v>3.2857142857142856</v>
      </c>
      <c r="J31" s="49">
        <f>AVERAGE('19.8 Kangulumira-Kayunga'!J31,'21.8 Kangulumira-Kayunga'!J31,'20.8 Kangulumira-Kayunga'!J31,'22.8 Kaangulumira-Kayunga'!J31,'23.8 Kangulumira-Kayunga'!J31,'24.8 Kangulumira-Kayunga'!J31,'25.8 Kangulumira-Kayunga'!J31)</f>
        <v>0.14285714285714285</v>
      </c>
      <c r="K31" s="49">
        <f>AVERAGE('19.8 Kangulumira-Kayunga'!K31,'21.8 Kangulumira-Kayunga'!K31,'20.8 Kangulumira-Kayunga'!K31,'22.8 Kaangulumira-Kayunga'!K31,'23.8 Kangulumira-Kayunga'!K31,'24.8 Kangulumira-Kayunga'!K31,'25.8 Kangulumira-Kayunga'!K31)</f>
        <v>0.2857142857142857</v>
      </c>
      <c r="L31" s="49">
        <f>AVERAGE('19.8 Kangulumira-Kayunga'!L31,'21.8 Kangulumira-Kayunga'!L31,'20.8 Kangulumira-Kayunga'!L31,'22.8 Kaangulumira-Kayunga'!L31,'23.8 Kangulumira-Kayunga'!L31,'24.8 Kangulumira-Kayunga'!L31,'25.8 Kangulumira-Kayunga'!L31)</f>
        <v>0.2857142857142857</v>
      </c>
      <c r="M31" s="49">
        <f>AVERAGE('19.8 Kangulumira-Kayunga'!M31,'21.8 Kangulumira-Kayunga'!M31,'20.8 Kangulumira-Kayunga'!M31,'22.8 Kaangulumira-Kayunga'!M31,'23.8 Kangulumira-Kayunga'!M31,'24.8 Kangulumira-Kayunga'!M31,'25.8 Kangulumira-Kayunga'!M31)</f>
        <v>25.857142857142858</v>
      </c>
      <c r="N31" s="49">
        <f>AVERAGE('19.8 Kangulumira-Kayunga'!N31,'21.8 Kangulumira-Kayunga'!N31,'20.8 Kangulumira-Kayunga'!N31,'22.8 Kaangulumira-Kayunga'!N31,'23.8 Kangulumira-Kayunga'!N31,'24.8 Kangulumira-Kayunga'!N31,'25.8 Kangulumira-Kayunga'!N31)</f>
        <v>0</v>
      </c>
      <c r="O31" s="15">
        <f t="shared" si="0"/>
        <v>19.857142857142854</v>
      </c>
      <c r="P31" s="15">
        <f t="shared" si="1"/>
        <v>45.714285714285708</v>
      </c>
      <c r="R31" s="1" t="s">
        <v>155</v>
      </c>
      <c r="S31" s="34">
        <f>SUM(C94:C97)</f>
        <v>0</v>
      </c>
      <c r="T31" s="34">
        <f t="shared" ref="T31:AF31" si="23">SUM(D94:D97)</f>
        <v>1.6</v>
      </c>
      <c r="U31" s="34">
        <f t="shared" si="23"/>
        <v>2.4</v>
      </c>
      <c r="V31" s="34">
        <f t="shared" si="23"/>
        <v>0</v>
      </c>
      <c r="W31" s="34">
        <f t="shared" si="23"/>
        <v>1</v>
      </c>
      <c r="X31" s="34">
        <f t="shared" si="23"/>
        <v>3</v>
      </c>
      <c r="Y31" s="34">
        <f t="shared" si="23"/>
        <v>0</v>
      </c>
      <c r="Z31" s="34">
        <f t="shared" si="23"/>
        <v>2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14</v>
      </c>
      <c r="AF31" s="31">
        <f t="shared" si="23"/>
        <v>14</v>
      </c>
    </row>
    <row r="32" spans="2:32" ht="23.1" customHeight="1" x14ac:dyDescent="0.25">
      <c r="B32" s="24" t="s">
        <v>59</v>
      </c>
      <c r="C32" s="49">
        <f>AVERAGE('19.8 Kangulumira-Kayunga'!C32,'21.8 Kangulumira-Kayunga'!C32,'20.8 Kangulumira-Kayunga'!C32,'22.8 Kaangulumira-Kayunga'!C32,'23.8 Kangulumira-Kayunga'!C32,'24.8 Kangulumira-Kayunga'!C32,'25.8 Kangulumira-Kayunga'!C32)</f>
        <v>4.7142857142857144</v>
      </c>
      <c r="D32" s="49">
        <f>0.4*(AVERAGE('19.8 Kangulumira-Kayunga'!E32,'21.8 Kangulumira-Kayunga'!E32,'20.8 Kangulumira-Kayunga'!E32,'22.8 Kaangulumira-Kayunga'!E32,'23.8 Kangulumira-Kayunga'!E32,'24.8 Kangulumira-Kayunga'!E32,'25.8 Kangulumira-Kayunga'!E32))</f>
        <v>1.6</v>
      </c>
      <c r="E32" s="49">
        <f>0.6*(AVERAGE('19.8 Kangulumira-Kayunga'!E32,'21.8 Kangulumira-Kayunga'!E32,'20.8 Kangulumira-Kayunga'!E32,'22.8 Kaangulumira-Kayunga'!E32,'23.8 Kangulumira-Kayunga'!E32,'24.8 Kangulumira-Kayunga'!E32,'25.8 Kangulumira-Kayunga'!E32))</f>
        <v>2.4</v>
      </c>
      <c r="F32" s="49">
        <f>AVERAGE('19.8 Kangulumira-Kayunga'!F32,'21.8 Kangulumira-Kayunga'!F32,'20.8 Kangulumira-Kayunga'!F32,'22.8 Kaangulumira-Kayunga'!F32,'23.8 Kangulumira-Kayunga'!F32,'24.8 Kangulumira-Kayunga'!F32,'25.8 Kangulumira-Kayunga'!F32)</f>
        <v>4.7142857142857144</v>
      </c>
      <c r="G32" s="49">
        <f>AVERAGE('19.8 Kangulumira-Kayunga'!G32,'21.8 Kangulumira-Kayunga'!G32,'20.8 Kangulumira-Kayunga'!G32,'22.8 Kaangulumira-Kayunga'!G32,'23.8 Kangulumira-Kayunga'!G32,'24.8 Kangulumira-Kayunga'!G32,'25.8 Kangulumira-Kayunga'!G32)</f>
        <v>0</v>
      </c>
      <c r="H32" s="49">
        <f>AVERAGE('19.8 Kangulumira-Kayunga'!H32,'21.8 Kangulumira-Kayunga'!H32,'20.8 Kangulumira-Kayunga'!H32,'22.8 Kaangulumira-Kayunga'!H32,'23.8 Kangulumira-Kayunga'!H32,'24.8 Kangulumira-Kayunga'!H32,'25.8 Kangulumira-Kayunga'!H32)</f>
        <v>0</v>
      </c>
      <c r="I32" s="49">
        <f>AVERAGE('19.8 Kangulumira-Kayunga'!I32,'21.8 Kangulumira-Kayunga'!I32,'20.8 Kangulumira-Kayunga'!I32,'22.8 Kaangulumira-Kayunga'!I32,'23.8 Kangulumira-Kayunga'!I32,'24.8 Kangulumira-Kayunga'!I32,'25.8 Kangulumira-Kayunga'!I32)</f>
        <v>3.5714285714285716</v>
      </c>
      <c r="J32" s="49">
        <f>AVERAGE('19.8 Kangulumira-Kayunga'!J32,'21.8 Kangulumira-Kayunga'!J32,'20.8 Kangulumira-Kayunga'!J32,'22.8 Kaangulumira-Kayunga'!J32,'23.8 Kangulumira-Kayunga'!J32,'24.8 Kangulumira-Kayunga'!J32,'25.8 Kangulumira-Kayunga'!J32)</f>
        <v>0.14285714285714285</v>
      </c>
      <c r="K32" s="49">
        <f>AVERAGE('19.8 Kangulumira-Kayunga'!K32,'21.8 Kangulumira-Kayunga'!K32,'20.8 Kangulumira-Kayunga'!K32,'22.8 Kaangulumira-Kayunga'!K32,'23.8 Kangulumira-Kayunga'!K32,'24.8 Kangulumira-Kayunga'!K32,'25.8 Kangulumira-Kayunga'!K32)</f>
        <v>0.42857142857142855</v>
      </c>
      <c r="L32" s="49">
        <f>AVERAGE('19.8 Kangulumira-Kayunga'!L32,'21.8 Kangulumira-Kayunga'!L32,'20.8 Kangulumira-Kayunga'!L32,'22.8 Kaangulumira-Kayunga'!L32,'23.8 Kangulumira-Kayunga'!L32,'24.8 Kangulumira-Kayunga'!L32,'25.8 Kangulumira-Kayunga'!L32)</f>
        <v>0</v>
      </c>
      <c r="M32" s="49">
        <f>AVERAGE('19.8 Kangulumira-Kayunga'!M32,'21.8 Kangulumira-Kayunga'!M32,'20.8 Kangulumira-Kayunga'!M32,'22.8 Kaangulumira-Kayunga'!M32,'23.8 Kangulumira-Kayunga'!M32,'24.8 Kangulumira-Kayunga'!M32,'25.8 Kangulumira-Kayunga'!M32)</f>
        <v>27</v>
      </c>
      <c r="N32" s="49">
        <f>AVERAGE('19.8 Kangulumira-Kayunga'!N32,'21.8 Kangulumira-Kayunga'!N32,'20.8 Kangulumira-Kayunga'!N32,'22.8 Kaangulumira-Kayunga'!N32,'23.8 Kangulumira-Kayunga'!N32,'24.8 Kangulumira-Kayunga'!N32,'25.8 Kangulumira-Kayunga'!N32)</f>
        <v>0</v>
      </c>
      <c r="O32" s="15">
        <f t="shared" si="0"/>
        <v>17.571428571428573</v>
      </c>
      <c r="P32" s="15">
        <f t="shared" si="1"/>
        <v>44.571428571428569</v>
      </c>
      <c r="R32" s="1" t="s">
        <v>156</v>
      </c>
      <c r="S32" s="34">
        <f>SUM(C98:C101)</f>
        <v>2</v>
      </c>
      <c r="T32" s="34">
        <f t="shared" ref="T32:AF32" si="24">SUM(D98:D101)</f>
        <v>1.6</v>
      </c>
      <c r="U32" s="34">
        <f t="shared" si="24"/>
        <v>2.4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3</v>
      </c>
      <c r="AA32" s="34">
        <f t="shared" si="24"/>
        <v>0</v>
      </c>
      <c r="AB32" s="34">
        <f t="shared" si="24"/>
        <v>1</v>
      </c>
      <c r="AC32" s="34">
        <f t="shared" si="24"/>
        <v>0</v>
      </c>
      <c r="AD32" s="34">
        <f t="shared" si="24"/>
        <v>0</v>
      </c>
      <c r="AE32" s="31">
        <f t="shared" si="24"/>
        <v>10</v>
      </c>
      <c r="AF32" s="31">
        <f t="shared" si="24"/>
        <v>10</v>
      </c>
    </row>
    <row r="33" spans="2:32" ht="23.1" customHeight="1" x14ac:dyDescent="0.25">
      <c r="B33" s="23" t="s">
        <v>60</v>
      </c>
      <c r="C33" s="49">
        <f>AVERAGE('19.8 Kangulumira-Kayunga'!C33,'21.8 Kangulumira-Kayunga'!C33,'20.8 Kangulumira-Kayunga'!C33,'22.8 Kaangulumira-Kayunga'!C33,'23.8 Kangulumira-Kayunga'!C33,'24.8 Kangulumira-Kayunga'!C33,'25.8 Kangulumira-Kayunga'!C33)</f>
        <v>6</v>
      </c>
      <c r="D33" s="49">
        <f>0.4*(AVERAGE('19.8 Kangulumira-Kayunga'!E33,'21.8 Kangulumira-Kayunga'!E33,'20.8 Kangulumira-Kayunga'!E33,'22.8 Kaangulumira-Kayunga'!E33,'23.8 Kangulumira-Kayunga'!E33,'24.8 Kangulumira-Kayunga'!E33,'25.8 Kangulumira-Kayunga'!E33))</f>
        <v>1.8285714285714285</v>
      </c>
      <c r="E33" s="49">
        <f>0.6*(AVERAGE('19.8 Kangulumira-Kayunga'!E33,'21.8 Kangulumira-Kayunga'!E33,'20.8 Kangulumira-Kayunga'!E33,'22.8 Kaangulumira-Kayunga'!E33,'23.8 Kangulumira-Kayunga'!E33,'24.8 Kangulumira-Kayunga'!E33,'25.8 Kangulumira-Kayunga'!E33))</f>
        <v>2.7428571428571424</v>
      </c>
      <c r="F33" s="49">
        <f>AVERAGE('19.8 Kangulumira-Kayunga'!F33,'21.8 Kangulumira-Kayunga'!F33,'20.8 Kangulumira-Kayunga'!F33,'22.8 Kaangulumira-Kayunga'!F33,'23.8 Kangulumira-Kayunga'!F33,'24.8 Kangulumira-Kayunga'!F33,'25.8 Kangulumira-Kayunga'!F33)</f>
        <v>4</v>
      </c>
      <c r="G33" s="49">
        <f>AVERAGE('19.8 Kangulumira-Kayunga'!G33,'21.8 Kangulumira-Kayunga'!G33,'20.8 Kangulumira-Kayunga'!G33,'22.8 Kaangulumira-Kayunga'!G33,'23.8 Kangulumira-Kayunga'!G33,'24.8 Kangulumira-Kayunga'!G33,'25.8 Kangulumira-Kayunga'!G33)</f>
        <v>0.14285714285714285</v>
      </c>
      <c r="H33" s="49">
        <f>AVERAGE('19.8 Kangulumira-Kayunga'!H33,'21.8 Kangulumira-Kayunga'!H33,'20.8 Kangulumira-Kayunga'!H33,'22.8 Kaangulumira-Kayunga'!H33,'23.8 Kangulumira-Kayunga'!H33,'24.8 Kangulumira-Kayunga'!H33,'25.8 Kangulumira-Kayunga'!H33)</f>
        <v>0</v>
      </c>
      <c r="I33" s="49">
        <f>AVERAGE('19.8 Kangulumira-Kayunga'!I33,'21.8 Kangulumira-Kayunga'!I33,'20.8 Kangulumira-Kayunga'!I33,'22.8 Kaangulumira-Kayunga'!I33,'23.8 Kangulumira-Kayunga'!I33,'24.8 Kangulumira-Kayunga'!I33,'25.8 Kangulumira-Kayunga'!I33)</f>
        <v>2.7142857142857144</v>
      </c>
      <c r="J33" s="49">
        <f>AVERAGE('19.8 Kangulumira-Kayunga'!J33,'21.8 Kangulumira-Kayunga'!J33,'20.8 Kangulumira-Kayunga'!J33,'22.8 Kaangulumira-Kayunga'!J33,'23.8 Kangulumira-Kayunga'!J33,'24.8 Kangulumira-Kayunga'!J33,'25.8 Kangulumira-Kayunga'!J33)</f>
        <v>0.42857142857142855</v>
      </c>
      <c r="K33" s="49">
        <f>AVERAGE('19.8 Kangulumira-Kayunga'!K33,'21.8 Kangulumira-Kayunga'!K33,'20.8 Kangulumira-Kayunga'!K33,'22.8 Kaangulumira-Kayunga'!K33,'23.8 Kangulumira-Kayunga'!K33,'24.8 Kangulumira-Kayunga'!K33,'25.8 Kangulumira-Kayunga'!K33)</f>
        <v>0.5714285714285714</v>
      </c>
      <c r="L33" s="49">
        <f>AVERAGE('19.8 Kangulumira-Kayunga'!L33,'21.8 Kangulumira-Kayunga'!L33,'20.8 Kangulumira-Kayunga'!L33,'22.8 Kaangulumira-Kayunga'!L33,'23.8 Kangulumira-Kayunga'!L33,'24.8 Kangulumira-Kayunga'!L33,'25.8 Kangulumira-Kayunga'!L33)</f>
        <v>0</v>
      </c>
      <c r="M33" s="49">
        <f>AVERAGE('19.8 Kangulumira-Kayunga'!M33,'21.8 Kangulumira-Kayunga'!M33,'20.8 Kangulumira-Kayunga'!M33,'22.8 Kaangulumira-Kayunga'!M33,'23.8 Kangulumira-Kayunga'!M33,'24.8 Kangulumira-Kayunga'!M33,'25.8 Kangulumira-Kayunga'!M33)</f>
        <v>25.857142857142858</v>
      </c>
      <c r="N33" s="49">
        <f>AVERAGE('19.8 Kangulumira-Kayunga'!N33,'21.8 Kangulumira-Kayunga'!N33,'20.8 Kangulumira-Kayunga'!N33,'22.8 Kaangulumira-Kayunga'!N33,'23.8 Kangulumira-Kayunga'!N33,'24.8 Kangulumira-Kayunga'!N33,'25.8 Kangulumira-Kayunga'!N33)</f>
        <v>0</v>
      </c>
      <c r="O33" s="15">
        <f t="shared" si="0"/>
        <v>18.428571428571427</v>
      </c>
      <c r="P33" s="15">
        <f t="shared" si="1"/>
        <v>44.285714285714285</v>
      </c>
      <c r="R33" s="1" t="s">
        <v>157</v>
      </c>
      <c r="S33" s="34">
        <f>SUM(C102:C105)</f>
        <v>2</v>
      </c>
      <c r="T33" s="34">
        <f t="shared" ref="T33:AF33" si="25">SUM(D102:D105)</f>
        <v>2</v>
      </c>
      <c r="U33" s="34">
        <f t="shared" si="25"/>
        <v>3</v>
      </c>
      <c r="V33" s="34">
        <f t="shared" si="25"/>
        <v>2</v>
      </c>
      <c r="W33" s="34">
        <f t="shared" si="25"/>
        <v>1</v>
      </c>
      <c r="X33" s="34">
        <f t="shared" si="25"/>
        <v>2</v>
      </c>
      <c r="Y33" s="34">
        <f t="shared" si="25"/>
        <v>3</v>
      </c>
      <c r="Z33" s="34">
        <f t="shared" si="25"/>
        <v>4</v>
      </c>
      <c r="AA33" s="34">
        <f t="shared" si="25"/>
        <v>4</v>
      </c>
      <c r="AB33" s="34">
        <f t="shared" si="25"/>
        <v>1</v>
      </c>
      <c r="AC33" s="34">
        <f t="shared" si="25"/>
        <v>3</v>
      </c>
      <c r="AD33" s="34">
        <f t="shared" si="25"/>
        <v>0</v>
      </c>
      <c r="AE33" s="31">
        <f t="shared" si="25"/>
        <v>24</v>
      </c>
      <c r="AF33" s="31">
        <f t="shared" si="25"/>
        <v>27</v>
      </c>
    </row>
    <row r="34" spans="2:32" ht="23.1" customHeight="1" x14ac:dyDescent="0.25">
      <c r="B34" s="24" t="s">
        <v>61</v>
      </c>
      <c r="C34" s="49">
        <f>AVERAGE('19.8 Kangulumira-Kayunga'!C34,'21.8 Kangulumira-Kayunga'!C34,'20.8 Kangulumira-Kayunga'!C34,'22.8 Kaangulumira-Kayunga'!C34,'23.8 Kangulumira-Kayunga'!C34,'24.8 Kangulumira-Kayunga'!C34,'25.8 Kangulumira-Kayunga'!C34)</f>
        <v>3.8571428571428572</v>
      </c>
      <c r="D34" s="49">
        <f>0.4*(AVERAGE('19.8 Kangulumira-Kayunga'!E34,'21.8 Kangulumira-Kayunga'!E34,'20.8 Kangulumira-Kayunga'!E34,'22.8 Kaangulumira-Kayunga'!E34,'23.8 Kangulumira-Kayunga'!E34,'24.8 Kangulumira-Kayunga'!E34,'25.8 Kangulumira-Kayunga'!E34))</f>
        <v>1.7142857142857144</v>
      </c>
      <c r="E34" s="49">
        <f>0.6*(AVERAGE('19.8 Kangulumira-Kayunga'!E34,'21.8 Kangulumira-Kayunga'!E34,'20.8 Kangulumira-Kayunga'!E34,'22.8 Kaangulumira-Kayunga'!E34,'23.8 Kangulumira-Kayunga'!E34,'24.8 Kangulumira-Kayunga'!E34,'25.8 Kangulumira-Kayunga'!E34))</f>
        <v>2.5714285714285712</v>
      </c>
      <c r="F34" s="49">
        <f>AVERAGE('19.8 Kangulumira-Kayunga'!F34,'21.8 Kangulumira-Kayunga'!F34,'20.8 Kangulumira-Kayunga'!F34,'22.8 Kaangulumira-Kayunga'!F34,'23.8 Kangulumira-Kayunga'!F34,'24.8 Kangulumira-Kayunga'!F34,'25.8 Kangulumira-Kayunga'!F34)</f>
        <v>5.1428571428571432</v>
      </c>
      <c r="G34" s="49">
        <f>AVERAGE('19.8 Kangulumira-Kayunga'!G34,'21.8 Kangulumira-Kayunga'!G34,'20.8 Kangulumira-Kayunga'!G34,'22.8 Kaangulumira-Kayunga'!G34,'23.8 Kangulumira-Kayunga'!G34,'24.8 Kangulumira-Kayunga'!G34,'25.8 Kangulumira-Kayunga'!G34)</f>
        <v>0</v>
      </c>
      <c r="H34" s="49">
        <f>AVERAGE('19.8 Kangulumira-Kayunga'!H34,'21.8 Kangulumira-Kayunga'!H34,'20.8 Kangulumira-Kayunga'!H34,'22.8 Kaangulumira-Kayunga'!H34,'23.8 Kangulumira-Kayunga'!H34,'24.8 Kangulumira-Kayunga'!H34,'25.8 Kangulumira-Kayunga'!H34)</f>
        <v>0</v>
      </c>
      <c r="I34" s="49">
        <f>AVERAGE('19.8 Kangulumira-Kayunga'!I34,'21.8 Kangulumira-Kayunga'!I34,'20.8 Kangulumira-Kayunga'!I34,'22.8 Kaangulumira-Kayunga'!I34,'23.8 Kangulumira-Kayunga'!I34,'24.8 Kangulumira-Kayunga'!I34,'25.8 Kangulumira-Kayunga'!I34)</f>
        <v>3.1428571428571428</v>
      </c>
      <c r="J34" s="49">
        <f>AVERAGE('19.8 Kangulumira-Kayunga'!J34,'21.8 Kangulumira-Kayunga'!J34,'20.8 Kangulumira-Kayunga'!J34,'22.8 Kaangulumira-Kayunga'!J34,'23.8 Kangulumira-Kayunga'!J34,'24.8 Kangulumira-Kayunga'!J34,'25.8 Kangulumira-Kayunga'!J34)</f>
        <v>0.42857142857142855</v>
      </c>
      <c r="K34" s="49">
        <f>AVERAGE('19.8 Kangulumira-Kayunga'!K34,'21.8 Kangulumira-Kayunga'!K34,'20.8 Kangulumira-Kayunga'!K34,'22.8 Kaangulumira-Kayunga'!K34,'23.8 Kangulumira-Kayunga'!K34,'24.8 Kangulumira-Kayunga'!K34,'25.8 Kangulumira-Kayunga'!K34)</f>
        <v>0.5714285714285714</v>
      </c>
      <c r="L34" s="49">
        <f>AVERAGE('19.8 Kangulumira-Kayunga'!L34,'21.8 Kangulumira-Kayunga'!L34,'20.8 Kangulumira-Kayunga'!L34,'22.8 Kaangulumira-Kayunga'!L34,'23.8 Kangulumira-Kayunga'!L34,'24.8 Kangulumira-Kayunga'!L34,'25.8 Kangulumira-Kayunga'!L34)</f>
        <v>0.14285714285714285</v>
      </c>
      <c r="M34" s="49">
        <f>AVERAGE('19.8 Kangulumira-Kayunga'!M34,'21.8 Kangulumira-Kayunga'!M34,'20.8 Kangulumira-Kayunga'!M34,'22.8 Kaangulumira-Kayunga'!M34,'23.8 Kangulumira-Kayunga'!M34,'24.8 Kangulumira-Kayunga'!M34,'25.8 Kangulumira-Kayunga'!M34)</f>
        <v>27.714285714285715</v>
      </c>
      <c r="N34" s="49">
        <f>AVERAGE('19.8 Kangulumira-Kayunga'!N34,'21.8 Kangulumira-Kayunga'!N34,'20.8 Kangulumira-Kayunga'!N34,'22.8 Kaangulumira-Kayunga'!N34,'23.8 Kangulumira-Kayunga'!N34,'24.8 Kangulumira-Kayunga'!N34,'25.8 Kangulumira-Kayunga'!N34)</f>
        <v>0</v>
      </c>
      <c r="O34" s="15">
        <f t="shared" si="0"/>
        <v>17.571428571428569</v>
      </c>
      <c r="P34" s="15">
        <f t="shared" si="1"/>
        <v>45.285714285714285</v>
      </c>
      <c r="R34" s="51" t="s">
        <v>90</v>
      </c>
      <c r="S34" s="52">
        <f t="shared" ref="S34:AF34" si="26">MAX(S10:S12)</f>
        <v>17</v>
      </c>
      <c r="T34" s="52">
        <f t="shared" si="26"/>
        <v>6.628571428571429</v>
      </c>
      <c r="U34" s="52">
        <f t="shared" si="26"/>
        <v>9.9428571428571413</v>
      </c>
      <c r="V34" s="52">
        <f t="shared" si="26"/>
        <v>16.857142857142858</v>
      </c>
      <c r="W34" s="52">
        <f t="shared" si="26"/>
        <v>1</v>
      </c>
      <c r="X34" s="52">
        <f t="shared" si="26"/>
        <v>0.5714285714285714</v>
      </c>
      <c r="Y34" s="52">
        <f t="shared" si="26"/>
        <v>7.7142857142857144</v>
      </c>
      <c r="Z34" s="52">
        <f t="shared" si="26"/>
        <v>2.4285714285714284</v>
      </c>
      <c r="AA34" s="52">
        <f t="shared" si="26"/>
        <v>3.9999999999999996</v>
      </c>
      <c r="AB34" s="52">
        <f t="shared" si="26"/>
        <v>2.1428571428571428</v>
      </c>
      <c r="AC34" s="52">
        <f t="shared" si="26"/>
        <v>87.571428571428569</v>
      </c>
      <c r="AD34" s="52">
        <f t="shared" si="26"/>
        <v>0.14285714285714285</v>
      </c>
      <c r="AE34" s="40">
        <f t="shared" si="26"/>
        <v>60</v>
      </c>
      <c r="AF34" s="40">
        <f t="shared" si="26"/>
        <v>146.71428571428572</v>
      </c>
    </row>
    <row r="35" spans="2:32" ht="23.1" customHeight="1" x14ac:dyDescent="0.25">
      <c r="B35" s="24" t="s">
        <v>62</v>
      </c>
      <c r="C35" s="49">
        <f>AVERAGE('19.8 Kangulumira-Kayunga'!C35,'21.8 Kangulumira-Kayunga'!C35,'20.8 Kangulumira-Kayunga'!C35,'22.8 Kaangulumira-Kayunga'!C35,'23.8 Kangulumira-Kayunga'!C35,'24.8 Kangulumira-Kayunga'!C35,'25.8 Kangulumira-Kayunga'!C35)</f>
        <v>4.4285714285714288</v>
      </c>
      <c r="D35" s="49">
        <f>0.4*(AVERAGE('19.8 Kangulumira-Kayunga'!E35,'21.8 Kangulumira-Kayunga'!E35,'20.8 Kangulumira-Kayunga'!E35,'22.8 Kaangulumira-Kayunga'!E35,'23.8 Kangulumira-Kayunga'!E35,'24.8 Kangulumira-Kayunga'!E35,'25.8 Kangulumira-Kayunga'!E35))</f>
        <v>1.6571428571428575</v>
      </c>
      <c r="E35" s="49">
        <f>0.6*(AVERAGE('19.8 Kangulumira-Kayunga'!E35,'21.8 Kangulumira-Kayunga'!E35,'20.8 Kangulumira-Kayunga'!E35,'22.8 Kaangulumira-Kayunga'!E35,'23.8 Kangulumira-Kayunga'!E35,'24.8 Kangulumira-Kayunga'!E35,'25.8 Kangulumira-Kayunga'!E35))</f>
        <v>2.4857142857142858</v>
      </c>
      <c r="F35" s="49">
        <f>AVERAGE('19.8 Kangulumira-Kayunga'!F35,'21.8 Kangulumira-Kayunga'!F35,'20.8 Kangulumira-Kayunga'!F35,'22.8 Kaangulumira-Kayunga'!F35,'23.8 Kangulumira-Kayunga'!F35,'24.8 Kangulumira-Kayunga'!F35,'25.8 Kangulumira-Kayunga'!F35)</f>
        <v>4.1428571428571432</v>
      </c>
      <c r="G35" s="49">
        <f>AVERAGE('19.8 Kangulumira-Kayunga'!G35,'21.8 Kangulumira-Kayunga'!G35,'20.8 Kangulumira-Kayunga'!G35,'22.8 Kaangulumira-Kayunga'!G35,'23.8 Kangulumira-Kayunga'!G35,'24.8 Kangulumira-Kayunga'!G35,'25.8 Kangulumira-Kayunga'!G35)</f>
        <v>0.14285714285714285</v>
      </c>
      <c r="H35" s="49">
        <f>AVERAGE('19.8 Kangulumira-Kayunga'!H35,'21.8 Kangulumira-Kayunga'!H35,'20.8 Kangulumira-Kayunga'!H35,'22.8 Kaangulumira-Kayunga'!H35,'23.8 Kangulumira-Kayunga'!H35,'24.8 Kangulumira-Kayunga'!H35,'25.8 Kangulumira-Kayunga'!H35)</f>
        <v>0</v>
      </c>
      <c r="I35" s="49">
        <f>AVERAGE('19.8 Kangulumira-Kayunga'!I35,'21.8 Kangulumira-Kayunga'!I35,'20.8 Kangulumira-Kayunga'!I35,'22.8 Kaangulumira-Kayunga'!I35,'23.8 Kangulumira-Kayunga'!I35,'24.8 Kangulumira-Kayunga'!I35,'25.8 Kangulumira-Kayunga'!I35)</f>
        <v>3.5714285714285716</v>
      </c>
      <c r="J35" s="49">
        <f>AVERAGE('19.8 Kangulumira-Kayunga'!J35,'21.8 Kangulumira-Kayunga'!J35,'20.8 Kangulumira-Kayunga'!J35,'22.8 Kaangulumira-Kayunga'!J35,'23.8 Kangulumira-Kayunga'!J35,'24.8 Kangulumira-Kayunga'!J35,'25.8 Kangulumira-Kayunga'!J35)</f>
        <v>0.2857142857142857</v>
      </c>
      <c r="K35" s="49">
        <f>AVERAGE('19.8 Kangulumira-Kayunga'!K35,'21.8 Kangulumira-Kayunga'!K35,'20.8 Kangulumira-Kayunga'!K35,'22.8 Kaangulumira-Kayunga'!K35,'23.8 Kangulumira-Kayunga'!K35,'24.8 Kangulumira-Kayunga'!K35,'25.8 Kangulumira-Kayunga'!K35)</f>
        <v>0.2857142857142857</v>
      </c>
      <c r="L35" s="49">
        <f>AVERAGE('19.8 Kangulumira-Kayunga'!L35,'21.8 Kangulumira-Kayunga'!L35,'20.8 Kangulumira-Kayunga'!L35,'22.8 Kaangulumira-Kayunga'!L35,'23.8 Kangulumira-Kayunga'!L35,'24.8 Kangulumira-Kayunga'!L35,'25.8 Kangulumira-Kayunga'!L35)</f>
        <v>0</v>
      </c>
      <c r="M35" s="49">
        <f>AVERAGE('19.8 Kangulumira-Kayunga'!M35,'21.8 Kangulumira-Kayunga'!M35,'20.8 Kangulumira-Kayunga'!M35,'22.8 Kaangulumira-Kayunga'!M35,'23.8 Kangulumira-Kayunga'!M35,'24.8 Kangulumira-Kayunga'!M35,'25.8 Kangulumira-Kayunga'!M35)</f>
        <v>24.142857142857142</v>
      </c>
      <c r="N35" s="49">
        <f>AVERAGE('19.8 Kangulumira-Kayunga'!N35,'21.8 Kangulumira-Kayunga'!N35,'20.8 Kangulumira-Kayunga'!N35,'22.8 Kaangulumira-Kayunga'!N35,'23.8 Kangulumira-Kayunga'!N35,'24.8 Kangulumira-Kayunga'!N35,'25.8 Kangulumira-Kayunga'!N35)</f>
        <v>0</v>
      </c>
      <c r="O35" s="15">
        <f t="shared" si="0"/>
        <v>17</v>
      </c>
      <c r="P35" s="15">
        <f t="shared" si="1"/>
        <v>41.142857142857139</v>
      </c>
      <c r="R35" s="51" t="s">
        <v>91</v>
      </c>
      <c r="S35" s="52">
        <f t="shared" ref="S35:AF35" si="27">MAX(S13:S18)</f>
        <v>26.714285714285715</v>
      </c>
      <c r="T35" s="52">
        <f t="shared" si="27"/>
        <v>12.228571428571428</v>
      </c>
      <c r="U35" s="52">
        <f t="shared" si="27"/>
        <v>18.342857142857142</v>
      </c>
      <c r="V35" s="52">
        <f t="shared" si="27"/>
        <v>17.142857142857142</v>
      </c>
      <c r="W35" s="52">
        <f t="shared" si="27"/>
        <v>2.2857142857142856</v>
      </c>
      <c r="X35" s="52">
        <f t="shared" si="27"/>
        <v>0.5714285714285714</v>
      </c>
      <c r="Y35" s="52">
        <f t="shared" si="27"/>
        <v>14.857142857142858</v>
      </c>
      <c r="Z35" s="52">
        <f t="shared" si="27"/>
        <v>1.5714285714285712</v>
      </c>
      <c r="AA35" s="52">
        <f t="shared" si="27"/>
        <v>2.2857142857142856</v>
      </c>
      <c r="AB35" s="52">
        <f t="shared" si="27"/>
        <v>2</v>
      </c>
      <c r="AC35" s="52">
        <f t="shared" si="27"/>
        <v>104.42857142857143</v>
      </c>
      <c r="AD35" s="52">
        <f t="shared" si="27"/>
        <v>0.14285714285714285</v>
      </c>
      <c r="AE35" s="40">
        <f t="shared" si="27"/>
        <v>90.571428571428555</v>
      </c>
      <c r="AF35" s="40">
        <f t="shared" si="27"/>
        <v>187.28571428571431</v>
      </c>
    </row>
    <row r="36" spans="2:32" ht="23.1" customHeight="1" x14ac:dyDescent="0.25">
      <c r="B36" s="24" t="s">
        <v>63</v>
      </c>
      <c r="C36" s="49">
        <f>AVERAGE('19.8 Kangulumira-Kayunga'!C36,'21.8 Kangulumira-Kayunga'!C36,'20.8 Kangulumira-Kayunga'!C36,'22.8 Kaangulumira-Kayunga'!C36,'23.8 Kangulumira-Kayunga'!C36,'24.8 Kangulumira-Kayunga'!C36,'25.8 Kangulumira-Kayunga'!C36)</f>
        <v>5.2857142857142856</v>
      </c>
      <c r="D36" s="49">
        <f>0.4*(AVERAGE('19.8 Kangulumira-Kayunga'!E36,'21.8 Kangulumira-Kayunga'!E36,'20.8 Kangulumira-Kayunga'!E36,'22.8 Kaangulumira-Kayunga'!E36,'23.8 Kangulumira-Kayunga'!E36,'24.8 Kangulumira-Kayunga'!E36,'25.8 Kangulumira-Kayunga'!E36))</f>
        <v>1.4857142857142858</v>
      </c>
      <c r="E36" s="49">
        <f>0.6*(AVERAGE('19.8 Kangulumira-Kayunga'!E36,'21.8 Kangulumira-Kayunga'!E36,'20.8 Kangulumira-Kayunga'!E36,'22.8 Kaangulumira-Kayunga'!E36,'23.8 Kangulumira-Kayunga'!E36,'24.8 Kangulumira-Kayunga'!E36,'25.8 Kangulumira-Kayunga'!E36))</f>
        <v>2.2285714285714286</v>
      </c>
      <c r="F36" s="49">
        <f>AVERAGE('19.8 Kangulumira-Kayunga'!F36,'21.8 Kangulumira-Kayunga'!F36,'20.8 Kangulumira-Kayunga'!F36,'22.8 Kaangulumira-Kayunga'!F36,'23.8 Kangulumira-Kayunga'!F36,'24.8 Kangulumira-Kayunga'!F36,'25.8 Kangulumira-Kayunga'!F36)</f>
        <v>3.5714285714285716</v>
      </c>
      <c r="G36" s="49">
        <f>AVERAGE('19.8 Kangulumira-Kayunga'!G36,'21.8 Kangulumira-Kayunga'!G36,'20.8 Kangulumira-Kayunga'!G36,'22.8 Kaangulumira-Kayunga'!G36,'23.8 Kangulumira-Kayunga'!G36,'24.8 Kangulumira-Kayunga'!G36,'25.8 Kangulumira-Kayunga'!G36)</f>
        <v>0.14285714285714285</v>
      </c>
      <c r="H36" s="49">
        <f>AVERAGE('19.8 Kangulumira-Kayunga'!H36,'21.8 Kangulumira-Kayunga'!H36,'20.8 Kangulumira-Kayunga'!H36,'22.8 Kaangulumira-Kayunga'!H36,'23.8 Kangulumira-Kayunga'!H36,'24.8 Kangulumira-Kayunga'!H36,'25.8 Kangulumira-Kayunga'!H36)</f>
        <v>0</v>
      </c>
      <c r="I36" s="49">
        <f>AVERAGE('19.8 Kangulumira-Kayunga'!I36,'21.8 Kangulumira-Kayunga'!I36,'20.8 Kangulumira-Kayunga'!I36,'22.8 Kaangulumira-Kayunga'!I36,'23.8 Kangulumira-Kayunga'!I36,'24.8 Kangulumira-Kayunga'!I36,'25.8 Kangulumira-Kayunga'!I36)</f>
        <v>3</v>
      </c>
      <c r="J36" s="49">
        <f>AVERAGE('19.8 Kangulumira-Kayunga'!J36,'21.8 Kangulumira-Kayunga'!J36,'20.8 Kangulumira-Kayunga'!J36,'22.8 Kaangulumira-Kayunga'!J36,'23.8 Kangulumira-Kayunga'!J36,'24.8 Kangulumira-Kayunga'!J36,'25.8 Kangulumira-Kayunga'!J36)</f>
        <v>0.2857142857142857</v>
      </c>
      <c r="K36" s="49">
        <f>AVERAGE('19.8 Kangulumira-Kayunga'!K36,'21.8 Kangulumira-Kayunga'!K36,'20.8 Kangulumira-Kayunga'!K36,'22.8 Kaangulumira-Kayunga'!K36,'23.8 Kangulumira-Kayunga'!K36,'24.8 Kangulumira-Kayunga'!K36,'25.8 Kangulumira-Kayunga'!K36)</f>
        <v>0.5714285714285714</v>
      </c>
      <c r="L36" s="49">
        <f>AVERAGE('19.8 Kangulumira-Kayunga'!L36,'21.8 Kangulumira-Kayunga'!L36,'20.8 Kangulumira-Kayunga'!L36,'22.8 Kaangulumira-Kayunga'!L36,'23.8 Kangulumira-Kayunga'!L36,'24.8 Kangulumira-Kayunga'!L36,'25.8 Kangulumira-Kayunga'!L36)</f>
        <v>0.2857142857142857</v>
      </c>
      <c r="M36" s="49">
        <f>AVERAGE('19.8 Kangulumira-Kayunga'!M36,'21.8 Kangulumira-Kayunga'!M36,'20.8 Kangulumira-Kayunga'!M36,'22.8 Kaangulumira-Kayunga'!M36,'23.8 Kangulumira-Kayunga'!M36,'24.8 Kangulumira-Kayunga'!M36,'25.8 Kangulumira-Kayunga'!M36)</f>
        <v>21.857142857142858</v>
      </c>
      <c r="N36" s="49">
        <f>AVERAGE('19.8 Kangulumira-Kayunga'!N36,'21.8 Kangulumira-Kayunga'!N36,'20.8 Kangulumira-Kayunga'!N36,'22.8 Kaangulumira-Kayunga'!N36,'23.8 Kangulumira-Kayunga'!N36,'24.8 Kangulumira-Kayunga'!N36,'25.8 Kangulumira-Kayunga'!N36)</f>
        <v>0</v>
      </c>
      <c r="O36" s="15">
        <f t="shared" si="0"/>
        <v>16.857142857142858</v>
      </c>
      <c r="P36" s="15">
        <f t="shared" si="1"/>
        <v>38.714285714285715</v>
      </c>
      <c r="R36" s="51" t="s">
        <v>92</v>
      </c>
      <c r="S36" s="52">
        <f t="shared" ref="S36:AF36" si="28">MAX(S19:S21)</f>
        <v>27.142857142857142</v>
      </c>
      <c r="T36" s="52">
        <f t="shared" si="28"/>
        <v>12.62857142857143</v>
      </c>
      <c r="U36" s="52">
        <f t="shared" si="28"/>
        <v>18.942857142857143</v>
      </c>
      <c r="V36" s="52">
        <f t="shared" si="28"/>
        <v>22.857142857142858</v>
      </c>
      <c r="W36" s="52">
        <f t="shared" si="28"/>
        <v>1.7142857142857142</v>
      </c>
      <c r="X36" s="52">
        <f t="shared" si="28"/>
        <v>0.14285714285714285</v>
      </c>
      <c r="Y36" s="52">
        <f t="shared" si="28"/>
        <v>17.142857142857146</v>
      </c>
      <c r="Z36" s="52">
        <f t="shared" si="28"/>
        <v>2.2857142857142856</v>
      </c>
      <c r="AA36" s="52">
        <f t="shared" si="28"/>
        <v>1</v>
      </c>
      <c r="AB36" s="52">
        <f t="shared" si="28"/>
        <v>1</v>
      </c>
      <c r="AC36" s="52">
        <f t="shared" si="28"/>
        <v>126.85714285714285</v>
      </c>
      <c r="AD36" s="52">
        <f t="shared" si="28"/>
        <v>0.14285714285714285</v>
      </c>
      <c r="AE36" s="40">
        <f t="shared" si="28"/>
        <v>101</v>
      </c>
      <c r="AF36" s="40">
        <f t="shared" si="28"/>
        <v>227.85714285714289</v>
      </c>
    </row>
    <row r="37" spans="2:32" ht="23.1" customHeight="1" x14ac:dyDescent="0.25">
      <c r="B37" s="23" t="s">
        <v>64</v>
      </c>
      <c r="C37" s="49">
        <f>AVERAGE('19.8 Kangulumira-Kayunga'!C37,'21.8 Kangulumira-Kayunga'!C37,'20.8 Kangulumira-Kayunga'!C37,'22.8 Kaangulumira-Kayunga'!C37,'23.8 Kangulumira-Kayunga'!C37,'24.8 Kangulumira-Kayunga'!C37,'25.8 Kangulumira-Kayunga'!C37)</f>
        <v>6.2857142857142856</v>
      </c>
      <c r="D37" s="49">
        <f>0.4*(AVERAGE('19.8 Kangulumira-Kayunga'!E37,'21.8 Kangulumira-Kayunga'!E37,'20.8 Kangulumira-Kayunga'!E37,'22.8 Kaangulumira-Kayunga'!E37,'23.8 Kangulumira-Kayunga'!E37,'24.8 Kangulumira-Kayunga'!E37,'25.8 Kangulumira-Kayunga'!E37))</f>
        <v>1.8285714285714285</v>
      </c>
      <c r="E37" s="49">
        <f>0.6*(AVERAGE('19.8 Kangulumira-Kayunga'!E37,'21.8 Kangulumira-Kayunga'!E37,'20.8 Kangulumira-Kayunga'!E37,'22.8 Kaangulumira-Kayunga'!E37,'23.8 Kangulumira-Kayunga'!E37,'24.8 Kangulumira-Kayunga'!E37,'25.8 Kangulumira-Kayunga'!E37))</f>
        <v>2.7428571428571424</v>
      </c>
      <c r="F37" s="49">
        <f>AVERAGE('19.8 Kangulumira-Kayunga'!F37,'21.8 Kangulumira-Kayunga'!F37,'20.8 Kangulumira-Kayunga'!F37,'22.8 Kaangulumira-Kayunga'!F37,'23.8 Kangulumira-Kayunga'!F37,'24.8 Kangulumira-Kayunga'!F37,'25.8 Kangulumira-Kayunga'!F37)</f>
        <v>3.1428571428571428</v>
      </c>
      <c r="G37" s="49">
        <f>AVERAGE('19.8 Kangulumira-Kayunga'!G37,'21.8 Kangulumira-Kayunga'!G37,'20.8 Kangulumira-Kayunga'!G37,'22.8 Kaangulumira-Kayunga'!G37,'23.8 Kangulumira-Kayunga'!G37,'24.8 Kangulumira-Kayunga'!G37,'25.8 Kangulumira-Kayunga'!G37)</f>
        <v>0.2857142857142857</v>
      </c>
      <c r="H37" s="49">
        <f>AVERAGE('19.8 Kangulumira-Kayunga'!H37,'21.8 Kangulumira-Kayunga'!H37,'20.8 Kangulumira-Kayunga'!H37,'22.8 Kaangulumira-Kayunga'!H37,'23.8 Kangulumira-Kayunga'!H37,'24.8 Kangulumira-Kayunga'!H37,'25.8 Kangulumira-Kayunga'!H37)</f>
        <v>0.5714285714285714</v>
      </c>
      <c r="I37" s="49">
        <f>AVERAGE('19.8 Kangulumira-Kayunga'!I37,'21.8 Kangulumira-Kayunga'!I37,'20.8 Kangulumira-Kayunga'!I37,'22.8 Kaangulumira-Kayunga'!I37,'23.8 Kangulumira-Kayunga'!I37,'24.8 Kangulumira-Kayunga'!I37,'25.8 Kangulumira-Kayunga'!I37)</f>
        <v>3.8571428571428572</v>
      </c>
      <c r="J37" s="49">
        <f>AVERAGE('19.8 Kangulumira-Kayunga'!J37,'21.8 Kangulumira-Kayunga'!J37,'20.8 Kangulumira-Kayunga'!J37,'22.8 Kaangulumira-Kayunga'!J37,'23.8 Kangulumira-Kayunga'!J37,'24.8 Kangulumira-Kayunga'!J37,'25.8 Kangulumira-Kayunga'!J37)</f>
        <v>0.2857142857142857</v>
      </c>
      <c r="K37" s="49">
        <f>AVERAGE('19.8 Kangulumira-Kayunga'!K37,'21.8 Kangulumira-Kayunga'!K37,'20.8 Kangulumira-Kayunga'!K37,'22.8 Kaangulumira-Kayunga'!K37,'23.8 Kangulumira-Kayunga'!K37,'24.8 Kangulumira-Kayunga'!K37,'25.8 Kangulumira-Kayunga'!K37)</f>
        <v>0.14285714285714285</v>
      </c>
      <c r="L37" s="49">
        <f>AVERAGE('19.8 Kangulumira-Kayunga'!L37,'21.8 Kangulumira-Kayunga'!L37,'20.8 Kangulumira-Kayunga'!L37,'22.8 Kaangulumira-Kayunga'!L37,'23.8 Kangulumira-Kayunga'!L37,'24.8 Kangulumira-Kayunga'!L37,'25.8 Kangulumira-Kayunga'!L37)</f>
        <v>0.14285714285714285</v>
      </c>
      <c r="M37" s="49">
        <f>AVERAGE('19.8 Kangulumira-Kayunga'!M37,'21.8 Kangulumira-Kayunga'!M37,'20.8 Kangulumira-Kayunga'!M37,'22.8 Kaangulumira-Kayunga'!M37,'23.8 Kangulumira-Kayunga'!M37,'24.8 Kangulumira-Kayunga'!M37,'25.8 Kangulumira-Kayunga'!M37)</f>
        <v>27.857142857142858</v>
      </c>
      <c r="N37" s="49">
        <f>AVERAGE('19.8 Kangulumira-Kayunga'!N37,'21.8 Kangulumira-Kayunga'!N37,'20.8 Kangulumira-Kayunga'!N37,'22.8 Kaangulumira-Kayunga'!N37,'23.8 Kangulumira-Kayunga'!N37,'24.8 Kangulumira-Kayunga'!N37,'25.8 Kangulumira-Kayunga'!N37)</f>
        <v>0</v>
      </c>
      <c r="O37" s="15">
        <f t="shared" si="0"/>
        <v>19.285714285714281</v>
      </c>
      <c r="P37" s="15">
        <f t="shared" si="1"/>
        <v>47.142857142857139</v>
      </c>
      <c r="R37" s="37" t="s">
        <v>85</v>
      </c>
      <c r="S37" s="53">
        <f t="shared" ref="S37:AF37" si="29">SUM(S10:S12)</f>
        <v>44.428571428571431</v>
      </c>
      <c r="T37" s="54">
        <f t="shared" si="29"/>
        <v>16.457142857142859</v>
      </c>
      <c r="U37" s="54">
        <f t="shared" si="29"/>
        <v>24.685714285714283</v>
      </c>
      <c r="V37" s="54">
        <f t="shared" si="29"/>
        <v>42.714285714285715</v>
      </c>
      <c r="W37" s="54">
        <f t="shared" si="29"/>
        <v>2</v>
      </c>
      <c r="X37" s="54">
        <f t="shared" si="29"/>
        <v>1.2857142857142856</v>
      </c>
      <c r="Y37" s="54">
        <f t="shared" si="29"/>
        <v>21.571428571428573</v>
      </c>
      <c r="Z37" s="54">
        <f t="shared" si="29"/>
        <v>5.8571428571428577</v>
      </c>
      <c r="AA37" s="54">
        <f t="shared" si="29"/>
        <v>5.7142857142857135</v>
      </c>
      <c r="AB37" s="54">
        <f t="shared" si="29"/>
        <v>4.8571428571428568</v>
      </c>
      <c r="AC37" s="54">
        <f t="shared" si="29"/>
        <v>237</v>
      </c>
      <c r="AD37" s="54">
        <f t="shared" si="29"/>
        <v>0.2857142857142857</v>
      </c>
      <c r="AE37" s="55">
        <f t="shared" si="29"/>
        <v>169.85714285714286</v>
      </c>
      <c r="AF37" s="55">
        <f t="shared" si="29"/>
        <v>406.85714285714283</v>
      </c>
    </row>
    <row r="38" spans="2:32" ht="23.1" customHeight="1" x14ac:dyDescent="0.25">
      <c r="B38" s="24" t="s">
        <v>65</v>
      </c>
      <c r="C38" s="49">
        <f>AVERAGE('19.8 Kangulumira-Kayunga'!C38,'21.8 Kangulumira-Kayunga'!C38,'20.8 Kangulumira-Kayunga'!C38,'22.8 Kaangulumira-Kayunga'!C38,'23.8 Kangulumira-Kayunga'!C38,'24.8 Kangulumira-Kayunga'!C38,'25.8 Kangulumira-Kayunga'!C38)</f>
        <v>6.5714285714285712</v>
      </c>
      <c r="D38" s="49">
        <f>0.4*(AVERAGE('19.8 Kangulumira-Kayunga'!E38,'21.8 Kangulumira-Kayunga'!E38,'20.8 Kangulumira-Kayunga'!E38,'22.8 Kaangulumira-Kayunga'!E38,'23.8 Kangulumira-Kayunga'!E38,'24.8 Kangulumira-Kayunga'!E38,'25.8 Kangulumira-Kayunga'!E38))</f>
        <v>1.9428571428571428</v>
      </c>
      <c r="E38" s="49">
        <f>0.6*(AVERAGE('19.8 Kangulumira-Kayunga'!E38,'21.8 Kangulumira-Kayunga'!E38,'20.8 Kangulumira-Kayunga'!E38,'22.8 Kaangulumira-Kayunga'!E38,'23.8 Kangulumira-Kayunga'!E38,'24.8 Kangulumira-Kayunga'!E38,'25.8 Kangulumira-Kayunga'!E38))</f>
        <v>2.9142857142857141</v>
      </c>
      <c r="F38" s="49">
        <f>AVERAGE('19.8 Kangulumira-Kayunga'!F38,'21.8 Kangulumira-Kayunga'!F38,'20.8 Kangulumira-Kayunga'!F38,'22.8 Kaangulumira-Kayunga'!F38,'23.8 Kangulumira-Kayunga'!F38,'24.8 Kangulumira-Kayunga'!F38,'25.8 Kangulumira-Kayunga'!F38)</f>
        <v>3</v>
      </c>
      <c r="G38" s="49">
        <f>AVERAGE('19.8 Kangulumira-Kayunga'!G38,'21.8 Kangulumira-Kayunga'!G38,'20.8 Kangulumira-Kayunga'!G38,'22.8 Kaangulumira-Kayunga'!G38,'23.8 Kangulumira-Kayunga'!G38,'24.8 Kangulumira-Kayunga'!G38,'25.8 Kangulumira-Kayunga'!G38)</f>
        <v>0.42857142857142855</v>
      </c>
      <c r="H38" s="49">
        <f>AVERAGE('19.8 Kangulumira-Kayunga'!H38,'21.8 Kangulumira-Kayunga'!H38,'20.8 Kangulumira-Kayunga'!H38,'22.8 Kaangulumira-Kayunga'!H38,'23.8 Kangulumira-Kayunga'!H38,'24.8 Kangulumira-Kayunga'!H38,'25.8 Kangulumira-Kayunga'!H38)</f>
        <v>0.42857142857142855</v>
      </c>
      <c r="I38" s="49">
        <f>AVERAGE('19.8 Kangulumira-Kayunga'!I38,'21.8 Kangulumira-Kayunga'!I38,'20.8 Kangulumira-Kayunga'!I38,'22.8 Kaangulumira-Kayunga'!I38,'23.8 Kangulumira-Kayunga'!I38,'24.8 Kangulumira-Kayunga'!I38,'25.8 Kangulumira-Kayunga'!I38)</f>
        <v>3</v>
      </c>
      <c r="J38" s="49">
        <f>AVERAGE('19.8 Kangulumira-Kayunga'!J38,'21.8 Kangulumira-Kayunga'!J38,'20.8 Kangulumira-Kayunga'!J38,'22.8 Kaangulumira-Kayunga'!J38,'23.8 Kangulumira-Kayunga'!J38,'24.8 Kangulumira-Kayunga'!J38,'25.8 Kangulumira-Kayunga'!J38)</f>
        <v>0</v>
      </c>
      <c r="K38" s="49">
        <f>AVERAGE('19.8 Kangulumira-Kayunga'!K38,'21.8 Kangulumira-Kayunga'!K38,'20.8 Kangulumira-Kayunga'!K38,'22.8 Kaangulumira-Kayunga'!K38,'23.8 Kangulumira-Kayunga'!K38,'24.8 Kangulumira-Kayunga'!K38,'25.8 Kangulumira-Kayunga'!K38)</f>
        <v>0.2857142857142857</v>
      </c>
      <c r="L38" s="49">
        <f>AVERAGE('19.8 Kangulumira-Kayunga'!L38,'21.8 Kangulumira-Kayunga'!L38,'20.8 Kangulumira-Kayunga'!L38,'22.8 Kaangulumira-Kayunga'!L38,'23.8 Kangulumira-Kayunga'!L38,'24.8 Kangulumira-Kayunga'!L38,'25.8 Kangulumira-Kayunga'!L38)</f>
        <v>0.14285714285714285</v>
      </c>
      <c r="M38" s="49">
        <f>AVERAGE('19.8 Kangulumira-Kayunga'!M38,'21.8 Kangulumira-Kayunga'!M38,'20.8 Kangulumira-Kayunga'!M38,'22.8 Kaangulumira-Kayunga'!M38,'23.8 Kangulumira-Kayunga'!M38,'24.8 Kangulumira-Kayunga'!M38,'25.8 Kangulumira-Kayunga'!M38)</f>
        <v>24</v>
      </c>
      <c r="N38" s="49">
        <f>AVERAGE('19.8 Kangulumira-Kayunga'!N38,'21.8 Kangulumira-Kayunga'!N38,'20.8 Kangulumira-Kayunga'!N38,'22.8 Kaangulumira-Kayunga'!N38,'23.8 Kangulumira-Kayunga'!N38,'24.8 Kangulumira-Kayunga'!N38,'25.8 Kangulumira-Kayunga'!N38)</f>
        <v>0</v>
      </c>
      <c r="O38" s="15">
        <f t="shared" si="0"/>
        <v>18.714285714285712</v>
      </c>
      <c r="P38" s="15">
        <f t="shared" si="1"/>
        <v>42.714285714285708</v>
      </c>
      <c r="R38" s="28" t="s">
        <v>86</v>
      </c>
      <c r="S38" s="54">
        <f t="shared" ref="S38:AF38" si="30">SUM(S13:S18)</f>
        <v>128.85714285714286</v>
      </c>
      <c r="T38" s="54">
        <f t="shared" si="30"/>
        <v>48.742857142857147</v>
      </c>
      <c r="U38" s="54">
        <f t="shared" si="30"/>
        <v>73.114285714285714</v>
      </c>
      <c r="V38" s="54">
        <f t="shared" si="30"/>
        <v>96.714285714285708</v>
      </c>
      <c r="W38" s="54">
        <f t="shared" si="30"/>
        <v>8.5714285714285712</v>
      </c>
      <c r="X38" s="54">
        <f t="shared" si="30"/>
        <v>1.857142857142857</v>
      </c>
      <c r="Y38" s="54">
        <f t="shared" si="30"/>
        <v>80.857142857142861</v>
      </c>
      <c r="Z38" s="54">
        <f t="shared" si="30"/>
        <v>6.7142857142857144</v>
      </c>
      <c r="AA38" s="54">
        <f t="shared" si="30"/>
        <v>10.428571428571427</v>
      </c>
      <c r="AB38" s="54">
        <f t="shared" si="30"/>
        <v>6.8571428571428559</v>
      </c>
      <c r="AC38" s="54">
        <f t="shared" si="30"/>
        <v>595.85714285714289</v>
      </c>
      <c r="AD38" s="54">
        <f t="shared" si="30"/>
        <v>0.2857142857142857</v>
      </c>
      <c r="AE38" s="55">
        <f t="shared" si="30"/>
        <v>463</v>
      </c>
      <c r="AF38" s="55">
        <f t="shared" si="30"/>
        <v>1058.8571428571429</v>
      </c>
    </row>
    <row r="39" spans="2:32" ht="23.1" customHeight="1" x14ac:dyDescent="0.25">
      <c r="B39" s="24" t="s">
        <v>66</v>
      </c>
      <c r="C39" s="49">
        <f>AVERAGE('19.8 Kangulumira-Kayunga'!C39,'21.8 Kangulumira-Kayunga'!C39,'20.8 Kangulumira-Kayunga'!C39,'22.8 Kaangulumira-Kayunga'!C39,'23.8 Kangulumira-Kayunga'!C39,'24.8 Kangulumira-Kayunga'!C39,'25.8 Kangulumira-Kayunga'!C39)</f>
        <v>5.7142857142857144</v>
      </c>
      <c r="D39" s="49">
        <f>0.4*(AVERAGE('19.8 Kangulumira-Kayunga'!E39,'21.8 Kangulumira-Kayunga'!E39,'20.8 Kangulumira-Kayunga'!E39,'22.8 Kaangulumira-Kayunga'!E39,'23.8 Kangulumira-Kayunga'!E39,'24.8 Kangulumira-Kayunga'!E39,'25.8 Kangulumira-Kayunga'!E39))</f>
        <v>2.4571428571428573</v>
      </c>
      <c r="E39" s="49">
        <f>0.6*(AVERAGE('19.8 Kangulumira-Kayunga'!E39,'21.8 Kangulumira-Kayunga'!E39,'20.8 Kangulumira-Kayunga'!E39,'22.8 Kaangulumira-Kayunga'!E39,'23.8 Kangulumira-Kayunga'!E39,'24.8 Kangulumira-Kayunga'!E39,'25.8 Kangulumira-Kayunga'!E39))</f>
        <v>3.6857142857142859</v>
      </c>
      <c r="F39" s="49">
        <f>AVERAGE('19.8 Kangulumira-Kayunga'!F39,'21.8 Kangulumira-Kayunga'!F39,'20.8 Kangulumira-Kayunga'!F39,'22.8 Kaangulumira-Kayunga'!F39,'23.8 Kangulumira-Kayunga'!F39,'24.8 Kangulumira-Kayunga'!F39,'25.8 Kangulumira-Kayunga'!F39)</f>
        <v>4.4285714285714288</v>
      </c>
      <c r="G39" s="49">
        <f>AVERAGE('19.8 Kangulumira-Kayunga'!G39,'21.8 Kangulumira-Kayunga'!G39,'20.8 Kangulumira-Kayunga'!G39,'22.8 Kaangulumira-Kayunga'!G39,'23.8 Kangulumira-Kayunga'!G39,'24.8 Kangulumira-Kayunga'!G39,'25.8 Kangulumira-Kayunga'!G39)</f>
        <v>0.7142857142857143</v>
      </c>
      <c r="H39" s="49">
        <f>AVERAGE('19.8 Kangulumira-Kayunga'!H39,'21.8 Kangulumira-Kayunga'!H39,'20.8 Kangulumira-Kayunga'!H39,'22.8 Kaangulumira-Kayunga'!H39,'23.8 Kangulumira-Kayunga'!H39,'24.8 Kangulumira-Kayunga'!H39,'25.8 Kangulumira-Kayunga'!H39)</f>
        <v>0</v>
      </c>
      <c r="I39" s="49">
        <f>AVERAGE('19.8 Kangulumira-Kayunga'!I39,'21.8 Kangulumira-Kayunga'!I39,'20.8 Kangulumira-Kayunga'!I39,'22.8 Kaangulumira-Kayunga'!I39,'23.8 Kangulumira-Kayunga'!I39,'24.8 Kangulumira-Kayunga'!I39,'25.8 Kangulumira-Kayunga'!I39)</f>
        <v>3.1428571428571428</v>
      </c>
      <c r="J39" s="49">
        <f>AVERAGE('19.8 Kangulumira-Kayunga'!J39,'21.8 Kangulumira-Kayunga'!J39,'20.8 Kangulumira-Kayunga'!J39,'22.8 Kaangulumira-Kayunga'!J39,'23.8 Kangulumira-Kayunga'!J39,'24.8 Kangulumira-Kayunga'!J39,'25.8 Kangulumira-Kayunga'!J39)</f>
        <v>0.2857142857142857</v>
      </c>
      <c r="K39" s="49">
        <f>AVERAGE('19.8 Kangulumira-Kayunga'!K39,'21.8 Kangulumira-Kayunga'!K39,'20.8 Kangulumira-Kayunga'!K39,'22.8 Kaangulumira-Kayunga'!K39,'23.8 Kangulumira-Kayunga'!K39,'24.8 Kangulumira-Kayunga'!K39,'25.8 Kangulumira-Kayunga'!K39)</f>
        <v>0.42857142857142855</v>
      </c>
      <c r="L39" s="49">
        <f>AVERAGE('19.8 Kangulumira-Kayunga'!L39,'21.8 Kangulumira-Kayunga'!L39,'20.8 Kangulumira-Kayunga'!L39,'22.8 Kaangulumira-Kayunga'!L39,'23.8 Kangulumira-Kayunga'!L39,'24.8 Kangulumira-Kayunga'!L39,'25.8 Kangulumira-Kayunga'!L39)</f>
        <v>0.5714285714285714</v>
      </c>
      <c r="M39" s="49">
        <f>AVERAGE('19.8 Kangulumira-Kayunga'!M39,'21.8 Kangulumira-Kayunga'!M39,'20.8 Kangulumira-Kayunga'!M39,'22.8 Kaangulumira-Kayunga'!M39,'23.8 Kangulumira-Kayunga'!M39,'24.8 Kangulumira-Kayunga'!M39,'25.8 Kangulumira-Kayunga'!M39)</f>
        <v>25.428571428571427</v>
      </c>
      <c r="N39" s="49">
        <f>AVERAGE('19.8 Kangulumira-Kayunga'!N39,'21.8 Kangulumira-Kayunga'!N39,'20.8 Kangulumira-Kayunga'!N39,'22.8 Kaangulumira-Kayunga'!N39,'23.8 Kangulumira-Kayunga'!N39,'24.8 Kangulumira-Kayunga'!N39,'25.8 Kangulumira-Kayunga'!N39)</f>
        <v>0</v>
      </c>
      <c r="O39" s="15">
        <f t="shared" si="0"/>
        <v>21.428571428571427</v>
      </c>
      <c r="P39" s="15">
        <f t="shared" si="1"/>
        <v>46.857142857142854</v>
      </c>
      <c r="R39" s="29" t="s">
        <v>87</v>
      </c>
      <c r="S39" s="54">
        <f t="shared" ref="S39:AF39" si="31">SUM(S19:S21)</f>
        <v>79.857142857142861</v>
      </c>
      <c r="T39" s="54">
        <f t="shared" si="31"/>
        <v>35.6</v>
      </c>
      <c r="U39" s="54">
        <f t="shared" si="31"/>
        <v>53.4</v>
      </c>
      <c r="V39" s="54">
        <f t="shared" si="31"/>
        <v>54.571428571428569</v>
      </c>
      <c r="W39" s="54">
        <f t="shared" si="31"/>
        <v>3.5714285714285712</v>
      </c>
      <c r="X39" s="54">
        <f t="shared" si="31"/>
        <v>0.14285714285714285</v>
      </c>
      <c r="Y39" s="54">
        <f t="shared" si="31"/>
        <v>46.285714285714292</v>
      </c>
      <c r="Z39" s="54">
        <f t="shared" si="31"/>
        <v>3.4285714285714284</v>
      </c>
      <c r="AA39" s="54">
        <f t="shared" si="31"/>
        <v>2.4285714285714284</v>
      </c>
      <c r="AB39" s="54">
        <f t="shared" si="31"/>
        <v>2.7142857142857144</v>
      </c>
      <c r="AC39" s="54">
        <f t="shared" si="31"/>
        <v>352.28571428571428</v>
      </c>
      <c r="AD39" s="54">
        <f t="shared" si="31"/>
        <v>0.14285714285714285</v>
      </c>
      <c r="AE39" s="55">
        <f t="shared" si="31"/>
        <v>282.14285714285711</v>
      </c>
      <c r="AF39" s="55">
        <f t="shared" si="31"/>
        <v>634.42857142857144</v>
      </c>
    </row>
    <row r="40" spans="2:32" ht="23.1" customHeight="1" x14ac:dyDescent="0.25">
      <c r="B40" s="24" t="s">
        <v>67</v>
      </c>
      <c r="C40" s="49">
        <f>AVERAGE('19.8 Kangulumira-Kayunga'!C40,'21.8 Kangulumira-Kayunga'!C40,'20.8 Kangulumira-Kayunga'!C40,'22.8 Kaangulumira-Kayunga'!C40,'23.8 Kangulumira-Kayunga'!C40,'24.8 Kangulumira-Kayunga'!C40,'25.8 Kangulumira-Kayunga'!C40)</f>
        <v>7.8571428571428568</v>
      </c>
      <c r="D40" s="49">
        <f>0.4*(AVERAGE('19.8 Kangulumira-Kayunga'!E40,'21.8 Kangulumira-Kayunga'!E40,'20.8 Kangulumira-Kayunga'!E40,'22.8 Kaangulumira-Kayunga'!E40,'23.8 Kangulumira-Kayunga'!E40,'24.8 Kangulumira-Kayunga'!E40,'25.8 Kangulumira-Kayunga'!E40))</f>
        <v>2.1142857142857143</v>
      </c>
      <c r="E40" s="49">
        <f>0.6*(AVERAGE('19.8 Kangulumira-Kayunga'!E40,'21.8 Kangulumira-Kayunga'!E40,'20.8 Kangulumira-Kayunga'!E40,'22.8 Kaangulumira-Kayunga'!E40,'23.8 Kangulumira-Kayunga'!E40,'24.8 Kangulumira-Kayunga'!E40,'25.8 Kangulumira-Kayunga'!E40))</f>
        <v>3.1714285714285713</v>
      </c>
      <c r="F40" s="49">
        <f>AVERAGE('19.8 Kangulumira-Kayunga'!F40,'21.8 Kangulumira-Kayunga'!F40,'20.8 Kangulumira-Kayunga'!F40,'22.8 Kaangulumira-Kayunga'!F40,'23.8 Kangulumira-Kayunga'!F40,'24.8 Kangulumira-Kayunga'!F40,'25.8 Kangulumira-Kayunga'!F40)</f>
        <v>3.1428571428571428</v>
      </c>
      <c r="G40" s="49">
        <f>AVERAGE('19.8 Kangulumira-Kayunga'!G40,'21.8 Kangulumira-Kayunga'!G40,'20.8 Kangulumira-Kayunga'!G40,'22.8 Kaangulumira-Kayunga'!G40,'23.8 Kangulumira-Kayunga'!G40,'24.8 Kangulumira-Kayunga'!G40,'25.8 Kangulumira-Kayunga'!G40)</f>
        <v>0.8571428571428571</v>
      </c>
      <c r="H40" s="49">
        <f>AVERAGE('19.8 Kangulumira-Kayunga'!H40,'21.8 Kangulumira-Kayunga'!H40,'20.8 Kangulumira-Kayunga'!H40,'22.8 Kaangulumira-Kayunga'!H40,'23.8 Kangulumira-Kayunga'!H40,'24.8 Kangulumira-Kayunga'!H40,'25.8 Kangulumira-Kayunga'!H40)</f>
        <v>0.14285714285714285</v>
      </c>
      <c r="I40" s="49">
        <f>AVERAGE('19.8 Kangulumira-Kayunga'!I40,'21.8 Kangulumira-Kayunga'!I40,'20.8 Kangulumira-Kayunga'!I40,'22.8 Kaangulumira-Kayunga'!I40,'23.8 Kangulumira-Kayunga'!I40,'24.8 Kangulumira-Kayunga'!I40,'25.8 Kangulumira-Kayunga'!I40)</f>
        <v>3.8571428571428572</v>
      </c>
      <c r="J40" s="49">
        <f>AVERAGE('19.8 Kangulumira-Kayunga'!J40,'21.8 Kangulumira-Kayunga'!J40,'20.8 Kangulumira-Kayunga'!J40,'22.8 Kaangulumira-Kayunga'!J40,'23.8 Kangulumira-Kayunga'!J40,'24.8 Kangulumira-Kayunga'!J40,'25.8 Kangulumira-Kayunga'!J40)</f>
        <v>0</v>
      </c>
      <c r="K40" s="49">
        <f>AVERAGE('19.8 Kangulumira-Kayunga'!K40,'21.8 Kangulumira-Kayunga'!K40,'20.8 Kangulumira-Kayunga'!K40,'22.8 Kaangulumira-Kayunga'!K40,'23.8 Kangulumira-Kayunga'!K40,'24.8 Kangulumira-Kayunga'!K40,'25.8 Kangulumira-Kayunga'!K40)</f>
        <v>0.42857142857142855</v>
      </c>
      <c r="L40" s="49">
        <f>AVERAGE('19.8 Kangulumira-Kayunga'!L40,'21.8 Kangulumira-Kayunga'!L40,'20.8 Kangulumira-Kayunga'!L40,'22.8 Kaangulumira-Kayunga'!L40,'23.8 Kangulumira-Kayunga'!L40,'24.8 Kangulumira-Kayunga'!L40,'25.8 Kangulumira-Kayunga'!L40)</f>
        <v>0.2857142857142857</v>
      </c>
      <c r="M40" s="49">
        <f>AVERAGE('19.8 Kangulumira-Kayunga'!M40,'21.8 Kangulumira-Kayunga'!M40,'20.8 Kangulumira-Kayunga'!M40,'22.8 Kaangulumira-Kayunga'!M40,'23.8 Kangulumira-Kayunga'!M40,'24.8 Kangulumira-Kayunga'!M40,'25.8 Kangulumira-Kayunga'!M40)</f>
        <v>27.142857142857142</v>
      </c>
      <c r="N40" s="49">
        <f>AVERAGE('19.8 Kangulumira-Kayunga'!N40,'21.8 Kangulumira-Kayunga'!N40,'20.8 Kangulumira-Kayunga'!N40,'22.8 Kaangulumira-Kayunga'!N40,'23.8 Kangulumira-Kayunga'!N40,'24.8 Kangulumira-Kayunga'!N40,'25.8 Kangulumira-Kayunga'!N40)</f>
        <v>0.14285714285714285</v>
      </c>
      <c r="O40" s="15">
        <f t="shared" si="0"/>
        <v>21.999999999999996</v>
      </c>
      <c r="P40" s="15">
        <f t="shared" si="1"/>
        <v>49.142857142857146</v>
      </c>
      <c r="R40" s="5" t="s">
        <v>17</v>
      </c>
      <c r="S40" s="54">
        <f t="shared" ref="S40:AF40" si="32">SUM(S10:S21)</f>
        <v>253.14285714285717</v>
      </c>
      <c r="T40" s="54">
        <f t="shared" si="32"/>
        <v>100.80000000000001</v>
      </c>
      <c r="U40" s="54">
        <f t="shared" si="32"/>
        <v>151.19999999999999</v>
      </c>
      <c r="V40" s="54">
        <f t="shared" si="32"/>
        <v>194.00000000000003</v>
      </c>
      <c r="W40" s="54">
        <f t="shared" si="32"/>
        <v>14.142857142857144</v>
      </c>
      <c r="X40" s="54">
        <f t="shared" si="32"/>
        <v>3.2857142857142856</v>
      </c>
      <c r="Y40" s="54">
        <f t="shared" si="32"/>
        <v>148.71428571428572</v>
      </c>
      <c r="Z40" s="54">
        <f t="shared" si="32"/>
        <v>16</v>
      </c>
      <c r="AA40" s="54">
        <f t="shared" si="32"/>
        <v>18.571428571428569</v>
      </c>
      <c r="AB40" s="54">
        <f t="shared" si="32"/>
        <v>14.428571428571429</v>
      </c>
      <c r="AC40" s="54">
        <f t="shared" si="32"/>
        <v>1185.1428571428571</v>
      </c>
      <c r="AD40" s="54">
        <f t="shared" si="32"/>
        <v>0.71428571428571419</v>
      </c>
      <c r="AE40" s="55">
        <f t="shared" si="32"/>
        <v>915</v>
      </c>
      <c r="AF40" s="55">
        <f t="shared" si="32"/>
        <v>2100.1428571428569</v>
      </c>
    </row>
    <row r="41" spans="2:32" ht="23.1" customHeight="1" x14ac:dyDescent="0.25">
      <c r="B41" s="23" t="s">
        <v>68</v>
      </c>
      <c r="C41" s="49">
        <f>AVERAGE('19.8 Kangulumira-Kayunga'!C41,'21.8 Kangulumira-Kayunga'!C41,'20.8 Kangulumira-Kayunga'!C41,'22.8 Kaangulumira-Kayunga'!C41,'23.8 Kangulumira-Kayunga'!C41,'24.8 Kangulumira-Kayunga'!C41,'25.8 Kangulumira-Kayunga'!C41)</f>
        <v>5.1428571428571432</v>
      </c>
      <c r="D41" s="49">
        <f>0.4*(AVERAGE('19.8 Kangulumira-Kayunga'!E41,'21.8 Kangulumira-Kayunga'!E41,'20.8 Kangulumira-Kayunga'!E41,'22.8 Kaangulumira-Kayunga'!E41,'23.8 Kangulumira-Kayunga'!E41,'24.8 Kangulumira-Kayunga'!E41,'25.8 Kangulumira-Kayunga'!E41))</f>
        <v>2.8000000000000003</v>
      </c>
      <c r="E41" s="49">
        <f>0.6*(AVERAGE('19.8 Kangulumira-Kayunga'!E41,'21.8 Kangulumira-Kayunga'!E41,'20.8 Kangulumira-Kayunga'!E41,'22.8 Kaangulumira-Kayunga'!E41,'23.8 Kangulumira-Kayunga'!E41,'24.8 Kangulumira-Kayunga'!E41,'25.8 Kangulumira-Kayunga'!E41))</f>
        <v>4.2</v>
      </c>
      <c r="F41" s="49">
        <f>AVERAGE('19.8 Kangulumira-Kayunga'!F41,'21.8 Kangulumira-Kayunga'!F41,'20.8 Kangulumira-Kayunga'!F41,'22.8 Kaangulumira-Kayunga'!F41,'23.8 Kangulumira-Kayunga'!F41,'24.8 Kangulumira-Kayunga'!F41,'25.8 Kangulumira-Kayunga'!F41)</f>
        <v>4.4285714285714288</v>
      </c>
      <c r="G41" s="49">
        <f>AVERAGE('19.8 Kangulumira-Kayunga'!G41,'21.8 Kangulumira-Kayunga'!G41,'20.8 Kangulumira-Kayunga'!G41,'22.8 Kaangulumira-Kayunga'!G41,'23.8 Kangulumira-Kayunga'!G41,'24.8 Kangulumira-Kayunga'!G41,'25.8 Kangulumira-Kayunga'!G41)</f>
        <v>0.2857142857142857</v>
      </c>
      <c r="H41" s="49">
        <f>AVERAGE('19.8 Kangulumira-Kayunga'!H41,'21.8 Kangulumira-Kayunga'!H41,'20.8 Kangulumira-Kayunga'!H41,'22.8 Kaangulumira-Kayunga'!H41,'23.8 Kangulumira-Kayunga'!H41,'24.8 Kangulumira-Kayunga'!H41,'25.8 Kangulumira-Kayunga'!H41)</f>
        <v>0</v>
      </c>
      <c r="I41" s="49">
        <f>AVERAGE('19.8 Kangulumira-Kayunga'!I41,'21.8 Kangulumira-Kayunga'!I41,'20.8 Kangulumira-Kayunga'!I41,'22.8 Kaangulumira-Kayunga'!I41,'23.8 Kangulumira-Kayunga'!I41,'24.8 Kangulumira-Kayunga'!I41,'25.8 Kangulumira-Kayunga'!I41)</f>
        <v>4.8571428571428568</v>
      </c>
      <c r="J41" s="49">
        <f>AVERAGE('19.8 Kangulumira-Kayunga'!J41,'21.8 Kangulumira-Kayunga'!J41,'20.8 Kangulumira-Kayunga'!J41,'22.8 Kaangulumira-Kayunga'!J41,'23.8 Kangulumira-Kayunga'!J41,'24.8 Kangulumira-Kayunga'!J41,'25.8 Kangulumira-Kayunga'!J41)</f>
        <v>0.42857142857142855</v>
      </c>
      <c r="K41" s="49">
        <f>AVERAGE('19.8 Kangulumira-Kayunga'!K41,'21.8 Kangulumira-Kayunga'!K41,'20.8 Kangulumira-Kayunga'!K41,'22.8 Kaangulumira-Kayunga'!K41,'23.8 Kangulumira-Kayunga'!K41,'24.8 Kangulumira-Kayunga'!K41,'25.8 Kangulumira-Kayunga'!K41)</f>
        <v>0.7142857142857143</v>
      </c>
      <c r="L41" s="49">
        <f>AVERAGE('19.8 Kangulumira-Kayunga'!L41,'21.8 Kangulumira-Kayunga'!L41,'20.8 Kangulumira-Kayunga'!L41,'22.8 Kaangulumira-Kayunga'!L41,'23.8 Kangulumira-Kayunga'!L41,'24.8 Kangulumira-Kayunga'!L41,'25.8 Kangulumira-Kayunga'!L41)</f>
        <v>0</v>
      </c>
      <c r="M41" s="49">
        <f>AVERAGE('19.8 Kangulumira-Kayunga'!M41,'21.8 Kangulumira-Kayunga'!M41,'20.8 Kangulumira-Kayunga'!M41,'22.8 Kaangulumira-Kayunga'!M41,'23.8 Kangulumira-Kayunga'!M41,'24.8 Kangulumira-Kayunga'!M41,'25.8 Kangulumira-Kayunga'!M41)</f>
        <v>24.285714285714285</v>
      </c>
      <c r="N41" s="49">
        <f>AVERAGE('19.8 Kangulumira-Kayunga'!N41,'21.8 Kangulumira-Kayunga'!N41,'20.8 Kangulumira-Kayunga'!N41,'22.8 Kaangulumira-Kayunga'!N41,'23.8 Kangulumira-Kayunga'!N41,'24.8 Kangulumira-Kayunga'!N41,'25.8 Kangulumira-Kayunga'!N41)</f>
        <v>0</v>
      </c>
      <c r="O41" s="15">
        <f t="shared" si="0"/>
        <v>22.857142857142854</v>
      </c>
      <c r="P41" s="15">
        <f t="shared" si="1"/>
        <v>47.142857142857139</v>
      </c>
      <c r="R41" s="5" t="s">
        <v>174</v>
      </c>
      <c r="S41" s="54">
        <f>SUM(S10:S33)</f>
        <v>307.14285714285717</v>
      </c>
      <c r="T41" s="54">
        <f t="shared" ref="T41:AD41" si="33">SUM(T10:T33)</f>
        <v>136.4</v>
      </c>
      <c r="U41" s="54">
        <f t="shared" si="33"/>
        <v>204.6</v>
      </c>
      <c r="V41" s="54">
        <f t="shared" si="33"/>
        <v>253.00000000000003</v>
      </c>
      <c r="W41" s="54">
        <f t="shared" si="33"/>
        <v>24.142857142857146</v>
      </c>
      <c r="X41" s="54">
        <f t="shared" si="33"/>
        <v>23.285714285714285</v>
      </c>
      <c r="Y41" s="54">
        <f t="shared" si="33"/>
        <v>203.71428571428572</v>
      </c>
      <c r="Z41" s="54">
        <f t="shared" si="33"/>
        <v>52</v>
      </c>
      <c r="AA41" s="54">
        <f t="shared" si="33"/>
        <v>43.571428571428569</v>
      </c>
      <c r="AB41" s="54">
        <f t="shared" si="33"/>
        <v>31.428571428571431</v>
      </c>
      <c r="AC41" s="54">
        <f t="shared" si="33"/>
        <v>1403.1428571428571</v>
      </c>
      <c r="AD41" s="54">
        <f t="shared" si="33"/>
        <v>0.71428571428571419</v>
      </c>
      <c r="AE41" s="55">
        <f>SUM(AE10:AE33)</f>
        <v>1280</v>
      </c>
      <c r="AF41" s="55">
        <f>SUM(AF10:AF33)</f>
        <v>2683.1428571428569</v>
      </c>
    </row>
    <row r="42" spans="2:32" ht="23.1" customHeight="1" x14ac:dyDescent="0.25">
      <c r="B42" s="24" t="s">
        <v>69</v>
      </c>
      <c r="C42" s="49">
        <f>AVERAGE('19.8 Kangulumira-Kayunga'!C42,'21.8 Kangulumira-Kayunga'!C42,'20.8 Kangulumira-Kayunga'!C42,'22.8 Kaangulumira-Kayunga'!C42,'23.8 Kangulumira-Kayunga'!C42,'24.8 Kangulumira-Kayunga'!C42,'25.8 Kangulumira-Kayunga'!C42)</f>
        <v>6.2857142857142856</v>
      </c>
      <c r="D42" s="49">
        <f>0.4*(AVERAGE('19.8 Kangulumira-Kayunga'!E42,'21.8 Kangulumira-Kayunga'!E42,'20.8 Kangulumira-Kayunga'!E42,'22.8 Kaangulumira-Kayunga'!E42,'23.8 Kangulumira-Kayunga'!E42,'24.8 Kangulumira-Kayunga'!E42,'25.8 Kangulumira-Kayunga'!E42))</f>
        <v>3.6</v>
      </c>
      <c r="E42" s="49">
        <f>0.6*(AVERAGE('19.8 Kangulumira-Kayunga'!E42,'21.8 Kangulumira-Kayunga'!E42,'20.8 Kangulumira-Kayunga'!E42,'22.8 Kaangulumira-Kayunga'!E42,'23.8 Kangulumira-Kayunga'!E42,'24.8 Kangulumira-Kayunga'!E42,'25.8 Kangulumira-Kayunga'!E42))</f>
        <v>5.3999999999999995</v>
      </c>
      <c r="F42" s="49">
        <f>AVERAGE('19.8 Kangulumira-Kayunga'!F42,'21.8 Kangulumira-Kayunga'!F42,'20.8 Kangulumira-Kayunga'!F42,'22.8 Kaangulumira-Kayunga'!F42,'23.8 Kangulumira-Kayunga'!F42,'24.8 Kangulumira-Kayunga'!F42,'25.8 Kangulumira-Kayunga'!F42)</f>
        <v>3.5714285714285716</v>
      </c>
      <c r="G42" s="49">
        <f>AVERAGE('19.8 Kangulumira-Kayunga'!G42,'21.8 Kangulumira-Kayunga'!G42,'20.8 Kangulumira-Kayunga'!G42,'22.8 Kaangulumira-Kayunga'!G42,'23.8 Kangulumira-Kayunga'!G42,'24.8 Kangulumira-Kayunga'!G42,'25.8 Kangulumira-Kayunga'!G42)</f>
        <v>0.14285714285714285</v>
      </c>
      <c r="H42" s="49">
        <f>AVERAGE('19.8 Kangulumira-Kayunga'!H42,'21.8 Kangulumira-Kayunga'!H42,'20.8 Kangulumira-Kayunga'!H42,'22.8 Kaangulumira-Kayunga'!H42,'23.8 Kangulumira-Kayunga'!H42,'24.8 Kangulumira-Kayunga'!H42,'25.8 Kangulumira-Kayunga'!H42)</f>
        <v>0</v>
      </c>
      <c r="I42" s="49">
        <f>AVERAGE('19.8 Kangulumira-Kayunga'!I42,'21.8 Kangulumira-Kayunga'!I42,'20.8 Kangulumira-Kayunga'!I42,'22.8 Kaangulumira-Kayunga'!I42,'23.8 Kangulumira-Kayunga'!I42,'24.8 Kangulumira-Kayunga'!I42,'25.8 Kangulumira-Kayunga'!I42)</f>
        <v>2.7142857142857144</v>
      </c>
      <c r="J42" s="49">
        <f>AVERAGE('19.8 Kangulumira-Kayunga'!J42,'21.8 Kangulumira-Kayunga'!J42,'20.8 Kangulumira-Kayunga'!J42,'22.8 Kaangulumira-Kayunga'!J42,'23.8 Kangulumira-Kayunga'!J42,'24.8 Kangulumira-Kayunga'!J42,'25.8 Kangulumira-Kayunga'!J42)</f>
        <v>0.14285714285714285</v>
      </c>
      <c r="K42" s="49">
        <f>AVERAGE('19.8 Kangulumira-Kayunga'!K42,'21.8 Kangulumira-Kayunga'!K42,'20.8 Kangulumira-Kayunga'!K42,'22.8 Kaangulumira-Kayunga'!K42,'23.8 Kangulumira-Kayunga'!K42,'24.8 Kangulumira-Kayunga'!K42,'25.8 Kangulumira-Kayunga'!K42)</f>
        <v>0.5714285714285714</v>
      </c>
      <c r="L42" s="49">
        <f>AVERAGE('19.8 Kangulumira-Kayunga'!L42,'21.8 Kangulumira-Kayunga'!L42,'20.8 Kangulumira-Kayunga'!L42,'22.8 Kaangulumira-Kayunga'!L42,'23.8 Kangulumira-Kayunga'!L42,'24.8 Kangulumira-Kayunga'!L42,'25.8 Kangulumira-Kayunga'!L42)</f>
        <v>0.42857142857142855</v>
      </c>
      <c r="M42" s="49">
        <f>AVERAGE('19.8 Kangulumira-Kayunga'!M42,'21.8 Kangulumira-Kayunga'!M42,'20.8 Kangulumira-Kayunga'!M42,'22.8 Kaangulumira-Kayunga'!M42,'23.8 Kangulumira-Kayunga'!M42,'24.8 Kangulumira-Kayunga'!M42,'25.8 Kangulumira-Kayunga'!M42)</f>
        <v>27.857142857142858</v>
      </c>
      <c r="N42" s="49">
        <f>AVERAGE('19.8 Kangulumira-Kayunga'!N42,'21.8 Kangulumira-Kayunga'!N42,'20.8 Kangulumira-Kayunga'!N42,'22.8 Kaangulumira-Kayunga'!N42,'23.8 Kangulumira-Kayunga'!N42,'24.8 Kangulumira-Kayunga'!N42,'25.8 Kangulumira-Kayunga'!N42)</f>
        <v>0.14285714285714285</v>
      </c>
      <c r="O42" s="15">
        <f t="shared" si="0"/>
        <v>23</v>
      </c>
      <c r="P42" s="15">
        <f t="shared" si="1"/>
        <v>50.857142857142861</v>
      </c>
      <c r="R42" s="5" t="s">
        <v>160</v>
      </c>
      <c r="S42" s="48">
        <f>S41/S40</f>
        <v>1.2133182844243793</v>
      </c>
      <c r="T42" s="48">
        <f t="shared" ref="T42:AF42" si="34">T41/T40</f>
        <v>1.353174603174603</v>
      </c>
      <c r="U42" s="48">
        <f t="shared" si="34"/>
        <v>1.3531746031746033</v>
      </c>
      <c r="V42" s="48">
        <f t="shared" si="34"/>
        <v>1.3041237113402062</v>
      </c>
      <c r="W42" s="48">
        <f t="shared" si="34"/>
        <v>1.7070707070707072</v>
      </c>
      <c r="X42" s="48">
        <f t="shared" si="34"/>
        <v>7.0869565217391308</v>
      </c>
      <c r="Y42" s="48">
        <f t="shared" si="34"/>
        <v>1.3698366954851104</v>
      </c>
      <c r="Z42" s="48">
        <f t="shared" si="34"/>
        <v>3.25</v>
      </c>
      <c r="AA42" s="48">
        <f t="shared" si="34"/>
        <v>2.3461538461538463</v>
      </c>
      <c r="AB42" s="48">
        <f t="shared" si="34"/>
        <v>2.1782178217821784</v>
      </c>
      <c r="AC42" s="48">
        <f t="shared" si="34"/>
        <v>1.183944069431051</v>
      </c>
      <c r="AD42" s="48">
        <f t="shared" si="34"/>
        <v>1</v>
      </c>
      <c r="AE42" s="56">
        <f t="shared" si="34"/>
        <v>1.3989071038251366</v>
      </c>
      <c r="AF42" s="56">
        <f t="shared" si="34"/>
        <v>1.2776001632542004</v>
      </c>
    </row>
    <row r="43" spans="2:32" ht="23.1" customHeight="1" x14ac:dyDescent="0.25">
      <c r="B43" s="23" t="s">
        <v>70</v>
      </c>
      <c r="C43" s="49">
        <f>AVERAGE('19.8 Kangulumira-Kayunga'!C43,'21.8 Kangulumira-Kayunga'!C43,'20.8 Kangulumira-Kayunga'!C43,'22.8 Kaangulumira-Kayunga'!C43,'23.8 Kangulumira-Kayunga'!C43,'24.8 Kangulumira-Kayunga'!C43,'25.8 Kangulumira-Kayunga'!C43)</f>
        <v>6.5714285714285712</v>
      </c>
      <c r="D43" s="49">
        <f>0.4*(AVERAGE('19.8 Kangulumira-Kayunga'!E43,'21.8 Kangulumira-Kayunga'!E43,'20.8 Kangulumira-Kayunga'!E43,'22.8 Kaangulumira-Kayunga'!E43,'23.8 Kangulumira-Kayunga'!E43,'24.8 Kangulumira-Kayunga'!E43,'25.8 Kangulumira-Kayunga'!E43))</f>
        <v>2.5142857142857142</v>
      </c>
      <c r="E43" s="49">
        <f>0.6*(AVERAGE('19.8 Kangulumira-Kayunga'!E43,'21.8 Kangulumira-Kayunga'!E43,'20.8 Kangulumira-Kayunga'!E43,'22.8 Kaangulumira-Kayunga'!E43,'23.8 Kangulumira-Kayunga'!E43,'24.8 Kangulumira-Kayunga'!E43,'25.8 Kangulumira-Kayunga'!E43))</f>
        <v>3.7714285714285714</v>
      </c>
      <c r="F43" s="49">
        <f>AVERAGE('19.8 Kangulumira-Kayunga'!F43,'21.8 Kangulumira-Kayunga'!F43,'20.8 Kangulumira-Kayunga'!F43,'22.8 Kaangulumira-Kayunga'!F43,'23.8 Kangulumira-Kayunga'!F43,'24.8 Kangulumira-Kayunga'!F43,'25.8 Kangulumira-Kayunga'!F43)</f>
        <v>4.4285714285714288</v>
      </c>
      <c r="G43" s="49">
        <f>AVERAGE('19.8 Kangulumira-Kayunga'!G43,'21.8 Kangulumira-Kayunga'!G43,'20.8 Kangulumira-Kayunga'!G43,'22.8 Kaangulumira-Kayunga'!G43,'23.8 Kangulumira-Kayunga'!G43,'24.8 Kangulumira-Kayunga'!G43,'25.8 Kangulumira-Kayunga'!G43)</f>
        <v>0.5714285714285714</v>
      </c>
      <c r="H43" s="49">
        <f>AVERAGE('19.8 Kangulumira-Kayunga'!H43,'21.8 Kangulumira-Kayunga'!H43,'20.8 Kangulumira-Kayunga'!H43,'22.8 Kaangulumira-Kayunga'!H43,'23.8 Kangulumira-Kayunga'!H43,'24.8 Kangulumira-Kayunga'!H43,'25.8 Kangulumira-Kayunga'!H43)</f>
        <v>0.14285714285714285</v>
      </c>
      <c r="I43" s="49">
        <f>AVERAGE('19.8 Kangulumira-Kayunga'!I43,'21.8 Kangulumira-Kayunga'!I43,'20.8 Kangulumira-Kayunga'!I43,'22.8 Kaangulumira-Kayunga'!I43,'23.8 Kangulumira-Kayunga'!I43,'24.8 Kangulumira-Kayunga'!I43,'25.8 Kangulumira-Kayunga'!I43)</f>
        <v>3</v>
      </c>
      <c r="J43" s="49">
        <f>AVERAGE('19.8 Kangulumira-Kayunga'!J43,'21.8 Kangulumira-Kayunga'!J43,'20.8 Kangulumira-Kayunga'!J43,'22.8 Kaangulumira-Kayunga'!J43,'23.8 Kangulumira-Kayunga'!J43,'24.8 Kangulumira-Kayunga'!J43,'25.8 Kangulumira-Kayunga'!J43)</f>
        <v>0.14285714285714285</v>
      </c>
      <c r="K43" s="49">
        <f>AVERAGE('19.8 Kangulumira-Kayunga'!K43,'21.8 Kangulumira-Kayunga'!K43,'20.8 Kangulumira-Kayunga'!K43,'22.8 Kaangulumira-Kayunga'!K43,'23.8 Kangulumira-Kayunga'!K43,'24.8 Kangulumira-Kayunga'!K43,'25.8 Kangulumira-Kayunga'!K43)</f>
        <v>0.2857142857142857</v>
      </c>
      <c r="L43" s="49">
        <f>AVERAGE('19.8 Kangulumira-Kayunga'!L43,'21.8 Kangulumira-Kayunga'!L43,'20.8 Kangulumira-Kayunga'!L43,'22.8 Kaangulumira-Kayunga'!L43,'23.8 Kangulumira-Kayunga'!L43,'24.8 Kangulumira-Kayunga'!L43,'25.8 Kangulumira-Kayunga'!L43)</f>
        <v>0.2857142857142857</v>
      </c>
      <c r="M43" s="49">
        <f>AVERAGE('19.8 Kangulumira-Kayunga'!M43,'21.8 Kangulumira-Kayunga'!M43,'20.8 Kangulumira-Kayunga'!M43,'22.8 Kaangulumira-Kayunga'!M43,'23.8 Kangulumira-Kayunga'!M43,'24.8 Kangulumira-Kayunga'!M43,'25.8 Kangulumira-Kayunga'!M43)</f>
        <v>24.142857142857142</v>
      </c>
      <c r="N43" s="49">
        <f>AVERAGE('19.8 Kangulumira-Kayunga'!N43,'21.8 Kangulumira-Kayunga'!N43,'20.8 Kangulumira-Kayunga'!N43,'22.8 Kaangulumira-Kayunga'!N43,'23.8 Kangulumira-Kayunga'!N43,'24.8 Kangulumira-Kayunga'!N43,'25.8 Kangulumira-Kayunga'!N43)</f>
        <v>0</v>
      </c>
      <c r="O43" s="15">
        <f t="shared" si="0"/>
        <v>21.714285714285712</v>
      </c>
      <c r="P43" s="15">
        <f t="shared" si="1"/>
        <v>45.857142857142854</v>
      </c>
    </row>
    <row r="44" spans="2:32" ht="23.1" customHeight="1" x14ac:dyDescent="0.25">
      <c r="B44" s="25" t="s">
        <v>71</v>
      </c>
      <c r="C44" s="49">
        <f>AVERAGE('19.8 Kangulumira-Kayunga'!C44,'21.8 Kangulumira-Kayunga'!C44,'20.8 Kangulumira-Kayunga'!C44,'22.8 Kaangulumira-Kayunga'!C44,'23.8 Kangulumira-Kayunga'!C44,'24.8 Kangulumira-Kayunga'!C44,'25.8 Kangulumira-Kayunga'!C44)</f>
        <v>6.5714285714285712</v>
      </c>
      <c r="D44" s="49">
        <f>0.4*(AVERAGE('19.8 Kangulumira-Kayunga'!E44,'21.8 Kangulumira-Kayunga'!E44,'20.8 Kangulumira-Kayunga'!E44,'22.8 Kaangulumira-Kayunga'!E44,'23.8 Kangulumira-Kayunga'!E44,'24.8 Kangulumira-Kayunga'!E44,'25.8 Kangulumira-Kayunga'!E44))</f>
        <v>2.8571428571428577</v>
      </c>
      <c r="E44" s="49">
        <f>0.6*(AVERAGE('19.8 Kangulumira-Kayunga'!E44,'21.8 Kangulumira-Kayunga'!E44,'20.8 Kangulumira-Kayunga'!E44,'22.8 Kaangulumira-Kayunga'!E44,'23.8 Kangulumira-Kayunga'!E44,'24.8 Kangulumira-Kayunga'!E44,'25.8 Kangulumira-Kayunga'!E44))</f>
        <v>4.2857142857142856</v>
      </c>
      <c r="F44" s="49">
        <f>AVERAGE('19.8 Kangulumira-Kayunga'!F44,'21.8 Kangulumira-Kayunga'!F44,'20.8 Kangulumira-Kayunga'!F44,'22.8 Kaangulumira-Kayunga'!F44,'23.8 Kangulumira-Kayunga'!F44,'24.8 Kangulumira-Kayunga'!F44,'25.8 Kangulumira-Kayunga'!F44)</f>
        <v>3.4285714285714284</v>
      </c>
      <c r="G44" s="49">
        <f>AVERAGE('19.8 Kangulumira-Kayunga'!G44,'21.8 Kangulumira-Kayunga'!G44,'20.8 Kangulumira-Kayunga'!G44,'22.8 Kaangulumira-Kayunga'!G44,'23.8 Kangulumira-Kayunga'!G44,'24.8 Kangulumira-Kayunga'!G44,'25.8 Kangulumira-Kayunga'!G44)</f>
        <v>0</v>
      </c>
      <c r="H44" s="49">
        <f>AVERAGE('19.8 Kangulumira-Kayunga'!H44,'21.8 Kangulumira-Kayunga'!H44,'20.8 Kangulumira-Kayunga'!H44,'22.8 Kaangulumira-Kayunga'!H44,'23.8 Kangulumira-Kayunga'!H44,'24.8 Kangulumira-Kayunga'!H44,'25.8 Kangulumira-Kayunga'!H44)</f>
        <v>0</v>
      </c>
      <c r="I44" s="49">
        <f>AVERAGE('19.8 Kangulumira-Kayunga'!I44,'21.8 Kangulumira-Kayunga'!I44,'20.8 Kangulumira-Kayunga'!I44,'22.8 Kaangulumira-Kayunga'!I44,'23.8 Kangulumira-Kayunga'!I44,'24.8 Kangulumira-Kayunga'!I44,'25.8 Kangulumira-Kayunga'!I44)</f>
        <v>2.7142857142857144</v>
      </c>
      <c r="J44" s="49">
        <f>AVERAGE('19.8 Kangulumira-Kayunga'!J44,'21.8 Kangulumira-Kayunga'!J44,'20.8 Kangulumira-Kayunga'!J44,'22.8 Kaangulumira-Kayunga'!J44,'23.8 Kangulumira-Kayunga'!J44,'24.8 Kangulumira-Kayunga'!J44,'25.8 Kangulumira-Kayunga'!J44)</f>
        <v>0.7142857142857143</v>
      </c>
      <c r="K44" s="49">
        <f>AVERAGE('19.8 Kangulumira-Kayunga'!K44,'21.8 Kangulumira-Kayunga'!K44,'20.8 Kangulumira-Kayunga'!K44,'22.8 Kaangulumira-Kayunga'!K44,'23.8 Kangulumira-Kayunga'!K44,'24.8 Kangulumira-Kayunga'!K44,'25.8 Kangulumira-Kayunga'!K44)</f>
        <v>0</v>
      </c>
      <c r="L44" s="49">
        <f>AVERAGE('19.8 Kangulumira-Kayunga'!L44,'21.8 Kangulumira-Kayunga'!L44,'20.8 Kangulumira-Kayunga'!L44,'22.8 Kaangulumira-Kayunga'!L44,'23.8 Kangulumira-Kayunga'!L44,'24.8 Kangulumira-Kayunga'!L44,'25.8 Kangulumira-Kayunga'!L44)</f>
        <v>0.14285714285714285</v>
      </c>
      <c r="M44" s="49">
        <f>AVERAGE('19.8 Kangulumira-Kayunga'!M44,'21.8 Kangulumira-Kayunga'!M44,'20.8 Kangulumira-Kayunga'!M44,'22.8 Kaangulumira-Kayunga'!M44,'23.8 Kangulumira-Kayunga'!M44,'24.8 Kangulumira-Kayunga'!M44,'25.8 Kangulumira-Kayunga'!M44)</f>
        <v>22</v>
      </c>
      <c r="N44" s="49">
        <f>AVERAGE('19.8 Kangulumira-Kayunga'!N44,'21.8 Kangulumira-Kayunga'!N44,'20.8 Kangulumira-Kayunga'!N44,'22.8 Kaangulumira-Kayunga'!N44,'23.8 Kangulumira-Kayunga'!N44,'24.8 Kangulumira-Kayunga'!N44,'25.8 Kangulumira-Kayunga'!N44)</f>
        <v>0</v>
      </c>
      <c r="O44" s="15">
        <f t="shared" si="0"/>
        <v>20.714285714285715</v>
      </c>
      <c r="P44" s="15">
        <f t="shared" si="1"/>
        <v>42.714285714285715</v>
      </c>
    </row>
    <row r="45" spans="2:32" ht="23.1" customHeight="1" x14ac:dyDescent="0.25">
      <c r="B45" s="23" t="s">
        <v>72</v>
      </c>
      <c r="C45" s="49">
        <f>AVERAGE('19.8 Kangulumira-Kayunga'!C45,'21.8 Kangulumira-Kayunga'!C45,'20.8 Kangulumira-Kayunga'!C45,'22.8 Kaangulumira-Kayunga'!C45,'23.8 Kangulumira-Kayunga'!C45,'24.8 Kangulumira-Kayunga'!C45,'25.8 Kangulumira-Kayunga'!C45)</f>
        <v>7.2857142857142856</v>
      </c>
      <c r="D45" s="49">
        <f>0.4*(AVERAGE('19.8 Kangulumira-Kayunga'!E45,'21.8 Kangulumira-Kayunga'!E45,'20.8 Kangulumira-Kayunga'!E45,'22.8 Kaangulumira-Kayunga'!E45,'23.8 Kangulumira-Kayunga'!E45,'24.8 Kangulumira-Kayunga'!E45,'25.8 Kangulumira-Kayunga'!E45))</f>
        <v>3.2571428571428571</v>
      </c>
      <c r="E45" s="49">
        <f>0.6*(AVERAGE('19.8 Kangulumira-Kayunga'!E45,'21.8 Kangulumira-Kayunga'!E45,'20.8 Kangulumira-Kayunga'!E45,'22.8 Kaangulumira-Kayunga'!E45,'23.8 Kangulumira-Kayunga'!E45,'24.8 Kangulumira-Kayunga'!E45,'25.8 Kangulumira-Kayunga'!E45))</f>
        <v>4.8857142857142852</v>
      </c>
      <c r="F45" s="49">
        <f>AVERAGE('19.8 Kangulumira-Kayunga'!F45,'21.8 Kangulumira-Kayunga'!F45,'20.8 Kangulumira-Kayunga'!F45,'22.8 Kaangulumira-Kayunga'!F45,'23.8 Kangulumira-Kayunga'!F45,'24.8 Kangulumira-Kayunga'!F45,'25.8 Kangulumira-Kayunga'!F45)</f>
        <v>4.5714285714285712</v>
      </c>
      <c r="G45" s="49">
        <f>AVERAGE('19.8 Kangulumira-Kayunga'!G45,'21.8 Kangulumira-Kayunga'!G45,'20.8 Kangulumira-Kayunga'!G45,'22.8 Kaangulumira-Kayunga'!G45,'23.8 Kangulumira-Kayunga'!G45,'24.8 Kangulumira-Kayunga'!G45,'25.8 Kangulumira-Kayunga'!G45)</f>
        <v>0.14285714285714285</v>
      </c>
      <c r="H45" s="49">
        <f>AVERAGE('19.8 Kangulumira-Kayunga'!H45,'21.8 Kangulumira-Kayunga'!H45,'20.8 Kangulumira-Kayunga'!H45,'22.8 Kaangulumira-Kayunga'!H45,'23.8 Kangulumira-Kayunga'!H45,'24.8 Kangulumira-Kayunga'!H45,'25.8 Kangulumira-Kayunga'!H45)</f>
        <v>0</v>
      </c>
      <c r="I45" s="49">
        <f>AVERAGE('19.8 Kangulumira-Kayunga'!I45,'21.8 Kangulumira-Kayunga'!I45,'20.8 Kangulumira-Kayunga'!I45,'22.8 Kaangulumira-Kayunga'!I45,'23.8 Kangulumira-Kayunga'!I45,'24.8 Kangulumira-Kayunga'!I45,'25.8 Kangulumira-Kayunga'!I45)</f>
        <v>4.2857142857142856</v>
      </c>
      <c r="J45" s="49">
        <f>AVERAGE('19.8 Kangulumira-Kayunga'!J45,'21.8 Kangulumira-Kayunga'!J45,'20.8 Kangulumira-Kayunga'!J45,'22.8 Kaangulumira-Kayunga'!J45,'23.8 Kangulumira-Kayunga'!J45,'24.8 Kangulumira-Kayunga'!J45,'25.8 Kangulumira-Kayunga'!J45)</f>
        <v>0</v>
      </c>
      <c r="K45" s="49">
        <f>AVERAGE('19.8 Kangulumira-Kayunga'!K45,'21.8 Kangulumira-Kayunga'!K45,'20.8 Kangulumira-Kayunga'!K45,'22.8 Kaangulumira-Kayunga'!K45,'23.8 Kangulumira-Kayunga'!K45,'24.8 Kangulumira-Kayunga'!K45,'25.8 Kangulumira-Kayunga'!K45)</f>
        <v>0.42857142857142855</v>
      </c>
      <c r="L45" s="49">
        <f>AVERAGE('19.8 Kangulumira-Kayunga'!L45,'21.8 Kangulumira-Kayunga'!L45,'20.8 Kangulumira-Kayunga'!L45,'22.8 Kaangulumira-Kayunga'!L45,'23.8 Kangulumira-Kayunga'!L45,'24.8 Kangulumira-Kayunga'!L45,'25.8 Kangulumira-Kayunga'!L45)</f>
        <v>0.2857142857142857</v>
      </c>
      <c r="M45" s="49">
        <f>AVERAGE('19.8 Kangulumira-Kayunga'!M45,'21.8 Kangulumira-Kayunga'!M45,'20.8 Kangulumira-Kayunga'!M45,'22.8 Kaangulumira-Kayunga'!M45,'23.8 Kangulumira-Kayunga'!M45,'24.8 Kangulumira-Kayunga'!M45,'25.8 Kangulumira-Kayunga'!M45)</f>
        <v>22.714285714285715</v>
      </c>
      <c r="N45" s="49">
        <f>AVERAGE('19.8 Kangulumira-Kayunga'!N45,'21.8 Kangulumira-Kayunga'!N45,'20.8 Kangulumira-Kayunga'!N45,'22.8 Kaangulumira-Kayunga'!N45,'23.8 Kangulumira-Kayunga'!N45,'24.8 Kangulumira-Kayunga'!N45,'25.8 Kangulumira-Kayunga'!N45)</f>
        <v>0</v>
      </c>
      <c r="O45" s="15">
        <f t="shared" si="0"/>
        <v>25.142857142857139</v>
      </c>
      <c r="P45" s="15">
        <f t="shared" si="1"/>
        <v>47.857142857142854</v>
      </c>
    </row>
    <row r="46" spans="2:32" ht="23.1" customHeight="1" x14ac:dyDescent="0.25">
      <c r="B46" s="24" t="s">
        <v>73</v>
      </c>
      <c r="C46" s="49">
        <f>AVERAGE('19.8 Kangulumira-Kayunga'!C46,'21.8 Kangulumira-Kayunga'!C46,'20.8 Kangulumira-Kayunga'!C46,'22.8 Kaangulumira-Kayunga'!C46,'23.8 Kangulumira-Kayunga'!C46,'24.8 Kangulumira-Kayunga'!C46,'25.8 Kangulumira-Kayunga'!C46)</f>
        <v>7.1428571428571432</v>
      </c>
      <c r="D46" s="49">
        <f>0.4*(AVERAGE('19.8 Kangulumira-Kayunga'!E46,'21.8 Kangulumira-Kayunga'!E46,'20.8 Kangulumira-Kayunga'!E46,'22.8 Kaangulumira-Kayunga'!E46,'23.8 Kangulumira-Kayunga'!E46,'24.8 Kangulumira-Kayunga'!E46,'25.8 Kangulumira-Kayunga'!E46))</f>
        <v>2.6285714285714286</v>
      </c>
      <c r="E46" s="49">
        <f>0.6*(AVERAGE('19.8 Kangulumira-Kayunga'!E46,'21.8 Kangulumira-Kayunga'!E46,'20.8 Kangulumira-Kayunga'!E46,'22.8 Kaangulumira-Kayunga'!E46,'23.8 Kangulumira-Kayunga'!E46,'24.8 Kangulumira-Kayunga'!E46,'25.8 Kangulumira-Kayunga'!E46))</f>
        <v>3.9428571428571426</v>
      </c>
      <c r="F46" s="49">
        <f>AVERAGE('19.8 Kangulumira-Kayunga'!F46,'21.8 Kangulumira-Kayunga'!F46,'20.8 Kangulumira-Kayunga'!F46,'22.8 Kaangulumira-Kayunga'!F46,'23.8 Kangulumira-Kayunga'!F46,'24.8 Kangulumira-Kayunga'!F46,'25.8 Kangulumira-Kayunga'!F46)</f>
        <v>4</v>
      </c>
      <c r="G46" s="49">
        <f>AVERAGE('19.8 Kangulumira-Kayunga'!G46,'21.8 Kangulumira-Kayunga'!G46,'20.8 Kangulumira-Kayunga'!G46,'22.8 Kaangulumira-Kayunga'!G46,'23.8 Kangulumira-Kayunga'!G46,'24.8 Kangulumira-Kayunga'!G46,'25.8 Kangulumira-Kayunga'!G46)</f>
        <v>0.14285714285714285</v>
      </c>
      <c r="H46" s="49">
        <f>AVERAGE('19.8 Kangulumira-Kayunga'!H46,'21.8 Kangulumira-Kayunga'!H46,'20.8 Kangulumira-Kayunga'!H46,'22.8 Kaangulumira-Kayunga'!H46,'23.8 Kangulumira-Kayunga'!H46,'24.8 Kangulumira-Kayunga'!H46,'25.8 Kangulumira-Kayunga'!H46)</f>
        <v>0</v>
      </c>
      <c r="I46" s="49">
        <f>AVERAGE('19.8 Kangulumira-Kayunga'!I46,'21.8 Kangulumira-Kayunga'!I46,'20.8 Kangulumira-Kayunga'!I46,'22.8 Kaangulumira-Kayunga'!I46,'23.8 Kangulumira-Kayunga'!I46,'24.8 Kangulumira-Kayunga'!I46,'25.8 Kangulumira-Kayunga'!I46)</f>
        <v>3.1428571428571428</v>
      </c>
      <c r="J46" s="49">
        <f>AVERAGE('19.8 Kangulumira-Kayunga'!J46,'21.8 Kangulumira-Kayunga'!J46,'20.8 Kangulumira-Kayunga'!J46,'22.8 Kaangulumira-Kayunga'!J46,'23.8 Kangulumira-Kayunga'!J46,'24.8 Kangulumira-Kayunga'!J46,'25.8 Kangulumira-Kayunga'!J46)</f>
        <v>0.2857142857142857</v>
      </c>
      <c r="K46" s="49">
        <f>AVERAGE('19.8 Kangulumira-Kayunga'!K46,'21.8 Kangulumira-Kayunga'!K46,'20.8 Kangulumira-Kayunga'!K46,'22.8 Kaangulumira-Kayunga'!K46,'23.8 Kangulumira-Kayunga'!K46,'24.8 Kangulumira-Kayunga'!K46,'25.8 Kangulumira-Kayunga'!K46)</f>
        <v>0.42857142857142855</v>
      </c>
      <c r="L46" s="49">
        <f>AVERAGE('19.8 Kangulumira-Kayunga'!L46,'21.8 Kangulumira-Kayunga'!L46,'20.8 Kangulumira-Kayunga'!L46,'22.8 Kaangulumira-Kayunga'!L46,'23.8 Kangulumira-Kayunga'!L46,'24.8 Kangulumira-Kayunga'!L46,'25.8 Kangulumira-Kayunga'!L46)</f>
        <v>0.14285714285714285</v>
      </c>
      <c r="M46" s="49">
        <f>AVERAGE('19.8 Kangulumira-Kayunga'!M46,'21.8 Kangulumira-Kayunga'!M46,'20.8 Kangulumira-Kayunga'!M46,'22.8 Kaangulumira-Kayunga'!M46,'23.8 Kangulumira-Kayunga'!M46,'24.8 Kangulumira-Kayunga'!M46,'25.8 Kangulumira-Kayunga'!M46)</f>
        <v>25.285714285714285</v>
      </c>
      <c r="N46" s="49">
        <f>AVERAGE('19.8 Kangulumira-Kayunga'!N46,'21.8 Kangulumira-Kayunga'!N46,'20.8 Kangulumira-Kayunga'!N46,'22.8 Kaangulumira-Kayunga'!N46,'23.8 Kangulumira-Kayunga'!N46,'24.8 Kangulumira-Kayunga'!N46,'25.8 Kangulumira-Kayunga'!N46)</f>
        <v>0</v>
      </c>
      <c r="O46" s="15">
        <f t="shared" si="0"/>
        <v>21.857142857142854</v>
      </c>
      <c r="P46" s="15">
        <f t="shared" si="1"/>
        <v>47.142857142857139</v>
      </c>
      <c r="R46" s="8"/>
      <c r="T46"/>
    </row>
    <row r="47" spans="2:32" ht="23.1" customHeight="1" x14ac:dyDescent="0.25">
      <c r="B47" s="24" t="s">
        <v>74</v>
      </c>
      <c r="C47" s="49">
        <f>AVERAGE('19.8 Kangulumira-Kayunga'!C47,'21.8 Kangulumira-Kayunga'!C47,'20.8 Kangulumira-Kayunga'!C47,'22.8 Kaangulumira-Kayunga'!C47,'23.8 Kangulumira-Kayunga'!C47,'24.8 Kangulumira-Kayunga'!C47,'25.8 Kangulumira-Kayunga'!C47)</f>
        <v>6.4285714285714288</v>
      </c>
      <c r="D47" s="49">
        <f>0.4*(AVERAGE('19.8 Kangulumira-Kayunga'!E47,'21.8 Kangulumira-Kayunga'!E47,'20.8 Kangulumira-Kayunga'!E47,'22.8 Kaangulumira-Kayunga'!E47,'23.8 Kangulumira-Kayunga'!E47,'24.8 Kangulumira-Kayunga'!E47,'25.8 Kangulumira-Kayunga'!E47))</f>
        <v>1.9428571428571428</v>
      </c>
      <c r="E47" s="49">
        <f>0.6*(AVERAGE('19.8 Kangulumira-Kayunga'!E47,'21.8 Kangulumira-Kayunga'!E47,'20.8 Kangulumira-Kayunga'!E47,'22.8 Kaangulumira-Kayunga'!E47,'23.8 Kangulumira-Kayunga'!E47,'24.8 Kangulumira-Kayunga'!E47,'25.8 Kangulumira-Kayunga'!E47))</f>
        <v>2.9142857142857141</v>
      </c>
      <c r="F47" s="49">
        <f>AVERAGE('19.8 Kangulumira-Kayunga'!F47,'21.8 Kangulumira-Kayunga'!F47,'20.8 Kangulumira-Kayunga'!F47,'22.8 Kaangulumira-Kayunga'!F47,'23.8 Kangulumira-Kayunga'!F47,'24.8 Kangulumira-Kayunga'!F47,'25.8 Kangulumira-Kayunga'!F47)</f>
        <v>3.4285714285714284</v>
      </c>
      <c r="G47" s="49">
        <f>AVERAGE('19.8 Kangulumira-Kayunga'!G47,'21.8 Kangulumira-Kayunga'!G47,'20.8 Kangulumira-Kayunga'!G47,'22.8 Kaangulumira-Kayunga'!G47,'23.8 Kangulumira-Kayunga'!G47,'24.8 Kangulumira-Kayunga'!G47,'25.8 Kangulumira-Kayunga'!G47)</f>
        <v>0</v>
      </c>
      <c r="H47" s="49">
        <f>AVERAGE('19.8 Kangulumira-Kayunga'!H47,'21.8 Kangulumira-Kayunga'!H47,'20.8 Kangulumira-Kayunga'!H47,'22.8 Kaangulumira-Kayunga'!H47,'23.8 Kangulumira-Kayunga'!H47,'24.8 Kangulumira-Kayunga'!H47,'25.8 Kangulumira-Kayunga'!H47)</f>
        <v>0</v>
      </c>
      <c r="I47" s="49">
        <f>AVERAGE('19.8 Kangulumira-Kayunga'!I47,'21.8 Kangulumira-Kayunga'!I47,'20.8 Kangulumira-Kayunga'!I47,'22.8 Kaangulumira-Kayunga'!I47,'23.8 Kangulumira-Kayunga'!I47,'24.8 Kangulumira-Kayunga'!I47,'25.8 Kangulumira-Kayunga'!I47)</f>
        <v>3.8571428571428572</v>
      </c>
      <c r="J47" s="49">
        <f>AVERAGE('19.8 Kangulumira-Kayunga'!J47,'21.8 Kangulumira-Kayunga'!J47,'20.8 Kangulumira-Kayunga'!J47,'22.8 Kaangulumira-Kayunga'!J47,'23.8 Kangulumira-Kayunga'!J47,'24.8 Kangulumira-Kayunga'!J47,'25.8 Kangulumira-Kayunga'!J47)</f>
        <v>0.14285714285714285</v>
      </c>
      <c r="K47" s="49">
        <f>AVERAGE('19.8 Kangulumira-Kayunga'!K47,'21.8 Kangulumira-Kayunga'!K47,'20.8 Kangulumira-Kayunga'!K47,'22.8 Kaangulumira-Kayunga'!K47,'23.8 Kangulumira-Kayunga'!K47,'24.8 Kangulumira-Kayunga'!K47,'25.8 Kangulumira-Kayunga'!K47)</f>
        <v>0.14285714285714285</v>
      </c>
      <c r="L47" s="49">
        <f>AVERAGE('19.8 Kangulumira-Kayunga'!L47,'21.8 Kangulumira-Kayunga'!L47,'20.8 Kangulumira-Kayunga'!L47,'22.8 Kaangulumira-Kayunga'!L47,'23.8 Kangulumira-Kayunga'!L47,'24.8 Kangulumira-Kayunga'!L47,'25.8 Kangulumira-Kayunga'!L47)</f>
        <v>0.14285714285714285</v>
      </c>
      <c r="M47" s="49">
        <f>AVERAGE('19.8 Kangulumira-Kayunga'!M47,'21.8 Kangulumira-Kayunga'!M47,'20.8 Kangulumira-Kayunga'!M47,'22.8 Kaangulumira-Kayunga'!M47,'23.8 Kangulumira-Kayunga'!M47,'24.8 Kangulumira-Kayunga'!M47,'25.8 Kangulumira-Kayunga'!M47)</f>
        <v>24.857142857142858</v>
      </c>
      <c r="N47" s="49">
        <f>AVERAGE('19.8 Kangulumira-Kayunga'!N47,'21.8 Kangulumira-Kayunga'!N47,'20.8 Kangulumira-Kayunga'!N47,'22.8 Kaangulumira-Kayunga'!N47,'23.8 Kangulumira-Kayunga'!N47,'24.8 Kangulumira-Kayunga'!N47,'25.8 Kangulumira-Kayunga'!N47)</f>
        <v>0</v>
      </c>
      <c r="O47" s="15">
        <f t="shared" si="0"/>
        <v>19</v>
      </c>
      <c r="P47" s="15">
        <f t="shared" si="1"/>
        <v>43.857142857142861</v>
      </c>
      <c r="R47" s="8"/>
      <c r="T47"/>
    </row>
    <row r="48" spans="2:32" ht="23.1" customHeight="1" x14ac:dyDescent="0.25">
      <c r="B48" s="24" t="s">
        <v>75</v>
      </c>
      <c r="C48" s="49">
        <f>AVERAGE('19.8 Kangulumira-Kayunga'!C48,'21.8 Kangulumira-Kayunga'!C48,'20.8 Kangulumira-Kayunga'!C48,'22.8 Kaangulumira-Kayunga'!C48,'23.8 Kangulumira-Kayunga'!C48,'24.8 Kangulumira-Kayunga'!C48,'25.8 Kangulumira-Kayunga'!C48)</f>
        <v>8.7142857142857135</v>
      </c>
      <c r="D48" s="49">
        <f>0.4*(AVERAGE('19.8 Kangulumira-Kayunga'!E48,'21.8 Kangulumira-Kayunga'!E48,'20.8 Kangulumira-Kayunga'!E48,'22.8 Kaangulumira-Kayunga'!E48,'23.8 Kangulumira-Kayunga'!E48,'24.8 Kangulumira-Kayunga'!E48,'25.8 Kangulumira-Kayunga'!E48))</f>
        <v>2.6285714285714286</v>
      </c>
      <c r="E48" s="49">
        <f>0.6*(AVERAGE('19.8 Kangulumira-Kayunga'!E48,'21.8 Kangulumira-Kayunga'!E48,'20.8 Kangulumira-Kayunga'!E48,'22.8 Kaangulumira-Kayunga'!E48,'23.8 Kangulumira-Kayunga'!E48,'24.8 Kangulumira-Kayunga'!E48,'25.8 Kangulumira-Kayunga'!E48))</f>
        <v>3.9428571428571426</v>
      </c>
      <c r="F48" s="49">
        <f>AVERAGE('19.8 Kangulumira-Kayunga'!F48,'21.8 Kangulumira-Kayunga'!F48,'20.8 Kangulumira-Kayunga'!F48,'22.8 Kaangulumira-Kayunga'!F48,'23.8 Kangulumira-Kayunga'!F48,'24.8 Kangulumira-Kayunga'!F48,'25.8 Kangulumira-Kayunga'!F48)</f>
        <v>3.1428571428571428</v>
      </c>
      <c r="G48" s="49">
        <f>AVERAGE('19.8 Kangulumira-Kayunga'!G48,'21.8 Kangulumira-Kayunga'!G48,'20.8 Kangulumira-Kayunga'!G48,'22.8 Kaangulumira-Kayunga'!G48,'23.8 Kangulumira-Kayunga'!G48,'24.8 Kangulumira-Kayunga'!G48,'25.8 Kangulumira-Kayunga'!G48)</f>
        <v>0.2857142857142857</v>
      </c>
      <c r="H48" s="49">
        <f>AVERAGE('19.8 Kangulumira-Kayunga'!H48,'21.8 Kangulumira-Kayunga'!H48,'20.8 Kangulumira-Kayunga'!H48,'22.8 Kaangulumira-Kayunga'!H48,'23.8 Kangulumira-Kayunga'!H48,'24.8 Kangulumira-Kayunga'!H48,'25.8 Kangulumira-Kayunga'!H48)</f>
        <v>0</v>
      </c>
      <c r="I48" s="49">
        <f>AVERAGE('19.8 Kangulumira-Kayunga'!I48,'21.8 Kangulumira-Kayunga'!I48,'20.8 Kangulumira-Kayunga'!I48,'22.8 Kaangulumira-Kayunga'!I48,'23.8 Kangulumira-Kayunga'!I48,'24.8 Kangulumira-Kayunga'!I48,'25.8 Kangulumira-Kayunga'!I48)</f>
        <v>4</v>
      </c>
      <c r="J48" s="49">
        <f>AVERAGE('19.8 Kangulumira-Kayunga'!J48,'21.8 Kangulumira-Kayunga'!J48,'20.8 Kangulumira-Kayunga'!J48,'22.8 Kaangulumira-Kayunga'!J48,'23.8 Kangulumira-Kayunga'!J48,'24.8 Kangulumira-Kayunga'!J48,'25.8 Kangulumira-Kayunga'!J48)</f>
        <v>0.14285714285714285</v>
      </c>
      <c r="K48" s="49">
        <f>AVERAGE('19.8 Kangulumira-Kayunga'!K48,'21.8 Kangulumira-Kayunga'!K48,'20.8 Kangulumira-Kayunga'!K48,'22.8 Kaangulumira-Kayunga'!K48,'23.8 Kangulumira-Kayunga'!K48,'24.8 Kangulumira-Kayunga'!K48,'25.8 Kangulumira-Kayunga'!K48)</f>
        <v>0.14285714285714285</v>
      </c>
      <c r="L48" s="49">
        <f>AVERAGE('19.8 Kangulumira-Kayunga'!L48,'21.8 Kangulumira-Kayunga'!L48,'20.8 Kangulumira-Kayunga'!L48,'22.8 Kaangulumira-Kayunga'!L48,'23.8 Kangulumira-Kayunga'!L48,'24.8 Kangulumira-Kayunga'!L48,'25.8 Kangulumira-Kayunga'!L48)</f>
        <v>0.2857142857142857</v>
      </c>
      <c r="M48" s="49">
        <f>AVERAGE('19.8 Kangulumira-Kayunga'!M48,'21.8 Kangulumira-Kayunga'!M48,'20.8 Kangulumira-Kayunga'!M48,'22.8 Kaangulumira-Kayunga'!M48,'23.8 Kangulumira-Kayunga'!M48,'24.8 Kangulumira-Kayunga'!M48,'25.8 Kangulumira-Kayunga'!M48)</f>
        <v>27.142857142857142</v>
      </c>
      <c r="N48" s="49">
        <f>AVERAGE('19.8 Kangulumira-Kayunga'!N48,'21.8 Kangulumira-Kayunga'!N48,'20.8 Kangulumira-Kayunga'!N48,'22.8 Kaangulumira-Kayunga'!N48,'23.8 Kangulumira-Kayunga'!N48,'24.8 Kangulumira-Kayunga'!N48,'25.8 Kangulumira-Kayunga'!N48)</f>
        <v>0.14285714285714285</v>
      </c>
      <c r="O48" s="15">
        <f t="shared" si="0"/>
        <v>23.428571428571423</v>
      </c>
      <c r="P48" s="15">
        <f t="shared" si="1"/>
        <v>50.571428571428569</v>
      </c>
      <c r="R48" s="8"/>
      <c r="T48"/>
    </row>
    <row r="49" spans="2:20" ht="23.1" customHeight="1" x14ac:dyDescent="0.25">
      <c r="B49" s="23" t="s">
        <v>76</v>
      </c>
      <c r="C49" s="49">
        <f>AVERAGE('19.8 Kangulumira-Kayunga'!C49,'21.8 Kangulumira-Kayunga'!C49,'20.8 Kangulumira-Kayunga'!C49,'22.8 Kaangulumira-Kayunga'!C49,'23.8 Kangulumira-Kayunga'!C49,'24.8 Kangulumira-Kayunga'!C49,'25.8 Kangulumira-Kayunga'!C49)</f>
        <v>4.8571428571428568</v>
      </c>
      <c r="D49" s="49">
        <f>0.4*(AVERAGE('19.8 Kangulumira-Kayunga'!E49,'21.8 Kangulumira-Kayunga'!E49,'20.8 Kangulumira-Kayunga'!E49,'22.8 Kaangulumira-Kayunga'!E49,'23.8 Kangulumira-Kayunga'!E49,'24.8 Kangulumira-Kayunga'!E49,'25.8 Kangulumira-Kayunga'!E49))</f>
        <v>3.4285714285714288</v>
      </c>
      <c r="E49" s="49">
        <f>0.6*(AVERAGE('19.8 Kangulumira-Kayunga'!E49,'21.8 Kangulumira-Kayunga'!E49,'20.8 Kangulumira-Kayunga'!E49,'22.8 Kaangulumira-Kayunga'!E49,'23.8 Kangulumira-Kayunga'!E49,'24.8 Kangulumira-Kayunga'!E49,'25.8 Kangulumira-Kayunga'!E49))</f>
        <v>5.1428571428571423</v>
      </c>
      <c r="F49" s="49">
        <f>AVERAGE('19.8 Kangulumira-Kayunga'!F49,'21.8 Kangulumira-Kayunga'!F49,'20.8 Kangulumira-Kayunga'!F49,'22.8 Kaangulumira-Kayunga'!F49,'23.8 Kangulumira-Kayunga'!F49,'24.8 Kangulumira-Kayunga'!F49,'25.8 Kangulumira-Kayunga'!F49)</f>
        <v>4.5714285714285712</v>
      </c>
      <c r="G49" s="49">
        <f>AVERAGE('19.8 Kangulumira-Kayunga'!G49,'21.8 Kangulumira-Kayunga'!G49,'20.8 Kangulumira-Kayunga'!G49,'22.8 Kaangulumira-Kayunga'!G49,'23.8 Kangulumira-Kayunga'!G49,'24.8 Kangulumira-Kayunga'!G49,'25.8 Kangulumira-Kayunga'!G49)</f>
        <v>0.14285714285714285</v>
      </c>
      <c r="H49" s="49">
        <f>AVERAGE('19.8 Kangulumira-Kayunga'!H49,'21.8 Kangulumira-Kayunga'!H49,'20.8 Kangulumira-Kayunga'!H49,'22.8 Kaangulumira-Kayunga'!H49,'23.8 Kangulumira-Kayunga'!H49,'24.8 Kangulumira-Kayunga'!H49,'25.8 Kangulumira-Kayunga'!H49)</f>
        <v>0</v>
      </c>
      <c r="I49" s="49">
        <f>AVERAGE('19.8 Kangulumira-Kayunga'!I49,'21.8 Kangulumira-Kayunga'!I49,'20.8 Kangulumira-Kayunga'!I49,'22.8 Kaangulumira-Kayunga'!I49,'23.8 Kangulumira-Kayunga'!I49,'24.8 Kangulumira-Kayunga'!I49,'25.8 Kangulumira-Kayunga'!I49)</f>
        <v>4</v>
      </c>
      <c r="J49" s="49">
        <f>AVERAGE('19.8 Kangulumira-Kayunga'!J49,'21.8 Kangulumira-Kayunga'!J49,'20.8 Kangulumira-Kayunga'!J49,'22.8 Kaangulumira-Kayunga'!J49,'23.8 Kangulumira-Kayunga'!J49,'24.8 Kangulumira-Kayunga'!J49,'25.8 Kangulumira-Kayunga'!J49)</f>
        <v>0.2857142857142857</v>
      </c>
      <c r="K49" s="49">
        <f>AVERAGE('19.8 Kangulumira-Kayunga'!K49,'21.8 Kangulumira-Kayunga'!K49,'20.8 Kangulumira-Kayunga'!K49,'22.8 Kaangulumira-Kayunga'!K49,'23.8 Kangulumira-Kayunga'!K49,'24.8 Kangulumira-Kayunga'!K49,'25.8 Kangulumira-Kayunga'!K49)</f>
        <v>0.2857142857142857</v>
      </c>
      <c r="L49" s="49">
        <f>AVERAGE('19.8 Kangulumira-Kayunga'!L49,'21.8 Kangulumira-Kayunga'!L49,'20.8 Kangulumira-Kayunga'!L49,'22.8 Kaangulumira-Kayunga'!L49,'23.8 Kangulumira-Kayunga'!L49,'24.8 Kangulumira-Kayunga'!L49,'25.8 Kangulumira-Kayunga'!L49)</f>
        <v>0.2857142857142857</v>
      </c>
      <c r="M49" s="49">
        <f>AVERAGE('19.8 Kangulumira-Kayunga'!M49,'21.8 Kangulumira-Kayunga'!M49,'20.8 Kangulumira-Kayunga'!M49,'22.8 Kaangulumira-Kayunga'!M49,'23.8 Kangulumira-Kayunga'!M49,'24.8 Kangulumira-Kayunga'!M49,'25.8 Kangulumira-Kayunga'!M49)</f>
        <v>27.285714285714285</v>
      </c>
      <c r="N49" s="49">
        <f>AVERAGE('19.8 Kangulumira-Kayunga'!N49,'21.8 Kangulumira-Kayunga'!N49,'20.8 Kangulumira-Kayunga'!N49,'22.8 Kaangulumira-Kayunga'!N49,'23.8 Kangulumira-Kayunga'!N49,'24.8 Kangulumira-Kayunga'!N49,'25.8 Kangulumira-Kayunga'!N49)</f>
        <v>0</v>
      </c>
      <c r="O49" s="15">
        <f t="shared" si="0"/>
        <v>22.999999999999996</v>
      </c>
      <c r="P49" s="15">
        <f t="shared" si="1"/>
        <v>50.285714285714278</v>
      </c>
      <c r="R49" s="8"/>
      <c r="T49"/>
    </row>
    <row r="50" spans="2:20" ht="23.1" customHeight="1" x14ac:dyDescent="0.25">
      <c r="B50" s="24" t="s">
        <v>77</v>
      </c>
      <c r="C50" s="49">
        <f>AVERAGE('19.8 Kangulumira-Kayunga'!C50,'21.8 Kangulumira-Kayunga'!C50,'20.8 Kangulumira-Kayunga'!C50,'22.8 Kaangulumira-Kayunga'!C50,'23.8 Kangulumira-Kayunga'!C50,'24.8 Kangulumira-Kayunga'!C50,'25.8 Kangulumira-Kayunga'!C50)</f>
        <v>7.2857142857142856</v>
      </c>
      <c r="D50" s="49">
        <f>0.4*(AVERAGE('19.8 Kangulumira-Kayunga'!E50,'21.8 Kangulumira-Kayunga'!E50,'20.8 Kangulumira-Kayunga'!E50,'22.8 Kaangulumira-Kayunga'!E50,'23.8 Kangulumira-Kayunga'!E50,'24.8 Kangulumira-Kayunga'!E50,'25.8 Kangulumira-Kayunga'!E50))</f>
        <v>2.4000000000000004</v>
      </c>
      <c r="E50" s="49">
        <f>0.6*(AVERAGE('19.8 Kangulumira-Kayunga'!E50,'21.8 Kangulumira-Kayunga'!E50,'20.8 Kangulumira-Kayunga'!E50,'22.8 Kaangulumira-Kayunga'!E50,'23.8 Kangulumira-Kayunga'!E50,'24.8 Kangulumira-Kayunga'!E50,'25.8 Kangulumira-Kayunga'!E50))</f>
        <v>3.5999999999999996</v>
      </c>
      <c r="F50" s="49">
        <f>AVERAGE('19.8 Kangulumira-Kayunga'!F50,'21.8 Kangulumira-Kayunga'!F50,'20.8 Kangulumira-Kayunga'!F50,'22.8 Kaangulumira-Kayunga'!F50,'23.8 Kangulumira-Kayunga'!F50,'24.8 Kangulumira-Kayunga'!F50,'25.8 Kangulumira-Kayunga'!F50)</f>
        <v>4.1428571428571432</v>
      </c>
      <c r="G50" s="49">
        <f>AVERAGE('19.8 Kangulumira-Kayunga'!G50,'21.8 Kangulumira-Kayunga'!G50,'20.8 Kangulumira-Kayunga'!G50,'22.8 Kaangulumira-Kayunga'!G50,'23.8 Kangulumira-Kayunga'!G50,'24.8 Kangulumira-Kayunga'!G50,'25.8 Kangulumira-Kayunga'!G50)</f>
        <v>0.5714285714285714</v>
      </c>
      <c r="H50" s="49">
        <f>AVERAGE('19.8 Kangulumira-Kayunga'!H50,'21.8 Kangulumira-Kayunga'!H50,'20.8 Kangulumira-Kayunga'!H50,'22.8 Kaangulumira-Kayunga'!H50,'23.8 Kangulumira-Kayunga'!H50,'24.8 Kangulumira-Kayunga'!H50,'25.8 Kangulumira-Kayunga'!H50)</f>
        <v>0</v>
      </c>
      <c r="I50" s="49">
        <f>AVERAGE('19.8 Kangulumira-Kayunga'!I50,'21.8 Kangulumira-Kayunga'!I50,'20.8 Kangulumira-Kayunga'!I50,'22.8 Kaangulumira-Kayunga'!I50,'23.8 Kangulumira-Kayunga'!I50,'24.8 Kangulumira-Kayunga'!I50,'25.8 Kangulumira-Kayunga'!I50)</f>
        <v>3.7142857142857144</v>
      </c>
      <c r="J50" s="49">
        <f>AVERAGE('19.8 Kangulumira-Kayunga'!J50,'21.8 Kangulumira-Kayunga'!J50,'20.8 Kangulumira-Kayunga'!J50,'22.8 Kaangulumira-Kayunga'!J50,'23.8 Kangulumira-Kayunga'!J50,'24.8 Kangulumira-Kayunga'!J50,'25.8 Kangulumira-Kayunga'!J50)</f>
        <v>0.5714285714285714</v>
      </c>
      <c r="K50" s="49">
        <f>AVERAGE('19.8 Kangulumira-Kayunga'!K50,'21.8 Kangulumira-Kayunga'!K50,'20.8 Kangulumira-Kayunga'!K50,'22.8 Kaangulumira-Kayunga'!K50,'23.8 Kangulumira-Kayunga'!K50,'24.8 Kangulumira-Kayunga'!K50,'25.8 Kangulumira-Kayunga'!K50)</f>
        <v>0.42857142857142855</v>
      </c>
      <c r="L50" s="49">
        <f>AVERAGE('19.8 Kangulumira-Kayunga'!L50,'21.8 Kangulumira-Kayunga'!L50,'20.8 Kangulumira-Kayunga'!L50,'22.8 Kaangulumira-Kayunga'!L50,'23.8 Kangulumira-Kayunga'!L50,'24.8 Kangulumira-Kayunga'!L50,'25.8 Kangulumira-Kayunga'!L50)</f>
        <v>0.14285714285714285</v>
      </c>
      <c r="M50" s="49">
        <f>AVERAGE('19.8 Kangulumira-Kayunga'!M50,'21.8 Kangulumira-Kayunga'!M50,'20.8 Kangulumira-Kayunga'!M50,'22.8 Kaangulumira-Kayunga'!M50,'23.8 Kangulumira-Kayunga'!M50,'24.8 Kangulumira-Kayunga'!M50,'25.8 Kangulumira-Kayunga'!M50)</f>
        <v>29.142857142857142</v>
      </c>
      <c r="N50" s="49">
        <f>AVERAGE('19.8 Kangulumira-Kayunga'!N50,'21.8 Kangulumira-Kayunga'!N50,'20.8 Kangulumira-Kayunga'!N50,'22.8 Kaangulumira-Kayunga'!N50,'23.8 Kangulumira-Kayunga'!N50,'24.8 Kangulumira-Kayunga'!N50,'25.8 Kangulumira-Kayunga'!N50)</f>
        <v>0</v>
      </c>
      <c r="O50" s="15">
        <f t="shared" si="0"/>
        <v>22.857142857142861</v>
      </c>
      <c r="P50" s="15">
        <f t="shared" si="1"/>
        <v>52</v>
      </c>
      <c r="R50" s="8"/>
      <c r="T50"/>
    </row>
    <row r="51" spans="2:20" ht="23.1" customHeight="1" x14ac:dyDescent="0.25">
      <c r="B51" s="24" t="s">
        <v>78</v>
      </c>
      <c r="C51" s="49">
        <f>AVERAGE('19.8 Kangulumira-Kayunga'!C51,'21.8 Kangulumira-Kayunga'!C51,'20.8 Kangulumira-Kayunga'!C51,'22.8 Kaangulumira-Kayunga'!C51,'23.8 Kangulumira-Kayunga'!C51,'24.8 Kangulumira-Kayunga'!C51,'25.8 Kangulumira-Kayunga'!C51)</f>
        <v>7</v>
      </c>
      <c r="D51" s="49">
        <f>0.4*(AVERAGE('19.8 Kangulumira-Kayunga'!E51,'21.8 Kangulumira-Kayunga'!E51,'20.8 Kangulumira-Kayunga'!E51,'22.8 Kaangulumira-Kayunga'!E51,'23.8 Kangulumira-Kayunga'!E51,'24.8 Kangulumira-Kayunga'!E51,'25.8 Kangulumira-Kayunga'!E51))</f>
        <v>2.8571428571428577</v>
      </c>
      <c r="E51" s="49">
        <f>0.6*(AVERAGE('19.8 Kangulumira-Kayunga'!E51,'21.8 Kangulumira-Kayunga'!E51,'20.8 Kangulumira-Kayunga'!E51,'22.8 Kaangulumira-Kayunga'!E51,'23.8 Kangulumira-Kayunga'!E51,'24.8 Kangulumira-Kayunga'!E51,'25.8 Kangulumira-Kayunga'!E51))</f>
        <v>4.2857142857142856</v>
      </c>
      <c r="F51" s="49">
        <f>AVERAGE('19.8 Kangulumira-Kayunga'!F51,'21.8 Kangulumira-Kayunga'!F51,'20.8 Kangulumira-Kayunga'!F51,'22.8 Kaangulumira-Kayunga'!F51,'23.8 Kangulumira-Kayunga'!F51,'24.8 Kangulumira-Kayunga'!F51,'25.8 Kangulumira-Kayunga'!F51)</f>
        <v>3.7142857142857144</v>
      </c>
      <c r="G51" s="49">
        <f>AVERAGE('19.8 Kangulumira-Kayunga'!G51,'21.8 Kangulumira-Kayunga'!G51,'20.8 Kangulumira-Kayunga'!G51,'22.8 Kaangulumira-Kayunga'!G51,'23.8 Kangulumira-Kayunga'!G51,'24.8 Kangulumira-Kayunga'!G51,'25.8 Kangulumira-Kayunga'!G51)</f>
        <v>0.14285714285714285</v>
      </c>
      <c r="H51" s="49">
        <f>AVERAGE('19.8 Kangulumira-Kayunga'!H51,'21.8 Kangulumira-Kayunga'!H51,'20.8 Kangulumira-Kayunga'!H51,'22.8 Kaangulumira-Kayunga'!H51,'23.8 Kangulumira-Kayunga'!H51,'24.8 Kangulumira-Kayunga'!H51,'25.8 Kangulumira-Kayunga'!H51)</f>
        <v>0</v>
      </c>
      <c r="I51" s="49">
        <f>AVERAGE('19.8 Kangulumira-Kayunga'!I51,'21.8 Kangulumira-Kayunga'!I51,'20.8 Kangulumira-Kayunga'!I51,'22.8 Kaangulumira-Kayunga'!I51,'23.8 Kangulumira-Kayunga'!I51,'24.8 Kangulumira-Kayunga'!I51,'25.8 Kangulumira-Kayunga'!I51)</f>
        <v>4.7142857142857144</v>
      </c>
      <c r="J51" s="49">
        <f>AVERAGE('19.8 Kangulumira-Kayunga'!J51,'21.8 Kangulumira-Kayunga'!J51,'20.8 Kangulumira-Kayunga'!J51,'22.8 Kaangulumira-Kayunga'!J51,'23.8 Kangulumira-Kayunga'!J51,'24.8 Kangulumira-Kayunga'!J51,'25.8 Kangulumira-Kayunga'!J51)</f>
        <v>1</v>
      </c>
      <c r="K51" s="49">
        <f>AVERAGE('19.8 Kangulumira-Kayunga'!K51,'21.8 Kangulumira-Kayunga'!K51,'20.8 Kangulumira-Kayunga'!K51,'22.8 Kaangulumira-Kayunga'!K51,'23.8 Kangulumira-Kayunga'!K51,'24.8 Kangulumira-Kayunga'!K51,'25.8 Kangulumira-Kayunga'!K51)</f>
        <v>0.42857142857142855</v>
      </c>
      <c r="L51" s="49">
        <f>AVERAGE('19.8 Kangulumira-Kayunga'!L51,'21.8 Kangulumira-Kayunga'!L51,'20.8 Kangulumira-Kayunga'!L51,'22.8 Kaangulumira-Kayunga'!L51,'23.8 Kangulumira-Kayunga'!L51,'24.8 Kangulumira-Kayunga'!L51,'25.8 Kangulumira-Kayunga'!L51)</f>
        <v>0.42857142857142855</v>
      </c>
      <c r="M51" s="49">
        <f>AVERAGE('19.8 Kangulumira-Kayunga'!M51,'21.8 Kangulumira-Kayunga'!M51,'20.8 Kangulumira-Kayunga'!M51,'22.8 Kaangulumira-Kayunga'!M51,'23.8 Kangulumira-Kayunga'!M51,'24.8 Kangulumira-Kayunga'!M51,'25.8 Kangulumira-Kayunga'!M51)</f>
        <v>27.571428571428573</v>
      </c>
      <c r="N51" s="49">
        <f>AVERAGE('19.8 Kangulumira-Kayunga'!N51,'21.8 Kangulumira-Kayunga'!N51,'20.8 Kangulumira-Kayunga'!N51,'22.8 Kaangulumira-Kayunga'!N51,'23.8 Kangulumira-Kayunga'!N51,'24.8 Kangulumira-Kayunga'!N51,'25.8 Kangulumira-Kayunga'!N51)</f>
        <v>0</v>
      </c>
      <c r="O51" s="15">
        <f t="shared" si="0"/>
        <v>24.571428571428569</v>
      </c>
      <c r="P51" s="15">
        <f t="shared" si="1"/>
        <v>52.142857142857139</v>
      </c>
      <c r="R51" s="8"/>
      <c r="T51"/>
    </row>
    <row r="52" spans="2:20" ht="23.1" customHeight="1" x14ac:dyDescent="0.25">
      <c r="B52" s="24" t="s">
        <v>79</v>
      </c>
      <c r="C52" s="49">
        <f>AVERAGE('19.8 Kangulumira-Kayunga'!C52,'21.8 Kangulumira-Kayunga'!C52,'20.8 Kangulumira-Kayunga'!C52,'22.8 Kaangulumira-Kayunga'!C52,'23.8 Kangulumira-Kayunga'!C52,'24.8 Kangulumira-Kayunga'!C52,'25.8 Kangulumira-Kayunga'!C52)</f>
        <v>6.1428571428571432</v>
      </c>
      <c r="D52" s="49">
        <f>0.4*(AVERAGE('19.8 Kangulumira-Kayunga'!E52,'21.8 Kangulumira-Kayunga'!E52,'20.8 Kangulumira-Kayunga'!E52,'22.8 Kaangulumira-Kayunga'!E52,'23.8 Kangulumira-Kayunga'!E52,'24.8 Kangulumira-Kayunga'!E52,'25.8 Kangulumira-Kayunga'!E52))</f>
        <v>4.1142857142857148</v>
      </c>
      <c r="E52" s="49">
        <f>0.6*(AVERAGE('19.8 Kangulumira-Kayunga'!E52,'21.8 Kangulumira-Kayunga'!E52,'20.8 Kangulumira-Kayunga'!E52,'22.8 Kaangulumira-Kayunga'!E52,'23.8 Kangulumira-Kayunga'!E52,'24.8 Kangulumira-Kayunga'!E52,'25.8 Kangulumira-Kayunga'!E52))</f>
        <v>6.1714285714285717</v>
      </c>
      <c r="F52" s="49">
        <f>AVERAGE('19.8 Kangulumira-Kayunga'!F52,'21.8 Kangulumira-Kayunga'!F52,'20.8 Kangulumira-Kayunga'!F52,'22.8 Kaangulumira-Kayunga'!F52,'23.8 Kangulumira-Kayunga'!F52,'24.8 Kangulumira-Kayunga'!F52,'25.8 Kangulumira-Kayunga'!F52)</f>
        <v>4.1428571428571432</v>
      </c>
      <c r="G52" s="49">
        <f>AVERAGE('19.8 Kangulumira-Kayunga'!G52,'21.8 Kangulumira-Kayunga'!G52,'20.8 Kangulumira-Kayunga'!G52,'22.8 Kaangulumira-Kayunga'!G52,'23.8 Kangulumira-Kayunga'!G52,'24.8 Kangulumira-Kayunga'!G52,'25.8 Kangulumira-Kayunga'!G52)</f>
        <v>0.2857142857142857</v>
      </c>
      <c r="H52" s="49">
        <f>AVERAGE('19.8 Kangulumira-Kayunga'!H52,'21.8 Kangulumira-Kayunga'!H52,'20.8 Kangulumira-Kayunga'!H52,'22.8 Kaangulumira-Kayunga'!H52,'23.8 Kangulumira-Kayunga'!H52,'24.8 Kangulumira-Kayunga'!H52,'25.8 Kangulumira-Kayunga'!H52)</f>
        <v>0.14285714285714285</v>
      </c>
      <c r="I52" s="49">
        <f>AVERAGE('19.8 Kangulumira-Kayunga'!I52,'21.8 Kangulumira-Kayunga'!I52,'20.8 Kangulumira-Kayunga'!I52,'22.8 Kaangulumira-Kayunga'!I52,'23.8 Kangulumira-Kayunga'!I52,'24.8 Kangulumira-Kayunga'!I52,'25.8 Kangulumira-Kayunga'!I52)</f>
        <v>2.2857142857142856</v>
      </c>
      <c r="J52" s="49">
        <f>AVERAGE('19.8 Kangulumira-Kayunga'!J52,'21.8 Kangulumira-Kayunga'!J52,'20.8 Kangulumira-Kayunga'!J52,'22.8 Kaangulumira-Kayunga'!J52,'23.8 Kangulumira-Kayunga'!J52,'24.8 Kangulumira-Kayunga'!J52,'25.8 Kangulumira-Kayunga'!J52)</f>
        <v>0.42857142857142855</v>
      </c>
      <c r="K52" s="49">
        <f>AVERAGE('19.8 Kangulumira-Kayunga'!K52,'21.8 Kangulumira-Kayunga'!K52,'20.8 Kangulumira-Kayunga'!K52,'22.8 Kaangulumira-Kayunga'!K52,'23.8 Kangulumira-Kayunga'!K52,'24.8 Kangulumira-Kayunga'!K52,'25.8 Kangulumira-Kayunga'!K52)</f>
        <v>0.14285714285714285</v>
      </c>
      <c r="L52" s="49">
        <f>AVERAGE('19.8 Kangulumira-Kayunga'!L52,'21.8 Kangulumira-Kayunga'!L52,'20.8 Kangulumira-Kayunga'!L52,'22.8 Kaangulumira-Kayunga'!L52,'23.8 Kangulumira-Kayunga'!L52,'24.8 Kangulumira-Kayunga'!L52,'25.8 Kangulumira-Kayunga'!L52)</f>
        <v>0.2857142857142857</v>
      </c>
      <c r="M52" s="49">
        <f>AVERAGE('19.8 Kangulumira-Kayunga'!M52,'21.8 Kangulumira-Kayunga'!M52,'20.8 Kangulumira-Kayunga'!M52,'22.8 Kaangulumira-Kayunga'!M52,'23.8 Kangulumira-Kayunga'!M52,'24.8 Kangulumira-Kayunga'!M52,'25.8 Kangulumira-Kayunga'!M52)</f>
        <v>30</v>
      </c>
      <c r="N52" s="49">
        <f>AVERAGE('19.8 Kangulumira-Kayunga'!N52,'21.8 Kangulumira-Kayunga'!N52,'20.8 Kangulumira-Kayunga'!N52,'22.8 Kaangulumira-Kayunga'!N52,'23.8 Kangulumira-Kayunga'!N52,'24.8 Kangulumira-Kayunga'!N52,'25.8 Kangulumira-Kayunga'!N52)</f>
        <v>0</v>
      </c>
      <c r="O52" s="15">
        <f t="shared" si="0"/>
        <v>24.142857142857139</v>
      </c>
      <c r="P52" s="15">
        <f t="shared" si="1"/>
        <v>54.142857142857139</v>
      </c>
      <c r="R52" s="8"/>
      <c r="T52"/>
    </row>
    <row r="53" spans="2:20" ht="23.1" customHeight="1" x14ac:dyDescent="0.25">
      <c r="B53" s="23" t="s">
        <v>80</v>
      </c>
      <c r="C53" s="49">
        <f>AVERAGE('19.8 Kangulumira-Kayunga'!C53,'21.8 Kangulumira-Kayunga'!C53,'20.8 Kangulumira-Kayunga'!C53,'22.8 Kaangulumira-Kayunga'!C53,'23.8 Kangulumira-Kayunga'!C53,'24.8 Kangulumira-Kayunga'!C53,'25.8 Kangulumira-Kayunga'!C53)</f>
        <v>5.4285714285714288</v>
      </c>
      <c r="D53" s="49">
        <f>0.4*(AVERAGE('19.8 Kangulumira-Kayunga'!E53,'21.8 Kangulumira-Kayunga'!E53,'20.8 Kangulumira-Kayunga'!E53,'22.8 Kaangulumira-Kayunga'!E53,'23.8 Kangulumira-Kayunga'!E53,'24.8 Kangulumira-Kayunga'!E53,'25.8 Kangulumira-Kayunga'!E53))</f>
        <v>3.2571428571428571</v>
      </c>
      <c r="E53" s="49">
        <f>0.6*(AVERAGE('19.8 Kangulumira-Kayunga'!E53,'21.8 Kangulumira-Kayunga'!E53,'20.8 Kangulumira-Kayunga'!E53,'22.8 Kaangulumira-Kayunga'!E53,'23.8 Kangulumira-Kayunga'!E53,'24.8 Kangulumira-Kayunga'!E53,'25.8 Kangulumira-Kayunga'!E53))</f>
        <v>4.8857142857142852</v>
      </c>
      <c r="F53" s="49">
        <f>AVERAGE('19.8 Kangulumira-Kayunga'!F53,'21.8 Kangulumira-Kayunga'!F53,'20.8 Kangulumira-Kayunga'!F53,'22.8 Kaangulumira-Kayunga'!F53,'23.8 Kangulumira-Kayunga'!F53,'24.8 Kangulumira-Kayunga'!F53,'25.8 Kangulumira-Kayunga'!F53)</f>
        <v>4.5714285714285712</v>
      </c>
      <c r="G53" s="49">
        <f>AVERAGE('19.8 Kangulumira-Kayunga'!G53,'21.8 Kangulumira-Kayunga'!G53,'20.8 Kangulumira-Kayunga'!G53,'22.8 Kaangulumira-Kayunga'!G53,'23.8 Kangulumira-Kayunga'!G53,'24.8 Kangulumira-Kayunga'!G53,'25.8 Kangulumira-Kayunga'!G53)</f>
        <v>0.2857142857142857</v>
      </c>
      <c r="H53" s="49">
        <f>AVERAGE('19.8 Kangulumira-Kayunga'!H53,'21.8 Kangulumira-Kayunga'!H53,'20.8 Kangulumira-Kayunga'!H53,'22.8 Kaangulumira-Kayunga'!H53,'23.8 Kangulumira-Kayunga'!H53,'24.8 Kangulumira-Kayunga'!H53,'25.8 Kangulumira-Kayunga'!H53)</f>
        <v>0</v>
      </c>
      <c r="I53" s="49">
        <f>AVERAGE('19.8 Kangulumira-Kayunga'!I53,'21.8 Kangulumira-Kayunga'!I53,'20.8 Kangulumira-Kayunga'!I53,'22.8 Kaangulumira-Kayunga'!I53,'23.8 Kangulumira-Kayunga'!I53,'24.8 Kangulumira-Kayunga'!I53,'25.8 Kangulumira-Kayunga'!I53)</f>
        <v>3.4285714285714284</v>
      </c>
      <c r="J53" s="49">
        <f>AVERAGE('19.8 Kangulumira-Kayunga'!J53,'21.8 Kangulumira-Kayunga'!J53,'20.8 Kangulumira-Kayunga'!J53,'22.8 Kaangulumira-Kayunga'!J53,'23.8 Kangulumira-Kayunga'!J53,'24.8 Kangulumira-Kayunga'!J53,'25.8 Kangulumira-Kayunga'!J53)</f>
        <v>0.2857142857142857</v>
      </c>
      <c r="K53" s="49">
        <f>AVERAGE('19.8 Kangulumira-Kayunga'!K53,'21.8 Kangulumira-Kayunga'!K53,'20.8 Kangulumira-Kayunga'!K53,'22.8 Kaangulumira-Kayunga'!K53,'23.8 Kangulumira-Kayunga'!K53,'24.8 Kangulumira-Kayunga'!K53,'25.8 Kangulumira-Kayunga'!K53)</f>
        <v>0</v>
      </c>
      <c r="L53" s="49">
        <f>AVERAGE('19.8 Kangulumira-Kayunga'!L53,'21.8 Kangulumira-Kayunga'!L53,'20.8 Kangulumira-Kayunga'!L53,'22.8 Kaangulumira-Kayunga'!L53,'23.8 Kangulumira-Kayunga'!L53,'24.8 Kangulumira-Kayunga'!L53,'25.8 Kangulumira-Kayunga'!L53)</f>
        <v>0.14285714285714285</v>
      </c>
      <c r="M53" s="49">
        <f>AVERAGE('19.8 Kangulumira-Kayunga'!M53,'21.8 Kangulumira-Kayunga'!M53,'20.8 Kangulumira-Kayunga'!M53,'22.8 Kaangulumira-Kayunga'!M53,'23.8 Kangulumira-Kayunga'!M53,'24.8 Kangulumira-Kayunga'!M53,'25.8 Kangulumira-Kayunga'!M53)</f>
        <v>34.142857142857146</v>
      </c>
      <c r="N53" s="49">
        <f>AVERAGE('19.8 Kangulumira-Kayunga'!N53,'21.8 Kangulumira-Kayunga'!N53,'20.8 Kangulumira-Kayunga'!N53,'22.8 Kaangulumira-Kayunga'!N53,'23.8 Kangulumira-Kayunga'!N53,'24.8 Kangulumira-Kayunga'!N53,'25.8 Kangulumira-Kayunga'!N53)</f>
        <v>0</v>
      </c>
      <c r="O53" s="15">
        <f t="shared" si="0"/>
        <v>22.285714285714285</v>
      </c>
      <c r="P53" s="15">
        <f t="shared" si="1"/>
        <v>56.428571428571431</v>
      </c>
      <c r="R53" s="8"/>
      <c r="T53"/>
    </row>
    <row r="54" spans="2:20" ht="23.1" customHeight="1" x14ac:dyDescent="0.25">
      <c r="B54" s="23" t="s">
        <v>81</v>
      </c>
      <c r="C54" s="49">
        <f>AVERAGE('19.8 Kangulumira-Kayunga'!C54,'21.8 Kangulumira-Kayunga'!C54,'20.8 Kangulumira-Kayunga'!C54,'22.8 Kaangulumira-Kayunga'!C54,'23.8 Kangulumira-Kayunga'!C54,'24.8 Kangulumira-Kayunga'!C54,'25.8 Kangulumira-Kayunga'!C54)</f>
        <v>6.7142857142857144</v>
      </c>
      <c r="D54" s="49">
        <f>0.4*(AVERAGE('19.8 Kangulumira-Kayunga'!E54,'21.8 Kangulumira-Kayunga'!E54,'20.8 Kangulumira-Kayunga'!E54,'22.8 Kaangulumira-Kayunga'!E54,'23.8 Kangulumira-Kayunga'!E54,'24.8 Kangulumira-Kayunga'!E54,'25.8 Kangulumira-Kayunga'!E54))</f>
        <v>3.2</v>
      </c>
      <c r="E54" s="49">
        <f>0.6*(AVERAGE('19.8 Kangulumira-Kayunga'!E54,'21.8 Kangulumira-Kayunga'!E54,'20.8 Kangulumira-Kayunga'!E54,'22.8 Kaangulumira-Kayunga'!E54,'23.8 Kangulumira-Kayunga'!E54,'24.8 Kangulumira-Kayunga'!E54,'25.8 Kangulumira-Kayunga'!E54))</f>
        <v>4.8</v>
      </c>
      <c r="F54" s="49">
        <f>AVERAGE('19.8 Kangulumira-Kayunga'!F54,'21.8 Kangulumira-Kayunga'!F54,'20.8 Kangulumira-Kayunga'!F54,'22.8 Kaangulumira-Kayunga'!F54,'23.8 Kangulumira-Kayunga'!F54,'24.8 Kangulumira-Kayunga'!F54,'25.8 Kangulumira-Kayunga'!F54)</f>
        <v>5.4285714285714288</v>
      </c>
      <c r="G54" s="49">
        <f>AVERAGE('19.8 Kangulumira-Kayunga'!G54,'21.8 Kangulumira-Kayunga'!G54,'20.8 Kangulumira-Kayunga'!G54,'22.8 Kaangulumira-Kayunga'!G54,'23.8 Kangulumira-Kayunga'!G54,'24.8 Kangulumira-Kayunga'!G54,'25.8 Kangulumira-Kayunga'!G54)</f>
        <v>0.2857142857142857</v>
      </c>
      <c r="H54" s="49">
        <f>AVERAGE('19.8 Kangulumira-Kayunga'!H54,'21.8 Kangulumira-Kayunga'!H54,'20.8 Kangulumira-Kayunga'!H54,'22.8 Kaangulumira-Kayunga'!H54,'23.8 Kangulumira-Kayunga'!H54,'24.8 Kangulumira-Kayunga'!H54,'25.8 Kangulumira-Kayunga'!H54)</f>
        <v>0</v>
      </c>
      <c r="I54" s="49">
        <f>AVERAGE('19.8 Kangulumira-Kayunga'!I54,'21.8 Kangulumira-Kayunga'!I54,'20.8 Kangulumira-Kayunga'!I54,'22.8 Kaangulumira-Kayunga'!I54,'23.8 Kangulumira-Kayunga'!I54,'24.8 Kangulumira-Kayunga'!I54,'25.8 Kangulumira-Kayunga'!I54)</f>
        <v>4</v>
      </c>
      <c r="J54" s="49">
        <f>AVERAGE('19.8 Kangulumira-Kayunga'!J54,'21.8 Kangulumira-Kayunga'!J54,'20.8 Kangulumira-Kayunga'!J54,'22.8 Kaangulumira-Kayunga'!J54,'23.8 Kangulumira-Kayunga'!J54,'24.8 Kangulumira-Kayunga'!J54,'25.8 Kangulumira-Kayunga'!J54)</f>
        <v>0</v>
      </c>
      <c r="K54" s="49">
        <f>AVERAGE('19.8 Kangulumira-Kayunga'!K54,'21.8 Kangulumira-Kayunga'!K54,'20.8 Kangulumira-Kayunga'!K54,'22.8 Kaangulumira-Kayunga'!K54,'23.8 Kangulumira-Kayunga'!K54,'24.8 Kangulumira-Kayunga'!K54,'25.8 Kangulumira-Kayunga'!K54)</f>
        <v>0</v>
      </c>
      <c r="L54" s="49">
        <f>AVERAGE('19.8 Kangulumira-Kayunga'!L54,'21.8 Kangulumira-Kayunga'!L54,'20.8 Kangulumira-Kayunga'!L54,'22.8 Kaangulumira-Kayunga'!L54,'23.8 Kangulumira-Kayunga'!L54,'24.8 Kangulumira-Kayunga'!L54,'25.8 Kangulumira-Kayunga'!L54)</f>
        <v>0.2857142857142857</v>
      </c>
      <c r="M54" s="49">
        <f>AVERAGE('19.8 Kangulumira-Kayunga'!M54,'21.8 Kangulumira-Kayunga'!M54,'20.8 Kangulumira-Kayunga'!M54,'22.8 Kaangulumira-Kayunga'!M54,'23.8 Kangulumira-Kayunga'!M54,'24.8 Kangulumira-Kayunga'!M54,'25.8 Kangulumira-Kayunga'!M54)</f>
        <v>32.285714285714285</v>
      </c>
      <c r="N54" s="49">
        <f>AVERAGE('19.8 Kangulumira-Kayunga'!N54,'21.8 Kangulumira-Kayunga'!N54,'20.8 Kangulumira-Kayunga'!N54,'22.8 Kaangulumira-Kayunga'!N54,'23.8 Kangulumira-Kayunga'!N54,'24.8 Kangulumira-Kayunga'!N54,'25.8 Kangulumira-Kayunga'!N54)</f>
        <v>0</v>
      </c>
      <c r="O54" s="15">
        <f t="shared" si="0"/>
        <v>24.714285714285715</v>
      </c>
      <c r="P54" s="15">
        <f t="shared" si="1"/>
        <v>57</v>
      </c>
      <c r="R54" s="8"/>
      <c r="T54"/>
    </row>
    <row r="55" spans="2:20" ht="23.1" customHeight="1" x14ac:dyDescent="0.25">
      <c r="B55" s="23" t="s">
        <v>82</v>
      </c>
      <c r="C55" s="49">
        <f>AVERAGE('19.8 Kangulumira-Kayunga'!C55,'21.8 Kangulumira-Kayunga'!C55,'20.8 Kangulumira-Kayunga'!C55,'22.8 Kaangulumira-Kayunga'!C55,'23.8 Kangulumira-Kayunga'!C55,'24.8 Kangulumira-Kayunga'!C55,'25.8 Kangulumira-Kayunga'!C55)</f>
        <v>6.8571428571428568</v>
      </c>
      <c r="D55" s="49">
        <f>0.4*(AVERAGE('19.8 Kangulumira-Kayunga'!E55,'21.8 Kangulumira-Kayunga'!E55,'20.8 Kangulumira-Kayunga'!E55,'22.8 Kaangulumira-Kayunga'!E55,'23.8 Kangulumira-Kayunga'!E55,'24.8 Kangulumira-Kayunga'!E55,'25.8 Kangulumira-Kayunga'!E55))</f>
        <v>2.4000000000000004</v>
      </c>
      <c r="E55" s="49">
        <f>0.6*(AVERAGE('19.8 Kangulumira-Kayunga'!E55,'21.8 Kangulumira-Kayunga'!E55,'20.8 Kangulumira-Kayunga'!E55,'22.8 Kaangulumira-Kayunga'!E55,'23.8 Kangulumira-Kayunga'!E55,'24.8 Kangulumira-Kayunga'!E55,'25.8 Kangulumira-Kayunga'!E55))</f>
        <v>3.5999999999999996</v>
      </c>
      <c r="F55" s="49">
        <f>AVERAGE('19.8 Kangulumira-Kayunga'!F55,'21.8 Kangulumira-Kayunga'!F55,'20.8 Kangulumira-Kayunga'!F55,'22.8 Kaangulumira-Kayunga'!F55,'23.8 Kangulumira-Kayunga'!F55,'24.8 Kangulumira-Kayunga'!F55,'25.8 Kangulumira-Kayunga'!F55)</f>
        <v>5.2857142857142856</v>
      </c>
      <c r="G55" s="49">
        <f>AVERAGE('19.8 Kangulumira-Kayunga'!G55,'21.8 Kangulumira-Kayunga'!G55,'20.8 Kangulumira-Kayunga'!G55,'22.8 Kaangulumira-Kayunga'!G55,'23.8 Kangulumira-Kayunga'!G55,'24.8 Kangulumira-Kayunga'!G55,'25.8 Kangulumira-Kayunga'!G55)</f>
        <v>0</v>
      </c>
      <c r="H55" s="49">
        <f>AVERAGE('19.8 Kangulumira-Kayunga'!H55,'21.8 Kangulumira-Kayunga'!H55,'20.8 Kangulumira-Kayunga'!H55,'22.8 Kaangulumira-Kayunga'!H55,'23.8 Kangulumira-Kayunga'!H55,'24.8 Kangulumira-Kayunga'!H55,'25.8 Kangulumira-Kayunga'!H55)</f>
        <v>0</v>
      </c>
      <c r="I55" s="49">
        <f>AVERAGE('19.8 Kangulumira-Kayunga'!I55,'21.8 Kangulumira-Kayunga'!I55,'20.8 Kangulumira-Kayunga'!I55,'22.8 Kaangulumira-Kayunga'!I55,'23.8 Kangulumira-Kayunga'!I55,'24.8 Kangulumira-Kayunga'!I55,'25.8 Kangulumira-Kayunga'!I55)</f>
        <v>4</v>
      </c>
      <c r="J55" s="49">
        <f>AVERAGE('19.8 Kangulumira-Kayunga'!J55,'21.8 Kangulumira-Kayunga'!J55,'20.8 Kangulumira-Kayunga'!J55,'22.8 Kaangulumira-Kayunga'!J55,'23.8 Kangulumira-Kayunga'!J55,'24.8 Kangulumira-Kayunga'!J55,'25.8 Kangulumira-Kayunga'!J55)</f>
        <v>0</v>
      </c>
      <c r="K55" s="49">
        <f>AVERAGE('19.8 Kangulumira-Kayunga'!K55,'21.8 Kangulumira-Kayunga'!K55,'20.8 Kangulumira-Kayunga'!K55,'22.8 Kaangulumira-Kayunga'!K55,'23.8 Kangulumira-Kayunga'!K55,'24.8 Kangulumira-Kayunga'!K55,'25.8 Kangulumira-Kayunga'!K55)</f>
        <v>0.14285714285714285</v>
      </c>
      <c r="L55" s="49">
        <f>AVERAGE('19.8 Kangulumira-Kayunga'!L55,'21.8 Kangulumira-Kayunga'!L55,'20.8 Kangulumira-Kayunga'!L55,'22.8 Kaangulumira-Kayunga'!L55,'23.8 Kangulumira-Kayunga'!L55,'24.8 Kangulumira-Kayunga'!L55,'25.8 Kangulumira-Kayunga'!L55)</f>
        <v>0</v>
      </c>
      <c r="M55" s="49">
        <f>AVERAGE('19.8 Kangulumira-Kayunga'!M55,'21.8 Kangulumira-Kayunga'!M55,'20.8 Kangulumira-Kayunga'!M55,'22.8 Kaangulumira-Kayunga'!M55,'23.8 Kangulumira-Kayunga'!M55,'24.8 Kangulumira-Kayunga'!M55,'25.8 Kangulumira-Kayunga'!M55)</f>
        <v>33.285714285714285</v>
      </c>
      <c r="N55" s="49">
        <f>AVERAGE('19.8 Kangulumira-Kayunga'!N55,'21.8 Kangulumira-Kayunga'!N55,'20.8 Kangulumira-Kayunga'!N55,'22.8 Kaangulumira-Kayunga'!N55,'23.8 Kangulumira-Kayunga'!N55,'24.8 Kangulumira-Kayunga'!N55,'25.8 Kangulumira-Kayunga'!N55)</f>
        <v>0</v>
      </c>
      <c r="O55" s="15">
        <f t="shared" si="0"/>
        <v>22.285714285714285</v>
      </c>
      <c r="P55" s="15">
        <f t="shared" si="1"/>
        <v>55.571428571428569</v>
      </c>
      <c r="R55" s="8"/>
      <c r="T55"/>
    </row>
    <row r="56" spans="2:20" ht="23.1" customHeight="1" x14ac:dyDescent="0.25">
      <c r="B56" s="23" t="s">
        <v>83</v>
      </c>
      <c r="C56" s="49">
        <f>AVERAGE('19.8 Kangulumira-Kayunga'!C56,'21.8 Kangulumira-Kayunga'!C56,'20.8 Kangulumira-Kayunga'!C56,'22.8 Kaangulumira-Kayunga'!C56,'23.8 Kangulumira-Kayunga'!C56,'24.8 Kangulumira-Kayunga'!C56,'25.8 Kangulumira-Kayunga'!C56)</f>
        <v>7.5714285714285712</v>
      </c>
      <c r="D56" s="49">
        <f>0.4*(AVERAGE('19.8 Kangulumira-Kayunga'!E56,'21.8 Kangulumira-Kayunga'!E56,'20.8 Kangulumira-Kayunga'!E56,'22.8 Kaangulumira-Kayunga'!E56,'23.8 Kangulumira-Kayunga'!E56,'24.8 Kangulumira-Kayunga'!E56,'25.8 Kangulumira-Kayunga'!E56))</f>
        <v>3.4285714285714288</v>
      </c>
      <c r="E56" s="49">
        <f>0.6*(AVERAGE('19.8 Kangulumira-Kayunga'!E56,'21.8 Kangulumira-Kayunga'!E56,'20.8 Kangulumira-Kayunga'!E56,'22.8 Kaangulumira-Kayunga'!E56,'23.8 Kangulumira-Kayunga'!E56,'24.8 Kangulumira-Kayunga'!E56,'25.8 Kangulumira-Kayunga'!E56))</f>
        <v>5.1428571428571423</v>
      </c>
      <c r="F56" s="49">
        <f>AVERAGE('19.8 Kangulumira-Kayunga'!F56,'21.8 Kangulumira-Kayunga'!F56,'20.8 Kangulumira-Kayunga'!F56,'22.8 Kaangulumira-Kayunga'!F56,'23.8 Kangulumira-Kayunga'!F56,'24.8 Kangulumira-Kayunga'!F56,'25.8 Kangulumira-Kayunga'!F56)</f>
        <v>6.1428571428571432</v>
      </c>
      <c r="G56" s="49">
        <f>AVERAGE('19.8 Kangulumira-Kayunga'!G56,'21.8 Kangulumira-Kayunga'!G56,'20.8 Kangulumira-Kayunga'!G56,'22.8 Kaangulumira-Kayunga'!G56,'23.8 Kangulumira-Kayunga'!G56,'24.8 Kangulumira-Kayunga'!G56,'25.8 Kangulumira-Kayunga'!G56)</f>
        <v>0.5714285714285714</v>
      </c>
      <c r="H56" s="49">
        <f>AVERAGE('19.8 Kangulumira-Kayunga'!H56,'21.8 Kangulumira-Kayunga'!H56,'20.8 Kangulumira-Kayunga'!H56,'22.8 Kaangulumira-Kayunga'!H56,'23.8 Kangulumira-Kayunga'!H56,'24.8 Kangulumira-Kayunga'!H56,'25.8 Kangulumira-Kayunga'!H56)</f>
        <v>0</v>
      </c>
      <c r="I56" s="49">
        <f>AVERAGE('19.8 Kangulumira-Kayunga'!I56,'21.8 Kangulumira-Kayunga'!I56,'20.8 Kangulumira-Kayunga'!I56,'22.8 Kaangulumira-Kayunga'!I56,'23.8 Kangulumira-Kayunga'!I56,'24.8 Kangulumira-Kayunga'!I56,'25.8 Kangulumira-Kayunga'!I56)</f>
        <v>4.7142857142857144</v>
      </c>
      <c r="J56" s="49">
        <f>AVERAGE('19.8 Kangulumira-Kayunga'!J56,'21.8 Kangulumira-Kayunga'!J56,'20.8 Kangulumira-Kayunga'!J56,'22.8 Kaangulumira-Kayunga'!J56,'23.8 Kangulumira-Kayunga'!J56,'24.8 Kangulumira-Kayunga'!J56,'25.8 Kangulumira-Kayunga'!J56)</f>
        <v>0</v>
      </c>
      <c r="K56" s="49">
        <f>AVERAGE('19.8 Kangulumira-Kayunga'!K56,'21.8 Kangulumira-Kayunga'!K56,'20.8 Kangulumira-Kayunga'!K56,'22.8 Kaangulumira-Kayunga'!K56,'23.8 Kangulumira-Kayunga'!K56,'24.8 Kangulumira-Kayunga'!K56,'25.8 Kangulumira-Kayunga'!K56)</f>
        <v>0.14285714285714285</v>
      </c>
      <c r="L56" s="49">
        <f>AVERAGE('19.8 Kangulumira-Kayunga'!L56,'21.8 Kangulumira-Kayunga'!L56,'20.8 Kangulumira-Kayunga'!L56,'22.8 Kaangulumira-Kayunga'!L56,'23.8 Kangulumira-Kayunga'!L56,'24.8 Kangulumira-Kayunga'!L56,'25.8 Kangulumira-Kayunga'!L56)</f>
        <v>0.42857142857142855</v>
      </c>
      <c r="M56" s="49">
        <f>AVERAGE('19.8 Kangulumira-Kayunga'!M56,'21.8 Kangulumira-Kayunga'!M56,'20.8 Kangulumira-Kayunga'!M56,'22.8 Kaangulumira-Kayunga'!M56,'23.8 Kangulumira-Kayunga'!M56,'24.8 Kangulumira-Kayunga'!M56,'25.8 Kangulumira-Kayunga'!M56)</f>
        <v>30.714285714285715</v>
      </c>
      <c r="N56" s="49">
        <f>AVERAGE('19.8 Kangulumira-Kayunga'!N56,'21.8 Kangulumira-Kayunga'!N56,'20.8 Kangulumira-Kayunga'!N56,'22.8 Kaangulumira-Kayunga'!N56,'23.8 Kangulumira-Kayunga'!N56,'24.8 Kangulumira-Kayunga'!N56,'25.8 Kangulumira-Kayunga'!N56)</f>
        <v>0</v>
      </c>
      <c r="O56" s="15">
        <f t="shared" si="0"/>
        <v>28.142857142857142</v>
      </c>
      <c r="P56" s="15">
        <f t="shared" si="1"/>
        <v>58.857142857142861</v>
      </c>
      <c r="R56" s="8"/>
      <c r="T56"/>
    </row>
    <row r="57" spans="2:20" ht="23.1" customHeight="1" x14ac:dyDescent="0.25">
      <c r="B57" s="23" t="s">
        <v>84</v>
      </c>
      <c r="C57" s="49">
        <f>AVERAGE('19.8 Kangulumira-Kayunga'!C57,'21.8 Kangulumira-Kayunga'!C57,'20.8 Kangulumira-Kayunga'!C57,'22.8 Kaangulumira-Kayunga'!C57,'23.8 Kangulumira-Kayunga'!C57,'24.8 Kangulumira-Kayunga'!C57,'25.8 Kangulumira-Kayunga'!C57)</f>
        <v>5.7142857142857144</v>
      </c>
      <c r="D57" s="49">
        <f>0.4*(AVERAGE('19.8 Kangulumira-Kayunga'!E57,'21.8 Kangulumira-Kayunga'!E57,'20.8 Kangulumira-Kayunga'!E57,'22.8 Kaangulumira-Kayunga'!E57,'23.8 Kangulumira-Kayunga'!E57,'24.8 Kangulumira-Kayunga'!E57,'25.8 Kangulumira-Kayunga'!E57))</f>
        <v>3.3142857142857149</v>
      </c>
      <c r="E57" s="49">
        <f>0.6*(AVERAGE('19.8 Kangulumira-Kayunga'!E57,'21.8 Kangulumira-Kayunga'!E57,'20.8 Kangulumira-Kayunga'!E57,'22.8 Kaangulumira-Kayunga'!E57,'23.8 Kangulumira-Kayunga'!E57,'24.8 Kangulumira-Kayunga'!E57,'25.8 Kangulumira-Kayunga'!E57))</f>
        <v>4.9714285714285715</v>
      </c>
      <c r="F57" s="49">
        <f>AVERAGE('19.8 Kangulumira-Kayunga'!F57,'21.8 Kangulumira-Kayunga'!F57,'20.8 Kangulumira-Kayunga'!F57,'22.8 Kaangulumira-Kayunga'!F57,'23.8 Kangulumira-Kayunga'!F57,'24.8 Kangulumira-Kayunga'!F57,'25.8 Kangulumira-Kayunga'!F57)</f>
        <v>6</v>
      </c>
      <c r="G57" s="49">
        <f>AVERAGE('19.8 Kangulumira-Kayunga'!G57,'21.8 Kangulumira-Kayunga'!G57,'20.8 Kangulumira-Kayunga'!G57,'22.8 Kaangulumira-Kayunga'!G57,'23.8 Kangulumira-Kayunga'!G57,'24.8 Kangulumira-Kayunga'!G57,'25.8 Kangulumira-Kayunga'!G57)</f>
        <v>0.8571428571428571</v>
      </c>
      <c r="H57" s="49">
        <f>AVERAGE('19.8 Kangulumira-Kayunga'!H57,'21.8 Kangulumira-Kayunga'!H57,'20.8 Kangulumira-Kayunga'!H57,'22.8 Kaangulumira-Kayunga'!H57,'23.8 Kangulumira-Kayunga'!H57,'24.8 Kangulumira-Kayunga'!H57,'25.8 Kangulumira-Kayunga'!H57)</f>
        <v>0</v>
      </c>
      <c r="I57" s="49">
        <f>AVERAGE('19.8 Kangulumira-Kayunga'!I57,'21.8 Kangulumira-Kayunga'!I57,'20.8 Kangulumira-Kayunga'!I57,'22.8 Kaangulumira-Kayunga'!I57,'23.8 Kangulumira-Kayunga'!I57,'24.8 Kangulumira-Kayunga'!I57,'25.8 Kangulumira-Kayunga'!I57)</f>
        <v>4.4285714285714288</v>
      </c>
      <c r="J57" s="49">
        <f>AVERAGE('19.8 Kangulumira-Kayunga'!J57,'21.8 Kangulumira-Kayunga'!J57,'20.8 Kangulumira-Kayunga'!J57,'22.8 Kaangulumira-Kayunga'!J57,'23.8 Kangulumira-Kayunga'!J57,'24.8 Kangulumira-Kayunga'!J57,'25.8 Kangulumira-Kayunga'!J57)</f>
        <v>0.2857142857142857</v>
      </c>
      <c r="K57" s="49">
        <f>AVERAGE('19.8 Kangulumira-Kayunga'!K57,'21.8 Kangulumira-Kayunga'!K57,'20.8 Kangulumira-Kayunga'!K57,'22.8 Kaangulumira-Kayunga'!K57,'23.8 Kangulumira-Kayunga'!K57,'24.8 Kangulumira-Kayunga'!K57,'25.8 Kangulumira-Kayunga'!K57)</f>
        <v>0.14285714285714285</v>
      </c>
      <c r="L57" s="49">
        <f>AVERAGE('19.8 Kangulumira-Kayunga'!L57,'21.8 Kangulumira-Kayunga'!L57,'20.8 Kangulumira-Kayunga'!L57,'22.8 Kaangulumira-Kayunga'!L57,'23.8 Kangulumira-Kayunga'!L57,'24.8 Kangulumira-Kayunga'!L57,'25.8 Kangulumira-Kayunga'!L57)</f>
        <v>0.14285714285714285</v>
      </c>
      <c r="M57" s="49">
        <f>AVERAGE('19.8 Kangulumira-Kayunga'!M57,'21.8 Kangulumira-Kayunga'!M57,'20.8 Kangulumira-Kayunga'!M57,'22.8 Kaangulumira-Kayunga'!M57,'23.8 Kangulumira-Kayunga'!M57,'24.8 Kangulumira-Kayunga'!M57,'25.8 Kangulumira-Kayunga'!M57)</f>
        <v>30.571428571428573</v>
      </c>
      <c r="N57" s="49">
        <f>AVERAGE('19.8 Kangulumira-Kayunga'!N57,'21.8 Kangulumira-Kayunga'!N57,'20.8 Kangulumira-Kayunga'!N57,'22.8 Kaangulumira-Kayunga'!N57,'23.8 Kangulumira-Kayunga'!N57,'24.8 Kangulumira-Kayunga'!N57,'25.8 Kangulumira-Kayunga'!N57)</f>
        <v>0</v>
      </c>
      <c r="O57" s="15">
        <f t="shared" si="0"/>
        <v>25.857142857142854</v>
      </c>
      <c r="P57" s="15">
        <f t="shared" si="1"/>
        <v>56.428571428571431</v>
      </c>
      <c r="R57" s="8"/>
      <c r="T57"/>
    </row>
    <row r="58" spans="2:20" ht="23.1" customHeight="1" x14ac:dyDescent="0.25">
      <c r="B58" s="23" t="s">
        <v>99</v>
      </c>
      <c r="C58" s="49">
        <f>'20.8 Kangulumira-Kayunga'!C58</f>
        <v>5</v>
      </c>
      <c r="D58" s="49">
        <f>0.4*('20.8 Kangulumira-Kayunga'!E58)</f>
        <v>0.8</v>
      </c>
      <c r="E58" s="49">
        <f>0.6*('20.8 Kangulumira-Kayunga'!E58)</f>
        <v>1.2</v>
      </c>
      <c r="F58" s="49">
        <f>'20.8 Kangulumira-Kayunga'!F58</f>
        <v>2</v>
      </c>
      <c r="G58" s="49">
        <f>'20.8 Kangulumira-Kayunga'!G58</f>
        <v>0</v>
      </c>
      <c r="H58" s="49">
        <f>'20.8 Kangulumira-Kayunga'!H58</f>
        <v>0</v>
      </c>
      <c r="I58" s="49">
        <f>'20.8 Kangulumira-Kayunga'!I58</f>
        <v>3</v>
      </c>
      <c r="J58" s="49">
        <f>'20.8 Kangulumira-Kayunga'!J58</f>
        <v>1</v>
      </c>
      <c r="K58" s="49">
        <f>'20.8 Kangulumira-Kayunga'!K58</f>
        <v>0</v>
      </c>
      <c r="L58" s="49">
        <f>'20.8 Kangulumira-Kayunga'!L58</f>
        <v>0</v>
      </c>
      <c r="M58" s="49">
        <f>'20.8 Kangulumira-Kayunga'!M58</f>
        <v>25</v>
      </c>
      <c r="N58" s="49">
        <f>'20.8 Kangulumira-Kayunga'!N58</f>
        <v>0</v>
      </c>
      <c r="O58" s="15">
        <f t="shared" ref="O58:O105" si="35">SUM(C58:L58,N58)</f>
        <v>13</v>
      </c>
      <c r="P58" s="15">
        <f t="shared" ref="P58:P105" si="36">SUM(C58:N58)</f>
        <v>38</v>
      </c>
      <c r="R58" s="8"/>
      <c r="T58"/>
    </row>
    <row r="59" spans="2:20" ht="23.1" customHeight="1" x14ac:dyDescent="0.25">
      <c r="B59" s="23" t="s">
        <v>100</v>
      </c>
      <c r="C59" s="49">
        <f>'20.8 Kangulumira-Kayunga'!C59</f>
        <v>1</v>
      </c>
      <c r="D59" s="49">
        <f>0.4*('20.8 Kangulumira-Kayunga'!E59)</f>
        <v>1.6</v>
      </c>
      <c r="E59" s="49">
        <f>0.6*('20.8 Kangulumira-Kayunga'!E59)</f>
        <v>2.4</v>
      </c>
      <c r="F59" s="49">
        <f>'20.8 Kangulumira-Kayunga'!F59</f>
        <v>3</v>
      </c>
      <c r="G59" s="49">
        <f>'20.8 Kangulumira-Kayunga'!G59</f>
        <v>0</v>
      </c>
      <c r="H59" s="49">
        <f>'20.8 Kangulumira-Kayunga'!H59</f>
        <v>0</v>
      </c>
      <c r="I59" s="49">
        <f>'20.8 Kangulumira-Kayunga'!I59</f>
        <v>3</v>
      </c>
      <c r="J59" s="49">
        <f>'20.8 Kangulumira-Kayunga'!J59</f>
        <v>1</v>
      </c>
      <c r="K59" s="49">
        <f>'20.8 Kangulumira-Kayunga'!K59</f>
        <v>0</v>
      </c>
      <c r="L59" s="49">
        <f>'20.8 Kangulumira-Kayunga'!L59</f>
        <v>1</v>
      </c>
      <c r="M59" s="49">
        <f>'20.8 Kangulumira-Kayunga'!M59</f>
        <v>23</v>
      </c>
      <c r="N59" s="49">
        <f>'20.8 Kangulumira-Kayunga'!N59</f>
        <v>0</v>
      </c>
      <c r="O59" s="15">
        <f t="shared" si="35"/>
        <v>13</v>
      </c>
      <c r="P59" s="15">
        <f t="shared" si="36"/>
        <v>36</v>
      </c>
      <c r="R59" s="8"/>
      <c r="T59"/>
    </row>
    <row r="60" spans="2:20" ht="23.1" customHeight="1" x14ac:dyDescent="0.25">
      <c r="B60" s="23" t="s">
        <v>101</v>
      </c>
      <c r="C60" s="49">
        <f>'20.8 Kangulumira-Kayunga'!C60</f>
        <v>2</v>
      </c>
      <c r="D60" s="49">
        <f>0.4*('20.8 Kangulumira-Kayunga'!E60)</f>
        <v>2.4000000000000004</v>
      </c>
      <c r="E60" s="49">
        <f>0.6*('20.8 Kangulumira-Kayunga'!E60)</f>
        <v>3.5999999999999996</v>
      </c>
      <c r="F60" s="49">
        <f>'20.8 Kangulumira-Kayunga'!F60</f>
        <v>2</v>
      </c>
      <c r="G60" s="49">
        <f>'20.8 Kangulumira-Kayunga'!G60</f>
        <v>0</v>
      </c>
      <c r="H60" s="49">
        <f>'20.8 Kangulumira-Kayunga'!H60</f>
        <v>1</v>
      </c>
      <c r="I60" s="49">
        <f>'20.8 Kangulumira-Kayunga'!I60</f>
        <v>2</v>
      </c>
      <c r="J60" s="49">
        <f>'20.8 Kangulumira-Kayunga'!J60</f>
        <v>0</v>
      </c>
      <c r="K60" s="49">
        <f>'20.8 Kangulumira-Kayunga'!K60</f>
        <v>1</v>
      </c>
      <c r="L60" s="49">
        <f>'20.8 Kangulumira-Kayunga'!L60</f>
        <v>1</v>
      </c>
      <c r="M60" s="49">
        <f>'20.8 Kangulumira-Kayunga'!M60</f>
        <v>13</v>
      </c>
      <c r="N60" s="49">
        <f>'20.8 Kangulumira-Kayunga'!N60</f>
        <v>0</v>
      </c>
      <c r="O60" s="15">
        <f t="shared" si="35"/>
        <v>15</v>
      </c>
      <c r="P60" s="15">
        <f t="shared" si="36"/>
        <v>28</v>
      </c>
      <c r="R60" s="8"/>
      <c r="T60"/>
    </row>
    <row r="61" spans="2:20" ht="23.1" customHeight="1" x14ac:dyDescent="0.25">
      <c r="B61" s="23" t="s">
        <v>102</v>
      </c>
      <c r="C61" s="49">
        <f>'20.8 Kangulumira-Kayunga'!C61</f>
        <v>1</v>
      </c>
      <c r="D61" s="49">
        <f>0.4*('20.8 Kangulumira-Kayunga'!E61)</f>
        <v>1.6</v>
      </c>
      <c r="E61" s="49">
        <f>0.6*('20.8 Kangulumira-Kayunga'!E61)</f>
        <v>2.4</v>
      </c>
      <c r="F61" s="49">
        <f>'20.8 Kangulumira-Kayunga'!F61</f>
        <v>3</v>
      </c>
      <c r="G61" s="49">
        <f>'20.8 Kangulumira-Kayunga'!G61</f>
        <v>1</v>
      </c>
      <c r="H61" s="49">
        <f>'20.8 Kangulumira-Kayunga'!H61</f>
        <v>1</v>
      </c>
      <c r="I61" s="49">
        <f>'20.8 Kangulumira-Kayunga'!I61</f>
        <v>4</v>
      </c>
      <c r="J61" s="49">
        <f>'20.8 Kangulumira-Kayunga'!J61</f>
        <v>1</v>
      </c>
      <c r="K61" s="49">
        <f>'20.8 Kangulumira-Kayunga'!K61</f>
        <v>1</v>
      </c>
      <c r="L61" s="49">
        <f>'20.8 Kangulumira-Kayunga'!L61</f>
        <v>0</v>
      </c>
      <c r="M61" s="49">
        <f>'20.8 Kangulumira-Kayunga'!M61</f>
        <v>20</v>
      </c>
      <c r="N61" s="49">
        <f>'20.8 Kangulumira-Kayunga'!N61</f>
        <v>0</v>
      </c>
      <c r="O61" s="15">
        <f t="shared" si="35"/>
        <v>16</v>
      </c>
      <c r="P61" s="15">
        <f t="shared" si="36"/>
        <v>36</v>
      </c>
      <c r="R61" s="8"/>
      <c r="T61"/>
    </row>
    <row r="62" spans="2:20" ht="23.1" customHeight="1" x14ac:dyDescent="0.25">
      <c r="B62" s="23" t="s">
        <v>107</v>
      </c>
      <c r="C62" s="49">
        <f>'20.8 Kangulumira-Kayunga'!C62</f>
        <v>3</v>
      </c>
      <c r="D62" s="49">
        <f>0.4*('20.8 Kangulumira-Kayunga'!E62)</f>
        <v>2.4000000000000004</v>
      </c>
      <c r="E62" s="49">
        <f>0.6*('20.8 Kangulumira-Kayunga'!E62)</f>
        <v>3.5999999999999996</v>
      </c>
      <c r="F62" s="49">
        <f>'20.8 Kangulumira-Kayunga'!F62</f>
        <v>1</v>
      </c>
      <c r="G62" s="49">
        <f>'20.8 Kangulumira-Kayunga'!G62</f>
        <v>0</v>
      </c>
      <c r="H62" s="49">
        <f>'20.8 Kangulumira-Kayunga'!H62</f>
        <v>0</v>
      </c>
      <c r="I62" s="49">
        <f>'20.8 Kangulumira-Kayunga'!I62</f>
        <v>4</v>
      </c>
      <c r="J62" s="49">
        <f>'20.8 Kangulumira-Kayunga'!J62</f>
        <v>1</v>
      </c>
      <c r="K62" s="49">
        <f>'20.8 Kangulumira-Kayunga'!K62</f>
        <v>1</v>
      </c>
      <c r="L62" s="49">
        <f>'20.8 Kangulumira-Kayunga'!L62</f>
        <v>0</v>
      </c>
      <c r="M62" s="49">
        <f>'20.8 Kangulumira-Kayunga'!M62</f>
        <v>15</v>
      </c>
      <c r="N62" s="49">
        <f>'20.8 Kangulumira-Kayunga'!N62</f>
        <v>0</v>
      </c>
      <c r="O62" s="15">
        <f t="shared" si="35"/>
        <v>16</v>
      </c>
      <c r="P62" s="15">
        <f t="shared" si="36"/>
        <v>31</v>
      </c>
      <c r="R62" s="8"/>
      <c r="T62"/>
    </row>
    <row r="63" spans="2:20" ht="23.1" customHeight="1" x14ac:dyDescent="0.25">
      <c r="B63" s="23" t="s">
        <v>108</v>
      </c>
      <c r="C63" s="49">
        <f>'20.8 Kangulumira-Kayunga'!C63</f>
        <v>4</v>
      </c>
      <c r="D63" s="49">
        <f>0.4*('20.8 Kangulumira-Kayunga'!E63)</f>
        <v>0.4</v>
      </c>
      <c r="E63" s="49">
        <f>0.6*('20.8 Kangulumira-Kayunga'!E63)</f>
        <v>0.6</v>
      </c>
      <c r="F63" s="49">
        <f>'20.8 Kangulumira-Kayunga'!F63</f>
        <v>4</v>
      </c>
      <c r="G63" s="49">
        <f>'20.8 Kangulumira-Kayunga'!G63</f>
        <v>0</v>
      </c>
      <c r="H63" s="49">
        <f>'20.8 Kangulumira-Kayunga'!H63</f>
        <v>0</v>
      </c>
      <c r="I63" s="49">
        <f>'20.8 Kangulumira-Kayunga'!I63</f>
        <v>2</v>
      </c>
      <c r="J63" s="49">
        <f>'20.8 Kangulumira-Kayunga'!J63</f>
        <v>1</v>
      </c>
      <c r="K63" s="49">
        <f>'20.8 Kangulumira-Kayunga'!K63</f>
        <v>1</v>
      </c>
      <c r="L63" s="49">
        <f>'20.8 Kangulumira-Kayunga'!L63</f>
        <v>0</v>
      </c>
      <c r="M63" s="49">
        <f>'20.8 Kangulumira-Kayunga'!M63</f>
        <v>16</v>
      </c>
      <c r="N63" s="49">
        <f>'20.8 Kangulumira-Kayunga'!N63</f>
        <v>0</v>
      </c>
      <c r="O63" s="15">
        <f t="shared" si="35"/>
        <v>13</v>
      </c>
      <c r="P63" s="15">
        <f t="shared" si="36"/>
        <v>29</v>
      </c>
      <c r="R63" s="8"/>
      <c r="T63"/>
    </row>
    <row r="64" spans="2:20" ht="23.1" customHeight="1" x14ac:dyDescent="0.25">
      <c r="B64" s="23" t="s">
        <v>109</v>
      </c>
      <c r="C64" s="49">
        <f>'20.8 Kangulumira-Kayunga'!C64</f>
        <v>1</v>
      </c>
      <c r="D64" s="49">
        <f>0.4*('20.8 Kangulumira-Kayunga'!E64)</f>
        <v>2</v>
      </c>
      <c r="E64" s="49">
        <f>0.6*('20.8 Kangulumira-Kayunga'!E64)</f>
        <v>3</v>
      </c>
      <c r="F64" s="49">
        <f>'20.8 Kangulumira-Kayunga'!F64</f>
        <v>3</v>
      </c>
      <c r="G64" s="49">
        <f>'20.8 Kangulumira-Kayunga'!G64</f>
        <v>1</v>
      </c>
      <c r="H64" s="49">
        <f>'20.8 Kangulumira-Kayunga'!H64</f>
        <v>1</v>
      </c>
      <c r="I64" s="49">
        <f>'20.8 Kangulumira-Kayunga'!I64</f>
        <v>3</v>
      </c>
      <c r="J64" s="49">
        <f>'20.8 Kangulumira-Kayunga'!J64</f>
        <v>1</v>
      </c>
      <c r="K64" s="49">
        <f>'20.8 Kangulumira-Kayunga'!K64</f>
        <v>1</v>
      </c>
      <c r="L64" s="49">
        <f>'20.8 Kangulumira-Kayunga'!L64</f>
        <v>0</v>
      </c>
      <c r="M64" s="49">
        <f>'20.8 Kangulumira-Kayunga'!M64</f>
        <v>17</v>
      </c>
      <c r="N64" s="49">
        <f>'20.8 Kangulumira-Kayunga'!N64</f>
        <v>0</v>
      </c>
      <c r="O64" s="15">
        <f t="shared" si="35"/>
        <v>16</v>
      </c>
      <c r="P64" s="15">
        <f t="shared" si="36"/>
        <v>33</v>
      </c>
      <c r="R64" s="8"/>
      <c r="T64"/>
    </row>
    <row r="65" spans="2:20" ht="23.1" customHeight="1" x14ac:dyDescent="0.25">
      <c r="B65" s="23" t="s">
        <v>158</v>
      </c>
      <c r="C65" s="49">
        <f>'20.8 Kangulumira-Kayunga'!C65</f>
        <v>4</v>
      </c>
      <c r="D65" s="49">
        <f>0.4*('20.8 Kangulumira-Kayunga'!E65)</f>
        <v>0.4</v>
      </c>
      <c r="E65" s="49">
        <f>0.6*('20.8 Kangulumira-Kayunga'!E65)</f>
        <v>0.6</v>
      </c>
      <c r="F65" s="49">
        <f>'20.8 Kangulumira-Kayunga'!F65</f>
        <v>4</v>
      </c>
      <c r="G65" s="49">
        <f>'20.8 Kangulumira-Kayunga'!G65</f>
        <v>0</v>
      </c>
      <c r="H65" s="49">
        <f>'20.8 Kangulumira-Kayunga'!H65</f>
        <v>0</v>
      </c>
      <c r="I65" s="49">
        <f>'20.8 Kangulumira-Kayunga'!I65</f>
        <v>1</v>
      </c>
      <c r="J65" s="49">
        <f>'20.8 Kangulumira-Kayunga'!J65</f>
        <v>1</v>
      </c>
      <c r="K65" s="49">
        <f>'20.8 Kangulumira-Kayunga'!K65</f>
        <v>0</v>
      </c>
      <c r="L65" s="49">
        <f>'20.8 Kangulumira-Kayunga'!L65</f>
        <v>1</v>
      </c>
      <c r="M65" s="49">
        <f>'20.8 Kangulumira-Kayunga'!M65</f>
        <v>13</v>
      </c>
      <c r="N65" s="49">
        <f>'20.8 Kangulumira-Kayunga'!N65</f>
        <v>0</v>
      </c>
      <c r="O65" s="15">
        <f t="shared" si="35"/>
        <v>12</v>
      </c>
      <c r="P65" s="15">
        <f t="shared" si="36"/>
        <v>25</v>
      </c>
      <c r="R65" s="8"/>
      <c r="T65"/>
    </row>
    <row r="66" spans="2:20" ht="23.1" customHeight="1" x14ac:dyDescent="0.25">
      <c r="B66" s="23" t="s">
        <v>103</v>
      </c>
      <c r="C66" s="49">
        <f>'20.8 Kangulumira-Kayunga'!C66</f>
        <v>2</v>
      </c>
      <c r="D66" s="49">
        <f>0.4*('20.8 Kangulumira-Kayunga'!E66)</f>
        <v>1.6</v>
      </c>
      <c r="E66" s="49">
        <f>0.6*('20.8 Kangulumira-Kayunga'!E66)</f>
        <v>2.4</v>
      </c>
      <c r="F66" s="49">
        <f>'20.8 Kangulumira-Kayunga'!F66</f>
        <v>2</v>
      </c>
      <c r="G66" s="49">
        <f>'20.8 Kangulumira-Kayunga'!G66</f>
        <v>0</v>
      </c>
      <c r="H66" s="49">
        <f>'20.8 Kangulumira-Kayunga'!H66</f>
        <v>0</v>
      </c>
      <c r="I66" s="49">
        <f>'20.8 Kangulumira-Kayunga'!I66</f>
        <v>2</v>
      </c>
      <c r="J66" s="49">
        <f>'20.8 Kangulumira-Kayunga'!J66</f>
        <v>1</v>
      </c>
      <c r="K66" s="49">
        <f>'20.8 Kangulumira-Kayunga'!K66</f>
        <v>1</v>
      </c>
      <c r="L66" s="49">
        <f>'20.8 Kangulumira-Kayunga'!L66</f>
        <v>1</v>
      </c>
      <c r="M66" s="49">
        <f>'20.8 Kangulumira-Kayunga'!M66</f>
        <v>12</v>
      </c>
      <c r="N66" s="49">
        <f>'20.8 Kangulumira-Kayunga'!N66</f>
        <v>0</v>
      </c>
      <c r="O66" s="15">
        <f t="shared" si="35"/>
        <v>13</v>
      </c>
      <c r="P66" s="15">
        <f t="shared" si="36"/>
        <v>25</v>
      </c>
      <c r="R66" s="8"/>
      <c r="T66"/>
    </row>
    <row r="67" spans="2:20" ht="23.1" customHeight="1" x14ac:dyDescent="0.25">
      <c r="B67" s="23" t="s">
        <v>104</v>
      </c>
      <c r="C67" s="49">
        <f>'20.8 Kangulumira-Kayunga'!C67</f>
        <v>2</v>
      </c>
      <c r="D67" s="49">
        <f>0.4*('20.8 Kangulumira-Kayunga'!E67)</f>
        <v>0.8</v>
      </c>
      <c r="E67" s="49">
        <f>0.6*('20.8 Kangulumira-Kayunga'!E67)</f>
        <v>1.2</v>
      </c>
      <c r="F67" s="49">
        <f>'20.8 Kangulumira-Kayunga'!F67</f>
        <v>3</v>
      </c>
      <c r="G67" s="49">
        <f>'20.8 Kangulumira-Kayunga'!G67</f>
        <v>0</v>
      </c>
      <c r="H67" s="49">
        <f>'20.8 Kangulumira-Kayunga'!H67</f>
        <v>1</v>
      </c>
      <c r="I67" s="49">
        <f>'20.8 Kangulumira-Kayunga'!I67</f>
        <v>3</v>
      </c>
      <c r="J67" s="49">
        <f>'20.8 Kangulumira-Kayunga'!J67</f>
        <v>0</v>
      </c>
      <c r="K67" s="49">
        <f>'20.8 Kangulumira-Kayunga'!K67</f>
        <v>0</v>
      </c>
      <c r="L67" s="49">
        <f>'20.8 Kangulumira-Kayunga'!L67</f>
        <v>0</v>
      </c>
      <c r="M67" s="49">
        <f>'20.8 Kangulumira-Kayunga'!M67</f>
        <v>14</v>
      </c>
      <c r="N67" s="49">
        <f>'20.8 Kangulumira-Kayunga'!N67</f>
        <v>0</v>
      </c>
      <c r="O67" s="15">
        <f t="shared" si="35"/>
        <v>11</v>
      </c>
      <c r="P67" s="15">
        <f t="shared" si="36"/>
        <v>25</v>
      </c>
      <c r="R67" s="8"/>
      <c r="T67"/>
    </row>
    <row r="68" spans="2:20" ht="23.1" customHeight="1" x14ac:dyDescent="0.25">
      <c r="B68" s="23" t="s">
        <v>105</v>
      </c>
      <c r="C68" s="49">
        <f>'20.8 Kangulumira-Kayunga'!C68</f>
        <v>3</v>
      </c>
      <c r="D68" s="49">
        <f>0.4*('20.8 Kangulumira-Kayunga'!E68)</f>
        <v>1.2000000000000002</v>
      </c>
      <c r="E68" s="49">
        <f>0.6*('20.8 Kangulumira-Kayunga'!E68)</f>
        <v>1.7999999999999998</v>
      </c>
      <c r="F68" s="49">
        <f>'20.8 Kangulumira-Kayunga'!F68</f>
        <v>1</v>
      </c>
      <c r="G68" s="49">
        <f>'20.8 Kangulumira-Kayunga'!G68</f>
        <v>1</v>
      </c>
      <c r="H68" s="49">
        <f>'20.8 Kangulumira-Kayunga'!H68</f>
        <v>1</v>
      </c>
      <c r="I68" s="49">
        <f>'20.8 Kangulumira-Kayunga'!I68</f>
        <v>3</v>
      </c>
      <c r="J68" s="49">
        <f>'20.8 Kangulumira-Kayunga'!J68</f>
        <v>0</v>
      </c>
      <c r="K68" s="49">
        <f>'20.8 Kangulumira-Kayunga'!K68</f>
        <v>0</v>
      </c>
      <c r="L68" s="49">
        <f>'20.8 Kangulumira-Kayunga'!L68</f>
        <v>1</v>
      </c>
      <c r="M68" s="49">
        <f>'20.8 Kangulumira-Kayunga'!M68</f>
        <v>10</v>
      </c>
      <c r="N68" s="49">
        <f>'20.8 Kangulumira-Kayunga'!N68</f>
        <v>0</v>
      </c>
      <c r="O68" s="15">
        <f t="shared" si="35"/>
        <v>13</v>
      </c>
      <c r="P68" s="15">
        <f t="shared" si="36"/>
        <v>23</v>
      </c>
      <c r="R68" s="8"/>
      <c r="T68"/>
    </row>
    <row r="69" spans="2:20" ht="23.1" customHeight="1" x14ac:dyDescent="0.25">
      <c r="B69" s="23" t="s">
        <v>106</v>
      </c>
      <c r="C69" s="49">
        <f>'20.8 Kangulumira-Kayunga'!C69</f>
        <v>2</v>
      </c>
      <c r="D69" s="49">
        <f>0.4*('20.8 Kangulumira-Kayunga'!E69)</f>
        <v>1.6</v>
      </c>
      <c r="E69" s="49">
        <f>0.6*('20.8 Kangulumira-Kayunga'!E69)</f>
        <v>2.4</v>
      </c>
      <c r="F69" s="49">
        <f>'20.8 Kangulumira-Kayunga'!F69</f>
        <v>3</v>
      </c>
      <c r="G69" s="49">
        <f>'20.8 Kangulumira-Kayunga'!G69</f>
        <v>0</v>
      </c>
      <c r="H69" s="49">
        <f>'20.8 Kangulumira-Kayunga'!H69</f>
        <v>1</v>
      </c>
      <c r="I69" s="49">
        <f>'20.8 Kangulumira-Kayunga'!I69</f>
        <v>3</v>
      </c>
      <c r="J69" s="49">
        <f>'20.8 Kangulumira-Kayunga'!J69</f>
        <v>1</v>
      </c>
      <c r="K69" s="49">
        <f>'20.8 Kangulumira-Kayunga'!K69</f>
        <v>1</v>
      </c>
      <c r="L69" s="49">
        <f>'20.8 Kangulumira-Kayunga'!L69</f>
        <v>0</v>
      </c>
      <c r="M69" s="49">
        <f>'20.8 Kangulumira-Kayunga'!M69</f>
        <v>11</v>
      </c>
      <c r="N69" s="49">
        <f>'20.8 Kangulumira-Kayunga'!N69</f>
        <v>0</v>
      </c>
      <c r="O69" s="15">
        <f t="shared" si="35"/>
        <v>15</v>
      </c>
      <c r="P69" s="15">
        <f t="shared" si="36"/>
        <v>26</v>
      </c>
      <c r="R69" s="8"/>
      <c r="T69"/>
    </row>
    <row r="70" spans="2:20" ht="23.1" customHeight="1" x14ac:dyDescent="0.25">
      <c r="B70" s="23" t="s">
        <v>110</v>
      </c>
      <c r="C70" s="49">
        <f>'20.8 Kangulumira-Kayunga'!C70</f>
        <v>2</v>
      </c>
      <c r="D70" s="49">
        <f>0.4*('20.8 Kangulumira-Kayunga'!E70)</f>
        <v>0.8</v>
      </c>
      <c r="E70" s="49">
        <f>0.6*('20.8 Kangulumira-Kayunga'!E70)</f>
        <v>1.2</v>
      </c>
      <c r="F70" s="49">
        <f>'20.8 Kangulumira-Kayunga'!F70</f>
        <v>1</v>
      </c>
      <c r="G70" s="49">
        <f>'20.8 Kangulumira-Kayunga'!G70</f>
        <v>0</v>
      </c>
      <c r="H70" s="49">
        <f>'20.8 Kangulumira-Kayunga'!H70</f>
        <v>0</v>
      </c>
      <c r="I70" s="49">
        <f>'20.8 Kangulumira-Kayunga'!I70</f>
        <v>1</v>
      </c>
      <c r="J70" s="49">
        <f>'20.8 Kangulumira-Kayunga'!J70</f>
        <v>0</v>
      </c>
      <c r="K70" s="49">
        <f>'20.8 Kangulumira-Kayunga'!K70</f>
        <v>0</v>
      </c>
      <c r="L70" s="49">
        <f>'20.8 Kangulumira-Kayunga'!L70</f>
        <v>0</v>
      </c>
      <c r="M70" s="49">
        <f>'20.8 Kangulumira-Kayunga'!M70</f>
        <v>5</v>
      </c>
      <c r="N70" s="49">
        <f>'20.8 Kangulumira-Kayunga'!N70</f>
        <v>0</v>
      </c>
      <c r="O70" s="15">
        <f t="shared" si="35"/>
        <v>6</v>
      </c>
      <c r="P70" s="15">
        <f t="shared" si="36"/>
        <v>11</v>
      </c>
      <c r="R70" s="8"/>
      <c r="T70"/>
    </row>
    <row r="71" spans="2:20" ht="23.1" customHeight="1" x14ac:dyDescent="0.25">
      <c r="B71" s="23" t="s">
        <v>111</v>
      </c>
      <c r="C71" s="49">
        <f>'20.8 Kangulumira-Kayunga'!C71</f>
        <v>5</v>
      </c>
      <c r="D71" s="49">
        <f>0.4*('20.8 Kangulumira-Kayunga'!E71)</f>
        <v>1.6</v>
      </c>
      <c r="E71" s="49">
        <f>0.6*('20.8 Kangulumira-Kayunga'!E71)</f>
        <v>2.4</v>
      </c>
      <c r="F71" s="49">
        <f>'20.8 Kangulumira-Kayunga'!F71</f>
        <v>2</v>
      </c>
      <c r="G71" s="49">
        <f>'20.8 Kangulumira-Kayunga'!G71</f>
        <v>0</v>
      </c>
      <c r="H71" s="49">
        <f>'20.8 Kangulumira-Kayunga'!H71</f>
        <v>0</v>
      </c>
      <c r="I71" s="49">
        <f>'20.8 Kangulumira-Kayunga'!I71</f>
        <v>2</v>
      </c>
      <c r="J71" s="49">
        <f>'20.8 Kangulumira-Kayunga'!J71</f>
        <v>1</v>
      </c>
      <c r="K71" s="49">
        <f>'20.8 Kangulumira-Kayunga'!K71</f>
        <v>0</v>
      </c>
      <c r="L71" s="49">
        <f>'20.8 Kangulumira-Kayunga'!L71</f>
        <v>0</v>
      </c>
      <c r="M71" s="49">
        <f>'20.8 Kangulumira-Kayunga'!M71</f>
        <v>3</v>
      </c>
      <c r="N71" s="49">
        <f>'20.8 Kangulumira-Kayunga'!N71</f>
        <v>0</v>
      </c>
      <c r="O71" s="15">
        <f t="shared" si="35"/>
        <v>14</v>
      </c>
      <c r="P71" s="15">
        <f t="shared" si="36"/>
        <v>17</v>
      </c>
      <c r="R71" s="8"/>
      <c r="T71"/>
    </row>
    <row r="72" spans="2:20" ht="23.1" customHeight="1" x14ac:dyDescent="0.25">
      <c r="B72" s="23" t="s">
        <v>112</v>
      </c>
      <c r="C72" s="49">
        <f>'20.8 Kangulumira-Kayunga'!C72</f>
        <v>1</v>
      </c>
      <c r="D72" s="49">
        <f>0.4*('20.8 Kangulumira-Kayunga'!E72)</f>
        <v>0.4</v>
      </c>
      <c r="E72" s="49">
        <f>0.6*('20.8 Kangulumira-Kayunga'!E72)</f>
        <v>0.6</v>
      </c>
      <c r="F72" s="49">
        <f>'20.8 Kangulumira-Kayunga'!F72</f>
        <v>1</v>
      </c>
      <c r="G72" s="49">
        <f>'20.8 Kangulumira-Kayunga'!G72</f>
        <v>0</v>
      </c>
      <c r="H72" s="49">
        <f>'20.8 Kangulumira-Kayunga'!H72</f>
        <v>0</v>
      </c>
      <c r="I72" s="49">
        <f>'20.8 Kangulumira-Kayunga'!I72</f>
        <v>1</v>
      </c>
      <c r="J72" s="49">
        <f>'20.8 Kangulumira-Kayunga'!J72</f>
        <v>1</v>
      </c>
      <c r="K72" s="49">
        <f>'20.8 Kangulumira-Kayunga'!K72</f>
        <v>0</v>
      </c>
      <c r="L72" s="49">
        <f>'20.8 Kangulumira-Kayunga'!L72</f>
        <v>0</v>
      </c>
      <c r="M72" s="49">
        <f>'20.8 Kangulumira-Kayunga'!M72</f>
        <v>4</v>
      </c>
      <c r="N72" s="49">
        <f>'20.8 Kangulumira-Kayunga'!N72</f>
        <v>0</v>
      </c>
      <c r="O72" s="15">
        <f t="shared" si="35"/>
        <v>5</v>
      </c>
      <c r="P72" s="15">
        <f t="shared" si="36"/>
        <v>9</v>
      </c>
      <c r="R72" s="8"/>
      <c r="T72"/>
    </row>
    <row r="73" spans="2:20" ht="23.1" customHeight="1" x14ac:dyDescent="0.25">
      <c r="B73" s="23" t="s">
        <v>113</v>
      </c>
      <c r="C73" s="49">
        <f>'20.8 Kangulumira-Kayunga'!C73</f>
        <v>1</v>
      </c>
      <c r="D73" s="49">
        <f>0.4*('20.8 Kangulumira-Kayunga'!E73)</f>
        <v>0.8</v>
      </c>
      <c r="E73" s="49">
        <f>0.6*('20.8 Kangulumira-Kayunga'!E73)</f>
        <v>1.2</v>
      </c>
      <c r="F73" s="49">
        <f>'20.8 Kangulumira-Kayunga'!F73</f>
        <v>2</v>
      </c>
      <c r="G73" s="49">
        <f>'20.8 Kangulumira-Kayunga'!G73</f>
        <v>0</v>
      </c>
      <c r="H73" s="49">
        <f>'20.8 Kangulumira-Kayunga'!H73</f>
        <v>0</v>
      </c>
      <c r="I73" s="49">
        <f>'20.8 Kangulumira-Kayunga'!I73</f>
        <v>2</v>
      </c>
      <c r="J73" s="49">
        <f>'20.8 Kangulumira-Kayunga'!J73</f>
        <v>1</v>
      </c>
      <c r="K73" s="49">
        <f>'20.8 Kangulumira-Kayunga'!K73</f>
        <v>0</v>
      </c>
      <c r="L73" s="49">
        <f>'20.8 Kangulumira-Kayunga'!L73</f>
        <v>1</v>
      </c>
      <c r="M73" s="49">
        <f>'20.8 Kangulumira-Kayunga'!M73</f>
        <v>3</v>
      </c>
      <c r="N73" s="49">
        <f>'20.8 Kangulumira-Kayunga'!N73</f>
        <v>0</v>
      </c>
      <c r="O73" s="15">
        <f t="shared" si="35"/>
        <v>9</v>
      </c>
      <c r="P73" s="15">
        <f t="shared" si="36"/>
        <v>12</v>
      </c>
      <c r="R73" s="8"/>
      <c r="T73"/>
    </row>
    <row r="74" spans="2:20" ht="23.1" customHeight="1" x14ac:dyDescent="0.25">
      <c r="B74" s="23" t="s">
        <v>114</v>
      </c>
      <c r="C74" s="49">
        <f>'20.8 Kangulumira-Kayunga'!C74</f>
        <v>0</v>
      </c>
      <c r="D74" s="49">
        <f>0.4*('20.8 Kangulumira-Kayunga'!E74)</f>
        <v>1.2000000000000002</v>
      </c>
      <c r="E74" s="49">
        <f>0.6*('20.8 Kangulumira-Kayunga'!E74)</f>
        <v>1.7999999999999998</v>
      </c>
      <c r="F74" s="49">
        <f>'20.8 Kangulumira-Kayunga'!F74</f>
        <v>1</v>
      </c>
      <c r="G74" s="49">
        <f>'20.8 Kangulumira-Kayunga'!G74</f>
        <v>0</v>
      </c>
      <c r="H74" s="49">
        <f>'20.8 Kangulumira-Kayunga'!H74</f>
        <v>1</v>
      </c>
      <c r="I74" s="49">
        <f>'20.8 Kangulumira-Kayunga'!I74</f>
        <v>1</v>
      </c>
      <c r="J74" s="49">
        <f>'20.8 Kangulumira-Kayunga'!J74</f>
        <v>0</v>
      </c>
      <c r="K74" s="49">
        <f>'20.8 Kangulumira-Kayunga'!K74</f>
        <v>1</v>
      </c>
      <c r="L74" s="49">
        <f>'20.8 Kangulumira-Kayunga'!L74</f>
        <v>1</v>
      </c>
      <c r="M74" s="49">
        <f>'20.8 Kangulumira-Kayunga'!M74</f>
        <v>6</v>
      </c>
      <c r="N74" s="49">
        <f>'20.8 Kangulumira-Kayunga'!N74</f>
        <v>0</v>
      </c>
      <c r="O74" s="15">
        <f t="shared" si="35"/>
        <v>8</v>
      </c>
      <c r="P74" s="15">
        <f t="shared" si="36"/>
        <v>14</v>
      </c>
      <c r="R74" s="8"/>
      <c r="T74"/>
    </row>
    <row r="75" spans="2:20" ht="23.1" customHeight="1" x14ac:dyDescent="0.25">
      <c r="B75" s="23" t="s">
        <v>115</v>
      </c>
      <c r="C75" s="49">
        <f>'20.8 Kangulumira-Kayunga'!C75</f>
        <v>1</v>
      </c>
      <c r="D75" s="49">
        <f>0.4*('20.8 Kangulumira-Kayunga'!E75)</f>
        <v>0.8</v>
      </c>
      <c r="E75" s="49">
        <f>0.6*('20.8 Kangulumira-Kayunga'!E75)</f>
        <v>1.2</v>
      </c>
      <c r="F75" s="49">
        <f>'20.8 Kangulumira-Kayunga'!F75</f>
        <v>2</v>
      </c>
      <c r="G75" s="49">
        <f>'20.8 Kangulumira-Kayunga'!G75</f>
        <v>1</v>
      </c>
      <c r="H75" s="49">
        <f>'20.8 Kangulumira-Kayunga'!H75</f>
        <v>1</v>
      </c>
      <c r="I75" s="49">
        <f>'20.8 Kangulumira-Kayunga'!I75</f>
        <v>1</v>
      </c>
      <c r="J75" s="49">
        <f>'20.8 Kangulumira-Kayunga'!J75</f>
        <v>1</v>
      </c>
      <c r="K75" s="49">
        <f>'20.8 Kangulumira-Kayunga'!K75</f>
        <v>1</v>
      </c>
      <c r="L75" s="49">
        <f>'20.8 Kangulumira-Kayunga'!L75</f>
        <v>0</v>
      </c>
      <c r="M75" s="49">
        <f>'20.8 Kangulumira-Kayunga'!M75</f>
        <v>1</v>
      </c>
      <c r="N75" s="49">
        <f>'20.8 Kangulumira-Kayunga'!N75</f>
        <v>0</v>
      </c>
      <c r="O75" s="15">
        <f t="shared" si="35"/>
        <v>10</v>
      </c>
      <c r="P75" s="15">
        <f t="shared" si="36"/>
        <v>11</v>
      </c>
      <c r="R75" s="8"/>
      <c r="T75"/>
    </row>
    <row r="76" spans="2:20" ht="23.1" customHeight="1" x14ac:dyDescent="0.25">
      <c r="B76" s="23" t="s">
        <v>116</v>
      </c>
      <c r="C76" s="49">
        <f>'20.8 Kangulumira-Kayunga'!C76</f>
        <v>1</v>
      </c>
      <c r="D76" s="49">
        <f>0.4*('20.8 Kangulumira-Kayunga'!E76)</f>
        <v>1.2000000000000002</v>
      </c>
      <c r="E76" s="49">
        <f>0.6*('20.8 Kangulumira-Kayunga'!E76)</f>
        <v>1.7999999999999998</v>
      </c>
      <c r="F76" s="49">
        <f>'20.8 Kangulumira-Kayunga'!F76</f>
        <v>1</v>
      </c>
      <c r="G76" s="49">
        <f>'20.8 Kangulumira-Kayunga'!G76</f>
        <v>0</v>
      </c>
      <c r="H76" s="49">
        <f>'20.8 Kangulumira-Kayunga'!H76</f>
        <v>0</v>
      </c>
      <c r="I76" s="49">
        <f>'20.8 Kangulumira-Kayunga'!I76</f>
        <v>2</v>
      </c>
      <c r="J76" s="49">
        <f>'20.8 Kangulumira-Kayunga'!J76</f>
        <v>1</v>
      </c>
      <c r="K76" s="49">
        <f>'20.8 Kangulumira-Kayunga'!K76</f>
        <v>1</v>
      </c>
      <c r="L76" s="49">
        <f>'20.8 Kangulumira-Kayunga'!L76</f>
        <v>0</v>
      </c>
      <c r="M76" s="49">
        <f>'20.8 Kangulumira-Kayunga'!M76</f>
        <v>2</v>
      </c>
      <c r="N76" s="49">
        <f>'20.8 Kangulumira-Kayunga'!N76</f>
        <v>0</v>
      </c>
      <c r="O76" s="15">
        <f t="shared" si="35"/>
        <v>9</v>
      </c>
      <c r="P76" s="15">
        <f t="shared" si="36"/>
        <v>11</v>
      </c>
      <c r="R76" s="8"/>
      <c r="T76"/>
    </row>
    <row r="77" spans="2:20" ht="23.1" customHeight="1" x14ac:dyDescent="0.25">
      <c r="B77" s="23" t="s">
        <v>117</v>
      </c>
      <c r="C77" s="49">
        <f>'20.8 Kangulumira-Kayunga'!C77</f>
        <v>0</v>
      </c>
      <c r="D77" s="49">
        <f>0.4*('20.8 Kangulumira-Kayunga'!E77)</f>
        <v>0.4</v>
      </c>
      <c r="E77" s="49">
        <f>0.6*('20.8 Kangulumira-Kayunga'!E77)</f>
        <v>0.6</v>
      </c>
      <c r="F77" s="49">
        <f>'20.8 Kangulumira-Kayunga'!F77</f>
        <v>2</v>
      </c>
      <c r="G77" s="49">
        <f>'20.8 Kangulumira-Kayunga'!G77</f>
        <v>0</v>
      </c>
      <c r="H77" s="49">
        <f>'20.8 Kangulumira-Kayunga'!H77</f>
        <v>0</v>
      </c>
      <c r="I77" s="49">
        <f>'20.8 Kangulumira-Kayunga'!I77</f>
        <v>1</v>
      </c>
      <c r="J77" s="49">
        <f>'20.8 Kangulumira-Kayunga'!J77</f>
        <v>1</v>
      </c>
      <c r="K77" s="49">
        <f>'20.8 Kangulumira-Kayunga'!K77</f>
        <v>1</v>
      </c>
      <c r="L77" s="49">
        <f>'20.8 Kangulumira-Kayunga'!L77</f>
        <v>0</v>
      </c>
      <c r="M77" s="49">
        <f>'20.8 Kangulumira-Kayunga'!M77</f>
        <v>1</v>
      </c>
      <c r="N77" s="49">
        <f>'20.8 Kangulumira-Kayunga'!N77</f>
        <v>0</v>
      </c>
      <c r="O77" s="15">
        <f t="shared" si="35"/>
        <v>6</v>
      </c>
      <c r="P77" s="15">
        <f t="shared" si="36"/>
        <v>7</v>
      </c>
      <c r="R77" s="8"/>
      <c r="T77"/>
    </row>
    <row r="78" spans="2:20" ht="23.1" customHeight="1" x14ac:dyDescent="0.25">
      <c r="B78" s="24" t="s">
        <v>118</v>
      </c>
      <c r="C78" s="49">
        <f>'20.8 Kangulumira-Kayunga'!C78</f>
        <v>1</v>
      </c>
      <c r="D78" s="49">
        <f>0.4*('20.8 Kangulumira-Kayunga'!E78)</f>
        <v>1.2000000000000002</v>
      </c>
      <c r="E78" s="49">
        <f>0.6*('20.8 Kangulumira-Kayunga'!E78)</f>
        <v>1.7999999999999998</v>
      </c>
      <c r="F78" s="49">
        <f>'20.8 Kangulumira-Kayunga'!F78</f>
        <v>2</v>
      </c>
      <c r="G78" s="49">
        <f>'20.8 Kangulumira-Kayunga'!G78</f>
        <v>1</v>
      </c>
      <c r="H78" s="49">
        <f>'20.8 Kangulumira-Kayunga'!H78</f>
        <v>1</v>
      </c>
      <c r="I78" s="49">
        <f>'20.8 Kangulumira-Kayunga'!I78</f>
        <v>2</v>
      </c>
      <c r="J78" s="49">
        <f>'20.8 Kangulumira-Kayunga'!J78</f>
        <v>1</v>
      </c>
      <c r="K78" s="49">
        <f>'20.8 Kangulumira-Kayunga'!K78</f>
        <v>1</v>
      </c>
      <c r="L78" s="49">
        <f>'20.8 Kangulumira-Kayunga'!L78</f>
        <v>0</v>
      </c>
      <c r="M78" s="49">
        <f>'20.8 Kangulumira-Kayunga'!M78</f>
        <v>1</v>
      </c>
      <c r="N78" s="49">
        <f>'20.8 Kangulumira-Kayunga'!N78</f>
        <v>0</v>
      </c>
      <c r="O78" s="15">
        <f t="shared" si="35"/>
        <v>12</v>
      </c>
      <c r="P78" s="15">
        <f t="shared" si="36"/>
        <v>13</v>
      </c>
      <c r="R78" s="8"/>
      <c r="T78"/>
    </row>
    <row r="79" spans="2:20" ht="23.1" customHeight="1" x14ac:dyDescent="0.25">
      <c r="B79" s="23" t="s">
        <v>119</v>
      </c>
      <c r="C79" s="49">
        <f>'20.8 Kangulumira-Kayunga'!C79</f>
        <v>2</v>
      </c>
      <c r="D79" s="49">
        <f>0.4*('20.8 Kangulumira-Kayunga'!E79)</f>
        <v>0.4</v>
      </c>
      <c r="E79" s="49">
        <f>0.6*('20.8 Kangulumira-Kayunga'!E79)</f>
        <v>0.6</v>
      </c>
      <c r="F79" s="49">
        <f>'20.8 Kangulumira-Kayunga'!F79</f>
        <v>2</v>
      </c>
      <c r="G79" s="49">
        <f>'20.8 Kangulumira-Kayunga'!G79</f>
        <v>0</v>
      </c>
      <c r="H79" s="49">
        <f>'20.8 Kangulumira-Kayunga'!H79</f>
        <v>0</v>
      </c>
      <c r="I79" s="49">
        <f>'20.8 Kangulumira-Kayunga'!I79</f>
        <v>1</v>
      </c>
      <c r="J79" s="49">
        <f>'20.8 Kangulumira-Kayunga'!J79</f>
        <v>1</v>
      </c>
      <c r="K79" s="49">
        <f>'20.8 Kangulumira-Kayunga'!K79</f>
        <v>0</v>
      </c>
      <c r="L79" s="49">
        <f>'20.8 Kangulumira-Kayunga'!L79</f>
        <v>1</v>
      </c>
      <c r="M79" s="49">
        <f>'20.8 Kangulumira-Kayunga'!M79</f>
        <v>0</v>
      </c>
      <c r="N79" s="49">
        <f>'20.8 Kangulumira-Kayunga'!N79</f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25" t="s">
        <v>120</v>
      </c>
      <c r="C80" s="49">
        <f>'20.8 Kangulumira-Kayunga'!C80</f>
        <v>0</v>
      </c>
      <c r="D80" s="49">
        <f>0.4*('20.8 Kangulumira-Kayunga'!E80)</f>
        <v>0.8</v>
      </c>
      <c r="E80" s="49">
        <f>0.6*('20.8 Kangulumira-Kayunga'!E80)</f>
        <v>1.2</v>
      </c>
      <c r="F80" s="49">
        <f>'20.8 Kangulumira-Kayunga'!F80</f>
        <v>1</v>
      </c>
      <c r="G80" s="49">
        <f>'20.8 Kangulumira-Kayunga'!G80</f>
        <v>0</v>
      </c>
      <c r="H80" s="49">
        <f>'20.8 Kangulumira-Kayunga'!H80</f>
        <v>0</v>
      </c>
      <c r="I80" s="49">
        <f>'20.8 Kangulumira-Kayunga'!I80</f>
        <v>1</v>
      </c>
      <c r="J80" s="49">
        <f>'20.8 Kangulumira-Kayunga'!J80</f>
        <v>1</v>
      </c>
      <c r="K80" s="49">
        <f>'20.8 Kangulumira-Kayunga'!K80</f>
        <v>1</v>
      </c>
      <c r="L80" s="49">
        <f>'20.8 Kangulumira-Kayunga'!L80</f>
        <v>1</v>
      </c>
      <c r="M80" s="49">
        <f>'20.8 Kangulumira-Kayunga'!M80</f>
        <v>0</v>
      </c>
      <c r="N80" s="49">
        <f>'20.8 Kangulumira-Kayunga'!N80</f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23" t="s">
        <v>121</v>
      </c>
      <c r="C81" s="49">
        <f>'20.8 Kangulumira-Kayunga'!C81</f>
        <v>1</v>
      </c>
      <c r="D81" s="49">
        <f>0.4*('20.8 Kangulumira-Kayunga'!E81)</f>
        <v>0.4</v>
      </c>
      <c r="E81" s="49">
        <f>0.6*('20.8 Kangulumira-Kayunga'!E81)</f>
        <v>0.6</v>
      </c>
      <c r="F81" s="49">
        <f>'20.8 Kangulumira-Kayunga'!F81</f>
        <v>2</v>
      </c>
      <c r="G81" s="49">
        <f>'20.8 Kangulumira-Kayunga'!G81</f>
        <v>0</v>
      </c>
      <c r="H81" s="49">
        <f>'20.8 Kangulumira-Kayunga'!H81</f>
        <v>1</v>
      </c>
      <c r="I81" s="49">
        <f>'20.8 Kangulumira-Kayunga'!I81</f>
        <v>2</v>
      </c>
      <c r="J81" s="49">
        <f>'20.8 Kangulumira-Kayunga'!J81</f>
        <v>0</v>
      </c>
      <c r="K81" s="49">
        <f>'20.8 Kangulumira-Kayunga'!K81</f>
        <v>0</v>
      </c>
      <c r="L81" s="49">
        <f>'20.8 Kangulumira-Kayunga'!L81</f>
        <v>0</v>
      </c>
      <c r="M81" s="49">
        <f>'20.8 Kangulumira-Kayunga'!M81</f>
        <v>0</v>
      </c>
      <c r="N81" s="49">
        <f>'20.8 Kangulumira-Kayunga'!N81</f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'20.8 Kangulumira-Kayunga'!C82</f>
        <v>1</v>
      </c>
      <c r="D82" s="49">
        <f>0.4*('20.8 Kangulumira-Kayunga'!E82)</f>
        <v>0.8</v>
      </c>
      <c r="E82" s="49">
        <f>0.6*('20.8 Kangulumira-Kayunga'!E82)</f>
        <v>1.2</v>
      </c>
      <c r="F82" s="49">
        <f>'20.8 Kangulumira-Kayunga'!F82</f>
        <v>1</v>
      </c>
      <c r="G82" s="49">
        <f>'20.8 Kangulumira-Kayunga'!G82</f>
        <v>1</v>
      </c>
      <c r="H82" s="49">
        <f>'20.8 Kangulumira-Kayunga'!H82</f>
        <v>1</v>
      </c>
      <c r="I82" s="49">
        <f>'20.8 Kangulumira-Kayunga'!I82</f>
        <v>1</v>
      </c>
      <c r="J82" s="49">
        <f>'20.8 Kangulumira-Kayunga'!J82</f>
        <v>0</v>
      </c>
      <c r="K82" s="49">
        <f>'20.8 Kangulumira-Kayunga'!K82</f>
        <v>0</v>
      </c>
      <c r="L82" s="49">
        <f>'20.8 Kangulumira-Kayunga'!L82</f>
        <v>1</v>
      </c>
      <c r="M82" s="49">
        <f>'20.8 Kangulumira-Kayunga'!M82</f>
        <v>0</v>
      </c>
      <c r="N82" s="49">
        <f>'20.8 Kangulumira-Kayunga'!N82</f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 x14ac:dyDescent="0.25">
      <c r="B83" s="23" t="s">
        <v>123</v>
      </c>
      <c r="C83" s="49">
        <f>'20.8 Kangulumira-Kayunga'!C83</f>
        <v>0</v>
      </c>
      <c r="D83" s="49">
        <f>0.4*('20.8 Kangulumira-Kayunga'!E83)</f>
        <v>0.8</v>
      </c>
      <c r="E83" s="49">
        <f>0.6*('20.8 Kangulumira-Kayunga'!E83)</f>
        <v>1.2</v>
      </c>
      <c r="F83" s="49">
        <f>'20.8 Kangulumira-Kayunga'!F83</f>
        <v>2</v>
      </c>
      <c r="G83" s="49">
        <f>'20.8 Kangulumira-Kayunga'!G83</f>
        <v>0</v>
      </c>
      <c r="H83" s="49">
        <f>'20.8 Kangulumira-Kayunga'!H83</f>
        <v>1</v>
      </c>
      <c r="I83" s="49">
        <f>'20.8 Kangulumira-Kayunga'!I83</f>
        <v>1</v>
      </c>
      <c r="J83" s="49">
        <f>'20.8 Kangulumira-Kayunga'!J83</f>
        <v>1</v>
      </c>
      <c r="K83" s="49">
        <f>'20.8 Kangulumira-Kayunga'!K83</f>
        <v>1</v>
      </c>
      <c r="L83" s="49">
        <f>'20.8 Kangulumira-Kayunga'!L83</f>
        <v>0</v>
      </c>
      <c r="M83" s="49">
        <f>'20.8 Kangulumira-Kayunga'!M83</f>
        <v>0</v>
      </c>
      <c r="N83" s="49">
        <f>'20.8 Kangulumira-Kayunga'!N83</f>
        <v>0</v>
      </c>
      <c r="O83" s="15">
        <f t="shared" si="35"/>
        <v>8</v>
      </c>
      <c r="P83" s="15">
        <f t="shared" si="36"/>
        <v>8</v>
      </c>
      <c r="R83" s="8"/>
      <c r="T83"/>
    </row>
    <row r="84" spans="2:20" ht="23.1" customHeight="1" x14ac:dyDescent="0.25">
      <c r="B84" s="25" t="s">
        <v>124</v>
      </c>
      <c r="C84" s="49">
        <f>'20.8 Kangulumira-Kayunga'!C84</f>
        <v>1</v>
      </c>
      <c r="D84" s="49">
        <f>0.4*('20.8 Kangulumira-Kayunga'!E84)</f>
        <v>0.4</v>
      </c>
      <c r="E84" s="49">
        <f>0.6*('20.8 Kangulumira-Kayunga'!E84)</f>
        <v>0.6</v>
      </c>
      <c r="F84" s="49">
        <f>'20.8 Kangulumira-Kayunga'!F84</f>
        <v>1</v>
      </c>
      <c r="G84" s="49">
        <f>'20.8 Kangulumira-Kayunga'!G84</f>
        <v>0</v>
      </c>
      <c r="H84" s="49">
        <f>'20.8 Kangulumira-Kayunga'!H84</f>
        <v>0</v>
      </c>
      <c r="I84" s="49">
        <f>'20.8 Kangulumira-Kayunga'!I84</f>
        <v>0</v>
      </c>
      <c r="J84" s="49">
        <f>'20.8 Kangulumira-Kayunga'!J84</f>
        <v>0</v>
      </c>
      <c r="K84" s="49">
        <f>'20.8 Kangulumira-Kayunga'!K84</f>
        <v>0</v>
      </c>
      <c r="L84" s="49">
        <f>'20.8 Kangulumira-Kayunga'!L84</f>
        <v>0</v>
      </c>
      <c r="M84" s="49">
        <f>'20.8 Kangulumira-Kayunga'!M84</f>
        <v>0</v>
      </c>
      <c r="N84" s="49">
        <f>'20.8 Kangulumira-Kayunga'!N84</f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'20.8 Kangulumira-Kayunga'!C85</f>
        <v>2</v>
      </c>
      <c r="D85" s="49">
        <f>0.4*('20.8 Kangulumira-Kayunga'!E85)</f>
        <v>0.4</v>
      </c>
      <c r="E85" s="49">
        <f>0.6*('20.8 Kangulumira-Kayunga'!E85)</f>
        <v>0.6</v>
      </c>
      <c r="F85" s="49">
        <f>'20.8 Kangulumira-Kayunga'!F85</f>
        <v>1</v>
      </c>
      <c r="G85" s="49">
        <f>'20.8 Kangulumira-Kayunga'!G85</f>
        <v>0</v>
      </c>
      <c r="H85" s="49">
        <f>'20.8 Kangulumira-Kayunga'!H85</f>
        <v>0</v>
      </c>
      <c r="I85" s="49">
        <f>'20.8 Kangulumira-Kayunga'!I85</f>
        <v>0</v>
      </c>
      <c r="J85" s="49">
        <f>'20.8 Kangulumira-Kayunga'!J85</f>
        <v>1</v>
      </c>
      <c r="K85" s="49">
        <f>'20.8 Kangulumira-Kayunga'!K85</f>
        <v>0</v>
      </c>
      <c r="L85" s="49">
        <f>'20.8 Kangulumira-Kayunga'!L85</f>
        <v>0</v>
      </c>
      <c r="M85" s="49">
        <f>'20.8 Kangulumira-Kayunga'!M85</f>
        <v>0</v>
      </c>
      <c r="N85" s="49">
        <f>'20.8 Kangulumira-Kayunga'!N85</f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'20.8 Kangulumira-Kayunga'!C86</f>
        <v>1</v>
      </c>
      <c r="D86" s="49">
        <f>0.4*('20.8 Kangulumira-Kayunga'!E86)</f>
        <v>0.4</v>
      </c>
      <c r="E86" s="49">
        <f>0.6*('20.8 Kangulumira-Kayunga'!E86)</f>
        <v>0.6</v>
      </c>
      <c r="F86" s="49">
        <f>'20.8 Kangulumira-Kayunga'!F86</f>
        <v>1</v>
      </c>
      <c r="G86" s="49">
        <f>'20.8 Kangulumira-Kayunga'!G86</f>
        <v>0</v>
      </c>
      <c r="H86" s="49">
        <f>'20.8 Kangulumira-Kayunga'!H86</f>
        <v>0</v>
      </c>
      <c r="I86" s="49">
        <f>'20.8 Kangulumira-Kayunga'!I86</f>
        <v>0</v>
      </c>
      <c r="J86" s="49">
        <f>'20.8 Kangulumira-Kayunga'!J86</f>
        <v>1</v>
      </c>
      <c r="K86" s="49">
        <f>'20.8 Kangulumira-Kayunga'!K86</f>
        <v>0</v>
      </c>
      <c r="L86" s="49">
        <f>'20.8 Kangulumira-Kayunga'!L86</f>
        <v>0</v>
      </c>
      <c r="M86" s="49">
        <f>'20.8 Kangulumira-Kayunga'!M86</f>
        <v>0</v>
      </c>
      <c r="N86" s="49">
        <f>'20.8 Kangulumira-Kayunga'!N86</f>
        <v>0</v>
      </c>
      <c r="O86" s="15">
        <f t="shared" si="35"/>
        <v>4</v>
      </c>
      <c r="P86" s="15">
        <f t="shared" si="36"/>
        <v>4</v>
      </c>
      <c r="R86" s="8"/>
      <c r="T86"/>
    </row>
    <row r="87" spans="2:20" ht="23.1" customHeight="1" x14ac:dyDescent="0.25">
      <c r="B87" s="23" t="s">
        <v>127</v>
      </c>
      <c r="C87" s="49">
        <f>'20.8 Kangulumira-Kayunga'!C87</f>
        <v>0</v>
      </c>
      <c r="D87" s="49">
        <f>0.4*('20.8 Kangulumira-Kayunga'!E87)</f>
        <v>0.4</v>
      </c>
      <c r="E87" s="49">
        <f>0.6*('20.8 Kangulumira-Kayunga'!E87)</f>
        <v>0.6</v>
      </c>
      <c r="F87" s="49">
        <f>'20.8 Kangulumira-Kayunga'!F87</f>
        <v>1</v>
      </c>
      <c r="G87" s="49">
        <f>'20.8 Kangulumira-Kayunga'!G87</f>
        <v>0</v>
      </c>
      <c r="H87" s="49">
        <f>'20.8 Kangulumira-Kayunga'!H87</f>
        <v>0</v>
      </c>
      <c r="I87" s="49">
        <f>'20.8 Kangulumira-Kayunga'!I87</f>
        <v>0</v>
      </c>
      <c r="J87" s="49">
        <f>'20.8 Kangulumira-Kayunga'!J87</f>
        <v>1</v>
      </c>
      <c r="K87" s="49">
        <f>'20.8 Kangulumira-Kayunga'!K87</f>
        <v>0</v>
      </c>
      <c r="L87" s="49">
        <f>'20.8 Kangulumira-Kayunga'!L87</f>
        <v>1</v>
      </c>
      <c r="M87" s="49">
        <f>'20.8 Kangulumira-Kayunga'!M87</f>
        <v>0</v>
      </c>
      <c r="N87" s="49">
        <f>'20.8 Kangulumira-Kayunga'!N87</f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25" t="s">
        <v>128</v>
      </c>
      <c r="C88" s="49">
        <f>'20.8 Kangulumira-Kayunga'!C88</f>
        <v>0</v>
      </c>
      <c r="D88" s="49">
        <f>0.4*('20.8 Kangulumira-Kayunga'!E88)</f>
        <v>0</v>
      </c>
      <c r="E88" s="49">
        <f>0.6*('20.8 Kangulumira-Kayunga'!E88)</f>
        <v>0</v>
      </c>
      <c r="F88" s="49">
        <f>'20.8 Kangulumira-Kayunga'!F88</f>
        <v>0</v>
      </c>
      <c r="G88" s="49">
        <f>'20.8 Kangulumira-Kayunga'!G88</f>
        <v>0</v>
      </c>
      <c r="H88" s="49">
        <f>'20.8 Kangulumira-Kayunga'!H88</f>
        <v>1</v>
      </c>
      <c r="I88" s="49">
        <f>'20.8 Kangulumira-Kayunga'!I88</f>
        <v>0</v>
      </c>
      <c r="J88" s="49">
        <f>'20.8 Kangulumira-Kayunga'!J88</f>
        <v>0</v>
      </c>
      <c r="K88" s="49">
        <f>'20.8 Kangulumira-Kayunga'!K88</f>
        <v>1</v>
      </c>
      <c r="L88" s="49">
        <f>'20.8 Kangulumira-Kayunga'!L88</f>
        <v>1</v>
      </c>
      <c r="M88" s="49">
        <f>'20.8 Kangulumira-Kayunga'!M88</f>
        <v>0</v>
      </c>
      <c r="N88" s="49">
        <f>'20.8 Kangulumira-Kayunga'!N88</f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'20.8 Kangulumira-Kayunga'!C89</f>
        <v>0</v>
      </c>
      <c r="D89" s="49">
        <f>0.4*('20.8 Kangulumira-Kayunga'!E89)</f>
        <v>0</v>
      </c>
      <c r="E89" s="49">
        <f>0.6*('20.8 Kangulumira-Kayunga'!E89)</f>
        <v>0</v>
      </c>
      <c r="F89" s="49">
        <f>'20.8 Kangulumira-Kayunga'!F89</f>
        <v>0</v>
      </c>
      <c r="G89" s="49">
        <f>'20.8 Kangulumira-Kayunga'!G89</f>
        <v>1</v>
      </c>
      <c r="H89" s="49">
        <f>'20.8 Kangulumira-Kayunga'!H89</f>
        <v>1</v>
      </c>
      <c r="I89" s="49">
        <f>'20.8 Kangulumira-Kayunga'!I89</f>
        <v>0</v>
      </c>
      <c r="J89" s="49">
        <f>'20.8 Kangulumira-Kayunga'!J89</f>
        <v>1</v>
      </c>
      <c r="K89" s="49">
        <f>'20.8 Kangulumira-Kayunga'!K89</f>
        <v>1</v>
      </c>
      <c r="L89" s="49">
        <f>'20.8 Kangulumira-Kayunga'!L89</f>
        <v>0</v>
      </c>
      <c r="M89" s="49">
        <f>'20.8 Kangulumira-Kayunga'!M89</f>
        <v>0</v>
      </c>
      <c r="N89" s="49">
        <f>'20.8 Kangulumira-Kayunga'!N89</f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24" t="s">
        <v>130</v>
      </c>
      <c r="C90" s="49">
        <f>'20.8 Kangulumira-Kayunga'!C90</f>
        <v>0</v>
      </c>
      <c r="D90" s="49">
        <f>0.4*('20.8 Kangulumira-Kayunga'!E90)</f>
        <v>0</v>
      </c>
      <c r="E90" s="49">
        <f>0.6*('20.8 Kangulumira-Kayunga'!E90)</f>
        <v>0</v>
      </c>
      <c r="F90" s="49">
        <f>'20.8 Kangulumira-Kayunga'!F90</f>
        <v>0</v>
      </c>
      <c r="G90" s="49">
        <f>'20.8 Kangulumira-Kayunga'!G90</f>
        <v>0</v>
      </c>
      <c r="H90" s="49">
        <f>'20.8 Kangulumira-Kayunga'!H90</f>
        <v>0</v>
      </c>
      <c r="I90" s="49">
        <f>'20.8 Kangulumira-Kayunga'!I90</f>
        <v>0</v>
      </c>
      <c r="J90" s="49">
        <f>'20.8 Kangulumira-Kayunga'!J90</f>
        <v>1</v>
      </c>
      <c r="K90" s="49">
        <f>'20.8 Kangulumira-Kayunga'!K90</f>
        <v>1</v>
      </c>
      <c r="L90" s="49">
        <f>'20.8 Kangulumira-Kayunga'!L90</f>
        <v>0</v>
      </c>
      <c r="M90" s="49">
        <f>'20.8 Kangulumira-Kayunga'!M90</f>
        <v>0</v>
      </c>
      <c r="N90" s="49">
        <f>'20.8 Kangulumira-Kayunga'!N90</f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'20.8 Kangulumira-Kayunga'!C91</f>
        <v>0</v>
      </c>
      <c r="D91" s="49">
        <f>0.4*('20.8 Kangulumira-Kayunga'!E91)</f>
        <v>0</v>
      </c>
      <c r="E91" s="49">
        <f>0.6*('20.8 Kangulumira-Kayunga'!E91)</f>
        <v>0</v>
      </c>
      <c r="F91" s="49">
        <f>'20.8 Kangulumira-Kayunga'!F91</f>
        <v>0</v>
      </c>
      <c r="G91" s="49">
        <f>'20.8 Kangulumira-Kayunga'!G91</f>
        <v>0</v>
      </c>
      <c r="H91" s="49">
        <f>'20.8 Kangulumira-Kayunga'!H91</f>
        <v>0</v>
      </c>
      <c r="I91" s="49">
        <f>'20.8 Kangulumira-Kayunga'!I91</f>
        <v>0</v>
      </c>
      <c r="J91" s="49">
        <f>'20.8 Kangulumira-Kayunga'!J91</f>
        <v>1</v>
      </c>
      <c r="K91" s="49">
        <f>'20.8 Kangulumira-Kayunga'!K91</f>
        <v>1</v>
      </c>
      <c r="L91" s="49">
        <f>'20.8 Kangulumira-Kayunga'!L91</f>
        <v>0</v>
      </c>
      <c r="M91" s="49">
        <f>'20.8 Kangulumira-Kayunga'!M91</f>
        <v>0</v>
      </c>
      <c r="N91" s="49">
        <f>'20.8 Kangulumira-Kayunga'!N91</f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'20.8 Kangulumira-Kayunga'!C92</f>
        <v>0</v>
      </c>
      <c r="D92" s="49">
        <f>0.4*('20.8 Kangulumira-Kayunga'!E92)</f>
        <v>0</v>
      </c>
      <c r="E92" s="49">
        <f>0.6*('20.8 Kangulumira-Kayunga'!E92)</f>
        <v>0</v>
      </c>
      <c r="F92" s="49">
        <f>'20.8 Kangulumira-Kayunga'!F92</f>
        <v>0</v>
      </c>
      <c r="G92" s="49">
        <f>'20.8 Kangulumira-Kayunga'!G92</f>
        <v>1</v>
      </c>
      <c r="H92" s="49">
        <f>'20.8 Kangulumira-Kayunga'!H92</f>
        <v>1</v>
      </c>
      <c r="I92" s="49">
        <f>'20.8 Kangulumira-Kayunga'!I92</f>
        <v>0</v>
      </c>
      <c r="J92" s="49">
        <f>'20.8 Kangulumira-Kayunga'!J92</f>
        <v>1</v>
      </c>
      <c r="K92" s="49">
        <f>'20.8 Kangulumira-Kayunga'!K92</f>
        <v>1</v>
      </c>
      <c r="L92" s="49">
        <f>'20.8 Kangulumira-Kayunga'!L92</f>
        <v>0</v>
      </c>
      <c r="M92" s="49">
        <f>'20.8 Kangulumira-Kayunga'!M92</f>
        <v>0</v>
      </c>
      <c r="N92" s="49">
        <f>'20.8 Kangulumira-Kayunga'!N92</f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23" t="s">
        <v>133</v>
      </c>
      <c r="C93" s="49">
        <f>'20.8 Kangulumira-Kayunga'!C93</f>
        <v>0</v>
      </c>
      <c r="D93" s="49">
        <f>0.4*('20.8 Kangulumira-Kayunga'!E93)</f>
        <v>0.4</v>
      </c>
      <c r="E93" s="49">
        <f>0.6*('20.8 Kangulumira-Kayunga'!E93)</f>
        <v>0.6</v>
      </c>
      <c r="F93" s="49">
        <f>'20.8 Kangulumira-Kayunga'!F93</f>
        <v>0</v>
      </c>
      <c r="G93" s="49">
        <f>'20.8 Kangulumira-Kayunga'!G93</f>
        <v>0</v>
      </c>
      <c r="H93" s="49">
        <f>'20.8 Kangulumira-Kayunga'!H93</f>
        <v>0</v>
      </c>
      <c r="I93" s="49">
        <f>'20.8 Kangulumira-Kayunga'!I93</f>
        <v>0</v>
      </c>
      <c r="J93" s="49">
        <f>'20.8 Kangulumira-Kayunga'!J93</f>
        <v>1</v>
      </c>
      <c r="K93" s="49">
        <f>'20.8 Kangulumira-Kayunga'!K93</f>
        <v>0</v>
      </c>
      <c r="L93" s="49">
        <f>'20.8 Kangulumira-Kayunga'!L93</f>
        <v>1</v>
      </c>
      <c r="M93" s="49">
        <f>'20.8 Kangulumira-Kayunga'!M93</f>
        <v>0</v>
      </c>
      <c r="N93" s="49">
        <f>'20.8 Kangulumira-Kayunga'!N93</f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'20.8 Kangulumira-Kayunga'!C94</f>
        <v>0</v>
      </c>
      <c r="D94" s="49">
        <f>0.4*('20.8 Kangulumira-Kayunga'!E94)</f>
        <v>0.4</v>
      </c>
      <c r="E94" s="49">
        <f>0.6*('20.8 Kangulumira-Kayunga'!E94)</f>
        <v>0.6</v>
      </c>
      <c r="F94" s="49">
        <f>'20.8 Kangulumira-Kayunga'!F94</f>
        <v>0</v>
      </c>
      <c r="G94" s="49">
        <f>'20.8 Kangulumira-Kayunga'!G94</f>
        <v>0</v>
      </c>
      <c r="H94" s="49">
        <f>'20.8 Kangulumira-Kayunga'!H94</f>
        <v>0</v>
      </c>
      <c r="I94" s="49">
        <f>'20.8 Kangulumira-Kayunga'!I94</f>
        <v>0</v>
      </c>
      <c r="J94" s="49">
        <f>'20.8 Kangulumira-Kayunga'!J94</f>
        <v>1</v>
      </c>
      <c r="K94" s="49">
        <f>'20.8 Kangulumira-Kayunga'!K94</f>
        <v>1</v>
      </c>
      <c r="L94" s="49">
        <f>'20.8 Kangulumira-Kayunga'!L94</f>
        <v>1</v>
      </c>
      <c r="M94" s="49">
        <f>'20.8 Kangulumira-Kayunga'!M94</f>
        <v>0</v>
      </c>
      <c r="N94" s="49">
        <f>'20.8 Kangulumira-Kayunga'!N94</f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23" t="s">
        <v>135</v>
      </c>
      <c r="C95" s="49">
        <f>'20.8 Kangulumira-Kayunga'!C95</f>
        <v>0</v>
      </c>
      <c r="D95" s="49">
        <f>0.4*('20.8 Kangulumira-Kayunga'!E95)</f>
        <v>0.4</v>
      </c>
      <c r="E95" s="49">
        <f>0.6*('20.8 Kangulumira-Kayunga'!E95)</f>
        <v>0.6</v>
      </c>
      <c r="F95" s="49">
        <f>'20.8 Kangulumira-Kayunga'!F95</f>
        <v>0</v>
      </c>
      <c r="G95" s="49">
        <f>'20.8 Kangulumira-Kayunga'!G95</f>
        <v>0</v>
      </c>
      <c r="H95" s="49">
        <f>'20.8 Kangulumira-Kayunga'!H95</f>
        <v>1</v>
      </c>
      <c r="I95" s="49">
        <f>'20.8 Kangulumira-Kayunga'!I95</f>
        <v>0</v>
      </c>
      <c r="J95" s="49">
        <f>'20.8 Kangulumira-Kayunga'!J95</f>
        <v>0</v>
      </c>
      <c r="K95" s="49">
        <f>'20.8 Kangulumira-Kayunga'!K95</f>
        <v>0</v>
      </c>
      <c r="L95" s="49">
        <f>'20.8 Kangulumira-Kayunga'!L95</f>
        <v>0</v>
      </c>
      <c r="M95" s="49">
        <f>'20.8 Kangulumira-Kayunga'!M95</f>
        <v>0</v>
      </c>
      <c r="N95" s="49">
        <f>'20.8 Kangulumira-Kayunga'!N95</f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'20.8 Kangulumira-Kayunga'!C96</f>
        <v>0</v>
      </c>
      <c r="D96" s="49">
        <f>0.4*('20.8 Kangulumira-Kayunga'!E96)</f>
        <v>0.4</v>
      </c>
      <c r="E96" s="49">
        <f>0.6*('20.8 Kangulumira-Kayunga'!E96)</f>
        <v>0.6</v>
      </c>
      <c r="F96" s="49">
        <f>'20.8 Kangulumira-Kayunga'!F96</f>
        <v>0</v>
      </c>
      <c r="G96" s="49">
        <f>'20.8 Kangulumira-Kayunga'!G96</f>
        <v>1</v>
      </c>
      <c r="H96" s="49">
        <f>'20.8 Kangulumira-Kayunga'!H96</f>
        <v>1</v>
      </c>
      <c r="I96" s="49">
        <f>'20.8 Kangulumira-Kayunga'!I96</f>
        <v>0</v>
      </c>
      <c r="J96" s="49">
        <f>'20.8 Kangulumira-Kayunga'!J96</f>
        <v>0</v>
      </c>
      <c r="K96" s="49">
        <f>'20.8 Kangulumira-Kayunga'!K96</f>
        <v>0</v>
      </c>
      <c r="L96" s="49">
        <f>'20.8 Kangulumira-Kayunga'!L96</f>
        <v>1</v>
      </c>
      <c r="M96" s="49">
        <f>'20.8 Kangulumira-Kayunga'!M96</f>
        <v>0</v>
      </c>
      <c r="N96" s="49">
        <f>'20.8 Kangulumira-Kayunga'!N96</f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'20.8 Kangulumira-Kayunga'!C97</f>
        <v>0</v>
      </c>
      <c r="D97" s="49">
        <f>0.4*('20.8 Kangulumira-Kayunga'!E97)</f>
        <v>0.4</v>
      </c>
      <c r="E97" s="49">
        <f>0.6*('20.8 Kangulumira-Kayunga'!E97)</f>
        <v>0.6</v>
      </c>
      <c r="F97" s="49">
        <f>'20.8 Kangulumira-Kayunga'!F97</f>
        <v>0</v>
      </c>
      <c r="G97" s="49">
        <f>'20.8 Kangulumira-Kayunga'!G97</f>
        <v>0</v>
      </c>
      <c r="H97" s="49">
        <f>'20.8 Kangulumira-Kayunga'!H97</f>
        <v>1</v>
      </c>
      <c r="I97" s="49">
        <f>'20.8 Kangulumira-Kayunga'!I97</f>
        <v>0</v>
      </c>
      <c r="J97" s="49">
        <f>'20.8 Kangulumira-Kayunga'!J97</f>
        <v>1</v>
      </c>
      <c r="K97" s="49">
        <f>'20.8 Kangulumira-Kayunga'!K97</f>
        <v>1</v>
      </c>
      <c r="L97" s="49">
        <f>'20.8 Kangulumira-Kayunga'!L97</f>
        <v>0</v>
      </c>
      <c r="M97" s="49">
        <f>'20.8 Kangulumira-Kayunga'!M97</f>
        <v>0</v>
      </c>
      <c r="N97" s="49">
        <f>'20.8 Kangulumira-Kayunga'!N97</f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'20.8 Kangulumira-Kayunga'!C98</f>
        <v>1</v>
      </c>
      <c r="D98" s="49">
        <f>0.4*('20.8 Kangulumira-Kayunga'!E98)</f>
        <v>0.4</v>
      </c>
      <c r="E98" s="49">
        <f>0.6*('20.8 Kangulumira-Kayunga'!E98)</f>
        <v>0.6</v>
      </c>
      <c r="F98" s="49">
        <f>'20.8 Kangulumira-Kayunga'!F98</f>
        <v>0</v>
      </c>
      <c r="G98" s="49">
        <f>'20.8 Kangulumira-Kayunga'!G98</f>
        <v>0</v>
      </c>
      <c r="H98" s="49">
        <f>'20.8 Kangulumira-Kayunga'!H98</f>
        <v>0</v>
      </c>
      <c r="I98" s="49">
        <f>'20.8 Kangulumira-Kayunga'!I98</f>
        <v>0</v>
      </c>
      <c r="J98" s="49">
        <f>'20.8 Kangulumira-Kayunga'!J98</f>
        <v>0</v>
      </c>
      <c r="K98" s="49">
        <f>'20.8 Kangulumira-Kayunga'!K98</f>
        <v>0</v>
      </c>
      <c r="L98" s="49">
        <f>'20.8 Kangulumira-Kayunga'!L98</f>
        <v>0</v>
      </c>
      <c r="M98" s="49">
        <f>'20.8 Kangulumira-Kayunga'!M98</f>
        <v>0</v>
      </c>
      <c r="N98" s="49">
        <f>'20.8 Kangulumira-Kayunga'!N98</f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'20.8 Kangulumira-Kayunga'!C99</f>
        <v>0</v>
      </c>
      <c r="D99" s="49">
        <f>0.4*('20.8 Kangulumira-Kayunga'!E99)</f>
        <v>0.4</v>
      </c>
      <c r="E99" s="49">
        <f>0.6*('20.8 Kangulumira-Kayunga'!E99)</f>
        <v>0.6</v>
      </c>
      <c r="F99" s="49">
        <f>'20.8 Kangulumira-Kayunga'!F99</f>
        <v>0</v>
      </c>
      <c r="G99" s="49">
        <f>'20.8 Kangulumira-Kayunga'!G99</f>
        <v>0</v>
      </c>
      <c r="H99" s="49">
        <f>'20.8 Kangulumira-Kayunga'!H99</f>
        <v>0</v>
      </c>
      <c r="I99" s="49">
        <f>'20.8 Kangulumira-Kayunga'!I99</f>
        <v>0</v>
      </c>
      <c r="J99" s="49">
        <f>'20.8 Kangulumira-Kayunga'!J99</f>
        <v>1</v>
      </c>
      <c r="K99" s="49">
        <f>'20.8 Kangulumira-Kayunga'!K99</f>
        <v>0</v>
      </c>
      <c r="L99" s="49">
        <f>'20.8 Kangulumira-Kayunga'!L99</f>
        <v>0</v>
      </c>
      <c r="M99" s="49">
        <f>'20.8 Kangulumira-Kayunga'!M99</f>
        <v>0</v>
      </c>
      <c r="N99" s="49">
        <f>'20.8 Kangulumira-Kayunga'!N99</f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'20.8 Kangulumira-Kayunga'!C100</f>
        <v>1</v>
      </c>
      <c r="D100" s="49">
        <f>0.4*('20.8 Kangulumira-Kayunga'!E100)</f>
        <v>0.4</v>
      </c>
      <c r="E100" s="49">
        <f>0.6*('20.8 Kangulumira-Kayunga'!E100)</f>
        <v>0.6</v>
      </c>
      <c r="F100" s="49">
        <f>'20.8 Kangulumira-Kayunga'!F100</f>
        <v>0</v>
      </c>
      <c r="G100" s="49">
        <f>'20.8 Kangulumira-Kayunga'!G100</f>
        <v>0</v>
      </c>
      <c r="H100" s="49">
        <f>'20.8 Kangulumira-Kayunga'!H100</f>
        <v>0</v>
      </c>
      <c r="I100" s="49">
        <f>'20.8 Kangulumira-Kayunga'!I100</f>
        <v>0</v>
      </c>
      <c r="J100" s="49">
        <f>'20.8 Kangulumira-Kayunga'!J100</f>
        <v>1</v>
      </c>
      <c r="K100" s="49">
        <f>'20.8 Kangulumira-Kayunga'!K100</f>
        <v>0</v>
      </c>
      <c r="L100" s="49">
        <f>'20.8 Kangulumira-Kayunga'!L100</f>
        <v>0</v>
      </c>
      <c r="M100" s="49">
        <f>'20.8 Kangulumira-Kayunga'!M100</f>
        <v>0</v>
      </c>
      <c r="N100" s="49">
        <f>'20.8 Kangulumira-Kayunga'!N100</f>
        <v>0</v>
      </c>
      <c r="O100" s="15">
        <f t="shared" si="35"/>
        <v>3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'20.8 Kangulumira-Kayunga'!C101</f>
        <v>0</v>
      </c>
      <c r="D101" s="49">
        <f>0.4*('20.8 Kangulumira-Kayunga'!E101)</f>
        <v>0.4</v>
      </c>
      <c r="E101" s="49">
        <f>0.6*('20.8 Kangulumira-Kayunga'!E101)</f>
        <v>0.6</v>
      </c>
      <c r="F101" s="49">
        <f>'20.8 Kangulumira-Kayunga'!F101</f>
        <v>0</v>
      </c>
      <c r="G101" s="49">
        <f>'20.8 Kangulumira-Kayunga'!G101</f>
        <v>0</v>
      </c>
      <c r="H101" s="49">
        <f>'20.8 Kangulumira-Kayunga'!H101</f>
        <v>0</v>
      </c>
      <c r="I101" s="49">
        <f>'20.8 Kangulumira-Kayunga'!I101</f>
        <v>0</v>
      </c>
      <c r="J101" s="49">
        <f>'20.8 Kangulumira-Kayunga'!J101</f>
        <v>1</v>
      </c>
      <c r="K101" s="49">
        <f>'20.8 Kangulumira-Kayunga'!K101</f>
        <v>0</v>
      </c>
      <c r="L101" s="49">
        <f>'20.8 Kangulumira-Kayunga'!L101</f>
        <v>1</v>
      </c>
      <c r="M101" s="49">
        <f>'20.8 Kangulumira-Kayunga'!M101</f>
        <v>0</v>
      </c>
      <c r="N101" s="49">
        <f>'20.8 Kangulumira-Kayunga'!N101</f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'20.8 Kangulumira-Kayunga'!C102</f>
        <v>0</v>
      </c>
      <c r="D102" s="49">
        <f>0.4*('20.8 Kangulumira-Kayunga'!E102)</f>
        <v>0.4</v>
      </c>
      <c r="E102" s="49">
        <f>0.6*('20.8 Kangulumira-Kayunga'!E102)</f>
        <v>0.6</v>
      </c>
      <c r="F102" s="49">
        <f>'20.8 Kangulumira-Kayunga'!F102</f>
        <v>0</v>
      </c>
      <c r="G102" s="49">
        <f>'20.8 Kangulumira-Kayunga'!G102</f>
        <v>0</v>
      </c>
      <c r="H102" s="49">
        <f>'20.8 Kangulumira-Kayunga'!H102</f>
        <v>1</v>
      </c>
      <c r="I102" s="49">
        <f>'20.8 Kangulumira-Kayunga'!I102</f>
        <v>0</v>
      </c>
      <c r="J102" s="49">
        <f>'20.8 Kangulumira-Kayunga'!J102</f>
        <v>0</v>
      </c>
      <c r="K102" s="49">
        <f>'20.8 Kangulumira-Kayunga'!K102</f>
        <v>1</v>
      </c>
      <c r="L102" s="49">
        <f>'20.8 Kangulumira-Kayunga'!L102</f>
        <v>1</v>
      </c>
      <c r="M102" s="49">
        <f>'20.8 Kangulumira-Kayunga'!M102</f>
        <v>0</v>
      </c>
      <c r="N102" s="49">
        <f>'20.8 Kangulumira-Kayunga'!N102</f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'20.8 Kangulumira-Kayunga'!C103</f>
        <v>0</v>
      </c>
      <c r="D103" s="49">
        <f>0.4*('20.8 Kangulumira-Kayunga'!E103)</f>
        <v>0.4</v>
      </c>
      <c r="E103" s="49">
        <f>0.6*('20.8 Kangulumira-Kayunga'!E103)</f>
        <v>0.6</v>
      </c>
      <c r="F103" s="49">
        <f>'20.8 Kangulumira-Kayunga'!F103</f>
        <v>0</v>
      </c>
      <c r="G103" s="49">
        <f>'20.8 Kangulumira-Kayunga'!G103</f>
        <v>1</v>
      </c>
      <c r="H103" s="49">
        <f>'20.8 Kangulumira-Kayunga'!H103</f>
        <v>1</v>
      </c>
      <c r="I103" s="49">
        <f>'20.8 Kangulumira-Kayunga'!I103</f>
        <v>0</v>
      </c>
      <c r="J103" s="49">
        <f>'20.8 Kangulumira-Kayunga'!J103</f>
        <v>1</v>
      </c>
      <c r="K103" s="49">
        <f>'20.8 Kangulumira-Kayunga'!K103</f>
        <v>1</v>
      </c>
      <c r="L103" s="49">
        <f>'20.8 Kangulumira-Kayunga'!L103</f>
        <v>0</v>
      </c>
      <c r="M103" s="49">
        <f>'20.8 Kangulumira-Kayunga'!M103</f>
        <v>1</v>
      </c>
      <c r="N103" s="49">
        <f>'20.8 Kangulumira-Kayunga'!N103</f>
        <v>0</v>
      </c>
      <c r="O103" s="15">
        <f t="shared" si="35"/>
        <v>5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'20.8 Kangulumira-Kayunga'!C104</f>
        <v>1</v>
      </c>
      <c r="D104" s="49">
        <f>0.4*('20.8 Kangulumira-Kayunga'!E104)</f>
        <v>0.4</v>
      </c>
      <c r="E104" s="49">
        <f>0.6*('20.8 Kangulumira-Kayunga'!E104)</f>
        <v>0.6</v>
      </c>
      <c r="F104" s="49">
        <f>'20.8 Kangulumira-Kayunga'!F104</f>
        <v>1</v>
      </c>
      <c r="G104" s="49">
        <f>'20.8 Kangulumira-Kayunga'!G104</f>
        <v>0</v>
      </c>
      <c r="H104" s="49">
        <f>'20.8 Kangulumira-Kayunga'!H104</f>
        <v>0</v>
      </c>
      <c r="I104" s="49">
        <f>'20.8 Kangulumira-Kayunga'!I104</f>
        <v>2</v>
      </c>
      <c r="J104" s="49">
        <f>'20.8 Kangulumira-Kayunga'!J104</f>
        <v>1</v>
      </c>
      <c r="K104" s="49">
        <f>'20.8 Kangulumira-Kayunga'!K104</f>
        <v>1</v>
      </c>
      <c r="L104" s="49">
        <f>'20.8 Kangulumira-Kayunga'!L104</f>
        <v>0</v>
      </c>
      <c r="M104" s="49">
        <f>'20.8 Kangulumira-Kayunga'!M104</f>
        <v>1</v>
      </c>
      <c r="N104" s="49">
        <f>'20.8 Kangulumira-Kayunga'!N104</f>
        <v>0</v>
      </c>
      <c r="O104" s="15">
        <f t="shared" si="35"/>
        <v>7</v>
      </c>
      <c r="P104" s="15">
        <f t="shared" si="36"/>
        <v>8</v>
      </c>
      <c r="R104" s="8"/>
      <c r="T104"/>
    </row>
    <row r="105" spans="2:20" ht="23.1" customHeight="1" x14ac:dyDescent="0.25">
      <c r="B105" s="23" t="s">
        <v>145</v>
      </c>
      <c r="C105" s="49">
        <f>'20.8 Kangulumira-Kayunga'!C105</f>
        <v>1</v>
      </c>
      <c r="D105" s="49">
        <f>0.4*('20.8 Kangulumira-Kayunga'!E105)</f>
        <v>0.8</v>
      </c>
      <c r="E105" s="49">
        <f>0.6*('20.8 Kangulumira-Kayunga'!E105)</f>
        <v>1.2</v>
      </c>
      <c r="F105" s="49">
        <f>'20.8 Kangulumira-Kayunga'!F105</f>
        <v>1</v>
      </c>
      <c r="G105" s="49">
        <f>'20.8 Kangulumira-Kayunga'!G105</f>
        <v>0</v>
      </c>
      <c r="H105" s="49">
        <f>'20.8 Kangulumira-Kayunga'!H105</f>
        <v>0</v>
      </c>
      <c r="I105" s="49">
        <f>'20.8 Kangulumira-Kayunga'!I105</f>
        <v>1</v>
      </c>
      <c r="J105" s="49">
        <f>'20.8 Kangulumira-Kayunga'!J105</f>
        <v>2</v>
      </c>
      <c r="K105" s="49">
        <f>'20.8 Kangulumira-Kayunga'!K105</f>
        <v>1</v>
      </c>
      <c r="L105" s="49">
        <f>'20.8 Kangulumira-Kayunga'!L105</f>
        <v>0</v>
      </c>
      <c r="M105" s="49">
        <f>'20.8 Kangulumira-Kayunga'!M105</f>
        <v>1</v>
      </c>
      <c r="N105" s="49">
        <f>'20.8 Kangulumira-Kayunga'!N105</f>
        <v>0</v>
      </c>
      <c r="O105" s="15">
        <f t="shared" si="35"/>
        <v>8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307.14285714285717</v>
      </c>
      <c r="D106" s="16">
        <f t="shared" ref="D106:P106" si="37">SUM(D10:D105)</f>
        <v>136.40000000000015</v>
      </c>
      <c r="E106" s="16">
        <f t="shared" si="37"/>
        <v>204.59999999999982</v>
      </c>
      <c r="F106" s="16">
        <f t="shared" si="37"/>
        <v>252.99999999999994</v>
      </c>
      <c r="G106" s="16">
        <f t="shared" si="37"/>
        <v>24.142857142857146</v>
      </c>
      <c r="H106" s="16">
        <f t="shared" si="37"/>
        <v>23.285714285714285</v>
      </c>
      <c r="I106" s="16">
        <f t="shared" si="37"/>
        <v>203.71428571428567</v>
      </c>
      <c r="J106" s="16">
        <f t="shared" si="37"/>
        <v>52</v>
      </c>
      <c r="K106" s="16">
        <f t="shared" si="37"/>
        <v>43.571428571428562</v>
      </c>
      <c r="L106" s="16">
        <f t="shared" si="37"/>
        <v>31.428571428571431</v>
      </c>
      <c r="M106" s="16">
        <f t="shared" si="37"/>
        <v>1403.1428571428571</v>
      </c>
      <c r="N106" s="16">
        <f t="shared" si="37"/>
        <v>0.71428571428571419</v>
      </c>
      <c r="O106" s="16">
        <f t="shared" si="37"/>
        <v>1280</v>
      </c>
      <c r="P106" s="16">
        <f t="shared" si="37"/>
        <v>2683.1428571428573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0.11447130231072303</v>
      </c>
      <c r="D107" s="43">
        <f t="shared" si="38"/>
        <v>5.0835906719199284E-2</v>
      </c>
      <c r="E107" s="43">
        <f t="shared" si="38"/>
        <v>7.625386007879878E-2</v>
      </c>
      <c r="F107" s="43">
        <f t="shared" si="38"/>
        <v>9.4292407624321131E-2</v>
      </c>
      <c r="G107" s="43">
        <f t="shared" si="38"/>
        <v>8.9979767862847417E-3</v>
      </c>
      <c r="H107" s="43">
        <f t="shared" si="38"/>
        <v>8.6785219891385365E-3</v>
      </c>
      <c r="I107" s="43">
        <f t="shared" si="38"/>
        <v>7.5923756788414412E-2</v>
      </c>
      <c r="J107" s="43">
        <f t="shared" si="38"/>
        <v>1.9380257693536362E-2</v>
      </c>
      <c r="K107" s="43">
        <f t="shared" si="38"/>
        <v>1.6238952188265356E-2</v>
      </c>
      <c r="L107" s="43">
        <f t="shared" si="38"/>
        <v>1.1713342562027473E-2</v>
      </c>
      <c r="M107" s="43">
        <f t="shared" si="38"/>
        <v>0.52294750292833558</v>
      </c>
      <c r="N107" s="43">
        <f t="shared" si="38"/>
        <v>2.6621233095516978E-4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0.23995535714285715</v>
      </c>
      <c r="D108" s="44">
        <f t="shared" ref="D108:N108" si="39">D106/$O$106</f>
        <v>0.10656250000000012</v>
      </c>
      <c r="E108" s="44">
        <f t="shared" si="39"/>
        <v>0.15984374999999987</v>
      </c>
      <c r="F108" s="44">
        <f t="shared" si="39"/>
        <v>0.19765624999999995</v>
      </c>
      <c r="G108" s="44">
        <f t="shared" si="39"/>
        <v>1.8861607142857145E-2</v>
      </c>
      <c r="H108" s="44">
        <f t="shared" si="39"/>
        <v>1.8191964285714284E-2</v>
      </c>
      <c r="I108" s="44">
        <f t="shared" si="39"/>
        <v>0.15915178571428568</v>
      </c>
      <c r="J108" s="44">
        <f t="shared" si="39"/>
        <v>4.0625000000000001E-2</v>
      </c>
      <c r="K108" s="44">
        <f t="shared" si="39"/>
        <v>3.4040178571428562E-2</v>
      </c>
      <c r="L108" s="44">
        <f t="shared" si="39"/>
        <v>2.4553571428571432E-2</v>
      </c>
      <c r="M108" s="44"/>
      <c r="N108" s="44">
        <f t="shared" si="39"/>
        <v>5.5803571428571425E-4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A3" zoomScale="60" workbookViewId="0">
      <selection activeCell="C106" sqref="C106:N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'25.8 Kangulumira-Kayunga'!C3:G3</f>
        <v>MCC-C3-STN90-KAYUNGA-KANGULUMIRA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3" t="str">
        <f>'Avg Week Kangulumira-Kayunga'!G5:H5</f>
        <v xml:space="preserve"> </v>
      </c>
      <c r="H5" s="64"/>
      <c r="I5" s="14"/>
      <c r="J5" s="2" t="s">
        <v>5</v>
      </c>
      <c r="K5" s="63" t="str">
        <f>'Avg Week Kangulumira-Kayunga'!K5:L5</f>
        <v xml:space="preserve"> 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3" t="str">
        <f>'Avg Week Kangulumira-Kayunga'!K6:L6</f>
        <v xml:space="preserve"> 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Kayunga-Kangulumira'!C10+'Avg Week Kangulumira-Kayunga'!C10</f>
        <v>5.2857142857142865</v>
      </c>
      <c r="D10" s="49">
        <f>'Avg Week Kayunga-Kangulumira'!D10+'Avg Week Kangulumira-Kayunga'!D10</f>
        <v>2.1142857142857143</v>
      </c>
      <c r="E10" s="49">
        <f>'Avg Week Kayunga-Kangulumira'!E10+'Avg Week Kangulumira-Kayunga'!E10</f>
        <v>3.1714285714285713</v>
      </c>
      <c r="F10" s="49">
        <f>'Avg Week Kayunga-Kangulumira'!F10+'Avg Week Kangulumira-Kayunga'!F10</f>
        <v>10.285714285714285</v>
      </c>
      <c r="G10" s="49">
        <f>'Avg Week Kayunga-Kangulumira'!G10+'Avg Week Kangulumira-Kayunga'!G10</f>
        <v>0.14285714285714285</v>
      </c>
      <c r="H10" s="49">
        <f>'Avg Week Kayunga-Kangulumira'!H10+'Avg Week Kangulumira-Kayunga'!H10</f>
        <v>0.14285714285714285</v>
      </c>
      <c r="I10" s="49">
        <f>'Avg Week Kayunga-Kangulumira'!I10+'Avg Week Kangulumira-Kayunga'!I10</f>
        <v>4.2857142857142856</v>
      </c>
      <c r="J10" s="49">
        <f>'Avg Week Kayunga-Kangulumira'!J10+'Avg Week Kangulumira-Kayunga'!J10</f>
        <v>1.1428571428571428</v>
      </c>
      <c r="K10" s="49">
        <f>'Avg Week Kayunga-Kangulumira'!K10+'Avg Week Kangulumira-Kayunga'!K10</f>
        <v>0.85714285714285721</v>
      </c>
      <c r="L10" s="49">
        <f>'Avg Week Kayunga-Kangulumira'!L10+'Avg Week Kangulumira-Kayunga'!L10</f>
        <v>0.42857142857142855</v>
      </c>
      <c r="M10" s="49">
        <f>'Avg Week Kayunga-Kangulumira'!M10+'Avg Week Kangulumira-Kayunga'!M10</f>
        <v>31.857142857142858</v>
      </c>
      <c r="N10" s="49">
        <f>'Avg Week Kayunga-Kangulumira'!N10+'Avg Week Kangulumira-Kayunga'!N10</f>
        <v>0</v>
      </c>
      <c r="O10" s="15">
        <f t="shared" ref="O10:O57" si="0">SUM(C10:L10,N10)</f>
        <v>27.857142857142851</v>
      </c>
      <c r="P10" s="15">
        <f t="shared" ref="P10:P57" si="1">SUM(C10:N10)</f>
        <v>59.714285714285708</v>
      </c>
      <c r="R10" s="1" t="s">
        <v>6</v>
      </c>
      <c r="S10" s="17">
        <f t="shared" ref="S10:AF10" si="2">SUM(C10:C13)</f>
        <v>22.428571428571431</v>
      </c>
      <c r="T10" s="17">
        <f t="shared" si="2"/>
        <v>10.285714285714286</v>
      </c>
      <c r="U10" s="17">
        <f t="shared" si="2"/>
        <v>15.428571428571427</v>
      </c>
      <c r="V10" s="17">
        <f t="shared" si="2"/>
        <v>43.714285714285715</v>
      </c>
      <c r="W10" s="17">
        <f t="shared" si="2"/>
        <v>1.1428571428571428</v>
      </c>
      <c r="X10" s="17">
        <f t="shared" si="2"/>
        <v>0.5714285714285714</v>
      </c>
      <c r="Y10" s="17">
        <f t="shared" si="2"/>
        <v>12.142857142857144</v>
      </c>
      <c r="Z10" s="17">
        <f t="shared" si="2"/>
        <v>2.4285714285714284</v>
      </c>
      <c r="AA10" s="17">
        <f t="shared" si="2"/>
        <v>4.1428571428571423</v>
      </c>
      <c r="AB10" s="17">
        <f t="shared" si="2"/>
        <v>2.1428571428571428</v>
      </c>
      <c r="AC10" s="17">
        <f t="shared" si="2"/>
        <v>188.28571428571428</v>
      </c>
      <c r="AD10" s="17">
        <f t="shared" si="2"/>
        <v>0.2857142857142857</v>
      </c>
      <c r="AE10" s="31">
        <f t="shared" si="2"/>
        <v>114.71428571428569</v>
      </c>
      <c r="AF10" s="31">
        <f t="shared" si="2"/>
        <v>303</v>
      </c>
    </row>
    <row r="11" spans="2:32" s="6" customFormat="1" ht="23.1" customHeight="1" x14ac:dyDescent="0.25">
      <c r="B11" s="23" t="s">
        <v>38</v>
      </c>
      <c r="C11" s="49">
        <f>'Avg Week Kayunga-Kangulumira'!C11+'Avg Week Kangulumira-Kayunga'!C11</f>
        <v>5</v>
      </c>
      <c r="D11" s="49">
        <f>'Avg Week Kayunga-Kangulumira'!D11+'Avg Week Kangulumira-Kayunga'!D11</f>
        <v>2.8571428571428572</v>
      </c>
      <c r="E11" s="49">
        <f>'Avg Week Kayunga-Kangulumira'!E11+'Avg Week Kangulumira-Kayunga'!E11</f>
        <v>4.2857142857142856</v>
      </c>
      <c r="F11" s="49">
        <f>'Avg Week Kayunga-Kangulumira'!F11+'Avg Week Kangulumira-Kayunga'!F11</f>
        <v>10.857142857142858</v>
      </c>
      <c r="G11" s="49">
        <f>'Avg Week Kayunga-Kangulumira'!G11+'Avg Week Kangulumira-Kayunga'!G11</f>
        <v>0.14285714285714285</v>
      </c>
      <c r="H11" s="49">
        <f>'Avg Week Kayunga-Kangulumira'!H11+'Avg Week Kangulumira-Kayunga'!H11</f>
        <v>0.14285714285714285</v>
      </c>
      <c r="I11" s="49">
        <f>'Avg Week Kayunga-Kangulumira'!I11+'Avg Week Kangulumira-Kayunga'!I11</f>
        <v>2.1428571428571428</v>
      </c>
      <c r="J11" s="49">
        <f>'Avg Week Kayunga-Kangulumira'!J11+'Avg Week Kangulumira-Kayunga'!J11</f>
        <v>0.2857142857142857</v>
      </c>
      <c r="K11" s="49">
        <f>'Avg Week Kayunga-Kangulumira'!K11+'Avg Week Kangulumira-Kayunga'!K11</f>
        <v>0.42857142857142855</v>
      </c>
      <c r="L11" s="49">
        <f>'Avg Week Kayunga-Kangulumira'!L11+'Avg Week Kangulumira-Kayunga'!L11</f>
        <v>0.2857142857142857</v>
      </c>
      <c r="M11" s="49">
        <f>'Avg Week Kayunga-Kangulumira'!M11+'Avg Week Kangulumira-Kayunga'!M11</f>
        <v>45.428571428571431</v>
      </c>
      <c r="N11" s="49">
        <f>'Avg Week Kayunga-Kangulumira'!N11+'Avg Week Kangulumira-Kayunga'!N11</f>
        <v>0.2857142857142857</v>
      </c>
      <c r="O11" s="15">
        <f t="shared" si="0"/>
        <v>26.714285714285708</v>
      </c>
      <c r="P11" s="15">
        <f t="shared" si="1"/>
        <v>72.142857142857153</v>
      </c>
      <c r="R11" s="1" t="s">
        <v>7</v>
      </c>
      <c r="S11" s="17">
        <f t="shared" ref="S11:AF11" si="3">SUM(C14:C17)</f>
        <v>32.857142857142861</v>
      </c>
      <c r="T11" s="17">
        <f t="shared" si="3"/>
        <v>11.028571428571428</v>
      </c>
      <c r="U11" s="17">
        <f t="shared" si="3"/>
        <v>16.542857142857144</v>
      </c>
      <c r="V11" s="17">
        <f t="shared" si="3"/>
        <v>30.714285714285715</v>
      </c>
      <c r="W11" s="17">
        <f t="shared" si="3"/>
        <v>0.85714285714285698</v>
      </c>
      <c r="X11" s="17">
        <f t="shared" si="3"/>
        <v>0.5714285714285714</v>
      </c>
      <c r="Y11" s="17">
        <f t="shared" si="3"/>
        <v>14.142857142857142</v>
      </c>
      <c r="Z11" s="17">
        <f t="shared" si="3"/>
        <v>2.4285714285714284</v>
      </c>
      <c r="AA11" s="17">
        <f t="shared" si="3"/>
        <v>1.9999999999999998</v>
      </c>
      <c r="AB11" s="17">
        <f t="shared" si="3"/>
        <v>1.4285714285714284</v>
      </c>
      <c r="AC11" s="17">
        <f t="shared" si="3"/>
        <v>219.71428571428572</v>
      </c>
      <c r="AD11" s="17">
        <f t="shared" si="3"/>
        <v>0</v>
      </c>
      <c r="AE11" s="31">
        <f t="shared" si="3"/>
        <v>112.57142857142856</v>
      </c>
      <c r="AF11" s="31">
        <f t="shared" si="3"/>
        <v>332.28571428571433</v>
      </c>
    </row>
    <row r="12" spans="2:32" ht="23.1" customHeight="1" x14ac:dyDescent="0.25">
      <c r="B12" s="23" t="s">
        <v>39</v>
      </c>
      <c r="C12" s="49">
        <f>'Avg Week Kayunga-Kangulumira'!C12+'Avg Week Kangulumira-Kayunga'!C12</f>
        <v>5.5714285714285712</v>
      </c>
      <c r="D12" s="49">
        <f>'Avg Week Kayunga-Kangulumira'!D12+'Avg Week Kangulumira-Kayunga'!D12</f>
        <v>2.5142857142857142</v>
      </c>
      <c r="E12" s="49">
        <f>'Avg Week Kayunga-Kangulumira'!E12+'Avg Week Kangulumira-Kayunga'!E12</f>
        <v>3.7714285714285714</v>
      </c>
      <c r="F12" s="49">
        <f>'Avg Week Kayunga-Kangulumira'!F12+'Avg Week Kangulumira-Kayunga'!F12</f>
        <v>11.857142857142858</v>
      </c>
      <c r="G12" s="49">
        <f>'Avg Week Kayunga-Kangulumira'!G12+'Avg Week Kangulumira-Kayunga'!G12</f>
        <v>0.2857142857142857</v>
      </c>
      <c r="H12" s="49">
        <f>'Avg Week Kayunga-Kangulumira'!H12+'Avg Week Kangulumira-Kayunga'!H12</f>
        <v>0.14285714285714285</v>
      </c>
      <c r="I12" s="49">
        <f>'Avg Week Kayunga-Kangulumira'!I12+'Avg Week Kangulumira-Kayunga'!I12</f>
        <v>3.2857142857142856</v>
      </c>
      <c r="J12" s="49">
        <f>'Avg Week Kayunga-Kangulumira'!J12+'Avg Week Kangulumira-Kayunga'!J12</f>
        <v>0.7142857142857143</v>
      </c>
      <c r="K12" s="49">
        <f>'Avg Week Kayunga-Kangulumira'!K12+'Avg Week Kangulumira-Kayunga'!K12</f>
        <v>1.7142857142857142</v>
      </c>
      <c r="L12" s="49">
        <f>'Avg Week Kayunga-Kangulumira'!L12+'Avg Week Kangulumira-Kayunga'!L12</f>
        <v>0.7142857142857143</v>
      </c>
      <c r="M12" s="49">
        <f>'Avg Week Kayunga-Kangulumira'!M12+'Avg Week Kangulumira-Kayunga'!M12</f>
        <v>49.428571428571431</v>
      </c>
      <c r="N12" s="49">
        <f>'Avg Week Kayunga-Kangulumira'!N12+'Avg Week Kangulumira-Kayunga'!N12</f>
        <v>0</v>
      </c>
      <c r="O12" s="15">
        <f t="shared" si="0"/>
        <v>30.571428571428573</v>
      </c>
      <c r="P12" s="15">
        <f t="shared" si="1"/>
        <v>80</v>
      </c>
      <c r="R12" s="1" t="s">
        <v>8</v>
      </c>
      <c r="S12" s="17">
        <f t="shared" ref="S12:AF12" si="4">SUM(C18:C21)</f>
        <v>36.857142857142854</v>
      </c>
      <c r="T12" s="17">
        <f t="shared" si="4"/>
        <v>13.200000000000001</v>
      </c>
      <c r="U12" s="17">
        <f t="shared" si="4"/>
        <v>19.799999999999997</v>
      </c>
      <c r="V12" s="17">
        <f t="shared" si="4"/>
        <v>29.142857142857146</v>
      </c>
      <c r="W12" s="17">
        <f t="shared" si="4"/>
        <v>2.2857142857142856</v>
      </c>
      <c r="X12" s="17">
        <f t="shared" si="4"/>
        <v>0.14285714285714285</v>
      </c>
      <c r="Y12" s="17">
        <f t="shared" si="4"/>
        <v>15.285714285714285</v>
      </c>
      <c r="Z12" s="17">
        <f t="shared" si="4"/>
        <v>1.5714285714285714</v>
      </c>
      <c r="AA12" s="17">
        <f t="shared" si="4"/>
        <v>4.8571428571428577</v>
      </c>
      <c r="AB12" s="17">
        <f t="shared" si="4"/>
        <v>1.4285714285714284</v>
      </c>
      <c r="AC12" s="17">
        <f t="shared" si="4"/>
        <v>201.14285714285714</v>
      </c>
      <c r="AD12" s="17">
        <f t="shared" si="4"/>
        <v>0.14285714285714285</v>
      </c>
      <c r="AE12" s="31">
        <f t="shared" si="4"/>
        <v>124.71428571428571</v>
      </c>
      <c r="AF12" s="31">
        <f t="shared" si="4"/>
        <v>325.85714285714289</v>
      </c>
    </row>
    <row r="13" spans="2:32" ht="23.1" customHeight="1" x14ac:dyDescent="0.25">
      <c r="B13" s="23" t="s">
        <v>40</v>
      </c>
      <c r="C13" s="49">
        <f>'Avg Week Kayunga-Kangulumira'!C13+'Avg Week Kangulumira-Kayunga'!C13</f>
        <v>6.5714285714285712</v>
      </c>
      <c r="D13" s="49">
        <f>'Avg Week Kayunga-Kangulumira'!D13+'Avg Week Kangulumira-Kayunga'!D13</f>
        <v>2.8000000000000003</v>
      </c>
      <c r="E13" s="49">
        <f>'Avg Week Kayunga-Kangulumira'!E13+'Avg Week Kangulumira-Kayunga'!E13</f>
        <v>4.1999999999999993</v>
      </c>
      <c r="F13" s="49">
        <f>'Avg Week Kayunga-Kangulumira'!F13+'Avg Week Kangulumira-Kayunga'!F13</f>
        <v>10.714285714285715</v>
      </c>
      <c r="G13" s="49">
        <f>'Avg Week Kayunga-Kangulumira'!G13+'Avg Week Kangulumira-Kayunga'!G13</f>
        <v>0.5714285714285714</v>
      </c>
      <c r="H13" s="49">
        <f>'Avg Week Kayunga-Kangulumira'!H13+'Avg Week Kangulumira-Kayunga'!H13</f>
        <v>0.14285714285714285</v>
      </c>
      <c r="I13" s="49">
        <f>'Avg Week Kayunga-Kangulumira'!I13+'Avg Week Kangulumira-Kayunga'!I13</f>
        <v>2.4285714285714284</v>
      </c>
      <c r="J13" s="49">
        <f>'Avg Week Kayunga-Kangulumira'!J13+'Avg Week Kangulumira-Kayunga'!J13</f>
        <v>0.2857142857142857</v>
      </c>
      <c r="K13" s="49">
        <f>'Avg Week Kayunga-Kangulumira'!K13+'Avg Week Kangulumira-Kayunga'!K13</f>
        <v>1.1428571428571428</v>
      </c>
      <c r="L13" s="49">
        <f>'Avg Week Kayunga-Kangulumira'!L13+'Avg Week Kangulumira-Kayunga'!L13</f>
        <v>0.7142857142857143</v>
      </c>
      <c r="M13" s="49">
        <f>'Avg Week Kayunga-Kangulumira'!M13+'Avg Week Kangulumira-Kayunga'!M13</f>
        <v>61.571428571428569</v>
      </c>
      <c r="N13" s="49">
        <f>'Avg Week Kayunga-Kangulumira'!N13+'Avg Week Kangulumira-Kayunga'!N13</f>
        <v>0</v>
      </c>
      <c r="O13" s="15">
        <f t="shared" si="0"/>
        <v>29.571428571428569</v>
      </c>
      <c r="P13" s="15">
        <f t="shared" si="1"/>
        <v>91.142857142857139</v>
      </c>
      <c r="R13" s="1" t="s">
        <v>9</v>
      </c>
      <c r="S13" s="17">
        <f t="shared" ref="S13:AF13" si="5">SUM(C22:C25)</f>
        <v>35.857142857142861</v>
      </c>
      <c r="T13" s="17">
        <f t="shared" si="5"/>
        <v>14.342857142857145</v>
      </c>
      <c r="U13" s="17">
        <f t="shared" si="5"/>
        <v>21.514285714285712</v>
      </c>
      <c r="V13" s="17">
        <f t="shared" si="5"/>
        <v>32.142857142857139</v>
      </c>
      <c r="W13" s="17">
        <f t="shared" si="5"/>
        <v>3</v>
      </c>
      <c r="X13" s="17">
        <f t="shared" si="5"/>
        <v>0.71428571428571419</v>
      </c>
      <c r="Y13" s="17">
        <f t="shared" si="5"/>
        <v>21.142857142857142</v>
      </c>
      <c r="Z13" s="17">
        <f t="shared" si="5"/>
        <v>2.1428571428571423</v>
      </c>
      <c r="AA13" s="17">
        <f t="shared" si="5"/>
        <v>4.2857142857142856</v>
      </c>
      <c r="AB13" s="17">
        <f t="shared" si="5"/>
        <v>2.714285714285714</v>
      </c>
      <c r="AC13" s="17">
        <f t="shared" si="5"/>
        <v>194.28571428571428</v>
      </c>
      <c r="AD13" s="17">
        <f t="shared" si="5"/>
        <v>0</v>
      </c>
      <c r="AE13" s="31">
        <f t="shared" si="5"/>
        <v>137.85714285714283</v>
      </c>
      <c r="AF13" s="31">
        <f t="shared" si="5"/>
        <v>332.14285714285711</v>
      </c>
    </row>
    <row r="14" spans="2:32" ht="23.1" customHeight="1" x14ac:dyDescent="0.25">
      <c r="B14" s="23" t="s">
        <v>41</v>
      </c>
      <c r="C14" s="49">
        <f>'Avg Week Kayunga-Kangulumira'!C14+'Avg Week Kangulumira-Kayunga'!C14</f>
        <v>8.2857142857142865</v>
      </c>
      <c r="D14" s="49">
        <f>'Avg Week Kayunga-Kangulumira'!D14+'Avg Week Kangulumira-Kayunga'!D14</f>
        <v>2.628571428571429</v>
      </c>
      <c r="E14" s="49">
        <f>'Avg Week Kayunga-Kangulumira'!E14+'Avg Week Kangulumira-Kayunga'!E14</f>
        <v>3.9428571428571431</v>
      </c>
      <c r="F14" s="49">
        <f>'Avg Week Kayunga-Kangulumira'!F14+'Avg Week Kangulumira-Kayunga'!F14</f>
        <v>8</v>
      </c>
      <c r="G14" s="49">
        <f>'Avg Week Kayunga-Kangulumira'!G14+'Avg Week Kangulumira-Kayunga'!G14</f>
        <v>0.2857142857142857</v>
      </c>
      <c r="H14" s="49">
        <f>'Avg Week Kayunga-Kangulumira'!H14+'Avg Week Kangulumira-Kayunga'!H14</f>
        <v>0.14285714285714285</v>
      </c>
      <c r="I14" s="49">
        <f>'Avg Week Kayunga-Kangulumira'!I14+'Avg Week Kangulumira-Kayunga'!I14</f>
        <v>2.8571428571428572</v>
      </c>
      <c r="J14" s="49">
        <f>'Avg Week Kayunga-Kangulumira'!J14+'Avg Week Kangulumira-Kayunga'!J14</f>
        <v>0.42857142857142855</v>
      </c>
      <c r="K14" s="49">
        <f>'Avg Week Kayunga-Kangulumira'!K14+'Avg Week Kangulumira-Kayunga'!K14</f>
        <v>0.14285714285714285</v>
      </c>
      <c r="L14" s="49">
        <f>'Avg Week Kayunga-Kangulumira'!L14+'Avg Week Kangulumira-Kayunga'!L14</f>
        <v>1</v>
      </c>
      <c r="M14" s="49">
        <f>'Avg Week Kayunga-Kangulumira'!M14+'Avg Week Kangulumira-Kayunga'!M14</f>
        <v>57.571428571428569</v>
      </c>
      <c r="N14" s="49">
        <f>'Avg Week Kayunga-Kangulumira'!N14+'Avg Week Kangulumira-Kayunga'!N14</f>
        <v>0</v>
      </c>
      <c r="O14" s="15">
        <f t="shared" si="0"/>
        <v>27.714285714285712</v>
      </c>
      <c r="P14" s="15">
        <f t="shared" si="1"/>
        <v>85.285714285714278</v>
      </c>
      <c r="R14" s="1" t="s">
        <v>10</v>
      </c>
      <c r="S14" s="17">
        <f t="shared" ref="S14:AF14" si="6">SUM(C26:C29)</f>
        <v>40.714285714285708</v>
      </c>
      <c r="T14" s="17">
        <f t="shared" si="6"/>
        <v>14.62857142857143</v>
      </c>
      <c r="U14" s="17">
        <f t="shared" si="6"/>
        <v>21.942857142857143</v>
      </c>
      <c r="V14" s="17">
        <f t="shared" si="6"/>
        <v>34.857142857142861</v>
      </c>
      <c r="W14" s="17">
        <f t="shared" si="6"/>
        <v>2.5714285714285712</v>
      </c>
      <c r="X14" s="17">
        <f t="shared" si="6"/>
        <v>0.71428571428571419</v>
      </c>
      <c r="Y14" s="17">
        <f t="shared" si="6"/>
        <v>24</v>
      </c>
      <c r="Z14" s="17">
        <f t="shared" si="6"/>
        <v>1.9999999999999998</v>
      </c>
      <c r="AA14" s="17">
        <f t="shared" si="6"/>
        <v>3.1428571428571423</v>
      </c>
      <c r="AB14" s="17">
        <f t="shared" si="6"/>
        <v>1.7142857142857142</v>
      </c>
      <c r="AC14" s="17">
        <f t="shared" si="6"/>
        <v>203.71428571428572</v>
      </c>
      <c r="AD14" s="17">
        <f t="shared" si="6"/>
        <v>0.2857142857142857</v>
      </c>
      <c r="AE14" s="31">
        <f t="shared" si="6"/>
        <v>146.57142857142856</v>
      </c>
      <c r="AF14" s="31">
        <f t="shared" si="6"/>
        <v>350.28571428571433</v>
      </c>
    </row>
    <row r="15" spans="2:32" ht="23.1" customHeight="1" x14ac:dyDescent="0.25">
      <c r="B15" s="23" t="s">
        <v>42</v>
      </c>
      <c r="C15" s="49">
        <f>'Avg Week Kayunga-Kangulumira'!C15+'Avg Week Kangulumira-Kayunga'!C15</f>
        <v>7.8571428571428577</v>
      </c>
      <c r="D15" s="49">
        <f>'Avg Week Kayunga-Kangulumira'!D15+'Avg Week Kangulumira-Kayunga'!D15</f>
        <v>2.2857142857142856</v>
      </c>
      <c r="E15" s="49">
        <f>'Avg Week Kayunga-Kangulumira'!E15+'Avg Week Kangulumira-Kayunga'!E15</f>
        <v>3.4285714285714288</v>
      </c>
      <c r="F15" s="49">
        <f>'Avg Week Kayunga-Kangulumira'!F15+'Avg Week Kangulumira-Kayunga'!F15</f>
        <v>6.7142857142857144</v>
      </c>
      <c r="G15" s="49">
        <f>'Avg Week Kayunga-Kangulumira'!G15+'Avg Week Kangulumira-Kayunga'!G15</f>
        <v>0.42857142857142855</v>
      </c>
      <c r="H15" s="49">
        <f>'Avg Week Kayunga-Kangulumira'!H15+'Avg Week Kangulumira-Kayunga'!H15</f>
        <v>0.2857142857142857</v>
      </c>
      <c r="I15" s="49">
        <f>'Avg Week Kayunga-Kangulumira'!I15+'Avg Week Kangulumira-Kayunga'!I15</f>
        <v>3.2857142857142856</v>
      </c>
      <c r="J15" s="49">
        <f>'Avg Week Kayunga-Kangulumira'!J15+'Avg Week Kangulumira-Kayunga'!J15</f>
        <v>0.14285714285714285</v>
      </c>
      <c r="K15" s="49">
        <f>'Avg Week Kayunga-Kangulumira'!K15+'Avg Week Kangulumira-Kayunga'!K15</f>
        <v>0.14285714285714285</v>
      </c>
      <c r="L15" s="49">
        <f>'Avg Week Kayunga-Kangulumira'!L15+'Avg Week Kangulumira-Kayunga'!L15</f>
        <v>0</v>
      </c>
      <c r="M15" s="49">
        <f>'Avg Week Kayunga-Kangulumira'!M15+'Avg Week Kangulumira-Kayunga'!M15</f>
        <v>60.857142857142861</v>
      </c>
      <c r="N15" s="49">
        <f>'Avg Week Kayunga-Kangulumira'!N15+'Avg Week Kangulumira-Kayunga'!N15</f>
        <v>0</v>
      </c>
      <c r="O15" s="15">
        <f t="shared" si="0"/>
        <v>24.571428571428566</v>
      </c>
      <c r="P15" s="15">
        <f t="shared" si="1"/>
        <v>85.428571428571431</v>
      </c>
      <c r="R15" s="1" t="s">
        <v>11</v>
      </c>
      <c r="S15" s="17">
        <f t="shared" ref="S15:AF15" si="7">SUM(C30:C33)</f>
        <v>45.142857142857139</v>
      </c>
      <c r="T15" s="17">
        <f t="shared" si="7"/>
        <v>14.857142857142858</v>
      </c>
      <c r="U15" s="17">
        <f t="shared" si="7"/>
        <v>22.285714285714285</v>
      </c>
      <c r="V15" s="17">
        <f t="shared" si="7"/>
        <v>34.428571428571431</v>
      </c>
      <c r="W15" s="17">
        <f t="shared" si="7"/>
        <v>3.5714285714285712</v>
      </c>
      <c r="X15" s="17">
        <f t="shared" si="7"/>
        <v>0.42857142857142855</v>
      </c>
      <c r="Y15" s="17">
        <f t="shared" si="7"/>
        <v>27.857142857142854</v>
      </c>
      <c r="Z15" s="17">
        <f t="shared" si="7"/>
        <v>1.9999999999999998</v>
      </c>
      <c r="AA15" s="17">
        <f t="shared" si="7"/>
        <v>2.7142857142857144</v>
      </c>
      <c r="AB15" s="17">
        <f t="shared" si="7"/>
        <v>1.4285714285714284</v>
      </c>
      <c r="AC15" s="17">
        <f t="shared" si="7"/>
        <v>208.28571428571428</v>
      </c>
      <c r="AD15" s="17">
        <f t="shared" si="7"/>
        <v>0</v>
      </c>
      <c r="AE15" s="31">
        <f t="shared" si="7"/>
        <v>154.71428571428572</v>
      </c>
      <c r="AF15" s="31">
        <f t="shared" si="7"/>
        <v>363</v>
      </c>
    </row>
    <row r="16" spans="2:32" ht="23.1" customHeight="1" x14ac:dyDescent="0.25">
      <c r="B16" s="23" t="s">
        <v>43</v>
      </c>
      <c r="C16" s="49">
        <f>'Avg Week Kayunga-Kangulumira'!C16+'Avg Week Kangulumira-Kayunga'!C16</f>
        <v>8.8571428571428577</v>
      </c>
      <c r="D16" s="49">
        <f>'Avg Week Kayunga-Kangulumira'!D16+'Avg Week Kangulumira-Kayunga'!D16</f>
        <v>2.8571428571428572</v>
      </c>
      <c r="E16" s="49">
        <f>'Avg Week Kayunga-Kangulumira'!E16+'Avg Week Kangulumira-Kayunga'!E16</f>
        <v>4.2857142857142856</v>
      </c>
      <c r="F16" s="49">
        <f>'Avg Week Kayunga-Kangulumira'!F16+'Avg Week Kangulumira-Kayunga'!F16</f>
        <v>10.285714285714285</v>
      </c>
      <c r="G16" s="49">
        <f>'Avg Week Kayunga-Kangulumira'!G16+'Avg Week Kangulumira-Kayunga'!G16</f>
        <v>0</v>
      </c>
      <c r="H16" s="49">
        <f>'Avg Week Kayunga-Kangulumira'!H16+'Avg Week Kangulumira-Kayunga'!H16</f>
        <v>0</v>
      </c>
      <c r="I16" s="49">
        <f>'Avg Week Kayunga-Kangulumira'!I16+'Avg Week Kangulumira-Kayunga'!I16</f>
        <v>4.1428571428571432</v>
      </c>
      <c r="J16" s="49">
        <f>'Avg Week Kayunga-Kangulumira'!J16+'Avg Week Kangulumira-Kayunga'!J16</f>
        <v>1.4285714285714284</v>
      </c>
      <c r="K16" s="49">
        <f>'Avg Week Kayunga-Kangulumira'!K16+'Avg Week Kangulumira-Kayunga'!K16</f>
        <v>1</v>
      </c>
      <c r="L16" s="49">
        <f>'Avg Week Kayunga-Kangulumira'!L16+'Avg Week Kangulumira-Kayunga'!L16</f>
        <v>0.14285714285714285</v>
      </c>
      <c r="M16" s="49">
        <f>'Avg Week Kayunga-Kangulumira'!M16+'Avg Week Kangulumira-Kayunga'!M16</f>
        <v>49.714285714285708</v>
      </c>
      <c r="N16" s="49">
        <f>'Avg Week Kayunga-Kangulumira'!N16+'Avg Week Kangulumira-Kayunga'!N16</f>
        <v>0</v>
      </c>
      <c r="O16" s="15">
        <f t="shared" si="0"/>
        <v>33</v>
      </c>
      <c r="P16" s="15">
        <f t="shared" si="1"/>
        <v>82.714285714285708</v>
      </c>
      <c r="R16" s="1" t="s">
        <v>12</v>
      </c>
      <c r="S16" s="17">
        <f t="shared" ref="S16:AF16" si="8">SUM(C34:C37)</f>
        <v>39.000000000000007</v>
      </c>
      <c r="T16" s="17">
        <f t="shared" si="8"/>
        <v>13.485714285714288</v>
      </c>
      <c r="U16" s="17">
        <f t="shared" si="8"/>
        <v>20.228571428571428</v>
      </c>
      <c r="V16" s="17">
        <f t="shared" si="8"/>
        <v>33.285714285714285</v>
      </c>
      <c r="W16" s="17">
        <f t="shared" si="8"/>
        <v>1.9999999999999998</v>
      </c>
      <c r="X16" s="17">
        <f t="shared" si="8"/>
        <v>0.5714285714285714</v>
      </c>
      <c r="Y16" s="17">
        <f t="shared" si="8"/>
        <v>26.142857142857142</v>
      </c>
      <c r="Z16" s="17">
        <f t="shared" si="8"/>
        <v>2.2857142857142856</v>
      </c>
      <c r="AA16" s="17">
        <f t="shared" si="8"/>
        <v>2.9999999999999996</v>
      </c>
      <c r="AB16" s="17">
        <f t="shared" si="8"/>
        <v>1.857142857142857</v>
      </c>
      <c r="AC16" s="17">
        <f t="shared" si="8"/>
        <v>200.14285714285717</v>
      </c>
      <c r="AD16" s="17">
        <f t="shared" si="8"/>
        <v>0</v>
      </c>
      <c r="AE16" s="31">
        <f t="shared" si="8"/>
        <v>141.85714285714286</v>
      </c>
      <c r="AF16" s="31">
        <f t="shared" si="8"/>
        <v>342</v>
      </c>
    </row>
    <row r="17" spans="2:32" ht="23.1" customHeight="1" x14ac:dyDescent="0.25">
      <c r="B17" s="23" t="s">
        <v>44</v>
      </c>
      <c r="C17" s="49">
        <f>'Avg Week Kayunga-Kangulumira'!C17+'Avg Week Kangulumira-Kayunga'!C17</f>
        <v>7.8571428571428577</v>
      </c>
      <c r="D17" s="49">
        <f>'Avg Week Kayunga-Kangulumira'!D17+'Avg Week Kangulumira-Kayunga'!D17</f>
        <v>3.2571428571428571</v>
      </c>
      <c r="E17" s="49">
        <f>'Avg Week Kayunga-Kangulumira'!E17+'Avg Week Kangulumira-Kayunga'!E17</f>
        <v>4.8857142857142852</v>
      </c>
      <c r="F17" s="49">
        <f>'Avg Week Kayunga-Kangulumira'!F17+'Avg Week Kangulumira-Kayunga'!F17</f>
        <v>5.7142857142857144</v>
      </c>
      <c r="G17" s="49">
        <f>'Avg Week Kayunga-Kangulumira'!G17+'Avg Week Kangulumira-Kayunga'!G17</f>
        <v>0.14285714285714285</v>
      </c>
      <c r="H17" s="49">
        <f>'Avg Week Kayunga-Kangulumira'!H17+'Avg Week Kangulumira-Kayunga'!H17</f>
        <v>0.14285714285714285</v>
      </c>
      <c r="I17" s="49">
        <f>'Avg Week Kayunga-Kangulumira'!I17+'Avg Week Kangulumira-Kayunga'!I17</f>
        <v>3.8571428571428572</v>
      </c>
      <c r="J17" s="49">
        <f>'Avg Week Kayunga-Kangulumira'!J17+'Avg Week Kangulumira-Kayunga'!J17</f>
        <v>0.42857142857142855</v>
      </c>
      <c r="K17" s="49">
        <f>'Avg Week Kayunga-Kangulumira'!K17+'Avg Week Kangulumira-Kayunga'!K17</f>
        <v>0.71428571428571419</v>
      </c>
      <c r="L17" s="49">
        <f>'Avg Week Kayunga-Kangulumira'!L17+'Avg Week Kangulumira-Kayunga'!L17</f>
        <v>0.2857142857142857</v>
      </c>
      <c r="M17" s="49">
        <f>'Avg Week Kayunga-Kangulumira'!M17+'Avg Week Kangulumira-Kayunga'!M17</f>
        <v>51.571428571428569</v>
      </c>
      <c r="N17" s="49">
        <f>'Avg Week Kayunga-Kangulumira'!N17+'Avg Week Kangulumira-Kayunga'!N17</f>
        <v>0</v>
      </c>
      <c r="O17" s="15">
        <f t="shared" si="0"/>
        <v>27.285714285714285</v>
      </c>
      <c r="P17" s="15">
        <f t="shared" si="1"/>
        <v>78.857142857142861</v>
      </c>
      <c r="R17" s="1" t="s">
        <v>13</v>
      </c>
      <c r="S17" s="17">
        <f t="shared" ref="S17:AF17" si="9">SUM(C38:C41)</f>
        <v>45.857142857142854</v>
      </c>
      <c r="T17" s="17">
        <f t="shared" si="9"/>
        <v>17.142857142857142</v>
      </c>
      <c r="U17" s="17">
        <f t="shared" si="9"/>
        <v>25.714285714285712</v>
      </c>
      <c r="V17" s="17">
        <f t="shared" si="9"/>
        <v>30.428571428571431</v>
      </c>
      <c r="W17" s="17">
        <f t="shared" si="9"/>
        <v>3</v>
      </c>
      <c r="X17" s="17">
        <f t="shared" si="9"/>
        <v>0.71428571428571419</v>
      </c>
      <c r="Y17" s="17">
        <f t="shared" si="9"/>
        <v>27.714285714285715</v>
      </c>
      <c r="Z17" s="17">
        <f t="shared" si="9"/>
        <v>1.857142857142857</v>
      </c>
      <c r="AA17" s="17">
        <f t="shared" si="9"/>
        <v>3.8571428571428568</v>
      </c>
      <c r="AB17" s="17">
        <f t="shared" si="9"/>
        <v>3.2857142857142856</v>
      </c>
      <c r="AC17" s="17">
        <f t="shared" si="9"/>
        <v>192.57142857142861</v>
      </c>
      <c r="AD17" s="17">
        <f t="shared" si="9"/>
        <v>0.2857142857142857</v>
      </c>
      <c r="AE17" s="31">
        <f t="shared" si="9"/>
        <v>159.85714285714289</v>
      </c>
      <c r="AF17" s="31">
        <f t="shared" si="9"/>
        <v>352.42857142857144</v>
      </c>
    </row>
    <row r="18" spans="2:32" ht="23.1" customHeight="1" x14ac:dyDescent="0.25">
      <c r="B18" s="23" t="s">
        <v>45</v>
      </c>
      <c r="C18" s="49">
        <f>'Avg Week Kayunga-Kangulumira'!C18+'Avg Week Kangulumira-Kayunga'!C18</f>
        <v>10.285714285714285</v>
      </c>
      <c r="D18" s="49">
        <f>'Avg Week Kayunga-Kangulumira'!D18+'Avg Week Kangulumira-Kayunga'!D18</f>
        <v>3.1428571428571432</v>
      </c>
      <c r="E18" s="49">
        <f>'Avg Week Kayunga-Kangulumira'!E18+'Avg Week Kangulumira-Kayunga'!E18</f>
        <v>4.7142857142857135</v>
      </c>
      <c r="F18" s="49">
        <f>'Avg Week Kayunga-Kangulumira'!F18+'Avg Week Kangulumira-Kayunga'!F18</f>
        <v>8.1428571428571423</v>
      </c>
      <c r="G18" s="49">
        <f>'Avg Week Kayunga-Kangulumira'!G18+'Avg Week Kangulumira-Kayunga'!G18</f>
        <v>0.5714285714285714</v>
      </c>
      <c r="H18" s="49">
        <f>'Avg Week Kayunga-Kangulumira'!H18+'Avg Week Kangulumira-Kayunga'!H18</f>
        <v>0</v>
      </c>
      <c r="I18" s="49">
        <f>'Avg Week Kayunga-Kangulumira'!I18+'Avg Week Kangulumira-Kayunga'!I18</f>
        <v>4</v>
      </c>
      <c r="J18" s="49">
        <f>'Avg Week Kayunga-Kangulumira'!J18+'Avg Week Kangulumira-Kayunga'!J18</f>
        <v>0.42857142857142855</v>
      </c>
      <c r="K18" s="49">
        <f>'Avg Week Kayunga-Kangulumira'!K18+'Avg Week Kangulumira-Kayunga'!K18</f>
        <v>0.7142857142857143</v>
      </c>
      <c r="L18" s="49">
        <f>'Avg Week Kayunga-Kangulumira'!L18+'Avg Week Kangulumira-Kayunga'!L18</f>
        <v>0.2857142857142857</v>
      </c>
      <c r="M18" s="49">
        <f>'Avg Week Kayunga-Kangulumira'!M18+'Avg Week Kangulumira-Kayunga'!M18</f>
        <v>52.714285714285708</v>
      </c>
      <c r="N18" s="49">
        <f>'Avg Week Kayunga-Kangulumira'!N18+'Avg Week Kangulumira-Kayunga'!N18</f>
        <v>0</v>
      </c>
      <c r="O18" s="15">
        <f t="shared" si="0"/>
        <v>32.285714285714285</v>
      </c>
      <c r="P18" s="15">
        <f t="shared" si="1"/>
        <v>85</v>
      </c>
      <c r="R18" s="1" t="s">
        <v>14</v>
      </c>
      <c r="S18" s="17">
        <f t="shared" ref="S18:AF18" si="10">SUM(C42:C45)</f>
        <v>47.571428571428569</v>
      </c>
      <c r="T18" s="17">
        <f t="shared" si="10"/>
        <v>19.314285714285717</v>
      </c>
      <c r="U18" s="17">
        <f t="shared" si="10"/>
        <v>28.971428571428572</v>
      </c>
      <c r="V18" s="17">
        <f t="shared" si="10"/>
        <v>30</v>
      </c>
      <c r="W18" s="17">
        <f t="shared" si="10"/>
        <v>1.857142857142857</v>
      </c>
      <c r="X18" s="17">
        <f t="shared" si="10"/>
        <v>0.5714285714285714</v>
      </c>
      <c r="Y18" s="17">
        <f t="shared" si="10"/>
        <v>28.285714285714285</v>
      </c>
      <c r="Z18" s="17">
        <f t="shared" si="10"/>
        <v>2.714285714285714</v>
      </c>
      <c r="AA18" s="17">
        <f t="shared" si="10"/>
        <v>3.1428571428571428</v>
      </c>
      <c r="AB18" s="17">
        <f t="shared" si="10"/>
        <v>2.2857142857142856</v>
      </c>
      <c r="AC18" s="17">
        <f t="shared" si="10"/>
        <v>189.85714285714286</v>
      </c>
      <c r="AD18" s="17">
        <f t="shared" si="10"/>
        <v>0.14285714285714285</v>
      </c>
      <c r="AE18" s="31">
        <f t="shared" si="10"/>
        <v>164.85714285714286</v>
      </c>
      <c r="AF18" s="31">
        <f t="shared" si="10"/>
        <v>354.71428571428572</v>
      </c>
    </row>
    <row r="19" spans="2:32" ht="23.1" customHeight="1" x14ac:dyDescent="0.25">
      <c r="B19" s="23" t="s">
        <v>46</v>
      </c>
      <c r="C19" s="49">
        <f>'Avg Week Kayunga-Kangulumira'!C19+'Avg Week Kangulumira-Kayunga'!C19</f>
        <v>8.2857142857142847</v>
      </c>
      <c r="D19" s="49">
        <f>'Avg Week Kayunga-Kangulumira'!D19+'Avg Week Kangulumira-Kayunga'!D19</f>
        <v>3.1428571428571428</v>
      </c>
      <c r="E19" s="49">
        <f>'Avg Week Kayunga-Kangulumira'!E19+'Avg Week Kangulumira-Kayunga'!E19</f>
        <v>4.7142857142857135</v>
      </c>
      <c r="F19" s="49">
        <f>'Avg Week Kayunga-Kangulumira'!F19+'Avg Week Kangulumira-Kayunga'!F19</f>
        <v>7.5714285714285712</v>
      </c>
      <c r="G19" s="49">
        <f>'Avg Week Kayunga-Kangulumira'!G19+'Avg Week Kangulumira-Kayunga'!G19</f>
        <v>0.8571428571428571</v>
      </c>
      <c r="H19" s="49">
        <f>'Avg Week Kayunga-Kangulumira'!H19+'Avg Week Kangulumira-Kayunga'!H19</f>
        <v>0.14285714285714285</v>
      </c>
      <c r="I19" s="49">
        <f>'Avg Week Kayunga-Kangulumira'!I19+'Avg Week Kangulumira-Kayunga'!I19</f>
        <v>3.7142857142857144</v>
      </c>
      <c r="J19" s="49">
        <f>'Avg Week Kayunga-Kangulumira'!J19+'Avg Week Kangulumira-Kayunga'!J19</f>
        <v>0.2857142857142857</v>
      </c>
      <c r="K19" s="49">
        <f>'Avg Week Kayunga-Kangulumira'!K19+'Avg Week Kangulumira-Kayunga'!K19</f>
        <v>1.5714285714285716</v>
      </c>
      <c r="L19" s="49">
        <f>'Avg Week Kayunga-Kangulumira'!L19+'Avg Week Kangulumira-Kayunga'!L19</f>
        <v>0.8571428571428571</v>
      </c>
      <c r="M19" s="49">
        <f>'Avg Week Kayunga-Kangulumira'!M19+'Avg Week Kangulumira-Kayunga'!M19</f>
        <v>48</v>
      </c>
      <c r="N19" s="49">
        <f>'Avg Week Kayunga-Kangulumira'!N19+'Avg Week Kangulumira-Kayunga'!N19</f>
        <v>0</v>
      </c>
      <c r="O19" s="15">
        <f t="shared" si="0"/>
        <v>31.142857142857139</v>
      </c>
      <c r="P19" s="15">
        <f t="shared" si="1"/>
        <v>79.142857142857139</v>
      </c>
      <c r="R19" s="1" t="s">
        <v>15</v>
      </c>
      <c r="S19" s="17">
        <f t="shared" ref="S19:AF19" si="11">SUM(C46:C49)</f>
        <v>49.857142857142861</v>
      </c>
      <c r="T19" s="17">
        <f t="shared" si="11"/>
        <v>19.542857142857141</v>
      </c>
      <c r="U19" s="17">
        <f t="shared" si="11"/>
        <v>29.31428571428571</v>
      </c>
      <c r="V19" s="17">
        <f t="shared" si="11"/>
        <v>32.571428571428569</v>
      </c>
      <c r="W19" s="17">
        <f t="shared" si="11"/>
        <v>2.714285714285714</v>
      </c>
      <c r="X19" s="17">
        <f t="shared" si="11"/>
        <v>1.1428571428571428</v>
      </c>
      <c r="Y19" s="17">
        <f t="shared" si="11"/>
        <v>29.714285714285715</v>
      </c>
      <c r="Z19" s="17">
        <f t="shared" si="11"/>
        <v>2.8571428571428568</v>
      </c>
      <c r="AA19" s="17">
        <f t="shared" si="11"/>
        <v>3.8571428571428572</v>
      </c>
      <c r="AB19" s="17">
        <f t="shared" si="11"/>
        <v>2.2857142857142856</v>
      </c>
      <c r="AC19" s="17">
        <f t="shared" si="11"/>
        <v>214</v>
      </c>
      <c r="AD19" s="17">
        <f t="shared" si="11"/>
        <v>0.2857142857142857</v>
      </c>
      <c r="AE19" s="31">
        <f t="shared" si="11"/>
        <v>174.14285714285714</v>
      </c>
      <c r="AF19" s="31">
        <f t="shared" si="11"/>
        <v>388.14285714285705</v>
      </c>
    </row>
    <row r="20" spans="2:32" ht="23.1" customHeight="1" x14ac:dyDescent="0.25">
      <c r="B20" s="23" t="s">
        <v>47</v>
      </c>
      <c r="C20" s="49">
        <f>'Avg Week Kayunga-Kangulumira'!C20+'Avg Week Kangulumira-Kayunga'!C20</f>
        <v>9.1428571428571423</v>
      </c>
      <c r="D20" s="49">
        <f>'Avg Week Kayunga-Kangulumira'!D20+'Avg Week Kangulumira-Kayunga'!D20</f>
        <v>3.6</v>
      </c>
      <c r="E20" s="49">
        <f>'Avg Week Kayunga-Kangulumira'!E20+'Avg Week Kangulumira-Kayunga'!E20</f>
        <v>5.3999999999999995</v>
      </c>
      <c r="F20" s="49">
        <f>'Avg Week Kayunga-Kangulumira'!F20+'Avg Week Kangulumira-Kayunga'!F20</f>
        <v>6.1428571428571432</v>
      </c>
      <c r="G20" s="49">
        <f>'Avg Week Kayunga-Kangulumira'!G20+'Avg Week Kangulumira-Kayunga'!G20</f>
        <v>0.5714285714285714</v>
      </c>
      <c r="H20" s="49">
        <f>'Avg Week Kayunga-Kangulumira'!H20+'Avg Week Kangulumira-Kayunga'!H20</f>
        <v>0</v>
      </c>
      <c r="I20" s="49">
        <f>'Avg Week Kayunga-Kangulumira'!I20+'Avg Week Kangulumira-Kayunga'!I20</f>
        <v>2.4285714285714288</v>
      </c>
      <c r="J20" s="49">
        <f>'Avg Week Kayunga-Kangulumira'!J20+'Avg Week Kangulumira-Kayunga'!J20</f>
        <v>0.42857142857142855</v>
      </c>
      <c r="K20" s="49">
        <f>'Avg Week Kayunga-Kangulumira'!K20+'Avg Week Kangulumira-Kayunga'!K20</f>
        <v>1.4285714285714286</v>
      </c>
      <c r="L20" s="49">
        <f>'Avg Week Kayunga-Kangulumira'!L20+'Avg Week Kangulumira-Kayunga'!L20</f>
        <v>0</v>
      </c>
      <c r="M20" s="49">
        <f>'Avg Week Kayunga-Kangulumira'!M20+'Avg Week Kangulumira-Kayunga'!M20</f>
        <v>53.285714285714292</v>
      </c>
      <c r="N20" s="49">
        <f>'Avg Week Kayunga-Kangulumira'!N20+'Avg Week Kangulumira-Kayunga'!N20</f>
        <v>0.14285714285714285</v>
      </c>
      <c r="O20" s="15">
        <f t="shared" si="0"/>
        <v>29.285714285714281</v>
      </c>
      <c r="P20" s="15">
        <f t="shared" si="1"/>
        <v>82.571428571428569</v>
      </c>
      <c r="R20" s="1" t="s">
        <v>16</v>
      </c>
      <c r="S20" s="17">
        <f t="shared" ref="S20:AF20" si="12">SUM(C50:C53)</f>
        <v>49.285714285714292</v>
      </c>
      <c r="T20" s="17">
        <f t="shared" si="12"/>
        <v>22.400000000000006</v>
      </c>
      <c r="U20" s="17">
        <f t="shared" si="12"/>
        <v>33.599999999999994</v>
      </c>
      <c r="V20" s="17">
        <f t="shared" si="12"/>
        <v>36.714285714285715</v>
      </c>
      <c r="W20" s="17">
        <f t="shared" si="12"/>
        <v>3.2857142857142856</v>
      </c>
      <c r="X20" s="17">
        <f t="shared" si="12"/>
        <v>3.1428571428571432</v>
      </c>
      <c r="Y20" s="17">
        <f t="shared" si="12"/>
        <v>33.714285714285708</v>
      </c>
      <c r="Z20" s="17">
        <f t="shared" si="12"/>
        <v>4.2857142857142856</v>
      </c>
      <c r="AA20" s="17">
        <f t="shared" si="12"/>
        <v>3</v>
      </c>
      <c r="AB20" s="17">
        <f t="shared" si="12"/>
        <v>3.1428571428571428</v>
      </c>
      <c r="AC20" s="17">
        <f t="shared" si="12"/>
        <v>242.85714285714283</v>
      </c>
      <c r="AD20" s="17">
        <f t="shared" si="12"/>
        <v>0</v>
      </c>
      <c r="AE20" s="31">
        <f t="shared" si="12"/>
        <v>192.57142857142858</v>
      </c>
      <c r="AF20" s="31">
        <f t="shared" si="12"/>
        <v>435.42857142857144</v>
      </c>
    </row>
    <row r="21" spans="2:32" ht="23.1" customHeight="1" x14ac:dyDescent="0.25">
      <c r="B21" s="23" t="s">
        <v>48</v>
      </c>
      <c r="C21" s="49">
        <f>'Avg Week Kayunga-Kangulumira'!C21+'Avg Week Kangulumira-Kayunga'!C21</f>
        <v>9.1428571428571423</v>
      </c>
      <c r="D21" s="49">
        <f>'Avg Week Kayunga-Kangulumira'!D21+'Avg Week Kangulumira-Kayunga'!D21</f>
        <v>3.3142857142857149</v>
      </c>
      <c r="E21" s="49">
        <f>'Avg Week Kayunga-Kangulumira'!E21+'Avg Week Kangulumira-Kayunga'!E21</f>
        <v>4.9714285714285715</v>
      </c>
      <c r="F21" s="49">
        <f>'Avg Week Kayunga-Kangulumira'!F21+'Avg Week Kangulumira-Kayunga'!F21</f>
        <v>7.2857142857142865</v>
      </c>
      <c r="G21" s="49">
        <f>'Avg Week Kayunga-Kangulumira'!G21+'Avg Week Kangulumira-Kayunga'!G21</f>
        <v>0.2857142857142857</v>
      </c>
      <c r="H21" s="49">
        <f>'Avg Week Kayunga-Kangulumira'!H21+'Avg Week Kangulumira-Kayunga'!H21</f>
        <v>0</v>
      </c>
      <c r="I21" s="49">
        <f>'Avg Week Kayunga-Kangulumira'!I21+'Avg Week Kangulumira-Kayunga'!I21</f>
        <v>5.1428571428571423</v>
      </c>
      <c r="J21" s="49">
        <f>'Avg Week Kayunga-Kangulumira'!J21+'Avg Week Kangulumira-Kayunga'!J21</f>
        <v>0.42857142857142855</v>
      </c>
      <c r="K21" s="49">
        <f>'Avg Week Kayunga-Kangulumira'!K21+'Avg Week Kangulumira-Kayunga'!K21</f>
        <v>1.1428571428571428</v>
      </c>
      <c r="L21" s="49">
        <f>'Avg Week Kayunga-Kangulumira'!L21+'Avg Week Kangulumira-Kayunga'!L21</f>
        <v>0.2857142857142857</v>
      </c>
      <c r="M21" s="49">
        <f>'Avg Week Kayunga-Kangulumira'!M21+'Avg Week Kangulumira-Kayunga'!M21</f>
        <v>47.142857142857139</v>
      </c>
      <c r="N21" s="49">
        <f>'Avg Week Kayunga-Kangulumira'!N21+'Avg Week Kangulumira-Kayunga'!N21</f>
        <v>0</v>
      </c>
      <c r="O21" s="15">
        <f t="shared" si="0"/>
        <v>31.999999999999996</v>
      </c>
      <c r="P21" s="15">
        <f t="shared" si="1"/>
        <v>79.142857142857139</v>
      </c>
      <c r="R21" s="36" t="s">
        <v>20</v>
      </c>
      <c r="S21" s="34">
        <f t="shared" ref="S21:AF21" si="13">SUM(C54:C57)</f>
        <v>49.571428571428569</v>
      </c>
      <c r="T21" s="17">
        <f t="shared" si="13"/>
        <v>22.68571428571429</v>
      </c>
      <c r="U21" s="17">
        <f t="shared" si="13"/>
        <v>34.028571428571432</v>
      </c>
      <c r="V21" s="17">
        <f t="shared" si="13"/>
        <v>39</v>
      </c>
      <c r="W21" s="17">
        <f t="shared" si="13"/>
        <v>3.714285714285714</v>
      </c>
      <c r="X21" s="17">
        <f t="shared" si="13"/>
        <v>2.7142857142857144</v>
      </c>
      <c r="Y21" s="17">
        <f t="shared" si="13"/>
        <v>32.857142857142861</v>
      </c>
      <c r="Z21" s="17">
        <f t="shared" si="13"/>
        <v>3.1428571428571423</v>
      </c>
      <c r="AA21" s="17">
        <f t="shared" si="13"/>
        <v>2.4285714285714288</v>
      </c>
      <c r="AB21" s="17">
        <f t="shared" si="13"/>
        <v>1.8571428571428568</v>
      </c>
      <c r="AC21" s="17">
        <f t="shared" si="13"/>
        <v>236.85714285714283</v>
      </c>
      <c r="AD21" s="17">
        <f t="shared" si="13"/>
        <v>0</v>
      </c>
      <c r="AE21" s="31">
        <f t="shared" si="13"/>
        <v>192.00000000000003</v>
      </c>
      <c r="AF21" s="31">
        <f t="shared" si="13"/>
        <v>428.85714285714289</v>
      </c>
    </row>
    <row r="22" spans="2:32" ht="23.1" customHeight="1" x14ac:dyDescent="0.25">
      <c r="B22" s="23" t="s">
        <v>49</v>
      </c>
      <c r="C22" s="49">
        <f>'Avg Week Kayunga-Kangulumira'!C22+'Avg Week Kangulumira-Kayunga'!C22</f>
        <v>8.5714285714285712</v>
      </c>
      <c r="D22" s="49">
        <f>'Avg Week Kayunga-Kangulumira'!D22+'Avg Week Kangulumira-Kayunga'!D22</f>
        <v>2.8571428571428577</v>
      </c>
      <c r="E22" s="49">
        <f>'Avg Week Kayunga-Kangulumira'!E22+'Avg Week Kangulumira-Kayunga'!E22</f>
        <v>4.2857142857142856</v>
      </c>
      <c r="F22" s="49">
        <f>'Avg Week Kayunga-Kangulumira'!F22+'Avg Week Kangulumira-Kayunga'!F22</f>
        <v>7.1428571428571423</v>
      </c>
      <c r="G22" s="49">
        <f>'Avg Week Kayunga-Kangulumira'!G22+'Avg Week Kangulumira-Kayunga'!G22</f>
        <v>0.5714285714285714</v>
      </c>
      <c r="H22" s="49">
        <f>'Avg Week Kayunga-Kangulumira'!H22+'Avg Week Kangulumira-Kayunga'!H22</f>
        <v>0</v>
      </c>
      <c r="I22" s="49">
        <f>'Avg Week Kayunga-Kangulumira'!I22+'Avg Week Kangulumira-Kayunga'!I22</f>
        <v>4.2857142857142856</v>
      </c>
      <c r="J22" s="49">
        <f>'Avg Week Kayunga-Kangulumira'!J22+'Avg Week Kangulumira-Kayunga'!J22</f>
        <v>0.5714285714285714</v>
      </c>
      <c r="K22" s="49">
        <f>'Avg Week Kayunga-Kangulumira'!K22+'Avg Week Kangulumira-Kayunga'!K22</f>
        <v>1.4285714285714286</v>
      </c>
      <c r="L22" s="49">
        <f>'Avg Week Kayunga-Kangulumira'!L22+'Avg Week Kangulumira-Kayunga'!L22</f>
        <v>0.71428571428571419</v>
      </c>
      <c r="M22" s="49">
        <f>'Avg Week Kayunga-Kangulumira'!M22+'Avg Week Kangulumira-Kayunga'!M22</f>
        <v>45.142857142857139</v>
      </c>
      <c r="N22" s="49">
        <f>'Avg Week Kayunga-Kangulumira'!N22+'Avg Week Kangulumira-Kayunga'!N22</f>
        <v>0</v>
      </c>
      <c r="O22" s="15">
        <f t="shared" si="0"/>
        <v>30.428571428571431</v>
      </c>
      <c r="P22" s="15">
        <f t="shared" si="1"/>
        <v>75.571428571428569</v>
      </c>
      <c r="R22" s="1" t="s">
        <v>146</v>
      </c>
      <c r="S22" s="34">
        <f>SUM(C58:C61)</f>
        <v>15</v>
      </c>
      <c r="T22" s="34">
        <f t="shared" ref="T22:AF22" si="14">SUM(D58:D61)</f>
        <v>12.8</v>
      </c>
      <c r="U22" s="34">
        <f t="shared" si="14"/>
        <v>19.2</v>
      </c>
      <c r="V22" s="34">
        <f t="shared" si="14"/>
        <v>20</v>
      </c>
      <c r="W22" s="34">
        <f t="shared" si="14"/>
        <v>2</v>
      </c>
      <c r="X22" s="34">
        <f t="shared" si="14"/>
        <v>4</v>
      </c>
      <c r="Y22" s="34">
        <f t="shared" si="14"/>
        <v>24</v>
      </c>
      <c r="Z22" s="34">
        <f t="shared" si="14"/>
        <v>6</v>
      </c>
      <c r="AA22" s="34">
        <f t="shared" si="14"/>
        <v>4</v>
      </c>
      <c r="AB22" s="34">
        <f t="shared" si="14"/>
        <v>4</v>
      </c>
      <c r="AC22" s="34">
        <f t="shared" si="14"/>
        <v>152</v>
      </c>
      <c r="AD22" s="34">
        <f t="shared" si="14"/>
        <v>0</v>
      </c>
      <c r="AE22" s="31">
        <f t="shared" si="14"/>
        <v>111</v>
      </c>
      <c r="AF22" s="31">
        <f t="shared" si="14"/>
        <v>263</v>
      </c>
    </row>
    <row r="23" spans="2:32" ht="23.1" customHeight="1" x14ac:dyDescent="0.25">
      <c r="B23" s="23" t="s">
        <v>50</v>
      </c>
      <c r="C23" s="49">
        <f>'Avg Week Kayunga-Kangulumira'!C23+'Avg Week Kangulumira-Kayunga'!C23</f>
        <v>8.1428571428571423</v>
      </c>
      <c r="D23" s="49">
        <f>'Avg Week Kayunga-Kangulumira'!D23+'Avg Week Kangulumira-Kayunga'!D23</f>
        <v>3.6</v>
      </c>
      <c r="E23" s="49">
        <f>'Avg Week Kayunga-Kangulumira'!E23+'Avg Week Kangulumira-Kayunga'!E23</f>
        <v>5.4</v>
      </c>
      <c r="F23" s="49">
        <f>'Avg Week Kayunga-Kangulumira'!F23+'Avg Week Kangulumira-Kayunga'!F23</f>
        <v>8.1428571428571423</v>
      </c>
      <c r="G23" s="49">
        <f>'Avg Week Kayunga-Kangulumira'!G23+'Avg Week Kangulumira-Kayunga'!G23</f>
        <v>1.1428571428571428</v>
      </c>
      <c r="H23" s="49">
        <f>'Avg Week Kayunga-Kangulumira'!H23+'Avg Week Kangulumira-Kayunga'!H23</f>
        <v>0.14285714285714285</v>
      </c>
      <c r="I23" s="49">
        <f>'Avg Week Kayunga-Kangulumira'!I23+'Avg Week Kangulumira-Kayunga'!I23</f>
        <v>5.1428571428571423</v>
      </c>
      <c r="J23" s="49">
        <f>'Avg Week Kayunga-Kangulumira'!J23+'Avg Week Kangulumira-Kayunga'!J23</f>
        <v>0.2857142857142857</v>
      </c>
      <c r="K23" s="49">
        <f>'Avg Week Kayunga-Kangulumira'!K23+'Avg Week Kangulumira-Kayunga'!K23</f>
        <v>1.2857142857142856</v>
      </c>
      <c r="L23" s="49">
        <f>'Avg Week Kayunga-Kangulumira'!L23+'Avg Week Kangulumira-Kayunga'!L23</f>
        <v>0.2857142857142857</v>
      </c>
      <c r="M23" s="49">
        <f>'Avg Week Kayunga-Kangulumira'!M23+'Avg Week Kangulumira-Kayunga'!M23</f>
        <v>50.428571428571431</v>
      </c>
      <c r="N23" s="49">
        <f>'Avg Week Kayunga-Kangulumira'!N23+'Avg Week Kangulumira-Kayunga'!N23</f>
        <v>0</v>
      </c>
      <c r="O23" s="15">
        <f t="shared" si="0"/>
        <v>33.571428571428569</v>
      </c>
      <c r="P23" s="15">
        <f t="shared" si="1"/>
        <v>84</v>
      </c>
      <c r="R23" s="1" t="s">
        <v>147</v>
      </c>
      <c r="S23" s="34">
        <f>SUM(C62:C65)</f>
        <v>24</v>
      </c>
      <c r="T23" s="34">
        <f t="shared" ref="T23:AF23" si="15">SUM(D62:D65)</f>
        <v>10.400000000000002</v>
      </c>
      <c r="U23" s="34">
        <f t="shared" si="15"/>
        <v>15.599999999999998</v>
      </c>
      <c r="V23" s="34">
        <f t="shared" si="15"/>
        <v>24</v>
      </c>
      <c r="W23" s="34">
        <f t="shared" si="15"/>
        <v>2</v>
      </c>
      <c r="X23" s="34">
        <f t="shared" si="15"/>
        <v>2</v>
      </c>
      <c r="Y23" s="34">
        <f t="shared" si="15"/>
        <v>20</v>
      </c>
      <c r="Z23" s="34">
        <f t="shared" si="15"/>
        <v>8</v>
      </c>
      <c r="AA23" s="34">
        <f t="shared" si="15"/>
        <v>6</v>
      </c>
      <c r="AB23" s="34">
        <f t="shared" si="15"/>
        <v>2</v>
      </c>
      <c r="AC23" s="34">
        <f t="shared" si="15"/>
        <v>127</v>
      </c>
      <c r="AD23" s="34">
        <f t="shared" si="15"/>
        <v>0</v>
      </c>
      <c r="AE23" s="31">
        <f t="shared" si="15"/>
        <v>114</v>
      </c>
      <c r="AF23" s="31">
        <f t="shared" si="15"/>
        <v>241</v>
      </c>
    </row>
    <row r="24" spans="2:32" ht="23.1" customHeight="1" x14ac:dyDescent="0.25">
      <c r="B24" s="23" t="s">
        <v>51</v>
      </c>
      <c r="C24" s="49">
        <f>'Avg Week Kayunga-Kangulumira'!C24+'Avg Week Kangulumira-Kayunga'!C24</f>
        <v>9.8571428571428577</v>
      </c>
      <c r="D24" s="49">
        <f>'Avg Week Kayunga-Kangulumira'!D24+'Avg Week Kangulumira-Kayunga'!D24</f>
        <v>3.8285714285714287</v>
      </c>
      <c r="E24" s="49">
        <f>'Avg Week Kayunga-Kangulumira'!E24+'Avg Week Kangulumira-Kayunga'!E24</f>
        <v>5.742857142857142</v>
      </c>
      <c r="F24" s="49">
        <f>'Avg Week Kayunga-Kangulumira'!F24+'Avg Week Kangulumira-Kayunga'!F24</f>
        <v>7.5714285714285712</v>
      </c>
      <c r="G24" s="49">
        <f>'Avg Week Kayunga-Kangulumira'!G24+'Avg Week Kangulumira-Kayunga'!G24</f>
        <v>1</v>
      </c>
      <c r="H24" s="49">
        <f>'Avg Week Kayunga-Kangulumira'!H24+'Avg Week Kangulumira-Kayunga'!H24</f>
        <v>0.42857142857142855</v>
      </c>
      <c r="I24" s="49">
        <f>'Avg Week Kayunga-Kangulumira'!I24+'Avg Week Kangulumira-Kayunga'!I24</f>
        <v>5.8571428571428577</v>
      </c>
      <c r="J24" s="49">
        <f>'Avg Week Kayunga-Kangulumira'!J24+'Avg Week Kangulumira-Kayunga'!J24</f>
        <v>0.71428571428571419</v>
      </c>
      <c r="K24" s="49">
        <f>'Avg Week Kayunga-Kangulumira'!K24+'Avg Week Kangulumira-Kayunga'!K24</f>
        <v>0.8571428571428571</v>
      </c>
      <c r="L24" s="49">
        <f>'Avg Week Kayunga-Kangulumira'!L24+'Avg Week Kangulumira-Kayunga'!L24</f>
        <v>0.42857142857142855</v>
      </c>
      <c r="M24" s="49">
        <f>'Avg Week Kayunga-Kangulumira'!M24+'Avg Week Kangulumira-Kayunga'!M24</f>
        <v>45.428571428571431</v>
      </c>
      <c r="N24" s="49">
        <f>'Avg Week Kayunga-Kangulumira'!N24+'Avg Week Kangulumira-Kayunga'!N24</f>
        <v>0</v>
      </c>
      <c r="O24" s="15">
        <f t="shared" si="0"/>
        <v>36.285714285714285</v>
      </c>
      <c r="P24" s="15">
        <f t="shared" si="1"/>
        <v>81.714285714285722</v>
      </c>
      <c r="R24" s="1" t="s">
        <v>148</v>
      </c>
      <c r="S24" s="34">
        <f>SUM(C66:C69)</f>
        <v>18</v>
      </c>
      <c r="T24" s="34">
        <f t="shared" ref="T24:AF24" si="16">SUM(D66:D69)</f>
        <v>10.400000000000002</v>
      </c>
      <c r="U24" s="34">
        <f t="shared" si="16"/>
        <v>15.599999999999998</v>
      </c>
      <c r="V24" s="34">
        <f t="shared" si="16"/>
        <v>18</v>
      </c>
      <c r="W24" s="34">
        <f t="shared" si="16"/>
        <v>2</v>
      </c>
      <c r="X24" s="34">
        <f t="shared" si="16"/>
        <v>6</v>
      </c>
      <c r="Y24" s="34">
        <f t="shared" si="16"/>
        <v>22</v>
      </c>
      <c r="Z24" s="34">
        <f t="shared" si="16"/>
        <v>4</v>
      </c>
      <c r="AA24" s="34">
        <f t="shared" si="16"/>
        <v>4</v>
      </c>
      <c r="AB24" s="34">
        <f t="shared" si="16"/>
        <v>4</v>
      </c>
      <c r="AC24" s="34">
        <f t="shared" si="16"/>
        <v>93</v>
      </c>
      <c r="AD24" s="34">
        <f t="shared" si="16"/>
        <v>0</v>
      </c>
      <c r="AE24" s="31">
        <f t="shared" si="16"/>
        <v>104</v>
      </c>
      <c r="AF24" s="31">
        <f t="shared" si="16"/>
        <v>197</v>
      </c>
    </row>
    <row r="25" spans="2:32" ht="23.1" customHeight="1" x14ac:dyDescent="0.25">
      <c r="B25" s="23" t="s">
        <v>52</v>
      </c>
      <c r="C25" s="49">
        <f>'Avg Week Kayunga-Kangulumira'!C25+'Avg Week Kangulumira-Kayunga'!C25</f>
        <v>9.2857142857142847</v>
      </c>
      <c r="D25" s="49">
        <f>'Avg Week Kayunga-Kangulumira'!D25+'Avg Week Kangulumira-Kayunga'!D25</f>
        <v>4.0571428571428578</v>
      </c>
      <c r="E25" s="49">
        <f>'Avg Week Kayunga-Kangulumira'!E25+'Avg Week Kangulumira-Kayunga'!E25</f>
        <v>6.0857142857142854</v>
      </c>
      <c r="F25" s="49">
        <f>'Avg Week Kayunga-Kangulumira'!F25+'Avg Week Kangulumira-Kayunga'!F25</f>
        <v>9.2857142857142847</v>
      </c>
      <c r="G25" s="49">
        <f>'Avg Week Kayunga-Kangulumira'!G25+'Avg Week Kangulumira-Kayunga'!G25</f>
        <v>0.2857142857142857</v>
      </c>
      <c r="H25" s="49">
        <f>'Avg Week Kayunga-Kangulumira'!H25+'Avg Week Kangulumira-Kayunga'!H25</f>
        <v>0.14285714285714285</v>
      </c>
      <c r="I25" s="49">
        <f>'Avg Week Kayunga-Kangulumira'!I25+'Avg Week Kangulumira-Kayunga'!I25</f>
        <v>5.8571428571428577</v>
      </c>
      <c r="J25" s="49">
        <f>'Avg Week Kayunga-Kangulumira'!J25+'Avg Week Kangulumira-Kayunga'!J25</f>
        <v>0.5714285714285714</v>
      </c>
      <c r="K25" s="49">
        <f>'Avg Week Kayunga-Kangulumira'!K25+'Avg Week Kangulumira-Kayunga'!K25</f>
        <v>0.71428571428571419</v>
      </c>
      <c r="L25" s="49">
        <f>'Avg Week Kayunga-Kangulumira'!L25+'Avg Week Kangulumira-Kayunga'!L25</f>
        <v>1.2857142857142856</v>
      </c>
      <c r="M25" s="49">
        <f>'Avg Week Kayunga-Kangulumira'!M25+'Avg Week Kangulumira-Kayunga'!M25</f>
        <v>53.285714285714285</v>
      </c>
      <c r="N25" s="49">
        <f>'Avg Week Kayunga-Kangulumira'!N25+'Avg Week Kangulumira-Kayunga'!N25</f>
        <v>0</v>
      </c>
      <c r="O25" s="15">
        <f t="shared" si="0"/>
        <v>37.571428571428569</v>
      </c>
      <c r="P25" s="15">
        <f t="shared" si="1"/>
        <v>90.857142857142861</v>
      </c>
      <c r="R25" s="1" t="s">
        <v>149</v>
      </c>
      <c r="S25" s="34">
        <f>SUM(C70:C73)</f>
        <v>18</v>
      </c>
      <c r="T25" s="34">
        <f t="shared" ref="T25:AF25" si="17">SUM(D70:D73)</f>
        <v>7.2000000000000011</v>
      </c>
      <c r="U25" s="34">
        <f t="shared" si="17"/>
        <v>10.799999999999999</v>
      </c>
      <c r="V25" s="34">
        <f t="shared" si="17"/>
        <v>12</v>
      </c>
      <c r="W25" s="34">
        <f t="shared" si="17"/>
        <v>0</v>
      </c>
      <c r="X25" s="34">
        <f t="shared" si="17"/>
        <v>0</v>
      </c>
      <c r="Y25" s="34">
        <f t="shared" si="17"/>
        <v>12</v>
      </c>
      <c r="Z25" s="34">
        <f t="shared" si="17"/>
        <v>6</v>
      </c>
      <c r="AA25" s="34">
        <f t="shared" si="17"/>
        <v>0</v>
      </c>
      <c r="AB25" s="34">
        <f t="shared" si="17"/>
        <v>2</v>
      </c>
      <c r="AC25" s="34">
        <f t="shared" si="17"/>
        <v>30</v>
      </c>
      <c r="AD25" s="34">
        <f t="shared" si="17"/>
        <v>0</v>
      </c>
      <c r="AE25" s="31">
        <f t="shared" si="17"/>
        <v>68</v>
      </c>
      <c r="AF25" s="31">
        <f t="shared" si="17"/>
        <v>98</v>
      </c>
    </row>
    <row r="26" spans="2:32" ht="23.1" customHeight="1" x14ac:dyDescent="0.25">
      <c r="B26" s="23" t="s">
        <v>53</v>
      </c>
      <c r="C26" s="49">
        <f>'Avg Week Kayunga-Kangulumira'!C26+'Avg Week Kangulumira-Kayunga'!C26</f>
        <v>10.285714285714285</v>
      </c>
      <c r="D26" s="49">
        <f>'Avg Week Kayunga-Kangulumira'!D26+'Avg Week Kangulumira-Kayunga'!D26</f>
        <v>2.9714285714285715</v>
      </c>
      <c r="E26" s="49">
        <f>'Avg Week Kayunga-Kangulumira'!E26+'Avg Week Kangulumira-Kayunga'!E26</f>
        <v>4.4571428571428573</v>
      </c>
      <c r="F26" s="49">
        <f>'Avg Week Kayunga-Kangulumira'!F26+'Avg Week Kangulumira-Kayunga'!F26</f>
        <v>9</v>
      </c>
      <c r="G26" s="49">
        <f>'Avg Week Kayunga-Kangulumira'!G26+'Avg Week Kangulumira-Kayunga'!G26</f>
        <v>0.71428571428571419</v>
      </c>
      <c r="H26" s="49">
        <f>'Avg Week Kayunga-Kangulumira'!H26+'Avg Week Kangulumira-Kayunga'!H26</f>
        <v>0.14285714285714285</v>
      </c>
      <c r="I26" s="49">
        <f>'Avg Week Kayunga-Kangulumira'!I26+'Avg Week Kangulumira-Kayunga'!I26</f>
        <v>6</v>
      </c>
      <c r="J26" s="49">
        <f>'Avg Week Kayunga-Kangulumira'!J26+'Avg Week Kangulumira-Kayunga'!J26</f>
        <v>0.2857142857142857</v>
      </c>
      <c r="K26" s="49">
        <f>'Avg Week Kayunga-Kangulumira'!K26+'Avg Week Kangulumira-Kayunga'!K26</f>
        <v>0.5714285714285714</v>
      </c>
      <c r="L26" s="49">
        <f>'Avg Week Kayunga-Kangulumira'!L26+'Avg Week Kangulumira-Kayunga'!L26</f>
        <v>0.5714285714285714</v>
      </c>
      <c r="M26" s="49">
        <f>'Avg Week Kayunga-Kangulumira'!M26+'Avg Week Kangulumira-Kayunga'!M26</f>
        <v>49.857142857142861</v>
      </c>
      <c r="N26" s="49">
        <f>'Avg Week Kayunga-Kangulumira'!N26+'Avg Week Kangulumira-Kayunga'!N26</f>
        <v>0</v>
      </c>
      <c r="O26" s="15">
        <f t="shared" si="0"/>
        <v>34.999999999999993</v>
      </c>
      <c r="P26" s="15">
        <f t="shared" si="1"/>
        <v>84.857142857142861</v>
      </c>
      <c r="R26" s="1" t="s">
        <v>150</v>
      </c>
      <c r="S26" s="34">
        <f>SUM(C74:C77)</f>
        <v>5</v>
      </c>
      <c r="T26" s="34">
        <f t="shared" ref="T26:AF26" si="18">SUM(D74:D77)</f>
        <v>7.2</v>
      </c>
      <c r="U26" s="34">
        <f t="shared" si="18"/>
        <v>10.799999999999999</v>
      </c>
      <c r="V26" s="34">
        <f t="shared" si="18"/>
        <v>12</v>
      </c>
      <c r="W26" s="34">
        <f t="shared" si="18"/>
        <v>2</v>
      </c>
      <c r="X26" s="34">
        <f t="shared" si="18"/>
        <v>4</v>
      </c>
      <c r="Y26" s="34">
        <f t="shared" si="18"/>
        <v>10</v>
      </c>
      <c r="Z26" s="34">
        <f t="shared" si="18"/>
        <v>6</v>
      </c>
      <c r="AA26" s="34">
        <f t="shared" si="18"/>
        <v>8</v>
      </c>
      <c r="AB26" s="34">
        <f t="shared" si="18"/>
        <v>2</v>
      </c>
      <c r="AC26" s="34">
        <f t="shared" si="18"/>
        <v>14</v>
      </c>
      <c r="AD26" s="34">
        <f t="shared" si="18"/>
        <v>0</v>
      </c>
      <c r="AE26" s="31">
        <f t="shared" si="18"/>
        <v>67</v>
      </c>
      <c r="AF26" s="31">
        <f t="shared" si="18"/>
        <v>81</v>
      </c>
    </row>
    <row r="27" spans="2:32" ht="23.1" customHeight="1" x14ac:dyDescent="0.25">
      <c r="B27" s="23" t="s">
        <v>54</v>
      </c>
      <c r="C27" s="49">
        <f>'Avg Week Kayunga-Kangulumira'!C27+'Avg Week Kangulumira-Kayunga'!C27</f>
        <v>10.428571428571427</v>
      </c>
      <c r="D27" s="49">
        <f>'Avg Week Kayunga-Kangulumira'!D27+'Avg Week Kangulumira-Kayunga'!D27</f>
        <v>3.7714285714285718</v>
      </c>
      <c r="E27" s="49">
        <f>'Avg Week Kayunga-Kangulumira'!E27+'Avg Week Kangulumira-Kayunga'!E27</f>
        <v>5.6571428571428566</v>
      </c>
      <c r="F27" s="49">
        <f>'Avg Week Kayunga-Kangulumira'!F27+'Avg Week Kangulumira-Kayunga'!F27</f>
        <v>8.2857142857142847</v>
      </c>
      <c r="G27" s="49">
        <f>'Avg Week Kayunga-Kangulumira'!G27+'Avg Week Kangulumira-Kayunga'!G27</f>
        <v>0.42857142857142855</v>
      </c>
      <c r="H27" s="49">
        <f>'Avg Week Kayunga-Kangulumira'!H27+'Avg Week Kangulumira-Kayunga'!H27</f>
        <v>0.14285714285714285</v>
      </c>
      <c r="I27" s="49">
        <f>'Avg Week Kayunga-Kangulumira'!I27+'Avg Week Kangulumira-Kayunga'!I27</f>
        <v>4.8571428571428577</v>
      </c>
      <c r="J27" s="49">
        <f>'Avg Week Kayunga-Kangulumira'!J27+'Avg Week Kangulumira-Kayunga'!J27</f>
        <v>0.5714285714285714</v>
      </c>
      <c r="K27" s="49">
        <f>'Avg Week Kayunga-Kangulumira'!K27+'Avg Week Kangulumira-Kayunga'!K27</f>
        <v>1.2857142857142856</v>
      </c>
      <c r="L27" s="49">
        <f>'Avg Week Kayunga-Kangulumira'!L27+'Avg Week Kangulumira-Kayunga'!L27</f>
        <v>0</v>
      </c>
      <c r="M27" s="49">
        <f>'Avg Week Kayunga-Kangulumira'!M27+'Avg Week Kangulumira-Kayunga'!M27</f>
        <v>49.857142857142861</v>
      </c>
      <c r="N27" s="49">
        <f>'Avg Week Kayunga-Kangulumira'!N27+'Avg Week Kangulumira-Kayunga'!N27</f>
        <v>0</v>
      </c>
      <c r="O27" s="15">
        <f t="shared" si="0"/>
        <v>35.428571428571423</v>
      </c>
      <c r="P27" s="15">
        <f t="shared" si="1"/>
        <v>85.285714285714278</v>
      </c>
      <c r="R27" s="1" t="s">
        <v>151</v>
      </c>
      <c r="S27" s="34">
        <f>SUM(C78:C81)</f>
        <v>8</v>
      </c>
      <c r="T27" s="34">
        <f t="shared" ref="T27:AF27" si="19">SUM(D78:D81)</f>
        <v>5.6000000000000005</v>
      </c>
      <c r="U27" s="34">
        <f t="shared" si="19"/>
        <v>8.3999999999999986</v>
      </c>
      <c r="V27" s="34">
        <f t="shared" si="19"/>
        <v>14</v>
      </c>
      <c r="W27" s="34">
        <f t="shared" si="19"/>
        <v>2</v>
      </c>
      <c r="X27" s="34">
        <f t="shared" si="19"/>
        <v>4</v>
      </c>
      <c r="Y27" s="34">
        <f t="shared" si="19"/>
        <v>12</v>
      </c>
      <c r="Z27" s="34">
        <f t="shared" si="19"/>
        <v>6</v>
      </c>
      <c r="AA27" s="34">
        <f t="shared" si="19"/>
        <v>4</v>
      </c>
      <c r="AB27" s="34">
        <f t="shared" si="19"/>
        <v>4</v>
      </c>
      <c r="AC27" s="34">
        <f t="shared" si="19"/>
        <v>2</v>
      </c>
      <c r="AD27" s="34">
        <f t="shared" si="19"/>
        <v>0</v>
      </c>
      <c r="AE27" s="31">
        <f t="shared" si="19"/>
        <v>68</v>
      </c>
      <c r="AF27" s="31">
        <f t="shared" si="19"/>
        <v>70</v>
      </c>
    </row>
    <row r="28" spans="2:32" ht="23.1" customHeight="1" x14ac:dyDescent="0.25">
      <c r="B28" s="23" t="s">
        <v>55</v>
      </c>
      <c r="C28" s="49">
        <f>'Avg Week Kayunga-Kangulumira'!C28+'Avg Week Kangulumira-Kayunga'!C28</f>
        <v>10.142857142857142</v>
      </c>
      <c r="D28" s="49">
        <f>'Avg Week Kayunga-Kangulumira'!D28+'Avg Week Kangulumira-Kayunga'!D28</f>
        <v>4.8571428571428577</v>
      </c>
      <c r="E28" s="49">
        <f>'Avg Week Kayunga-Kangulumira'!E28+'Avg Week Kangulumira-Kayunga'!E28</f>
        <v>7.2857142857142865</v>
      </c>
      <c r="F28" s="49">
        <f>'Avg Week Kayunga-Kangulumira'!F28+'Avg Week Kangulumira-Kayunga'!F28</f>
        <v>8.571428571428573</v>
      </c>
      <c r="G28" s="49">
        <f>'Avg Week Kayunga-Kangulumira'!G28+'Avg Week Kangulumira-Kayunga'!G28</f>
        <v>0.71428571428571419</v>
      </c>
      <c r="H28" s="49">
        <f>'Avg Week Kayunga-Kangulumira'!H28+'Avg Week Kangulumira-Kayunga'!H28</f>
        <v>0.42857142857142855</v>
      </c>
      <c r="I28" s="49">
        <f>'Avg Week Kayunga-Kangulumira'!I28+'Avg Week Kangulumira-Kayunga'!I28</f>
        <v>8</v>
      </c>
      <c r="J28" s="49">
        <f>'Avg Week Kayunga-Kangulumira'!J28+'Avg Week Kangulumira-Kayunga'!J28</f>
        <v>0.71428571428571419</v>
      </c>
      <c r="K28" s="49">
        <f>'Avg Week Kayunga-Kangulumira'!K28+'Avg Week Kangulumira-Kayunga'!K28</f>
        <v>1</v>
      </c>
      <c r="L28" s="49">
        <f>'Avg Week Kayunga-Kangulumira'!L28+'Avg Week Kangulumira-Kayunga'!L28</f>
        <v>0.42857142857142855</v>
      </c>
      <c r="M28" s="49">
        <f>'Avg Week Kayunga-Kangulumira'!M28+'Avg Week Kangulumira-Kayunga'!M28</f>
        <v>55.428571428571431</v>
      </c>
      <c r="N28" s="49">
        <f>'Avg Week Kayunga-Kangulumira'!N28+'Avg Week Kangulumira-Kayunga'!N28</f>
        <v>0</v>
      </c>
      <c r="O28" s="15">
        <f t="shared" si="0"/>
        <v>42.142857142857146</v>
      </c>
      <c r="P28" s="15">
        <f t="shared" si="1"/>
        <v>97.571428571428584</v>
      </c>
      <c r="R28" s="1" t="s">
        <v>152</v>
      </c>
      <c r="S28" s="34">
        <f>SUM(C82:C85)</f>
        <v>8</v>
      </c>
      <c r="T28" s="34">
        <f t="shared" ref="T28:AF28" si="20">SUM(D82:D85)</f>
        <v>4.8</v>
      </c>
      <c r="U28" s="34">
        <f t="shared" si="20"/>
        <v>7.2</v>
      </c>
      <c r="V28" s="34">
        <f t="shared" si="20"/>
        <v>10</v>
      </c>
      <c r="W28" s="34">
        <f t="shared" si="20"/>
        <v>2</v>
      </c>
      <c r="X28" s="34">
        <f t="shared" si="20"/>
        <v>4</v>
      </c>
      <c r="Y28" s="34">
        <f t="shared" si="20"/>
        <v>4</v>
      </c>
      <c r="Z28" s="34">
        <f t="shared" si="20"/>
        <v>4</v>
      </c>
      <c r="AA28" s="34">
        <f t="shared" si="20"/>
        <v>2</v>
      </c>
      <c r="AB28" s="34">
        <f t="shared" si="20"/>
        <v>2</v>
      </c>
      <c r="AC28" s="34">
        <f t="shared" si="20"/>
        <v>0</v>
      </c>
      <c r="AD28" s="34">
        <f t="shared" si="20"/>
        <v>0</v>
      </c>
      <c r="AE28" s="31">
        <f t="shared" si="20"/>
        <v>48</v>
      </c>
      <c r="AF28" s="31">
        <f t="shared" si="20"/>
        <v>48</v>
      </c>
    </row>
    <row r="29" spans="2:32" ht="23.1" customHeight="1" x14ac:dyDescent="0.25">
      <c r="B29" s="23" t="s">
        <v>56</v>
      </c>
      <c r="C29" s="49">
        <f>'Avg Week Kayunga-Kangulumira'!C29+'Avg Week Kangulumira-Kayunga'!C29</f>
        <v>9.8571428571428577</v>
      </c>
      <c r="D29" s="49">
        <f>'Avg Week Kayunga-Kangulumira'!D29+'Avg Week Kangulumira-Kayunga'!D29</f>
        <v>3.0285714285714285</v>
      </c>
      <c r="E29" s="49">
        <f>'Avg Week Kayunga-Kangulumira'!E29+'Avg Week Kangulumira-Kayunga'!E29</f>
        <v>4.5428571428571427</v>
      </c>
      <c r="F29" s="49">
        <f>'Avg Week Kayunga-Kangulumira'!F29+'Avg Week Kangulumira-Kayunga'!F29</f>
        <v>9</v>
      </c>
      <c r="G29" s="49">
        <f>'Avg Week Kayunga-Kangulumira'!G29+'Avg Week Kangulumira-Kayunga'!G29</f>
        <v>0.71428571428571419</v>
      </c>
      <c r="H29" s="49">
        <f>'Avg Week Kayunga-Kangulumira'!H29+'Avg Week Kangulumira-Kayunga'!H29</f>
        <v>0</v>
      </c>
      <c r="I29" s="49">
        <f>'Avg Week Kayunga-Kangulumira'!I29+'Avg Week Kangulumira-Kayunga'!I29</f>
        <v>5.1428571428571423</v>
      </c>
      <c r="J29" s="49">
        <f>'Avg Week Kayunga-Kangulumira'!J29+'Avg Week Kangulumira-Kayunga'!J29</f>
        <v>0.42857142857142855</v>
      </c>
      <c r="K29" s="49">
        <f>'Avg Week Kayunga-Kangulumira'!K29+'Avg Week Kangulumira-Kayunga'!K29</f>
        <v>0.2857142857142857</v>
      </c>
      <c r="L29" s="49">
        <f>'Avg Week Kayunga-Kangulumira'!L29+'Avg Week Kangulumira-Kayunga'!L29</f>
        <v>0.71428571428571419</v>
      </c>
      <c r="M29" s="49">
        <f>'Avg Week Kayunga-Kangulumira'!M29+'Avg Week Kangulumira-Kayunga'!M29</f>
        <v>48.571428571428569</v>
      </c>
      <c r="N29" s="49">
        <f>'Avg Week Kayunga-Kangulumira'!N29+'Avg Week Kangulumira-Kayunga'!N29</f>
        <v>0.2857142857142857</v>
      </c>
      <c r="O29" s="15">
        <f t="shared" si="0"/>
        <v>34.000000000000007</v>
      </c>
      <c r="P29" s="15">
        <f t="shared" si="1"/>
        <v>82.571428571428584</v>
      </c>
      <c r="R29" s="1" t="s">
        <v>153</v>
      </c>
      <c r="S29" s="34">
        <f>SUM(C86:C89)</f>
        <v>2</v>
      </c>
      <c r="T29" s="34">
        <f t="shared" ref="T29:AF29" si="21">SUM(D86:D89)</f>
        <v>1.6</v>
      </c>
      <c r="U29" s="34">
        <f t="shared" si="21"/>
        <v>2.4</v>
      </c>
      <c r="V29" s="34">
        <f t="shared" si="21"/>
        <v>4</v>
      </c>
      <c r="W29" s="34">
        <f t="shared" si="21"/>
        <v>2</v>
      </c>
      <c r="X29" s="34">
        <f t="shared" si="21"/>
        <v>4</v>
      </c>
      <c r="Y29" s="34">
        <f t="shared" si="21"/>
        <v>0</v>
      </c>
      <c r="Z29" s="34">
        <f t="shared" si="21"/>
        <v>6</v>
      </c>
      <c r="AA29" s="34">
        <f t="shared" si="21"/>
        <v>4</v>
      </c>
      <c r="AB29" s="34">
        <f t="shared" si="21"/>
        <v>4</v>
      </c>
      <c r="AC29" s="34">
        <f t="shared" si="21"/>
        <v>0</v>
      </c>
      <c r="AD29" s="34">
        <f t="shared" si="21"/>
        <v>0</v>
      </c>
      <c r="AE29" s="31">
        <f t="shared" si="21"/>
        <v>30</v>
      </c>
      <c r="AF29" s="31">
        <f t="shared" si="21"/>
        <v>30</v>
      </c>
    </row>
    <row r="30" spans="2:32" ht="23.1" customHeight="1" x14ac:dyDescent="0.25">
      <c r="B30" s="23" t="s">
        <v>57</v>
      </c>
      <c r="C30" s="49">
        <f>'Avg Week Kayunga-Kangulumira'!C30+'Avg Week Kangulumira-Kayunga'!C30</f>
        <v>8.4285714285714288</v>
      </c>
      <c r="D30" s="49">
        <f>'Avg Week Kayunga-Kangulumira'!D30+'Avg Week Kangulumira-Kayunga'!D30</f>
        <v>3.5428571428571427</v>
      </c>
      <c r="E30" s="49">
        <f>'Avg Week Kayunga-Kangulumira'!E30+'Avg Week Kangulumira-Kayunga'!E30</f>
        <v>5.3142857142857141</v>
      </c>
      <c r="F30" s="49">
        <f>'Avg Week Kayunga-Kangulumira'!F30+'Avg Week Kangulumira-Kayunga'!F30</f>
        <v>9.7142857142857153</v>
      </c>
      <c r="G30" s="49">
        <f>'Avg Week Kayunga-Kangulumira'!G30+'Avg Week Kangulumira-Kayunga'!G30</f>
        <v>0.8571428571428571</v>
      </c>
      <c r="H30" s="49">
        <f>'Avg Week Kayunga-Kangulumira'!H30+'Avg Week Kangulumira-Kayunga'!H30</f>
        <v>0</v>
      </c>
      <c r="I30" s="49">
        <f>'Avg Week Kayunga-Kangulumira'!I30+'Avg Week Kangulumira-Kayunga'!I30</f>
        <v>7.2857142857142865</v>
      </c>
      <c r="J30" s="49">
        <f>'Avg Week Kayunga-Kangulumira'!J30+'Avg Week Kangulumira-Kayunga'!J30</f>
        <v>0.8571428571428571</v>
      </c>
      <c r="K30" s="49">
        <f>'Avg Week Kayunga-Kangulumira'!K30+'Avg Week Kangulumira-Kayunga'!K30</f>
        <v>0.42857142857142855</v>
      </c>
      <c r="L30" s="49">
        <f>'Avg Week Kayunga-Kangulumira'!L30+'Avg Week Kangulumira-Kayunga'!L30</f>
        <v>0.71428571428571419</v>
      </c>
      <c r="M30" s="49">
        <f>'Avg Week Kayunga-Kangulumira'!M30+'Avg Week Kangulumira-Kayunga'!M30</f>
        <v>49.285714285714292</v>
      </c>
      <c r="N30" s="49">
        <f>'Avg Week Kayunga-Kangulumira'!N30+'Avg Week Kangulumira-Kayunga'!N30</f>
        <v>0</v>
      </c>
      <c r="O30" s="15">
        <f t="shared" si="0"/>
        <v>37.142857142857146</v>
      </c>
      <c r="P30" s="15">
        <f t="shared" si="1"/>
        <v>86.428571428571445</v>
      </c>
      <c r="R30" s="1" t="s">
        <v>154</v>
      </c>
      <c r="S30" s="34">
        <f>SUM(C90:C93)</f>
        <v>0</v>
      </c>
      <c r="T30" s="34">
        <f t="shared" ref="T30:AF30" si="22">SUM(D90:D93)</f>
        <v>0.8</v>
      </c>
      <c r="U30" s="34">
        <f t="shared" si="22"/>
        <v>1.2</v>
      </c>
      <c r="V30" s="34">
        <f t="shared" si="22"/>
        <v>0</v>
      </c>
      <c r="W30" s="34">
        <f t="shared" si="22"/>
        <v>2</v>
      </c>
      <c r="X30" s="34">
        <f t="shared" si="22"/>
        <v>2</v>
      </c>
      <c r="Y30" s="34">
        <f t="shared" si="22"/>
        <v>0</v>
      </c>
      <c r="Z30" s="34">
        <f t="shared" si="22"/>
        <v>8</v>
      </c>
      <c r="AA30" s="34">
        <f t="shared" si="22"/>
        <v>6</v>
      </c>
      <c r="AB30" s="34">
        <f t="shared" si="22"/>
        <v>2</v>
      </c>
      <c r="AC30" s="34">
        <f t="shared" si="22"/>
        <v>0</v>
      </c>
      <c r="AD30" s="34">
        <f t="shared" si="22"/>
        <v>0</v>
      </c>
      <c r="AE30" s="31">
        <f t="shared" si="22"/>
        <v>22</v>
      </c>
      <c r="AF30" s="31">
        <f t="shared" si="22"/>
        <v>22</v>
      </c>
    </row>
    <row r="31" spans="2:32" ht="23.1" customHeight="1" x14ac:dyDescent="0.25">
      <c r="B31" s="24" t="s">
        <v>58</v>
      </c>
      <c r="C31" s="49">
        <f>'Avg Week Kayunga-Kangulumira'!C31+'Avg Week Kangulumira-Kayunga'!C31</f>
        <v>12.857142857142858</v>
      </c>
      <c r="D31" s="49">
        <f>'Avg Week Kayunga-Kangulumira'!D31+'Avg Week Kangulumira-Kayunga'!D31</f>
        <v>3.8285714285714287</v>
      </c>
      <c r="E31" s="49">
        <f>'Avg Week Kayunga-Kangulumira'!E31+'Avg Week Kangulumira-Kayunga'!E31</f>
        <v>5.742857142857142</v>
      </c>
      <c r="F31" s="49">
        <f>'Avg Week Kayunga-Kangulumira'!F31+'Avg Week Kangulumira-Kayunga'!F31</f>
        <v>9</v>
      </c>
      <c r="G31" s="49">
        <f>'Avg Week Kayunga-Kangulumira'!G31+'Avg Week Kangulumira-Kayunga'!G31</f>
        <v>2</v>
      </c>
      <c r="H31" s="49">
        <f>'Avg Week Kayunga-Kangulumira'!H31+'Avg Week Kangulumira-Kayunga'!H31</f>
        <v>0.42857142857142855</v>
      </c>
      <c r="I31" s="49">
        <f>'Avg Week Kayunga-Kangulumira'!I31+'Avg Week Kangulumira-Kayunga'!I31</f>
        <v>6.7142857142857135</v>
      </c>
      <c r="J31" s="49">
        <f>'Avg Week Kayunga-Kangulumira'!J31+'Avg Week Kangulumira-Kayunga'!J31</f>
        <v>0.42857142857142855</v>
      </c>
      <c r="K31" s="49">
        <f>'Avg Week Kayunga-Kangulumira'!K31+'Avg Week Kangulumira-Kayunga'!K31</f>
        <v>0.71428571428571419</v>
      </c>
      <c r="L31" s="49">
        <f>'Avg Week Kayunga-Kangulumira'!L31+'Avg Week Kangulumira-Kayunga'!L31</f>
        <v>0.2857142857142857</v>
      </c>
      <c r="M31" s="49">
        <f>'Avg Week Kayunga-Kangulumira'!M31+'Avg Week Kangulumira-Kayunga'!M31</f>
        <v>51.428571428571431</v>
      </c>
      <c r="N31" s="49">
        <f>'Avg Week Kayunga-Kangulumira'!N31+'Avg Week Kangulumira-Kayunga'!N31</f>
        <v>0</v>
      </c>
      <c r="O31" s="15">
        <f t="shared" si="0"/>
        <v>42.000000000000007</v>
      </c>
      <c r="P31" s="15">
        <f t="shared" si="1"/>
        <v>93.428571428571445</v>
      </c>
      <c r="R31" s="1" t="s">
        <v>155</v>
      </c>
      <c r="S31" s="34">
        <f>SUM(C94:C97)</f>
        <v>0</v>
      </c>
      <c r="T31" s="34">
        <f t="shared" ref="T31:AF31" si="23">SUM(D94:D97)</f>
        <v>3.2</v>
      </c>
      <c r="U31" s="34">
        <f t="shared" si="23"/>
        <v>4.8</v>
      </c>
      <c r="V31" s="34">
        <f t="shared" si="23"/>
        <v>0</v>
      </c>
      <c r="W31" s="34">
        <f t="shared" si="23"/>
        <v>2</v>
      </c>
      <c r="X31" s="34">
        <f t="shared" si="23"/>
        <v>6</v>
      </c>
      <c r="Y31" s="34">
        <f t="shared" si="23"/>
        <v>0</v>
      </c>
      <c r="Z31" s="34">
        <f t="shared" si="23"/>
        <v>4</v>
      </c>
      <c r="AA31" s="34">
        <f t="shared" si="23"/>
        <v>4</v>
      </c>
      <c r="AB31" s="34">
        <f t="shared" si="23"/>
        <v>4</v>
      </c>
      <c r="AC31" s="34">
        <f t="shared" si="23"/>
        <v>0</v>
      </c>
      <c r="AD31" s="34">
        <f t="shared" si="23"/>
        <v>0</v>
      </c>
      <c r="AE31" s="31">
        <f t="shared" si="23"/>
        <v>28</v>
      </c>
      <c r="AF31" s="31">
        <f t="shared" si="23"/>
        <v>28</v>
      </c>
    </row>
    <row r="32" spans="2:32" ht="23.1" customHeight="1" x14ac:dyDescent="0.25">
      <c r="B32" s="24" t="s">
        <v>59</v>
      </c>
      <c r="C32" s="49">
        <f>'Avg Week Kayunga-Kangulumira'!C32+'Avg Week Kangulumira-Kayunga'!C32</f>
        <v>10.857142857142858</v>
      </c>
      <c r="D32" s="49">
        <f>'Avg Week Kayunga-Kangulumira'!D32+'Avg Week Kangulumira-Kayunga'!D32</f>
        <v>3.5428571428571427</v>
      </c>
      <c r="E32" s="49">
        <f>'Avg Week Kayunga-Kangulumira'!E32+'Avg Week Kangulumira-Kayunga'!E32</f>
        <v>5.3142857142857141</v>
      </c>
      <c r="F32" s="49">
        <f>'Avg Week Kayunga-Kangulumira'!F32+'Avg Week Kangulumira-Kayunga'!F32</f>
        <v>8.4285714285714288</v>
      </c>
      <c r="G32" s="49">
        <f>'Avg Week Kayunga-Kangulumira'!G32+'Avg Week Kangulumira-Kayunga'!G32</f>
        <v>0.14285714285714285</v>
      </c>
      <c r="H32" s="49">
        <f>'Avg Week Kayunga-Kangulumira'!H32+'Avg Week Kangulumira-Kayunga'!H32</f>
        <v>0</v>
      </c>
      <c r="I32" s="49">
        <f>'Avg Week Kayunga-Kangulumira'!I32+'Avg Week Kangulumira-Kayunga'!I32</f>
        <v>7.5714285714285712</v>
      </c>
      <c r="J32" s="49">
        <f>'Avg Week Kayunga-Kangulumira'!J32+'Avg Week Kangulumira-Kayunga'!J32</f>
        <v>0.14285714285714285</v>
      </c>
      <c r="K32" s="49">
        <f>'Avg Week Kayunga-Kangulumira'!K32+'Avg Week Kangulumira-Kayunga'!K32</f>
        <v>0.8571428571428571</v>
      </c>
      <c r="L32" s="49">
        <f>'Avg Week Kayunga-Kangulumira'!L32+'Avg Week Kangulumira-Kayunga'!L32</f>
        <v>0</v>
      </c>
      <c r="M32" s="49">
        <f>'Avg Week Kayunga-Kangulumira'!M32+'Avg Week Kangulumira-Kayunga'!M32</f>
        <v>54.285714285714285</v>
      </c>
      <c r="N32" s="49">
        <f>'Avg Week Kayunga-Kangulumira'!N32+'Avg Week Kangulumira-Kayunga'!N32</f>
        <v>0</v>
      </c>
      <c r="O32" s="15">
        <f t="shared" si="0"/>
        <v>36.857142857142861</v>
      </c>
      <c r="P32" s="15">
        <f t="shared" si="1"/>
        <v>91.142857142857139</v>
      </c>
      <c r="R32" s="1" t="s">
        <v>156</v>
      </c>
      <c r="S32" s="34">
        <f>SUM(C98:C101)</f>
        <v>4</v>
      </c>
      <c r="T32" s="34">
        <f t="shared" ref="T32:AF32" si="24">SUM(D98:D101)</f>
        <v>3.2</v>
      </c>
      <c r="U32" s="34">
        <f t="shared" si="24"/>
        <v>4.8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6</v>
      </c>
      <c r="AA32" s="34">
        <f t="shared" si="24"/>
        <v>0</v>
      </c>
      <c r="AB32" s="34">
        <f t="shared" si="24"/>
        <v>2</v>
      </c>
      <c r="AC32" s="34">
        <f t="shared" si="24"/>
        <v>0</v>
      </c>
      <c r="AD32" s="34">
        <f t="shared" si="24"/>
        <v>0</v>
      </c>
      <c r="AE32" s="31">
        <f t="shared" si="24"/>
        <v>20</v>
      </c>
      <c r="AF32" s="31">
        <f t="shared" si="24"/>
        <v>20</v>
      </c>
    </row>
    <row r="33" spans="2:32" ht="23.1" customHeight="1" x14ac:dyDescent="0.25">
      <c r="B33" s="23" t="s">
        <v>60</v>
      </c>
      <c r="C33" s="49">
        <f>'Avg Week Kayunga-Kangulumira'!C33+'Avg Week Kangulumira-Kayunga'!C33</f>
        <v>13</v>
      </c>
      <c r="D33" s="49">
        <f>'Avg Week Kayunga-Kangulumira'!D33+'Avg Week Kangulumira-Kayunga'!D33</f>
        <v>3.9428571428571431</v>
      </c>
      <c r="E33" s="49">
        <f>'Avg Week Kayunga-Kangulumira'!E33+'Avg Week Kangulumira-Kayunga'!E33</f>
        <v>5.9142857142857137</v>
      </c>
      <c r="F33" s="49">
        <f>'Avg Week Kayunga-Kangulumira'!F33+'Avg Week Kangulumira-Kayunga'!F33</f>
        <v>7.2857142857142856</v>
      </c>
      <c r="G33" s="49">
        <f>'Avg Week Kayunga-Kangulumira'!G33+'Avg Week Kangulumira-Kayunga'!G33</f>
        <v>0.5714285714285714</v>
      </c>
      <c r="H33" s="49">
        <f>'Avg Week Kayunga-Kangulumira'!H33+'Avg Week Kangulumira-Kayunga'!H33</f>
        <v>0</v>
      </c>
      <c r="I33" s="49">
        <f>'Avg Week Kayunga-Kangulumira'!I33+'Avg Week Kangulumira-Kayunga'!I33</f>
        <v>6.2857142857142865</v>
      </c>
      <c r="J33" s="49">
        <f>'Avg Week Kayunga-Kangulumira'!J33+'Avg Week Kangulumira-Kayunga'!J33</f>
        <v>0.5714285714285714</v>
      </c>
      <c r="K33" s="49">
        <f>'Avg Week Kayunga-Kangulumira'!K33+'Avg Week Kangulumira-Kayunga'!K33</f>
        <v>0.71428571428571419</v>
      </c>
      <c r="L33" s="49">
        <f>'Avg Week Kayunga-Kangulumira'!L33+'Avg Week Kangulumira-Kayunga'!L33</f>
        <v>0.42857142857142855</v>
      </c>
      <c r="M33" s="49">
        <f>'Avg Week Kayunga-Kangulumira'!M33+'Avg Week Kangulumira-Kayunga'!M33</f>
        <v>53.285714285714285</v>
      </c>
      <c r="N33" s="49">
        <f>'Avg Week Kayunga-Kangulumira'!N33+'Avg Week Kangulumira-Kayunga'!N33</f>
        <v>0</v>
      </c>
      <c r="O33" s="15">
        <f t="shared" si="0"/>
        <v>38.714285714285715</v>
      </c>
      <c r="P33" s="15">
        <f t="shared" si="1"/>
        <v>92</v>
      </c>
      <c r="R33" s="1" t="s">
        <v>157</v>
      </c>
      <c r="S33" s="34">
        <f>SUM(C102:C105)</f>
        <v>5</v>
      </c>
      <c r="T33" s="34">
        <f t="shared" ref="T33:AF33" si="25">SUM(D102:D105)</f>
        <v>3.6000000000000005</v>
      </c>
      <c r="U33" s="34">
        <f t="shared" si="25"/>
        <v>5.3999999999999995</v>
      </c>
      <c r="V33" s="34">
        <f t="shared" si="25"/>
        <v>4</v>
      </c>
      <c r="W33" s="34">
        <f t="shared" si="25"/>
        <v>2</v>
      </c>
      <c r="X33" s="34">
        <f t="shared" si="25"/>
        <v>4</v>
      </c>
      <c r="Y33" s="34">
        <f t="shared" si="25"/>
        <v>6</v>
      </c>
      <c r="Z33" s="34">
        <f t="shared" si="25"/>
        <v>8</v>
      </c>
      <c r="AA33" s="34">
        <f t="shared" si="25"/>
        <v>8</v>
      </c>
      <c r="AB33" s="34">
        <f t="shared" si="25"/>
        <v>2</v>
      </c>
      <c r="AC33" s="34">
        <f t="shared" si="25"/>
        <v>8</v>
      </c>
      <c r="AD33" s="34">
        <f t="shared" si="25"/>
        <v>0</v>
      </c>
      <c r="AE33" s="31">
        <f t="shared" si="25"/>
        <v>48</v>
      </c>
      <c r="AF33" s="31">
        <f t="shared" si="25"/>
        <v>56</v>
      </c>
    </row>
    <row r="34" spans="2:32" ht="23.1" customHeight="1" x14ac:dyDescent="0.25">
      <c r="B34" s="24" t="s">
        <v>61</v>
      </c>
      <c r="C34" s="49">
        <f>'Avg Week Kayunga-Kangulumira'!C34+'Avg Week Kangulumira-Kayunga'!C34</f>
        <v>8.4285714285714288</v>
      </c>
      <c r="D34" s="49">
        <f>'Avg Week Kayunga-Kangulumira'!D34+'Avg Week Kangulumira-Kayunga'!D34</f>
        <v>2.9142857142857146</v>
      </c>
      <c r="E34" s="49">
        <f>'Avg Week Kayunga-Kangulumira'!E34+'Avg Week Kangulumira-Kayunga'!E34</f>
        <v>4.371428571428571</v>
      </c>
      <c r="F34" s="49">
        <f>'Avg Week Kayunga-Kangulumira'!F34+'Avg Week Kangulumira-Kayunga'!F34</f>
        <v>9.571428571428573</v>
      </c>
      <c r="G34" s="49">
        <f>'Avg Week Kayunga-Kangulumira'!G34+'Avg Week Kangulumira-Kayunga'!G34</f>
        <v>0.5714285714285714</v>
      </c>
      <c r="H34" s="49">
        <f>'Avg Week Kayunga-Kangulumira'!H34+'Avg Week Kangulumira-Kayunga'!H34</f>
        <v>0</v>
      </c>
      <c r="I34" s="49">
        <f>'Avg Week Kayunga-Kangulumira'!I34+'Avg Week Kangulumira-Kayunga'!I34</f>
        <v>7.1428571428571423</v>
      </c>
      <c r="J34" s="49">
        <f>'Avg Week Kayunga-Kangulumira'!J34+'Avg Week Kangulumira-Kayunga'!J34</f>
        <v>0.5714285714285714</v>
      </c>
      <c r="K34" s="49">
        <f>'Avg Week Kayunga-Kangulumira'!K34+'Avg Week Kangulumira-Kayunga'!K34</f>
        <v>1.2857142857142856</v>
      </c>
      <c r="L34" s="49">
        <f>'Avg Week Kayunga-Kangulumira'!L34+'Avg Week Kangulumira-Kayunga'!L34</f>
        <v>0.71428571428571419</v>
      </c>
      <c r="M34" s="49">
        <f>'Avg Week Kayunga-Kangulumira'!M34+'Avg Week Kangulumira-Kayunga'!M34</f>
        <v>54.142857142857139</v>
      </c>
      <c r="N34" s="49">
        <f>'Avg Week Kayunga-Kangulumira'!N34+'Avg Week Kangulumira-Kayunga'!N34</f>
        <v>0</v>
      </c>
      <c r="O34" s="15">
        <f t="shared" si="0"/>
        <v>35.571428571428569</v>
      </c>
      <c r="P34" s="15">
        <f t="shared" si="1"/>
        <v>89.714285714285708</v>
      </c>
      <c r="R34" s="51" t="s">
        <v>90</v>
      </c>
      <c r="S34" s="52">
        <f t="shared" ref="S34:AF34" si="26">MAX(S10:S12)</f>
        <v>36.857142857142854</v>
      </c>
      <c r="T34" s="52">
        <f t="shared" si="26"/>
        <v>13.200000000000001</v>
      </c>
      <c r="U34" s="52">
        <f t="shared" si="26"/>
        <v>19.799999999999997</v>
      </c>
      <c r="V34" s="52">
        <f t="shared" si="26"/>
        <v>43.714285714285715</v>
      </c>
      <c r="W34" s="52">
        <f t="shared" si="26"/>
        <v>2.2857142857142856</v>
      </c>
      <c r="X34" s="52">
        <f t="shared" si="26"/>
        <v>0.5714285714285714</v>
      </c>
      <c r="Y34" s="52">
        <f t="shared" si="26"/>
        <v>15.285714285714285</v>
      </c>
      <c r="Z34" s="52">
        <f t="shared" si="26"/>
        <v>2.4285714285714284</v>
      </c>
      <c r="AA34" s="52">
        <f t="shared" si="26"/>
        <v>4.8571428571428577</v>
      </c>
      <c r="AB34" s="52">
        <f t="shared" si="26"/>
        <v>2.1428571428571428</v>
      </c>
      <c r="AC34" s="52">
        <f t="shared" si="26"/>
        <v>219.71428571428572</v>
      </c>
      <c r="AD34" s="52">
        <f t="shared" si="26"/>
        <v>0.2857142857142857</v>
      </c>
      <c r="AE34" s="40">
        <f t="shared" si="26"/>
        <v>124.71428571428571</v>
      </c>
      <c r="AF34" s="40">
        <f t="shared" si="26"/>
        <v>332.28571428571433</v>
      </c>
    </row>
    <row r="35" spans="2:32" ht="23.1" customHeight="1" x14ac:dyDescent="0.25">
      <c r="B35" s="24" t="s">
        <v>62</v>
      </c>
      <c r="C35" s="49">
        <f>'Avg Week Kayunga-Kangulumira'!C35+'Avg Week Kangulumira-Kayunga'!C35</f>
        <v>9.7142857142857153</v>
      </c>
      <c r="D35" s="49">
        <f>'Avg Week Kayunga-Kangulumira'!D35+'Avg Week Kangulumira-Kayunga'!D35</f>
        <v>3.3714285714285719</v>
      </c>
      <c r="E35" s="49">
        <f>'Avg Week Kayunga-Kangulumira'!E35+'Avg Week Kangulumira-Kayunga'!E35</f>
        <v>5.0571428571428569</v>
      </c>
      <c r="F35" s="49">
        <f>'Avg Week Kayunga-Kangulumira'!F35+'Avg Week Kangulumira-Kayunga'!F35</f>
        <v>9.1428571428571423</v>
      </c>
      <c r="G35" s="49">
        <f>'Avg Week Kayunga-Kangulumira'!G35+'Avg Week Kangulumira-Kayunga'!G35</f>
        <v>0.42857142857142855</v>
      </c>
      <c r="H35" s="49">
        <f>'Avg Week Kayunga-Kangulumira'!H35+'Avg Week Kangulumira-Kayunga'!H35</f>
        <v>0</v>
      </c>
      <c r="I35" s="49">
        <f>'Avg Week Kayunga-Kangulumira'!I35+'Avg Week Kangulumira-Kayunga'!I35</f>
        <v>5.8571428571428577</v>
      </c>
      <c r="J35" s="49">
        <f>'Avg Week Kayunga-Kangulumira'!J35+'Avg Week Kangulumira-Kayunga'!J35</f>
        <v>0.42857142857142855</v>
      </c>
      <c r="K35" s="49">
        <f>'Avg Week Kayunga-Kangulumira'!K35+'Avg Week Kangulumira-Kayunga'!K35</f>
        <v>0.71428571428571419</v>
      </c>
      <c r="L35" s="49">
        <f>'Avg Week Kayunga-Kangulumira'!L35+'Avg Week Kangulumira-Kayunga'!L35</f>
        <v>0.42857142857142855</v>
      </c>
      <c r="M35" s="49">
        <f>'Avg Week Kayunga-Kangulumira'!M35+'Avg Week Kangulumira-Kayunga'!M35</f>
        <v>48.714285714285715</v>
      </c>
      <c r="N35" s="49">
        <f>'Avg Week Kayunga-Kangulumira'!N35+'Avg Week Kangulumira-Kayunga'!N35</f>
        <v>0</v>
      </c>
      <c r="O35" s="15">
        <f t="shared" si="0"/>
        <v>35.142857142857146</v>
      </c>
      <c r="P35" s="15">
        <f t="shared" si="1"/>
        <v>83.857142857142861</v>
      </c>
      <c r="R35" s="51" t="s">
        <v>91</v>
      </c>
      <c r="S35" s="52">
        <f t="shared" ref="S35:AF35" si="27">MAX(S13:S18)</f>
        <v>47.571428571428569</v>
      </c>
      <c r="T35" s="52">
        <f t="shared" si="27"/>
        <v>19.314285714285717</v>
      </c>
      <c r="U35" s="52">
        <f t="shared" si="27"/>
        <v>28.971428571428572</v>
      </c>
      <c r="V35" s="52">
        <f t="shared" si="27"/>
        <v>34.857142857142861</v>
      </c>
      <c r="W35" s="52">
        <f t="shared" si="27"/>
        <v>3.5714285714285712</v>
      </c>
      <c r="X35" s="52">
        <f t="shared" si="27"/>
        <v>0.71428571428571419</v>
      </c>
      <c r="Y35" s="52">
        <f t="shared" si="27"/>
        <v>28.285714285714285</v>
      </c>
      <c r="Z35" s="52">
        <f t="shared" si="27"/>
        <v>2.714285714285714</v>
      </c>
      <c r="AA35" s="52">
        <f t="shared" si="27"/>
        <v>4.2857142857142856</v>
      </c>
      <c r="AB35" s="52">
        <f t="shared" si="27"/>
        <v>3.2857142857142856</v>
      </c>
      <c r="AC35" s="52">
        <f t="shared" si="27"/>
        <v>208.28571428571428</v>
      </c>
      <c r="AD35" s="52">
        <f t="shared" si="27"/>
        <v>0.2857142857142857</v>
      </c>
      <c r="AE35" s="40">
        <f t="shared" si="27"/>
        <v>164.85714285714286</v>
      </c>
      <c r="AF35" s="40">
        <f t="shared" si="27"/>
        <v>363</v>
      </c>
    </row>
    <row r="36" spans="2:32" ht="23.1" customHeight="1" x14ac:dyDescent="0.25">
      <c r="B36" s="24" t="s">
        <v>63</v>
      </c>
      <c r="C36" s="49">
        <f>'Avg Week Kayunga-Kangulumira'!C36+'Avg Week Kangulumira-Kayunga'!C36</f>
        <v>10.428571428571429</v>
      </c>
      <c r="D36" s="49">
        <f>'Avg Week Kayunga-Kangulumira'!D36+'Avg Week Kangulumira-Kayunga'!D36</f>
        <v>3.4285714285714288</v>
      </c>
      <c r="E36" s="49">
        <f>'Avg Week Kayunga-Kangulumira'!E36+'Avg Week Kangulumira-Kayunga'!E36</f>
        <v>5.1428571428571423</v>
      </c>
      <c r="F36" s="49">
        <f>'Avg Week Kayunga-Kangulumira'!F36+'Avg Week Kangulumira-Kayunga'!F36</f>
        <v>7.5714285714285712</v>
      </c>
      <c r="G36" s="49">
        <f>'Avg Week Kayunga-Kangulumira'!G36+'Avg Week Kangulumira-Kayunga'!G36</f>
        <v>0.2857142857142857</v>
      </c>
      <c r="H36" s="49">
        <f>'Avg Week Kayunga-Kangulumira'!H36+'Avg Week Kangulumira-Kayunga'!H36</f>
        <v>0</v>
      </c>
      <c r="I36" s="49">
        <f>'Avg Week Kayunga-Kangulumira'!I36+'Avg Week Kangulumira-Kayunga'!I36</f>
        <v>6.1428571428571423</v>
      </c>
      <c r="J36" s="49">
        <f>'Avg Week Kayunga-Kangulumira'!J36+'Avg Week Kangulumira-Kayunga'!J36</f>
        <v>0.5714285714285714</v>
      </c>
      <c r="K36" s="49">
        <f>'Avg Week Kayunga-Kangulumira'!K36+'Avg Week Kangulumira-Kayunga'!K36</f>
        <v>0.8571428571428571</v>
      </c>
      <c r="L36" s="49">
        <f>'Avg Week Kayunga-Kangulumira'!L36+'Avg Week Kangulumira-Kayunga'!L36</f>
        <v>0.2857142857142857</v>
      </c>
      <c r="M36" s="49">
        <f>'Avg Week Kayunga-Kangulumira'!M36+'Avg Week Kangulumira-Kayunga'!M36</f>
        <v>45.571428571428569</v>
      </c>
      <c r="N36" s="49">
        <f>'Avg Week Kayunga-Kangulumira'!N36+'Avg Week Kangulumira-Kayunga'!N36</f>
        <v>0</v>
      </c>
      <c r="O36" s="15">
        <f t="shared" si="0"/>
        <v>34.714285714285708</v>
      </c>
      <c r="P36" s="15">
        <f t="shared" si="1"/>
        <v>80.285714285714278</v>
      </c>
      <c r="R36" s="51" t="s">
        <v>92</v>
      </c>
      <c r="S36" s="52">
        <f t="shared" ref="S36:AF36" si="28">MAX(S19:S21)</f>
        <v>49.857142857142861</v>
      </c>
      <c r="T36" s="52">
        <f t="shared" si="28"/>
        <v>22.68571428571429</v>
      </c>
      <c r="U36" s="52">
        <f t="shared" si="28"/>
        <v>34.028571428571432</v>
      </c>
      <c r="V36" s="52">
        <f t="shared" si="28"/>
        <v>39</v>
      </c>
      <c r="W36" s="52">
        <f t="shared" si="28"/>
        <v>3.714285714285714</v>
      </c>
      <c r="X36" s="52">
        <f t="shared" si="28"/>
        <v>3.1428571428571432</v>
      </c>
      <c r="Y36" s="52">
        <f t="shared" si="28"/>
        <v>33.714285714285708</v>
      </c>
      <c r="Z36" s="52">
        <f t="shared" si="28"/>
        <v>4.2857142857142856</v>
      </c>
      <c r="AA36" s="52">
        <f t="shared" si="28"/>
        <v>3.8571428571428572</v>
      </c>
      <c r="AB36" s="52">
        <f t="shared" si="28"/>
        <v>3.1428571428571428</v>
      </c>
      <c r="AC36" s="52">
        <f t="shared" si="28"/>
        <v>242.85714285714283</v>
      </c>
      <c r="AD36" s="52">
        <f t="shared" si="28"/>
        <v>0.2857142857142857</v>
      </c>
      <c r="AE36" s="40">
        <f t="shared" si="28"/>
        <v>192.57142857142858</v>
      </c>
      <c r="AF36" s="40">
        <f t="shared" si="28"/>
        <v>435.42857142857144</v>
      </c>
    </row>
    <row r="37" spans="2:32" ht="23.1" customHeight="1" x14ac:dyDescent="0.25">
      <c r="B37" s="23" t="s">
        <v>64</v>
      </c>
      <c r="C37" s="49">
        <f>'Avg Week Kayunga-Kangulumira'!C37+'Avg Week Kangulumira-Kayunga'!C37</f>
        <v>10.428571428571429</v>
      </c>
      <c r="D37" s="49">
        <f>'Avg Week Kayunga-Kangulumira'!D37+'Avg Week Kangulumira-Kayunga'!D37</f>
        <v>3.7714285714285714</v>
      </c>
      <c r="E37" s="49">
        <f>'Avg Week Kayunga-Kangulumira'!E37+'Avg Week Kangulumira-Kayunga'!E37</f>
        <v>5.6571428571428566</v>
      </c>
      <c r="F37" s="49">
        <f>'Avg Week Kayunga-Kangulumira'!F37+'Avg Week Kangulumira-Kayunga'!F37</f>
        <v>7</v>
      </c>
      <c r="G37" s="49">
        <f>'Avg Week Kayunga-Kangulumira'!G37+'Avg Week Kangulumira-Kayunga'!G37</f>
        <v>0.71428571428571419</v>
      </c>
      <c r="H37" s="49">
        <f>'Avg Week Kayunga-Kangulumira'!H37+'Avg Week Kangulumira-Kayunga'!H37</f>
        <v>0.5714285714285714</v>
      </c>
      <c r="I37" s="49">
        <f>'Avg Week Kayunga-Kangulumira'!I37+'Avg Week Kangulumira-Kayunga'!I37</f>
        <v>7</v>
      </c>
      <c r="J37" s="49">
        <f>'Avg Week Kayunga-Kangulumira'!J37+'Avg Week Kangulumira-Kayunga'!J37</f>
        <v>0.71428571428571419</v>
      </c>
      <c r="K37" s="49">
        <f>'Avg Week Kayunga-Kangulumira'!K37+'Avg Week Kangulumira-Kayunga'!K37</f>
        <v>0.14285714285714285</v>
      </c>
      <c r="L37" s="49">
        <f>'Avg Week Kayunga-Kangulumira'!L37+'Avg Week Kangulumira-Kayunga'!L37</f>
        <v>0.42857142857142855</v>
      </c>
      <c r="M37" s="49">
        <f>'Avg Week Kayunga-Kangulumira'!M37+'Avg Week Kangulumira-Kayunga'!M37</f>
        <v>51.714285714285715</v>
      </c>
      <c r="N37" s="49">
        <f>'Avg Week Kayunga-Kangulumira'!N37+'Avg Week Kangulumira-Kayunga'!N37</f>
        <v>0</v>
      </c>
      <c r="O37" s="15">
        <f t="shared" si="0"/>
        <v>36.428571428571431</v>
      </c>
      <c r="P37" s="15">
        <f t="shared" si="1"/>
        <v>88.142857142857139</v>
      </c>
      <c r="R37" s="37" t="s">
        <v>85</v>
      </c>
      <c r="S37" s="53">
        <f t="shared" ref="S37:AF37" si="29">SUM(S10:S12)</f>
        <v>92.142857142857139</v>
      </c>
      <c r="T37" s="54">
        <f t="shared" si="29"/>
        <v>34.51428571428572</v>
      </c>
      <c r="U37" s="54">
        <f t="shared" si="29"/>
        <v>51.771428571428572</v>
      </c>
      <c r="V37" s="54">
        <f t="shared" si="29"/>
        <v>103.57142857142858</v>
      </c>
      <c r="W37" s="54">
        <f t="shared" si="29"/>
        <v>4.2857142857142856</v>
      </c>
      <c r="X37" s="54">
        <f t="shared" si="29"/>
        <v>1.2857142857142856</v>
      </c>
      <c r="Y37" s="54">
        <f t="shared" si="29"/>
        <v>41.571428571428569</v>
      </c>
      <c r="Z37" s="54">
        <f t="shared" si="29"/>
        <v>6.4285714285714279</v>
      </c>
      <c r="AA37" s="54">
        <f t="shared" si="29"/>
        <v>11</v>
      </c>
      <c r="AB37" s="54">
        <f t="shared" si="29"/>
        <v>5</v>
      </c>
      <c r="AC37" s="54">
        <f t="shared" si="29"/>
        <v>609.14285714285711</v>
      </c>
      <c r="AD37" s="54">
        <f t="shared" si="29"/>
        <v>0.42857142857142855</v>
      </c>
      <c r="AE37" s="55">
        <f t="shared" si="29"/>
        <v>351.99999999999994</v>
      </c>
      <c r="AF37" s="55">
        <f t="shared" si="29"/>
        <v>961.14285714285722</v>
      </c>
    </row>
    <row r="38" spans="2:32" ht="23.1" customHeight="1" x14ac:dyDescent="0.25">
      <c r="B38" s="24" t="s">
        <v>65</v>
      </c>
      <c r="C38" s="49">
        <f>'Avg Week Kayunga-Kangulumira'!C38+'Avg Week Kangulumira-Kayunga'!C38</f>
        <v>11.285714285714285</v>
      </c>
      <c r="D38" s="49">
        <f>'Avg Week Kayunga-Kangulumira'!D38+'Avg Week Kangulumira-Kayunga'!D38</f>
        <v>3.9428571428571431</v>
      </c>
      <c r="E38" s="49">
        <f>'Avg Week Kayunga-Kangulumira'!E38+'Avg Week Kangulumira-Kayunga'!E38</f>
        <v>5.9142857142857146</v>
      </c>
      <c r="F38" s="49">
        <f>'Avg Week Kayunga-Kangulumira'!F38+'Avg Week Kangulumira-Kayunga'!F38</f>
        <v>5.8571428571428577</v>
      </c>
      <c r="G38" s="49">
        <f>'Avg Week Kayunga-Kangulumira'!G38+'Avg Week Kangulumira-Kayunga'!G38</f>
        <v>0.5714285714285714</v>
      </c>
      <c r="H38" s="49">
        <f>'Avg Week Kayunga-Kangulumira'!H38+'Avg Week Kangulumira-Kayunga'!H38</f>
        <v>0.5714285714285714</v>
      </c>
      <c r="I38" s="49">
        <f>'Avg Week Kayunga-Kangulumira'!I38+'Avg Week Kangulumira-Kayunga'!I38</f>
        <v>6.2857142857142856</v>
      </c>
      <c r="J38" s="49">
        <f>'Avg Week Kayunga-Kangulumira'!J38+'Avg Week Kangulumira-Kayunga'!J38</f>
        <v>0.14285714285714285</v>
      </c>
      <c r="K38" s="49">
        <f>'Avg Week Kayunga-Kangulumira'!K38+'Avg Week Kangulumira-Kayunga'!K38</f>
        <v>0.71428571428571419</v>
      </c>
      <c r="L38" s="49">
        <f>'Avg Week Kayunga-Kangulumira'!L38+'Avg Week Kangulumira-Kayunga'!L38</f>
        <v>0.71428571428571419</v>
      </c>
      <c r="M38" s="49">
        <f>'Avg Week Kayunga-Kangulumira'!M38+'Avg Week Kangulumira-Kayunga'!M38</f>
        <v>46.428571428571431</v>
      </c>
      <c r="N38" s="49">
        <f>'Avg Week Kayunga-Kangulumira'!N38+'Avg Week Kangulumira-Kayunga'!N38</f>
        <v>0</v>
      </c>
      <c r="O38" s="15">
        <f t="shared" si="0"/>
        <v>36.000000000000007</v>
      </c>
      <c r="P38" s="15">
        <f t="shared" si="1"/>
        <v>82.428571428571445</v>
      </c>
      <c r="R38" s="28" t="s">
        <v>86</v>
      </c>
      <c r="S38" s="54">
        <f t="shared" ref="S38:AF38" si="30">SUM(S13:S18)</f>
        <v>254.14285714285717</v>
      </c>
      <c r="T38" s="54">
        <f t="shared" si="30"/>
        <v>93.771428571428586</v>
      </c>
      <c r="U38" s="54">
        <f t="shared" si="30"/>
        <v>140.65714285714284</v>
      </c>
      <c r="V38" s="54">
        <f t="shared" si="30"/>
        <v>195.14285714285717</v>
      </c>
      <c r="W38" s="54">
        <f t="shared" si="30"/>
        <v>16</v>
      </c>
      <c r="X38" s="54">
        <f t="shared" si="30"/>
        <v>3.7142857142857135</v>
      </c>
      <c r="Y38" s="54">
        <f t="shared" si="30"/>
        <v>155.14285714285714</v>
      </c>
      <c r="Z38" s="54">
        <f t="shared" si="30"/>
        <v>12.999999999999998</v>
      </c>
      <c r="AA38" s="54">
        <f t="shared" si="30"/>
        <v>20.142857142857142</v>
      </c>
      <c r="AB38" s="54">
        <f t="shared" si="30"/>
        <v>13.285714285714285</v>
      </c>
      <c r="AC38" s="54">
        <f t="shared" si="30"/>
        <v>1188.8571428571429</v>
      </c>
      <c r="AD38" s="54">
        <f t="shared" si="30"/>
        <v>0.71428571428571419</v>
      </c>
      <c r="AE38" s="55">
        <f t="shared" si="30"/>
        <v>905.71428571428578</v>
      </c>
      <c r="AF38" s="55">
        <f t="shared" si="30"/>
        <v>2094.5714285714289</v>
      </c>
    </row>
    <row r="39" spans="2:32" ht="23.1" customHeight="1" x14ac:dyDescent="0.25">
      <c r="B39" s="24" t="s">
        <v>66</v>
      </c>
      <c r="C39" s="49">
        <f>'Avg Week Kayunga-Kangulumira'!C39+'Avg Week Kangulumira-Kayunga'!C39</f>
        <v>10.571428571428571</v>
      </c>
      <c r="D39" s="49">
        <f>'Avg Week Kayunga-Kangulumira'!D39+'Avg Week Kangulumira-Kayunga'!D39</f>
        <v>4.2857142857142856</v>
      </c>
      <c r="E39" s="49">
        <f>'Avg Week Kayunga-Kangulumira'!E39+'Avg Week Kangulumira-Kayunga'!E39</f>
        <v>6.4285714285714288</v>
      </c>
      <c r="F39" s="49">
        <f>'Avg Week Kayunga-Kangulumira'!F39+'Avg Week Kangulumira-Kayunga'!F39</f>
        <v>7.8571428571428577</v>
      </c>
      <c r="G39" s="49">
        <f>'Avg Week Kayunga-Kangulumira'!G39+'Avg Week Kangulumira-Kayunga'!G39</f>
        <v>0.85714285714285721</v>
      </c>
      <c r="H39" s="49">
        <f>'Avg Week Kayunga-Kangulumira'!H39+'Avg Week Kangulumira-Kayunga'!H39</f>
        <v>0</v>
      </c>
      <c r="I39" s="49">
        <f>'Avg Week Kayunga-Kangulumira'!I39+'Avg Week Kangulumira-Kayunga'!I39</f>
        <v>5.4285714285714288</v>
      </c>
      <c r="J39" s="49">
        <f>'Avg Week Kayunga-Kangulumira'!J39+'Avg Week Kangulumira-Kayunga'!J39</f>
        <v>0.8571428571428571</v>
      </c>
      <c r="K39" s="49">
        <f>'Avg Week Kayunga-Kangulumira'!K39+'Avg Week Kangulumira-Kayunga'!K39</f>
        <v>1</v>
      </c>
      <c r="L39" s="49">
        <f>'Avg Week Kayunga-Kangulumira'!L39+'Avg Week Kangulumira-Kayunga'!L39</f>
        <v>0.5714285714285714</v>
      </c>
      <c r="M39" s="49">
        <f>'Avg Week Kayunga-Kangulumira'!M39+'Avg Week Kangulumira-Kayunga'!M39</f>
        <v>48.285714285714285</v>
      </c>
      <c r="N39" s="49">
        <f>'Avg Week Kayunga-Kangulumira'!N39+'Avg Week Kangulumira-Kayunga'!N39</f>
        <v>0</v>
      </c>
      <c r="O39" s="15">
        <f t="shared" si="0"/>
        <v>37.857142857142854</v>
      </c>
      <c r="P39" s="15">
        <f t="shared" si="1"/>
        <v>86.142857142857139</v>
      </c>
      <c r="R39" s="29" t="s">
        <v>87</v>
      </c>
      <c r="S39" s="54">
        <f t="shared" ref="S39:AF39" si="31">SUM(S19:S21)</f>
        <v>148.71428571428572</v>
      </c>
      <c r="T39" s="54">
        <f t="shared" si="31"/>
        <v>64.628571428571433</v>
      </c>
      <c r="U39" s="54">
        <f t="shared" si="31"/>
        <v>96.942857142857136</v>
      </c>
      <c r="V39" s="54">
        <f t="shared" si="31"/>
        <v>108.28571428571428</v>
      </c>
      <c r="W39" s="54">
        <f t="shared" si="31"/>
        <v>9.7142857142857135</v>
      </c>
      <c r="X39" s="54">
        <f t="shared" si="31"/>
        <v>7.0000000000000009</v>
      </c>
      <c r="Y39" s="54">
        <f t="shared" si="31"/>
        <v>96.285714285714278</v>
      </c>
      <c r="Z39" s="54">
        <f t="shared" si="31"/>
        <v>10.285714285714285</v>
      </c>
      <c r="AA39" s="54">
        <f t="shared" si="31"/>
        <v>9.2857142857142865</v>
      </c>
      <c r="AB39" s="54">
        <f t="shared" si="31"/>
        <v>7.2857142857142856</v>
      </c>
      <c r="AC39" s="54">
        <f t="shared" si="31"/>
        <v>693.71428571428567</v>
      </c>
      <c r="AD39" s="54">
        <f t="shared" si="31"/>
        <v>0.2857142857142857</v>
      </c>
      <c r="AE39" s="55">
        <f t="shared" si="31"/>
        <v>558.71428571428578</v>
      </c>
      <c r="AF39" s="55">
        <f t="shared" si="31"/>
        <v>1252.4285714285713</v>
      </c>
    </row>
    <row r="40" spans="2:32" ht="23.1" customHeight="1" x14ac:dyDescent="0.25">
      <c r="B40" s="24" t="s">
        <v>67</v>
      </c>
      <c r="C40" s="49">
        <f>'Avg Week Kayunga-Kangulumira'!C40+'Avg Week Kangulumira-Kayunga'!C40</f>
        <v>13.714285714285714</v>
      </c>
      <c r="D40" s="49">
        <f>'Avg Week Kayunga-Kangulumira'!D40+'Avg Week Kangulumira-Kayunga'!D40</f>
        <v>4.1142857142857139</v>
      </c>
      <c r="E40" s="49">
        <f>'Avg Week Kayunga-Kangulumira'!E40+'Avg Week Kangulumira-Kayunga'!E40</f>
        <v>6.1714285714285708</v>
      </c>
      <c r="F40" s="49">
        <f>'Avg Week Kayunga-Kangulumira'!F40+'Avg Week Kangulumira-Kayunga'!F40</f>
        <v>6.7142857142857144</v>
      </c>
      <c r="G40" s="49">
        <f>'Avg Week Kayunga-Kangulumira'!G40+'Avg Week Kangulumira-Kayunga'!G40</f>
        <v>1</v>
      </c>
      <c r="H40" s="49">
        <f>'Avg Week Kayunga-Kangulumira'!H40+'Avg Week Kangulumira-Kayunga'!H40</f>
        <v>0.14285714285714285</v>
      </c>
      <c r="I40" s="49">
        <f>'Avg Week Kayunga-Kangulumira'!I40+'Avg Week Kangulumira-Kayunga'!I40</f>
        <v>6.7142857142857144</v>
      </c>
      <c r="J40" s="49">
        <f>'Avg Week Kayunga-Kangulumira'!J40+'Avg Week Kangulumira-Kayunga'!J40</f>
        <v>0.14285714285714285</v>
      </c>
      <c r="K40" s="49">
        <f>'Avg Week Kayunga-Kangulumira'!K40+'Avg Week Kangulumira-Kayunga'!K40</f>
        <v>0.71428571428571419</v>
      </c>
      <c r="L40" s="49">
        <f>'Avg Week Kayunga-Kangulumira'!L40+'Avg Week Kangulumira-Kayunga'!L40</f>
        <v>1.2857142857142856</v>
      </c>
      <c r="M40" s="49">
        <f>'Avg Week Kayunga-Kangulumira'!M40+'Avg Week Kangulumira-Kayunga'!M40</f>
        <v>48.428571428571431</v>
      </c>
      <c r="N40" s="49">
        <f>'Avg Week Kayunga-Kangulumira'!N40+'Avg Week Kangulumira-Kayunga'!N40</f>
        <v>0.14285714285714285</v>
      </c>
      <c r="O40" s="15">
        <f t="shared" si="0"/>
        <v>40.857142857142861</v>
      </c>
      <c r="P40" s="15">
        <f t="shared" si="1"/>
        <v>89.285714285714278</v>
      </c>
      <c r="R40" s="5" t="s">
        <v>17</v>
      </c>
      <c r="S40" s="54">
        <f t="shared" ref="S40:AF40" si="32">SUM(S10:S21)</f>
        <v>494.99999999999994</v>
      </c>
      <c r="T40" s="54">
        <f t="shared" si="32"/>
        <v>192.91428571428574</v>
      </c>
      <c r="U40" s="54">
        <f t="shared" si="32"/>
        <v>289.37142857142857</v>
      </c>
      <c r="V40" s="54">
        <f t="shared" si="32"/>
        <v>407</v>
      </c>
      <c r="W40" s="54">
        <f t="shared" si="32"/>
        <v>30.000000000000004</v>
      </c>
      <c r="X40" s="54">
        <f t="shared" si="32"/>
        <v>12</v>
      </c>
      <c r="Y40" s="54">
        <f t="shared" si="32"/>
        <v>293</v>
      </c>
      <c r="Z40" s="54">
        <f t="shared" si="32"/>
        <v>29.714285714285712</v>
      </c>
      <c r="AA40" s="54">
        <f t="shared" si="32"/>
        <v>40.428571428571431</v>
      </c>
      <c r="AB40" s="54">
        <f t="shared" si="32"/>
        <v>25.571428571428569</v>
      </c>
      <c r="AC40" s="54">
        <f t="shared" si="32"/>
        <v>2491.7142857142853</v>
      </c>
      <c r="AD40" s="54">
        <f t="shared" si="32"/>
        <v>1.4285714285714284</v>
      </c>
      <c r="AE40" s="55">
        <f t="shared" si="32"/>
        <v>1816.4285714285716</v>
      </c>
      <c r="AF40" s="55">
        <f t="shared" si="32"/>
        <v>4308.1428571428569</v>
      </c>
    </row>
    <row r="41" spans="2:32" ht="23.1" customHeight="1" x14ac:dyDescent="0.25">
      <c r="B41" s="23" t="s">
        <v>68</v>
      </c>
      <c r="C41" s="49">
        <f>'Avg Week Kayunga-Kangulumira'!C41+'Avg Week Kangulumira-Kayunga'!C41</f>
        <v>10.285714285714286</v>
      </c>
      <c r="D41" s="49">
        <f>'Avg Week Kayunga-Kangulumira'!D41+'Avg Week Kangulumira-Kayunga'!D41</f>
        <v>4.8000000000000007</v>
      </c>
      <c r="E41" s="49">
        <f>'Avg Week Kayunga-Kangulumira'!E41+'Avg Week Kangulumira-Kayunga'!E41</f>
        <v>7.2</v>
      </c>
      <c r="F41" s="49">
        <f>'Avg Week Kayunga-Kangulumira'!F41+'Avg Week Kangulumira-Kayunga'!F41</f>
        <v>10</v>
      </c>
      <c r="G41" s="49">
        <f>'Avg Week Kayunga-Kangulumira'!G41+'Avg Week Kangulumira-Kayunga'!G41</f>
        <v>0.5714285714285714</v>
      </c>
      <c r="H41" s="49">
        <f>'Avg Week Kayunga-Kangulumira'!H41+'Avg Week Kangulumira-Kayunga'!H41</f>
        <v>0</v>
      </c>
      <c r="I41" s="49">
        <f>'Avg Week Kayunga-Kangulumira'!I41+'Avg Week Kangulumira-Kayunga'!I41</f>
        <v>9.2857142857142847</v>
      </c>
      <c r="J41" s="49">
        <f>'Avg Week Kayunga-Kangulumira'!J41+'Avg Week Kangulumira-Kayunga'!J41</f>
        <v>0.71428571428571419</v>
      </c>
      <c r="K41" s="49">
        <f>'Avg Week Kayunga-Kangulumira'!K41+'Avg Week Kangulumira-Kayunga'!K41</f>
        <v>1.4285714285714286</v>
      </c>
      <c r="L41" s="49">
        <f>'Avg Week Kayunga-Kangulumira'!L41+'Avg Week Kangulumira-Kayunga'!L41</f>
        <v>0.7142857142857143</v>
      </c>
      <c r="M41" s="49">
        <f>'Avg Week Kayunga-Kangulumira'!M41+'Avg Week Kangulumira-Kayunga'!M41</f>
        <v>49.428571428571431</v>
      </c>
      <c r="N41" s="49">
        <f>'Avg Week Kayunga-Kangulumira'!N41+'Avg Week Kangulumira-Kayunga'!N41</f>
        <v>0.14285714285714285</v>
      </c>
      <c r="O41" s="15">
        <f t="shared" si="0"/>
        <v>45.142857142857153</v>
      </c>
      <c r="P41" s="15">
        <f t="shared" si="1"/>
        <v>94.571428571428584</v>
      </c>
      <c r="R41" s="5" t="s">
        <v>174</v>
      </c>
      <c r="S41" s="54">
        <f>SUM(S10:S33)</f>
        <v>602</v>
      </c>
      <c r="T41" s="54">
        <f t="shared" ref="T41:AD41" si="33">SUM(T10:T33)</f>
        <v>263.71428571428578</v>
      </c>
      <c r="U41" s="54">
        <f t="shared" si="33"/>
        <v>395.57142857142856</v>
      </c>
      <c r="V41" s="54">
        <f t="shared" si="33"/>
        <v>525</v>
      </c>
      <c r="W41" s="54">
        <f t="shared" si="33"/>
        <v>50</v>
      </c>
      <c r="X41" s="54">
        <f t="shared" si="33"/>
        <v>52</v>
      </c>
      <c r="Y41" s="54">
        <f t="shared" si="33"/>
        <v>403</v>
      </c>
      <c r="Z41" s="54">
        <f t="shared" si="33"/>
        <v>101.71428571428571</v>
      </c>
      <c r="AA41" s="54">
        <f t="shared" si="33"/>
        <v>90.428571428571431</v>
      </c>
      <c r="AB41" s="54">
        <f t="shared" si="33"/>
        <v>59.571428571428569</v>
      </c>
      <c r="AC41" s="54">
        <f t="shared" si="33"/>
        <v>2917.7142857142853</v>
      </c>
      <c r="AD41" s="54">
        <f t="shared" si="33"/>
        <v>1.4285714285714284</v>
      </c>
      <c r="AE41" s="55">
        <f>SUM(AE10:AE33)</f>
        <v>2544.4285714285716</v>
      </c>
      <c r="AF41" s="55">
        <f>SUM(AF10:AF33)</f>
        <v>5462.1428571428569</v>
      </c>
    </row>
    <row r="42" spans="2:32" ht="23.1" customHeight="1" x14ac:dyDescent="0.25">
      <c r="B42" s="24" t="s">
        <v>69</v>
      </c>
      <c r="C42" s="49">
        <f>'Avg Week Kayunga-Kangulumira'!C42+'Avg Week Kangulumira-Kayunga'!C42</f>
        <v>11.857142857142858</v>
      </c>
      <c r="D42" s="49">
        <f>'Avg Week Kayunga-Kangulumira'!D42+'Avg Week Kangulumira-Kayunga'!D42</f>
        <v>5.2</v>
      </c>
      <c r="E42" s="49">
        <f>'Avg Week Kayunga-Kangulumira'!E42+'Avg Week Kangulumira-Kayunga'!E42</f>
        <v>7.7999999999999989</v>
      </c>
      <c r="F42" s="49">
        <f>'Avg Week Kayunga-Kangulumira'!F42+'Avg Week Kangulumira-Kayunga'!F42</f>
        <v>7.1428571428571432</v>
      </c>
      <c r="G42" s="49">
        <f>'Avg Week Kayunga-Kangulumira'!G42+'Avg Week Kangulumira-Kayunga'!G42</f>
        <v>0.42857142857142855</v>
      </c>
      <c r="H42" s="49">
        <f>'Avg Week Kayunga-Kangulumira'!H42+'Avg Week Kangulumira-Kayunga'!H42</f>
        <v>0.2857142857142857</v>
      </c>
      <c r="I42" s="49">
        <f>'Avg Week Kayunga-Kangulumira'!I42+'Avg Week Kangulumira-Kayunga'!I42</f>
        <v>6.2857142857142865</v>
      </c>
      <c r="J42" s="49">
        <f>'Avg Week Kayunga-Kangulumira'!J42+'Avg Week Kangulumira-Kayunga'!J42</f>
        <v>0.2857142857142857</v>
      </c>
      <c r="K42" s="49">
        <f>'Avg Week Kayunga-Kangulumira'!K42+'Avg Week Kangulumira-Kayunga'!K42</f>
        <v>0.71428571428571419</v>
      </c>
      <c r="L42" s="49">
        <f>'Avg Week Kayunga-Kangulumira'!L42+'Avg Week Kangulumira-Kayunga'!L42</f>
        <v>0.71428571428571419</v>
      </c>
      <c r="M42" s="49">
        <f>'Avg Week Kayunga-Kangulumira'!M42+'Avg Week Kangulumira-Kayunga'!M42</f>
        <v>51</v>
      </c>
      <c r="N42" s="49">
        <f>'Avg Week Kayunga-Kangulumira'!N42+'Avg Week Kangulumira-Kayunga'!N42</f>
        <v>0.14285714285714285</v>
      </c>
      <c r="O42" s="15">
        <f t="shared" si="0"/>
        <v>40.857142857142854</v>
      </c>
      <c r="P42" s="15">
        <f t="shared" si="1"/>
        <v>91.857142857142847</v>
      </c>
      <c r="R42" s="5" t="s">
        <v>160</v>
      </c>
      <c r="S42" s="48">
        <f>S41/S40</f>
        <v>1.2161616161616162</v>
      </c>
      <c r="T42" s="48">
        <f t="shared" ref="T42:AF42" si="34">T41/T40</f>
        <v>1.3670023696682465</v>
      </c>
      <c r="U42" s="48">
        <f t="shared" si="34"/>
        <v>1.3670023696682465</v>
      </c>
      <c r="V42" s="48">
        <f t="shared" si="34"/>
        <v>1.28992628992629</v>
      </c>
      <c r="W42" s="48">
        <f t="shared" si="34"/>
        <v>1.6666666666666665</v>
      </c>
      <c r="X42" s="48">
        <f t="shared" si="34"/>
        <v>4.333333333333333</v>
      </c>
      <c r="Y42" s="48">
        <f t="shared" si="34"/>
        <v>1.3754266211604096</v>
      </c>
      <c r="Z42" s="48">
        <f t="shared" si="34"/>
        <v>3.4230769230769234</v>
      </c>
      <c r="AA42" s="48">
        <f t="shared" si="34"/>
        <v>2.2367491166077738</v>
      </c>
      <c r="AB42" s="48">
        <f t="shared" si="34"/>
        <v>2.3296089385474863</v>
      </c>
      <c r="AC42" s="48">
        <f t="shared" si="34"/>
        <v>1.1709666322669419</v>
      </c>
      <c r="AD42" s="48">
        <f t="shared" si="34"/>
        <v>1</v>
      </c>
      <c r="AE42" s="56">
        <f t="shared" si="34"/>
        <v>1.4007864726700747</v>
      </c>
      <c r="AF42" s="56">
        <f t="shared" si="34"/>
        <v>1.2678648406671751</v>
      </c>
    </row>
    <row r="43" spans="2:32" ht="23.1" customHeight="1" x14ac:dyDescent="0.25">
      <c r="B43" s="23" t="s">
        <v>70</v>
      </c>
      <c r="C43" s="49">
        <f>'Avg Week Kayunga-Kangulumira'!C43+'Avg Week Kangulumira-Kayunga'!C43</f>
        <v>11.285714285714285</v>
      </c>
      <c r="D43" s="49">
        <f>'Avg Week Kayunga-Kangulumira'!D43+'Avg Week Kangulumira-Kayunga'!D43</f>
        <v>4.1714285714285717</v>
      </c>
      <c r="E43" s="49">
        <f>'Avg Week Kayunga-Kangulumira'!E43+'Avg Week Kangulumira-Kayunga'!E43</f>
        <v>6.2571428571428571</v>
      </c>
      <c r="F43" s="49">
        <f>'Avg Week Kayunga-Kangulumira'!F43+'Avg Week Kangulumira-Kayunga'!F43</f>
        <v>7.1428571428571432</v>
      </c>
      <c r="G43" s="49">
        <f>'Avg Week Kayunga-Kangulumira'!G43+'Avg Week Kangulumira-Kayunga'!G43</f>
        <v>0.5714285714285714</v>
      </c>
      <c r="H43" s="49">
        <f>'Avg Week Kayunga-Kangulumira'!H43+'Avg Week Kangulumira-Kayunga'!H43</f>
        <v>0.14285714285714285</v>
      </c>
      <c r="I43" s="49">
        <f>'Avg Week Kayunga-Kangulumira'!I43+'Avg Week Kangulumira-Kayunga'!I43</f>
        <v>6.8571428571428577</v>
      </c>
      <c r="J43" s="49">
        <f>'Avg Week Kayunga-Kangulumira'!J43+'Avg Week Kangulumira-Kayunga'!J43</f>
        <v>0.42857142857142855</v>
      </c>
      <c r="K43" s="49">
        <f>'Avg Week Kayunga-Kangulumira'!K43+'Avg Week Kangulumira-Kayunga'!K43</f>
        <v>0.5714285714285714</v>
      </c>
      <c r="L43" s="49">
        <f>'Avg Week Kayunga-Kangulumira'!L43+'Avg Week Kangulumira-Kayunga'!L43</f>
        <v>0.42857142857142855</v>
      </c>
      <c r="M43" s="49">
        <f>'Avg Week Kayunga-Kangulumira'!M43+'Avg Week Kangulumira-Kayunga'!M43</f>
        <v>49.857142857142861</v>
      </c>
      <c r="N43" s="49">
        <f>'Avg Week Kayunga-Kangulumira'!N43+'Avg Week Kangulumira-Kayunga'!N43</f>
        <v>0</v>
      </c>
      <c r="O43" s="15">
        <f t="shared" si="0"/>
        <v>37.857142857142861</v>
      </c>
      <c r="P43" s="15">
        <f t="shared" si="1"/>
        <v>87.714285714285722</v>
      </c>
    </row>
    <row r="44" spans="2:32" ht="23.1" customHeight="1" x14ac:dyDescent="0.25">
      <c r="B44" s="25" t="s">
        <v>71</v>
      </c>
      <c r="C44" s="49">
        <f>'Avg Week Kayunga-Kangulumira'!C44+'Avg Week Kangulumira-Kayunga'!C44</f>
        <v>12.285714285714285</v>
      </c>
      <c r="D44" s="49">
        <f>'Avg Week Kayunga-Kangulumira'!D44+'Avg Week Kangulumira-Kayunga'!D44</f>
        <v>4.5714285714285721</v>
      </c>
      <c r="E44" s="49">
        <f>'Avg Week Kayunga-Kangulumira'!E44+'Avg Week Kangulumira-Kayunga'!E44</f>
        <v>6.8571428571428568</v>
      </c>
      <c r="F44" s="49">
        <f>'Avg Week Kayunga-Kangulumira'!F44+'Avg Week Kangulumira-Kayunga'!F44</f>
        <v>6.2857142857142856</v>
      </c>
      <c r="G44" s="49">
        <f>'Avg Week Kayunga-Kangulumira'!G44+'Avg Week Kangulumira-Kayunga'!G44</f>
        <v>0.14285714285714285</v>
      </c>
      <c r="H44" s="49">
        <f>'Avg Week Kayunga-Kangulumira'!H44+'Avg Week Kangulumira-Kayunga'!H44</f>
        <v>0.14285714285714285</v>
      </c>
      <c r="I44" s="49">
        <f>'Avg Week Kayunga-Kangulumira'!I44+'Avg Week Kangulumira-Kayunga'!I44</f>
        <v>7.5714285714285712</v>
      </c>
      <c r="J44" s="49">
        <f>'Avg Week Kayunga-Kangulumira'!J44+'Avg Week Kangulumira-Kayunga'!J44</f>
        <v>1.2857142857142856</v>
      </c>
      <c r="K44" s="49">
        <f>'Avg Week Kayunga-Kangulumira'!K44+'Avg Week Kangulumira-Kayunga'!K44</f>
        <v>0.8571428571428571</v>
      </c>
      <c r="L44" s="49">
        <f>'Avg Week Kayunga-Kangulumira'!L44+'Avg Week Kangulumira-Kayunga'!L44</f>
        <v>0.42857142857142855</v>
      </c>
      <c r="M44" s="49">
        <f>'Avg Week Kayunga-Kangulumira'!M44+'Avg Week Kangulumira-Kayunga'!M44</f>
        <v>44</v>
      </c>
      <c r="N44" s="49">
        <f>'Avg Week Kayunga-Kangulumira'!N44+'Avg Week Kangulumira-Kayunga'!N44</f>
        <v>0</v>
      </c>
      <c r="O44" s="15">
        <f t="shared" si="0"/>
        <v>40.428571428571423</v>
      </c>
      <c r="P44" s="15">
        <f t="shared" si="1"/>
        <v>84.428571428571416</v>
      </c>
    </row>
    <row r="45" spans="2:32" ht="23.1" customHeight="1" x14ac:dyDescent="0.25">
      <c r="B45" s="23" t="s">
        <v>72</v>
      </c>
      <c r="C45" s="49">
        <f>'Avg Week Kayunga-Kangulumira'!C45+'Avg Week Kangulumira-Kayunga'!C45</f>
        <v>12.142857142857142</v>
      </c>
      <c r="D45" s="49">
        <f>'Avg Week Kayunga-Kangulumira'!D45+'Avg Week Kangulumira-Kayunga'!D45</f>
        <v>5.3714285714285719</v>
      </c>
      <c r="E45" s="49">
        <f>'Avg Week Kayunga-Kangulumira'!E45+'Avg Week Kangulumira-Kayunga'!E45</f>
        <v>8.0571428571428569</v>
      </c>
      <c r="F45" s="49">
        <f>'Avg Week Kayunga-Kangulumira'!F45+'Avg Week Kangulumira-Kayunga'!F45</f>
        <v>9.428571428571427</v>
      </c>
      <c r="G45" s="49">
        <f>'Avg Week Kayunga-Kangulumira'!G45+'Avg Week Kangulumira-Kayunga'!G45</f>
        <v>0.71428571428571419</v>
      </c>
      <c r="H45" s="49">
        <f>'Avg Week Kayunga-Kangulumira'!H45+'Avg Week Kangulumira-Kayunga'!H45</f>
        <v>0</v>
      </c>
      <c r="I45" s="49">
        <f>'Avg Week Kayunga-Kangulumira'!I45+'Avg Week Kangulumira-Kayunga'!I45</f>
        <v>7.5714285714285712</v>
      </c>
      <c r="J45" s="49">
        <f>'Avg Week Kayunga-Kangulumira'!J45+'Avg Week Kangulumira-Kayunga'!J45</f>
        <v>0.7142857142857143</v>
      </c>
      <c r="K45" s="49">
        <f>'Avg Week Kayunga-Kangulumira'!K45+'Avg Week Kangulumira-Kayunga'!K45</f>
        <v>1</v>
      </c>
      <c r="L45" s="49">
        <f>'Avg Week Kayunga-Kangulumira'!L45+'Avg Week Kangulumira-Kayunga'!L45</f>
        <v>0.71428571428571419</v>
      </c>
      <c r="M45" s="49">
        <f>'Avg Week Kayunga-Kangulumira'!M45+'Avg Week Kangulumira-Kayunga'!M45</f>
        <v>45</v>
      </c>
      <c r="N45" s="49">
        <f>'Avg Week Kayunga-Kangulumira'!N45+'Avg Week Kangulumira-Kayunga'!N45</f>
        <v>0</v>
      </c>
      <c r="O45" s="15">
        <f t="shared" si="0"/>
        <v>45.714285714285715</v>
      </c>
      <c r="P45" s="15">
        <f t="shared" si="1"/>
        <v>90.714285714285722</v>
      </c>
    </row>
    <row r="46" spans="2:32" ht="23.1" customHeight="1" x14ac:dyDescent="0.25">
      <c r="B46" s="24" t="s">
        <v>73</v>
      </c>
      <c r="C46" s="49">
        <f>'Avg Week Kayunga-Kangulumira'!C46+'Avg Week Kangulumira-Kayunga'!C46</f>
        <v>12.285714285714286</v>
      </c>
      <c r="D46" s="49">
        <f>'Avg Week Kayunga-Kangulumira'!D46+'Avg Week Kangulumira-Kayunga'!D46</f>
        <v>5.1428571428571423</v>
      </c>
      <c r="E46" s="49">
        <f>'Avg Week Kayunga-Kangulumira'!E46+'Avg Week Kangulumira-Kayunga'!E46</f>
        <v>7.7142857142857135</v>
      </c>
      <c r="F46" s="49">
        <f>'Avg Week Kayunga-Kangulumira'!F46+'Avg Week Kangulumira-Kayunga'!F46</f>
        <v>7.7142857142857144</v>
      </c>
      <c r="G46" s="49">
        <f>'Avg Week Kayunga-Kangulumira'!G46+'Avg Week Kangulumira-Kayunga'!G46</f>
        <v>0.5714285714285714</v>
      </c>
      <c r="H46" s="49">
        <f>'Avg Week Kayunga-Kangulumira'!H46+'Avg Week Kangulumira-Kayunga'!H46</f>
        <v>0.2857142857142857</v>
      </c>
      <c r="I46" s="49">
        <f>'Avg Week Kayunga-Kangulumira'!I46+'Avg Week Kangulumira-Kayunga'!I46</f>
        <v>5.8571428571428577</v>
      </c>
      <c r="J46" s="49">
        <f>'Avg Week Kayunga-Kangulumira'!J46+'Avg Week Kangulumira-Kayunga'!J46</f>
        <v>0.5714285714285714</v>
      </c>
      <c r="K46" s="49">
        <f>'Avg Week Kayunga-Kangulumira'!K46+'Avg Week Kangulumira-Kayunga'!K46</f>
        <v>1.5714285714285714</v>
      </c>
      <c r="L46" s="49">
        <f>'Avg Week Kayunga-Kangulumira'!L46+'Avg Week Kangulumira-Kayunga'!L46</f>
        <v>0.42857142857142855</v>
      </c>
      <c r="M46" s="49">
        <f>'Avg Week Kayunga-Kangulumira'!M46+'Avg Week Kangulumira-Kayunga'!M46</f>
        <v>53.142857142857139</v>
      </c>
      <c r="N46" s="49">
        <f>'Avg Week Kayunga-Kangulumira'!N46+'Avg Week Kangulumira-Kayunga'!N46</f>
        <v>0.14285714285714285</v>
      </c>
      <c r="O46" s="15">
        <f t="shared" si="0"/>
        <v>42.285714285714285</v>
      </c>
      <c r="P46" s="15">
        <f t="shared" si="1"/>
        <v>95.428571428571416</v>
      </c>
      <c r="R46" s="8"/>
      <c r="T46"/>
    </row>
    <row r="47" spans="2:32" ht="23.1" customHeight="1" x14ac:dyDescent="0.25">
      <c r="B47" s="24" t="s">
        <v>74</v>
      </c>
      <c r="C47" s="49">
        <f>'Avg Week Kayunga-Kangulumira'!C47+'Avg Week Kangulumira-Kayunga'!C47</f>
        <v>12.428571428571429</v>
      </c>
      <c r="D47" s="49">
        <f>'Avg Week Kayunga-Kangulumira'!D47+'Avg Week Kangulumira-Kayunga'!D47</f>
        <v>4.0571428571428569</v>
      </c>
      <c r="E47" s="49">
        <f>'Avg Week Kayunga-Kangulumira'!E47+'Avg Week Kangulumira-Kayunga'!E47</f>
        <v>6.0857142857142854</v>
      </c>
      <c r="F47" s="49">
        <f>'Avg Week Kayunga-Kangulumira'!F47+'Avg Week Kangulumira-Kayunga'!F47</f>
        <v>8.5714285714285712</v>
      </c>
      <c r="G47" s="49">
        <f>'Avg Week Kayunga-Kangulumira'!G47+'Avg Week Kangulumira-Kayunga'!G47</f>
        <v>0.8571428571428571</v>
      </c>
      <c r="H47" s="49">
        <f>'Avg Week Kayunga-Kangulumira'!H47+'Avg Week Kangulumira-Kayunga'!H47</f>
        <v>0.42857142857142855</v>
      </c>
      <c r="I47" s="49">
        <f>'Avg Week Kayunga-Kangulumira'!I47+'Avg Week Kangulumira-Kayunga'!I47</f>
        <v>8.1428571428571423</v>
      </c>
      <c r="J47" s="49">
        <f>'Avg Week Kayunga-Kangulumira'!J47+'Avg Week Kangulumira-Kayunga'!J47</f>
        <v>0.5714285714285714</v>
      </c>
      <c r="K47" s="49">
        <f>'Avg Week Kayunga-Kangulumira'!K47+'Avg Week Kangulumira-Kayunga'!K47</f>
        <v>0.71428571428571419</v>
      </c>
      <c r="L47" s="49">
        <f>'Avg Week Kayunga-Kangulumira'!L47+'Avg Week Kangulumira-Kayunga'!L47</f>
        <v>0.5714285714285714</v>
      </c>
      <c r="M47" s="49">
        <f>'Avg Week Kayunga-Kangulumira'!M47+'Avg Week Kangulumira-Kayunga'!M47</f>
        <v>52</v>
      </c>
      <c r="N47" s="49">
        <f>'Avg Week Kayunga-Kangulumira'!N47+'Avg Week Kangulumira-Kayunga'!N47</f>
        <v>0</v>
      </c>
      <c r="O47" s="15">
        <f t="shared" si="0"/>
        <v>42.428571428571423</v>
      </c>
      <c r="P47" s="15">
        <f t="shared" si="1"/>
        <v>94.428571428571416</v>
      </c>
      <c r="R47" s="8"/>
      <c r="T47"/>
    </row>
    <row r="48" spans="2:32" ht="23.1" customHeight="1" x14ac:dyDescent="0.25">
      <c r="B48" s="24" t="s">
        <v>75</v>
      </c>
      <c r="C48" s="49">
        <f>'Avg Week Kayunga-Kangulumira'!C48+'Avg Week Kangulumira-Kayunga'!C48</f>
        <v>15</v>
      </c>
      <c r="D48" s="49">
        <f>'Avg Week Kayunga-Kangulumira'!D48+'Avg Week Kangulumira-Kayunga'!D48</f>
        <v>5.1428571428571423</v>
      </c>
      <c r="E48" s="49">
        <f>'Avg Week Kayunga-Kangulumira'!E48+'Avg Week Kangulumira-Kayunga'!E48</f>
        <v>7.7142857142857135</v>
      </c>
      <c r="F48" s="49">
        <f>'Avg Week Kayunga-Kangulumira'!F48+'Avg Week Kangulumira-Kayunga'!F48</f>
        <v>7.5714285714285712</v>
      </c>
      <c r="G48" s="49">
        <f>'Avg Week Kayunga-Kangulumira'!G48+'Avg Week Kangulumira-Kayunga'!G48</f>
        <v>1</v>
      </c>
      <c r="H48" s="49">
        <f>'Avg Week Kayunga-Kangulumira'!H48+'Avg Week Kangulumira-Kayunga'!H48</f>
        <v>0.2857142857142857</v>
      </c>
      <c r="I48" s="49">
        <f>'Avg Week Kayunga-Kangulumira'!I48+'Avg Week Kangulumira-Kayunga'!I48</f>
        <v>8.8571428571428577</v>
      </c>
      <c r="J48" s="49">
        <f>'Avg Week Kayunga-Kangulumira'!J48+'Avg Week Kangulumira-Kayunga'!J48</f>
        <v>1</v>
      </c>
      <c r="K48" s="49">
        <f>'Avg Week Kayunga-Kangulumira'!K48+'Avg Week Kangulumira-Kayunga'!K48</f>
        <v>0.71428571428571419</v>
      </c>
      <c r="L48" s="49">
        <f>'Avg Week Kayunga-Kangulumira'!L48+'Avg Week Kangulumira-Kayunga'!L48</f>
        <v>0.8571428571428571</v>
      </c>
      <c r="M48" s="49">
        <f>'Avg Week Kayunga-Kangulumira'!M48+'Avg Week Kangulumira-Kayunga'!M48</f>
        <v>56.142857142857139</v>
      </c>
      <c r="N48" s="49">
        <f>'Avg Week Kayunga-Kangulumira'!N48+'Avg Week Kangulumira-Kayunga'!N48</f>
        <v>0.14285714285714285</v>
      </c>
      <c r="O48" s="15">
        <f t="shared" si="0"/>
        <v>48.285714285714285</v>
      </c>
      <c r="P48" s="15">
        <f t="shared" si="1"/>
        <v>104.42857142857142</v>
      </c>
      <c r="R48" s="8"/>
      <c r="T48"/>
    </row>
    <row r="49" spans="2:20" ht="23.1" customHeight="1" x14ac:dyDescent="0.25">
      <c r="B49" s="23" t="s">
        <v>76</v>
      </c>
      <c r="C49" s="49">
        <f>'Avg Week Kayunga-Kangulumira'!C49+'Avg Week Kangulumira-Kayunga'!C49</f>
        <v>10.142857142857142</v>
      </c>
      <c r="D49" s="49">
        <f>'Avg Week Kayunga-Kangulumira'!D49+'Avg Week Kangulumira-Kayunga'!D49</f>
        <v>5.2</v>
      </c>
      <c r="E49" s="49">
        <f>'Avg Week Kayunga-Kangulumira'!E49+'Avg Week Kangulumira-Kayunga'!E49</f>
        <v>7.7999999999999989</v>
      </c>
      <c r="F49" s="49">
        <f>'Avg Week Kayunga-Kangulumira'!F49+'Avg Week Kangulumira-Kayunga'!F49</f>
        <v>8.7142857142857153</v>
      </c>
      <c r="G49" s="49">
        <f>'Avg Week Kayunga-Kangulumira'!G49+'Avg Week Kangulumira-Kayunga'!G49</f>
        <v>0.2857142857142857</v>
      </c>
      <c r="H49" s="49">
        <f>'Avg Week Kayunga-Kangulumira'!H49+'Avg Week Kangulumira-Kayunga'!H49</f>
        <v>0.14285714285714285</v>
      </c>
      <c r="I49" s="49">
        <f>'Avg Week Kayunga-Kangulumira'!I49+'Avg Week Kangulumira-Kayunga'!I49</f>
        <v>6.8571428571428577</v>
      </c>
      <c r="J49" s="49">
        <f>'Avg Week Kayunga-Kangulumira'!J49+'Avg Week Kangulumira-Kayunga'!J49</f>
        <v>0.71428571428571419</v>
      </c>
      <c r="K49" s="49">
        <f>'Avg Week Kayunga-Kangulumira'!K49+'Avg Week Kangulumira-Kayunga'!K49</f>
        <v>0.8571428571428571</v>
      </c>
      <c r="L49" s="49">
        <f>'Avg Week Kayunga-Kangulumira'!L49+'Avg Week Kangulumira-Kayunga'!L49</f>
        <v>0.42857142857142855</v>
      </c>
      <c r="M49" s="49">
        <f>'Avg Week Kayunga-Kangulumira'!M49+'Avg Week Kangulumira-Kayunga'!M49</f>
        <v>52.714285714285708</v>
      </c>
      <c r="N49" s="49">
        <f>'Avg Week Kayunga-Kangulumira'!N49+'Avg Week Kangulumira-Kayunga'!N49</f>
        <v>0</v>
      </c>
      <c r="O49" s="15">
        <f t="shared" si="0"/>
        <v>41.142857142857139</v>
      </c>
      <c r="P49" s="15">
        <f t="shared" si="1"/>
        <v>93.857142857142847</v>
      </c>
      <c r="R49" s="8"/>
      <c r="T49"/>
    </row>
    <row r="50" spans="2:20" ht="23.1" customHeight="1" x14ac:dyDescent="0.25">
      <c r="B50" s="24" t="s">
        <v>77</v>
      </c>
      <c r="C50" s="49">
        <f>'Avg Week Kayunga-Kangulumira'!C50+'Avg Week Kangulumira-Kayunga'!C50</f>
        <v>12.857142857142858</v>
      </c>
      <c r="D50" s="49">
        <f>'Avg Week Kayunga-Kangulumira'!D50+'Avg Week Kangulumira-Kayunga'!D50</f>
        <v>4.8000000000000007</v>
      </c>
      <c r="E50" s="49">
        <f>'Avg Week Kayunga-Kangulumira'!E50+'Avg Week Kangulumira-Kayunga'!E50</f>
        <v>7.1999999999999993</v>
      </c>
      <c r="F50" s="49">
        <f>'Avg Week Kayunga-Kangulumira'!F50+'Avg Week Kangulumira-Kayunga'!F50</f>
        <v>8.571428571428573</v>
      </c>
      <c r="G50" s="49">
        <f>'Avg Week Kayunga-Kangulumira'!G50+'Avg Week Kangulumira-Kayunga'!G50</f>
        <v>1.1428571428571428</v>
      </c>
      <c r="H50" s="49">
        <f>'Avg Week Kayunga-Kangulumira'!H50+'Avg Week Kangulumira-Kayunga'!H50</f>
        <v>0.8571428571428571</v>
      </c>
      <c r="I50" s="49">
        <f>'Avg Week Kayunga-Kangulumira'!I50+'Avg Week Kangulumira-Kayunga'!I50</f>
        <v>8.4285714285714288</v>
      </c>
      <c r="J50" s="49">
        <f>'Avg Week Kayunga-Kangulumira'!J50+'Avg Week Kangulumira-Kayunga'!J50</f>
        <v>1.1428571428571428</v>
      </c>
      <c r="K50" s="49">
        <f>'Avg Week Kayunga-Kangulumira'!K50+'Avg Week Kangulumira-Kayunga'!K50</f>
        <v>1.1428571428571428</v>
      </c>
      <c r="L50" s="49">
        <f>'Avg Week Kayunga-Kangulumira'!L50+'Avg Week Kangulumira-Kayunga'!L50</f>
        <v>1</v>
      </c>
      <c r="M50" s="49">
        <f>'Avg Week Kayunga-Kangulumira'!M50+'Avg Week Kangulumira-Kayunga'!M50</f>
        <v>60</v>
      </c>
      <c r="N50" s="49">
        <f>'Avg Week Kayunga-Kangulumira'!N50+'Avg Week Kangulumira-Kayunga'!N50</f>
        <v>0</v>
      </c>
      <c r="O50" s="15">
        <f t="shared" si="0"/>
        <v>47.142857142857153</v>
      </c>
      <c r="P50" s="15">
        <f t="shared" si="1"/>
        <v>107.14285714285715</v>
      </c>
      <c r="R50" s="8"/>
      <c r="T50"/>
    </row>
    <row r="51" spans="2:20" ht="23.1" customHeight="1" x14ac:dyDescent="0.25">
      <c r="B51" s="24" t="s">
        <v>78</v>
      </c>
      <c r="C51" s="49">
        <f>'Avg Week Kayunga-Kangulumira'!C51+'Avg Week Kangulumira-Kayunga'!C51</f>
        <v>15.285714285714286</v>
      </c>
      <c r="D51" s="49">
        <f>'Avg Week Kayunga-Kangulumira'!D51+'Avg Week Kangulumira-Kayunga'!D51</f>
        <v>5.2000000000000011</v>
      </c>
      <c r="E51" s="49">
        <f>'Avg Week Kayunga-Kangulumira'!E51+'Avg Week Kangulumira-Kayunga'!E51</f>
        <v>7.7999999999999989</v>
      </c>
      <c r="F51" s="49">
        <f>'Avg Week Kayunga-Kangulumira'!F51+'Avg Week Kangulumira-Kayunga'!F51</f>
        <v>10</v>
      </c>
      <c r="G51" s="49">
        <f>'Avg Week Kayunga-Kangulumira'!G51+'Avg Week Kangulumira-Kayunga'!G51</f>
        <v>0.2857142857142857</v>
      </c>
      <c r="H51" s="49">
        <f>'Avg Week Kayunga-Kangulumira'!H51+'Avg Week Kangulumira-Kayunga'!H51</f>
        <v>0.7142857142857143</v>
      </c>
      <c r="I51" s="49">
        <f>'Avg Week Kayunga-Kangulumira'!I51+'Avg Week Kangulumira-Kayunga'!I51</f>
        <v>9.1428571428571423</v>
      </c>
      <c r="J51" s="49">
        <f>'Avg Week Kayunga-Kangulumira'!J51+'Avg Week Kangulumira-Kayunga'!J51</f>
        <v>1.7142857142857144</v>
      </c>
      <c r="K51" s="49">
        <f>'Avg Week Kayunga-Kangulumira'!K51+'Avg Week Kangulumira-Kayunga'!K51</f>
        <v>0.8571428571428571</v>
      </c>
      <c r="L51" s="49">
        <f>'Avg Week Kayunga-Kangulumira'!L51+'Avg Week Kangulumira-Kayunga'!L51</f>
        <v>1</v>
      </c>
      <c r="M51" s="49">
        <f>'Avg Week Kayunga-Kangulumira'!M51+'Avg Week Kangulumira-Kayunga'!M51</f>
        <v>56.142857142857146</v>
      </c>
      <c r="N51" s="49">
        <f>'Avg Week Kayunga-Kangulumira'!N51+'Avg Week Kangulumira-Kayunga'!N51</f>
        <v>0</v>
      </c>
      <c r="O51" s="15">
        <f t="shared" si="0"/>
        <v>52</v>
      </c>
      <c r="P51" s="15">
        <f t="shared" si="1"/>
        <v>108.14285714285714</v>
      </c>
      <c r="R51" s="8"/>
      <c r="T51"/>
    </row>
    <row r="52" spans="2:20" ht="23.1" customHeight="1" x14ac:dyDescent="0.25">
      <c r="B52" s="24" t="s">
        <v>79</v>
      </c>
      <c r="C52" s="49">
        <f>'Avg Week Kayunga-Kangulumira'!C52+'Avg Week Kangulumira-Kayunga'!C52</f>
        <v>10</v>
      </c>
      <c r="D52" s="49">
        <f>'Avg Week Kayunga-Kangulumira'!D52+'Avg Week Kangulumira-Kayunga'!D52</f>
        <v>6.8000000000000007</v>
      </c>
      <c r="E52" s="49">
        <f>'Avg Week Kayunga-Kangulumira'!E52+'Avg Week Kangulumira-Kayunga'!E52</f>
        <v>10.199999999999999</v>
      </c>
      <c r="F52" s="49">
        <f>'Avg Week Kayunga-Kangulumira'!F52+'Avg Week Kangulumira-Kayunga'!F52</f>
        <v>7.5714285714285712</v>
      </c>
      <c r="G52" s="49">
        <f>'Avg Week Kayunga-Kangulumira'!G52+'Avg Week Kangulumira-Kayunga'!G52</f>
        <v>1</v>
      </c>
      <c r="H52" s="49">
        <f>'Avg Week Kayunga-Kangulumira'!H52+'Avg Week Kangulumira-Kayunga'!H52</f>
        <v>0.2857142857142857</v>
      </c>
      <c r="I52" s="49">
        <f>'Avg Week Kayunga-Kangulumira'!I52+'Avg Week Kangulumira-Kayunga'!I52</f>
        <v>7.2857142857142856</v>
      </c>
      <c r="J52" s="49">
        <f>'Avg Week Kayunga-Kangulumira'!J52+'Avg Week Kangulumira-Kayunga'!J52</f>
        <v>0.8571428571428571</v>
      </c>
      <c r="K52" s="49">
        <f>'Avg Week Kayunga-Kangulumira'!K52+'Avg Week Kangulumira-Kayunga'!K52</f>
        <v>0.85714285714285721</v>
      </c>
      <c r="L52" s="49">
        <f>'Avg Week Kayunga-Kangulumira'!L52+'Avg Week Kangulumira-Kayunga'!L52</f>
        <v>0.71428571428571419</v>
      </c>
      <c r="M52" s="49">
        <f>'Avg Week Kayunga-Kangulumira'!M52+'Avg Week Kangulumira-Kayunga'!M52</f>
        <v>61.142857142857139</v>
      </c>
      <c r="N52" s="49">
        <f>'Avg Week Kayunga-Kangulumira'!N52+'Avg Week Kangulumira-Kayunga'!N52</f>
        <v>0</v>
      </c>
      <c r="O52" s="15">
        <f t="shared" si="0"/>
        <v>45.571428571428562</v>
      </c>
      <c r="P52" s="15">
        <f t="shared" si="1"/>
        <v>106.71428571428569</v>
      </c>
      <c r="R52" s="8"/>
      <c r="T52"/>
    </row>
    <row r="53" spans="2:20" ht="23.1" customHeight="1" x14ac:dyDescent="0.25">
      <c r="B53" s="23" t="s">
        <v>80</v>
      </c>
      <c r="C53" s="49">
        <f>'Avg Week Kayunga-Kangulumira'!C53+'Avg Week Kangulumira-Kayunga'!C53</f>
        <v>11.142857142857142</v>
      </c>
      <c r="D53" s="49">
        <f>'Avg Week Kayunga-Kangulumira'!D53+'Avg Week Kangulumira-Kayunga'!D53</f>
        <v>5.6</v>
      </c>
      <c r="E53" s="49">
        <f>'Avg Week Kayunga-Kangulumira'!E53+'Avg Week Kangulumira-Kayunga'!E53</f>
        <v>8.3999999999999986</v>
      </c>
      <c r="F53" s="49">
        <f>'Avg Week Kayunga-Kangulumira'!F53+'Avg Week Kangulumira-Kayunga'!F53</f>
        <v>10.571428571428571</v>
      </c>
      <c r="G53" s="49">
        <f>'Avg Week Kayunga-Kangulumira'!G53+'Avg Week Kangulumira-Kayunga'!G53</f>
        <v>0.8571428571428571</v>
      </c>
      <c r="H53" s="49">
        <f>'Avg Week Kayunga-Kangulumira'!H53+'Avg Week Kangulumira-Kayunga'!H53</f>
        <v>1.2857142857142858</v>
      </c>
      <c r="I53" s="49">
        <f>'Avg Week Kayunga-Kangulumira'!I53+'Avg Week Kangulumira-Kayunga'!I53</f>
        <v>8.8571428571428577</v>
      </c>
      <c r="J53" s="49">
        <f>'Avg Week Kayunga-Kangulumira'!J53+'Avg Week Kangulumira-Kayunga'!J53</f>
        <v>0.5714285714285714</v>
      </c>
      <c r="K53" s="49">
        <f>'Avg Week Kayunga-Kangulumira'!K53+'Avg Week Kangulumira-Kayunga'!K53</f>
        <v>0.14285714285714285</v>
      </c>
      <c r="L53" s="49">
        <f>'Avg Week Kayunga-Kangulumira'!L53+'Avg Week Kangulumira-Kayunga'!L53</f>
        <v>0.42857142857142855</v>
      </c>
      <c r="M53" s="49">
        <f>'Avg Week Kayunga-Kangulumira'!M53+'Avg Week Kangulumira-Kayunga'!M53</f>
        <v>65.571428571428569</v>
      </c>
      <c r="N53" s="49">
        <f>'Avg Week Kayunga-Kangulumira'!N53+'Avg Week Kangulumira-Kayunga'!N53</f>
        <v>0</v>
      </c>
      <c r="O53" s="15">
        <f t="shared" si="0"/>
        <v>47.857142857142854</v>
      </c>
      <c r="P53" s="15">
        <f t="shared" si="1"/>
        <v>113.42857142857142</v>
      </c>
      <c r="R53" s="8"/>
      <c r="T53"/>
    </row>
    <row r="54" spans="2:20" ht="23.1" customHeight="1" x14ac:dyDescent="0.25">
      <c r="B54" s="23" t="s">
        <v>81</v>
      </c>
      <c r="C54" s="49">
        <f>'Avg Week Kayunga-Kangulumira'!C54+'Avg Week Kangulumira-Kayunga'!C54</f>
        <v>12.428571428571429</v>
      </c>
      <c r="D54" s="49">
        <f>'Avg Week Kayunga-Kangulumira'!D54+'Avg Week Kangulumira-Kayunga'!D54</f>
        <v>5.257142857142858</v>
      </c>
      <c r="E54" s="49">
        <f>'Avg Week Kayunga-Kangulumira'!E54+'Avg Week Kangulumira-Kayunga'!E54</f>
        <v>7.8857142857142861</v>
      </c>
      <c r="F54" s="49">
        <f>'Avg Week Kayunga-Kangulumira'!F54+'Avg Week Kangulumira-Kayunga'!F54</f>
        <v>9.8571428571428577</v>
      </c>
      <c r="G54" s="49">
        <f>'Avg Week Kayunga-Kangulumira'!G54+'Avg Week Kangulumira-Kayunga'!G54</f>
        <v>1.2857142857142856</v>
      </c>
      <c r="H54" s="49">
        <f>'Avg Week Kayunga-Kangulumira'!H54+'Avg Week Kangulumira-Kayunga'!H54</f>
        <v>1.4285714285714286</v>
      </c>
      <c r="I54" s="49">
        <f>'Avg Week Kayunga-Kangulumira'!I54+'Avg Week Kangulumira-Kayunga'!I54</f>
        <v>7.7142857142857144</v>
      </c>
      <c r="J54" s="49">
        <f>'Avg Week Kayunga-Kangulumira'!J54+'Avg Week Kangulumira-Kayunga'!J54</f>
        <v>0.14285714285714285</v>
      </c>
      <c r="K54" s="49">
        <f>'Avg Week Kayunga-Kangulumira'!K54+'Avg Week Kangulumira-Kayunga'!K54</f>
        <v>0.42857142857142855</v>
      </c>
      <c r="L54" s="49">
        <f>'Avg Week Kayunga-Kangulumira'!L54+'Avg Week Kangulumira-Kayunga'!L54</f>
        <v>0.71428571428571419</v>
      </c>
      <c r="M54" s="49">
        <f>'Avg Week Kayunga-Kangulumira'!M54+'Avg Week Kangulumira-Kayunga'!M54</f>
        <v>62.428571428571431</v>
      </c>
      <c r="N54" s="49">
        <f>'Avg Week Kayunga-Kangulumira'!N54+'Avg Week Kangulumira-Kayunga'!N54</f>
        <v>0</v>
      </c>
      <c r="O54" s="15">
        <f t="shared" si="0"/>
        <v>47.142857142857153</v>
      </c>
      <c r="P54" s="15">
        <f t="shared" si="1"/>
        <v>109.57142857142858</v>
      </c>
      <c r="R54" s="8"/>
      <c r="T54"/>
    </row>
    <row r="55" spans="2:20" ht="23.1" customHeight="1" x14ac:dyDescent="0.25">
      <c r="B55" s="23" t="s">
        <v>82</v>
      </c>
      <c r="C55" s="49">
        <f>'Avg Week Kayunga-Kangulumira'!C55+'Avg Week Kangulumira-Kayunga'!C55</f>
        <v>11.571428571428571</v>
      </c>
      <c r="D55" s="49">
        <f>'Avg Week Kayunga-Kangulumira'!D55+'Avg Week Kangulumira-Kayunga'!D55</f>
        <v>5.0857142857142863</v>
      </c>
      <c r="E55" s="49">
        <f>'Avg Week Kayunga-Kangulumira'!E55+'Avg Week Kangulumira-Kayunga'!E55</f>
        <v>7.6285714285714281</v>
      </c>
      <c r="F55" s="49">
        <f>'Avg Week Kayunga-Kangulumira'!F55+'Avg Week Kangulumira-Kayunga'!F55</f>
        <v>10.142857142857142</v>
      </c>
      <c r="G55" s="49">
        <f>'Avg Week Kayunga-Kangulumira'!G55+'Avg Week Kangulumira-Kayunga'!G55</f>
        <v>0.14285714285714285</v>
      </c>
      <c r="H55" s="49">
        <f>'Avg Week Kayunga-Kangulumira'!H55+'Avg Week Kangulumira-Kayunga'!H55</f>
        <v>0.14285714285714285</v>
      </c>
      <c r="I55" s="49">
        <f>'Avg Week Kayunga-Kangulumira'!I55+'Avg Week Kangulumira-Kayunga'!I55</f>
        <v>8.4285714285714288</v>
      </c>
      <c r="J55" s="49">
        <f>'Avg Week Kayunga-Kangulumira'!J55+'Avg Week Kangulumira-Kayunga'!J55</f>
        <v>0.5714285714285714</v>
      </c>
      <c r="K55" s="49">
        <f>'Avg Week Kayunga-Kangulumira'!K55+'Avg Week Kangulumira-Kayunga'!K55</f>
        <v>0.42857142857142855</v>
      </c>
      <c r="L55" s="49">
        <f>'Avg Week Kayunga-Kangulumira'!L55+'Avg Week Kangulumira-Kayunga'!L55</f>
        <v>0.14285714285714285</v>
      </c>
      <c r="M55" s="49">
        <f>'Avg Week Kayunga-Kangulumira'!M55+'Avg Week Kangulumira-Kayunga'!M55</f>
        <v>61</v>
      </c>
      <c r="N55" s="49">
        <f>'Avg Week Kayunga-Kangulumira'!N55+'Avg Week Kangulumira-Kayunga'!N55</f>
        <v>0</v>
      </c>
      <c r="O55" s="15">
        <f t="shared" si="0"/>
        <v>44.285714285714299</v>
      </c>
      <c r="P55" s="15">
        <f t="shared" si="1"/>
        <v>105.28571428571431</v>
      </c>
      <c r="R55" s="8"/>
      <c r="T55"/>
    </row>
    <row r="56" spans="2:20" ht="23.1" customHeight="1" x14ac:dyDescent="0.25">
      <c r="B56" s="23" t="s">
        <v>83</v>
      </c>
      <c r="C56" s="49">
        <f>'Avg Week Kayunga-Kangulumira'!C56+'Avg Week Kangulumira-Kayunga'!C56</f>
        <v>14</v>
      </c>
      <c r="D56" s="49">
        <f>'Avg Week Kayunga-Kangulumira'!D56+'Avg Week Kangulumira-Kayunga'!D56</f>
        <v>5.9428571428571431</v>
      </c>
      <c r="E56" s="49">
        <f>'Avg Week Kayunga-Kangulumira'!E56+'Avg Week Kangulumira-Kayunga'!E56</f>
        <v>8.9142857142857146</v>
      </c>
      <c r="F56" s="49">
        <f>'Avg Week Kayunga-Kangulumira'!F56+'Avg Week Kangulumira-Kayunga'!F56</f>
        <v>10.142857142857142</v>
      </c>
      <c r="G56" s="49">
        <f>'Avg Week Kayunga-Kangulumira'!G56+'Avg Week Kangulumira-Kayunga'!G56</f>
        <v>1</v>
      </c>
      <c r="H56" s="49">
        <f>'Avg Week Kayunga-Kangulumira'!H56+'Avg Week Kangulumira-Kayunga'!H56</f>
        <v>0.42857142857142855</v>
      </c>
      <c r="I56" s="49">
        <f>'Avg Week Kayunga-Kangulumira'!I56+'Avg Week Kangulumira-Kayunga'!I56</f>
        <v>8.5714285714285712</v>
      </c>
      <c r="J56" s="49">
        <f>'Avg Week Kayunga-Kangulumira'!J56+'Avg Week Kangulumira-Kayunga'!J56</f>
        <v>1.1428571428571428</v>
      </c>
      <c r="K56" s="49">
        <f>'Avg Week Kayunga-Kangulumira'!K56+'Avg Week Kangulumira-Kayunga'!K56</f>
        <v>0.85714285714285721</v>
      </c>
      <c r="L56" s="49">
        <f>'Avg Week Kayunga-Kangulumira'!L56+'Avg Week Kangulumira-Kayunga'!L56</f>
        <v>0.71428571428571419</v>
      </c>
      <c r="M56" s="49">
        <f>'Avg Week Kayunga-Kangulumira'!M56+'Avg Week Kangulumira-Kayunga'!M56</f>
        <v>57.142857142857139</v>
      </c>
      <c r="N56" s="49">
        <f>'Avg Week Kayunga-Kangulumira'!N56+'Avg Week Kangulumira-Kayunga'!N56</f>
        <v>0</v>
      </c>
      <c r="O56" s="15">
        <f t="shared" si="0"/>
        <v>51.714285714285715</v>
      </c>
      <c r="P56" s="15">
        <f t="shared" si="1"/>
        <v>108.85714285714286</v>
      </c>
      <c r="R56" s="8"/>
      <c r="T56"/>
    </row>
    <row r="57" spans="2:20" ht="23.1" customHeight="1" x14ac:dyDescent="0.25">
      <c r="B57" s="23" t="s">
        <v>84</v>
      </c>
      <c r="C57" s="49">
        <f>'Avg Week Kayunga-Kangulumira'!C57+'Avg Week Kangulumira-Kayunga'!C57</f>
        <v>11.571428571428571</v>
      </c>
      <c r="D57" s="49">
        <f>'Avg Week Kayunga-Kangulumira'!D57+'Avg Week Kangulumira-Kayunga'!D57</f>
        <v>6.4</v>
      </c>
      <c r="E57" s="49">
        <f>'Avg Week Kayunga-Kangulumira'!E57+'Avg Week Kangulumira-Kayunga'!E57</f>
        <v>9.6</v>
      </c>
      <c r="F57" s="49">
        <f>'Avg Week Kayunga-Kangulumira'!F57+'Avg Week Kangulumira-Kayunga'!F57</f>
        <v>8.8571428571428577</v>
      </c>
      <c r="G57" s="49">
        <f>'Avg Week Kayunga-Kangulumira'!G57+'Avg Week Kangulumira-Kayunga'!G57</f>
        <v>1.2857142857142856</v>
      </c>
      <c r="H57" s="49">
        <f>'Avg Week Kayunga-Kangulumira'!H57+'Avg Week Kangulumira-Kayunga'!H57</f>
        <v>0.7142857142857143</v>
      </c>
      <c r="I57" s="49">
        <f>'Avg Week Kayunga-Kangulumira'!I57+'Avg Week Kangulumira-Kayunga'!I57</f>
        <v>8.1428571428571423</v>
      </c>
      <c r="J57" s="49">
        <f>'Avg Week Kayunga-Kangulumira'!J57+'Avg Week Kangulumira-Kayunga'!J57</f>
        <v>1.2857142857142856</v>
      </c>
      <c r="K57" s="49">
        <f>'Avg Week Kayunga-Kangulumira'!K57+'Avg Week Kangulumira-Kayunga'!K57</f>
        <v>0.71428571428571419</v>
      </c>
      <c r="L57" s="49">
        <f>'Avg Week Kayunga-Kangulumira'!L57+'Avg Week Kangulumira-Kayunga'!L57</f>
        <v>0.2857142857142857</v>
      </c>
      <c r="M57" s="49">
        <f>'Avg Week Kayunga-Kangulumira'!M57+'Avg Week Kangulumira-Kayunga'!M57</f>
        <v>56.285714285714292</v>
      </c>
      <c r="N57" s="49">
        <f>'Avg Week Kayunga-Kangulumira'!N57+'Avg Week Kangulumira-Kayunga'!N57</f>
        <v>0</v>
      </c>
      <c r="O57" s="15">
        <f t="shared" si="0"/>
        <v>48.857142857142854</v>
      </c>
      <c r="P57" s="15">
        <f t="shared" si="1"/>
        <v>105.14285714285714</v>
      </c>
      <c r="R57" s="8"/>
      <c r="T57"/>
    </row>
    <row r="58" spans="2:20" ht="23.1" customHeight="1" x14ac:dyDescent="0.25">
      <c r="B58" s="23" t="s">
        <v>99</v>
      </c>
      <c r="C58" s="49">
        <f>'Avg Week Kayunga-Kangulumira'!C58+'Avg Week Kangulumira-Kayunga'!C58</f>
        <v>7</v>
      </c>
      <c r="D58" s="49">
        <f>'Avg Week Kayunga-Kangulumira'!D58+'Avg Week Kangulumira-Kayunga'!D58</f>
        <v>1.6</v>
      </c>
      <c r="E58" s="49">
        <f>'Avg Week Kayunga-Kangulumira'!E58+'Avg Week Kangulumira-Kayunga'!E58</f>
        <v>2.4</v>
      </c>
      <c r="F58" s="49">
        <f>'Avg Week Kayunga-Kangulumira'!F58+'Avg Week Kangulumira-Kayunga'!F58</f>
        <v>4</v>
      </c>
      <c r="G58" s="49">
        <f>'Avg Week Kayunga-Kangulumira'!G58+'Avg Week Kangulumira-Kayunga'!G58</f>
        <v>0</v>
      </c>
      <c r="H58" s="49">
        <f>'Avg Week Kayunga-Kangulumira'!H58+'Avg Week Kangulumira-Kayunga'!H58</f>
        <v>0</v>
      </c>
      <c r="I58" s="49">
        <f>'Avg Week Kayunga-Kangulumira'!I58+'Avg Week Kangulumira-Kayunga'!I58</f>
        <v>6</v>
      </c>
      <c r="J58" s="49">
        <f>'Avg Week Kayunga-Kangulumira'!J58+'Avg Week Kangulumira-Kayunga'!J58</f>
        <v>2</v>
      </c>
      <c r="K58" s="49">
        <f>'Avg Week Kayunga-Kangulumira'!K58+'Avg Week Kangulumira-Kayunga'!K58</f>
        <v>0</v>
      </c>
      <c r="L58" s="49">
        <f>'Avg Week Kayunga-Kangulumira'!L58+'Avg Week Kangulumira-Kayunga'!L58</f>
        <v>0</v>
      </c>
      <c r="M58" s="49">
        <f>'Avg Week Kayunga-Kangulumira'!M58+'Avg Week Kangulumira-Kayunga'!M58</f>
        <v>44</v>
      </c>
      <c r="N58" s="49">
        <f>'Avg Week Kayunga-Kangulumira'!N58+'Avg Week Kangulumira-Kayunga'!N58</f>
        <v>0</v>
      </c>
      <c r="O58" s="15">
        <f t="shared" ref="O58:O105" si="35">SUM(C58:L58,N58)</f>
        <v>23</v>
      </c>
      <c r="P58" s="15">
        <f t="shared" ref="P58:P105" si="36">SUM(C58:N58)</f>
        <v>67</v>
      </c>
      <c r="R58" s="8"/>
      <c r="T58"/>
    </row>
    <row r="59" spans="2:20" ht="23.1" customHeight="1" x14ac:dyDescent="0.25">
      <c r="B59" s="23" t="s">
        <v>100</v>
      </c>
      <c r="C59" s="49">
        <f>'Avg Week Kayunga-Kangulumira'!C59+'Avg Week Kangulumira-Kayunga'!C59</f>
        <v>2</v>
      </c>
      <c r="D59" s="49">
        <f>'Avg Week Kayunga-Kangulumira'!D59+'Avg Week Kangulumira-Kayunga'!D59</f>
        <v>3.2</v>
      </c>
      <c r="E59" s="49">
        <f>'Avg Week Kayunga-Kangulumira'!E59+'Avg Week Kangulumira-Kayunga'!E59</f>
        <v>4.8</v>
      </c>
      <c r="F59" s="49">
        <f>'Avg Week Kayunga-Kangulumira'!F59+'Avg Week Kangulumira-Kayunga'!F59</f>
        <v>6</v>
      </c>
      <c r="G59" s="49">
        <f>'Avg Week Kayunga-Kangulumira'!G59+'Avg Week Kangulumira-Kayunga'!G59</f>
        <v>0</v>
      </c>
      <c r="H59" s="49">
        <f>'Avg Week Kayunga-Kangulumira'!H59+'Avg Week Kangulumira-Kayunga'!H59</f>
        <v>0</v>
      </c>
      <c r="I59" s="49">
        <f>'Avg Week Kayunga-Kangulumira'!I59+'Avg Week Kangulumira-Kayunga'!I59</f>
        <v>6</v>
      </c>
      <c r="J59" s="49">
        <f>'Avg Week Kayunga-Kangulumira'!J59+'Avg Week Kangulumira-Kayunga'!J59</f>
        <v>2</v>
      </c>
      <c r="K59" s="49">
        <f>'Avg Week Kayunga-Kangulumira'!K59+'Avg Week Kangulumira-Kayunga'!K59</f>
        <v>0</v>
      </c>
      <c r="L59" s="49">
        <f>'Avg Week Kayunga-Kangulumira'!L59+'Avg Week Kangulumira-Kayunga'!L59</f>
        <v>2</v>
      </c>
      <c r="M59" s="49">
        <f>'Avg Week Kayunga-Kangulumira'!M59+'Avg Week Kangulumira-Kayunga'!M59</f>
        <v>43</v>
      </c>
      <c r="N59" s="49">
        <f>'Avg Week Kayunga-Kangulumira'!N59+'Avg Week Kangulumira-Kayunga'!N59</f>
        <v>0</v>
      </c>
      <c r="O59" s="15">
        <f t="shared" si="35"/>
        <v>26</v>
      </c>
      <c r="P59" s="15">
        <f t="shared" si="36"/>
        <v>69</v>
      </c>
      <c r="R59" s="8"/>
      <c r="T59"/>
    </row>
    <row r="60" spans="2:20" ht="23.1" customHeight="1" x14ac:dyDescent="0.25">
      <c r="B60" s="23" t="s">
        <v>101</v>
      </c>
      <c r="C60" s="49">
        <f>'Avg Week Kayunga-Kangulumira'!C60+'Avg Week Kangulumira-Kayunga'!C60</f>
        <v>4</v>
      </c>
      <c r="D60" s="49">
        <f>'Avg Week Kayunga-Kangulumira'!D60+'Avg Week Kangulumira-Kayunga'!D60</f>
        <v>4.8000000000000007</v>
      </c>
      <c r="E60" s="49">
        <f>'Avg Week Kayunga-Kangulumira'!E60+'Avg Week Kangulumira-Kayunga'!E60</f>
        <v>7.1999999999999993</v>
      </c>
      <c r="F60" s="49">
        <f>'Avg Week Kayunga-Kangulumira'!F60+'Avg Week Kangulumira-Kayunga'!F60</f>
        <v>4</v>
      </c>
      <c r="G60" s="49">
        <f>'Avg Week Kayunga-Kangulumira'!G60+'Avg Week Kangulumira-Kayunga'!G60</f>
        <v>0</v>
      </c>
      <c r="H60" s="49">
        <f>'Avg Week Kayunga-Kangulumira'!H60+'Avg Week Kangulumira-Kayunga'!H60</f>
        <v>2</v>
      </c>
      <c r="I60" s="49">
        <f>'Avg Week Kayunga-Kangulumira'!I60+'Avg Week Kangulumira-Kayunga'!I60</f>
        <v>4</v>
      </c>
      <c r="J60" s="49">
        <f>'Avg Week Kayunga-Kangulumira'!J60+'Avg Week Kangulumira-Kayunga'!J60</f>
        <v>0</v>
      </c>
      <c r="K60" s="49">
        <f>'Avg Week Kayunga-Kangulumira'!K60+'Avg Week Kangulumira-Kayunga'!K60</f>
        <v>2</v>
      </c>
      <c r="L60" s="49">
        <f>'Avg Week Kayunga-Kangulumira'!L60+'Avg Week Kangulumira-Kayunga'!L60</f>
        <v>2</v>
      </c>
      <c r="M60" s="49">
        <f>'Avg Week Kayunga-Kangulumira'!M60+'Avg Week Kangulumira-Kayunga'!M60</f>
        <v>30</v>
      </c>
      <c r="N60" s="49">
        <f>'Avg Week Kayunga-Kangulumira'!N60+'Avg Week Kangulumira-Kayunga'!N60</f>
        <v>0</v>
      </c>
      <c r="O60" s="15">
        <f t="shared" si="35"/>
        <v>30</v>
      </c>
      <c r="P60" s="15">
        <f t="shared" si="36"/>
        <v>60</v>
      </c>
      <c r="R60" s="8"/>
      <c r="T60"/>
    </row>
    <row r="61" spans="2:20" ht="23.1" customHeight="1" x14ac:dyDescent="0.25">
      <c r="B61" s="23" t="s">
        <v>102</v>
      </c>
      <c r="C61" s="49">
        <f>'Avg Week Kayunga-Kangulumira'!C61+'Avg Week Kangulumira-Kayunga'!C61</f>
        <v>2</v>
      </c>
      <c r="D61" s="49">
        <f>'Avg Week Kayunga-Kangulumira'!D61+'Avg Week Kangulumira-Kayunga'!D61</f>
        <v>3.2</v>
      </c>
      <c r="E61" s="49">
        <f>'Avg Week Kayunga-Kangulumira'!E61+'Avg Week Kangulumira-Kayunga'!E61</f>
        <v>4.8</v>
      </c>
      <c r="F61" s="49">
        <f>'Avg Week Kayunga-Kangulumira'!F61+'Avg Week Kangulumira-Kayunga'!F61</f>
        <v>6</v>
      </c>
      <c r="G61" s="49">
        <f>'Avg Week Kayunga-Kangulumira'!G61+'Avg Week Kangulumira-Kayunga'!G61</f>
        <v>2</v>
      </c>
      <c r="H61" s="49">
        <f>'Avg Week Kayunga-Kangulumira'!H61+'Avg Week Kangulumira-Kayunga'!H61</f>
        <v>2</v>
      </c>
      <c r="I61" s="49">
        <f>'Avg Week Kayunga-Kangulumira'!I61+'Avg Week Kangulumira-Kayunga'!I61</f>
        <v>8</v>
      </c>
      <c r="J61" s="49">
        <f>'Avg Week Kayunga-Kangulumira'!J61+'Avg Week Kangulumira-Kayunga'!J61</f>
        <v>2</v>
      </c>
      <c r="K61" s="49">
        <f>'Avg Week Kayunga-Kangulumira'!K61+'Avg Week Kangulumira-Kayunga'!K61</f>
        <v>2</v>
      </c>
      <c r="L61" s="49">
        <f>'Avg Week Kayunga-Kangulumira'!L61+'Avg Week Kangulumira-Kayunga'!L61</f>
        <v>0</v>
      </c>
      <c r="M61" s="49">
        <f>'Avg Week Kayunga-Kangulumira'!M61+'Avg Week Kangulumira-Kayunga'!M61</f>
        <v>35</v>
      </c>
      <c r="N61" s="49">
        <f>'Avg Week Kayunga-Kangulumira'!N61+'Avg Week Kangulumira-Kayunga'!N61</f>
        <v>0</v>
      </c>
      <c r="O61" s="15">
        <f t="shared" si="35"/>
        <v>32</v>
      </c>
      <c r="P61" s="15">
        <f t="shared" si="36"/>
        <v>67</v>
      </c>
      <c r="R61" s="8"/>
      <c r="T61"/>
    </row>
    <row r="62" spans="2:20" ht="23.1" customHeight="1" x14ac:dyDescent="0.25">
      <c r="B62" s="23" t="s">
        <v>107</v>
      </c>
      <c r="C62" s="49">
        <f>'Avg Week Kayunga-Kangulumira'!C62+'Avg Week Kangulumira-Kayunga'!C62</f>
        <v>6</v>
      </c>
      <c r="D62" s="49">
        <f>'Avg Week Kayunga-Kangulumira'!D62+'Avg Week Kangulumira-Kayunga'!D62</f>
        <v>4.8000000000000007</v>
      </c>
      <c r="E62" s="49">
        <f>'Avg Week Kayunga-Kangulumira'!E62+'Avg Week Kangulumira-Kayunga'!E62</f>
        <v>7.1999999999999993</v>
      </c>
      <c r="F62" s="49">
        <f>'Avg Week Kayunga-Kangulumira'!F62+'Avg Week Kangulumira-Kayunga'!F62</f>
        <v>2</v>
      </c>
      <c r="G62" s="49">
        <f>'Avg Week Kayunga-Kangulumira'!G62+'Avg Week Kangulumira-Kayunga'!G62</f>
        <v>0</v>
      </c>
      <c r="H62" s="49">
        <f>'Avg Week Kayunga-Kangulumira'!H62+'Avg Week Kangulumira-Kayunga'!H62</f>
        <v>0</v>
      </c>
      <c r="I62" s="49">
        <f>'Avg Week Kayunga-Kangulumira'!I62+'Avg Week Kangulumira-Kayunga'!I62</f>
        <v>8</v>
      </c>
      <c r="J62" s="49">
        <f>'Avg Week Kayunga-Kangulumira'!J62+'Avg Week Kangulumira-Kayunga'!J62</f>
        <v>2</v>
      </c>
      <c r="K62" s="49">
        <f>'Avg Week Kayunga-Kangulumira'!K62+'Avg Week Kangulumira-Kayunga'!K62</f>
        <v>2</v>
      </c>
      <c r="L62" s="49">
        <f>'Avg Week Kayunga-Kangulumira'!L62+'Avg Week Kangulumira-Kayunga'!L62</f>
        <v>0</v>
      </c>
      <c r="M62" s="49">
        <f>'Avg Week Kayunga-Kangulumira'!M62+'Avg Week Kangulumira-Kayunga'!M62</f>
        <v>38</v>
      </c>
      <c r="N62" s="49">
        <f>'Avg Week Kayunga-Kangulumira'!N62+'Avg Week Kangulumira-Kayunga'!N62</f>
        <v>0</v>
      </c>
      <c r="O62" s="15">
        <f t="shared" si="35"/>
        <v>32</v>
      </c>
      <c r="P62" s="15">
        <f t="shared" si="36"/>
        <v>70</v>
      </c>
      <c r="R62" s="8"/>
      <c r="T62"/>
    </row>
    <row r="63" spans="2:20" ht="23.1" customHeight="1" x14ac:dyDescent="0.25">
      <c r="B63" s="23" t="s">
        <v>108</v>
      </c>
      <c r="C63" s="49">
        <f>'Avg Week Kayunga-Kangulumira'!C63+'Avg Week Kangulumira-Kayunga'!C63</f>
        <v>8</v>
      </c>
      <c r="D63" s="49">
        <f>'Avg Week Kayunga-Kangulumira'!D63+'Avg Week Kangulumira-Kayunga'!D63</f>
        <v>0.8</v>
      </c>
      <c r="E63" s="49">
        <f>'Avg Week Kayunga-Kangulumira'!E63+'Avg Week Kangulumira-Kayunga'!E63</f>
        <v>1.2</v>
      </c>
      <c r="F63" s="49">
        <f>'Avg Week Kayunga-Kangulumira'!F63+'Avg Week Kangulumira-Kayunga'!F63</f>
        <v>8</v>
      </c>
      <c r="G63" s="49">
        <f>'Avg Week Kayunga-Kangulumira'!G63+'Avg Week Kangulumira-Kayunga'!G63</f>
        <v>0</v>
      </c>
      <c r="H63" s="49">
        <f>'Avg Week Kayunga-Kangulumira'!H63+'Avg Week Kangulumira-Kayunga'!H63</f>
        <v>0</v>
      </c>
      <c r="I63" s="49">
        <f>'Avg Week Kayunga-Kangulumira'!I63+'Avg Week Kangulumira-Kayunga'!I63</f>
        <v>4</v>
      </c>
      <c r="J63" s="49">
        <f>'Avg Week Kayunga-Kangulumira'!J63+'Avg Week Kangulumira-Kayunga'!J63</f>
        <v>2</v>
      </c>
      <c r="K63" s="49">
        <f>'Avg Week Kayunga-Kangulumira'!K63+'Avg Week Kangulumira-Kayunga'!K63</f>
        <v>2</v>
      </c>
      <c r="L63" s="49">
        <f>'Avg Week Kayunga-Kangulumira'!L63+'Avg Week Kangulumira-Kayunga'!L63</f>
        <v>0</v>
      </c>
      <c r="M63" s="49">
        <f>'Avg Week Kayunga-Kangulumira'!M63+'Avg Week Kangulumira-Kayunga'!M63</f>
        <v>32</v>
      </c>
      <c r="N63" s="49">
        <f>'Avg Week Kayunga-Kangulumira'!N63+'Avg Week Kangulumira-Kayunga'!N63</f>
        <v>0</v>
      </c>
      <c r="O63" s="15">
        <f t="shared" si="35"/>
        <v>26</v>
      </c>
      <c r="P63" s="15">
        <f t="shared" si="36"/>
        <v>58</v>
      </c>
      <c r="R63" s="8"/>
      <c r="T63"/>
    </row>
    <row r="64" spans="2:20" ht="23.1" customHeight="1" x14ac:dyDescent="0.25">
      <c r="B64" s="23" t="s">
        <v>109</v>
      </c>
      <c r="C64" s="49">
        <f>'Avg Week Kayunga-Kangulumira'!C64+'Avg Week Kangulumira-Kayunga'!C64</f>
        <v>2</v>
      </c>
      <c r="D64" s="49">
        <f>'Avg Week Kayunga-Kangulumira'!D64+'Avg Week Kangulumira-Kayunga'!D64</f>
        <v>4</v>
      </c>
      <c r="E64" s="49">
        <f>'Avg Week Kayunga-Kangulumira'!E64+'Avg Week Kangulumira-Kayunga'!E64</f>
        <v>6</v>
      </c>
      <c r="F64" s="49">
        <f>'Avg Week Kayunga-Kangulumira'!F64+'Avg Week Kangulumira-Kayunga'!F64</f>
        <v>6</v>
      </c>
      <c r="G64" s="49">
        <f>'Avg Week Kayunga-Kangulumira'!G64+'Avg Week Kangulumira-Kayunga'!G64</f>
        <v>2</v>
      </c>
      <c r="H64" s="49">
        <f>'Avg Week Kayunga-Kangulumira'!H64+'Avg Week Kangulumira-Kayunga'!H64</f>
        <v>2</v>
      </c>
      <c r="I64" s="49">
        <f>'Avg Week Kayunga-Kangulumira'!I64+'Avg Week Kangulumira-Kayunga'!I64</f>
        <v>6</v>
      </c>
      <c r="J64" s="49">
        <f>'Avg Week Kayunga-Kangulumira'!J64+'Avg Week Kangulumira-Kayunga'!J64</f>
        <v>2</v>
      </c>
      <c r="K64" s="49">
        <f>'Avg Week Kayunga-Kangulumira'!K64+'Avg Week Kangulumira-Kayunga'!K64</f>
        <v>2</v>
      </c>
      <c r="L64" s="49">
        <f>'Avg Week Kayunga-Kangulumira'!L64+'Avg Week Kangulumira-Kayunga'!L64</f>
        <v>0</v>
      </c>
      <c r="M64" s="49">
        <f>'Avg Week Kayunga-Kangulumira'!M64+'Avg Week Kangulumira-Kayunga'!M64</f>
        <v>31</v>
      </c>
      <c r="N64" s="49">
        <f>'Avg Week Kayunga-Kangulumira'!N64+'Avg Week Kangulumira-Kayunga'!N64</f>
        <v>0</v>
      </c>
      <c r="O64" s="15">
        <f t="shared" si="35"/>
        <v>32</v>
      </c>
      <c r="P64" s="15">
        <f t="shared" si="36"/>
        <v>63</v>
      </c>
      <c r="R64" s="8"/>
      <c r="T64"/>
    </row>
    <row r="65" spans="2:20" ht="23.1" customHeight="1" x14ac:dyDescent="0.25">
      <c r="B65" s="23" t="s">
        <v>158</v>
      </c>
      <c r="C65" s="49">
        <f>'Avg Week Kayunga-Kangulumira'!C65+'Avg Week Kangulumira-Kayunga'!C65</f>
        <v>8</v>
      </c>
      <c r="D65" s="49">
        <f>'Avg Week Kayunga-Kangulumira'!D65+'Avg Week Kangulumira-Kayunga'!D65</f>
        <v>0.8</v>
      </c>
      <c r="E65" s="49">
        <f>'Avg Week Kayunga-Kangulumira'!E65+'Avg Week Kangulumira-Kayunga'!E65</f>
        <v>1.2</v>
      </c>
      <c r="F65" s="49">
        <f>'Avg Week Kayunga-Kangulumira'!F65+'Avg Week Kangulumira-Kayunga'!F65</f>
        <v>8</v>
      </c>
      <c r="G65" s="49">
        <f>'Avg Week Kayunga-Kangulumira'!G65+'Avg Week Kangulumira-Kayunga'!G65</f>
        <v>0</v>
      </c>
      <c r="H65" s="49">
        <f>'Avg Week Kayunga-Kangulumira'!H65+'Avg Week Kangulumira-Kayunga'!H65</f>
        <v>0</v>
      </c>
      <c r="I65" s="49">
        <f>'Avg Week Kayunga-Kangulumira'!I65+'Avg Week Kangulumira-Kayunga'!I65</f>
        <v>2</v>
      </c>
      <c r="J65" s="49">
        <f>'Avg Week Kayunga-Kangulumira'!J65+'Avg Week Kangulumira-Kayunga'!J65</f>
        <v>2</v>
      </c>
      <c r="K65" s="49">
        <f>'Avg Week Kayunga-Kangulumira'!K65+'Avg Week Kangulumira-Kayunga'!K65</f>
        <v>0</v>
      </c>
      <c r="L65" s="49">
        <f>'Avg Week Kayunga-Kangulumira'!L65+'Avg Week Kangulumira-Kayunga'!L65</f>
        <v>2</v>
      </c>
      <c r="M65" s="49">
        <f>'Avg Week Kayunga-Kangulumira'!M65+'Avg Week Kangulumira-Kayunga'!M65</f>
        <v>26</v>
      </c>
      <c r="N65" s="49">
        <f>'Avg Week Kayunga-Kangulumira'!N65+'Avg Week Kangulumira-Kayunga'!N65</f>
        <v>0</v>
      </c>
      <c r="O65" s="15">
        <f t="shared" si="35"/>
        <v>24</v>
      </c>
      <c r="P65" s="15">
        <f t="shared" si="36"/>
        <v>50</v>
      </c>
      <c r="R65" s="8"/>
      <c r="T65"/>
    </row>
    <row r="66" spans="2:20" ht="23.1" customHeight="1" x14ac:dyDescent="0.25">
      <c r="B66" s="23" t="s">
        <v>103</v>
      </c>
      <c r="C66" s="49">
        <f>'Avg Week Kayunga-Kangulumira'!C66+'Avg Week Kangulumira-Kayunga'!C66</f>
        <v>4</v>
      </c>
      <c r="D66" s="49">
        <f>'Avg Week Kayunga-Kangulumira'!D66+'Avg Week Kangulumira-Kayunga'!D66</f>
        <v>3.2</v>
      </c>
      <c r="E66" s="49">
        <f>'Avg Week Kayunga-Kangulumira'!E66+'Avg Week Kangulumira-Kayunga'!E66</f>
        <v>4.8</v>
      </c>
      <c r="F66" s="49">
        <f>'Avg Week Kayunga-Kangulumira'!F66+'Avg Week Kangulumira-Kayunga'!F66</f>
        <v>4</v>
      </c>
      <c r="G66" s="49">
        <f>'Avg Week Kayunga-Kangulumira'!G66+'Avg Week Kangulumira-Kayunga'!G66</f>
        <v>0</v>
      </c>
      <c r="H66" s="49">
        <f>'Avg Week Kayunga-Kangulumira'!H66+'Avg Week Kangulumira-Kayunga'!H66</f>
        <v>0</v>
      </c>
      <c r="I66" s="49">
        <f>'Avg Week Kayunga-Kangulumira'!I66+'Avg Week Kangulumira-Kayunga'!I66</f>
        <v>4</v>
      </c>
      <c r="J66" s="49">
        <f>'Avg Week Kayunga-Kangulumira'!J66+'Avg Week Kangulumira-Kayunga'!J66</f>
        <v>2</v>
      </c>
      <c r="K66" s="49">
        <f>'Avg Week Kayunga-Kangulumira'!K66+'Avg Week Kangulumira-Kayunga'!K66</f>
        <v>2</v>
      </c>
      <c r="L66" s="49">
        <f>'Avg Week Kayunga-Kangulumira'!L66+'Avg Week Kangulumira-Kayunga'!L66</f>
        <v>2</v>
      </c>
      <c r="M66" s="49">
        <f>'Avg Week Kayunga-Kangulumira'!M66+'Avg Week Kangulumira-Kayunga'!M66</f>
        <v>29</v>
      </c>
      <c r="N66" s="49">
        <f>'Avg Week Kayunga-Kangulumira'!N66+'Avg Week Kangulumira-Kayunga'!N66</f>
        <v>0</v>
      </c>
      <c r="O66" s="15">
        <f t="shared" si="35"/>
        <v>26</v>
      </c>
      <c r="P66" s="15">
        <f t="shared" si="36"/>
        <v>55</v>
      </c>
      <c r="R66" s="8"/>
      <c r="T66"/>
    </row>
    <row r="67" spans="2:20" ht="23.1" customHeight="1" x14ac:dyDescent="0.25">
      <c r="B67" s="23" t="s">
        <v>104</v>
      </c>
      <c r="C67" s="49">
        <f>'Avg Week Kayunga-Kangulumira'!C67+'Avg Week Kangulumira-Kayunga'!C67</f>
        <v>4</v>
      </c>
      <c r="D67" s="49">
        <f>'Avg Week Kayunga-Kangulumira'!D67+'Avg Week Kangulumira-Kayunga'!D67</f>
        <v>1.6</v>
      </c>
      <c r="E67" s="49">
        <f>'Avg Week Kayunga-Kangulumira'!E67+'Avg Week Kangulumira-Kayunga'!E67</f>
        <v>2.4</v>
      </c>
      <c r="F67" s="49">
        <f>'Avg Week Kayunga-Kangulumira'!F67+'Avg Week Kangulumira-Kayunga'!F67</f>
        <v>6</v>
      </c>
      <c r="G67" s="49">
        <f>'Avg Week Kayunga-Kangulumira'!G67+'Avg Week Kangulumira-Kayunga'!G67</f>
        <v>0</v>
      </c>
      <c r="H67" s="49">
        <f>'Avg Week Kayunga-Kangulumira'!H67+'Avg Week Kangulumira-Kayunga'!H67</f>
        <v>2</v>
      </c>
      <c r="I67" s="49">
        <f>'Avg Week Kayunga-Kangulumira'!I67+'Avg Week Kangulumira-Kayunga'!I67</f>
        <v>6</v>
      </c>
      <c r="J67" s="49">
        <f>'Avg Week Kayunga-Kangulumira'!J67+'Avg Week Kangulumira-Kayunga'!J67</f>
        <v>0</v>
      </c>
      <c r="K67" s="49">
        <f>'Avg Week Kayunga-Kangulumira'!K67+'Avg Week Kangulumira-Kayunga'!K67</f>
        <v>0</v>
      </c>
      <c r="L67" s="49">
        <f>'Avg Week Kayunga-Kangulumira'!L67+'Avg Week Kangulumira-Kayunga'!L67</f>
        <v>0</v>
      </c>
      <c r="M67" s="49">
        <f>'Avg Week Kayunga-Kangulumira'!M67+'Avg Week Kangulumira-Kayunga'!M67</f>
        <v>25</v>
      </c>
      <c r="N67" s="49">
        <f>'Avg Week Kayunga-Kangulumira'!N67+'Avg Week Kangulumira-Kayunga'!N67</f>
        <v>0</v>
      </c>
      <c r="O67" s="15">
        <f t="shared" si="35"/>
        <v>22</v>
      </c>
      <c r="P67" s="15">
        <f t="shared" si="36"/>
        <v>47</v>
      </c>
      <c r="R67" s="8"/>
      <c r="T67"/>
    </row>
    <row r="68" spans="2:20" ht="23.1" customHeight="1" x14ac:dyDescent="0.25">
      <c r="B68" s="23" t="s">
        <v>105</v>
      </c>
      <c r="C68" s="49">
        <f>'Avg Week Kayunga-Kangulumira'!C68+'Avg Week Kangulumira-Kayunga'!C68</f>
        <v>6</v>
      </c>
      <c r="D68" s="49">
        <f>'Avg Week Kayunga-Kangulumira'!D68+'Avg Week Kangulumira-Kayunga'!D68</f>
        <v>2.4000000000000004</v>
      </c>
      <c r="E68" s="49">
        <f>'Avg Week Kayunga-Kangulumira'!E68+'Avg Week Kangulumira-Kayunga'!E68</f>
        <v>3.5999999999999996</v>
      </c>
      <c r="F68" s="49">
        <f>'Avg Week Kayunga-Kangulumira'!F68+'Avg Week Kangulumira-Kayunga'!F68</f>
        <v>2</v>
      </c>
      <c r="G68" s="49">
        <f>'Avg Week Kayunga-Kangulumira'!G68+'Avg Week Kangulumira-Kayunga'!G68</f>
        <v>2</v>
      </c>
      <c r="H68" s="49">
        <f>'Avg Week Kayunga-Kangulumira'!H68+'Avg Week Kangulumira-Kayunga'!H68</f>
        <v>2</v>
      </c>
      <c r="I68" s="49">
        <f>'Avg Week Kayunga-Kangulumira'!I68+'Avg Week Kangulumira-Kayunga'!I68</f>
        <v>6</v>
      </c>
      <c r="J68" s="49">
        <f>'Avg Week Kayunga-Kangulumira'!J68+'Avg Week Kangulumira-Kayunga'!J68</f>
        <v>0</v>
      </c>
      <c r="K68" s="49">
        <f>'Avg Week Kayunga-Kangulumira'!K68+'Avg Week Kangulumira-Kayunga'!K68</f>
        <v>0</v>
      </c>
      <c r="L68" s="49">
        <f>'Avg Week Kayunga-Kangulumira'!L68+'Avg Week Kangulumira-Kayunga'!L68</f>
        <v>2</v>
      </c>
      <c r="M68" s="49">
        <f>'Avg Week Kayunga-Kangulumira'!M68+'Avg Week Kangulumira-Kayunga'!M68</f>
        <v>20</v>
      </c>
      <c r="N68" s="49">
        <f>'Avg Week Kayunga-Kangulumira'!N68+'Avg Week Kangulumira-Kayunga'!N68</f>
        <v>0</v>
      </c>
      <c r="O68" s="15">
        <f t="shared" si="35"/>
        <v>26</v>
      </c>
      <c r="P68" s="15">
        <f t="shared" si="36"/>
        <v>46</v>
      </c>
      <c r="R68" s="8"/>
      <c r="T68"/>
    </row>
    <row r="69" spans="2:20" ht="23.1" customHeight="1" x14ac:dyDescent="0.25">
      <c r="B69" s="23" t="s">
        <v>106</v>
      </c>
      <c r="C69" s="49">
        <f>'Avg Week Kayunga-Kangulumira'!C69+'Avg Week Kangulumira-Kayunga'!C69</f>
        <v>4</v>
      </c>
      <c r="D69" s="49">
        <f>'Avg Week Kayunga-Kangulumira'!D69+'Avg Week Kangulumira-Kayunga'!D69</f>
        <v>3.2</v>
      </c>
      <c r="E69" s="49">
        <f>'Avg Week Kayunga-Kangulumira'!E69+'Avg Week Kangulumira-Kayunga'!E69</f>
        <v>4.8</v>
      </c>
      <c r="F69" s="49">
        <f>'Avg Week Kayunga-Kangulumira'!F69+'Avg Week Kangulumira-Kayunga'!F69</f>
        <v>6</v>
      </c>
      <c r="G69" s="49">
        <f>'Avg Week Kayunga-Kangulumira'!G69+'Avg Week Kangulumira-Kayunga'!G69</f>
        <v>0</v>
      </c>
      <c r="H69" s="49">
        <f>'Avg Week Kayunga-Kangulumira'!H69+'Avg Week Kangulumira-Kayunga'!H69</f>
        <v>2</v>
      </c>
      <c r="I69" s="49">
        <f>'Avg Week Kayunga-Kangulumira'!I69+'Avg Week Kangulumira-Kayunga'!I69</f>
        <v>6</v>
      </c>
      <c r="J69" s="49">
        <f>'Avg Week Kayunga-Kangulumira'!J69+'Avg Week Kangulumira-Kayunga'!J69</f>
        <v>2</v>
      </c>
      <c r="K69" s="49">
        <f>'Avg Week Kayunga-Kangulumira'!K69+'Avg Week Kangulumira-Kayunga'!K69</f>
        <v>2</v>
      </c>
      <c r="L69" s="49">
        <f>'Avg Week Kayunga-Kangulumira'!L69+'Avg Week Kangulumira-Kayunga'!L69</f>
        <v>0</v>
      </c>
      <c r="M69" s="49">
        <f>'Avg Week Kayunga-Kangulumira'!M69+'Avg Week Kangulumira-Kayunga'!M69</f>
        <v>19</v>
      </c>
      <c r="N69" s="49">
        <f>'Avg Week Kayunga-Kangulumira'!N69+'Avg Week Kangulumira-Kayunga'!N69</f>
        <v>0</v>
      </c>
      <c r="O69" s="15">
        <f t="shared" si="35"/>
        <v>30</v>
      </c>
      <c r="P69" s="15">
        <f t="shared" si="36"/>
        <v>49</v>
      </c>
      <c r="R69" s="8"/>
      <c r="T69"/>
    </row>
    <row r="70" spans="2:20" ht="23.1" customHeight="1" x14ac:dyDescent="0.25">
      <c r="B70" s="23" t="s">
        <v>110</v>
      </c>
      <c r="C70" s="49">
        <f>'Avg Week Kayunga-Kangulumira'!C70+'Avg Week Kangulumira-Kayunga'!C70</f>
        <v>4</v>
      </c>
      <c r="D70" s="49">
        <f>'Avg Week Kayunga-Kangulumira'!D70+'Avg Week Kangulumira-Kayunga'!D70</f>
        <v>1.6</v>
      </c>
      <c r="E70" s="49">
        <f>'Avg Week Kayunga-Kangulumira'!E70+'Avg Week Kangulumira-Kayunga'!E70</f>
        <v>2.4</v>
      </c>
      <c r="F70" s="49">
        <f>'Avg Week Kayunga-Kangulumira'!F70+'Avg Week Kangulumira-Kayunga'!F70</f>
        <v>2</v>
      </c>
      <c r="G70" s="49">
        <f>'Avg Week Kayunga-Kangulumira'!G70+'Avg Week Kangulumira-Kayunga'!G70</f>
        <v>0</v>
      </c>
      <c r="H70" s="49">
        <f>'Avg Week Kayunga-Kangulumira'!H70+'Avg Week Kangulumira-Kayunga'!H70</f>
        <v>0</v>
      </c>
      <c r="I70" s="49">
        <f>'Avg Week Kayunga-Kangulumira'!I70+'Avg Week Kangulumira-Kayunga'!I70</f>
        <v>2</v>
      </c>
      <c r="J70" s="49">
        <f>'Avg Week Kayunga-Kangulumira'!J70+'Avg Week Kangulumira-Kayunga'!J70</f>
        <v>0</v>
      </c>
      <c r="K70" s="49">
        <f>'Avg Week Kayunga-Kangulumira'!K70+'Avg Week Kangulumira-Kayunga'!K70</f>
        <v>0</v>
      </c>
      <c r="L70" s="49">
        <f>'Avg Week Kayunga-Kangulumira'!L70+'Avg Week Kangulumira-Kayunga'!L70</f>
        <v>0</v>
      </c>
      <c r="M70" s="49">
        <f>'Avg Week Kayunga-Kangulumira'!M70+'Avg Week Kangulumira-Kayunga'!M70</f>
        <v>10</v>
      </c>
      <c r="N70" s="49">
        <f>'Avg Week Kayunga-Kangulumira'!N70+'Avg Week Kangulumira-Kayunga'!N70</f>
        <v>0</v>
      </c>
      <c r="O70" s="15">
        <f t="shared" si="35"/>
        <v>12</v>
      </c>
      <c r="P70" s="15">
        <f t="shared" si="36"/>
        <v>22</v>
      </c>
      <c r="R70" s="8"/>
      <c r="T70"/>
    </row>
    <row r="71" spans="2:20" ht="23.1" customHeight="1" x14ac:dyDescent="0.25">
      <c r="B71" s="23" t="s">
        <v>111</v>
      </c>
      <c r="C71" s="49">
        <f>'Avg Week Kayunga-Kangulumira'!C71+'Avg Week Kangulumira-Kayunga'!C71</f>
        <v>10</v>
      </c>
      <c r="D71" s="49">
        <f>'Avg Week Kayunga-Kangulumira'!D71+'Avg Week Kangulumira-Kayunga'!D71</f>
        <v>3.2</v>
      </c>
      <c r="E71" s="49">
        <f>'Avg Week Kayunga-Kangulumira'!E71+'Avg Week Kangulumira-Kayunga'!E71</f>
        <v>4.8</v>
      </c>
      <c r="F71" s="49">
        <f>'Avg Week Kayunga-Kangulumira'!F71+'Avg Week Kangulumira-Kayunga'!F71</f>
        <v>4</v>
      </c>
      <c r="G71" s="49">
        <f>'Avg Week Kayunga-Kangulumira'!G71+'Avg Week Kangulumira-Kayunga'!G71</f>
        <v>0</v>
      </c>
      <c r="H71" s="49">
        <f>'Avg Week Kayunga-Kangulumira'!H71+'Avg Week Kangulumira-Kayunga'!H71</f>
        <v>0</v>
      </c>
      <c r="I71" s="49">
        <f>'Avg Week Kayunga-Kangulumira'!I71+'Avg Week Kangulumira-Kayunga'!I71</f>
        <v>4</v>
      </c>
      <c r="J71" s="49">
        <f>'Avg Week Kayunga-Kangulumira'!J71+'Avg Week Kangulumira-Kayunga'!J71</f>
        <v>2</v>
      </c>
      <c r="K71" s="49">
        <f>'Avg Week Kayunga-Kangulumira'!K71+'Avg Week Kangulumira-Kayunga'!K71</f>
        <v>0</v>
      </c>
      <c r="L71" s="49">
        <f>'Avg Week Kayunga-Kangulumira'!L71+'Avg Week Kangulumira-Kayunga'!L71</f>
        <v>0</v>
      </c>
      <c r="M71" s="49">
        <f>'Avg Week Kayunga-Kangulumira'!M71+'Avg Week Kangulumira-Kayunga'!M71</f>
        <v>6</v>
      </c>
      <c r="N71" s="49">
        <f>'Avg Week Kayunga-Kangulumira'!N71+'Avg Week Kangulumira-Kayunga'!N71</f>
        <v>0</v>
      </c>
      <c r="O71" s="15">
        <f t="shared" si="35"/>
        <v>28</v>
      </c>
      <c r="P71" s="15">
        <f t="shared" si="36"/>
        <v>34</v>
      </c>
      <c r="R71" s="8"/>
      <c r="T71"/>
    </row>
    <row r="72" spans="2:20" ht="23.1" customHeight="1" x14ac:dyDescent="0.25">
      <c r="B72" s="23" t="s">
        <v>112</v>
      </c>
      <c r="C72" s="49">
        <f>'Avg Week Kayunga-Kangulumira'!C72+'Avg Week Kangulumira-Kayunga'!C72</f>
        <v>2</v>
      </c>
      <c r="D72" s="49">
        <f>'Avg Week Kayunga-Kangulumira'!D72+'Avg Week Kangulumira-Kayunga'!D72</f>
        <v>0.8</v>
      </c>
      <c r="E72" s="49">
        <f>'Avg Week Kayunga-Kangulumira'!E72+'Avg Week Kangulumira-Kayunga'!E72</f>
        <v>1.2</v>
      </c>
      <c r="F72" s="49">
        <f>'Avg Week Kayunga-Kangulumira'!F72+'Avg Week Kangulumira-Kayunga'!F72</f>
        <v>2</v>
      </c>
      <c r="G72" s="49">
        <f>'Avg Week Kayunga-Kangulumira'!G72+'Avg Week Kangulumira-Kayunga'!G72</f>
        <v>0</v>
      </c>
      <c r="H72" s="49">
        <f>'Avg Week Kayunga-Kangulumira'!H72+'Avg Week Kangulumira-Kayunga'!H72</f>
        <v>0</v>
      </c>
      <c r="I72" s="49">
        <f>'Avg Week Kayunga-Kangulumira'!I72+'Avg Week Kangulumira-Kayunga'!I72</f>
        <v>2</v>
      </c>
      <c r="J72" s="49">
        <f>'Avg Week Kayunga-Kangulumira'!J72+'Avg Week Kangulumira-Kayunga'!J72</f>
        <v>2</v>
      </c>
      <c r="K72" s="49">
        <f>'Avg Week Kayunga-Kangulumira'!K72+'Avg Week Kangulumira-Kayunga'!K72</f>
        <v>0</v>
      </c>
      <c r="L72" s="49">
        <f>'Avg Week Kayunga-Kangulumira'!L72+'Avg Week Kangulumira-Kayunga'!L72</f>
        <v>0</v>
      </c>
      <c r="M72" s="49">
        <f>'Avg Week Kayunga-Kangulumira'!M72+'Avg Week Kangulumira-Kayunga'!M72</f>
        <v>8</v>
      </c>
      <c r="N72" s="49">
        <f>'Avg Week Kayunga-Kangulumira'!N72+'Avg Week Kangulumira-Kayunga'!N72</f>
        <v>0</v>
      </c>
      <c r="O72" s="15">
        <f t="shared" si="35"/>
        <v>10</v>
      </c>
      <c r="P72" s="15">
        <f t="shared" si="36"/>
        <v>18</v>
      </c>
      <c r="R72" s="8"/>
      <c r="T72"/>
    </row>
    <row r="73" spans="2:20" ht="23.1" customHeight="1" x14ac:dyDescent="0.25">
      <c r="B73" s="23" t="s">
        <v>113</v>
      </c>
      <c r="C73" s="49">
        <f>'Avg Week Kayunga-Kangulumira'!C73+'Avg Week Kangulumira-Kayunga'!C73</f>
        <v>2</v>
      </c>
      <c r="D73" s="49">
        <f>'Avg Week Kayunga-Kangulumira'!D73+'Avg Week Kangulumira-Kayunga'!D73</f>
        <v>1.6</v>
      </c>
      <c r="E73" s="49">
        <f>'Avg Week Kayunga-Kangulumira'!E73+'Avg Week Kangulumira-Kayunga'!E73</f>
        <v>2.4</v>
      </c>
      <c r="F73" s="49">
        <f>'Avg Week Kayunga-Kangulumira'!F73+'Avg Week Kangulumira-Kayunga'!F73</f>
        <v>4</v>
      </c>
      <c r="G73" s="49">
        <f>'Avg Week Kayunga-Kangulumira'!G73+'Avg Week Kangulumira-Kayunga'!G73</f>
        <v>0</v>
      </c>
      <c r="H73" s="49">
        <f>'Avg Week Kayunga-Kangulumira'!H73+'Avg Week Kangulumira-Kayunga'!H73</f>
        <v>0</v>
      </c>
      <c r="I73" s="49">
        <f>'Avg Week Kayunga-Kangulumira'!I73+'Avg Week Kangulumira-Kayunga'!I73</f>
        <v>4</v>
      </c>
      <c r="J73" s="49">
        <f>'Avg Week Kayunga-Kangulumira'!J73+'Avg Week Kangulumira-Kayunga'!J73</f>
        <v>2</v>
      </c>
      <c r="K73" s="49">
        <f>'Avg Week Kayunga-Kangulumira'!K73+'Avg Week Kangulumira-Kayunga'!K73</f>
        <v>0</v>
      </c>
      <c r="L73" s="49">
        <f>'Avg Week Kayunga-Kangulumira'!L73+'Avg Week Kangulumira-Kayunga'!L73</f>
        <v>2</v>
      </c>
      <c r="M73" s="49">
        <f>'Avg Week Kayunga-Kangulumira'!M73+'Avg Week Kangulumira-Kayunga'!M73</f>
        <v>6</v>
      </c>
      <c r="N73" s="49">
        <f>'Avg Week Kayunga-Kangulumira'!N73+'Avg Week Kangulumira-Kayunga'!N73</f>
        <v>0</v>
      </c>
      <c r="O73" s="15">
        <f t="shared" si="35"/>
        <v>18</v>
      </c>
      <c r="P73" s="15">
        <f t="shared" si="36"/>
        <v>24</v>
      </c>
      <c r="R73" s="8"/>
      <c r="T73"/>
    </row>
    <row r="74" spans="2:20" ht="23.1" customHeight="1" x14ac:dyDescent="0.25">
      <c r="B74" s="23" t="s">
        <v>114</v>
      </c>
      <c r="C74" s="49">
        <f>'Avg Week Kayunga-Kangulumira'!C74+'Avg Week Kangulumira-Kayunga'!C74</f>
        <v>0</v>
      </c>
      <c r="D74" s="49">
        <f>'Avg Week Kayunga-Kangulumira'!D74+'Avg Week Kangulumira-Kayunga'!D74</f>
        <v>2.4000000000000004</v>
      </c>
      <c r="E74" s="49">
        <f>'Avg Week Kayunga-Kangulumira'!E74+'Avg Week Kangulumira-Kayunga'!E74</f>
        <v>3.5999999999999996</v>
      </c>
      <c r="F74" s="49">
        <f>'Avg Week Kayunga-Kangulumira'!F74+'Avg Week Kangulumira-Kayunga'!F74</f>
        <v>2</v>
      </c>
      <c r="G74" s="49">
        <f>'Avg Week Kayunga-Kangulumira'!G74+'Avg Week Kangulumira-Kayunga'!G74</f>
        <v>0</v>
      </c>
      <c r="H74" s="49">
        <f>'Avg Week Kayunga-Kangulumira'!H74+'Avg Week Kangulumira-Kayunga'!H74</f>
        <v>2</v>
      </c>
      <c r="I74" s="49">
        <f>'Avg Week Kayunga-Kangulumira'!I74+'Avg Week Kangulumira-Kayunga'!I74</f>
        <v>2</v>
      </c>
      <c r="J74" s="49">
        <f>'Avg Week Kayunga-Kangulumira'!J74+'Avg Week Kangulumira-Kayunga'!J74</f>
        <v>0</v>
      </c>
      <c r="K74" s="49">
        <f>'Avg Week Kayunga-Kangulumira'!K74+'Avg Week Kangulumira-Kayunga'!K74</f>
        <v>2</v>
      </c>
      <c r="L74" s="49">
        <f>'Avg Week Kayunga-Kangulumira'!L74+'Avg Week Kangulumira-Kayunga'!L74</f>
        <v>2</v>
      </c>
      <c r="M74" s="49">
        <f>'Avg Week Kayunga-Kangulumira'!M74+'Avg Week Kangulumira-Kayunga'!M74</f>
        <v>6</v>
      </c>
      <c r="N74" s="49">
        <f>'Avg Week Kayunga-Kangulumira'!N74+'Avg Week Kangulumira-Kayunga'!N74</f>
        <v>0</v>
      </c>
      <c r="O74" s="15">
        <f t="shared" si="35"/>
        <v>16</v>
      </c>
      <c r="P74" s="15">
        <f t="shared" si="36"/>
        <v>22</v>
      </c>
      <c r="R74" s="8"/>
      <c r="T74"/>
    </row>
    <row r="75" spans="2:20" ht="23.1" customHeight="1" x14ac:dyDescent="0.25">
      <c r="B75" s="23" t="s">
        <v>115</v>
      </c>
      <c r="C75" s="49">
        <f>'Avg Week Kayunga-Kangulumira'!C75+'Avg Week Kangulumira-Kayunga'!C75</f>
        <v>2</v>
      </c>
      <c r="D75" s="49">
        <f>'Avg Week Kayunga-Kangulumira'!D75+'Avg Week Kangulumira-Kayunga'!D75</f>
        <v>1.6</v>
      </c>
      <c r="E75" s="49">
        <f>'Avg Week Kayunga-Kangulumira'!E75+'Avg Week Kangulumira-Kayunga'!E75</f>
        <v>2.4</v>
      </c>
      <c r="F75" s="49">
        <f>'Avg Week Kayunga-Kangulumira'!F75+'Avg Week Kangulumira-Kayunga'!F75</f>
        <v>4</v>
      </c>
      <c r="G75" s="49">
        <f>'Avg Week Kayunga-Kangulumira'!G75+'Avg Week Kangulumira-Kayunga'!G75</f>
        <v>2</v>
      </c>
      <c r="H75" s="49">
        <f>'Avg Week Kayunga-Kangulumira'!H75+'Avg Week Kangulumira-Kayunga'!H75</f>
        <v>2</v>
      </c>
      <c r="I75" s="49">
        <f>'Avg Week Kayunga-Kangulumira'!I75+'Avg Week Kangulumira-Kayunga'!I75</f>
        <v>2</v>
      </c>
      <c r="J75" s="49">
        <f>'Avg Week Kayunga-Kangulumira'!J75+'Avg Week Kangulumira-Kayunga'!J75</f>
        <v>2</v>
      </c>
      <c r="K75" s="49">
        <f>'Avg Week Kayunga-Kangulumira'!K75+'Avg Week Kangulumira-Kayunga'!K75</f>
        <v>2</v>
      </c>
      <c r="L75" s="49">
        <f>'Avg Week Kayunga-Kangulumira'!L75+'Avg Week Kangulumira-Kayunga'!L75</f>
        <v>0</v>
      </c>
      <c r="M75" s="49">
        <f>'Avg Week Kayunga-Kangulumira'!M75+'Avg Week Kangulumira-Kayunga'!M75</f>
        <v>2</v>
      </c>
      <c r="N75" s="49">
        <f>'Avg Week Kayunga-Kangulumira'!N75+'Avg Week Kangulumira-Kayunga'!N75</f>
        <v>0</v>
      </c>
      <c r="O75" s="15">
        <f t="shared" si="35"/>
        <v>20</v>
      </c>
      <c r="P75" s="15">
        <f t="shared" si="36"/>
        <v>22</v>
      </c>
      <c r="R75" s="8"/>
      <c r="T75"/>
    </row>
    <row r="76" spans="2:20" ht="23.1" customHeight="1" x14ac:dyDescent="0.25">
      <c r="B76" s="23" t="s">
        <v>116</v>
      </c>
      <c r="C76" s="49">
        <f>'Avg Week Kayunga-Kangulumira'!C76+'Avg Week Kangulumira-Kayunga'!C76</f>
        <v>3</v>
      </c>
      <c r="D76" s="49">
        <f>'Avg Week Kayunga-Kangulumira'!D76+'Avg Week Kangulumira-Kayunga'!D76</f>
        <v>2.4000000000000004</v>
      </c>
      <c r="E76" s="49">
        <f>'Avg Week Kayunga-Kangulumira'!E76+'Avg Week Kangulumira-Kayunga'!E76</f>
        <v>3.5999999999999996</v>
      </c>
      <c r="F76" s="49">
        <f>'Avg Week Kayunga-Kangulumira'!F76+'Avg Week Kangulumira-Kayunga'!F76</f>
        <v>2</v>
      </c>
      <c r="G76" s="49">
        <f>'Avg Week Kayunga-Kangulumira'!G76+'Avg Week Kangulumira-Kayunga'!G76</f>
        <v>0</v>
      </c>
      <c r="H76" s="49">
        <f>'Avg Week Kayunga-Kangulumira'!H76+'Avg Week Kangulumira-Kayunga'!H76</f>
        <v>0</v>
      </c>
      <c r="I76" s="49">
        <f>'Avg Week Kayunga-Kangulumira'!I76+'Avg Week Kangulumira-Kayunga'!I76</f>
        <v>4</v>
      </c>
      <c r="J76" s="49">
        <f>'Avg Week Kayunga-Kangulumira'!J76+'Avg Week Kangulumira-Kayunga'!J76</f>
        <v>2</v>
      </c>
      <c r="K76" s="49">
        <f>'Avg Week Kayunga-Kangulumira'!K76+'Avg Week Kangulumira-Kayunga'!K76</f>
        <v>2</v>
      </c>
      <c r="L76" s="49">
        <f>'Avg Week Kayunga-Kangulumira'!L76+'Avg Week Kangulumira-Kayunga'!L76</f>
        <v>0</v>
      </c>
      <c r="M76" s="49">
        <f>'Avg Week Kayunga-Kangulumira'!M76+'Avg Week Kangulumira-Kayunga'!M76</f>
        <v>4</v>
      </c>
      <c r="N76" s="49">
        <f>'Avg Week Kayunga-Kangulumira'!N76+'Avg Week Kangulumira-Kayunga'!N76</f>
        <v>0</v>
      </c>
      <c r="O76" s="15">
        <f t="shared" si="35"/>
        <v>19</v>
      </c>
      <c r="P76" s="15">
        <f t="shared" si="36"/>
        <v>23</v>
      </c>
      <c r="R76" s="8"/>
      <c r="T76"/>
    </row>
    <row r="77" spans="2:20" ht="23.1" customHeight="1" x14ac:dyDescent="0.25">
      <c r="B77" s="23" t="s">
        <v>117</v>
      </c>
      <c r="C77" s="49">
        <f>'Avg Week Kayunga-Kangulumira'!C77+'Avg Week Kangulumira-Kayunga'!C77</f>
        <v>0</v>
      </c>
      <c r="D77" s="49">
        <f>'Avg Week Kayunga-Kangulumira'!D77+'Avg Week Kangulumira-Kayunga'!D77</f>
        <v>0.8</v>
      </c>
      <c r="E77" s="49">
        <f>'Avg Week Kayunga-Kangulumira'!E77+'Avg Week Kangulumira-Kayunga'!E77</f>
        <v>1.2</v>
      </c>
      <c r="F77" s="49">
        <f>'Avg Week Kayunga-Kangulumira'!F77+'Avg Week Kangulumira-Kayunga'!F77</f>
        <v>4</v>
      </c>
      <c r="G77" s="49">
        <f>'Avg Week Kayunga-Kangulumira'!G77+'Avg Week Kangulumira-Kayunga'!G77</f>
        <v>0</v>
      </c>
      <c r="H77" s="49">
        <f>'Avg Week Kayunga-Kangulumira'!H77+'Avg Week Kangulumira-Kayunga'!H77</f>
        <v>0</v>
      </c>
      <c r="I77" s="49">
        <f>'Avg Week Kayunga-Kangulumira'!I77+'Avg Week Kangulumira-Kayunga'!I77</f>
        <v>2</v>
      </c>
      <c r="J77" s="49">
        <f>'Avg Week Kayunga-Kangulumira'!J77+'Avg Week Kangulumira-Kayunga'!J77</f>
        <v>2</v>
      </c>
      <c r="K77" s="49">
        <f>'Avg Week Kayunga-Kangulumira'!K77+'Avg Week Kangulumira-Kayunga'!K77</f>
        <v>2</v>
      </c>
      <c r="L77" s="49">
        <f>'Avg Week Kayunga-Kangulumira'!L77+'Avg Week Kangulumira-Kayunga'!L77</f>
        <v>0</v>
      </c>
      <c r="M77" s="49">
        <f>'Avg Week Kayunga-Kangulumira'!M77+'Avg Week Kangulumira-Kayunga'!M77</f>
        <v>2</v>
      </c>
      <c r="N77" s="49">
        <f>'Avg Week Kayunga-Kangulumira'!N77+'Avg Week Kangulumira-Kayunga'!N77</f>
        <v>0</v>
      </c>
      <c r="O77" s="15">
        <f t="shared" si="35"/>
        <v>12</v>
      </c>
      <c r="P77" s="15">
        <f t="shared" si="36"/>
        <v>14</v>
      </c>
      <c r="R77" s="8"/>
      <c r="T77"/>
    </row>
    <row r="78" spans="2:20" ht="23.1" customHeight="1" x14ac:dyDescent="0.25">
      <c r="B78" s="24" t="s">
        <v>118</v>
      </c>
      <c r="C78" s="49">
        <f>'Avg Week Kayunga-Kangulumira'!C78+'Avg Week Kangulumira-Kayunga'!C78</f>
        <v>2</v>
      </c>
      <c r="D78" s="49">
        <f>'Avg Week Kayunga-Kangulumira'!D78+'Avg Week Kangulumira-Kayunga'!D78</f>
        <v>2.4000000000000004</v>
      </c>
      <c r="E78" s="49">
        <f>'Avg Week Kayunga-Kangulumira'!E78+'Avg Week Kangulumira-Kayunga'!E78</f>
        <v>3.5999999999999996</v>
      </c>
      <c r="F78" s="49">
        <f>'Avg Week Kayunga-Kangulumira'!F78+'Avg Week Kangulumira-Kayunga'!F78</f>
        <v>4</v>
      </c>
      <c r="G78" s="49">
        <f>'Avg Week Kayunga-Kangulumira'!G78+'Avg Week Kangulumira-Kayunga'!G78</f>
        <v>2</v>
      </c>
      <c r="H78" s="49">
        <f>'Avg Week Kayunga-Kangulumira'!H78+'Avg Week Kangulumira-Kayunga'!H78</f>
        <v>2</v>
      </c>
      <c r="I78" s="49">
        <f>'Avg Week Kayunga-Kangulumira'!I78+'Avg Week Kangulumira-Kayunga'!I78</f>
        <v>4</v>
      </c>
      <c r="J78" s="49">
        <f>'Avg Week Kayunga-Kangulumira'!J78+'Avg Week Kangulumira-Kayunga'!J78</f>
        <v>2</v>
      </c>
      <c r="K78" s="49">
        <f>'Avg Week Kayunga-Kangulumira'!K78+'Avg Week Kangulumira-Kayunga'!K78</f>
        <v>2</v>
      </c>
      <c r="L78" s="49">
        <f>'Avg Week Kayunga-Kangulumira'!L78+'Avg Week Kangulumira-Kayunga'!L78</f>
        <v>0</v>
      </c>
      <c r="M78" s="49">
        <f>'Avg Week Kayunga-Kangulumira'!M78+'Avg Week Kangulumira-Kayunga'!M78</f>
        <v>2</v>
      </c>
      <c r="N78" s="49">
        <f>'Avg Week Kayunga-Kangulumira'!N78+'Avg Week Kangulumira-Kayunga'!N78</f>
        <v>0</v>
      </c>
      <c r="O78" s="15">
        <f t="shared" si="35"/>
        <v>24</v>
      </c>
      <c r="P78" s="15">
        <f t="shared" si="36"/>
        <v>26</v>
      </c>
      <c r="R78" s="8"/>
      <c r="T78"/>
    </row>
    <row r="79" spans="2:20" ht="23.1" customHeight="1" x14ac:dyDescent="0.25">
      <c r="B79" s="23" t="s">
        <v>119</v>
      </c>
      <c r="C79" s="49">
        <f>'Avg Week Kayunga-Kangulumira'!C79+'Avg Week Kangulumira-Kayunga'!C79</f>
        <v>4</v>
      </c>
      <c r="D79" s="49">
        <f>'Avg Week Kayunga-Kangulumira'!D79+'Avg Week Kangulumira-Kayunga'!D79</f>
        <v>0.8</v>
      </c>
      <c r="E79" s="49">
        <f>'Avg Week Kayunga-Kangulumira'!E79+'Avg Week Kangulumira-Kayunga'!E79</f>
        <v>1.2</v>
      </c>
      <c r="F79" s="49">
        <f>'Avg Week Kayunga-Kangulumira'!F79+'Avg Week Kangulumira-Kayunga'!F79</f>
        <v>4</v>
      </c>
      <c r="G79" s="49">
        <f>'Avg Week Kayunga-Kangulumira'!G79+'Avg Week Kangulumira-Kayunga'!G79</f>
        <v>0</v>
      </c>
      <c r="H79" s="49">
        <f>'Avg Week Kayunga-Kangulumira'!H79+'Avg Week Kangulumira-Kayunga'!H79</f>
        <v>0</v>
      </c>
      <c r="I79" s="49">
        <f>'Avg Week Kayunga-Kangulumira'!I79+'Avg Week Kangulumira-Kayunga'!I79</f>
        <v>2</v>
      </c>
      <c r="J79" s="49">
        <f>'Avg Week Kayunga-Kangulumira'!J79+'Avg Week Kangulumira-Kayunga'!J79</f>
        <v>2</v>
      </c>
      <c r="K79" s="49">
        <f>'Avg Week Kayunga-Kangulumira'!K79+'Avg Week Kangulumira-Kayunga'!K79</f>
        <v>0</v>
      </c>
      <c r="L79" s="49">
        <f>'Avg Week Kayunga-Kangulumira'!L79+'Avg Week Kangulumira-Kayunga'!L79</f>
        <v>2</v>
      </c>
      <c r="M79" s="49">
        <f>'Avg Week Kayunga-Kangulumira'!M79+'Avg Week Kangulumira-Kayunga'!M79</f>
        <v>0</v>
      </c>
      <c r="N79" s="49">
        <f>'Avg Week Kayunga-Kangulumira'!N79+'Avg Week Kangulumira-Kayunga'!N79</f>
        <v>0</v>
      </c>
      <c r="O79" s="15">
        <f t="shared" si="35"/>
        <v>16</v>
      </c>
      <c r="P79" s="15">
        <f t="shared" si="36"/>
        <v>16</v>
      </c>
      <c r="R79" s="8"/>
      <c r="T79"/>
    </row>
    <row r="80" spans="2:20" ht="23.1" customHeight="1" x14ac:dyDescent="0.25">
      <c r="B80" s="25" t="s">
        <v>120</v>
      </c>
      <c r="C80" s="49">
        <f>'Avg Week Kayunga-Kangulumira'!C80+'Avg Week Kangulumira-Kayunga'!C80</f>
        <v>0</v>
      </c>
      <c r="D80" s="49">
        <f>'Avg Week Kayunga-Kangulumira'!D80+'Avg Week Kangulumira-Kayunga'!D80</f>
        <v>1.6</v>
      </c>
      <c r="E80" s="49">
        <f>'Avg Week Kayunga-Kangulumira'!E80+'Avg Week Kangulumira-Kayunga'!E80</f>
        <v>2.4</v>
      </c>
      <c r="F80" s="49">
        <f>'Avg Week Kayunga-Kangulumira'!F80+'Avg Week Kangulumira-Kayunga'!F80</f>
        <v>2</v>
      </c>
      <c r="G80" s="49">
        <f>'Avg Week Kayunga-Kangulumira'!G80+'Avg Week Kangulumira-Kayunga'!G80</f>
        <v>0</v>
      </c>
      <c r="H80" s="49">
        <f>'Avg Week Kayunga-Kangulumira'!H80+'Avg Week Kangulumira-Kayunga'!H80</f>
        <v>0</v>
      </c>
      <c r="I80" s="49">
        <f>'Avg Week Kayunga-Kangulumira'!I80+'Avg Week Kangulumira-Kayunga'!I80</f>
        <v>2</v>
      </c>
      <c r="J80" s="49">
        <f>'Avg Week Kayunga-Kangulumira'!J80+'Avg Week Kangulumira-Kayunga'!J80</f>
        <v>2</v>
      </c>
      <c r="K80" s="49">
        <f>'Avg Week Kayunga-Kangulumira'!K80+'Avg Week Kangulumira-Kayunga'!K80</f>
        <v>2</v>
      </c>
      <c r="L80" s="49">
        <f>'Avg Week Kayunga-Kangulumira'!L80+'Avg Week Kangulumira-Kayunga'!L80</f>
        <v>2</v>
      </c>
      <c r="M80" s="49">
        <f>'Avg Week Kayunga-Kangulumira'!M80+'Avg Week Kangulumira-Kayunga'!M80</f>
        <v>0</v>
      </c>
      <c r="N80" s="49">
        <f>'Avg Week Kayunga-Kangulumira'!N80+'Avg Week Kangulumira-Kayunga'!N80</f>
        <v>0</v>
      </c>
      <c r="O80" s="15">
        <f t="shared" si="35"/>
        <v>14</v>
      </c>
      <c r="P80" s="15">
        <f t="shared" si="36"/>
        <v>14</v>
      </c>
      <c r="R80" s="8"/>
      <c r="T80"/>
    </row>
    <row r="81" spans="2:20" ht="23.1" customHeight="1" x14ac:dyDescent="0.25">
      <c r="B81" s="23" t="s">
        <v>121</v>
      </c>
      <c r="C81" s="49">
        <f>'Avg Week Kayunga-Kangulumira'!C81+'Avg Week Kangulumira-Kayunga'!C81</f>
        <v>2</v>
      </c>
      <c r="D81" s="49">
        <f>'Avg Week Kayunga-Kangulumira'!D81+'Avg Week Kangulumira-Kayunga'!D81</f>
        <v>0.8</v>
      </c>
      <c r="E81" s="49">
        <f>'Avg Week Kayunga-Kangulumira'!E81+'Avg Week Kangulumira-Kayunga'!E81</f>
        <v>1.2</v>
      </c>
      <c r="F81" s="49">
        <f>'Avg Week Kayunga-Kangulumira'!F81+'Avg Week Kangulumira-Kayunga'!F81</f>
        <v>4</v>
      </c>
      <c r="G81" s="49">
        <f>'Avg Week Kayunga-Kangulumira'!G81+'Avg Week Kangulumira-Kayunga'!G81</f>
        <v>0</v>
      </c>
      <c r="H81" s="49">
        <f>'Avg Week Kayunga-Kangulumira'!H81+'Avg Week Kangulumira-Kayunga'!H81</f>
        <v>2</v>
      </c>
      <c r="I81" s="49">
        <f>'Avg Week Kayunga-Kangulumira'!I81+'Avg Week Kangulumira-Kayunga'!I81</f>
        <v>4</v>
      </c>
      <c r="J81" s="49">
        <f>'Avg Week Kayunga-Kangulumira'!J81+'Avg Week Kangulumira-Kayunga'!J81</f>
        <v>0</v>
      </c>
      <c r="K81" s="49">
        <f>'Avg Week Kayunga-Kangulumira'!K81+'Avg Week Kangulumira-Kayunga'!K81</f>
        <v>0</v>
      </c>
      <c r="L81" s="49">
        <f>'Avg Week Kayunga-Kangulumira'!L81+'Avg Week Kangulumira-Kayunga'!L81</f>
        <v>0</v>
      </c>
      <c r="M81" s="49">
        <f>'Avg Week Kayunga-Kangulumira'!M81+'Avg Week Kangulumira-Kayunga'!M81</f>
        <v>0</v>
      </c>
      <c r="N81" s="49">
        <f>'Avg Week Kayunga-Kangulumira'!N81+'Avg Week Kangulumira-Kayunga'!N81</f>
        <v>0</v>
      </c>
      <c r="O81" s="15">
        <f t="shared" si="35"/>
        <v>14</v>
      </c>
      <c r="P81" s="15">
        <f t="shared" si="36"/>
        <v>14</v>
      </c>
      <c r="R81" s="8"/>
      <c r="T81"/>
    </row>
    <row r="82" spans="2:20" ht="23.1" customHeight="1" x14ac:dyDescent="0.25">
      <c r="B82" s="24" t="s">
        <v>122</v>
      </c>
      <c r="C82" s="49">
        <f>'Avg Week Kayunga-Kangulumira'!C82+'Avg Week Kangulumira-Kayunga'!C82</f>
        <v>2</v>
      </c>
      <c r="D82" s="49">
        <f>'Avg Week Kayunga-Kangulumira'!D82+'Avg Week Kangulumira-Kayunga'!D82</f>
        <v>1.6</v>
      </c>
      <c r="E82" s="49">
        <f>'Avg Week Kayunga-Kangulumira'!E82+'Avg Week Kangulumira-Kayunga'!E82</f>
        <v>2.4</v>
      </c>
      <c r="F82" s="49">
        <f>'Avg Week Kayunga-Kangulumira'!F82+'Avg Week Kangulumira-Kayunga'!F82</f>
        <v>2</v>
      </c>
      <c r="G82" s="49">
        <f>'Avg Week Kayunga-Kangulumira'!G82+'Avg Week Kangulumira-Kayunga'!G82</f>
        <v>2</v>
      </c>
      <c r="H82" s="49">
        <f>'Avg Week Kayunga-Kangulumira'!H82+'Avg Week Kangulumira-Kayunga'!H82</f>
        <v>2</v>
      </c>
      <c r="I82" s="49">
        <f>'Avg Week Kayunga-Kangulumira'!I82+'Avg Week Kangulumira-Kayunga'!I82</f>
        <v>2</v>
      </c>
      <c r="J82" s="49">
        <f>'Avg Week Kayunga-Kangulumira'!J82+'Avg Week Kangulumira-Kayunga'!J82</f>
        <v>0</v>
      </c>
      <c r="K82" s="49">
        <f>'Avg Week Kayunga-Kangulumira'!K82+'Avg Week Kangulumira-Kayunga'!K82</f>
        <v>0</v>
      </c>
      <c r="L82" s="49">
        <f>'Avg Week Kayunga-Kangulumira'!L82+'Avg Week Kangulumira-Kayunga'!L82</f>
        <v>2</v>
      </c>
      <c r="M82" s="49">
        <f>'Avg Week Kayunga-Kangulumira'!M82+'Avg Week Kangulumira-Kayunga'!M82</f>
        <v>0</v>
      </c>
      <c r="N82" s="49">
        <f>'Avg Week Kayunga-Kangulumira'!N82+'Avg Week Kangulumira-Kayunga'!N82</f>
        <v>0</v>
      </c>
      <c r="O82" s="15">
        <f t="shared" si="35"/>
        <v>16</v>
      </c>
      <c r="P82" s="15">
        <f t="shared" si="36"/>
        <v>16</v>
      </c>
      <c r="R82" s="8"/>
      <c r="T82"/>
    </row>
    <row r="83" spans="2:20" ht="23.1" customHeight="1" x14ac:dyDescent="0.25">
      <c r="B83" s="23" t="s">
        <v>123</v>
      </c>
      <c r="C83" s="49">
        <f>'Avg Week Kayunga-Kangulumira'!C83+'Avg Week Kangulumira-Kayunga'!C83</f>
        <v>0</v>
      </c>
      <c r="D83" s="49">
        <f>'Avg Week Kayunga-Kangulumira'!D83+'Avg Week Kangulumira-Kayunga'!D83</f>
        <v>1.6</v>
      </c>
      <c r="E83" s="49">
        <f>'Avg Week Kayunga-Kangulumira'!E83+'Avg Week Kangulumira-Kayunga'!E83</f>
        <v>2.4</v>
      </c>
      <c r="F83" s="49">
        <f>'Avg Week Kayunga-Kangulumira'!F83+'Avg Week Kangulumira-Kayunga'!F83</f>
        <v>4</v>
      </c>
      <c r="G83" s="49">
        <f>'Avg Week Kayunga-Kangulumira'!G83+'Avg Week Kangulumira-Kayunga'!G83</f>
        <v>0</v>
      </c>
      <c r="H83" s="49">
        <f>'Avg Week Kayunga-Kangulumira'!H83+'Avg Week Kangulumira-Kayunga'!H83</f>
        <v>2</v>
      </c>
      <c r="I83" s="49">
        <f>'Avg Week Kayunga-Kangulumira'!I83+'Avg Week Kangulumira-Kayunga'!I83</f>
        <v>2</v>
      </c>
      <c r="J83" s="49">
        <f>'Avg Week Kayunga-Kangulumira'!J83+'Avg Week Kangulumira-Kayunga'!J83</f>
        <v>2</v>
      </c>
      <c r="K83" s="49">
        <f>'Avg Week Kayunga-Kangulumira'!K83+'Avg Week Kangulumira-Kayunga'!K83</f>
        <v>2</v>
      </c>
      <c r="L83" s="49">
        <f>'Avg Week Kayunga-Kangulumira'!L83+'Avg Week Kangulumira-Kayunga'!L83</f>
        <v>0</v>
      </c>
      <c r="M83" s="49">
        <f>'Avg Week Kayunga-Kangulumira'!M83+'Avg Week Kangulumira-Kayunga'!M83</f>
        <v>0</v>
      </c>
      <c r="N83" s="49">
        <f>'Avg Week Kayunga-Kangulumira'!N83+'Avg Week Kangulumira-Kayunga'!N83</f>
        <v>0</v>
      </c>
      <c r="O83" s="15">
        <f t="shared" si="35"/>
        <v>16</v>
      </c>
      <c r="P83" s="15">
        <f t="shared" si="36"/>
        <v>16</v>
      </c>
      <c r="R83" s="8"/>
      <c r="T83"/>
    </row>
    <row r="84" spans="2:20" ht="23.1" customHeight="1" x14ac:dyDescent="0.25">
      <c r="B84" s="25" t="s">
        <v>124</v>
      </c>
      <c r="C84" s="49">
        <f>'Avg Week Kayunga-Kangulumira'!C84+'Avg Week Kangulumira-Kayunga'!C84</f>
        <v>2</v>
      </c>
      <c r="D84" s="49">
        <f>'Avg Week Kayunga-Kangulumira'!D84+'Avg Week Kangulumira-Kayunga'!D84</f>
        <v>0.8</v>
      </c>
      <c r="E84" s="49">
        <f>'Avg Week Kayunga-Kangulumira'!E84+'Avg Week Kangulumira-Kayunga'!E84</f>
        <v>1.2</v>
      </c>
      <c r="F84" s="49">
        <f>'Avg Week Kayunga-Kangulumira'!F84+'Avg Week Kangulumira-Kayunga'!F84</f>
        <v>2</v>
      </c>
      <c r="G84" s="49">
        <f>'Avg Week Kayunga-Kangulumira'!G84+'Avg Week Kangulumira-Kayunga'!G84</f>
        <v>0</v>
      </c>
      <c r="H84" s="49">
        <f>'Avg Week Kayunga-Kangulumira'!H84+'Avg Week Kangulumira-Kayunga'!H84</f>
        <v>0</v>
      </c>
      <c r="I84" s="49">
        <f>'Avg Week Kayunga-Kangulumira'!I84+'Avg Week Kangulumira-Kayunga'!I84</f>
        <v>0</v>
      </c>
      <c r="J84" s="49">
        <f>'Avg Week Kayunga-Kangulumira'!J84+'Avg Week Kangulumira-Kayunga'!J84</f>
        <v>0</v>
      </c>
      <c r="K84" s="49">
        <f>'Avg Week Kayunga-Kangulumira'!K84+'Avg Week Kangulumira-Kayunga'!K84</f>
        <v>0</v>
      </c>
      <c r="L84" s="49">
        <f>'Avg Week Kayunga-Kangulumira'!L84+'Avg Week Kangulumira-Kayunga'!L84</f>
        <v>0</v>
      </c>
      <c r="M84" s="49">
        <f>'Avg Week Kayunga-Kangulumira'!M84+'Avg Week Kangulumira-Kayunga'!M84</f>
        <v>0</v>
      </c>
      <c r="N84" s="49">
        <f>'Avg Week Kayunga-Kangulumira'!N84+'Avg Week Kangulumira-Kayunga'!N84</f>
        <v>0</v>
      </c>
      <c r="O84" s="15">
        <f t="shared" si="35"/>
        <v>6</v>
      </c>
      <c r="P84" s="15">
        <f t="shared" si="36"/>
        <v>6</v>
      </c>
      <c r="R84" s="8"/>
      <c r="T84"/>
    </row>
    <row r="85" spans="2:20" ht="23.1" customHeight="1" x14ac:dyDescent="0.25">
      <c r="B85" s="23" t="s">
        <v>125</v>
      </c>
      <c r="C85" s="49">
        <f>'Avg Week Kayunga-Kangulumira'!C85+'Avg Week Kangulumira-Kayunga'!C85</f>
        <v>4</v>
      </c>
      <c r="D85" s="49">
        <f>'Avg Week Kayunga-Kangulumira'!D85+'Avg Week Kangulumira-Kayunga'!D85</f>
        <v>0.8</v>
      </c>
      <c r="E85" s="49">
        <f>'Avg Week Kayunga-Kangulumira'!E85+'Avg Week Kangulumira-Kayunga'!E85</f>
        <v>1.2</v>
      </c>
      <c r="F85" s="49">
        <f>'Avg Week Kayunga-Kangulumira'!F85+'Avg Week Kangulumira-Kayunga'!F85</f>
        <v>2</v>
      </c>
      <c r="G85" s="49">
        <f>'Avg Week Kayunga-Kangulumira'!G85+'Avg Week Kangulumira-Kayunga'!G85</f>
        <v>0</v>
      </c>
      <c r="H85" s="49">
        <f>'Avg Week Kayunga-Kangulumira'!H85+'Avg Week Kangulumira-Kayunga'!H85</f>
        <v>0</v>
      </c>
      <c r="I85" s="49">
        <f>'Avg Week Kayunga-Kangulumira'!I85+'Avg Week Kangulumira-Kayunga'!I85</f>
        <v>0</v>
      </c>
      <c r="J85" s="49">
        <f>'Avg Week Kayunga-Kangulumira'!J85+'Avg Week Kangulumira-Kayunga'!J85</f>
        <v>2</v>
      </c>
      <c r="K85" s="49">
        <f>'Avg Week Kayunga-Kangulumira'!K85+'Avg Week Kangulumira-Kayunga'!K85</f>
        <v>0</v>
      </c>
      <c r="L85" s="49">
        <f>'Avg Week Kayunga-Kangulumira'!L85+'Avg Week Kangulumira-Kayunga'!L85</f>
        <v>0</v>
      </c>
      <c r="M85" s="49">
        <f>'Avg Week Kayunga-Kangulumira'!M85+'Avg Week Kangulumira-Kayunga'!M85</f>
        <v>0</v>
      </c>
      <c r="N85" s="49">
        <f>'Avg Week Kayunga-Kangulumira'!N85+'Avg Week Kangulumira-Kayunga'!N85</f>
        <v>0</v>
      </c>
      <c r="O85" s="15">
        <f t="shared" si="35"/>
        <v>10</v>
      </c>
      <c r="P85" s="15">
        <f t="shared" si="36"/>
        <v>10</v>
      </c>
      <c r="R85" s="8"/>
      <c r="T85"/>
    </row>
    <row r="86" spans="2:20" ht="23.1" customHeight="1" x14ac:dyDescent="0.25">
      <c r="B86" s="24" t="s">
        <v>126</v>
      </c>
      <c r="C86" s="49">
        <f>'Avg Week Kayunga-Kangulumira'!C86+'Avg Week Kangulumira-Kayunga'!C86</f>
        <v>2</v>
      </c>
      <c r="D86" s="49">
        <f>'Avg Week Kayunga-Kangulumira'!D86+'Avg Week Kangulumira-Kayunga'!D86</f>
        <v>0.8</v>
      </c>
      <c r="E86" s="49">
        <f>'Avg Week Kayunga-Kangulumira'!E86+'Avg Week Kangulumira-Kayunga'!E86</f>
        <v>1.2</v>
      </c>
      <c r="F86" s="49">
        <f>'Avg Week Kayunga-Kangulumira'!F86+'Avg Week Kangulumira-Kayunga'!F86</f>
        <v>2</v>
      </c>
      <c r="G86" s="49">
        <f>'Avg Week Kayunga-Kangulumira'!G86+'Avg Week Kangulumira-Kayunga'!G86</f>
        <v>0</v>
      </c>
      <c r="H86" s="49">
        <f>'Avg Week Kayunga-Kangulumira'!H86+'Avg Week Kangulumira-Kayunga'!H86</f>
        <v>0</v>
      </c>
      <c r="I86" s="49">
        <f>'Avg Week Kayunga-Kangulumira'!I86+'Avg Week Kangulumira-Kayunga'!I86</f>
        <v>0</v>
      </c>
      <c r="J86" s="49">
        <f>'Avg Week Kayunga-Kangulumira'!J86+'Avg Week Kangulumira-Kayunga'!J86</f>
        <v>2</v>
      </c>
      <c r="K86" s="49">
        <f>'Avg Week Kayunga-Kangulumira'!K86+'Avg Week Kangulumira-Kayunga'!K86</f>
        <v>0</v>
      </c>
      <c r="L86" s="49">
        <f>'Avg Week Kayunga-Kangulumira'!L86+'Avg Week Kangulumira-Kayunga'!L86</f>
        <v>0</v>
      </c>
      <c r="M86" s="49">
        <f>'Avg Week Kayunga-Kangulumira'!M86+'Avg Week Kangulumira-Kayunga'!M86</f>
        <v>0</v>
      </c>
      <c r="N86" s="49">
        <f>'Avg Week Kayunga-Kangulumira'!N86+'Avg Week Kangulumira-Kayunga'!N86</f>
        <v>0</v>
      </c>
      <c r="O86" s="15">
        <f t="shared" si="35"/>
        <v>8</v>
      </c>
      <c r="P86" s="15">
        <f t="shared" si="36"/>
        <v>8</v>
      </c>
      <c r="R86" s="8"/>
      <c r="T86"/>
    </row>
    <row r="87" spans="2:20" ht="23.1" customHeight="1" x14ac:dyDescent="0.25">
      <c r="B87" s="23" t="s">
        <v>127</v>
      </c>
      <c r="C87" s="49">
        <f>'Avg Week Kayunga-Kangulumira'!C87+'Avg Week Kangulumira-Kayunga'!C87</f>
        <v>0</v>
      </c>
      <c r="D87" s="49">
        <f>'Avg Week Kayunga-Kangulumira'!D87+'Avg Week Kangulumira-Kayunga'!D87</f>
        <v>0.8</v>
      </c>
      <c r="E87" s="49">
        <f>'Avg Week Kayunga-Kangulumira'!E87+'Avg Week Kangulumira-Kayunga'!E87</f>
        <v>1.2</v>
      </c>
      <c r="F87" s="49">
        <f>'Avg Week Kayunga-Kangulumira'!F87+'Avg Week Kangulumira-Kayunga'!F87</f>
        <v>2</v>
      </c>
      <c r="G87" s="49">
        <f>'Avg Week Kayunga-Kangulumira'!G87+'Avg Week Kangulumira-Kayunga'!G87</f>
        <v>0</v>
      </c>
      <c r="H87" s="49">
        <f>'Avg Week Kayunga-Kangulumira'!H87+'Avg Week Kangulumira-Kayunga'!H87</f>
        <v>0</v>
      </c>
      <c r="I87" s="49">
        <f>'Avg Week Kayunga-Kangulumira'!I87+'Avg Week Kangulumira-Kayunga'!I87</f>
        <v>0</v>
      </c>
      <c r="J87" s="49">
        <f>'Avg Week Kayunga-Kangulumira'!J87+'Avg Week Kangulumira-Kayunga'!J87</f>
        <v>2</v>
      </c>
      <c r="K87" s="49">
        <f>'Avg Week Kayunga-Kangulumira'!K87+'Avg Week Kangulumira-Kayunga'!K87</f>
        <v>0</v>
      </c>
      <c r="L87" s="49">
        <f>'Avg Week Kayunga-Kangulumira'!L87+'Avg Week Kangulumira-Kayunga'!L87</f>
        <v>2</v>
      </c>
      <c r="M87" s="49">
        <f>'Avg Week Kayunga-Kangulumira'!M87+'Avg Week Kangulumira-Kayunga'!M87</f>
        <v>0</v>
      </c>
      <c r="N87" s="49">
        <f>'Avg Week Kayunga-Kangulumira'!N87+'Avg Week Kangulumira-Kayunga'!N87</f>
        <v>0</v>
      </c>
      <c r="O87" s="15">
        <f t="shared" si="35"/>
        <v>8</v>
      </c>
      <c r="P87" s="15">
        <f t="shared" si="36"/>
        <v>8</v>
      </c>
      <c r="R87" s="8"/>
      <c r="T87"/>
    </row>
    <row r="88" spans="2:20" ht="23.1" customHeight="1" x14ac:dyDescent="0.25">
      <c r="B88" s="25" t="s">
        <v>128</v>
      </c>
      <c r="C88" s="49">
        <f>'Avg Week Kayunga-Kangulumira'!C88+'Avg Week Kangulumira-Kayunga'!C88</f>
        <v>0</v>
      </c>
      <c r="D88" s="49">
        <f>'Avg Week Kayunga-Kangulumira'!D88+'Avg Week Kangulumira-Kayunga'!D88</f>
        <v>0</v>
      </c>
      <c r="E88" s="49">
        <f>'Avg Week Kayunga-Kangulumira'!E88+'Avg Week Kangulumira-Kayunga'!E88</f>
        <v>0</v>
      </c>
      <c r="F88" s="49">
        <f>'Avg Week Kayunga-Kangulumira'!F88+'Avg Week Kangulumira-Kayunga'!F88</f>
        <v>0</v>
      </c>
      <c r="G88" s="49">
        <f>'Avg Week Kayunga-Kangulumira'!G88+'Avg Week Kangulumira-Kayunga'!G88</f>
        <v>0</v>
      </c>
      <c r="H88" s="49">
        <f>'Avg Week Kayunga-Kangulumira'!H88+'Avg Week Kangulumira-Kayunga'!H88</f>
        <v>2</v>
      </c>
      <c r="I88" s="49">
        <f>'Avg Week Kayunga-Kangulumira'!I88+'Avg Week Kangulumira-Kayunga'!I88</f>
        <v>0</v>
      </c>
      <c r="J88" s="49">
        <f>'Avg Week Kayunga-Kangulumira'!J88+'Avg Week Kangulumira-Kayunga'!J88</f>
        <v>0</v>
      </c>
      <c r="K88" s="49">
        <f>'Avg Week Kayunga-Kangulumira'!K88+'Avg Week Kangulumira-Kayunga'!K88</f>
        <v>2</v>
      </c>
      <c r="L88" s="49">
        <f>'Avg Week Kayunga-Kangulumira'!L88+'Avg Week Kangulumira-Kayunga'!L88</f>
        <v>2</v>
      </c>
      <c r="M88" s="49">
        <f>'Avg Week Kayunga-Kangulumira'!M88+'Avg Week Kangulumira-Kayunga'!M88</f>
        <v>0</v>
      </c>
      <c r="N88" s="49">
        <f>'Avg Week Kayunga-Kangulumira'!N88+'Avg Week Kangulumira-Kayunga'!N88</f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'Avg Week Kayunga-Kangulumira'!C89+'Avg Week Kangulumira-Kayunga'!C89</f>
        <v>0</v>
      </c>
      <c r="D89" s="49">
        <f>'Avg Week Kayunga-Kangulumira'!D89+'Avg Week Kangulumira-Kayunga'!D89</f>
        <v>0</v>
      </c>
      <c r="E89" s="49">
        <f>'Avg Week Kayunga-Kangulumira'!E89+'Avg Week Kangulumira-Kayunga'!E89</f>
        <v>0</v>
      </c>
      <c r="F89" s="49">
        <f>'Avg Week Kayunga-Kangulumira'!F89+'Avg Week Kangulumira-Kayunga'!F89</f>
        <v>0</v>
      </c>
      <c r="G89" s="49">
        <f>'Avg Week Kayunga-Kangulumira'!G89+'Avg Week Kangulumira-Kayunga'!G89</f>
        <v>2</v>
      </c>
      <c r="H89" s="49">
        <f>'Avg Week Kayunga-Kangulumira'!H89+'Avg Week Kangulumira-Kayunga'!H89</f>
        <v>2</v>
      </c>
      <c r="I89" s="49">
        <f>'Avg Week Kayunga-Kangulumira'!I89+'Avg Week Kangulumira-Kayunga'!I89</f>
        <v>0</v>
      </c>
      <c r="J89" s="49">
        <f>'Avg Week Kayunga-Kangulumira'!J89+'Avg Week Kangulumira-Kayunga'!J89</f>
        <v>2</v>
      </c>
      <c r="K89" s="49">
        <f>'Avg Week Kayunga-Kangulumira'!K89+'Avg Week Kangulumira-Kayunga'!K89</f>
        <v>2</v>
      </c>
      <c r="L89" s="49">
        <f>'Avg Week Kayunga-Kangulumira'!L89+'Avg Week Kangulumira-Kayunga'!L89</f>
        <v>0</v>
      </c>
      <c r="M89" s="49">
        <f>'Avg Week Kayunga-Kangulumira'!M89+'Avg Week Kangulumira-Kayunga'!M89</f>
        <v>0</v>
      </c>
      <c r="N89" s="49">
        <f>'Avg Week Kayunga-Kangulumira'!N89+'Avg Week Kangulumira-Kayunga'!N89</f>
        <v>0</v>
      </c>
      <c r="O89" s="15">
        <f t="shared" si="35"/>
        <v>8</v>
      </c>
      <c r="P89" s="15">
        <f t="shared" si="36"/>
        <v>8</v>
      </c>
      <c r="R89" s="8"/>
      <c r="T89"/>
    </row>
    <row r="90" spans="2:20" ht="23.1" customHeight="1" x14ac:dyDescent="0.25">
      <c r="B90" s="24" t="s">
        <v>130</v>
      </c>
      <c r="C90" s="49">
        <f>'Avg Week Kayunga-Kangulumira'!C90+'Avg Week Kangulumira-Kayunga'!C90</f>
        <v>0</v>
      </c>
      <c r="D90" s="49">
        <f>'Avg Week Kayunga-Kangulumira'!D90+'Avg Week Kangulumira-Kayunga'!D90</f>
        <v>0</v>
      </c>
      <c r="E90" s="49">
        <f>'Avg Week Kayunga-Kangulumira'!E90+'Avg Week Kangulumira-Kayunga'!E90</f>
        <v>0</v>
      </c>
      <c r="F90" s="49">
        <f>'Avg Week Kayunga-Kangulumira'!F90+'Avg Week Kangulumira-Kayunga'!F90</f>
        <v>0</v>
      </c>
      <c r="G90" s="49">
        <f>'Avg Week Kayunga-Kangulumira'!G90+'Avg Week Kangulumira-Kayunga'!G90</f>
        <v>0</v>
      </c>
      <c r="H90" s="49">
        <f>'Avg Week Kayunga-Kangulumira'!H90+'Avg Week Kangulumira-Kayunga'!H90</f>
        <v>0</v>
      </c>
      <c r="I90" s="49">
        <f>'Avg Week Kayunga-Kangulumira'!I90+'Avg Week Kangulumira-Kayunga'!I90</f>
        <v>0</v>
      </c>
      <c r="J90" s="49">
        <f>'Avg Week Kayunga-Kangulumira'!J90+'Avg Week Kangulumira-Kayunga'!J90</f>
        <v>2</v>
      </c>
      <c r="K90" s="49">
        <f>'Avg Week Kayunga-Kangulumira'!K90+'Avg Week Kangulumira-Kayunga'!K90</f>
        <v>2</v>
      </c>
      <c r="L90" s="49">
        <f>'Avg Week Kayunga-Kangulumira'!L90+'Avg Week Kangulumira-Kayunga'!L90</f>
        <v>0</v>
      </c>
      <c r="M90" s="49">
        <f>'Avg Week Kayunga-Kangulumira'!M90+'Avg Week Kangulumira-Kayunga'!M90</f>
        <v>0</v>
      </c>
      <c r="N90" s="49">
        <f>'Avg Week Kayunga-Kangulumira'!N90+'Avg Week Kangulumira-Kayunga'!N90</f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'Avg Week Kayunga-Kangulumira'!C91+'Avg Week Kangulumira-Kayunga'!C91</f>
        <v>0</v>
      </c>
      <c r="D91" s="49">
        <f>'Avg Week Kayunga-Kangulumira'!D91+'Avg Week Kangulumira-Kayunga'!D91</f>
        <v>0</v>
      </c>
      <c r="E91" s="49">
        <f>'Avg Week Kayunga-Kangulumira'!E91+'Avg Week Kangulumira-Kayunga'!E91</f>
        <v>0</v>
      </c>
      <c r="F91" s="49">
        <f>'Avg Week Kayunga-Kangulumira'!F91+'Avg Week Kangulumira-Kayunga'!F91</f>
        <v>0</v>
      </c>
      <c r="G91" s="49">
        <f>'Avg Week Kayunga-Kangulumira'!G91+'Avg Week Kangulumira-Kayunga'!G91</f>
        <v>0</v>
      </c>
      <c r="H91" s="49">
        <f>'Avg Week Kayunga-Kangulumira'!H91+'Avg Week Kangulumira-Kayunga'!H91</f>
        <v>0</v>
      </c>
      <c r="I91" s="49">
        <f>'Avg Week Kayunga-Kangulumira'!I91+'Avg Week Kangulumira-Kayunga'!I91</f>
        <v>0</v>
      </c>
      <c r="J91" s="49">
        <f>'Avg Week Kayunga-Kangulumira'!J91+'Avg Week Kangulumira-Kayunga'!J91</f>
        <v>2</v>
      </c>
      <c r="K91" s="49">
        <f>'Avg Week Kayunga-Kangulumira'!K91+'Avg Week Kangulumira-Kayunga'!K91</f>
        <v>2</v>
      </c>
      <c r="L91" s="49">
        <f>'Avg Week Kayunga-Kangulumira'!L91+'Avg Week Kangulumira-Kayunga'!L91</f>
        <v>0</v>
      </c>
      <c r="M91" s="49">
        <f>'Avg Week Kayunga-Kangulumira'!M91+'Avg Week Kangulumira-Kayunga'!M91</f>
        <v>0</v>
      </c>
      <c r="N91" s="49">
        <f>'Avg Week Kayunga-Kangulumira'!N91+'Avg Week Kangulumira-Kayunga'!N91</f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25" t="s">
        <v>132</v>
      </c>
      <c r="C92" s="49">
        <f>'Avg Week Kayunga-Kangulumira'!C92+'Avg Week Kangulumira-Kayunga'!C92</f>
        <v>0</v>
      </c>
      <c r="D92" s="49">
        <f>'Avg Week Kayunga-Kangulumira'!D92+'Avg Week Kangulumira-Kayunga'!D92</f>
        <v>0</v>
      </c>
      <c r="E92" s="49">
        <f>'Avg Week Kayunga-Kangulumira'!E92+'Avg Week Kangulumira-Kayunga'!E92</f>
        <v>0</v>
      </c>
      <c r="F92" s="49">
        <f>'Avg Week Kayunga-Kangulumira'!F92+'Avg Week Kangulumira-Kayunga'!F92</f>
        <v>0</v>
      </c>
      <c r="G92" s="49">
        <f>'Avg Week Kayunga-Kangulumira'!G92+'Avg Week Kangulumira-Kayunga'!G92</f>
        <v>2</v>
      </c>
      <c r="H92" s="49">
        <f>'Avg Week Kayunga-Kangulumira'!H92+'Avg Week Kangulumira-Kayunga'!H92</f>
        <v>2</v>
      </c>
      <c r="I92" s="49">
        <f>'Avg Week Kayunga-Kangulumira'!I92+'Avg Week Kangulumira-Kayunga'!I92</f>
        <v>0</v>
      </c>
      <c r="J92" s="49">
        <f>'Avg Week Kayunga-Kangulumira'!J92+'Avg Week Kangulumira-Kayunga'!J92</f>
        <v>2</v>
      </c>
      <c r="K92" s="49">
        <f>'Avg Week Kayunga-Kangulumira'!K92+'Avg Week Kangulumira-Kayunga'!K92</f>
        <v>2</v>
      </c>
      <c r="L92" s="49">
        <f>'Avg Week Kayunga-Kangulumira'!L92+'Avg Week Kangulumira-Kayunga'!L92</f>
        <v>0</v>
      </c>
      <c r="M92" s="49">
        <f>'Avg Week Kayunga-Kangulumira'!M92+'Avg Week Kangulumira-Kayunga'!M92</f>
        <v>0</v>
      </c>
      <c r="N92" s="49">
        <f>'Avg Week Kayunga-Kangulumira'!N92+'Avg Week Kangulumira-Kayunga'!N92</f>
        <v>0</v>
      </c>
      <c r="O92" s="15">
        <f t="shared" si="35"/>
        <v>8</v>
      </c>
      <c r="P92" s="15">
        <f t="shared" si="36"/>
        <v>8</v>
      </c>
      <c r="R92" s="8"/>
      <c r="T92"/>
    </row>
    <row r="93" spans="2:20" ht="23.1" customHeight="1" x14ac:dyDescent="0.25">
      <c r="B93" s="23" t="s">
        <v>133</v>
      </c>
      <c r="C93" s="49">
        <f>'Avg Week Kayunga-Kangulumira'!C93+'Avg Week Kangulumira-Kayunga'!C93</f>
        <v>0</v>
      </c>
      <c r="D93" s="49">
        <f>'Avg Week Kayunga-Kangulumira'!D93+'Avg Week Kangulumira-Kayunga'!D93</f>
        <v>0.8</v>
      </c>
      <c r="E93" s="49">
        <f>'Avg Week Kayunga-Kangulumira'!E93+'Avg Week Kangulumira-Kayunga'!E93</f>
        <v>1.2</v>
      </c>
      <c r="F93" s="49">
        <f>'Avg Week Kayunga-Kangulumira'!F93+'Avg Week Kangulumira-Kayunga'!F93</f>
        <v>0</v>
      </c>
      <c r="G93" s="49">
        <f>'Avg Week Kayunga-Kangulumira'!G93+'Avg Week Kangulumira-Kayunga'!G93</f>
        <v>0</v>
      </c>
      <c r="H93" s="49">
        <f>'Avg Week Kayunga-Kangulumira'!H93+'Avg Week Kangulumira-Kayunga'!H93</f>
        <v>0</v>
      </c>
      <c r="I93" s="49">
        <f>'Avg Week Kayunga-Kangulumira'!I93+'Avg Week Kangulumira-Kayunga'!I93</f>
        <v>0</v>
      </c>
      <c r="J93" s="49">
        <f>'Avg Week Kayunga-Kangulumira'!J93+'Avg Week Kangulumira-Kayunga'!J93</f>
        <v>2</v>
      </c>
      <c r="K93" s="49">
        <f>'Avg Week Kayunga-Kangulumira'!K93+'Avg Week Kangulumira-Kayunga'!K93</f>
        <v>0</v>
      </c>
      <c r="L93" s="49">
        <f>'Avg Week Kayunga-Kangulumira'!L93+'Avg Week Kangulumira-Kayunga'!L93</f>
        <v>2</v>
      </c>
      <c r="M93" s="49">
        <f>'Avg Week Kayunga-Kangulumira'!M93+'Avg Week Kangulumira-Kayunga'!M93</f>
        <v>0</v>
      </c>
      <c r="N93" s="49">
        <f>'Avg Week Kayunga-Kangulumira'!N93+'Avg Week Kangulumira-Kayunga'!N93</f>
        <v>0</v>
      </c>
      <c r="O93" s="15">
        <f t="shared" si="35"/>
        <v>6</v>
      </c>
      <c r="P93" s="15">
        <f t="shared" si="36"/>
        <v>6</v>
      </c>
      <c r="R93" s="8"/>
      <c r="T93"/>
    </row>
    <row r="94" spans="2:20" ht="23.1" customHeight="1" x14ac:dyDescent="0.25">
      <c r="B94" s="24" t="s">
        <v>134</v>
      </c>
      <c r="C94" s="49">
        <f>'Avg Week Kayunga-Kangulumira'!C94+'Avg Week Kangulumira-Kayunga'!C94</f>
        <v>0</v>
      </c>
      <c r="D94" s="49">
        <f>'Avg Week Kayunga-Kangulumira'!D94+'Avg Week Kangulumira-Kayunga'!D94</f>
        <v>0.8</v>
      </c>
      <c r="E94" s="49">
        <f>'Avg Week Kayunga-Kangulumira'!E94+'Avg Week Kangulumira-Kayunga'!E94</f>
        <v>1.2</v>
      </c>
      <c r="F94" s="49">
        <f>'Avg Week Kayunga-Kangulumira'!F94+'Avg Week Kangulumira-Kayunga'!F94</f>
        <v>0</v>
      </c>
      <c r="G94" s="49">
        <f>'Avg Week Kayunga-Kangulumira'!G94+'Avg Week Kangulumira-Kayunga'!G94</f>
        <v>0</v>
      </c>
      <c r="H94" s="49">
        <f>'Avg Week Kayunga-Kangulumira'!H94+'Avg Week Kangulumira-Kayunga'!H94</f>
        <v>0</v>
      </c>
      <c r="I94" s="49">
        <f>'Avg Week Kayunga-Kangulumira'!I94+'Avg Week Kangulumira-Kayunga'!I94</f>
        <v>0</v>
      </c>
      <c r="J94" s="49">
        <f>'Avg Week Kayunga-Kangulumira'!J94+'Avg Week Kangulumira-Kayunga'!J94</f>
        <v>2</v>
      </c>
      <c r="K94" s="49">
        <f>'Avg Week Kayunga-Kangulumira'!K94+'Avg Week Kangulumira-Kayunga'!K94</f>
        <v>2</v>
      </c>
      <c r="L94" s="49">
        <f>'Avg Week Kayunga-Kangulumira'!L94+'Avg Week Kangulumira-Kayunga'!L94</f>
        <v>2</v>
      </c>
      <c r="M94" s="49">
        <f>'Avg Week Kayunga-Kangulumira'!M94+'Avg Week Kangulumira-Kayunga'!M94</f>
        <v>0</v>
      </c>
      <c r="N94" s="49">
        <f>'Avg Week Kayunga-Kangulumira'!N94+'Avg Week Kangulumira-Kayunga'!N94</f>
        <v>0</v>
      </c>
      <c r="O94" s="15">
        <f t="shared" si="35"/>
        <v>8</v>
      </c>
      <c r="P94" s="15">
        <f t="shared" si="36"/>
        <v>8</v>
      </c>
      <c r="R94" s="8"/>
      <c r="T94"/>
    </row>
    <row r="95" spans="2:20" ht="23.1" customHeight="1" x14ac:dyDescent="0.25">
      <c r="B95" s="23" t="s">
        <v>135</v>
      </c>
      <c r="C95" s="49">
        <f>'Avg Week Kayunga-Kangulumira'!C95+'Avg Week Kangulumira-Kayunga'!C95</f>
        <v>0</v>
      </c>
      <c r="D95" s="49">
        <f>'Avg Week Kayunga-Kangulumira'!D95+'Avg Week Kangulumira-Kayunga'!D95</f>
        <v>0.8</v>
      </c>
      <c r="E95" s="49">
        <f>'Avg Week Kayunga-Kangulumira'!E95+'Avg Week Kangulumira-Kayunga'!E95</f>
        <v>1.2</v>
      </c>
      <c r="F95" s="49">
        <f>'Avg Week Kayunga-Kangulumira'!F95+'Avg Week Kangulumira-Kayunga'!F95</f>
        <v>0</v>
      </c>
      <c r="G95" s="49">
        <f>'Avg Week Kayunga-Kangulumira'!G95+'Avg Week Kangulumira-Kayunga'!G95</f>
        <v>0</v>
      </c>
      <c r="H95" s="49">
        <f>'Avg Week Kayunga-Kangulumira'!H95+'Avg Week Kangulumira-Kayunga'!H95</f>
        <v>2</v>
      </c>
      <c r="I95" s="49">
        <f>'Avg Week Kayunga-Kangulumira'!I95+'Avg Week Kangulumira-Kayunga'!I95</f>
        <v>0</v>
      </c>
      <c r="J95" s="49">
        <f>'Avg Week Kayunga-Kangulumira'!J95+'Avg Week Kangulumira-Kayunga'!J95</f>
        <v>0</v>
      </c>
      <c r="K95" s="49">
        <f>'Avg Week Kayunga-Kangulumira'!K95+'Avg Week Kangulumira-Kayunga'!K95</f>
        <v>0</v>
      </c>
      <c r="L95" s="49">
        <f>'Avg Week Kayunga-Kangulumira'!L95+'Avg Week Kangulumira-Kayunga'!L95</f>
        <v>0</v>
      </c>
      <c r="M95" s="49">
        <f>'Avg Week Kayunga-Kangulumira'!M95+'Avg Week Kangulumira-Kayunga'!M95</f>
        <v>0</v>
      </c>
      <c r="N95" s="49">
        <f>'Avg Week Kayunga-Kangulumira'!N95+'Avg Week Kangulumira-Kayunga'!N95</f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25" t="s">
        <v>136</v>
      </c>
      <c r="C96" s="49">
        <f>'Avg Week Kayunga-Kangulumira'!C96+'Avg Week Kangulumira-Kayunga'!C96</f>
        <v>0</v>
      </c>
      <c r="D96" s="49">
        <f>'Avg Week Kayunga-Kangulumira'!D96+'Avg Week Kangulumira-Kayunga'!D96</f>
        <v>0.8</v>
      </c>
      <c r="E96" s="49">
        <f>'Avg Week Kayunga-Kangulumira'!E96+'Avg Week Kangulumira-Kayunga'!E96</f>
        <v>1.2</v>
      </c>
      <c r="F96" s="49">
        <f>'Avg Week Kayunga-Kangulumira'!F96+'Avg Week Kangulumira-Kayunga'!F96</f>
        <v>0</v>
      </c>
      <c r="G96" s="49">
        <f>'Avg Week Kayunga-Kangulumira'!G96+'Avg Week Kangulumira-Kayunga'!G96</f>
        <v>2</v>
      </c>
      <c r="H96" s="49">
        <f>'Avg Week Kayunga-Kangulumira'!H96+'Avg Week Kangulumira-Kayunga'!H96</f>
        <v>2</v>
      </c>
      <c r="I96" s="49">
        <f>'Avg Week Kayunga-Kangulumira'!I96+'Avg Week Kangulumira-Kayunga'!I96</f>
        <v>0</v>
      </c>
      <c r="J96" s="49">
        <f>'Avg Week Kayunga-Kangulumira'!J96+'Avg Week Kangulumira-Kayunga'!J96</f>
        <v>0</v>
      </c>
      <c r="K96" s="49">
        <f>'Avg Week Kayunga-Kangulumira'!K96+'Avg Week Kangulumira-Kayunga'!K96</f>
        <v>0</v>
      </c>
      <c r="L96" s="49">
        <f>'Avg Week Kayunga-Kangulumira'!L96+'Avg Week Kangulumira-Kayunga'!L96</f>
        <v>2</v>
      </c>
      <c r="M96" s="49">
        <f>'Avg Week Kayunga-Kangulumira'!M96+'Avg Week Kangulumira-Kayunga'!M96</f>
        <v>0</v>
      </c>
      <c r="N96" s="49">
        <f>'Avg Week Kayunga-Kangulumira'!N96+'Avg Week Kangulumira-Kayunga'!N96</f>
        <v>0</v>
      </c>
      <c r="O96" s="15">
        <f t="shared" si="35"/>
        <v>8</v>
      </c>
      <c r="P96" s="15">
        <f t="shared" si="36"/>
        <v>8</v>
      </c>
      <c r="R96" s="8"/>
      <c r="T96"/>
    </row>
    <row r="97" spans="2:20" ht="23.1" customHeight="1" x14ac:dyDescent="0.25">
      <c r="B97" s="23" t="s">
        <v>137</v>
      </c>
      <c r="C97" s="49">
        <f>'Avg Week Kayunga-Kangulumira'!C97+'Avg Week Kangulumira-Kayunga'!C97</f>
        <v>0</v>
      </c>
      <c r="D97" s="49">
        <f>'Avg Week Kayunga-Kangulumira'!D97+'Avg Week Kangulumira-Kayunga'!D97</f>
        <v>0.8</v>
      </c>
      <c r="E97" s="49">
        <f>'Avg Week Kayunga-Kangulumira'!E97+'Avg Week Kangulumira-Kayunga'!E97</f>
        <v>1.2</v>
      </c>
      <c r="F97" s="49">
        <f>'Avg Week Kayunga-Kangulumira'!F97+'Avg Week Kangulumira-Kayunga'!F97</f>
        <v>0</v>
      </c>
      <c r="G97" s="49">
        <f>'Avg Week Kayunga-Kangulumira'!G97+'Avg Week Kangulumira-Kayunga'!G97</f>
        <v>0</v>
      </c>
      <c r="H97" s="49">
        <f>'Avg Week Kayunga-Kangulumira'!H97+'Avg Week Kangulumira-Kayunga'!H97</f>
        <v>2</v>
      </c>
      <c r="I97" s="49">
        <f>'Avg Week Kayunga-Kangulumira'!I97+'Avg Week Kangulumira-Kayunga'!I97</f>
        <v>0</v>
      </c>
      <c r="J97" s="49">
        <f>'Avg Week Kayunga-Kangulumira'!J97+'Avg Week Kangulumira-Kayunga'!J97</f>
        <v>2</v>
      </c>
      <c r="K97" s="49">
        <f>'Avg Week Kayunga-Kangulumira'!K97+'Avg Week Kangulumira-Kayunga'!K97</f>
        <v>2</v>
      </c>
      <c r="L97" s="49">
        <f>'Avg Week Kayunga-Kangulumira'!L97+'Avg Week Kangulumira-Kayunga'!L97</f>
        <v>0</v>
      </c>
      <c r="M97" s="49">
        <f>'Avg Week Kayunga-Kangulumira'!M97+'Avg Week Kangulumira-Kayunga'!M97</f>
        <v>0</v>
      </c>
      <c r="N97" s="49">
        <f>'Avg Week Kayunga-Kangulumira'!N97+'Avg Week Kangulumira-Kayunga'!N97</f>
        <v>0</v>
      </c>
      <c r="O97" s="15">
        <f t="shared" si="35"/>
        <v>8</v>
      </c>
      <c r="P97" s="15">
        <f t="shared" si="36"/>
        <v>8</v>
      </c>
      <c r="R97" s="8"/>
      <c r="T97"/>
    </row>
    <row r="98" spans="2:20" ht="23.1" customHeight="1" x14ac:dyDescent="0.25">
      <c r="B98" s="24" t="s">
        <v>138</v>
      </c>
      <c r="C98" s="49">
        <f>'Avg Week Kayunga-Kangulumira'!C98+'Avg Week Kangulumira-Kayunga'!C98</f>
        <v>2</v>
      </c>
      <c r="D98" s="49">
        <f>'Avg Week Kayunga-Kangulumira'!D98+'Avg Week Kangulumira-Kayunga'!D98</f>
        <v>0.8</v>
      </c>
      <c r="E98" s="49">
        <f>'Avg Week Kayunga-Kangulumira'!E98+'Avg Week Kangulumira-Kayunga'!E98</f>
        <v>1.2</v>
      </c>
      <c r="F98" s="49">
        <f>'Avg Week Kayunga-Kangulumira'!F98+'Avg Week Kangulumira-Kayunga'!F98</f>
        <v>0</v>
      </c>
      <c r="G98" s="49">
        <f>'Avg Week Kayunga-Kangulumira'!G98+'Avg Week Kangulumira-Kayunga'!G98</f>
        <v>0</v>
      </c>
      <c r="H98" s="49">
        <f>'Avg Week Kayunga-Kangulumira'!H98+'Avg Week Kangulumira-Kayunga'!H98</f>
        <v>0</v>
      </c>
      <c r="I98" s="49">
        <f>'Avg Week Kayunga-Kangulumira'!I98+'Avg Week Kangulumira-Kayunga'!I98</f>
        <v>0</v>
      </c>
      <c r="J98" s="49">
        <f>'Avg Week Kayunga-Kangulumira'!J98+'Avg Week Kangulumira-Kayunga'!J98</f>
        <v>0</v>
      </c>
      <c r="K98" s="49">
        <f>'Avg Week Kayunga-Kangulumira'!K98+'Avg Week Kangulumira-Kayunga'!K98</f>
        <v>0</v>
      </c>
      <c r="L98" s="49">
        <f>'Avg Week Kayunga-Kangulumira'!L98+'Avg Week Kangulumira-Kayunga'!L98</f>
        <v>0</v>
      </c>
      <c r="M98" s="49">
        <f>'Avg Week Kayunga-Kangulumira'!M98+'Avg Week Kangulumira-Kayunga'!M98</f>
        <v>0</v>
      </c>
      <c r="N98" s="49">
        <f>'Avg Week Kayunga-Kangulumira'!N98+'Avg Week Kangulumira-Kayunga'!N98</f>
        <v>0</v>
      </c>
      <c r="O98" s="15">
        <f t="shared" si="35"/>
        <v>4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'Avg Week Kayunga-Kangulumira'!C99+'Avg Week Kangulumira-Kayunga'!C99</f>
        <v>0</v>
      </c>
      <c r="D99" s="49">
        <f>'Avg Week Kayunga-Kangulumira'!D99+'Avg Week Kangulumira-Kayunga'!D99</f>
        <v>0.8</v>
      </c>
      <c r="E99" s="49">
        <f>'Avg Week Kayunga-Kangulumira'!E99+'Avg Week Kangulumira-Kayunga'!E99</f>
        <v>1.2</v>
      </c>
      <c r="F99" s="49">
        <f>'Avg Week Kayunga-Kangulumira'!F99+'Avg Week Kangulumira-Kayunga'!F99</f>
        <v>0</v>
      </c>
      <c r="G99" s="49">
        <f>'Avg Week Kayunga-Kangulumira'!G99+'Avg Week Kangulumira-Kayunga'!G99</f>
        <v>0</v>
      </c>
      <c r="H99" s="49">
        <f>'Avg Week Kayunga-Kangulumira'!H99+'Avg Week Kangulumira-Kayunga'!H99</f>
        <v>0</v>
      </c>
      <c r="I99" s="49">
        <f>'Avg Week Kayunga-Kangulumira'!I99+'Avg Week Kangulumira-Kayunga'!I99</f>
        <v>0</v>
      </c>
      <c r="J99" s="49">
        <f>'Avg Week Kayunga-Kangulumira'!J99+'Avg Week Kangulumira-Kayunga'!J99</f>
        <v>2</v>
      </c>
      <c r="K99" s="49">
        <f>'Avg Week Kayunga-Kangulumira'!K99+'Avg Week Kangulumira-Kayunga'!K99</f>
        <v>0</v>
      </c>
      <c r="L99" s="49">
        <f>'Avg Week Kayunga-Kangulumira'!L99+'Avg Week Kangulumira-Kayunga'!L99</f>
        <v>0</v>
      </c>
      <c r="M99" s="49">
        <f>'Avg Week Kayunga-Kangulumira'!M99+'Avg Week Kangulumira-Kayunga'!M99</f>
        <v>0</v>
      </c>
      <c r="N99" s="49">
        <f>'Avg Week Kayunga-Kangulumira'!N99+'Avg Week Kangulumira-Kayunga'!N99</f>
        <v>0</v>
      </c>
      <c r="O99" s="15">
        <f t="shared" si="35"/>
        <v>4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'Avg Week Kayunga-Kangulumira'!C100+'Avg Week Kangulumira-Kayunga'!C100</f>
        <v>2</v>
      </c>
      <c r="D100" s="49">
        <f>'Avg Week Kayunga-Kangulumira'!D100+'Avg Week Kangulumira-Kayunga'!D100</f>
        <v>0.8</v>
      </c>
      <c r="E100" s="49">
        <f>'Avg Week Kayunga-Kangulumira'!E100+'Avg Week Kangulumira-Kayunga'!E100</f>
        <v>1.2</v>
      </c>
      <c r="F100" s="49">
        <f>'Avg Week Kayunga-Kangulumira'!F100+'Avg Week Kangulumira-Kayunga'!F100</f>
        <v>0</v>
      </c>
      <c r="G100" s="49">
        <f>'Avg Week Kayunga-Kangulumira'!G100+'Avg Week Kangulumira-Kayunga'!G100</f>
        <v>0</v>
      </c>
      <c r="H100" s="49">
        <f>'Avg Week Kayunga-Kangulumira'!H100+'Avg Week Kangulumira-Kayunga'!H100</f>
        <v>0</v>
      </c>
      <c r="I100" s="49">
        <f>'Avg Week Kayunga-Kangulumira'!I100+'Avg Week Kangulumira-Kayunga'!I100</f>
        <v>0</v>
      </c>
      <c r="J100" s="49">
        <f>'Avg Week Kayunga-Kangulumira'!J100+'Avg Week Kangulumira-Kayunga'!J100</f>
        <v>2</v>
      </c>
      <c r="K100" s="49">
        <f>'Avg Week Kayunga-Kangulumira'!K100+'Avg Week Kangulumira-Kayunga'!K100</f>
        <v>0</v>
      </c>
      <c r="L100" s="49">
        <f>'Avg Week Kayunga-Kangulumira'!L100+'Avg Week Kangulumira-Kayunga'!L100</f>
        <v>0</v>
      </c>
      <c r="M100" s="49">
        <f>'Avg Week Kayunga-Kangulumira'!M100+'Avg Week Kangulumira-Kayunga'!M100</f>
        <v>0</v>
      </c>
      <c r="N100" s="49">
        <f>'Avg Week Kayunga-Kangulumira'!N100+'Avg Week Kangulumira-Kayunga'!N100</f>
        <v>0</v>
      </c>
      <c r="O100" s="15">
        <f t="shared" si="35"/>
        <v>6</v>
      </c>
      <c r="P100" s="15">
        <f t="shared" si="36"/>
        <v>6</v>
      </c>
      <c r="R100" s="8"/>
      <c r="T100"/>
    </row>
    <row r="101" spans="2:20" ht="23.1" customHeight="1" x14ac:dyDescent="0.25">
      <c r="B101" s="23" t="s">
        <v>141</v>
      </c>
      <c r="C101" s="49">
        <f>'Avg Week Kayunga-Kangulumira'!C101+'Avg Week Kangulumira-Kayunga'!C101</f>
        <v>0</v>
      </c>
      <c r="D101" s="49">
        <f>'Avg Week Kayunga-Kangulumira'!D101+'Avg Week Kangulumira-Kayunga'!D101</f>
        <v>0.8</v>
      </c>
      <c r="E101" s="49">
        <f>'Avg Week Kayunga-Kangulumira'!E101+'Avg Week Kangulumira-Kayunga'!E101</f>
        <v>1.2</v>
      </c>
      <c r="F101" s="49">
        <f>'Avg Week Kayunga-Kangulumira'!F101+'Avg Week Kangulumira-Kayunga'!F101</f>
        <v>0</v>
      </c>
      <c r="G101" s="49">
        <f>'Avg Week Kayunga-Kangulumira'!G101+'Avg Week Kangulumira-Kayunga'!G101</f>
        <v>0</v>
      </c>
      <c r="H101" s="49">
        <f>'Avg Week Kayunga-Kangulumira'!H101+'Avg Week Kangulumira-Kayunga'!H101</f>
        <v>0</v>
      </c>
      <c r="I101" s="49">
        <f>'Avg Week Kayunga-Kangulumira'!I101+'Avg Week Kangulumira-Kayunga'!I101</f>
        <v>0</v>
      </c>
      <c r="J101" s="49">
        <f>'Avg Week Kayunga-Kangulumira'!J101+'Avg Week Kangulumira-Kayunga'!J101</f>
        <v>2</v>
      </c>
      <c r="K101" s="49">
        <f>'Avg Week Kayunga-Kangulumira'!K101+'Avg Week Kangulumira-Kayunga'!K101</f>
        <v>0</v>
      </c>
      <c r="L101" s="49">
        <f>'Avg Week Kayunga-Kangulumira'!L101+'Avg Week Kangulumira-Kayunga'!L101</f>
        <v>2</v>
      </c>
      <c r="M101" s="49">
        <f>'Avg Week Kayunga-Kangulumira'!M101+'Avg Week Kangulumira-Kayunga'!M101</f>
        <v>0</v>
      </c>
      <c r="N101" s="49">
        <f>'Avg Week Kayunga-Kangulumira'!N101+'Avg Week Kangulumira-Kayunga'!N101</f>
        <v>0</v>
      </c>
      <c r="O101" s="15">
        <f t="shared" si="35"/>
        <v>6</v>
      </c>
      <c r="P101" s="15">
        <f t="shared" si="36"/>
        <v>6</v>
      </c>
      <c r="R101" s="8"/>
      <c r="T101"/>
    </row>
    <row r="102" spans="2:20" ht="23.1" customHeight="1" x14ac:dyDescent="0.25">
      <c r="B102" s="24" t="s">
        <v>142</v>
      </c>
      <c r="C102" s="49">
        <f>'Avg Week Kayunga-Kangulumira'!C102+'Avg Week Kangulumira-Kayunga'!C102</f>
        <v>0</v>
      </c>
      <c r="D102" s="49">
        <f>'Avg Week Kayunga-Kangulumira'!D102+'Avg Week Kangulumira-Kayunga'!D102</f>
        <v>0.8</v>
      </c>
      <c r="E102" s="49">
        <f>'Avg Week Kayunga-Kangulumira'!E102+'Avg Week Kangulumira-Kayunga'!E102</f>
        <v>1.2</v>
      </c>
      <c r="F102" s="49">
        <f>'Avg Week Kayunga-Kangulumira'!F102+'Avg Week Kangulumira-Kayunga'!F102</f>
        <v>0</v>
      </c>
      <c r="G102" s="49">
        <f>'Avg Week Kayunga-Kangulumira'!G102+'Avg Week Kangulumira-Kayunga'!G102</f>
        <v>0</v>
      </c>
      <c r="H102" s="49">
        <f>'Avg Week Kayunga-Kangulumira'!H102+'Avg Week Kangulumira-Kayunga'!H102</f>
        <v>2</v>
      </c>
      <c r="I102" s="49">
        <f>'Avg Week Kayunga-Kangulumira'!I102+'Avg Week Kangulumira-Kayunga'!I102</f>
        <v>0</v>
      </c>
      <c r="J102" s="49">
        <f>'Avg Week Kayunga-Kangulumira'!J102+'Avg Week Kangulumira-Kayunga'!J102</f>
        <v>0</v>
      </c>
      <c r="K102" s="49">
        <f>'Avg Week Kayunga-Kangulumira'!K102+'Avg Week Kangulumira-Kayunga'!K102</f>
        <v>2</v>
      </c>
      <c r="L102" s="49">
        <f>'Avg Week Kayunga-Kangulumira'!L102+'Avg Week Kangulumira-Kayunga'!L102</f>
        <v>2</v>
      </c>
      <c r="M102" s="49">
        <f>'Avg Week Kayunga-Kangulumira'!M102+'Avg Week Kangulumira-Kayunga'!M102</f>
        <v>0</v>
      </c>
      <c r="N102" s="49">
        <f>'Avg Week Kayunga-Kangulumira'!N102+'Avg Week Kangulumira-Kayunga'!N102</f>
        <v>0</v>
      </c>
      <c r="O102" s="15">
        <f t="shared" si="35"/>
        <v>8</v>
      </c>
      <c r="P102" s="15">
        <f t="shared" si="36"/>
        <v>8</v>
      </c>
      <c r="R102" s="8"/>
      <c r="T102"/>
    </row>
    <row r="103" spans="2:20" ht="23.1" customHeight="1" x14ac:dyDescent="0.25">
      <c r="B103" s="23" t="s">
        <v>143</v>
      </c>
      <c r="C103" s="49">
        <f>'Avg Week Kayunga-Kangulumira'!C103+'Avg Week Kangulumira-Kayunga'!C103</f>
        <v>1</v>
      </c>
      <c r="D103" s="49">
        <f>'Avg Week Kayunga-Kangulumira'!D103+'Avg Week Kangulumira-Kayunga'!D103</f>
        <v>0.8</v>
      </c>
      <c r="E103" s="49">
        <f>'Avg Week Kayunga-Kangulumira'!E103+'Avg Week Kangulumira-Kayunga'!E103</f>
        <v>1.2</v>
      </c>
      <c r="F103" s="49">
        <f>'Avg Week Kayunga-Kangulumira'!F103+'Avg Week Kangulumira-Kayunga'!F103</f>
        <v>0</v>
      </c>
      <c r="G103" s="49">
        <f>'Avg Week Kayunga-Kangulumira'!G103+'Avg Week Kangulumira-Kayunga'!G103</f>
        <v>2</v>
      </c>
      <c r="H103" s="49">
        <f>'Avg Week Kayunga-Kangulumira'!H103+'Avg Week Kangulumira-Kayunga'!H103</f>
        <v>2</v>
      </c>
      <c r="I103" s="49">
        <f>'Avg Week Kayunga-Kangulumira'!I103+'Avg Week Kangulumira-Kayunga'!I103</f>
        <v>0</v>
      </c>
      <c r="J103" s="49">
        <f>'Avg Week Kayunga-Kangulumira'!J103+'Avg Week Kangulumira-Kayunga'!J103</f>
        <v>2</v>
      </c>
      <c r="K103" s="49">
        <f>'Avg Week Kayunga-Kangulumira'!K103+'Avg Week Kangulumira-Kayunga'!K103</f>
        <v>2</v>
      </c>
      <c r="L103" s="49">
        <f>'Avg Week Kayunga-Kangulumira'!L103+'Avg Week Kangulumira-Kayunga'!L103</f>
        <v>0</v>
      </c>
      <c r="M103" s="49">
        <f>'Avg Week Kayunga-Kangulumira'!M103+'Avg Week Kangulumira-Kayunga'!M103</f>
        <v>2</v>
      </c>
      <c r="N103" s="49">
        <f>'Avg Week Kayunga-Kangulumira'!N103+'Avg Week Kangulumira-Kayunga'!N103</f>
        <v>0</v>
      </c>
      <c r="O103" s="15">
        <f t="shared" si="35"/>
        <v>11</v>
      </c>
      <c r="P103" s="15">
        <f t="shared" si="36"/>
        <v>13</v>
      </c>
      <c r="R103" s="8"/>
      <c r="T103"/>
    </row>
    <row r="104" spans="2:20" ht="23.1" customHeight="1" x14ac:dyDescent="0.25">
      <c r="B104" s="25" t="s">
        <v>144</v>
      </c>
      <c r="C104" s="49">
        <f>'Avg Week Kayunga-Kangulumira'!C104+'Avg Week Kangulumira-Kayunga'!C104</f>
        <v>2</v>
      </c>
      <c r="D104" s="49">
        <f>'Avg Week Kayunga-Kangulumira'!D104+'Avg Week Kangulumira-Kayunga'!D104</f>
        <v>0.8</v>
      </c>
      <c r="E104" s="49">
        <f>'Avg Week Kayunga-Kangulumira'!E104+'Avg Week Kangulumira-Kayunga'!E104</f>
        <v>1.2</v>
      </c>
      <c r="F104" s="49">
        <f>'Avg Week Kayunga-Kangulumira'!F104+'Avg Week Kangulumira-Kayunga'!F104</f>
        <v>2</v>
      </c>
      <c r="G104" s="49">
        <f>'Avg Week Kayunga-Kangulumira'!G104+'Avg Week Kangulumira-Kayunga'!G104</f>
        <v>0</v>
      </c>
      <c r="H104" s="49">
        <f>'Avg Week Kayunga-Kangulumira'!H104+'Avg Week Kangulumira-Kayunga'!H104</f>
        <v>0</v>
      </c>
      <c r="I104" s="49">
        <f>'Avg Week Kayunga-Kangulumira'!I104+'Avg Week Kangulumira-Kayunga'!I104</f>
        <v>4</v>
      </c>
      <c r="J104" s="49">
        <f>'Avg Week Kayunga-Kangulumira'!J104+'Avg Week Kangulumira-Kayunga'!J104</f>
        <v>2</v>
      </c>
      <c r="K104" s="49">
        <f>'Avg Week Kayunga-Kangulumira'!K104+'Avg Week Kangulumira-Kayunga'!K104</f>
        <v>2</v>
      </c>
      <c r="L104" s="49">
        <f>'Avg Week Kayunga-Kangulumira'!L104+'Avg Week Kangulumira-Kayunga'!L104</f>
        <v>0</v>
      </c>
      <c r="M104" s="49">
        <f>'Avg Week Kayunga-Kangulumira'!M104+'Avg Week Kangulumira-Kayunga'!M104</f>
        <v>4</v>
      </c>
      <c r="N104" s="49">
        <f>'Avg Week Kayunga-Kangulumira'!N104+'Avg Week Kangulumira-Kayunga'!N104</f>
        <v>0</v>
      </c>
      <c r="O104" s="15">
        <f t="shared" si="35"/>
        <v>14</v>
      </c>
      <c r="P104" s="15">
        <f t="shared" si="36"/>
        <v>18</v>
      </c>
      <c r="R104" s="8"/>
      <c r="T104"/>
    </row>
    <row r="105" spans="2:20" ht="23.1" customHeight="1" x14ac:dyDescent="0.25">
      <c r="B105" s="23" t="s">
        <v>145</v>
      </c>
      <c r="C105" s="49">
        <f>'Avg Week Kayunga-Kangulumira'!C105+'Avg Week Kangulumira-Kayunga'!C105</f>
        <v>2</v>
      </c>
      <c r="D105" s="49">
        <f>'Avg Week Kayunga-Kangulumira'!D105+'Avg Week Kangulumira-Kayunga'!D105</f>
        <v>1.2000000000000002</v>
      </c>
      <c r="E105" s="49">
        <f>'Avg Week Kayunga-Kangulumira'!E105+'Avg Week Kangulumira-Kayunga'!E105</f>
        <v>1.7999999999999998</v>
      </c>
      <c r="F105" s="49">
        <f>'Avg Week Kayunga-Kangulumira'!F105+'Avg Week Kangulumira-Kayunga'!F105</f>
        <v>2</v>
      </c>
      <c r="G105" s="49">
        <f>'Avg Week Kayunga-Kangulumira'!G105+'Avg Week Kangulumira-Kayunga'!G105</f>
        <v>0</v>
      </c>
      <c r="H105" s="49">
        <f>'Avg Week Kayunga-Kangulumira'!H105+'Avg Week Kangulumira-Kayunga'!H105</f>
        <v>0</v>
      </c>
      <c r="I105" s="49">
        <f>'Avg Week Kayunga-Kangulumira'!I105+'Avg Week Kangulumira-Kayunga'!I105</f>
        <v>2</v>
      </c>
      <c r="J105" s="49">
        <f>'Avg Week Kayunga-Kangulumira'!J105+'Avg Week Kangulumira-Kayunga'!J105</f>
        <v>4</v>
      </c>
      <c r="K105" s="49">
        <f>'Avg Week Kayunga-Kangulumira'!K105+'Avg Week Kangulumira-Kayunga'!K105</f>
        <v>2</v>
      </c>
      <c r="L105" s="49">
        <f>'Avg Week Kayunga-Kangulumira'!L105+'Avg Week Kangulumira-Kayunga'!L105</f>
        <v>0</v>
      </c>
      <c r="M105" s="49">
        <f>'Avg Week Kayunga-Kangulumira'!M105+'Avg Week Kangulumira-Kayunga'!M105</f>
        <v>2</v>
      </c>
      <c r="N105" s="49">
        <f>'Avg Week Kayunga-Kangulumira'!N105+'Avg Week Kangulumira-Kayunga'!N105</f>
        <v>0</v>
      </c>
      <c r="O105" s="15">
        <f t="shared" si="35"/>
        <v>15</v>
      </c>
      <c r="P105" s="15">
        <f t="shared" si="36"/>
        <v>17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602</v>
      </c>
      <c r="D106" s="16">
        <f t="shared" ref="D106:P106" si="37">SUM(D10:D105)</f>
        <v>263.71428571428589</v>
      </c>
      <c r="E106" s="16">
        <f t="shared" si="37"/>
        <v>395.57142857142833</v>
      </c>
      <c r="F106" s="16">
        <f t="shared" si="37"/>
        <v>525</v>
      </c>
      <c r="G106" s="16">
        <f t="shared" si="37"/>
        <v>50</v>
      </c>
      <c r="H106" s="16">
        <f t="shared" si="37"/>
        <v>52</v>
      </c>
      <c r="I106" s="16">
        <f t="shared" si="37"/>
        <v>403</v>
      </c>
      <c r="J106" s="16">
        <f t="shared" si="37"/>
        <v>101.71428571428572</v>
      </c>
      <c r="K106" s="16">
        <f t="shared" si="37"/>
        <v>90.428571428571431</v>
      </c>
      <c r="L106" s="16">
        <f t="shared" si="37"/>
        <v>59.571428571428569</v>
      </c>
      <c r="M106" s="16">
        <f t="shared" si="37"/>
        <v>2917.7142857142862</v>
      </c>
      <c r="N106" s="16">
        <f t="shared" si="37"/>
        <v>1.4285714285714282</v>
      </c>
      <c r="O106" s="16">
        <f t="shared" si="37"/>
        <v>2544.4285714285711</v>
      </c>
      <c r="P106" s="16">
        <f t="shared" si="37"/>
        <v>5462.1428571428578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0.11021315548581141</v>
      </c>
      <c r="D107" s="43">
        <f t="shared" si="38"/>
        <v>4.8280371387472237E-2</v>
      </c>
      <c r="E107" s="43">
        <f t="shared" si="38"/>
        <v>7.2420557081208259E-2</v>
      </c>
      <c r="F107" s="43">
        <f t="shared" si="38"/>
        <v>9.6116123970184375E-2</v>
      </c>
      <c r="G107" s="43">
        <f t="shared" si="38"/>
        <v>9.1539165685889882E-3</v>
      </c>
      <c r="H107" s="43">
        <f t="shared" si="38"/>
        <v>9.5200732313325473E-3</v>
      </c>
      <c r="I107" s="43">
        <f t="shared" si="38"/>
        <v>7.3780567542827247E-2</v>
      </c>
      <c r="J107" s="43">
        <f t="shared" si="38"/>
        <v>1.8621681705243885E-2</v>
      </c>
      <c r="K107" s="43">
        <f t="shared" si="38"/>
        <v>1.6555511965476655E-2</v>
      </c>
      <c r="L107" s="43">
        <f t="shared" si="38"/>
        <v>1.0906237740290307E-2</v>
      </c>
      <c r="M107" s="43">
        <f t="shared" si="38"/>
        <v>0.53417026284817581</v>
      </c>
      <c r="N107" s="43">
        <f t="shared" si="38"/>
        <v>2.615404733882567E-4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0.23659536241648421</v>
      </c>
      <c r="D108" s="44">
        <f t="shared" ref="D108:N108" si="39">D106/$O$106</f>
        <v>0.10364381561956103</v>
      </c>
      <c r="E108" s="44">
        <f t="shared" si="39"/>
        <v>0.15546572342934134</v>
      </c>
      <c r="F108" s="44">
        <f t="shared" si="39"/>
        <v>0.20633316489809672</v>
      </c>
      <c r="G108" s="44">
        <f t="shared" si="39"/>
        <v>1.9650777609342543E-2</v>
      </c>
      <c r="H108" s="44">
        <f t="shared" si="39"/>
        <v>2.0436808713716247E-2</v>
      </c>
      <c r="I108" s="44">
        <f t="shared" si="39"/>
        <v>0.15838526753130089</v>
      </c>
      <c r="J108" s="44">
        <f t="shared" si="39"/>
        <v>3.9975296165291122E-2</v>
      </c>
      <c r="K108" s="44">
        <f t="shared" si="39"/>
        <v>3.5539834933468087E-2</v>
      </c>
      <c r="L108" s="44">
        <f t="shared" si="39"/>
        <v>2.3412497894559545E-2</v>
      </c>
      <c r="M108" s="44"/>
      <c r="N108" s="44">
        <f t="shared" si="39"/>
        <v>5.6145078883835825E-4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19.8 Kayunga-Kangulumira</vt:lpstr>
      <vt:lpstr>19.8 Kangulumira-Kayunga</vt:lpstr>
      <vt:lpstr>20.8 Kayunga-Kangulumira</vt:lpstr>
      <vt:lpstr>20.8 Kangulumira-Kayunga</vt:lpstr>
      <vt:lpstr>21.8 Kayunga-Kangulumira</vt:lpstr>
      <vt:lpstr>21.8 Kangulumira-Kayunga</vt:lpstr>
      <vt:lpstr>22.8 Kayunga-Kangulumira</vt:lpstr>
      <vt:lpstr>22.8 Kaangulumira-Kayunga</vt:lpstr>
      <vt:lpstr>23.8 Kayunga-Kangulumira</vt:lpstr>
      <vt:lpstr>23.8 Kangulumira-Kayunga</vt:lpstr>
      <vt:lpstr>24.8 Kayunga-Kangulumira</vt:lpstr>
      <vt:lpstr>24.8 Kangulumira-Kayunga</vt:lpstr>
      <vt:lpstr>25.8 Kayunga-Kangulumira</vt:lpstr>
      <vt:lpstr>25.8 Kangulumira-Kayunga</vt:lpstr>
      <vt:lpstr>Avg Week Kayunga-Kangulumira</vt:lpstr>
      <vt:lpstr>Avg Week Kangulumira-Kayunga</vt:lpstr>
      <vt:lpstr>Avg Week Kayunga-Kangulumi-2Dir</vt:lpstr>
      <vt:lpstr>'19.8 Kangulumira-Kayunga'!Print_Area</vt:lpstr>
      <vt:lpstr>'19.8 Kayunga-Kangulumira'!Print_Area</vt:lpstr>
      <vt:lpstr>'20.8 Kangulumira-Kayunga'!Print_Area</vt:lpstr>
      <vt:lpstr>'20.8 Kayunga-Kangulumira'!Print_Area</vt:lpstr>
      <vt:lpstr>'21.8 Kangulumira-Kayunga'!Print_Area</vt:lpstr>
      <vt:lpstr>'21.8 Kayunga-Kangulumira'!Print_Area</vt:lpstr>
      <vt:lpstr>'22.8 Kaangulumira-Kayunga'!Print_Area</vt:lpstr>
      <vt:lpstr>'22.8 Kayunga-Kangulumira'!Print_Area</vt:lpstr>
      <vt:lpstr>'23.8 Kangulumira-Kayunga'!Print_Area</vt:lpstr>
      <vt:lpstr>'23.8 Kayunga-Kangulumira'!Print_Area</vt:lpstr>
      <vt:lpstr>'24.8 Kangulumira-Kayunga'!Print_Area</vt:lpstr>
      <vt:lpstr>'24.8 Kayunga-Kangulumira'!Print_Area</vt:lpstr>
      <vt:lpstr>'25.8 Kangulumira-Kayunga'!Print_Area</vt:lpstr>
      <vt:lpstr>'25.8 Kayunga-Kangulumira'!Print_Area</vt:lpstr>
      <vt:lpstr>'Avg Week Kangulumira-Kayunga'!Print_Area</vt:lpstr>
      <vt:lpstr>'Avg Week Kayunga-Kangulumi-2Dir'!Print_Area</vt:lpstr>
      <vt:lpstr>'Avg Week Kayunga-Kangulumira'!Print_Area</vt:lpstr>
      <vt:lpstr>'19.8 Kangulumira-Kayunga'!Print_Titles</vt:lpstr>
      <vt:lpstr>'19.8 Kayunga-Kangulumira'!Print_Titles</vt:lpstr>
      <vt:lpstr>'20.8 Kangulumira-Kayunga'!Print_Titles</vt:lpstr>
      <vt:lpstr>'20.8 Kayunga-Kangulumira'!Print_Titles</vt:lpstr>
      <vt:lpstr>'21.8 Kangulumira-Kayunga'!Print_Titles</vt:lpstr>
      <vt:lpstr>'21.8 Kayunga-Kangulumira'!Print_Titles</vt:lpstr>
      <vt:lpstr>'22.8 Kaangulumira-Kayunga'!Print_Titles</vt:lpstr>
      <vt:lpstr>'22.8 Kayunga-Kangulumira'!Print_Titles</vt:lpstr>
      <vt:lpstr>'23.8 Kangulumira-Kayunga'!Print_Titles</vt:lpstr>
      <vt:lpstr>'23.8 Kayunga-Kangulumira'!Print_Titles</vt:lpstr>
      <vt:lpstr>'24.8 Kangulumira-Kayunga'!Print_Titles</vt:lpstr>
      <vt:lpstr>'24.8 Kayunga-Kangulumira'!Print_Titles</vt:lpstr>
      <vt:lpstr>'25.8 Kangulumira-Kayunga'!Print_Titles</vt:lpstr>
      <vt:lpstr>'25.8 Kayunga-Kangulumira'!Print_Titles</vt:lpstr>
      <vt:lpstr>'Avg Week Kangulumira-Kayunga'!Print_Titles</vt:lpstr>
      <vt:lpstr>'Avg Week Kayunga-Kangulumi-2Dir'!Print_Titles</vt:lpstr>
      <vt:lpstr>'Avg Week Kayunga-Kangulumira'!Print_Titles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2020-04-09T05:07:42Z</dcterms:modified>
</cp:coreProperties>
</file>