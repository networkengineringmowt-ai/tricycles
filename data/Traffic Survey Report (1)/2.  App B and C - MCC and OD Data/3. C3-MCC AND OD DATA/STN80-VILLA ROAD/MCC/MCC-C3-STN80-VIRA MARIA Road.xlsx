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80-VILLA ROAD\MCC\"/>
    </mc:Choice>
  </mc:AlternateContent>
  <bookViews>
    <workbookView xWindow="-120" yWindow="-120" windowWidth="20730" windowHeight="11160" tabRatio="902" firstSheet="14" activeTab="14"/>
  </bookViews>
  <sheets>
    <sheet name="17.10 MASAKA SEMBABULE" sheetId="94" r:id="rId1"/>
    <sheet name="17.10 SEMBABULE-MASAKA" sheetId="93" r:id="rId2"/>
    <sheet name="18.10 MASAKA-SEMBABULA-24HRS" sheetId="105" r:id="rId3"/>
    <sheet name="18.10 SEMBABULE-MASAKA-24 HRS" sheetId="101" r:id="rId4"/>
    <sheet name="19.10 MASAKA-SEMBABULE-24HRS" sheetId="110" r:id="rId5"/>
    <sheet name="19.10 SEMBABULE MASAKA-24HRS" sheetId="109" r:id="rId6"/>
    <sheet name="20.10 MASAKA-SEMBABULE" sheetId="97" r:id="rId7"/>
    <sheet name="20.10 SEMBABULE-MASAKA" sheetId="96" r:id="rId8"/>
    <sheet name="21.10 MASAKA SEMBABULE" sheetId="99" r:id="rId9"/>
    <sheet name="21.10 SEMBABULE-MASAKA" sheetId="98" r:id="rId10"/>
    <sheet name="22.10 MASAKA-SEMBABULE" sheetId="103" r:id="rId11"/>
    <sheet name="22.10 SEMBABULE-MASAKA" sheetId="100" r:id="rId12"/>
    <sheet name="23.10 MASAKA-SEMBABULE" sheetId="95" r:id="rId13"/>
    <sheet name="23.10 SEMBABULE-MASAKA" sheetId="104" r:id="rId14"/>
    <sheet name="Avg Week Masaka-Ssembabule" sheetId="107" r:id="rId15"/>
    <sheet name="Avg Week Ssembabule-Masaka" sheetId="108" r:id="rId16"/>
    <sheet name="Avg Week Masaka-Ssembabule-2Dir" sheetId="111" r:id="rId17"/>
  </sheets>
  <definedNames>
    <definedName name="_xlnm.Print_Area" localSheetId="0">'17.10 MASAKA SEMBABULE'!$A$1:$AF$60</definedName>
    <definedName name="_xlnm.Print_Area" localSheetId="1">'17.10 SEMBABULE-MASAKA'!$A$1:$AF$60</definedName>
    <definedName name="_xlnm.Print_Area" localSheetId="2">'18.10 MASAKA-SEMBABULA-24HRS'!$A$1:$AF$108</definedName>
    <definedName name="_xlnm.Print_Area" localSheetId="3">'18.10 SEMBABULE-MASAKA-24 HRS'!$A$1:$AF$108</definedName>
    <definedName name="_xlnm.Print_Area" localSheetId="4">'19.10 MASAKA-SEMBABULE-24HRS'!$A$1:$AF$108</definedName>
    <definedName name="_xlnm.Print_Area" localSheetId="5">'19.10 SEMBABULE MASAKA-24HRS'!$A$1:$AF$108</definedName>
    <definedName name="_xlnm.Print_Area" localSheetId="6">'20.10 MASAKA-SEMBABULE'!$A$1:$AF$60</definedName>
    <definedName name="_xlnm.Print_Area" localSheetId="7">'20.10 SEMBABULE-MASAKA'!$A$1:$AF$60</definedName>
    <definedName name="_xlnm.Print_Area" localSheetId="8">'21.10 MASAKA SEMBABULE'!$A$1:$AF$60</definedName>
    <definedName name="_xlnm.Print_Area" localSheetId="9">'21.10 SEMBABULE-MASAKA'!$A$1:$AF$60</definedName>
    <definedName name="_xlnm.Print_Area" localSheetId="10">'22.10 MASAKA-SEMBABULE'!$A$1:$AF$60</definedName>
    <definedName name="_xlnm.Print_Area" localSheetId="11">'22.10 SEMBABULE-MASAKA'!$A$1:$AF$60</definedName>
    <definedName name="_xlnm.Print_Area" localSheetId="12">'23.10 MASAKA-SEMBABULE'!$A$1:$AF$60</definedName>
    <definedName name="_xlnm.Print_Area" localSheetId="13">'23.10 SEMBABULE-MASAKA'!$A$1:$AF$60</definedName>
    <definedName name="_xlnm.Print_Area" localSheetId="14">'Avg Week Masaka-Ssembabule'!$A$1:$AF$108</definedName>
    <definedName name="_xlnm.Print_Area" localSheetId="16">'Avg Week Masaka-Ssembabule-2Dir'!$A$1:$AF$108</definedName>
    <definedName name="_xlnm.Print_Area" localSheetId="15">'Avg Week Ssembabule-Masaka'!$A$1:$AF$108</definedName>
    <definedName name="_xlnm.Print_Titles" localSheetId="0">'17.10 MASAKA SEMBABULE'!$1:$8</definedName>
    <definedName name="_xlnm.Print_Titles" localSheetId="1">'17.10 SEMBABULE-MASAKA'!$1:$8</definedName>
    <definedName name="_xlnm.Print_Titles" localSheetId="2">'18.10 MASAKA-SEMBABULA-24HRS'!$1:$8</definedName>
    <definedName name="_xlnm.Print_Titles" localSheetId="3">'18.10 SEMBABULE-MASAKA-24 HRS'!$1:$8</definedName>
    <definedName name="_xlnm.Print_Titles" localSheetId="4">'19.10 MASAKA-SEMBABULE-24HRS'!$1:$8</definedName>
    <definedName name="_xlnm.Print_Titles" localSheetId="5">'19.10 SEMBABULE MASAKA-24HRS'!$1:$8</definedName>
    <definedName name="_xlnm.Print_Titles" localSheetId="6">'20.10 MASAKA-SEMBABULE'!$1:$8</definedName>
    <definedName name="_xlnm.Print_Titles" localSheetId="7">'20.10 SEMBABULE-MASAKA'!$1:$8</definedName>
    <definedName name="_xlnm.Print_Titles" localSheetId="8">'21.10 MASAKA SEMBABULE'!$1:$8</definedName>
    <definedName name="_xlnm.Print_Titles" localSheetId="9">'21.10 SEMBABULE-MASAKA'!$1:$8</definedName>
    <definedName name="_xlnm.Print_Titles" localSheetId="10">'22.10 MASAKA-SEMBABULE'!$1:$8</definedName>
    <definedName name="_xlnm.Print_Titles" localSheetId="11">'22.10 SEMBABULE-MASAKA'!$1:$8</definedName>
    <definedName name="_xlnm.Print_Titles" localSheetId="12">'23.10 MASAKA-SEMBABULE'!$1:$8</definedName>
    <definedName name="_xlnm.Print_Titles" localSheetId="13">'23.10 SEMBABULE-MASAKA'!$1:$8</definedName>
    <definedName name="_xlnm.Print_Titles" localSheetId="14">'Avg Week Masaka-Ssembabule'!$1:$8</definedName>
    <definedName name="_xlnm.Print_Titles" localSheetId="16">'Avg Week Masaka-Ssembabule-2Dir'!$1:$8</definedName>
    <definedName name="_xlnm.Print_Titles" localSheetId="15">'Avg Week Ssembabule-Masaka'!$1:$8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6" i="107" l="1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106" i="111"/>
  <c r="E106" i="111"/>
  <c r="F106" i="111"/>
  <c r="G106" i="111"/>
  <c r="H106" i="111"/>
  <c r="I106" i="111"/>
  <c r="J106" i="111"/>
  <c r="K106" i="111"/>
  <c r="L106" i="111"/>
  <c r="M106" i="111"/>
  <c r="N106" i="111"/>
  <c r="O106" i="111"/>
  <c r="P106" i="111"/>
  <c r="C106" i="111"/>
  <c r="P58" i="111" l="1"/>
  <c r="P59" i="111"/>
  <c r="P60" i="111"/>
  <c r="AF22" i="111" s="1"/>
  <c r="P61" i="111"/>
  <c r="P62" i="111"/>
  <c r="P63" i="111"/>
  <c r="P64" i="111"/>
  <c r="AF23" i="111" s="1"/>
  <c r="P65" i="111"/>
  <c r="P66" i="111"/>
  <c r="P67" i="111"/>
  <c r="P68" i="111"/>
  <c r="AF24" i="111" s="1"/>
  <c r="P69" i="111"/>
  <c r="P70" i="111"/>
  <c r="P71" i="111"/>
  <c r="P72" i="111"/>
  <c r="P73" i="111"/>
  <c r="P74" i="111"/>
  <c r="P75" i="111"/>
  <c r="P76" i="111"/>
  <c r="AF26" i="111" s="1"/>
  <c r="P77" i="111"/>
  <c r="P78" i="111"/>
  <c r="P79" i="111"/>
  <c r="P80" i="111"/>
  <c r="P81" i="111"/>
  <c r="AF27" i="111" s="1"/>
  <c r="P82" i="111"/>
  <c r="P83" i="111"/>
  <c r="P84" i="111"/>
  <c r="P85" i="111"/>
  <c r="P86" i="111"/>
  <c r="P87" i="111"/>
  <c r="P88" i="111"/>
  <c r="AF29" i="111" s="1"/>
  <c r="P89" i="111"/>
  <c r="P90" i="111"/>
  <c r="P91" i="111"/>
  <c r="P92" i="111"/>
  <c r="AF30" i="111" s="1"/>
  <c r="P93" i="111"/>
  <c r="P94" i="111"/>
  <c r="P95" i="111"/>
  <c r="P96" i="111"/>
  <c r="P97" i="111"/>
  <c r="AF31" i="111" s="1"/>
  <c r="P98" i="111"/>
  <c r="P99" i="111"/>
  <c r="P100" i="111"/>
  <c r="P101" i="111"/>
  <c r="P102" i="111"/>
  <c r="P103" i="111"/>
  <c r="P104" i="111"/>
  <c r="AF33" i="111" s="1"/>
  <c r="P105" i="111"/>
  <c r="O58" i="111"/>
  <c r="O59" i="111"/>
  <c r="O60" i="111"/>
  <c r="O61" i="111"/>
  <c r="AE22" i="111" s="1"/>
  <c r="O62" i="111"/>
  <c r="O63" i="111"/>
  <c r="O64" i="111"/>
  <c r="O65" i="111"/>
  <c r="O66" i="111"/>
  <c r="O67" i="111"/>
  <c r="O68" i="111"/>
  <c r="O69" i="111"/>
  <c r="O70" i="111"/>
  <c r="O71" i="111"/>
  <c r="O72" i="111"/>
  <c r="AE25" i="111" s="1"/>
  <c r="O73" i="111"/>
  <c r="O74" i="111"/>
  <c r="O75" i="111"/>
  <c r="O76" i="111"/>
  <c r="AE26" i="111" s="1"/>
  <c r="O77" i="111"/>
  <c r="O78" i="111"/>
  <c r="O79" i="111"/>
  <c r="O80" i="111"/>
  <c r="AE27" i="111" s="1"/>
  <c r="O81" i="111"/>
  <c r="O82" i="111"/>
  <c r="O83" i="111"/>
  <c r="O84" i="111"/>
  <c r="AE28" i="111" s="1"/>
  <c r="O85" i="111"/>
  <c r="O86" i="111"/>
  <c r="O87" i="111"/>
  <c r="O88" i="111"/>
  <c r="AE29" i="111" s="1"/>
  <c r="O89" i="111"/>
  <c r="O90" i="111"/>
  <c r="O91" i="111"/>
  <c r="O92" i="111"/>
  <c r="AE30" i="111" s="1"/>
  <c r="O93" i="111"/>
  <c r="O94" i="111"/>
  <c r="O95" i="111"/>
  <c r="O96" i="111"/>
  <c r="AE31" i="111" s="1"/>
  <c r="O97" i="111"/>
  <c r="O98" i="111"/>
  <c r="O99" i="111"/>
  <c r="O100" i="111"/>
  <c r="AE32" i="111" s="1"/>
  <c r="O101" i="111"/>
  <c r="O102" i="111"/>
  <c r="O103" i="111"/>
  <c r="O104" i="111"/>
  <c r="AE33" i="111" s="1"/>
  <c r="O105" i="111"/>
  <c r="C59" i="111"/>
  <c r="D59" i="111"/>
  <c r="E59" i="111"/>
  <c r="U22" i="111" s="1"/>
  <c r="F59" i="111"/>
  <c r="V22" i="111" s="1"/>
  <c r="G59" i="111"/>
  <c r="H59" i="111"/>
  <c r="I59" i="111"/>
  <c r="Y22" i="111" s="1"/>
  <c r="J59" i="111"/>
  <c r="Z22" i="111" s="1"/>
  <c r="K59" i="111"/>
  <c r="L59" i="111"/>
  <c r="M59" i="111"/>
  <c r="AC22" i="111" s="1"/>
  <c r="N59" i="111"/>
  <c r="AD22" i="111" s="1"/>
  <c r="C60" i="111"/>
  <c r="D60" i="111"/>
  <c r="E60" i="111"/>
  <c r="F60" i="111"/>
  <c r="G60" i="111"/>
  <c r="H60" i="111"/>
  <c r="I60" i="111"/>
  <c r="J60" i="111"/>
  <c r="K60" i="111"/>
  <c r="L60" i="111"/>
  <c r="M60" i="111"/>
  <c r="N60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E62" i="111"/>
  <c r="F62" i="111"/>
  <c r="V23" i="111" s="1"/>
  <c r="G62" i="111"/>
  <c r="H62" i="111"/>
  <c r="I62" i="111"/>
  <c r="J62" i="111"/>
  <c r="Z23" i="111" s="1"/>
  <c r="K62" i="111"/>
  <c r="L62" i="111"/>
  <c r="M62" i="111"/>
  <c r="N62" i="111"/>
  <c r="AD23" i="111" s="1"/>
  <c r="C63" i="11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F65" i="111"/>
  <c r="G65" i="111"/>
  <c r="H65" i="111"/>
  <c r="I65" i="111"/>
  <c r="J65" i="111"/>
  <c r="K65" i="111"/>
  <c r="L65" i="111"/>
  <c r="M65" i="111"/>
  <c r="N65" i="111"/>
  <c r="C66" i="111"/>
  <c r="D66" i="111"/>
  <c r="E66" i="111"/>
  <c r="U24" i="111" s="1"/>
  <c r="F66" i="111"/>
  <c r="V24" i="111" s="1"/>
  <c r="G66" i="111"/>
  <c r="H66" i="111"/>
  <c r="I66" i="111"/>
  <c r="Y24" i="111" s="1"/>
  <c r="J66" i="111"/>
  <c r="Z24" i="111" s="1"/>
  <c r="K66" i="111"/>
  <c r="L66" i="111"/>
  <c r="M66" i="111"/>
  <c r="AC24" i="111" s="1"/>
  <c r="N66" i="111"/>
  <c r="AD24" i="111" s="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F70" i="111"/>
  <c r="V25" i="111" s="1"/>
  <c r="G70" i="111"/>
  <c r="H70" i="111"/>
  <c r="I70" i="111"/>
  <c r="J70" i="111"/>
  <c r="Z25" i="111" s="1"/>
  <c r="K70" i="111"/>
  <c r="L70" i="111"/>
  <c r="M70" i="111"/>
  <c r="N70" i="111"/>
  <c r="AD25" i="111" s="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F73" i="111"/>
  <c r="G73" i="111"/>
  <c r="H73" i="111"/>
  <c r="I73" i="111"/>
  <c r="J73" i="111"/>
  <c r="K73" i="111"/>
  <c r="L73" i="111"/>
  <c r="M73" i="111"/>
  <c r="N73" i="111"/>
  <c r="C74" i="111"/>
  <c r="D74" i="111"/>
  <c r="E74" i="111"/>
  <c r="U26" i="111" s="1"/>
  <c r="F74" i="111"/>
  <c r="V26" i="111" s="1"/>
  <c r="G74" i="111"/>
  <c r="H74" i="111"/>
  <c r="I74" i="111"/>
  <c r="Y26" i="111" s="1"/>
  <c r="J74" i="111"/>
  <c r="Z26" i="111" s="1"/>
  <c r="K74" i="111"/>
  <c r="L74" i="111"/>
  <c r="M74" i="111"/>
  <c r="AC26" i="111" s="1"/>
  <c r="N74" i="111"/>
  <c r="AD26" i="111" s="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E78" i="111"/>
  <c r="F78" i="111"/>
  <c r="V27" i="111" s="1"/>
  <c r="G78" i="111"/>
  <c r="H78" i="111"/>
  <c r="I78" i="111"/>
  <c r="J78" i="111"/>
  <c r="Z27" i="111" s="1"/>
  <c r="K78" i="111"/>
  <c r="L78" i="111"/>
  <c r="M78" i="111"/>
  <c r="N78" i="111"/>
  <c r="AD27" i="111" s="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F81" i="111"/>
  <c r="G81" i="111"/>
  <c r="H81" i="111"/>
  <c r="I81" i="111"/>
  <c r="J81" i="111"/>
  <c r="K81" i="111"/>
  <c r="L81" i="111"/>
  <c r="M81" i="111"/>
  <c r="N81" i="111"/>
  <c r="C82" i="111"/>
  <c r="D82" i="111"/>
  <c r="E82" i="111"/>
  <c r="U28" i="111" s="1"/>
  <c r="F82" i="111"/>
  <c r="V28" i="111" s="1"/>
  <c r="G82" i="111"/>
  <c r="H82" i="111"/>
  <c r="I82" i="111"/>
  <c r="Y28" i="111" s="1"/>
  <c r="J82" i="111"/>
  <c r="Z28" i="111" s="1"/>
  <c r="K82" i="111"/>
  <c r="L82" i="111"/>
  <c r="M82" i="111"/>
  <c r="AC28" i="111" s="1"/>
  <c r="N82" i="111"/>
  <c r="AD28" i="111" s="1"/>
  <c r="C83" i="111"/>
  <c r="D83" i="111"/>
  <c r="E83" i="11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G84" i="111"/>
  <c r="H84" i="111"/>
  <c r="I84" i="111"/>
  <c r="J84" i="111"/>
  <c r="K84" i="111"/>
  <c r="L84" i="111"/>
  <c r="M84" i="111"/>
  <c r="N84" i="111"/>
  <c r="C85" i="111"/>
  <c r="D85" i="111"/>
  <c r="E85" i="111"/>
  <c r="F85" i="111"/>
  <c r="G85" i="111"/>
  <c r="H85" i="111"/>
  <c r="I85" i="111"/>
  <c r="J85" i="111"/>
  <c r="K85" i="111"/>
  <c r="L85" i="111"/>
  <c r="M85" i="111"/>
  <c r="N85" i="111"/>
  <c r="C86" i="111"/>
  <c r="D86" i="111"/>
  <c r="T29" i="111" s="1"/>
  <c r="E86" i="111"/>
  <c r="F86" i="111"/>
  <c r="V29" i="111" s="1"/>
  <c r="G86" i="111"/>
  <c r="H86" i="111"/>
  <c r="X29" i="111" s="1"/>
  <c r="I86" i="111"/>
  <c r="J86" i="111"/>
  <c r="Z29" i="111" s="1"/>
  <c r="K86" i="111"/>
  <c r="L86" i="111"/>
  <c r="AB29" i="111" s="1"/>
  <c r="M86" i="111"/>
  <c r="N86" i="111"/>
  <c r="AD29" i="111" s="1"/>
  <c r="C87" i="111"/>
  <c r="D87" i="111"/>
  <c r="E87" i="11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J88" i="111"/>
  <c r="K88" i="111"/>
  <c r="L88" i="111"/>
  <c r="M88" i="111"/>
  <c r="N88" i="111"/>
  <c r="C89" i="111"/>
  <c r="D89" i="111"/>
  <c r="E89" i="111"/>
  <c r="F89" i="111"/>
  <c r="G89" i="111"/>
  <c r="H89" i="111"/>
  <c r="I89" i="111"/>
  <c r="J89" i="111"/>
  <c r="K89" i="111"/>
  <c r="L89" i="111"/>
  <c r="M89" i="111"/>
  <c r="N89" i="111"/>
  <c r="C90" i="111"/>
  <c r="D90" i="111"/>
  <c r="E90" i="111"/>
  <c r="U30" i="111" s="1"/>
  <c r="F90" i="111"/>
  <c r="V30" i="111" s="1"/>
  <c r="G90" i="111"/>
  <c r="H90" i="111"/>
  <c r="I90" i="111"/>
  <c r="Y30" i="111" s="1"/>
  <c r="J90" i="111"/>
  <c r="Z30" i="111" s="1"/>
  <c r="K90" i="111"/>
  <c r="L90" i="111"/>
  <c r="M90" i="111"/>
  <c r="AC30" i="111" s="1"/>
  <c r="N90" i="111"/>
  <c r="AD30" i="111" s="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T31" i="111" s="1"/>
  <c r="E94" i="111"/>
  <c r="F94" i="111"/>
  <c r="V31" i="111" s="1"/>
  <c r="G94" i="111"/>
  <c r="H94" i="111"/>
  <c r="X31" i="111" s="1"/>
  <c r="I94" i="111"/>
  <c r="J94" i="111"/>
  <c r="Z31" i="111" s="1"/>
  <c r="K94" i="111"/>
  <c r="L94" i="111"/>
  <c r="AB31" i="111" s="1"/>
  <c r="M94" i="111"/>
  <c r="N94" i="111"/>
  <c r="AD31" i="111" s="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D98" i="111"/>
  <c r="E98" i="111"/>
  <c r="U32" i="111" s="1"/>
  <c r="F98" i="111"/>
  <c r="V32" i="111" s="1"/>
  <c r="G98" i="111"/>
  <c r="H98" i="111"/>
  <c r="I98" i="111"/>
  <c r="Y32" i="111" s="1"/>
  <c r="J98" i="111"/>
  <c r="Z32" i="111" s="1"/>
  <c r="K98" i="111"/>
  <c r="L98" i="111"/>
  <c r="M98" i="111"/>
  <c r="AC32" i="111" s="1"/>
  <c r="N98" i="111"/>
  <c r="AD32" i="111" s="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C102" i="111"/>
  <c r="D102" i="111"/>
  <c r="T33" i="111" s="1"/>
  <c r="E102" i="111"/>
  <c r="F102" i="111"/>
  <c r="V33" i="111" s="1"/>
  <c r="G102" i="111"/>
  <c r="H102" i="111"/>
  <c r="X33" i="111" s="1"/>
  <c r="I102" i="111"/>
  <c r="J102" i="111"/>
  <c r="Z33" i="111" s="1"/>
  <c r="K102" i="111"/>
  <c r="L102" i="111"/>
  <c r="AB33" i="111" s="1"/>
  <c r="M102" i="111"/>
  <c r="N102" i="111"/>
  <c r="AD33" i="111" s="1"/>
  <c r="C103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D58" i="111"/>
  <c r="E58" i="111"/>
  <c r="F58" i="111"/>
  <c r="G58" i="111"/>
  <c r="H58" i="111"/>
  <c r="I58" i="111"/>
  <c r="J58" i="111"/>
  <c r="K58" i="111"/>
  <c r="L58" i="111"/>
  <c r="M58" i="111"/>
  <c r="N58" i="111"/>
  <c r="C58" i="111"/>
  <c r="P58" i="107"/>
  <c r="P59" i="107"/>
  <c r="P60" i="107"/>
  <c r="P61" i="107"/>
  <c r="AF22" i="107" s="1"/>
  <c r="P62" i="107"/>
  <c r="P63" i="107"/>
  <c r="P64" i="107"/>
  <c r="AF23" i="107" s="1"/>
  <c r="P65" i="107"/>
  <c r="P66" i="107"/>
  <c r="P67" i="107"/>
  <c r="P68" i="107"/>
  <c r="AF24" i="107" s="1"/>
  <c r="P69" i="107"/>
  <c r="P70" i="107"/>
  <c r="P71" i="107"/>
  <c r="P72" i="107"/>
  <c r="P73" i="107"/>
  <c r="P74" i="107"/>
  <c r="P75" i="107"/>
  <c r="P76" i="107"/>
  <c r="AF26" i="107" s="1"/>
  <c r="P77" i="107"/>
  <c r="P78" i="107"/>
  <c r="P79" i="107"/>
  <c r="P80" i="107"/>
  <c r="AF27" i="107" s="1"/>
  <c r="P81" i="107"/>
  <c r="P82" i="107"/>
  <c r="P83" i="107"/>
  <c r="P84" i="107"/>
  <c r="AF28" i="107" s="1"/>
  <c r="P85" i="107"/>
  <c r="P86" i="107"/>
  <c r="P87" i="107"/>
  <c r="P88" i="107"/>
  <c r="P89" i="107"/>
  <c r="P90" i="107"/>
  <c r="P91" i="107"/>
  <c r="P92" i="107"/>
  <c r="AF30" i="107" s="1"/>
  <c r="P93" i="107"/>
  <c r="P94" i="107"/>
  <c r="P95" i="107"/>
  <c r="P96" i="107"/>
  <c r="P97" i="107"/>
  <c r="AF31" i="107" s="1"/>
  <c r="P98" i="107"/>
  <c r="P99" i="107"/>
  <c r="P100" i="107"/>
  <c r="P101" i="107"/>
  <c r="P102" i="107"/>
  <c r="P103" i="107"/>
  <c r="P104" i="107"/>
  <c r="AF33" i="107" s="1"/>
  <c r="P105" i="107"/>
  <c r="O58" i="107"/>
  <c r="O59" i="107"/>
  <c r="O60" i="107"/>
  <c r="AE22" i="107" s="1"/>
  <c r="O61" i="107"/>
  <c r="O62" i="107"/>
  <c r="O63" i="107"/>
  <c r="O64" i="107"/>
  <c r="AE23" i="107" s="1"/>
  <c r="O65" i="107"/>
  <c r="O66" i="107"/>
  <c r="O67" i="107"/>
  <c r="O68" i="107"/>
  <c r="AE24" i="107" s="1"/>
  <c r="O69" i="107"/>
  <c r="O70" i="107"/>
  <c r="O71" i="107"/>
  <c r="O72" i="107"/>
  <c r="O73" i="107"/>
  <c r="AE25" i="107" s="1"/>
  <c r="O74" i="107"/>
  <c r="O75" i="107"/>
  <c r="O76" i="107"/>
  <c r="O77" i="107"/>
  <c r="AE26" i="107" s="1"/>
  <c r="O78" i="107"/>
  <c r="O79" i="107"/>
  <c r="O80" i="107"/>
  <c r="O81" i="107"/>
  <c r="O82" i="107"/>
  <c r="O83" i="107"/>
  <c r="O84" i="107"/>
  <c r="O85" i="107"/>
  <c r="O86" i="107"/>
  <c r="O87" i="107"/>
  <c r="O88" i="107"/>
  <c r="AE29" i="107" s="1"/>
  <c r="O89" i="107"/>
  <c r="O90" i="107"/>
  <c r="O91" i="107"/>
  <c r="O92" i="107"/>
  <c r="AE30" i="107" s="1"/>
  <c r="O93" i="107"/>
  <c r="O94" i="107"/>
  <c r="O95" i="107"/>
  <c r="O96" i="107"/>
  <c r="AE31" i="107" s="1"/>
  <c r="O97" i="107"/>
  <c r="O98" i="107"/>
  <c r="O99" i="107"/>
  <c r="O100" i="107"/>
  <c r="AE32" i="107" s="1"/>
  <c r="O101" i="107"/>
  <c r="O102" i="107"/>
  <c r="O103" i="107"/>
  <c r="O104" i="107"/>
  <c r="O105" i="107"/>
  <c r="AE33" i="107" s="1"/>
  <c r="P58" i="108"/>
  <c r="P59" i="108"/>
  <c r="P60" i="108"/>
  <c r="AF22" i="108" s="1"/>
  <c r="P61" i="108"/>
  <c r="P62" i="108"/>
  <c r="P63" i="108"/>
  <c r="P64" i="108"/>
  <c r="P65" i="108"/>
  <c r="P66" i="108"/>
  <c r="P67" i="108"/>
  <c r="P68" i="108"/>
  <c r="AF24" i="108" s="1"/>
  <c r="P69" i="108"/>
  <c r="P70" i="108"/>
  <c r="P71" i="108"/>
  <c r="P72" i="108"/>
  <c r="P73" i="108"/>
  <c r="AF25" i="108" s="1"/>
  <c r="P74" i="108"/>
  <c r="P75" i="108"/>
  <c r="P76" i="108"/>
  <c r="P77" i="108"/>
  <c r="P78" i="108"/>
  <c r="P79" i="108"/>
  <c r="P80" i="108"/>
  <c r="AF27" i="108" s="1"/>
  <c r="P81" i="108"/>
  <c r="P82" i="108"/>
  <c r="P83" i="108"/>
  <c r="P84" i="108"/>
  <c r="P85" i="108"/>
  <c r="AF28" i="108" s="1"/>
  <c r="P86" i="108"/>
  <c r="P87" i="108"/>
  <c r="P88" i="108"/>
  <c r="P89" i="108"/>
  <c r="P90" i="108"/>
  <c r="P91" i="108"/>
  <c r="P92" i="108"/>
  <c r="P93" i="108"/>
  <c r="P94" i="108"/>
  <c r="P95" i="108"/>
  <c r="P96" i="108"/>
  <c r="AF31" i="108" s="1"/>
  <c r="P97" i="108"/>
  <c r="P98" i="108"/>
  <c r="P99" i="108"/>
  <c r="P100" i="108"/>
  <c r="P101" i="108"/>
  <c r="AF32" i="108" s="1"/>
  <c r="P102" i="108"/>
  <c r="P103" i="108"/>
  <c r="P104" i="108"/>
  <c r="AF33" i="108" s="1"/>
  <c r="P105" i="108"/>
  <c r="O58" i="108"/>
  <c r="O59" i="108"/>
  <c r="O60" i="108"/>
  <c r="O61" i="108"/>
  <c r="O62" i="108"/>
  <c r="O63" i="108"/>
  <c r="O64" i="108"/>
  <c r="AE23" i="108" s="1"/>
  <c r="O65" i="108"/>
  <c r="O66" i="108"/>
  <c r="O67" i="108"/>
  <c r="O68" i="108"/>
  <c r="AE24" i="108" s="1"/>
  <c r="O69" i="108"/>
  <c r="O70" i="108"/>
  <c r="O71" i="108"/>
  <c r="O72" i="108"/>
  <c r="AE25" i="108" s="1"/>
  <c r="O73" i="108"/>
  <c r="O74" i="108"/>
  <c r="O75" i="108"/>
  <c r="O76" i="108"/>
  <c r="AE26" i="108" s="1"/>
  <c r="O77" i="108"/>
  <c r="O78" i="108"/>
  <c r="O79" i="108"/>
  <c r="O80" i="108"/>
  <c r="O81" i="108"/>
  <c r="AE27" i="108" s="1"/>
  <c r="O82" i="108"/>
  <c r="O83" i="108"/>
  <c r="O84" i="108"/>
  <c r="O85" i="108"/>
  <c r="AE28" i="108" s="1"/>
  <c r="O86" i="108"/>
  <c r="O87" i="108"/>
  <c r="O88" i="108"/>
  <c r="O89" i="108"/>
  <c r="O90" i="108"/>
  <c r="O91" i="108"/>
  <c r="O92" i="108"/>
  <c r="O93" i="108"/>
  <c r="O94" i="108"/>
  <c r="O95" i="108"/>
  <c r="O96" i="108"/>
  <c r="AE31" i="108" s="1"/>
  <c r="O97" i="108"/>
  <c r="O98" i="108"/>
  <c r="O99" i="108"/>
  <c r="O100" i="108"/>
  <c r="AE32" i="108" s="1"/>
  <c r="O101" i="108"/>
  <c r="O102" i="108"/>
  <c r="O103" i="108"/>
  <c r="O104" i="108"/>
  <c r="AE33" i="108" s="1"/>
  <c r="O105" i="108"/>
  <c r="C59" i="108"/>
  <c r="D59" i="108"/>
  <c r="E59" i="108"/>
  <c r="U22" i="108" s="1"/>
  <c r="F59" i="108"/>
  <c r="V22" i="108" s="1"/>
  <c r="G59" i="108"/>
  <c r="H59" i="108"/>
  <c r="I59" i="108"/>
  <c r="Y22" i="108" s="1"/>
  <c r="J59" i="108"/>
  <c r="Z22" i="108" s="1"/>
  <c r="K59" i="108"/>
  <c r="L59" i="108"/>
  <c r="M59" i="108"/>
  <c r="AC22" i="108" s="1"/>
  <c r="N59" i="108"/>
  <c r="AD22" i="108" s="1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V23" i="108" s="1"/>
  <c r="G62" i="108"/>
  <c r="H62" i="108"/>
  <c r="I62" i="108"/>
  <c r="J62" i="108"/>
  <c r="Z23" i="108" s="1"/>
  <c r="K62" i="108"/>
  <c r="L62" i="108"/>
  <c r="M62" i="108"/>
  <c r="N62" i="108"/>
  <c r="AD23" i="108" s="1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U24" i="108" s="1"/>
  <c r="F66" i="108"/>
  <c r="V24" i="108" s="1"/>
  <c r="G66" i="108"/>
  <c r="H66" i="108"/>
  <c r="I66" i="108"/>
  <c r="Y24" i="108" s="1"/>
  <c r="J66" i="108"/>
  <c r="Z24" i="108" s="1"/>
  <c r="K66" i="108"/>
  <c r="L66" i="108"/>
  <c r="M66" i="108"/>
  <c r="AC24" i="108" s="1"/>
  <c r="N66" i="108"/>
  <c r="AD24" i="108" s="1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V25" i="108" s="1"/>
  <c r="G70" i="108"/>
  <c r="H70" i="108"/>
  <c r="I70" i="108"/>
  <c r="J70" i="108"/>
  <c r="Z25" i="108" s="1"/>
  <c r="K70" i="108"/>
  <c r="L70" i="108"/>
  <c r="M70" i="108"/>
  <c r="N70" i="108"/>
  <c r="AD25" i="108" s="1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U26" i="108" s="1"/>
  <c r="F74" i="108"/>
  <c r="V26" i="108" s="1"/>
  <c r="G74" i="108"/>
  <c r="H74" i="108"/>
  <c r="I74" i="108"/>
  <c r="Y26" i="108" s="1"/>
  <c r="J74" i="108"/>
  <c r="Z26" i="108" s="1"/>
  <c r="K74" i="108"/>
  <c r="L74" i="108"/>
  <c r="M74" i="108"/>
  <c r="AC26" i="108" s="1"/>
  <c r="N74" i="108"/>
  <c r="AD26" i="108" s="1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V27" i="108" s="1"/>
  <c r="G78" i="108"/>
  <c r="H78" i="108"/>
  <c r="I78" i="108"/>
  <c r="J78" i="108"/>
  <c r="Z27" i="108" s="1"/>
  <c r="K78" i="108"/>
  <c r="L78" i="108"/>
  <c r="M78" i="108"/>
  <c r="N78" i="108"/>
  <c r="AD27" i="108" s="1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U28" i="108" s="1"/>
  <c r="F82" i="108"/>
  <c r="V28" i="108" s="1"/>
  <c r="G82" i="108"/>
  <c r="H82" i="108"/>
  <c r="I82" i="108"/>
  <c r="Y28" i="108" s="1"/>
  <c r="J82" i="108"/>
  <c r="Z28" i="108" s="1"/>
  <c r="K82" i="108"/>
  <c r="L82" i="108"/>
  <c r="M82" i="108"/>
  <c r="AC28" i="108" s="1"/>
  <c r="N82" i="108"/>
  <c r="AD28" i="108" s="1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V29" i="108" s="1"/>
  <c r="G86" i="108"/>
  <c r="H86" i="108"/>
  <c r="I86" i="108"/>
  <c r="J86" i="108"/>
  <c r="Z29" i="108" s="1"/>
  <c r="K86" i="108"/>
  <c r="L86" i="108"/>
  <c r="M86" i="108"/>
  <c r="N86" i="108"/>
  <c r="AD29" i="108" s="1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U30" i="108" s="1"/>
  <c r="F90" i="108"/>
  <c r="V30" i="108" s="1"/>
  <c r="G90" i="108"/>
  <c r="H90" i="108"/>
  <c r="I90" i="108"/>
  <c r="Y30" i="108" s="1"/>
  <c r="J90" i="108"/>
  <c r="Z30" i="108" s="1"/>
  <c r="K90" i="108"/>
  <c r="L90" i="108"/>
  <c r="M90" i="108"/>
  <c r="AC30" i="108" s="1"/>
  <c r="N90" i="108"/>
  <c r="AD30" i="108" s="1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V31" i="108" s="1"/>
  <c r="G94" i="108"/>
  <c r="H94" i="108"/>
  <c r="I94" i="108"/>
  <c r="J94" i="108"/>
  <c r="Z31" i="108" s="1"/>
  <c r="K94" i="108"/>
  <c r="L94" i="108"/>
  <c r="M94" i="108"/>
  <c r="N94" i="108"/>
  <c r="AD31" i="108" s="1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U32" i="108" s="1"/>
  <c r="F98" i="108"/>
  <c r="V32" i="108" s="1"/>
  <c r="G98" i="108"/>
  <c r="H98" i="108"/>
  <c r="I98" i="108"/>
  <c r="Y32" i="108" s="1"/>
  <c r="J98" i="108"/>
  <c r="Z32" i="108" s="1"/>
  <c r="K98" i="108"/>
  <c r="L98" i="108"/>
  <c r="M98" i="108"/>
  <c r="AC32" i="108" s="1"/>
  <c r="N98" i="108"/>
  <c r="AD32" i="108" s="1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V33" i="108" s="1"/>
  <c r="G102" i="108"/>
  <c r="H102" i="108"/>
  <c r="I102" i="108"/>
  <c r="J102" i="108"/>
  <c r="Z33" i="108" s="1"/>
  <c r="K102" i="108"/>
  <c r="L102" i="108"/>
  <c r="M102" i="108"/>
  <c r="N102" i="108"/>
  <c r="AD33" i="108" s="1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C59" i="107"/>
  <c r="D59" i="107"/>
  <c r="E59" i="107"/>
  <c r="U22" i="107" s="1"/>
  <c r="F59" i="107"/>
  <c r="V22" i="107" s="1"/>
  <c r="G59" i="107"/>
  <c r="H59" i="107"/>
  <c r="I59" i="107"/>
  <c r="Y22" i="107" s="1"/>
  <c r="J59" i="107"/>
  <c r="Z22" i="107" s="1"/>
  <c r="K59" i="107"/>
  <c r="L59" i="107"/>
  <c r="M59" i="107"/>
  <c r="AC22" i="107" s="1"/>
  <c r="N59" i="107"/>
  <c r="AD22" i="107" s="1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V23" i="107" s="1"/>
  <c r="G62" i="107"/>
  <c r="H62" i="107"/>
  <c r="I62" i="107"/>
  <c r="J62" i="107"/>
  <c r="Z23" i="107" s="1"/>
  <c r="K62" i="107"/>
  <c r="L62" i="107"/>
  <c r="M62" i="107"/>
  <c r="N62" i="107"/>
  <c r="AD23" i="107" s="1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U24" i="107" s="1"/>
  <c r="F66" i="107"/>
  <c r="V24" i="107" s="1"/>
  <c r="G66" i="107"/>
  <c r="H66" i="107"/>
  <c r="I66" i="107"/>
  <c r="Y24" i="107" s="1"/>
  <c r="J66" i="107"/>
  <c r="Z24" i="107" s="1"/>
  <c r="K66" i="107"/>
  <c r="L66" i="107"/>
  <c r="M66" i="107"/>
  <c r="AC24" i="107" s="1"/>
  <c r="N66" i="107"/>
  <c r="AD24" i="107" s="1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V25" i="107" s="1"/>
  <c r="G70" i="107"/>
  <c r="H70" i="107"/>
  <c r="I70" i="107"/>
  <c r="J70" i="107"/>
  <c r="Z25" i="107" s="1"/>
  <c r="K70" i="107"/>
  <c r="L70" i="107"/>
  <c r="M70" i="107"/>
  <c r="N70" i="107"/>
  <c r="AD25" i="107" s="1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U26" i="107" s="1"/>
  <c r="F74" i="107"/>
  <c r="V26" i="107" s="1"/>
  <c r="G74" i="107"/>
  <c r="H74" i="107"/>
  <c r="I74" i="107"/>
  <c r="Y26" i="107" s="1"/>
  <c r="J74" i="107"/>
  <c r="Z26" i="107" s="1"/>
  <c r="K74" i="107"/>
  <c r="L74" i="107"/>
  <c r="M74" i="107"/>
  <c r="AC26" i="107" s="1"/>
  <c r="N74" i="107"/>
  <c r="AD26" i="107" s="1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V27" i="107" s="1"/>
  <c r="G78" i="107"/>
  <c r="H78" i="107"/>
  <c r="I78" i="107"/>
  <c r="J78" i="107"/>
  <c r="Z27" i="107" s="1"/>
  <c r="K78" i="107"/>
  <c r="L78" i="107"/>
  <c r="M78" i="107"/>
  <c r="N78" i="107"/>
  <c r="AD27" i="107" s="1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U28" i="107" s="1"/>
  <c r="F82" i="107"/>
  <c r="V28" i="107" s="1"/>
  <c r="G82" i="107"/>
  <c r="H82" i="107"/>
  <c r="I82" i="107"/>
  <c r="Y28" i="107" s="1"/>
  <c r="J82" i="107"/>
  <c r="Z28" i="107" s="1"/>
  <c r="K82" i="107"/>
  <c r="L82" i="107"/>
  <c r="M82" i="107"/>
  <c r="AC28" i="107" s="1"/>
  <c r="N82" i="107"/>
  <c r="AD28" i="107" s="1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V29" i="107" s="1"/>
  <c r="G86" i="107"/>
  <c r="H86" i="107"/>
  <c r="I86" i="107"/>
  <c r="J86" i="107"/>
  <c r="Z29" i="107" s="1"/>
  <c r="K86" i="107"/>
  <c r="L86" i="107"/>
  <c r="M86" i="107"/>
  <c r="N86" i="107"/>
  <c r="AD29" i="107" s="1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U30" i="107" s="1"/>
  <c r="F90" i="107"/>
  <c r="V30" i="107" s="1"/>
  <c r="G90" i="107"/>
  <c r="H90" i="107"/>
  <c r="I90" i="107"/>
  <c r="Y30" i="107" s="1"/>
  <c r="J90" i="107"/>
  <c r="Z30" i="107" s="1"/>
  <c r="K90" i="107"/>
  <c r="L90" i="107"/>
  <c r="M90" i="107"/>
  <c r="AC30" i="107" s="1"/>
  <c r="N90" i="107"/>
  <c r="AD30" i="107" s="1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F94" i="107"/>
  <c r="V31" i="107" s="1"/>
  <c r="G94" i="107"/>
  <c r="H94" i="107"/>
  <c r="I94" i="107"/>
  <c r="J94" i="107"/>
  <c r="Z31" i="107" s="1"/>
  <c r="K94" i="107"/>
  <c r="L94" i="107"/>
  <c r="M94" i="107"/>
  <c r="N94" i="107"/>
  <c r="AD31" i="107" s="1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U32" i="107" s="1"/>
  <c r="F98" i="107"/>
  <c r="V32" i="107" s="1"/>
  <c r="G98" i="107"/>
  <c r="H98" i="107"/>
  <c r="I98" i="107"/>
  <c r="Y32" i="107" s="1"/>
  <c r="J98" i="107"/>
  <c r="Z32" i="107" s="1"/>
  <c r="K98" i="107"/>
  <c r="L98" i="107"/>
  <c r="M98" i="107"/>
  <c r="AC32" i="107" s="1"/>
  <c r="N98" i="107"/>
  <c r="AD32" i="107" s="1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E102" i="107"/>
  <c r="F102" i="107"/>
  <c r="V33" i="107" s="1"/>
  <c r="G102" i="107"/>
  <c r="H102" i="107"/>
  <c r="I102" i="107"/>
  <c r="J102" i="107"/>
  <c r="Z33" i="107" s="1"/>
  <c r="K102" i="107"/>
  <c r="L102" i="107"/>
  <c r="M102" i="107"/>
  <c r="N102" i="107"/>
  <c r="AD33" i="107" s="1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C58" i="107"/>
  <c r="AC33" i="111"/>
  <c r="AA33" i="111"/>
  <c r="Y33" i="111"/>
  <c r="W33" i="111"/>
  <c r="U33" i="111"/>
  <c r="S33" i="111"/>
  <c r="AF32" i="111"/>
  <c r="AB32" i="111"/>
  <c r="AA32" i="111"/>
  <c r="X32" i="111"/>
  <c r="W32" i="111"/>
  <c r="T32" i="111"/>
  <c r="S32" i="111"/>
  <c r="AC31" i="111"/>
  <c r="AA31" i="111"/>
  <c r="Y31" i="111"/>
  <c r="W31" i="111"/>
  <c r="U31" i="111"/>
  <c r="S31" i="111"/>
  <c r="AB30" i="111"/>
  <c r="AA30" i="111"/>
  <c r="X30" i="111"/>
  <c r="W30" i="111"/>
  <c r="T30" i="111"/>
  <c r="S30" i="111"/>
  <c r="AC29" i="111"/>
  <c r="AA29" i="111"/>
  <c r="Y29" i="111"/>
  <c r="W29" i="111"/>
  <c r="U29" i="111"/>
  <c r="S29" i="111"/>
  <c r="AF28" i="111"/>
  <c r="AB28" i="111"/>
  <c r="AA28" i="111"/>
  <c r="X28" i="111"/>
  <c r="W28" i="111"/>
  <c r="T28" i="111"/>
  <c r="S28" i="111"/>
  <c r="AC27" i="111"/>
  <c r="AB27" i="111"/>
  <c r="AA27" i="111"/>
  <c r="Y27" i="111"/>
  <c r="X27" i="111"/>
  <c r="W27" i="111"/>
  <c r="U27" i="111"/>
  <c r="T27" i="111"/>
  <c r="S27" i="111"/>
  <c r="AB26" i="111"/>
  <c r="AA26" i="111"/>
  <c r="X26" i="111"/>
  <c r="W26" i="111"/>
  <c r="T26" i="111"/>
  <c r="S26" i="111"/>
  <c r="AF25" i="111"/>
  <c r="AC25" i="111"/>
  <c r="AB25" i="111"/>
  <c r="AA25" i="111"/>
  <c r="Y25" i="111"/>
  <c r="X25" i="111"/>
  <c r="W25" i="111"/>
  <c r="U25" i="111"/>
  <c r="T25" i="111"/>
  <c r="S25" i="111"/>
  <c r="AE24" i="111"/>
  <c r="AB24" i="111"/>
  <c r="AA24" i="111"/>
  <c r="X24" i="111"/>
  <c r="W24" i="111"/>
  <c r="T24" i="111"/>
  <c r="S24" i="111"/>
  <c r="AE23" i="111"/>
  <c r="AC23" i="111"/>
  <c r="AB23" i="111"/>
  <c r="AA23" i="111"/>
  <c r="Y23" i="111"/>
  <c r="X23" i="111"/>
  <c r="W23" i="111"/>
  <c r="U23" i="111"/>
  <c r="T23" i="111"/>
  <c r="S23" i="111"/>
  <c r="AB22" i="111"/>
  <c r="AA22" i="111"/>
  <c r="X22" i="111"/>
  <c r="W22" i="111"/>
  <c r="T22" i="111"/>
  <c r="S22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D20" i="111"/>
  <c r="AC20" i="111"/>
  <c r="AC36" i="111" s="1"/>
  <c r="AB20" i="111"/>
  <c r="AA20" i="111"/>
  <c r="Z20" i="111"/>
  <c r="Y20" i="111"/>
  <c r="Y36" i="111" s="1"/>
  <c r="X20" i="111"/>
  <c r="W20" i="111"/>
  <c r="V20" i="111"/>
  <c r="U20" i="111"/>
  <c r="U36" i="111" s="1"/>
  <c r="T20" i="111"/>
  <c r="S20" i="111"/>
  <c r="AF19" i="111"/>
  <c r="AF36" i="111" s="1"/>
  <c r="AE19" i="111"/>
  <c r="AE36" i="111" s="1"/>
  <c r="AD19" i="111"/>
  <c r="AD39" i="111" s="1"/>
  <c r="AC19" i="111"/>
  <c r="AC39" i="111" s="1"/>
  <c r="AB19" i="111"/>
  <c r="AB36" i="111" s="1"/>
  <c r="AA19" i="111"/>
  <c r="AA36" i="111" s="1"/>
  <c r="Z19" i="111"/>
  <c r="Z39" i="111" s="1"/>
  <c r="Y19" i="111"/>
  <c r="Y39" i="111" s="1"/>
  <c r="X19" i="111"/>
  <c r="X36" i="111" s="1"/>
  <c r="W19" i="111"/>
  <c r="W39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Z15" i="111"/>
  <c r="Y15" i="111"/>
  <c r="X15" i="111"/>
  <c r="W15" i="111"/>
  <c r="V15" i="111"/>
  <c r="U15" i="111"/>
  <c r="T15" i="111"/>
  <c r="S15" i="111"/>
  <c r="AF14" i="111"/>
  <c r="AE14" i="111"/>
  <c r="AD14" i="111"/>
  <c r="AC14" i="111"/>
  <c r="AC38" i="111" s="1"/>
  <c r="AB14" i="111"/>
  <c r="AA14" i="111"/>
  <c r="Z14" i="111"/>
  <c r="Y14" i="111"/>
  <c r="Y38" i="111" s="1"/>
  <c r="X14" i="111"/>
  <c r="W14" i="111"/>
  <c r="V14" i="111"/>
  <c r="U14" i="111"/>
  <c r="U38" i="111" s="1"/>
  <c r="T14" i="111"/>
  <c r="S14" i="111"/>
  <c r="AF13" i="111"/>
  <c r="AF38" i="111" s="1"/>
  <c r="AE13" i="111"/>
  <c r="AE38" i="111" s="1"/>
  <c r="AD13" i="111"/>
  <c r="AD35" i="111" s="1"/>
  <c r="AC13" i="111"/>
  <c r="AC35" i="111" s="1"/>
  <c r="AB13" i="111"/>
  <c r="AB38" i="111" s="1"/>
  <c r="AA13" i="111"/>
  <c r="AA38" i="111" s="1"/>
  <c r="Z13" i="111"/>
  <c r="Z35" i="111" s="1"/>
  <c r="Y13" i="111"/>
  <c r="Y35" i="111" s="1"/>
  <c r="X13" i="111"/>
  <c r="X38" i="111" s="1"/>
  <c r="W13" i="111"/>
  <c r="W35" i="111" s="1"/>
  <c r="V13" i="111"/>
  <c r="V35" i="111" s="1"/>
  <c r="U13" i="111"/>
  <c r="U35" i="111" s="1"/>
  <c r="T13" i="111"/>
  <c r="T38" i="111" s="1"/>
  <c r="S13" i="111"/>
  <c r="S38" i="111" s="1"/>
  <c r="AF12" i="111"/>
  <c r="AE12" i="111"/>
  <c r="AD12" i="111"/>
  <c r="AC12" i="111"/>
  <c r="AB12" i="111"/>
  <c r="AA12" i="111"/>
  <c r="Z12" i="111"/>
  <c r="Y12" i="111"/>
  <c r="X12" i="111"/>
  <c r="W12" i="111"/>
  <c r="V12" i="111"/>
  <c r="U12" i="111"/>
  <c r="T12" i="111"/>
  <c r="S12" i="111"/>
  <c r="AF11" i="111"/>
  <c r="AE11" i="111"/>
  <c r="AD11" i="111"/>
  <c r="AC11" i="111"/>
  <c r="AB11" i="111"/>
  <c r="AA11" i="111"/>
  <c r="AA37" i="111" s="1"/>
  <c r="Z11" i="111"/>
  <c r="Y11" i="111"/>
  <c r="X11" i="111"/>
  <c r="W11" i="111"/>
  <c r="W37" i="111" s="1"/>
  <c r="V11" i="111"/>
  <c r="U11" i="111"/>
  <c r="T11" i="111"/>
  <c r="S11" i="111"/>
  <c r="AF10" i="111"/>
  <c r="AF40" i="111" s="1"/>
  <c r="AE10" i="111"/>
  <c r="AE40" i="111" s="1"/>
  <c r="AD10" i="111"/>
  <c r="AC10" i="111"/>
  <c r="AB10" i="111"/>
  <c r="AB40" i="111" s="1"/>
  <c r="AA10" i="111"/>
  <c r="AA40" i="111" s="1"/>
  <c r="Z10" i="111"/>
  <c r="Y10" i="111"/>
  <c r="Y34" i="111" s="1"/>
  <c r="X10" i="111"/>
  <c r="X40" i="111" s="1"/>
  <c r="W10" i="111"/>
  <c r="W40" i="111" s="1"/>
  <c r="V10" i="111"/>
  <c r="U10" i="111"/>
  <c r="U40" i="111" s="1"/>
  <c r="T10" i="111"/>
  <c r="T40" i="111" s="1"/>
  <c r="S10" i="111"/>
  <c r="S40" i="111" s="1"/>
  <c r="AC33" i="108"/>
  <c r="AB33" i="108"/>
  <c r="AA33" i="108"/>
  <c r="Y33" i="108"/>
  <c r="X33" i="108"/>
  <c r="W33" i="108"/>
  <c r="U33" i="108"/>
  <c r="T33" i="108"/>
  <c r="S33" i="108"/>
  <c r="AB32" i="108"/>
  <c r="AA32" i="108"/>
  <c r="X32" i="108"/>
  <c r="W32" i="108"/>
  <c r="T32" i="108"/>
  <c r="S32" i="108"/>
  <c r="AC31" i="108"/>
  <c r="AB31" i="108"/>
  <c r="AA31" i="108"/>
  <c r="Y31" i="108"/>
  <c r="X31" i="108"/>
  <c r="W31" i="108"/>
  <c r="U31" i="108"/>
  <c r="T31" i="108"/>
  <c r="S31" i="108"/>
  <c r="AF30" i="108"/>
  <c r="AE30" i="108"/>
  <c r="AB30" i="108"/>
  <c r="AA30" i="108"/>
  <c r="X30" i="108"/>
  <c r="W30" i="108"/>
  <c r="T30" i="108"/>
  <c r="S30" i="108"/>
  <c r="AF29" i="108"/>
  <c r="AE29" i="108"/>
  <c r="AC29" i="108"/>
  <c r="AB29" i="108"/>
  <c r="AA29" i="108"/>
  <c r="Y29" i="108"/>
  <c r="X29" i="108"/>
  <c r="W29" i="108"/>
  <c r="U29" i="108"/>
  <c r="T29" i="108"/>
  <c r="S29" i="108"/>
  <c r="AB28" i="108"/>
  <c r="AA28" i="108"/>
  <c r="X28" i="108"/>
  <c r="W28" i="108"/>
  <c r="T28" i="108"/>
  <c r="S28" i="108"/>
  <c r="AC27" i="108"/>
  <c r="AB27" i="108"/>
  <c r="AA27" i="108"/>
  <c r="Y27" i="108"/>
  <c r="X27" i="108"/>
  <c r="W27" i="108"/>
  <c r="U27" i="108"/>
  <c r="T27" i="108"/>
  <c r="S27" i="108"/>
  <c r="AF26" i="108"/>
  <c r="AB26" i="108"/>
  <c r="AA26" i="108"/>
  <c r="X26" i="108"/>
  <c r="W26" i="108"/>
  <c r="T26" i="108"/>
  <c r="S26" i="108"/>
  <c r="AC25" i="108"/>
  <c r="AB25" i="108"/>
  <c r="AA25" i="108"/>
  <c r="Y25" i="108"/>
  <c r="X25" i="108"/>
  <c r="W25" i="108"/>
  <c r="U25" i="108"/>
  <c r="T25" i="108"/>
  <c r="S25" i="108"/>
  <c r="AB24" i="108"/>
  <c r="AA24" i="108"/>
  <c r="X24" i="108"/>
  <c r="W24" i="108"/>
  <c r="T24" i="108"/>
  <c r="S24" i="108"/>
  <c r="AF23" i="108"/>
  <c r="AC23" i="108"/>
  <c r="AB23" i="108"/>
  <c r="AA23" i="108"/>
  <c r="Y23" i="108"/>
  <c r="X23" i="108"/>
  <c r="W23" i="108"/>
  <c r="U23" i="108"/>
  <c r="T23" i="108"/>
  <c r="S23" i="108"/>
  <c r="AE22" i="108"/>
  <c r="AB22" i="108"/>
  <c r="AA22" i="108"/>
  <c r="X22" i="108"/>
  <c r="W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Y36" i="108" s="1"/>
  <c r="X20" i="108"/>
  <c r="W20" i="108"/>
  <c r="V20" i="108"/>
  <c r="U20" i="108"/>
  <c r="U36" i="108" s="1"/>
  <c r="T20" i="108"/>
  <c r="S20" i="108"/>
  <c r="AF19" i="108"/>
  <c r="AF36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6" i="108" s="1"/>
  <c r="W19" i="108"/>
  <c r="W36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AF14" i="108"/>
  <c r="AE14" i="108"/>
  <c r="AD14" i="108"/>
  <c r="AC14" i="108"/>
  <c r="AC38" i="108" s="1"/>
  <c r="AB14" i="108"/>
  <c r="AA14" i="108"/>
  <c r="Z14" i="108"/>
  <c r="Y14" i="108"/>
  <c r="Y38" i="108" s="1"/>
  <c r="X14" i="108"/>
  <c r="W14" i="108"/>
  <c r="V14" i="108"/>
  <c r="U14" i="108"/>
  <c r="U38" i="108" s="1"/>
  <c r="T14" i="108"/>
  <c r="S14" i="108"/>
  <c r="AF13" i="108"/>
  <c r="AF38" i="108" s="1"/>
  <c r="AE13" i="108"/>
  <c r="AE38" i="108" s="1"/>
  <c r="AD13" i="108"/>
  <c r="AD35" i="108" s="1"/>
  <c r="AC13" i="108"/>
  <c r="AC35" i="108" s="1"/>
  <c r="AB13" i="108"/>
  <c r="AB38" i="108" s="1"/>
  <c r="AA13" i="108"/>
  <c r="AA35" i="108" s="1"/>
  <c r="Z13" i="108"/>
  <c r="Z35" i="108" s="1"/>
  <c r="Y13" i="108"/>
  <c r="Y35" i="108" s="1"/>
  <c r="X13" i="108"/>
  <c r="X38" i="108" s="1"/>
  <c r="W13" i="108"/>
  <c r="W38" i="108" s="1"/>
  <c r="V13" i="108"/>
  <c r="V35" i="108" s="1"/>
  <c r="U13" i="108"/>
  <c r="U35" i="108" s="1"/>
  <c r="T13" i="108"/>
  <c r="T38" i="108" s="1"/>
  <c r="S13" i="108"/>
  <c r="S35" i="108" s="1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AF11" i="108"/>
  <c r="AE11" i="108"/>
  <c r="AE37" i="108" s="1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S37" i="108" s="1"/>
  <c r="AF10" i="108"/>
  <c r="AF40" i="108" s="1"/>
  <c r="AE10" i="108"/>
  <c r="AE40" i="108" s="1"/>
  <c r="AD10" i="108"/>
  <c r="AC10" i="108"/>
  <c r="AB10" i="108"/>
  <c r="AB40" i="108" s="1"/>
  <c r="AA10" i="108"/>
  <c r="AA40" i="108" s="1"/>
  <c r="Z10" i="108"/>
  <c r="Y10" i="108"/>
  <c r="Y40" i="108" s="1"/>
  <c r="X10" i="108"/>
  <c r="X40" i="108" s="1"/>
  <c r="W10" i="108"/>
  <c r="W40" i="108" s="1"/>
  <c r="V10" i="108"/>
  <c r="U10" i="108"/>
  <c r="U34" i="108" s="1"/>
  <c r="T10" i="108"/>
  <c r="T40" i="108" s="1"/>
  <c r="S10" i="108"/>
  <c r="S40" i="108" s="1"/>
  <c r="AC33" i="107"/>
  <c r="AB33" i="107"/>
  <c r="AA33" i="107"/>
  <c r="Y33" i="107"/>
  <c r="X33" i="107"/>
  <c r="W33" i="107"/>
  <c r="U33" i="107"/>
  <c r="T33" i="107"/>
  <c r="S33" i="107"/>
  <c r="AF32" i="107"/>
  <c r="AB32" i="107"/>
  <c r="AA32" i="107"/>
  <c r="X32" i="107"/>
  <c r="W32" i="107"/>
  <c r="T32" i="107"/>
  <c r="S32" i="107"/>
  <c r="AC31" i="107"/>
  <c r="AB31" i="107"/>
  <c r="AA31" i="107"/>
  <c r="Y31" i="107"/>
  <c r="X31" i="107"/>
  <c r="W31" i="107"/>
  <c r="U31" i="107"/>
  <c r="T31" i="107"/>
  <c r="S31" i="107"/>
  <c r="AB30" i="107"/>
  <c r="AA30" i="107"/>
  <c r="X30" i="107"/>
  <c r="W30" i="107"/>
  <c r="T30" i="107"/>
  <c r="S30" i="107"/>
  <c r="AF29" i="107"/>
  <c r="AC29" i="107"/>
  <c r="AB29" i="107"/>
  <c r="AA29" i="107"/>
  <c r="Y29" i="107"/>
  <c r="X29" i="107"/>
  <c r="W29" i="107"/>
  <c r="U29" i="107"/>
  <c r="T29" i="107"/>
  <c r="S29" i="107"/>
  <c r="AE28" i="107"/>
  <c r="AB28" i="107"/>
  <c r="AA28" i="107"/>
  <c r="X28" i="107"/>
  <c r="W28" i="107"/>
  <c r="T28" i="107"/>
  <c r="S28" i="107"/>
  <c r="AE27" i="107"/>
  <c r="AC27" i="107"/>
  <c r="AB27" i="107"/>
  <c r="AA27" i="107"/>
  <c r="Y27" i="107"/>
  <c r="X27" i="107"/>
  <c r="W27" i="107"/>
  <c r="U27" i="107"/>
  <c r="T27" i="107"/>
  <c r="S27" i="107"/>
  <c r="AB26" i="107"/>
  <c r="AA26" i="107"/>
  <c r="X26" i="107"/>
  <c r="W26" i="107"/>
  <c r="T26" i="107"/>
  <c r="S26" i="107"/>
  <c r="AF25" i="107"/>
  <c r="AC25" i="107"/>
  <c r="AB25" i="107"/>
  <c r="AA25" i="107"/>
  <c r="Y25" i="107"/>
  <c r="X25" i="107"/>
  <c r="W25" i="107"/>
  <c r="U25" i="107"/>
  <c r="T25" i="107"/>
  <c r="S25" i="107"/>
  <c r="AB24" i="107"/>
  <c r="AA24" i="107"/>
  <c r="X24" i="107"/>
  <c r="W24" i="107"/>
  <c r="T24" i="107"/>
  <c r="S24" i="107"/>
  <c r="AC23" i="107"/>
  <c r="AB23" i="107"/>
  <c r="AA23" i="107"/>
  <c r="Y23" i="107"/>
  <c r="X23" i="107"/>
  <c r="W23" i="107"/>
  <c r="U23" i="107"/>
  <c r="T23" i="107"/>
  <c r="S23" i="107"/>
  <c r="AB22" i="107"/>
  <c r="AA22" i="107"/>
  <c r="X22" i="107"/>
  <c r="W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Y36" i="107" s="1"/>
  <c r="X20" i="107"/>
  <c r="W20" i="107"/>
  <c r="V20" i="107"/>
  <c r="U20" i="107"/>
  <c r="U36" i="107" s="1"/>
  <c r="T20" i="107"/>
  <c r="S20" i="107"/>
  <c r="AF19" i="107"/>
  <c r="AF36" i="107" s="1"/>
  <c r="AE19" i="107"/>
  <c r="AE39" i="107" s="1"/>
  <c r="AD19" i="107"/>
  <c r="AD39" i="107" s="1"/>
  <c r="AC19" i="107"/>
  <c r="AC39" i="107" s="1"/>
  <c r="AB19" i="107"/>
  <c r="AB36" i="107" s="1"/>
  <c r="AA19" i="107"/>
  <c r="AA36" i="107" s="1"/>
  <c r="Z19" i="107"/>
  <c r="Z39" i="107" s="1"/>
  <c r="Y19" i="107"/>
  <c r="Y39" i="107" s="1"/>
  <c r="X19" i="107"/>
  <c r="X36" i="107" s="1"/>
  <c r="W19" i="107"/>
  <c r="W39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Z15" i="107"/>
  <c r="Y15" i="107"/>
  <c r="X15" i="107"/>
  <c r="W15" i="107"/>
  <c r="V15" i="107"/>
  <c r="U15" i="107"/>
  <c r="T15" i="107"/>
  <c r="S15" i="107"/>
  <c r="AF14" i="107"/>
  <c r="AE14" i="107"/>
  <c r="AD14" i="107"/>
  <c r="AC14" i="107"/>
  <c r="AC38" i="107" s="1"/>
  <c r="AB14" i="107"/>
  <c r="AA14" i="107"/>
  <c r="Z14" i="107"/>
  <c r="Y14" i="107"/>
  <c r="Y38" i="107" s="1"/>
  <c r="X14" i="107"/>
  <c r="W14" i="107"/>
  <c r="V14" i="107"/>
  <c r="U14" i="107"/>
  <c r="U38" i="107" s="1"/>
  <c r="T14" i="107"/>
  <c r="S14" i="107"/>
  <c r="AF13" i="107"/>
  <c r="AF38" i="107" s="1"/>
  <c r="AE13" i="107"/>
  <c r="AE38" i="107" s="1"/>
  <c r="AD13" i="107"/>
  <c r="AD35" i="107" s="1"/>
  <c r="AC13" i="107"/>
  <c r="AC35" i="107" s="1"/>
  <c r="AB13" i="107"/>
  <c r="AB38" i="107" s="1"/>
  <c r="AA13" i="107"/>
  <c r="AA38" i="107" s="1"/>
  <c r="Z13" i="107"/>
  <c r="Z35" i="107" s="1"/>
  <c r="Y13" i="107"/>
  <c r="Y35" i="107" s="1"/>
  <c r="X13" i="107"/>
  <c r="X38" i="107" s="1"/>
  <c r="W13" i="107"/>
  <c r="W35" i="107" s="1"/>
  <c r="V13" i="107"/>
  <c r="V35" i="107" s="1"/>
  <c r="U13" i="107"/>
  <c r="U35" i="107" s="1"/>
  <c r="T13" i="107"/>
  <c r="T38" i="107" s="1"/>
  <c r="S13" i="107"/>
  <c r="S38" i="107" s="1"/>
  <c r="AF12" i="107"/>
  <c r="AE12" i="107"/>
  <c r="AD12" i="107"/>
  <c r="AC12" i="107"/>
  <c r="AB12" i="107"/>
  <c r="AA12" i="107"/>
  <c r="Z12" i="107"/>
  <c r="Y12" i="107"/>
  <c r="X12" i="107"/>
  <c r="W12" i="107"/>
  <c r="V12" i="107"/>
  <c r="U12" i="107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W37" i="107" s="1"/>
  <c r="V11" i="107"/>
  <c r="U11" i="107"/>
  <c r="T11" i="107"/>
  <c r="S11" i="107"/>
  <c r="AF10" i="107"/>
  <c r="AF40" i="107" s="1"/>
  <c r="AE10" i="107"/>
  <c r="AE40" i="107" s="1"/>
  <c r="AD10" i="107"/>
  <c r="AC10" i="107"/>
  <c r="AC40" i="107" s="1"/>
  <c r="AB10" i="107"/>
  <c r="AB40" i="107" s="1"/>
  <c r="AA10" i="107"/>
  <c r="AA40" i="107" s="1"/>
  <c r="Z10" i="107"/>
  <c r="Y10" i="107"/>
  <c r="X10" i="107"/>
  <c r="X40" i="107" s="1"/>
  <c r="W10" i="107"/>
  <c r="W40" i="107" s="1"/>
  <c r="V10" i="107"/>
  <c r="U10" i="107"/>
  <c r="T10" i="107"/>
  <c r="T40" i="107" s="1"/>
  <c r="S10" i="107"/>
  <c r="S40" i="107" s="1"/>
  <c r="AE41" i="111" l="1"/>
  <c r="AC41" i="111"/>
  <c r="V41" i="111"/>
  <c r="Z41" i="111"/>
  <c r="AD41" i="111"/>
  <c r="S41" i="111"/>
  <c r="AE41" i="107"/>
  <c r="AC41" i="108"/>
  <c r="V41" i="108"/>
  <c r="Z41" i="108"/>
  <c r="AD41" i="108"/>
  <c r="W41" i="108"/>
  <c r="AA41" i="108"/>
  <c r="U41" i="107"/>
  <c r="Y41" i="107"/>
  <c r="V41" i="107"/>
  <c r="Z41" i="107"/>
  <c r="AD41" i="107"/>
  <c r="AA41" i="107"/>
  <c r="S41" i="107"/>
  <c r="S42" i="107" s="1"/>
  <c r="S42" i="111"/>
  <c r="AE42" i="111"/>
  <c r="U34" i="111"/>
  <c r="S35" i="111"/>
  <c r="AE35" i="111"/>
  <c r="S37" i="111"/>
  <c r="AE37" i="111"/>
  <c r="S39" i="111"/>
  <c r="AE39" i="111"/>
  <c r="W41" i="111"/>
  <c r="W42" i="111" s="1"/>
  <c r="V34" i="111"/>
  <c r="Z34" i="111"/>
  <c r="AD34" i="111"/>
  <c r="T35" i="111"/>
  <c r="X35" i="111"/>
  <c r="AB35" i="111"/>
  <c r="AF35" i="111"/>
  <c r="V36" i="111"/>
  <c r="Z36" i="111"/>
  <c r="AD36" i="111"/>
  <c r="T37" i="111"/>
  <c r="X37" i="111"/>
  <c r="AB37" i="111"/>
  <c r="AF37" i="111"/>
  <c r="V38" i="111"/>
  <c r="Z38" i="111"/>
  <c r="AD38" i="111"/>
  <c r="T39" i="111"/>
  <c r="X39" i="111"/>
  <c r="AB39" i="111"/>
  <c r="AF39" i="111"/>
  <c r="V40" i="111"/>
  <c r="V42" i="111" s="1"/>
  <c r="Z40" i="111"/>
  <c r="Z42" i="111" s="1"/>
  <c r="AD40" i="111"/>
  <c r="T41" i="111"/>
  <c r="T42" i="111" s="1"/>
  <c r="X41" i="111"/>
  <c r="X42" i="111" s="1"/>
  <c r="AB41" i="111"/>
  <c r="AB42" i="111" s="1"/>
  <c r="AF41" i="111"/>
  <c r="AF42" i="111" s="1"/>
  <c r="AC34" i="111"/>
  <c r="AA35" i="111"/>
  <c r="AA39" i="111"/>
  <c r="Y40" i="111"/>
  <c r="AC40" i="111"/>
  <c r="AC42" i="111" s="1"/>
  <c r="AA41" i="111"/>
  <c r="AA42" i="111" s="1"/>
  <c r="S34" i="111"/>
  <c r="W34" i="111"/>
  <c r="AA34" i="111"/>
  <c r="AE34" i="111"/>
  <c r="W36" i="111"/>
  <c r="U37" i="111"/>
  <c r="Y37" i="111"/>
  <c r="AC37" i="111"/>
  <c r="W38" i="111"/>
  <c r="U41" i="111"/>
  <c r="U42" i="111" s="1"/>
  <c r="Y41" i="111"/>
  <c r="Y42" i="111" s="1"/>
  <c r="T34" i="111"/>
  <c r="X34" i="111"/>
  <c r="AB34" i="111"/>
  <c r="AF34" i="111"/>
  <c r="V37" i="111"/>
  <c r="Z37" i="111"/>
  <c r="AD37" i="111"/>
  <c r="AA42" i="108"/>
  <c r="W42" i="108"/>
  <c r="V42" i="108"/>
  <c r="AC34" i="108"/>
  <c r="AE35" i="108"/>
  <c r="W37" i="108"/>
  <c r="S39" i="108"/>
  <c r="AA39" i="108"/>
  <c r="AC40" i="108"/>
  <c r="AC42" i="108" s="1"/>
  <c r="V34" i="108"/>
  <c r="Z34" i="108"/>
  <c r="AD34" i="108"/>
  <c r="T35" i="108"/>
  <c r="X35" i="108"/>
  <c r="AB35" i="108"/>
  <c r="AF35" i="108"/>
  <c r="V36" i="108"/>
  <c r="Z36" i="108"/>
  <c r="AD36" i="108"/>
  <c r="T37" i="108"/>
  <c r="X37" i="108"/>
  <c r="AB37" i="108"/>
  <c r="AF37" i="108"/>
  <c r="V38" i="108"/>
  <c r="Z38" i="108"/>
  <c r="AD38" i="108"/>
  <c r="T39" i="108"/>
  <c r="X39" i="108"/>
  <c r="AB39" i="108"/>
  <c r="AF39" i="108"/>
  <c r="V40" i="108"/>
  <c r="Z40" i="108"/>
  <c r="Z42" i="108" s="1"/>
  <c r="AD40" i="108"/>
  <c r="AD42" i="108" s="1"/>
  <c r="T41" i="108"/>
  <c r="T42" i="108" s="1"/>
  <c r="X41" i="108"/>
  <c r="X42" i="108" s="1"/>
  <c r="AB41" i="108"/>
  <c r="AB42" i="108" s="1"/>
  <c r="AF41" i="108"/>
  <c r="AF42" i="108" s="1"/>
  <c r="Y34" i="108"/>
  <c r="W35" i="108"/>
  <c r="AA37" i="108"/>
  <c r="W39" i="108"/>
  <c r="U40" i="108"/>
  <c r="S41" i="108"/>
  <c r="S42" i="108" s="1"/>
  <c r="AE41" i="108"/>
  <c r="AE42" i="108" s="1"/>
  <c r="S34" i="108"/>
  <c r="W34" i="108"/>
  <c r="AA34" i="108"/>
  <c r="AE34" i="108"/>
  <c r="AE36" i="108"/>
  <c r="U37" i="108"/>
  <c r="Y37" i="108"/>
  <c r="AC37" i="108"/>
  <c r="S38" i="108"/>
  <c r="AA38" i="108"/>
  <c r="U41" i="108"/>
  <c r="U42" i="108" s="1"/>
  <c r="Y41" i="108"/>
  <c r="Y42" i="108" s="1"/>
  <c r="T34" i="108"/>
  <c r="X34" i="108"/>
  <c r="AB34" i="108"/>
  <c r="AF34" i="108"/>
  <c r="V37" i="108"/>
  <c r="Z37" i="108"/>
  <c r="AD37" i="108"/>
  <c r="AA42" i="107"/>
  <c r="AE42" i="107"/>
  <c r="U34" i="107"/>
  <c r="S35" i="107"/>
  <c r="AE35" i="107"/>
  <c r="S37" i="107"/>
  <c r="AE37" i="107"/>
  <c r="AA39" i="107"/>
  <c r="Y40" i="107"/>
  <c r="Y42" i="107" s="1"/>
  <c r="W41" i="107"/>
  <c r="W42" i="107" s="1"/>
  <c r="V34" i="107"/>
  <c r="Z34" i="107"/>
  <c r="AD34" i="107"/>
  <c r="T35" i="107"/>
  <c r="X35" i="107"/>
  <c r="AB35" i="107"/>
  <c r="AF35" i="107"/>
  <c r="V36" i="107"/>
  <c r="Z36" i="107"/>
  <c r="AD36" i="107"/>
  <c r="T37" i="107"/>
  <c r="X37" i="107"/>
  <c r="AB37" i="107"/>
  <c r="AF37" i="107"/>
  <c r="V38" i="107"/>
  <c r="Z38" i="107"/>
  <c r="AD38" i="107"/>
  <c r="T39" i="107"/>
  <c r="X39" i="107"/>
  <c r="AB39" i="107"/>
  <c r="AF39" i="107"/>
  <c r="V40" i="107"/>
  <c r="Z40" i="107"/>
  <c r="AD40" i="107"/>
  <c r="AD42" i="107" s="1"/>
  <c r="T41" i="107"/>
  <c r="T42" i="107" s="1"/>
  <c r="X41" i="107"/>
  <c r="X42" i="107" s="1"/>
  <c r="AB41" i="107"/>
  <c r="AB42" i="107" s="1"/>
  <c r="AF41" i="107"/>
  <c r="AF42" i="107" s="1"/>
  <c r="Y34" i="107"/>
  <c r="AA35" i="107"/>
  <c r="S39" i="107"/>
  <c r="U40" i="107"/>
  <c r="U42" i="107" s="1"/>
  <c r="S34" i="107"/>
  <c r="W34" i="107"/>
  <c r="AA34" i="107"/>
  <c r="AE34" i="107"/>
  <c r="W36" i="107"/>
  <c r="AE36" i="107"/>
  <c r="U37" i="107"/>
  <c r="Y37" i="107"/>
  <c r="AC37" i="107"/>
  <c r="W38" i="107"/>
  <c r="AC41" i="107"/>
  <c r="AC42" i="107" s="1"/>
  <c r="AC34" i="107"/>
  <c r="AA37" i="107"/>
  <c r="T34" i="107"/>
  <c r="X34" i="107"/>
  <c r="AB34" i="107"/>
  <c r="AF34" i="107"/>
  <c r="V37" i="107"/>
  <c r="Z37" i="107"/>
  <c r="AD37" i="107"/>
  <c r="AD42" i="111" l="1"/>
  <c r="Z42" i="107"/>
  <c r="V42" i="107"/>
  <c r="C11" i="108" l="1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C14" i="111" s="1"/>
  <c r="D14" i="107"/>
  <c r="D14" i="111" s="1"/>
  <c r="E14" i="107"/>
  <c r="E14" i="111" s="1"/>
  <c r="F14" i="107"/>
  <c r="F14" i="111" s="1"/>
  <c r="G14" i="107"/>
  <c r="G14" i="111" s="1"/>
  <c r="H14" i="107"/>
  <c r="H14" i="111" s="1"/>
  <c r="I14" i="107"/>
  <c r="I14" i="111" s="1"/>
  <c r="J14" i="107"/>
  <c r="J14" i="111" s="1"/>
  <c r="K14" i="107"/>
  <c r="K14" i="111" s="1"/>
  <c r="L14" i="107"/>
  <c r="L14" i="111" s="1"/>
  <c r="M14" i="107"/>
  <c r="M14" i="111" s="1"/>
  <c r="N14" i="107"/>
  <c r="N14" i="111" s="1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C18" i="111" s="1"/>
  <c r="D18" i="107"/>
  <c r="D18" i="111" s="1"/>
  <c r="E18" i="107"/>
  <c r="E18" i="111" s="1"/>
  <c r="F18" i="107"/>
  <c r="F18" i="111" s="1"/>
  <c r="G18" i="107"/>
  <c r="G18" i="111" s="1"/>
  <c r="H18" i="107"/>
  <c r="H18" i="111" s="1"/>
  <c r="I18" i="107"/>
  <c r="I18" i="111" s="1"/>
  <c r="J18" i="107"/>
  <c r="J18" i="111" s="1"/>
  <c r="K18" i="107"/>
  <c r="K18" i="111" s="1"/>
  <c r="L18" i="107"/>
  <c r="L18" i="111" s="1"/>
  <c r="M18" i="107"/>
  <c r="M18" i="111" s="1"/>
  <c r="N18" i="107"/>
  <c r="N18" i="111" s="1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C26" i="111" s="1"/>
  <c r="D26" i="107"/>
  <c r="D26" i="111" s="1"/>
  <c r="E26" i="107"/>
  <c r="E26" i="111" s="1"/>
  <c r="F26" i="107"/>
  <c r="F26" i="111" s="1"/>
  <c r="G26" i="107"/>
  <c r="G26" i="111" s="1"/>
  <c r="H26" i="107"/>
  <c r="H26" i="111" s="1"/>
  <c r="I26" i="107"/>
  <c r="I26" i="111" s="1"/>
  <c r="J26" i="107"/>
  <c r="J26" i="111" s="1"/>
  <c r="K26" i="107"/>
  <c r="K26" i="111" s="1"/>
  <c r="L26" i="107"/>
  <c r="L26" i="111" s="1"/>
  <c r="M26" i="107"/>
  <c r="M26" i="111" s="1"/>
  <c r="N26" i="107"/>
  <c r="N26" i="111" s="1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C30" i="111" s="1"/>
  <c r="D30" i="107"/>
  <c r="D30" i="111" s="1"/>
  <c r="E30" i="107"/>
  <c r="E30" i="111" s="1"/>
  <c r="F30" i="107"/>
  <c r="F30" i="111" s="1"/>
  <c r="G30" i="107"/>
  <c r="G30" i="111" s="1"/>
  <c r="H30" i="107"/>
  <c r="H30" i="111" s="1"/>
  <c r="I30" i="107"/>
  <c r="I30" i="111" s="1"/>
  <c r="J30" i="107"/>
  <c r="J30" i="111" s="1"/>
  <c r="K30" i="107"/>
  <c r="K30" i="111" s="1"/>
  <c r="L30" i="107"/>
  <c r="L30" i="111" s="1"/>
  <c r="M30" i="107"/>
  <c r="M30" i="111" s="1"/>
  <c r="N30" i="107"/>
  <c r="N30" i="111" s="1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C34" i="111" s="1"/>
  <c r="D34" i="107"/>
  <c r="D34" i="111" s="1"/>
  <c r="E34" i="107"/>
  <c r="E34" i="111" s="1"/>
  <c r="F34" i="107"/>
  <c r="F34" i="111" s="1"/>
  <c r="G34" i="107"/>
  <c r="G34" i="111" s="1"/>
  <c r="H34" i="107"/>
  <c r="H34" i="111" s="1"/>
  <c r="I34" i="107"/>
  <c r="I34" i="111" s="1"/>
  <c r="J34" i="107"/>
  <c r="J34" i="111" s="1"/>
  <c r="K34" i="107"/>
  <c r="K34" i="111" s="1"/>
  <c r="L34" i="107"/>
  <c r="L34" i="111" s="1"/>
  <c r="M34" i="107"/>
  <c r="M34" i="111" s="1"/>
  <c r="N34" i="107"/>
  <c r="N34" i="111" s="1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C38" i="111" s="1"/>
  <c r="D38" i="107"/>
  <c r="D38" i="111" s="1"/>
  <c r="E38" i="107"/>
  <c r="E38" i="111" s="1"/>
  <c r="F38" i="107"/>
  <c r="F38" i="111" s="1"/>
  <c r="G38" i="107"/>
  <c r="G38" i="111" s="1"/>
  <c r="H38" i="107"/>
  <c r="H38" i="111" s="1"/>
  <c r="I38" i="107"/>
  <c r="I38" i="111" s="1"/>
  <c r="J38" i="107"/>
  <c r="J38" i="111" s="1"/>
  <c r="K38" i="107"/>
  <c r="K38" i="111" s="1"/>
  <c r="L38" i="107"/>
  <c r="L38" i="111" s="1"/>
  <c r="M38" i="107"/>
  <c r="M38" i="111" s="1"/>
  <c r="N38" i="107"/>
  <c r="N38" i="111" s="1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C42" i="111" s="1"/>
  <c r="D42" i="107"/>
  <c r="D42" i="111" s="1"/>
  <c r="E42" i="107"/>
  <c r="E42" i="111" s="1"/>
  <c r="F42" i="107"/>
  <c r="F42" i="111" s="1"/>
  <c r="G42" i="107"/>
  <c r="G42" i="111" s="1"/>
  <c r="H42" i="107"/>
  <c r="H42" i="111" s="1"/>
  <c r="I42" i="107"/>
  <c r="I42" i="111" s="1"/>
  <c r="J42" i="107"/>
  <c r="J42" i="111" s="1"/>
  <c r="K42" i="107"/>
  <c r="K42" i="111" s="1"/>
  <c r="L42" i="107"/>
  <c r="L42" i="111" s="1"/>
  <c r="M42" i="107"/>
  <c r="M42" i="111" s="1"/>
  <c r="N42" i="107"/>
  <c r="N42" i="111" s="1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C46" i="111" s="1"/>
  <c r="D46" i="107"/>
  <c r="D46" i="111" s="1"/>
  <c r="E46" i="107"/>
  <c r="E46" i="111" s="1"/>
  <c r="F46" i="107"/>
  <c r="F46" i="111" s="1"/>
  <c r="G46" i="107"/>
  <c r="G46" i="111" s="1"/>
  <c r="H46" i="107"/>
  <c r="H46" i="111" s="1"/>
  <c r="I46" i="107"/>
  <c r="I46" i="111" s="1"/>
  <c r="J46" i="107"/>
  <c r="J46" i="111" s="1"/>
  <c r="K46" i="107"/>
  <c r="K46" i="111" s="1"/>
  <c r="L46" i="107"/>
  <c r="L46" i="111" s="1"/>
  <c r="M46" i="107"/>
  <c r="M46" i="111" s="1"/>
  <c r="N46" i="107"/>
  <c r="N46" i="111" s="1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C50" i="111" s="1"/>
  <c r="D50" i="107"/>
  <c r="D50" i="111" s="1"/>
  <c r="E50" i="107"/>
  <c r="E50" i="111" s="1"/>
  <c r="F50" i="107"/>
  <c r="F50" i="111" s="1"/>
  <c r="G50" i="107"/>
  <c r="G50" i="111" s="1"/>
  <c r="H50" i="107"/>
  <c r="H50" i="111" s="1"/>
  <c r="I50" i="107"/>
  <c r="I50" i="111" s="1"/>
  <c r="J50" i="107"/>
  <c r="J50" i="111" s="1"/>
  <c r="K50" i="107"/>
  <c r="K50" i="111" s="1"/>
  <c r="L50" i="107"/>
  <c r="L50" i="111" s="1"/>
  <c r="M50" i="107"/>
  <c r="M50" i="111" s="1"/>
  <c r="N50" i="107"/>
  <c r="N50" i="111" s="1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D10" i="111" s="1"/>
  <c r="E10" i="107"/>
  <c r="E10" i="111" s="1"/>
  <c r="F10" i="107"/>
  <c r="F10" i="111" s="1"/>
  <c r="G10" i="107"/>
  <c r="G10" i="111" s="1"/>
  <c r="H10" i="107"/>
  <c r="H10" i="111" s="1"/>
  <c r="I10" i="107"/>
  <c r="I10" i="111" s="1"/>
  <c r="J10" i="107"/>
  <c r="J10" i="111" s="1"/>
  <c r="K10" i="107"/>
  <c r="K10" i="111" s="1"/>
  <c r="L10" i="107"/>
  <c r="L10" i="111" s="1"/>
  <c r="M10" i="107"/>
  <c r="M10" i="111" s="1"/>
  <c r="N10" i="107"/>
  <c r="N10" i="111" s="1"/>
  <c r="C10" i="107"/>
  <c r="C10" i="111" s="1"/>
  <c r="I57" i="111" l="1"/>
  <c r="C3" i="94"/>
  <c r="K6" i="98" l="1"/>
  <c r="K6" i="101" s="1"/>
  <c r="K6" i="110" s="1"/>
  <c r="K6" i="103" s="1"/>
  <c r="K5" i="98"/>
  <c r="K5" i="110" s="1"/>
  <c r="G5" i="98"/>
  <c r="G5" i="99" s="1"/>
  <c r="G5" i="100" s="1"/>
  <c r="G5" i="101" s="1"/>
  <c r="G5" i="105" s="1"/>
  <c r="G5" i="110" s="1"/>
  <c r="G5" i="103" s="1"/>
  <c r="G5" i="97"/>
  <c r="K6" i="96"/>
  <c r="K5" i="96"/>
  <c r="G5" i="96"/>
  <c r="K6" i="95"/>
  <c r="G5" i="95"/>
  <c r="G5" i="94"/>
  <c r="G6" i="108"/>
  <c r="G6" i="110"/>
  <c r="G6" i="107"/>
  <c r="G6" i="101"/>
  <c r="D6" i="108"/>
  <c r="D6" i="110"/>
  <c r="D6" i="107"/>
  <c r="D6" i="101"/>
  <c r="K6" i="107" l="1"/>
  <c r="K6" i="108"/>
  <c r="K6" i="111" s="1"/>
  <c r="K5" i="11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Z39" i="105" s="1"/>
  <c r="Y19" i="105"/>
  <c r="X19" i="105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6" i="95" l="1"/>
  <c r="W39" i="105"/>
  <c r="AA39" i="105"/>
  <c r="U39" i="109"/>
  <c r="AC39" i="109"/>
  <c r="X39" i="105"/>
  <c r="AA39" i="101"/>
  <c r="AD38" i="101"/>
  <c r="Y39" i="109"/>
  <c r="AA27" i="99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8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AF32" i="101" l="1"/>
  <c r="AF33" i="101"/>
  <c r="X26" i="96"/>
  <c r="Z26" i="95"/>
  <c r="AD26" i="97"/>
  <c r="AF25" i="101"/>
  <c r="AF28" i="101"/>
  <c r="S38" i="105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W27" i="95"/>
  <c r="W24" i="95"/>
  <c r="AB24" i="98"/>
  <c r="W26" i="96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X42" i="109" l="1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<sst xmlns="http://schemas.openxmlformats.org/spreadsheetml/2006/main" count="2371" uniqueCount="186">
  <si>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</si>
  <si>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</si>
  <si>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</si>
  <si>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</si>
  <si>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</si>
  <si>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</si>
  <si>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</si>
  <si>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</si>
  <si>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</si>
  <si>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</si>
  <si>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</si>
  <si>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</si>
  <si>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</si>
  <si>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</si>
  <si>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</si>
  <si>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</si>
  <si>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</si>
  <si>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</si>
  <si>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</si>
  <si>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</si>
  <si>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</si>
  <si>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</si>
  <si>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</si>
  <si>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</si>
  <si>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</si>
  <si>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</si>
  <si>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</si>
  <si>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</si>
  <si>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</si>
  <si>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</si>
  <si>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</si>
  <si>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</si>
  <si>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</si>
  <si>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</si>
  <si>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</si>
  <si>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</si>
  <si>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</si>
  <si>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</si>
  <si>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</si>
  <si>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</si>
  <si>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</si>
  <si>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</si>
  <si>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</si>
  <si>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</si>
  <si>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</si>
  <si>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</si>
  <si>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</si>
  <si>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</si>
  <si>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</si>
  <si>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</si>
  <si>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</si>
  <si>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</si>
  <si>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</si>
  <si>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</si>
  <si>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</si>
  <si>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</si>
  <si>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</si>
  <si>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</si>
  <si>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</si>
  <si>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</si>
  <si>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</si>
  <si>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</si>
  <si>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</si>
  <si>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</si>
  <si>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</si>
  <si>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</si>
  <si>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</si>
  <si>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</si>
  <si>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</si>
  <si>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</si>
  <si>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</si>
  <si>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</si>
  <si>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</si>
  <si>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</si>
  <si>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</si>
  <si>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</si>
  <si>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</si>
  <si>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</si>
  <si>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</si>
  <si>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</si>
  <si>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</si>
  <si>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</si>
  <si>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</si>
  <si>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</si>
  <si>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</si>
  <si>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</si>
  <si>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</si>
  <si>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</si>
  <si>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</si>
  <si>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</si>
  <si>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</si>
  <si>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</si>
  <si>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</si>
  <si>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</si>
  <si>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</si>
  <si>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</si>
  <si>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</si>
  <si>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</si>
  <si>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</si>
  <si>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</si>
  <si>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</si>
  <si>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</si>
  <si>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</si>
  <si>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</si>
  <si>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</si>
  <si>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</si>
  <si>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</si>
  <si>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</si>
  <si>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</si>
  <si>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</si>
  <si>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</si>
  <si>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</si>
  <si>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</si>
  <si>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</si>
  <si>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</si>
  <si>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</si>
  <si>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</si>
  <si>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</si>
  <si>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</si>
  <si>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</si>
  <si>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</si>
  <si>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</si>
  <si>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</si>
  <si>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</si>
  <si>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</si>
  <si>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</si>
  <si>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</si>
  <si>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</si>
  <si>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</si>
  <si>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</si>
  <si>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</si>
  <si>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</si>
  <si>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</si>
  <si>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</si>
  <si>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</si>
  <si>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</si>
  <si>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</si>
  <si>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</si>
  <si>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</si>
  <si>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</si>
  <si>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</si>
  <si>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</si>
  <si>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</si>
  <si>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</si>
  <si>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</si>
  <si>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</si>
  <si>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</si>
  <si>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</si>
  <si>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</si>
  <si>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</si>
  <si>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</si>
  <si>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</si>
  <si>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</si>
  <si>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</si>
  <si>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</si>
  <si>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</si>
  <si>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</si>
  <si>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</si>
  <si>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</si>
  <si>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</si>
  <si>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</si>
  <si>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</si>
  <si>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23.07.19</t>
  </si>
  <si>
    <t>AVERAGE WEEK</t>
  </si>
  <si>
    <t>VIRA MARIA ROAD</t>
  </si>
  <si>
    <t>KIWUULA TRADING CENTRE</t>
  </si>
  <si>
    <t>MASAKA</t>
  </si>
  <si>
    <t>SEMBABULE</t>
  </si>
  <si>
    <t>KIVUMBI GEORGE</t>
  </si>
  <si>
    <t>GEORGE</t>
  </si>
  <si>
    <t>KIWUULA TC</t>
  </si>
  <si>
    <t>ANTHONY</t>
  </si>
  <si>
    <t>KIVUMBI</t>
  </si>
  <si>
    <t>17.10.2019</t>
  </si>
  <si>
    <t>18.10.2019</t>
  </si>
  <si>
    <t>SEMBABULA</t>
  </si>
  <si>
    <t xml:space="preserve">NAGADDYA </t>
  </si>
  <si>
    <t>19.10.2019</t>
  </si>
  <si>
    <t>20.10.2019</t>
  </si>
  <si>
    <t>21.10.2019</t>
  </si>
  <si>
    <t>22.10.2019</t>
  </si>
  <si>
    <t>23.10.2019</t>
  </si>
  <si>
    <t>SSEBSLIME IVAN</t>
  </si>
  <si>
    <t>SEBUGUZI PETER</t>
  </si>
  <si>
    <t>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</si>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</sst>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2" borderId="4" xfId="0" applyFill="1" applyBorder="1"/>
    <xf numFmtId="0" fontId="0" fillId="5" borderId="4" xfId="0" applyFill="1" applyBorder="1"/>
    <xf numFmtId="0" fontId="0" fillId="5" borderId="0" xfId="0" applyFill="1" applyBorder="1"/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MASAKA 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MASAKA 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MASAKA SEMBABULE'!$AE$10:$AE$21</c:f>
              <c:numCache>
                <c:formatCode>0</c:formatCode>
                <c:ptCount val="12"/>
                <c:pt idx="0">
                  <c:v>16</c:v>
                </c:pt>
                <c:pt idx="1">
                  <c:v>25</c:v>
                </c:pt>
                <c:pt idx="2">
                  <c:v>18</c:v>
                </c:pt>
                <c:pt idx="3">
                  <c:v>21</c:v>
                </c:pt>
                <c:pt idx="4">
                  <c:v>22</c:v>
                </c:pt>
                <c:pt idx="5">
                  <c:v>26</c:v>
                </c:pt>
                <c:pt idx="6">
                  <c:v>21</c:v>
                </c:pt>
                <c:pt idx="7">
                  <c:v>20</c:v>
                </c:pt>
                <c:pt idx="8">
                  <c:v>26</c:v>
                </c:pt>
                <c:pt idx="9">
                  <c:v>27</c:v>
                </c:pt>
                <c:pt idx="10">
                  <c:v>24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'17.10 MASAKA 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MASAKA 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MASAKA SEMBABULE'!$AF$10:$AF$21</c:f>
              <c:numCache>
                <c:formatCode>0</c:formatCode>
                <c:ptCount val="12"/>
                <c:pt idx="0">
                  <c:v>43</c:v>
                </c:pt>
                <c:pt idx="1">
                  <c:v>53</c:v>
                </c:pt>
                <c:pt idx="2">
                  <c:v>39</c:v>
                </c:pt>
                <c:pt idx="3">
                  <c:v>44</c:v>
                </c:pt>
                <c:pt idx="4">
                  <c:v>54</c:v>
                </c:pt>
                <c:pt idx="5">
                  <c:v>55</c:v>
                </c:pt>
                <c:pt idx="6">
                  <c:v>52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56</c:v>
                </c:pt>
                <c:pt idx="11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MASAKA 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MASAKA SEMBABULE'!$C$59:$N$59</c:f>
              <c:numCache>
                <c:formatCode>0.0%</c:formatCode>
                <c:ptCount val="12"/>
                <c:pt idx="0">
                  <c:v>0.13322884012539185</c:v>
                </c:pt>
                <c:pt idx="1">
                  <c:v>1.8808777429467086E-2</c:v>
                </c:pt>
                <c:pt idx="2">
                  <c:v>7.3667711598746077E-2</c:v>
                </c:pt>
                <c:pt idx="3">
                  <c:v>6.1128526645768025E-2</c:v>
                </c:pt>
                <c:pt idx="4">
                  <c:v>4.7021943573667714E-3</c:v>
                </c:pt>
                <c:pt idx="5">
                  <c:v>0</c:v>
                </c:pt>
                <c:pt idx="6">
                  <c:v>6.7398119122257058E-2</c:v>
                </c:pt>
                <c:pt idx="7">
                  <c:v>4.5454545454545456E-2</c:v>
                </c:pt>
                <c:pt idx="8">
                  <c:v>2.5078369905956112E-2</c:v>
                </c:pt>
                <c:pt idx="9">
                  <c:v>1.567398119122257E-3</c:v>
                </c:pt>
                <c:pt idx="10">
                  <c:v>0.56896551724137934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MASAKA 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MASAKA 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MASAKA SEMBABULE'!$S$10:$S$21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'17.10 MASAKA 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MASAKA 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MASAKA SEMBABULE'!$T$10:$T$21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'17.10 MASAKA 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SEMBABULE'!$U$10:$U$21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'17.10 MASAKA 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SEMBABULE'!$V$10:$V$21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8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'17.10 MASAKA 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'17.10 MASAKA 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'17.10 MASAKA 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SEMBABULE'!$Y$10:$Y$21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'17.10 MASAKA 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'17.10 MASAKA 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'17.10 MASAKA 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'17.10 MASAKA 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SEMBABULE'!$AC$10:$AC$21</c:f>
              <c:numCache>
                <c:formatCode>0</c:formatCode>
                <c:ptCount val="12"/>
                <c:pt idx="0">
                  <c:v>27</c:v>
                </c:pt>
                <c:pt idx="1">
                  <c:v>28</c:v>
                </c:pt>
                <c:pt idx="2">
                  <c:v>21</c:v>
                </c:pt>
                <c:pt idx="3">
                  <c:v>23</c:v>
                </c:pt>
                <c:pt idx="4">
                  <c:v>32</c:v>
                </c:pt>
                <c:pt idx="5">
                  <c:v>29</c:v>
                </c:pt>
                <c:pt idx="6">
                  <c:v>31</c:v>
                </c:pt>
                <c:pt idx="7">
                  <c:v>37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'17.10 MASAKA 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 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MASAKA 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MASAKA SEMBABULE'!$C$60:$N$60</c:f>
              <c:numCache>
                <c:formatCode>0.00%</c:formatCode>
                <c:ptCount val="12"/>
                <c:pt idx="0">
                  <c:v>0.30909090909090908</c:v>
                </c:pt>
                <c:pt idx="1">
                  <c:v>4.363636363636364E-2</c:v>
                </c:pt>
                <c:pt idx="2">
                  <c:v>0.1709090909090909</c:v>
                </c:pt>
                <c:pt idx="3">
                  <c:v>0.14181818181818182</c:v>
                </c:pt>
                <c:pt idx="4">
                  <c:v>1.090909090909091E-2</c:v>
                </c:pt>
                <c:pt idx="5">
                  <c:v>0</c:v>
                </c:pt>
                <c:pt idx="6">
                  <c:v>0.15636363636363637</c:v>
                </c:pt>
                <c:pt idx="7">
                  <c:v>0.10545454545454545</c:v>
                </c:pt>
                <c:pt idx="8">
                  <c:v>5.8181818181818182E-2</c:v>
                </c:pt>
                <c:pt idx="9">
                  <c:v>3.6363636363636364E-3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SEMBABULE-MASAKA'!$AE$9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SEMBABULE-MASAKA'!$AE$10:$AE$21</c:f>
              <c:numCache>
                <c:formatCode>0</c:formatCode>
                <c:ptCount val="12"/>
                <c:pt idx="0">
                  <c:v>16</c:v>
                </c:pt>
                <c:pt idx="1">
                  <c:v>32</c:v>
                </c:pt>
                <c:pt idx="2">
                  <c:v>28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24</c:v>
                </c:pt>
                <c:pt idx="7">
                  <c:v>28</c:v>
                </c:pt>
                <c:pt idx="8">
                  <c:v>25</c:v>
                </c:pt>
                <c:pt idx="9">
                  <c:v>19</c:v>
                </c:pt>
                <c:pt idx="10">
                  <c:v>36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'17.10 SEMBABULE-MASAKA'!$AF$9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SEMBABULE-MASAKA'!$AF$10:$AF$21</c:f>
              <c:numCache>
                <c:formatCode>0</c:formatCode>
                <c:ptCount val="12"/>
                <c:pt idx="0">
                  <c:v>38</c:v>
                </c:pt>
                <c:pt idx="1">
                  <c:v>52</c:v>
                </c:pt>
                <c:pt idx="2">
                  <c:v>46</c:v>
                </c:pt>
                <c:pt idx="3">
                  <c:v>54</c:v>
                </c:pt>
                <c:pt idx="4">
                  <c:v>49</c:v>
                </c:pt>
                <c:pt idx="5">
                  <c:v>45</c:v>
                </c:pt>
                <c:pt idx="6">
                  <c:v>60</c:v>
                </c:pt>
                <c:pt idx="7">
                  <c:v>61</c:v>
                </c:pt>
                <c:pt idx="8">
                  <c:v>55</c:v>
                </c:pt>
                <c:pt idx="9">
                  <c:v>57</c:v>
                </c:pt>
                <c:pt idx="10">
                  <c:v>65</c:v>
                </c:pt>
                <c:pt idx="11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SEMBABULE-MASAKA'!$C$59:$N$59</c:f>
              <c:numCache>
                <c:formatCode>0.0%</c:formatCode>
                <c:ptCount val="12"/>
                <c:pt idx="0">
                  <c:v>0.17325227963525835</c:v>
                </c:pt>
                <c:pt idx="1">
                  <c:v>2.8875379939209727E-2</c:v>
                </c:pt>
                <c:pt idx="2">
                  <c:v>6.8389057750759874E-2</c:v>
                </c:pt>
                <c:pt idx="3">
                  <c:v>4.4072948328267476E-2</c:v>
                </c:pt>
                <c:pt idx="4">
                  <c:v>1.5197568389057751E-3</c:v>
                </c:pt>
                <c:pt idx="5">
                  <c:v>0</c:v>
                </c:pt>
                <c:pt idx="6">
                  <c:v>5.9270516717325229E-2</c:v>
                </c:pt>
                <c:pt idx="7">
                  <c:v>6.231003039513678E-2</c:v>
                </c:pt>
                <c:pt idx="8">
                  <c:v>2.8875379939209727E-2</c:v>
                </c:pt>
                <c:pt idx="9">
                  <c:v>0</c:v>
                </c:pt>
                <c:pt idx="10">
                  <c:v>0.53191489361702127</c:v>
                </c:pt>
                <c:pt idx="11">
                  <c:v>1.5197568389057751E-3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SEMBABULE-MASAKA'!$C$60:$N$60</c:f>
              <c:numCache>
                <c:formatCode>0.00%</c:formatCode>
                <c:ptCount val="12"/>
                <c:pt idx="0">
                  <c:v>0.37133550488599348</c:v>
                </c:pt>
                <c:pt idx="1">
                  <c:v>6.1889250814332247E-2</c:v>
                </c:pt>
                <c:pt idx="2">
                  <c:v>0.1465798045602606</c:v>
                </c:pt>
                <c:pt idx="3">
                  <c:v>9.4462540716612378E-2</c:v>
                </c:pt>
                <c:pt idx="4">
                  <c:v>3.2573289902280132E-3</c:v>
                </c:pt>
                <c:pt idx="5">
                  <c:v>0</c:v>
                </c:pt>
                <c:pt idx="6">
                  <c:v>0.12703583061889251</c:v>
                </c:pt>
                <c:pt idx="7">
                  <c:v>0.13355048859934854</c:v>
                </c:pt>
                <c:pt idx="8">
                  <c:v>6.1889250814332247E-2</c:v>
                </c:pt>
                <c:pt idx="9">
                  <c:v>0</c:v>
                </c:pt>
                <c:pt idx="11">
                  <c:v>3.2573289902280132E-3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MASAKA-SEMBABULA-24HRS'!$AE$9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MASAKA-SEMBABULA-24HRS'!$R$10:$R$33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MASAKA-SEMBABULA-24HRS'!$AE$10:$AE$33</c:f>
              <c:numCache>
                <c:formatCode>0</c:formatCode>
                <c:ptCount val="24"/>
                <c:pt idx="0">
                  <c:v>9</c:v>
                </c:pt>
                <c:pt idx="1">
                  <c:v>19</c:v>
                </c:pt>
                <c:pt idx="2">
                  <c:v>19</c:v>
                </c:pt>
                <c:pt idx="3">
                  <c:v>22</c:v>
                </c:pt>
                <c:pt idx="4">
                  <c:v>27</c:v>
                </c:pt>
                <c:pt idx="5">
                  <c:v>32</c:v>
                </c:pt>
                <c:pt idx="6">
                  <c:v>22</c:v>
                </c:pt>
                <c:pt idx="7">
                  <c:v>24</c:v>
                </c:pt>
                <c:pt idx="8">
                  <c:v>22</c:v>
                </c:pt>
                <c:pt idx="9">
                  <c:v>36</c:v>
                </c:pt>
                <c:pt idx="10">
                  <c:v>47</c:v>
                </c:pt>
                <c:pt idx="11">
                  <c:v>26</c:v>
                </c:pt>
                <c:pt idx="12">
                  <c:v>18</c:v>
                </c:pt>
                <c:pt idx="13">
                  <c:v>25</c:v>
                </c:pt>
                <c:pt idx="14">
                  <c:v>18</c:v>
                </c:pt>
                <c:pt idx="15">
                  <c:v>8</c:v>
                </c:pt>
                <c:pt idx="16">
                  <c:v>15</c:v>
                </c:pt>
                <c:pt idx="17">
                  <c:v>9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27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'18.10 MASAKA-SEMBABULA-24HRS'!$AF$9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MASAKA-SEMBABULA-24HRS'!$R$10:$R$33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MASAKA-SEMBABULA-24HRS'!$AF$10:$AF$33</c:f>
              <c:numCache>
                <c:formatCode>0</c:formatCode>
                <c:ptCount val="24"/>
                <c:pt idx="0">
                  <c:v>31</c:v>
                </c:pt>
                <c:pt idx="1">
                  <c:v>53</c:v>
                </c:pt>
                <c:pt idx="2">
                  <c:v>45</c:v>
                </c:pt>
                <c:pt idx="3">
                  <c:v>42</c:v>
                </c:pt>
                <c:pt idx="4">
                  <c:v>67</c:v>
                </c:pt>
                <c:pt idx="5">
                  <c:v>62</c:v>
                </c:pt>
                <c:pt idx="6">
                  <c:v>50</c:v>
                </c:pt>
                <c:pt idx="7">
                  <c:v>63</c:v>
                </c:pt>
                <c:pt idx="8">
                  <c:v>59</c:v>
                </c:pt>
                <c:pt idx="9">
                  <c:v>64</c:v>
                </c:pt>
                <c:pt idx="10">
                  <c:v>67</c:v>
                </c:pt>
                <c:pt idx="11">
                  <c:v>58</c:v>
                </c:pt>
                <c:pt idx="12">
                  <c:v>52</c:v>
                </c:pt>
                <c:pt idx="13">
                  <c:v>60</c:v>
                </c:pt>
                <c:pt idx="14">
                  <c:v>31</c:v>
                </c:pt>
                <c:pt idx="15">
                  <c:v>19</c:v>
                </c:pt>
                <c:pt idx="16">
                  <c:v>21</c:v>
                </c:pt>
                <c:pt idx="17">
                  <c:v>15</c:v>
                </c:pt>
                <c:pt idx="18">
                  <c:v>9</c:v>
                </c:pt>
                <c:pt idx="19">
                  <c:v>6</c:v>
                </c:pt>
                <c:pt idx="20">
                  <c:v>9</c:v>
                </c:pt>
                <c:pt idx="21">
                  <c:v>41</c:v>
                </c:pt>
                <c:pt idx="22">
                  <c:v>21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MASAKA-SEMBABULA-24HRS'!$C$9:$N$9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MASAKA-SEMBABULA-24HRS'!$C$107:$N$107</c:f>
              <c:numCache>
                <c:formatCode>0.0%</c:formatCode>
                <c:ptCount val="12"/>
                <c:pt idx="0">
                  <c:v>0.17805383022774326</c:v>
                </c:pt>
                <c:pt idx="1">
                  <c:v>3.4161490683229816E-2</c:v>
                </c:pt>
                <c:pt idx="2">
                  <c:v>4.9689440993788817E-2</c:v>
                </c:pt>
                <c:pt idx="3">
                  <c:v>6.3146997929606624E-2</c:v>
                </c:pt>
                <c:pt idx="4">
                  <c:v>2.070393374741201E-3</c:v>
                </c:pt>
                <c:pt idx="5">
                  <c:v>3.105590062111801E-3</c:v>
                </c:pt>
                <c:pt idx="6">
                  <c:v>8.2815734989648032E-2</c:v>
                </c:pt>
                <c:pt idx="7">
                  <c:v>5.4865424430641824E-2</c:v>
                </c:pt>
                <c:pt idx="8">
                  <c:v>1.0351966873706004E-2</c:v>
                </c:pt>
                <c:pt idx="9">
                  <c:v>1.0351966873706005E-3</c:v>
                </c:pt>
                <c:pt idx="10">
                  <c:v>0.51863354037267084</c:v>
                </c:pt>
                <c:pt idx="11">
                  <c:v>2.070393374741201E-3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MASAKA-SEMBABULA-24HRS'!$C$9:$N$9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MASAKA-SEMBABULA-24HRS'!$C$108:$N$108</c:f>
              <c:numCache>
                <c:formatCode>0.00%</c:formatCode>
                <c:ptCount val="12"/>
                <c:pt idx="0">
                  <c:v>0.36989247311827955</c:v>
                </c:pt>
                <c:pt idx="1">
                  <c:v>7.0967741935483872E-2</c:v>
                </c:pt>
                <c:pt idx="2">
                  <c:v>0.1032258064516129</c:v>
                </c:pt>
                <c:pt idx="3">
                  <c:v>0.13118279569892474</c:v>
                </c:pt>
                <c:pt idx="4">
                  <c:v>4.3010752688172043E-3</c:v>
                </c:pt>
                <c:pt idx="5">
                  <c:v>6.4516129032258064E-3</c:v>
                </c:pt>
                <c:pt idx="6">
                  <c:v>0.17204301075268819</c:v>
                </c:pt>
                <c:pt idx="7">
                  <c:v>0.11397849462365592</c:v>
                </c:pt>
                <c:pt idx="8">
                  <c:v>2.1505376344086023E-2</c:v>
                </c:pt>
                <c:pt idx="9">
                  <c:v>2.1505376344086021E-3</c:v>
                </c:pt>
                <c:pt idx="11">
                  <c:v>4.3010752688172043E-3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SEMBABULE-MASAKA-24 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SEMBABULE-MASAKA-24 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SEMBABULE-MASAKA-24 HRS'!$AE$10:$AE$33</c:f>
              <c:numCache>
                <c:formatCode>0</c:formatCode>
                <c:ptCount val="24"/>
                <c:pt idx="0">
                  <c:v>15</c:v>
                </c:pt>
                <c:pt idx="1">
                  <c:v>35</c:v>
                </c:pt>
                <c:pt idx="2">
                  <c:v>25</c:v>
                </c:pt>
                <c:pt idx="3">
                  <c:v>24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24</c:v>
                </c:pt>
                <c:pt idx="8">
                  <c:v>33</c:v>
                </c:pt>
                <c:pt idx="9">
                  <c:v>28</c:v>
                </c:pt>
                <c:pt idx="10">
                  <c:v>33</c:v>
                </c:pt>
                <c:pt idx="11">
                  <c:v>26</c:v>
                </c:pt>
                <c:pt idx="12">
                  <c:v>24</c:v>
                </c:pt>
                <c:pt idx="13">
                  <c:v>11</c:v>
                </c:pt>
                <c:pt idx="14">
                  <c:v>16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2</c:v>
                </c:pt>
                <c:pt idx="19">
                  <c:v>7</c:v>
                </c:pt>
                <c:pt idx="20">
                  <c:v>2</c:v>
                </c:pt>
                <c:pt idx="21">
                  <c:v>4</c:v>
                </c:pt>
                <c:pt idx="22">
                  <c:v>1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'18.10 SEMBABULE-MASAKA-24 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SEMBABULE-MASAKA-24 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SEMBABULE-MASAKA-24 HRS'!$AF$10:$AF$33</c:f>
              <c:numCache>
                <c:formatCode>0</c:formatCode>
                <c:ptCount val="24"/>
                <c:pt idx="0">
                  <c:v>30</c:v>
                </c:pt>
                <c:pt idx="1">
                  <c:v>57</c:v>
                </c:pt>
                <c:pt idx="2">
                  <c:v>43</c:v>
                </c:pt>
                <c:pt idx="3">
                  <c:v>42</c:v>
                </c:pt>
                <c:pt idx="4">
                  <c:v>53</c:v>
                </c:pt>
                <c:pt idx="5">
                  <c:v>42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60</c:v>
                </c:pt>
                <c:pt idx="10">
                  <c:v>73</c:v>
                </c:pt>
                <c:pt idx="11">
                  <c:v>75</c:v>
                </c:pt>
                <c:pt idx="12">
                  <c:v>58</c:v>
                </c:pt>
                <c:pt idx="13">
                  <c:v>41</c:v>
                </c:pt>
                <c:pt idx="14">
                  <c:v>32</c:v>
                </c:pt>
                <c:pt idx="15">
                  <c:v>24</c:v>
                </c:pt>
                <c:pt idx="16">
                  <c:v>15</c:v>
                </c:pt>
                <c:pt idx="17">
                  <c:v>15</c:v>
                </c:pt>
                <c:pt idx="18">
                  <c:v>3</c:v>
                </c:pt>
                <c:pt idx="19">
                  <c:v>7</c:v>
                </c:pt>
                <c:pt idx="20">
                  <c:v>2</c:v>
                </c:pt>
                <c:pt idx="21">
                  <c:v>6</c:v>
                </c:pt>
                <c:pt idx="22">
                  <c:v>3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SEMBABULE-MASAKA-24 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SEMBABULE-MASAKA-24 HRS'!$C$107:$N$107</c:f>
              <c:numCache>
                <c:formatCode>0.0%</c:formatCode>
                <c:ptCount val="12"/>
                <c:pt idx="0">
                  <c:v>0.19298245614035087</c:v>
                </c:pt>
                <c:pt idx="1">
                  <c:v>3.3918128654970757E-2</c:v>
                </c:pt>
                <c:pt idx="2">
                  <c:v>5.2631578947368418E-2</c:v>
                </c:pt>
                <c:pt idx="3">
                  <c:v>4.5614035087719301E-2</c:v>
                </c:pt>
                <c:pt idx="4">
                  <c:v>4.6783625730994153E-3</c:v>
                </c:pt>
                <c:pt idx="5">
                  <c:v>0</c:v>
                </c:pt>
                <c:pt idx="6">
                  <c:v>8.8888888888888892E-2</c:v>
                </c:pt>
                <c:pt idx="7">
                  <c:v>4.4444444444444446E-2</c:v>
                </c:pt>
                <c:pt idx="8">
                  <c:v>1.5204678362573099E-2</c:v>
                </c:pt>
                <c:pt idx="9">
                  <c:v>0</c:v>
                </c:pt>
                <c:pt idx="10">
                  <c:v>0.50994152046783625</c:v>
                </c:pt>
                <c:pt idx="11">
                  <c:v>1.1695906432748537E-2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SEMBABULE-MASAKA-24 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SEMBABULE-MASAKA-24 HRS'!$C$108:$N$108</c:f>
              <c:numCache>
                <c:formatCode>0.00%</c:formatCode>
                <c:ptCount val="12"/>
                <c:pt idx="0">
                  <c:v>0.3937947494033413</c:v>
                </c:pt>
                <c:pt idx="1">
                  <c:v>6.9212410501193311E-2</c:v>
                </c:pt>
                <c:pt idx="2">
                  <c:v>0.10739856801909307</c:v>
                </c:pt>
                <c:pt idx="3">
                  <c:v>9.3078758949880672E-2</c:v>
                </c:pt>
                <c:pt idx="4">
                  <c:v>9.5465393794749408E-3</c:v>
                </c:pt>
                <c:pt idx="5">
                  <c:v>0</c:v>
                </c:pt>
                <c:pt idx="6">
                  <c:v>0.18138424821002386</c:v>
                </c:pt>
                <c:pt idx="7">
                  <c:v>9.0692124105011929E-2</c:v>
                </c:pt>
                <c:pt idx="8">
                  <c:v>3.1026252983293555E-2</c:v>
                </c:pt>
                <c:pt idx="9">
                  <c:v>0</c:v>
                </c:pt>
                <c:pt idx="11">
                  <c:v>2.386634844868735E-2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MASAKA-SEMBABULE-24HRS'!$AE$9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MASAKA-SEMBABULE-24HRS'!$R$10:$R$33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MASAKA-SEMBABULE-24HRS'!$AE$10:$AE$33</c:f>
              <c:numCache>
                <c:formatCode>0</c:formatCode>
                <c:ptCount val="24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12</c:v>
                </c:pt>
                <c:pt idx="4">
                  <c:v>19</c:v>
                </c:pt>
                <c:pt idx="5">
                  <c:v>25</c:v>
                </c:pt>
                <c:pt idx="6">
                  <c:v>24</c:v>
                </c:pt>
                <c:pt idx="7">
                  <c:v>21</c:v>
                </c:pt>
                <c:pt idx="8">
                  <c:v>25</c:v>
                </c:pt>
                <c:pt idx="9">
                  <c:v>32</c:v>
                </c:pt>
                <c:pt idx="10">
                  <c:v>29</c:v>
                </c:pt>
                <c:pt idx="11">
                  <c:v>30</c:v>
                </c:pt>
                <c:pt idx="12">
                  <c:v>24</c:v>
                </c:pt>
                <c:pt idx="13">
                  <c:v>18</c:v>
                </c:pt>
                <c:pt idx="14">
                  <c:v>6</c:v>
                </c:pt>
                <c:pt idx="15">
                  <c:v>11</c:v>
                </c:pt>
                <c:pt idx="16">
                  <c:v>5</c:v>
                </c:pt>
                <c:pt idx="17">
                  <c:v>12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2</c:v>
                </c:pt>
                <c:pt idx="22">
                  <c:v>11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'19.10 MASAKA-SEMBABULE-24HRS'!$AF$9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MASAKA-SEMBABULE-24HRS'!$R$10:$R$33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MASAKA-SEMBABULE-24HRS'!$AF$10:$AF$33</c:f>
              <c:numCache>
                <c:formatCode>0</c:formatCode>
                <c:ptCount val="24"/>
                <c:pt idx="0">
                  <c:v>31</c:v>
                </c:pt>
                <c:pt idx="1">
                  <c:v>29</c:v>
                </c:pt>
                <c:pt idx="2">
                  <c:v>35</c:v>
                </c:pt>
                <c:pt idx="3">
                  <c:v>33</c:v>
                </c:pt>
                <c:pt idx="4">
                  <c:v>49</c:v>
                </c:pt>
                <c:pt idx="5">
                  <c:v>50</c:v>
                </c:pt>
                <c:pt idx="6">
                  <c:v>62</c:v>
                </c:pt>
                <c:pt idx="7">
                  <c:v>55</c:v>
                </c:pt>
                <c:pt idx="8">
                  <c:v>58</c:v>
                </c:pt>
                <c:pt idx="9">
                  <c:v>84</c:v>
                </c:pt>
                <c:pt idx="10">
                  <c:v>70</c:v>
                </c:pt>
                <c:pt idx="11">
                  <c:v>70</c:v>
                </c:pt>
                <c:pt idx="12">
                  <c:v>47</c:v>
                </c:pt>
                <c:pt idx="13">
                  <c:v>35</c:v>
                </c:pt>
                <c:pt idx="14">
                  <c:v>16</c:v>
                </c:pt>
                <c:pt idx="15">
                  <c:v>16</c:v>
                </c:pt>
                <c:pt idx="16">
                  <c:v>6</c:v>
                </c:pt>
                <c:pt idx="17">
                  <c:v>13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16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MASAKA-SEMBABULE-24HRS'!$C$9:$N$9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MASAKA-SEMBABULE-24HRS'!$C$107:$N$107</c:f>
              <c:numCache>
                <c:formatCode>0.0%</c:formatCode>
                <c:ptCount val="12"/>
                <c:pt idx="0">
                  <c:v>0.18666666666666668</c:v>
                </c:pt>
                <c:pt idx="1">
                  <c:v>1.5757575757575758E-2</c:v>
                </c:pt>
                <c:pt idx="2">
                  <c:v>4.2424242424242427E-2</c:v>
                </c:pt>
                <c:pt idx="3">
                  <c:v>3.8787878787878788E-2</c:v>
                </c:pt>
                <c:pt idx="4">
                  <c:v>2.4242424242424242E-3</c:v>
                </c:pt>
                <c:pt idx="5">
                  <c:v>1.2121212121212121E-3</c:v>
                </c:pt>
                <c:pt idx="6">
                  <c:v>8.3636363636363634E-2</c:v>
                </c:pt>
                <c:pt idx="7">
                  <c:v>6.6666666666666666E-2</c:v>
                </c:pt>
                <c:pt idx="8">
                  <c:v>1.2121212121212121E-2</c:v>
                </c:pt>
                <c:pt idx="9">
                  <c:v>0</c:v>
                </c:pt>
                <c:pt idx="10">
                  <c:v>0.55030303030303029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MASAKA-SEMBABULE-24HRS'!$C$9:$N$9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MASAKA-SEMBABULE-24HRS'!$C$108:$N$108</c:f>
              <c:numCache>
                <c:formatCode>0.00%</c:formatCode>
                <c:ptCount val="12"/>
                <c:pt idx="0">
                  <c:v>0.41509433962264153</c:v>
                </c:pt>
                <c:pt idx="1">
                  <c:v>3.5040431266846361E-2</c:v>
                </c:pt>
                <c:pt idx="2">
                  <c:v>9.4339622641509441E-2</c:v>
                </c:pt>
                <c:pt idx="3">
                  <c:v>8.6253369272237201E-2</c:v>
                </c:pt>
                <c:pt idx="4">
                  <c:v>5.3908355795148251E-3</c:v>
                </c:pt>
                <c:pt idx="5">
                  <c:v>2.6954177897574125E-3</c:v>
                </c:pt>
                <c:pt idx="6">
                  <c:v>0.18598382749326145</c:v>
                </c:pt>
                <c:pt idx="7">
                  <c:v>0.14824797843665768</c:v>
                </c:pt>
                <c:pt idx="8">
                  <c:v>2.6954177897574125E-2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SEMBABULE MASAKA-24HRS'!$AE$9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SEMBABULE MASAKA-24HRS'!$R$10:$R$33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SEMBABULE MASAKA-24HRS'!$AE$10:$AE$33</c:f>
              <c:numCache>
                <c:formatCode>0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25</c:v>
                </c:pt>
                <c:pt idx="3">
                  <c:v>36</c:v>
                </c:pt>
                <c:pt idx="4">
                  <c:v>24</c:v>
                </c:pt>
                <c:pt idx="5">
                  <c:v>22</c:v>
                </c:pt>
                <c:pt idx="6">
                  <c:v>22</c:v>
                </c:pt>
                <c:pt idx="7">
                  <c:v>20</c:v>
                </c:pt>
                <c:pt idx="8">
                  <c:v>18</c:v>
                </c:pt>
                <c:pt idx="9">
                  <c:v>17</c:v>
                </c:pt>
                <c:pt idx="10">
                  <c:v>19</c:v>
                </c:pt>
                <c:pt idx="11">
                  <c:v>29</c:v>
                </c:pt>
                <c:pt idx="12">
                  <c:v>15</c:v>
                </c:pt>
                <c:pt idx="13">
                  <c:v>10</c:v>
                </c:pt>
                <c:pt idx="14">
                  <c:v>17</c:v>
                </c:pt>
                <c:pt idx="15">
                  <c:v>9</c:v>
                </c:pt>
                <c:pt idx="16">
                  <c:v>11</c:v>
                </c:pt>
                <c:pt idx="17">
                  <c:v>13</c:v>
                </c:pt>
                <c:pt idx="18">
                  <c:v>10</c:v>
                </c:pt>
                <c:pt idx="19">
                  <c:v>8</c:v>
                </c:pt>
                <c:pt idx="20">
                  <c:v>8</c:v>
                </c:pt>
                <c:pt idx="21">
                  <c:v>17</c:v>
                </c:pt>
                <c:pt idx="22">
                  <c:v>32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'19.10 SEMBABULE MASAKA-24HRS'!$AF$9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SEMBABULE MASAKA-24HRS'!$R$10:$R$33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SEMBABULE MASAKA-24HRS'!$AF$10:$AF$33</c:f>
              <c:numCache>
                <c:formatCode>0</c:formatCode>
                <c:ptCount val="24"/>
                <c:pt idx="0">
                  <c:v>34</c:v>
                </c:pt>
                <c:pt idx="1">
                  <c:v>30</c:v>
                </c:pt>
                <c:pt idx="2">
                  <c:v>45</c:v>
                </c:pt>
                <c:pt idx="3">
                  <c:v>66</c:v>
                </c:pt>
                <c:pt idx="4">
                  <c:v>67</c:v>
                </c:pt>
                <c:pt idx="5">
                  <c:v>60</c:v>
                </c:pt>
                <c:pt idx="6">
                  <c:v>74</c:v>
                </c:pt>
                <c:pt idx="7">
                  <c:v>62</c:v>
                </c:pt>
                <c:pt idx="8">
                  <c:v>52</c:v>
                </c:pt>
                <c:pt idx="9">
                  <c:v>46</c:v>
                </c:pt>
                <c:pt idx="10">
                  <c:v>54</c:v>
                </c:pt>
                <c:pt idx="11">
                  <c:v>71</c:v>
                </c:pt>
                <c:pt idx="12">
                  <c:v>42</c:v>
                </c:pt>
                <c:pt idx="13">
                  <c:v>33</c:v>
                </c:pt>
                <c:pt idx="14">
                  <c:v>30</c:v>
                </c:pt>
                <c:pt idx="15">
                  <c:v>17</c:v>
                </c:pt>
                <c:pt idx="16">
                  <c:v>13</c:v>
                </c:pt>
                <c:pt idx="17">
                  <c:v>16</c:v>
                </c:pt>
                <c:pt idx="18">
                  <c:v>10</c:v>
                </c:pt>
                <c:pt idx="19">
                  <c:v>8</c:v>
                </c:pt>
                <c:pt idx="20">
                  <c:v>8</c:v>
                </c:pt>
                <c:pt idx="21">
                  <c:v>18</c:v>
                </c:pt>
                <c:pt idx="22">
                  <c:v>65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SEMBABULE MASAKA-24HRS'!$C$9:$N$9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SEMBABULE MASAKA-24HRS'!$C$107:$N$107</c:f>
              <c:numCache>
                <c:formatCode>0.0%</c:formatCode>
                <c:ptCount val="12"/>
                <c:pt idx="0">
                  <c:v>0.15592515592515593</c:v>
                </c:pt>
                <c:pt idx="1">
                  <c:v>2.390852390852391E-2</c:v>
                </c:pt>
                <c:pt idx="2">
                  <c:v>4.677754677754678E-2</c:v>
                </c:pt>
                <c:pt idx="3">
                  <c:v>5.0935550935550938E-2</c:v>
                </c:pt>
                <c:pt idx="4">
                  <c:v>2.0790020790020791E-3</c:v>
                </c:pt>
                <c:pt idx="5">
                  <c:v>0</c:v>
                </c:pt>
                <c:pt idx="6">
                  <c:v>8.9397089397089402E-2</c:v>
                </c:pt>
                <c:pt idx="7">
                  <c:v>6.3409563409563413E-2</c:v>
                </c:pt>
                <c:pt idx="8">
                  <c:v>2.7027027027027029E-2</c:v>
                </c:pt>
                <c:pt idx="9">
                  <c:v>7.2765072765072769E-3</c:v>
                </c:pt>
                <c:pt idx="10">
                  <c:v>0.53222453222453225</c:v>
                </c:pt>
                <c:pt idx="11">
                  <c:v>1.0395010395010396E-3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SEMBABULE MASAKA-24HRS'!$C$9:$N$9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SEMBABULE MASAKA-24HRS'!$C$108:$N$108</c:f>
              <c:numCache>
                <c:formatCode>0.00%</c:formatCode>
                <c:ptCount val="12"/>
                <c:pt idx="0">
                  <c:v>0.33333333333333331</c:v>
                </c:pt>
                <c:pt idx="1">
                  <c:v>5.1111111111111114E-2</c:v>
                </c:pt>
                <c:pt idx="2">
                  <c:v>0.1</c:v>
                </c:pt>
                <c:pt idx="3">
                  <c:v>0.10888888888888888</c:v>
                </c:pt>
                <c:pt idx="4">
                  <c:v>4.4444444444444444E-3</c:v>
                </c:pt>
                <c:pt idx="5">
                  <c:v>0</c:v>
                </c:pt>
                <c:pt idx="6">
                  <c:v>0.19111111111111112</c:v>
                </c:pt>
                <c:pt idx="7">
                  <c:v>0.13555555555555557</c:v>
                </c:pt>
                <c:pt idx="8">
                  <c:v>5.7777777777777775E-2</c:v>
                </c:pt>
                <c:pt idx="9">
                  <c:v>1.5555555555555555E-2</c:v>
                </c:pt>
                <c:pt idx="11">
                  <c:v>2.2222222222222222E-3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MASAKA-SEMBABULE'!$AE$9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MASAKA-SEMBABULE'!$AE$10:$AE$21</c:f>
              <c:numCache>
                <c:formatCode>0</c:formatCode>
                <c:ptCount val="12"/>
                <c:pt idx="0">
                  <c:v>14</c:v>
                </c:pt>
                <c:pt idx="1">
                  <c:v>11</c:v>
                </c:pt>
                <c:pt idx="2">
                  <c:v>17</c:v>
                </c:pt>
                <c:pt idx="3">
                  <c:v>23</c:v>
                </c:pt>
                <c:pt idx="4">
                  <c:v>13</c:v>
                </c:pt>
                <c:pt idx="5">
                  <c:v>24</c:v>
                </c:pt>
                <c:pt idx="6">
                  <c:v>19</c:v>
                </c:pt>
                <c:pt idx="7">
                  <c:v>24</c:v>
                </c:pt>
                <c:pt idx="8">
                  <c:v>18</c:v>
                </c:pt>
                <c:pt idx="9">
                  <c:v>28</c:v>
                </c:pt>
                <c:pt idx="10">
                  <c:v>37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'20.10 MASAKA-SEMBABULE'!$AF$9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MASAKA-SEMBABULE'!$AF$10:$AF$21</c:f>
              <c:numCache>
                <c:formatCode>0</c:formatCode>
                <c:ptCount val="12"/>
                <c:pt idx="0">
                  <c:v>32</c:v>
                </c:pt>
                <c:pt idx="1">
                  <c:v>31</c:v>
                </c:pt>
                <c:pt idx="2">
                  <c:v>36</c:v>
                </c:pt>
                <c:pt idx="3">
                  <c:v>45</c:v>
                </c:pt>
                <c:pt idx="4">
                  <c:v>42</c:v>
                </c:pt>
                <c:pt idx="5">
                  <c:v>51</c:v>
                </c:pt>
                <c:pt idx="6">
                  <c:v>41</c:v>
                </c:pt>
                <c:pt idx="7">
                  <c:v>47</c:v>
                </c:pt>
                <c:pt idx="8">
                  <c:v>49</c:v>
                </c:pt>
                <c:pt idx="9">
                  <c:v>43</c:v>
                </c:pt>
                <c:pt idx="10">
                  <c:v>71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MASAKA-SEMBABULE'!$C$9:$N$9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MASAKA-SEMBABULE'!$C$59:$N$59</c:f>
              <c:numCache>
                <c:formatCode>0.0%</c:formatCode>
                <c:ptCount val="12"/>
                <c:pt idx="0">
                  <c:v>0.195357833655706</c:v>
                </c:pt>
                <c:pt idx="1">
                  <c:v>3.4816247582205029E-2</c:v>
                </c:pt>
                <c:pt idx="2">
                  <c:v>4.2553191489361701E-2</c:v>
                </c:pt>
                <c:pt idx="3">
                  <c:v>4.4487427466150871E-2</c:v>
                </c:pt>
                <c:pt idx="4">
                  <c:v>0</c:v>
                </c:pt>
                <c:pt idx="5">
                  <c:v>0</c:v>
                </c:pt>
                <c:pt idx="6">
                  <c:v>8.5106382978723402E-2</c:v>
                </c:pt>
                <c:pt idx="7">
                  <c:v>3.4816247582205029E-2</c:v>
                </c:pt>
                <c:pt idx="8">
                  <c:v>2.9013539651837523E-2</c:v>
                </c:pt>
                <c:pt idx="9">
                  <c:v>1.9342359767891683E-3</c:v>
                </c:pt>
                <c:pt idx="10">
                  <c:v>0.52998065764023206</c:v>
                </c:pt>
                <c:pt idx="11">
                  <c:v>1.9342359767891683E-3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MASAKA-SEMBABULE'!$S$9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MASAKA-SEMBABULE'!$S$10:$S$21</c:f>
              <c:numCache>
                <c:formatCode>0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7</c:v>
                </c:pt>
                <c:pt idx="5">
                  <c:v>12</c:v>
                </c:pt>
                <c:pt idx="6">
                  <c:v>7</c:v>
                </c:pt>
                <c:pt idx="7">
                  <c:v>9</c:v>
                </c:pt>
                <c:pt idx="8">
                  <c:v>4</c:v>
                </c:pt>
                <c:pt idx="9">
                  <c:v>11</c:v>
                </c:pt>
                <c:pt idx="10">
                  <c:v>17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'20.10 MASAKA-SEMBABULE'!$T$9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MASAKA-SEMBABULE'!$T$10:$T$21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'20.10 MASAKA-SEMBABULE'!$U$9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MASAKA-SEMBABULE'!$U$10:$U$21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'20.10 MASAKA-SEMBABULE'!$V$9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'20.10 MASAKA-SEMBABULE'!$W$9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'20.10 MASAKA-SEMBABULE'!$X$9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'20.10 MASAKA-SEMBABULE'!$Y$9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'20.10 MASAKA-SEMBABULE'!$Z$9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'20.10 MASAKA-SEMBABULE'!$AA$9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'20.10 MASAKA-SEMBABULE'!$AB$9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'20.10 MASAKA-SEMBABULE'!$AC$9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MASAKA-SEMBABULE'!$AC$10:$AC$21</c:f>
              <c:numCache>
                <c:formatCode>0</c:formatCode>
                <c:ptCount val="12"/>
                <c:pt idx="0">
                  <c:v>18</c:v>
                </c:pt>
                <c:pt idx="1">
                  <c:v>20</c:v>
                </c:pt>
                <c:pt idx="2">
                  <c:v>19</c:v>
                </c:pt>
                <c:pt idx="3">
                  <c:v>22</c:v>
                </c:pt>
                <c:pt idx="4">
                  <c:v>29</c:v>
                </c:pt>
                <c:pt idx="5">
                  <c:v>27</c:v>
                </c:pt>
                <c:pt idx="6">
                  <c:v>22</c:v>
                </c:pt>
                <c:pt idx="7">
                  <c:v>23</c:v>
                </c:pt>
                <c:pt idx="8">
                  <c:v>31</c:v>
                </c:pt>
                <c:pt idx="9">
                  <c:v>15</c:v>
                </c:pt>
                <c:pt idx="10">
                  <c:v>34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'20.10 MASAKA-SEMBABULE'!$AD$9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MASAKA-SEMBABULE'!$C$9:$N$9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MASAKA-SEMBABULE'!$C$60:$N$60</c:f>
              <c:numCache>
                <c:formatCode>0.00%</c:formatCode>
                <c:ptCount val="12"/>
                <c:pt idx="0">
                  <c:v>0.41563786008230452</c:v>
                </c:pt>
                <c:pt idx="1">
                  <c:v>7.407407407407407E-2</c:v>
                </c:pt>
                <c:pt idx="2">
                  <c:v>9.0534979423868317E-2</c:v>
                </c:pt>
                <c:pt idx="3">
                  <c:v>9.4650205761316872E-2</c:v>
                </c:pt>
                <c:pt idx="4">
                  <c:v>0</c:v>
                </c:pt>
                <c:pt idx="5">
                  <c:v>0</c:v>
                </c:pt>
                <c:pt idx="6">
                  <c:v>0.18106995884773663</c:v>
                </c:pt>
                <c:pt idx="7">
                  <c:v>7.407407407407407E-2</c:v>
                </c:pt>
                <c:pt idx="8">
                  <c:v>6.1728395061728392E-2</c:v>
                </c:pt>
                <c:pt idx="9">
                  <c:v>4.11522633744856E-3</c:v>
                </c:pt>
                <c:pt idx="11">
                  <c:v>4.11522633744856E-3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SEMBABULE-MASAKA'!$AE$9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SEMBABULE-MASAKA'!$AE$10:$AE$21</c:f>
              <c:numCache>
                <c:formatCode>0</c:formatCode>
                <c:ptCount val="12"/>
                <c:pt idx="0">
                  <c:v>19</c:v>
                </c:pt>
                <c:pt idx="1">
                  <c:v>27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18</c:v>
                </c:pt>
                <c:pt idx="6">
                  <c:v>21</c:v>
                </c:pt>
                <c:pt idx="7">
                  <c:v>28</c:v>
                </c:pt>
                <c:pt idx="8">
                  <c:v>23</c:v>
                </c:pt>
                <c:pt idx="9">
                  <c:v>12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'20.10 SEMBABULE-MASAKA'!$AF$9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SEMBABULE-MASAKA'!$AF$10:$AF$21</c:f>
              <c:numCache>
                <c:formatCode>0</c:formatCode>
                <c:ptCount val="12"/>
                <c:pt idx="0">
                  <c:v>30</c:v>
                </c:pt>
                <c:pt idx="1">
                  <c:v>47</c:v>
                </c:pt>
                <c:pt idx="2">
                  <c:v>42</c:v>
                </c:pt>
                <c:pt idx="3">
                  <c:v>50</c:v>
                </c:pt>
                <c:pt idx="4">
                  <c:v>43</c:v>
                </c:pt>
                <c:pt idx="5">
                  <c:v>51</c:v>
                </c:pt>
                <c:pt idx="6">
                  <c:v>50</c:v>
                </c:pt>
                <c:pt idx="7">
                  <c:v>58</c:v>
                </c:pt>
                <c:pt idx="8">
                  <c:v>52</c:v>
                </c:pt>
                <c:pt idx="9">
                  <c:v>33</c:v>
                </c:pt>
                <c:pt idx="10">
                  <c:v>36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SEMBABULE-MASAKA'!$C$59:$N$59</c:f>
              <c:numCache>
                <c:formatCode>0.0%</c:formatCode>
                <c:ptCount val="12"/>
                <c:pt idx="0">
                  <c:v>0.22916666666666666</c:v>
                </c:pt>
                <c:pt idx="1">
                  <c:v>2.8409090909090908E-2</c:v>
                </c:pt>
                <c:pt idx="2">
                  <c:v>3.9772727272727272E-2</c:v>
                </c:pt>
                <c:pt idx="3">
                  <c:v>3.5984848484848488E-2</c:v>
                </c:pt>
                <c:pt idx="4">
                  <c:v>0</c:v>
                </c:pt>
                <c:pt idx="5">
                  <c:v>0</c:v>
                </c:pt>
                <c:pt idx="6">
                  <c:v>7.9545454545454544E-2</c:v>
                </c:pt>
                <c:pt idx="7">
                  <c:v>3.0303030303030304E-2</c:v>
                </c:pt>
                <c:pt idx="8">
                  <c:v>1.5151515151515152E-2</c:v>
                </c:pt>
                <c:pt idx="9">
                  <c:v>0</c:v>
                </c:pt>
                <c:pt idx="10">
                  <c:v>0.54166666666666663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SEMBABULE-MASAKA'!$S$9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SEMBABULE-MASAKA'!$S$10:$S$21</c:f>
              <c:numCache>
                <c:formatCode>0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15</c:v>
                </c:pt>
                <c:pt idx="9">
                  <c:v>6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'20.10 SEMBABULE-MASAKA'!$T$9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SEMBABULE-MASAKA'!$T$10:$T$21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'20.10 SEMBABULE-MASAKA'!$U$9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SEMBABULE-MASAKA'!$U$10:$U$21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'20.10 SEMBABULE-MASAKA'!$V$9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SEMBABULE-MASAKA'!$V$10:$V$21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'20.10 SEMBABULE-MASAKA'!$W$9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'20.10 SEMBABULE-MASAKA'!$X$9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'20.10 SEMBABULE-MASAKA'!$Y$9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SEMBABULE-MASAKA'!$Y$10:$Y$21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'20.10 SEMBABULE-MASAKA'!$Z$9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'20.10 SEMBABULE-MASAKA'!$AA$9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'20.10 SEMBABULE-MASAKA'!$AB$9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'20.10 SEMBABULE-MASAKA'!$AC$9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SEMBABULE-MASAKA'!$AC$10:$AC$21</c:f>
              <c:numCache>
                <c:formatCode>0</c:formatCode>
                <c:ptCount val="12"/>
                <c:pt idx="0">
                  <c:v>11</c:v>
                </c:pt>
                <c:pt idx="1">
                  <c:v>20</c:v>
                </c:pt>
                <c:pt idx="2">
                  <c:v>20</c:v>
                </c:pt>
                <c:pt idx="3">
                  <c:v>30</c:v>
                </c:pt>
                <c:pt idx="4">
                  <c:v>20</c:v>
                </c:pt>
                <c:pt idx="5">
                  <c:v>33</c:v>
                </c:pt>
                <c:pt idx="6">
                  <c:v>29</c:v>
                </c:pt>
                <c:pt idx="7">
                  <c:v>30</c:v>
                </c:pt>
                <c:pt idx="8">
                  <c:v>29</c:v>
                </c:pt>
                <c:pt idx="9">
                  <c:v>21</c:v>
                </c:pt>
                <c:pt idx="10">
                  <c:v>20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'20.10 SEMBABULE-MASAKA'!$AD$9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SEMBABULE-MASAKA'!$AD$10:$AD$21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SEMBABULE-MASAKA'!$C$60:$N$60</c:f>
              <c:numCache>
                <c:formatCode>0.00%</c:formatCode>
                <c:ptCount val="12"/>
                <c:pt idx="0">
                  <c:v>0.5</c:v>
                </c:pt>
                <c:pt idx="1">
                  <c:v>6.1983471074380167E-2</c:v>
                </c:pt>
                <c:pt idx="2">
                  <c:v>8.6776859504132234E-2</c:v>
                </c:pt>
                <c:pt idx="3">
                  <c:v>7.8512396694214878E-2</c:v>
                </c:pt>
                <c:pt idx="4">
                  <c:v>0</c:v>
                </c:pt>
                <c:pt idx="5">
                  <c:v>0</c:v>
                </c:pt>
                <c:pt idx="6">
                  <c:v>0.17355371900826447</c:v>
                </c:pt>
                <c:pt idx="7">
                  <c:v>6.6115702479338845E-2</c:v>
                </c:pt>
                <c:pt idx="8">
                  <c:v>3.3057851239669422E-2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MASAKA 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MASAKA 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MASAKA SEMBABULE'!$AE$10:$AE$21</c:f>
              <c:numCache>
                <c:formatCode>0</c:formatCode>
                <c:ptCount val="12"/>
                <c:pt idx="0">
                  <c:v>11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24</c:v>
                </c:pt>
                <c:pt idx="5">
                  <c:v>15</c:v>
                </c:pt>
                <c:pt idx="6">
                  <c:v>28</c:v>
                </c:pt>
                <c:pt idx="7">
                  <c:v>16</c:v>
                </c:pt>
                <c:pt idx="8">
                  <c:v>29</c:v>
                </c:pt>
                <c:pt idx="9">
                  <c:v>18</c:v>
                </c:pt>
                <c:pt idx="10">
                  <c:v>32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'21.10 MASAKA 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MASAKA 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MASAKA SEMBABULE'!$AF$10:$AF$21</c:f>
              <c:numCache>
                <c:formatCode>0</c:formatCode>
                <c:ptCount val="12"/>
                <c:pt idx="0">
                  <c:v>25</c:v>
                </c:pt>
                <c:pt idx="1">
                  <c:v>41</c:v>
                </c:pt>
                <c:pt idx="2">
                  <c:v>37</c:v>
                </c:pt>
                <c:pt idx="3">
                  <c:v>51</c:v>
                </c:pt>
                <c:pt idx="4">
                  <c:v>46</c:v>
                </c:pt>
                <c:pt idx="5">
                  <c:v>44</c:v>
                </c:pt>
                <c:pt idx="6">
                  <c:v>64</c:v>
                </c:pt>
                <c:pt idx="7">
                  <c:v>29</c:v>
                </c:pt>
                <c:pt idx="8">
                  <c:v>44</c:v>
                </c:pt>
                <c:pt idx="9">
                  <c:v>43</c:v>
                </c:pt>
                <c:pt idx="10">
                  <c:v>50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MASAKA 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MASAKA SEMBABULE'!$C$59:$N$59</c:f>
              <c:numCache>
                <c:formatCode>0.0%</c:formatCode>
                <c:ptCount val="12"/>
                <c:pt idx="0">
                  <c:v>0.18181818181818182</c:v>
                </c:pt>
                <c:pt idx="1">
                  <c:v>1.9342359767891684E-2</c:v>
                </c:pt>
                <c:pt idx="2">
                  <c:v>4.0618955512572531E-2</c:v>
                </c:pt>
                <c:pt idx="3">
                  <c:v>6.3829787234042548E-2</c:v>
                </c:pt>
                <c:pt idx="4">
                  <c:v>3.8684719535783366E-3</c:v>
                </c:pt>
                <c:pt idx="5">
                  <c:v>0</c:v>
                </c:pt>
                <c:pt idx="6">
                  <c:v>0.10638297872340426</c:v>
                </c:pt>
                <c:pt idx="7">
                  <c:v>3.4816247582205029E-2</c:v>
                </c:pt>
                <c:pt idx="8">
                  <c:v>3.8684719535783368E-2</c:v>
                </c:pt>
                <c:pt idx="9">
                  <c:v>3.8684719535783366E-3</c:v>
                </c:pt>
                <c:pt idx="10">
                  <c:v>0.50676982591876207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MASAKA 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'21.10 MASAKA 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MASAKA SEMBABULE'!$S$10:$S$21</c:f>
              <c:numCache>
                <c:formatCode>0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6</c:v>
                </c:pt>
                <c:pt idx="6">
                  <c:v>12</c:v>
                </c:pt>
                <c:pt idx="7">
                  <c:v>4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'21.10 MASAKA 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'21.10 MASAKA 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MASAKA SEMBABULE'!$T$10:$T$21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'21.10 MASAKA 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'21.10 MASAKA 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'21.10 MASAKA 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'21.10 MASAKA 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'21.10 MASAKA 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SEMBABULE'!$Y$10:$Y$21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7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'21.10 MASAKA 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SEMBABULE'!$Z$10:$Z$21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'21.10 MASAKA 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'21.10 MASAKA 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'21.10 MASAKA 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SEMBABULE'!$AC$10:$AC$21</c:f>
              <c:numCache>
                <c:formatCode>0</c:formatCode>
                <c:ptCount val="12"/>
                <c:pt idx="0">
                  <c:v>14</c:v>
                </c:pt>
                <c:pt idx="1">
                  <c:v>24</c:v>
                </c:pt>
                <c:pt idx="2">
                  <c:v>20</c:v>
                </c:pt>
                <c:pt idx="3">
                  <c:v>34</c:v>
                </c:pt>
                <c:pt idx="4">
                  <c:v>22</c:v>
                </c:pt>
                <c:pt idx="5">
                  <c:v>21</c:v>
                </c:pt>
                <c:pt idx="6">
                  <c:v>36</c:v>
                </c:pt>
                <c:pt idx="7">
                  <c:v>13</c:v>
                </c:pt>
                <c:pt idx="8">
                  <c:v>15</c:v>
                </c:pt>
                <c:pt idx="9">
                  <c:v>25</c:v>
                </c:pt>
                <c:pt idx="10">
                  <c:v>18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'21.10 MASAKA 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 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MASAKA 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MASAKA SEMBABULE'!$C$60:$N$60</c:f>
              <c:numCache>
                <c:formatCode>0.00%</c:formatCode>
                <c:ptCount val="12"/>
                <c:pt idx="0">
                  <c:v>0.38056680161943318</c:v>
                </c:pt>
                <c:pt idx="1">
                  <c:v>4.048582995951417E-2</c:v>
                </c:pt>
                <c:pt idx="2">
                  <c:v>8.5020242914979755E-2</c:v>
                </c:pt>
                <c:pt idx="3">
                  <c:v>0.13360323886639677</c:v>
                </c:pt>
                <c:pt idx="4">
                  <c:v>8.0971659919028341E-3</c:v>
                </c:pt>
                <c:pt idx="5">
                  <c:v>0</c:v>
                </c:pt>
                <c:pt idx="6">
                  <c:v>0.22267206477732793</c:v>
                </c:pt>
                <c:pt idx="7">
                  <c:v>7.28744939271255E-2</c:v>
                </c:pt>
                <c:pt idx="8">
                  <c:v>8.0971659919028341E-2</c:v>
                </c:pt>
                <c:pt idx="9">
                  <c:v>8.0971659919028341E-3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SEMBABULE-MASAKA'!$AE$9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SEMBABULE-MASAKA'!$AE$10:$AE$21</c:f>
              <c:numCache>
                <c:formatCode>0</c:formatCode>
                <c:ptCount val="12"/>
                <c:pt idx="0">
                  <c:v>21</c:v>
                </c:pt>
                <c:pt idx="1">
                  <c:v>30</c:v>
                </c:pt>
                <c:pt idx="2">
                  <c:v>24</c:v>
                </c:pt>
                <c:pt idx="3">
                  <c:v>26</c:v>
                </c:pt>
                <c:pt idx="4">
                  <c:v>16</c:v>
                </c:pt>
                <c:pt idx="5">
                  <c:v>28</c:v>
                </c:pt>
                <c:pt idx="6">
                  <c:v>15</c:v>
                </c:pt>
                <c:pt idx="7">
                  <c:v>22</c:v>
                </c:pt>
                <c:pt idx="8">
                  <c:v>31</c:v>
                </c:pt>
                <c:pt idx="9">
                  <c:v>28</c:v>
                </c:pt>
                <c:pt idx="10">
                  <c:v>29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'21.10 SEMBABULE-MASAKA'!$AF$9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SEMBABULE-MASAKA'!$AF$10:$AF$21</c:f>
              <c:numCache>
                <c:formatCode>0</c:formatCode>
                <c:ptCount val="12"/>
                <c:pt idx="0">
                  <c:v>34</c:v>
                </c:pt>
                <c:pt idx="1">
                  <c:v>45</c:v>
                </c:pt>
                <c:pt idx="2">
                  <c:v>41</c:v>
                </c:pt>
                <c:pt idx="3">
                  <c:v>46</c:v>
                </c:pt>
                <c:pt idx="4">
                  <c:v>30</c:v>
                </c:pt>
                <c:pt idx="5">
                  <c:v>43</c:v>
                </c:pt>
                <c:pt idx="6">
                  <c:v>40</c:v>
                </c:pt>
                <c:pt idx="7">
                  <c:v>34</c:v>
                </c:pt>
                <c:pt idx="8">
                  <c:v>49</c:v>
                </c:pt>
                <c:pt idx="9">
                  <c:v>35</c:v>
                </c:pt>
                <c:pt idx="10">
                  <c:v>47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SEMBABULE-MASAKA'!$C$59:$N$59</c:f>
              <c:numCache>
                <c:formatCode>0.0%</c:formatCode>
                <c:ptCount val="12"/>
                <c:pt idx="0">
                  <c:v>0.22290388548057261</c:v>
                </c:pt>
                <c:pt idx="1">
                  <c:v>3.2719836400817999E-2</c:v>
                </c:pt>
                <c:pt idx="2">
                  <c:v>5.112474437627812E-2</c:v>
                </c:pt>
                <c:pt idx="3">
                  <c:v>5.7259713701431493E-2</c:v>
                </c:pt>
                <c:pt idx="4">
                  <c:v>4.0899795501022499E-3</c:v>
                </c:pt>
                <c:pt idx="5">
                  <c:v>2.0449897750511249E-3</c:v>
                </c:pt>
                <c:pt idx="6">
                  <c:v>0.11247443762781185</c:v>
                </c:pt>
                <c:pt idx="7">
                  <c:v>5.3169734151329244E-2</c:v>
                </c:pt>
                <c:pt idx="8">
                  <c:v>5.9304703476482618E-2</c:v>
                </c:pt>
                <c:pt idx="9">
                  <c:v>0</c:v>
                </c:pt>
                <c:pt idx="10">
                  <c:v>0.40490797546012269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SEMBABULE-MASAKA'!$C$60:$N$60</c:f>
              <c:numCache>
                <c:formatCode>0.00%</c:formatCode>
                <c:ptCount val="12"/>
                <c:pt idx="0">
                  <c:v>0.37457044673539519</c:v>
                </c:pt>
                <c:pt idx="1">
                  <c:v>5.4982817869415807E-2</c:v>
                </c:pt>
                <c:pt idx="2">
                  <c:v>8.5910652920962199E-2</c:v>
                </c:pt>
                <c:pt idx="3">
                  <c:v>9.6219931271477668E-2</c:v>
                </c:pt>
                <c:pt idx="4">
                  <c:v>6.8728522336769758E-3</c:v>
                </c:pt>
                <c:pt idx="5">
                  <c:v>3.4364261168384879E-3</c:v>
                </c:pt>
                <c:pt idx="6">
                  <c:v>0.18900343642611683</c:v>
                </c:pt>
                <c:pt idx="7">
                  <c:v>8.9347079037800689E-2</c:v>
                </c:pt>
                <c:pt idx="8">
                  <c:v>9.9656357388316158E-2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MASAKA-SEMBABULE'!$AE$9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MASAKA-SEMBABULE'!$AE$10:$AE$21</c:f>
              <c:numCache>
                <c:formatCode>0</c:formatCode>
                <c:ptCount val="12"/>
                <c:pt idx="0">
                  <c:v>12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24</c:v>
                </c:pt>
                <c:pt idx="5">
                  <c:v>28</c:v>
                </c:pt>
                <c:pt idx="6">
                  <c:v>20</c:v>
                </c:pt>
                <c:pt idx="7">
                  <c:v>14</c:v>
                </c:pt>
                <c:pt idx="8">
                  <c:v>21</c:v>
                </c:pt>
                <c:pt idx="9">
                  <c:v>26</c:v>
                </c:pt>
                <c:pt idx="10">
                  <c:v>28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'22.10 MASAKA-SEMBABULE'!$AF$9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MASAKA-SEMBABULE'!$AF$10:$AF$21</c:f>
              <c:numCache>
                <c:formatCode>0</c:formatCode>
                <c:ptCount val="12"/>
                <c:pt idx="0">
                  <c:v>36</c:v>
                </c:pt>
                <c:pt idx="1">
                  <c:v>44</c:v>
                </c:pt>
                <c:pt idx="2">
                  <c:v>43</c:v>
                </c:pt>
                <c:pt idx="3">
                  <c:v>30</c:v>
                </c:pt>
                <c:pt idx="4">
                  <c:v>45</c:v>
                </c:pt>
                <c:pt idx="5">
                  <c:v>50</c:v>
                </c:pt>
                <c:pt idx="6">
                  <c:v>37</c:v>
                </c:pt>
                <c:pt idx="7">
                  <c:v>38</c:v>
                </c:pt>
                <c:pt idx="8">
                  <c:v>49</c:v>
                </c:pt>
                <c:pt idx="9">
                  <c:v>48</c:v>
                </c:pt>
                <c:pt idx="10">
                  <c:v>52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MASAKA-SEMBABULE'!$C$9:$N$9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MASAKA-SEMBABULE'!$C$59:$N$59</c:f>
              <c:numCache>
                <c:formatCode>0.0%</c:formatCode>
                <c:ptCount val="12"/>
                <c:pt idx="0">
                  <c:v>0.16697936210131331</c:v>
                </c:pt>
                <c:pt idx="1">
                  <c:v>2.6266416510318951E-2</c:v>
                </c:pt>
                <c:pt idx="2">
                  <c:v>4.1275797373358347E-2</c:v>
                </c:pt>
                <c:pt idx="3">
                  <c:v>5.4409005628517824E-2</c:v>
                </c:pt>
                <c:pt idx="4">
                  <c:v>5.6285178236397749E-3</c:v>
                </c:pt>
                <c:pt idx="5">
                  <c:v>1.876172607879925E-3</c:v>
                </c:pt>
                <c:pt idx="6">
                  <c:v>9.9437148217636023E-2</c:v>
                </c:pt>
                <c:pt idx="7">
                  <c:v>5.0656660412757973E-2</c:v>
                </c:pt>
                <c:pt idx="8">
                  <c:v>3.0018761726078799E-2</c:v>
                </c:pt>
                <c:pt idx="9">
                  <c:v>0</c:v>
                </c:pt>
                <c:pt idx="10">
                  <c:v>0.52345215759849906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MASAKA-SEMBABULE'!$S$9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MASAKA-SEMBABULE'!$S$10:$S$21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'22.10 MASAKA-SEMBABULE'!$T$9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MASAKA-SEMBABULE'!$T$10:$T$21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'22.10 MASAKA-SEMBABULE'!$U$9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MASAKA-SEMBABULE'!$U$10:$U$21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'22.10 MASAKA-SEMBABULE'!$V$9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'22.10 MASAKA-SEMBABULE'!$W$9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'22.10 MASAKA-SEMBABULE'!$X$9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'22.10 MASAKA-SEMBABULE'!$Y$9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MASAKA-SEMBABULE'!$Y$10:$Y$21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4</c:v>
                </c:pt>
                <c:pt idx="6">
                  <c:v>8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'22.10 MASAKA-SEMBABULE'!$Z$9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'22.10 MASAKA-SEMBABULE'!$AA$9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'22.10 MASAKA-SEMBABULE'!$AB$9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'22.10 MASAKA-SEMBABULE'!$AC$9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MASAKA-SEMBABULE'!$AC$10:$AC$21</c:f>
              <c:numCache>
                <c:formatCode>0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23</c:v>
                </c:pt>
                <c:pt idx="3">
                  <c:v>13</c:v>
                </c:pt>
                <c:pt idx="4">
                  <c:v>21</c:v>
                </c:pt>
                <c:pt idx="5">
                  <c:v>22</c:v>
                </c:pt>
                <c:pt idx="6">
                  <c:v>17</c:v>
                </c:pt>
                <c:pt idx="7">
                  <c:v>24</c:v>
                </c:pt>
                <c:pt idx="8">
                  <c:v>28</c:v>
                </c:pt>
                <c:pt idx="9">
                  <c:v>22</c:v>
                </c:pt>
                <c:pt idx="10">
                  <c:v>24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'22.10 MASAKA-SEMBABULE'!$AD$9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MASAKA-SEMBABULE'!$C$9:$N$9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MASAKA-SEMBABULE'!$C$60:$N$60</c:f>
              <c:numCache>
                <c:formatCode>0.00%</c:formatCode>
                <c:ptCount val="12"/>
                <c:pt idx="0">
                  <c:v>0.35039370078740156</c:v>
                </c:pt>
                <c:pt idx="1">
                  <c:v>5.5118110236220472E-2</c:v>
                </c:pt>
                <c:pt idx="2">
                  <c:v>8.6614173228346455E-2</c:v>
                </c:pt>
                <c:pt idx="3">
                  <c:v>0.1141732283464567</c:v>
                </c:pt>
                <c:pt idx="4">
                  <c:v>1.1811023622047244E-2</c:v>
                </c:pt>
                <c:pt idx="5">
                  <c:v>3.937007874015748E-3</c:v>
                </c:pt>
                <c:pt idx="6">
                  <c:v>0.20866141732283464</c:v>
                </c:pt>
                <c:pt idx="7">
                  <c:v>0.1062992125984252</c:v>
                </c:pt>
                <c:pt idx="8">
                  <c:v>6.2992125984251968E-2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SEMBABULE-MASAKA'!$AE$9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SEMBABULE-MASAKA'!$AE$10:$AE$21</c:f>
              <c:numCache>
                <c:formatCode>0</c:formatCode>
                <c:ptCount val="12"/>
                <c:pt idx="0">
                  <c:v>18</c:v>
                </c:pt>
                <c:pt idx="1">
                  <c:v>30</c:v>
                </c:pt>
                <c:pt idx="2">
                  <c:v>20</c:v>
                </c:pt>
                <c:pt idx="3">
                  <c:v>31</c:v>
                </c:pt>
                <c:pt idx="4">
                  <c:v>19</c:v>
                </c:pt>
                <c:pt idx="5">
                  <c:v>25</c:v>
                </c:pt>
                <c:pt idx="6">
                  <c:v>23</c:v>
                </c:pt>
                <c:pt idx="7">
                  <c:v>21</c:v>
                </c:pt>
                <c:pt idx="8">
                  <c:v>20</c:v>
                </c:pt>
                <c:pt idx="9">
                  <c:v>22</c:v>
                </c:pt>
                <c:pt idx="10">
                  <c:v>23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'22.10 SEMBABULE-MASAKA'!$AF$9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SEMBABULE-MASAKA'!$AF$10:$AF$21</c:f>
              <c:numCache>
                <c:formatCode>0</c:formatCode>
                <c:ptCount val="12"/>
                <c:pt idx="0">
                  <c:v>33</c:v>
                </c:pt>
                <c:pt idx="1">
                  <c:v>58</c:v>
                </c:pt>
                <c:pt idx="2">
                  <c:v>36</c:v>
                </c:pt>
                <c:pt idx="3">
                  <c:v>50</c:v>
                </c:pt>
                <c:pt idx="4">
                  <c:v>32</c:v>
                </c:pt>
                <c:pt idx="5">
                  <c:v>41</c:v>
                </c:pt>
                <c:pt idx="6">
                  <c:v>56</c:v>
                </c:pt>
                <c:pt idx="7">
                  <c:v>44</c:v>
                </c:pt>
                <c:pt idx="8">
                  <c:v>40</c:v>
                </c:pt>
                <c:pt idx="9">
                  <c:v>49</c:v>
                </c:pt>
                <c:pt idx="10">
                  <c:v>46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SEMBABULE-MASAKA'!$C$59:$N$59</c:f>
              <c:numCache>
                <c:formatCode>0.0%</c:formatCode>
                <c:ptCount val="12"/>
                <c:pt idx="0">
                  <c:v>0.19047619047619047</c:v>
                </c:pt>
                <c:pt idx="1">
                  <c:v>2.4761904761904763E-2</c:v>
                </c:pt>
                <c:pt idx="2">
                  <c:v>5.7142857142857141E-2</c:v>
                </c:pt>
                <c:pt idx="3">
                  <c:v>5.3333333333333337E-2</c:v>
                </c:pt>
                <c:pt idx="4">
                  <c:v>3.8095238095238095E-3</c:v>
                </c:pt>
                <c:pt idx="5">
                  <c:v>1.9047619047619048E-3</c:v>
                </c:pt>
                <c:pt idx="6">
                  <c:v>0.11047619047619048</c:v>
                </c:pt>
                <c:pt idx="7">
                  <c:v>3.619047619047619E-2</c:v>
                </c:pt>
                <c:pt idx="8">
                  <c:v>2.8571428571428571E-2</c:v>
                </c:pt>
                <c:pt idx="9">
                  <c:v>0</c:v>
                </c:pt>
                <c:pt idx="10">
                  <c:v>0.49333333333333335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SEMBABULE-MASAKA'!$S$9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SEMBABULE-MASAKA'!$S$10:$S$21</c:f>
              <c:numCache>
                <c:formatCode>0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11</c:v>
                </c:pt>
                <c:pt idx="3">
                  <c:v>3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3</c:v>
                </c:pt>
                <c:pt idx="8">
                  <c:v>8</c:v>
                </c:pt>
                <c:pt idx="9">
                  <c:v>6</c:v>
                </c:pt>
                <c:pt idx="10">
                  <c:v>15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'22.10 SEMBABULE-MASAKA'!$T$9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SEMBABULE-MASAKA'!$T$10:$T$21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'22.10 SEMBABULE-MASAKA'!$U$9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SEMBABULE-MASAKA'!$U$10:$U$21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'22.10 SEMBABULE-MASAKA'!$V$9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SEMBABULE-MASAKA'!$V$10:$V$21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'22.10 SEMBABULE-MASAKA'!$W$9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'22.10 SEMBABULE-MASAKA'!$X$9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'22.10 SEMBABULE-MASAKA'!$Y$9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SEMBABULE-MASAKA'!$Y$10:$Y$21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11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'22.10 SEMBABULE-MASAKA'!$Z$9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'22.10 SEMBABULE-MASAKA'!$AA$9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'22.10 SEMBABULE-MASAKA'!$AB$9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'22.10 SEMBABULE-MASAKA'!$AC$9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SEMBABULE-MASAKA'!$AC$10:$AC$21</c:f>
              <c:numCache>
                <c:formatCode>0</c:formatCode>
                <c:ptCount val="12"/>
                <c:pt idx="0">
                  <c:v>15</c:v>
                </c:pt>
                <c:pt idx="1">
                  <c:v>28</c:v>
                </c:pt>
                <c:pt idx="2">
                  <c:v>16</c:v>
                </c:pt>
                <c:pt idx="3">
                  <c:v>19</c:v>
                </c:pt>
                <c:pt idx="4">
                  <c:v>13</c:v>
                </c:pt>
                <c:pt idx="5">
                  <c:v>16</c:v>
                </c:pt>
                <c:pt idx="6">
                  <c:v>33</c:v>
                </c:pt>
                <c:pt idx="7">
                  <c:v>23</c:v>
                </c:pt>
                <c:pt idx="8">
                  <c:v>20</c:v>
                </c:pt>
                <c:pt idx="9">
                  <c:v>27</c:v>
                </c:pt>
                <c:pt idx="10">
                  <c:v>23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'22.10 SEMBABULE-MASAKA'!$AD$9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SEMBABULE-MASAKA'!$AD$10:$AD$21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SEMBABULE-MASAKA'!$C$60:$N$60</c:f>
              <c:numCache>
                <c:formatCode>0.00%</c:formatCode>
                <c:ptCount val="12"/>
                <c:pt idx="0">
                  <c:v>0.37593984962406013</c:v>
                </c:pt>
                <c:pt idx="1">
                  <c:v>4.8872180451127817E-2</c:v>
                </c:pt>
                <c:pt idx="2">
                  <c:v>0.11278195488721804</c:v>
                </c:pt>
                <c:pt idx="3">
                  <c:v>0.10526315789473684</c:v>
                </c:pt>
                <c:pt idx="4">
                  <c:v>7.5187969924812026E-3</c:v>
                </c:pt>
                <c:pt idx="5">
                  <c:v>3.7593984962406013E-3</c:v>
                </c:pt>
                <c:pt idx="6">
                  <c:v>0.21804511278195488</c:v>
                </c:pt>
                <c:pt idx="7">
                  <c:v>7.1428571428571425E-2</c:v>
                </c:pt>
                <c:pt idx="8">
                  <c:v>5.6390977443609019E-2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MASAKA-SEMBABULE'!$AE$9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MASAKA-SEMBABULE'!$AE$10:$AE$21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20</c:v>
                </c:pt>
                <c:pt idx="4">
                  <c:v>19</c:v>
                </c:pt>
                <c:pt idx="5">
                  <c:v>24</c:v>
                </c:pt>
                <c:pt idx="6">
                  <c:v>18</c:v>
                </c:pt>
                <c:pt idx="7">
                  <c:v>21</c:v>
                </c:pt>
                <c:pt idx="8">
                  <c:v>17</c:v>
                </c:pt>
                <c:pt idx="9">
                  <c:v>25</c:v>
                </c:pt>
                <c:pt idx="10">
                  <c:v>33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'23.10 MASAKA-SEMBABULE'!$AF$9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MASAKA-SEMBABULE'!$AF$10:$AF$21</c:f>
              <c:numCache>
                <c:formatCode>0</c:formatCode>
                <c:ptCount val="12"/>
                <c:pt idx="0">
                  <c:v>33</c:v>
                </c:pt>
                <c:pt idx="1">
                  <c:v>38</c:v>
                </c:pt>
                <c:pt idx="2">
                  <c:v>37</c:v>
                </c:pt>
                <c:pt idx="3">
                  <c:v>36</c:v>
                </c:pt>
                <c:pt idx="4">
                  <c:v>51</c:v>
                </c:pt>
                <c:pt idx="5">
                  <c:v>51</c:v>
                </c:pt>
                <c:pt idx="6">
                  <c:v>37</c:v>
                </c:pt>
                <c:pt idx="7">
                  <c:v>40</c:v>
                </c:pt>
                <c:pt idx="8">
                  <c:v>46</c:v>
                </c:pt>
                <c:pt idx="9">
                  <c:v>68</c:v>
                </c:pt>
                <c:pt idx="10">
                  <c:v>81</c:v>
                </c:pt>
                <c:pt idx="11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MASAKA-SEMBABULE'!$C$9:$N$9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MASAKA-SEMBABULE'!$C$59:$N$59</c:f>
              <c:numCache>
                <c:formatCode>0.0%</c:formatCode>
                <c:ptCount val="12"/>
                <c:pt idx="0">
                  <c:v>0.12733446519524619</c:v>
                </c:pt>
                <c:pt idx="1">
                  <c:v>1.3582342954159592E-2</c:v>
                </c:pt>
                <c:pt idx="2">
                  <c:v>5.2631578947368418E-2</c:v>
                </c:pt>
                <c:pt idx="3">
                  <c:v>4.074702886247878E-2</c:v>
                </c:pt>
                <c:pt idx="4">
                  <c:v>5.0933786078098476E-3</c:v>
                </c:pt>
                <c:pt idx="5">
                  <c:v>0</c:v>
                </c:pt>
                <c:pt idx="6">
                  <c:v>9.5076400679117143E-2</c:v>
                </c:pt>
                <c:pt idx="7">
                  <c:v>3.7351443123938878E-2</c:v>
                </c:pt>
                <c:pt idx="8">
                  <c:v>3.0560271646859084E-2</c:v>
                </c:pt>
                <c:pt idx="9">
                  <c:v>0</c:v>
                </c:pt>
                <c:pt idx="10">
                  <c:v>0.59762308998302205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MASAKA-SEMBABULE'!$S$9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MASAKA-SEMBABULE'!$S$10:$S$21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7</c:v>
                </c:pt>
                <c:pt idx="4">
                  <c:v>6</c:v>
                </c:pt>
                <c:pt idx="5">
                  <c:v>11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7</c:v>
                </c:pt>
                <c:pt idx="10">
                  <c:v>12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'23.10 MASAKA-SEMBABULE'!$T$9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MASAKA-SEMBABULE'!$R$10:$R$21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MASAKA-SEMBABULE'!$T$10:$T$21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'23.10 MASAKA-SEMBABULE'!$U$9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'23.10 MASAKA-SEMBABULE'!$V$9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'23.10 MASAKA-SEMBABULE'!$W$9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'23.10 MASAKA-SEMBABULE'!$X$9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'23.10 MASAKA-SEMBABULE'!$Y$9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MASAKA-SEMBABULE'!$Y$10:$Y$21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'23.10 MASAKA-SEMBABULE'!$Z$9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'23.10 MASAKA-SEMBABULE'!$AA$9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'23.10 MASAKA-SEMBABULE'!$AB$9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'23.10 MASAKA-SEMBABULE'!$AC$9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MASAKA-SEMBABULE'!$AC$10:$AC$21</c:f>
              <c:numCache>
                <c:formatCode>0</c:formatCode>
                <c:ptCount val="12"/>
                <c:pt idx="0">
                  <c:v>22</c:v>
                </c:pt>
                <c:pt idx="1">
                  <c:v>28</c:v>
                </c:pt>
                <c:pt idx="2">
                  <c:v>27</c:v>
                </c:pt>
                <c:pt idx="3">
                  <c:v>16</c:v>
                </c:pt>
                <c:pt idx="4">
                  <c:v>32</c:v>
                </c:pt>
                <c:pt idx="5">
                  <c:v>27</c:v>
                </c:pt>
                <c:pt idx="6">
                  <c:v>19</c:v>
                </c:pt>
                <c:pt idx="7">
                  <c:v>19</c:v>
                </c:pt>
                <c:pt idx="8">
                  <c:v>29</c:v>
                </c:pt>
                <c:pt idx="9">
                  <c:v>43</c:v>
                </c:pt>
                <c:pt idx="10">
                  <c:v>48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'23.10 MASAKA-SEMBABULE'!$AD$9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MASAKA-SEMBABULE'!$C$9:$N$9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MASAKA-SEMBABULE'!$C$60:$N$60</c:f>
              <c:numCache>
                <c:formatCode>0.00%</c:formatCode>
                <c:ptCount val="12"/>
                <c:pt idx="0">
                  <c:v>0.31645569620253167</c:v>
                </c:pt>
                <c:pt idx="1">
                  <c:v>3.3755274261603373E-2</c:v>
                </c:pt>
                <c:pt idx="2">
                  <c:v>0.13080168776371309</c:v>
                </c:pt>
                <c:pt idx="3">
                  <c:v>0.10126582278481013</c:v>
                </c:pt>
                <c:pt idx="4">
                  <c:v>1.2658227848101266E-2</c:v>
                </c:pt>
                <c:pt idx="5">
                  <c:v>0</c:v>
                </c:pt>
                <c:pt idx="6">
                  <c:v>0.23628691983122363</c:v>
                </c:pt>
                <c:pt idx="7">
                  <c:v>9.2827004219409287E-2</c:v>
                </c:pt>
                <c:pt idx="8">
                  <c:v>7.5949367088607597E-2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SEMBABULE-MASAKA'!$AE$9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SEMBABULE-MASAKA'!$AE$10:$AE$21</c:f>
              <c:numCache>
                <c:formatCode>0</c:formatCode>
                <c:ptCount val="12"/>
                <c:pt idx="0">
                  <c:v>15</c:v>
                </c:pt>
                <c:pt idx="1">
                  <c:v>24</c:v>
                </c:pt>
                <c:pt idx="2">
                  <c:v>32</c:v>
                </c:pt>
                <c:pt idx="3">
                  <c:v>28</c:v>
                </c:pt>
                <c:pt idx="4">
                  <c:v>29</c:v>
                </c:pt>
                <c:pt idx="5">
                  <c:v>19</c:v>
                </c:pt>
                <c:pt idx="6">
                  <c:v>16</c:v>
                </c:pt>
                <c:pt idx="7">
                  <c:v>28</c:v>
                </c:pt>
                <c:pt idx="8">
                  <c:v>24</c:v>
                </c:pt>
                <c:pt idx="9">
                  <c:v>23</c:v>
                </c:pt>
                <c:pt idx="10">
                  <c:v>25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'23.10 SEMBABULE-MASAKA'!$AF$9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SEMBABULE-MASAKA'!$AF$10:$AF$21</c:f>
              <c:numCache>
                <c:formatCode>0</c:formatCode>
                <c:ptCount val="12"/>
                <c:pt idx="0">
                  <c:v>41</c:v>
                </c:pt>
                <c:pt idx="1">
                  <c:v>46</c:v>
                </c:pt>
                <c:pt idx="2">
                  <c:v>55</c:v>
                </c:pt>
                <c:pt idx="3">
                  <c:v>48</c:v>
                </c:pt>
                <c:pt idx="4">
                  <c:v>49</c:v>
                </c:pt>
                <c:pt idx="5">
                  <c:v>42</c:v>
                </c:pt>
                <c:pt idx="6">
                  <c:v>47</c:v>
                </c:pt>
                <c:pt idx="7">
                  <c:v>55</c:v>
                </c:pt>
                <c:pt idx="8">
                  <c:v>41</c:v>
                </c:pt>
                <c:pt idx="9">
                  <c:v>55</c:v>
                </c:pt>
                <c:pt idx="10">
                  <c:v>60</c:v>
                </c:pt>
                <c:pt idx="11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SEMBABULE-MASAKA'!$C$59:$N$59</c:f>
              <c:numCache>
                <c:formatCode>0.0%</c:formatCode>
                <c:ptCount val="12"/>
                <c:pt idx="0">
                  <c:v>0.19104991394148021</c:v>
                </c:pt>
                <c:pt idx="1">
                  <c:v>1.549053356282272E-2</c:v>
                </c:pt>
                <c:pt idx="2">
                  <c:v>5.8519793459552494E-2</c:v>
                </c:pt>
                <c:pt idx="3">
                  <c:v>4.6471600688468159E-2</c:v>
                </c:pt>
                <c:pt idx="4">
                  <c:v>1.7211703958691911E-3</c:v>
                </c:pt>
                <c:pt idx="5">
                  <c:v>1.7211703958691911E-3</c:v>
                </c:pt>
                <c:pt idx="6">
                  <c:v>8.0895008605851984E-2</c:v>
                </c:pt>
                <c:pt idx="7">
                  <c:v>3.4423407917383818E-2</c:v>
                </c:pt>
                <c:pt idx="8">
                  <c:v>4.1308089500860588E-2</c:v>
                </c:pt>
                <c:pt idx="9">
                  <c:v>6.8846815834767644E-3</c:v>
                </c:pt>
                <c:pt idx="10">
                  <c:v>0.52151462994836484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SEMBABULE-MASAKA'!$S$9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SEMBABULE-MASAKA'!$S$10:$S$21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9</c:v>
                </c:pt>
                <c:pt idx="6">
                  <c:v>9</c:v>
                </c:pt>
                <c:pt idx="7">
                  <c:v>11</c:v>
                </c:pt>
                <c:pt idx="8">
                  <c:v>6</c:v>
                </c:pt>
                <c:pt idx="9">
                  <c:v>10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'23.10 SEMBABULE-MASAKA'!$T$9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SEMBABULE-MASAKA'!$R$10:$R$21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SEMBABULE-MASAKA'!$T$10:$T$21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'23.10 SEMBABULE-MASAKA'!$U$9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SEMBABULE-MASAKA'!$U$10:$U$21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'23.10 SEMBABULE-MASAKA'!$V$9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SEMBABULE-MASAKA'!$V$10:$V$21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'23.10 SEMBABULE-MASAKA'!$W$9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'23.10 SEMBABULE-MASAKA'!$X$9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'23.10 SEMBABULE-MASAKA'!$Y$9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SEMBABULE-MASAKA'!$Y$10:$Y$21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'23.10 SEMBABULE-MASAKA'!$Z$9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'23.10 SEMBABULE-MASAKA'!$AA$9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'23.10 SEMBABULE-MASAKA'!$AB$9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'23.10 SEMBABULE-MASAKA'!$AC$9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SEMBABULE-MASAKA'!$AC$10:$AC$21</c:f>
              <c:numCache>
                <c:formatCode>0</c:formatCode>
                <c:ptCount val="12"/>
                <c:pt idx="0">
                  <c:v>26</c:v>
                </c:pt>
                <c:pt idx="1">
                  <c:v>22</c:v>
                </c:pt>
                <c:pt idx="2">
                  <c:v>23</c:v>
                </c:pt>
                <c:pt idx="3">
                  <c:v>20</c:v>
                </c:pt>
                <c:pt idx="4">
                  <c:v>20</c:v>
                </c:pt>
                <c:pt idx="5">
                  <c:v>23</c:v>
                </c:pt>
                <c:pt idx="6">
                  <c:v>31</c:v>
                </c:pt>
                <c:pt idx="7">
                  <c:v>27</c:v>
                </c:pt>
                <c:pt idx="8">
                  <c:v>17</c:v>
                </c:pt>
                <c:pt idx="9">
                  <c:v>32</c:v>
                </c:pt>
                <c:pt idx="10">
                  <c:v>35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'23.10 SEMBABULE-MASAKA'!$AD$9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SEMBABULE-MASAKA'!$AD$10:$AD$21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SEMBABULE-MASAKA'!$C$60:$N$60</c:f>
              <c:numCache>
                <c:formatCode>0.00%</c:formatCode>
                <c:ptCount val="12"/>
                <c:pt idx="0">
                  <c:v>0.39928057553956836</c:v>
                </c:pt>
                <c:pt idx="1">
                  <c:v>3.237410071942446E-2</c:v>
                </c:pt>
                <c:pt idx="2">
                  <c:v>0.1223021582733813</c:v>
                </c:pt>
                <c:pt idx="3">
                  <c:v>9.7122302158273388E-2</c:v>
                </c:pt>
                <c:pt idx="4">
                  <c:v>3.5971223021582736E-3</c:v>
                </c:pt>
                <c:pt idx="5">
                  <c:v>3.5971223021582736E-3</c:v>
                </c:pt>
                <c:pt idx="6">
                  <c:v>0.16906474820143885</c:v>
                </c:pt>
                <c:pt idx="7">
                  <c:v>7.1942446043165464E-2</c:v>
                </c:pt>
                <c:pt idx="8">
                  <c:v>8.6330935251798566E-2</c:v>
                </c:pt>
                <c:pt idx="9">
                  <c:v>1.4388489208633094E-2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Masaka-Ssembabule'!$AE$9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Masaka-Ssembabule'!$R$10:$R$33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Masaka-Ssembabule'!$AE$10:$AE$33</c:f>
              <c:numCache>
                <c:formatCode>0</c:formatCode>
                <c:ptCount val="24"/>
                <c:pt idx="0">
                  <c:v>11.999999999999998</c:v>
                </c:pt>
                <c:pt idx="1">
                  <c:v>15.857142857142858</c:v>
                </c:pt>
                <c:pt idx="2">
                  <c:v>16.571428571428569</c:v>
                </c:pt>
                <c:pt idx="3">
                  <c:v>18.857142857142858</c:v>
                </c:pt>
                <c:pt idx="4">
                  <c:v>21.142857142857142</c:v>
                </c:pt>
                <c:pt idx="5">
                  <c:v>26</c:v>
                </c:pt>
                <c:pt idx="6">
                  <c:v>21.714285714285715</c:v>
                </c:pt>
                <c:pt idx="7">
                  <c:v>20</c:v>
                </c:pt>
                <c:pt idx="8">
                  <c:v>22.571428571428569</c:v>
                </c:pt>
                <c:pt idx="9">
                  <c:v>27.428571428571427</c:v>
                </c:pt>
                <c:pt idx="10">
                  <c:v>32.857142857142854</c:v>
                </c:pt>
                <c:pt idx="11">
                  <c:v>25.714285714285712</c:v>
                </c:pt>
                <c:pt idx="12">
                  <c:v>21</c:v>
                </c:pt>
                <c:pt idx="13">
                  <c:v>21.5</c:v>
                </c:pt>
                <c:pt idx="14">
                  <c:v>12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5.5</c:v>
                </c:pt>
                <c:pt idx="19">
                  <c:v>6</c:v>
                </c:pt>
                <c:pt idx="20">
                  <c:v>5.5</c:v>
                </c:pt>
                <c:pt idx="21">
                  <c:v>14.5</c:v>
                </c:pt>
                <c:pt idx="22">
                  <c:v>11.5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Masaka-Ssembabule'!$AF$9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Masaka-Ssembabule'!$R$10:$R$33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Masaka-Ssembabule'!$AF$10:$AF$33</c:f>
              <c:numCache>
                <c:formatCode>0</c:formatCode>
                <c:ptCount val="24"/>
                <c:pt idx="0">
                  <c:v>33</c:v>
                </c:pt>
                <c:pt idx="1">
                  <c:v>41.285714285714285</c:v>
                </c:pt>
                <c:pt idx="2">
                  <c:v>38.857142857142854</c:v>
                </c:pt>
                <c:pt idx="3">
                  <c:v>40.142857142857139</c:v>
                </c:pt>
                <c:pt idx="4">
                  <c:v>50.571428571428569</c:v>
                </c:pt>
                <c:pt idx="5">
                  <c:v>51.857142857142854</c:v>
                </c:pt>
                <c:pt idx="6">
                  <c:v>49</c:v>
                </c:pt>
                <c:pt idx="7">
                  <c:v>47</c:v>
                </c:pt>
                <c:pt idx="8">
                  <c:v>51.857142857142861</c:v>
                </c:pt>
                <c:pt idx="9">
                  <c:v>58.428571428571423</c:v>
                </c:pt>
                <c:pt idx="10">
                  <c:v>63.857142857142861</c:v>
                </c:pt>
                <c:pt idx="11">
                  <c:v>57.142857142857146</c:v>
                </c:pt>
                <c:pt idx="12">
                  <c:v>49.5</c:v>
                </c:pt>
                <c:pt idx="13">
                  <c:v>47.5</c:v>
                </c:pt>
                <c:pt idx="14">
                  <c:v>23.5</c:v>
                </c:pt>
                <c:pt idx="15">
                  <c:v>17.5</c:v>
                </c:pt>
                <c:pt idx="16">
                  <c:v>13.5</c:v>
                </c:pt>
                <c:pt idx="17">
                  <c:v>14</c:v>
                </c:pt>
                <c:pt idx="18">
                  <c:v>7.5</c:v>
                </c:pt>
                <c:pt idx="19">
                  <c:v>6</c:v>
                </c:pt>
                <c:pt idx="20">
                  <c:v>6.5</c:v>
                </c:pt>
                <c:pt idx="21">
                  <c:v>23</c:v>
                </c:pt>
                <c:pt idx="22">
                  <c:v>18.5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Masaka-Ssembabule'!$C$107:$N$107</c:f>
              <c:numCache>
                <c:formatCode>0.0%</c:formatCode>
                <c:ptCount val="12"/>
                <c:pt idx="0">
                  <c:v>0.17621899059024809</c:v>
                </c:pt>
                <c:pt idx="1">
                  <c:v>2.7459366980325063E-2</c:v>
                </c:pt>
                <c:pt idx="2">
                  <c:v>4.7219846022241226E-2</c:v>
                </c:pt>
                <c:pt idx="3">
                  <c:v>5.3635585970915313E-2</c:v>
                </c:pt>
                <c:pt idx="4">
                  <c:v>3.4217279726261752E-3</c:v>
                </c:pt>
                <c:pt idx="5">
                  <c:v>1.7108639863130878E-3</c:v>
                </c:pt>
                <c:pt idx="6">
                  <c:v>8.4260051325919585E-2</c:v>
                </c:pt>
                <c:pt idx="7">
                  <c:v>6.1077844311377236E-2</c:v>
                </c:pt>
                <c:pt idx="8">
                  <c:v>2.0102651839178781E-2</c:v>
                </c:pt>
                <c:pt idx="9">
                  <c:v>1.2831479897348159E-3</c:v>
                </c:pt>
                <c:pt idx="10">
                  <c:v>0.52309666381522657</c:v>
                </c:pt>
                <c:pt idx="11">
                  <c:v>5.1325919589392636E-4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Masaka-Ssembabule'!$C$108:$N$108</c:f>
              <c:numCache>
                <c:formatCode>0.00%</c:formatCode>
                <c:ptCount val="12"/>
                <c:pt idx="0">
                  <c:v>0.36950672645739918</c:v>
                </c:pt>
                <c:pt idx="1">
                  <c:v>5.7578475336322876E-2</c:v>
                </c:pt>
                <c:pt idx="2">
                  <c:v>9.9013452914798211E-2</c:v>
                </c:pt>
                <c:pt idx="3">
                  <c:v>0.1124663677130045</c:v>
                </c:pt>
                <c:pt idx="4">
                  <c:v>7.1748878923766808E-3</c:v>
                </c:pt>
                <c:pt idx="5">
                  <c:v>3.5874439461883408E-3</c:v>
                </c:pt>
                <c:pt idx="6">
                  <c:v>0.17668161434977578</c:v>
                </c:pt>
                <c:pt idx="7">
                  <c:v>0.12807174887892375</c:v>
                </c:pt>
                <c:pt idx="8">
                  <c:v>4.2152466367712998E-2</c:v>
                </c:pt>
                <c:pt idx="9">
                  <c:v>2.6905829596412553E-3</c:v>
                </c:pt>
                <c:pt idx="11">
                  <c:v>1.0762331838565021E-3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Ssembabule-Masaka'!$AE$9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Ssembabule-Masaka'!$R$10:$R$33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Ssembabule-Masaka'!$AE$10:$AE$33</c:f>
              <c:numCache>
                <c:formatCode>0</c:formatCode>
                <c:ptCount val="24"/>
                <c:pt idx="0">
                  <c:v>17.857142857142858</c:v>
                </c:pt>
                <c:pt idx="1">
                  <c:v>28.285714285714285</c:v>
                </c:pt>
                <c:pt idx="2">
                  <c:v>25.142857142857139</c:v>
                </c:pt>
                <c:pt idx="3">
                  <c:v>26.857142857142858</c:v>
                </c:pt>
                <c:pt idx="4">
                  <c:v>22</c:v>
                </c:pt>
                <c:pt idx="5">
                  <c:v>22.285714285714285</c:v>
                </c:pt>
                <c:pt idx="6">
                  <c:v>20.857142857142858</c:v>
                </c:pt>
                <c:pt idx="7">
                  <c:v>24.428571428571427</c:v>
                </c:pt>
                <c:pt idx="8">
                  <c:v>24.857142857142858</c:v>
                </c:pt>
                <c:pt idx="9">
                  <c:v>21.285714285714285</c:v>
                </c:pt>
                <c:pt idx="10">
                  <c:v>25.857142857142858</c:v>
                </c:pt>
                <c:pt idx="11">
                  <c:v>21.571428571428569</c:v>
                </c:pt>
                <c:pt idx="12">
                  <c:v>19.5</c:v>
                </c:pt>
                <c:pt idx="13">
                  <c:v>10.5</c:v>
                </c:pt>
                <c:pt idx="14">
                  <c:v>16.5</c:v>
                </c:pt>
                <c:pt idx="15">
                  <c:v>9.5</c:v>
                </c:pt>
                <c:pt idx="16">
                  <c:v>10</c:v>
                </c:pt>
                <c:pt idx="17">
                  <c:v>11.5</c:v>
                </c:pt>
                <c:pt idx="18">
                  <c:v>6</c:v>
                </c:pt>
                <c:pt idx="19">
                  <c:v>7.5</c:v>
                </c:pt>
                <c:pt idx="20">
                  <c:v>5</c:v>
                </c:pt>
                <c:pt idx="21">
                  <c:v>10.5</c:v>
                </c:pt>
                <c:pt idx="22">
                  <c:v>16.5</c:v>
                </c:pt>
                <c:pt idx="23">
                  <c:v>19.5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Ssembabule-Masaka'!$AF$9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Ssembabule-Masaka'!$R$10:$R$33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Ssembabule-Masaka'!$AF$10:$AF$33</c:f>
              <c:numCache>
                <c:formatCode>0</c:formatCode>
                <c:ptCount val="24"/>
                <c:pt idx="0">
                  <c:v>34.285714285714285</c:v>
                </c:pt>
                <c:pt idx="1">
                  <c:v>47.857142857142854</c:v>
                </c:pt>
                <c:pt idx="2">
                  <c:v>44</c:v>
                </c:pt>
                <c:pt idx="3">
                  <c:v>50.857142857142854</c:v>
                </c:pt>
                <c:pt idx="4">
                  <c:v>46.142857142857139</c:v>
                </c:pt>
                <c:pt idx="5">
                  <c:v>46.285714285714278</c:v>
                </c:pt>
                <c:pt idx="6">
                  <c:v>53.857142857142854</c:v>
                </c:pt>
                <c:pt idx="7">
                  <c:v>51.571428571428569</c:v>
                </c:pt>
                <c:pt idx="8">
                  <c:v>50.142857142857139</c:v>
                </c:pt>
                <c:pt idx="9">
                  <c:v>47.857142857142861</c:v>
                </c:pt>
                <c:pt idx="10">
                  <c:v>54.428571428571431</c:v>
                </c:pt>
                <c:pt idx="11">
                  <c:v>55</c:v>
                </c:pt>
                <c:pt idx="12">
                  <c:v>50</c:v>
                </c:pt>
                <c:pt idx="13">
                  <c:v>37</c:v>
                </c:pt>
                <c:pt idx="14">
                  <c:v>31</c:v>
                </c:pt>
                <c:pt idx="15">
                  <c:v>20.5</c:v>
                </c:pt>
                <c:pt idx="16">
                  <c:v>14</c:v>
                </c:pt>
                <c:pt idx="17">
                  <c:v>15.5</c:v>
                </c:pt>
                <c:pt idx="18">
                  <c:v>6.5</c:v>
                </c:pt>
                <c:pt idx="19">
                  <c:v>7.5</c:v>
                </c:pt>
                <c:pt idx="20">
                  <c:v>5</c:v>
                </c:pt>
                <c:pt idx="21">
                  <c:v>12</c:v>
                </c:pt>
                <c:pt idx="22">
                  <c:v>34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Ssembabule-Masaka'!$C$107:$N$107</c:f>
              <c:numCache>
                <c:formatCode>0.0%</c:formatCode>
                <c:ptCount val="12"/>
                <c:pt idx="0">
                  <c:v>0.18295781805861427</c:v>
                </c:pt>
                <c:pt idx="1">
                  <c:v>3.1594104692529219E-2</c:v>
                </c:pt>
                <c:pt idx="2">
                  <c:v>5.2515669998305932E-2</c:v>
                </c:pt>
                <c:pt idx="3">
                  <c:v>5.0228697272573244E-2</c:v>
                </c:pt>
                <c:pt idx="4">
                  <c:v>2.4563781128239875E-3</c:v>
                </c:pt>
                <c:pt idx="5">
                  <c:v>5.0821616127392848E-4</c:v>
                </c:pt>
                <c:pt idx="6">
                  <c:v>9.0716584787396234E-2</c:v>
                </c:pt>
                <c:pt idx="7">
                  <c:v>5.7767236998136545E-2</c:v>
                </c:pt>
                <c:pt idx="8">
                  <c:v>2.7782483482974747E-2</c:v>
                </c:pt>
                <c:pt idx="9">
                  <c:v>3.9810265966457731E-3</c:v>
                </c:pt>
                <c:pt idx="10">
                  <c:v>0.49745891919363033</c:v>
                </c:pt>
                <c:pt idx="11">
                  <c:v>2.0328646450957139E-3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Ssembabule-Masaka'!$C$9:$N$9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Ssembabule-Masaka'!$C$108:$N$108</c:f>
              <c:numCache>
                <c:formatCode>0.00%</c:formatCode>
                <c:ptCount val="12"/>
                <c:pt idx="0">
                  <c:v>0.36406539693241197</c:v>
                </c:pt>
                <c:pt idx="1">
                  <c:v>6.2868700488791493E-2</c:v>
                </c:pt>
                <c:pt idx="2">
                  <c:v>0.10450025282319228</c:v>
                </c:pt>
                <c:pt idx="3">
                  <c:v>9.9949435361537109E-2</c:v>
                </c:pt>
                <c:pt idx="4">
                  <c:v>4.8879150514073814E-3</c:v>
                </c:pt>
                <c:pt idx="5">
                  <c:v>1.0112927692566996E-3</c:v>
                </c:pt>
                <c:pt idx="6">
                  <c:v>0.18051575931232089</c:v>
                </c:pt>
                <c:pt idx="7">
                  <c:v>0.11495027810551155</c:v>
                </c:pt>
                <c:pt idx="8">
                  <c:v>5.5284004719366231E-2</c:v>
                </c:pt>
                <c:pt idx="9">
                  <c:v>7.9217933591774811E-3</c:v>
                </c:pt>
                <c:pt idx="11">
                  <c:v>4.0451710770267992E-3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Masaka-Ssembabule-2Dir'!$C$9:$N$9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Masaka-Ssembabule-2Dir'!$C$107:$N$107</c:f>
              <c:numCache>
                <c:formatCode>0.0%</c:formatCode>
                <c:ptCount val="12"/>
                <c:pt idx="0">
                  <c:v>0.17960503915560097</c:v>
                </c:pt>
                <c:pt idx="1">
                  <c:v>2.9536942458290773E-2</c:v>
                </c:pt>
                <c:pt idx="2">
                  <c:v>4.9880830779707189E-2</c:v>
                </c:pt>
                <c:pt idx="3">
                  <c:v>5.1923731699012599E-2</c:v>
                </c:pt>
                <c:pt idx="4">
                  <c:v>2.9366700715015314E-3</c:v>
                </c:pt>
                <c:pt idx="5">
                  <c:v>1.1065713312904324E-3</c:v>
                </c:pt>
                <c:pt idx="6">
                  <c:v>8.7504256043581904E-2</c:v>
                </c:pt>
                <c:pt idx="7">
                  <c:v>5.9414368403132453E-2</c:v>
                </c:pt>
                <c:pt idx="8">
                  <c:v>2.3961525366019747E-2</c:v>
                </c:pt>
                <c:pt idx="9">
                  <c:v>2.6387470207694928E-3</c:v>
                </c:pt>
                <c:pt idx="10">
                  <c:v>0.51021450459652717</c:v>
                </c:pt>
                <c:pt idx="11">
                  <c:v>1.2768130745658835E-3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Masaka-Ssembabule-2Dir'!$C$9:$N$9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Masaka-Ssembabule-2Dir'!$C$108:$N$108</c:f>
              <c:numCache>
                <c:formatCode>0.00%</c:formatCode>
                <c:ptCount val="12"/>
                <c:pt idx="0">
                  <c:v>0.36670142509558573</c:v>
                </c:pt>
                <c:pt idx="1">
                  <c:v>6.0305874174487316E-2</c:v>
                </c:pt>
                <c:pt idx="2">
                  <c:v>0.10184219673270771</c:v>
                </c:pt>
                <c:pt idx="3">
                  <c:v>0.10601320820298923</c:v>
                </c:pt>
                <c:pt idx="4">
                  <c:v>5.9958289885297172E-3</c:v>
                </c:pt>
                <c:pt idx="5">
                  <c:v>2.2592978797358362E-3</c:v>
                </c:pt>
                <c:pt idx="6">
                  <c:v>0.17865832464372616</c:v>
                </c:pt>
                <c:pt idx="7">
                  <c:v>0.12130691692735492</c:v>
                </c:pt>
                <c:pt idx="8">
                  <c:v>4.8922488703510604E-2</c:v>
                </c:pt>
                <c:pt idx="9">
                  <c:v>5.3875564824469946E-3</c:v>
                </c:pt>
                <c:pt idx="11">
                  <c:v>2.6068821689259648E-3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Masaka-Ssembabule-2Dir'!$AE$9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Masaka-Ssembabule-2Dir'!$R$10:$R$33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Masaka-Ssembabule-2Dir'!$AE$10:$AE$33</c:f>
              <c:numCache>
                <c:formatCode>0</c:formatCode>
                <c:ptCount val="24"/>
                <c:pt idx="0">
                  <c:v>29.857142857142858</c:v>
                </c:pt>
                <c:pt idx="1">
                  <c:v>44.142857142857139</c:v>
                </c:pt>
                <c:pt idx="2">
                  <c:v>41.714285714285715</c:v>
                </c:pt>
                <c:pt idx="3">
                  <c:v>45.714285714285715</c:v>
                </c:pt>
                <c:pt idx="4">
                  <c:v>43.142857142857139</c:v>
                </c:pt>
                <c:pt idx="5">
                  <c:v>48.285714285714278</c:v>
                </c:pt>
                <c:pt idx="6">
                  <c:v>42.571428571428569</c:v>
                </c:pt>
                <c:pt idx="7">
                  <c:v>44.428571428571416</c:v>
                </c:pt>
                <c:pt idx="8">
                  <c:v>47.428571428571423</c:v>
                </c:pt>
                <c:pt idx="9">
                  <c:v>48.714285714285715</c:v>
                </c:pt>
                <c:pt idx="10">
                  <c:v>58.714285714285722</c:v>
                </c:pt>
                <c:pt idx="11">
                  <c:v>47.285714285714292</c:v>
                </c:pt>
                <c:pt idx="12">
                  <c:v>40.5</c:v>
                </c:pt>
                <c:pt idx="13">
                  <c:v>32</c:v>
                </c:pt>
                <c:pt idx="14">
                  <c:v>28.5</c:v>
                </c:pt>
                <c:pt idx="15">
                  <c:v>19</c:v>
                </c:pt>
                <c:pt idx="16">
                  <c:v>20</c:v>
                </c:pt>
                <c:pt idx="17">
                  <c:v>22</c:v>
                </c:pt>
                <c:pt idx="18">
                  <c:v>11.5</c:v>
                </c:pt>
                <c:pt idx="19">
                  <c:v>13.5</c:v>
                </c:pt>
                <c:pt idx="20">
                  <c:v>10.5</c:v>
                </c:pt>
                <c:pt idx="21">
                  <c:v>25</c:v>
                </c:pt>
                <c:pt idx="22">
                  <c:v>28</c:v>
                </c:pt>
                <c:pt idx="23">
                  <c:v>29.5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90-4764-BE59-3ED67A54FBC0}"/>
            </c:ext>
          </c:extLst>
        </c:ser>
        <c:ser>
          <c:idx val="1"/>
          <c:order val="1"/>
          <c:tx>
            <c:strRef>
              <c:f>'Avg Week Masaka-Ssembabule-2Dir'!$AF$9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Masaka-Ssembabule-2Dir'!$R$10:$R$33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Masaka-Ssembabule-2Dir'!$AF$10:$AF$33</c:f>
              <c:numCache>
                <c:formatCode>0</c:formatCode>
                <c:ptCount val="24"/>
                <c:pt idx="0">
                  <c:v>67.285714285714292</c:v>
                </c:pt>
                <c:pt idx="1">
                  <c:v>89.142857142857139</c:v>
                </c:pt>
                <c:pt idx="2">
                  <c:v>82.857142857142861</c:v>
                </c:pt>
                <c:pt idx="3">
                  <c:v>91</c:v>
                </c:pt>
                <c:pt idx="4">
                  <c:v>96.714285714285708</c:v>
                </c:pt>
                <c:pt idx="5">
                  <c:v>98.142857142857139</c:v>
                </c:pt>
                <c:pt idx="6">
                  <c:v>102.85714285714286</c:v>
                </c:pt>
                <c:pt idx="7">
                  <c:v>98.571428571428569</c:v>
                </c:pt>
                <c:pt idx="8">
                  <c:v>102</c:v>
                </c:pt>
                <c:pt idx="9">
                  <c:v>106.28571428571429</c:v>
                </c:pt>
                <c:pt idx="10">
                  <c:v>118.28571428571429</c:v>
                </c:pt>
                <c:pt idx="11">
                  <c:v>112.14285714285714</c:v>
                </c:pt>
                <c:pt idx="12">
                  <c:v>99.5</c:v>
                </c:pt>
                <c:pt idx="13">
                  <c:v>84.5</c:v>
                </c:pt>
                <c:pt idx="14">
                  <c:v>54.5</c:v>
                </c:pt>
                <c:pt idx="15">
                  <c:v>38</c:v>
                </c:pt>
                <c:pt idx="16">
                  <c:v>27.5</c:v>
                </c:pt>
                <c:pt idx="17">
                  <c:v>29.5</c:v>
                </c:pt>
                <c:pt idx="18">
                  <c:v>14</c:v>
                </c:pt>
                <c:pt idx="19">
                  <c:v>13.5</c:v>
                </c:pt>
                <c:pt idx="20">
                  <c:v>11.5</c:v>
                </c:pt>
                <c:pt idx="21">
                  <c:v>35</c:v>
                </c:pt>
                <c:pt idx="22">
                  <c:v>52.5</c:v>
                </c:pt>
                <c:pt idx="23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90-4764-BE59-3ED67A54FBC0}"/>
            </c:ext>
          </c:extLst>
        </c:ser>
        <c:ser>
          <c:idx val="5"/>
          <c:order val="2"/>
          <c:tx>
            <c:strRef>
              <c:f>'Avg Week Masaka-Ssembabule-2Dir'!$AC$9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Masaka-Ssembabule-2Dir'!$R$10:$R$33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Masaka-Ssembabule-2Dir'!$AC$10:$AC$33</c:f>
              <c:numCache>
                <c:formatCode>0</c:formatCode>
                <c:ptCount val="24"/>
                <c:pt idx="0">
                  <c:v>37.428571428571431</c:v>
                </c:pt>
                <c:pt idx="1">
                  <c:v>45</c:v>
                </c:pt>
                <c:pt idx="2">
                  <c:v>41.142857142857146</c:v>
                </c:pt>
                <c:pt idx="3">
                  <c:v>45.285714285714292</c:v>
                </c:pt>
                <c:pt idx="4">
                  <c:v>53.571428571428569</c:v>
                </c:pt>
                <c:pt idx="5">
                  <c:v>49.857142857142854</c:v>
                </c:pt>
                <c:pt idx="6">
                  <c:v>60.285714285714285</c:v>
                </c:pt>
                <c:pt idx="7">
                  <c:v>54.142857142857139</c:v>
                </c:pt>
                <c:pt idx="8">
                  <c:v>54.571428571428569</c:v>
                </c:pt>
                <c:pt idx="9">
                  <c:v>57.571428571428569</c:v>
                </c:pt>
                <c:pt idx="10">
                  <c:v>59.571428571428569</c:v>
                </c:pt>
                <c:pt idx="11">
                  <c:v>64.857142857142861</c:v>
                </c:pt>
                <c:pt idx="12">
                  <c:v>59</c:v>
                </c:pt>
                <c:pt idx="13">
                  <c:v>52.5</c:v>
                </c:pt>
                <c:pt idx="14">
                  <c:v>26</c:v>
                </c:pt>
                <c:pt idx="15">
                  <c:v>19</c:v>
                </c:pt>
                <c:pt idx="16">
                  <c:v>7.5</c:v>
                </c:pt>
                <c:pt idx="17">
                  <c:v>7.5</c:v>
                </c:pt>
                <c:pt idx="18">
                  <c:v>2.5</c:v>
                </c:pt>
                <c:pt idx="19">
                  <c:v>0</c:v>
                </c:pt>
                <c:pt idx="20">
                  <c:v>1</c:v>
                </c:pt>
                <c:pt idx="21">
                  <c:v>10</c:v>
                </c:pt>
                <c:pt idx="22">
                  <c:v>24.5</c:v>
                </c:pt>
                <c:pt idx="23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90-4764-BE59-3ED67A54F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Masaka-Ssembabule-2Dir'!$S$9:$AF$9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Masaka-Ssembabule-2Dir'!$S$41:$AF$41</c:f>
              <c:numCache>
                <c:formatCode>_(* #,##0_);_(* \(#,##0\);_(* "-"_);_(@_)</c:formatCode>
                <c:ptCount val="14"/>
                <c:pt idx="0">
                  <c:v>301.42857142857144</c:v>
                </c:pt>
                <c:pt idx="1">
                  <c:v>49.571428571428569</c:v>
                </c:pt>
                <c:pt idx="2">
                  <c:v>83.714285714285708</c:v>
                </c:pt>
                <c:pt idx="3">
                  <c:v>87.142857142857139</c:v>
                </c:pt>
                <c:pt idx="4">
                  <c:v>4.9285714285714288</c:v>
                </c:pt>
                <c:pt idx="5">
                  <c:v>1.8571428571428572</c:v>
                </c:pt>
                <c:pt idx="6">
                  <c:v>146.85714285714286</c:v>
                </c:pt>
                <c:pt idx="7">
                  <c:v>99.714285714285722</c:v>
                </c:pt>
                <c:pt idx="8">
                  <c:v>40.214285714285715</c:v>
                </c:pt>
                <c:pt idx="9">
                  <c:v>4.4285714285714288</c:v>
                </c:pt>
                <c:pt idx="10">
                  <c:v>856.28571428571422</c:v>
                </c:pt>
                <c:pt idx="11">
                  <c:v>2.1428571428571428</c:v>
                </c:pt>
                <c:pt idx="12">
                  <c:v>822.00000000000011</c:v>
                </c:pt>
                <c:pt idx="13">
                  <c:v>1678.2857142857144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0-45B1-A08C-C0CB1A4607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Masaka-Ssembabule-2Dir'!$S$9:$AF$9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Masaka-Ssembabule-2Dir'!$S$42:$AF$42</c:f>
              <c:numCache>
                <c:formatCode>0.000</c:formatCode>
                <c:ptCount val="14"/>
                <c:pt idx="0">
                  <c:v>1.4531680440771348</c:v>
                </c:pt>
                <c:pt idx="1">
                  <c:v>1.8655913978494625</c:v>
                </c:pt>
                <c:pt idx="2">
                  <c:v>1.3788235294117648</c:v>
                </c:pt>
                <c:pt idx="3">
                  <c:v>1.5249999999999999</c:v>
                </c:pt>
                <c:pt idx="4">
                  <c:v>1.4375000000000002</c:v>
                </c:pt>
                <c:pt idx="5">
                  <c:v>2.166666666666667</c:v>
                </c:pt>
                <c:pt idx="6">
                  <c:v>1.4417952314165499</c:v>
                </c:pt>
                <c:pt idx="7">
                  <c:v>2.0469208211143695</c:v>
                </c:pt>
                <c:pt idx="8">
                  <c:v>1.2680180180180181</c:v>
                </c:pt>
                <c:pt idx="9">
                  <c:v>3.1000000000000005</c:v>
                </c:pt>
                <c:pt idx="10">
                  <c:v>1.3738253495301398</c:v>
                </c:pt>
                <c:pt idx="11">
                  <c:v>1</c:v>
                </c:pt>
                <c:pt idx="12">
                  <c:v>1.5166051660516604</c:v>
                </c:pt>
                <c:pt idx="13">
                  <c:v>1.4402353806546524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9-4931-B497-41F63F98A3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7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9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3.xml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7.xml"/><Relationship Id="rId1" Type="http://schemas.openxmlformats.org/officeDocument/2006/relationships/chart" Target="../charts/chart2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7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13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22224</xdr:rowOff>
    </xdr:from>
    <xdr:to>
      <xdr:col>28</xdr:col>
      <xdr:colOff>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263525</xdr:rowOff>
    </xdr:from>
    <xdr:to>
      <xdr:col>23</xdr:col>
      <xdr:colOff>0</xdr:colOff>
      <xdr:row>74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15876</xdr:colOff>
      <xdr:row>60</xdr:row>
      <xdr:rowOff>0</xdr:rowOff>
    </xdr:from>
    <xdr:to>
      <xdr:col>31</xdr:col>
      <xdr:colOff>31751</xdr:colOff>
      <xdr:row>74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42</xdr:row>
      <xdr:rowOff>276224</xdr:rowOff>
    </xdr:from>
    <xdr:to>
      <xdr:col>27</xdr:col>
      <xdr:colOff>698500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59</xdr:row>
      <xdr:rowOff>247650</xdr:rowOff>
    </xdr:from>
    <xdr:to>
      <xdr:col>23</xdr:col>
      <xdr:colOff>15876</xdr:colOff>
      <xdr:row>74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59</xdr:row>
      <xdr:rowOff>269875</xdr:rowOff>
    </xdr:from>
    <xdr:to>
      <xdr:col>31</xdr:col>
      <xdr:colOff>15875</xdr:colOff>
      <xdr:row>74</xdr:row>
      <xdr:rowOff>69850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59</xdr:row>
      <xdr:rowOff>279400</xdr:rowOff>
    </xdr:from>
    <xdr:to>
      <xdr:col>23</xdr:col>
      <xdr:colOff>634999</xdr:colOff>
      <xdr:row>76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76</xdr:row>
      <xdr:rowOff>0</xdr:rowOff>
    </xdr:from>
    <xdr:to>
      <xdr:col>23</xdr:col>
      <xdr:colOff>634999</xdr:colOff>
      <xdr:row>91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269875</xdr:rowOff>
    </xdr:from>
    <xdr:to>
      <xdr:col>28</xdr:col>
      <xdr:colOff>15876</xdr:colOff>
      <xdr:row>59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1BDCB06-B14C-4452-9D9E-87A1626CD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650875</xdr:colOff>
      <xdr:row>60</xdr:row>
      <xdr:rowOff>0</xdr:rowOff>
    </xdr:from>
    <xdr:to>
      <xdr:col>30</xdr:col>
      <xdr:colOff>635000</xdr:colOff>
      <xdr:row>75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D4B0795-08FE-499E-BBCA-41D57021C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650875</xdr:colOff>
      <xdr:row>76</xdr:row>
      <xdr:rowOff>0</xdr:rowOff>
    </xdr:from>
    <xdr:to>
      <xdr:col>30</xdr:col>
      <xdr:colOff>635000</xdr:colOff>
      <xdr:row>91</xdr:row>
      <xdr:rowOff>95250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6B7D675-54FB-4509-BEA9-5C7CEB24C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3" zoomScale="60" workbookViewId="0">
      <selection activeCell="K14" sqref="K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173</v>
      </c>
      <c r="E5" s="3"/>
      <c r="F5" s="41" t="s">
        <v>1</v>
      </c>
      <c r="G5" s="63" t="str">
        <f>'17.10 SEMBABULE-MASAKA'!G5:H5</f>
        <v>KIWUULA TRADING CENTRE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166</v>
      </c>
      <c r="E6" s="62"/>
      <c r="F6" s="2" t="s">
        <v>2</v>
      </c>
      <c r="G6" s="61" t="s">
        <v>167</v>
      </c>
      <c r="H6" s="62"/>
      <c r="J6" s="2" t="s">
        <v>21</v>
      </c>
      <c r="K6" s="63" t="s">
        <v>172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27</v>
      </c>
      <c r="AD10" s="17">
        <f t="shared" si="2"/>
        <v>0</v>
      </c>
      <c r="AE10" s="31">
        <f t="shared" si="2"/>
        <v>16</v>
      </c>
      <c r="AF10" s="31">
        <f t="shared" si="2"/>
        <v>43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3</v>
      </c>
      <c r="P11" s="15">
        <f t="shared" si="1"/>
        <v>9</v>
      </c>
      <c r="R11" s="1" t="s">
        <v>7</v>
      </c>
      <c r="S11" s="17">
        <f t="shared" ref="S11:AF11" si="3">SUM(C14:C17)</f>
        <v>6</v>
      </c>
      <c r="T11" s="17">
        <f t="shared" si="3"/>
        <v>3</v>
      </c>
      <c r="U11" s="17">
        <f t="shared" si="3"/>
        <v>5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28</v>
      </c>
      <c r="AD11" s="17">
        <f t="shared" si="3"/>
        <v>0</v>
      </c>
      <c r="AE11" s="31">
        <f t="shared" si="3"/>
        <v>25</v>
      </c>
      <c r="AF11" s="31">
        <f t="shared" si="3"/>
        <v>53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4</v>
      </c>
      <c r="P12" s="15">
        <f t="shared" si="1"/>
        <v>10</v>
      </c>
      <c r="R12" s="1" t="s">
        <v>8</v>
      </c>
      <c r="S12" s="17">
        <f t="shared" ref="S12:AF12" si="4">SUM(C18:C21)</f>
        <v>5</v>
      </c>
      <c r="T12" s="17">
        <f t="shared" si="4"/>
        <v>0</v>
      </c>
      <c r="U12" s="17">
        <f t="shared" si="4"/>
        <v>1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21</v>
      </c>
      <c r="AD12" s="17">
        <f t="shared" si="4"/>
        <v>0</v>
      </c>
      <c r="AE12" s="31">
        <f t="shared" si="4"/>
        <v>18</v>
      </c>
      <c r="AF12" s="31">
        <f t="shared" si="4"/>
        <v>39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1</v>
      </c>
      <c r="K13" s="50">
        <v>1</v>
      </c>
      <c r="L13" s="50">
        <v>0</v>
      </c>
      <c r="M13" s="50">
        <v>8</v>
      </c>
      <c r="N13" s="50">
        <v>0</v>
      </c>
      <c r="O13" s="15">
        <f t="shared" si="0"/>
        <v>7</v>
      </c>
      <c r="P13" s="15">
        <f t="shared" si="1"/>
        <v>15</v>
      </c>
      <c r="R13" s="1" t="s">
        <v>9</v>
      </c>
      <c r="S13" s="17">
        <f t="shared" ref="S13:AF13" si="5">SUM(C22:C25)</f>
        <v>9</v>
      </c>
      <c r="T13" s="17">
        <f t="shared" si="5"/>
        <v>2</v>
      </c>
      <c r="U13" s="17">
        <f t="shared" si="5"/>
        <v>4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23</v>
      </c>
      <c r="AD13" s="17">
        <f t="shared" si="5"/>
        <v>0</v>
      </c>
      <c r="AE13" s="31">
        <f t="shared" si="5"/>
        <v>21</v>
      </c>
      <c r="AF13" s="31">
        <f t="shared" si="5"/>
        <v>44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7</v>
      </c>
      <c r="P14" s="15">
        <f t="shared" si="1"/>
        <v>15</v>
      </c>
      <c r="R14" s="1" t="s">
        <v>10</v>
      </c>
      <c r="S14" s="17">
        <f t="shared" ref="S14:AF14" si="6">SUM(C26:C29)</f>
        <v>8</v>
      </c>
      <c r="T14" s="17">
        <f t="shared" si="6"/>
        <v>2</v>
      </c>
      <c r="U14" s="17">
        <f t="shared" si="6"/>
        <v>3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2</v>
      </c>
      <c r="AA14" s="17">
        <f t="shared" si="6"/>
        <v>2</v>
      </c>
      <c r="AB14" s="17">
        <f t="shared" si="6"/>
        <v>0</v>
      </c>
      <c r="AC14" s="17">
        <f t="shared" si="6"/>
        <v>32</v>
      </c>
      <c r="AD14" s="17">
        <f t="shared" si="6"/>
        <v>0</v>
      </c>
      <c r="AE14" s="31">
        <f t="shared" si="6"/>
        <v>22</v>
      </c>
      <c r="AF14" s="31">
        <f t="shared" si="6"/>
        <v>54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6</v>
      </c>
      <c r="P15" s="15">
        <f t="shared" si="1"/>
        <v>12</v>
      </c>
      <c r="R15" s="1" t="s">
        <v>11</v>
      </c>
      <c r="S15" s="17">
        <f t="shared" ref="S15:AF15" si="7">SUM(C30:C33)</f>
        <v>7</v>
      </c>
      <c r="T15" s="17">
        <f t="shared" si="7"/>
        <v>1</v>
      </c>
      <c r="U15" s="17">
        <f t="shared" si="7"/>
        <v>10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5</v>
      </c>
      <c r="AB15" s="17">
        <f t="shared" si="7"/>
        <v>0</v>
      </c>
      <c r="AC15" s="17">
        <f t="shared" si="7"/>
        <v>29</v>
      </c>
      <c r="AD15" s="17">
        <f t="shared" si="7"/>
        <v>0</v>
      </c>
      <c r="AE15" s="31">
        <f t="shared" si="7"/>
        <v>26</v>
      </c>
      <c r="AF15" s="31">
        <f t="shared" si="7"/>
        <v>55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3</v>
      </c>
      <c r="P16" s="15">
        <f t="shared" si="1"/>
        <v>12</v>
      </c>
      <c r="R16" s="1" t="s">
        <v>12</v>
      </c>
      <c r="S16" s="17">
        <f t="shared" ref="S16:AF16" si="8">SUM(C34:C37)</f>
        <v>7</v>
      </c>
      <c r="T16" s="17">
        <f t="shared" si="8"/>
        <v>0</v>
      </c>
      <c r="U16" s="17">
        <f t="shared" si="8"/>
        <v>4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31</v>
      </c>
      <c r="AD16" s="17">
        <f t="shared" si="8"/>
        <v>0</v>
      </c>
      <c r="AE16" s="31">
        <f t="shared" si="8"/>
        <v>21</v>
      </c>
      <c r="AF16" s="31">
        <f t="shared" si="8"/>
        <v>52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3</v>
      </c>
      <c r="F17" s="50">
        <v>1</v>
      </c>
      <c r="G17" s="50">
        <v>0</v>
      </c>
      <c r="H17" s="50">
        <v>0</v>
      </c>
      <c r="I17" s="50">
        <v>1</v>
      </c>
      <c r="J17" s="50">
        <v>1</v>
      </c>
      <c r="K17" s="50">
        <v>1</v>
      </c>
      <c r="L17" s="50">
        <v>0</v>
      </c>
      <c r="M17" s="50">
        <v>5</v>
      </c>
      <c r="N17" s="50">
        <v>0</v>
      </c>
      <c r="O17" s="15">
        <f t="shared" si="0"/>
        <v>9</v>
      </c>
      <c r="P17" s="15">
        <f t="shared" si="1"/>
        <v>14</v>
      </c>
      <c r="R17" s="1" t="s">
        <v>13</v>
      </c>
      <c r="S17" s="17">
        <f t="shared" ref="S17:AF17" si="9">SUM(C38:C41)</f>
        <v>8</v>
      </c>
      <c r="T17" s="17">
        <f t="shared" si="9"/>
        <v>0</v>
      </c>
      <c r="U17" s="17">
        <f t="shared" si="9"/>
        <v>5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37</v>
      </c>
      <c r="AD17" s="17">
        <f t="shared" si="9"/>
        <v>0</v>
      </c>
      <c r="AE17" s="31">
        <f t="shared" si="9"/>
        <v>20</v>
      </c>
      <c r="AF17" s="31">
        <f t="shared" si="9"/>
        <v>57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6</v>
      </c>
      <c r="N18" s="50">
        <v>0</v>
      </c>
      <c r="O18" s="15">
        <f t="shared" si="0"/>
        <v>3</v>
      </c>
      <c r="P18" s="15">
        <f t="shared" si="1"/>
        <v>9</v>
      </c>
      <c r="R18" s="1" t="s">
        <v>14</v>
      </c>
      <c r="S18" s="17">
        <f t="shared" ref="S18:AF18" si="10">SUM(C42:C45)</f>
        <v>11</v>
      </c>
      <c r="T18" s="17">
        <f t="shared" si="10"/>
        <v>0</v>
      </c>
      <c r="U18" s="17">
        <f t="shared" si="10"/>
        <v>2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32</v>
      </c>
      <c r="AD18" s="17">
        <f t="shared" si="10"/>
        <v>0</v>
      </c>
      <c r="AE18" s="31">
        <f t="shared" si="10"/>
        <v>26</v>
      </c>
      <c r="AF18" s="31">
        <f t="shared" si="10"/>
        <v>58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2</v>
      </c>
      <c r="N19" s="50">
        <v>0</v>
      </c>
      <c r="O19" s="15">
        <f t="shared" si="0"/>
        <v>6</v>
      </c>
      <c r="P19" s="15">
        <f t="shared" si="1"/>
        <v>8</v>
      </c>
      <c r="R19" s="1" t="s">
        <v>15</v>
      </c>
      <c r="S19" s="17">
        <f t="shared" ref="S19:AF19" si="11">SUM(C46:C49)</f>
        <v>5</v>
      </c>
      <c r="T19" s="17">
        <f t="shared" si="11"/>
        <v>2</v>
      </c>
      <c r="U19" s="17">
        <f t="shared" si="11"/>
        <v>5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32</v>
      </c>
      <c r="AD19" s="17">
        <f t="shared" si="11"/>
        <v>0</v>
      </c>
      <c r="AE19" s="31">
        <f t="shared" si="11"/>
        <v>27</v>
      </c>
      <c r="AF19" s="31">
        <f t="shared" si="11"/>
        <v>59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5</v>
      </c>
      <c r="P20" s="15">
        <f t="shared" si="1"/>
        <v>8</v>
      </c>
      <c r="R20" s="1" t="s">
        <v>16</v>
      </c>
      <c r="S20" s="17">
        <f t="shared" ref="S20:AF20" si="12">SUM(C50:C53)</f>
        <v>6</v>
      </c>
      <c r="T20" s="17">
        <f t="shared" si="12"/>
        <v>2</v>
      </c>
      <c r="U20" s="17">
        <f t="shared" si="12"/>
        <v>3</v>
      </c>
      <c r="V20" s="17">
        <f t="shared" si="12"/>
        <v>4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32</v>
      </c>
      <c r="AD20" s="17">
        <f t="shared" si="12"/>
        <v>0</v>
      </c>
      <c r="AE20" s="31">
        <f t="shared" si="12"/>
        <v>24</v>
      </c>
      <c r="AF20" s="31">
        <f t="shared" si="12"/>
        <v>56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2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4</v>
      </c>
      <c r="P21" s="15">
        <f t="shared" si="1"/>
        <v>14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3</v>
      </c>
      <c r="V21" s="17">
        <f t="shared" si="13"/>
        <v>6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6</v>
      </c>
      <c r="AA21" s="17">
        <f t="shared" si="13"/>
        <v>2</v>
      </c>
      <c r="AB21" s="17">
        <f t="shared" si="13"/>
        <v>0</v>
      </c>
      <c r="AC21" s="17">
        <f t="shared" si="13"/>
        <v>39</v>
      </c>
      <c r="AD21" s="17">
        <f t="shared" si="13"/>
        <v>0</v>
      </c>
      <c r="AE21" s="31">
        <f t="shared" si="13"/>
        <v>29</v>
      </c>
      <c r="AF21" s="31">
        <f t="shared" si="13"/>
        <v>68</v>
      </c>
    </row>
    <row r="22" spans="2:32" ht="23.1" customHeight="1" x14ac:dyDescent="0.25">
      <c r="B22" s="23" t="s">
        <v>49</v>
      </c>
      <c r="C22" s="50">
        <v>5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2</v>
      </c>
      <c r="J22" s="50">
        <v>0</v>
      </c>
      <c r="K22" s="50">
        <v>1</v>
      </c>
      <c r="L22" s="50">
        <v>0</v>
      </c>
      <c r="M22" s="50">
        <v>3</v>
      </c>
      <c r="N22" s="50">
        <v>0</v>
      </c>
      <c r="O22" s="15">
        <f t="shared" si="0"/>
        <v>10</v>
      </c>
      <c r="P22" s="15">
        <f t="shared" si="1"/>
        <v>13</v>
      </c>
      <c r="R22" s="38" t="s">
        <v>90</v>
      </c>
      <c r="S22" s="39">
        <f>MAX(S10:S12)</f>
        <v>7</v>
      </c>
      <c r="T22" s="39">
        <f t="shared" ref="T22:AF22" si="14">MAX(T10:T12)</f>
        <v>3</v>
      </c>
      <c r="U22" s="39">
        <f t="shared" si="14"/>
        <v>5</v>
      </c>
      <c r="V22" s="39">
        <f t="shared" si="14"/>
        <v>4</v>
      </c>
      <c r="W22" s="39">
        <f t="shared" si="14"/>
        <v>1</v>
      </c>
      <c r="X22" s="39">
        <f t="shared" si="14"/>
        <v>0</v>
      </c>
      <c r="Y22" s="39">
        <f t="shared" si="14"/>
        <v>6</v>
      </c>
      <c r="Z22" s="39">
        <f t="shared" si="14"/>
        <v>4</v>
      </c>
      <c r="AA22" s="39">
        <f t="shared" si="14"/>
        <v>1</v>
      </c>
      <c r="AB22" s="39">
        <f t="shared" si="14"/>
        <v>0</v>
      </c>
      <c r="AC22" s="39">
        <f t="shared" si="14"/>
        <v>28</v>
      </c>
      <c r="AD22" s="39">
        <f t="shared" si="14"/>
        <v>0</v>
      </c>
      <c r="AE22" s="40">
        <f t="shared" si="14"/>
        <v>25</v>
      </c>
      <c r="AF22" s="40">
        <f t="shared" si="14"/>
        <v>53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2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7</v>
      </c>
      <c r="P23" s="15">
        <f t="shared" si="1"/>
        <v>15</v>
      </c>
      <c r="R23" s="38" t="s">
        <v>91</v>
      </c>
      <c r="S23" s="39">
        <f>MAX(S13:S18)</f>
        <v>11</v>
      </c>
      <c r="T23" s="39">
        <f t="shared" ref="T23:AF23" si="15">MAX(T13:T18)</f>
        <v>2</v>
      </c>
      <c r="U23" s="39">
        <f t="shared" si="15"/>
        <v>10</v>
      </c>
      <c r="V23" s="39">
        <f t="shared" si="15"/>
        <v>8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4</v>
      </c>
      <c r="AA23" s="39">
        <f t="shared" si="15"/>
        <v>5</v>
      </c>
      <c r="AB23" s="39">
        <f t="shared" si="15"/>
        <v>1</v>
      </c>
      <c r="AC23" s="39">
        <f t="shared" si="15"/>
        <v>37</v>
      </c>
      <c r="AD23" s="39">
        <f t="shared" si="15"/>
        <v>0</v>
      </c>
      <c r="AE23" s="40">
        <f t="shared" si="15"/>
        <v>26</v>
      </c>
      <c r="AF23" s="40">
        <f t="shared" si="15"/>
        <v>58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2</v>
      </c>
      <c r="P24" s="15">
        <f t="shared" si="1"/>
        <v>9</v>
      </c>
      <c r="R24" s="38" t="s">
        <v>92</v>
      </c>
      <c r="S24" s="39">
        <f>MAX(S19:S21)</f>
        <v>6</v>
      </c>
      <c r="T24" s="39">
        <f t="shared" ref="T24:AF24" si="16">MAX(T19:T21)</f>
        <v>2</v>
      </c>
      <c r="U24" s="39">
        <f t="shared" si="16"/>
        <v>5</v>
      </c>
      <c r="V24" s="39">
        <f t="shared" si="16"/>
        <v>6</v>
      </c>
      <c r="W24" s="39">
        <f t="shared" si="16"/>
        <v>1</v>
      </c>
      <c r="X24" s="39">
        <f t="shared" si="16"/>
        <v>0</v>
      </c>
      <c r="Y24" s="39">
        <f t="shared" si="16"/>
        <v>7</v>
      </c>
      <c r="Z24" s="39">
        <f t="shared" si="16"/>
        <v>6</v>
      </c>
      <c r="AA24" s="39">
        <f t="shared" si="16"/>
        <v>2</v>
      </c>
      <c r="AB24" s="39">
        <f t="shared" si="16"/>
        <v>0</v>
      </c>
      <c r="AC24" s="39">
        <f t="shared" si="16"/>
        <v>39</v>
      </c>
      <c r="AD24" s="39">
        <f t="shared" si="16"/>
        <v>0</v>
      </c>
      <c r="AE24" s="40">
        <f t="shared" si="16"/>
        <v>29</v>
      </c>
      <c r="AF24" s="40">
        <f t="shared" si="16"/>
        <v>68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2</v>
      </c>
      <c r="P25" s="15">
        <f t="shared" si="1"/>
        <v>7</v>
      </c>
      <c r="R25" s="37" t="s">
        <v>85</v>
      </c>
      <c r="S25" s="35">
        <f t="shared" ref="S25:AF25" si="17">SUM(S10:S12)</f>
        <v>18</v>
      </c>
      <c r="T25" s="16">
        <f t="shared" si="17"/>
        <v>3</v>
      </c>
      <c r="U25" s="16">
        <f t="shared" si="17"/>
        <v>8</v>
      </c>
      <c r="V25" s="16">
        <f t="shared" si="17"/>
        <v>6</v>
      </c>
      <c r="W25" s="16">
        <f t="shared" si="17"/>
        <v>1</v>
      </c>
      <c r="X25" s="16">
        <f t="shared" si="17"/>
        <v>0</v>
      </c>
      <c r="Y25" s="16">
        <f t="shared" si="17"/>
        <v>11</v>
      </c>
      <c r="Z25" s="16">
        <f t="shared" si="17"/>
        <v>9</v>
      </c>
      <c r="AA25" s="16">
        <f t="shared" si="17"/>
        <v>3</v>
      </c>
      <c r="AB25" s="16">
        <f t="shared" si="17"/>
        <v>0</v>
      </c>
      <c r="AC25" s="16">
        <f t="shared" si="17"/>
        <v>76</v>
      </c>
      <c r="AD25" s="16">
        <f t="shared" si="17"/>
        <v>0</v>
      </c>
      <c r="AE25" s="32">
        <f t="shared" si="17"/>
        <v>59</v>
      </c>
      <c r="AF25" s="32">
        <f t="shared" si="17"/>
        <v>135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10</v>
      </c>
      <c r="N26" s="50">
        <v>0</v>
      </c>
      <c r="O26" s="15">
        <f t="shared" si="0"/>
        <v>4</v>
      </c>
      <c r="P26" s="15">
        <f t="shared" si="1"/>
        <v>14</v>
      </c>
      <c r="R26" s="28" t="s">
        <v>86</v>
      </c>
      <c r="S26" s="16">
        <f t="shared" ref="S26:AF26" si="18">SUM(S13:S18)</f>
        <v>50</v>
      </c>
      <c r="T26" s="16">
        <f t="shared" si="18"/>
        <v>5</v>
      </c>
      <c r="U26" s="16">
        <f t="shared" si="18"/>
        <v>28</v>
      </c>
      <c r="V26" s="16">
        <f t="shared" si="18"/>
        <v>19</v>
      </c>
      <c r="W26" s="16">
        <f t="shared" si="18"/>
        <v>0</v>
      </c>
      <c r="X26" s="16">
        <f t="shared" si="18"/>
        <v>0</v>
      </c>
      <c r="Y26" s="16">
        <f t="shared" si="18"/>
        <v>16</v>
      </c>
      <c r="Z26" s="16">
        <f t="shared" si="18"/>
        <v>9</v>
      </c>
      <c r="AA26" s="16">
        <f t="shared" si="18"/>
        <v>8</v>
      </c>
      <c r="AB26" s="16">
        <f t="shared" si="18"/>
        <v>1</v>
      </c>
      <c r="AC26" s="16">
        <f t="shared" si="18"/>
        <v>184</v>
      </c>
      <c r="AD26" s="16">
        <f t="shared" si="18"/>
        <v>0</v>
      </c>
      <c r="AE26" s="32">
        <f t="shared" si="18"/>
        <v>136</v>
      </c>
      <c r="AF26" s="32">
        <f t="shared" si="18"/>
        <v>320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2</v>
      </c>
      <c r="K27" s="50">
        <v>2</v>
      </c>
      <c r="L27" s="50">
        <v>0</v>
      </c>
      <c r="M27" s="50">
        <v>6</v>
      </c>
      <c r="N27" s="50">
        <v>0</v>
      </c>
      <c r="O27" s="15">
        <f t="shared" si="0"/>
        <v>8</v>
      </c>
      <c r="P27" s="15">
        <f t="shared" si="1"/>
        <v>14</v>
      </c>
      <c r="R27" s="29" t="s">
        <v>87</v>
      </c>
      <c r="S27" s="16">
        <f t="shared" ref="S27:AF27" si="19">SUM(S19:S21)</f>
        <v>17</v>
      </c>
      <c r="T27" s="16">
        <f t="shared" si="19"/>
        <v>4</v>
      </c>
      <c r="U27" s="16">
        <f t="shared" si="19"/>
        <v>11</v>
      </c>
      <c r="V27" s="16">
        <f t="shared" si="19"/>
        <v>14</v>
      </c>
      <c r="W27" s="16">
        <f t="shared" si="19"/>
        <v>2</v>
      </c>
      <c r="X27" s="16">
        <f t="shared" si="19"/>
        <v>0</v>
      </c>
      <c r="Y27" s="16">
        <f t="shared" si="19"/>
        <v>16</v>
      </c>
      <c r="Z27" s="16">
        <f t="shared" si="19"/>
        <v>11</v>
      </c>
      <c r="AA27" s="16">
        <f t="shared" si="19"/>
        <v>5</v>
      </c>
      <c r="AB27" s="16">
        <f t="shared" si="19"/>
        <v>0</v>
      </c>
      <c r="AC27" s="16">
        <f t="shared" si="19"/>
        <v>103</v>
      </c>
      <c r="AD27" s="16">
        <f t="shared" si="19"/>
        <v>0</v>
      </c>
      <c r="AE27" s="32">
        <f t="shared" si="19"/>
        <v>80</v>
      </c>
      <c r="AF27" s="32">
        <f t="shared" si="19"/>
        <v>183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6</v>
      </c>
      <c r="P28" s="15">
        <f t="shared" si="1"/>
        <v>11</v>
      </c>
      <c r="R28" s="5" t="s">
        <v>17</v>
      </c>
      <c r="S28" s="16">
        <f t="shared" ref="S28:AF28" si="20">SUM(S10:S21)</f>
        <v>85</v>
      </c>
      <c r="T28" s="16">
        <f t="shared" si="20"/>
        <v>12</v>
      </c>
      <c r="U28" s="16">
        <f t="shared" si="20"/>
        <v>47</v>
      </c>
      <c r="V28" s="16">
        <f t="shared" si="20"/>
        <v>39</v>
      </c>
      <c r="W28" s="16">
        <f t="shared" si="20"/>
        <v>3</v>
      </c>
      <c r="X28" s="16">
        <f t="shared" si="20"/>
        <v>0</v>
      </c>
      <c r="Y28" s="16">
        <f t="shared" si="20"/>
        <v>43</v>
      </c>
      <c r="Z28" s="16">
        <f t="shared" si="20"/>
        <v>29</v>
      </c>
      <c r="AA28" s="16">
        <f t="shared" si="20"/>
        <v>16</v>
      </c>
      <c r="AB28" s="16">
        <f t="shared" si="20"/>
        <v>1</v>
      </c>
      <c r="AC28" s="16">
        <f t="shared" si="20"/>
        <v>363</v>
      </c>
      <c r="AD28" s="16">
        <f t="shared" si="20"/>
        <v>0</v>
      </c>
      <c r="AE28" s="32">
        <f t="shared" si="20"/>
        <v>275</v>
      </c>
      <c r="AF28" s="32">
        <f t="shared" si="20"/>
        <v>638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4</v>
      </c>
      <c r="P29" s="15">
        <f t="shared" si="1"/>
        <v>15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1</v>
      </c>
      <c r="E30" s="50">
        <v>3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2</v>
      </c>
      <c r="L30" s="50">
        <v>0</v>
      </c>
      <c r="M30" s="50">
        <v>7</v>
      </c>
      <c r="N30" s="50">
        <v>0</v>
      </c>
      <c r="O30" s="15">
        <f t="shared" si="0"/>
        <v>8</v>
      </c>
      <c r="P30" s="15">
        <f t="shared" si="1"/>
        <v>15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3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1</v>
      </c>
      <c r="L31" s="50">
        <v>0</v>
      </c>
      <c r="M31" s="50">
        <v>6</v>
      </c>
      <c r="N31" s="50">
        <v>0</v>
      </c>
      <c r="O31" s="15">
        <f t="shared" si="0"/>
        <v>10</v>
      </c>
      <c r="P31" s="15">
        <f t="shared" si="1"/>
        <v>16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0</v>
      </c>
      <c r="M32" s="50">
        <v>9</v>
      </c>
      <c r="N32" s="50">
        <v>0</v>
      </c>
      <c r="O32" s="15">
        <f t="shared" si="0"/>
        <v>4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2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7</v>
      </c>
      <c r="N33" s="50">
        <v>0</v>
      </c>
      <c r="O33" s="15">
        <f t="shared" si="0"/>
        <v>4</v>
      </c>
      <c r="P33" s="15">
        <f t="shared" si="1"/>
        <v>11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1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5</v>
      </c>
      <c r="P34" s="15">
        <f t="shared" si="1"/>
        <v>17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5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2</v>
      </c>
      <c r="P36" s="15">
        <f t="shared" si="1"/>
        <v>6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2</v>
      </c>
      <c r="F37" s="50">
        <v>1</v>
      </c>
      <c r="G37" s="50">
        <v>0</v>
      </c>
      <c r="H37" s="50">
        <v>0</v>
      </c>
      <c r="I37" s="50">
        <v>2</v>
      </c>
      <c r="J37" s="50">
        <v>2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9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4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6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3</v>
      </c>
      <c r="P39" s="15">
        <f t="shared" si="1"/>
        <v>6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4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1</v>
      </c>
      <c r="M41" s="50">
        <v>17</v>
      </c>
      <c r="N41" s="50">
        <v>0</v>
      </c>
      <c r="O41" s="15">
        <f t="shared" si="0"/>
        <v>7</v>
      </c>
      <c r="P41" s="15">
        <f t="shared" si="1"/>
        <v>24</v>
      </c>
    </row>
    <row r="42" spans="2:20" ht="23.1" customHeight="1" x14ac:dyDescent="0.25">
      <c r="B42" s="24" t="s">
        <v>69</v>
      </c>
      <c r="C42" s="50">
        <v>6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10</v>
      </c>
      <c r="P42" s="15">
        <f t="shared" si="1"/>
        <v>19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2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2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2</v>
      </c>
      <c r="F44" s="50">
        <v>3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11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3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0</v>
      </c>
      <c r="P46" s="15">
        <f t="shared" si="1"/>
        <v>8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1</v>
      </c>
      <c r="E47" s="50">
        <v>1</v>
      </c>
      <c r="F47" s="50">
        <v>2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10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2</v>
      </c>
      <c r="F48" s="50">
        <v>1</v>
      </c>
      <c r="G48" s="50">
        <v>0</v>
      </c>
      <c r="H48" s="50">
        <v>0</v>
      </c>
      <c r="I48" s="50">
        <v>5</v>
      </c>
      <c r="J48" s="50">
        <v>1</v>
      </c>
      <c r="K48" s="50">
        <v>0</v>
      </c>
      <c r="L48" s="50">
        <v>0</v>
      </c>
      <c r="M48" s="50">
        <v>10</v>
      </c>
      <c r="N48" s="50">
        <v>0</v>
      </c>
      <c r="O48" s="15">
        <f t="shared" si="0"/>
        <v>11</v>
      </c>
      <c r="P48" s="15">
        <f t="shared" si="1"/>
        <v>21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2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0</v>
      </c>
      <c r="M49" s="50">
        <v>5</v>
      </c>
      <c r="N49" s="50">
        <v>0</v>
      </c>
      <c r="O49" s="15">
        <f t="shared" si="0"/>
        <v>6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1</v>
      </c>
      <c r="F50" s="50">
        <v>2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9</v>
      </c>
      <c r="P50" s="15">
        <f t="shared" si="1"/>
        <v>15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0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10</v>
      </c>
      <c r="N51" s="50">
        <v>0</v>
      </c>
      <c r="O51" s="15">
        <f t="shared" si="0"/>
        <v>4</v>
      </c>
      <c r="P51" s="15">
        <f t="shared" si="1"/>
        <v>14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1</v>
      </c>
      <c r="F52" s="50">
        <v>1</v>
      </c>
      <c r="G52" s="50">
        <v>1</v>
      </c>
      <c r="H52" s="50">
        <v>0</v>
      </c>
      <c r="I52" s="50">
        <v>1</v>
      </c>
      <c r="J52" s="50">
        <v>1</v>
      </c>
      <c r="K52" s="50">
        <v>1</v>
      </c>
      <c r="L52" s="50">
        <v>0</v>
      </c>
      <c r="M52" s="50">
        <v>4</v>
      </c>
      <c r="N52" s="50">
        <v>0</v>
      </c>
      <c r="O52" s="15">
        <f t="shared" si="0"/>
        <v>7</v>
      </c>
      <c r="P52" s="15">
        <f t="shared" si="1"/>
        <v>11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0</v>
      </c>
      <c r="M53" s="50">
        <v>12</v>
      </c>
      <c r="N53" s="50">
        <v>0</v>
      </c>
      <c r="O53" s="15">
        <f t="shared" si="0"/>
        <v>4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7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4</v>
      </c>
      <c r="G55" s="50">
        <v>0</v>
      </c>
      <c r="H55" s="50">
        <v>0</v>
      </c>
      <c r="I55" s="50">
        <v>2</v>
      </c>
      <c r="J55" s="50">
        <v>1</v>
      </c>
      <c r="K55" s="50">
        <v>1</v>
      </c>
      <c r="L55" s="50">
        <v>0</v>
      </c>
      <c r="M55" s="50">
        <v>11</v>
      </c>
      <c r="N55" s="50">
        <v>0</v>
      </c>
      <c r="O55" s="15">
        <f t="shared" si="0"/>
        <v>10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1</v>
      </c>
      <c r="F56" s="50">
        <v>0</v>
      </c>
      <c r="G56" s="50">
        <v>1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4</v>
      </c>
      <c r="P56" s="15">
        <f t="shared" si="1"/>
        <v>16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2</v>
      </c>
      <c r="K57" s="50">
        <v>1</v>
      </c>
      <c r="L57" s="50">
        <v>0</v>
      </c>
      <c r="M57" s="50">
        <v>7</v>
      </c>
      <c r="N57" s="50">
        <v>0</v>
      </c>
      <c r="O57" s="15">
        <f t="shared" si="0"/>
        <v>8</v>
      </c>
      <c r="P57" s="15">
        <f t="shared" si="1"/>
        <v>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85</v>
      </c>
      <c r="D58" s="16">
        <f t="shared" si="21"/>
        <v>12</v>
      </c>
      <c r="E58" s="16">
        <f t="shared" si="21"/>
        <v>47</v>
      </c>
      <c r="F58" s="16">
        <f t="shared" si="21"/>
        <v>39</v>
      </c>
      <c r="G58" s="16">
        <f t="shared" si="21"/>
        <v>3</v>
      </c>
      <c r="H58" s="16">
        <f t="shared" si="21"/>
        <v>0</v>
      </c>
      <c r="I58" s="16">
        <f t="shared" si="21"/>
        <v>43</v>
      </c>
      <c r="J58" s="16">
        <f t="shared" si="21"/>
        <v>29</v>
      </c>
      <c r="K58" s="16">
        <f t="shared" si="21"/>
        <v>16</v>
      </c>
      <c r="L58" s="16">
        <f t="shared" si="21"/>
        <v>1</v>
      </c>
      <c r="M58" s="16">
        <f t="shared" si="21"/>
        <v>363</v>
      </c>
      <c r="N58" s="16">
        <f t="shared" si="21"/>
        <v>0</v>
      </c>
      <c r="O58" s="16">
        <f t="shared" si="21"/>
        <v>275</v>
      </c>
      <c r="P58" s="16">
        <f t="shared" si="21"/>
        <v>638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0.13322884012539185</v>
      </c>
      <c r="D59" s="43">
        <f t="shared" si="22"/>
        <v>1.8808777429467086E-2</v>
      </c>
      <c r="E59" s="43">
        <f t="shared" si="22"/>
        <v>7.3667711598746077E-2</v>
      </c>
      <c r="F59" s="43">
        <f t="shared" si="22"/>
        <v>6.1128526645768025E-2</v>
      </c>
      <c r="G59" s="43">
        <f t="shared" si="22"/>
        <v>4.7021943573667714E-3</v>
      </c>
      <c r="H59" s="43">
        <f t="shared" si="22"/>
        <v>0</v>
      </c>
      <c r="I59" s="43">
        <f t="shared" si="22"/>
        <v>6.7398119122257058E-2</v>
      </c>
      <c r="J59" s="43">
        <f t="shared" si="22"/>
        <v>4.5454545454545456E-2</v>
      </c>
      <c r="K59" s="43">
        <f t="shared" si="22"/>
        <v>2.5078369905956112E-2</v>
      </c>
      <c r="L59" s="43">
        <f t="shared" si="22"/>
        <v>1.567398119122257E-3</v>
      </c>
      <c r="M59" s="43">
        <f t="shared" si="22"/>
        <v>0.56896551724137934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0.30909090909090908</v>
      </c>
      <c r="D60" s="44">
        <f t="shared" ref="D60:N60" si="23">D58/$O$58</f>
        <v>4.363636363636364E-2</v>
      </c>
      <c r="E60" s="44">
        <f t="shared" si="23"/>
        <v>0.1709090909090909</v>
      </c>
      <c r="F60" s="44">
        <f t="shared" si="23"/>
        <v>0.14181818181818182</v>
      </c>
      <c r="G60" s="44">
        <f t="shared" si="23"/>
        <v>1.090909090909091E-2</v>
      </c>
      <c r="H60" s="44">
        <f t="shared" si="23"/>
        <v>0</v>
      </c>
      <c r="I60" s="44">
        <f t="shared" si="23"/>
        <v>0.15636363636363637</v>
      </c>
      <c r="J60" s="44">
        <f t="shared" si="23"/>
        <v>0.10545454545454545</v>
      </c>
      <c r="K60" s="44">
        <f t="shared" si="23"/>
        <v>5.8181818181818182E-2</v>
      </c>
      <c r="L60" s="44">
        <f t="shared" si="23"/>
        <v>3.6363636363636364E-3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F10" sqref="F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1" t="s">
        <v>96</v>
      </c>
      <c r="C3" s="68" t="s">
        <v>164</v>
      </c>
      <c r="D3" s="68"/>
      <c r="E3" s="68"/>
      <c r="F3" s="68"/>
      <c r="G3" s="68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173</v>
      </c>
      <c r="E5" s="3"/>
      <c r="F5" s="41" t="s">
        <v>1</v>
      </c>
      <c r="G5" s="61" t="s">
        <v>165</v>
      </c>
      <c r="H5" s="62"/>
      <c r="I5" s="14"/>
      <c r="J5" s="2" t="s">
        <v>5</v>
      </c>
      <c r="K5" s="61" t="s">
        <v>168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167</v>
      </c>
      <c r="E6" s="62"/>
      <c r="F6" s="2" t="s">
        <v>2</v>
      </c>
      <c r="G6" s="61" t="s">
        <v>166</v>
      </c>
      <c r="H6" s="62"/>
      <c r="J6" s="2" t="s">
        <v>21</v>
      </c>
      <c r="K6" s="61" t="s">
        <v>169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v>2</v>
      </c>
      <c r="P10" s="15">
        <f t="shared" ref="P10:P57" si="0">SUM(C10:N10)</f>
        <v>5</v>
      </c>
      <c r="R10" s="1" t="s">
        <v>6</v>
      </c>
      <c r="S10" s="17">
        <f t="shared" ref="S10:AF10" si="1">SUM(C10:C13)</f>
        <v>8</v>
      </c>
      <c r="T10" s="17">
        <f t="shared" si="1"/>
        <v>0</v>
      </c>
      <c r="U10" s="17">
        <f t="shared" si="1"/>
        <v>2</v>
      </c>
      <c r="V10" s="17">
        <f t="shared" si="1"/>
        <v>1</v>
      </c>
      <c r="W10" s="17">
        <f t="shared" si="1"/>
        <v>0</v>
      </c>
      <c r="X10" s="17">
        <f t="shared" si="1"/>
        <v>0</v>
      </c>
      <c r="Y10" s="17">
        <f t="shared" si="1"/>
        <v>3</v>
      </c>
      <c r="Z10" s="17">
        <f t="shared" si="1"/>
        <v>0</v>
      </c>
      <c r="AA10" s="17">
        <f t="shared" si="1"/>
        <v>3</v>
      </c>
      <c r="AB10" s="17">
        <f t="shared" si="1"/>
        <v>0</v>
      </c>
      <c r="AC10" s="17">
        <f t="shared" si="1"/>
        <v>21</v>
      </c>
      <c r="AD10" s="17">
        <f t="shared" si="1"/>
        <v>0</v>
      </c>
      <c r="AE10" s="31">
        <f t="shared" si="1"/>
        <v>16</v>
      </c>
      <c r="AF10" s="31">
        <f t="shared" si="1"/>
        <v>38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ref="O11:O57" si="2">SUM(C11:L11,N11)</f>
        <v>1</v>
      </c>
      <c r="P11" s="15">
        <f t="shared" si="0"/>
        <v>10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7</v>
      </c>
      <c r="V11" s="17">
        <f t="shared" si="3"/>
        <v>9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20</v>
      </c>
      <c r="AD11" s="17">
        <f t="shared" si="3"/>
        <v>1</v>
      </c>
      <c r="AE11" s="31">
        <f t="shared" si="3"/>
        <v>32</v>
      </c>
      <c r="AF11" s="31">
        <f t="shared" si="3"/>
        <v>52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2</v>
      </c>
      <c r="L12" s="50">
        <v>0</v>
      </c>
      <c r="M12" s="50">
        <v>3</v>
      </c>
      <c r="N12" s="50">
        <v>0</v>
      </c>
      <c r="O12" s="15">
        <f t="shared" si="2"/>
        <v>5</v>
      </c>
      <c r="P12" s="15">
        <f t="shared" si="0"/>
        <v>8</v>
      </c>
      <c r="R12" s="1" t="s">
        <v>8</v>
      </c>
      <c r="S12" s="17">
        <f t="shared" ref="S12:AF12" si="4">SUM(C18:C21)</f>
        <v>13</v>
      </c>
      <c r="T12" s="17">
        <f t="shared" si="4"/>
        <v>1</v>
      </c>
      <c r="U12" s="17">
        <f t="shared" si="4"/>
        <v>2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3</v>
      </c>
      <c r="AB12" s="17">
        <f t="shared" si="4"/>
        <v>0</v>
      </c>
      <c r="AC12" s="17">
        <f t="shared" si="4"/>
        <v>18</v>
      </c>
      <c r="AD12" s="17">
        <f t="shared" si="4"/>
        <v>0</v>
      </c>
      <c r="AE12" s="31">
        <f t="shared" si="4"/>
        <v>28</v>
      </c>
      <c r="AF12" s="31">
        <f t="shared" si="4"/>
        <v>46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7</v>
      </c>
      <c r="N13" s="50">
        <v>0</v>
      </c>
      <c r="O13" s="15">
        <f t="shared" si="2"/>
        <v>8</v>
      </c>
      <c r="P13" s="15">
        <f t="shared" si="0"/>
        <v>15</v>
      </c>
      <c r="R13" s="1" t="s">
        <v>9</v>
      </c>
      <c r="S13" s="17">
        <f t="shared" ref="S13:AF13" si="5">SUM(C22:C25)</f>
        <v>10</v>
      </c>
      <c r="T13" s="17">
        <f t="shared" si="5"/>
        <v>0</v>
      </c>
      <c r="U13" s="17">
        <f t="shared" si="5"/>
        <v>3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4</v>
      </c>
      <c r="AB13" s="17">
        <f t="shared" si="5"/>
        <v>0</v>
      </c>
      <c r="AC13" s="17">
        <f t="shared" si="5"/>
        <v>31</v>
      </c>
      <c r="AD13" s="17">
        <f t="shared" si="5"/>
        <v>0</v>
      </c>
      <c r="AE13" s="31">
        <f t="shared" si="5"/>
        <v>23</v>
      </c>
      <c r="AF13" s="31">
        <f t="shared" si="5"/>
        <v>54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1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2"/>
        <v>5</v>
      </c>
      <c r="P14" s="15">
        <f t="shared" si="0"/>
        <v>9</v>
      </c>
      <c r="R14" s="1" t="s">
        <v>10</v>
      </c>
      <c r="S14" s="17">
        <f t="shared" ref="S14:AF14" si="6">SUM(C26:C29)</f>
        <v>10</v>
      </c>
      <c r="T14" s="17">
        <f t="shared" si="6"/>
        <v>3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27</v>
      </c>
      <c r="AD14" s="17">
        <f t="shared" si="6"/>
        <v>0</v>
      </c>
      <c r="AE14" s="31">
        <f t="shared" si="6"/>
        <v>22</v>
      </c>
      <c r="AF14" s="31">
        <f t="shared" si="6"/>
        <v>49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3</v>
      </c>
      <c r="J15" s="50">
        <v>1</v>
      </c>
      <c r="K15" s="50">
        <v>1</v>
      </c>
      <c r="L15" s="50">
        <v>0</v>
      </c>
      <c r="M15" s="50">
        <v>7</v>
      </c>
      <c r="N15" s="50">
        <v>1</v>
      </c>
      <c r="O15" s="15">
        <f t="shared" si="2"/>
        <v>11</v>
      </c>
      <c r="P15" s="15">
        <f t="shared" si="0"/>
        <v>18</v>
      </c>
      <c r="R15" s="1" t="s">
        <v>11</v>
      </c>
      <c r="S15" s="17">
        <f t="shared" ref="S15:AF15" si="7">SUM(C30:C33)</f>
        <v>8</v>
      </c>
      <c r="T15" s="17">
        <f t="shared" si="7"/>
        <v>2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5</v>
      </c>
      <c r="AA15" s="17">
        <f t="shared" si="7"/>
        <v>2</v>
      </c>
      <c r="AB15" s="17">
        <f t="shared" si="7"/>
        <v>0</v>
      </c>
      <c r="AC15" s="17">
        <f t="shared" si="7"/>
        <v>24</v>
      </c>
      <c r="AD15" s="17">
        <f t="shared" si="7"/>
        <v>0</v>
      </c>
      <c r="AE15" s="31">
        <f t="shared" si="7"/>
        <v>21</v>
      </c>
      <c r="AF15" s="31">
        <f t="shared" si="7"/>
        <v>45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6</v>
      </c>
      <c r="F16" s="50">
        <v>4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4</v>
      </c>
      <c r="N16" s="50">
        <v>0</v>
      </c>
      <c r="O16" s="15">
        <f t="shared" si="2"/>
        <v>12</v>
      </c>
      <c r="P16" s="15">
        <f t="shared" si="0"/>
        <v>16</v>
      </c>
      <c r="R16" s="1" t="s">
        <v>12</v>
      </c>
      <c r="S16" s="17">
        <f t="shared" ref="S16:AF16" si="8">SUM(C34:C37)</f>
        <v>8</v>
      </c>
      <c r="T16" s="17">
        <f t="shared" si="8"/>
        <v>2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36</v>
      </c>
      <c r="AD16" s="17">
        <f t="shared" si="8"/>
        <v>0</v>
      </c>
      <c r="AE16" s="31">
        <f t="shared" si="8"/>
        <v>24</v>
      </c>
      <c r="AF16" s="31">
        <f t="shared" si="8"/>
        <v>60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2"/>
        <v>4</v>
      </c>
      <c r="P17" s="15">
        <f t="shared" si="0"/>
        <v>9</v>
      </c>
      <c r="R17" s="1" t="s">
        <v>13</v>
      </c>
      <c r="S17" s="17">
        <f t="shared" ref="S17:AF17" si="9">SUM(C38:C41)</f>
        <v>7</v>
      </c>
      <c r="T17" s="17">
        <f t="shared" si="9"/>
        <v>4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9</v>
      </c>
      <c r="AA17" s="17">
        <f t="shared" si="9"/>
        <v>2</v>
      </c>
      <c r="AB17" s="17">
        <f t="shared" si="9"/>
        <v>0</v>
      </c>
      <c r="AC17" s="17">
        <f t="shared" si="9"/>
        <v>33</v>
      </c>
      <c r="AD17" s="17">
        <f t="shared" si="9"/>
        <v>0</v>
      </c>
      <c r="AE17" s="31">
        <f t="shared" si="9"/>
        <v>28</v>
      </c>
      <c r="AF17" s="31">
        <f t="shared" si="9"/>
        <v>61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2"/>
        <v>3</v>
      </c>
      <c r="P18" s="15">
        <f t="shared" si="0"/>
        <v>7</v>
      </c>
      <c r="R18" s="1" t="s">
        <v>14</v>
      </c>
      <c r="S18" s="17">
        <f t="shared" ref="S18:AF18" si="10">SUM(C42:C45)</f>
        <v>9</v>
      </c>
      <c r="T18" s="17">
        <f t="shared" si="10"/>
        <v>2</v>
      </c>
      <c r="U18" s="17">
        <f t="shared" si="10"/>
        <v>4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30</v>
      </c>
      <c r="AD18" s="17">
        <f t="shared" si="10"/>
        <v>0</v>
      </c>
      <c r="AE18" s="31">
        <f t="shared" si="10"/>
        <v>25</v>
      </c>
      <c r="AF18" s="31">
        <f t="shared" si="10"/>
        <v>55</v>
      </c>
    </row>
    <row r="19" spans="2:32" ht="23.1" customHeight="1" x14ac:dyDescent="0.25">
      <c r="B19" s="23" t="s">
        <v>46</v>
      </c>
      <c r="C19" s="50">
        <v>4</v>
      </c>
      <c r="D19" s="50">
        <v>1</v>
      </c>
      <c r="E19" s="50">
        <v>1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2"/>
        <v>9</v>
      </c>
      <c r="P19" s="15">
        <f t="shared" si="0"/>
        <v>10</v>
      </c>
      <c r="R19" s="1" t="s">
        <v>15</v>
      </c>
      <c r="S19" s="17">
        <f t="shared" ref="S19:AF19" si="11">SUM(C46:C49)</f>
        <v>7</v>
      </c>
      <c r="T19" s="17">
        <f t="shared" si="11"/>
        <v>2</v>
      </c>
      <c r="U19" s="17">
        <f t="shared" si="11"/>
        <v>1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38</v>
      </c>
      <c r="AD19" s="17">
        <f t="shared" si="11"/>
        <v>0</v>
      </c>
      <c r="AE19" s="31">
        <f t="shared" si="11"/>
        <v>19</v>
      </c>
      <c r="AF19" s="31">
        <f t="shared" si="11"/>
        <v>57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1</v>
      </c>
      <c r="L20" s="50">
        <v>0</v>
      </c>
      <c r="M20" s="50">
        <v>5</v>
      </c>
      <c r="N20" s="50">
        <v>0</v>
      </c>
      <c r="O20" s="15">
        <f t="shared" si="2"/>
        <v>8</v>
      </c>
      <c r="P20" s="15">
        <f t="shared" si="0"/>
        <v>13</v>
      </c>
      <c r="R20" s="1" t="s">
        <v>16</v>
      </c>
      <c r="S20" s="17">
        <f t="shared" ref="S20:AF20" si="12">SUM(C50:C53)</f>
        <v>16</v>
      </c>
      <c r="T20" s="17">
        <f t="shared" si="12"/>
        <v>0</v>
      </c>
      <c r="U20" s="17">
        <f t="shared" si="12"/>
        <v>8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2</v>
      </c>
      <c r="Z20" s="17">
        <f t="shared" si="12"/>
        <v>8</v>
      </c>
      <c r="AA20" s="17">
        <f t="shared" si="12"/>
        <v>0</v>
      </c>
      <c r="AB20" s="17">
        <f t="shared" si="12"/>
        <v>0</v>
      </c>
      <c r="AC20" s="17">
        <f t="shared" si="12"/>
        <v>29</v>
      </c>
      <c r="AD20" s="17">
        <f t="shared" si="12"/>
        <v>0</v>
      </c>
      <c r="AE20" s="31">
        <f t="shared" si="12"/>
        <v>36</v>
      </c>
      <c r="AF20" s="31">
        <f t="shared" si="12"/>
        <v>65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2</v>
      </c>
      <c r="L21" s="50">
        <v>0</v>
      </c>
      <c r="M21" s="50">
        <v>8</v>
      </c>
      <c r="N21" s="50">
        <v>0</v>
      </c>
      <c r="O21" s="15">
        <f t="shared" si="2"/>
        <v>8</v>
      </c>
      <c r="P21" s="15">
        <f t="shared" si="0"/>
        <v>16</v>
      </c>
      <c r="R21" s="36" t="s">
        <v>20</v>
      </c>
      <c r="S21" s="34">
        <f t="shared" ref="S21:AF21" si="13">SUM(C54:C57)</f>
        <v>12</v>
      </c>
      <c r="T21" s="17">
        <f t="shared" si="13"/>
        <v>3</v>
      </c>
      <c r="U21" s="17">
        <f t="shared" si="13"/>
        <v>7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6</v>
      </c>
      <c r="AA21" s="17">
        <f t="shared" si="13"/>
        <v>1</v>
      </c>
      <c r="AB21" s="17">
        <f t="shared" si="13"/>
        <v>0</v>
      </c>
      <c r="AC21" s="17">
        <f t="shared" si="13"/>
        <v>43</v>
      </c>
      <c r="AD21" s="17">
        <f t="shared" si="13"/>
        <v>0</v>
      </c>
      <c r="AE21" s="31">
        <f t="shared" si="13"/>
        <v>33</v>
      </c>
      <c r="AF21" s="31">
        <f t="shared" si="13"/>
        <v>76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5</v>
      </c>
      <c r="N22" s="50">
        <v>0</v>
      </c>
      <c r="O22" s="15">
        <f t="shared" si="2"/>
        <v>6</v>
      </c>
      <c r="P22" s="15">
        <f t="shared" si="0"/>
        <v>11</v>
      </c>
      <c r="R22" s="38" t="s">
        <v>90</v>
      </c>
      <c r="S22" s="39">
        <f>MAX(S10:S12)</f>
        <v>13</v>
      </c>
      <c r="T22" s="39">
        <f t="shared" ref="T22:AF22" si="14">MAX(T10:T12)</f>
        <v>1</v>
      </c>
      <c r="U22" s="39">
        <f t="shared" si="14"/>
        <v>7</v>
      </c>
      <c r="V22" s="39">
        <f t="shared" si="14"/>
        <v>9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2</v>
      </c>
      <c r="AA22" s="39">
        <f t="shared" si="14"/>
        <v>3</v>
      </c>
      <c r="AB22" s="39">
        <f t="shared" si="14"/>
        <v>0</v>
      </c>
      <c r="AC22" s="39">
        <f t="shared" si="14"/>
        <v>21</v>
      </c>
      <c r="AD22" s="39">
        <f t="shared" si="14"/>
        <v>1</v>
      </c>
      <c r="AE22" s="40">
        <f t="shared" si="14"/>
        <v>32</v>
      </c>
      <c r="AF22" s="40">
        <f t="shared" si="14"/>
        <v>52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4</v>
      </c>
      <c r="N23" s="50">
        <v>0</v>
      </c>
      <c r="O23" s="15">
        <f t="shared" si="2"/>
        <v>6</v>
      </c>
      <c r="P23" s="15">
        <f t="shared" si="0"/>
        <v>10</v>
      </c>
      <c r="R23" s="38" t="s">
        <v>91</v>
      </c>
      <c r="S23" s="39">
        <f>MAX(S13:S18)</f>
        <v>10</v>
      </c>
      <c r="T23" s="39">
        <f t="shared" ref="T23:AF23" si="15">MAX(T13:T18)</f>
        <v>4</v>
      </c>
      <c r="U23" s="39">
        <f t="shared" si="15"/>
        <v>4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9</v>
      </c>
      <c r="AA23" s="39">
        <f t="shared" si="15"/>
        <v>4</v>
      </c>
      <c r="AB23" s="39">
        <f t="shared" si="15"/>
        <v>0</v>
      </c>
      <c r="AC23" s="39">
        <f t="shared" si="15"/>
        <v>36</v>
      </c>
      <c r="AD23" s="39">
        <f t="shared" si="15"/>
        <v>0</v>
      </c>
      <c r="AE23" s="40">
        <f t="shared" si="15"/>
        <v>28</v>
      </c>
      <c r="AF23" s="40">
        <f t="shared" si="15"/>
        <v>61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2</v>
      </c>
      <c r="L24" s="50">
        <v>0</v>
      </c>
      <c r="M24" s="50">
        <v>10</v>
      </c>
      <c r="N24" s="50">
        <v>0</v>
      </c>
      <c r="O24" s="15">
        <f t="shared" si="2"/>
        <v>6</v>
      </c>
      <c r="P24" s="15">
        <f t="shared" si="0"/>
        <v>16</v>
      </c>
      <c r="R24" s="38" t="s">
        <v>92</v>
      </c>
      <c r="S24" s="39">
        <f>MAX(S19:S21)</f>
        <v>16</v>
      </c>
      <c r="T24" s="39">
        <f t="shared" ref="T24:AF24" si="16">MAX(T19:T21)</f>
        <v>3</v>
      </c>
      <c r="U24" s="39">
        <f t="shared" si="16"/>
        <v>8</v>
      </c>
      <c r="V24" s="39">
        <f t="shared" si="16"/>
        <v>3</v>
      </c>
      <c r="W24" s="39">
        <f t="shared" si="16"/>
        <v>1</v>
      </c>
      <c r="X24" s="39">
        <f t="shared" si="16"/>
        <v>0</v>
      </c>
      <c r="Y24" s="39">
        <f t="shared" si="16"/>
        <v>3</v>
      </c>
      <c r="Z24" s="39">
        <f t="shared" si="16"/>
        <v>8</v>
      </c>
      <c r="AA24" s="39">
        <f t="shared" si="16"/>
        <v>1</v>
      </c>
      <c r="AB24" s="39">
        <f t="shared" si="16"/>
        <v>0</v>
      </c>
      <c r="AC24" s="39">
        <f t="shared" si="16"/>
        <v>43</v>
      </c>
      <c r="AD24" s="39">
        <f t="shared" si="16"/>
        <v>0</v>
      </c>
      <c r="AE24" s="40">
        <f t="shared" si="16"/>
        <v>36</v>
      </c>
      <c r="AF24" s="40">
        <f t="shared" si="16"/>
        <v>76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12</v>
      </c>
      <c r="N25" s="50">
        <v>0</v>
      </c>
      <c r="O25" s="15">
        <f t="shared" si="2"/>
        <v>5</v>
      </c>
      <c r="P25" s="15">
        <f t="shared" si="0"/>
        <v>17</v>
      </c>
      <c r="R25" s="37" t="s">
        <v>85</v>
      </c>
      <c r="S25" s="35">
        <f t="shared" ref="S25:AF25" si="17">SUM(S10:S12)</f>
        <v>27</v>
      </c>
      <c r="T25" s="16">
        <f t="shared" si="17"/>
        <v>1</v>
      </c>
      <c r="U25" s="16">
        <f t="shared" si="17"/>
        <v>11</v>
      </c>
      <c r="V25" s="16">
        <f t="shared" si="17"/>
        <v>15</v>
      </c>
      <c r="W25" s="16">
        <f t="shared" si="17"/>
        <v>0</v>
      </c>
      <c r="X25" s="16">
        <f t="shared" si="17"/>
        <v>0</v>
      </c>
      <c r="Y25" s="16">
        <f t="shared" si="17"/>
        <v>13</v>
      </c>
      <c r="Z25" s="16">
        <f t="shared" si="17"/>
        <v>2</v>
      </c>
      <c r="AA25" s="16">
        <f t="shared" si="17"/>
        <v>7</v>
      </c>
      <c r="AB25" s="16">
        <f t="shared" si="17"/>
        <v>0</v>
      </c>
      <c r="AC25" s="16">
        <f t="shared" si="17"/>
        <v>59</v>
      </c>
      <c r="AD25" s="16">
        <f t="shared" si="17"/>
        <v>1</v>
      </c>
      <c r="AE25" s="32">
        <f t="shared" si="17"/>
        <v>76</v>
      </c>
      <c r="AF25" s="32">
        <f t="shared" si="17"/>
        <v>136</v>
      </c>
    </row>
    <row r="26" spans="2:32" ht="23.1" customHeight="1" x14ac:dyDescent="0.25">
      <c r="B26" s="23" t="s">
        <v>53</v>
      </c>
      <c r="C26" s="50">
        <v>2</v>
      </c>
      <c r="D26" s="50">
        <v>3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2"/>
        <v>7</v>
      </c>
      <c r="P26" s="15">
        <f t="shared" si="0"/>
        <v>16</v>
      </c>
      <c r="R26" s="28" t="s">
        <v>86</v>
      </c>
      <c r="S26" s="16">
        <f t="shared" ref="S26:AF26" si="18">SUM(S13:S18)</f>
        <v>52</v>
      </c>
      <c r="T26" s="16">
        <f t="shared" si="18"/>
        <v>13</v>
      </c>
      <c r="U26" s="16">
        <f t="shared" si="18"/>
        <v>18</v>
      </c>
      <c r="V26" s="16">
        <f t="shared" si="18"/>
        <v>9</v>
      </c>
      <c r="W26" s="16">
        <f t="shared" si="18"/>
        <v>0</v>
      </c>
      <c r="X26" s="16">
        <f t="shared" si="18"/>
        <v>0</v>
      </c>
      <c r="Y26" s="16">
        <f t="shared" si="18"/>
        <v>19</v>
      </c>
      <c r="Z26" s="16">
        <f t="shared" si="18"/>
        <v>21</v>
      </c>
      <c r="AA26" s="16">
        <f t="shared" si="18"/>
        <v>11</v>
      </c>
      <c r="AB26" s="16">
        <f t="shared" si="18"/>
        <v>0</v>
      </c>
      <c r="AC26" s="16">
        <f t="shared" si="18"/>
        <v>181</v>
      </c>
      <c r="AD26" s="16">
        <f t="shared" si="18"/>
        <v>0</v>
      </c>
      <c r="AE26" s="32">
        <f t="shared" si="18"/>
        <v>143</v>
      </c>
      <c r="AF26" s="32">
        <f t="shared" si="18"/>
        <v>324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4</v>
      </c>
      <c r="N27" s="50">
        <v>0</v>
      </c>
      <c r="O27" s="15">
        <f t="shared" si="2"/>
        <v>2</v>
      </c>
      <c r="P27" s="15">
        <f t="shared" si="0"/>
        <v>6</v>
      </c>
      <c r="R27" s="29" t="s">
        <v>87</v>
      </c>
      <c r="S27" s="16">
        <f t="shared" ref="S27:AF27" si="19">SUM(S19:S21)</f>
        <v>35</v>
      </c>
      <c r="T27" s="16">
        <f t="shared" si="19"/>
        <v>5</v>
      </c>
      <c r="U27" s="16">
        <f t="shared" si="19"/>
        <v>16</v>
      </c>
      <c r="V27" s="16">
        <f t="shared" si="19"/>
        <v>5</v>
      </c>
      <c r="W27" s="16">
        <f t="shared" si="19"/>
        <v>1</v>
      </c>
      <c r="X27" s="16">
        <f t="shared" si="19"/>
        <v>0</v>
      </c>
      <c r="Y27" s="16">
        <f t="shared" si="19"/>
        <v>7</v>
      </c>
      <c r="Z27" s="16">
        <f t="shared" si="19"/>
        <v>18</v>
      </c>
      <c r="AA27" s="16">
        <f t="shared" si="19"/>
        <v>1</v>
      </c>
      <c r="AB27" s="16">
        <f t="shared" si="19"/>
        <v>0</v>
      </c>
      <c r="AC27" s="16">
        <f t="shared" si="19"/>
        <v>110</v>
      </c>
      <c r="AD27" s="16">
        <f t="shared" si="19"/>
        <v>0</v>
      </c>
      <c r="AE27" s="32">
        <f t="shared" si="19"/>
        <v>88</v>
      </c>
      <c r="AF27" s="32">
        <f t="shared" si="19"/>
        <v>198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2"/>
        <v>5</v>
      </c>
      <c r="P28" s="15">
        <f t="shared" si="0"/>
        <v>11</v>
      </c>
      <c r="R28" s="5" t="s">
        <v>17</v>
      </c>
      <c r="S28" s="16">
        <f t="shared" ref="S28:AF28" si="20">SUM(S10:S21)</f>
        <v>114</v>
      </c>
      <c r="T28" s="16">
        <f t="shared" si="20"/>
        <v>19</v>
      </c>
      <c r="U28" s="16">
        <f t="shared" si="20"/>
        <v>45</v>
      </c>
      <c r="V28" s="16">
        <f t="shared" si="20"/>
        <v>29</v>
      </c>
      <c r="W28" s="16">
        <f t="shared" si="20"/>
        <v>1</v>
      </c>
      <c r="X28" s="16">
        <f t="shared" si="20"/>
        <v>0</v>
      </c>
      <c r="Y28" s="16">
        <f t="shared" si="20"/>
        <v>39</v>
      </c>
      <c r="Z28" s="16">
        <f t="shared" si="20"/>
        <v>41</v>
      </c>
      <c r="AA28" s="16">
        <f t="shared" si="20"/>
        <v>19</v>
      </c>
      <c r="AB28" s="16">
        <f t="shared" si="20"/>
        <v>0</v>
      </c>
      <c r="AC28" s="16">
        <f t="shared" si="20"/>
        <v>350</v>
      </c>
      <c r="AD28" s="16">
        <f t="shared" si="20"/>
        <v>1</v>
      </c>
      <c r="AE28" s="32">
        <f t="shared" si="20"/>
        <v>307</v>
      </c>
      <c r="AF28" s="32">
        <f t="shared" si="20"/>
        <v>658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2"/>
        <v>8</v>
      </c>
      <c r="P29" s="15">
        <f t="shared" si="0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2</v>
      </c>
      <c r="N30" s="50">
        <v>0</v>
      </c>
      <c r="O30" s="15">
        <f t="shared" si="2"/>
        <v>5</v>
      </c>
      <c r="P30" s="15">
        <f t="shared" si="0"/>
        <v>7</v>
      </c>
    </row>
    <row r="31" spans="2:32" ht="23.1" customHeight="1" x14ac:dyDescent="0.25">
      <c r="B31" s="24" t="s">
        <v>58</v>
      </c>
      <c r="C31" s="50">
        <v>2</v>
      </c>
      <c r="D31" s="50">
        <v>1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4</v>
      </c>
      <c r="N31" s="50">
        <v>0</v>
      </c>
      <c r="O31" s="15">
        <f t="shared" si="2"/>
        <v>5</v>
      </c>
      <c r="P31" s="15">
        <f t="shared" si="0"/>
        <v>9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11</v>
      </c>
      <c r="N32" s="50">
        <v>0</v>
      </c>
      <c r="O32" s="15">
        <f t="shared" si="2"/>
        <v>3</v>
      </c>
      <c r="P32" s="15">
        <f t="shared" si="0"/>
        <v>14</v>
      </c>
    </row>
    <row r="33" spans="2:20" ht="23.1" customHeight="1" x14ac:dyDescent="0.25">
      <c r="B33" s="23" t="s">
        <v>60</v>
      </c>
      <c r="C33" s="50">
        <v>3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4</v>
      </c>
      <c r="K33" s="50">
        <v>0</v>
      </c>
      <c r="L33" s="50">
        <v>0</v>
      </c>
      <c r="M33" s="50">
        <v>7</v>
      </c>
      <c r="N33" s="50">
        <v>0</v>
      </c>
      <c r="O33" s="15">
        <f t="shared" si="2"/>
        <v>8</v>
      </c>
      <c r="P33" s="15">
        <f t="shared" si="0"/>
        <v>15</v>
      </c>
    </row>
    <row r="34" spans="2:20" ht="23.1" customHeight="1" x14ac:dyDescent="0.25">
      <c r="B34" s="24" t="s">
        <v>61</v>
      </c>
      <c r="C34" s="50">
        <v>2</v>
      </c>
      <c r="D34" s="50">
        <v>2</v>
      </c>
      <c r="E34" s="50">
        <v>2</v>
      </c>
      <c r="F34" s="50">
        <v>1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2"/>
        <v>9</v>
      </c>
      <c r="P34" s="15">
        <f t="shared" si="0"/>
        <v>19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2"/>
        <v>1</v>
      </c>
      <c r="P35" s="15">
        <f t="shared" si="0"/>
        <v>13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7</v>
      </c>
      <c r="N36" s="50">
        <v>0</v>
      </c>
      <c r="O36" s="15">
        <f t="shared" si="2"/>
        <v>4</v>
      </c>
      <c r="P36" s="15">
        <f t="shared" si="0"/>
        <v>11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4</v>
      </c>
      <c r="J37" s="50">
        <v>0</v>
      </c>
      <c r="K37" s="50">
        <v>1</v>
      </c>
      <c r="L37" s="50">
        <v>0</v>
      </c>
      <c r="M37" s="50">
        <v>7</v>
      </c>
      <c r="N37" s="50">
        <v>0</v>
      </c>
      <c r="O37" s="15">
        <f t="shared" si="2"/>
        <v>10</v>
      </c>
      <c r="P37" s="15">
        <f t="shared" si="0"/>
        <v>17</v>
      </c>
    </row>
    <row r="38" spans="2:20" ht="23.1" customHeight="1" x14ac:dyDescent="0.25">
      <c r="B38" s="24" t="s">
        <v>65</v>
      </c>
      <c r="C38" s="50">
        <v>4</v>
      </c>
      <c r="D38" s="50">
        <v>0</v>
      </c>
      <c r="E38" s="50">
        <v>1</v>
      </c>
      <c r="F38" s="50">
        <v>1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5</v>
      </c>
      <c r="N38" s="50">
        <v>0</v>
      </c>
      <c r="O38" s="15">
        <f t="shared" si="2"/>
        <v>8</v>
      </c>
      <c r="P38" s="15">
        <f t="shared" si="0"/>
        <v>13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2</v>
      </c>
      <c r="L39" s="50">
        <v>0</v>
      </c>
      <c r="M39" s="50">
        <v>10</v>
      </c>
      <c r="N39" s="50">
        <v>0</v>
      </c>
      <c r="O39" s="15">
        <f t="shared" si="2"/>
        <v>6</v>
      </c>
      <c r="P39" s="15">
        <f t="shared" si="0"/>
        <v>16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2"/>
        <v>3</v>
      </c>
      <c r="P40" s="15">
        <f t="shared" si="0"/>
        <v>11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7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2"/>
        <v>11</v>
      </c>
      <c r="P41" s="15">
        <f t="shared" si="0"/>
        <v>21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2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3</v>
      </c>
      <c r="N42" s="50">
        <v>0</v>
      </c>
      <c r="O42" s="15">
        <f t="shared" si="2"/>
        <v>5</v>
      </c>
      <c r="P42" s="15">
        <f t="shared" si="0"/>
        <v>8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1</v>
      </c>
      <c r="L43" s="50">
        <v>0</v>
      </c>
      <c r="M43" s="50">
        <v>11</v>
      </c>
      <c r="N43" s="50">
        <v>0</v>
      </c>
      <c r="O43" s="15">
        <f t="shared" si="2"/>
        <v>6</v>
      </c>
      <c r="P43" s="15">
        <f t="shared" si="0"/>
        <v>17</v>
      </c>
    </row>
    <row r="44" spans="2:20" ht="23.1" customHeight="1" x14ac:dyDescent="0.25">
      <c r="B44" s="25" t="s">
        <v>71</v>
      </c>
      <c r="C44" s="50">
        <v>4</v>
      </c>
      <c r="D44" s="50">
        <v>2</v>
      </c>
      <c r="E44" s="50">
        <v>0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2"/>
        <v>9</v>
      </c>
      <c r="P44" s="15">
        <f t="shared" si="0"/>
        <v>18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7</v>
      </c>
      <c r="N45" s="50">
        <v>0</v>
      </c>
      <c r="O45" s="15">
        <f t="shared" si="2"/>
        <v>5</v>
      </c>
      <c r="P45" s="15">
        <f t="shared" si="0"/>
        <v>12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2"/>
        <v>5</v>
      </c>
      <c r="P46" s="15">
        <f t="shared" si="0"/>
        <v>16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0</v>
      </c>
      <c r="M47" s="50">
        <v>7</v>
      </c>
      <c r="N47" s="50">
        <v>0</v>
      </c>
      <c r="O47" s="15">
        <f t="shared" si="2"/>
        <v>6</v>
      </c>
      <c r="P47" s="15">
        <f t="shared" si="0"/>
        <v>13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8</v>
      </c>
      <c r="N48" s="50">
        <v>0</v>
      </c>
      <c r="O48" s="15">
        <f t="shared" si="2"/>
        <v>3</v>
      </c>
      <c r="P48" s="15">
        <f t="shared" si="0"/>
        <v>11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2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12</v>
      </c>
      <c r="N49" s="50">
        <v>0</v>
      </c>
      <c r="O49" s="15">
        <f t="shared" si="2"/>
        <v>5</v>
      </c>
      <c r="P49" s="15">
        <f t="shared" si="0"/>
        <v>17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1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2"/>
        <v>2</v>
      </c>
      <c r="P50" s="15">
        <f t="shared" si="0"/>
        <v>12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2</v>
      </c>
      <c r="K51" s="50">
        <v>0</v>
      </c>
      <c r="L51" s="50">
        <v>0</v>
      </c>
      <c r="M51" s="50">
        <v>5</v>
      </c>
      <c r="N51" s="50">
        <v>0</v>
      </c>
      <c r="O51" s="15">
        <f t="shared" si="2"/>
        <v>10</v>
      </c>
      <c r="P51" s="15">
        <f t="shared" si="0"/>
        <v>15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4</v>
      </c>
      <c r="F52" s="50">
        <v>1</v>
      </c>
      <c r="G52" s="50">
        <v>0</v>
      </c>
      <c r="H52" s="50">
        <v>0</v>
      </c>
      <c r="I52" s="50">
        <v>1</v>
      </c>
      <c r="J52" s="50">
        <v>5</v>
      </c>
      <c r="K52" s="50">
        <v>0</v>
      </c>
      <c r="L52" s="50">
        <v>0</v>
      </c>
      <c r="M52" s="50">
        <v>7</v>
      </c>
      <c r="N52" s="50">
        <v>0</v>
      </c>
      <c r="O52" s="15">
        <f t="shared" si="2"/>
        <v>15</v>
      </c>
      <c r="P52" s="15">
        <f t="shared" si="0"/>
        <v>22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3</v>
      </c>
      <c r="F53" s="50">
        <v>0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7</v>
      </c>
      <c r="N53" s="50">
        <v>0</v>
      </c>
      <c r="O53" s="15">
        <f t="shared" si="2"/>
        <v>9</v>
      </c>
      <c r="P53" s="15">
        <f t="shared" si="0"/>
        <v>16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3</v>
      </c>
      <c r="E54" s="50">
        <v>2</v>
      </c>
      <c r="F54" s="50">
        <v>1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6</v>
      </c>
      <c r="N54" s="50">
        <v>0</v>
      </c>
      <c r="O54" s="15">
        <f t="shared" si="2"/>
        <v>10</v>
      </c>
      <c r="P54" s="15">
        <f t="shared" si="0"/>
        <v>16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1</v>
      </c>
      <c r="J55" s="50">
        <v>3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2"/>
        <v>10</v>
      </c>
      <c r="P55" s="15">
        <f t="shared" si="0"/>
        <v>22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17</v>
      </c>
      <c r="N56" s="50">
        <v>0</v>
      </c>
      <c r="O56" s="15">
        <f t="shared" si="2"/>
        <v>6</v>
      </c>
      <c r="P56" s="15">
        <f t="shared" si="0"/>
        <v>23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2</v>
      </c>
      <c r="K57" s="50">
        <v>0</v>
      </c>
      <c r="L57" s="50">
        <v>0</v>
      </c>
      <c r="M57" s="50">
        <v>8</v>
      </c>
      <c r="N57" s="50">
        <v>0</v>
      </c>
      <c r="O57" s="15">
        <f t="shared" si="2"/>
        <v>7</v>
      </c>
      <c r="P57" s="15">
        <f t="shared" si="0"/>
        <v>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114</v>
      </c>
      <c r="D58" s="16">
        <f t="shared" si="21"/>
        <v>19</v>
      </c>
      <c r="E58" s="16">
        <f t="shared" si="21"/>
        <v>45</v>
      </c>
      <c r="F58" s="16">
        <f t="shared" si="21"/>
        <v>29</v>
      </c>
      <c r="G58" s="16">
        <f t="shared" si="21"/>
        <v>1</v>
      </c>
      <c r="H58" s="16">
        <f t="shared" si="21"/>
        <v>0</v>
      </c>
      <c r="I58" s="16">
        <f t="shared" si="21"/>
        <v>39</v>
      </c>
      <c r="J58" s="16">
        <f t="shared" si="21"/>
        <v>41</v>
      </c>
      <c r="K58" s="16">
        <f t="shared" si="21"/>
        <v>19</v>
      </c>
      <c r="L58" s="16">
        <f t="shared" si="21"/>
        <v>0</v>
      </c>
      <c r="M58" s="16">
        <f t="shared" si="21"/>
        <v>350</v>
      </c>
      <c r="N58" s="16">
        <f t="shared" si="21"/>
        <v>1</v>
      </c>
      <c r="O58" s="16">
        <f t="shared" si="21"/>
        <v>307</v>
      </c>
      <c r="P58" s="16">
        <f t="shared" si="21"/>
        <v>658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0.17325227963525835</v>
      </c>
      <c r="D59" s="43">
        <f t="shared" si="22"/>
        <v>2.8875379939209727E-2</v>
      </c>
      <c r="E59" s="43">
        <f t="shared" si="22"/>
        <v>6.8389057750759874E-2</v>
      </c>
      <c r="F59" s="43">
        <f t="shared" si="22"/>
        <v>4.4072948328267476E-2</v>
      </c>
      <c r="G59" s="43">
        <f t="shared" si="22"/>
        <v>1.5197568389057751E-3</v>
      </c>
      <c r="H59" s="43">
        <f t="shared" si="22"/>
        <v>0</v>
      </c>
      <c r="I59" s="43">
        <f t="shared" si="22"/>
        <v>5.9270516717325229E-2</v>
      </c>
      <c r="J59" s="43">
        <f t="shared" si="22"/>
        <v>6.231003039513678E-2</v>
      </c>
      <c r="K59" s="43">
        <f t="shared" si="22"/>
        <v>2.8875379939209727E-2</v>
      </c>
      <c r="L59" s="43">
        <f t="shared" si="22"/>
        <v>0</v>
      </c>
      <c r="M59" s="43">
        <f t="shared" si="22"/>
        <v>0.53191489361702127</v>
      </c>
      <c r="N59" s="43">
        <f t="shared" si="22"/>
        <v>1.5197568389057751E-3</v>
      </c>
      <c r="R59" s="8"/>
      <c r="T59"/>
    </row>
    <row r="60" spans="2:20" ht="23.1" customHeight="1" x14ac:dyDescent="0.25">
      <c r="B60" s="42" t="s">
        <v>94</v>
      </c>
      <c r="C60" s="44">
        <f>C58/$O$58</f>
        <v>0.37133550488599348</v>
      </c>
      <c r="D60" s="44">
        <f t="shared" ref="D60:N60" si="23">D58/$O$58</f>
        <v>6.1889250814332247E-2</v>
      </c>
      <c r="E60" s="44">
        <f t="shared" si="23"/>
        <v>0.1465798045602606</v>
      </c>
      <c r="F60" s="44">
        <f t="shared" si="23"/>
        <v>9.4462540716612378E-2</v>
      </c>
      <c r="G60" s="44">
        <f t="shared" si="23"/>
        <v>3.2573289902280132E-3</v>
      </c>
      <c r="H60" s="44">
        <f t="shared" si="23"/>
        <v>0</v>
      </c>
      <c r="I60" s="44">
        <f t="shared" si="23"/>
        <v>0.12703583061889251</v>
      </c>
      <c r="J60" s="44">
        <f t="shared" si="23"/>
        <v>0.13355048859934854</v>
      </c>
      <c r="K60" s="44">
        <f t="shared" si="23"/>
        <v>6.1889250814332247E-2</v>
      </c>
      <c r="L60" s="44">
        <f t="shared" si="23"/>
        <v>0</v>
      </c>
      <c r="M60" s="44"/>
      <c r="N60" s="44">
        <f t="shared" si="23"/>
        <v>3.2573289902280132E-3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S105" sqref="S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174</v>
      </c>
      <c r="E5" s="3"/>
      <c r="F5" s="41" t="s">
        <v>1</v>
      </c>
      <c r="G5" s="63" t="str">
        <f>'19.10 SEMBABULE MASAKA-24HRS'!G5:H5</f>
        <v>KIWUULA TC</v>
      </c>
      <c r="H5" s="64"/>
      <c r="I5" s="14"/>
      <c r="J5" s="2" t="s">
        <v>5</v>
      </c>
      <c r="K5" s="63" t="s">
        <v>176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166</v>
      </c>
      <c r="E6" s="64"/>
      <c r="F6" s="2" t="s">
        <v>2</v>
      </c>
      <c r="G6" s="63" t="s">
        <v>175</v>
      </c>
      <c r="H6" s="64"/>
      <c r="J6" s="2" t="s">
        <v>21</v>
      </c>
      <c r="K6" s="63" t="s">
        <v>172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11</v>
      </c>
      <c r="R10" s="1" t="s">
        <v>6</v>
      </c>
      <c r="S10" s="17">
        <f t="shared" ref="S10:AF10" si="2">SUM(C10:C13)</f>
        <v>2</v>
      </c>
      <c r="T10" s="17">
        <f t="shared" si="2"/>
        <v>2</v>
      </c>
      <c r="U10" s="17">
        <f t="shared" si="2"/>
        <v>0</v>
      </c>
      <c r="V10" s="17">
        <f t="shared" si="2"/>
        <v>1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22</v>
      </c>
      <c r="AD10" s="17">
        <f t="shared" si="2"/>
        <v>0</v>
      </c>
      <c r="AE10" s="31">
        <f t="shared" si="2"/>
        <v>9</v>
      </c>
      <c r="AF10" s="31">
        <f t="shared" si="2"/>
        <v>31</v>
      </c>
    </row>
    <row r="11" spans="2:32" s="6" customFormat="1" ht="23.1" customHeight="1" x14ac:dyDescent="0.25">
      <c r="B11" s="45" t="s">
        <v>38</v>
      </c>
      <c r="C11" s="50">
        <v>1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6</v>
      </c>
      <c r="N11" s="50">
        <v>0</v>
      </c>
      <c r="O11" s="15">
        <f t="shared" si="0"/>
        <v>3</v>
      </c>
      <c r="P11" s="15">
        <f t="shared" si="1"/>
        <v>9</v>
      </c>
      <c r="R11" s="1" t="s">
        <v>7</v>
      </c>
      <c r="S11" s="17">
        <f t="shared" ref="S11:AF11" si="3">SUM(C14:C17)</f>
        <v>8</v>
      </c>
      <c r="T11" s="17">
        <f t="shared" si="3"/>
        <v>1</v>
      </c>
      <c r="U11" s="17">
        <f t="shared" si="3"/>
        <v>3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34</v>
      </c>
      <c r="AD11" s="17">
        <f t="shared" si="3"/>
        <v>0</v>
      </c>
      <c r="AE11" s="31">
        <f t="shared" si="3"/>
        <v>19</v>
      </c>
      <c r="AF11" s="31">
        <f t="shared" si="3"/>
        <v>53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1</v>
      </c>
      <c r="P12" s="15">
        <f t="shared" si="1"/>
        <v>1</v>
      </c>
      <c r="R12" s="1" t="s">
        <v>8</v>
      </c>
      <c r="S12" s="17">
        <f t="shared" ref="S12:AF12" si="4">SUM(C18:C21)</f>
        <v>9</v>
      </c>
      <c r="T12" s="17">
        <f t="shared" si="4"/>
        <v>3</v>
      </c>
      <c r="U12" s="17">
        <f t="shared" si="4"/>
        <v>2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26</v>
      </c>
      <c r="AD12" s="17">
        <f t="shared" si="4"/>
        <v>0</v>
      </c>
      <c r="AE12" s="31">
        <f t="shared" si="4"/>
        <v>19</v>
      </c>
      <c r="AF12" s="31">
        <f t="shared" si="4"/>
        <v>45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3</v>
      </c>
      <c r="P13" s="15">
        <f t="shared" si="1"/>
        <v>10</v>
      </c>
      <c r="R13" s="1" t="s">
        <v>9</v>
      </c>
      <c r="S13" s="17">
        <f t="shared" ref="S13:AF13" si="5">SUM(C22:C25)</f>
        <v>9</v>
      </c>
      <c r="T13" s="17">
        <f t="shared" si="5"/>
        <v>1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6</v>
      </c>
      <c r="AA13" s="17">
        <f t="shared" si="5"/>
        <v>0</v>
      </c>
      <c r="AB13" s="17">
        <f t="shared" si="5"/>
        <v>0</v>
      </c>
      <c r="AC13" s="17">
        <f t="shared" si="5"/>
        <v>20</v>
      </c>
      <c r="AD13" s="17">
        <f t="shared" si="5"/>
        <v>1</v>
      </c>
      <c r="AE13" s="31">
        <f t="shared" si="5"/>
        <v>22</v>
      </c>
      <c r="AF13" s="31">
        <f t="shared" si="5"/>
        <v>42</v>
      </c>
    </row>
    <row r="14" spans="2:32" ht="23.1" customHeight="1" x14ac:dyDescent="0.25">
      <c r="B14" s="45" t="s">
        <v>41</v>
      </c>
      <c r="C14" s="50">
        <v>3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6</v>
      </c>
      <c r="P14" s="15">
        <f t="shared" si="1"/>
        <v>13</v>
      </c>
      <c r="R14" s="1" t="s">
        <v>10</v>
      </c>
      <c r="S14" s="17">
        <f t="shared" ref="S14:AF14" si="6">SUM(C26:C29)</f>
        <v>14</v>
      </c>
      <c r="T14" s="17">
        <f t="shared" si="6"/>
        <v>2</v>
      </c>
      <c r="U14" s="17">
        <f t="shared" si="6"/>
        <v>5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40</v>
      </c>
      <c r="AD14" s="17">
        <f t="shared" si="6"/>
        <v>0</v>
      </c>
      <c r="AE14" s="31">
        <f t="shared" si="6"/>
        <v>27</v>
      </c>
      <c r="AF14" s="31">
        <f t="shared" si="6"/>
        <v>67</v>
      </c>
    </row>
    <row r="15" spans="2:32" ht="23.1" customHeight="1" x14ac:dyDescent="0.25">
      <c r="B15" s="45" t="s">
        <v>42</v>
      </c>
      <c r="C15" s="50">
        <v>3</v>
      </c>
      <c r="D15" s="50">
        <v>1</v>
      </c>
      <c r="E15" s="50">
        <v>1</v>
      </c>
      <c r="F15" s="50">
        <v>1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8</v>
      </c>
      <c r="P15" s="15">
        <f t="shared" si="1"/>
        <v>17</v>
      </c>
      <c r="R15" s="1" t="s">
        <v>11</v>
      </c>
      <c r="S15" s="17">
        <f t="shared" ref="S15:AF15" si="7">SUM(C30:C33)</f>
        <v>12</v>
      </c>
      <c r="T15" s="17">
        <f t="shared" si="7"/>
        <v>4</v>
      </c>
      <c r="U15" s="17">
        <f t="shared" si="7"/>
        <v>7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4</v>
      </c>
      <c r="AA15" s="17">
        <f t="shared" si="7"/>
        <v>1</v>
      </c>
      <c r="AB15" s="17">
        <f t="shared" si="7"/>
        <v>0</v>
      </c>
      <c r="AC15" s="17">
        <f t="shared" si="7"/>
        <v>30</v>
      </c>
      <c r="AD15" s="17">
        <f t="shared" si="7"/>
        <v>0</v>
      </c>
      <c r="AE15" s="31">
        <f t="shared" si="7"/>
        <v>32</v>
      </c>
      <c r="AF15" s="31">
        <f t="shared" si="7"/>
        <v>62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1</v>
      </c>
      <c r="P16" s="15">
        <f t="shared" si="1"/>
        <v>10</v>
      </c>
      <c r="R16" s="1" t="s">
        <v>12</v>
      </c>
      <c r="S16" s="17">
        <f t="shared" ref="S16:AF16" si="8">SUM(C34:C37)</f>
        <v>10</v>
      </c>
      <c r="T16" s="17">
        <f t="shared" si="8"/>
        <v>0</v>
      </c>
      <c r="U16" s="17">
        <f t="shared" si="8"/>
        <v>6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28</v>
      </c>
      <c r="AD16" s="17">
        <f t="shared" si="8"/>
        <v>0</v>
      </c>
      <c r="AE16" s="31">
        <f t="shared" si="8"/>
        <v>22</v>
      </c>
      <c r="AF16" s="31">
        <f t="shared" si="8"/>
        <v>50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4</v>
      </c>
      <c r="P17" s="15">
        <f t="shared" si="1"/>
        <v>13</v>
      </c>
      <c r="R17" s="1" t="s">
        <v>13</v>
      </c>
      <c r="S17" s="17">
        <f t="shared" ref="S17:AF17" si="9">SUM(C38:C41)</f>
        <v>13</v>
      </c>
      <c r="T17" s="17">
        <f t="shared" si="9"/>
        <v>0</v>
      </c>
      <c r="U17" s="17">
        <f t="shared" si="9"/>
        <v>2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39</v>
      </c>
      <c r="AD17" s="17">
        <f t="shared" si="9"/>
        <v>0</v>
      </c>
      <c r="AE17" s="31">
        <f t="shared" si="9"/>
        <v>24</v>
      </c>
      <c r="AF17" s="31">
        <f t="shared" si="9"/>
        <v>63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10</v>
      </c>
      <c r="T18" s="17">
        <f t="shared" si="10"/>
        <v>1</v>
      </c>
      <c r="U18" s="17">
        <f t="shared" si="10"/>
        <v>0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37</v>
      </c>
      <c r="AD18" s="17">
        <f t="shared" si="10"/>
        <v>0</v>
      </c>
      <c r="AE18" s="31">
        <f t="shared" si="10"/>
        <v>22</v>
      </c>
      <c r="AF18" s="31">
        <f t="shared" si="10"/>
        <v>59</v>
      </c>
    </row>
    <row r="19" spans="2:32" ht="23.1" customHeight="1" x14ac:dyDescent="0.25">
      <c r="B19" s="45" t="s">
        <v>46</v>
      </c>
      <c r="C19" s="50">
        <v>1</v>
      </c>
      <c r="D19" s="50">
        <v>1</v>
      </c>
      <c r="E19" s="50">
        <v>2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5</v>
      </c>
      <c r="P19" s="15">
        <f t="shared" si="1"/>
        <v>12</v>
      </c>
      <c r="R19" s="1" t="s">
        <v>15</v>
      </c>
      <c r="S19" s="17">
        <f t="shared" ref="S19:AF19" si="11">SUM(C46:C49)</f>
        <v>10</v>
      </c>
      <c r="T19" s="17">
        <f t="shared" si="11"/>
        <v>4</v>
      </c>
      <c r="U19" s="17">
        <f t="shared" si="11"/>
        <v>1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9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28</v>
      </c>
      <c r="AD19" s="17">
        <f t="shared" si="11"/>
        <v>1</v>
      </c>
      <c r="AE19" s="31">
        <f t="shared" si="11"/>
        <v>36</v>
      </c>
      <c r="AF19" s="31">
        <f t="shared" si="11"/>
        <v>64</v>
      </c>
    </row>
    <row r="20" spans="2:32" ht="23.1" customHeight="1" x14ac:dyDescent="0.25">
      <c r="B20" s="45" t="s">
        <v>47</v>
      </c>
      <c r="C20" s="50">
        <v>5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6</v>
      </c>
      <c r="P20" s="15">
        <f t="shared" si="1"/>
        <v>14</v>
      </c>
      <c r="R20" s="1" t="s">
        <v>16</v>
      </c>
      <c r="S20" s="17">
        <f t="shared" ref="S20:AF20" si="12">SUM(C50:C53)</f>
        <v>10</v>
      </c>
      <c r="T20" s="17">
        <f t="shared" si="12"/>
        <v>1</v>
      </c>
      <c r="U20" s="17">
        <f t="shared" si="12"/>
        <v>5</v>
      </c>
      <c r="V20" s="17">
        <f t="shared" si="12"/>
        <v>19</v>
      </c>
      <c r="W20" s="17">
        <f t="shared" si="12"/>
        <v>0</v>
      </c>
      <c r="X20" s="17">
        <f t="shared" si="12"/>
        <v>1</v>
      </c>
      <c r="Y20" s="17">
        <f t="shared" si="12"/>
        <v>6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20</v>
      </c>
      <c r="AD20" s="17">
        <f t="shared" si="12"/>
        <v>0</v>
      </c>
      <c r="AE20" s="31">
        <f t="shared" si="12"/>
        <v>47</v>
      </c>
      <c r="AF20" s="31">
        <f t="shared" si="12"/>
        <v>67</v>
      </c>
    </row>
    <row r="21" spans="2:32" ht="23.1" customHeight="1" x14ac:dyDescent="0.25">
      <c r="B21" s="45" t="s">
        <v>48</v>
      </c>
      <c r="C21" s="50">
        <v>2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6</v>
      </c>
      <c r="P21" s="15">
        <f t="shared" si="1"/>
        <v>13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3</v>
      </c>
      <c r="V21" s="17">
        <f t="shared" si="13"/>
        <v>2</v>
      </c>
      <c r="W21" s="17">
        <f t="shared" si="13"/>
        <v>0</v>
      </c>
      <c r="X21" s="17">
        <f t="shared" si="13"/>
        <v>1</v>
      </c>
      <c r="Y21" s="17">
        <f t="shared" si="13"/>
        <v>9</v>
      </c>
      <c r="Z21" s="17">
        <f t="shared" si="13"/>
        <v>5</v>
      </c>
      <c r="AA21" s="17">
        <f t="shared" si="13"/>
        <v>1</v>
      </c>
      <c r="AB21" s="17">
        <f t="shared" si="13"/>
        <v>0</v>
      </c>
      <c r="AC21" s="17">
        <f t="shared" si="13"/>
        <v>32</v>
      </c>
      <c r="AD21" s="17">
        <f t="shared" si="13"/>
        <v>0</v>
      </c>
      <c r="AE21" s="31">
        <f t="shared" si="13"/>
        <v>26</v>
      </c>
      <c r="AF21" s="31">
        <f t="shared" si="13"/>
        <v>58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4</v>
      </c>
      <c r="P22" s="15">
        <f t="shared" si="1"/>
        <v>10</v>
      </c>
      <c r="R22" s="36" t="s">
        <v>146</v>
      </c>
      <c r="S22" s="34">
        <f>SUM(C58:C61)</f>
        <v>5</v>
      </c>
      <c r="T22" s="34">
        <f t="shared" ref="T22:AF22" si="14">SUM(D58:D61)</f>
        <v>2</v>
      </c>
      <c r="U22" s="34">
        <f t="shared" si="14"/>
        <v>1</v>
      </c>
      <c r="V22" s="34">
        <f t="shared" si="14"/>
        <v>3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2</v>
      </c>
      <c r="AA22" s="34">
        <f t="shared" si="14"/>
        <v>0</v>
      </c>
      <c r="AB22" s="34">
        <f t="shared" si="14"/>
        <v>1</v>
      </c>
      <c r="AC22" s="34">
        <f t="shared" si="14"/>
        <v>34</v>
      </c>
      <c r="AD22" s="34">
        <f t="shared" si="14"/>
        <v>0</v>
      </c>
      <c r="AE22" s="31">
        <f t="shared" si="14"/>
        <v>18</v>
      </c>
      <c r="AF22" s="31">
        <f t="shared" si="14"/>
        <v>52</v>
      </c>
    </row>
    <row r="23" spans="2:32" ht="23.1" customHeight="1" x14ac:dyDescent="0.25">
      <c r="B23" s="45" t="s">
        <v>50</v>
      </c>
      <c r="C23" s="50">
        <v>4</v>
      </c>
      <c r="D23" s="50">
        <v>1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3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9</v>
      </c>
      <c r="P23" s="15">
        <f t="shared" si="1"/>
        <v>13</v>
      </c>
      <c r="R23" s="36" t="s">
        <v>147</v>
      </c>
      <c r="S23" s="34">
        <f>SUM(C62:C65)</f>
        <v>14</v>
      </c>
      <c r="T23" s="34">
        <f t="shared" ref="T23:AF23" si="15">SUM(D62:D65)</f>
        <v>1</v>
      </c>
      <c r="U23" s="34">
        <f t="shared" si="15"/>
        <v>4</v>
      </c>
      <c r="V23" s="34">
        <f t="shared" si="15"/>
        <v>1</v>
      </c>
      <c r="W23" s="34">
        <f t="shared" si="15"/>
        <v>0</v>
      </c>
      <c r="X23" s="34">
        <f t="shared" si="15"/>
        <v>1</v>
      </c>
      <c r="Y23" s="34">
        <f t="shared" si="15"/>
        <v>4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35</v>
      </c>
      <c r="AD23" s="34">
        <f t="shared" si="15"/>
        <v>0</v>
      </c>
      <c r="AE23" s="31">
        <f t="shared" si="15"/>
        <v>25</v>
      </c>
      <c r="AF23" s="31">
        <f t="shared" si="15"/>
        <v>60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0</v>
      </c>
      <c r="M24" s="50">
        <v>6</v>
      </c>
      <c r="N24" s="50">
        <v>1</v>
      </c>
      <c r="O24" s="15">
        <f t="shared" si="0"/>
        <v>7</v>
      </c>
      <c r="P24" s="15">
        <f t="shared" si="1"/>
        <v>13</v>
      </c>
      <c r="R24" s="36" t="s">
        <v>148</v>
      </c>
      <c r="S24" s="34">
        <f>SUM(C66:C69)</f>
        <v>6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10</v>
      </c>
      <c r="AA24" s="34">
        <f t="shared" si="16"/>
        <v>0</v>
      </c>
      <c r="AB24" s="34">
        <f t="shared" si="16"/>
        <v>0</v>
      </c>
      <c r="AC24" s="34">
        <f t="shared" si="16"/>
        <v>13</v>
      </c>
      <c r="AD24" s="34">
        <f t="shared" si="16"/>
        <v>0</v>
      </c>
      <c r="AE24" s="31">
        <f t="shared" si="16"/>
        <v>18</v>
      </c>
      <c r="AF24" s="31">
        <f t="shared" si="16"/>
        <v>31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2</v>
      </c>
      <c r="P25" s="15">
        <f t="shared" si="1"/>
        <v>6</v>
      </c>
      <c r="R25" s="36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2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11</v>
      </c>
      <c r="AD25" s="34">
        <f t="shared" si="17"/>
        <v>0</v>
      </c>
      <c r="AE25" s="31">
        <f t="shared" si="17"/>
        <v>8</v>
      </c>
      <c r="AF25" s="31">
        <f t="shared" si="17"/>
        <v>19</v>
      </c>
    </row>
    <row r="26" spans="2:32" ht="23.1" customHeight="1" x14ac:dyDescent="0.25">
      <c r="B26" s="45" t="s">
        <v>53</v>
      </c>
      <c r="C26" s="50">
        <v>4</v>
      </c>
      <c r="D26" s="50">
        <v>0</v>
      </c>
      <c r="E26" s="50">
        <v>3</v>
      </c>
      <c r="F26" s="50">
        <v>0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11</v>
      </c>
      <c r="P26" s="15">
        <f t="shared" si="1"/>
        <v>22</v>
      </c>
      <c r="R26" s="36" t="s">
        <v>150</v>
      </c>
      <c r="S26" s="34">
        <f>SUM(C74:C77)</f>
        <v>10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</v>
      </c>
      <c r="AA26" s="34">
        <f t="shared" si="18"/>
        <v>1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15</v>
      </c>
      <c r="AF26" s="31">
        <f t="shared" si="18"/>
        <v>21</v>
      </c>
    </row>
    <row r="27" spans="2:32" ht="23.1" customHeight="1" x14ac:dyDescent="0.25">
      <c r="B27" s="45" t="s">
        <v>54</v>
      </c>
      <c r="C27" s="50">
        <v>3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4</v>
      </c>
      <c r="P27" s="15">
        <f t="shared" si="1"/>
        <v>15</v>
      </c>
      <c r="R27" s="36" t="s">
        <v>151</v>
      </c>
      <c r="S27" s="34">
        <f>SUM(C78:C81)</f>
        <v>4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6</v>
      </c>
      <c r="AD27" s="34">
        <f t="shared" si="19"/>
        <v>0</v>
      </c>
      <c r="AE27" s="31">
        <f t="shared" si="19"/>
        <v>9</v>
      </c>
      <c r="AF27" s="31">
        <f t="shared" si="19"/>
        <v>15</v>
      </c>
    </row>
    <row r="28" spans="2:32" ht="23.1" customHeight="1" x14ac:dyDescent="0.25">
      <c r="B28" s="45" t="s">
        <v>55</v>
      </c>
      <c r="C28" s="50">
        <v>6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9</v>
      </c>
      <c r="P28" s="15">
        <f t="shared" si="1"/>
        <v>20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1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1</v>
      </c>
      <c r="AB28" s="34">
        <f t="shared" si="20"/>
        <v>0</v>
      </c>
      <c r="AC28" s="34">
        <f t="shared" si="20"/>
        <v>4</v>
      </c>
      <c r="AD28" s="34">
        <f t="shared" si="20"/>
        <v>0</v>
      </c>
      <c r="AE28" s="31">
        <f t="shared" si="20"/>
        <v>5</v>
      </c>
      <c r="AF28" s="31">
        <f t="shared" si="20"/>
        <v>9</v>
      </c>
    </row>
    <row r="29" spans="2:32" ht="23.1" customHeight="1" x14ac:dyDescent="0.25">
      <c r="B29" s="45" t="s">
        <v>56</v>
      </c>
      <c r="C29" s="50">
        <v>1</v>
      </c>
      <c r="D29" s="50">
        <v>2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3</v>
      </c>
      <c r="P29" s="15">
        <f t="shared" si="1"/>
        <v>10</v>
      </c>
      <c r="R29" s="36" t="s">
        <v>153</v>
      </c>
      <c r="S29" s="34">
        <f>SUM(C86:C89)</f>
        <v>1</v>
      </c>
      <c r="T29" s="34">
        <f t="shared" ref="T29:AF29" si="21">SUM(D86:D89)</f>
        <v>1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6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2</v>
      </c>
      <c r="F30" s="50">
        <v>0</v>
      </c>
      <c r="G30" s="50">
        <v>0</v>
      </c>
      <c r="H30" s="50">
        <v>0</v>
      </c>
      <c r="I30" s="50">
        <v>3</v>
      </c>
      <c r="J30" s="50">
        <v>1</v>
      </c>
      <c r="K30" s="50">
        <v>1</v>
      </c>
      <c r="L30" s="50">
        <v>0</v>
      </c>
      <c r="M30" s="50">
        <v>9</v>
      </c>
      <c r="N30" s="50">
        <v>0</v>
      </c>
      <c r="O30" s="15">
        <f t="shared" si="0"/>
        <v>8</v>
      </c>
      <c r="P30" s="15">
        <f t="shared" si="1"/>
        <v>17</v>
      </c>
      <c r="R30" s="36" t="s">
        <v>154</v>
      </c>
      <c r="S30" s="34">
        <f>SUM(C90:C93)</f>
        <v>2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3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7</v>
      </c>
      <c r="AF30" s="31">
        <f t="shared" si="22"/>
        <v>9</v>
      </c>
    </row>
    <row r="31" spans="2:32" ht="23.1" customHeight="1" x14ac:dyDescent="0.25">
      <c r="B31" s="46" t="s">
        <v>58</v>
      </c>
      <c r="C31" s="50">
        <v>3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6</v>
      </c>
      <c r="P31" s="15">
        <f t="shared" si="1"/>
        <v>14</v>
      </c>
      <c r="R31" s="36" t="s">
        <v>155</v>
      </c>
      <c r="S31" s="34">
        <f>SUM(C94:C97)</f>
        <v>9</v>
      </c>
      <c r="T31" s="34">
        <f t="shared" ref="T31:AF31" si="23">SUM(D94:D97)</f>
        <v>3</v>
      </c>
      <c r="U31" s="34">
        <f t="shared" si="23"/>
        <v>1</v>
      </c>
      <c r="V31" s="34">
        <f t="shared" si="23"/>
        <v>5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4</v>
      </c>
      <c r="AA31" s="34">
        <f t="shared" si="23"/>
        <v>1</v>
      </c>
      <c r="AB31" s="34">
        <f t="shared" si="23"/>
        <v>0</v>
      </c>
      <c r="AC31" s="34">
        <f t="shared" si="23"/>
        <v>14</v>
      </c>
      <c r="AD31" s="34">
        <f t="shared" si="23"/>
        <v>0</v>
      </c>
      <c r="AE31" s="31">
        <f t="shared" si="23"/>
        <v>27</v>
      </c>
      <c r="AF31" s="31">
        <f t="shared" si="23"/>
        <v>41</v>
      </c>
    </row>
    <row r="32" spans="2:32" ht="23.1" customHeight="1" x14ac:dyDescent="0.25">
      <c r="B32" s="46" t="s">
        <v>59</v>
      </c>
      <c r="C32" s="50">
        <v>4</v>
      </c>
      <c r="D32" s="50">
        <v>1</v>
      </c>
      <c r="E32" s="50">
        <v>2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8</v>
      </c>
      <c r="P32" s="15">
        <f t="shared" si="1"/>
        <v>14</v>
      </c>
      <c r="R32" s="33" t="s">
        <v>156</v>
      </c>
      <c r="S32" s="34">
        <f>SUM(C98:C101)</f>
        <v>3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1</v>
      </c>
      <c r="AB32" s="34">
        <f t="shared" si="24"/>
        <v>0</v>
      </c>
      <c r="AC32" s="34">
        <f t="shared" si="24"/>
        <v>9</v>
      </c>
      <c r="AD32" s="34">
        <f t="shared" si="24"/>
        <v>0</v>
      </c>
      <c r="AE32" s="31">
        <f t="shared" si="24"/>
        <v>12</v>
      </c>
      <c r="AF32" s="31">
        <f t="shared" si="24"/>
        <v>21</v>
      </c>
    </row>
    <row r="33" spans="2:32" ht="23.1" customHeight="1" x14ac:dyDescent="0.25">
      <c r="B33" s="45" t="s">
        <v>60</v>
      </c>
      <c r="C33" s="50">
        <v>4</v>
      </c>
      <c r="D33" s="50">
        <v>3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10</v>
      </c>
      <c r="P33" s="15">
        <f t="shared" si="1"/>
        <v>17</v>
      </c>
      <c r="R33" s="33" t="s">
        <v>157</v>
      </c>
      <c r="S33" s="34">
        <f>SUM(C102:C105)</f>
        <v>3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11</v>
      </c>
      <c r="AD33" s="34">
        <f t="shared" si="25"/>
        <v>0</v>
      </c>
      <c r="AE33" s="31">
        <f t="shared" si="25"/>
        <v>10</v>
      </c>
      <c r="AF33" s="31">
        <f t="shared" si="25"/>
        <v>21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3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5</v>
      </c>
      <c r="P34" s="15">
        <f t="shared" si="1"/>
        <v>16</v>
      </c>
      <c r="R34" s="38" t="s">
        <v>90</v>
      </c>
      <c r="S34" s="39">
        <f t="shared" ref="S34:AF34" si="26">MAX(S10:S12)</f>
        <v>9</v>
      </c>
      <c r="T34" s="39">
        <f t="shared" si="26"/>
        <v>3</v>
      </c>
      <c r="U34" s="39">
        <f t="shared" si="26"/>
        <v>3</v>
      </c>
      <c r="V34" s="39">
        <f t="shared" si="26"/>
        <v>2</v>
      </c>
      <c r="W34" s="39">
        <f t="shared" si="26"/>
        <v>1</v>
      </c>
      <c r="X34" s="39">
        <f t="shared" si="26"/>
        <v>0</v>
      </c>
      <c r="Y34" s="39">
        <f t="shared" si="26"/>
        <v>3</v>
      </c>
      <c r="Z34" s="39">
        <f t="shared" si="26"/>
        <v>2</v>
      </c>
      <c r="AA34" s="39">
        <f t="shared" si="26"/>
        <v>1</v>
      </c>
      <c r="AB34" s="39">
        <f t="shared" si="26"/>
        <v>0</v>
      </c>
      <c r="AC34" s="39">
        <f t="shared" si="26"/>
        <v>34</v>
      </c>
      <c r="AD34" s="39">
        <f t="shared" si="26"/>
        <v>0</v>
      </c>
      <c r="AE34" s="40">
        <f t="shared" si="26"/>
        <v>19</v>
      </c>
      <c r="AF34" s="40">
        <f t="shared" si="26"/>
        <v>53</v>
      </c>
    </row>
    <row r="35" spans="2:32" ht="23.1" customHeight="1" x14ac:dyDescent="0.25">
      <c r="B35" s="46" t="s">
        <v>62</v>
      </c>
      <c r="C35" s="50">
        <v>3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5</v>
      </c>
      <c r="P35" s="15">
        <f t="shared" si="1"/>
        <v>6</v>
      </c>
      <c r="R35" s="38" t="s">
        <v>91</v>
      </c>
      <c r="S35" s="39">
        <f t="shared" ref="S35:AF35" si="27">MAX(S13:S18)</f>
        <v>14</v>
      </c>
      <c r="T35" s="39">
        <f t="shared" si="27"/>
        <v>4</v>
      </c>
      <c r="U35" s="39">
        <f t="shared" si="27"/>
        <v>7</v>
      </c>
      <c r="V35" s="39">
        <f t="shared" si="27"/>
        <v>5</v>
      </c>
      <c r="W35" s="39">
        <f t="shared" si="27"/>
        <v>0</v>
      </c>
      <c r="X35" s="39">
        <f t="shared" si="27"/>
        <v>0</v>
      </c>
      <c r="Y35" s="39">
        <f t="shared" si="27"/>
        <v>6</v>
      </c>
      <c r="Z35" s="39">
        <f t="shared" si="27"/>
        <v>6</v>
      </c>
      <c r="AA35" s="39">
        <f t="shared" si="27"/>
        <v>1</v>
      </c>
      <c r="AB35" s="39">
        <f t="shared" si="27"/>
        <v>0</v>
      </c>
      <c r="AC35" s="39">
        <f t="shared" si="27"/>
        <v>40</v>
      </c>
      <c r="AD35" s="39">
        <f t="shared" si="27"/>
        <v>1</v>
      </c>
      <c r="AE35" s="40">
        <f t="shared" si="27"/>
        <v>32</v>
      </c>
      <c r="AF35" s="40">
        <f t="shared" si="27"/>
        <v>67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1</v>
      </c>
      <c r="L36" s="50">
        <v>0</v>
      </c>
      <c r="M36" s="50">
        <v>5</v>
      </c>
      <c r="N36" s="50">
        <v>0</v>
      </c>
      <c r="O36" s="15">
        <f t="shared" si="0"/>
        <v>6</v>
      </c>
      <c r="P36" s="15">
        <f t="shared" si="1"/>
        <v>11</v>
      </c>
      <c r="R36" s="38" t="s">
        <v>92</v>
      </c>
      <c r="S36" s="39">
        <f t="shared" ref="S36:AF36" si="28">MAX(S19:S21)</f>
        <v>10</v>
      </c>
      <c r="T36" s="39">
        <f t="shared" si="28"/>
        <v>4</v>
      </c>
      <c r="U36" s="39">
        <f t="shared" si="28"/>
        <v>5</v>
      </c>
      <c r="V36" s="39">
        <f t="shared" si="28"/>
        <v>19</v>
      </c>
      <c r="W36" s="39">
        <f t="shared" si="28"/>
        <v>0</v>
      </c>
      <c r="X36" s="39">
        <f t="shared" si="28"/>
        <v>1</v>
      </c>
      <c r="Y36" s="39">
        <f t="shared" si="28"/>
        <v>9</v>
      </c>
      <c r="Z36" s="39">
        <f t="shared" si="28"/>
        <v>5</v>
      </c>
      <c r="AA36" s="39">
        <f t="shared" si="28"/>
        <v>1</v>
      </c>
      <c r="AB36" s="39">
        <f t="shared" si="28"/>
        <v>0</v>
      </c>
      <c r="AC36" s="39">
        <f t="shared" si="28"/>
        <v>32</v>
      </c>
      <c r="AD36" s="39">
        <f t="shared" si="28"/>
        <v>1</v>
      </c>
      <c r="AE36" s="40">
        <f t="shared" si="28"/>
        <v>47</v>
      </c>
      <c r="AF36" s="40">
        <f t="shared" si="28"/>
        <v>67</v>
      </c>
    </row>
    <row r="37" spans="2:32" ht="23.1" customHeight="1" x14ac:dyDescent="0.25">
      <c r="B37" s="45" t="s">
        <v>64</v>
      </c>
      <c r="C37" s="50">
        <v>4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6</v>
      </c>
      <c r="P37" s="15">
        <f t="shared" si="1"/>
        <v>17</v>
      </c>
      <c r="R37" s="37" t="s">
        <v>85</v>
      </c>
      <c r="S37" s="35">
        <f t="shared" ref="S37:AF37" si="29">SUM(S10:S12)</f>
        <v>19</v>
      </c>
      <c r="T37" s="16">
        <f t="shared" si="29"/>
        <v>6</v>
      </c>
      <c r="U37" s="16">
        <f t="shared" si="29"/>
        <v>5</v>
      </c>
      <c r="V37" s="16">
        <f t="shared" si="29"/>
        <v>5</v>
      </c>
      <c r="W37" s="16">
        <f t="shared" si="29"/>
        <v>1</v>
      </c>
      <c r="X37" s="16">
        <f t="shared" si="29"/>
        <v>0</v>
      </c>
      <c r="Y37" s="16">
        <f t="shared" si="29"/>
        <v>7</v>
      </c>
      <c r="Z37" s="16">
        <f t="shared" si="29"/>
        <v>3</v>
      </c>
      <c r="AA37" s="16">
        <f t="shared" si="29"/>
        <v>1</v>
      </c>
      <c r="AB37" s="16">
        <f t="shared" si="29"/>
        <v>0</v>
      </c>
      <c r="AC37" s="16">
        <f t="shared" si="29"/>
        <v>82</v>
      </c>
      <c r="AD37" s="16">
        <f t="shared" si="29"/>
        <v>0</v>
      </c>
      <c r="AE37" s="32">
        <f t="shared" si="29"/>
        <v>47</v>
      </c>
      <c r="AF37" s="32">
        <f t="shared" si="29"/>
        <v>129</v>
      </c>
    </row>
    <row r="38" spans="2:32" ht="23.1" customHeight="1" x14ac:dyDescent="0.25">
      <c r="B38" s="46" t="s">
        <v>65</v>
      </c>
      <c r="C38" s="50">
        <v>2</v>
      </c>
      <c r="D38" s="50">
        <v>0</v>
      </c>
      <c r="E38" s="50">
        <v>2</v>
      </c>
      <c r="F38" s="50">
        <v>1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7</v>
      </c>
      <c r="P38" s="15">
        <f t="shared" si="1"/>
        <v>20</v>
      </c>
      <c r="R38" s="28" t="s">
        <v>86</v>
      </c>
      <c r="S38" s="16">
        <f t="shared" ref="S38:AF38" si="30">SUM(S13:S18)</f>
        <v>68</v>
      </c>
      <c r="T38" s="16">
        <f t="shared" si="30"/>
        <v>8</v>
      </c>
      <c r="U38" s="16">
        <f t="shared" si="30"/>
        <v>21</v>
      </c>
      <c r="V38" s="16">
        <f t="shared" si="30"/>
        <v>11</v>
      </c>
      <c r="W38" s="16">
        <f t="shared" si="30"/>
        <v>0</v>
      </c>
      <c r="X38" s="16">
        <f t="shared" si="30"/>
        <v>0</v>
      </c>
      <c r="Y38" s="16">
        <f t="shared" si="30"/>
        <v>27</v>
      </c>
      <c r="Z38" s="16">
        <f t="shared" si="30"/>
        <v>11</v>
      </c>
      <c r="AA38" s="16">
        <f t="shared" si="30"/>
        <v>2</v>
      </c>
      <c r="AB38" s="16">
        <f t="shared" si="30"/>
        <v>0</v>
      </c>
      <c r="AC38" s="16">
        <f t="shared" si="30"/>
        <v>194</v>
      </c>
      <c r="AD38" s="16">
        <f t="shared" si="30"/>
        <v>1</v>
      </c>
      <c r="AE38" s="32">
        <f t="shared" si="30"/>
        <v>149</v>
      </c>
      <c r="AF38" s="32">
        <f t="shared" si="30"/>
        <v>343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4</v>
      </c>
      <c r="P39" s="15">
        <f t="shared" si="1"/>
        <v>11</v>
      </c>
      <c r="R39" s="29" t="s">
        <v>87</v>
      </c>
      <c r="S39" s="16">
        <f t="shared" ref="S39:AF39" si="31">SUM(S19:S21)</f>
        <v>25</v>
      </c>
      <c r="T39" s="16">
        <f t="shared" si="31"/>
        <v>5</v>
      </c>
      <c r="U39" s="16">
        <f t="shared" si="31"/>
        <v>9</v>
      </c>
      <c r="V39" s="16">
        <f t="shared" si="31"/>
        <v>28</v>
      </c>
      <c r="W39" s="16">
        <f t="shared" si="31"/>
        <v>0</v>
      </c>
      <c r="X39" s="16">
        <f t="shared" si="31"/>
        <v>2</v>
      </c>
      <c r="Y39" s="16">
        <f t="shared" si="31"/>
        <v>24</v>
      </c>
      <c r="Z39" s="16">
        <f t="shared" si="31"/>
        <v>12</v>
      </c>
      <c r="AA39" s="16">
        <f t="shared" si="31"/>
        <v>3</v>
      </c>
      <c r="AB39" s="16">
        <f t="shared" si="31"/>
        <v>0</v>
      </c>
      <c r="AC39" s="16">
        <f t="shared" si="31"/>
        <v>80</v>
      </c>
      <c r="AD39" s="16">
        <f t="shared" si="31"/>
        <v>1</v>
      </c>
      <c r="AE39" s="32">
        <f t="shared" si="31"/>
        <v>109</v>
      </c>
      <c r="AF39" s="32">
        <f t="shared" si="31"/>
        <v>189</v>
      </c>
    </row>
    <row r="40" spans="2:32" ht="23.1" customHeight="1" x14ac:dyDescent="0.25">
      <c r="B40" s="46" t="s">
        <v>67</v>
      </c>
      <c r="C40" s="50">
        <v>5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9</v>
      </c>
      <c r="P40" s="15">
        <f t="shared" si="1"/>
        <v>22</v>
      </c>
      <c r="R40" s="5" t="s">
        <v>17</v>
      </c>
      <c r="S40" s="16">
        <f t="shared" ref="S40:AF40" si="32">SUM(S10:S21)</f>
        <v>112</v>
      </c>
      <c r="T40" s="16">
        <f t="shared" si="32"/>
        <v>19</v>
      </c>
      <c r="U40" s="16">
        <f t="shared" si="32"/>
        <v>35</v>
      </c>
      <c r="V40" s="16">
        <f t="shared" si="32"/>
        <v>44</v>
      </c>
      <c r="W40" s="16">
        <f t="shared" si="32"/>
        <v>1</v>
      </c>
      <c r="X40" s="16">
        <f t="shared" si="32"/>
        <v>2</v>
      </c>
      <c r="Y40" s="16">
        <f t="shared" si="32"/>
        <v>58</v>
      </c>
      <c r="Z40" s="16">
        <f t="shared" si="32"/>
        <v>26</v>
      </c>
      <c r="AA40" s="16">
        <f t="shared" si="32"/>
        <v>6</v>
      </c>
      <c r="AB40" s="16">
        <f t="shared" si="32"/>
        <v>0</v>
      </c>
      <c r="AC40" s="16">
        <f t="shared" si="32"/>
        <v>356</v>
      </c>
      <c r="AD40" s="16">
        <f t="shared" si="32"/>
        <v>2</v>
      </c>
      <c r="AE40" s="32">
        <f t="shared" si="32"/>
        <v>305</v>
      </c>
      <c r="AF40" s="32">
        <f t="shared" si="32"/>
        <v>661</v>
      </c>
    </row>
    <row r="41" spans="2:32" ht="23.1" customHeight="1" x14ac:dyDescent="0.25">
      <c r="B41" s="45" t="s">
        <v>68</v>
      </c>
      <c r="C41" s="50">
        <v>2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4</v>
      </c>
      <c r="P41" s="15">
        <f t="shared" si="1"/>
        <v>10</v>
      </c>
      <c r="R41" s="5" t="s">
        <v>159</v>
      </c>
      <c r="S41" s="16">
        <f>SUM(S10:S33)</f>
        <v>172</v>
      </c>
      <c r="T41" s="16">
        <f t="shared" ref="T41:AF41" si="33">SUM(T10:T33)</f>
        <v>33</v>
      </c>
      <c r="U41" s="16">
        <f t="shared" si="33"/>
        <v>48</v>
      </c>
      <c r="V41" s="16">
        <f t="shared" si="33"/>
        <v>61</v>
      </c>
      <c r="W41" s="16">
        <f t="shared" si="33"/>
        <v>2</v>
      </c>
      <c r="X41" s="16">
        <f t="shared" si="33"/>
        <v>3</v>
      </c>
      <c r="Y41" s="16">
        <f t="shared" si="33"/>
        <v>80</v>
      </c>
      <c r="Z41" s="16">
        <f t="shared" si="33"/>
        <v>53</v>
      </c>
      <c r="AA41" s="16">
        <f t="shared" si="33"/>
        <v>10</v>
      </c>
      <c r="AB41" s="16">
        <f t="shared" si="33"/>
        <v>1</v>
      </c>
      <c r="AC41" s="16">
        <f t="shared" si="33"/>
        <v>501</v>
      </c>
      <c r="AD41" s="16">
        <f t="shared" si="33"/>
        <v>2</v>
      </c>
      <c r="AE41" s="32">
        <f t="shared" si="33"/>
        <v>465</v>
      </c>
      <c r="AF41" s="32">
        <f t="shared" si="33"/>
        <v>966</v>
      </c>
    </row>
    <row r="42" spans="2:32" ht="23.1" customHeight="1" x14ac:dyDescent="0.25">
      <c r="B42" s="46" t="s">
        <v>69</v>
      </c>
      <c r="C42" s="50">
        <v>4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10</v>
      </c>
      <c r="P42" s="15">
        <f t="shared" si="1"/>
        <v>16</v>
      </c>
      <c r="R42" s="5" t="s">
        <v>160</v>
      </c>
      <c r="S42" s="48">
        <f>S41/S40</f>
        <v>1.5357142857142858</v>
      </c>
      <c r="T42" s="48">
        <f t="shared" ref="T42:AF42" si="34">T41/T40</f>
        <v>1.736842105263158</v>
      </c>
      <c r="U42" s="48">
        <f t="shared" si="34"/>
        <v>1.3714285714285714</v>
      </c>
      <c r="V42" s="48">
        <f t="shared" si="34"/>
        <v>1.3863636363636365</v>
      </c>
      <c r="W42" s="48">
        <f t="shared" si="34"/>
        <v>2</v>
      </c>
      <c r="X42" s="48">
        <f t="shared" si="34"/>
        <v>1.5</v>
      </c>
      <c r="Y42" s="48">
        <f t="shared" si="34"/>
        <v>1.3793103448275863</v>
      </c>
      <c r="Z42" s="48">
        <f t="shared" si="34"/>
        <v>2.0384615384615383</v>
      </c>
      <c r="AA42" s="48">
        <f t="shared" si="34"/>
        <v>1.6666666666666667</v>
      </c>
      <c r="AB42" s="48" t="e">
        <f t="shared" si="34"/>
        <v>#DIV/0!</v>
      </c>
      <c r="AC42" s="48">
        <f t="shared" si="34"/>
        <v>1.4073033707865168</v>
      </c>
      <c r="AD42" s="48">
        <f t="shared" si="34"/>
        <v>1</v>
      </c>
      <c r="AE42" s="48">
        <f t="shared" si="34"/>
        <v>1.5245901639344261</v>
      </c>
      <c r="AF42" s="48">
        <f t="shared" si="34"/>
        <v>1.4614220877458397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6</v>
      </c>
      <c r="N43" s="50">
        <v>0</v>
      </c>
      <c r="O43" s="15">
        <f t="shared" si="0"/>
        <v>3</v>
      </c>
      <c r="P43" s="15">
        <f t="shared" si="1"/>
        <v>9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0</v>
      </c>
      <c r="F44" s="50">
        <v>4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13</v>
      </c>
      <c r="N44" s="50">
        <v>0</v>
      </c>
      <c r="O44" s="15">
        <f t="shared" si="0"/>
        <v>8</v>
      </c>
      <c r="P44" s="15">
        <f t="shared" si="1"/>
        <v>21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1</v>
      </c>
      <c r="P45" s="15">
        <f t="shared" si="1"/>
        <v>13</v>
      </c>
    </row>
    <row r="46" spans="2:32" ht="23.1" customHeight="1" x14ac:dyDescent="0.25">
      <c r="B46" s="46" t="s">
        <v>73</v>
      </c>
      <c r="C46" s="50">
        <v>5</v>
      </c>
      <c r="D46" s="50">
        <v>1</v>
      </c>
      <c r="E46" s="50">
        <v>1</v>
      </c>
      <c r="F46" s="50">
        <v>2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12</v>
      </c>
      <c r="P46" s="15">
        <f t="shared" si="1"/>
        <v>17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3</v>
      </c>
      <c r="N47" s="50">
        <v>1</v>
      </c>
      <c r="O47" s="15">
        <f t="shared" si="0"/>
        <v>7</v>
      </c>
      <c r="P47" s="15">
        <f t="shared" si="1"/>
        <v>10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2</v>
      </c>
      <c r="E48" s="50">
        <v>0</v>
      </c>
      <c r="F48" s="50">
        <v>1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10</v>
      </c>
      <c r="N48" s="50">
        <v>0</v>
      </c>
      <c r="O48" s="15">
        <f t="shared" si="0"/>
        <v>8</v>
      </c>
      <c r="P48" s="15">
        <f t="shared" si="1"/>
        <v>18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1</v>
      </c>
      <c r="E49" s="50">
        <v>0</v>
      </c>
      <c r="F49" s="50">
        <v>4</v>
      </c>
      <c r="G49" s="50">
        <v>0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10</v>
      </c>
      <c r="N49" s="50">
        <v>0</v>
      </c>
      <c r="O49" s="15">
        <f t="shared" si="0"/>
        <v>9</v>
      </c>
      <c r="P49" s="15">
        <f t="shared" si="1"/>
        <v>19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0</v>
      </c>
      <c r="E50" s="50">
        <v>1</v>
      </c>
      <c r="F50" s="50">
        <v>2</v>
      </c>
      <c r="G50" s="50">
        <v>0</v>
      </c>
      <c r="H50" s="50">
        <v>1</v>
      </c>
      <c r="I50" s="50">
        <v>1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9</v>
      </c>
      <c r="P50" s="15">
        <f t="shared" si="1"/>
        <v>15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1</v>
      </c>
      <c r="E51" s="50">
        <v>0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4</v>
      </c>
      <c r="P51" s="15">
        <f t="shared" si="1"/>
        <v>10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0</v>
      </c>
      <c r="E52" s="50">
        <v>1</v>
      </c>
      <c r="F52" s="50">
        <v>4</v>
      </c>
      <c r="G52" s="50">
        <v>0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4</v>
      </c>
      <c r="N52" s="50">
        <v>0</v>
      </c>
      <c r="O52" s="15">
        <f t="shared" si="0"/>
        <v>10</v>
      </c>
      <c r="P52" s="15">
        <f t="shared" si="1"/>
        <v>14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0</v>
      </c>
      <c r="E53" s="50">
        <v>3</v>
      </c>
      <c r="F53" s="50">
        <v>12</v>
      </c>
      <c r="G53" s="50">
        <v>0</v>
      </c>
      <c r="H53" s="50">
        <v>0</v>
      </c>
      <c r="I53" s="50">
        <v>3</v>
      </c>
      <c r="J53" s="50">
        <v>4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24</v>
      </c>
      <c r="P53" s="15">
        <f t="shared" si="1"/>
        <v>28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4</v>
      </c>
      <c r="P54" s="15">
        <f t="shared" si="1"/>
        <v>13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3</v>
      </c>
      <c r="J55" s="50">
        <v>2</v>
      </c>
      <c r="K55" s="50">
        <v>1</v>
      </c>
      <c r="L55" s="50">
        <v>0</v>
      </c>
      <c r="M55" s="50">
        <v>7</v>
      </c>
      <c r="N55" s="50">
        <v>0</v>
      </c>
      <c r="O55" s="15">
        <f t="shared" si="0"/>
        <v>10</v>
      </c>
      <c r="P55" s="15">
        <f t="shared" si="1"/>
        <v>17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3</v>
      </c>
      <c r="P56" s="15">
        <f t="shared" si="1"/>
        <v>10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2</v>
      </c>
      <c r="F57" s="50">
        <v>0</v>
      </c>
      <c r="G57" s="50">
        <v>0</v>
      </c>
      <c r="H57" s="50">
        <v>1</v>
      </c>
      <c r="I57" s="50">
        <v>2</v>
      </c>
      <c r="J57" s="50">
        <v>3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9</v>
      </c>
      <c r="P57" s="15">
        <f t="shared" si="1"/>
        <v>18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0</v>
      </c>
      <c r="F58" s="50">
        <v>2</v>
      </c>
      <c r="G58" s="50">
        <v>0</v>
      </c>
      <c r="H58" s="50">
        <v>0</v>
      </c>
      <c r="I58" s="50">
        <v>1</v>
      </c>
      <c r="J58" s="50">
        <v>1</v>
      </c>
      <c r="K58" s="50">
        <v>0</v>
      </c>
      <c r="L58" s="50">
        <v>0</v>
      </c>
      <c r="M58" s="50">
        <v>1</v>
      </c>
      <c r="N58" s="50">
        <v>0</v>
      </c>
      <c r="O58" s="15">
        <f t="shared" si="0"/>
        <v>5</v>
      </c>
      <c r="P58" s="15">
        <f t="shared" si="1"/>
        <v>6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11</v>
      </c>
      <c r="N59" s="50">
        <v>0</v>
      </c>
      <c r="O59" s="15">
        <f t="shared" si="0"/>
        <v>3</v>
      </c>
      <c r="P59" s="15">
        <f t="shared" si="1"/>
        <v>14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2</v>
      </c>
      <c r="E60" s="50">
        <v>1</v>
      </c>
      <c r="F60" s="50">
        <v>1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50">
        <v>12</v>
      </c>
      <c r="N60" s="50">
        <v>0</v>
      </c>
      <c r="O60" s="15">
        <f t="shared" si="0"/>
        <v>8</v>
      </c>
      <c r="P60" s="15">
        <f t="shared" si="1"/>
        <v>20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1</v>
      </c>
      <c r="M61" s="50">
        <v>10</v>
      </c>
      <c r="N61" s="50">
        <v>0</v>
      </c>
      <c r="O61" s="15">
        <f t="shared" si="0"/>
        <v>2</v>
      </c>
      <c r="P61" s="15">
        <f t="shared" si="1"/>
        <v>12</v>
      </c>
      <c r="R61" s="8"/>
      <c r="T61"/>
    </row>
    <row r="62" spans="2:20" ht="23.1" customHeight="1" x14ac:dyDescent="0.25">
      <c r="B62" s="45" t="s">
        <v>107</v>
      </c>
      <c r="C62" s="50">
        <v>5</v>
      </c>
      <c r="D62" s="50">
        <v>0</v>
      </c>
      <c r="E62" s="50">
        <v>0</v>
      </c>
      <c r="F62" s="50">
        <v>1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6</v>
      </c>
      <c r="N62" s="50">
        <v>0</v>
      </c>
      <c r="O62" s="15">
        <f t="shared" si="0"/>
        <v>7</v>
      </c>
      <c r="P62" s="15">
        <f t="shared" si="1"/>
        <v>13</v>
      </c>
      <c r="R62" s="8"/>
      <c r="T62"/>
    </row>
    <row r="63" spans="2:20" ht="23.1" customHeight="1" x14ac:dyDescent="0.25">
      <c r="B63" s="45" t="s">
        <v>108</v>
      </c>
      <c r="C63" s="50">
        <v>5</v>
      </c>
      <c r="D63" s="50">
        <v>1</v>
      </c>
      <c r="E63" s="50">
        <v>1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9</v>
      </c>
      <c r="N63" s="50">
        <v>0</v>
      </c>
      <c r="O63" s="15">
        <f t="shared" si="0"/>
        <v>7</v>
      </c>
      <c r="P63" s="15">
        <f t="shared" si="1"/>
        <v>16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3</v>
      </c>
      <c r="F64" s="50">
        <v>0</v>
      </c>
      <c r="G64" s="50">
        <v>0</v>
      </c>
      <c r="H64" s="50">
        <v>1</v>
      </c>
      <c r="I64" s="50">
        <v>1</v>
      </c>
      <c r="J64" s="50">
        <v>0</v>
      </c>
      <c r="K64" s="50">
        <v>0</v>
      </c>
      <c r="L64" s="50">
        <v>0</v>
      </c>
      <c r="M64" s="50">
        <v>11</v>
      </c>
      <c r="N64" s="50">
        <v>0</v>
      </c>
      <c r="O64" s="15">
        <f t="shared" si="0"/>
        <v>8</v>
      </c>
      <c r="P64" s="15">
        <f t="shared" si="1"/>
        <v>19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9</v>
      </c>
      <c r="N65" s="50">
        <v>0</v>
      </c>
      <c r="O65" s="15">
        <f t="shared" si="0"/>
        <v>3</v>
      </c>
      <c r="P65" s="15">
        <f t="shared" si="1"/>
        <v>12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1</v>
      </c>
      <c r="F66" s="50">
        <v>0</v>
      </c>
      <c r="G66" s="50">
        <v>0</v>
      </c>
      <c r="H66" s="50">
        <v>0</v>
      </c>
      <c r="I66" s="50">
        <v>0</v>
      </c>
      <c r="J66" s="50">
        <v>2</v>
      </c>
      <c r="K66" s="50">
        <v>0</v>
      </c>
      <c r="L66" s="50">
        <v>0</v>
      </c>
      <c r="M66" s="50">
        <v>6</v>
      </c>
      <c r="N66" s="50">
        <v>0</v>
      </c>
      <c r="O66" s="15">
        <f t="shared" si="0"/>
        <v>4</v>
      </c>
      <c r="P66" s="15">
        <f t="shared" si="1"/>
        <v>10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1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3</v>
      </c>
      <c r="P67" s="15">
        <f t="shared" si="1"/>
        <v>6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4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8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3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3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2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0"/>
        <v>3</v>
      </c>
      <c r="P70" s="15">
        <f t="shared" si="1"/>
        <v>4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1</v>
      </c>
      <c r="P71" s="15">
        <f t="shared" si="1"/>
        <v>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4</v>
      </c>
      <c r="N72" s="50">
        <v>0</v>
      </c>
      <c r="O72" s="15">
        <f t="shared" si="0"/>
        <v>2</v>
      </c>
      <c r="P72" s="15">
        <f t="shared" si="1"/>
        <v>6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2</v>
      </c>
      <c r="P73" s="15">
        <f t="shared" si="1"/>
        <v>5</v>
      </c>
      <c r="R73" s="8"/>
      <c r="T73"/>
    </row>
    <row r="74" spans="2:20" ht="23.1" customHeight="1" x14ac:dyDescent="0.25">
      <c r="B74" s="45" t="s">
        <v>114</v>
      </c>
      <c r="C74" s="50">
        <v>5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5">
        <f t="shared" ref="O74:O105" si="35">SUM(C74:L74,N74)</f>
        <v>5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1</v>
      </c>
      <c r="K75" s="50">
        <v>1</v>
      </c>
      <c r="L75" s="50">
        <v>0</v>
      </c>
      <c r="M75" s="50">
        <v>1</v>
      </c>
      <c r="N75" s="50">
        <v>0</v>
      </c>
      <c r="O75" s="15">
        <f t="shared" si="35"/>
        <v>3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2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0</v>
      </c>
      <c r="E77" s="50">
        <v>0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5</v>
      </c>
      <c r="P77" s="15">
        <f t="shared" si="36"/>
        <v>6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2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5">
        <f t="shared" si="35"/>
        <v>3</v>
      </c>
      <c r="P79" s="15">
        <f t="shared" si="36"/>
        <v>6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1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2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1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2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2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1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2</v>
      </c>
      <c r="J89" s="50">
        <v>1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2</v>
      </c>
      <c r="P91" s="15">
        <f t="shared" si="36"/>
        <v>4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2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3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1</v>
      </c>
      <c r="E94" s="50">
        <v>0</v>
      </c>
      <c r="F94" s="50">
        <v>2</v>
      </c>
      <c r="G94" s="50">
        <v>0</v>
      </c>
      <c r="H94" s="50">
        <v>0</v>
      </c>
      <c r="I94" s="50">
        <v>1</v>
      </c>
      <c r="J94" s="50">
        <v>1</v>
      </c>
      <c r="K94" s="50">
        <v>0</v>
      </c>
      <c r="L94" s="50">
        <v>0</v>
      </c>
      <c r="M94" s="50">
        <v>4</v>
      </c>
      <c r="N94" s="50">
        <v>0</v>
      </c>
      <c r="O94" s="15">
        <f t="shared" si="35"/>
        <v>8</v>
      </c>
      <c r="P94" s="15">
        <f t="shared" si="36"/>
        <v>12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2</v>
      </c>
      <c r="K95" s="50">
        <v>0</v>
      </c>
      <c r="L95" s="50">
        <v>0</v>
      </c>
      <c r="M95" s="50">
        <v>7</v>
      </c>
      <c r="N95" s="50">
        <v>0</v>
      </c>
      <c r="O95" s="15">
        <f t="shared" si="35"/>
        <v>5</v>
      </c>
      <c r="P95" s="15">
        <f t="shared" si="36"/>
        <v>12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2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4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1</v>
      </c>
      <c r="F97" s="50">
        <v>2</v>
      </c>
      <c r="G97" s="50">
        <v>0</v>
      </c>
      <c r="H97" s="50">
        <v>0</v>
      </c>
      <c r="I97" s="50">
        <v>2</v>
      </c>
      <c r="J97" s="50">
        <v>1</v>
      </c>
      <c r="K97" s="50">
        <v>1</v>
      </c>
      <c r="L97" s="50">
        <v>0</v>
      </c>
      <c r="M97" s="50">
        <v>0</v>
      </c>
      <c r="N97" s="50">
        <v>0</v>
      </c>
      <c r="O97" s="15">
        <f t="shared" si="35"/>
        <v>10</v>
      </c>
      <c r="P97" s="15">
        <f t="shared" si="36"/>
        <v>10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2</v>
      </c>
      <c r="E98" s="50">
        <v>1</v>
      </c>
      <c r="F98" s="50">
        <v>2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6</v>
      </c>
      <c r="N98" s="50">
        <v>0</v>
      </c>
      <c r="O98" s="15">
        <f t="shared" si="35"/>
        <v>9</v>
      </c>
      <c r="P98" s="15">
        <f t="shared" si="36"/>
        <v>15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2</v>
      </c>
      <c r="J99" s="50">
        <v>0</v>
      </c>
      <c r="K99" s="50">
        <v>1</v>
      </c>
      <c r="L99" s="50">
        <v>0</v>
      </c>
      <c r="M99" s="50">
        <v>1</v>
      </c>
      <c r="N99" s="50">
        <v>0</v>
      </c>
      <c r="O99" s="15">
        <f t="shared" si="35"/>
        <v>3</v>
      </c>
      <c r="P99" s="15">
        <f t="shared" si="36"/>
        <v>4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1</v>
      </c>
      <c r="F103" s="50">
        <v>0</v>
      </c>
      <c r="G103" s="50">
        <v>0</v>
      </c>
      <c r="H103" s="50">
        <v>0</v>
      </c>
      <c r="I103" s="50">
        <v>1</v>
      </c>
      <c r="J103" s="50">
        <v>2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6</v>
      </c>
      <c r="P103" s="15">
        <f t="shared" si="36"/>
        <v>9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2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5</v>
      </c>
      <c r="N104" s="50">
        <v>0</v>
      </c>
      <c r="O104" s="15">
        <f t="shared" si="35"/>
        <v>3</v>
      </c>
      <c r="P104" s="15">
        <f t="shared" si="36"/>
        <v>8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2</v>
      </c>
      <c r="N105" s="50">
        <v>0</v>
      </c>
      <c r="O105" s="15">
        <f t="shared" si="35"/>
        <v>1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172</v>
      </c>
      <c r="D106" s="16">
        <f t="shared" ref="D106:P106" si="37">SUM(D10:D105)</f>
        <v>33</v>
      </c>
      <c r="E106" s="16">
        <f t="shared" si="37"/>
        <v>48</v>
      </c>
      <c r="F106" s="16">
        <f t="shared" si="37"/>
        <v>61</v>
      </c>
      <c r="G106" s="16">
        <f t="shared" si="37"/>
        <v>2</v>
      </c>
      <c r="H106" s="16">
        <f t="shared" si="37"/>
        <v>3</v>
      </c>
      <c r="I106" s="16">
        <f t="shared" si="37"/>
        <v>80</v>
      </c>
      <c r="J106" s="16">
        <f t="shared" si="37"/>
        <v>53</v>
      </c>
      <c r="K106" s="16">
        <f t="shared" si="37"/>
        <v>10</v>
      </c>
      <c r="L106" s="16">
        <f t="shared" si="37"/>
        <v>1</v>
      </c>
      <c r="M106" s="16">
        <f t="shared" si="37"/>
        <v>501</v>
      </c>
      <c r="N106" s="16">
        <f t="shared" si="37"/>
        <v>2</v>
      </c>
      <c r="O106" s="16">
        <f t="shared" si="37"/>
        <v>465</v>
      </c>
      <c r="P106" s="16">
        <f t="shared" si="37"/>
        <v>966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0.17805383022774326</v>
      </c>
      <c r="D107" s="43">
        <f t="shared" si="38"/>
        <v>3.4161490683229816E-2</v>
      </c>
      <c r="E107" s="43">
        <f t="shared" si="38"/>
        <v>4.9689440993788817E-2</v>
      </c>
      <c r="F107" s="43">
        <f t="shared" si="38"/>
        <v>6.3146997929606624E-2</v>
      </c>
      <c r="G107" s="43">
        <f t="shared" si="38"/>
        <v>2.070393374741201E-3</v>
      </c>
      <c r="H107" s="43">
        <f t="shared" si="38"/>
        <v>3.105590062111801E-3</v>
      </c>
      <c r="I107" s="43">
        <f t="shared" si="38"/>
        <v>8.2815734989648032E-2</v>
      </c>
      <c r="J107" s="43">
        <f t="shared" si="38"/>
        <v>5.4865424430641824E-2</v>
      </c>
      <c r="K107" s="43">
        <f t="shared" si="38"/>
        <v>1.0351966873706004E-2</v>
      </c>
      <c r="L107" s="43">
        <f t="shared" si="38"/>
        <v>1.0351966873706005E-3</v>
      </c>
      <c r="M107" s="43">
        <f t="shared" si="38"/>
        <v>0.51863354037267084</v>
      </c>
      <c r="N107" s="43">
        <f t="shared" si="38"/>
        <v>2.070393374741201E-3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0.36989247311827955</v>
      </c>
      <c r="D108" s="44">
        <f t="shared" ref="D108:N108" si="39">D106/$O$106</f>
        <v>7.0967741935483872E-2</v>
      </c>
      <c r="E108" s="44">
        <f t="shared" si="39"/>
        <v>0.1032258064516129</v>
      </c>
      <c r="F108" s="44">
        <f t="shared" si="39"/>
        <v>0.13118279569892474</v>
      </c>
      <c r="G108" s="44">
        <f t="shared" si="39"/>
        <v>4.3010752688172043E-3</v>
      </c>
      <c r="H108" s="44">
        <f t="shared" si="39"/>
        <v>6.4516129032258064E-3</v>
      </c>
      <c r="I108" s="44">
        <f t="shared" si="39"/>
        <v>0.17204301075268819</v>
      </c>
      <c r="J108" s="44">
        <f t="shared" si="39"/>
        <v>0.11397849462365592</v>
      </c>
      <c r="K108" s="44">
        <f t="shared" si="39"/>
        <v>2.1505376344086023E-2</v>
      </c>
      <c r="L108" s="44">
        <f t="shared" si="39"/>
        <v>2.1505376344086021E-3</v>
      </c>
      <c r="M108" s="44"/>
      <c r="N108" s="44">
        <f t="shared" si="39"/>
        <v>4.3010752688172043E-3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T96" sqref="T9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174</v>
      </c>
      <c r="E5" s="53"/>
      <c r="F5" s="41" t="s">
        <v>1</v>
      </c>
      <c r="G5" s="63" t="str">
        <f>'22.10 SEMBABULE-MASAKA'!G5:H5</f>
        <v>KIWUULA TRADING CENTRE</v>
      </c>
      <c r="H5" s="64"/>
      <c r="I5" s="14"/>
      <c r="J5" s="2" t="s">
        <v>5</v>
      </c>
      <c r="K5" s="63" t="s">
        <v>182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SEMBABULE-MASAKA'!D6:E6</f>
        <v>SEMBABULE</v>
      </c>
      <c r="E6" s="64"/>
      <c r="F6" s="2" t="s">
        <v>2</v>
      </c>
      <c r="G6" s="63" t="str">
        <f>'17.10 SEMBABULE-MASAKA'!G6:H6</f>
        <v>MASAKA</v>
      </c>
      <c r="H6" s="64"/>
      <c r="J6" s="2" t="s">
        <v>21</v>
      </c>
      <c r="K6" s="63" t="str">
        <f>'22.10 SEMBABULE-MASAKA'!K6:L6</f>
        <v>GEORGE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15</v>
      </c>
      <c r="AF10" s="31">
        <f t="shared" si="2"/>
        <v>30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8</v>
      </c>
      <c r="T11" s="17">
        <f t="shared" si="3"/>
        <v>2</v>
      </c>
      <c r="U11" s="17">
        <f t="shared" si="3"/>
        <v>3</v>
      </c>
      <c r="V11" s="17">
        <f t="shared" si="3"/>
        <v>8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3</v>
      </c>
      <c r="AA11" s="17">
        <f t="shared" si="3"/>
        <v>5</v>
      </c>
      <c r="AB11" s="17">
        <f t="shared" si="3"/>
        <v>0</v>
      </c>
      <c r="AC11" s="17">
        <f t="shared" si="3"/>
        <v>22</v>
      </c>
      <c r="AD11" s="17">
        <f t="shared" si="3"/>
        <v>0</v>
      </c>
      <c r="AE11" s="31">
        <f t="shared" si="3"/>
        <v>35</v>
      </c>
      <c r="AF11" s="31">
        <f t="shared" si="3"/>
        <v>57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3</v>
      </c>
      <c r="N12" s="50">
        <v>0</v>
      </c>
      <c r="O12" s="15">
        <f t="shared" si="0"/>
        <v>4</v>
      </c>
      <c r="P12" s="15">
        <f t="shared" si="1"/>
        <v>7</v>
      </c>
      <c r="R12" s="1" t="s">
        <v>8</v>
      </c>
      <c r="S12" s="17">
        <f t="shared" ref="S12:AF12" si="4">SUM(C18:C21)</f>
        <v>12</v>
      </c>
      <c r="T12" s="17">
        <f t="shared" si="4"/>
        <v>3</v>
      </c>
      <c r="U12" s="17">
        <f t="shared" si="4"/>
        <v>1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18</v>
      </c>
      <c r="AD12" s="17">
        <f t="shared" si="4"/>
        <v>0</v>
      </c>
      <c r="AE12" s="31">
        <f t="shared" si="4"/>
        <v>25</v>
      </c>
      <c r="AF12" s="31">
        <f t="shared" si="4"/>
        <v>43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4</v>
      </c>
      <c r="P13" s="15">
        <f t="shared" si="1"/>
        <v>6</v>
      </c>
      <c r="R13" s="1" t="s">
        <v>9</v>
      </c>
      <c r="S13" s="17">
        <f t="shared" ref="S13:AF13" si="5">SUM(C22:C25)</f>
        <v>11</v>
      </c>
      <c r="T13" s="17">
        <f t="shared" si="5"/>
        <v>2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18</v>
      </c>
      <c r="AD13" s="17">
        <f t="shared" si="5"/>
        <v>0</v>
      </c>
      <c r="AE13" s="31">
        <f t="shared" si="5"/>
        <v>24</v>
      </c>
      <c r="AF13" s="31">
        <f t="shared" si="5"/>
        <v>42</v>
      </c>
    </row>
    <row r="14" spans="2:32" ht="23.1" customHeight="1" x14ac:dyDescent="0.25">
      <c r="B14" s="45" t="s">
        <v>41</v>
      </c>
      <c r="C14" s="50">
        <v>2</v>
      </c>
      <c r="D14" s="50">
        <v>1</v>
      </c>
      <c r="E14" s="50">
        <v>0</v>
      </c>
      <c r="F14" s="50">
        <v>2</v>
      </c>
      <c r="G14" s="50">
        <v>0</v>
      </c>
      <c r="H14" s="50">
        <v>0</v>
      </c>
      <c r="I14" s="50">
        <v>3</v>
      </c>
      <c r="J14" s="50">
        <v>0</v>
      </c>
      <c r="K14" s="50">
        <v>2</v>
      </c>
      <c r="L14" s="50">
        <v>0</v>
      </c>
      <c r="M14" s="50">
        <v>7</v>
      </c>
      <c r="N14" s="50">
        <v>0</v>
      </c>
      <c r="O14" s="15">
        <f t="shared" si="0"/>
        <v>10</v>
      </c>
      <c r="P14" s="15">
        <f t="shared" si="1"/>
        <v>17</v>
      </c>
      <c r="R14" s="1" t="s">
        <v>10</v>
      </c>
      <c r="S14" s="17">
        <f t="shared" ref="S14:AF14" si="6">SUM(C26:C29)</f>
        <v>11</v>
      </c>
      <c r="T14" s="17">
        <f t="shared" si="6"/>
        <v>1</v>
      </c>
      <c r="U14" s="17">
        <f t="shared" si="6"/>
        <v>4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32</v>
      </c>
      <c r="AD14" s="17">
        <f t="shared" si="6"/>
        <v>0</v>
      </c>
      <c r="AE14" s="31">
        <f t="shared" si="6"/>
        <v>21</v>
      </c>
      <c r="AF14" s="31">
        <f t="shared" si="6"/>
        <v>53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2</v>
      </c>
      <c r="F15" s="50">
        <v>2</v>
      </c>
      <c r="G15" s="50">
        <v>0</v>
      </c>
      <c r="H15" s="50">
        <v>0</v>
      </c>
      <c r="I15" s="50">
        <v>1</v>
      </c>
      <c r="J15" s="50">
        <v>2</v>
      </c>
      <c r="K15" s="50">
        <v>1</v>
      </c>
      <c r="L15" s="50">
        <v>0</v>
      </c>
      <c r="M15" s="50">
        <v>5</v>
      </c>
      <c r="N15" s="50">
        <v>0</v>
      </c>
      <c r="O15" s="15">
        <f t="shared" si="0"/>
        <v>9</v>
      </c>
      <c r="P15" s="15">
        <f t="shared" si="1"/>
        <v>14</v>
      </c>
      <c r="R15" s="1" t="s">
        <v>11</v>
      </c>
      <c r="S15" s="17">
        <f t="shared" ref="S15:AF15" si="7">SUM(C30:C33)</f>
        <v>15</v>
      </c>
      <c r="T15" s="17">
        <f t="shared" si="7"/>
        <v>0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1</v>
      </c>
      <c r="AB15" s="17">
        <f t="shared" si="7"/>
        <v>0</v>
      </c>
      <c r="AC15" s="17">
        <f t="shared" si="7"/>
        <v>19</v>
      </c>
      <c r="AD15" s="17">
        <f t="shared" si="7"/>
        <v>0</v>
      </c>
      <c r="AE15" s="31">
        <f t="shared" si="7"/>
        <v>23</v>
      </c>
      <c r="AF15" s="31">
        <f t="shared" si="7"/>
        <v>42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5</v>
      </c>
      <c r="P16" s="15">
        <f t="shared" si="1"/>
        <v>10</v>
      </c>
      <c r="R16" s="1" t="s">
        <v>12</v>
      </c>
      <c r="S16" s="17">
        <f t="shared" ref="S16:AF16" si="8">SUM(C34:C37)</f>
        <v>5</v>
      </c>
      <c r="T16" s="17">
        <f t="shared" si="8"/>
        <v>2</v>
      </c>
      <c r="U16" s="17">
        <f t="shared" si="8"/>
        <v>3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25</v>
      </c>
      <c r="AD16" s="17">
        <f t="shared" si="8"/>
        <v>10</v>
      </c>
      <c r="AE16" s="31">
        <f t="shared" si="8"/>
        <v>25</v>
      </c>
      <c r="AF16" s="31">
        <f t="shared" si="8"/>
        <v>50</v>
      </c>
    </row>
    <row r="17" spans="2:32" ht="23.1" customHeight="1" x14ac:dyDescent="0.25">
      <c r="B17" s="45" t="s">
        <v>44</v>
      </c>
      <c r="C17" s="50">
        <v>4</v>
      </c>
      <c r="D17" s="50">
        <v>1</v>
      </c>
      <c r="E17" s="50">
        <v>0</v>
      </c>
      <c r="F17" s="50">
        <v>2</v>
      </c>
      <c r="G17" s="50">
        <v>0</v>
      </c>
      <c r="H17" s="50">
        <v>0</v>
      </c>
      <c r="I17" s="50">
        <v>1</v>
      </c>
      <c r="J17" s="50">
        <v>1</v>
      </c>
      <c r="K17" s="50">
        <v>2</v>
      </c>
      <c r="L17" s="50">
        <v>0</v>
      </c>
      <c r="M17" s="50">
        <v>5</v>
      </c>
      <c r="N17" s="50">
        <v>0</v>
      </c>
      <c r="O17" s="15">
        <f t="shared" si="0"/>
        <v>11</v>
      </c>
      <c r="P17" s="15">
        <f t="shared" si="1"/>
        <v>16</v>
      </c>
      <c r="R17" s="1" t="s">
        <v>13</v>
      </c>
      <c r="S17" s="17">
        <f t="shared" ref="S17:AF17" si="9">SUM(C38:C41)</f>
        <v>8</v>
      </c>
      <c r="T17" s="17">
        <f t="shared" si="9"/>
        <v>1</v>
      </c>
      <c r="U17" s="17">
        <f t="shared" si="9"/>
        <v>4</v>
      </c>
      <c r="V17" s="17">
        <f t="shared" si="9"/>
        <v>2</v>
      </c>
      <c r="W17" s="17">
        <f t="shared" si="9"/>
        <v>1</v>
      </c>
      <c r="X17" s="17">
        <f t="shared" si="9"/>
        <v>0</v>
      </c>
      <c r="Y17" s="17">
        <f t="shared" si="9"/>
        <v>5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23</v>
      </c>
      <c r="AD17" s="17">
        <f t="shared" si="9"/>
        <v>0</v>
      </c>
      <c r="AE17" s="31">
        <f t="shared" si="9"/>
        <v>24</v>
      </c>
      <c r="AF17" s="31">
        <f t="shared" si="9"/>
        <v>47</v>
      </c>
    </row>
    <row r="18" spans="2:32" ht="23.1" customHeight="1" x14ac:dyDescent="0.25">
      <c r="B18" s="45" t="s">
        <v>45</v>
      </c>
      <c r="C18" s="50">
        <v>4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7</v>
      </c>
      <c r="P18" s="15">
        <f t="shared" si="1"/>
        <v>13</v>
      </c>
      <c r="R18" s="1" t="s">
        <v>14</v>
      </c>
      <c r="S18" s="17">
        <f t="shared" ref="S18:AF18" si="10">SUM(C42:C45)</f>
        <v>15</v>
      </c>
      <c r="T18" s="17">
        <f t="shared" si="10"/>
        <v>1</v>
      </c>
      <c r="U18" s="17">
        <f t="shared" si="10"/>
        <v>5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29</v>
      </c>
      <c r="AD18" s="17">
        <f t="shared" si="10"/>
        <v>0</v>
      </c>
      <c r="AE18" s="31">
        <f t="shared" si="10"/>
        <v>33</v>
      </c>
      <c r="AF18" s="31">
        <f t="shared" si="10"/>
        <v>62</v>
      </c>
    </row>
    <row r="19" spans="2:32" ht="23.1" customHeight="1" x14ac:dyDescent="0.25">
      <c r="B19" s="45" t="s">
        <v>46</v>
      </c>
      <c r="C19" s="50">
        <v>1</v>
      </c>
      <c r="D19" s="50">
        <v>1</v>
      </c>
      <c r="E19" s="50">
        <v>1</v>
      </c>
      <c r="F19" s="50">
        <v>2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7</v>
      </c>
      <c r="P19" s="15">
        <f t="shared" si="1"/>
        <v>8</v>
      </c>
      <c r="R19" s="1" t="s">
        <v>15</v>
      </c>
      <c r="S19" s="17">
        <f t="shared" ref="S19:AF19" si="11">SUM(C46:C49)</f>
        <v>5</v>
      </c>
      <c r="T19" s="17">
        <f t="shared" si="11"/>
        <v>2</v>
      </c>
      <c r="U19" s="17">
        <f t="shared" si="11"/>
        <v>6</v>
      </c>
      <c r="V19" s="17">
        <f t="shared" si="11"/>
        <v>2</v>
      </c>
      <c r="W19" s="17">
        <f t="shared" si="11"/>
        <v>2</v>
      </c>
      <c r="X19" s="17">
        <f t="shared" si="11"/>
        <v>0</v>
      </c>
      <c r="Y19" s="17">
        <f t="shared" si="11"/>
        <v>8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32</v>
      </c>
      <c r="AD19" s="17">
        <f t="shared" si="11"/>
        <v>0</v>
      </c>
      <c r="AE19" s="31">
        <f t="shared" si="11"/>
        <v>28</v>
      </c>
      <c r="AF19" s="31">
        <f t="shared" si="11"/>
        <v>60</v>
      </c>
    </row>
    <row r="20" spans="2:32" ht="23.1" customHeight="1" x14ac:dyDescent="0.25">
      <c r="B20" s="45" t="s">
        <v>47</v>
      </c>
      <c r="C20" s="50">
        <v>1</v>
      </c>
      <c r="D20" s="50">
        <v>1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3</v>
      </c>
      <c r="P20" s="15">
        <f t="shared" si="1"/>
        <v>9</v>
      </c>
      <c r="R20" s="1" t="s">
        <v>16</v>
      </c>
      <c r="S20" s="17">
        <f t="shared" ref="S20:AF20" si="12">SUM(C50:C53)</f>
        <v>18</v>
      </c>
      <c r="T20" s="17">
        <f t="shared" si="12"/>
        <v>2</v>
      </c>
      <c r="U20" s="17">
        <f t="shared" si="12"/>
        <v>3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40</v>
      </c>
      <c r="AD20" s="17">
        <f t="shared" si="12"/>
        <v>0</v>
      </c>
      <c r="AE20" s="31">
        <f t="shared" si="12"/>
        <v>33</v>
      </c>
      <c r="AF20" s="31">
        <f t="shared" si="12"/>
        <v>73</v>
      </c>
    </row>
    <row r="21" spans="2:32" ht="23.1" customHeight="1" x14ac:dyDescent="0.25">
      <c r="B21" s="45" t="s">
        <v>48</v>
      </c>
      <c r="C21" s="50">
        <v>6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8</v>
      </c>
      <c r="P21" s="15">
        <f t="shared" si="1"/>
        <v>13</v>
      </c>
      <c r="R21" s="36" t="s">
        <v>20</v>
      </c>
      <c r="S21" s="34">
        <f t="shared" ref="S21:AF21" si="13">SUM(C54:C57)</f>
        <v>11</v>
      </c>
      <c r="T21" s="17">
        <f t="shared" si="13"/>
        <v>2</v>
      </c>
      <c r="U21" s="17">
        <f t="shared" si="13"/>
        <v>2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49</v>
      </c>
      <c r="AD21" s="17">
        <f t="shared" si="13"/>
        <v>0</v>
      </c>
      <c r="AE21" s="31">
        <f t="shared" si="13"/>
        <v>26</v>
      </c>
      <c r="AF21" s="31">
        <f t="shared" si="13"/>
        <v>75</v>
      </c>
    </row>
    <row r="22" spans="2:32" ht="23.1" customHeight="1" x14ac:dyDescent="0.25">
      <c r="B22" s="45" t="s">
        <v>49</v>
      </c>
      <c r="C22" s="50">
        <v>3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7</v>
      </c>
      <c r="P22" s="15">
        <f t="shared" si="1"/>
        <v>9</v>
      </c>
      <c r="R22" s="36" t="s">
        <v>146</v>
      </c>
      <c r="S22" s="34">
        <f>SUM(C58:C61)</f>
        <v>11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4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34</v>
      </c>
      <c r="AD22" s="34">
        <f t="shared" si="14"/>
        <v>0</v>
      </c>
      <c r="AE22" s="31">
        <f t="shared" si="14"/>
        <v>24</v>
      </c>
      <c r="AF22" s="31">
        <f t="shared" si="14"/>
        <v>58</v>
      </c>
    </row>
    <row r="23" spans="2:32" ht="23.1" customHeight="1" x14ac:dyDescent="0.25">
      <c r="B23" s="45" t="s">
        <v>50</v>
      </c>
      <c r="C23" s="50">
        <v>2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4</v>
      </c>
      <c r="P23" s="15">
        <f t="shared" si="1"/>
        <v>8</v>
      </c>
      <c r="R23" s="36" t="s">
        <v>147</v>
      </c>
      <c r="S23" s="34">
        <f>SUM(C62:C65)</f>
        <v>3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30</v>
      </c>
      <c r="AD23" s="34">
        <f t="shared" si="15"/>
        <v>0</v>
      </c>
      <c r="AE23" s="31">
        <f t="shared" si="15"/>
        <v>11</v>
      </c>
      <c r="AF23" s="31">
        <f t="shared" si="15"/>
        <v>41</v>
      </c>
    </row>
    <row r="24" spans="2:32" ht="23.1" customHeight="1" x14ac:dyDescent="0.25">
      <c r="B24" s="45" t="s">
        <v>51</v>
      </c>
      <c r="C24" s="50">
        <v>2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1</v>
      </c>
      <c r="L24" s="50">
        <v>0</v>
      </c>
      <c r="M24" s="50">
        <v>6</v>
      </c>
      <c r="N24" s="50">
        <v>0</v>
      </c>
      <c r="O24" s="15">
        <f t="shared" si="0"/>
        <v>6</v>
      </c>
      <c r="P24" s="15">
        <f t="shared" si="1"/>
        <v>12</v>
      </c>
      <c r="R24" s="36" t="s">
        <v>148</v>
      </c>
      <c r="S24" s="34">
        <f>SUM(C66:C69)</f>
        <v>8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16</v>
      </c>
      <c r="AD24" s="34">
        <f t="shared" si="16"/>
        <v>0</v>
      </c>
      <c r="AE24" s="31">
        <f t="shared" si="16"/>
        <v>16</v>
      </c>
      <c r="AF24" s="31">
        <f t="shared" si="16"/>
        <v>32</v>
      </c>
    </row>
    <row r="25" spans="2:32" ht="23.1" customHeight="1" x14ac:dyDescent="0.25">
      <c r="B25" s="45" t="s">
        <v>52</v>
      </c>
      <c r="C25" s="50">
        <v>4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7</v>
      </c>
      <c r="P25" s="15">
        <f t="shared" si="1"/>
        <v>13</v>
      </c>
      <c r="R25" s="36" t="s">
        <v>149</v>
      </c>
      <c r="S25" s="34">
        <f>SUM(C70:C73)</f>
        <v>8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14</v>
      </c>
      <c r="AD25" s="34">
        <f t="shared" si="17"/>
        <v>0</v>
      </c>
      <c r="AE25" s="31">
        <f t="shared" si="17"/>
        <v>10</v>
      </c>
      <c r="AF25" s="31">
        <f t="shared" si="17"/>
        <v>24</v>
      </c>
    </row>
    <row r="26" spans="2:32" ht="23.1" customHeight="1" x14ac:dyDescent="0.25">
      <c r="B26" s="45" t="s">
        <v>53</v>
      </c>
      <c r="C26" s="50">
        <v>3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12</v>
      </c>
      <c r="N26" s="50">
        <v>0</v>
      </c>
      <c r="O26" s="15">
        <f t="shared" si="0"/>
        <v>5</v>
      </c>
      <c r="P26" s="15">
        <f t="shared" si="1"/>
        <v>17</v>
      </c>
      <c r="R26" s="36" t="s">
        <v>150</v>
      </c>
      <c r="S26" s="34">
        <f>SUM(C74:C77)</f>
        <v>2</v>
      </c>
      <c r="T26" s="34">
        <f t="shared" ref="T26:AF26" si="18">SUM(D74:D77)</f>
        <v>2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3</v>
      </c>
      <c r="AA26" s="34">
        <f t="shared" si="18"/>
        <v>0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9</v>
      </c>
      <c r="AF26" s="31">
        <f t="shared" si="18"/>
        <v>15</v>
      </c>
    </row>
    <row r="27" spans="2:32" ht="23.1" customHeight="1" x14ac:dyDescent="0.25">
      <c r="B27" s="45" t="s">
        <v>54</v>
      </c>
      <c r="C27" s="50">
        <v>4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8</v>
      </c>
      <c r="P27" s="15">
        <f t="shared" si="1"/>
        <v>19</v>
      </c>
      <c r="R27" s="36" t="s">
        <v>151</v>
      </c>
      <c r="S27" s="34">
        <f>SUM(C78:C81)</f>
        <v>3</v>
      </c>
      <c r="T27" s="34">
        <f t="shared" ref="T27:AF27" si="19">SUM(D78:D81)</f>
        <v>2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5</v>
      </c>
      <c r="AD27" s="34">
        <f t="shared" si="19"/>
        <v>0</v>
      </c>
      <c r="AE27" s="31">
        <f t="shared" si="19"/>
        <v>10</v>
      </c>
      <c r="AF27" s="31">
        <f t="shared" si="19"/>
        <v>15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1</v>
      </c>
      <c r="P28" s="15">
        <f t="shared" si="1"/>
        <v>8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2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3</v>
      </c>
      <c r="D29" s="50">
        <v>1</v>
      </c>
      <c r="E29" s="50">
        <v>2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7</v>
      </c>
      <c r="P29" s="15">
        <f t="shared" si="1"/>
        <v>9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5</v>
      </c>
      <c r="P30" s="15">
        <f t="shared" si="1"/>
        <v>14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3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5</v>
      </c>
      <c r="N31" s="50">
        <v>0</v>
      </c>
      <c r="O31" s="15">
        <f t="shared" si="0"/>
        <v>5</v>
      </c>
      <c r="P31" s="15">
        <f t="shared" si="1"/>
        <v>10</v>
      </c>
      <c r="R31" s="36" t="s">
        <v>155</v>
      </c>
      <c r="S31" s="34">
        <f>SUM(C94:C97)</f>
        <v>1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4</v>
      </c>
      <c r="AF31" s="31">
        <f t="shared" si="23"/>
        <v>6</v>
      </c>
    </row>
    <row r="32" spans="2:32" ht="23.1" customHeight="1" x14ac:dyDescent="0.25">
      <c r="B32" s="46" t="s">
        <v>59</v>
      </c>
      <c r="C32" s="50">
        <v>3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6</v>
      </c>
      <c r="P32" s="15">
        <f t="shared" si="1"/>
        <v>11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1</v>
      </c>
      <c r="AF32" s="31">
        <f t="shared" si="24"/>
        <v>3</v>
      </c>
    </row>
    <row r="33" spans="2:32" ht="23.1" customHeight="1" x14ac:dyDescent="0.25">
      <c r="B33" s="45" t="s">
        <v>60</v>
      </c>
      <c r="C33" s="50">
        <v>6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7</v>
      </c>
      <c r="P33" s="15">
        <f t="shared" si="1"/>
        <v>7</v>
      </c>
      <c r="R33" s="33" t="s">
        <v>157</v>
      </c>
      <c r="S33" s="34">
        <f>SUM(C102:C105)</f>
        <v>2</v>
      </c>
      <c r="T33" s="34">
        <f t="shared" ref="T33:AF33" si="25">SUM(D102:D105)</f>
        <v>2</v>
      </c>
      <c r="U33" s="34">
        <f t="shared" si="25"/>
        <v>2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</v>
      </c>
      <c r="AD33" s="34">
        <f t="shared" si="25"/>
        <v>0</v>
      </c>
      <c r="AE33" s="31">
        <f t="shared" si="25"/>
        <v>11</v>
      </c>
      <c r="AF33" s="31">
        <f t="shared" si="25"/>
        <v>15</v>
      </c>
    </row>
    <row r="34" spans="2:32" ht="23.1" customHeight="1" x14ac:dyDescent="0.25">
      <c r="B34" s="46" t="s">
        <v>61</v>
      </c>
      <c r="C34" s="50">
        <v>3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5</v>
      </c>
      <c r="N34" s="50">
        <v>5</v>
      </c>
      <c r="O34" s="15">
        <f t="shared" si="0"/>
        <v>11</v>
      </c>
      <c r="P34" s="15">
        <f t="shared" si="1"/>
        <v>16</v>
      </c>
      <c r="R34" s="38" t="s">
        <v>90</v>
      </c>
      <c r="S34" s="39">
        <f t="shared" ref="S34:AF34" si="26">MAX(S10:S12)</f>
        <v>12</v>
      </c>
      <c r="T34" s="39">
        <f t="shared" si="26"/>
        <v>3</v>
      </c>
      <c r="U34" s="39">
        <f t="shared" si="26"/>
        <v>3</v>
      </c>
      <c r="V34" s="39">
        <f t="shared" si="26"/>
        <v>8</v>
      </c>
      <c r="W34" s="39">
        <f t="shared" si="26"/>
        <v>0</v>
      </c>
      <c r="X34" s="39">
        <f t="shared" si="26"/>
        <v>0</v>
      </c>
      <c r="Y34" s="39">
        <f t="shared" si="26"/>
        <v>6</v>
      </c>
      <c r="Z34" s="39">
        <f t="shared" si="26"/>
        <v>3</v>
      </c>
      <c r="AA34" s="39">
        <f t="shared" si="26"/>
        <v>5</v>
      </c>
      <c r="AB34" s="39">
        <f t="shared" si="26"/>
        <v>0</v>
      </c>
      <c r="AC34" s="39">
        <f t="shared" si="26"/>
        <v>22</v>
      </c>
      <c r="AD34" s="39">
        <f t="shared" si="26"/>
        <v>0</v>
      </c>
      <c r="AE34" s="40">
        <f t="shared" si="26"/>
        <v>35</v>
      </c>
      <c r="AF34" s="40">
        <f t="shared" si="26"/>
        <v>57</v>
      </c>
    </row>
    <row r="35" spans="2:32" ht="23.1" customHeight="1" x14ac:dyDescent="0.25">
      <c r="B35" s="46" t="s">
        <v>62</v>
      </c>
      <c r="C35" s="50">
        <v>0</v>
      </c>
      <c r="D35" s="50">
        <v>1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5</v>
      </c>
      <c r="O35" s="15">
        <f t="shared" si="0"/>
        <v>7</v>
      </c>
      <c r="P35" s="15">
        <f t="shared" si="1"/>
        <v>12</v>
      </c>
      <c r="R35" s="38" t="s">
        <v>91</v>
      </c>
      <c r="S35" s="39">
        <f t="shared" ref="S35:AF35" si="27">MAX(S13:S18)</f>
        <v>15</v>
      </c>
      <c r="T35" s="39">
        <f t="shared" si="27"/>
        <v>2</v>
      </c>
      <c r="U35" s="39">
        <f t="shared" si="27"/>
        <v>5</v>
      </c>
      <c r="V35" s="39">
        <f t="shared" si="27"/>
        <v>2</v>
      </c>
      <c r="W35" s="39">
        <f t="shared" si="27"/>
        <v>1</v>
      </c>
      <c r="X35" s="39">
        <f t="shared" si="27"/>
        <v>0</v>
      </c>
      <c r="Y35" s="39">
        <f t="shared" si="27"/>
        <v>7</v>
      </c>
      <c r="Z35" s="39">
        <f t="shared" si="27"/>
        <v>3</v>
      </c>
      <c r="AA35" s="39">
        <f t="shared" si="27"/>
        <v>2</v>
      </c>
      <c r="AB35" s="39">
        <f t="shared" si="27"/>
        <v>0</v>
      </c>
      <c r="AC35" s="39">
        <f t="shared" si="27"/>
        <v>32</v>
      </c>
      <c r="AD35" s="39">
        <f t="shared" si="27"/>
        <v>10</v>
      </c>
      <c r="AE35" s="40">
        <f t="shared" si="27"/>
        <v>33</v>
      </c>
      <c r="AF35" s="40">
        <f t="shared" si="27"/>
        <v>62</v>
      </c>
    </row>
    <row r="36" spans="2:32" ht="23.1" customHeight="1" x14ac:dyDescent="0.25">
      <c r="B36" s="46" t="s">
        <v>63</v>
      </c>
      <c r="C36" s="50">
        <v>1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3</v>
      </c>
      <c r="P36" s="15">
        <f t="shared" si="1"/>
        <v>8</v>
      </c>
      <c r="R36" s="38" t="s">
        <v>92</v>
      </c>
      <c r="S36" s="39">
        <f t="shared" ref="S36:AF36" si="28">MAX(S19:S21)</f>
        <v>18</v>
      </c>
      <c r="T36" s="39">
        <f t="shared" si="28"/>
        <v>2</v>
      </c>
      <c r="U36" s="39">
        <f t="shared" si="28"/>
        <v>6</v>
      </c>
      <c r="V36" s="39">
        <f t="shared" si="28"/>
        <v>2</v>
      </c>
      <c r="W36" s="39">
        <f t="shared" si="28"/>
        <v>2</v>
      </c>
      <c r="X36" s="39">
        <f t="shared" si="28"/>
        <v>0</v>
      </c>
      <c r="Y36" s="39">
        <f t="shared" si="28"/>
        <v>8</v>
      </c>
      <c r="Z36" s="39">
        <f t="shared" si="28"/>
        <v>5</v>
      </c>
      <c r="AA36" s="39">
        <f t="shared" si="28"/>
        <v>0</v>
      </c>
      <c r="AB36" s="39">
        <f t="shared" si="28"/>
        <v>0</v>
      </c>
      <c r="AC36" s="39">
        <f t="shared" si="28"/>
        <v>49</v>
      </c>
      <c r="AD36" s="39">
        <f t="shared" si="28"/>
        <v>0</v>
      </c>
      <c r="AE36" s="40">
        <f t="shared" si="28"/>
        <v>33</v>
      </c>
      <c r="AF36" s="40">
        <f t="shared" si="28"/>
        <v>75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2</v>
      </c>
      <c r="L37" s="50">
        <v>0</v>
      </c>
      <c r="M37" s="50">
        <v>10</v>
      </c>
      <c r="N37" s="50">
        <v>0</v>
      </c>
      <c r="O37" s="15">
        <f t="shared" si="0"/>
        <v>4</v>
      </c>
      <c r="P37" s="15">
        <f t="shared" si="1"/>
        <v>14</v>
      </c>
      <c r="R37" s="37" t="s">
        <v>85</v>
      </c>
      <c r="S37" s="35">
        <f t="shared" ref="S37:AF37" si="29">SUM(S10:S12)</f>
        <v>25</v>
      </c>
      <c r="T37" s="16">
        <f t="shared" si="29"/>
        <v>5</v>
      </c>
      <c r="U37" s="16">
        <f t="shared" si="29"/>
        <v>5</v>
      </c>
      <c r="V37" s="16">
        <f t="shared" si="29"/>
        <v>16</v>
      </c>
      <c r="W37" s="16">
        <f t="shared" si="29"/>
        <v>0</v>
      </c>
      <c r="X37" s="16">
        <f t="shared" si="29"/>
        <v>0</v>
      </c>
      <c r="Y37" s="16">
        <f t="shared" si="29"/>
        <v>13</v>
      </c>
      <c r="Z37" s="16">
        <f t="shared" si="29"/>
        <v>5</v>
      </c>
      <c r="AA37" s="16">
        <f t="shared" si="29"/>
        <v>6</v>
      </c>
      <c r="AB37" s="16">
        <f t="shared" si="29"/>
        <v>0</v>
      </c>
      <c r="AC37" s="16">
        <f t="shared" si="29"/>
        <v>55</v>
      </c>
      <c r="AD37" s="16">
        <f t="shared" si="29"/>
        <v>0</v>
      </c>
      <c r="AE37" s="32">
        <f t="shared" si="29"/>
        <v>75</v>
      </c>
      <c r="AF37" s="32">
        <f t="shared" si="29"/>
        <v>130</v>
      </c>
    </row>
    <row r="38" spans="2:32" ht="23.1" customHeight="1" x14ac:dyDescent="0.25">
      <c r="B38" s="46" t="s">
        <v>65</v>
      </c>
      <c r="C38" s="50">
        <v>4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3</v>
      </c>
      <c r="J38" s="50">
        <v>0</v>
      </c>
      <c r="K38" s="50">
        <v>1</v>
      </c>
      <c r="L38" s="50">
        <v>0</v>
      </c>
      <c r="M38" s="50">
        <v>8</v>
      </c>
      <c r="N38" s="50">
        <v>0</v>
      </c>
      <c r="O38" s="15">
        <f t="shared" si="0"/>
        <v>9</v>
      </c>
      <c r="P38" s="15">
        <f t="shared" si="1"/>
        <v>17</v>
      </c>
      <c r="R38" s="28" t="s">
        <v>86</v>
      </c>
      <c r="S38" s="16">
        <f t="shared" ref="S38:AF38" si="30">SUM(S13:S18)</f>
        <v>65</v>
      </c>
      <c r="T38" s="16">
        <f t="shared" si="30"/>
        <v>7</v>
      </c>
      <c r="U38" s="16">
        <f t="shared" si="30"/>
        <v>22</v>
      </c>
      <c r="V38" s="16">
        <f t="shared" si="30"/>
        <v>5</v>
      </c>
      <c r="W38" s="16">
        <f t="shared" si="30"/>
        <v>1</v>
      </c>
      <c r="X38" s="16">
        <f t="shared" si="30"/>
        <v>0</v>
      </c>
      <c r="Y38" s="16">
        <f t="shared" si="30"/>
        <v>23</v>
      </c>
      <c r="Z38" s="16">
        <f t="shared" si="30"/>
        <v>10</v>
      </c>
      <c r="AA38" s="16">
        <f t="shared" si="30"/>
        <v>7</v>
      </c>
      <c r="AB38" s="16">
        <f t="shared" si="30"/>
        <v>0</v>
      </c>
      <c r="AC38" s="16">
        <f t="shared" si="30"/>
        <v>146</v>
      </c>
      <c r="AD38" s="16">
        <f t="shared" si="30"/>
        <v>10</v>
      </c>
      <c r="AE38" s="32">
        <f t="shared" si="30"/>
        <v>150</v>
      </c>
      <c r="AF38" s="32">
        <f t="shared" si="30"/>
        <v>296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2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4</v>
      </c>
      <c r="P39" s="15">
        <f t="shared" si="1"/>
        <v>9</v>
      </c>
      <c r="R39" s="29" t="s">
        <v>87</v>
      </c>
      <c r="S39" s="16">
        <f t="shared" ref="S39:AF39" si="31">SUM(S19:S21)</f>
        <v>34</v>
      </c>
      <c r="T39" s="16">
        <f t="shared" si="31"/>
        <v>6</v>
      </c>
      <c r="U39" s="16">
        <f t="shared" si="31"/>
        <v>11</v>
      </c>
      <c r="V39" s="16">
        <f t="shared" si="31"/>
        <v>6</v>
      </c>
      <c r="W39" s="16">
        <f t="shared" si="31"/>
        <v>2</v>
      </c>
      <c r="X39" s="16">
        <f t="shared" si="31"/>
        <v>0</v>
      </c>
      <c r="Y39" s="16">
        <f t="shared" si="31"/>
        <v>19</v>
      </c>
      <c r="Z39" s="16">
        <f t="shared" si="31"/>
        <v>9</v>
      </c>
      <c r="AA39" s="16">
        <f t="shared" si="31"/>
        <v>0</v>
      </c>
      <c r="AB39" s="16">
        <f t="shared" si="31"/>
        <v>0</v>
      </c>
      <c r="AC39" s="16">
        <f t="shared" si="31"/>
        <v>121</v>
      </c>
      <c r="AD39" s="16">
        <f t="shared" si="31"/>
        <v>0</v>
      </c>
      <c r="AE39" s="32">
        <f t="shared" si="31"/>
        <v>87</v>
      </c>
      <c r="AF39" s="32">
        <f t="shared" si="31"/>
        <v>208</v>
      </c>
    </row>
    <row r="40" spans="2:32" ht="23.1" customHeight="1" x14ac:dyDescent="0.25">
      <c r="B40" s="46" t="s">
        <v>67</v>
      </c>
      <c r="C40" s="50">
        <v>2</v>
      </c>
      <c r="D40" s="50">
        <v>0</v>
      </c>
      <c r="E40" s="50">
        <v>1</v>
      </c>
      <c r="F40" s="50">
        <v>1</v>
      </c>
      <c r="G40" s="50">
        <v>1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6</v>
      </c>
      <c r="P40" s="15">
        <f t="shared" si="1"/>
        <v>12</v>
      </c>
      <c r="R40" s="5" t="s">
        <v>17</v>
      </c>
      <c r="S40" s="16">
        <f t="shared" ref="S40:AF40" si="32">SUM(S10:S21)</f>
        <v>124</v>
      </c>
      <c r="T40" s="16">
        <f t="shared" si="32"/>
        <v>18</v>
      </c>
      <c r="U40" s="16">
        <f t="shared" si="32"/>
        <v>38</v>
      </c>
      <c r="V40" s="16">
        <f t="shared" si="32"/>
        <v>27</v>
      </c>
      <c r="W40" s="16">
        <f t="shared" si="32"/>
        <v>3</v>
      </c>
      <c r="X40" s="16">
        <f t="shared" si="32"/>
        <v>0</v>
      </c>
      <c r="Y40" s="16">
        <f t="shared" si="32"/>
        <v>55</v>
      </c>
      <c r="Z40" s="16">
        <f t="shared" si="32"/>
        <v>24</v>
      </c>
      <c r="AA40" s="16">
        <f t="shared" si="32"/>
        <v>13</v>
      </c>
      <c r="AB40" s="16">
        <f t="shared" si="32"/>
        <v>0</v>
      </c>
      <c r="AC40" s="16">
        <f t="shared" si="32"/>
        <v>322</v>
      </c>
      <c r="AD40" s="16">
        <f t="shared" si="32"/>
        <v>10</v>
      </c>
      <c r="AE40" s="32">
        <f t="shared" si="32"/>
        <v>312</v>
      </c>
      <c r="AF40" s="32">
        <f t="shared" si="32"/>
        <v>634</v>
      </c>
    </row>
    <row r="41" spans="2:32" ht="23.1" customHeight="1" x14ac:dyDescent="0.25">
      <c r="B41" s="45" t="s">
        <v>68</v>
      </c>
      <c r="C41" s="50">
        <v>2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5</v>
      </c>
      <c r="P41" s="15">
        <f t="shared" si="1"/>
        <v>9</v>
      </c>
      <c r="R41" s="5" t="s">
        <v>159</v>
      </c>
      <c r="S41" s="16">
        <f>SUM(S10:S33)</f>
        <v>165</v>
      </c>
      <c r="T41" s="16">
        <f t="shared" ref="T41:AF41" si="33">SUM(T10:T33)</f>
        <v>29</v>
      </c>
      <c r="U41" s="16">
        <f t="shared" si="33"/>
        <v>45</v>
      </c>
      <c r="V41" s="16">
        <f t="shared" si="33"/>
        <v>39</v>
      </c>
      <c r="W41" s="16">
        <f t="shared" si="33"/>
        <v>4</v>
      </c>
      <c r="X41" s="16">
        <f t="shared" si="33"/>
        <v>0</v>
      </c>
      <c r="Y41" s="16">
        <f t="shared" si="33"/>
        <v>76</v>
      </c>
      <c r="Z41" s="16">
        <f t="shared" si="33"/>
        <v>38</v>
      </c>
      <c r="AA41" s="16">
        <f t="shared" si="33"/>
        <v>13</v>
      </c>
      <c r="AB41" s="16">
        <f t="shared" si="33"/>
        <v>0</v>
      </c>
      <c r="AC41" s="16">
        <f t="shared" si="33"/>
        <v>436</v>
      </c>
      <c r="AD41" s="16">
        <f t="shared" si="33"/>
        <v>10</v>
      </c>
      <c r="AE41" s="32">
        <f t="shared" si="33"/>
        <v>419</v>
      </c>
      <c r="AF41" s="32">
        <f t="shared" si="33"/>
        <v>855</v>
      </c>
    </row>
    <row r="42" spans="2:32" ht="23.1" customHeight="1" x14ac:dyDescent="0.25">
      <c r="B42" s="46" t="s">
        <v>69</v>
      </c>
      <c r="C42" s="50">
        <v>6</v>
      </c>
      <c r="D42" s="50">
        <v>0</v>
      </c>
      <c r="E42" s="50">
        <v>2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9</v>
      </c>
      <c r="P42" s="15">
        <f t="shared" si="1"/>
        <v>20</v>
      </c>
      <c r="R42" s="5" t="s">
        <v>160</v>
      </c>
      <c r="S42" s="48">
        <f>S41/S40</f>
        <v>1.3306451612903225</v>
      </c>
      <c r="T42" s="48">
        <f t="shared" ref="T42:AF42" si="34">T41/T40</f>
        <v>1.6111111111111112</v>
      </c>
      <c r="U42" s="48">
        <f t="shared" si="34"/>
        <v>1.1842105263157894</v>
      </c>
      <c r="V42" s="48">
        <f t="shared" si="34"/>
        <v>1.4444444444444444</v>
      </c>
      <c r="W42" s="48">
        <f t="shared" si="34"/>
        <v>1.3333333333333333</v>
      </c>
      <c r="X42" s="48" t="e">
        <f t="shared" si="34"/>
        <v>#DIV/0!</v>
      </c>
      <c r="Y42" s="48">
        <f t="shared" si="34"/>
        <v>1.3818181818181818</v>
      </c>
      <c r="Z42" s="48">
        <f t="shared" si="34"/>
        <v>1.5833333333333333</v>
      </c>
      <c r="AA42" s="48">
        <f t="shared" si="34"/>
        <v>1</v>
      </c>
      <c r="AB42" s="48" t="e">
        <f t="shared" si="34"/>
        <v>#DIV/0!</v>
      </c>
      <c r="AC42" s="48">
        <f t="shared" si="34"/>
        <v>1.3540372670807452</v>
      </c>
      <c r="AD42" s="48">
        <f t="shared" si="34"/>
        <v>1</v>
      </c>
      <c r="AE42" s="48">
        <f t="shared" si="34"/>
        <v>1.3429487179487178</v>
      </c>
      <c r="AF42" s="48">
        <f t="shared" si="34"/>
        <v>1.3485804416403786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5</v>
      </c>
      <c r="N43" s="50">
        <v>0</v>
      </c>
      <c r="O43" s="15">
        <f t="shared" si="0"/>
        <v>4</v>
      </c>
      <c r="P43" s="15">
        <f t="shared" si="1"/>
        <v>9</v>
      </c>
    </row>
    <row r="44" spans="2:32" ht="23.1" customHeight="1" x14ac:dyDescent="0.25">
      <c r="B44" s="47" t="s">
        <v>71</v>
      </c>
      <c r="C44" s="50">
        <v>2</v>
      </c>
      <c r="D44" s="50">
        <v>1</v>
      </c>
      <c r="E44" s="50">
        <v>2</v>
      </c>
      <c r="F44" s="50">
        <v>0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9</v>
      </c>
      <c r="P44" s="15">
        <f t="shared" si="1"/>
        <v>17</v>
      </c>
    </row>
    <row r="45" spans="2:32" ht="23.1" customHeight="1" x14ac:dyDescent="0.25">
      <c r="B45" s="45" t="s">
        <v>72</v>
      </c>
      <c r="C45" s="50">
        <v>4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4</v>
      </c>
      <c r="J45" s="50">
        <v>2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11</v>
      </c>
      <c r="P45" s="15">
        <f t="shared" si="1"/>
        <v>16</v>
      </c>
    </row>
    <row r="46" spans="2:32" ht="23.1" customHeight="1" x14ac:dyDescent="0.25">
      <c r="B46" s="46" t="s">
        <v>73</v>
      </c>
      <c r="C46" s="50">
        <v>1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2</v>
      </c>
      <c r="P46" s="15">
        <f t="shared" si="1"/>
        <v>9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7</v>
      </c>
      <c r="N47" s="50">
        <v>0</v>
      </c>
      <c r="O47" s="15">
        <f t="shared" si="0"/>
        <v>6</v>
      </c>
      <c r="P47" s="15">
        <f t="shared" si="1"/>
        <v>13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1</v>
      </c>
      <c r="E48" s="50">
        <v>2</v>
      </c>
      <c r="F48" s="50">
        <v>0</v>
      </c>
      <c r="G48" s="50">
        <v>1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9</v>
      </c>
      <c r="N48" s="50">
        <v>0</v>
      </c>
      <c r="O48" s="15">
        <f t="shared" si="0"/>
        <v>8</v>
      </c>
      <c r="P48" s="15">
        <f t="shared" si="1"/>
        <v>17</v>
      </c>
      <c r="R48" s="8"/>
      <c r="T48"/>
    </row>
    <row r="49" spans="2:20" ht="23.1" customHeight="1" x14ac:dyDescent="0.25">
      <c r="B49" s="45" t="s">
        <v>76</v>
      </c>
      <c r="C49" s="50">
        <v>3</v>
      </c>
      <c r="D49" s="50">
        <v>0</v>
      </c>
      <c r="E49" s="50">
        <v>2</v>
      </c>
      <c r="F49" s="50">
        <v>2</v>
      </c>
      <c r="G49" s="50">
        <v>1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9</v>
      </c>
      <c r="N49" s="50">
        <v>0</v>
      </c>
      <c r="O49" s="15">
        <f t="shared" si="0"/>
        <v>12</v>
      </c>
      <c r="P49" s="15">
        <f t="shared" si="1"/>
        <v>21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9</v>
      </c>
      <c r="P50" s="15">
        <f t="shared" si="1"/>
        <v>19</v>
      </c>
      <c r="R50" s="8"/>
      <c r="T50"/>
    </row>
    <row r="51" spans="2:20" ht="23.1" customHeight="1" x14ac:dyDescent="0.25">
      <c r="B51" s="46" t="s">
        <v>78</v>
      </c>
      <c r="C51" s="50">
        <v>4</v>
      </c>
      <c r="D51" s="50">
        <v>0</v>
      </c>
      <c r="E51" s="50">
        <v>0</v>
      </c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8</v>
      </c>
      <c r="P51" s="15">
        <f t="shared" si="1"/>
        <v>19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6</v>
      </c>
      <c r="N52" s="50">
        <v>0</v>
      </c>
      <c r="O52" s="15">
        <f t="shared" si="0"/>
        <v>6</v>
      </c>
      <c r="P52" s="15">
        <f t="shared" si="1"/>
        <v>12</v>
      </c>
      <c r="R52" s="8"/>
      <c r="T52"/>
    </row>
    <row r="53" spans="2:20" ht="23.1" customHeight="1" x14ac:dyDescent="0.25">
      <c r="B53" s="45" t="s">
        <v>80</v>
      </c>
      <c r="C53" s="50">
        <v>6</v>
      </c>
      <c r="D53" s="50">
        <v>0</v>
      </c>
      <c r="E53" s="50">
        <v>3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10</v>
      </c>
      <c r="P53" s="15">
        <f t="shared" si="1"/>
        <v>23</v>
      </c>
      <c r="R53" s="8"/>
      <c r="T53"/>
    </row>
    <row r="54" spans="2:20" ht="23.1" customHeight="1" x14ac:dyDescent="0.25">
      <c r="B54" s="45" t="s">
        <v>81</v>
      </c>
      <c r="C54" s="50">
        <v>6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14</v>
      </c>
      <c r="N54" s="50">
        <v>0</v>
      </c>
      <c r="O54" s="15">
        <f t="shared" si="0"/>
        <v>10</v>
      </c>
      <c r="P54" s="15">
        <f t="shared" si="1"/>
        <v>24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11</v>
      </c>
      <c r="N55" s="50">
        <v>0</v>
      </c>
      <c r="O55" s="15">
        <f t="shared" si="0"/>
        <v>4</v>
      </c>
      <c r="P55" s="15">
        <f t="shared" si="1"/>
        <v>15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14</v>
      </c>
      <c r="N56" s="50">
        <v>0</v>
      </c>
      <c r="O56" s="15">
        <f t="shared" si="0"/>
        <v>5</v>
      </c>
      <c r="P56" s="15">
        <f t="shared" si="1"/>
        <v>19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1</v>
      </c>
      <c r="F57" s="50">
        <v>2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7</v>
      </c>
      <c r="P57" s="15">
        <f t="shared" si="1"/>
        <v>17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0</v>
      </c>
      <c r="E58" s="50">
        <v>1</v>
      </c>
      <c r="F58" s="50">
        <v>1</v>
      </c>
      <c r="G58" s="50">
        <v>1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10</v>
      </c>
      <c r="N58" s="50">
        <v>0</v>
      </c>
      <c r="O58" s="15">
        <f t="shared" ref="O58:O105" si="35">SUM(C58:L58,N58)</f>
        <v>8</v>
      </c>
      <c r="P58" s="15">
        <f t="shared" ref="P58:P105" si="36">SUM(C58:N58)</f>
        <v>18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0</v>
      </c>
      <c r="F59" s="50">
        <v>2</v>
      </c>
      <c r="G59" s="50">
        <v>0</v>
      </c>
      <c r="H59" s="50">
        <v>0</v>
      </c>
      <c r="I59" s="50">
        <v>0</v>
      </c>
      <c r="J59" s="50">
        <v>1</v>
      </c>
      <c r="K59" s="50">
        <v>0</v>
      </c>
      <c r="L59" s="50">
        <v>0</v>
      </c>
      <c r="M59" s="50">
        <v>3</v>
      </c>
      <c r="N59" s="50">
        <v>0</v>
      </c>
      <c r="O59" s="15">
        <f t="shared" si="35"/>
        <v>5</v>
      </c>
      <c r="P59" s="15">
        <f t="shared" si="36"/>
        <v>8</v>
      </c>
      <c r="R59" s="8"/>
      <c r="T59"/>
    </row>
    <row r="60" spans="2:20" ht="23.1" customHeight="1" x14ac:dyDescent="0.25">
      <c r="B60" s="45" t="s">
        <v>101</v>
      </c>
      <c r="C60" s="50">
        <v>4</v>
      </c>
      <c r="D60" s="50">
        <v>1</v>
      </c>
      <c r="E60" s="50">
        <v>0</v>
      </c>
      <c r="F60" s="50">
        <v>1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13</v>
      </c>
      <c r="N60" s="50">
        <v>0</v>
      </c>
      <c r="O60" s="15">
        <f t="shared" si="35"/>
        <v>9</v>
      </c>
      <c r="P60" s="15">
        <f t="shared" si="36"/>
        <v>22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8</v>
      </c>
      <c r="N61" s="50">
        <v>0</v>
      </c>
      <c r="O61" s="15">
        <f t="shared" si="35"/>
        <v>2</v>
      </c>
      <c r="P61" s="15">
        <f t="shared" si="36"/>
        <v>10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0</v>
      </c>
      <c r="F62" s="50">
        <v>1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8</v>
      </c>
      <c r="N62" s="50">
        <v>0</v>
      </c>
      <c r="O62" s="15">
        <f t="shared" si="35"/>
        <v>4</v>
      </c>
      <c r="P62" s="15">
        <f t="shared" si="36"/>
        <v>12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9</v>
      </c>
      <c r="N63" s="50">
        <v>0</v>
      </c>
      <c r="O63" s="15">
        <f t="shared" si="35"/>
        <v>1</v>
      </c>
      <c r="P63" s="15">
        <f t="shared" si="36"/>
        <v>10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2</v>
      </c>
      <c r="J64" s="50">
        <v>1</v>
      </c>
      <c r="K64" s="50">
        <v>0</v>
      </c>
      <c r="L64" s="50">
        <v>0</v>
      </c>
      <c r="M64" s="50">
        <v>7</v>
      </c>
      <c r="N64" s="50">
        <v>0</v>
      </c>
      <c r="O64" s="15">
        <f t="shared" si="35"/>
        <v>4</v>
      </c>
      <c r="P64" s="15">
        <f t="shared" si="36"/>
        <v>11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6</v>
      </c>
      <c r="N65" s="50">
        <v>0</v>
      </c>
      <c r="O65" s="15">
        <f t="shared" si="35"/>
        <v>2</v>
      </c>
      <c r="P65" s="15">
        <f t="shared" si="36"/>
        <v>8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9</v>
      </c>
      <c r="N66" s="50">
        <v>0</v>
      </c>
      <c r="O66" s="15">
        <f t="shared" si="35"/>
        <v>5</v>
      </c>
      <c r="P66" s="15">
        <f t="shared" si="36"/>
        <v>14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1</v>
      </c>
      <c r="E67" s="50">
        <v>1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35"/>
        <v>6</v>
      </c>
      <c r="P67" s="15">
        <f t="shared" si="36"/>
        <v>9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3</v>
      </c>
      <c r="N68" s="50">
        <v>0</v>
      </c>
      <c r="O68" s="15">
        <f t="shared" si="35"/>
        <v>3</v>
      </c>
      <c r="P68" s="15">
        <f t="shared" si="36"/>
        <v>6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2</v>
      </c>
      <c r="K69" s="50">
        <v>0</v>
      </c>
      <c r="L69" s="50">
        <v>0</v>
      </c>
      <c r="M69" s="50">
        <v>1</v>
      </c>
      <c r="N69" s="50">
        <v>0</v>
      </c>
      <c r="O69" s="15">
        <f t="shared" si="35"/>
        <v>2</v>
      </c>
      <c r="P69" s="15">
        <f t="shared" si="36"/>
        <v>3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35"/>
        <v>2</v>
      </c>
      <c r="P70" s="15">
        <f t="shared" si="36"/>
        <v>7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2</v>
      </c>
      <c r="N71" s="50">
        <v>0</v>
      </c>
      <c r="O71" s="15">
        <f t="shared" si="35"/>
        <v>3</v>
      </c>
      <c r="P71" s="15">
        <f t="shared" si="36"/>
        <v>5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1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35"/>
        <v>4</v>
      </c>
      <c r="P72" s="15">
        <f t="shared" si="36"/>
        <v>7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35"/>
        <v>1</v>
      </c>
      <c r="P73" s="15">
        <f t="shared" si="36"/>
        <v>5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2</v>
      </c>
      <c r="N74" s="50">
        <v>0</v>
      </c>
      <c r="O74" s="15">
        <f t="shared" si="35"/>
        <v>4</v>
      </c>
      <c r="P74" s="15">
        <f t="shared" si="36"/>
        <v>6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1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2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3</v>
      </c>
      <c r="P77" s="15">
        <f t="shared" si="36"/>
        <v>4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1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2</v>
      </c>
      <c r="E79" s="50">
        <v>0</v>
      </c>
      <c r="F79" s="50">
        <v>1</v>
      </c>
      <c r="G79" s="50">
        <v>0</v>
      </c>
      <c r="H79" s="50">
        <v>0</v>
      </c>
      <c r="I79" s="50">
        <v>1</v>
      </c>
      <c r="J79" s="50">
        <v>2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6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0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3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0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2</v>
      </c>
      <c r="J88" s="50">
        <v>1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2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3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2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2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0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1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2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2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1</v>
      </c>
      <c r="E103" s="50">
        <v>1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3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1</v>
      </c>
      <c r="E104" s="50">
        <v>1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4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>
        <v>2</v>
      </c>
      <c r="N105" s="50">
        <v>0</v>
      </c>
      <c r="O105" s="15">
        <f t="shared" si="35"/>
        <v>2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165</v>
      </c>
      <c r="D106" s="16">
        <f t="shared" ref="D106:P106" si="37">SUM(D10:D105)</f>
        <v>29</v>
      </c>
      <c r="E106" s="16">
        <f t="shared" si="37"/>
        <v>45</v>
      </c>
      <c r="F106" s="16">
        <f t="shared" si="37"/>
        <v>39</v>
      </c>
      <c r="G106" s="16">
        <f t="shared" si="37"/>
        <v>4</v>
      </c>
      <c r="H106" s="16">
        <f t="shared" si="37"/>
        <v>0</v>
      </c>
      <c r="I106" s="16">
        <f t="shared" si="37"/>
        <v>76</v>
      </c>
      <c r="J106" s="16">
        <f t="shared" si="37"/>
        <v>38</v>
      </c>
      <c r="K106" s="16">
        <f t="shared" si="37"/>
        <v>13</v>
      </c>
      <c r="L106" s="16">
        <f t="shared" si="37"/>
        <v>0</v>
      </c>
      <c r="M106" s="16">
        <f t="shared" si="37"/>
        <v>436</v>
      </c>
      <c r="N106" s="16">
        <f t="shared" si="37"/>
        <v>10</v>
      </c>
      <c r="O106" s="16">
        <f t="shared" si="37"/>
        <v>419</v>
      </c>
      <c r="P106" s="16">
        <f t="shared" si="37"/>
        <v>855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0.19298245614035087</v>
      </c>
      <c r="D107" s="43">
        <f t="shared" si="38"/>
        <v>3.3918128654970757E-2</v>
      </c>
      <c r="E107" s="43">
        <f t="shared" si="38"/>
        <v>5.2631578947368418E-2</v>
      </c>
      <c r="F107" s="43">
        <f t="shared" si="38"/>
        <v>4.5614035087719301E-2</v>
      </c>
      <c r="G107" s="43">
        <f t="shared" si="38"/>
        <v>4.6783625730994153E-3</v>
      </c>
      <c r="H107" s="43">
        <f t="shared" si="38"/>
        <v>0</v>
      </c>
      <c r="I107" s="43">
        <f t="shared" si="38"/>
        <v>8.8888888888888892E-2</v>
      </c>
      <c r="J107" s="43">
        <f t="shared" si="38"/>
        <v>4.4444444444444446E-2</v>
      </c>
      <c r="K107" s="43">
        <f t="shared" si="38"/>
        <v>1.5204678362573099E-2</v>
      </c>
      <c r="L107" s="43">
        <f t="shared" si="38"/>
        <v>0</v>
      </c>
      <c r="M107" s="43">
        <f t="shared" si="38"/>
        <v>0.50994152046783625</v>
      </c>
      <c r="N107" s="43">
        <f t="shared" si="38"/>
        <v>1.1695906432748537E-2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0.3937947494033413</v>
      </c>
      <c r="D108" s="44">
        <f t="shared" ref="D108:N108" si="39">D106/$O$106</f>
        <v>6.9212410501193311E-2</v>
      </c>
      <c r="E108" s="44">
        <f t="shared" si="39"/>
        <v>0.10739856801909307</v>
      </c>
      <c r="F108" s="44">
        <f t="shared" si="39"/>
        <v>9.3078758949880672E-2</v>
      </c>
      <c r="G108" s="44">
        <f t="shared" si="39"/>
        <v>9.5465393794749408E-3</v>
      </c>
      <c r="H108" s="44">
        <f t="shared" si="39"/>
        <v>0</v>
      </c>
      <c r="I108" s="44">
        <f t="shared" si="39"/>
        <v>0.18138424821002386</v>
      </c>
      <c r="J108" s="44">
        <f t="shared" si="39"/>
        <v>9.0692124105011929E-2</v>
      </c>
      <c r="K108" s="44">
        <f t="shared" si="39"/>
        <v>3.1026252983293555E-2</v>
      </c>
      <c r="L108" s="44">
        <f t="shared" si="39"/>
        <v>0</v>
      </c>
      <c r="M108" s="44"/>
      <c r="N108" s="44">
        <f t="shared" si="39"/>
        <v>2.386634844868735E-2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W94" sqref="W9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177</v>
      </c>
      <c r="E5" s="3"/>
      <c r="F5" s="41" t="s">
        <v>1</v>
      </c>
      <c r="G5" s="63" t="str">
        <f>'18.10 MASAKA-SEMBABULA-24HRS'!G5:H5</f>
        <v>KIWUULA TC</v>
      </c>
      <c r="H5" s="64"/>
      <c r="I5" s="14"/>
      <c r="J5" s="2" t="s">
        <v>5</v>
      </c>
      <c r="K5" s="63" t="str">
        <f>'18.10 MASAKA-SEMBABULA-24HRS'!K5:L5</f>
        <v xml:space="preserve">NAGADDYA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MASAKA SEMBABULE'!D6:E6</f>
        <v>MASAKA</v>
      </c>
      <c r="E6" s="64"/>
      <c r="F6" s="2" t="s">
        <v>2</v>
      </c>
      <c r="G6" s="63" t="str">
        <f>'17.10 MASAKA SEMBABULE'!G6:H6</f>
        <v>SEMBABULE</v>
      </c>
      <c r="H6" s="64"/>
      <c r="J6" s="2" t="s">
        <v>21</v>
      </c>
      <c r="K6" s="63" t="str">
        <f>'18.10 MASAKA-SEMBABULA-24HRS'!K6:L6</f>
        <v>KIVUMBI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2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20</v>
      </c>
      <c r="AD10" s="17">
        <f t="shared" si="2"/>
        <v>0</v>
      </c>
      <c r="AE10" s="31">
        <f t="shared" si="2"/>
        <v>11</v>
      </c>
      <c r="AF10" s="31">
        <f t="shared" si="2"/>
        <v>31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2</v>
      </c>
      <c r="P11" s="15">
        <f t="shared" si="1"/>
        <v>11</v>
      </c>
      <c r="R11" s="1" t="s">
        <v>7</v>
      </c>
      <c r="S11" s="17">
        <f t="shared" ref="S11:AF11" si="3">SUM(C14:C17)</f>
        <v>5</v>
      </c>
      <c r="T11" s="17">
        <f t="shared" si="3"/>
        <v>1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13</v>
      </c>
      <c r="AF11" s="31">
        <f t="shared" si="3"/>
        <v>29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0</v>
      </c>
      <c r="M12" s="50">
        <v>6</v>
      </c>
      <c r="N12" s="50">
        <v>0</v>
      </c>
      <c r="O12" s="15">
        <f t="shared" si="0"/>
        <v>1</v>
      </c>
      <c r="P12" s="15">
        <f t="shared" si="1"/>
        <v>7</v>
      </c>
      <c r="R12" s="1" t="s">
        <v>8</v>
      </c>
      <c r="S12" s="17">
        <f t="shared" ref="S12:AF12" si="4">SUM(C18:C21)</f>
        <v>5</v>
      </c>
      <c r="T12" s="17">
        <f t="shared" si="4"/>
        <v>1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15</v>
      </c>
      <c r="AF12" s="31">
        <f t="shared" si="4"/>
        <v>35</v>
      </c>
    </row>
    <row r="13" spans="2:32" ht="23.1" customHeight="1" x14ac:dyDescent="0.25">
      <c r="B13" s="45" t="s">
        <v>40</v>
      </c>
      <c r="C13" s="50">
        <v>5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7</v>
      </c>
      <c r="P13" s="15">
        <f t="shared" si="1"/>
        <v>11</v>
      </c>
      <c r="R13" s="1" t="s">
        <v>9</v>
      </c>
      <c r="S13" s="17">
        <f t="shared" ref="S13:AF13" si="5">SUM(C22:C25)</f>
        <v>6</v>
      </c>
      <c r="T13" s="17">
        <f t="shared" si="5"/>
        <v>2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21</v>
      </c>
      <c r="AD13" s="17">
        <f t="shared" si="5"/>
        <v>0</v>
      </c>
      <c r="AE13" s="31">
        <f t="shared" si="5"/>
        <v>12</v>
      </c>
      <c r="AF13" s="31">
        <f t="shared" si="5"/>
        <v>33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3</v>
      </c>
      <c r="P14" s="15">
        <f t="shared" si="1"/>
        <v>5</v>
      </c>
      <c r="R14" s="1" t="s">
        <v>10</v>
      </c>
      <c r="S14" s="17">
        <f t="shared" ref="S14:AF14" si="6">SUM(C26:C29)</f>
        <v>8</v>
      </c>
      <c r="T14" s="17">
        <f t="shared" si="6"/>
        <v>1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30</v>
      </c>
      <c r="AD14" s="17">
        <f t="shared" si="6"/>
        <v>0</v>
      </c>
      <c r="AE14" s="31">
        <f t="shared" si="6"/>
        <v>19</v>
      </c>
      <c r="AF14" s="31">
        <f t="shared" si="6"/>
        <v>49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1</v>
      </c>
      <c r="P15" s="15">
        <f t="shared" si="1"/>
        <v>5</v>
      </c>
      <c r="R15" s="1" t="s">
        <v>11</v>
      </c>
      <c r="S15" s="17">
        <f t="shared" ref="S15:AF15" si="7">SUM(C30:C33)</f>
        <v>14</v>
      </c>
      <c r="T15" s="17">
        <f t="shared" si="7"/>
        <v>0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3</v>
      </c>
      <c r="AA15" s="17">
        <f t="shared" si="7"/>
        <v>3</v>
      </c>
      <c r="AB15" s="17">
        <f t="shared" si="7"/>
        <v>0</v>
      </c>
      <c r="AC15" s="17">
        <f t="shared" si="7"/>
        <v>25</v>
      </c>
      <c r="AD15" s="17">
        <f t="shared" si="7"/>
        <v>0</v>
      </c>
      <c r="AE15" s="31">
        <f t="shared" si="7"/>
        <v>25</v>
      </c>
      <c r="AF15" s="31">
        <f t="shared" si="7"/>
        <v>50</v>
      </c>
    </row>
    <row r="16" spans="2:32" ht="23.1" customHeight="1" x14ac:dyDescent="0.25">
      <c r="B16" s="45" t="s">
        <v>43</v>
      </c>
      <c r="C16" s="50">
        <v>1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6</v>
      </c>
      <c r="P16" s="15">
        <f t="shared" si="1"/>
        <v>10</v>
      </c>
      <c r="R16" s="1" t="s">
        <v>12</v>
      </c>
      <c r="S16" s="17">
        <f t="shared" ref="S16:AF16" si="8">SUM(C34:C37)</f>
        <v>9</v>
      </c>
      <c r="T16" s="17">
        <f t="shared" si="8"/>
        <v>1</v>
      </c>
      <c r="U16" s="17">
        <f t="shared" si="8"/>
        <v>5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38</v>
      </c>
      <c r="AD16" s="17">
        <f t="shared" si="8"/>
        <v>0</v>
      </c>
      <c r="AE16" s="31">
        <f t="shared" si="8"/>
        <v>24</v>
      </c>
      <c r="AF16" s="31">
        <f t="shared" si="8"/>
        <v>62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3</v>
      </c>
      <c r="P17" s="15">
        <f t="shared" si="1"/>
        <v>9</v>
      </c>
      <c r="R17" s="1" t="s">
        <v>13</v>
      </c>
      <c r="S17" s="17">
        <f t="shared" ref="S17:AF17" si="9">SUM(C38:C41)</f>
        <v>8</v>
      </c>
      <c r="T17" s="17">
        <f t="shared" si="9"/>
        <v>0</v>
      </c>
      <c r="U17" s="17">
        <f t="shared" si="9"/>
        <v>2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34</v>
      </c>
      <c r="AD17" s="17">
        <f t="shared" si="9"/>
        <v>0</v>
      </c>
      <c r="AE17" s="31">
        <f t="shared" si="9"/>
        <v>21</v>
      </c>
      <c r="AF17" s="31">
        <f t="shared" si="9"/>
        <v>55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3</v>
      </c>
      <c r="P18" s="15">
        <f t="shared" si="1"/>
        <v>5</v>
      </c>
      <c r="R18" s="1" t="s">
        <v>14</v>
      </c>
      <c r="S18" s="17">
        <f t="shared" ref="S18:AF18" si="10">SUM(C42:C45)</f>
        <v>11</v>
      </c>
      <c r="T18" s="17">
        <f t="shared" si="10"/>
        <v>0</v>
      </c>
      <c r="U18" s="17">
        <f t="shared" si="10"/>
        <v>0</v>
      </c>
      <c r="V18" s="17">
        <f t="shared" si="10"/>
        <v>3</v>
      </c>
      <c r="W18" s="17">
        <f t="shared" si="10"/>
        <v>1</v>
      </c>
      <c r="X18" s="17">
        <f t="shared" si="10"/>
        <v>0</v>
      </c>
      <c r="Y18" s="17">
        <f t="shared" si="10"/>
        <v>5</v>
      </c>
      <c r="Z18" s="17">
        <f t="shared" si="10"/>
        <v>5</v>
      </c>
      <c r="AA18" s="17">
        <f t="shared" si="10"/>
        <v>0</v>
      </c>
      <c r="AB18" s="17">
        <f t="shared" si="10"/>
        <v>0</v>
      </c>
      <c r="AC18" s="17">
        <f t="shared" si="10"/>
        <v>33</v>
      </c>
      <c r="AD18" s="17">
        <f t="shared" si="10"/>
        <v>0</v>
      </c>
      <c r="AE18" s="31">
        <f t="shared" si="10"/>
        <v>25</v>
      </c>
      <c r="AF18" s="31">
        <f t="shared" si="10"/>
        <v>58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6</v>
      </c>
      <c r="P19" s="15">
        <f t="shared" si="1"/>
        <v>12</v>
      </c>
      <c r="R19" s="1" t="s">
        <v>15</v>
      </c>
      <c r="S19" s="17">
        <f t="shared" ref="S19:AF19" si="11">SUM(C46:C49)</f>
        <v>13</v>
      </c>
      <c r="T19" s="17">
        <f t="shared" si="11"/>
        <v>0</v>
      </c>
      <c r="U19" s="17">
        <f t="shared" si="11"/>
        <v>4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52</v>
      </c>
      <c r="AD19" s="17">
        <f t="shared" si="11"/>
        <v>0</v>
      </c>
      <c r="AE19" s="31">
        <f t="shared" si="11"/>
        <v>32</v>
      </c>
      <c r="AF19" s="31">
        <f t="shared" si="11"/>
        <v>84</v>
      </c>
    </row>
    <row r="20" spans="2:32" ht="23.1" customHeight="1" x14ac:dyDescent="0.25">
      <c r="B20" s="45" t="s">
        <v>47</v>
      </c>
      <c r="C20" s="50">
        <v>1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4</v>
      </c>
      <c r="P20" s="15">
        <f t="shared" si="1"/>
        <v>12</v>
      </c>
      <c r="R20" s="1" t="s">
        <v>16</v>
      </c>
      <c r="S20" s="17">
        <f t="shared" ref="S20:AF20" si="12">SUM(C50:C53)</f>
        <v>8</v>
      </c>
      <c r="T20" s="17">
        <f t="shared" si="12"/>
        <v>0</v>
      </c>
      <c r="U20" s="17">
        <f t="shared" si="12"/>
        <v>7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1</v>
      </c>
      <c r="AA20" s="17">
        <f t="shared" si="12"/>
        <v>4</v>
      </c>
      <c r="AB20" s="17">
        <f t="shared" si="12"/>
        <v>0</v>
      </c>
      <c r="AC20" s="17">
        <f t="shared" si="12"/>
        <v>41</v>
      </c>
      <c r="AD20" s="17">
        <f t="shared" si="12"/>
        <v>0</v>
      </c>
      <c r="AE20" s="31">
        <f t="shared" si="12"/>
        <v>29</v>
      </c>
      <c r="AF20" s="31">
        <f t="shared" si="12"/>
        <v>70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2</v>
      </c>
      <c r="P21" s="15">
        <f t="shared" si="1"/>
        <v>6</v>
      </c>
      <c r="R21" s="36" t="s">
        <v>20</v>
      </c>
      <c r="S21" s="34">
        <f t="shared" ref="S21:AF21" si="13">SUM(C54:C57)</f>
        <v>16</v>
      </c>
      <c r="T21" s="17">
        <f t="shared" si="13"/>
        <v>0</v>
      </c>
      <c r="U21" s="17">
        <f t="shared" si="13"/>
        <v>2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40</v>
      </c>
      <c r="AD21" s="17">
        <f t="shared" si="13"/>
        <v>0</v>
      </c>
      <c r="AE21" s="31">
        <f t="shared" si="13"/>
        <v>30</v>
      </c>
      <c r="AF21" s="31">
        <f t="shared" si="13"/>
        <v>70</v>
      </c>
    </row>
    <row r="22" spans="2:32" ht="23.1" customHeight="1" x14ac:dyDescent="0.25">
      <c r="B22" s="45" t="s">
        <v>49</v>
      </c>
      <c r="C22" s="50">
        <v>1</v>
      </c>
      <c r="D22" s="50">
        <v>1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4</v>
      </c>
      <c r="P22" s="15">
        <f t="shared" si="1"/>
        <v>10</v>
      </c>
      <c r="R22" s="36" t="s">
        <v>146</v>
      </c>
      <c r="S22" s="34">
        <f>SUM(C58:C61)</f>
        <v>13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1</v>
      </c>
      <c r="W22" s="34">
        <f t="shared" si="14"/>
        <v>0</v>
      </c>
      <c r="X22" s="34">
        <f t="shared" si="14"/>
        <v>1</v>
      </c>
      <c r="Y22" s="34">
        <f t="shared" si="14"/>
        <v>2</v>
      </c>
      <c r="Z22" s="34">
        <f t="shared" si="14"/>
        <v>3</v>
      </c>
      <c r="AA22" s="34">
        <f t="shared" si="14"/>
        <v>1</v>
      </c>
      <c r="AB22" s="34">
        <f t="shared" si="14"/>
        <v>0</v>
      </c>
      <c r="AC22" s="34">
        <f t="shared" si="14"/>
        <v>23</v>
      </c>
      <c r="AD22" s="34">
        <f t="shared" si="14"/>
        <v>0</v>
      </c>
      <c r="AE22" s="31">
        <f t="shared" si="14"/>
        <v>24</v>
      </c>
      <c r="AF22" s="31">
        <f t="shared" si="14"/>
        <v>47</v>
      </c>
    </row>
    <row r="23" spans="2:32" ht="23.1" customHeight="1" x14ac:dyDescent="0.25">
      <c r="B23" s="45" t="s">
        <v>50</v>
      </c>
      <c r="C23" s="50">
        <v>3</v>
      </c>
      <c r="D23" s="50">
        <v>1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6</v>
      </c>
      <c r="N23" s="50">
        <v>0</v>
      </c>
      <c r="O23" s="15">
        <f t="shared" si="0"/>
        <v>5</v>
      </c>
      <c r="P23" s="15">
        <f t="shared" si="1"/>
        <v>11</v>
      </c>
      <c r="R23" s="36" t="s">
        <v>147</v>
      </c>
      <c r="S23" s="34">
        <f>SUM(C62:C65)</f>
        <v>7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2</v>
      </c>
      <c r="W23" s="34">
        <f t="shared" si="15"/>
        <v>1</v>
      </c>
      <c r="X23" s="34">
        <f t="shared" si="15"/>
        <v>0</v>
      </c>
      <c r="Y23" s="34">
        <f t="shared" si="15"/>
        <v>4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17</v>
      </c>
      <c r="AD23" s="34">
        <f t="shared" si="15"/>
        <v>0</v>
      </c>
      <c r="AE23" s="31">
        <f t="shared" si="15"/>
        <v>18</v>
      </c>
      <c r="AF23" s="31">
        <f t="shared" si="15"/>
        <v>35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1</v>
      </c>
      <c r="P24" s="15">
        <f t="shared" si="1"/>
        <v>3</v>
      </c>
      <c r="R24" s="36" t="s">
        <v>148</v>
      </c>
      <c r="S24" s="34">
        <f>SUM(C66:C69)</f>
        <v>2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10</v>
      </c>
      <c r="AD24" s="34">
        <f t="shared" si="16"/>
        <v>0</v>
      </c>
      <c r="AE24" s="31">
        <f t="shared" si="16"/>
        <v>6</v>
      </c>
      <c r="AF24" s="31">
        <f t="shared" si="16"/>
        <v>16</v>
      </c>
    </row>
    <row r="25" spans="2:32" ht="23.1" customHeight="1" x14ac:dyDescent="0.25">
      <c r="B25" s="45" t="s">
        <v>52</v>
      </c>
      <c r="C25" s="50">
        <v>2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7</v>
      </c>
      <c r="N25" s="50">
        <v>0</v>
      </c>
      <c r="O25" s="15">
        <f t="shared" si="0"/>
        <v>2</v>
      </c>
      <c r="P25" s="15">
        <f t="shared" si="1"/>
        <v>9</v>
      </c>
      <c r="R25" s="36" t="s">
        <v>149</v>
      </c>
      <c r="S25" s="34">
        <f>SUM(C70:C73)</f>
        <v>3</v>
      </c>
      <c r="T25" s="34">
        <f t="shared" ref="T25:AF25" si="17">SUM(D70:D73)</f>
        <v>2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3</v>
      </c>
      <c r="AA25" s="34">
        <f t="shared" si="17"/>
        <v>0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11</v>
      </c>
      <c r="AF25" s="31">
        <f t="shared" si="17"/>
        <v>16</v>
      </c>
    </row>
    <row r="26" spans="2:32" ht="23.1" customHeight="1" x14ac:dyDescent="0.25">
      <c r="B26" s="45" t="s">
        <v>53</v>
      </c>
      <c r="C26" s="50">
        <v>3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4</v>
      </c>
      <c r="P26" s="15">
        <f t="shared" si="1"/>
        <v>12</v>
      </c>
      <c r="R26" s="36" t="s">
        <v>150</v>
      </c>
      <c r="S26" s="34">
        <f>SUM(C74:C77)</f>
        <v>3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5</v>
      </c>
      <c r="AF26" s="31">
        <f t="shared" si="18"/>
        <v>6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3</v>
      </c>
      <c r="P27" s="15">
        <f t="shared" si="1"/>
        <v>7</v>
      </c>
      <c r="R27" s="36" t="s">
        <v>151</v>
      </c>
      <c r="S27" s="34">
        <f>SUM(C78:C81)</f>
        <v>3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5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12</v>
      </c>
      <c r="AF27" s="31">
        <f t="shared" si="19"/>
        <v>13</v>
      </c>
    </row>
    <row r="28" spans="2:32" ht="23.1" customHeight="1" x14ac:dyDescent="0.25">
      <c r="B28" s="45" t="s">
        <v>55</v>
      </c>
      <c r="C28" s="50">
        <v>1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6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8</v>
      </c>
      <c r="P28" s="15">
        <f t="shared" si="1"/>
        <v>18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4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6</v>
      </c>
      <c r="AF28" s="31">
        <f t="shared" si="20"/>
        <v>6</v>
      </c>
    </row>
    <row r="29" spans="2:32" ht="23.1" customHeight="1" x14ac:dyDescent="0.25">
      <c r="B29" s="45" t="s">
        <v>56</v>
      </c>
      <c r="C29" s="50">
        <v>2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4</v>
      </c>
      <c r="P29" s="15">
        <f t="shared" si="1"/>
        <v>12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6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4</v>
      </c>
      <c r="P30" s="15">
        <f t="shared" si="1"/>
        <v>13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3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4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7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1</v>
      </c>
      <c r="L31" s="50">
        <v>0</v>
      </c>
      <c r="M31" s="50">
        <v>5</v>
      </c>
      <c r="N31" s="50">
        <v>0</v>
      </c>
      <c r="O31" s="15">
        <f t="shared" si="0"/>
        <v>11</v>
      </c>
      <c r="P31" s="15">
        <f t="shared" si="1"/>
        <v>16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2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4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2</v>
      </c>
      <c r="L32" s="50">
        <v>0</v>
      </c>
      <c r="M32" s="50">
        <v>8</v>
      </c>
      <c r="N32" s="50">
        <v>0</v>
      </c>
      <c r="O32" s="15">
        <f t="shared" si="0"/>
        <v>9</v>
      </c>
      <c r="P32" s="15">
        <f t="shared" si="1"/>
        <v>17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5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5</v>
      </c>
      <c r="AD32" s="34">
        <f t="shared" si="24"/>
        <v>0</v>
      </c>
      <c r="AE32" s="31">
        <f t="shared" si="24"/>
        <v>11</v>
      </c>
      <c r="AF32" s="31">
        <f t="shared" si="24"/>
        <v>16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1</v>
      </c>
      <c r="P33" s="15">
        <f t="shared" si="1"/>
        <v>4</v>
      </c>
      <c r="R33" s="33" t="s">
        <v>157</v>
      </c>
      <c r="S33" s="34">
        <f>SUM(C102:C105)</f>
        <v>6</v>
      </c>
      <c r="T33" s="34">
        <f t="shared" ref="T33:AF33" si="25">SUM(D102:D105)</f>
        <v>1</v>
      </c>
      <c r="U33" s="34">
        <f t="shared" si="25"/>
        <v>2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19</v>
      </c>
      <c r="AD33" s="34">
        <f t="shared" si="25"/>
        <v>0</v>
      </c>
      <c r="AE33" s="31">
        <f t="shared" si="25"/>
        <v>10</v>
      </c>
      <c r="AF33" s="31">
        <f t="shared" si="25"/>
        <v>29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4</v>
      </c>
      <c r="P34" s="15">
        <f t="shared" si="1"/>
        <v>13</v>
      </c>
      <c r="R34" s="38" t="s">
        <v>90</v>
      </c>
      <c r="S34" s="39">
        <f t="shared" ref="S34:AF34" si="26">MAX(S10:S12)</f>
        <v>7</v>
      </c>
      <c r="T34" s="39">
        <f t="shared" si="26"/>
        <v>1</v>
      </c>
      <c r="U34" s="39">
        <f t="shared" si="26"/>
        <v>2</v>
      </c>
      <c r="V34" s="39">
        <f t="shared" si="26"/>
        <v>1</v>
      </c>
      <c r="W34" s="39">
        <f t="shared" si="26"/>
        <v>0</v>
      </c>
      <c r="X34" s="39">
        <f t="shared" si="26"/>
        <v>0</v>
      </c>
      <c r="Y34" s="39">
        <f t="shared" si="26"/>
        <v>6</v>
      </c>
      <c r="Z34" s="39">
        <f t="shared" si="26"/>
        <v>1</v>
      </c>
      <c r="AA34" s="39">
        <f t="shared" si="26"/>
        <v>1</v>
      </c>
      <c r="AB34" s="39">
        <f t="shared" si="26"/>
        <v>0</v>
      </c>
      <c r="AC34" s="39">
        <f t="shared" si="26"/>
        <v>20</v>
      </c>
      <c r="AD34" s="39">
        <f t="shared" si="26"/>
        <v>0</v>
      </c>
      <c r="AE34" s="40">
        <f t="shared" si="26"/>
        <v>15</v>
      </c>
      <c r="AF34" s="40">
        <f t="shared" si="26"/>
        <v>35</v>
      </c>
    </row>
    <row r="35" spans="2:32" ht="23.1" customHeight="1" x14ac:dyDescent="0.25">
      <c r="B35" s="46" t="s">
        <v>62</v>
      </c>
      <c r="C35" s="50">
        <v>3</v>
      </c>
      <c r="D35" s="50">
        <v>0</v>
      </c>
      <c r="E35" s="50">
        <v>3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7</v>
      </c>
      <c r="P35" s="15">
        <f t="shared" si="1"/>
        <v>14</v>
      </c>
      <c r="R35" s="38" t="s">
        <v>91</v>
      </c>
      <c r="S35" s="39">
        <f t="shared" ref="S35:AF35" si="27">MAX(S13:S18)</f>
        <v>14</v>
      </c>
      <c r="T35" s="39">
        <f t="shared" si="27"/>
        <v>2</v>
      </c>
      <c r="U35" s="39">
        <f t="shared" si="27"/>
        <v>5</v>
      </c>
      <c r="V35" s="39">
        <f t="shared" si="27"/>
        <v>4</v>
      </c>
      <c r="W35" s="39">
        <f t="shared" si="27"/>
        <v>1</v>
      </c>
      <c r="X35" s="39">
        <f t="shared" si="27"/>
        <v>0</v>
      </c>
      <c r="Y35" s="39">
        <f t="shared" si="27"/>
        <v>6</v>
      </c>
      <c r="Z35" s="39">
        <f t="shared" si="27"/>
        <v>5</v>
      </c>
      <c r="AA35" s="39">
        <f t="shared" si="27"/>
        <v>3</v>
      </c>
      <c r="AB35" s="39">
        <f t="shared" si="27"/>
        <v>0</v>
      </c>
      <c r="AC35" s="39">
        <f t="shared" si="27"/>
        <v>38</v>
      </c>
      <c r="AD35" s="39">
        <f t="shared" si="27"/>
        <v>0</v>
      </c>
      <c r="AE35" s="40">
        <f t="shared" si="27"/>
        <v>25</v>
      </c>
      <c r="AF35" s="40">
        <f t="shared" si="27"/>
        <v>62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6</v>
      </c>
      <c r="P36" s="15">
        <f t="shared" si="1"/>
        <v>14</v>
      </c>
      <c r="R36" s="38" t="s">
        <v>92</v>
      </c>
      <c r="S36" s="39">
        <f t="shared" ref="S36:AF36" si="28">MAX(S19:S21)</f>
        <v>16</v>
      </c>
      <c r="T36" s="39">
        <f t="shared" si="28"/>
        <v>0</v>
      </c>
      <c r="U36" s="39">
        <f t="shared" si="28"/>
        <v>7</v>
      </c>
      <c r="V36" s="39">
        <f t="shared" si="28"/>
        <v>5</v>
      </c>
      <c r="W36" s="39">
        <f t="shared" si="28"/>
        <v>0</v>
      </c>
      <c r="X36" s="39">
        <f t="shared" si="28"/>
        <v>0</v>
      </c>
      <c r="Y36" s="39">
        <f t="shared" si="28"/>
        <v>6</v>
      </c>
      <c r="Z36" s="39">
        <f t="shared" si="28"/>
        <v>5</v>
      </c>
      <c r="AA36" s="39">
        <f t="shared" si="28"/>
        <v>4</v>
      </c>
      <c r="AB36" s="39">
        <f t="shared" si="28"/>
        <v>0</v>
      </c>
      <c r="AC36" s="39">
        <f t="shared" si="28"/>
        <v>52</v>
      </c>
      <c r="AD36" s="39">
        <f t="shared" si="28"/>
        <v>0</v>
      </c>
      <c r="AE36" s="40">
        <f t="shared" si="28"/>
        <v>32</v>
      </c>
      <c r="AF36" s="40">
        <f t="shared" si="28"/>
        <v>84</v>
      </c>
    </row>
    <row r="37" spans="2:32" ht="23.1" customHeight="1" x14ac:dyDescent="0.25">
      <c r="B37" s="45" t="s">
        <v>64</v>
      </c>
      <c r="C37" s="50">
        <v>3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1</v>
      </c>
      <c r="L37" s="50">
        <v>0</v>
      </c>
      <c r="M37" s="50">
        <v>14</v>
      </c>
      <c r="N37" s="50">
        <v>0</v>
      </c>
      <c r="O37" s="15">
        <f t="shared" si="0"/>
        <v>7</v>
      </c>
      <c r="P37" s="15">
        <f t="shared" si="1"/>
        <v>21</v>
      </c>
      <c r="R37" s="37" t="s">
        <v>85</v>
      </c>
      <c r="S37" s="35">
        <f t="shared" ref="S37:AF37" si="29">SUM(S10:S12)</f>
        <v>17</v>
      </c>
      <c r="T37" s="16">
        <f t="shared" si="29"/>
        <v>2</v>
      </c>
      <c r="U37" s="16">
        <f t="shared" si="29"/>
        <v>2</v>
      </c>
      <c r="V37" s="16">
        <f t="shared" si="29"/>
        <v>1</v>
      </c>
      <c r="W37" s="16">
        <f t="shared" si="29"/>
        <v>0</v>
      </c>
      <c r="X37" s="16">
        <f t="shared" si="29"/>
        <v>0</v>
      </c>
      <c r="Y37" s="16">
        <f t="shared" si="29"/>
        <v>14</v>
      </c>
      <c r="Z37" s="16">
        <f t="shared" si="29"/>
        <v>2</v>
      </c>
      <c r="AA37" s="16">
        <f t="shared" si="29"/>
        <v>1</v>
      </c>
      <c r="AB37" s="16">
        <f t="shared" si="29"/>
        <v>0</v>
      </c>
      <c r="AC37" s="16">
        <f t="shared" si="29"/>
        <v>56</v>
      </c>
      <c r="AD37" s="16">
        <f t="shared" si="29"/>
        <v>0</v>
      </c>
      <c r="AE37" s="32">
        <f t="shared" si="29"/>
        <v>39</v>
      </c>
      <c r="AF37" s="32">
        <f t="shared" si="29"/>
        <v>95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0</v>
      </c>
      <c r="P38" s="15">
        <f t="shared" si="1"/>
        <v>9</v>
      </c>
      <c r="R38" s="28" t="s">
        <v>86</v>
      </c>
      <c r="S38" s="16">
        <f t="shared" ref="S38:AF38" si="30">SUM(S13:S18)</f>
        <v>56</v>
      </c>
      <c r="T38" s="16">
        <f t="shared" si="30"/>
        <v>4</v>
      </c>
      <c r="U38" s="16">
        <f t="shared" si="30"/>
        <v>13</v>
      </c>
      <c r="V38" s="16">
        <f t="shared" si="30"/>
        <v>9</v>
      </c>
      <c r="W38" s="16">
        <f t="shared" si="30"/>
        <v>1</v>
      </c>
      <c r="X38" s="16">
        <f t="shared" si="30"/>
        <v>0</v>
      </c>
      <c r="Y38" s="16">
        <f t="shared" si="30"/>
        <v>23</v>
      </c>
      <c r="Z38" s="16">
        <f t="shared" si="30"/>
        <v>16</v>
      </c>
      <c r="AA38" s="16">
        <f t="shared" si="30"/>
        <v>4</v>
      </c>
      <c r="AB38" s="16">
        <f t="shared" si="30"/>
        <v>0</v>
      </c>
      <c r="AC38" s="16">
        <f t="shared" si="30"/>
        <v>181</v>
      </c>
      <c r="AD38" s="16">
        <f t="shared" si="30"/>
        <v>0</v>
      </c>
      <c r="AE38" s="32">
        <f t="shared" si="30"/>
        <v>126</v>
      </c>
      <c r="AF38" s="32">
        <f t="shared" si="30"/>
        <v>307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2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7</v>
      </c>
      <c r="P39" s="15">
        <f t="shared" si="1"/>
        <v>15</v>
      </c>
      <c r="R39" s="29" t="s">
        <v>87</v>
      </c>
      <c r="S39" s="16">
        <f t="shared" ref="S39:AF39" si="31">SUM(S19:S21)</f>
        <v>37</v>
      </c>
      <c r="T39" s="16">
        <f t="shared" si="31"/>
        <v>0</v>
      </c>
      <c r="U39" s="16">
        <f t="shared" si="31"/>
        <v>13</v>
      </c>
      <c r="V39" s="16">
        <f t="shared" si="31"/>
        <v>10</v>
      </c>
      <c r="W39" s="16">
        <f t="shared" si="31"/>
        <v>0</v>
      </c>
      <c r="X39" s="16">
        <f t="shared" si="31"/>
        <v>0</v>
      </c>
      <c r="Y39" s="16">
        <f t="shared" si="31"/>
        <v>17</v>
      </c>
      <c r="Z39" s="16">
        <f t="shared" si="31"/>
        <v>10</v>
      </c>
      <c r="AA39" s="16">
        <f t="shared" si="31"/>
        <v>4</v>
      </c>
      <c r="AB39" s="16">
        <f t="shared" si="31"/>
        <v>0</v>
      </c>
      <c r="AC39" s="16">
        <f t="shared" si="31"/>
        <v>133</v>
      </c>
      <c r="AD39" s="16">
        <f t="shared" si="31"/>
        <v>0</v>
      </c>
      <c r="AE39" s="32">
        <f t="shared" si="31"/>
        <v>91</v>
      </c>
      <c r="AF39" s="32">
        <f t="shared" si="31"/>
        <v>224</v>
      </c>
    </row>
    <row r="40" spans="2:32" ht="23.1" customHeight="1" x14ac:dyDescent="0.25">
      <c r="B40" s="46" t="s">
        <v>67</v>
      </c>
      <c r="C40" s="50">
        <v>2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8</v>
      </c>
      <c r="P40" s="15">
        <f t="shared" si="1"/>
        <v>18</v>
      </c>
      <c r="R40" s="5" t="s">
        <v>17</v>
      </c>
      <c r="S40" s="16">
        <f t="shared" ref="S40:AF40" si="32">SUM(S10:S21)</f>
        <v>110</v>
      </c>
      <c r="T40" s="16">
        <f t="shared" si="32"/>
        <v>6</v>
      </c>
      <c r="U40" s="16">
        <f t="shared" si="32"/>
        <v>28</v>
      </c>
      <c r="V40" s="16">
        <f t="shared" si="32"/>
        <v>20</v>
      </c>
      <c r="W40" s="16">
        <f t="shared" si="32"/>
        <v>1</v>
      </c>
      <c r="X40" s="16">
        <f t="shared" si="32"/>
        <v>0</v>
      </c>
      <c r="Y40" s="16">
        <f t="shared" si="32"/>
        <v>54</v>
      </c>
      <c r="Z40" s="16">
        <f t="shared" si="32"/>
        <v>28</v>
      </c>
      <c r="AA40" s="16">
        <f t="shared" si="32"/>
        <v>9</v>
      </c>
      <c r="AB40" s="16">
        <f t="shared" si="32"/>
        <v>0</v>
      </c>
      <c r="AC40" s="16">
        <f t="shared" si="32"/>
        <v>370</v>
      </c>
      <c r="AD40" s="16">
        <f t="shared" si="32"/>
        <v>0</v>
      </c>
      <c r="AE40" s="32">
        <f t="shared" si="32"/>
        <v>256</v>
      </c>
      <c r="AF40" s="32">
        <f t="shared" si="32"/>
        <v>626</v>
      </c>
    </row>
    <row r="41" spans="2:32" ht="23.1" customHeight="1" x14ac:dyDescent="0.25">
      <c r="B41" s="45" t="s">
        <v>68</v>
      </c>
      <c r="C41" s="50">
        <v>2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6</v>
      </c>
      <c r="P41" s="15">
        <f t="shared" si="1"/>
        <v>13</v>
      </c>
      <c r="R41" s="5" t="s">
        <v>159</v>
      </c>
      <c r="S41" s="16">
        <f>SUM(S10:S33)</f>
        <v>154</v>
      </c>
      <c r="T41" s="16">
        <f t="shared" ref="T41:AF41" si="33">SUM(T10:T33)</f>
        <v>13</v>
      </c>
      <c r="U41" s="16">
        <f t="shared" si="33"/>
        <v>35</v>
      </c>
      <c r="V41" s="16">
        <f t="shared" si="33"/>
        <v>32</v>
      </c>
      <c r="W41" s="16">
        <f t="shared" si="33"/>
        <v>2</v>
      </c>
      <c r="X41" s="16">
        <f t="shared" si="33"/>
        <v>1</v>
      </c>
      <c r="Y41" s="16">
        <f t="shared" si="33"/>
        <v>69</v>
      </c>
      <c r="Z41" s="16">
        <f t="shared" si="33"/>
        <v>55</v>
      </c>
      <c r="AA41" s="16">
        <f t="shared" si="33"/>
        <v>10</v>
      </c>
      <c r="AB41" s="16">
        <f t="shared" si="33"/>
        <v>0</v>
      </c>
      <c r="AC41" s="16">
        <f t="shared" si="33"/>
        <v>454</v>
      </c>
      <c r="AD41" s="16">
        <f t="shared" si="33"/>
        <v>0</v>
      </c>
      <c r="AE41" s="32">
        <f t="shared" si="33"/>
        <v>371</v>
      </c>
      <c r="AF41" s="32">
        <f t="shared" si="33"/>
        <v>825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7</v>
      </c>
      <c r="P42" s="15">
        <f t="shared" si="1"/>
        <v>18</v>
      </c>
      <c r="R42" s="5" t="s">
        <v>160</v>
      </c>
      <c r="S42" s="48">
        <f>S41/S40</f>
        <v>1.4</v>
      </c>
      <c r="T42" s="48">
        <f t="shared" ref="T42:AF42" si="34">T41/T40</f>
        <v>2.1666666666666665</v>
      </c>
      <c r="U42" s="48">
        <f t="shared" si="34"/>
        <v>1.25</v>
      </c>
      <c r="V42" s="48">
        <f t="shared" si="34"/>
        <v>1.6</v>
      </c>
      <c r="W42" s="48">
        <f t="shared" si="34"/>
        <v>2</v>
      </c>
      <c r="X42" s="48" t="e">
        <f t="shared" si="34"/>
        <v>#DIV/0!</v>
      </c>
      <c r="Y42" s="48">
        <f t="shared" si="34"/>
        <v>1.2777777777777777</v>
      </c>
      <c r="Z42" s="48">
        <f t="shared" si="34"/>
        <v>1.9642857142857142</v>
      </c>
      <c r="AA42" s="48">
        <f t="shared" si="34"/>
        <v>1.1111111111111112</v>
      </c>
      <c r="AB42" s="48" t="e">
        <f t="shared" si="34"/>
        <v>#DIV/0!</v>
      </c>
      <c r="AC42" s="48">
        <f t="shared" si="34"/>
        <v>1.2270270270270269</v>
      </c>
      <c r="AD42" s="48" t="e">
        <f t="shared" si="34"/>
        <v>#DIV/0!</v>
      </c>
      <c r="AE42" s="48">
        <f t="shared" si="34"/>
        <v>1.44921875</v>
      </c>
      <c r="AF42" s="48">
        <f t="shared" si="34"/>
        <v>1.3178913738019169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1</v>
      </c>
      <c r="P43" s="15">
        <f t="shared" si="1"/>
        <v>9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1</v>
      </c>
      <c r="J44" s="50">
        <v>3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9</v>
      </c>
      <c r="P44" s="15">
        <f t="shared" si="1"/>
        <v>15</v>
      </c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0</v>
      </c>
      <c r="F45" s="50">
        <v>0</v>
      </c>
      <c r="G45" s="50">
        <v>1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8</v>
      </c>
      <c r="P45" s="15">
        <f t="shared" si="1"/>
        <v>16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4</v>
      </c>
      <c r="P46" s="15">
        <f t="shared" si="1"/>
        <v>9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19</v>
      </c>
      <c r="N47" s="50">
        <v>0</v>
      </c>
      <c r="O47" s="15">
        <f t="shared" si="0"/>
        <v>4</v>
      </c>
      <c r="P47" s="15">
        <f t="shared" si="1"/>
        <v>23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2</v>
      </c>
      <c r="F48" s="50">
        <v>2</v>
      </c>
      <c r="G48" s="50">
        <v>0</v>
      </c>
      <c r="H48" s="50">
        <v>0</v>
      </c>
      <c r="I48" s="50">
        <v>2</v>
      </c>
      <c r="J48" s="50">
        <v>3</v>
      </c>
      <c r="K48" s="50">
        <v>0</v>
      </c>
      <c r="L48" s="50">
        <v>0</v>
      </c>
      <c r="M48" s="50">
        <v>17</v>
      </c>
      <c r="N48" s="50">
        <v>0</v>
      </c>
      <c r="O48" s="15">
        <f t="shared" si="0"/>
        <v>10</v>
      </c>
      <c r="P48" s="15">
        <f t="shared" si="1"/>
        <v>27</v>
      </c>
      <c r="R48" s="8"/>
      <c r="T48"/>
    </row>
    <row r="49" spans="2:20" ht="23.1" customHeight="1" x14ac:dyDescent="0.25">
      <c r="B49" s="45" t="s">
        <v>76</v>
      </c>
      <c r="C49" s="50">
        <v>8</v>
      </c>
      <c r="D49" s="50">
        <v>0</v>
      </c>
      <c r="E49" s="50">
        <v>1</v>
      </c>
      <c r="F49" s="50">
        <v>2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14</v>
      </c>
      <c r="P49" s="15">
        <f t="shared" si="1"/>
        <v>25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3</v>
      </c>
      <c r="P50" s="15">
        <f t="shared" si="1"/>
        <v>13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9</v>
      </c>
      <c r="N51" s="50">
        <v>0</v>
      </c>
      <c r="O51" s="15">
        <f t="shared" si="0"/>
        <v>5</v>
      </c>
      <c r="P51" s="15">
        <f t="shared" si="1"/>
        <v>14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0</v>
      </c>
      <c r="E52" s="50">
        <v>5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9</v>
      </c>
      <c r="P52" s="15">
        <f t="shared" si="1"/>
        <v>20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3</v>
      </c>
      <c r="J53" s="50">
        <v>0</v>
      </c>
      <c r="K53" s="50">
        <v>3</v>
      </c>
      <c r="L53" s="50">
        <v>0</v>
      </c>
      <c r="M53" s="50">
        <v>11</v>
      </c>
      <c r="N53" s="50">
        <v>0</v>
      </c>
      <c r="O53" s="15">
        <f t="shared" si="0"/>
        <v>12</v>
      </c>
      <c r="P53" s="15">
        <f t="shared" si="1"/>
        <v>23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8</v>
      </c>
      <c r="P54" s="15">
        <f t="shared" si="1"/>
        <v>19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9</v>
      </c>
      <c r="P55" s="15">
        <f t="shared" si="1"/>
        <v>19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10</v>
      </c>
      <c r="P56" s="15">
        <f t="shared" si="1"/>
        <v>17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3</v>
      </c>
      <c r="P57" s="15">
        <f t="shared" si="1"/>
        <v>15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0</v>
      </c>
      <c r="E58" s="50">
        <v>1</v>
      </c>
      <c r="F58" s="50">
        <v>1</v>
      </c>
      <c r="G58" s="50">
        <v>0</v>
      </c>
      <c r="H58" s="50">
        <v>0</v>
      </c>
      <c r="I58" s="50">
        <v>1</v>
      </c>
      <c r="J58" s="50">
        <v>2</v>
      </c>
      <c r="K58" s="50">
        <v>1</v>
      </c>
      <c r="L58" s="50">
        <v>0</v>
      </c>
      <c r="M58" s="50">
        <v>3</v>
      </c>
      <c r="N58" s="50">
        <v>0</v>
      </c>
      <c r="O58" s="15">
        <f t="shared" si="0"/>
        <v>9</v>
      </c>
      <c r="P58" s="15">
        <f t="shared" si="1"/>
        <v>12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0</v>
      </c>
      <c r="F59" s="50">
        <v>0</v>
      </c>
      <c r="G59" s="50">
        <v>0</v>
      </c>
      <c r="H59" s="50">
        <v>1</v>
      </c>
      <c r="I59" s="50">
        <v>0</v>
      </c>
      <c r="J59" s="50">
        <v>1</v>
      </c>
      <c r="K59" s="50">
        <v>0</v>
      </c>
      <c r="L59" s="50">
        <v>0</v>
      </c>
      <c r="M59" s="50">
        <v>5</v>
      </c>
      <c r="N59" s="50">
        <v>0</v>
      </c>
      <c r="O59" s="15">
        <f t="shared" si="0"/>
        <v>4</v>
      </c>
      <c r="P59" s="15">
        <f t="shared" si="1"/>
        <v>9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8</v>
      </c>
      <c r="N60" s="50">
        <v>0</v>
      </c>
      <c r="O60" s="15">
        <f t="shared" si="0"/>
        <v>4</v>
      </c>
      <c r="P60" s="15">
        <f t="shared" si="1"/>
        <v>12</v>
      </c>
      <c r="R60" s="8"/>
      <c r="T60"/>
    </row>
    <row r="61" spans="2:20" ht="23.1" customHeight="1" x14ac:dyDescent="0.25">
      <c r="B61" s="45" t="s">
        <v>102</v>
      </c>
      <c r="C61" s="50">
        <v>5</v>
      </c>
      <c r="D61" s="50">
        <v>1</v>
      </c>
      <c r="E61" s="50">
        <v>0</v>
      </c>
      <c r="F61" s="50">
        <v>0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7</v>
      </c>
      <c r="N61" s="50">
        <v>0</v>
      </c>
      <c r="O61" s="15">
        <f t="shared" si="0"/>
        <v>7</v>
      </c>
      <c r="P61" s="15">
        <f t="shared" si="1"/>
        <v>14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1</v>
      </c>
      <c r="E62" s="50">
        <v>0</v>
      </c>
      <c r="F62" s="50">
        <v>0</v>
      </c>
      <c r="G62" s="50">
        <v>0</v>
      </c>
      <c r="H62" s="50">
        <v>0</v>
      </c>
      <c r="I62" s="50">
        <v>2</v>
      </c>
      <c r="J62" s="50">
        <v>2</v>
      </c>
      <c r="K62" s="50">
        <v>0</v>
      </c>
      <c r="L62" s="50">
        <v>0</v>
      </c>
      <c r="M62" s="50">
        <v>3</v>
      </c>
      <c r="N62" s="50">
        <v>0</v>
      </c>
      <c r="O62" s="15">
        <f t="shared" si="0"/>
        <v>6</v>
      </c>
      <c r="P62" s="15">
        <f t="shared" si="1"/>
        <v>9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4</v>
      </c>
      <c r="N63" s="50">
        <v>0</v>
      </c>
      <c r="O63" s="15">
        <f t="shared" si="0"/>
        <v>2</v>
      </c>
      <c r="P63" s="15">
        <f t="shared" si="1"/>
        <v>6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0</v>
      </c>
      <c r="E64" s="50">
        <v>0</v>
      </c>
      <c r="F64" s="50">
        <v>1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8</v>
      </c>
      <c r="N64" s="50">
        <v>0</v>
      </c>
      <c r="O64" s="15">
        <f t="shared" si="0"/>
        <v>3</v>
      </c>
      <c r="P64" s="15">
        <f t="shared" si="1"/>
        <v>11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0</v>
      </c>
      <c r="E65" s="50">
        <v>0</v>
      </c>
      <c r="F65" s="50">
        <v>1</v>
      </c>
      <c r="G65" s="50">
        <v>1</v>
      </c>
      <c r="H65" s="50">
        <v>0</v>
      </c>
      <c r="I65" s="50">
        <v>2</v>
      </c>
      <c r="J65" s="50">
        <v>1</v>
      </c>
      <c r="K65" s="50">
        <v>0</v>
      </c>
      <c r="L65" s="50">
        <v>0</v>
      </c>
      <c r="M65" s="50">
        <v>2</v>
      </c>
      <c r="N65" s="50">
        <v>0</v>
      </c>
      <c r="O65" s="15">
        <f t="shared" si="0"/>
        <v>7</v>
      </c>
      <c r="P65" s="15">
        <f t="shared" si="1"/>
        <v>9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5</v>
      </c>
      <c r="N66" s="50">
        <v>0</v>
      </c>
      <c r="O66" s="15">
        <f t="shared" si="0"/>
        <v>0</v>
      </c>
      <c r="P66" s="15">
        <f t="shared" si="1"/>
        <v>5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2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2</v>
      </c>
      <c r="P67" s="15">
        <f t="shared" si="1"/>
        <v>2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1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3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1</v>
      </c>
      <c r="P69" s="15">
        <f t="shared" si="1"/>
        <v>4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2</v>
      </c>
      <c r="E70" s="50">
        <v>1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0"/>
        <v>6</v>
      </c>
      <c r="P70" s="15">
        <f t="shared" si="1"/>
        <v>9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1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3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1</v>
      </c>
      <c r="N72" s="50">
        <v>0</v>
      </c>
      <c r="O72" s="15">
        <f t="shared" si="0"/>
        <v>1</v>
      </c>
      <c r="P72" s="15">
        <f t="shared" si="1"/>
        <v>2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2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1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2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4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1</v>
      </c>
      <c r="F79" s="50">
        <v>1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3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3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2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2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3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2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2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0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2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</v>
      </c>
      <c r="N99" s="50">
        <v>0</v>
      </c>
      <c r="O99" s="15">
        <f t="shared" si="35"/>
        <v>1</v>
      </c>
      <c r="P99" s="15">
        <f t="shared" si="36"/>
        <v>4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1</v>
      </c>
      <c r="J100" s="50">
        <v>2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5</v>
      </c>
      <c r="P100" s="15">
        <f t="shared" si="36"/>
        <v>5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3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3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2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1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3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6</v>
      </c>
      <c r="N104" s="50">
        <v>0</v>
      </c>
      <c r="O104" s="15">
        <f t="shared" si="35"/>
        <v>1</v>
      </c>
      <c r="P104" s="15">
        <f t="shared" si="36"/>
        <v>7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8</v>
      </c>
      <c r="N105" s="50">
        <v>0</v>
      </c>
      <c r="O105" s="15">
        <f t="shared" si="35"/>
        <v>4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154</v>
      </c>
      <c r="D106" s="16">
        <f t="shared" ref="D106:P106" si="37">SUM(D10:D105)</f>
        <v>13</v>
      </c>
      <c r="E106" s="16">
        <f t="shared" si="37"/>
        <v>35</v>
      </c>
      <c r="F106" s="16">
        <f t="shared" si="37"/>
        <v>32</v>
      </c>
      <c r="G106" s="16">
        <f t="shared" si="37"/>
        <v>2</v>
      </c>
      <c r="H106" s="16">
        <f t="shared" si="37"/>
        <v>1</v>
      </c>
      <c r="I106" s="16">
        <f t="shared" si="37"/>
        <v>69</v>
      </c>
      <c r="J106" s="16">
        <f t="shared" si="37"/>
        <v>55</v>
      </c>
      <c r="K106" s="16">
        <f t="shared" si="37"/>
        <v>10</v>
      </c>
      <c r="L106" s="16">
        <f t="shared" si="37"/>
        <v>0</v>
      </c>
      <c r="M106" s="16">
        <f t="shared" si="37"/>
        <v>454</v>
      </c>
      <c r="N106" s="16">
        <f t="shared" si="37"/>
        <v>0</v>
      </c>
      <c r="O106" s="16">
        <f t="shared" si="37"/>
        <v>371</v>
      </c>
      <c r="P106" s="16">
        <f t="shared" si="37"/>
        <v>825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0.18666666666666668</v>
      </c>
      <c r="D107" s="43">
        <f t="shared" si="38"/>
        <v>1.5757575757575758E-2</v>
      </c>
      <c r="E107" s="43">
        <f t="shared" si="38"/>
        <v>4.2424242424242427E-2</v>
      </c>
      <c r="F107" s="43">
        <f t="shared" si="38"/>
        <v>3.8787878787878788E-2</v>
      </c>
      <c r="G107" s="43">
        <f t="shared" si="38"/>
        <v>2.4242424242424242E-3</v>
      </c>
      <c r="H107" s="43">
        <f t="shared" si="38"/>
        <v>1.2121212121212121E-3</v>
      </c>
      <c r="I107" s="43">
        <f t="shared" si="38"/>
        <v>8.3636363636363634E-2</v>
      </c>
      <c r="J107" s="43">
        <f t="shared" si="38"/>
        <v>6.6666666666666666E-2</v>
      </c>
      <c r="K107" s="43">
        <f t="shared" si="38"/>
        <v>1.2121212121212121E-2</v>
      </c>
      <c r="L107" s="43">
        <f t="shared" si="38"/>
        <v>0</v>
      </c>
      <c r="M107" s="43">
        <f t="shared" si="38"/>
        <v>0.55030303030303029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0.41509433962264153</v>
      </c>
      <c r="D108" s="44">
        <f t="shared" ref="D108:N108" si="39">D106/$O$106</f>
        <v>3.5040431266846361E-2</v>
      </c>
      <c r="E108" s="44">
        <f t="shared" si="39"/>
        <v>9.4339622641509441E-2</v>
      </c>
      <c r="F108" s="44">
        <f t="shared" si="39"/>
        <v>8.6253369272237201E-2</v>
      </c>
      <c r="G108" s="44">
        <f t="shared" si="39"/>
        <v>5.3908355795148251E-3</v>
      </c>
      <c r="H108" s="44">
        <f t="shared" si="39"/>
        <v>2.6954177897574125E-3</v>
      </c>
      <c r="I108" s="44">
        <f t="shared" si="39"/>
        <v>0.18598382749326145</v>
      </c>
      <c r="J108" s="44">
        <f t="shared" si="39"/>
        <v>0.14824797843665768</v>
      </c>
      <c r="K108" s="44">
        <f t="shared" si="39"/>
        <v>2.6954177897574125E-2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S5" sqref="S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177</v>
      </c>
      <c r="E5" s="3"/>
      <c r="F5" s="41" t="s">
        <v>1</v>
      </c>
      <c r="G5" s="63" t="s">
        <v>170</v>
      </c>
      <c r="H5" s="64"/>
      <c r="I5" s="14"/>
      <c r="J5" s="2" t="s">
        <v>5</v>
      </c>
      <c r="K5" s="63" t="s">
        <v>183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">
        <v>172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4</v>
      </c>
      <c r="R10" s="1" t="s">
        <v>6</v>
      </c>
      <c r="S10" s="17">
        <f t="shared" ref="S10:AF10" si="2">SUM(C10:C13)</f>
        <v>8</v>
      </c>
      <c r="T10" s="17">
        <f t="shared" si="2"/>
        <v>0</v>
      </c>
      <c r="U10" s="17">
        <f t="shared" si="2"/>
        <v>2</v>
      </c>
      <c r="V10" s="17">
        <f t="shared" si="2"/>
        <v>1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14</v>
      </c>
      <c r="AD10" s="17">
        <f t="shared" si="2"/>
        <v>1</v>
      </c>
      <c r="AE10" s="31">
        <f t="shared" si="2"/>
        <v>20</v>
      </c>
      <c r="AF10" s="31">
        <f t="shared" si="2"/>
        <v>34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2</v>
      </c>
      <c r="P11" s="15">
        <f t="shared" si="1"/>
        <v>6</v>
      </c>
      <c r="R11" s="1" t="s">
        <v>7</v>
      </c>
      <c r="S11" s="17">
        <f t="shared" ref="S11:AF11" si="3">SUM(C14:C17)</f>
        <v>9</v>
      </c>
      <c r="T11" s="17">
        <f t="shared" si="3"/>
        <v>0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</v>
      </c>
      <c r="AD11" s="17">
        <f t="shared" si="3"/>
        <v>0</v>
      </c>
      <c r="AE11" s="31">
        <f t="shared" si="3"/>
        <v>20</v>
      </c>
      <c r="AF11" s="31">
        <f t="shared" si="3"/>
        <v>30</v>
      </c>
    </row>
    <row r="12" spans="2:32" ht="23.1" customHeight="1" x14ac:dyDescent="0.25">
      <c r="B12" s="45" t="s">
        <v>39</v>
      </c>
      <c r="C12" s="50">
        <v>3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6</v>
      </c>
      <c r="P12" s="15">
        <f t="shared" si="1"/>
        <v>10</v>
      </c>
      <c r="R12" s="1" t="s">
        <v>8</v>
      </c>
      <c r="S12" s="17">
        <f t="shared" ref="S12:AF12" si="4">SUM(C18:C21)</f>
        <v>11</v>
      </c>
      <c r="T12" s="17">
        <f t="shared" si="4"/>
        <v>1</v>
      </c>
      <c r="U12" s="17">
        <f t="shared" si="4"/>
        <v>1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25</v>
      </c>
      <c r="AF12" s="31">
        <f t="shared" si="4"/>
        <v>45</v>
      </c>
    </row>
    <row r="13" spans="2:32" ht="23.1" customHeight="1" x14ac:dyDescent="0.25">
      <c r="B13" s="45" t="s">
        <v>40</v>
      </c>
      <c r="C13" s="50">
        <v>3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4</v>
      </c>
      <c r="N13" s="50">
        <v>1</v>
      </c>
      <c r="O13" s="15">
        <f t="shared" si="0"/>
        <v>10</v>
      </c>
      <c r="P13" s="15">
        <f t="shared" si="1"/>
        <v>14</v>
      </c>
      <c r="R13" s="1" t="s">
        <v>9</v>
      </c>
      <c r="S13" s="17">
        <f t="shared" ref="S13:AF13" si="5">SUM(C22:C25)</f>
        <v>16</v>
      </c>
      <c r="T13" s="17">
        <f t="shared" si="5"/>
        <v>1</v>
      </c>
      <c r="U13" s="17">
        <f t="shared" si="5"/>
        <v>1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3</v>
      </c>
      <c r="AA13" s="17">
        <f t="shared" si="5"/>
        <v>5</v>
      </c>
      <c r="AB13" s="17">
        <f t="shared" si="5"/>
        <v>0</v>
      </c>
      <c r="AC13" s="17">
        <f t="shared" si="5"/>
        <v>30</v>
      </c>
      <c r="AD13" s="17">
        <f t="shared" si="5"/>
        <v>0</v>
      </c>
      <c r="AE13" s="31">
        <f t="shared" si="5"/>
        <v>36</v>
      </c>
      <c r="AF13" s="31">
        <f t="shared" si="5"/>
        <v>66</v>
      </c>
    </row>
    <row r="14" spans="2:32" ht="23.1" customHeight="1" x14ac:dyDescent="0.25">
      <c r="B14" s="45" t="s">
        <v>41</v>
      </c>
      <c r="C14" s="50">
        <v>3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5</v>
      </c>
      <c r="P14" s="15">
        <f t="shared" si="1"/>
        <v>8</v>
      </c>
      <c r="R14" s="1" t="s">
        <v>10</v>
      </c>
      <c r="S14" s="17">
        <f t="shared" ref="S14:AF14" si="6">SUM(C26:C29)</f>
        <v>11</v>
      </c>
      <c r="T14" s="17">
        <f t="shared" si="6"/>
        <v>1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3</v>
      </c>
      <c r="AA14" s="17">
        <f t="shared" si="6"/>
        <v>1</v>
      </c>
      <c r="AB14" s="17">
        <f t="shared" si="6"/>
        <v>1</v>
      </c>
      <c r="AC14" s="17">
        <f t="shared" si="6"/>
        <v>43</v>
      </c>
      <c r="AD14" s="17">
        <f t="shared" si="6"/>
        <v>0</v>
      </c>
      <c r="AE14" s="31">
        <f t="shared" si="6"/>
        <v>24</v>
      </c>
      <c r="AF14" s="31">
        <f t="shared" si="6"/>
        <v>67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1</v>
      </c>
      <c r="P15" s="15">
        <f t="shared" si="1"/>
        <v>4</v>
      </c>
      <c r="R15" s="1" t="s">
        <v>11</v>
      </c>
      <c r="S15" s="17">
        <f t="shared" ref="S15:AF15" si="7">SUM(C30:C33)</f>
        <v>11</v>
      </c>
      <c r="T15" s="17">
        <f t="shared" si="7"/>
        <v>1</v>
      </c>
      <c r="U15" s="17">
        <f t="shared" si="7"/>
        <v>2</v>
      </c>
      <c r="V15" s="17">
        <f t="shared" si="7"/>
        <v>2</v>
      </c>
      <c r="W15" s="17">
        <f t="shared" si="7"/>
        <v>1</v>
      </c>
      <c r="X15" s="17">
        <f t="shared" si="7"/>
        <v>0</v>
      </c>
      <c r="Y15" s="17">
        <f t="shared" si="7"/>
        <v>3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38</v>
      </c>
      <c r="AD15" s="17">
        <f t="shared" si="7"/>
        <v>0</v>
      </c>
      <c r="AE15" s="31">
        <f t="shared" si="7"/>
        <v>22</v>
      </c>
      <c r="AF15" s="31">
        <f t="shared" si="7"/>
        <v>60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3</v>
      </c>
      <c r="P16" s="15">
        <f t="shared" si="1"/>
        <v>6</v>
      </c>
      <c r="R16" s="1" t="s">
        <v>12</v>
      </c>
      <c r="S16" s="17">
        <f t="shared" ref="S16:AF16" si="8">SUM(C34:C37)</f>
        <v>11</v>
      </c>
      <c r="T16" s="17">
        <f t="shared" si="8"/>
        <v>0</v>
      </c>
      <c r="U16" s="17">
        <f t="shared" si="8"/>
        <v>5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52</v>
      </c>
      <c r="AD16" s="17">
        <f t="shared" si="8"/>
        <v>0</v>
      </c>
      <c r="AE16" s="31">
        <f t="shared" si="8"/>
        <v>22</v>
      </c>
      <c r="AF16" s="31">
        <f t="shared" si="8"/>
        <v>74</v>
      </c>
    </row>
    <row r="17" spans="2:32" ht="23.1" customHeight="1" x14ac:dyDescent="0.25">
      <c r="B17" s="45" t="s">
        <v>44</v>
      </c>
      <c r="C17" s="50">
        <v>5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11</v>
      </c>
      <c r="P17" s="15">
        <f t="shared" si="1"/>
        <v>12</v>
      </c>
      <c r="R17" s="1" t="s">
        <v>13</v>
      </c>
      <c r="S17" s="17">
        <f t="shared" ref="S17:AF17" si="9">SUM(C38:C41)</f>
        <v>5</v>
      </c>
      <c r="T17" s="17">
        <f t="shared" si="9"/>
        <v>1</v>
      </c>
      <c r="U17" s="17">
        <f t="shared" si="9"/>
        <v>5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42</v>
      </c>
      <c r="AD17" s="17">
        <f t="shared" si="9"/>
        <v>0</v>
      </c>
      <c r="AE17" s="31">
        <f t="shared" si="9"/>
        <v>20</v>
      </c>
      <c r="AF17" s="31">
        <f t="shared" si="9"/>
        <v>62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3</v>
      </c>
      <c r="P18" s="15">
        <f t="shared" si="1"/>
        <v>9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4</v>
      </c>
      <c r="AA18" s="17">
        <f t="shared" si="10"/>
        <v>4</v>
      </c>
      <c r="AB18" s="17">
        <f t="shared" si="10"/>
        <v>1</v>
      </c>
      <c r="AC18" s="17">
        <f t="shared" si="10"/>
        <v>34</v>
      </c>
      <c r="AD18" s="17">
        <f t="shared" si="10"/>
        <v>0</v>
      </c>
      <c r="AE18" s="31">
        <f t="shared" si="10"/>
        <v>18</v>
      </c>
      <c r="AF18" s="31">
        <f t="shared" si="10"/>
        <v>52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5</v>
      </c>
      <c r="P19" s="15">
        <f t="shared" si="1"/>
        <v>10</v>
      </c>
      <c r="R19" s="1" t="s">
        <v>15</v>
      </c>
      <c r="S19" s="17">
        <f t="shared" ref="S19:AF19" si="11">SUM(C46:C49)</f>
        <v>4</v>
      </c>
      <c r="T19" s="17">
        <f t="shared" si="11"/>
        <v>1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4</v>
      </c>
      <c r="AA19" s="17">
        <f t="shared" si="11"/>
        <v>1</v>
      </c>
      <c r="AB19" s="17">
        <f t="shared" si="11"/>
        <v>0</v>
      </c>
      <c r="AC19" s="17">
        <f t="shared" si="11"/>
        <v>29</v>
      </c>
      <c r="AD19" s="17">
        <f t="shared" si="11"/>
        <v>0</v>
      </c>
      <c r="AE19" s="31">
        <f t="shared" si="11"/>
        <v>17</v>
      </c>
      <c r="AF19" s="31">
        <f t="shared" si="11"/>
        <v>46</v>
      </c>
    </row>
    <row r="20" spans="2:32" ht="23.1" customHeight="1" x14ac:dyDescent="0.25">
      <c r="B20" s="45" t="s">
        <v>47</v>
      </c>
      <c r="C20" s="50">
        <v>6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3</v>
      </c>
      <c r="J20" s="50">
        <v>2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13</v>
      </c>
      <c r="P20" s="15">
        <f t="shared" si="1"/>
        <v>16</v>
      </c>
      <c r="R20" s="1" t="s">
        <v>16</v>
      </c>
      <c r="S20" s="17">
        <f t="shared" ref="S20:AF20" si="12">SUM(C50:C53)</f>
        <v>3</v>
      </c>
      <c r="T20" s="17">
        <f t="shared" si="12"/>
        <v>2</v>
      </c>
      <c r="U20" s="17">
        <f t="shared" si="12"/>
        <v>4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35</v>
      </c>
      <c r="AD20" s="17">
        <f t="shared" si="12"/>
        <v>0</v>
      </c>
      <c r="AE20" s="31">
        <f t="shared" si="12"/>
        <v>19</v>
      </c>
      <c r="AF20" s="31">
        <f t="shared" si="12"/>
        <v>54</v>
      </c>
    </row>
    <row r="21" spans="2:32" ht="23.1" customHeight="1" x14ac:dyDescent="0.25">
      <c r="B21" s="45" t="s">
        <v>48</v>
      </c>
      <c r="C21" s="50">
        <v>2</v>
      </c>
      <c r="D21" s="50">
        <v>1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4</v>
      </c>
      <c r="P21" s="15">
        <f t="shared" si="1"/>
        <v>10</v>
      </c>
      <c r="R21" s="36" t="s">
        <v>20</v>
      </c>
      <c r="S21" s="34">
        <f t="shared" ref="S21:AF21" si="13">SUM(C54:C57)</f>
        <v>14</v>
      </c>
      <c r="T21" s="17">
        <f t="shared" si="13"/>
        <v>1</v>
      </c>
      <c r="U21" s="17">
        <f t="shared" si="13"/>
        <v>4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2</v>
      </c>
      <c r="AA21" s="17">
        <f t="shared" si="13"/>
        <v>1</v>
      </c>
      <c r="AB21" s="17">
        <f t="shared" si="13"/>
        <v>0</v>
      </c>
      <c r="AC21" s="17">
        <f t="shared" si="13"/>
        <v>42</v>
      </c>
      <c r="AD21" s="17">
        <f t="shared" si="13"/>
        <v>0</v>
      </c>
      <c r="AE21" s="31">
        <f t="shared" si="13"/>
        <v>29</v>
      </c>
      <c r="AF21" s="31">
        <f t="shared" si="13"/>
        <v>71</v>
      </c>
    </row>
    <row r="22" spans="2:32" ht="23.1" customHeight="1" x14ac:dyDescent="0.25">
      <c r="B22" s="45" t="s">
        <v>49</v>
      </c>
      <c r="C22" s="50">
        <v>2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6</v>
      </c>
      <c r="P22" s="15">
        <f t="shared" si="1"/>
        <v>11</v>
      </c>
      <c r="R22" s="36" t="s">
        <v>146</v>
      </c>
      <c r="S22" s="34">
        <f>SUM(C58:C61)</f>
        <v>6</v>
      </c>
      <c r="T22" s="34">
        <f t="shared" ref="T22:AF22" si="14">SUM(D58:D61)</f>
        <v>2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5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27</v>
      </c>
      <c r="AD22" s="34">
        <f t="shared" si="14"/>
        <v>0</v>
      </c>
      <c r="AE22" s="31">
        <f t="shared" si="14"/>
        <v>15</v>
      </c>
      <c r="AF22" s="31">
        <f t="shared" si="14"/>
        <v>42</v>
      </c>
    </row>
    <row r="23" spans="2:32" ht="23.1" customHeight="1" x14ac:dyDescent="0.25">
      <c r="B23" s="45" t="s">
        <v>50</v>
      </c>
      <c r="C23" s="50">
        <v>2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5</v>
      </c>
      <c r="P23" s="15">
        <f t="shared" si="1"/>
        <v>10</v>
      </c>
      <c r="R23" s="36" t="s">
        <v>147</v>
      </c>
      <c r="S23" s="34">
        <f>SUM(C62:C65)</f>
        <v>2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23</v>
      </c>
      <c r="AD23" s="34">
        <f t="shared" si="15"/>
        <v>0</v>
      </c>
      <c r="AE23" s="31">
        <f t="shared" si="15"/>
        <v>10</v>
      </c>
      <c r="AF23" s="31">
        <f t="shared" si="15"/>
        <v>33</v>
      </c>
    </row>
    <row r="24" spans="2:32" ht="23.1" customHeight="1" x14ac:dyDescent="0.25">
      <c r="B24" s="45" t="s">
        <v>51</v>
      </c>
      <c r="C24" s="50">
        <v>5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1</v>
      </c>
      <c r="K24" s="50">
        <v>1</v>
      </c>
      <c r="L24" s="50">
        <v>0</v>
      </c>
      <c r="M24" s="50">
        <v>5</v>
      </c>
      <c r="N24" s="50">
        <v>0</v>
      </c>
      <c r="O24" s="15">
        <f t="shared" si="0"/>
        <v>9</v>
      </c>
      <c r="P24" s="15">
        <f t="shared" si="1"/>
        <v>14</v>
      </c>
      <c r="R24" s="36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6</v>
      </c>
      <c r="AA24" s="34">
        <f t="shared" si="16"/>
        <v>0</v>
      </c>
      <c r="AB24" s="34">
        <f t="shared" si="16"/>
        <v>0</v>
      </c>
      <c r="AC24" s="34">
        <f t="shared" si="16"/>
        <v>13</v>
      </c>
      <c r="AD24" s="34">
        <f t="shared" si="16"/>
        <v>0</v>
      </c>
      <c r="AE24" s="31">
        <f t="shared" si="16"/>
        <v>17</v>
      </c>
      <c r="AF24" s="31">
        <f t="shared" si="16"/>
        <v>30</v>
      </c>
    </row>
    <row r="25" spans="2:32" ht="23.1" customHeight="1" x14ac:dyDescent="0.25">
      <c r="B25" s="45" t="s">
        <v>52</v>
      </c>
      <c r="C25" s="50">
        <v>7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2</v>
      </c>
      <c r="J25" s="50">
        <v>1</v>
      </c>
      <c r="K25" s="50">
        <v>4</v>
      </c>
      <c r="L25" s="50">
        <v>0</v>
      </c>
      <c r="M25" s="50">
        <v>15</v>
      </c>
      <c r="N25" s="50">
        <v>0</v>
      </c>
      <c r="O25" s="15">
        <f t="shared" si="0"/>
        <v>16</v>
      </c>
      <c r="P25" s="15">
        <f t="shared" si="1"/>
        <v>31</v>
      </c>
      <c r="R25" s="36" t="s">
        <v>149</v>
      </c>
      <c r="S25" s="34">
        <f>SUM(C70:C73)</f>
        <v>5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8</v>
      </c>
      <c r="AD25" s="34">
        <f t="shared" si="17"/>
        <v>0</v>
      </c>
      <c r="AE25" s="31">
        <f t="shared" si="17"/>
        <v>9</v>
      </c>
      <c r="AF25" s="31">
        <f t="shared" si="17"/>
        <v>17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3</v>
      </c>
      <c r="P26" s="15">
        <f t="shared" si="1"/>
        <v>18</v>
      </c>
      <c r="R26" s="36" t="s">
        <v>150</v>
      </c>
      <c r="S26" s="34">
        <f>SUM(C74:C77)</f>
        <v>1</v>
      </c>
      <c r="T26" s="34">
        <f t="shared" ref="T26:AF26" si="18">SUM(D74:D77)</f>
        <v>1</v>
      </c>
      <c r="U26" s="34">
        <f t="shared" si="18"/>
        <v>2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2</v>
      </c>
      <c r="AD26" s="34">
        <f t="shared" si="18"/>
        <v>0</v>
      </c>
      <c r="AE26" s="31">
        <f t="shared" si="18"/>
        <v>11</v>
      </c>
      <c r="AF26" s="31">
        <f t="shared" si="18"/>
        <v>13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1</v>
      </c>
      <c r="M27" s="50">
        <v>15</v>
      </c>
      <c r="N27" s="50">
        <v>0</v>
      </c>
      <c r="O27" s="15">
        <f t="shared" si="0"/>
        <v>6</v>
      </c>
      <c r="P27" s="15">
        <f t="shared" si="1"/>
        <v>21</v>
      </c>
      <c r="R27" s="36" t="s">
        <v>151</v>
      </c>
      <c r="S27" s="34">
        <f>SUM(C78:C81)</f>
        <v>2</v>
      </c>
      <c r="T27" s="34">
        <f t="shared" ref="T27:AF27" si="19">SUM(D78:D81)</f>
        <v>1</v>
      </c>
      <c r="U27" s="34">
        <f t="shared" si="19"/>
        <v>4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3</v>
      </c>
      <c r="AA27" s="34">
        <f t="shared" si="19"/>
        <v>1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13</v>
      </c>
      <c r="AF27" s="31">
        <f t="shared" si="19"/>
        <v>16</v>
      </c>
    </row>
    <row r="28" spans="2:32" ht="23.1" customHeight="1" x14ac:dyDescent="0.25">
      <c r="B28" s="45" t="s">
        <v>55</v>
      </c>
      <c r="C28" s="50">
        <v>5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10</v>
      </c>
      <c r="P28" s="15">
        <f t="shared" si="1"/>
        <v>19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3</v>
      </c>
      <c r="AA28" s="34">
        <f t="shared" si="20"/>
        <v>1</v>
      </c>
      <c r="AB28" s="34">
        <f t="shared" si="20"/>
        <v>1</v>
      </c>
      <c r="AC28" s="34">
        <f t="shared" si="20"/>
        <v>0</v>
      </c>
      <c r="AD28" s="34">
        <f t="shared" si="20"/>
        <v>0</v>
      </c>
      <c r="AE28" s="31">
        <f t="shared" si="20"/>
        <v>10</v>
      </c>
      <c r="AF28" s="31">
        <f t="shared" si="20"/>
        <v>10</v>
      </c>
    </row>
    <row r="29" spans="2:32" ht="23.1" customHeight="1" x14ac:dyDescent="0.25">
      <c r="B29" s="45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2</v>
      </c>
      <c r="K29" s="50">
        <v>1</v>
      </c>
      <c r="L29" s="50">
        <v>0</v>
      </c>
      <c r="M29" s="50">
        <v>4</v>
      </c>
      <c r="N29" s="50">
        <v>0</v>
      </c>
      <c r="O29" s="15">
        <f t="shared" si="0"/>
        <v>5</v>
      </c>
      <c r="P29" s="15">
        <f t="shared" si="1"/>
        <v>9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3</v>
      </c>
      <c r="AA29" s="34">
        <f t="shared" si="21"/>
        <v>1</v>
      </c>
      <c r="AB29" s="34">
        <f t="shared" si="21"/>
        <v>1</v>
      </c>
      <c r="AC29" s="34">
        <f t="shared" si="21"/>
        <v>0</v>
      </c>
      <c r="AD29" s="34">
        <f t="shared" si="21"/>
        <v>0</v>
      </c>
      <c r="AE29" s="31">
        <f t="shared" si="21"/>
        <v>8</v>
      </c>
      <c r="AF29" s="31">
        <f t="shared" si="21"/>
        <v>8</v>
      </c>
    </row>
    <row r="30" spans="2:32" ht="23.1" customHeight="1" x14ac:dyDescent="0.25">
      <c r="B30" s="45" t="s">
        <v>57</v>
      </c>
      <c r="C30" s="50">
        <v>6</v>
      </c>
      <c r="D30" s="50">
        <v>1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9</v>
      </c>
      <c r="P30" s="15">
        <f t="shared" si="1"/>
        <v>18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2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8</v>
      </c>
      <c r="AF30" s="31">
        <f t="shared" si="22"/>
        <v>8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3</v>
      </c>
      <c r="P31" s="15">
        <f t="shared" si="1"/>
        <v>14</v>
      </c>
      <c r="R31" s="36" t="s">
        <v>155</v>
      </c>
      <c r="S31" s="34">
        <f>SUM(C94:C97)</f>
        <v>6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2</v>
      </c>
      <c r="AA31" s="34">
        <f t="shared" si="23"/>
        <v>0</v>
      </c>
      <c r="AB31" s="34">
        <f t="shared" si="23"/>
        <v>2</v>
      </c>
      <c r="AC31" s="34">
        <f t="shared" si="23"/>
        <v>1</v>
      </c>
      <c r="AD31" s="34">
        <f t="shared" si="23"/>
        <v>0</v>
      </c>
      <c r="AE31" s="31">
        <f t="shared" si="23"/>
        <v>17</v>
      </c>
      <c r="AF31" s="31">
        <f t="shared" si="23"/>
        <v>18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1</v>
      </c>
      <c r="F32" s="50">
        <v>1</v>
      </c>
      <c r="G32" s="50">
        <v>1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7</v>
      </c>
      <c r="P32" s="15">
        <f t="shared" si="1"/>
        <v>12</v>
      </c>
      <c r="R32" s="33" t="s">
        <v>156</v>
      </c>
      <c r="S32" s="34">
        <f>SUM(C98:C101)</f>
        <v>5</v>
      </c>
      <c r="T32" s="34">
        <f t="shared" ref="T32:AF32" si="24">SUM(D98:D101)</f>
        <v>4</v>
      </c>
      <c r="U32" s="34">
        <f t="shared" si="24"/>
        <v>3</v>
      </c>
      <c r="V32" s="34">
        <f t="shared" si="24"/>
        <v>7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5</v>
      </c>
      <c r="AA32" s="34">
        <f t="shared" si="24"/>
        <v>3</v>
      </c>
      <c r="AB32" s="34">
        <f t="shared" si="24"/>
        <v>1</v>
      </c>
      <c r="AC32" s="34">
        <f t="shared" si="24"/>
        <v>33</v>
      </c>
      <c r="AD32" s="34">
        <f t="shared" si="24"/>
        <v>0</v>
      </c>
      <c r="AE32" s="31">
        <f t="shared" si="24"/>
        <v>32</v>
      </c>
      <c r="AF32" s="31">
        <f t="shared" si="24"/>
        <v>65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3</v>
      </c>
      <c r="P33" s="15">
        <f t="shared" si="1"/>
        <v>16</v>
      </c>
      <c r="R33" s="33" t="s">
        <v>157</v>
      </c>
      <c r="S33" s="34">
        <f>SUM(C102:C105)</f>
        <v>4</v>
      </c>
      <c r="T33" s="34">
        <f t="shared" ref="T33:AF33" si="25">SUM(D102:D105)</f>
        <v>5</v>
      </c>
      <c r="U33" s="34">
        <f t="shared" si="25"/>
        <v>3</v>
      </c>
      <c r="V33" s="34">
        <f t="shared" si="25"/>
        <v>7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4</v>
      </c>
      <c r="AA33" s="34">
        <f t="shared" si="25"/>
        <v>1</v>
      </c>
      <c r="AB33" s="34">
        <f t="shared" si="25"/>
        <v>0</v>
      </c>
      <c r="AC33" s="34">
        <f t="shared" si="25"/>
        <v>13</v>
      </c>
      <c r="AD33" s="34">
        <f t="shared" si="25"/>
        <v>0</v>
      </c>
      <c r="AE33" s="31">
        <f t="shared" si="25"/>
        <v>28</v>
      </c>
      <c r="AF33" s="31">
        <f t="shared" si="25"/>
        <v>41</v>
      </c>
    </row>
    <row r="34" spans="2:32" ht="23.1" customHeight="1" x14ac:dyDescent="0.25">
      <c r="B34" s="46" t="s">
        <v>61</v>
      </c>
      <c r="C34" s="50">
        <v>5</v>
      </c>
      <c r="D34" s="50">
        <v>0</v>
      </c>
      <c r="E34" s="50">
        <v>2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8</v>
      </c>
      <c r="P34" s="15">
        <f t="shared" si="1"/>
        <v>20</v>
      </c>
      <c r="R34" s="38" t="s">
        <v>90</v>
      </c>
      <c r="S34" s="39">
        <f t="shared" ref="S34:AF34" si="26">MAX(S10:S12)</f>
        <v>11</v>
      </c>
      <c r="T34" s="39">
        <f t="shared" si="26"/>
        <v>1</v>
      </c>
      <c r="U34" s="39">
        <f t="shared" si="26"/>
        <v>2</v>
      </c>
      <c r="V34" s="39">
        <f t="shared" si="26"/>
        <v>4</v>
      </c>
      <c r="W34" s="39">
        <f t="shared" si="26"/>
        <v>1</v>
      </c>
      <c r="X34" s="39">
        <f t="shared" si="26"/>
        <v>0</v>
      </c>
      <c r="Y34" s="39">
        <f t="shared" si="26"/>
        <v>7</v>
      </c>
      <c r="Z34" s="39">
        <f t="shared" si="26"/>
        <v>3</v>
      </c>
      <c r="AA34" s="39">
        <f t="shared" si="26"/>
        <v>0</v>
      </c>
      <c r="AB34" s="39">
        <f t="shared" si="26"/>
        <v>0</v>
      </c>
      <c r="AC34" s="39">
        <f t="shared" si="26"/>
        <v>20</v>
      </c>
      <c r="AD34" s="39">
        <f t="shared" si="26"/>
        <v>1</v>
      </c>
      <c r="AE34" s="40">
        <f t="shared" si="26"/>
        <v>25</v>
      </c>
      <c r="AF34" s="40">
        <f t="shared" si="26"/>
        <v>45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5</v>
      </c>
      <c r="P35" s="15">
        <f t="shared" si="1"/>
        <v>20</v>
      </c>
      <c r="R35" s="38" t="s">
        <v>91</v>
      </c>
      <c r="S35" s="39">
        <f t="shared" ref="S35:AF35" si="27">MAX(S13:S18)</f>
        <v>16</v>
      </c>
      <c r="T35" s="39">
        <f t="shared" si="27"/>
        <v>1</v>
      </c>
      <c r="U35" s="39">
        <f t="shared" si="27"/>
        <v>5</v>
      </c>
      <c r="V35" s="39">
        <f t="shared" si="27"/>
        <v>5</v>
      </c>
      <c r="W35" s="39">
        <f t="shared" si="27"/>
        <v>1</v>
      </c>
      <c r="X35" s="39">
        <f t="shared" si="27"/>
        <v>0</v>
      </c>
      <c r="Y35" s="39">
        <f t="shared" si="27"/>
        <v>5</v>
      </c>
      <c r="Z35" s="39">
        <f t="shared" si="27"/>
        <v>4</v>
      </c>
      <c r="AA35" s="39">
        <f t="shared" si="27"/>
        <v>5</v>
      </c>
      <c r="AB35" s="39">
        <f t="shared" si="27"/>
        <v>1</v>
      </c>
      <c r="AC35" s="39">
        <f t="shared" si="27"/>
        <v>52</v>
      </c>
      <c r="AD35" s="39">
        <f t="shared" si="27"/>
        <v>0</v>
      </c>
      <c r="AE35" s="40">
        <f t="shared" si="27"/>
        <v>36</v>
      </c>
      <c r="AF35" s="40">
        <f t="shared" si="27"/>
        <v>74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5</v>
      </c>
      <c r="P36" s="15">
        <f t="shared" si="1"/>
        <v>15</v>
      </c>
      <c r="R36" s="38" t="s">
        <v>92</v>
      </c>
      <c r="S36" s="39">
        <f t="shared" ref="S36:AF36" si="28">MAX(S19:S21)</f>
        <v>14</v>
      </c>
      <c r="T36" s="39">
        <f t="shared" si="28"/>
        <v>2</v>
      </c>
      <c r="U36" s="39">
        <f t="shared" si="28"/>
        <v>4</v>
      </c>
      <c r="V36" s="39">
        <f t="shared" si="28"/>
        <v>3</v>
      </c>
      <c r="W36" s="39">
        <f t="shared" si="28"/>
        <v>0</v>
      </c>
      <c r="X36" s="39">
        <f t="shared" si="28"/>
        <v>0</v>
      </c>
      <c r="Y36" s="39">
        <f t="shared" si="28"/>
        <v>6</v>
      </c>
      <c r="Z36" s="39">
        <f t="shared" si="28"/>
        <v>4</v>
      </c>
      <c r="AA36" s="39">
        <f t="shared" si="28"/>
        <v>1</v>
      </c>
      <c r="AB36" s="39">
        <f t="shared" si="28"/>
        <v>0</v>
      </c>
      <c r="AC36" s="39">
        <f t="shared" si="28"/>
        <v>42</v>
      </c>
      <c r="AD36" s="39">
        <f t="shared" si="28"/>
        <v>0</v>
      </c>
      <c r="AE36" s="40">
        <f t="shared" si="28"/>
        <v>29</v>
      </c>
      <c r="AF36" s="40">
        <f t="shared" si="28"/>
        <v>71</v>
      </c>
    </row>
    <row r="37" spans="2:32" ht="23.1" customHeight="1" x14ac:dyDescent="0.25">
      <c r="B37" s="45" t="s">
        <v>64</v>
      </c>
      <c r="C37" s="50">
        <v>2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0</v>
      </c>
      <c r="M37" s="50">
        <v>15</v>
      </c>
      <c r="N37" s="50">
        <v>0</v>
      </c>
      <c r="O37" s="15">
        <f t="shared" si="0"/>
        <v>4</v>
      </c>
      <c r="P37" s="15">
        <f t="shared" si="1"/>
        <v>19</v>
      </c>
      <c r="R37" s="37" t="s">
        <v>85</v>
      </c>
      <c r="S37" s="35">
        <f t="shared" ref="S37:AF37" si="29">SUM(S10:S12)</f>
        <v>28</v>
      </c>
      <c r="T37" s="16">
        <f t="shared" si="29"/>
        <v>1</v>
      </c>
      <c r="U37" s="16">
        <f t="shared" si="29"/>
        <v>3</v>
      </c>
      <c r="V37" s="16">
        <f t="shared" si="29"/>
        <v>9</v>
      </c>
      <c r="W37" s="16">
        <f t="shared" si="29"/>
        <v>1</v>
      </c>
      <c r="X37" s="16">
        <f t="shared" si="29"/>
        <v>0</v>
      </c>
      <c r="Y37" s="16">
        <f t="shared" si="29"/>
        <v>18</v>
      </c>
      <c r="Z37" s="16">
        <f t="shared" si="29"/>
        <v>4</v>
      </c>
      <c r="AA37" s="16">
        <f t="shared" si="29"/>
        <v>0</v>
      </c>
      <c r="AB37" s="16">
        <f t="shared" si="29"/>
        <v>0</v>
      </c>
      <c r="AC37" s="16">
        <f t="shared" si="29"/>
        <v>44</v>
      </c>
      <c r="AD37" s="16">
        <f t="shared" si="29"/>
        <v>1</v>
      </c>
      <c r="AE37" s="32">
        <f t="shared" si="29"/>
        <v>65</v>
      </c>
      <c r="AF37" s="32">
        <f t="shared" si="29"/>
        <v>109</v>
      </c>
    </row>
    <row r="38" spans="2:32" ht="23.1" customHeight="1" x14ac:dyDescent="0.25">
      <c r="B38" s="46" t="s">
        <v>65</v>
      </c>
      <c r="C38" s="50">
        <v>2</v>
      </c>
      <c r="D38" s="50">
        <v>0</v>
      </c>
      <c r="E38" s="50">
        <v>2</v>
      </c>
      <c r="F38" s="50">
        <v>2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8</v>
      </c>
      <c r="P38" s="15">
        <f t="shared" si="1"/>
        <v>20</v>
      </c>
      <c r="R38" s="28" t="s">
        <v>86</v>
      </c>
      <c r="S38" s="16">
        <f t="shared" ref="S38:AF38" si="30">SUM(S13:S18)</f>
        <v>58</v>
      </c>
      <c r="T38" s="16">
        <f t="shared" si="30"/>
        <v>4</v>
      </c>
      <c r="U38" s="16">
        <f t="shared" si="30"/>
        <v>15</v>
      </c>
      <c r="V38" s="16">
        <f t="shared" si="30"/>
        <v>15</v>
      </c>
      <c r="W38" s="16">
        <f t="shared" si="30"/>
        <v>1</v>
      </c>
      <c r="X38" s="16">
        <f t="shared" si="30"/>
        <v>0</v>
      </c>
      <c r="Y38" s="16">
        <f t="shared" si="30"/>
        <v>21</v>
      </c>
      <c r="Z38" s="16">
        <f t="shared" si="30"/>
        <v>14</v>
      </c>
      <c r="AA38" s="16">
        <f t="shared" si="30"/>
        <v>12</v>
      </c>
      <c r="AB38" s="16">
        <f t="shared" si="30"/>
        <v>2</v>
      </c>
      <c r="AC38" s="16">
        <f t="shared" si="30"/>
        <v>239</v>
      </c>
      <c r="AD38" s="16">
        <f t="shared" si="30"/>
        <v>0</v>
      </c>
      <c r="AE38" s="32">
        <f t="shared" si="30"/>
        <v>142</v>
      </c>
      <c r="AF38" s="32">
        <f t="shared" si="30"/>
        <v>381</v>
      </c>
    </row>
    <row r="39" spans="2:32" ht="23.1" customHeight="1" x14ac:dyDescent="0.25">
      <c r="B39" s="46" t="s">
        <v>66</v>
      </c>
      <c r="C39" s="50">
        <v>0</v>
      </c>
      <c r="D39" s="50">
        <v>1</v>
      </c>
      <c r="E39" s="50">
        <v>2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13</v>
      </c>
      <c r="N39" s="50">
        <v>0</v>
      </c>
      <c r="O39" s="15">
        <f t="shared" si="0"/>
        <v>5</v>
      </c>
      <c r="P39" s="15">
        <f t="shared" si="1"/>
        <v>18</v>
      </c>
      <c r="R39" s="29" t="s">
        <v>87</v>
      </c>
      <c r="S39" s="16">
        <f t="shared" ref="S39:AF39" si="31">SUM(S19:S21)</f>
        <v>21</v>
      </c>
      <c r="T39" s="16">
        <f t="shared" si="31"/>
        <v>4</v>
      </c>
      <c r="U39" s="16">
        <f t="shared" si="31"/>
        <v>8</v>
      </c>
      <c r="V39" s="16">
        <f t="shared" si="31"/>
        <v>6</v>
      </c>
      <c r="W39" s="16">
        <f t="shared" si="31"/>
        <v>0</v>
      </c>
      <c r="X39" s="16">
        <f t="shared" si="31"/>
        <v>0</v>
      </c>
      <c r="Y39" s="16">
        <f t="shared" si="31"/>
        <v>15</v>
      </c>
      <c r="Z39" s="16">
        <f t="shared" si="31"/>
        <v>9</v>
      </c>
      <c r="AA39" s="16">
        <f t="shared" si="31"/>
        <v>2</v>
      </c>
      <c r="AB39" s="16">
        <f t="shared" si="31"/>
        <v>0</v>
      </c>
      <c r="AC39" s="16">
        <f t="shared" si="31"/>
        <v>106</v>
      </c>
      <c r="AD39" s="16">
        <f t="shared" si="31"/>
        <v>0</v>
      </c>
      <c r="AE39" s="32">
        <f t="shared" si="31"/>
        <v>65</v>
      </c>
      <c r="AF39" s="32">
        <f t="shared" si="31"/>
        <v>171</v>
      </c>
    </row>
    <row r="40" spans="2:32" ht="23.1" customHeight="1" x14ac:dyDescent="0.25">
      <c r="B40" s="46" t="s">
        <v>67</v>
      </c>
      <c r="C40" s="50">
        <v>3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5</v>
      </c>
      <c r="P40" s="15">
        <f t="shared" si="1"/>
        <v>13</v>
      </c>
      <c r="R40" s="5" t="s">
        <v>17</v>
      </c>
      <c r="S40" s="16">
        <f t="shared" ref="S40:AF40" si="32">SUM(S10:S21)</f>
        <v>107</v>
      </c>
      <c r="T40" s="16">
        <f t="shared" si="32"/>
        <v>9</v>
      </c>
      <c r="U40" s="16">
        <f t="shared" si="32"/>
        <v>26</v>
      </c>
      <c r="V40" s="16">
        <f t="shared" si="32"/>
        <v>30</v>
      </c>
      <c r="W40" s="16">
        <f t="shared" si="32"/>
        <v>2</v>
      </c>
      <c r="X40" s="16">
        <f t="shared" si="32"/>
        <v>0</v>
      </c>
      <c r="Y40" s="16">
        <f t="shared" si="32"/>
        <v>54</v>
      </c>
      <c r="Z40" s="16">
        <f t="shared" si="32"/>
        <v>27</v>
      </c>
      <c r="AA40" s="16">
        <f t="shared" si="32"/>
        <v>14</v>
      </c>
      <c r="AB40" s="16">
        <f t="shared" si="32"/>
        <v>2</v>
      </c>
      <c r="AC40" s="16">
        <f t="shared" si="32"/>
        <v>389</v>
      </c>
      <c r="AD40" s="16">
        <f t="shared" si="32"/>
        <v>1</v>
      </c>
      <c r="AE40" s="32">
        <f t="shared" si="32"/>
        <v>272</v>
      </c>
      <c r="AF40" s="32">
        <f t="shared" si="32"/>
        <v>661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2</v>
      </c>
      <c r="P41" s="15">
        <f t="shared" si="1"/>
        <v>11</v>
      </c>
      <c r="R41" s="5" t="s">
        <v>159</v>
      </c>
      <c r="S41" s="16">
        <f>SUM(S10:S33)</f>
        <v>150</v>
      </c>
      <c r="T41" s="16">
        <f t="shared" ref="T41:AF41" si="33">SUM(T10:T33)</f>
        <v>23</v>
      </c>
      <c r="U41" s="16">
        <f t="shared" si="33"/>
        <v>45</v>
      </c>
      <c r="V41" s="16">
        <f t="shared" si="33"/>
        <v>49</v>
      </c>
      <c r="W41" s="16">
        <f t="shared" si="33"/>
        <v>2</v>
      </c>
      <c r="X41" s="16">
        <f t="shared" si="33"/>
        <v>0</v>
      </c>
      <c r="Y41" s="16">
        <f t="shared" si="33"/>
        <v>86</v>
      </c>
      <c r="Z41" s="16">
        <f t="shared" si="33"/>
        <v>61</v>
      </c>
      <c r="AA41" s="16">
        <f t="shared" si="33"/>
        <v>26</v>
      </c>
      <c r="AB41" s="16">
        <f t="shared" si="33"/>
        <v>7</v>
      </c>
      <c r="AC41" s="16">
        <f t="shared" si="33"/>
        <v>512</v>
      </c>
      <c r="AD41" s="16">
        <f t="shared" si="33"/>
        <v>1</v>
      </c>
      <c r="AE41" s="32">
        <f t="shared" si="33"/>
        <v>450</v>
      </c>
      <c r="AF41" s="32">
        <f t="shared" si="33"/>
        <v>962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1</v>
      </c>
      <c r="K42" s="50">
        <v>3</v>
      </c>
      <c r="L42" s="50">
        <v>0</v>
      </c>
      <c r="M42" s="50">
        <v>6</v>
      </c>
      <c r="N42" s="50">
        <v>0</v>
      </c>
      <c r="O42" s="15">
        <f t="shared" si="0"/>
        <v>8</v>
      </c>
      <c r="P42" s="15">
        <f t="shared" si="1"/>
        <v>14</v>
      </c>
      <c r="R42" s="5" t="s">
        <v>160</v>
      </c>
      <c r="S42" s="48">
        <f>S41/S40</f>
        <v>1.4018691588785046</v>
      </c>
      <c r="T42" s="48">
        <f t="shared" ref="T42:AF42" si="34">T41/T40</f>
        <v>2.5555555555555554</v>
      </c>
      <c r="U42" s="48">
        <f t="shared" si="34"/>
        <v>1.7307692307692308</v>
      </c>
      <c r="V42" s="48">
        <f t="shared" si="34"/>
        <v>1.6333333333333333</v>
      </c>
      <c r="W42" s="48">
        <f t="shared" si="34"/>
        <v>1</v>
      </c>
      <c r="X42" s="48" t="e">
        <f t="shared" si="34"/>
        <v>#DIV/0!</v>
      </c>
      <c r="Y42" s="48">
        <f t="shared" si="34"/>
        <v>1.5925925925925926</v>
      </c>
      <c r="Z42" s="48">
        <f t="shared" si="34"/>
        <v>2.2592592592592591</v>
      </c>
      <c r="AA42" s="48">
        <f t="shared" si="34"/>
        <v>1.8571428571428572</v>
      </c>
      <c r="AB42" s="48">
        <f t="shared" si="34"/>
        <v>3.5</v>
      </c>
      <c r="AC42" s="48">
        <f t="shared" si="34"/>
        <v>1.3161953727506426</v>
      </c>
      <c r="AD42" s="48">
        <f t="shared" si="34"/>
        <v>1</v>
      </c>
      <c r="AE42" s="48">
        <f t="shared" si="34"/>
        <v>1.6544117647058822</v>
      </c>
      <c r="AF42" s="48">
        <f t="shared" si="34"/>
        <v>1.4553706505295008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2</v>
      </c>
      <c r="K43" s="50">
        <v>1</v>
      </c>
      <c r="L43" s="50">
        <v>1</v>
      </c>
      <c r="M43" s="50">
        <v>11</v>
      </c>
      <c r="N43" s="50">
        <v>0</v>
      </c>
      <c r="O43" s="15">
        <f t="shared" si="0"/>
        <v>6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3</v>
      </c>
      <c r="P44" s="15">
        <f t="shared" si="1"/>
        <v>11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1</v>
      </c>
      <c r="P45" s="15">
        <f t="shared" si="1"/>
        <v>10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2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5</v>
      </c>
      <c r="P46" s="15">
        <f t="shared" si="1"/>
        <v>16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6</v>
      </c>
      <c r="P47" s="15">
        <f t="shared" si="1"/>
        <v>18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3</v>
      </c>
      <c r="P48" s="15">
        <f t="shared" si="1"/>
        <v>5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4</v>
      </c>
      <c r="N49" s="50">
        <v>0</v>
      </c>
      <c r="O49" s="15">
        <f t="shared" si="0"/>
        <v>3</v>
      </c>
      <c r="P49" s="15">
        <f t="shared" si="1"/>
        <v>7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4</v>
      </c>
      <c r="P50" s="15">
        <f t="shared" si="1"/>
        <v>12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4</v>
      </c>
      <c r="P51" s="15">
        <f t="shared" si="1"/>
        <v>15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2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4</v>
      </c>
      <c r="P52" s="15">
        <f t="shared" si="1"/>
        <v>13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1</v>
      </c>
      <c r="E53" s="50">
        <v>1</v>
      </c>
      <c r="F53" s="50">
        <v>2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7</v>
      </c>
      <c r="P53" s="15">
        <f t="shared" si="1"/>
        <v>14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0</v>
      </c>
      <c r="E54" s="50">
        <v>3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9</v>
      </c>
      <c r="P54" s="15">
        <f t="shared" si="1"/>
        <v>16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1</v>
      </c>
      <c r="E55" s="50">
        <v>0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11</v>
      </c>
      <c r="N55" s="50">
        <v>0</v>
      </c>
      <c r="O55" s="15">
        <f t="shared" si="0"/>
        <v>5</v>
      </c>
      <c r="P55" s="15">
        <f t="shared" si="1"/>
        <v>16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1</v>
      </c>
      <c r="L56" s="50">
        <v>0</v>
      </c>
      <c r="M56" s="50">
        <v>13</v>
      </c>
      <c r="N56" s="50">
        <v>0</v>
      </c>
      <c r="O56" s="15">
        <f t="shared" si="0"/>
        <v>9</v>
      </c>
      <c r="P56" s="15">
        <f t="shared" si="1"/>
        <v>22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1</v>
      </c>
      <c r="F57" s="50">
        <v>1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11</v>
      </c>
      <c r="N57" s="50">
        <v>0</v>
      </c>
      <c r="O57" s="15">
        <f t="shared" si="0"/>
        <v>6</v>
      </c>
      <c r="P57" s="15">
        <f t="shared" si="1"/>
        <v>17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12</v>
      </c>
      <c r="N58" s="50">
        <v>0</v>
      </c>
      <c r="O58" s="15">
        <f t="shared" si="0"/>
        <v>5</v>
      </c>
      <c r="P58" s="15">
        <f t="shared" si="1"/>
        <v>17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2</v>
      </c>
      <c r="J59" s="50">
        <v>1</v>
      </c>
      <c r="K59" s="50">
        <v>0</v>
      </c>
      <c r="L59" s="50">
        <v>0</v>
      </c>
      <c r="M59" s="50">
        <v>5</v>
      </c>
      <c r="N59" s="50">
        <v>0</v>
      </c>
      <c r="O59" s="15">
        <f t="shared" si="0"/>
        <v>5</v>
      </c>
      <c r="P59" s="15">
        <f t="shared" si="1"/>
        <v>10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3</v>
      </c>
      <c r="N60" s="50">
        <v>0</v>
      </c>
      <c r="O60" s="15">
        <f t="shared" si="0"/>
        <v>3</v>
      </c>
      <c r="P60" s="15">
        <f t="shared" si="1"/>
        <v>6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2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</v>
      </c>
      <c r="N61" s="50">
        <v>0</v>
      </c>
      <c r="O61" s="15">
        <f t="shared" si="0"/>
        <v>2</v>
      </c>
      <c r="P61" s="15">
        <f t="shared" si="1"/>
        <v>9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1</v>
      </c>
      <c r="J62" s="50">
        <v>1</v>
      </c>
      <c r="K62" s="50">
        <v>1</v>
      </c>
      <c r="L62" s="50">
        <v>0</v>
      </c>
      <c r="M62" s="50">
        <v>3</v>
      </c>
      <c r="N62" s="50">
        <v>0</v>
      </c>
      <c r="O62" s="15">
        <f t="shared" si="0"/>
        <v>4</v>
      </c>
      <c r="P62" s="15">
        <f t="shared" si="1"/>
        <v>7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3</v>
      </c>
      <c r="J63" s="50">
        <v>0</v>
      </c>
      <c r="K63" s="50">
        <v>0</v>
      </c>
      <c r="L63" s="50">
        <v>0</v>
      </c>
      <c r="M63" s="50">
        <v>12</v>
      </c>
      <c r="N63" s="50">
        <v>0</v>
      </c>
      <c r="O63" s="15">
        <f t="shared" si="0"/>
        <v>4</v>
      </c>
      <c r="P63" s="15">
        <f t="shared" si="1"/>
        <v>16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5</v>
      </c>
      <c r="N64" s="50">
        <v>0</v>
      </c>
      <c r="O64" s="15">
        <f t="shared" si="0"/>
        <v>0</v>
      </c>
      <c r="P64" s="15">
        <f t="shared" si="1"/>
        <v>5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1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2</v>
      </c>
      <c r="P65" s="15">
        <f t="shared" si="1"/>
        <v>5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1</v>
      </c>
      <c r="G66" s="50">
        <v>0</v>
      </c>
      <c r="H66" s="50">
        <v>0</v>
      </c>
      <c r="I66" s="50">
        <v>0</v>
      </c>
      <c r="J66" s="50">
        <v>2</v>
      </c>
      <c r="K66" s="50">
        <v>0</v>
      </c>
      <c r="L66" s="50">
        <v>0</v>
      </c>
      <c r="M66" s="50">
        <v>4</v>
      </c>
      <c r="N66" s="50">
        <v>0</v>
      </c>
      <c r="O66" s="15">
        <f t="shared" si="0"/>
        <v>4</v>
      </c>
      <c r="P66" s="15">
        <f t="shared" si="1"/>
        <v>8</v>
      </c>
      <c r="R66" s="8"/>
      <c r="T66"/>
    </row>
    <row r="67" spans="2:20" ht="23.1" customHeight="1" x14ac:dyDescent="0.25">
      <c r="B67" s="45" t="s">
        <v>104</v>
      </c>
      <c r="C67" s="50">
        <v>5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3</v>
      </c>
      <c r="K67" s="50">
        <v>0</v>
      </c>
      <c r="L67" s="50">
        <v>0</v>
      </c>
      <c r="M67" s="50">
        <v>2</v>
      </c>
      <c r="N67" s="50">
        <v>0</v>
      </c>
      <c r="O67" s="15">
        <f t="shared" si="0"/>
        <v>9</v>
      </c>
      <c r="P67" s="15">
        <f t="shared" si="1"/>
        <v>11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3</v>
      </c>
      <c r="N68" s="50">
        <v>0</v>
      </c>
      <c r="O68" s="15">
        <f t="shared" si="0"/>
        <v>2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4</v>
      </c>
      <c r="N69" s="50">
        <v>0</v>
      </c>
      <c r="O69" s="15">
        <f t="shared" si="0"/>
        <v>2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2</v>
      </c>
      <c r="N70" s="50">
        <v>0</v>
      </c>
      <c r="O70" s="15">
        <f t="shared" si="0"/>
        <v>3</v>
      </c>
      <c r="P70" s="15">
        <f t="shared" si="1"/>
        <v>5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1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1</v>
      </c>
      <c r="L72" s="50">
        <v>0</v>
      </c>
      <c r="M72" s="50">
        <v>3</v>
      </c>
      <c r="N72" s="50">
        <v>0</v>
      </c>
      <c r="O72" s="15">
        <f t="shared" si="0"/>
        <v>4</v>
      </c>
      <c r="P72" s="15">
        <f t="shared" si="1"/>
        <v>7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1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2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1</v>
      </c>
      <c r="L75" s="50">
        <v>0</v>
      </c>
      <c r="M75" s="50">
        <v>1</v>
      </c>
      <c r="N75" s="50">
        <v>0</v>
      </c>
      <c r="O75" s="15">
        <f t="shared" si="35"/>
        <v>4</v>
      </c>
      <c r="P75" s="15">
        <f t="shared" si="36"/>
        <v>5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2</v>
      </c>
      <c r="J77" s="50">
        <v>1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3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3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1</v>
      </c>
      <c r="E79" s="50">
        <v>1</v>
      </c>
      <c r="F79" s="50">
        <v>0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2</v>
      </c>
      <c r="F80" s="50">
        <v>0</v>
      </c>
      <c r="G80" s="50">
        <v>0</v>
      </c>
      <c r="H80" s="50">
        <v>0</v>
      </c>
      <c r="I80" s="50">
        <v>0</v>
      </c>
      <c r="J80" s="50">
        <v>2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5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1</v>
      </c>
      <c r="L81" s="50">
        <v>0</v>
      </c>
      <c r="M81" s="50">
        <v>0</v>
      </c>
      <c r="N81" s="50"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0</v>
      </c>
      <c r="J82" s="50">
        <v>1</v>
      </c>
      <c r="K82" s="50">
        <v>1</v>
      </c>
      <c r="L82" s="50">
        <v>0</v>
      </c>
      <c r="M82" s="50">
        <v>0</v>
      </c>
      <c r="N82" s="50">
        <v>0</v>
      </c>
      <c r="O82" s="15">
        <f t="shared" si="35"/>
        <v>4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2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2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2</v>
      </c>
      <c r="J85" s="50">
        <v>0</v>
      </c>
      <c r="K85" s="50">
        <v>0</v>
      </c>
      <c r="L85" s="50">
        <v>1</v>
      </c>
      <c r="M85" s="50">
        <v>0</v>
      </c>
      <c r="N85" s="50">
        <v>0</v>
      </c>
      <c r="O85" s="15">
        <f t="shared" si="35"/>
        <v>4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1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2</v>
      </c>
      <c r="J88" s="50">
        <v>3</v>
      </c>
      <c r="K88" s="50">
        <v>1</v>
      </c>
      <c r="L88" s="50">
        <v>0</v>
      </c>
      <c r="M88" s="50">
        <v>0</v>
      </c>
      <c r="N88" s="50">
        <v>0</v>
      </c>
      <c r="O88" s="15">
        <f t="shared" si="35"/>
        <v>6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2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2</v>
      </c>
      <c r="J95" s="50">
        <v>1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6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2</v>
      </c>
      <c r="F96" s="50">
        <v>2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5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2</v>
      </c>
      <c r="M97" s="50">
        <v>1</v>
      </c>
      <c r="N97" s="50">
        <v>0</v>
      </c>
      <c r="O97" s="15">
        <f t="shared" si="35"/>
        <v>6</v>
      </c>
      <c r="P97" s="15">
        <f t="shared" si="36"/>
        <v>7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1</v>
      </c>
      <c r="E98" s="50">
        <v>0</v>
      </c>
      <c r="F98" s="50">
        <v>3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6</v>
      </c>
      <c r="N98" s="50">
        <v>0</v>
      </c>
      <c r="O98" s="15">
        <f t="shared" si="35"/>
        <v>6</v>
      </c>
      <c r="P98" s="15">
        <f t="shared" si="36"/>
        <v>12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1</v>
      </c>
      <c r="F99" s="50">
        <v>1</v>
      </c>
      <c r="G99" s="50">
        <v>0</v>
      </c>
      <c r="H99" s="50">
        <v>0</v>
      </c>
      <c r="I99" s="50">
        <v>2</v>
      </c>
      <c r="J99" s="50">
        <v>2</v>
      </c>
      <c r="K99" s="50">
        <v>1</v>
      </c>
      <c r="L99" s="50">
        <v>0</v>
      </c>
      <c r="M99" s="50">
        <v>2</v>
      </c>
      <c r="N99" s="50">
        <v>0</v>
      </c>
      <c r="O99" s="15">
        <f t="shared" si="35"/>
        <v>9</v>
      </c>
      <c r="P99" s="15">
        <f t="shared" si="36"/>
        <v>11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2</v>
      </c>
      <c r="E100" s="50">
        <v>2</v>
      </c>
      <c r="F100" s="50">
        <v>2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11</v>
      </c>
      <c r="N100" s="50">
        <v>0</v>
      </c>
      <c r="O100" s="15">
        <f t="shared" si="35"/>
        <v>7</v>
      </c>
      <c r="P100" s="15">
        <f t="shared" si="36"/>
        <v>18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1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3</v>
      </c>
      <c r="K101" s="50">
        <v>2</v>
      </c>
      <c r="L101" s="50">
        <v>1</v>
      </c>
      <c r="M101" s="50">
        <v>14</v>
      </c>
      <c r="N101" s="50">
        <v>0</v>
      </c>
      <c r="O101" s="15">
        <f t="shared" si="35"/>
        <v>10</v>
      </c>
      <c r="P101" s="15">
        <f t="shared" si="36"/>
        <v>24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2</v>
      </c>
      <c r="E102" s="50">
        <v>0</v>
      </c>
      <c r="F102" s="50">
        <v>2</v>
      </c>
      <c r="G102" s="50">
        <v>0</v>
      </c>
      <c r="H102" s="50">
        <v>0</v>
      </c>
      <c r="I102" s="50">
        <v>0</v>
      </c>
      <c r="J102" s="50">
        <v>1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6</v>
      </c>
      <c r="P102" s="15">
        <f t="shared" si="36"/>
        <v>9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1</v>
      </c>
      <c r="F103" s="50">
        <v>2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6</v>
      </c>
      <c r="N103" s="50">
        <v>0</v>
      </c>
      <c r="O103" s="15">
        <f t="shared" si="35"/>
        <v>4</v>
      </c>
      <c r="P103" s="15">
        <f t="shared" si="36"/>
        <v>10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3</v>
      </c>
      <c r="E104" s="50">
        <v>0</v>
      </c>
      <c r="F104" s="50">
        <v>2</v>
      </c>
      <c r="G104" s="50">
        <v>0</v>
      </c>
      <c r="H104" s="50">
        <v>0</v>
      </c>
      <c r="I104" s="50">
        <v>2</v>
      </c>
      <c r="J104" s="50">
        <v>1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10</v>
      </c>
      <c r="P104" s="15">
        <f t="shared" si="36"/>
        <v>13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2</v>
      </c>
      <c r="F105" s="50">
        <v>1</v>
      </c>
      <c r="G105" s="50">
        <v>0</v>
      </c>
      <c r="H105" s="50">
        <v>0</v>
      </c>
      <c r="I105" s="50">
        <v>1</v>
      </c>
      <c r="J105" s="50">
        <v>2</v>
      </c>
      <c r="K105" s="50">
        <v>1</v>
      </c>
      <c r="L105" s="50">
        <v>0</v>
      </c>
      <c r="M105" s="50">
        <v>1</v>
      </c>
      <c r="N105" s="50">
        <v>0</v>
      </c>
      <c r="O105" s="15">
        <f t="shared" si="35"/>
        <v>8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150</v>
      </c>
      <c r="D106" s="16">
        <f t="shared" ref="D106:P106" si="37">SUM(D10:D105)</f>
        <v>23</v>
      </c>
      <c r="E106" s="16">
        <f t="shared" si="37"/>
        <v>45</v>
      </c>
      <c r="F106" s="16">
        <f t="shared" si="37"/>
        <v>49</v>
      </c>
      <c r="G106" s="16">
        <f t="shared" si="37"/>
        <v>2</v>
      </c>
      <c r="H106" s="16">
        <f t="shared" si="37"/>
        <v>0</v>
      </c>
      <c r="I106" s="16">
        <f t="shared" si="37"/>
        <v>86</v>
      </c>
      <c r="J106" s="16">
        <f t="shared" si="37"/>
        <v>61</v>
      </c>
      <c r="K106" s="16">
        <f t="shared" si="37"/>
        <v>26</v>
      </c>
      <c r="L106" s="16">
        <f t="shared" si="37"/>
        <v>7</v>
      </c>
      <c r="M106" s="16">
        <f t="shared" si="37"/>
        <v>512</v>
      </c>
      <c r="N106" s="16">
        <f t="shared" si="37"/>
        <v>1</v>
      </c>
      <c r="O106" s="16">
        <f t="shared" si="37"/>
        <v>450</v>
      </c>
      <c r="P106" s="16">
        <f t="shared" si="37"/>
        <v>962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0.15592515592515593</v>
      </c>
      <c r="D107" s="43">
        <f t="shared" si="38"/>
        <v>2.390852390852391E-2</v>
      </c>
      <c r="E107" s="43">
        <f t="shared" si="38"/>
        <v>4.677754677754678E-2</v>
      </c>
      <c r="F107" s="43">
        <f t="shared" si="38"/>
        <v>5.0935550935550938E-2</v>
      </c>
      <c r="G107" s="43">
        <f t="shared" si="38"/>
        <v>2.0790020790020791E-3</v>
      </c>
      <c r="H107" s="43">
        <f t="shared" si="38"/>
        <v>0</v>
      </c>
      <c r="I107" s="43">
        <f t="shared" si="38"/>
        <v>8.9397089397089402E-2</v>
      </c>
      <c r="J107" s="43">
        <f t="shared" si="38"/>
        <v>6.3409563409563413E-2</v>
      </c>
      <c r="K107" s="43">
        <f t="shared" si="38"/>
        <v>2.7027027027027029E-2</v>
      </c>
      <c r="L107" s="43">
        <f t="shared" si="38"/>
        <v>7.2765072765072769E-3</v>
      </c>
      <c r="M107" s="43">
        <f t="shared" si="38"/>
        <v>0.53222453222453225</v>
      </c>
      <c r="N107" s="43">
        <f t="shared" si="38"/>
        <v>1.0395010395010396E-3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0.33333333333333331</v>
      </c>
      <c r="D108" s="44">
        <f t="shared" ref="D108:N108" si="39">D106/$O$106</f>
        <v>5.1111111111111114E-2</v>
      </c>
      <c r="E108" s="44">
        <f t="shared" si="39"/>
        <v>0.1</v>
      </c>
      <c r="F108" s="44">
        <f t="shared" si="39"/>
        <v>0.10888888888888888</v>
      </c>
      <c r="G108" s="44">
        <f t="shared" si="39"/>
        <v>4.4444444444444444E-3</v>
      </c>
      <c r="H108" s="44">
        <f t="shared" si="39"/>
        <v>0</v>
      </c>
      <c r="I108" s="44">
        <f t="shared" si="39"/>
        <v>0.19111111111111112</v>
      </c>
      <c r="J108" s="44">
        <f t="shared" si="39"/>
        <v>0.13555555555555557</v>
      </c>
      <c r="K108" s="44">
        <f t="shared" si="39"/>
        <v>5.7777777777777775E-2</v>
      </c>
      <c r="L108" s="44">
        <f t="shared" si="39"/>
        <v>1.5555555555555555E-2</v>
      </c>
      <c r="M108" s="44"/>
      <c r="N108" s="44">
        <f t="shared" si="39"/>
        <v>2.2222222222222222E-3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activeCellId="6" sqref="C3:G3 D5 D6:E6 G5:H5 G6:H6 K5:L5 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178</v>
      </c>
      <c r="E5" s="3"/>
      <c r="F5" s="41" t="s">
        <v>1</v>
      </c>
      <c r="G5" s="63" t="str">
        <f>'17.10 SEMBABULE-MASAKA'!G5:H5</f>
        <v>KIWUULA TRADING CENTRE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166</v>
      </c>
      <c r="E6" s="64"/>
      <c r="F6" s="2" t="s">
        <v>2</v>
      </c>
      <c r="G6" s="63" t="s">
        <v>167</v>
      </c>
      <c r="H6" s="64"/>
      <c r="J6" s="2" t="s">
        <v>21</v>
      </c>
      <c r="K6" s="63" t="s">
        <v>172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8</v>
      </c>
      <c r="T10" s="17">
        <f t="shared" si="2"/>
        <v>1</v>
      </c>
      <c r="U10" s="17">
        <f t="shared" si="2"/>
        <v>3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18</v>
      </c>
      <c r="AD10" s="17">
        <f t="shared" si="2"/>
        <v>0</v>
      </c>
      <c r="AE10" s="31">
        <f t="shared" si="2"/>
        <v>14</v>
      </c>
      <c r="AF10" s="31">
        <f t="shared" si="2"/>
        <v>32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5</v>
      </c>
      <c r="P11" s="15">
        <f t="shared" si="1"/>
        <v>10</v>
      </c>
      <c r="R11" s="1" t="s">
        <v>7</v>
      </c>
      <c r="S11" s="17">
        <f t="shared" ref="S11:AF11" si="3">SUM(C14:C17)</f>
        <v>5</v>
      </c>
      <c r="T11" s="17">
        <f t="shared" si="3"/>
        <v>0</v>
      </c>
      <c r="U11" s="17">
        <f t="shared" si="3"/>
        <v>3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20</v>
      </c>
      <c r="AD11" s="17">
        <f t="shared" si="3"/>
        <v>0</v>
      </c>
      <c r="AE11" s="31">
        <f t="shared" si="3"/>
        <v>11</v>
      </c>
      <c r="AF11" s="31">
        <f t="shared" si="3"/>
        <v>31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2</v>
      </c>
      <c r="P12" s="15">
        <f t="shared" si="1"/>
        <v>8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2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19</v>
      </c>
      <c r="AD12" s="17">
        <f t="shared" si="4"/>
        <v>0</v>
      </c>
      <c r="AE12" s="31">
        <f t="shared" si="4"/>
        <v>17</v>
      </c>
      <c r="AF12" s="31">
        <f t="shared" si="4"/>
        <v>36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10</v>
      </c>
      <c r="T13" s="17">
        <f t="shared" si="5"/>
        <v>1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4</v>
      </c>
      <c r="AA13" s="17">
        <f t="shared" si="5"/>
        <v>1</v>
      </c>
      <c r="AB13" s="17">
        <f t="shared" si="5"/>
        <v>1</v>
      </c>
      <c r="AC13" s="17">
        <f t="shared" si="5"/>
        <v>22</v>
      </c>
      <c r="AD13" s="17">
        <f t="shared" si="5"/>
        <v>0</v>
      </c>
      <c r="AE13" s="31">
        <f t="shared" si="5"/>
        <v>23</v>
      </c>
      <c r="AF13" s="31">
        <f t="shared" si="5"/>
        <v>45</v>
      </c>
    </row>
    <row r="14" spans="2:32" ht="23.1" customHeight="1" x14ac:dyDescent="0.25">
      <c r="B14" s="23" t="s">
        <v>41</v>
      </c>
      <c r="C14" s="50">
        <v>5</v>
      </c>
      <c r="D14" s="50">
        <v>0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8</v>
      </c>
      <c r="P14" s="15">
        <f t="shared" si="1"/>
        <v>11</v>
      </c>
      <c r="R14" s="1" t="s">
        <v>10</v>
      </c>
      <c r="S14" s="17">
        <f t="shared" ref="S14:AF14" si="6">SUM(C26:C29)</f>
        <v>7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29</v>
      </c>
      <c r="AD14" s="17">
        <f t="shared" si="6"/>
        <v>0</v>
      </c>
      <c r="AE14" s="31">
        <f t="shared" si="6"/>
        <v>13</v>
      </c>
      <c r="AF14" s="31">
        <f t="shared" si="6"/>
        <v>42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3</v>
      </c>
      <c r="P15" s="15">
        <f t="shared" si="1"/>
        <v>12</v>
      </c>
      <c r="R15" s="1" t="s">
        <v>11</v>
      </c>
      <c r="S15" s="17">
        <f t="shared" ref="S15:AF15" si="7">SUM(C30:C33)</f>
        <v>12</v>
      </c>
      <c r="T15" s="17">
        <f t="shared" si="7"/>
        <v>0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27</v>
      </c>
      <c r="AD15" s="17">
        <f t="shared" si="7"/>
        <v>0</v>
      </c>
      <c r="AE15" s="31">
        <f t="shared" si="7"/>
        <v>24</v>
      </c>
      <c r="AF15" s="31">
        <f t="shared" si="7"/>
        <v>51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0</v>
      </c>
      <c r="P16" s="15">
        <f t="shared" si="1"/>
        <v>5</v>
      </c>
      <c r="R16" s="1" t="s">
        <v>12</v>
      </c>
      <c r="S16" s="17">
        <f t="shared" ref="S16:AF16" si="8">SUM(C34:C37)</f>
        <v>7</v>
      </c>
      <c r="T16" s="17">
        <f t="shared" si="8"/>
        <v>2</v>
      </c>
      <c r="U16" s="17">
        <f t="shared" si="8"/>
        <v>2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19</v>
      </c>
      <c r="AF16" s="31">
        <f t="shared" si="8"/>
        <v>41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0</v>
      </c>
      <c r="P17" s="15">
        <f t="shared" si="1"/>
        <v>3</v>
      </c>
      <c r="R17" s="1" t="s">
        <v>13</v>
      </c>
      <c r="S17" s="17">
        <f t="shared" ref="S17:AF17" si="9">SUM(C38:C41)</f>
        <v>9</v>
      </c>
      <c r="T17" s="17">
        <f t="shared" si="9"/>
        <v>4</v>
      </c>
      <c r="U17" s="17">
        <f t="shared" si="9"/>
        <v>1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23</v>
      </c>
      <c r="AD17" s="17">
        <f t="shared" si="9"/>
        <v>0</v>
      </c>
      <c r="AE17" s="31">
        <f t="shared" si="9"/>
        <v>24</v>
      </c>
      <c r="AF17" s="31">
        <f t="shared" si="9"/>
        <v>47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3</v>
      </c>
      <c r="P18" s="15">
        <f t="shared" si="1"/>
        <v>7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0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2</v>
      </c>
      <c r="AB18" s="17">
        <f t="shared" si="10"/>
        <v>0</v>
      </c>
      <c r="AC18" s="17">
        <f t="shared" si="10"/>
        <v>31</v>
      </c>
      <c r="AD18" s="17">
        <f t="shared" si="10"/>
        <v>1</v>
      </c>
      <c r="AE18" s="31">
        <f t="shared" si="10"/>
        <v>18</v>
      </c>
      <c r="AF18" s="31">
        <f t="shared" si="10"/>
        <v>49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3</v>
      </c>
      <c r="P19" s="15">
        <f t="shared" si="1"/>
        <v>9</v>
      </c>
      <c r="R19" s="1" t="s">
        <v>15</v>
      </c>
      <c r="S19" s="17">
        <f t="shared" ref="S19:AF19" si="11">SUM(C46:C49)</f>
        <v>11</v>
      </c>
      <c r="T19" s="17">
        <f t="shared" si="11"/>
        <v>2</v>
      </c>
      <c r="U19" s="17">
        <f t="shared" si="11"/>
        <v>1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5</v>
      </c>
      <c r="AB19" s="17">
        <f t="shared" si="11"/>
        <v>0</v>
      </c>
      <c r="AC19" s="17">
        <f t="shared" si="11"/>
        <v>15</v>
      </c>
      <c r="AD19" s="17">
        <f t="shared" si="11"/>
        <v>0</v>
      </c>
      <c r="AE19" s="31">
        <f t="shared" si="11"/>
        <v>28</v>
      </c>
      <c r="AF19" s="31">
        <f t="shared" si="11"/>
        <v>43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4</v>
      </c>
      <c r="P20" s="15">
        <f t="shared" si="1"/>
        <v>11</v>
      </c>
      <c r="R20" s="1" t="s">
        <v>16</v>
      </c>
      <c r="S20" s="17">
        <f t="shared" ref="S20:AF20" si="12">SUM(C50:C53)</f>
        <v>17</v>
      </c>
      <c r="T20" s="17">
        <f t="shared" si="12"/>
        <v>5</v>
      </c>
      <c r="U20" s="17">
        <f t="shared" si="12"/>
        <v>4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34</v>
      </c>
      <c r="AD20" s="17">
        <f t="shared" si="12"/>
        <v>0</v>
      </c>
      <c r="AE20" s="31">
        <f t="shared" si="12"/>
        <v>37</v>
      </c>
      <c r="AF20" s="31">
        <f t="shared" si="12"/>
        <v>71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1</v>
      </c>
      <c r="F21" s="50">
        <v>1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7</v>
      </c>
      <c r="P21" s="15">
        <f t="shared" si="1"/>
        <v>9</v>
      </c>
      <c r="R21" s="36" t="s">
        <v>20</v>
      </c>
      <c r="S21" s="34">
        <f t="shared" ref="S21:AF21" si="13">SUM(C54:C57)</f>
        <v>5</v>
      </c>
      <c r="T21" s="17">
        <f t="shared" si="13"/>
        <v>2</v>
      </c>
      <c r="U21" s="17">
        <f t="shared" si="13"/>
        <v>1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2</v>
      </c>
      <c r="AA21" s="17">
        <f t="shared" si="13"/>
        <v>3</v>
      </c>
      <c r="AB21" s="17">
        <f t="shared" si="13"/>
        <v>0</v>
      </c>
      <c r="AC21" s="17">
        <f t="shared" si="13"/>
        <v>14</v>
      </c>
      <c r="AD21" s="17">
        <f t="shared" si="13"/>
        <v>0</v>
      </c>
      <c r="AE21" s="31">
        <f t="shared" si="13"/>
        <v>15</v>
      </c>
      <c r="AF21" s="31">
        <f t="shared" si="13"/>
        <v>29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6</v>
      </c>
      <c r="P22" s="15">
        <f t="shared" si="1"/>
        <v>13</v>
      </c>
      <c r="R22" s="38" t="s">
        <v>90</v>
      </c>
      <c r="S22" s="39">
        <f>MAX(S10:S12)</f>
        <v>8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20</v>
      </c>
      <c r="AD22" s="39">
        <f t="shared" si="14"/>
        <v>0</v>
      </c>
      <c r="AE22" s="40">
        <f t="shared" si="14"/>
        <v>17</v>
      </c>
      <c r="AF22" s="40">
        <f t="shared" si="14"/>
        <v>36</v>
      </c>
    </row>
    <row r="23" spans="2:32" ht="23.1" customHeight="1" x14ac:dyDescent="0.25">
      <c r="B23" s="23" t="s">
        <v>50</v>
      </c>
      <c r="C23" s="50">
        <v>1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1</v>
      </c>
      <c r="L23" s="50">
        <v>1</v>
      </c>
      <c r="M23" s="50">
        <v>2</v>
      </c>
      <c r="N23" s="50">
        <v>0</v>
      </c>
      <c r="O23" s="15">
        <f t="shared" si="0"/>
        <v>6</v>
      </c>
      <c r="P23" s="15">
        <f t="shared" si="1"/>
        <v>8</v>
      </c>
      <c r="R23" s="38" t="s">
        <v>91</v>
      </c>
      <c r="S23" s="39">
        <f>MAX(S13:S18)</f>
        <v>12</v>
      </c>
      <c r="T23" s="39">
        <f t="shared" ref="T23:AF23" si="15">MAX(T13:T18)</f>
        <v>4</v>
      </c>
      <c r="U23" s="39">
        <f t="shared" si="15"/>
        <v>2</v>
      </c>
      <c r="V23" s="39">
        <f t="shared" si="15"/>
        <v>5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5</v>
      </c>
      <c r="AA23" s="39">
        <f t="shared" si="15"/>
        <v>2</v>
      </c>
      <c r="AB23" s="39">
        <f t="shared" si="15"/>
        <v>1</v>
      </c>
      <c r="AC23" s="39">
        <f t="shared" si="15"/>
        <v>31</v>
      </c>
      <c r="AD23" s="39">
        <f t="shared" si="15"/>
        <v>1</v>
      </c>
      <c r="AE23" s="40">
        <f t="shared" si="15"/>
        <v>24</v>
      </c>
      <c r="AF23" s="40">
        <f t="shared" si="15"/>
        <v>51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4</v>
      </c>
      <c r="P24" s="15">
        <f t="shared" si="1"/>
        <v>9</v>
      </c>
      <c r="R24" s="38" t="s">
        <v>92</v>
      </c>
      <c r="S24" s="39">
        <f>MAX(S19:S21)</f>
        <v>17</v>
      </c>
      <c r="T24" s="39">
        <f t="shared" ref="T24:AF24" si="16">MAX(T19:T21)</f>
        <v>5</v>
      </c>
      <c r="U24" s="39">
        <f t="shared" si="16"/>
        <v>4</v>
      </c>
      <c r="V24" s="39">
        <f t="shared" si="16"/>
        <v>5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2</v>
      </c>
      <c r="AA24" s="39">
        <f t="shared" si="16"/>
        <v>5</v>
      </c>
      <c r="AB24" s="39">
        <f t="shared" si="16"/>
        <v>0</v>
      </c>
      <c r="AC24" s="39">
        <f t="shared" si="16"/>
        <v>34</v>
      </c>
      <c r="AD24" s="39">
        <f t="shared" si="16"/>
        <v>0</v>
      </c>
      <c r="AE24" s="40">
        <f t="shared" si="16"/>
        <v>37</v>
      </c>
      <c r="AF24" s="40">
        <f t="shared" si="16"/>
        <v>71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7</v>
      </c>
      <c r="P25" s="15">
        <f t="shared" si="1"/>
        <v>15</v>
      </c>
      <c r="R25" s="37" t="s">
        <v>85</v>
      </c>
      <c r="S25" s="35">
        <f t="shared" ref="S25:AF25" si="17">SUM(S10:S12)</f>
        <v>19</v>
      </c>
      <c r="T25" s="16">
        <f t="shared" si="17"/>
        <v>1</v>
      </c>
      <c r="U25" s="16">
        <f t="shared" si="17"/>
        <v>8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9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57</v>
      </c>
      <c r="AD25" s="16">
        <f t="shared" si="17"/>
        <v>0</v>
      </c>
      <c r="AE25" s="32">
        <f t="shared" si="17"/>
        <v>42</v>
      </c>
      <c r="AF25" s="32">
        <f t="shared" si="17"/>
        <v>99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5</v>
      </c>
      <c r="P26" s="15">
        <f t="shared" si="1"/>
        <v>11</v>
      </c>
      <c r="R26" s="28" t="s">
        <v>86</v>
      </c>
      <c r="S26" s="16">
        <f t="shared" ref="S26:AF26" si="18">SUM(S13:S18)</f>
        <v>49</v>
      </c>
      <c r="T26" s="16">
        <f t="shared" si="18"/>
        <v>8</v>
      </c>
      <c r="U26" s="16">
        <f t="shared" si="18"/>
        <v>8</v>
      </c>
      <c r="V26" s="16">
        <f t="shared" si="18"/>
        <v>11</v>
      </c>
      <c r="W26" s="16">
        <f t="shared" si="18"/>
        <v>0</v>
      </c>
      <c r="X26" s="16">
        <f t="shared" si="18"/>
        <v>0</v>
      </c>
      <c r="Y26" s="16">
        <f t="shared" si="18"/>
        <v>25</v>
      </c>
      <c r="Z26" s="16">
        <f t="shared" si="18"/>
        <v>12</v>
      </c>
      <c r="AA26" s="16">
        <f t="shared" si="18"/>
        <v>6</v>
      </c>
      <c r="AB26" s="16">
        <f t="shared" si="18"/>
        <v>1</v>
      </c>
      <c r="AC26" s="16">
        <f t="shared" si="18"/>
        <v>154</v>
      </c>
      <c r="AD26" s="16">
        <f t="shared" si="18"/>
        <v>1</v>
      </c>
      <c r="AE26" s="32">
        <f t="shared" si="18"/>
        <v>121</v>
      </c>
      <c r="AF26" s="32">
        <f t="shared" si="18"/>
        <v>275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0</v>
      </c>
      <c r="P27" s="15">
        <f t="shared" si="1"/>
        <v>8</v>
      </c>
      <c r="R27" s="29" t="s">
        <v>87</v>
      </c>
      <c r="S27" s="16">
        <f t="shared" ref="S27:AF27" si="19">SUM(S19:S21)</f>
        <v>33</v>
      </c>
      <c r="T27" s="16">
        <f t="shared" si="19"/>
        <v>9</v>
      </c>
      <c r="U27" s="16">
        <f t="shared" si="19"/>
        <v>6</v>
      </c>
      <c r="V27" s="16">
        <f t="shared" si="19"/>
        <v>9</v>
      </c>
      <c r="W27" s="16">
        <f t="shared" si="19"/>
        <v>0</v>
      </c>
      <c r="X27" s="16">
        <f t="shared" si="19"/>
        <v>0</v>
      </c>
      <c r="Y27" s="16">
        <f t="shared" si="19"/>
        <v>10</v>
      </c>
      <c r="Z27" s="16">
        <f t="shared" si="19"/>
        <v>4</v>
      </c>
      <c r="AA27" s="16">
        <f t="shared" si="19"/>
        <v>9</v>
      </c>
      <c r="AB27" s="16">
        <f t="shared" si="19"/>
        <v>0</v>
      </c>
      <c r="AC27" s="16">
        <f t="shared" si="19"/>
        <v>63</v>
      </c>
      <c r="AD27" s="16">
        <f t="shared" si="19"/>
        <v>0</v>
      </c>
      <c r="AE27" s="32">
        <f t="shared" si="19"/>
        <v>80</v>
      </c>
      <c r="AF27" s="32">
        <f t="shared" si="19"/>
        <v>143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5</v>
      </c>
      <c r="P28" s="15">
        <f t="shared" si="1"/>
        <v>17</v>
      </c>
      <c r="R28" s="5" t="s">
        <v>17</v>
      </c>
      <c r="S28" s="16">
        <f t="shared" ref="S28:AF28" si="20">SUM(S10:S21)</f>
        <v>101</v>
      </c>
      <c r="T28" s="16">
        <f t="shared" si="20"/>
        <v>18</v>
      </c>
      <c r="U28" s="16">
        <f t="shared" si="20"/>
        <v>22</v>
      </c>
      <c r="V28" s="16">
        <f t="shared" si="20"/>
        <v>23</v>
      </c>
      <c r="W28" s="16">
        <f t="shared" si="20"/>
        <v>0</v>
      </c>
      <c r="X28" s="16">
        <f t="shared" si="20"/>
        <v>0</v>
      </c>
      <c r="Y28" s="16">
        <f t="shared" si="20"/>
        <v>44</v>
      </c>
      <c r="Z28" s="16">
        <f t="shared" si="20"/>
        <v>18</v>
      </c>
      <c r="AA28" s="16">
        <f t="shared" si="20"/>
        <v>15</v>
      </c>
      <c r="AB28" s="16">
        <f t="shared" si="20"/>
        <v>1</v>
      </c>
      <c r="AC28" s="16">
        <f t="shared" si="20"/>
        <v>274</v>
      </c>
      <c r="AD28" s="16">
        <f t="shared" si="20"/>
        <v>1</v>
      </c>
      <c r="AE28" s="32">
        <f t="shared" si="20"/>
        <v>243</v>
      </c>
      <c r="AF28" s="32">
        <f t="shared" si="20"/>
        <v>517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3</v>
      </c>
      <c r="P29" s="15">
        <f t="shared" si="1"/>
        <v>6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7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2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2</v>
      </c>
      <c r="J32" s="50">
        <v>1</v>
      </c>
      <c r="K32" s="50">
        <v>1</v>
      </c>
      <c r="L32" s="50">
        <v>0</v>
      </c>
      <c r="M32" s="50">
        <v>3</v>
      </c>
      <c r="N32" s="50">
        <v>0</v>
      </c>
      <c r="O32" s="15">
        <f t="shared" si="0"/>
        <v>9</v>
      </c>
      <c r="P32" s="15">
        <f t="shared" si="1"/>
        <v>12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2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6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2</v>
      </c>
      <c r="L34" s="50">
        <v>0</v>
      </c>
      <c r="M34" s="50">
        <v>8</v>
      </c>
      <c r="N34" s="50">
        <v>0</v>
      </c>
      <c r="O34" s="15">
        <f t="shared" si="0"/>
        <v>4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4</v>
      </c>
      <c r="P35" s="15">
        <f t="shared" si="1"/>
        <v>10</v>
      </c>
    </row>
    <row r="36" spans="2:20" ht="23.1" customHeight="1" x14ac:dyDescent="0.25">
      <c r="B36" s="24" t="s">
        <v>63</v>
      </c>
      <c r="C36" s="50">
        <v>3</v>
      </c>
      <c r="D36" s="50">
        <v>2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7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4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2</v>
      </c>
      <c r="K38" s="50">
        <v>0</v>
      </c>
      <c r="L38" s="50">
        <v>0</v>
      </c>
      <c r="M38" s="50">
        <v>8</v>
      </c>
      <c r="N38" s="50">
        <v>0</v>
      </c>
      <c r="O38" s="15">
        <f t="shared" si="0"/>
        <v>6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3</v>
      </c>
      <c r="D39" s="50">
        <v>1</v>
      </c>
      <c r="E39" s="50">
        <v>1</v>
      </c>
      <c r="F39" s="50">
        <v>0</v>
      </c>
      <c r="G39" s="50">
        <v>0</v>
      </c>
      <c r="H39" s="50">
        <v>0</v>
      </c>
      <c r="I39" s="50">
        <v>2</v>
      </c>
      <c r="J39" s="50">
        <v>2</v>
      </c>
      <c r="K39" s="50">
        <v>0</v>
      </c>
      <c r="L39" s="50">
        <v>0</v>
      </c>
      <c r="M39" s="50">
        <v>6</v>
      </c>
      <c r="N39" s="50">
        <v>0</v>
      </c>
      <c r="O39" s="15">
        <f t="shared" si="0"/>
        <v>9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3</v>
      </c>
      <c r="N40" s="50">
        <v>0</v>
      </c>
      <c r="O40" s="15">
        <f t="shared" si="0"/>
        <v>5</v>
      </c>
      <c r="P40" s="15">
        <f t="shared" si="1"/>
        <v>8</v>
      </c>
    </row>
    <row r="41" spans="2:20" ht="23.1" customHeight="1" x14ac:dyDescent="0.25">
      <c r="B41" s="23" t="s">
        <v>68</v>
      </c>
      <c r="C41" s="50">
        <v>2</v>
      </c>
      <c r="D41" s="50">
        <v>2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4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0</v>
      </c>
      <c r="M42" s="50">
        <v>7</v>
      </c>
      <c r="N42" s="50">
        <v>0</v>
      </c>
      <c r="O42" s="15">
        <f t="shared" si="0"/>
        <v>8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2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4</v>
      </c>
      <c r="N44" s="50">
        <v>1</v>
      </c>
      <c r="O44" s="15">
        <f t="shared" si="0"/>
        <v>4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1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9</v>
      </c>
      <c r="N45" s="50">
        <v>0</v>
      </c>
      <c r="O45" s="15">
        <f t="shared" si="0"/>
        <v>4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0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4</v>
      </c>
      <c r="N46" s="50">
        <v>0</v>
      </c>
      <c r="O46" s="15">
        <f t="shared" si="0"/>
        <v>6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2</v>
      </c>
      <c r="L47" s="50">
        <v>0</v>
      </c>
      <c r="M47" s="50">
        <v>4</v>
      </c>
      <c r="N47" s="50">
        <v>0</v>
      </c>
      <c r="O47" s="15">
        <f t="shared" si="0"/>
        <v>3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1</v>
      </c>
      <c r="J48" s="50">
        <v>0</v>
      </c>
      <c r="K48" s="50">
        <v>3</v>
      </c>
      <c r="L48" s="50">
        <v>0</v>
      </c>
      <c r="M48" s="50">
        <v>2</v>
      </c>
      <c r="N48" s="50">
        <v>0</v>
      </c>
      <c r="O48" s="15">
        <f t="shared" si="0"/>
        <v>13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1</v>
      </c>
      <c r="E49" s="50">
        <v>1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6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1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5</v>
      </c>
      <c r="N50" s="50">
        <v>0</v>
      </c>
      <c r="O50" s="15">
        <f t="shared" si="0"/>
        <v>5</v>
      </c>
      <c r="P50" s="15">
        <f t="shared" si="1"/>
        <v>10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1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9</v>
      </c>
      <c r="N51" s="50">
        <v>0</v>
      </c>
      <c r="O51" s="15">
        <f t="shared" si="0"/>
        <v>12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2</v>
      </c>
      <c r="E52" s="50">
        <v>1</v>
      </c>
      <c r="F52" s="50">
        <v>1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13</v>
      </c>
      <c r="N52" s="50">
        <v>0</v>
      </c>
      <c r="O52" s="15">
        <f t="shared" si="0"/>
        <v>9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1</v>
      </c>
      <c r="F53" s="50">
        <v>2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11</v>
      </c>
      <c r="P53" s="15">
        <f t="shared" si="1"/>
        <v>18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6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2</v>
      </c>
      <c r="P55" s="15">
        <f t="shared" si="1"/>
        <v>4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2</v>
      </c>
      <c r="N56" s="50">
        <v>0</v>
      </c>
      <c r="O56" s="15">
        <f t="shared" si="0"/>
        <v>3</v>
      </c>
      <c r="P56" s="15">
        <f t="shared" si="1"/>
        <v>5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2</v>
      </c>
      <c r="L57" s="50">
        <v>0</v>
      </c>
      <c r="M57" s="50">
        <v>6</v>
      </c>
      <c r="N57" s="50">
        <v>0</v>
      </c>
      <c r="O57" s="15">
        <f t="shared" si="0"/>
        <v>4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101</v>
      </c>
      <c r="D58" s="16">
        <f t="shared" si="21"/>
        <v>18</v>
      </c>
      <c r="E58" s="16">
        <f t="shared" si="21"/>
        <v>22</v>
      </c>
      <c r="F58" s="16">
        <f t="shared" si="21"/>
        <v>23</v>
      </c>
      <c r="G58" s="16">
        <f t="shared" si="21"/>
        <v>0</v>
      </c>
      <c r="H58" s="16">
        <f t="shared" si="21"/>
        <v>0</v>
      </c>
      <c r="I58" s="16">
        <f t="shared" si="21"/>
        <v>44</v>
      </c>
      <c r="J58" s="16">
        <f t="shared" si="21"/>
        <v>18</v>
      </c>
      <c r="K58" s="16">
        <f t="shared" si="21"/>
        <v>15</v>
      </c>
      <c r="L58" s="16">
        <f t="shared" si="21"/>
        <v>1</v>
      </c>
      <c r="M58" s="16">
        <f t="shared" si="21"/>
        <v>274</v>
      </c>
      <c r="N58" s="16">
        <f t="shared" si="21"/>
        <v>1</v>
      </c>
      <c r="O58" s="16">
        <f t="shared" si="21"/>
        <v>243</v>
      </c>
      <c r="P58" s="16">
        <f t="shared" si="21"/>
        <v>517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0.195357833655706</v>
      </c>
      <c r="D59" s="43">
        <f t="shared" si="22"/>
        <v>3.4816247582205029E-2</v>
      </c>
      <c r="E59" s="43">
        <f t="shared" si="22"/>
        <v>4.2553191489361701E-2</v>
      </c>
      <c r="F59" s="43">
        <f t="shared" si="22"/>
        <v>4.4487427466150871E-2</v>
      </c>
      <c r="G59" s="43">
        <f t="shared" si="22"/>
        <v>0</v>
      </c>
      <c r="H59" s="43">
        <f t="shared" si="22"/>
        <v>0</v>
      </c>
      <c r="I59" s="43">
        <f t="shared" si="22"/>
        <v>8.5106382978723402E-2</v>
      </c>
      <c r="J59" s="43">
        <f t="shared" si="22"/>
        <v>3.4816247582205029E-2</v>
      </c>
      <c r="K59" s="43">
        <f t="shared" si="22"/>
        <v>2.9013539651837523E-2</v>
      </c>
      <c r="L59" s="43">
        <f t="shared" si="22"/>
        <v>1.9342359767891683E-3</v>
      </c>
      <c r="M59" s="43">
        <f t="shared" si="22"/>
        <v>0.52998065764023206</v>
      </c>
      <c r="N59" s="43">
        <f t="shared" si="22"/>
        <v>1.9342359767891683E-3</v>
      </c>
      <c r="R59" s="8"/>
      <c r="T59"/>
    </row>
    <row r="60" spans="2:20" ht="23.1" customHeight="1" x14ac:dyDescent="0.25">
      <c r="B60" s="42" t="s">
        <v>94</v>
      </c>
      <c r="C60" s="44">
        <f>C58/$O$58</f>
        <v>0.41563786008230452</v>
      </c>
      <c r="D60" s="44">
        <f t="shared" ref="D60:N60" si="23">D58/$O$58</f>
        <v>7.407407407407407E-2</v>
      </c>
      <c r="E60" s="44">
        <f t="shared" si="23"/>
        <v>9.0534979423868317E-2</v>
      </c>
      <c r="F60" s="44">
        <f t="shared" si="23"/>
        <v>9.4650205761316872E-2</v>
      </c>
      <c r="G60" s="44">
        <f t="shared" si="23"/>
        <v>0</v>
      </c>
      <c r="H60" s="44">
        <f t="shared" si="23"/>
        <v>0</v>
      </c>
      <c r="I60" s="44">
        <f t="shared" si="23"/>
        <v>0.18106995884773663</v>
      </c>
      <c r="J60" s="44">
        <f t="shared" si="23"/>
        <v>7.407407407407407E-2</v>
      </c>
      <c r="K60" s="44">
        <f t="shared" si="23"/>
        <v>6.1728395061728392E-2</v>
      </c>
      <c r="L60" s="44">
        <f t="shared" si="23"/>
        <v>4.11522633744856E-3</v>
      </c>
      <c r="M60" s="44"/>
      <c r="N60" s="44">
        <f t="shared" si="23"/>
        <v>4.11522633744856E-3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6" sqref="C3:G3 D5 D6:E6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MASAKA SEMBABULE'!C3:G3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178</v>
      </c>
      <c r="E5" s="3"/>
      <c r="F5" s="41" t="s">
        <v>1</v>
      </c>
      <c r="G5" s="63" t="str">
        <f>'17.10 SEMBABULE-MASAKA'!G5:H5</f>
        <v>KIWUULA TRADING CENTRE</v>
      </c>
      <c r="H5" s="64"/>
      <c r="I5" s="14"/>
      <c r="J5" s="2" t="s">
        <v>5</v>
      </c>
      <c r="K5" s="63" t="str">
        <f>'17.10 SEMBABULE-MASAKA'!K5:L5</f>
        <v>KIVUMBI GEORGE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tr">
        <f>'17.10 SEMBABULE-MASAKA'!K6:L6</f>
        <v>GEORGE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9</v>
      </c>
      <c r="T10" s="17">
        <f t="shared" si="2"/>
        <v>0</v>
      </c>
      <c r="U10" s="17">
        <f t="shared" si="2"/>
        <v>2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11</v>
      </c>
      <c r="AD10" s="17">
        <f t="shared" si="2"/>
        <v>0</v>
      </c>
      <c r="AE10" s="31">
        <f t="shared" si="2"/>
        <v>19</v>
      </c>
      <c r="AF10" s="31">
        <f t="shared" si="2"/>
        <v>30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2</v>
      </c>
      <c r="P11" s="15">
        <f t="shared" si="1"/>
        <v>6</v>
      </c>
      <c r="R11" s="1" t="s">
        <v>7</v>
      </c>
      <c r="S11" s="17">
        <f t="shared" ref="S11:AF11" si="3">SUM(C14:C17)</f>
        <v>12</v>
      </c>
      <c r="T11" s="17">
        <f t="shared" si="3"/>
        <v>1</v>
      </c>
      <c r="U11" s="17">
        <f t="shared" si="3"/>
        <v>4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20</v>
      </c>
      <c r="AD11" s="17">
        <f t="shared" si="3"/>
        <v>0</v>
      </c>
      <c r="AE11" s="31">
        <f t="shared" si="3"/>
        <v>27</v>
      </c>
      <c r="AF11" s="31">
        <f t="shared" si="3"/>
        <v>47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7</v>
      </c>
      <c r="P12" s="15">
        <f t="shared" si="1"/>
        <v>8</v>
      </c>
      <c r="R12" s="1" t="s">
        <v>8</v>
      </c>
      <c r="S12" s="17">
        <f t="shared" ref="S12:AF12" si="4">SUM(C18:C21)</f>
        <v>12</v>
      </c>
      <c r="T12" s="17">
        <f t="shared" si="4"/>
        <v>2</v>
      </c>
      <c r="U12" s="17">
        <f t="shared" si="4"/>
        <v>2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22</v>
      </c>
      <c r="AF12" s="31">
        <f t="shared" si="4"/>
        <v>42</v>
      </c>
    </row>
    <row r="13" spans="2:32" ht="23.1" customHeight="1" x14ac:dyDescent="0.25">
      <c r="B13" s="23" t="s">
        <v>40</v>
      </c>
      <c r="C13" s="50">
        <v>6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8</v>
      </c>
      <c r="P13" s="15">
        <f t="shared" si="1"/>
        <v>11</v>
      </c>
      <c r="R13" s="1" t="s">
        <v>9</v>
      </c>
      <c r="S13" s="17">
        <f t="shared" ref="S13:AF13" si="5">SUM(C22:C25)</f>
        <v>7</v>
      </c>
      <c r="T13" s="17">
        <f t="shared" si="5"/>
        <v>2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3</v>
      </c>
      <c r="AB13" s="17">
        <f t="shared" si="5"/>
        <v>0</v>
      </c>
      <c r="AC13" s="17">
        <f t="shared" si="5"/>
        <v>30</v>
      </c>
      <c r="AD13" s="17">
        <f t="shared" si="5"/>
        <v>0</v>
      </c>
      <c r="AE13" s="31">
        <f t="shared" si="5"/>
        <v>20</v>
      </c>
      <c r="AF13" s="31">
        <f t="shared" si="5"/>
        <v>50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5</v>
      </c>
      <c r="P14" s="15">
        <f t="shared" si="1"/>
        <v>10</v>
      </c>
      <c r="R14" s="1" t="s">
        <v>10</v>
      </c>
      <c r="S14" s="17">
        <f t="shared" ref="S14:AF14" si="6">SUM(C26:C29)</f>
        <v>16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20</v>
      </c>
      <c r="AD14" s="17">
        <f t="shared" si="6"/>
        <v>0</v>
      </c>
      <c r="AE14" s="31">
        <f t="shared" si="6"/>
        <v>23</v>
      </c>
      <c r="AF14" s="31">
        <f t="shared" si="6"/>
        <v>43</v>
      </c>
    </row>
    <row r="15" spans="2:32" ht="23.1" customHeight="1" x14ac:dyDescent="0.25">
      <c r="B15" s="23" t="s">
        <v>42</v>
      </c>
      <c r="C15" s="50">
        <v>6</v>
      </c>
      <c r="D15" s="50">
        <v>1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9</v>
      </c>
      <c r="P15" s="15">
        <f t="shared" si="1"/>
        <v>13</v>
      </c>
      <c r="R15" s="1" t="s">
        <v>11</v>
      </c>
      <c r="S15" s="17">
        <f t="shared" ref="S15:AF15" si="7">SUM(C30:C33)</f>
        <v>7</v>
      </c>
      <c r="T15" s="17">
        <f t="shared" si="7"/>
        <v>0</v>
      </c>
      <c r="U15" s="17">
        <f t="shared" si="7"/>
        <v>3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33</v>
      </c>
      <c r="AD15" s="17">
        <f t="shared" si="7"/>
        <v>0</v>
      </c>
      <c r="AE15" s="31">
        <f t="shared" si="7"/>
        <v>18</v>
      </c>
      <c r="AF15" s="31">
        <f t="shared" si="7"/>
        <v>51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8</v>
      </c>
      <c r="P16" s="15">
        <f t="shared" si="1"/>
        <v>16</v>
      </c>
      <c r="R16" s="1" t="s">
        <v>12</v>
      </c>
      <c r="S16" s="17">
        <f t="shared" ref="S16:AF16" si="8">SUM(C34:C37)</f>
        <v>10</v>
      </c>
      <c r="T16" s="17">
        <f t="shared" si="8"/>
        <v>1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29</v>
      </c>
      <c r="AD16" s="17">
        <f t="shared" si="8"/>
        <v>0</v>
      </c>
      <c r="AE16" s="31">
        <f t="shared" si="8"/>
        <v>21</v>
      </c>
      <c r="AF16" s="31">
        <f t="shared" si="8"/>
        <v>50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0</v>
      </c>
      <c r="M17" s="50">
        <v>3</v>
      </c>
      <c r="N17" s="50">
        <v>0</v>
      </c>
      <c r="O17" s="15">
        <f t="shared" si="0"/>
        <v>5</v>
      </c>
      <c r="P17" s="15">
        <f t="shared" si="1"/>
        <v>8</v>
      </c>
      <c r="R17" s="1" t="s">
        <v>13</v>
      </c>
      <c r="S17" s="17">
        <f t="shared" ref="S17:AF17" si="9">SUM(C38:C41)</f>
        <v>11</v>
      </c>
      <c r="T17" s="17">
        <f t="shared" si="9"/>
        <v>2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2</v>
      </c>
      <c r="AA17" s="17">
        <f t="shared" si="9"/>
        <v>3</v>
      </c>
      <c r="AB17" s="17">
        <f t="shared" si="9"/>
        <v>0</v>
      </c>
      <c r="AC17" s="17">
        <f t="shared" si="9"/>
        <v>30</v>
      </c>
      <c r="AD17" s="17">
        <f t="shared" si="9"/>
        <v>0</v>
      </c>
      <c r="AE17" s="31">
        <f t="shared" si="9"/>
        <v>28</v>
      </c>
      <c r="AF17" s="31">
        <f t="shared" si="9"/>
        <v>58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1</v>
      </c>
      <c r="P18" s="15">
        <f t="shared" si="1"/>
        <v>7</v>
      </c>
      <c r="R18" s="1" t="s">
        <v>14</v>
      </c>
      <c r="S18" s="17">
        <f t="shared" ref="S18:AF18" si="10">SUM(C42:C45)</f>
        <v>15</v>
      </c>
      <c r="T18" s="17">
        <f t="shared" si="10"/>
        <v>2</v>
      </c>
      <c r="U18" s="17">
        <f t="shared" si="10"/>
        <v>0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29</v>
      </c>
      <c r="AD18" s="17">
        <f t="shared" si="10"/>
        <v>0</v>
      </c>
      <c r="AE18" s="31">
        <f t="shared" si="10"/>
        <v>23</v>
      </c>
      <c r="AF18" s="31">
        <f t="shared" si="10"/>
        <v>52</v>
      </c>
    </row>
    <row r="19" spans="2:32" ht="23.1" customHeight="1" x14ac:dyDescent="0.25">
      <c r="B19" s="23" t="s">
        <v>46</v>
      </c>
      <c r="C19" s="50">
        <v>6</v>
      </c>
      <c r="D19" s="50">
        <v>2</v>
      </c>
      <c r="E19" s="50">
        <v>0</v>
      </c>
      <c r="F19" s="50">
        <v>0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11</v>
      </c>
      <c r="P19" s="15">
        <f t="shared" si="1"/>
        <v>16</v>
      </c>
      <c r="R19" s="1" t="s">
        <v>15</v>
      </c>
      <c r="S19" s="17">
        <f t="shared" ref="S19:AF19" si="11">SUM(C46:C49)</f>
        <v>6</v>
      </c>
      <c r="T19" s="17">
        <f t="shared" si="11"/>
        <v>1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21</v>
      </c>
      <c r="AD19" s="17">
        <f t="shared" si="11"/>
        <v>0</v>
      </c>
      <c r="AE19" s="31">
        <f t="shared" si="11"/>
        <v>12</v>
      </c>
      <c r="AF19" s="31">
        <f t="shared" si="11"/>
        <v>33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4</v>
      </c>
      <c r="P20" s="15">
        <f t="shared" si="1"/>
        <v>7</v>
      </c>
      <c r="R20" s="1" t="s">
        <v>16</v>
      </c>
      <c r="S20" s="17">
        <f t="shared" ref="S20:AF20" si="12">SUM(C50:C53)</f>
        <v>8</v>
      </c>
      <c r="T20" s="17">
        <f t="shared" si="12"/>
        <v>2</v>
      </c>
      <c r="U20" s="17">
        <f t="shared" si="12"/>
        <v>2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20</v>
      </c>
      <c r="AD20" s="17">
        <f t="shared" si="12"/>
        <v>0</v>
      </c>
      <c r="AE20" s="31">
        <f t="shared" si="12"/>
        <v>16</v>
      </c>
      <c r="AF20" s="31">
        <f t="shared" si="12"/>
        <v>36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2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6</v>
      </c>
      <c r="P21" s="15">
        <f t="shared" si="1"/>
        <v>12</v>
      </c>
      <c r="R21" s="36" t="s">
        <v>20</v>
      </c>
      <c r="S21" s="34">
        <f t="shared" ref="S21:AF21" si="13">SUM(C54:C57)</f>
        <v>8</v>
      </c>
      <c r="T21" s="17">
        <f t="shared" si="13"/>
        <v>2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23</v>
      </c>
      <c r="AD21" s="17">
        <f t="shared" si="13"/>
        <v>0</v>
      </c>
      <c r="AE21" s="31">
        <f t="shared" si="13"/>
        <v>13</v>
      </c>
      <c r="AF21" s="31">
        <f t="shared" si="13"/>
        <v>36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1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1</v>
      </c>
      <c r="L22" s="50">
        <v>0</v>
      </c>
      <c r="M22" s="50">
        <v>5</v>
      </c>
      <c r="N22" s="50">
        <v>0</v>
      </c>
      <c r="O22" s="15">
        <f t="shared" si="0"/>
        <v>8</v>
      </c>
      <c r="P22" s="15">
        <f t="shared" si="1"/>
        <v>13</v>
      </c>
      <c r="R22" s="38" t="s">
        <v>90</v>
      </c>
      <c r="S22" s="39">
        <f>MAX(S10:S12)</f>
        <v>12</v>
      </c>
      <c r="T22" s="39">
        <f t="shared" ref="T22:AF22" si="14">MAX(T10:T12)</f>
        <v>2</v>
      </c>
      <c r="U22" s="39">
        <f t="shared" si="14"/>
        <v>4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20</v>
      </c>
      <c r="AD22" s="39">
        <f t="shared" si="14"/>
        <v>0</v>
      </c>
      <c r="AE22" s="40">
        <f t="shared" si="14"/>
        <v>27</v>
      </c>
      <c r="AF22" s="40">
        <f t="shared" si="14"/>
        <v>47</v>
      </c>
    </row>
    <row r="23" spans="2:32" ht="23.1" customHeight="1" x14ac:dyDescent="0.25">
      <c r="B23" s="23" t="s">
        <v>50</v>
      </c>
      <c r="C23" s="50">
        <v>1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2</v>
      </c>
      <c r="K23" s="50">
        <v>2</v>
      </c>
      <c r="L23" s="50">
        <v>0</v>
      </c>
      <c r="M23" s="50">
        <v>8</v>
      </c>
      <c r="N23" s="50">
        <v>0</v>
      </c>
      <c r="O23" s="15">
        <f t="shared" si="0"/>
        <v>7</v>
      </c>
      <c r="P23" s="15">
        <f t="shared" si="1"/>
        <v>15</v>
      </c>
      <c r="R23" s="38" t="s">
        <v>91</v>
      </c>
      <c r="S23" s="39">
        <f>MAX(S13:S18)</f>
        <v>16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3</v>
      </c>
      <c r="AA23" s="39">
        <f t="shared" si="15"/>
        <v>3</v>
      </c>
      <c r="AB23" s="39">
        <f t="shared" si="15"/>
        <v>0</v>
      </c>
      <c r="AC23" s="39">
        <f t="shared" si="15"/>
        <v>33</v>
      </c>
      <c r="AD23" s="39">
        <f t="shared" si="15"/>
        <v>0</v>
      </c>
      <c r="AE23" s="40">
        <f t="shared" si="15"/>
        <v>28</v>
      </c>
      <c r="AF23" s="40">
        <f t="shared" si="15"/>
        <v>58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0</v>
      </c>
      <c r="P24" s="15">
        <f t="shared" si="1"/>
        <v>6</v>
      </c>
      <c r="R24" s="38" t="s">
        <v>92</v>
      </c>
      <c r="S24" s="39">
        <f>MAX(S19:S21)</f>
        <v>8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23</v>
      </c>
      <c r="AD24" s="39">
        <f t="shared" si="16"/>
        <v>0</v>
      </c>
      <c r="AE24" s="40">
        <f t="shared" si="16"/>
        <v>16</v>
      </c>
      <c r="AF24" s="40">
        <f t="shared" si="16"/>
        <v>36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5</v>
      </c>
      <c r="P25" s="15">
        <f t="shared" si="1"/>
        <v>16</v>
      </c>
      <c r="R25" s="37" t="s">
        <v>85</v>
      </c>
      <c r="S25" s="35">
        <f t="shared" ref="S25:AF25" si="17">SUM(S10:S12)</f>
        <v>33</v>
      </c>
      <c r="T25" s="16">
        <f t="shared" si="17"/>
        <v>3</v>
      </c>
      <c r="U25" s="16">
        <f t="shared" si="17"/>
        <v>8</v>
      </c>
      <c r="V25" s="16">
        <f t="shared" si="17"/>
        <v>8</v>
      </c>
      <c r="W25" s="16">
        <f t="shared" si="17"/>
        <v>0</v>
      </c>
      <c r="X25" s="16">
        <f t="shared" si="17"/>
        <v>0</v>
      </c>
      <c r="Y25" s="16">
        <f t="shared" si="17"/>
        <v>12</v>
      </c>
      <c r="Z25" s="16">
        <f t="shared" si="17"/>
        <v>3</v>
      </c>
      <c r="AA25" s="16">
        <f t="shared" si="17"/>
        <v>1</v>
      </c>
      <c r="AB25" s="16">
        <f t="shared" si="17"/>
        <v>0</v>
      </c>
      <c r="AC25" s="16">
        <f t="shared" si="17"/>
        <v>51</v>
      </c>
      <c r="AD25" s="16">
        <f t="shared" si="17"/>
        <v>0</v>
      </c>
      <c r="AE25" s="32">
        <f t="shared" si="17"/>
        <v>68</v>
      </c>
      <c r="AF25" s="32">
        <f t="shared" si="17"/>
        <v>119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4</v>
      </c>
      <c r="N26" s="50">
        <v>0</v>
      </c>
      <c r="O26" s="15">
        <f t="shared" si="0"/>
        <v>7</v>
      </c>
      <c r="P26" s="15">
        <f t="shared" si="1"/>
        <v>11</v>
      </c>
      <c r="R26" s="28" t="s">
        <v>86</v>
      </c>
      <c r="S26" s="16">
        <f t="shared" ref="S26:AF26" si="18">SUM(S13:S18)</f>
        <v>66</v>
      </c>
      <c r="T26" s="16">
        <f t="shared" si="18"/>
        <v>7</v>
      </c>
      <c r="U26" s="16">
        <f t="shared" si="18"/>
        <v>9</v>
      </c>
      <c r="V26" s="16">
        <f t="shared" si="18"/>
        <v>10</v>
      </c>
      <c r="W26" s="16">
        <f t="shared" si="18"/>
        <v>0</v>
      </c>
      <c r="X26" s="16">
        <f t="shared" si="18"/>
        <v>0</v>
      </c>
      <c r="Y26" s="16">
        <f t="shared" si="18"/>
        <v>26</v>
      </c>
      <c r="Z26" s="16">
        <f t="shared" si="18"/>
        <v>8</v>
      </c>
      <c r="AA26" s="16">
        <f t="shared" si="18"/>
        <v>7</v>
      </c>
      <c r="AB26" s="16">
        <f t="shared" si="18"/>
        <v>0</v>
      </c>
      <c r="AC26" s="16">
        <f t="shared" si="18"/>
        <v>171</v>
      </c>
      <c r="AD26" s="16">
        <f t="shared" si="18"/>
        <v>0</v>
      </c>
      <c r="AE26" s="32">
        <f t="shared" si="18"/>
        <v>133</v>
      </c>
      <c r="AF26" s="32">
        <f t="shared" si="18"/>
        <v>304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6</v>
      </c>
      <c r="P27" s="15">
        <f t="shared" si="1"/>
        <v>15</v>
      </c>
      <c r="R27" s="29" t="s">
        <v>87</v>
      </c>
      <c r="S27" s="16">
        <f t="shared" ref="S27:AF27" si="19">SUM(S19:S21)</f>
        <v>22</v>
      </c>
      <c r="T27" s="16">
        <f t="shared" si="19"/>
        <v>5</v>
      </c>
      <c r="U27" s="16">
        <f t="shared" si="19"/>
        <v>4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4</v>
      </c>
      <c r="Z27" s="16">
        <f t="shared" si="19"/>
        <v>5</v>
      </c>
      <c r="AA27" s="16">
        <f t="shared" si="19"/>
        <v>0</v>
      </c>
      <c r="AB27" s="16">
        <f t="shared" si="19"/>
        <v>0</v>
      </c>
      <c r="AC27" s="16">
        <f t="shared" si="19"/>
        <v>64</v>
      </c>
      <c r="AD27" s="16">
        <f t="shared" si="19"/>
        <v>0</v>
      </c>
      <c r="AE27" s="32">
        <f t="shared" si="19"/>
        <v>41</v>
      </c>
      <c r="AF27" s="32">
        <f t="shared" si="19"/>
        <v>105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6</v>
      </c>
      <c r="P28" s="15">
        <f t="shared" si="1"/>
        <v>9</v>
      </c>
      <c r="R28" s="5" t="s">
        <v>17</v>
      </c>
      <c r="S28" s="16">
        <f t="shared" ref="S28:AF28" si="20">SUM(S10:S21)</f>
        <v>121</v>
      </c>
      <c r="T28" s="16">
        <f t="shared" si="20"/>
        <v>15</v>
      </c>
      <c r="U28" s="16">
        <f t="shared" si="20"/>
        <v>21</v>
      </c>
      <c r="V28" s="16">
        <f t="shared" si="20"/>
        <v>19</v>
      </c>
      <c r="W28" s="16">
        <f t="shared" si="20"/>
        <v>0</v>
      </c>
      <c r="X28" s="16">
        <f t="shared" si="20"/>
        <v>0</v>
      </c>
      <c r="Y28" s="16">
        <f t="shared" si="20"/>
        <v>42</v>
      </c>
      <c r="Z28" s="16">
        <f t="shared" si="20"/>
        <v>16</v>
      </c>
      <c r="AA28" s="16">
        <f t="shared" si="20"/>
        <v>8</v>
      </c>
      <c r="AB28" s="16">
        <f t="shared" si="20"/>
        <v>0</v>
      </c>
      <c r="AC28" s="16">
        <f t="shared" si="20"/>
        <v>286</v>
      </c>
      <c r="AD28" s="16">
        <f t="shared" si="20"/>
        <v>0</v>
      </c>
      <c r="AE28" s="32">
        <f t="shared" si="20"/>
        <v>242</v>
      </c>
      <c r="AF28" s="32">
        <f t="shared" si="20"/>
        <v>528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4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7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4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2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5</v>
      </c>
      <c r="P33" s="15">
        <f t="shared" si="1"/>
        <v>15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4</v>
      </c>
      <c r="N34" s="50">
        <v>0</v>
      </c>
      <c r="O34" s="15">
        <f t="shared" si="0"/>
        <v>6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2</v>
      </c>
      <c r="P35" s="15">
        <f t="shared" si="1"/>
        <v>10</v>
      </c>
    </row>
    <row r="36" spans="2:20" ht="23.1" customHeight="1" x14ac:dyDescent="0.25">
      <c r="B36" s="24" t="s">
        <v>63</v>
      </c>
      <c r="C36" s="50">
        <v>4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7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2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6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2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6</v>
      </c>
      <c r="P38" s="15">
        <f t="shared" si="1"/>
        <v>16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2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5</v>
      </c>
      <c r="P40" s="15">
        <f t="shared" si="1"/>
        <v>11</v>
      </c>
    </row>
    <row r="41" spans="2:20" ht="23.1" customHeight="1" x14ac:dyDescent="0.25">
      <c r="B41" s="23" t="s">
        <v>68</v>
      </c>
      <c r="C41" s="50">
        <v>4</v>
      </c>
      <c r="D41" s="50">
        <v>1</v>
      </c>
      <c r="E41" s="50">
        <v>1</v>
      </c>
      <c r="F41" s="50">
        <v>2</v>
      </c>
      <c r="G41" s="50">
        <v>0</v>
      </c>
      <c r="H41" s="50">
        <v>0</v>
      </c>
      <c r="I41" s="50">
        <v>3</v>
      </c>
      <c r="J41" s="50">
        <v>1</v>
      </c>
      <c r="K41" s="50">
        <v>3</v>
      </c>
      <c r="L41" s="50">
        <v>0</v>
      </c>
      <c r="M41" s="50">
        <v>7</v>
      </c>
      <c r="N41" s="50">
        <v>0</v>
      </c>
      <c r="O41" s="15">
        <f t="shared" si="0"/>
        <v>15</v>
      </c>
      <c r="P41" s="15">
        <f t="shared" si="1"/>
        <v>22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5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6</v>
      </c>
      <c r="N43" s="50">
        <v>0</v>
      </c>
      <c r="O43" s="15">
        <f t="shared" si="0"/>
        <v>7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4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3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7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4</v>
      </c>
      <c r="N46" s="50">
        <v>0</v>
      </c>
      <c r="O46" s="15">
        <f t="shared" si="0"/>
        <v>4</v>
      </c>
      <c r="P46" s="15">
        <f t="shared" si="1"/>
        <v>8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3</v>
      </c>
      <c r="P47" s="15">
        <f t="shared" si="1"/>
        <v>5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9</v>
      </c>
      <c r="N48" s="50">
        <v>0</v>
      </c>
      <c r="O48" s="15">
        <f t="shared" si="0"/>
        <v>3</v>
      </c>
      <c r="P48" s="15">
        <f t="shared" si="1"/>
        <v>12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2</v>
      </c>
      <c r="P49" s="15">
        <f t="shared" si="1"/>
        <v>8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5</v>
      </c>
      <c r="P50" s="15">
        <f t="shared" si="1"/>
        <v>10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2</v>
      </c>
      <c r="P51" s="15">
        <f t="shared" si="1"/>
        <v>4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2</v>
      </c>
      <c r="E52" s="50">
        <v>1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8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1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5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5</v>
      </c>
      <c r="P55" s="15">
        <f t="shared" si="1"/>
        <v>13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4</v>
      </c>
      <c r="N56" s="50">
        <v>0</v>
      </c>
      <c r="O56" s="15">
        <f t="shared" si="0"/>
        <v>0</v>
      </c>
      <c r="P56" s="15">
        <f t="shared" si="1"/>
        <v>4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3</v>
      </c>
      <c r="P57" s="15">
        <f t="shared" si="1"/>
        <v>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121</v>
      </c>
      <c r="D58" s="16">
        <f t="shared" si="21"/>
        <v>15</v>
      </c>
      <c r="E58" s="16">
        <f t="shared" si="21"/>
        <v>21</v>
      </c>
      <c r="F58" s="16">
        <f t="shared" si="21"/>
        <v>19</v>
      </c>
      <c r="G58" s="16">
        <f t="shared" si="21"/>
        <v>0</v>
      </c>
      <c r="H58" s="16">
        <f t="shared" si="21"/>
        <v>0</v>
      </c>
      <c r="I58" s="16">
        <f t="shared" si="21"/>
        <v>42</v>
      </c>
      <c r="J58" s="16">
        <f t="shared" si="21"/>
        <v>16</v>
      </c>
      <c r="K58" s="16">
        <f t="shared" si="21"/>
        <v>8</v>
      </c>
      <c r="L58" s="16">
        <f t="shared" si="21"/>
        <v>0</v>
      </c>
      <c r="M58" s="16">
        <f t="shared" si="21"/>
        <v>286</v>
      </c>
      <c r="N58" s="16">
        <f t="shared" si="21"/>
        <v>0</v>
      </c>
      <c r="O58" s="16">
        <f t="shared" si="21"/>
        <v>242</v>
      </c>
      <c r="P58" s="16">
        <f t="shared" si="21"/>
        <v>528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0.22916666666666666</v>
      </c>
      <c r="D59" s="43">
        <f t="shared" si="22"/>
        <v>2.8409090909090908E-2</v>
      </c>
      <c r="E59" s="43">
        <f t="shared" si="22"/>
        <v>3.9772727272727272E-2</v>
      </c>
      <c r="F59" s="43">
        <f t="shared" si="22"/>
        <v>3.5984848484848488E-2</v>
      </c>
      <c r="G59" s="43">
        <f t="shared" si="22"/>
        <v>0</v>
      </c>
      <c r="H59" s="43">
        <f t="shared" si="22"/>
        <v>0</v>
      </c>
      <c r="I59" s="43">
        <f t="shared" si="22"/>
        <v>7.9545454545454544E-2</v>
      </c>
      <c r="J59" s="43">
        <f t="shared" si="22"/>
        <v>3.0303030303030304E-2</v>
      </c>
      <c r="K59" s="43">
        <f t="shared" si="22"/>
        <v>1.5151515151515152E-2</v>
      </c>
      <c r="L59" s="43">
        <f t="shared" si="22"/>
        <v>0</v>
      </c>
      <c r="M59" s="43">
        <f t="shared" si="22"/>
        <v>0.54166666666666663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</v>
      </c>
      <c r="D60" s="44">
        <f t="shared" ref="D60:N60" si="23">D58/$O$58</f>
        <v>6.1983471074380167E-2</v>
      </c>
      <c r="E60" s="44">
        <f t="shared" si="23"/>
        <v>8.6776859504132234E-2</v>
      </c>
      <c r="F60" s="44">
        <f t="shared" si="23"/>
        <v>7.8512396694214878E-2</v>
      </c>
      <c r="G60" s="44">
        <f t="shared" si="23"/>
        <v>0</v>
      </c>
      <c r="H60" s="44">
        <f t="shared" si="23"/>
        <v>0</v>
      </c>
      <c r="I60" s="44">
        <f t="shared" si="23"/>
        <v>0.17355371900826447</v>
      </c>
      <c r="J60" s="44">
        <f t="shared" si="23"/>
        <v>6.6115702479338845E-2</v>
      </c>
      <c r="K60" s="44">
        <f t="shared" si="23"/>
        <v>3.3057851239669422E-2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70" zoomScaleSheetLayoutView="70" workbookViewId="0">
      <selection activeCell="K6" activeCellId="6" sqref="C3:G3 D5 D6:E6 G6:H6 G5:H5 K5:L5 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179</v>
      </c>
      <c r="E5" s="3"/>
      <c r="F5" s="41" t="s">
        <v>1</v>
      </c>
      <c r="G5" s="63" t="str">
        <f>'21.10 SEMBABULE-MASAKA'!G5:H5</f>
        <v>KIWUULA TRADING CENTRE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166</v>
      </c>
      <c r="E6" s="64"/>
      <c r="F6" s="2" t="s">
        <v>2</v>
      </c>
      <c r="G6" s="63" t="s">
        <v>167</v>
      </c>
      <c r="H6" s="64"/>
      <c r="J6" s="2" t="s">
        <v>21</v>
      </c>
      <c r="K6" s="63" t="s">
        <v>172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2</v>
      </c>
      <c r="X10" s="17">
        <f t="shared" si="2"/>
        <v>0</v>
      </c>
      <c r="Y10" s="17">
        <f t="shared" si="2"/>
        <v>2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14</v>
      </c>
      <c r="AD10" s="17">
        <f t="shared" si="2"/>
        <v>0</v>
      </c>
      <c r="AE10" s="31">
        <f t="shared" si="2"/>
        <v>11</v>
      </c>
      <c r="AF10" s="31">
        <f t="shared" si="2"/>
        <v>25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2</v>
      </c>
      <c r="P11" s="15">
        <f t="shared" si="1"/>
        <v>5</v>
      </c>
      <c r="R11" s="1" t="s">
        <v>7</v>
      </c>
      <c r="S11" s="17">
        <f t="shared" ref="S11:AF11" si="3">SUM(C14:C17)</f>
        <v>10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24</v>
      </c>
      <c r="AD11" s="17">
        <f t="shared" si="3"/>
        <v>0</v>
      </c>
      <c r="AE11" s="31">
        <f t="shared" si="3"/>
        <v>17</v>
      </c>
      <c r="AF11" s="31">
        <f t="shared" si="3"/>
        <v>41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3</v>
      </c>
      <c r="P12" s="15">
        <f t="shared" si="1"/>
        <v>8</v>
      </c>
      <c r="R12" s="1" t="s">
        <v>8</v>
      </c>
      <c r="S12" s="17">
        <f t="shared" ref="S12:AF12" si="4">SUM(C18:C21)</f>
        <v>6</v>
      </c>
      <c r="T12" s="17">
        <f t="shared" si="4"/>
        <v>3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17</v>
      </c>
      <c r="AF12" s="31">
        <f t="shared" si="4"/>
        <v>37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1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0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2</v>
      </c>
      <c r="AA13" s="17">
        <f t="shared" si="5"/>
        <v>2</v>
      </c>
      <c r="AB13" s="17">
        <f t="shared" si="5"/>
        <v>2</v>
      </c>
      <c r="AC13" s="17">
        <f t="shared" si="5"/>
        <v>34</v>
      </c>
      <c r="AD13" s="17">
        <f t="shared" si="5"/>
        <v>0</v>
      </c>
      <c r="AE13" s="31">
        <f t="shared" si="5"/>
        <v>17</v>
      </c>
      <c r="AF13" s="31">
        <f t="shared" si="5"/>
        <v>51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3</v>
      </c>
      <c r="P14" s="15">
        <f t="shared" si="1"/>
        <v>8</v>
      </c>
      <c r="R14" s="1" t="s">
        <v>10</v>
      </c>
      <c r="S14" s="17">
        <f t="shared" ref="S14:AF14" si="6">SUM(C26:C29)</f>
        <v>9</v>
      </c>
      <c r="T14" s="17">
        <f t="shared" si="6"/>
        <v>0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6</v>
      </c>
      <c r="AB14" s="17">
        <f t="shared" si="6"/>
        <v>0</v>
      </c>
      <c r="AC14" s="17">
        <f t="shared" si="6"/>
        <v>22</v>
      </c>
      <c r="AD14" s="17">
        <f t="shared" si="6"/>
        <v>0</v>
      </c>
      <c r="AE14" s="31">
        <f t="shared" si="6"/>
        <v>24</v>
      </c>
      <c r="AF14" s="31">
        <f t="shared" si="6"/>
        <v>46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5</v>
      </c>
      <c r="P15" s="15">
        <f t="shared" si="1"/>
        <v>9</v>
      </c>
      <c r="R15" s="1" t="s">
        <v>11</v>
      </c>
      <c r="S15" s="17">
        <f t="shared" ref="S15:AF15" si="7">SUM(C30:C33)</f>
        <v>6</v>
      </c>
      <c r="T15" s="17">
        <f t="shared" si="7"/>
        <v>2</v>
      </c>
      <c r="U15" s="17">
        <f t="shared" si="7"/>
        <v>4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21</v>
      </c>
      <c r="AD15" s="17">
        <f t="shared" si="7"/>
        <v>0</v>
      </c>
      <c r="AE15" s="31">
        <f t="shared" si="7"/>
        <v>15</v>
      </c>
      <c r="AF15" s="31">
        <f t="shared" si="7"/>
        <v>44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5</v>
      </c>
      <c r="P16" s="15">
        <f t="shared" si="1"/>
        <v>13</v>
      </c>
      <c r="R16" s="1" t="s">
        <v>12</v>
      </c>
      <c r="S16" s="17">
        <f t="shared" ref="S16:AF16" si="8">SUM(C34:C37)</f>
        <v>12</v>
      </c>
      <c r="T16" s="17">
        <f t="shared" si="8"/>
        <v>1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36</v>
      </c>
      <c r="AD16" s="17">
        <f t="shared" si="8"/>
        <v>0</v>
      </c>
      <c r="AE16" s="31">
        <f t="shared" si="8"/>
        <v>28</v>
      </c>
      <c r="AF16" s="31">
        <f t="shared" si="8"/>
        <v>64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4</v>
      </c>
      <c r="P17" s="15">
        <f t="shared" si="1"/>
        <v>11</v>
      </c>
      <c r="R17" s="1" t="s">
        <v>13</v>
      </c>
      <c r="S17" s="17">
        <f t="shared" ref="S17:AF17" si="9">SUM(C38:C41)</f>
        <v>4</v>
      </c>
      <c r="T17" s="17">
        <f t="shared" si="9"/>
        <v>1</v>
      </c>
      <c r="U17" s="17">
        <f t="shared" si="9"/>
        <v>1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2</v>
      </c>
      <c r="AB17" s="17">
        <f t="shared" si="9"/>
        <v>0</v>
      </c>
      <c r="AC17" s="17">
        <f t="shared" si="9"/>
        <v>13</v>
      </c>
      <c r="AD17" s="17">
        <f t="shared" si="9"/>
        <v>0</v>
      </c>
      <c r="AE17" s="31">
        <f t="shared" si="9"/>
        <v>16</v>
      </c>
      <c r="AF17" s="31">
        <f t="shared" si="9"/>
        <v>29</v>
      </c>
    </row>
    <row r="18" spans="2:32" ht="23.1" customHeight="1" x14ac:dyDescent="0.25">
      <c r="B18" s="23" t="s">
        <v>45</v>
      </c>
      <c r="C18" s="50">
        <v>2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5</v>
      </c>
      <c r="P18" s="15">
        <f t="shared" si="1"/>
        <v>10</v>
      </c>
      <c r="R18" s="1" t="s">
        <v>14</v>
      </c>
      <c r="S18" s="17">
        <f t="shared" ref="S18:AF18" si="10">SUM(C42:C45)</f>
        <v>15</v>
      </c>
      <c r="T18" s="17">
        <f t="shared" si="10"/>
        <v>0</v>
      </c>
      <c r="U18" s="17">
        <f t="shared" si="10"/>
        <v>3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15</v>
      </c>
      <c r="AD18" s="17">
        <f t="shared" si="10"/>
        <v>0</v>
      </c>
      <c r="AE18" s="31">
        <f t="shared" si="10"/>
        <v>29</v>
      </c>
      <c r="AF18" s="31">
        <f t="shared" si="10"/>
        <v>44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0</v>
      </c>
      <c r="F19" s="50">
        <v>1</v>
      </c>
      <c r="G19" s="50">
        <v>0</v>
      </c>
      <c r="H19" s="50">
        <v>0</v>
      </c>
      <c r="I19" s="50">
        <v>2</v>
      </c>
      <c r="J19" s="50">
        <v>2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8</v>
      </c>
      <c r="P19" s="15">
        <f t="shared" si="1"/>
        <v>17</v>
      </c>
      <c r="R19" s="1" t="s">
        <v>15</v>
      </c>
      <c r="S19" s="17">
        <f t="shared" ref="S19:AF19" si="11">SUM(C46:C49)</f>
        <v>7</v>
      </c>
      <c r="T19" s="17">
        <f t="shared" si="11"/>
        <v>0</v>
      </c>
      <c r="U19" s="17">
        <f t="shared" si="11"/>
        <v>0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25</v>
      </c>
      <c r="AD19" s="17">
        <f t="shared" si="11"/>
        <v>0</v>
      </c>
      <c r="AE19" s="31">
        <f t="shared" si="11"/>
        <v>18</v>
      </c>
      <c r="AF19" s="31">
        <f t="shared" si="11"/>
        <v>43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1</v>
      </c>
      <c r="P20" s="15">
        <f t="shared" si="1"/>
        <v>4</v>
      </c>
      <c r="R20" s="1" t="s">
        <v>16</v>
      </c>
      <c r="S20" s="17">
        <f t="shared" ref="S20:AF20" si="12">SUM(C50:C53)</f>
        <v>10</v>
      </c>
      <c r="T20" s="17">
        <f t="shared" si="12"/>
        <v>1</v>
      </c>
      <c r="U20" s="17">
        <f t="shared" si="12"/>
        <v>4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5</v>
      </c>
      <c r="AB20" s="17">
        <f t="shared" si="12"/>
        <v>0</v>
      </c>
      <c r="AC20" s="17">
        <f t="shared" si="12"/>
        <v>18</v>
      </c>
      <c r="AD20" s="17">
        <f t="shared" si="12"/>
        <v>0</v>
      </c>
      <c r="AE20" s="31">
        <f t="shared" si="12"/>
        <v>32</v>
      </c>
      <c r="AF20" s="31">
        <f t="shared" si="12"/>
        <v>50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3</v>
      </c>
      <c r="P21" s="15">
        <f t="shared" si="1"/>
        <v>6</v>
      </c>
      <c r="R21" s="36" t="s">
        <v>20</v>
      </c>
      <c r="S21" s="34">
        <f t="shared" ref="S21:AF21" si="13">SUM(C54:C57)</f>
        <v>9</v>
      </c>
      <c r="T21" s="17">
        <f t="shared" si="13"/>
        <v>2</v>
      </c>
      <c r="U21" s="17">
        <f t="shared" si="13"/>
        <v>2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20</v>
      </c>
      <c r="AD21" s="17">
        <f t="shared" si="13"/>
        <v>0</v>
      </c>
      <c r="AE21" s="31">
        <f t="shared" si="13"/>
        <v>23</v>
      </c>
      <c r="AF21" s="31">
        <f t="shared" si="13"/>
        <v>43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2</v>
      </c>
      <c r="L22" s="50">
        <v>0</v>
      </c>
      <c r="M22" s="50">
        <v>10</v>
      </c>
      <c r="N22" s="50">
        <v>0</v>
      </c>
      <c r="O22" s="15">
        <f t="shared" si="0"/>
        <v>2</v>
      </c>
      <c r="P22" s="15">
        <f t="shared" si="1"/>
        <v>12</v>
      </c>
      <c r="R22" s="38" t="s">
        <v>90</v>
      </c>
      <c r="S22" s="39">
        <f>MAX(S10:S12)</f>
        <v>10</v>
      </c>
      <c r="T22" s="39">
        <f t="shared" ref="T22:AF22" si="14">MAX(T10:T12)</f>
        <v>3</v>
      </c>
      <c r="U22" s="39">
        <f t="shared" si="14"/>
        <v>1</v>
      </c>
      <c r="V22" s="39">
        <f t="shared" si="14"/>
        <v>1</v>
      </c>
      <c r="W22" s="39">
        <f t="shared" si="14"/>
        <v>2</v>
      </c>
      <c r="X22" s="39">
        <f t="shared" si="14"/>
        <v>0</v>
      </c>
      <c r="Y22" s="39">
        <f t="shared" si="14"/>
        <v>4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24</v>
      </c>
      <c r="AD22" s="39">
        <f t="shared" si="14"/>
        <v>0</v>
      </c>
      <c r="AE22" s="40">
        <f t="shared" si="14"/>
        <v>17</v>
      </c>
      <c r="AF22" s="40">
        <f t="shared" si="14"/>
        <v>41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0</v>
      </c>
      <c r="P23" s="15">
        <f t="shared" si="1"/>
        <v>9</v>
      </c>
      <c r="R23" s="38" t="s">
        <v>91</v>
      </c>
      <c r="S23" s="39">
        <f>MAX(S13:S18)</f>
        <v>15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8</v>
      </c>
      <c r="Z23" s="39">
        <f t="shared" si="15"/>
        <v>3</v>
      </c>
      <c r="AA23" s="39">
        <f t="shared" si="15"/>
        <v>6</v>
      </c>
      <c r="AB23" s="39">
        <f t="shared" si="15"/>
        <v>2</v>
      </c>
      <c r="AC23" s="39">
        <f t="shared" si="15"/>
        <v>36</v>
      </c>
      <c r="AD23" s="39">
        <f t="shared" si="15"/>
        <v>0</v>
      </c>
      <c r="AE23" s="40">
        <f t="shared" si="15"/>
        <v>29</v>
      </c>
      <c r="AF23" s="40">
        <f t="shared" si="15"/>
        <v>64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1</v>
      </c>
      <c r="M24" s="50">
        <v>5</v>
      </c>
      <c r="N24" s="50">
        <v>0</v>
      </c>
      <c r="O24" s="15">
        <f t="shared" si="0"/>
        <v>7</v>
      </c>
      <c r="P24" s="15">
        <f t="shared" si="1"/>
        <v>12</v>
      </c>
      <c r="R24" s="38" t="s">
        <v>92</v>
      </c>
      <c r="S24" s="39">
        <f>MAX(S19:S21)</f>
        <v>10</v>
      </c>
      <c r="T24" s="39">
        <f t="shared" ref="T24:AF24" si="16">MAX(T19:T21)</f>
        <v>2</v>
      </c>
      <c r="U24" s="39">
        <f t="shared" si="16"/>
        <v>4</v>
      </c>
      <c r="V24" s="39">
        <f t="shared" si="16"/>
        <v>7</v>
      </c>
      <c r="W24" s="39">
        <f t="shared" si="16"/>
        <v>0</v>
      </c>
      <c r="X24" s="39">
        <f t="shared" si="16"/>
        <v>0</v>
      </c>
      <c r="Y24" s="39">
        <f t="shared" si="16"/>
        <v>7</v>
      </c>
      <c r="Z24" s="39">
        <f t="shared" si="16"/>
        <v>1</v>
      </c>
      <c r="AA24" s="39">
        <f t="shared" si="16"/>
        <v>5</v>
      </c>
      <c r="AB24" s="39">
        <f t="shared" si="16"/>
        <v>0</v>
      </c>
      <c r="AC24" s="39">
        <f t="shared" si="16"/>
        <v>25</v>
      </c>
      <c r="AD24" s="39">
        <f t="shared" si="16"/>
        <v>0</v>
      </c>
      <c r="AE24" s="40">
        <f t="shared" si="16"/>
        <v>32</v>
      </c>
      <c r="AF24" s="40">
        <f t="shared" si="16"/>
        <v>50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1</v>
      </c>
      <c r="M25" s="50">
        <v>10</v>
      </c>
      <c r="N25" s="50">
        <v>0</v>
      </c>
      <c r="O25" s="15">
        <f t="shared" si="0"/>
        <v>8</v>
      </c>
      <c r="P25" s="15">
        <f t="shared" si="1"/>
        <v>18</v>
      </c>
      <c r="R25" s="37" t="s">
        <v>85</v>
      </c>
      <c r="S25" s="35">
        <f t="shared" ref="S25:AF25" si="17">SUM(S10:S12)</f>
        <v>18</v>
      </c>
      <c r="T25" s="16">
        <f t="shared" si="17"/>
        <v>3</v>
      </c>
      <c r="U25" s="16">
        <f t="shared" si="17"/>
        <v>3</v>
      </c>
      <c r="V25" s="16">
        <f t="shared" si="17"/>
        <v>1</v>
      </c>
      <c r="W25" s="16">
        <f t="shared" si="17"/>
        <v>2</v>
      </c>
      <c r="X25" s="16">
        <f t="shared" si="17"/>
        <v>0</v>
      </c>
      <c r="Y25" s="16">
        <f t="shared" si="17"/>
        <v>10</v>
      </c>
      <c r="Z25" s="16">
        <f t="shared" si="17"/>
        <v>8</v>
      </c>
      <c r="AA25" s="16">
        <f t="shared" si="17"/>
        <v>0</v>
      </c>
      <c r="AB25" s="16">
        <f t="shared" si="17"/>
        <v>0</v>
      </c>
      <c r="AC25" s="16">
        <f t="shared" si="17"/>
        <v>58</v>
      </c>
      <c r="AD25" s="16">
        <f t="shared" si="17"/>
        <v>0</v>
      </c>
      <c r="AE25" s="32">
        <f t="shared" si="17"/>
        <v>45</v>
      </c>
      <c r="AF25" s="32">
        <f t="shared" si="17"/>
        <v>103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0</v>
      </c>
      <c r="M26" s="50">
        <v>4</v>
      </c>
      <c r="N26" s="50">
        <v>0</v>
      </c>
      <c r="O26" s="15">
        <f t="shared" si="0"/>
        <v>5</v>
      </c>
      <c r="P26" s="15">
        <f t="shared" si="1"/>
        <v>9</v>
      </c>
      <c r="R26" s="28" t="s">
        <v>86</v>
      </c>
      <c r="S26" s="16">
        <f t="shared" ref="S26:AF26" si="18">SUM(S13:S18)</f>
        <v>50</v>
      </c>
      <c r="T26" s="16">
        <f t="shared" si="18"/>
        <v>4</v>
      </c>
      <c r="U26" s="16">
        <f t="shared" si="18"/>
        <v>12</v>
      </c>
      <c r="V26" s="16">
        <f t="shared" si="18"/>
        <v>16</v>
      </c>
      <c r="W26" s="16">
        <f t="shared" si="18"/>
        <v>0</v>
      </c>
      <c r="X26" s="16">
        <f t="shared" si="18"/>
        <v>0</v>
      </c>
      <c r="Y26" s="16">
        <f t="shared" si="18"/>
        <v>29</v>
      </c>
      <c r="Z26" s="16">
        <f t="shared" si="18"/>
        <v>9</v>
      </c>
      <c r="AA26" s="16">
        <f t="shared" si="18"/>
        <v>15</v>
      </c>
      <c r="AB26" s="16">
        <f t="shared" si="18"/>
        <v>2</v>
      </c>
      <c r="AC26" s="16">
        <f t="shared" si="18"/>
        <v>141</v>
      </c>
      <c r="AD26" s="16">
        <f t="shared" si="18"/>
        <v>0</v>
      </c>
      <c r="AE26" s="32">
        <f t="shared" si="18"/>
        <v>129</v>
      </c>
      <c r="AF26" s="32">
        <f t="shared" si="18"/>
        <v>278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3</v>
      </c>
      <c r="L27" s="50">
        <v>0</v>
      </c>
      <c r="M27" s="50">
        <v>6</v>
      </c>
      <c r="N27" s="50">
        <v>0</v>
      </c>
      <c r="O27" s="15">
        <f t="shared" si="0"/>
        <v>5</v>
      </c>
      <c r="P27" s="15">
        <f t="shared" si="1"/>
        <v>11</v>
      </c>
      <c r="R27" s="29" t="s">
        <v>87</v>
      </c>
      <c r="S27" s="16">
        <f t="shared" ref="S27:AF27" si="19">SUM(S19:S21)</f>
        <v>26</v>
      </c>
      <c r="T27" s="16">
        <f t="shared" si="19"/>
        <v>3</v>
      </c>
      <c r="U27" s="16">
        <f t="shared" si="19"/>
        <v>6</v>
      </c>
      <c r="V27" s="16">
        <f t="shared" si="19"/>
        <v>16</v>
      </c>
      <c r="W27" s="16">
        <f t="shared" si="19"/>
        <v>0</v>
      </c>
      <c r="X27" s="16">
        <f t="shared" si="19"/>
        <v>0</v>
      </c>
      <c r="Y27" s="16">
        <f t="shared" si="19"/>
        <v>16</v>
      </c>
      <c r="Z27" s="16">
        <f t="shared" si="19"/>
        <v>1</v>
      </c>
      <c r="AA27" s="16">
        <f t="shared" si="19"/>
        <v>5</v>
      </c>
      <c r="AB27" s="16">
        <f t="shared" si="19"/>
        <v>0</v>
      </c>
      <c r="AC27" s="16">
        <f t="shared" si="19"/>
        <v>63</v>
      </c>
      <c r="AD27" s="16">
        <f t="shared" si="19"/>
        <v>0</v>
      </c>
      <c r="AE27" s="32">
        <f t="shared" si="19"/>
        <v>73</v>
      </c>
      <c r="AF27" s="32">
        <f t="shared" si="19"/>
        <v>136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3</v>
      </c>
      <c r="J28" s="50">
        <v>1</v>
      </c>
      <c r="K28" s="50">
        <v>1</v>
      </c>
      <c r="L28" s="50">
        <v>0</v>
      </c>
      <c r="M28" s="50">
        <v>4</v>
      </c>
      <c r="N28" s="50">
        <v>0</v>
      </c>
      <c r="O28" s="15">
        <f t="shared" si="0"/>
        <v>10</v>
      </c>
      <c r="P28" s="15">
        <f t="shared" si="1"/>
        <v>14</v>
      </c>
      <c r="R28" s="5" t="s">
        <v>17</v>
      </c>
      <c r="S28" s="16">
        <f t="shared" ref="S28:AF28" si="20">SUM(S10:S21)</f>
        <v>94</v>
      </c>
      <c r="T28" s="16">
        <f t="shared" si="20"/>
        <v>10</v>
      </c>
      <c r="U28" s="16">
        <f t="shared" si="20"/>
        <v>21</v>
      </c>
      <c r="V28" s="16">
        <f t="shared" si="20"/>
        <v>33</v>
      </c>
      <c r="W28" s="16">
        <f t="shared" si="20"/>
        <v>2</v>
      </c>
      <c r="X28" s="16">
        <f t="shared" si="20"/>
        <v>0</v>
      </c>
      <c r="Y28" s="16">
        <f t="shared" si="20"/>
        <v>55</v>
      </c>
      <c r="Z28" s="16">
        <f t="shared" si="20"/>
        <v>18</v>
      </c>
      <c r="AA28" s="16">
        <f t="shared" si="20"/>
        <v>20</v>
      </c>
      <c r="AB28" s="16">
        <f t="shared" si="20"/>
        <v>2</v>
      </c>
      <c r="AC28" s="16">
        <f t="shared" si="20"/>
        <v>262</v>
      </c>
      <c r="AD28" s="16">
        <f t="shared" si="20"/>
        <v>0</v>
      </c>
      <c r="AE28" s="32">
        <f t="shared" si="20"/>
        <v>247</v>
      </c>
      <c r="AF28" s="32">
        <f t="shared" si="20"/>
        <v>517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0</v>
      </c>
      <c r="M29" s="50">
        <v>8</v>
      </c>
      <c r="N29" s="50">
        <v>0</v>
      </c>
      <c r="O29" s="15">
        <f t="shared" si="0"/>
        <v>4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4</v>
      </c>
      <c r="P30" s="15">
        <f t="shared" si="1"/>
        <v>8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3</v>
      </c>
      <c r="J31" s="50">
        <v>0</v>
      </c>
      <c r="K31" s="50">
        <v>1</v>
      </c>
      <c r="L31" s="50">
        <v>0</v>
      </c>
      <c r="M31" s="50">
        <v>5</v>
      </c>
      <c r="N31" s="50">
        <v>0</v>
      </c>
      <c r="O31" s="15">
        <f t="shared" si="0"/>
        <v>8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1</v>
      </c>
      <c r="L32" s="50">
        <v>0</v>
      </c>
      <c r="M32" s="50">
        <v>7</v>
      </c>
      <c r="N32" s="50">
        <v>0</v>
      </c>
      <c r="O32" s="15"/>
      <c r="P32" s="15">
        <f t="shared" si="1"/>
        <v>15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3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13</v>
      </c>
      <c r="N34" s="50">
        <v>0</v>
      </c>
      <c r="O34" s="15">
        <f t="shared" si="0"/>
        <v>8</v>
      </c>
      <c r="P34" s="15">
        <f t="shared" si="1"/>
        <v>21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2</v>
      </c>
      <c r="J35" s="50">
        <v>1</v>
      </c>
      <c r="K35" s="50">
        <v>1</v>
      </c>
      <c r="L35" s="50">
        <v>0</v>
      </c>
      <c r="M35" s="50">
        <v>6</v>
      </c>
      <c r="N35" s="50">
        <v>0</v>
      </c>
      <c r="O35" s="15">
        <f t="shared" si="0"/>
        <v>5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9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6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4</v>
      </c>
      <c r="N38" s="50">
        <v>0</v>
      </c>
      <c r="O38" s="15">
        <f t="shared" si="0"/>
        <v>6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3</v>
      </c>
      <c r="P39" s="15">
        <f t="shared" si="1"/>
        <v>6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2</v>
      </c>
      <c r="N40" s="50">
        <v>0</v>
      </c>
      <c r="O40" s="15">
        <f t="shared" si="0"/>
        <v>4</v>
      </c>
      <c r="P40" s="15">
        <f t="shared" si="1"/>
        <v>6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4</v>
      </c>
      <c r="N41" s="50">
        <v>0</v>
      </c>
      <c r="O41" s="15">
        <f t="shared" si="0"/>
        <v>3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1</v>
      </c>
      <c r="J42" s="50">
        <v>1</v>
      </c>
      <c r="K42" s="50">
        <v>1</v>
      </c>
      <c r="L42" s="50">
        <v>0</v>
      </c>
      <c r="M42" s="50">
        <v>3</v>
      </c>
      <c r="N42" s="50">
        <v>0</v>
      </c>
      <c r="O42" s="15">
        <f t="shared" si="0"/>
        <v>8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8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1</v>
      </c>
      <c r="L44" s="50">
        <v>0</v>
      </c>
      <c r="M44" s="50">
        <v>4</v>
      </c>
      <c r="N44" s="50">
        <v>0</v>
      </c>
      <c r="O44" s="15">
        <f t="shared" si="0"/>
        <v>7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6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6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3</v>
      </c>
      <c r="P47" s="15">
        <f t="shared" si="1"/>
        <v>11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7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2</v>
      </c>
      <c r="P49" s="15">
        <f t="shared" si="1"/>
        <v>7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6</v>
      </c>
      <c r="N50" s="50">
        <v>0</v>
      </c>
      <c r="O50" s="15">
        <f t="shared" si="0"/>
        <v>5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2</v>
      </c>
      <c r="G51" s="50">
        <v>0</v>
      </c>
      <c r="H51" s="50">
        <v>0</v>
      </c>
      <c r="I51" s="50">
        <v>3</v>
      </c>
      <c r="J51" s="50">
        <v>1</v>
      </c>
      <c r="K51" s="50">
        <v>1</v>
      </c>
      <c r="L51" s="50">
        <v>0</v>
      </c>
      <c r="M51" s="50">
        <v>3</v>
      </c>
      <c r="N51" s="50">
        <v>0</v>
      </c>
      <c r="O51" s="15">
        <f t="shared" si="0"/>
        <v>9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3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2</v>
      </c>
      <c r="L52" s="50">
        <v>0</v>
      </c>
      <c r="M52" s="50">
        <v>5</v>
      </c>
      <c r="N52" s="50">
        <v>0</v>
      </c>
      <c r="O52" s="15">
        <f t="shared" si="0"/>
        <v>10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1</v>
      </c>
      <c r="E53" s="50">
        <v>1</v>
      </c>
      <c r="F53" s="50">
        <v>2</v>
      </c>
      <c r="G53" s="50">
        <v>0</v>
      </c>
      <c r="H53" s="50">
        <v>0</v>
      </c>
      <c r="I53" s="50">
        <v>1</v>
      </c>
      <c r="J53" s="50">
        <v>0</v>
      </c>
      <c r="K53" s="50">
        <v>1</v>
      </c>
      <c r="L53" s="50">
        <v>0</v>
      </c>
      <c r="M53" s="50">
        <v>4</v>
      </c>
      <c r="N53" s="50">
        <v>0</v>
      </c>
      <c r="O53" s="15">
        <f t="shared" si="0"/>
        <v>8</v>
      </c>
      <c r="P53" s="15">
        <f t="shared" si="1"/>
        <v>12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4</v>
      </c>
      <c r="N54" s="50">
        <v>0</v>
      </c>
      <c r="O54" s="15">
        <f t="shared" si="0"/>
        <v>4</v>
      </c>
      <c r="P54" s="15">
        <f t="shared" si="1"/>
        <v>8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2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3</v>
      </c>
      <c r="N55" s="50">
        <v>0</v>
      </c>
      <c r="O55" s="15">
        <f t="shared" si="0"/>
        <v>7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5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7</v>
      </c>
      <c r="P57" s="15">
        <f t="shared" si="1"/>
        <v>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94</v>
      </c>
      <c r="D58" s="16">
        <f t="shared" si="21"/>
        <v>10</v>
      </c>
      <c r="E58" s="16">
        <f t="shared" si="21"/>
        <v>21</v>
      </c>
      <c r="F58" s="16">
        <f t="shared" si="21"/>
        <v>33</v>
      </c>
      <c r="G58" s="16">
        <f t="shared" si="21"/>
        <v>2</v>
      </c>
      <c r="H58" s="16">
        <f t="shared" si="21"/>
        <v>0</v>
      </c>
      <c r="I58" s="16">
        <f t="shared" si="21"/>
        <v>55</v>
      </c>
      <c r="J58" s="16">
        <f t="shared" si="21"/>
        <v>18</v>
      </c>
      <c r="K58" s="16">
        <f t="shared" si="21"/>
        <v>20</v>
      </c>
      <c r="L58" s="16">
        <f t="shared" si="21"/>
        <v>2</v>
      </c>
      <c r="M58" s="16">
        <f t="shared" si="21"/>
        <v>262</v>
      </c>
      <c r="N58" s="16">
        <f t="shared" si="21"/>
        <v>0</v>
      </c>
      <c r="O58" s="16">
        <f t="shared" si="21"/>
        <v>247</v>
      </c>
      <c r="P58" s="16">
        <f t="shared" si="21"/>
        <v>517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0.18181818181818182</v>
      </c>
      <c r="D59" s="43">
        <f t="shared" si="22"/>
        <v>1.9342359767891684E-2</v>
      </c>
      <c r="E59" s="43">
        <f t="shared" si="22"/>
        <v>4.0618955512572531E-2</v>
      </c>
      <c r="F59" s="43">
        <f t="shared" si="22"/>
        <v>6.3829787234042548E-2</v>
      </c>
      <c r="G59" s="43">
        <f t="shared" si="22"/>
        <v>3.8684719535783366E-3</v>
      </c>
      <c r="H59" s="43">
        <f t="shared" si="22"/>
        <v>0</v>
      </c>
      <c r="I59" s="43">
        <f t="shared" si="22"/>
        <v>0.10638297872340426</v>
      </c>
      <c r="J59" s="43">
        <f t="shared" si="22"/>
        <v>3.4816247582205029E-2</v>
      </c>
      <c r="K59" s="43">
        <f t="shared" si="22"/>
        <v>3.8684719535783368E-2</v>
      </c>
      <c r="L59" s="43">
        <f t="shared" si="22"/>
        <v>3.8684719535783366E-3</v>
      </c>
      <c r="M59" s="43">
        <f t="shared" si="22"/>
        <v>0.50676982591876207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0.38056680161943318</v>
      </c>
      <c r="D60" s="44">
        <f t="shared" ref="D60:N60" si="23">D58/$O$58</f>
        <v>4.048582995951417E-2</v>
      </c>
      <c r="E60" s="44">
        <f t="shared" si="23"/>
        <v>8.5020242914979755E-2</v>
      </c>
      <c r="F60" s="44">
        <f t="shared" si="23"/>
        <v>0.13360323886639677</v>
      </c>
      <c r="G60" s="44">
        <f t="shared" si="23"/>
        <v>8.0971659919028341E-3</v>
      </c>
      <c r="H60" s="44">
        <f t="shared" si="23"/>
        <v>0</v>
      </c>
      <c r="I60" s="44">
        <f t="shared" si="23"/>
        <v>0.22267206477732793</v>
      </c>
      <c r="J60" s="44">
        <f t="shared" si="23"/>
        <v>7.28744939271255E-2</v>
      </c>
      <c r="K60" s="44">
        <f t="shared" si="23"/>
        <v>8.0971659919028341E-2</v>
      </c>
      <c r="L60" s="44">
        <f t="shared" si="23"/>
        <v>8.0971659919028341E-3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activeCellId="6" sqref="C3:G3 D5 D6:E6 G5:H5 G6:H6 K5:L5 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MASAKA SEMBABULE'!C3:G3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179</v>
      </c>
      <c r="E5" s="3"/>
      <c r="F5" s="41" t="s">
        <v>1</v>
      </c>
      <c r="G5" s="63" t="str">
        <f>'17.10 SEMBABULE-MASAKA'!G5:H5</f>
        <v>KIWUULA TRADING CENTRE</v>
      </c>
      <c r="H5" s="64"/>
      <c r="I5" s="14"/>
      <c r="J5" s="2" t="s">
        <v>5</v>
      </c>
      <c r="K5" s="63" t="str">
        <f>'17.10 SEMBABULE-MASAKA'!K5:L5</f>
        <v>KIVUMBI GEORGE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tr">
        <f>'17.10 SEMBABULE-MASAKA'!K6:L6</f>
        <v>GEORGE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1</v>
      </c>
      <c r="G10" s="50">
        <v>0</v>
      </c>
      <c r="H10" s="50">
        <v>1</v>
      </c>
      <c r="I10" s="50">
        <v>1</v>
      </c>
      <c r="J10" s="50">
        <v>1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9</v>
      </c>
      <c r="T10" s="17">
        <f t="shared" si="2"/>
        <v>1</v>
      </c>
      <c r="U10" s="17">
        <f t="shared" si="2"/>
        <v>1</v>
      </c>
      <c r="V10" s="17">
        <f t="shared" si="2"/>
        <v>2</v>
      </c>
      <c r="W10" s="17">
        <f t="shared" si="2"/>
        <v>1</v>
      </c>
      <c r="X10" s="17">
        <f t="shared" si="2"/>
        <v>1</v>
      </c>
      <c r="Y10" s="17">
        <f t="shared" si="2"/>
        <v>4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13</v>
      </c>
      <c r="AD10" s="17">
        <f t="shared" si="2"/>
        <v>0</v>
      </c>
      <c r="AE10" s="31">
        <f t="shared" si="2"/>
        <v>21</v>
      </c>
      <c r="AF10" s="31">
        <f t="shared" si="2"/>
        <v>34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4</v>
      </c>
      <c r="P11" s="15">
        <f t="shared" si="1"/>
        <v>8</v>
      </c>
      <c r="R11" s="1" t="s">
        <v>7</v>
      </c>
      <c r="S11" s="17">
        <f t="shared" ref="S11:AF11" si="3">SUM(C14:C17)</f>
        <v>12</v>
      </c>
      <c r="T11" s="17">
        <f t="shared" si="3"/>
        <v>0</v>
      </c>
      <c r="U11" s="17">
        <f t="shared" si="3"/>
        <v>4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15</v>
      </c>
      <c r="AD11" s="17">
        <f t="shared" si="3"/>
        <v>0</v>
      </c>
      <c r="AE11" s="31">
        <f t="shared" si="3"/>
        <v>30</v>
      </c>
      <c r="AF11" s="31">
        <f t="shared" si="3"/>
        <v>45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1</v>
      </c>
      <c r="G12" s="50">
        <v>1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2</v>
      </c>
      <c r="N12" s="50">
        <v>0</v>
      </c>
      <c r="O12" s="15">
        <f t="shared" si="0"/>
        <v>6</v>
      </c>
      <c r="P12" s="15">
        <f t="shared" si="1"/>
        <v>8</v>
      </c>
      <c r="R12" s="1" t="s">
        <v>8</v>
      </c>
      <c r="S12" s="17">
        <f t="shared" ref="S12:AF12" si="4">SUM(C18:C21)</f>
        <v>10</v>
      </c>
      <c r="T12" s="17">
        <f t="shared" si="4"/>
        <v>0</v>
      </c>
      <c r="U12" s="17">
        <f t="shared" si="4"/>
        <v>1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3</v>
      </c>
      <c r="AA12" s="17">
        <f t="shared" si="4"/>
        <v>1</v>
      </c>
      <c r="AB12" s="17">
        <f t="shared" si="4"/>
        <v>0</v>
      </c>
      <c r="AC12" s="17">
        <f t="shared" si="4"/>
        <v>17</v>
      </c>
      <c r="AD12" s="17">
        <f t="shared" si="4"/>
        <v>0</v>
      </c>
      <c r="AE12" s="31">
        <f t="shared" si="4"/>
        <v>24</v>
      </c>
      <c r="AF12" s="31">
        <f t="shared" si="4"/>
        <v>41</v>
      </c>
    </row>
    <row r="13" spans="2:32" ht="23.1" customHeight="1" x14ac:dyDescent="0.25">
      <c r="B13" s="23" t="s">
        <v>40</v>
      </c>
      <c r="C13" s="50">
        <v>3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5</v>
      </c>
      <c r="P13" s="15">
        <f t="shared" si="1"/>
        <v>9</v>
      </c>
      <c r="R13" s="1" t="s">
        <v>9</v>
      </c>
      <c r="S13" s="17">
        <f t="shared" ref="S13:AF13" si="5">SUM(C22:C25)</f>
        <v>7</v>
      </c>
      <c r="T13" s="17">
        <f t="shared" si="5"/>
        <v>2</v>
      </c>
      <c r="U13" s="17">
        <f t="shared" si="5"/>
        <v>0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2</v>
      </c>
      <c r="AA13" s="17">
        <f t="shared" si="5"/>
        <v>4</v>
      </c>
      <c r="AB13" s="17">
        <f t="shared" si="5"/>
        <v>0</v>
      </c>
      <c r="AC13" s="17">
        <f t="shared" si="5"/>
        <v>20</v>
      </c>
      <c r="AD13" s="17">
        <f t="shared" si="5"/>
        <v>0</v>
      </c>
      <c r="AE13" s="31">
        <f t="shared" si="5"/>
        <v>26</v>
      </c>
      <c r="AF13" s="31">
        <f t="shared" si="5"/>
        <v>46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3</v>
      </c>
      <c r="N14" s="50">
        <v>0</v>
      </c>
      <c r="O14" s="15">
        <f t="shared" si="0"/>
        <v>9</v>
      </c>
      <c r="P14" s="15">
        <f t="shared" si="1"/>
        <v>12</v>
      </c>
      <c r="R14" s="1" t="s">
        <v>10</v>
      </c>
      <c r="S14" s="17">
        <f t="shared" ref="S14:AF14" si="6">SUM(C26:C29)</f>
        <v>9</v>
      </c>
      <c r="T14" s="17">
        <f t="shared" si="6"/>
        <v>1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1</v>
      </c>
      <c r="AB14" s="17">
        <f t="shared" si="6"/>
        <v>0</v>
      </c>
      <c r="AC14" s="17">
        <f t="shared" si="6"/>
        <v>14</v>
      </c>
      <c r="AD14" s="17">
        <f t="shared" si="6"/>
        <v>0</v>
      </c>
      <c r="AE14" s="31">
        <f t="shared" si="6"/>
        <v>16</v>
      </c>
      <c r="AF14" s="31">
        <f t="shared" si="6"/>
        <v>30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4</v>
      </c>
      <c r="F15" s="50">
        <v>1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11</v>
      </c>
      <c r="P15" s="15">
        <f t="shared" si="1"/>
        <v>13</v>
      </c>
      <c r="R15" s="1" t="s">
        <v>11</v>
      </c>
      <c r="S15" s="17">
        <f t="shared" ref="S15:AF15" si="7">SUM(C30:C33)</f>
        <v>13</v>
      </c>
      <c r="T15" s="17">
        <f t="shared" si="7"/>
        <v>1</v>
      </c>
      <c r="U15" s="17">
        <f t="shared" si="7"/>
        <v>4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4</v>
      </c>
      <c r="AB15" s="17">
        <f t="shared" si="7"/>
        <v>0</v>
      </c>
      <c r="AC15" s="17">
        <f t="shared" si="7"/>
        <v>15</v>
      </c>
      <c r="AD15" s="17">
        <f t="shared" si="7"/>
        <v>0</v>
      </c>
      <c r="AE15" s="31">
        <f t="shared" si="7"/>
        <v>28</v>
      </c>
      <c r="AF15" s="31">
        <f t="shared" si="7"/>
        <v>43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6</v>
      </c>
      <c r="P16" s="15">
        <f t="shared" si="1"/>
        <v>10</v>
      </c>
      <c r="R16" s="1" t="s">
        <v>12</v>
      </c>
      <c r="S16" s="17">
        <f t="shared" ref="S16:AF16" si="8">SUM(C34:C37)</f>
        <v>7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3</v>
      </c>
      <c r="AB16" s="17">
        <f t="shared" si="8"/>
        <v>0</v>
      </c>
      <c r="AC16" s="17">
        <f t="shared" si="8"/>
        <v>25</v>
      </c>
      <c r="AD16" s="17">
        <f t="shared" si="8"/>
        <v>0</v>
      </c>
      <c r="AE16" s="31">
        <f t="shared" si="8"/>
        <v>15</v>
      </c>
      <c r="AF16" s="31">
        <f t="shared" si="8"/>
        <v>40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0</v>
      </c>
      <c r="M17" s="50">
        <v>6</v>
      </c>
      <c r="N17" s="50">
        <v>0</v>
      </c>
      <c r="O17" s="15">
        <f t="shared" si="0"/>
        <v>4</v>
      </c>
      <c r="P17" s="15">
        <f t="shared" si="1"/>
        <v>10</v>
      </c>
      <c r="R17" s="1" t="s">
        <v>13</v>
      </c>
      <c r="S17" s="17">
        <f t="shared" ref="S17:AF17" si="9">SUM(C38:C41)</f>
        <v>9</v>
      </c>
      <c r="T17" s="17">
        <f t="shared" si="9"/>
        <v>0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12</v>
      </c>
      <c r="AD17" s="17">
        <f t="shared" si="9"/>
        <v>0</v>
      </c>
      <c r="AE17" s="31">
        <f t="shared" si="9"/>
        <v>22</v>
      </c>
      <c r="AF17" s="31">
        <f t="shared" si="9"/>
        <v>34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7</v>
      </c>
      <c r="P18" s="15">
        <f t="shared" si="1"/>
        <v>10</v>
      </c>
      <c r="R18" s="1" t="s">
        <v>14</v>
      </c>
      <c r="S18" s="17">
        <f t="shared" ref="S18:AF18" si="10">SUM(C42:C45)</f>
        <v>9</v>
      </c>
      <c r="T18" s="17">
        <f t="shared" si="10"/>
        <v>2</v>
      </c>
      <c r="U18" s="17">
        <f t="shared" si="10"/>
        <v>3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5</v>
      </c>
      <c r="AA18" s="17">
        <f t="shared" si="10"/>
        <v>7</v>
      </c>
      <c r="AB18" s="17">
        <f t="shared" si="10"/>
        <v>0</v>
      </c>
      <c r="AC18" s="17">
        <f t="shared" si="10"/>
        <v>18</v>
      </c>
      <c r="AD18" s="17">
        <f t="shared" si="10"/>
        <v>0</v>
      </c>
      <c r="AE18" s="31">
        <f t="shared" si="10"/>
        <v>31</v>
      </c>
      <c r="AF18" s="31">
        <f t="shared" si="10"/>
        <v>49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2</v>
      </c>
      <c r="P19" s="15">
        <f t="shared" si="1"/>
        <v>7</v>
      </c>
      <c r="R19" s="1" t="s">
        <v>15</v>
      </c>
      <c r="S19" s="17">
        <f t="shared" ref="S19:AF19" si="11">SUM(C46:C49)</f>
        <v>5</v>
      </c>
      <c r="T19" s="17">
        <f t="shared" si="11"/>
        <v>5</v>
      </c>
      <c r="U19" s="17">
        <f t="shared" si="11"/>
        <v>2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9</v>
      </c>
      <c r="AA19" s="17">
        <f t="shared" si="11"/>
        <v>0</v>
      </c>
      <c r="AB19" s="17">
        <f t="shared" si="11"/>
        <v>0</v>
      </c>
      <c r="AC19" s="17">
        <f t="shared" si="11"/>
        <v>7</v>
      </c>
      <c r="AD19" s="17">
        <f t="shared" si="11"/>
        <v>0</v>
      </c>
      <c r="AE19" s="31">
        <f t="shared" si="11"/>
        <v>28</v>
      </c>
      <c r="AF19" s="31">
        <f t="shared" si="11"/>
        <v>35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3</v>
      </c>
      <c r="J20" s="50">
        <v>1</v>
      </c>
      <c r="K20" s="50">
        <v>1</v>
      </c>
      <c r="L20" s="50">
        <v>0</v>
      </c>
      <c r="M20" s="50">
        <v>5</v>
      </c>
      <c r="N20" s="50">
        <v>0</v>
      </c>
      <c r="O20" s="15">
        <f t="shared" si="0"/>
        <v>11</v>
      </c>
      <c r="P20" s="15">
        <f t="shared" si="1"/>
        <v>16</v>
      </c>
      <c r="R20" s="1" t="s">
        <v>16</v>
      </c>
      <c r="S20" s="17">
        <f t="shared" ref="S20:AF20" si="12">SUM(C50:C53)</f>
        <v>13</v>
      </c>
      <c r="T20" s="17">
        <f t="shared" si="12"/>
        <v>1</v>
      </c>
      <c r="U20" s="17">
        <f t="shared" si="12"/>
        <v>1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9</v>
      </c>
      <c r="Z20" s="17">
        <f t="shared" si="12"/>
        <v>1</v>
      </c>
      <c r="AA20" s="17">
        <f t="shared" si="12"/>
        <v>2</v>
      </c>
      <c r="AB20" s="17">
        <f t="shared" si="12"/>
        <v>0</v>
      </c>
      <c r="AC20" s="17">
        <f t="shared" si="12"/>
        <v>18</v>
      </c>
      <c r="AD20" s="17">
        <f t="shared" si="12"/>
        <v>0</v>
      </c>
      <c r="AE20" s="31">
        <f t="shared" si="12"/>
        <v>29</v>
      </c>
      <c r="AF20" s="31">
        <f t="shared" si="12"/>
        <v>47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4</v>
      </c>
      <c r="P21" s="15">
        <f t="shared" si="1"/>
        <v>8</v>
      </c>
      <c r="R21" s="36" t="s">
        <v>20</v>
      </c>
      <c r="S21" s="34">
        <f t="shared" ref="S21:AF21" si="13">SUM(C54:C57)</f>
        <v>6</v>
      </c>
      <c r="T21" s="17">
        <f t="shared" si="13"/>
        <v>2</v>
      </c>
      <c r="U21" s="17">
        <f t="shared" si="13"/>
        <v>6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2</v>
      </c>
      <c r="AA21" s="17">
        <f t="shared" si="13"/>
        <v>2</v>
      </c>
      <c r="AB21" s="17">
        <f t="shared" si="13"/>
        <v>0</v>
      </c>
      <c r="AC21" s="17">
        <f t="shared" si="13"/>
        <v>24</v>
      </c>
      <c r="AD21" s="17">
        <f t="shared" si="13"/>
        <v>0</v>
      </c>
      <c r="AE21" s="31">
        <f t="shared" si="13"/>
        <v>21</v>
      </c>
      <c r="AF21" s="31">
        <f t="shared" si="13"/>
        <v>45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6</v>
      </c>
      <c r="P22" s="15">
        <f t="shared" si="1"/>
        <v>10</v>
      </c>
      <c r="R22" s="38" t="s">
        <v>90</v>
      </c>
      <c r="S22" s="39">
        <f>MAX(S10:S12)</f>
        <v>12</v>
      </c>
      <c r="T22" s="39">
        <f t="shared" ref="T22:AF22" si="14">MAX(T10:T12)</f>
        <v>1</v>
      </c>
      <c r="U22" s="39">
        <f t="shared" si="14"/>
        <v>4</v>
      </c>
      <c r="V22" s="39">
        <f t="shared" si="14"/>
        <v>5</v>
      </c>
      <c r="W22" s="39">
        <f t="shared" si="14"/>
        <v>1</v>
      </c>
      <c r="X22" s="39">
        <f t="shared" si="14"/>
        <v>1</v>
      </c>
      <c r="Y22" s="39">
        <f t="shared" si="14"/>
        <v>6</v>
      </c>
      <c r="Z22" s="39">
        <f t="shared" si="14"/>
        <v>3</v>
      </c>
      <c r="AA22" s="39">
        <f t="shared" si="14"/>
        <v>2</v>
      </c>
      <c r="AB22" s="39">
        <f t="shared" si="14"/>
        <v>0</v>
      </c>
      <c r="AC22" s="39">
        <f t="shared" si="14"/>
        <v>17</v>
      </c>
      <c r="AD22" s="39">
        <f t="shared" si="14"/>
        <v>0</v>
      </c>
      <c r="AE22" s="40">
        <f t="shared" si="14"/>
        <v>30</v>
      </c>
      <c r="AF22" s="40">
        <f t="shared" si="14"/>
        <v>45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1</v>
      </c>
      <c r="J23" s="50">
        <v>1</v>
      </c>
      <c r="K23" s="50">
        <v>3</v>
      </c>
      <c r="L23" s="50">
        <v>0</v>
      </c>
      <c r="M23" s="50">
        <v>5</v>
      </c>
      <c r="N23" s="50">
        <v>0</v>
      </c>
      <c r="O23" s="15">
        <f t="shared" si="0"/>
        <v>9</v>
      </c>
      <c r="P23" s="15">
        <f t="shared" si="1"/>
        <v>14</v>
      </c>
      <c r="R23" s="38" t="s">
        <v>91</v>
      </c>
      <c r="S23" s="39">
        <f>MAX(S13:S18)</f>
        <v>13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6</v>
      </c>
      <c r="W23" s="39">
        <f t="shared" si="15"/>
        <v>0</v>
      </c>
      <c r="X23" s="39">
        <f t="shared" si="15"/>
        <v>0</v>
      </c>
      <c r="Y23" s="39">
        <f t="shared" si="15"/>
        <v>7</v>
      </c>
      <c r="Z23" s="39">
        <f t="shared" si="15"/>
        <v>5</v>
      </c>
      <c r="AA23" s="39">
        <f t="shared" si="15"/>
        <v>7</v>
      </c>
      <c r="AB23" s="39">
        <f t="shared" si="15"/>
        <v>0</v>
      </c>
      <c r="AC23" s="39">
        <f t="shared" si="15"/>
        <v>25</v>
      </c>
      <c r="AD23" s="39">
        <f t="shared" si="15"/>
        <v>0</v>
      </c>
      <c r="AE23" s="40">
        <f t="shared" si="15"/>
        <v>31</v>
      </c>
      <c r="AF23" s="40">
        <f t="shared" si="15"/>
        <v>49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6</v>
      </c>
      <c r="N24" s="50">
        <v>0</v>
      </c>
      <c r="O24" s="15">
        <f t="shared" si="0"/>
        <v>7</v>
      </c>
      <c r="P24" s="15">
        <f t="shared" si="1"/>
        <v>13</v>
      </c>
      <c r="R24" s="38" t="s">
        <v>92</v>
      </c>
      <c r="S24" s="39">
        <f>MAX(S19:S21)</f>
        <v>13</v>
      </c>
      <c r="T24" s="39">
        <f t="shared" ref="T24:AF24" si="16">MAX(T19:T21)</f>
        <v>5</v>
      </c>
      <c r="U24" s="39">
        <f t="shared" si="16"/>
        <v>6</v>
      </c>
      <c r="V24" s="39">
        <f t="shared" si="16"/>
        <v>3</v>
      </c>
      <c r="W24" s="39">
        <f t="shared" si="16"/>
        <v>1</v>
      </c>
      <c r="X24" s="39">
        <f t="shared" si="16"/>
        <v>0</v>
      </c>
      <c r="Y24" s="39">
        <f t="shared" si="16"/>
        <v>9</v>
      </c>
      <c r="Z24" s="39">
        <f t="shared" si="16"/>
        <v>9</v>
      </c>
      <c r="AA24" s="39">
        <f t="shared" si="16"/>
        <v>2</v>
      </c>
      <c r="AB24" s="39">
        <f t="shared" si="16"/>
        <v>0</v>
      </c>
      <c r="AC24" s="39">
        <f t="shared" si="16"/>
        <v>24</v>
      </c>
      <c r="AD24" s="39">
        <f t="shared" si="16"/>
        <v>0</v>
      </c>
      <c r="AE24" s="40">
        <f t="shared" si="16"/>
        <v>29</v>
      </c>
      <c r="AF24" s="40">
        <f t="shared" si="16"/>
        <v>47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4</v>
      </c>
      <c r="P25" s="15">
        <f t="shared" si="1"/>
        <v>9</v>
      </c>
      <c r="R25" s="37" t="s">
        <v>85</v>
      </c>
      <c r="S25" s="35">
        <f t="shared" ref="S25:AF25" si="17">SUM(S10:S12)</f>
        <v>31</v>
      </c>
      <c r="T25" s="16">
        <f t="shared" si="17"/>
        <v>1</v>
      </c>
      <c r="U25" s="16">
        <f t="shared" si="17"/>
        <v>6</v>
      </c>
      <c r="V25" s="16">
        <f t="shared" si="17"/>
        <v>10</v>
      </c>
      <c r="W25" s="16">
        <f t="shared" si="17"/>
        <v>1</v>
      </c>
      <c r="X25" s="16">
        <f t="shared" si="17"/>
        <v>1</v>
      </c>
      <c r="Y25" s="16">
        <f t="shared" si="17"/>
        <v>16</v>
      </c>
      <c r="Z25" s="16">
        <f t="shared" si="17"/>
        <v>5</v>
      </c>
      <c r="AA25" s="16">
        <f t="shared" si="17"/>
        <v>4</v>
      </c>
      <c r="AB25" s="16">
        <f t="shared" si="17"/>
        <v>0</v>
      </c>
      <c r="AC25" s="16">
        <f t="shared" si="17"/>
        <v>45</v>
      </c>
      <c r="AD25" s="16">
        <f t="shared" si="17"/>
        <v>0</v>
      </c>
      <c r="AE25" s="32">
        <f t="shared" si="17"/>
        <v>75</v>
      </c>
      <c r="AF25" s="32">
        <f t="shared" si="17"/>
        <v>120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5</v>
      </c>
      <c r="P26" s="15">
        <f t="shared" si="1"/>
        <v>7</v>
      </c>
      <c r="R26" s="28" t="s">
        <v>86</v>
      </c>
      <c r="S26" s="16">
        <f t="shared" ref="S26:AF26" si="18">SUM(S13:S18)</f>
        <v>54</v>
      </c>
      <c r="T26" s="16">
        <f t="shared" si="18"/>
        <v>7</v>
      </c>
      <c r="U26" s="16">
        <f t="shared" si="18"/>
        <v>10</v>
      </c>
      <c r="V26" s="16">
        <f t="shared" si="18"/>
        <v>14</v>
      </c>
      <c r="W26" s="16">
        <f t="shared" si="18"/>
        <v>0</v>
      </c>
      <c r="X26" s="16">
        <f t="shared" si="18"/>
        <v>0</v>
      </c>
      <c r="Y26" s="16">
        <f t="shared" si="18"/>
        <v>23</v>
      </c>
      <c r="Z26" s="16">
        <f t="shared" si="18"/>
        <v>9</v>
      </c>
      <c r="AA26" s="16">
        <f t="shared" si="18"/>
        <v>21</v>
      </c>
      <c r="AB26" s="16">
        <f t="shared" si="18"/>
        <v>0</v>
      </c>
      <c r="AC26" s="16">
        <f t="shared" si="18"/>
        <v>104</v>
      </c>
      <c r="AD26" s="16">
        <f t="shared" si="18"/>
        <v>0</v>
      </c>
      <c r="AE26" s="32">
        <f t="shared" si="18"/>
        <v>138</v>
      </c>
      <c r="AF26" s="32">
        <f t="shared" si="18"/>
        <v>242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1</v>
      </c>
      <c r="P27" s="15">
        <f t="shared" si="1"/>
        <v>8</v>
      </c>
      <c r="R27" s="29" t="s">
        <v>87</v>
      </c>
      <c r="S27" s="16">
        <f t="shared" ref="S27:AF27" si="19">SUM(S19:S21)</f>
        <v>24</v>
      </c>
      <c r="T27" s="16">
        <f t="shared" si="19"/>
        <v>8</v>
      </c>
      <c r="U27" s="16">
        <f t="shared" si="19"/>
        <v>9</v>
      </c>
      <c r="V27" s="16">
        <f t="shared" si="19"/>
        <v>4</v>
      </c>
      <c r="W27" s="16">
        <f t="shared" si="19"/>
        <v>1</v>
      </c>
      <c r="X27" s="16">
        <f t="shared" si="19"/>
        <v>0</v>
      </c>
      <c r="Y27" s="16">
        <f t="shared" si="19"/>
        <v>16</v>
      </c>
      <c r="Z27" s="16">
        <f t="shared" si="19"/>
        <v>12</v>
      </c>
      <c r="AA27" s="16">
        <f t="shared" si="19"/>
        <v>4</v>
      </c>
      <c r="AB27" s="16">
        <f t="shared" si="19"/>
        <v>0</v>
      </c>
      <c r="AC27" s="16">
        <f t="shared" si="19"/>
        <v>49</v>
      </c>
      <c r="AD27" s="16">
        <f t="shared" si="19"/>
        <v>0</v>
      </c>
      <c r="AE27" s="32">
        <f t="shared" si="19"/>
        <v>78</v>
      </c>
      <c r="AF27" s="32">
        <f t="shared" si="19"/>
        <v>127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2</v>
      </c>
      <c r="P28" s="15">
        <f t="shared" si="1"/>
        <v>5</v>
      </c>
      <c r="R28" s="5" t="s">
        <v>17</v>
      </c>
      <c r="S28" s="16">
        <f t="shared" ref="S28:AF28" si="20">SUM(S10:S21)</f>
        <v>109</v>
      </c>
      <c r="T28" s="16">
        <f t="shared" si="20"/>
        <v>16</v>
      </c>
      <c r="U28" s="16">
        <f t="shared" si="20"/>
        <v>25</v>
      </c>
      <c r="V28" s="16">
        <f t="shared" si="20"/>
        <v>28</v>
      </c>
      <c r="W28" s="16">
        <f t="shared" si="20"/>
        <v>2</v>
      </c>
      <c r="X28" s="16">
        <f t="shared" si="20"/>
        <v>1</v>
      </c>
      <c r="Y28" s="16">
        <f t="shared" si="20"/>
        <v>55</v>
      </c>
      <c r="Z28" s="16">
        <f t="shared" si="20"/>
        <v>26</v>
      </c>
      <c r="AA28" s="16">
        <f t="shared" si="20"/>
        <v>29</v>
      </c>
      <c r="AB28" s="16">
        <f t="shared" si="20"/>
        <v>0</v>
      </c>
      <c r="AC28" s="16">
        <f t="shared" si="20"/>
        <v>198</v>
      </c>
      <c r="AD28" s="16">
        <f t="shared" si="20"/>
        <v>0</v>
      </c>
      <c r="AE28" s="32">
        <f t="shared" si="20"/>
        <v>291</v>
      </c>
      <c r="AF28" s="32">
        <f t="shared" si="20"/>
        <v>489</v>
      </c>
    </row>
    <row r="29" spans="2:32" ht="23.1" customHeight="1" x14ac:dyDescent="0.25">
      <c r="B29" s="23" t="s">
        <v>56</v>
      </c>
      <c r="C29" s="50">
        <v>5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0</v>
      </c>
      <c r="M29" s="50">
        <v>2</v>
      </c>
      <c r="N29" s="50">
        <v>0</v>
      </c>
      <c r="O29" s="15">
        <f t="shared" si="0"/>
        <v>8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3</v>
      </c>
      <c r="N30" s="50">
        <v>0</v>
      </c>
      <c r="O30" s="15">
        <f t="shared" si="0"/>
        <v>6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8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2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2</v>
      </c>
      <c r="N32" s="50">
        <v>0</v>
      </c>
      <c r="O32" s="15">
        <f t="shared" si="0"/>
        <v>8</v>
      </c>
      <c r="P32" s="15">
        <f t="shared" si="1"/>
        <v>10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2</v>
      </c>
      <c r="L33" s="50">
        <v>0</v>
      </c>
      <c r="M33" s="50">
        <v>3</v>
      </c>
      <c r="N33" s="50">
        <v>0</v>
      </c>
      <c r="O33" s="15">
        <f t="shared" si="0"/>
        <v>6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2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1</v>
      </c>
      <c r="L36" s="50">
        <v>0</v>
      </c>
      <c r="M36" s="50">
        <v>7</v>
      </c>
      <c r="N36" s="50">
        <v>0</v>
      </c>
      <c r="O36" s="15">
        <f t="shared" si="0"/>
        <v>5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2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1</v>
      </c>
      <c r="K37" s="50">
        <v>2</v>
      </c>
      <c r="L37" s="50">
        <v>0</v>
      </c>
      <c r="M37" s="50">
        <v>9</v>
      </c>
      <c r="N37" s="50">
        <v>0</v>
      </c>
      <c r="O37" s="15">
        <f t="shared" si="0"/>
        <v>7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4</v>
      </c>
      <c r="P38" s="15">
        <f t="shared" si="1"/>
        <v>9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1</v>
      </c>
      <c r="N39" s="50">
        <v>0</v>
      </c>
      <c r="O39" s="15">
        <f t="shared" si="0"/>
        <v>2</v>
      </c>
      <c r="P39" s="15">
        <f t="shared" si="1"/>
        <v>3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4</v>
      </c>
      <c r="J40" s="50">
        <v>0</v>
      </c>
      <c r="K40" s="50">
        <v>1</v>
      </c>
      <c r="L40" s="50">
        <v>0</v>
      </c>
      <c r="M40" s="50">
        <v>1</v>
      </c>
      <c r="N40" s="50">
        <v>0</v>
      </c>
      <c r="O40" s="15">
        <f t="shared" si="0"/>
        <v>11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5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2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0</v>
      </c>
      <c r="M42" s="50">
        <v>3</v>
      </c>
      <c r="N42" s="50">
        <v>0</v>
      </c>
      <c r="O42" s="15">
        <f t="shared" si="0"/>
        <v>5</v>
      </c>
      <c r="P42" s="15">
        <f t="shared" si="1"/>
        <v>8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4</v>
      </c>
      <c r="P43" s="15">
        <f t="shared" si="1"/>
        <v>9</v>
      </c>
    </row>
    <row r="44" spans="2:20" ht="23.1" customHeight="1" x14ac:dyDescent="0.25">
      <c r="B44" s="25" t="s">
        <v>71</v>
      </c>
      <c r="C44" s="50">
        <v>2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4</v>
      </c>
      <c r="K44" s="50">
        <v>5</v>
      </c>
      <c r="L44" s="50">
        <v>0</v>
      </c>
      <c r="M44" s="50">
        <v>6</v>
      </c>
      <c r="N44" s="50">
        <v>0</v>
      </c>
      <c r="O44" s="15">
        <f t="shared" si="0"/>
        <v>13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1</v>
      </c>
      <c r="K45" s="50">
        <v>1</v>
      </c>
      <c r="L45" s="50">
        <v>0</v>
      </c>
      <c r="M45" s="50">
        <v>4</v>
      </c>
      <c r="N45" s="50">
        <v>0</v>
      </c>
      <c r="O45" s="15">
        <f t="shared" si="0"/>
        <v>9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2</v>
      </c>
      <c r="D46" s="50">
        <v>3</v>
      </c>
      <c r="E46" s="50">
        <v>1</v>
      </c>
      <c r="F46" s="50">
        <v>2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9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2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4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11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4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5</v>
      </c>
      <c r="P48" s="15">
        <f t="shared" si="1"/>
        <v>8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3</v>
      </c>
      <c r="P49" s="15">
        <f t="shared" si="1"/>
        <v>5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0</v>
      </c>
      <c r="F50" s="50">
        <v>0</v>
      </c>
      <c r="G50" s="50">
        <v>1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9</v>
      </c>
      <c r="P50" s="15">
        <f t="shared" si="1"/>
        <v>13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4</v>
      </c>
      <c r="J51" s="50">
        <v>1</v>
      </c>
      <c r="K51" s="50">
        <v>1</v>
      </c>
      <c r="L51" s="50">
        <v>0</v>
      </c>
      <c r="M51" s="50">
        <v>3</v>
      </c>
      <c r="N51" s="50">
        <v>0</v>
      </c>
      <c r="O51" s="15">
        <f t="shared" si="0"/>
        <v>8</v>
      </c>
      <c r="P51" s="15">
        <f t="shared" si="1"/>
        <v>11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6</v>
      </c>
      <c r="N52" s="50">
        <v>0</v>
      </c>
      <c r="O52" s="15">
        <f t="shared" si="0"/>
        <v>6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1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6</v>
      </c>
      <c r="P53" s="15">
        <f t="shared" si="1"/>
        <v>11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3</v>
      </c>
      <c r="F54" s="50">
        <v>0</v>
      </c>
      <c r="G54" s="50">
        <v>0</v>
      </c>
      <c r="H54" s="50">
        <v>0</v>
      </c>
      <c r="I54" s="50">
        <v>1</v>
      </c>
      <c r="J54" s="50">
        <v>2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7</v>
      </c>
      <c r="P54" s="15">
        <f t="shared" si="1"/>
        <v>14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2</v>
      </c>
      <c r="L55" s="50">
        <v>0</v>
      </c>
      <c r="M55" s="50">
        <v>6</v>
      </c>
      <c r="N55" s="50">
        <v>0</v>
      </c>
      <c r="O55" s="15">
        <f t="shared" si="0"/>
        <v>7</v>
      </c>
      <c r="P55" s="15">
        <f t="shared" si="1"/>
        <v>13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2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2</v>
      </c>
      <c r="P56" s="15">
        <f t="shared" si="1"/>
        <v>8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5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109</v>
      </c>
      <c r="D58" s="16">
        <f t="shared" si="21"/>
        <v>16</v>
      </c>
      <c r="E58" s="16">
        <f t="shared" si="21"/>
        <v>25</v>
      </c>
      <c r="F58" s="16">
        <f t="shared" si="21"/>
        <v>28</v>
      </c>
      <c r="G58" s="16">
        <f t="shared" si="21"/>
        <v>2</v>
      </c>
      <c r="H58" s="16">
        <f t="shared" si="21"/>
        <v>1</v>
      </c>
      <c r="I58" s="16">
        <f t="shared" si="21"/>
        <v>55</v>
      </c>
      <c r="J58" s="16">
        <f t="shared" si="21"/>
        <v>26</v>
      </c>
      <c r="K58" s="16">
        <f t="shared" si="21"/>
        <v>29</v>
      </c>
      <c r="L58" s="16">
        <f t="shared" si="21"/>
        <v>0</v>
      </c>
      <c r="M58" s="16">
        <f t="shared" si="21"/>
        <v>198</v>
      </c>
      <c r="N58" s="16">
        <f t="shared" si="21"/>
        <v>0</v>
      </c>
      <c r="O58" s="16">
        <f t="shared" si="21"/>
        <v>291</v>
      </c>
      <c r="P58" s="16">
        <f t="shared" si="21"/>
        <v>489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0.22290388548057261</v>
      </c>
      <c r="D59" s="43">
        <f t="shared" si="22"/>
        <v>3.2719836400817999E-2</v>
      </c>
      <c r="E59" s="43">
        <f t="shared" si="22"/>
        <v>5.112474437627812E-2</v>
      </c>
      <c r="F59" s="43">
        <f t="shared" si="22"/>
        <v>5.7259713701431493E-2</v>
      </c>
      <c r="G59" s="43">
        <f t="shared" si="22"/>
        <v>4.0899795501022499E-3</v>
      </c>
      <c r="H59" s="43">
        <f t="shared" si="22"/>
        <v>2.0449897750511249E-3</v>
      </c>
      <c r="I59" s="43">
        <f t="shared" si="22"/>
        <v>0.11247443762781185</v>
      </c>
      <c r="J59" s="43">
        <f t="shared" si="22"/>
        <v>5.3169734151329244E-2</v>
      </c>
      <c r="K59" s="43">
        <f t="shared" si="22"/>
        <v>5.9304703476482618E-2</v>
      </c>
      <c r="L59" s="43">
        <f t="shared" si="22"/>
        <v>0</v>
      </c>
      <c r="M59" s="43">
        <f t="shared" si="22"/>
        <v>0.40490797546012269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0.37457044673539519</v>
      </c>
      <c r="D60" s="44">
        <f t="shared" ref="D60:N60" si="23">D58/$O$58</f>
        <v>5.4982817869415807E-2</v>
      </c>
      <c r="E60" s="44">
        <f t="shared" si="23"/>
        <v>8.5910652920962199E-2</v>
      </c>
      <c r="F60" s="44">
        <f t="shared" si="23"/>
        <v>9.6219931271477668E-2</v>
      </c>
      <c r="G60" s="44">
        <f t="shared" si="23"/>
        <v>6.8728522336769758E-3</v>
      </c>
      <c r="H60" s="44">
        <f t="shared" si="23"/>
        <v>3.4364261168384879E-3</v>
      </c>
      <c r="I60" s="44">
        <f t="shared" si="23"/>
        <v>0.18900343642611683</v>
      </c>
      <c r="J60" s="44">
        <f t="shared" si="23"/>
        <v>8.9347079037800689E-2</v>
      </c>
      <c r="K60" s="44">
        <f t="shared" si="23"/>
        <v>9.9656357388316158E-2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activeCellId="6" sqref="C3:G3 D5 D6:E6 G6:H6 G5:H5 K5:L5 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180</v>
      </c>
      <c r="E5" s="3"/>
      <c r="F5" s="41" t="s">
        <v>1</v>
      </c>
      <c r="G5" s="63" t="str">
        <f>'19.10 MASAKA-SEMBABULE-24HRS'!G5:H5</f>
        <v>KIWUULA TC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166</v>
      </c>
      <c r="E6" s="64"/>
      <c r="F6" s="2" t="s">
        <v>2</v>
      </c>
      <c r="G6" s="63" t="s">
        <v>167</v>
      </c>
      <c r="H6" s="64"/>
      <c r="J6" s="2" t="s">
        <v>21</v>
      </c>
      <c r="K6" s="63" t="str">
        <f>'19.10 MASAKA-SEMBABULE-24HRS'!K6:L6</f>
        <v>KIVUMBI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2</v>
      </c>
      <c r="V10" s="17">
        <f t="shared" si="2"/>
        <v>0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24</v>
      </c>
      <c r="AD10" s="17">
        <f t="shared" si="2"/>
        <v>0</v>
      </c>
      <c r="AE10" s="31">
        <f t="shared" si="2"/>
        <v>12</v>
      </c>
      <c r="AF10" s="31">
        <f t="shared" si="2"/>
        <v>36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1</v>
      </c>
      <c r="P11" s="15">
        <f t="shared" si="1"/>
        <v>6</v>
      </c>
      <c r="R11" s="1" t="s">
        <v>7</v>
      </c>
      <c r="S11" s="17">
        <f t="shared" ref="S11:AF11" si="3">SUM(C14:C17)</f>
        <v>7</v>
      </c>
      <c r="T11" s="17">
        <f t="shared" si="3"/>
        <v>2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28</v>
      </c>
      <c r="AD11" s="17">
        <f t="shared" si="3"/>
        <v>0</v>
      </c>
      <c r="AE11" s="31">
        <f t="shared" si="3"/>
        <v>16</v>
      </c>
      <c r="AF11" s="31">
        <f t="shared" si="3"/>
        <v>44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1</v>
      </c>
      <c r="F12" s="50">
        <v>0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5</v>
      </c>
      <c r="P12" s="15">
        <f t="shared" si="1"/>
        <v>15</v>
      </c>
      <c r="R12" s="1" t="s">
        <v>8</v>
      </c>
      <c r="S12" s="17">
        <f t="shared" ref="S12:AF12" si="4">SUM(C18:C21)</f>
        <v>9</v>
      </c>
      <c r="T12" s="17">
        <f t="shared" si="4"/>
        <v>0</v>
      </c>
      <c r="U12" s="17">
        <f t="shared" si="4"/>
        <v>2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2</v>
      </c>
      <c r="AA12" s="17">
        <f t="shared" si="4"/>
        <v>2</v>
      </c>
      <c r="AB12" s="17">
        <f t="shared" si="4"/>
        <v>0</v>
      </c>
      <c r="AC12" s="17">
        <f t="shared" si="4"/>
        <v>23</v>
      </c>
      <c r="AD12" s="17">
        <f t="shared" si="4"/>
        <v>0</v>
      </c>
      <c r="AE12" s="31">
        <f t="shared" si="4"/>
        <v>20</v>
      </c>
      <c r="AF12" s="31">
        <f t="shared" si="4"/>
        <v>43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3</v>
      </c>
      <c r="P13" s="15">
        <f t="shared" si="1"/>
        <v>9</v>
      </c>
      <c r="R13" s="1" t="s">
        <v>9</v>
      </c>
      <c r="S13" s="17">
        <f t="shared" ref="S13:AF13" si="5">SUM(C22:C25)</f>
        <v>8</v>
      </c>
      <c r="T13" s="17">
        <f t="shared" si="5"/>
        <v>0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13</v>
      </c>
      <c r="AD13" s="17">
        <f t="shared" si="5"/>
        <v>0</v>
      </c>
      <c r="AE13" s="31">
        <f t="shared" si="5"/>
        <v>17</v>
      </c>
      <c r="AF13" s="31">
        <f t="shared" si="5"/>
        <v>30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5</v>
      </c>
      <c r="P14" s="15">
        <f t="shared" si="1"/>
        <v>10</v>
      </c>
      <c r="R14" s="1" t="s">
        <v>10</v>
      </c>
      <c r="S14" s="17">
        <f t="shared" ref="S14:AF14" si="6">SUM(C26:C29)</f>
        <v>7</v>
      </c>
      <c r="T14" s="17">
        <f t="shared" si="6"/>
        <v>0</v>
      </c>
      <c r="U14" s="17">
        <f t="shared" si="6"/>
        <v>3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3</v>
      </c>
      <c r="AA14" s="17">
        <f t="shared" si="6"/>
        <v>2</v>
      </c>
      <c r="AB14" s="17">
        <f t="shared" si="6"/>
        <v>0</v>
      </c>
      <c r="AC14" s="17">
        <f t="shared" si="6"/>
        <v>21</v>
      </c>
      <c r="AD14" s="17">
        <f t="shared" si="6"/>
        <v>0</v>
      </c>
      <c r="AE14" s="31">
        <f t="shared" si="6"/>
        <v>24</v>
      </c>
      <c r="AF14" s="31">
        <f t="shared" si="6"/>
        <v>45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3</v>
      </c>
      <c r="P15" s="15">
        <f t="shared" si="1"/>
        <v>11</v>
      </c>
      <c r="R15" s="1" t="s">
        <v>11</v>
      </c>
      <c r="S15" s="17">
        <f t="shared" ref="S15:AF15" si="7">SUM(C30:C33)</f>
        <v>12</v>
      </c>
      <c r="T15" s="17">
        <f t="shared" si="7"/>
        <v>1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3</v>
      </c>
      <c r="AA15" s="17">
        <f t="shared" si="7"/>
        <v>5</v>
      </c>
      <c r="AB15" s="17">
        <f t="shared" si="7"/>
        <v>0</v>
      </c>
      <c r="AC15" s="17">
        <f t="shared" si="7"/>
        <v>22</v>
      </c>
      <c r="AD15" s="17">
        <f t="shared" si="7"/>
        <v>0</v>
      </c>
      <c r="AE15" s="31">
        <f t="shared" si="7"/>
        <v>28</v>
      </c>
      <c r="AF15" s="31">
        <f t="shared" si="7"/>
        <v>50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3</v>
      </c>
      <c r="P16" s="15">
        <f t="shared" si="1"/>
        <v>10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3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17</v>
      </c>
      <c r="AD16" s="17">
        <f t="shared" si="8"/>
        <v>0</v>
      </c>
      <c r="AE16" s="31">
        <f t="shared" si="8"/>
        <v>20</v>
      </c>
      <c r="AF16" s="31">
        <f t="shared" si="8"/>
        <v>37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5</v>
      </c>
      <c r="P17" s="15">
        <f t="shared" si="1"/>
        <v>13</v>
      </c>
      <c r="R17" s="1" t="s">
        <v>13</v>
      </c>
      <c r="S17" s="17">
        <f t="shared" ref="S17:AF17" si="9">SUM(C38:C41)</f>
        <v>5</v>
      </c>
      <c r="T17" s="17">
        <f t="shared" si="9"/>
        <v>0</v>
      </c>
      <c r="U17" s="17">
        <f t="shared" si="9"/>
        <v>0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2</v>
      </c>
      <c r="AB17" s="17">
        <f t="shared" si="9"/>
        <v>0</v>
      </c>
      <c r="AC17" s="17">
        <f t="shared" si="9"/>
        <v>24</v>
      </c>
      <c r="AD17" s="17">
        <f t="shared" si="9"/>
        <v>0</v>
      </c>
      <c r="AE17" s="31">
        <f t="shared" si="9"/>
        <v>14</v>
      </c>
      <c r="AF17" s="31">
        <f t="shared" si="9"/>
        <v>38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2</v>
      </c>
      <c r="P18" s="15">
        <f t="shared" si="1"/>
        <v>5</v>
      </c>
      <c r="R18" s="1" t="s">
        <v>14</v>
      </c>
      <c r="S18" s="17">
        <f t="shared" ref="S18:AF18" si="10">SUM(C42:C45)</f>
        <v>7</v>
      </c>
      <c r="T18" s="17">
        <f t="shared" si="10"/>
        <v>2</v>
      </c>
      <c r="U18" s="17">
        <f t="shared" si="10"/>
        <v>0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28</v>
      </c>
      <c r="AD18" s="17">
        <f t="shared" si="10"/>
        <v>0</v>
      </c>
      <c r="AE18" s="31">
        <f t="shared" si="10"/>
        <v>21</v>
      </c>
      <c r="AF18" s="31">
        <f t="shared" si="10"/>
        <v>49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8</v>
      </c>
      <c r="N19" s="50">
        <v>0</v>
      </c>
      <c r="O19" s="15">
        <f t="shared" si="0"/>
        <v>4</v>
      </c>
      <c r="P19" s="15">
        <f t="shared" si="1"/>
        <v>12</v>
      </c>
      <c r="R19" s="1" t="s">
        <v>15</v>
      </c>
      <c r="S19" s="17">
        <f t="shared" ref="S19:AF19" si="11">SUM(C46:C49)</f>
        <v>4</v>
      </c>
      <c r="T19" s="17">
        <f t="shared" si="11"/>
        <v>2</v>
      </c>
      <c r="U19" s="17">
        <f t="shared" si="11"/>
        <v>4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5</v>
      </c>
      <c r="AA19" s="17">
        <f t="shared" si="11"/>
        <v>3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26</v>
      </c>
      <c r="AF19" s="31">
        <f t="shared" si="11"/>
        <v>48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2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6</v>
      </c>
      <c r="P20" s="15">
        <f t="shared" si="1"/>
        <v>13</v>
      </c>
      <c r="R20" s="1" t="s">
        <v>16</v>
      </c>
      <c r="S20" s="17">
        <f t="shared" ref="S20:AF20" si="12">SUM(C50:C53)</f>
        <v>9</v>
      </c>
      <c r="T20" s="17">
        <f t="shared" si="12"/>
        <v>2</v>
      </c>
      <c r="U20" s="17">
        <f t="shared" si="12"/>
        <v>1</v>
      </c>
      <c r="V20" s="17">
        <f t="shared" si="12"/>
        <v>7</v>
      </c>
      <c r="W20" s="17">
        <f t="shared" si="12"/>
        <v>2</v>
      </c>
      <c r="X20" s="17">
        <f t="shared" si="12"/>
        <v>0</v>
      </c>
      <c r="Y20" s="17">
        <f t="shared" si="12"/>
        <v>4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24</v>
      </c>
      <c r="AD20" s="17">
        <f t="shared" si="12"/>
        <v>0</v>
      </c>
      <c r="AE20" s="31">
        <f t="shared" si="12"/>
        <v>28</v>
      </c>
      <c r="AF20" s="31">
        <f t="shared" si="12"/>
        <v>52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2</v>
      </c>
      <c r="J21" s="50">
        <v>1</v>
      </c>
      <c r="K21" s="50">
        <v>1</v>
      </c>
      <c r="L21" s="50">
        <v>0</v>
      </c>
      <c r="M21" s="50">
        <v>5</v>
      </c>
      <c r="N21" s="50">
        <v>0</v>
      </c>
      <c r="O21" s="15">
        <f t="shared" si="0"/>
        <v>8</v>
      </c>
      <c r="P21" s="15">
        <f t="shared" si="1"/>
        <v>13</v>
      </c>
      <c r="R21" s="36" t="s">
        <v>20</v>
      </c>
      <c r="S21" s="34">
        <f t="shared" ref="S21:AF21" si="13">SUM(C54:C57)</f>
        <v>12</v>
      </c>
      <c r="T21" s="17">
        <f t="shared" si="13"/>
        <v>4</v>
      </c>
      <c r="U21" s="17">
        <f t="shared" si="13"/>
        <v>0</v>
      </c>
      <c r="V21" s="17">
        <f t="shared" si="13"/>
        <v>4</v>
      </c>
      <c r="W21" s="17">
        <f t="shared" si="13"/>
        <v>0</v>
      </c>
      <c r="X21" s="17">
        <f t="shared" si="13"/>
        <v>1</v>
      </c>
      <c r="Y21" s="17">
        <f t="shared" si="13"/>
        <v>3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33</v>
      </c>
      <c r="AD21" s="17">
        <f t="shared" si="13"/>
        <v>0</v>
      </c>
      <c r="AE21" s="31">
        <f t="shared" si="13"/>
        <v>28</v>
      </c>
      <c r="AF21" s="31">
        <f t="shared" si="13"/>
        <v>61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6</v>
      </c>
      <c r="P22" s="15">
        <f t="shared" si="1"/>
        <v>11</v>
      </c>
      <c r="R22" s="38" t="s">
        <v>90</v>
      </c>
      <c r="S22" s="39">
        <f>MAX(S10:S12)</f>
        <v>9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2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2</v>
      </c>
      <c r="AA22" s="39">
        <f t="shared" si="14"/>
        <v>2</v>
      </c>
      <c r="AB22" s="39">
        <f t="shared" si="14"/>
        <v>0</v>
      </c>
      <c r="AC22" s="39">
        <f t="shared" si="14"/>
        <v>28</v>
      </c>
      <c r="AD22" s="39">
        <f t="shared" si="14"/>
        <v>0</v>
      </c>
      <c r="AE22" s="40">
        <f t="shared" si="14"/>
        <v>20</v>
      </c>
      <c r="AF22" s="40">
        <f t="shared" si="14"/>
        <v>44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2</v>
      </c>
      <c r="P23" s="15">
        <f t="shared" si="1"/>
        <v>6</v>
      </c>
      <c r="R23" s="38" t="s">
        <v>91</v>
      </c>
      <c r="S23" s="39">
        <f>MAX(S13:S18)</f>
        <v>12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8</v>
      </c>
      <c r="Z23" s="39">
        <f t="shared" si="15"/>
        <v>3</v>
      </c>
      <c r="AA23" s="39">
        <f t="shared" si="15"/>
        <v>5</v>
      </c>
      <c r="AB23" s="39">
        <f t="shared" si="15"/>
        <v>0</v>
      </c>
      <c r="AC23" s="39">
        <f t="shared" si="15"/>
        <v>28</v>
      </c>
      <c r="AD23" s="39">
        <f t="shared" si="15"/>
        <v>0</v>
      </c>
      <c r="AE23" s="40">
        <f t="shared" si="15"/>
        <v>28</v>
      </c>
      <c r="AF23" s="40">
        <f t="shared" si="15"/>
        <v>50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4</v>
      </c>
      <c r="P24" s="15">
        <f t="shared" si="1"/>
        <v>7</v>
      </c>
      <c r="R24" s="38" t="s">
        <v>92</v>
      </c>
      <c r="S24" s="39">
        <f>MAX(S19:S21)</f>
        <v>12</v>
      </c>
      <c r="T24" s="39">
        <f t="shared" ref="T24:AF24" si="16">MAX(T19:T21)</f>
        <v>4</v>
      </c>
      <c r="U24" s="39">
        <f t="shared" si="16"/>
        <v>4</v>
      </c>
      <c r="V24" s="39">
        <f t="shared" si="16"/>
        <v>7</v>
      </c>
      <c r="W24" s="39">
        <f t="shared" si="16"/>
        <v>2</v>
      </c>
      <c r="X24" s="39">
        <f t="shared" si="16"/>
        <v>1</v>
      </c>
      <c r="Y24" s="39">
        <f t="shared" si="16"/>
        <v>4</v>
      </c>
      <c r="Z24" s="39">
        <f t="shared" si="16"/>
        <v>5</v>
      </c>
      <c r="AA24" s="39">
        <f t="shared" si="16"/>
        <v>3</v>
      </c>
      <c r="AB24" s="39">
        <f t="shared" si="16"/>
        <v>0</v>
      </c>
      <c r="AC24" s="39">
        <f t="shared" si="16"/>
        <v>33</v>
      </c>
      <c r="AD24" s="39">
        <f t="shared" si="16"/>
        <v>0</v>
      </c>
      <c r="AE24" s="40">
        <f t="shared" si="16"/>
        <v>28</v>
      </c>
      <c r="AF24" s="40">
        <f t="shared" si="16"/>
        <v>61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5</v>
      </c>
      <c r="P25" s="15">
        <f t="shared" si="1"/>
        <v>6</v>
      </c>
      <c r="R25" s="37" t="s">
        <v>85</v>
      </c>
      <c r="S25" s="35">
        <f t="shared" ref="S25:AF25" si="17">SUM(S10:S12)</f>
        <v>19</v>
      </c>
      <c r="T25" s="16">
        <f t="shared" si="17"/>
        <v>3</v>
      </c>
      <c r="U25" s="16">
        <f t="shared" si="17"/>
        <v>6</v>
      </c>
      <c r="V25" s="16">
        <f t="shared" si="17"/>
        <v>2</v>
      </c>
      <c r="W25" s="16">
        <f t="shared" si="17"/>
        <v>1</v>
      </c>
      <c r="X25" s="16">
        <f t="shared" si="17"/>
        <v>0</v>
      </c>
      <c r="Y25" s="16">
        <f t="shared" si="17"/>
        <v>12</v>
      </c>
      <c r="Z25" s="16">
        <f t="shared" si="17"/>
        <v>3</v>
      </c>
      <c r="AA25" s="16">
        <f t="shared" si="17"/>
        <v>2</v>
      </c>
      <c r="AB25" s="16">
        <f t="shared" si="17"/>
        <v>0</v>
      </c>
      <c r="AC25" s="16">
        <f t="shared" si="17"/>
        <v>75</v>
      </c>
      <c r="AD25" s="16">
        <f t="shared" si="17"/>
        <v>0</v>
      </c>
      <c r="AE25" s="32">
        <f t="shared" si="17"/>
        <v>48</v>
      </c>
      <c r="AF25" s="32">
        <f t="shared" si="17"/>
        <v>123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8</v>
      </c>
      <c r="N26" s="50">
        <v>0</v>
      </c>
      <c r="O26" s="15">
        <f t="shared" si="0"/>
        <v>7</v>
      </c>
      <c r="P26" s="15">
        <f t="shared" si="1"/>
        <v>15</v>
      </c>
      <c r="R26" s="28" t="s">
        <v>86</v>
      </c>
      <c r="S26" s="16">
        <f t="shared" ref="S26:AF26" si="18">SUM(S13:S18)</f>
        <v>45</v>
      </c>
      <c r="T26" s="16">
        <f t="shared" si="18"/>
        <v>3</v>
      </c>
      <c r="U26" s="16">
        <f t="shared" si="18"/>
        <v>11</v>
      </c>
      <c r="V26" s="16">
        <f t="shared" si="18"/>
        <v>11</v>
      </c>
      <c r="W26" s="16">
        <f t="shared" si="18"/>
        <v>0</v>
      </c>
      <c r="X26" s="16">
        <f t="shared" si="18"/>
        <v>0</v>
      </c>
      <c r="Y26" s="16">
        <f t="shared" si="18"/>
        <v>31</v>
      </c>
      <c r="Z26" s="16">
        <f t="shared" si="18"/>
        <v>14</v>
      </c>
      <c r="AA26" s="16">
        <f t="shared" si="18"/>
        <v>9</v>
      </c>
      <c r="AB26" s="16">
        <f t="shared" si="18"/>
        <v>0</v>
      </c>
      <c r="AC26" s="16">
        <f t="shared" si="18"/>
        <v>125</v>
      </c>
      <c r="AD26" s="16">
        <f t="shared" si="18"/>
        <v>0</v>
      </c>
      <c r="AE26" s="32">
        <f t="shared" si="18"/>
        <v>124</v>
      </c>
      <c r="AF26" s="32">
        <f t="shared" si="18"/>
        <v>249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3</v>
      </c>
      <c r="J27" s="50">
        <v>1</v>
      </c>
      <c r="K27" s="50">
        <v>1</v>
      </c>
      <c r="L27" s="50">
        <v>0</v>
      </c>
      <c r="M27" s="50">
        <v>5</v>
      </c>
      <c r="N27" s="50">
        <v>0</v>
      </c>
      <c r="O27" s="15">
        <f t="shared" si="0"/>
        <v>8</v>
      </c>
      <c r="P27" s="15">
        <f t="shared" si="1"/>
        <v>13</v>
      </c>
      <c r="R27" s="29" t="s">
        <v>87</v>
      </c>
      <c r="S27" s="16">
        <f t="shared" ref="S27:AF27" si="19">SUM(S19:S21)</f>
        <v>25</v>
      </c>
      <c r="T27" s="16">
        <f t="shared" si="19"/>
        <v>8</v>
      </c>
      <c r="U27" s="16">
        <f t="shared" si="19"/>
        <v>5</v>
      </c>
      <c r="V27" s="16">
        <f t="shared" si="19"/>
        <v>16</v>
      </c>
      <c r="W27" s="16">
        <f t="shared" si="19"/>
        <v>2</v>
      </c>
      <c r="X27" s="16">
        <f t="shared" si="19"/>
        <v>1</v>
      </c>
      <c r="Y27" s="16">
        <f t="shared" si="19"/>
        <v>10</v>
      </c>
      <c r="Z27" s="16">
        <f t="shared" si="19"/>
        <v>10</v>
      </c>
      <c r="AA27" s="16">
        <f t="shared" si="19"/>
        <v>5</v>
      </c>
      <c r="AB27" s="16">
        <f t="shared" si="19"/>
        <v>0</v>
      </c>
      <c r="AC27" s="16">
        <f t="shared" si="19"/>
        <v>79</v>
      </c>
      <c r="AD27" s="16">
        <f t="shared" si="19"/>
        <v>0</v>
      </c>
      <c r="AE27" s="32">
        <f t="shared" si="19"/>
        <v>82</v>
      </c>
      <c r="AF27" s="32">
        <f t="shared" si="19"/>
        <v>161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5</v>
      </c>
      <c r="P28" s="15">
        <f t="shared" si="1"/>
        <v>9</v>
      </c>
      <c r="R28" s="5" t="s">
        <v>17</v>
      </c>
      <c r="S28" s="16">
        <f t="shared" ref="S28:AF28" si="20">SUM(S10:S21)</f>
        <v>89</v>
      </c>
      <c r="T28" s="16">
        <f t="shared" si="20"/>
        <v>14</v>
      </c>
      <c r="U28" s="16">
        <f t="shared" si="20"/>
        <v>22</v>
      </c>
      <c r="V28" s="16">
        <f t="shared" si="20"/>
        <v>29</v>
      </c>
      <c r="W28" s="16">
        <f t="shared" si="20"/>
        <v>3</v>
      </c>
      <c r="X28" s="16">
        <f t="shared" si="20"/>
        <v>1</v>
      </c>
      <c r="Y28" s="16">
        <f t="shared" si="20"/>
        <v>53</v>
      </c>
      <c r="Z28" s="16">
        <f t="shared" si="20"/>
        <v>27</v>
      </c>
      <c r="AA28" s="16">
        <f t="shared" si="20"/>
        <v>16</v>
      </c>
      <c r="AB28" s="16">
        <f t="shared" si="20"/>
        <v>0</v>
      </c>
      <c r="AC28" s="16">
        <f t="shared" si="20"/>
        <v>279</v>
      </c>
      <c r="AD28" s="16">
        <f t="shared" si="20"/>
        <v>0</v>
      </c>
      <c r="AE28" s="32">
        <f t="shared" si="20"/>
        <v>254</v>
      </c>
      <c r="AF28" s="32">
        <f t="shared" si="20"/>
        <v>533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4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3</v>
      </c>
      <c r="P30" s="15">
        <f t="shared" si="1"/>
        <v>10</v>
      </c>
    </row>
    <row r="31" spans="2:32" ht="23.1" customHeight="1" x14ac:dyDescent="0.25">
      <c r="B31" s="24" t="s">
        <v>58</v>
      </c>
      <c r="C31" s="50">
        <v>7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2</v>
      </c>
      <c r="L31" s="50">
        <v>0</v>
      </c>
      <c r="M31" s="50">
        <v>5</v>
      </c>
      <c r="N31" s="50">
        <v>0</v>
      </c>
      <c r="O31" s="15">
        <f t="shared" si="0"/>
        <v>14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5</v>
      </c>
      <c r="P32" s="15">
        <f t="shared" si="1"/>
        <v>8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3</v>
      </c>
      <c r="L33" s="50">
        <v>0</v>
      </c>
      <c r="M33" s="50">
        <v>7</v>
      </c>
      <c r="N33" s="50">
        <v>0</v>
      </c>
      <c r="O33" s="15">
        <f t="shared" si="0"/>
        <v>6</v>
      </c>
      <c r="P33" s="15">
        <f t="shared" si="1"/>
        <v>13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5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4</v>
      </c>
      <c r="P35" s="15">
        <f t="shared" si="1"/>
        <v>8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6</v>
      </c>
      <c r="N36" s="50">
        <v>0</v>
      </c>
      <c r="O36" s="15">
        <f t="shared" si="0"/>
        <v>4</v>
      </c>
      <c r="P36" s="15">
        <f t="shared" si="1"/>
        <v>10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7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6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7</v>
      </c>
      <c r="N39" s="50">
        <v>0</v>
      </c>
      <c r="O39" s="15">
        <f t="shared" si="0"/>
        <v>1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1</v>
      </c>
      <c r="L40" s="50">
        <v>0</v>
      </c>
      <c r="M40" s="50">
        <v>6</v>
      </c>
      <c r="N40" s="50">
        <v>0</v>
      </c>
      <c r="O40" s="15">
        <f t="shared" si="0"/>
        <v>6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1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6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6</v>
      </c>
      <c r="P43" s="15">
        <f t="shared" si="1"/>
        <v>14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5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4</v>
      </c>
      <c r="P45" s="15">
        <f t="shared" si="1"/>
        <v>6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2</v>
      </c>
      <c r="P46" s="15">
        <f t="shared" si="1"/>
        <v>5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3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7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3</v>
      </c>
      <c r="F48" s="50">
        <v>1</v>
      </c>
      <c r="G48" s="50">
        <v>0</v>
      </c>
      <c r="H48" s="50">
        <v>0</v>
      </c>
      <c r="I48" s="50">
        <v>1</v>
      </c>
      <c r="J48" s="50">
        <v>2</v>
      </c>
      <c r="K48" s="50">
        <v>1</v>
      </c>
      <c r="L48" s="50">
        <v>0</v>
      </c>
      <c r="M48" s="50">
        <v>4</v>
      </c>
      <c r="N48" s="50">
        <v>0</v>
      </c>
      <c r="O48" s="15">
        <f t="shared" si="0"/>
        <v>10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1</v>
      </c>
      <c r="F49" s="50">
        <v>0</v>
      </c>
      <c r="G49" s="50">
        <v>0</v>
      </c>
      <c r="H49" s="50">
        <v>0</v>
      </c>
      <c r="I49" s="50">
        <v>1</v>
      </c>
      <c r="J49" s="50">
        <v>1</v>
      </c>
      <c r="K49" s="50">
        <v>2</v>
      </c>
      <c r="L49" s="50">
        <v>0</v>
      </c>
      <c r="M49" s="50">
        <v>5</v>
      </c>
      <c r="N49" s="50">
        <v>0</v>
      </c>
      <c r="O49" s="15">
        <f t="shared" si="0"/>
        <v>7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1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3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1</v>
      </c>
      <c r="E51" s="50">
        <v>0</v>
      </c>
      <c r="F51" s="50">
        <v>4</v>
      </c>
      <c r="G51" s="50">
        <v>0</v>
      </c>
      <c r="H51" s="50">
        <v>0</v>
      </c>
      <c r="I51" s="50">
        <v>2</v>
      </c>
      <c r="J51" s="50">
        <v>0</v>
      </c>
      <c r="K51" s="50">
        <v>1</v>
      </c>
      <c r="L51" s="50">
        <v>0</v>
      </c>
      <c r="M51" s="50">
        <v>6</v>
      </c>
      <c r="N51" s="50">
        <v>0</v>
      </c>
      <c r="O51" s="15">
        <f t="shared" si="0"/>
        <v>10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1</v>
      </c>
      <c r="E52" s="50">
        <v>0</v>
      </c>
      <c r="F52" s="50">
        <v>1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5</v>
      </c>
      <c r="P52" s="15">
        <f t="shared" si="1"/>
        <v>10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1</v>
      </c>
      <c r="J53" s="50">
        <v>2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10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2</v>
      </c>
      <c r="E54" s="50">
        <v>0</v>
      </c>
      <c r="F54" s="50">
        <v>0</v>
      </c>
      <c r="G54" s="50">
        <v>0</v>
      </c>
      <c r="H54" s="50">
        <v>1</v>
      </c>
      <c r="I54" s="50">
        <v>1</v>
      </c>
      <c r="J54" s="50">
        <v>0</v>
      </c>
      <c r="K54" s="50">
        <v>1</v>
      </c>
      <c r="L54" s="50">
        <v>0</v>
      </c>
      <c r="M54" s="50">
        <v>4</v>
      </c>
      <c r="N54" s="50">
        <v>0</v>
      </c>
      <c r="O54" s="15">
        <f t="shared" si="0"/>
        <v>7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3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8</v>
      </c>
      <c r="P55" s="15">
        <f t="shared" si="1"/>
        <v>15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4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2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9</v>
      </c>
      <c r="P57" s="15">
        <f t="shared" si="1"/>
        <v>18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89</v>
      </c>
      <c r="D58" s="16">
        <f t="shared" si="21"/>
        <v>14</v>
      </c>
      <c r="E58" s="16">
        <f t="shared" si="21"/>
        <v>22</v>
      </c>
      <c r="F58" s="16">
        <f t="shared" si="21"/>
        <v>29</v>
      </c>
      <c r="G58" s="16">
        <f t="shared" si="21"/>
        <v>3</v>
      </c>
      <c r="H58" s="16">
        <f t="shared" si="21"/>
        <v>1</v>
      </c>
      <c r="I58" s="16">
        <f t="shared" si="21"/>
        <v>53</v>
      </c>
      <c r="J58" s="16">
        <f t="shared" si="21"/>
        <v>27</v>
      </c>
      <c r="K58" s="16">
        <f t="shared" si="21"/>
        <v>16</v>
      </c>
      <c r="L58" s="16">
        <f t="shared" si="21"/>
        <v>0</v>
      </c>
      <c r="M58" s="16">
        <f t="shared" si="21"/>
        <v>279</v>
      </c>
      <c r="N58" s="16">
        <f t="shared" si="21"/>
        <v>0</v>
      </c>
      <c r="O58" s="16">
        <f t="shared" si="21"/>
        <v>254</v>
      </c>
      <c r="P58" s="16">
        <f t="shared" si="21"/>
        <v>533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0.16697936210131331</v>
      </c>
      <c r="D59" s="43">
        <f t="shared" si="22"/>
        <v>2.6266416510318951E-2</v>
      </c>
      <c r="E59" s="43">
        <f t="shared" si="22"/>
        <v>4.1275797373358347E-2</v>
      </c>
      <c r="F59" s="43">
        <f t="shared" si="22"/>
        <v>5.4409005628517824E-2</v>
      </c>
      <c r="G59" s="43">
        <f t="shared" si="22"/>
        <v>5.6285178236397749E-3</v>
      </c>
      <c r="H59" s="43">
        <f t="shared" si="22"/>
        <v>1.876172607879925E-3</v>
      </c>
      <c r="I59" s="43">
        <f t="shared" si="22"/>
        <v>9.9437148217636023E-2</v>
      </c>
      <c r="J59" s="43">
        <f t="shared" si="22"/>
        <v>5.0656660412757973E-2</v>
      </c>
      <c r="K59" s="43">
        <f t="shared" si="22"/>
        <v>3.0018761726078799E-2</v>
      </c>
      <c r="L59" s="43">
        <f t="shared" si="22"/>
        <v>0</v>
      </c>
      <c r="M59" s="43">
        <f t="shared" si="22"/>
        <v>0.52345215759849906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0.35039370078740156</v>
      </c>
      <c r="D60" s="44">
        <f t="shared" ref="D60:N60" si="23">D58/$O$58</f>
        <v>5.5118110236220472E-2</v>
      </c>
      <c r="E60" s="44">
        <f t="shared" si="23"/>
        <v>8.6614173228346455E-2</v>
      </c>
      <c r="F60" s="44">
        <f t="shared" si="23"/>
        <v>0.1141732283464567</v>
      </c>
      <c r="G60" s="44">
        <f t="shared" si="23"/>
        <v>1.1811023622047244E-2</v>
      </c>
      <c r="H60" s="44">
        <f t="shared" si="23"/>
        <v>3.937007874015748E-3</v>
      </c>
      <c r="I60" s="44">
        <f t="shared" si="23"/>
        <v>0.20866141732283464</v>
      </c>
      <c r="J60" s="44">
        <f t="shared" si="23"/>
        <v>0.1062992125984252</v>
      </c>
      <c r="K60" s="44">
        <f t="shared" si="23"/>
        <v>6.2992125984251968E-2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activeCellId="6" sqref="C3:G3 D5 D6:E6 G6:H6 G5:H5 K5:L5 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MASAKA SEMBABULE'!C3:G3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180</v>
      </c>
      <c r="E5" s="3"/>
      <c r="F5" s="41" t="s">
        <v>1</v>
      </c>
      <c r="G5" s="63" t="str">
        <f>'21.10 MASAKA SEMBABULE'!G5:H5</f>
        <v>KIWUULA TRADING CENTRE</v>
      </c>
      <c r="H5" s="64"/>
      <c r="I5" s="14"/>
      <c r="J5" s="2" t="s">
        <v>5</v>
      </c>
      <c r="K5" s="63" t="s">
        <v>172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">
        <v>169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9</v>
      </c>
      <c r="T10" s="17">
        <f t="shared" si="2"/>
        <v>0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1</v>
      </c>
      <c r="Y10" s="17">
        <f t="shared" si="2"/>
        <v>5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18</v>
      </c>
      <c r="AF10" s="31">
        <f t="shared" si="2"/>
        <v>33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1</v>
      </c>
      <c r="I11" s="50">
        <v>2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4</v>
      </c>
      <c r="P11" s="15">
        <f t="shared" si="1"/>
        <v>7</v>
      </c>
      <c r="R11" s="1" t="s">
        <v>7</v>
      </c>
      <c r="S11" s="17">
        <f t="shared" ref="S11:AF11" si="3">SUM(C14:C17)</f>
        <v>13</v>
      </c>
      <c r="T11" s="17">
        <f t="shared" si="3"/>
        <v>0</v>
      </c>
      <c r="U11" s="17">
        <f t="shared" si="3"/>
        <v>4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28</v>
      </c>
      <c r="AD11" s="17">
        <f t="shared" si="3"/>
        <v>0</v>
      </c>
      <c r="AE11" s="31">
        <f t="shared" si="3"/>
        <v>30</v>
      </c>
      <c r="AF11" s="31">
        <f t="shared" si="3"/>
        <v>58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2</v>
      </c>
      <c r="P12" s="15">
        <f t="shared" si="1"/>
        <v>4</v>
      </c>
      <c r="R12" s="1" t="s">
        <v>8</v>
      </c>
      <c r="S12" s="17">
        <f t="shared" ref="S12:AF12" si="4">SUM(C18:C21)</f>
        <v>11</v>
      </c>
      <c r="T12" s="17">
        <f t="shared" si="4"/>
        <v>1</v>
      </c>
      <c r="U12" s="17">
        <f t="shared" si="4"/>
        <v>0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16</v>
      </c>
      <c r="AD12" s="17">
        <f t="shared" si="4"/>
        <v>0</v>
      </c>
      <c r="AE12" s="31">
        <f t="shared" si="4"/>
        <v>20</v>
      </c>
      <c r="AF12" s="31">
        <f t="shared" si="4"/>
        <v>36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9</v>
      </c>
      <c r="P13" s="15">
        <f t="shared" si="1"/>
        <v>15</v>
      </c>
      <c r="R13" s="1" t="s">
        <v>9</v>
      </c>
      <c r="S13" s="17">
        <f t="shared" ref="S13:AF13" si="5">SUM(C22:C25)</f>
        <v>3</v>
      </c>
      <c r="T13" s="17">
        <f t="shared" si="5"/>
        <v>3</v>
      </c>
      <c r="U13" s="17">
        <f t="shared" si="5"/>
        <v>2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4</v>
      </c>
      <c r="AA13" s="17">
        <f t="shared" si="5"/>
        <v>2</v>
      </c>
      <c r="AB13" s="17">
        <f t="shared" si="5"/>
        <v>0</v>
      </c>
      <c r="AC13" s="17">
        <f t="shared" si="5"/>
        <v>19</v>
      </c>
      <c r="AD13" s="17">
        <f t="shared" si="5"/>
        <v>0</v>
      </c>
      <c r="AE13" s="31">
        <f t="shared" si="5"/>
        <v>31</v>
      </c>
      <c r="AF13" s="31">
        <f t="shared" si="5"/>
        <v>50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4</v>
      </c>
      <c r="P14" s="15">
        <f t="shared" si="1"/>
        <v>10</v>
      </c>
      <c r="R14" s="1" t="s">
        <v>10</v>
      </c>
      <c r="S14" s="17">
        <f t="shared" ref="S14:AF14" si="6">SUM(C26:C29)</f>
        <v>12</v>
      </c>
      <c r="T14" s="17">
        <f t="shared" si="6"/>
        <v>0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</v>
      </c>
      <c r="AD14" s="17">
        <f t="shared" si="6"/>
        <v>0</v>
      </c>
      <c r="AE14" s="31">
        <f t="shared" si="6"/>
        <v>19</v>
      </c>
      <c r="AF14" s="31">
        <f t="shared" si="6"/>
        <v>32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2</v>
      </c>
      <c r="F15" s="50">
        <v>2</v>
      </c>
      <c r="G15" s="50">
        <v>0</v>
      </c>
      <c r="H15" s="50">
        <v>0</v>
      </c>
      <c r="I15" s="50">
        <v>3</v>
      </c>
      <c r="J15" s="50">
        <v>0</v>
      </c>
      <c r="K15" s="50">
        <v>2</v>
      </c>
      <c r="L15" s="50">
        <v>0</v>
      </c>
      <c r="M15" s="50">
        <v>6</v>
      </c>
      <c r="N15" s="50">
        <v>0</v>
      </c>
      <c r="O15" s="15">
        <f t="shared" si="0"/>
        <v>12</v>
      </c>
      <c r="P15" s="15">
        <f t="shared" si="1"/>
        <v>18</v>
      </c>
      <c r="R15" s="1" t="s">
        <v>11</v>
      </c>
      <c r="S15" s="17">
        <f t="shared" ref="S15:AF15" si="7">SUM(C30:C33)</f>
        <v>9</v>
      </c>
      <c r="T15" s="17">
        <f t="shared" si="7"/>
        <v>2</v>
      </c>
      <c r="U15" s="17">
        <f t="shared" si="7"/>
        <v>3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16</v>
      </c>
      <c r="AD15" s="17">
        <f t="shared" si="7"/>
        <v>0</v>
      </c>
      <c r="AE15" s="31">
        <f t="shared" si="7"/>
        <v>25</v>
      </c>
      <c r="AF15" s="31">
        <f t="shared" si="7"/>
        <v>41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6</v>
      </c>
      <c r="P16" s="15">
        <f t="shared" si="1"/>
        <v>12</v>
      </c>
      <c r="R16" s="1" t="s">
        <v>12</v>
      </c>
      <c r="S16" s="17">
        <f t="shared" ref="S16:AF16" si="8">SUM(C34:C37)</f>
        <v>7</v>
      </c>
      <c r="T16" s="17">
        <f t="shared" si="8"/>
        <v>1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33</v>
      </c>
      <c r="AD16" s="17">
        <f t="shared" si="8"/>
        <v>0</v>
      </c>
      <c r="AE16" s="31">
        <f t="shared" si="8"/>
        <v>23</v>
      </c>
      <c r="AF16" s="31">
        <f t="shared" si="8"/>
        <v>56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8</v>
      </c>
      <c r="P17" s="15">
        <f t="shared" si="1"/>
        <v>18</v>
      </c>
      <c r="R17" s="1" t="s">
        <v>13</v>
      </c>
      <c r="S17" s="17">
        <f t="shared" ref="S17:AF17" si="9">SUM(C38:C41)</f>
        <v>3</v>
      </c>
      <c r="T17" s="17">
        <f t="shared" si="9"/>
        <v>3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2</v>
      </c>
      <c r="AA17" s="17">
        <f t="shared" si="9"/>
        <v>4</v>
      </c>
      <c r="AB17" s="17">
        <f t="shared" si="9"/>
        <v>0</v>
      </c>
      <c r="AC17" s="17">
        <f t="shared" si="9"/>
        <v>23</v>
      </c>
      <c r="AD17" s="17">
        <f t="shared" si="9"/>
        <v>0</v>
      </c>
      <c r="AE17" s="31">
        <f t="shared" si="9"/>
        <v>21</v>
      </c>
      <c r="AF17" s="31">
        <f t="shared" si="9"/>
        <v>44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5</v>
      </c>
      <c r="P18" s="15">
        <f t="shared" si="1"/>
        <v>12</v>
      </c>
      <c r="R18" s="1" t="s">
        <v>14</v>
      </c>
      <c r="S18" s="17">
        <f t="shared" ref="S18:AF18" si="10">SUM(C42:C45)</f>
        <v>8</v>
      </c>
      <c r="T18" s="17">
        <f t="shared" si="10"/>
        <v>0</v>
      </c>
      <c r="U18" s="17">
        <f t="shared" si="10"/>
        <v>5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2</v>
      </c>
      <c r="AB18" s="17">
        <f t="shared" si="10"/>
        <v>0</v>
      </c>
      <c r="AC18" s="17">
        <f t="shared" si="10"/>
        <v>20</v>
      </c>
      <c r="AD18" s="17">
        <f t="shared" si="10"/>
        <v>0</v>
      </c>
      <c r="AE18" s="31">
        <f t="shared" si="10"/>
        <v>20</v>
      </c>
      <c r="AF18" s="31">
        <f t="shared" si="10"/>
        <v>40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4</v>
      </c>
      <c r="P19" s="15">
        <f t="shared" si="1"/>
        <v>7</v>
      </c>
      <c r="R19" s="1" t="s">
        <v>15</v>
      </c>
      <c r="S19" s="17">
        <f t="shared" ref="S19:AF19" si="11">SUM(C46:C49)</f>
        <v>6</v>
      </c>
      <c r="T19" s="17">
        <f t="shared" si="11"/>
        <v>1</v>
      </c>
      <c r="U19" s="17">
        <f t="shared" si="11"/>
        <v>4</v>
      </c>
      <c r="V19" s="17">
        <f t="shared" si="11"/>
        <v>2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27</v>
      </c>
      <c r="AD19" s="17">
        <f t="shared" si="11"/>
        <v>0</v>
      </c>
      <c r="AE19" s="31">
        <f t="shared" si="11"/>
        <v>22</v>
      </c>
      <c r="AF19" s="31">
        <f t="shared" si="11"/>
        <v>49</v>
      </c>
    </row>
    <row r="20" spans="2:32" ht="23.1" customHeight="1" x14ac:dyDescent="0.25">
      <c r="B20" s="23" t="s">
        <v>47</v>
      </c>
      <c r="C20" s="50">
        <v>3</v>
      </c>
      <c r="D20" s="50">
        <v>1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3</v>
      </c>
      <c r="N20" s="50">
        <v>0</v>
      </c>
      <c r="O20" s="15">
        <f t="shared" si="0"/>
        <v>6</v>
      </c>
      <c r="P20" s="15">
        <f t="shared" si="1"/>
        <v>9</v>
      </c>
      <c r="R20" s="1" t="s">
        <v>16</v>
      </c>
      <c r="S20" s="17">
        <f t="shared" ref="S20:AF20" si="12">SUM(C50:C53)</f>
        <v>15</v>
      </c>
      <c r="T20" s="17">
        <f t="shared" si="12"/>
        <v>1</v>
      </c>
      <c r="U20" s="17">
        <f t="shared" si="12"/>
        <v>1</v>
      </c>
      <c r="V20" s="17">
        <f t="shared" si="12"/>
        <v>0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23</v>
      </c>
      <c r="AD20" s="17">
        <f t="shared" si="12"/>
        <v>0</v>
      </c>
      <c r="AE20" s="31">
        <f t="shared" si="12"/>
        <v>23</v>
      </c>
      <c r="AF20" s="31">
        <f t="shared" si="12"/>
        <v>46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5</v>
      </c>
      <c r="P21" s="15">
        <f t="shared" si="1"/>
        <v>8</v>
      </c>
      <c r="R21" s="36" t="s">
        <v>20</v>
      </c>
      <c r="S21" s="34">
        <f t="shared" ref="S21:AF21" si="13">SUM(C54:C57)</f>
        <v>4</v>
      </c>
      <c r="T21" s="17">
        <f t="shared" si="13"/>
        <v>1</v>
      </c>
      <c r="U21" s="17">
        <f t="shared" si="13"/>
        <v>2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26</v>
      </c>
      <c r="AD21" s="17">
        <f t="shared" si="13"/>
        <v>0</v>
      </c>
      <c r="AE21" s="31">
        <f t="shared" si="13"/>
        <v>14</v>
      </c>
      <c r="AF21" s="31">
        <f t="shared" si="13"/>
        <v>40</v>
      </c>
    </row>
    <row r="22" spans="2:32" ht="23.1" customHeight="1" x14ac:dyDescent="0.25">
      <c r="B22" s="23" t="s">
        <v>49</v>
      </c>
      <c r="C22" s="50">
        <v>1</v>
      </c>
      <c r="D22" s="50">
        <v>2</v>
      </c>
      <c r="E22" s="50">
        <v>0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6</v>
      </c>
      <c r="N22" s="50">
        <v>0</v>
      </c>
      <c r="O22" s="15">
        <f t="shared" si="0"/>
        <v>7</v>
      </c>
      <c r="P22" s="15">
        <f t="shared" si="1"/>
        <v>13</v>
      </c>
      <c r="R22" s="38" t="s">
        <v>90</v>
      </c>
      <c r="S22" s="39">
        <f>MAX(S10:S12)</f>
        <v>13</v>
      </c>
      <c r="T22" s="39">
        <f t="shared" ref="T22:AF22" si="14">MAX(T10:T12)</f>
        <v>1</v>
      </c>
      <c r="U22" s="39">
        <f t="shared" si="14"/>
        <v>4</v>
      </c>
      <c r="V22" s="39">
        <f t="shared" si="14"/>
        <v>5</v>
      </c>
      <c r="W22" s="39">
        <f t="shared" si="14"/>
        <v>0</v>
      </c>
      <c r="X22" s="39">
        <f t="shared" si="14"/>
        <v>1</v>
      </c>
      <c r="Y22" s="39">
        <f t="shared" si="14"/>
        <v>5</v>
      </c>
      <c r="Z22" s="39">
        <f t="shared" si="14"/>
        <v>1</v>
      </c>
      <c r="AA22" s="39">
        <f t="shared" si="14"/>
        <v>2</v>
      </c>
      <c r="AB22" s="39">
        <f t="shared" si="14"/>
        <v>0</v>
      </c>
      <c r="AC22" s="39">
        <f t="shared" si="14"/>
        <v>28</v>
      </c>
      <c r="AD22" s="39">
        <f t="shared" si="14"/>
        <v>0</v>
      </c>
      <c r="AE22" s="40">
        <f t="shared" si="14"/>
        <v>30</v>
      </c>
      <c r="AF22" s="40">
        <f t="shared" si="14"/>
        <v>58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8</v>
      </c>
      <c r="P23" s="15">
        <f t="shared" si="1"/>
        <v>13</v>
      </c>
      <c r="R23" s="38" t="s">
        <v>91</v>
      </c>
      <c r="S23" s="39">
        <f>MAX(S13:S18)</f>
        <v>12</v>
      </c>
      <c r="T23" s="39">
        <f t="shared" ref="T23:AF23" si="15">MAX(T13:T18)</f>
        <v>3</v>
      </c>
      <c r="U23" s="39">
        <f t="shared" si="15"/>
        <v>5</v>
      </c>
      <c r="V23" s="39">
        <f t="shared" si="15"/>
        <v>6</v>
      </c>
      <c r="W23" s="39">
        <f t="shared" si="15"/>
        <v>0</v>
      </c>
      <c r="X23" s="39">
        <f t="shared" si="15"/>
        <v>0</v>
      </c>
      <c r="Y23" s="39">
        <f t="shared" si="15"/>
        <v>11</v>
      </c>
      <c r="Z23" s="39">
        <f t="shared" si="15"/>
        <v>4</v>
      </c>
      <c r="AA23" s="39">
        <f t="shared" si="15"/>
        <v>4</v>
      </c>
      <c r="AB23" s="39">
        <f t="shared" si="15"/>
        <v>0</v>
      </c>
      <c r="AC23" s="39">
        <f t="shared" si="15"/>
        <v>33</v>
      </c>
      <c r="AD23" s="39">
        <f t="shared" si="15"/>
        <v>0</v>
      </c>
      <c r="AE23" s="40">
        <f t="shared" si="15"/>
        <v>31</v>
      </c>
      <c r="AF23" s="40">
        <f t="shared" si="15"/>
        <v>56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0</v>
      </c>
      <c r="F24" s="50">
        <v>3</v>
      </c>
      <c r="G24" s="50">
        <v>0</v>
      </c>
      <c r="H24" s="50">
        <v>0</v>
      </c>
      <c r="I24" s="50">
        <v>5</v>
      </c>
      <c r="J24" s="50">
        <v>1</v>
      </c>
      <c r="K24" s="50">
        <v>1</v>
      </c>
      <c r="L24" s="50">
        <v>0</v>
      </c>
      <c r="M24" s="50">
        <v>4</v>
      </c>
      <c r="N24" s="50">
        <v>0</v>
      </c>
      <c r="O24" s="15">
        <f t="shared" si="0"/>
        <v>11</v>
      </c>
      <c r="P24" s="15">
        <f t="shared" si="1"/>
        <v>15</v>
      </c>
      <c r="R24" s="38" t="s">
        <v>92</v>
      </c>
      <c r="S24" s="39">
        <f>MAX(S19:S21)</f>
        <v>15</v>
      </c>
      <c r="T24" s="39">
        <f t="shared" ref="T24:AF24" si="16">MAX(T19:T21)</f>
        <v>1</v>
      </c>
      <c r="U24" s="39">
        <f t="shared" si="16"/>
        <v>4</v>
      </c>
      <c r="V24" s="39">
        <f t="shared" si="16"/>
        <v>2</v>
      </c>
      <c r="W24" s="39">
        <f t="shared" si="16"/>
        <v>1</v>
      </c>
      <c r="X24" s="39">
        <f t="shared" si="16"/>
        <v>0</v>
      </c>
      <c r="Y24" s="39">
        <f t="shared" si="16"/>
        <v>4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27</v>
      </c>
      <c r="AD24" s="39">
        <f t="shared" si="16"/>
        <v>0</v>
      </c>
      <c r="AE24" s="40">
        <f t="shared" si="16"/>
        <v>23</v>
      </c>
      <c r="AF24" s="40">
        <f t="shared" si="16"/>
        <v>49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2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5</v>
      </c>
      <c r="P25" s="15">
        <f t="shared" si="1"/>
        <v>9</v>
      </c>
      <c r="R25" s="37" t="s">
        <v>85</v>
      </c>
      <c r="S25" s="35">
        <f t="shared" ref="S25:AF25" si="17">SUM(S10:S12)</f>
        <v>33</v>
      </c>
      <c r="T25" s="16">
        <f t="shared" si="17"/>
        <v>1</v>
      </c>
      <c r="U25" s="16">
        <f t="shared" si="17"/>
        <v>4</v>
      </c>
      <c r="V25" s="16">
        <f t="shared" si="17"/>
        <v>11</v>
      </c>
      <c r="W25" s="16">
        <f t="shared" si="17"/>
        <v>0</v>
      </c>
      <c r="X25" s="16">
        <f t="shared" si="17"/>
        <v>1</v>
      </c>
      <c r="Y25" s="16">
        <f t="shared" si="17"/>
        <v>13</v>
      </c>
      <c r="Z25" s="16">
        <f t="shared" si="17"/>
        <v>2</v>
      </c>
      <c r="AA25" s="16">
        <f t="shared" si="17"/>
        <v>3</v>
      </c>
      <c r="AB25" s="16">
        <f t="shared" si="17"/>
        <v>0</v>
      </c>
      <c r="AC25" s="16">
        <f t="shared" si="17"/>
        <v>59</v>
      </c>
      <c r="AD25" s="16">
        <f t="shared" si="17"/>
        <v>0</v>
      </c>
      <c r="AE25" s="32">
        <f t="shared" si="17"/>
        <v>68</v>
      </c>
      <c r="AF25" s="32">
        <f t="shared" si="17"/>
        <v>127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3</v>
      </c>
      <c r="P26" s="15">
        <f t="shared" si="1"/>
        <v>4</v>
      </c>
      <c r="R26" s="28" t="s">
        <v>86</v>
      </c>
      <c r="S26" s="16">
        <f t="shared" ref="S26:AF26" si="18">SUM(S13:S18)</f>
        <v>42</v>
      </c>
      <c r="T26" s="16">
        <f t="shared" si="18"/>
        <v>9</v>
      </c>
      <c r="U26" s="16">
        <f t="shared" si="18"/>
        <v>19</v>
      </c>
      <c r="V26" s="16">
        <f t="shared" si="18"/>
        <v>14</v>
      </c>
      <c r="W26" s="16">
        <f t="shared" si="18"/>
        <v>0</v>
      </c>
      <c r="X26" s="16">
        <f t="shared" si="18"/>
        <v>0</v>
      </c>
      <c r="Y26" s="16">
        <f t="shared" si="18"/>
        <v>34</v>
      </c>
      <c r="Z26" s="16">
        <f t="shared" si="18"/>
        <v>10</v>
      </c>
      <c r="AA26" s="16">
        <f t="shared" si="18"/>
        <v>11</v>
      </c>
      <c r="AB26" s="16">
        <f t="shared" si="18"/>
        <v>0</v>
      </c>
      <c r="AC26" s="16">
        <f t="shared" si="18"/>
        <v>124</v>
      </c>
      <c r="AD26" s="16">
        <f t="shared" si="18"/>
        <v>0</v>
      </c>
      <c r="AE26" s="32">
        <f t="shared" si="18"/>
        <v>139</v>
      </c>
      <c r="AF26" s="32">
        <f t="shared" si="18"/>
        <v>263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6</v>
      </c>
      <c r="P27" s="15">
        <f t="shared" si="1"/>
        <v>11</v>
      </c>
      <c r="R27" s="29" t="s">
        <v>87</v>
      </c>
      <c r="S27" s="16">
        <f t="shared" ref="S27:AF27" si="19">SUM(S19:S21)</f>
        <v>25</v>
      </c>
      <c r="T27" s="16">
        <f t="shared" si="19"/>
        <v>3</v>
      </c>
      <c r="U27" s="16">
        <f t="shared" si="19"/>
        <v>7</v>
      </c>
      <c r="V27" s="16">
        <f t="shared" si="19"/>
        <v>3</v>
      </c>
      <c r="W27" s="16">
        <f t="shared" si="19"/>
        <v>2</v>
      </c>
      <c r="X27" s="16">
        <f t="shared" si="19"/>
        <v>0</v>
      </c>
      <c r="Y27" s="16">
        <f t="shared" si="19"/>
        <v>11</v>
      </c>
      <c r="Z27" s="16">
        <f t="shared" si="19"/>
        <v>7</v>
      </c>
      <c r="AA27" s="16">
        <f t="shared" si="19"/>
        <v>1</v>
      </c>
      <c r="AB27" s="16">
        <f t="shared" si="19"/>
        <v>0</v>
      </c>
      <c r="AC27" s="16">
        <f t="shared" si="19"/>
        <v>76</v>
      </c>
      <c r="AD27" s="16">
        <f t="shared" si="19"/>
        <v>0</v>
      </c>
      <c r="AE27" s="32">
        <f t="shared" si="19"/>
        <v>59</v>
      </c>
      <c r="AF27" s="32">
        <f t="shared" si="19"/>
        <v>135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4</v>
      </c>
      <c r="P28" s="15">
        <f t="shared" si="1"/>
        <v>7</v>
      </c>
      <c r="R28" s="5" t="s">
        <v>17</v>
      </c>
      <c r="S28" s="16">
        <f t="shared" ref="S28:AF28" si="20">SUM(S10:S21)</f>
        <v>100</v>
      </c>
      <c r="T28" s="16">
        <f t="shared" si="20"/>
        <v>13</v>
      </c>
      <c r="U28" s="16">
        <f t="shared" si="20"/>
        <v>30</v>
      </c>
      <c r="V28" s="16">
        <f t="shared" si="20"/>
        <v>28</v>
      </c>
      <c r="W28" s="16">
        <f t="shared" si="20"/>
        <v>2</v>
      </c>
      <c r="X28" s="16">
        <f t="shared" si="20"/>
        <v>1</v>
      </c>
      <c r="Y28" s="16">
        <f t="shared" si="20"/>
        <v>58</v>
      </c>
      <c r="Z28" s="16">
        <f t="shared" si="20"/>
        <v>19</v>
      </c>
      <c r="AA28" s="16">
        <f t="shared" si="20"/>
        <v>15</v>
      </c>
      <c r="AB28" s="16">
        <f t="shared" si="20"/>
        <v>0</v>
      </c>
      <c r="AC28" s="16">
        <f t="shared" si="20"/>
        <v>259</v>
      </c>
      <c r="AD28" s="16">
        <f t="shared" si="20"/>
        <v>0</v>
      </c>
      <c r="AE28" s="32">
        <f t="shared" si="20"/>
        <v>266</v>
      </c>
      <c r="AF28" s="32">
        <f t="shared" si="20"/>
        <v>525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6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2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7</v>
      </c>
      <c r="P30" s="15">
        <f t="shared" si="1"/>
        <v>12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2</v>
      </c>
      <c r="J31" s="50">
        <v>0</v>
      </c>
      <c r="K31" s="50">
        <v>1</v>
      </c>
      <c r="L31" s="50">
        <v>0</v>
      </c>
      <c r="M31" s="50">
        <v>3</v>
      </c>
      <c r="N31" s="50">
        <v>0</v>
      </c>
      <c r="O31" s="15">
        <f t="shared" si="0"/>
        <v>6</v>
      </c>
      <c r="P31" s="15">
        <f t="shared" si="1"/>
        <v>9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3</v>
      </c>
      <c r="P32" s="15">
        <f t="shared" si="1"/>
        <v>5</v>
      </c>
    </row>
    <row r="33" spans="2:20" ht="23.1" customHeight="1" x14ac:dyDescent="0.25">
      <c r="B33" s="23" t="s">
        <v>60</v>
      </c>
      <c r="C33" s="50">
        <v>1</v>
      </c>
      <c r="D33" s="50">
        <v>2</v>
      </c>
      <c r="E33" s="50">
        <v>1</v>
      </c>
      <c r="F33" s="50">
        <v>1</v>
      </c>
      <c r="G33" s="50">
        <v>0</v>
      </c>
      <c r="H33" s="50">
        <v>0</v>
      </c>
      <c r="I33" s="50">
        <v>3</v>
      </c>
      <c r="J33" s="50">
        <v>0</v>
      </c>
      <c r="K33" s="50">
        <v>1</v>
      </c>
      <c r="L33" s="50">
        <v>0</v>
      </c>
      <c r="M33" s="50">
        <v>6</v>
      </c>
      <c r="N33" s="50">
        <v>0</v>
      </c>
      <c r="O33" s="15">
        <f t="shared" si="0"/>
        <v>9</v>
      </c>
      <c r="P33" s="15">
        <f t="shared" si="1"/>
        <v>15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1</v>
      </c>
      <c r="L34" s="50">
        <v>0</v>
      </c>
      <c r="M34" s="50">
        <v>6</v>
      </c>
      <c r="N34" s="50">
        <v>0</v>
      </c>
      <c r="O34" s="15">
        <f t="shared" si="0"/>
        <v>4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0"/>
        <v>4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3</v>
      </c>
      <c r="F36" s="50">
        <v>1</v>
      </c>
      <c r="G36" s="50">
        <v>0</v>
      </c>
      <c r="H36" s="50">
        <v>0</v>
      </c>
      <c r="I36" s="50">
        <v>2</v>
      </c>
      <c r="J36" s="50">
        <v>2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12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3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3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1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1</v>
      </c>
      <c r="K39" s="50">
        <v>1</v>
      </c>
      <c r="L39" s="50">
        <v>0</v>
      </c>
      <c r="M39" s="50">
        <v>7</v>
      </c>
      <c r="N39" s="50">
        <v>0</v>
      </c>
      <c r="O39" s="15">
        <f t="shared" si="0"/>
        <v>6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1</v>
      </c>
      <c r="D40" s="50">
        <v>2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2</v>
      </c>
      <c r="L40" s="50">
        <v>0</v>
      </c>
      <c r="M40" s="50">
        <v>7</v>
      </c>
      <c r="N40" s="50">
        <v>0</v>
      </c>
      <c r="O40" s="15">
        <f t="shared" si="0"/>
        <v>8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4</v>
      </c>
      <c r="N41" s="50">
        <v>0</v>
      </c>
      <c r="O41" s="15">
        <f t="shared" si="0"/>
        <v>4</v>
      </c>
      <c r="P41" s="15">
        <f t="shared" si="1"/>
        <v>8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3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6</v>
      </c>
      <c r="P43" s="15">
        <f t="shared" si="1"/>
        <v>8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4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2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2</v>
      </c>
      <c r="L45" s="50">
        <v>0</v>
      </c>
      <c r="M45" s="50">
        <v>5</v>
      </c>
      <c r="N45" s="50">
        <v>0</v>
      </c>
      <c r="O45" s="15">
        <f t="shared" si="0"/>
        <v>7</v>
      </c>
      <c r="P45" s="15">
        <f t="shared" si="1"/>
        <v>12</v>
      </c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v>0</v>
      </c>
      <c r="M46" s="50">
        <v>7</v>
      </c>
      <c r="N46" s="50">
        <v>0</v>
      </c>
      <c r="O46" s="15">
        <f t="shared" si="0"/>
        <v>10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2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3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3</v>
      </c>
      <c r="P48" s="15">
        <f t="shared" si="1"/>
        <v>9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1</v>
      </c>
      <c r="F49" s="50">
        <v>0</v>
      </c>
      <c r="G49" s="50">
        <v>1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6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3</v>
      </c>
      <c r="P50" s="15">
        <f t="shared" si="1"/>
        <v>6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9</v>
      </c>
      <c r="P51" s="15">
        <f t="shared" si="1"/>
        <v>14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5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0</v>
      </c>
      <c r="E53" s="50">
        <v>0</v>
      </c>
      <c r="F53" s="50">
        <v>0</v>
      </c>
      <c r="G53" s="50">
        <v>1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6</v>
      </c>
      <c r="P53" s="15">
        <f t="shared" si="1"/>
        <v>13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6</v>
      </c>
      <c r="P54" s="15">
        <f t="shared" si="1"/>
        <v>14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3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3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2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100</v>
      </c>
      <c r="D58" s="16">
        <f t="shared" si="21"/>
        <v>13</v>
      </c>
      <c r="E58" s="16">
        <f t="shared" si="21"/>
        <v>30</v>
      </c>
      <c r="F58" s="16">
        <f t="shared" si="21"/>
        <v>28</v>
      </c>
      <c r="G58" s="16">
        <f t="shared" si="21"/>
        <v>2</v>
      </c>
      <c r="H58" s="16">
        <f t="shared" si="21"/>
        <v>1</v>
      </c>
      <c r="I58" s="16">
        <f t="shared" si="21"/>
        <v>58</v>
      </c>
      <c r="J58" s="16">
        <f t="shared" si="21"/>
        <v>19</v>
      </c>
      <c r="K58" s="16">
        <f t="shared" si="21"/>
        <v>15</v>
      </c>
      <c r="L58" s="16">
        <f t="shared" si="21"/>
        <v>0</v>
      </c>
      <c r="M58" s="16">
        <f t="shared" si="21"/>
        <v>259</v>
      </c>
      <c r="N58" s="16">
        <f t="shared" si="21"/>
        <v>0</v>
      </c>
      <c r="O58" s="16">
        <f t="shared" si="21"/>
        <v>266</v>
      </c>
      <c r="P58" s="16">
        <f t="shared" si="21"/>
        <v>525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0.19047619047619047</v>
      </c>
      <c r="D59" s="43">
        <f t="shared" si="22"/>
        <v>2.4761904761904763E-2</v>
      </c>
      <c r="E59" s="43">
        <f t="shared" si="22"/>
        <v>5.7142857142857141E-2</v>
      </c>
      <c r="F59" s="43">
        <f t="shared" si="22"/>
        <v>5.3333333333333337E-2</v>
      </c>
      <c r="G59" s="43">
        <f t="shared" si="22"/>
        <v>3.8095238095238095E-3</v>
      </c>
      <c r="H59" s="43">
        <f t="shared" si="22"/>
        <v>1.9047619047619048E-3</v>
      </c>
      <c r="I59" s="43">
        <f t="shared" si="22"/>
        <v>0.11047619047619048</v>
      </c>
      <c r="J59" s="43">
        <f t="shared" si="22"/>
        <v>3.619047619047619E-2</v>
      </c>
      <c r="K59" s="43">
        <f t="shared" si="22"/>
        <v>2.8571428571428571E-2</v>
      </c>
      <c r="L59" s="43">
        <f t="shared" si="22"/>
        <v>0</v>
      </c>
      <c r="M59" s="43">
        <f t="shared" si="22"/>
        <v>0.49333333333333335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0.37593984962406013</v>
      </c>
      <c r="D60" s="44">
        <f t="shared" ref="D60:N60" si="23">D58/$O$58</f>
        <v>4.8872180451127817E-2</v>
      </c>
      <c r="E60" s="44">
        <f t="shared" si="23"/>
        <v>0.11278195488721804</v>
      </c>
      <c r="F60" s="44">
        <f t="shared" si="23"/>
        <v>0.10526315789473684</v>
      </c>
      <c r="G60" s="44">
        <f t="shared" si="23"/>
        <v>7.5187969924812026E-3</v>
      </c>
      <c r="H60" s="44">
        <f t="shared" si="23"/>
        <v>3.7593984962406013E-3</v>
      </c>
      <c r="I60" s="44">
        <f t="shared" si="23"/>
        <v>0.21804511278195488</v>
      </c>
      <c r="J60" s="44">
        <f t="shared" si="23"/>
        <v>7.1428571428571425E-2</v>
      </c>
      <c r="K60" s="44">
        <f t="shared" si="23"/>
        <v>5.6390977443609019E-2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58" zoomScale="60" workbookViewId="0">
      <selection activeCell="S6" sqref="S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SEMBABULE-MASAKA'!C3:G3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162</v>
      </c>
      <c r="E5" s="3"/>
      <c r="F5" s="41" t="s">
        <v>1</v>
      </c>
      <c r="G5" s="63" t="str">
        <f>'17.10 SEMBABULE-MASAKA'!G5:H5</f>
        <v>KIWUULA TRADING CENTRE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166</v>
      </c>
      <c r="E6" s="64"/>
      <c r="F6" s="2" t="s">
        <v>2</v>
      </c>
      <c r="G6" s="63" t="s">
        <v>167</v>
      </c>
      <c r="H6" s="64"/>
      <c r="J6" s="2" t="s">
        <v>21</v>
      </c>
      <c r="K6" s="63" t="str">
        <f>'17.10 SEMBABULE-MASAKA'!K6:L6</f>
        <v>GEORGE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4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22</v>
      </c>
      <c r="AD10" s="17">
        <f t="shared" si="2"/>
        <v>0</v>
      </c>
      <c r="AE10" s="31">
        <f t="shared" si="2"/>
        <v>11</v>
      </c>
      <c r="AF10" s="31">
        <f t="shared" si="2"/>
        <v>33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28</v>
      </c>
      <c r="AD11" s="17">
        <f t="shared" si="3"/>
        <v>0</v>
      </c>
      <c r="AE11" s="31">
        <f t="shared" si="3"/>
        <v>10</v>
      </c>
      <c r="AF11" s="31">
        <f t="shared" si="3"/>
        <v>38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3</v>
      </c>
      <c r="P12" s="15">
        <f t="shared" si="1"/>
        <v>10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4</v>
      </c>
      <c r="AB12" s="17">
        <f t="shared" si="4"/>
        <v>0</v>
      </c>
      <c r="AC12" s="17">
        <f t="shared" si="4"/>
        <v>27</v>
      </c>
      <c r="AD12" s="17">
        <f t="shared" si="4"/>
        <v>0</v>
      </c>
      <c r="AE12" s="31">
        <f t="shared" si="4"/>
        <v>10</v>
      </c>
      <c r="AF12" s="31">
        <f t="shared" si="4"/>
        <v>37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6</v>
      </c>
      <c r="N13" s="50">
        <v>0</v>
      </c>
      <c r="O13" s="15">
        <f t="shared" si="0"/>
        <v>6</v>
      </c>
      <c r="P13" s="15">
        <f t="shared" si="1"/>
        <v>12</v>
      </c>
      <c r="R13" s="1" t="s">
        <v>9</v>
      </c>
      <c r="S13" s="17">
        <f t="shared" ref="S13:AF13" si="5">SUM(C22:C25)</f>
        <v>7</v>
      </c>
      <c r="T13" s="17">
        <f t="shared" si="5"/>
        <v>0</v>
      </c>
      <c r="U13" s="17">
        <f t="shared" si="5"/>
        <v>1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1</v>
      </c>
      <c r="AA13" s="17">
        <f t="shared" si="5"/>
        <v>3</v>
      </c>
      <c r="AB13" s="17">
        <f t="shared" si="5"/>
        <v>0</v>
      </c>
      <c r="AC13" s="17">
        <f t="shared" si="5"/>
        <v>16</v>
      </c>
      <c r="AD13" s="17">
        <f t="shared" si="5"/>
        <v>0</v>
      </c>
      <c r="AE13" s="31">
        <f t="shared" si="5"/>
        <v>20</v>
      </c>
      <c r="AF13" s="31">
        <f t="shared" si="5"/>
        <v>36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1</v>
      </c>
      <c r="P14" s="15">
        <f t="shared" si="1"/>
        <v>7</v>
      </c>
      <c r="R14" s="1" t="s">
        <v>10</v>
      </c>
      <c r="S14" s="17">
        <f t="shared" ref="S14:AF14" si="6">SUM(C26:C29)</f>
        <v>6</v>
      </c>
      <c r="T14" s="17">
        <f t="shared" si="6"/>
        <v>2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3</v>
      </c>
      <c r="AA14" s="17">
        <f t="shared" si="6"/>
        <v>2</v>
      </c>
      <c r="AB14" s="17">
        <f t="shared" si="6"/>
        <v>0</v>
      </c>
      <c r="AC14" s="17">
        <f t="shared" si="6"/>
        <v>32</v>
      </c>
      <c r="AD14" s="17">
        <f t="shared" si="6"/>
        <v>0</v>
      </c>
      <c r="AE14" s="31">
        <f t="shared" si="6"/>
        <v>19</v>
      </c>
      <c r="AF14" s="31">
        <f t="shared" si="6"/>
        <v>51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3</v>
      </c>
      <c r="P15" s="15">
        <f t="shared" si="1"/>
        <v>13</v>
      </c>
      <c r="R15" s="1" t="s">
        <v>11</v>
      </c>
      <c r="S15" s="17">
        <f t="shared" ref="S15:AF15" si="7">SUM(C30:C33)</f>
        <v>11</v>
      </c>
      <c r="T15" s="17">
        <f t="shared" si="7"/>
        <v>0</v>
      </c>
      <c r="U15" s="17">
        <f t="shared" si="7"/>
        <v>4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2</v>
      </c>
      <c r="AA15" s="17">
        <f t="shared" si="7"/>
        <v>1</v>
      </c>
      <c r="AB15" s="17">
        <f t="shared" si="7"/>
        <v>0</v>
      </c>
      <c r="AC15" s="17">
        <f t="shared" si="7"/>
        <v>27</v>
      </c>
      <c r="AD15" s="17">
        <f t="shared" si="7"/>
        <v>0</v>
      </c>
      <c r="AE15" s="31">
        <f t="shared" si="7"/>
        <v>24</v>
      </c>
      <c r="AF15" s="31">
        <f t="shared" si="7"/>
        <v>51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7</v>
      </c>
      <c r="N16" s="50">
        <v>0</v>
      </c>
      <c r="O16" s="15">
        <f t="shared" si="0"/>
        <v>4</v>
      </c>
      <c r="P16" s="15">
        <f t="shared" si="1"/>
        <v>11</v>
      </c>
      <c r="R16" s="1" t="s">
        <v>12</v>
      </c>
      <c r="S16" s="17">
        <f t="shared" ref="S16:AF16" si="8">SUM(C34:C37)</f>
        <v>6</v>
      </c>
      <c r="T16" s="17">
        <f t="shared" si="8"/>
        <v>1</v>
      </c>
      <c r="U16" s="17">
        <f t="shared" si="8"/>
        <v>4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19</v>
      </c>
      <c r="AD16" s="17">
        <f t="shared" si="8"/>
        <v>0</v>
      </c>
      <c r="AE16" s="31">
        <f t="shared" si="8"/>
        <v>18</v>
      </c>
      <c r="AF16" s="31">
        <f t="shared" si="8"/>
        <v>37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2</v>
      </c>
      <c r="P17" s="15">
        <f t="shared" si="1"/>
        <v>7</v>
      </c>
      <c r="R17" s="1" t="s">
        <v>13</v>
      </c>
      <c r="S17" s="17">
        <f t="shared" ref="S17:AF17" si="9">SUM(C38:C41)</f>
        <v>8</v>
      </c>
      <c r="T17" s="17">
        <f t="shared" si="9"/>
        <v>1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19</v>
      </c>
      <c r="AD17" s="17">
        <f t="shared" si="9"/>
        <v>0</v>
      </c>
      <c r="AE17" s="31">
        <f t="shared" si="9"/>
        <v>21</v>
      </c>
      <c r="AF17" s="31">
        <f t="shared" si="9"/>
        <v>40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6</v>
      </c>
      <c r="N18" s="50">
        <v>0</v>
      </c>
      <c r="O18" s="15">
        <f t="shared" si="0"/>
        <v>3</v>
      </c>
      <c r="P18" s="15">
        <f t="shared" si="1"/>
        <v>9</v>
      </c>
      <c r="R18" s="1" t="s">
        <v>14</v>
      </c>
      <c r="S18" s="17">
        <f t="shared" ref="S18:AF18" si="10">SUM(C42:C45)</f>
        <v>5</v>
      </c>
      <c r="T18" s="17">
        <f t="shared" si="10"/>
        <v>0</v>
      </c>
      <c r="U18" s="17">
        <f t="shared" si="10"/>
        <v>1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29</v>
      </c>
      <c r="AD18" s="17">
        <f t="shared" si="10"/>
        <v>0</v>
      </c>
      <c r="AE18" s="31">
        <f t="shared" si="10"/>
        <v>17</v>
      </c>
      <c r="AF18" s="31">
        <f t="shared" si="10"/>
        <v>46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0</v>
      </c>
      <c r="M19" s="50">
        <v>7</v>
      </c>
      <c r="N19" s="50">
        <v>0</v>
      </c>
      <c r="O19" s="15">
        <f t="shared" si="0"/>
        <v>3</v>
      </c>
      <c r="P19" s="15">
        <f t="shared" si="1"/>
        <v>10</v>
      </c>
      <c r="R19" s="1" t="s">
        <v>15</v>
      </c>
      <c r="S19" s="17">
        <f t="shared" ref="S19:AF19" si="11">SUM(C46:C49)</f>
        <v>7</v>
      </c>
      <c r="T19" s="17">
        <f t="shared" si="11"/>
        <v>1</v>
      </c>
      <c r="U19" s="17">
        <f t="shared" si="11"/>
        <v>4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43</v>
      </c>
      <c r="AD19" s="17">
        <f t="shared" si="11"/>
        <v>0</v>
      </c>
      <c r="AE19" s="31">
        <f t="shared" si="11"/>
        <v>25</v>
      </c>
      <c r="AF19" s="31">
        <f t="shared" si="11"/>
        <v>68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9</v>
      </c>
      <c r="N20" s="50">
        <v>0</v>
      </c>
      <c r="O20" s="15">
        <f t="shared" si="0"/>
        <v>0</v>
      </c>
      <c r="P20" s="15">
        <f t="shared" si="1"/>
        <v>9</v>
      </c>
      <c r="R20" s="1" t="s">
        <v>16</v>
      </c>
      <c r="S20" s="17">
        <f t="shared" ref="S20:AF20" si="12">SUM(C50:C53)</f>
        <v>12</v>
      </c>
      <c r="T20" s="17">
        <f t="shared" si="12"/>
        <v>1</v>
      </c>
      <c r="U20" s="17">
        <f t="shared" si="12"/>
        <v>5</v>
      </c>
      <c r="V20" s="17">
        <f t="shared" si="12"/>
        <v>5</v>
      </c>
      <c r="W20" s="17">
        <f t="shared" si="12"/>
        <v>2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3</v>
      </c>
      <c r="AB20" s="17">
        <f t="shared" si="12"/>
        <v>0</v>
      </c>
      <c r="AC20" s="17">
        <f t="shared" si="12"/>
        <v>48</v>
      </c>
      <c r="AD20" s="17">
        <f t="shared" si="12"/>
        <v>0</v>
      </c>
      <c r="AE20" s="31">
        <f t="shared" si="12"/>
        <v>33</v>
      </c>
      <c r="AF20" s="31">
        <f t="shared" si="12"/>
        <v>81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2</v>
      </c>
      <c r="L21" s="50">
        <v>0</v>
      </c>
      <c r="M21" s="50">
        <v>5</v>
      </c>
      <c r="N21" s="50">
        <v>0</v>
      </c>
      <c r="O21" s="15">
        <f t="shared" si="0"/>
        <v>4</v>
      </c>
      <c r="P21" s="15">
        <f t="shared" si="1"/>
        <v>9</v>
      </c>
      <c r="R21" s="36" t="s">
        <v>20</v>
      </c>
      <c r="S21" s="34">
        <f t="shared" ref="S21:AF21" si="13">SUM(C54:C57)</f>
        <v>6</v>
      </c>
      <c r="T21" s="17">
        <f t="shared" si="13"/>
        <v>1</v>
      </c>
      <c r="U21" s="17">
        <f t="shared" si="13"/>
        <v>3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10</v>
      </c>
      <c r="Z21" s="17">
        <f t="shared" si="13"/>
        <v>6</v>
      </c>
      <c r="AA21" s="17">
        <f t="shared" si="13"/>
        <v>1</v>
      </c>
      <c r="AB21" s="17">
        <f t="shared" si="13"/>
        <v>0</v>
      </c>
      <c r="AC21" s="17">
        <f t="shared" si="13"/>
        <v>42</v>
      </c>
      <c r="AD21" s="17">
        <f t="shared" si="13"/>
        <v>0</v>
      </c>
      <c r="AE21" s="31">
        <f t="shared" si="13"/>
        <v>29</v>
      </c>
      <c r="AF21" s="31">
        <f t="shared" si="13"/>
        <v>71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6</v>
      </c>
      <c r="P22" s="15">
        <f t="shared" si="1"/>
        <v>9</v>
      </c>
      <c r="R22" s="38" t="s">
        <v>90</v>
      </c>
      <c r="S22" s="39">
        <f>MAX(S10:S12)</f>
        <v>4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0</v>
      </c>
      <c r="W22" s="39">
        <f t="shared" si="14"/>
        <v>1</v>
      </c>
      <c r="X22" s="39">
        <f t="shared" si="14"/>
        <v>0</v>
      </c>
      <c r="Y22" s="39">
        <f t="shared" si="14"/>
        <v>3</v>
      </c>
      <c r="Z22" s="39">
        <f t="shared" si="14"/>
        <v>1</v>
      </c>
      <c r="AA22" s="39">
        <f t="shared" si="14"/>
        <v>4</v>
      </c>
      <c r="AB22" s="39">
        <f t="shared" si="14"/>
        <v>0</v>
      </c>
      <c r="AC22" s="39">
        <f t="shared" si="14"/>
        <v>28</v>
      </c>
      <c r="AD22" s="39">
        <f t="shared" si="14"/>
        <v>0</v>
      </c>
      <c r="AE22" s="40">
        <f t="shared" si="14"/>
        <v>11</v>
      </c>
      <c r="AF22" s="40">
        <f t="shared" si="14"/>
        <v>38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3</v>
      </c>
      <c r="L23" s="50">
        <v>0</v>
      </c>
      <c r="M23" s="50">
        <v>5</v>
      </c>
      <c r="N23" s="50">
        <v>0</v>
      </c>
      <c r="O23" s="15">
        <f t="shared" si="0"/>
        <v>8</v>
      </c>
      <c r="P23" s="15">
        <f t="shared" si="1"/>
        <v>13</v>
      </c>
      <c r="R23" s="38" t="s">
        <v>91</v>
      </c>
      <c r="S23" s="39">
        <f>MAX(S13:S18)</f>
        <v>11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3</v>
      </c>
      <c r="AA23" s="39">
        <f t="shared" si="15"/>
        <v>3</v>
      </c>
      <c r="AB23" s="39">
        <f t="shared" si="15"/>
        <v>0</v>
      </c>
      <c r="AC23" s="39">
        <f t="shared" si="15"/>
        <v>32</v>
      </c>
      <c r="AD23" s="39">
        <f t="shared" si="15"/>
        <v>0</v>
      </c>
      <c r="AE23" s="40">
        <f t="shared" si="15"/>
        <v>24</v>
      </c>
      <c r="AF23" s="40">
        <f t="shared" si="15"/>
        <v>51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5</v>
      </c>
      <c r="P24" s="15">
        <f t="shared" si="1"/>
        <v>9</v>
      </c>
      <c r="R24" s="38" t="s">
        <v>92</v>
      </c>
      <c r="S24" s="39">
        <f>MAX(S19:S21)</f>
        <v>12</v>
      </c>
      <c r="T24" s="39">
        <f t="shared" ref="T24:AF24" si="16">MAX(T19:T21)</f>
        <v>1</v>
      </c>
      <c r="U24" s="39">
        <f t="shared" si="16"/>
        <v>5</v>
      </c>
      <c r="V24" s="39">
        <f t="shared" si="16"/>
        <v>5</v>
      </c>
      <c r="W24" s="39">
        <f t="shared" si="16"/>
        <v>2</v>
      </c>
      <c r="X24" s="39">
        <f t="shared" si="16"/>
        <v>0</v>
      </c>
      <c r="Y24" s="39">
        <f t="shared" si="16"/>
        <v>10</v>
      </c>
      <c r="Z24" s="39">
        <f t="shared" si="16"/>
        <v>6</v>
      </c>
      <c r="AA24" s="39">
        <f t="shared" si="16"/>
        <v>3</v>
      </c>
      <c r="AB24" s="39">
        <f t="shared" si="16"/>
        <v>0</v>
      </c>
      <c r="AC24" s="39">
        <f t="shared" si="16"/>
        <v>48</v>
      </c>
      <c r="AD24" s="39">
        <f t="shared" si="16"/>
        <v>0</v>
      </c>
      <c r="AE24" s="40">
        <f t="shared" si="16"/>
        <v>33</v>
      </c>
      <c r="AF24" s="40">
        <f t="shared" si="16"/>
        <v>81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1</v>
      </c>
      <c r="P25" s="15">
        <f t="shared" si="1"/>
        <v>5</v>
      </c>
      <c r="R25" s="37" t="s">
        <v>85</v>
      </c>
      <c r="S25" s="35">
        <f t="shared" ref="S25:AF25" si="17">SUM(S10:S12)</f>
        <v>7</v>
      </c>
      <c r="T25" s="16">
        <f t="shared" si="17"/>
        <v>1</v>
      </c>
      <c r="U25" s="16">
        <f t="shared" si="17"/>
        <v>6</v>
      </c>
      <c r="V25" s="16">
        <f t="shared" si="17"/>
        <v>0</v>
      </c>
      <c r="W25" s="16">
        <f t="shared" si="17"/>
        <v>1</v>
      </c>
      <c r="X25" s="16">
        <f t="shared" si="17"/>
        <v>0</v>
      </c>
      <c r="Y25" s="16">
        <f t="shared" si="17"/>
        <v>8</v>
      </c>
      <c r="Z25" s="16">
        <f t="shared" si="17"/>
        <v>2</v>
      </c>
      <c r="AA25" s="16">
        <f t="shared" si="17"/>
        <v>6</v>
      </c>
      <c r="AB25" s="16">
        <f t="shared" si="17"/>
        <v>0</v>
      </c>
      <c r="AC25" s="16">
        <f t="shared" si="17"/>
        <v>77</v>
      </c>
      <c r="AD25" s="16">
        <f t="shared" si="17"/>
        <v>0</v>
      </c>
      <c r="AE25" s="32">
        <f t="shared" si="17"/>
        <v>31</v>
      </c>
      <c r="AF25" s="32">
        <f t="shared" si="17"/>
        <v>108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2</v>
      </c>
      <c r="K26" s="50">
        <v>1</v>
      </c>
      <c r="L26" s="50">
        <v>0</v>
      </c>
      <c r="M26" s="50">
        <v>5</v>
      </c>
      <c r="N26" s="50">
        <v>0</v>
      </c>
      <c r="O26" s="15">
        <f t="shared" si="0"/>
        <v>5</v>
      </c>
      <c r="P26" s="15">
        <f t="shared" si="1"/>
        <v>10</v>
      </c>
      <c r="R26" s="28" t="s">
        <v>86</v>
      </c>
      <c r="S26" s="16">
        <f t="shared" ref="S26:AF26" si="18">SUM(S13:S18)</f>
        <v>43</v>
      </c>
      <c r="T26" s="16">
        <f t="shared" si="18"/>
        <v>4</v>
      </c>
      <c r="U26" s="16">
        <f t="shared" si="18"/>
        <v>13</v>
      </c>
      <c r="V26" s="16">
        <f t="shared" si="18"/>
        <v>12</v>
      </c>
      <c r="W26" s="16">
        <f t="shared" si="18"/>
        <v>0</v>
      </c>
      <c r="X26" s="16">
        <f t="shared" si="18"/>
        <v>0</v>
      </c>
      <c r="Y26" s="16">
        <f t="shared" si="18"/>
        <v>28</v>
      </c>
      <c r="Z26" s="16">
        <f t="shared" si="18"/>
        <v>12</v>
      </c>
      <c r="AA26" s="16">
        <f t="shared" si="18"/>
        <v>7</v>
      </c>
      <c r="AB26" s="16">
        <f t="shared" si="18"/>
        <v>0</v>
      </c>
      <c r="AC26" s="16">
        <f t="shared" si="18"/>
        <v>142</v>
      </c>
      <c r="AD26" s="16">
        <f t="shared" si="18"/>
        <v>0</v>
      </c>
      <c r="AE26" s="32">
        <f t="shared" si="18"/>
        <v>119</v>
      </c>
      <c r="AF26" s="32">
        <f t="shared" si="18"/>
        <v>261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1</v>
      </c>
      <c r="L27" s="50">
        <v>0</v>
      </c>
      <c r="M27" s="50">
        <v>9</v>
      </c>
      <c r="N27" s="50">
        <v>0</v>
      </c>
      <c r="O27" s="15">
        <f t="shared" si="0"/>
        <v>2</v>
      </c>
      <c r="P27" s="15">
        <f t="shared" si="1"/>
        <v>11</v>
      </c>
      <c r="R27" s="29" t="s">
        <v>87</v>
      </c>
      <c r="S27" s="16">
        <f t="shared" ref="S27:AF27" si="19">SUM(S19:S21)</f>
        <v>25</v>
      </c>
      <c r="T27" s="16">
        <f t="shared" si="19"/>
        <v>3</v>
      </c>
      <c r="U27" s="16">
        <f t="shared" si="19"/>
        <v>12</v>
      </c>
      <c r="V27" s="16">
        <f t="shared" si="19"/>
        <v>12</v>
      </c>
      <c r="W27" s="16">
        <f t="shared" si="19"/>
        <v>2</v>
      </c>
      <c r="X27" s="16">
        <f t="shared" si="19"/>
        <v>0</v>
      </c>
      <c r="Y27" s="16">
        <f t="shared" si="19"/>
        <v>20</v>
      </c>
      <c r="Z27" s="16">
        <f t="shared" si="19"/>
        <v>8</v>
      </c>
      <c r="AA27" s="16">
        <f t="shared" si="19"/>
        <v>5</v>
      </c>
      <c r="AB27" s="16">
        <f t="shared" si="19"/>
        <v>0</v>
      </c>
      <c r="AC27" s="16">
        <f t="shared" si="19"/>
        <v>133</v>
      </c>
      <c r="AD27" s="16">
        <f t="shared" si="19"/>
        <v>0</v>
      </c>
      <c r="AE27" s="32">
        <f t="shared" si="19"/>
        <v>87</v>
      </c>
      <c r="AF27" s="32">
        <f t="shared" si="19"/>
        <v>220</v>
      </c>
    </row>
    <row r="28" spans="2:32" ht="23.1" customHeight="1" x14ac:dyDescent="0.25">
      <c r="B28" s="23" t="s">
        <v>55</v>
      </c>
      <c r="C28" s="50">
        <v>3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6</v>
      </c>
      <c r="P28" s="15">
        <f t="shared" si="1"/>
        <v>13</v>
      </c>
      <c r="R28" s="5" t="s">
        <v>17</v>
      </c>
      <c r="S28" s="16">
        <f t="shared" ref="S28:AF28" si="20">SUM(S10:S21)</f>
        <v>75</v>
      </c>
      <c r="T28" s="16">
        <f t="shared" si="20"/>
        <v>8</v>
      </c>
      <c r="U28" s="16">
        <f t="shared" si="20"/>
        <v>31</v>
      </c>
      <c r="V28" s="16">
        <f t="shared" si="20"/>
        <v>24</v>
      </c>
      <c r="W28" s="16">
        <f t="shared" si="20"/>
        <v>3</v>
      </c>
      <c r="X28" s="16">
        <f t="shared" si="20"/>
        <v>0</v>
      </c>
      <c r="Y28" s="16">
        <f t="shared" si="20"/>
        <v>56</v>
      </c>
      <c r="Z28" s="16">
        <f t="shared" si="20"/>
        <v>22</v>
      </c>
      <c r="AA28" s="16">
        <f t="shared" si="20"/>
        <v>18</v>
      </c>
      <c r="AB28" s="16">
        <f t="shared" si="20"/>
        <v>0</v>
      </c>
      <c r="AC28" s="16">
        <f t="shared" si="20"/>
        <v>352</v>
      </c>
      <c r="AD28" s="16">
        <f t="shared" si="20"/>
        <v>0</v>
      </c>
      <c r="AE28" s="32">
        <f t="shared" si="20"/>
        <v>237</v>
      </c>
      <c r="AF28" s="32">
        <f t="shared" si="20"/>
        <v>589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6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2</v>
      </c>
      <c r="K30" s="50">
        <v>1</v>
      </c>
      <c r="L30" s="50">
        <v>0</v>
      </c>
      <c r="M30" s="50">
        <v>7</v>
      </c>
      <c r="N30" s="50">
        <v>0</v>
      </c>
      <c r="O30" s="15">
        <f t="shared" si="0"/>
        <v>7</v>
      </c>
      <c r="P30" s="15">
        <f t="shared" si="1"/>
        <v>14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6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6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5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4</v>
      </c>
      <c r="P34" s="15">
        <f t="shared" si="1"/>
        <v>7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3</v>
      </c>
      <c r="F35" s="50">
        <v>0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7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3</v>
      </c>
      <c r="P36" s="15">
        <f t="shared" si="1"/>
        <v>10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4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3</v>
      </c>
      <c r="J38" s="50">
        <v>0</v>
      </c>
      <c r="K38" s="50">
        <v>1</v>
      </c>
      <c r="L38" s="50">
        <v>0</v>
      </c>
      <c r="M38" s="50">
        <v>4</v>
      </c>
      <c r="N38" s="50">
        <v>0</v>
      </c>
      <c r="O38" s="15">
        <f t="shared" si="0"/>
        <v>6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7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6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2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6</v>
      </c>
      <c r="P42" s="15">
        <f t="shared" si="1"/>
        <v>14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5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4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2</v>
      </c>
      <c r="P45" s="15">
        <f t="shared" si="1"/>
        <v>5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4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1</v>
      </c>
      <c r="F47" s="50">
        <v>3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11</v>
      </c>
      <c r="P47" s="15">
        <f t="shared" si="1"/>
        <v>21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1</v>
      </c>
      <c r="K48" s="50">
        <v>1</v>
      </c>
      <c r="L48" s="50">
        <v>0</v>
      </c>
      <c r="M48" s="50">
        <v>7</v>
      </c>
      <c r="N48" s="50">
        <v>0</v>
      </c>
      <c r="O48" s="15">
        <f t="shared" si="0"/>
        <v>4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1</v>
      </c>
      <c r="E49" s="50">
        <v>1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6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2</v>
      </c>
      <c r="J50" s="50">
        <v>0</v>
      </c>
      <c r="K50" s="50">
        <v>2</v>
      </c>
      <c r="L50" s="50">
        <v>0</v>
      </c>
      <c r="M50" s="50">
        <v>9</v>
      </c>
      <c r="N50" s="50">
        <v>0</v>
      </c>
      <c r="O50" s="15">
        <f t="shared" si="0"/>
        <v>10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1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15</v>
      </c>
      <c r="N51" s="50">
        <v>0</v>
      </c>
      <c r="O51" s="15">
        <f t="shared" si="0"/>
        <v>8</v>
      </c>
      <c r="P51" s="15">
        <f t="shared" si="1"/>
        <v>23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3</v>
      </c>
      <c r="F52" s="50">
        <v>2</v>
      </c>
      <c r="G52" s="50">
        <v>1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13</v>
      </c>
      <c r="N52" s="50">
        <v>0</v>
      </c>
      <c r="O52" s="15">
        <f t="shared" si="0"/>
        <v>10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0</v>
      </c>
      <c r="F53" s="50">
        <v>1</v>
      </c>
      <c r="G53" s="50">
        <v>1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5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4</v>
      </c>
      <c r="J54" s="50">
        <v>2</v>
      </c>
      <c r="K54" s="50">
        <v>1</v>
      </c>
      <c r="L54" s="50">
        <v>0</v>
      </c>
      <c r="M54" s="50">
        <v>12</v>
      </c>
      <c r="N54" s="50">
        <v>0</v>
      </c>
      <c r="O54" s="15">
        <f t="shared" si="0"/>
        <v>8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2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5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1</v>
      </c>
      <c r="E56" s="50">
        <v>1</v>
      </c>
      <c r="F56" s="50">
        <v>2</v>
      </c>
      <c r="G56" s="50">
        <v>0</v>
      </c>
      <c r="H56" s="50">
        <v>0</v>
      </c>
      <c r="I56" s="50">
        <v>5</v>
      </c>
      <c r="J56" s="50">
        <v>2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13</v>
      </c>
      <c r="P56" s="15">
        <f t="shared" si="1"/>
        <v>29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3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75</v>
      </c>
      <c r="D58" s="16">
        <f t="shared" si="21"/>
        <v>8</v>
      </c>
      <c r="E58" s="16">
        <f t="shared" si="21"/>
        <v>31</v>
      </c>
      <c r="F58" s="16">
        <f t="shared" si="21"/>
        <v>24</v>
      </c>
      <c r="G58" s="16">
        <f t="shared" si="21"/>
        <v>3</v>
      </c>
      <c r="H58" s="16">
        <f t="shared" si="21"/>
        <v>0</v>
      </c>
      <c r="I58" s="16">
        <f t="shared" si="21"/>
        <v>56</v>
      </c>
      <c r="J58" s="16">
        <f t="shared" si="21"/>
        <v>22</v>
      </c>
      <c r="K58" s="16">
        <f t="shared" si="21"/>
        <v>18</v>
      </c>
      <c r="L58" s="16">
        <f t="shared" si="21"/>
        <v>0</v>
      </c>
      <c r="M58" s="16">
        <f t="shared" si="21"/>
        <v>352</v>
      </c>
      <c r="N58" s="16">
        <f t="shared" si="21"/>
        <v>0</v>
      </c>
      <c r="O58" s="16">
        <f t="shared" si="21"/>
        <v>237</v>
      </c>
      <c r="P58" s="16">
        <f t="shared" si="21"/>
        <v>589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0.12733446519524619</v>
      </c>
      <c r="D59" s="43">
        <f t="shared" si="22"/>
        <v>1.3582342954159592E-2</v>
      </c>
      <c r="E59" s="43">
        <f t="shared" si="22"/>
        <v>5.2631578947368418E-2</v>
      </c>
      <c r="F59" s="43">
        <f t="shared" si="22"/>
        <v>4.074702886247878E-2</v>
      </c>
      <c r="G59" s="43">
        <f t="shared" si="22"/>
        <v>5.0933786078098476E-3</v>
      </c>
      <c r="H59" s="43">
        <f t="shared" si="22"/>
        <v>0</v>
      </c>
      <c r="I59" s="43">
        <f t="shared" si="22"/>
        <v>9.5076400679117143E-2</v>
      </c>
      <c r="J59" s="43">
        <f t="shared" si="22"/>
        <v>3.7351443123938878E-2</v>
      </c>
      <c r="K59" s="43">
        <f t="shared" si="22"/>
        <v>3.0560271646859084E-2</v>
      </c>
      <c r="L59" s="43">
        <f t="shared" si="22"/>
        <v>0</v>
      </c>
      <c r="M59" s="43">
        <f t="shared" si="22"/>
        <v>0.59762308998302205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0.31645569620253167</v>
      </c>
      <c r="D60" s="44">
        <f t="shared" ref="D60:N60" si="23">D58/$O$58</f>
        <v>3.3755274261603373E-2</v>
      </c>
      <c r="E60" s="44">
        <f t="shared" si="23"/>
        <v>0.13080168776371309</v>
      </c>
      <c r="F60" s="44">
        <f t="shared" si="23"/>
        <v>0.10126582278481013</v>
      </c>
      <c r="G60" s="44">
        <f t="shared" si="23"/>
        <v>1.2658227848101266E-2</v>
      </c>
      <c r="H60" s="44">
        <f t="shared" si="23"/>
        <v>0</v>
      </c>
      <c r="I60" s="44">
        <f t="shared" si="23"/>
        <v>0.23628691983122363</v>
      </c>
      <c r="J60" s="44">
        <f t="shared" si="23"/>
        <v>9.2827004219409287E-2</v>
      </c>
      <c r="K60" s="44">
        <f t="shared" si="23"/>
        <v>7.5949367088607597E-2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6" sqref="C3:G3 D5 D6:E6 G5:H5 G6:H6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67" t="str">
        <f>'17.10 MASAKA SEMBABULE'!C3:G3</f>
        <v>VIRA MARIA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2" t="s">
        <v>181</v>
      </c>
      <c r="E5" s="3"/>
      <c r="F5" s="41" t="s">
        <v>1</v>
      </c>
      <c r="G5" s="63" t="str">
        <f>'22.10 MASAKA-SEMBABULE'!G5:H5</f>
        <v>KIWUULA TC</v>
      </c>
      <c r="H5" s="64"/>
      <c r="I5" s="14"/>
      <c r="J5" s="2" t="s">
        <v>5</v>
      </c>
      <c r="K5" s="63" t="s">
        <v>172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">
        <v>169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1</v>
      </c>
      <c r="Y10" s="17">
        <f t="shared" si="2"/>
        <v>2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26</v>
      </c>
      <c r="AD10" s="17">
        <f t="shared" si="2"/>
        <v>0</v>
      </c>
      <c r="AE10" s="31">
        <f t="shared" si="2"/>
        <v>15</v>
      </c>
      <c r="AF10" s="31">
        <f t="shared" si="2"/>
        <v>41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0</v>
      </c>
      <c r="F11" s="50">
        <v>0</v>
      </c>
      <c r="G11" s="50">
        <v>0</v>
      </c>
      <c r="H11" s="50">
        <v>1</v>
      </c>
      <c r="I11" s="50">
        <v>1</v>
      </c>
      <c r="J11" s="50">
        <v>1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5</v>
      </c>
      <c r="P11" s="15">
        <f t="shared" si="1"/>
        <v>12</v>
      </c>
      <c r="R11" s="1" t="s">
        <v>7</v>
      </c>
      <c r="S11" s="17">
        <f t="shared" ref="S11:AF11" si="3">SUM(C14:C17)</f>
        <v>5</v>
      </c>
      <c r="T11" s="17">
        <f t="shared" si="3"/>
        <v>0</v>
      </c>
      <c r="U11" s="17">
        <f t="shared" si="3"/>
        <v>2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3</v>
      </c>
      <c r="AB11" s="17">
        <f t="shared" si="3"/>
        <v>0</v>
      </c>
      <c r="AC11" s="17">
        <f t="shared" si="3"/>
        <v>22</v>
      </c>
      <c r="AD11" s="17">
        <f t="shared" si="3"/>
        <v>0</v>
      </c>
      <c r="AE11" s="31">
        <f t="shared" si="3"/>
        <v>24</v>
      </c>
      <c r="AF11" s="31">
        <f t="shared" si="3"/>
        <v>46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3</v>
      </c>
      <c r="P12" s="15">
        <f t="shared" si="1"/>
        <v>11</v>
      </c>
      <c r="R12" s="1" t="s">
        <v>8</v>
      </c>
      <c r="S12" s="17">
        <f t="shared" ref="S12:AF12" si="4">SUM(C18:C21)</f>
        <v>15</v>
      </c>
      <c r="T12" s="17">
        <f t="shared" si="4"/>
        <v>0</v>
      </c>
      <c r="U12" s="17">
        <f t="shared" si="4"/>
        <v>2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4</v>
      </c>
      <c r="AB12" s="17">
        <f t="shared" si="4"/>
        <v>1</v>
      </c>
      <c r="AC12" s="17">
        <f t="shared" si="4"/>
        <v>23</v>
      </c>
      <c r="AD12" s="17">
        <f t="shared" si="4"/>
        <v>0</v>
      </c>
      <c r="AE12" s="31">
        <f t="shared" si="4"/>
        <v>32</v>
      </c>
      <c r="AF12" s="31">
        <f t="shared" si="4"/>
        <v>55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2</v>
      </c>
      <c r="P13" s="15">
        <f t="shared" si="1"/>
        <v>5</v>
      </c>
      <c r="R13" s="1" t="s">
        <v>9</v>
      </c>
      <c r="S13" s="17">
        <f t="shared" ref="S13:AF13" si="5">SUM(C22:C25)</f>
        <v>14</v>
      </c>
      <c r="T13" s="17">
        <f t="shared" si="5"/>
        <v>1</v>
      </c>
      <c r="U13" s="17">
        <f t="shared" si="5"/>
        <v>2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2</v>
      </c>
      <c r="AB13" s="17">
        <f t="shared" si="5"/>
        <v>0</v>
      </c>
      <c r="AC13" s="17">
        <f t="shared" si="5"/>
        <v>20</v>
      </c>
      <c r="AD13" s="17">
        <f t="shared" si="5"/>
        <v>0</v>
      </c>
      <c r="AE13" s="31">
        <f t="shared" si="5"/>
        <v>28</v>
      </c>
      <c r="AF13" s="31">
        <f t="shared" si="5"/>
        <v>48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4</v>
      </c>
      <c r="J14" s="50">
        <v>0</v>
      </c>
      <c r="K14" s="50">
        <v>2</v>
      </c>
      <c r="L14" s="50">
        <v>0</v>
      </c>
      <c r="M14" s="50">
        <v>3</v>
      </c>
      <c r="N14" s="50">
        <v>0</v>
      </c>
      <c r="O14" s="15">
        <f t="shared" si="0"/>
        <v>8</v>
      </c>
      <c r="P14" s="15">
        <f t="shared" si="1"/>
        <v>11</v>
      </c>
      <c r="R14" s="1" t="s">
        <v>10</v>
      </c>
      <c r="S14" s="17">
        <f t="shared" ref="S14:AF14" si="6">SUM(C26:C29)</f>
        <v>13</v>
      </c>
      <c r="T14" s="17">
        <f t="shared" si="6"/>
        <v>1</v>
      </c>
      <c r="U14" s="17">
        <f t="shared" si="6"/>
        <v>7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3</v>
      </c>
      <c r="AA14" s="17">
        <f t="shared" si="6"/>
        <v>2</v>
      </c>
      <c r="AB14" s="17">
        <f t="shared" si="6"/>
        <v>0</v>
      </c>
      <c r="AC14" s="17">
        <f t="shared" si="6"/>
        <v>20</v>
      </c>
      <c r="AD14" s="17">
        <f t="shared" si="6"/>
        <v>0</v>
      </c>
      <c r="AE14" s="31">
        <f t="shared" si="6"/>
        <v>29</v>
      </c>
      <c r="AF14" s="31">
        <f t="shared" si="6"/>
        <v>49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1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1</v>
      </c>
      <c r="L15" s="50">
        <v>0</v>
      </c>
      <c r="M15" s="50">
        <v>3</v>
      </c>
      <c r="N15" s="50">
        <v>0</v>
      </c>
      <c r="O15" s="15">
        <f t="shared" si="0"/>
        <v>6</v>
      </c>
      <c r="P15" s="15">
        <f t="shared" si="1"/>
        <v>9</v>
      </c>
      <c r="R15" s="1" t="s">
        <v>11</v>
      </c>
      <c r="S15" s="17">
        <f t="shared" ref="S15:AF15" si="7">SUM(C30:C33)</f>
        <v>9</v>
      </c>
      <c r="T15" s="17">
        <f t="shared" si="7"/>
        <v>1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3</v>
      </c>
      <c r="AB15" s="17">
        <f t="shared" si="7"/>
        <v>0</v>
      </c>
      <c r="AC15" s="17">
        <f t="shared" si="7"/>
        <v>23</v>
      </c>
      <c r="AD15" s="17">
        <f t="shared" si="7"/>
        <v>0</v>
      </c>
      <c r="AE15" s="31">
        <f t="shared" si="7"/>
        <v>19</v>
      </c>
      <c r="AF15" s="31">
        <f t="shared" si="7"/>
        <v>42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2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5</v>
      </c>
      <c r="P16" s="15">
        <f t="shared" si="1"/>
        <v>10</v>
      </c>
      <c r="R16" s="1" t="s">
        <v>12</v>
      </c>
      <c r="S16" s="17">
        <f t="shared" ref="S16:AF16" si="8">SUM(C34:C37)</f>
        <v>9</v>
      </c>
      <c r="T16" s="17">
        <f t="shared" si="8"/>
        <v>0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31</v>
      </c>
      <c r="AD16" s="17">
        <f t="shared" si="8"/>
        <v>0</v>
      </c>
      <c r="AE16" s="31">
        <f t="shared" si="8"/>
        <v>16</v>
      </c>
      <c r="AF16" s="31">
        <f t="shared" si="8"/>
        <v>47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11</v>
      </c>
      <c r="N17" s="50">
        <v>0</v>
      </c>
      <c r="O17" s="15">
        <f t="shared" si="0"/>
        <v>5</v>
      </c>
      <c r="P17" s="15">
        <f t="shared" si="1"/>
        <v>16</v>
      </c>
      <c r="R17" s="1" t="s">
        <v>13</v>
      </c>
      <c r="S17" s="17">
        <f t="shared" ref="S17:AF17" si="9">SUM(C38:C41)</f>
        <v>11</v>
      </c>
      <c r="T17" s="17">
        <f t="shared" si="9"/>
        <v>2</v>
      </c>
      <c r="U17" s="17">
        <f t="shared" si="9"/>
        <v>2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4</v>
      </c>
      <c r="AB17" s="17">
        <f t="shared" si="9"/>
        <v>0</v>
      </c>
      <c r="AC17" s="17">
        <f t="shared" si="9"/>
        <v>27</v>
      </c>
      <c r="AD17" s="17">
        <f t="shared" si="9"/>
        <v>0</v>
      </c>
      <c r="AE17" s="31">
        <f t="shared" si="9"/>
        <v>28</v>
      </c>
      <c r="AF17" s="31">
        <f t="shared" si="9"/>
        <v>55</v>
      </c>
    </row>
    <row r="18" spans="2:32" ht="23.1" customHeight="1" x14ac:dyDescent="0.25">
      <c r="B18" s="23" t="s">
        <v>45</v>
      </c>
      <c r="C18" s="50">
        <v>7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1</v>
      </c>
      <c r="M18" s="50">
        <v>3</v>
      </c>
      <c r="N18" s="50">
        <v>0</v>
      </c>
      <c r="O18" s="15">
        <f t="shared" si="0"/>
        <v>11</v>
      </c>
      <c r="P18" s="15">
        <f t="shared" si="1"/>
        <v>14</v>
      </c>
      <c r="R18" s="1" t="s">
        <v>14</v>
      </c>
      <c r="S18" s="17">
        <f t="shared" ref="S18:AF18" si="10">SUM(C42:C45)</f>
        <v>6</v>
      </c>
      <c r="T18" s="17">
        <f t="shared" si="10"/>
        <v>1</v>
      </c>
      <c r="U18" s="17">
        <f t="shared" si="10"/>
        <v>5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2</v>
      </c>
      <c r="AA18" s="17">
        <f t="shared" si="10"/>
        <v>1</v>
      </c>
      <c r="AB18" s="17">
        <f t="shared" si="10"/>
        <v>3</v>
      </c>
      <c r="AC18" s="17">
        <f t="shared" si="10"/>
        <v>17</v>
      </c>
      <c r="AD18" s="17">
        <f t="shared" si="10"/>
        <v>0</v>
      </c>
      <c r="AE18" s="31">
        <f t="shared" si="10"/>
        <v>24</v>
      </c>
      <c r="AF18" s="31">
        <f t="shared" si="10"/>
        <v>41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2</v>
      </c>
      <c r="L19" s="50">
        <v>0</v>
      </c>
      <c r="M19" s="50">
        <v>9</v>
      </c>
      <c r="N19" s="50">
        <v>0</v>
      </c>
      <c r="O19" s="15">
        <f t="shared" si="0"/>
        <v>9</v>
      </c>
      <c r="P19" s="15">
        <f t="shared" si="1"/>
        <v>18</v>
      </c>
      <c r="R19" s="1" t="s">
        <v>15</v>
      </c>
      <c r="S19" s="17">
        <f t="shared" ref="S19:AF19" si="11">SUM(C46:C49)</f>
        <v>10</v>
      </c>
      <c r="T19" s="17">
        <f t="shared" si="11"/>
        <v>2</v>
      </c>
      <c r="U19" s="17">
        <f t="shared" si="11"/>
        <v>0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32</v>
      </c>
      <c r="AD19" s="17">
        <f t="shared" si="11"/>
        <v>0</v>
      </c>
      <c r="AE19" s="31">
        <f t="shared" si="11"/>
        <v>23</v>
      </c>
      <c r="AF19" s="31">
        <f t="shared" si="11"/>
        <v>55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7</v>
      </c>
      <c r="N20" s="50">
        <v>0</v>
      </c>
      <c r="O20" s="15">
        <f t="shared" si="0"/>
        <v>3</v>
      </c>
      <c r="P20" s="15">
        <f t="shared" si="1"/>
        <v>10</v>
      </c>
      <c r="R20" s="1" t="s">
        <v>16</v>
      </c>
      <c r="S20" s="17">
        <f t="shared" ref="S20:AF20" si="12">SUM(C50:C53)</f>
        <v>7</v>
      </c>
      <c r="T20" s="17">
        <f t="shared" si="12"/>
        <v>0</v>
      </c>
      <c r="U20" s="17">
        <f t="shared" si="12"/>
        <v>6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1</v>
      </c>
      <c r="AA20" s="17">
        <f t="shared" si="12"/>
        <v>3</v>
      </c>
      <c r="AB20" s="17">
        <f t="shared" si="12"/>
        <v>0</v>
      </c>
      <c r="AC20" s="17">
        <f t="shared" si="12"/>
        <v>35</v>
      </c>
      <c r="AD20" s="17">
        <f t="shared" si="12"/>
        <v>0</v>
      </c>
      <c r="AE20" s="31">
        <f t="shared" si="12"/>
        <v>25</v>
      </c>
      <c r="AF20" s="31">
        <f t="shared" si="12"/>
        <v>60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0</v>
      </c>
      <c r="M21" s="50">
        <v>4</v>
      </c>
      <c r="N21" s="50">
        <v>0</v>
      </c>
      <c r="O21" s="15">
        <f t="shared" si="0"/>
        <v>9</v>
      </c>
      <c r="P21" s="15">
        <f t="shared" si="1"/>
        <v>13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5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2</v>
      </c>
      <c r="AA21" s="17">
        <f t="shared" si="13"/>
        <v>1</v>
      </c>
      <c r="AB21" s="17">
        <f t="shared" si="13"/>
        <v>0</v>
      </c>
      <c r="AC21" s="17">
        <f t="shared" si="13"/>
        <v>27</v>
      </c>
      <c r="AD21" s="17">
        <f t="shared" si="13"/>
        <v>0</v>
      </c>
      <c r="AE21" s="31">
        <f t="shared" si="13"/>
        <v>15</v>
      </c>
      <c r="AF21" s="31">
        <f t="shared" si="13"/>
        <v>42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3</v>
      </c>
      <c r="P22" s="15">
        <f t="shared" si="1"/>
        <v>7</v>
      </c>
      <c r="R22" s="38" t="s">
        <v>90</v>
      </c>
      <c r="S22" s="39">
        <f>MAX(S10:S12)</f>
        <v>15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6</v>
      </c>
      <c r="W22" s="39">
        <f t="shared" si="14"/>
        <v>0</v>
      </c>
      <c r="X22" s="39">
        <f t="shared" si="14"/>
        <v>1</v>
      </c>
      <c r="Y22" s="39">
        <f t="shared" si="14"/>
        <v>7</v>
      </c>
      <c r="Z22" s="39">
        <f t="shared" si="14"/>
        <v>2</v>
      </c>
      <c r="AA22" s="39">
        <f t="shared" si="14"/>
        <v>4</v>
      </c>
      <c r="AB22" s="39">
        <f t="shared" si="14"/>
        <v>1</v>
      </c>
      <c r="AC22" s="39">
        <f t="shared" si="14"/>
        <v>26</v>
      </c>
      <c r="AD22" s="39">
        <f t="shared" si="14"/>
        <v>0</v>
      </c>
      <c r="AE22" s="40">
        <f t="shared" si="14"/>
        <v>32</v>
      </c>
      <c r="AF22" s="40">
        <f t="shared" si="14"/>
        <v>55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1</v>
      </c>
      <c r="F23" s="50">
        <v>0</v>
      </c>
      <c r="G23" s="50">
        <v>0</v>
      </c>
      <c r="H23" s="50">
        <v>0</v>
      </c>
      <c r="I23" s="50">
        <v>4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10</v>
      </c>
      <c r="P23" s="15">
        <f t="shared" si="1"/>
        <v>15</v>
      </c>
      <c r="R23" s="38" t="s">
        <v>91</v>
      </c>
      <c r="S23" s="39">
        <f>MAX(S13:S18)</f>
        <v>14</v>
      </c>
      <c r="T23" s="39">
        <f t="shared" ref="T23:AF23" si="15">MAX(T13:T18)</f>
        <v>2</v>
      </c>
      <c r="U23" s="39">
        <f t="shared" si="15"/>
        <v>7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3</v>
      </c>
      <c r="AA23" s="39">
        <f t="shared" si="15"/>
        <v>4</v>
      </c>
      <c r="AB23" s="39">
        <f t="shared" si="15"/>
        <v>3</v>
      </c>
      <c r="AC23" s="39">
        <f t="shared" si="15"/>
        <v>31</v>
      </c>
      <c r="AD23" s="39">
        <f t="shared" si="15"/>
        <v>0</v>
      </c>
      <c r="AE23" s="40">
        <f t="shared" si="15"/>
        <v>29</v>
      </c>
      <c r="AF23" s="40">
        <f t="shared" si="15"/>
        <v>55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0</v>
      </c>
      <c r="F24" s="50">
        <v>3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8</v>
      </c>
      <c r="P24" s="15">
        <f t="shared" si="1"/>
        <v>14</v>
      </c>
      <c r="R24" s="38" t="s">
        <v>92</v>
      </c>
      <c r="S24" s="39">
        <f>MAX(S19:S21)</f>
        <v>10</v>
      </c>
      <c r="T24" s="39">
        <f t="shared" ref="T24:AF24" si="16">MAX(T19:T21)</f>
        <v>2</v>
      </c>
      <c r="U24" s="39">
        <f t="shared" si="16"/>
        <v>6</v>
      </c>
      <c r="V24" s="39">
        <f t="shared" si="16"/>
        <v>3</v>
      </c>
      <c r="W24" s="39">
        <f t="shared" si="16"/>
        <v>1</v>
      </c>
      <c r="X24" s="39">
        <f t="shared" si="16"/>
        <v>0</v>
      </c>
      <c r="Y24" s="39">
        <f t="shared" si="16"/>
        <v>6</v>
      </c>
      <c r="Z24" s="39">
        <f t="shared" si="16"/>
        <v>3</v>
      </c>
      <c r="AA24" s="39">
        <f t="shared" si="16"/>
        <v>3</v>
      </c>
      <c r="AB24" s="39">
        <f t="shared" si="16"/>
        <v>0</v>
      </c>
      <c r="AC24" s="39">
        <f t="shared" si="16"/>
        <v>35</v>
      </c>
      <c r="AD24" s="39">
        <f t="shared" si="16"/>
        <v>0</v>
      </c>
      <c r="AE24" s="40">
        <f t="shared" si="16"/>
        <v>25</v>
      </c>
      <c r="AF24" s="40">
        <f t="shared" si="16"/>
        <v>60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2</v>
      </c>
      <c r="L25" s="50">
        <v>0</v>
      </c>
      <c r="M25" s="50">
        <v>5</v>
      </c>
      <c r="N25" s="50">
        <v>0</v>
      </c>
      <c r="O25" s="15">
        <f t="shared" si="0"/>
        <v>7</v>
      </c>
      <c r="P25" s="15">
        <f t="shared" si="1"/>
        <v>12</v>
      </c>
      <c r="R25" s="37" t="s">
        <v>85</v>
      </c>
      <c r="S25" s="35">
        <f t="shared" ref="S25:AF25" si="17">SUM(S10:S12)</f>
        <v>27</v>
      </c>
      <c r="T25" s="16">
        <f t="shared" si="17"/>
        <v>1</v>
      </c>
      <c r="U25" s="16">
        <f t="shared" si="17"/>
        <v>4</v>
      </c>
      <c r="V25" s="16">
        <f t="shared" si="17"/>
        <v>13</v>
      </c>
      <c r="W25" s="16">
        <f t="shared" si="17"/>
        <v>0</v>
      </c>
      <c r="X25" s="16">
        <f t="shared" si="17"/>
        <v>1</v>
      </c>
      <c r="Y25" s="16">
        <f t="shared" si="17"/>
        <v>13</v>
      </c>
      <c r="Z25" s="16">
        <f t="shared" si="17"/>
        <v>4</v>
      </c>
      <c r="AA25" s="16">
        <f t="shared" si="17"/>
        <v>7</v>
      </c>
      <c r="AB25" s="16">
        <f t="shared" si="17"/>
        <v>1</v>
      </c>
      <c r="AC25" s="16">
        <f t="shared" si="17"/>
        <v>71</v>
      </c>
      <c r="AD25" s="16">
        <f t="shared" si="17"/>
        <v>0</v>
      </c>
      <c r="AE25" s="32">
        <f t="shared" si="17"/>
        <v>71</v>
      </c>
      <c r="AF25" s="32">
        <f t="shared" si="17"/>
        <v>142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2</v>
      </c>
      <c r="P26" s="15">
        <f t="shared" si="1"/>
        <v>10</v>
      </c>
      <c r="R26" s="28" t="s">
        <v>86</v>
      </c>
      <c r="S26" s="16">
        <f t="shared" ref="S26:AF26" si="18">SUM(S13:S18)</f>
        <v>62</v>
      </c>
      <c r="T26" s="16">
        <f t="shared" si="18"/>
        <v>6</v>
      </c>
      <c r="U26" s="16">
        <f t="shared" si="18"/>
        <v>19</v>
      </c>
      <c r="V26" s="16">
        <f t="shared" si="18"/>
        <v>10</v>
      </c>
      <c r="W26" s="16">
        <f t="shared" si="18"/>
        <v>0</v>
      </c>
      <c r="X26" s="16">
        <f t="shared" si="18"/>
        <v>0</v>
      </c>
      <c r="Y26" s="16">
        <f t="shared" si="18"/>
        <v>21</v>
      </c>
      <c r="Z26" s="16">
        <f t="shared" si="18"/>
        <v>10</v>
      </c>
      <c r="AA26" s="16">
        <f t="shared" si="18"/>
        <v>13</v>
      </c>
      <c r="AB26" s="16">
        <f t="shared" si="18"/>
        <v>3</v>
      </c>
      <c r="AC26" s="16">
        <f t="shared" si="18"/>
        <v>138</v>
      </c>
      <c r="AD26" s="16">
        <f t="shared" si="18"/>
        <v>0</v>
      </c>
      <c r="AE26" s="32">
        <f t="shared" si="18"/>
        <v>144</v>
      </c>
      <c r="AF26" s="32">
        <f t="shared" si="18"/>
        <v>282</v>
      </c>
    </row>
    <row r="27" spans="2:32" ht="23.1" customHeight="1" x14ac:dyDescent="0.25">
      <c r="B27" s="23" t="s">
        <v>54</v>
      </c>
      <c r="C27" s="50">
        <v>7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1</v>
      </c>
      <c r="L27" s="50">
        <v>0</v>
      </c>
      <c r="M27" s="50">
        <v>2</v>
      </c>
      <c r="N27" s="50">
        <v>0</v>
      </c>
      <c r="O27" s="15">
        <f t="shared" si="0"/>
        <v>11</v>
      </c>
      <c r="P27" s="15">
        <f t="shared" si="1"/>
        <v>13</v>
      </c>
      <c r="R27" s="29" t="s">
        <v>87</v>
      </c>
      <c r="S27" s="16">
        <f t="shared" ref="S27:AF27" si="19">SUM(S19:S21)</f>
        <v>22</v>
      </c>
      <c r="T27" s="16">
        <f t="shared" si="19"/>
        <v>2</v>
      </c>
      <c r="U27" s="16">
        <f t="shared" si="19"/>
        <v>11</v>
      </c>
      <c r="V27" s="16">
        <f t="shared" si="19"/>
        <v>4</v>
      </c>
      <c r="W27" s="16">
        <f t="shared" si="19"/>
        <v>1</v>
      </c>
      <c r="X27" s="16">
        <f t="shared" si="19"/>
        <v>0</v>
      </c>
      <c r="Y27" s="16">
        <f t="shared" si="19"/>
        <v>13</v>
      </c>
      <c r="Z27" s="16">
        <f t="shared" si="19"/>
        <v>6</v>
      </c>
      <c r="AA27" s="16">
        <f t="shared" si="19"/>
        <v>4</v>
      </c>
      <c r="AB27" s="16">
        <f t="shared" si="19"/>
        <v>0</v>
      </c>
      <c r="AC27" s="16">
        <f t="shared" si="19"/>
        <v>94</v>
      </c>
      <c r="AD27" s="16">
        <f t="shared" si="19"/>
        <v>0</v>
      </c>
      <c r="AE27" s="32">
        <f t="shared" si="19"/>
        <v>63</v>
      </c>
      <c r="AF27" s="32">
        <f t="shared" si="19"/>
        <v>157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1</v>
      </c>
      <c r="J28" s="50">
        <v>2</v>
      </c>
      <c r="K28" s="50">
        <v>1</v>
      </c>
      <c r="L28" s="50">
        <v>0</v>
      </c>
      <c r="M28" s="50">
        <v>4</v>
      </c>
      <c r="N28" s="50">
        <v>0</v>
      </c>
      <c r="O28" s="15">
        <f t="shared" si="0"/>
        <v>10</v>
      </c>
      <c r="P28" s="15">
        <f t="shared" si="1"/>
        <v>14</v>
      </c>
      <c r="R28" s="5" t="s">
        <v>17</v>
      </c>
      <c r="S28" s="16">
        <f t="shared" ref="S28:AF28" si="20">SUM(S10:S21)</f>
        <v>111</v>
      </c>
      <c r="T28" s="16">
        <f t="shared" si="20"/>
        <v>9</v>
      </c>
      <c r="U28" s="16">
        <f t="shared" si="20"/>
        <v>34</v>
      </c>
      <c r="V28" s="16">
        <f t="shared" si="20"/>
        <v>27</v>
      </c>
      <c r="W28" s="16">
        <f t="shared" si="20"/>
        <v>1</v>
      </c>
      <c r="X28" s="16">
        <f t="shared" si="20"/>
        <v>1</v>
      </c>
      <c r="Y28" s="16">
        <f t="shared" si="20"/>
        <v>47</v>
      </c>
      <c r="Z28" s="16">
        <f t="shared" si="20"/>
        <v>20</v>
      </c>
      <c r="AA28" s="16">
        <f t="shared" si="20"/>
        <v>24</v>
      </c>
      <c r="AB28" s="16">
        <f t="shared" si="20"/>
        <v>4</v>
      </c>
      <c r="AC28" s="16">
        <f t="shared" si="20"/>
        <v>303</v>
      </c>
      <c r="AD28" s="16">
        <f t="shared" si="20"/>
        <v>0</v>
      </c>
      <c r="AE28" s="32">
        <f t="shared" si="20"/>
        <v>278</v>
      </c>
      <c r="AF28" s="32">
        <f t="shared" si="20"/>
        <v>581</v>
      </c>
    </row>
    <row r="29" spans="2:32" ht="23.1" customHeight="1" x14ac:dyDescent="0.25">
      <c r="B29" s="23" t="s">
        <v>56</v>
      </c>
      <c r="C29" s="50">
        <v>2</v>
      </c>
      <c r="D29" s="50">
        <v>1</v>
      </c>
      <c r="E29" s="50">
        <v>2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6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5</v>
      </c>
      <c r="P30" s="15">
        <f t="shared" si="1"/>
        <v>14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4</v>
      </c>
      <c r="N31" s="50">
        <v>0</v>
      </c>
      <c r="O31" s="15">
        <f t="shared" si="0"/>
        <v>3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2</v>
      </c>
      <c r="L32" s="50">
        <v>0</v>
      </c>
      <c r="M32" s="50">
        <v>7</v>
      </c>
      <c r="N32" s="50">
        <v>0</v>
      </c>
      <c r="O32" s="15">
        <f t="shared" si="0"/>
        <v>6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3</v>
      </c>
      <c r="D33" s="50">
        <v>1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5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5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1</v>
      </c>
      <c r="K35" s="50">
        <v>1</v>
      </c>
      <c r="L35" s="50">
        <v>0</v>
      </c>
      <c r="M35" s="50">
        <v>2</v>
      </c>
      <c r="N35" s="50">
        <v>0</v>
      </c>
      <c r="O35" s="15">
        <f t="shared" si="0"/>
        <v>5</v>
      </c>
      <c r="P35" s="15">
        <f t="shared" si="1"/>
        <v>7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4</v>
      </c>
      <c r="P36" s="15">
        <f t="shared" si="1"/>
        <v>14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2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8</v>
      </c>
      <c r="N38" s="50">
        <v>0</v>
      </c>
      <c r="O38" s="15">
        <f t="shared" si="0"/>
        <v>7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1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3</v>
      </c>
      <c r="L39" s="50">
        <v>0</v>
      </c>
      <c r="M39" s="50">
        <v>4</v>
      </c>
      <c r="N39" s="50">
        <v>0</v>
      </c>
      <c r="O39" s="15">
        <f t="shared" si="0"/>
        <v>9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5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2</v>
      </c>
      <c r="D41" s="50">
        <v>1</v>
      </c>
      <c r="E41" s="50">
        <v>0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1</v>
      </c>
      <c r="L41" s="50">
        <v>0</v>
      </c>
      <c r="M41" s="50">
        <v>6</v>
      </c>
      <c r="N41" s="50">
        <v>0</v>
      </c>
      <c r="O41" s="15">
        <f t="shared" si="0"/>
        <v>7</v>
      </c>
      <c r="P41" s="15">
        <f t="shared" si="1"/>
        <v>13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4</v>
      </c>
      <c r="N42" s="50">
        <v>0</v>
      </c>
      <c r="O42" s="15">
        <f t="shared" si="0"/>
        <v>5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2</v>
      </c>
      <c r="M43" s="50">
        <v>10</v>
      </c>
      <c r="N43" s="50">
        <v>0</v>
      </c>
      <c r="O43" s="15">
        <f t="shared" si="0"/>
        <v>8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</v>
      </c>
      <c r="N44" s="50">
        <v>0</v>
      </c>
      <c r="O44" s="15">
        <f t="shared" si="0"/>
        <v>5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2</v>
      </c>
      <c r="K45" s="50">
        <v>1</v>
      </c>
      <c r="L45" s="50">
        <v>0</v>
      </c>
      <c r="M45" s="50">
        <v>0</v>
      </c>
      <c r="N45" s="50">
        <v>0</v>
      </c>
      <c r="O45" s="15">
        <f t="shared" si="0"/>
        <v>6</v>
      </c>
      <c r="P45" s="15">
        <f t="shared" si="1"/>
        <v>6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6</v>
      </c>
      <c r="P46" s="15">
        <f t="shared" si="1"/>
        <v>15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2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9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9</v>
      </c>
      <c r="N48" s="50">
        <v>0</v>
      </c>
      <c r="O48" s="15">
        <f t="shared" si="0"/>
        <v>2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6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2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2</v>
      </c>
      <c r="L50" s="50">
        <v>0</v>
      </c>
      <c r="M50" s="50">
        <v>10</v>
      </c>
      <c r="N50" s="50">
        <v>0</v>
      </c>
      <c r="O50" s="15">
        <f t="shared" si="0"/>
        <v>6</v>
      </c>
      <c r="P50" s="15">
        <f t="shared" si="1"/>
        <v>16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1</v>
      </c>
      <c r="F51" s="50">
        <v>0</v>
      </c>
      <c r="G51" s="50">
        <v>1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5</v>
      </c>
      <c r="N51" s="50">
        <v>0</v>
      </c>
      <c r="O51" s="15">
        <f t="shared" si="0"/>
        <v>6</v>
      </c>
      <c r="P51" s="15">
        <f t="shared" si="1"/>
        <v>11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5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2</v>
      </c>
      <c r="F53" s="50">
        <v>0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8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1</v>
      </c>
      <c r="L54" s="50">
        <v>0</v>
      </c>
      <c r="M54" s="50">
        <v>4</v>
      </c>
      <c r="N54" s="50">
        <v>0</v>
      </c>
      <c r="O54" s="15">
        <f t="shared" si="0"/>
        <v>4</v>
      </c>
      <c r="P54" s="15">
        <f t="shared" si="1"/>
        <v>8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4</v>
      </c>
      <c r="P55" s="15">
        <f t="shared" si="1"/>
        <v>9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10</v>
      </c>
      <c r="N56" s="50">
        <v>0</v>
      </c>
      <c r="O56" s="15">
        <f t="shared" si="0"/>
        <v>4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2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3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111</v>
      </c>
      <c r="D58" s="16">
        <f t="shared" si="21"/>
        <v>9</v>
      </c>
      <c r="E58" s="16">
        <f t="shared" si="21"/>
        <v>34</v>
      </c>
      <c r="F58" s="16">
        <f t="shared" si="21"/>
        <v>27</v>
      </c>
      <c r="G58" s="16">
        <f t="shared" si="21"/>
        <v>1</v>
      </c>
      <c r="H58" s="16">
        <f t="shared" si="21"/>
        <v>1</v>
      </c>
      <c r="I58" s="16">
        <f t="shared" si="21"/>
        <v>47</v>
      </c>
      <c r="J58" s="16">
        <f t="shared" si="21"/>
        <v>20</v>
      </c>
      <c r="K58" s="16">
        <f t="shared" si="21"/>
        <v>24</v>
      </c>
      <c r="L58" s="16">
        <f t="shared" si="21"/>
        <v>4</v>
      </c>
      <c r="M58" s="16">
        <f t="shared" si="21"/>
        <v>303</v>
      </c>
      <c r="N58" s="16">
        <f t="shared" si="21"/>
        <v>0</v>
      </c>
      <c r="O58" s="16">
        <f t="shared" si="21"/>
        <v>278</v>
      </c>
      <c r="P58" s="16">
        <f t="shared" si="21"/>
        <v>581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0.19104991394148021</v>
      </c>
      <c r="D59" s="43">
        <f t="shared" si="22"/>
        <v>1.549053356282272E-2</v>
      </c>
      <c r="E59" s="43">
        <f t="shared" si="22"/>
        <v>5.8519793459552494E-2</v>
      </c>
      <c r="F59" s="43">
        <f t="shared" si="22"/>
        <v>4.6471600688468159E-2</v>
      </c>
      <c r="G59" s="43">
        <f t="shared" si="22"/>
        <v>1.7211703958691911E-3</v>
      </c>
      <c r="H59" s="43">
        <f t="shared" si="22"/>
        <v>1.7211703958691911E-3</v>
      </c>
      <c r="I59" s="43">
        <f t="shared" si="22"/>
        <v>8.0895008605851984E-2</v>
      </c>
      <c r="J59" s="43">
        <f t="shared" si="22"/>
        <v>3.4423407917383818E-2</v>
      </c>
      <c r="K59" s="43">
        <f t="shared" si="22"/>
        <v>4.1308089500860588E-2</v>
      </c>
      <c r="L59" s="43">
        <f t="shared" si="22"/>
        <v>6.8846815834767644E-3</v>
      </c>
      <c r="M59" s="43">
        <f t="shared" si="22"/>
        <v>0.52151462994836484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0.39928057553956836</v>
      </c>
      <c r="D60" s="44">
        <f t="shared" ref="D60:N60" si="23">D58/$O$58</f>
        <v>3.237410071942446E-2</v>
      </c>
      <c r="E60" s="44">
        <f t="shared" si="23"/>
        <v>0.1223021582733813</v>
      </c>
      <c r="F60" s="44">
        <f t="shared" si="23"/>
        <v>9.7122302158273388E-2</v>
      </c>
      <c r="G60" s="44">
        <f t="shared" si="23"/>
        <v>3.5971223021582736E-3</v>
      </c>
      <c r="H60" s="44">
        <f t="shared" si="23"/>
        <v>3.5971223021582736E-3</v>
      </c>
      <c r="I60" s="44">
        <f t="shared" si="23"/>
        <v>0.16906474820143885</v>
      </c>
      <c r="J60" s="44">
        <f t="shared" si="23"/>
        <v>7.1942446043165464E-2</v>
      </c>
      <c r="K60" s="44">
        <f t="shared" si="23"/>
        <v>8.6330935251798566E-2</v>
      </c>
      <c r="L60" s="44">
        <f t="shared" si="23"/>
        <v>1.4388489208633094E-2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O88" zoomScale="60" workbookViewId="0">
      <selection activeCell="Y100" sqref="Y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3" t="str">
        <f>'23.10 SEMBABULE-MASAKA'!C3:G3</f>
        <v>VIRA MARIA ROAD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1" t="s">
        <v>163</v>
      </c>
      <c r="E5" s="72"/>
      <c r="F5" s="41" t="s">
        <v>1</v>
      </c>
      <c r="G5" s="69" t="str">
        <f>'22.10 MASAKA-SEMBABULE'!G5:H5</f>
        <v>KIWUULA TC</v>
      </c>
      <c r="H5" s="70"/>
      <c r="I5" s="14"/>
      <c r="J5" s="2" t="s">
        <v>5</v>
      </c>
      <c r="K5" s="69" t="s">
        <v>184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'22.10 MASAKA-SEMBABULE'!D6:E6</f>
        <v>MASAKA</v>
      </c>
      <c r="E6" s="70"/>
      <c r="F6" s="2" t="s">
        <v>2</v>
      </c>
      <c r="G6" s="69" t="str">
        <f>'22.10 MASAKA-SEMBABULE'!G6:H6</f>
        <v>SEMBABULE</v>
      </c>
      <c r="H6" s="70"/>
      <c r="J6" s="2" t="s">
        <v>21</v>
      </c>
      <c r="K6" s="69" t="str">
        <f>'22.10 MASAKA-SEMBABULE'!K6:L6</f>
        <v>KIVUMBI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MASAKA SEMBABULE'!C10,'18.10 MASAKA-SEMBABULA-24HRS'!C10,'19.10 MASAKA-SEMBABULE-24HRS'!C10,'20.10 MASAKA-SEMBABULE'!C10,'21.10 MASAKA SEMBABULE'!C10,'22.10 MASAKA-SEMBABULE'!C10,'23.10 MASAKA-SEMBABULE'!C10)</f>
        <v>1.2857142857142858</v>
      </c>
      <c r="D10" s="49">
        <f>AVERAGE('17.10 MASAKA SEMBABULE'!D10,'18.10 MASAKA-SEMBABULA-24HRS'!D10,'19.10 MASAKA-SEMBABULE-24HRS'!D10,'20.10 MASAKA-SEMBABULE'!D10,'21.10 MASAKA SEMBABULE'!D10,'22.10 MASAKA-SEMBABULE'!D10,'23.10 MASAKA-SEMBABULE'!D10)</f>
        <v>0.14285714285714285</v>
      </c>
      <c r="E10" s="49">
        <f>AVERAGE('17.10 MASAKA SEMBABULE'!E10,'18.10 MASAKA-SEMBABULA-24HRS'!E10,'19.10 MASAKA-SEMBABULE-24HRS'!E10,'20.10 MASAKA-SEMBABULE'!E10,'21.10 MASAKA SEMBABULE'!E10,'22.10 MASAKA-SEMBABULE'!E10,'23.10 MASAKA-SEMBABULE'!E10)</f>
        <v>0</v>
      </c>
      <c r="F10" s="49">
        <f>AVERAGE('17.10 MASAKA SEMBABULE'!F10,'18.10 MASAKA-SEMBABULA-24HRS'!F10,'19.10 MASAKA-SEMBABULE-24HRS'!F10,'20.10 MASAKA-SEMBABULE'!F10,'21.10 MASAKA SEMBABULE'!F10,'22.10 MASAKA-SEMBABULE'!F10,'23.10 MASAKA-SEMBABULE'!F10)</f>
        <v>0</v>
      </c>
      <c r="G10" s="49">
        <f>AVERAGE('17.10 MASAKA SEMBABULE'!G10,'18.10 MASAKA-SEMBABULA-24HRS'!G10,'19.10 MASAKA-SEMBABULE-24HRS'!G10,'20.10 MASAKA-SEMBABULE'!G10,'21.10 MASAKA SEMBABULE'!G10,'22.10 MASAKA-SEMBABULE'!G10,'23.10 MASAKA-SEMBABULE'!G10)</f>
        <v>0.5714285714285714</v>
      </c>
      <c r="H10" s="49">
        <f>AVERAGE('17.10 MASAKA SEMBABULE'!H10,'18.10 MASAKA-SEMBABULA-24HRS'!H10,'19.10 MASAKA-SEMBABULE-24HRS'!H10,'20.10 MASAKA-SEMBABULE'!H10,'21.10 MASAKA SEMBABULE'!H10,'22.10 MASAKA-SEMBABULE'!H10,'23.10 MASAKA-SEMBABULE'!H10)</f>
        <v>0</v>
      </c>
      <c r="I10" s="49">
        <f>AVERAGE('17.10 MASAKA SEMBABULE'!I10,'18.10 MASAKA-SEMBABULA-24HRS'!I10,'19.10 MASAKA-SEMBABULE-24HRS'!I10,'20.10 MASAKA-SEMBABULE'!I10,'21.10 MASAKA SEMBABULE'!I10,'22.10 MASAKA-SEMBABULE'!I10,'23.10 MASAKA-SEMBABULE'!I10)</f>
        <v>0.2857142857142857</v>
      </c>
      <c r="J10" s="49">
        <f>AVERAGE('17.10 MASAKA SEMBABULE'!J10,'18.10 MASAKA-SEMBABULA-24HRS'!J10,'19.10 MASAKA-SEMBABULE-24HRS'!J10,'20.10 MASAKA-SEMBABULE'!J10,'21.10 MASAKA SEMBABULE'!J10,'22.10 MASAKA-SEMBABULE'!J10,'23.10 MASAKA-SEMBABULE'!J10)</f>
        <v>0.14285714285714285</v>
      </c>
      <c r="K10" s="49">
        <f>AVERAGE('17.10 MASAKA SEMBABULE'!K10,'18.10 MASAKA-SEMBABULA-24HRS'!K10,'19.10 MASAKA-SEMBABULE-24HRS'!K10,'20.10 MASAKA-SEMBABULE'!K10,'21.10 MASAKA SEMBABULE'!K10,'22.10 MASAKA-SEMBABULE'!K10,'23.10 MASAKA-SEMBABULE'!K10)</f>
        <v>0</v>
      </c>
      <c r="L10" s="49">
        <f>AVERAGE('17.10 MASAKA SEMBABULE'!L10,'18.10 MASAKA-SEMBABULA-24HRS'!L10,'19.10 MASAKA-SEMBABULE-24HRS'!L10,'20.10 MASAKA-SEMBABULE'!L10,'21.10 MASAKA SEMBABULE'!L10,'22.10 MASAKA-SEMBABULE'!L10,'23.10 MASAKA-SEMBABULE'!L10)</f>
        <v>0</v>
      </c>
      <c r="M10" s="49">
        <f>AVERAGE('17.10 MASAKA SEMBABULE'!M10,'18.10 MASAKA-SEMBABULA-24HRS'!M10,'19.10 MASAKA-SEMBABULE-24HRS'!M10,'20.10 MASAKA-SEMBABULE'!M10,'21.10 MASAKA SEMBABULE'!M10,'22.10 MASAKA-SEMBABULE'!M10,'23.10 MASAKA-SEMBABULE'!M10)</f>
        <v>5</v>
      </c>
      <c r="N10" s="49">
        <f>AVERAGE('17.10 MASAKA SEMBABULE'!N10,'18.10 MASAKA-SEMBABULA-24HRS'!N10,'19.10 MASAKA-SEMBABULE-24HRS'!N10,'20.10 MASAKA-SEMBABULE'!N10,'21.10 MASAKA SEMBABULE'!N10,'22.10 MASAKA-SEMBABULE'!N10,'23.10 MASAKA-SEMBABULE'!N10)</f>
        <v>0</v>
      </c>
      <c r="O10" s="15">
        <f t="shared" ref="O10:O73" si="0">SUM(C10:L10,N10)</f>
        <v>2.4285714285714284</v>
      </c>
      <c r="P10" s="15">
        <f t="shared" ref="P10:P73" si="1">SUM(C10:N10)</f>
        <v>7.4285714285714288</v>
      </c>
      <c r="R10" s="1" t="s">
        <v>6</v>
      </c>
      <c r="S10" s="17">
        <f t="shared" ref="S10:AF10" si="2">SUM(C10:C13)</f>
        <v>4.7142857142857144</v>
      </c>
      <c r="T10" s="17">
        <f t="shared" si="2"/>
        <v>0.71428571428571419</v>
      </c>
      <c r="U10" s="17">
        <f t="shared" si="2"/>
        <v>1.2857142857142856</v>
      </c>
      <c r="V10" s="17">
        <f t="shared" si="2"/>
        <v>0.14285714285714285</v>
      </c>
      <c r="W10" s="17">
        <f t="shared" si="2"/>
        <v>0.85714285714285698</v>
      </c>
      <c r="X10" s="17">
        <f t="shared" si="2"/>
        <v>0</v>
      </c>
      <c r="Y10" s="17">
        <f t="shared" si="2"/>
        <v>2.2857142857142856</v>
      </c>
      <c r="Z10" s="17">
        <f t="shared" si="2"/>
        <v>1.4285714285714284</v>
      </c>
      <c r="AA10" s="17">
        <f t="shared" si="2"/>
        <v>0.5714285714285714</v>
      </c>
      <c r="AB10" s="17">
        <f t="shared" si="2"/>
        <v>0</v>
      </c>
      <c r="AC10" s="17">
        <f t="shared" si="2"/>
        <v>21</v>
      </c>
      <c r="AD10" s="17">
        <f t="shared" si="2"/>
        <v>0</v>
      </c>
      <c r="AE10" s="31">
        <f t="shared" si="2"/>
        <v>11.999999999999998</v>
      </c>
      <c r="AF10" s="31">
        <f t="shared" si="2"/>
        <v>33</v>
      </c>
    </row>
    <row r="11" spans="2:32" s="6" customFormat="1" ht="23.1" customHeight="1" x14ac:dyDescent="0.25">
      <c r="B11" s="23" t="s">
        <v>38</v>
      </c>
      <c r="C11" s="49">
        <f>AVERAGE('17.10 MASAKA SEMBABULE'!C11,'18.10 MASAKA-SEMBABULA-24HRS'!C11,'19.10 MASAKA-SEMBABULE-24HRS'!C11,'20.10 MASAKA-SEMBABULE'!C11,'21.10 MASAKA SEMBABULE'!C11,'22.10 MASAKA-SEMBABULE'!C11,'23.10 MASAKA-SEMBABULE'!C11)</f>
        <v>1</v>
      </c>
      <c r="D11" s="49">
        <f>AVERAGE('17.10 MASAKA SEMBABULE'!D11,'18.10 MASAKA-SEMBABULA-24HRS'!D11,'19.10 MASAKA-SEMBABULE-24HRS'!D11,'20.10 MASAKA-SEMBABULE'!D11,'21.10 MASAKA SEMBABULE'!D11,'22.10 MASAKA-SEMBABULE'!D11,'23.10 MASAKA-SEMBABULE'!D11)</f>
        <v>0.14285714285714285</v>
      </c>
      <c r="E11" s="49">
        <f>AVERAGE('17.10 MASAKA SEMBABULE'!E11,'18.10 MASAKA-SEMBABULA-24HRS'!E11,'19.10 MASAKA-SEMBABULE-24HRS'!E11,'20.10 MASAKA-SEMBABULE'!E11,'21.10 MASAKA SEMBABULE'!E11,'22.10 MASAKA-SEMBABULE'!E11,'23.10 MASAKA-SEMBABULE'!E11)</f>
        <v>0.2857142857142857</v>
      </c>
      <c r="F11" s="49">
        <f>AVERAGE('17.10 MASAKA SEMBABULE'!F11,'18.10 MASAKA-SEMBABULA-24HRS'!F11,'19.10 MASAKA-SEMBABULE-24HRS'!F11,'20.10 MASAKA-SEMBABULE'!F11,'21.10 MASAKA SEMBABULE'!F11,'22.10 MASAKA-SEMBABULE'!F11,'23.10 MASAKA-SEMBABULE'!F11)</f>
        <v>0</v>
      </c>
      <c r="G11" s="49">
        <f>AVERAGE('17.10 MASAKA SEMBABULE'!G11,'18.10 MASAKA-SEMBABULA-24HRS'!G11,'19.10 MASAKA-SEMBABULE-24HRS'!G11,'20.10 MASAKA-SEMBABULE'!G11,'21.10 MASAKA SEMBABULE'!G11,'22.10 MASAKA-SEMBABULE'!G11,'23.10 MASAKA-SEMBABULE'!G11)</f>
        <v>0</v>
      </c>
      <c r="H11" s="49">
        <f>AVERAGE('17.10 MASAKA SEMBABULE'!H11,'18.10 MASAKA-SEMBABULA-24HRS'!H11,'19.10 MASAKA-SEMBABULE-24HRS'!H11,'20.10 MASAKA-SEMBABULE'!H11,'21.10 MASAKA SEMBABULE'!H11,'22.10 MASAKA-SEMBABULE'!H11,'23.10 MASAKA-SEMBABULE'!H11)</f>
        <v>0</v>
      </c>
      <c r="I11" s="49">
        <f>AVERAGE('17.10 MASAKA SEMBABULE'!I11,'18.10 MASAKA-SEMBABULA-24HRS'!I11,'19.10 MASAKA-SEMBABULE-24HRS'!I11,'20.10 MASAKA-SEMBABULE'!I11,'21.10 MASAKA SEMBABULE'!I11,'22.10 MASAKA-SEMBABULE'!I11,'23.10 MASAKA-SEMBABULE'!I11)</f>
        <v>0</v>
      </c>
      <c r="J11" s="49">
        <f>AVERAGE('17.10 MASAKA SEMBABULE'!J11,'18.10 MASAKA-SEMBABULA-24HRS'!J11,'19.10 MASAKA-SEMBABULE-24HRS'!J11,'20.10 MASAKA-SEMBABULE'!J11,'21.10 MASAKA SEMBABULE'!J11,'22.10 MASAKA-SEMBABULE'!J11,'23.10 MASAKA-SEMBABULE'!J11)</f>
        <v>0.7142857142857143</v>
      </c>
      <c r="K11" s="49">
        <f>AVERAGE('17.10 MASAKA SEMBABULE'!K11,'18.10 MASAKA-SEMBABULA-24HRS'!K11,'19.10 MASAKA-SEMBABULE-24HRS'!K11,'20.10 MASAKA-SEMBABULE'!K11,'21.10 MASAKA SEMBABULE'!K11,'22.10 MASAKA-SEMBABULE'!K11,'23.10 MASAKA-SEMBABULE'!K11)</f>
        <v>0.14285714285714285</v>
      </c>
      <c r="L11" s="49">
        <f>AVERAGE('17.10 MASAKA SEMBABULE'!L11,'18.10 MASAKA-SEMBABULA-24HRS'!L11,'19.10 MASAKA-SEMBABULE-24HRS'!L11,'20.10 MASAKA-SEMBABULE'!L11,'21.10 MASAKA SEMBABULE'!L11,'22.10 MASAKA-SEMBABULE'!L11,'23.10 MASAKA-SEMBABULE'!L11)</f>
        <v>0</v>
      </c>
      <c r="M11" s="49">
        <f>AVERAGE('17.10 MASAKA SEMBABULE'!M11,'18.10 MASAKA-SEMBABULA-24HRS'!M11,'19.10 MASAKA-SEMBABULE-24HRS'!M11,'20.10 MASAKA-SEMBABULE'!M11,'21.10 MASAKA SEMBABULE'!M11,'22.10 MASAKA-SEMBABULE'!M11,'23.10 MASAKA-SEMBABULE'!M11)</f>
        <v>5</v>
      </c>
      <c r="N11" s="49">
        <f>AVERAGE('17.10 MASAKA SEMBABULE'!N11,'18.10 MASAKA-SEMBABULA-24HRS'!N11,'19.10 MASAKA-SEMBABULE-24HRS'!N11,'20.10 MASAKA-SEMBABULE'!N11,'21.10 MASAKA SEMBABULE'!N11,'22.10 MASAKA-SEMBABULE'!N11,'23.10 MASAKA-SEMBABULE'!N11)</f>
        <v>0</v>
      </c>
      <c r="O11" s="15">
        <f t="shared" si="0"/>
        <v>2.2857142857142856</v>
      </c>
      <c r="P11" s="15">
        <f t="shared" si="1"/>
        <v>7.2857142857142856</v>
      </c>
      <c r="R11" s="1" t="s">
        <v>7</v>
      </c>
      <c r="S11" s="17">
        <f t="shared" ref="S11:AF11" si="3">SUM(C14:C17)</f>
        <v>6.2857142857142856</v>
      </c>
      <c r="T11" s="17">
        <f t="shared" si="3"/>
        <v>1</v>
      </c>
      <c r="U11" s="17">
        <f t="shared" si="3"/>
        <v>2.2857142857142856</v>
      </c>
      <c r="V11" s="17">
        <f t="shared" si="3"/>
        <v>0.8571428571428571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1.1428571428571428</v>
      </c>
      <c r="AA11" s="17">
        <f t="shared" si="3"/>
        <v>0.2857142857142857</v>
      </c>
      <c r="AB11" s="17">
        <f t="shared" si="3"/>
        <v>0</v>
      </c>
      <c r="AC11" s="17">
        <f t="shared" si="3"/>
        <v>25.428571428571427</v>
      </c>
      <c r="AD11" s="17">
        <f t="shared" si="3"/>
        <v>0</v>
      </c>
      <c r="AE11" s="31">
        <f t="shared" si="3"/>
        <v>15.857142857142858</v>
      </c>
      <c r="AF11" s="31">
        <f t="shared" si="3"/>
        <v>41.285714285714285</v>
      </c>
    </row>
    <row r="12" spans="2:32" ht="23.1" customHeight="1" x14ac:dyDescent="0.25">
      <c r="B12" s="23" t="s">
        <v>39</v>
      </c>
      <c r="C12" s="49">
        <f>AVERAGE('17.10 MASAKA SEMBABULE'!C12,'18.10 MASAKA-SEMBABULA-24HRS'!C12,'19.10 MASAKA-SEMBABULE-24HRS'!C12,'20.10 MASAKA-SEMBABULE'!C12,'21.10 MASAKA SEMBABULE'!C12,'22.10 MASAKA-SEMBABULE'!C12,'23.10 MASAKA-SEMBABULE'!C12)</f>
        <v>0.7142857142857143</v>
      </c>
      <c r="D12" s="49">
        <f>AVERAGE('17.10 MASAKA SEMBABULE'!D12,'18.10 MASAKA-SEMBABULA-24HRS'!D12,'19.10 MASAKA-SEMBABULE-24HRS'!D12,'20.10 MASAKA-SEMBABULE'!D12,'21.10 MASAKA SEMBABULE'!D12,'22.10 MASAKA-SEMBABULE'!D12,'23.10 MASAKA-SEMBABULE'!D12)</f>
        <v>0.14285714285714285</v>
      </c>
      <c r="E12" s="49">
        <f>AVERAGE('17.10 MASAKA SEMBABULE'!E12,'18.10 MASAKA-SEMBABULA-24HRS'!E12,'19.10 MASAKA-SEMBABULE-24HRS'!E12,'20.10 MASAKA-SEMBABULE'!E12,'21.10 MASAKA SEMBABULE'!E12,'22.10 MASAKA-SEMBABULE'!E12,'23.10 MASAKA-SEMBABULE'!E12)</f>
        <v>0.5714285714285714</v>
      </c>
      <c r="F12" s="49">
        <f>AVERAGE('17.10 MASAKA SEMBABULE'!F12,'18.10 MASAKA-SEMBABULA-24HRS'!F12,'19.10 MASAKA-SEMBABULE-24HRS'!F12,'20.10 MASAKA-SEMBABULE'!F12,'21.10 MASAKA SEMBABULE'!F12,'22.10 MASAKA-SEMBABULE'!F12,'23.10 MASAKA-SEMBABULE'!F12)</f>
        <v>0</v>
      </c>
      <c r="G12" s="49">
        <f>AVERAGE('17.10 MASAKA SEMBABULE'!G12,'18.10 MASAKA-SEMBABULA-24HRS'!G12,'19.10 MASAKA-SEMBABULE-24HRS'!G12,'20.10 MASAKA-SEMBABULE'!G12,'21.10 MASAKA SEMBABULE'!G12,'22.10 MASAKA-SEMBABULE'!G12,'23.10 MASAKA-SEMBABULE'!G12)</f>
        <v>0.14285714285714285</v>
      </c>
      <c r="H12" s="49">
        <f>AVERAGE('17.10 MASAKA SEMBABULE'!H12,'18.10 MASAKA-SEMBABULA-24HRS'!H12,'19.10 MASAKA-SEMBABULE-24HRS'!H12,'20.10 MASAKA-SEMBABULE'!H12,'21.10 MASAKA SEMBABULE'!H12,'22.10 MASAKA-SEMBABULE'!H12,'23.10 MASAKA-SEMBABULE'!H12)</f>
        <v>0</v>
      </c>
      <c r="I12" s="49">
        <f>AVERAGE('17.10 MASAKA SEMBABULE'!I12,'18.10 MASAKA-SEMBABULA-24HRS'!I12,'19.10 MASAKA-SEMBABULE-24HRS'!I12,'20.10 MASAKA-SEMBABULE'!I12,'21.10 MASAKA SEMBABULE'!I12,'22.10 MASAKA-SEMBABULE'!I12,'23.10 MASAKA-SEMBABULE'!I12)</f>
        <v>0.7142857142857143</v>
      </c>
      <c r="J12" s="49">
        <f>AVERAGE('17.10 MASAKA SEMBABULE'!J12,'18.10 MASAKA-SEMBABULA-24HRS'!J12,'19.10 MASAKA-SEMBABULE-24HRS'!J12,'20.10 MASAKA-SEMBABULE'!J12,'21.10 MASAKA SEMBABULE'!J12,'22.10 MASAKA-SEMBABULE'!J12,'23.10 MASAKA-SEMBABULE'!J12)</f>
        <v>0.2857142857142857</v>
      </c>
      <c r="K12" s="49">
        <f>AVERAGE('17.10 MASAKA SEMBABULE'!K12,'18.10 MASAKA-SEMBABULA-24HRS'!K12,'19.10 MASAKA-SEMBABULE-24HRS'!K12,'20.10 MASAKA-SEMBABULE'!K12,'21.10 MASAKA SEMBABULE'!K12,'22.10 MASAKA-SEMBABULE'!K12,'23.10 MASAKA-SEMBABULE'!K12)</f>
        <v>0.14285714285714285</v>
      </c>
      <c r="L12" s="49">
        <f>AVERAGE('17.10 MASAKA SEMBABULE'!L12,'18.10 MASAKA-SEMBABULA-24HRS'!L12,'19.10 MASAKA-SEMBABULE-24HRS'!L12,'20.10 MASAKA-SEMBABULE'!L12,'21.10 MASAKA SEMBABULE'!L12,'22.10 MASAKA-SEMBABULE'!L12,'23.10 MASAKA-SEMBABULE'!L12)</f>
        <v>0</v>
      </c>
      <c r="M12" s="49">
        <f>AVERAGE('17.10 MASAKA SEMBABULE'!M12,'18.10 MASAKA-SEMBABULA-24HRS'!M12,'19.10 MASAKA-SEMBABULE-24HRS'!M12,'20.10 MASAKA-SEMBABULE'!M12,'21.10 MASAKA SEMBABULE'!M12,'22.10 MASAKA-SEMBABULE'!M12,'23.10 MASAKA-SEMBABULE'!M12)</f>
        <v>5.7142857142857144</v>
      </c>
      <c r="N12" s="49">
        <f>AVERAGE('17.10 MASAKA SEMBABULE'!N12,'18.10 MASAKA-SEMBABULA-24HRS'!N12,'19.10 MASAKA-SEMBABULE-24HRS'!N12,'20.10 MASAKA-SEMBABULE'!N12,'21.10 MASAKA SEMBABULE'!N12,'22.10 MASAKA-SEMBABULE'!N12,'23.10 MASAKA-SEMBABULE'!N12)</f>
        <v>0</v>
      </c>
      <c r="O12" s="15">
        <f t="shared" si="0"/>
        <v>2.714285714285714</v>
      </c>
      <c r="P12" s="15">
        <f t="shared" si="1"/>
        <v>8.4285714285714288</v>
      </c>
      <c r="R12" s="1" t="s">
        <v>8</v>
      </c>
      <c r="S12" s="17">
        <f t="shared" ref="S12:AF12" si="4">SUM(C18:C21)</f>
        <v>5.7142857142857135</v>
      </c>
      <c r="T12" s="17">
        <f t="shared" si="4"/>
        <v>1</v>
      </c>
      <c r="U12" s="17">
        <f t="shared" si="4"/>
        <v>1.857142857142857</v>
      </c>
      <c r="V12" s="17">
        <f t="shared" si="4"/>
        <v>1.5714285714285712</v>
      </c>
      <c r="W12" s="17">
        <f t="shared" si="4"/>
        <v>0</v>
      </c>
      <c r="X12" s="17">
        <f t="shared" si="4"/>
        <v>0</v>
      </c>
      <c r="Y12" s="17">
        <f t="shared" si="4"/>
        <v>3.8571428571428568</v>
      </c>
      <c r="Z12" s="17">
        <f t="shared" si="4"/>
        <v>1.5714285714285714</v>
      </c>
      <c r="AA12" s="17">
        <f t="shared" si="4"/>
        <v>1</v>
      </c>
      <c r="AB12" s="17">
        <f t="shared" si="4"/>
        <v>0</v>
      </c>
      <c r="AC12" s="17">
        <f t="shared" si="4"/>
        <v>22.285714285714288</v>
      </c>
      <c r="AD12" s="17">
        <f t="shared" si="4"/>
        <v>0</v>
      </c>
      <c r="AE12" s="31">
        <f t="shared" si="4"/>
        <v>16.571428571428569</v>
      </c>
      <c r="AF12" s="31">
        <f t="shared" si="4"/>
        <v>38.857142857142854</v>
      </c>
    </row>
    <row r="13" spans="2:32" ht="23.1" customHeight="1" x14ac:dyDescent="0.25">
      <c r="B13" s="23" t="s">
        <v>40</v>
      </c>
      <c r="C13" s="49">
        <f>AVERAGE('17.10 MASAKA SEMBABULE'!C13,'18.10 MASAKA-SEMBABULA-24HRS'!C13,'19.10 MASAKA-SEMBABULE-24HRS'!C13,'20.10 MASAKA-SEMBABULE'!C13,'21.10 MASAKA SEMBABULE'!C13,'22.10 MASAKA-SEMBABULE'!C13,'23.10 MASAKA-SEMBABULE'!C13)</f>
        <v>1.7142857142857142</v>
      </c>
      <c r="D13" s="49">
        <f>AVERAGE('17.10 MASAKA SEMBABULE'!D13,'18.10 MASAKA-SEMBABULA-24HRS'!D13,'19.10 MASAKA-SEMBABULE-24HRS'!D13,'20.10 MASAKA-SEMBABULE'!D13,'21.10 MASAKA SEMBABULE'!D13,'22.10 MASAKA-SEMBABULE'!D13,'23.10 MASAKA-SEMBABULE'!D13)</f>
        <v>0.2857142857142857</v>
      </c>
      <c r="E13" s="49">
        <f>AVERAGE('17.10 MASAKA SEMBABULE'!E13,'18.10 MASAKA-SEMBABULA-24HRS'!E13,'19.10 MASAKA-SEMBABULE-24HRS'!E13,'20.10 MASAKA-SEMBABULE'!E13,'21.10 MASAKA SEMBABULE'!E13,'22.10 MASAKA-SEMBABULE'!E13,'23.10 MASAKA-SEMBABULE'!E13)</f>
        <v>0.42857142857142855</v>
      </c>
      <c r="F13" s="49">
        <f>AVERAGE('17.10 MASAKA SEMBABULE'!F13,'18.10 MASAKA-SEMBABULA-24HRS'!F13,'19.10 MASAKA-SEMBABULE-24HRS'!F13,'20.10 MASAKA-SEMBABULE'!F13,'21.10 MASAKA SEMBABULE'!F13,'22.10 MASAKA-SEMBABULE'!F13,'23.10 MASAKA-SEMBABULE'!F13)</f>
        <v>0.14285714285714285</v>
      </c>
      <c r="G13" s="49">
        <f>AVERAGE('17.10 MASAKA SEMBABULE'!G13,'18.10 MASAKA-SEMBABULA-24HRS'!G13,'19.10 MASAKA-SEMBABULE-24HRS'!G13,'20.10 MASAKA-SEMBABULE'!G13,'21.10 MASAKA SEMBABULE'!G13,'22.10 MASAKA-SEMBABULE'!G13,'23.10 MASAKA-SEMBABULE'!G13)</f>
        <v>0.14285714285714285</v>
      </c>
      <c r="H13" s="49">
        <f>AVERAGE('17.10 MASAKA SEMBABULE'!H13,'18.10 MASAKA-SEMBABULA-24HRS'!H13,'19.10 MASAKA-SEMBABULE-24HRS'!H13,'20.10 MASAKA-SEMBABULE'!H13,'21.10 MASAKA SEMBABULE'!H13,'22.10 MASAKA-SEMBABULE'!H13,'23.10 MASAKA-SEMBABULE'!H13)</f>
        <v>0</v>
      </c>
      <c r="I13" s="49">
        <f>AVERAGE('17.10 MASAKA SEMBABULE'!I13,'18.10 MASAKA-SEMBABULA-24HRS'!I13,'19.10 MASAKA-SEMBABULE-24HRS'!I13,'20.10 MASAKA-SEMBABULE'!I13,'21.10 MASAKA SEMBABULE'!I13,'22.10 MASAKA-SEMBABULE'!I13,'23.10 MASAKA-SEMBABULE'!I13)</f>
        <v>1.2857142857142858</v>
      </c>
      <c r="J13" s="49">
        <f>AVERAGE('17.10 MASAKA SEMBABULE'!J13,'18.10 MASAKA-SEMBABULA-24HRS'!J13,'19.10 MASAKA-SEMBABULE-24HRS'!J13,'20.10 MASAKA-SEMBABULE'!J13,'21.10 MASAKA SEMBABULE'!J13,'22.10 MASAKA-SEMBABULE'!J13,'23.10 MASAKA-SEMBABULE'!J13)</f>
        <v>0.2857142857142857</v>
      </c>
      <c r="K13" s="49">
        <f>AVERAGE('17.10 MASAKA SEMBABULE'!K13,'18.10 MASAKA-SEMBABULA-24HRS'!K13,'19.10 MASAKA-SEMBABULE-24HRS'!K13,'20.10 MASAKA-SEMBABULE'!K13,'21.10 MASAKA SEMBABULE'!K13,'22.10 MASAKA-SEMBABULE'!K13,'23.10 MASAKA-SEMBABULE'!K13)</f>
        <v>0.2857142857142857</v>
      </c>
      <c r="L13" s="49">
        <f>AVERAGE('17.10 MASAKA SEMBABULE'!L13,'18.10 MASAKA-SEMBABULA-24HRS'!L13,'19.10 MASAKA-SEMBABULE-24HRS'!L13,'20.10 MASAKA-SEMBABULE'!L13,'21.10 MASAKA SEMBABULE'!L13,'22.10 MASAKA-SEMBABULE'!L13,'23.10 MASAKA-SEMBABULE'!L13)</f>
        <v>0</v>
      </c>
      <c r="M13" s="49">
        <f>AVERAGE('17.10 MASAKA SEMBABULE'!M13,'18.10 MASAKA-SEMBABULA-24HRS'!M13,'19.10 MASAKA-SEMBABULE-24HRS'!M13,'20.10 MASAKA-SEMBABULE'!M13,'21.10 MASAKA SEMBABULE'!M13,'22.10 MASAKA-SEMBABULE'!M13,'23.10 MASAKA-SEMBABULE'!M13)</f>
        <v>5.2857142857142856</v>
      </c>
      <c r="N13" s="49">
        <f>AVERAGE('17.10 MASAKA SEMBABULE'!N13,'18.10 MASAKA-SEMBABULA-24HRS'!N13,'19.10 MASAKA-SEMBABULE-24HRS'!N13,'20.10 MASAKA-SEMBABULE'!N13,'21.10 MASAKA SEMBABULE'!N13,'22.10 MASAKA-SEMBABULE'!N13,'23.10 MASAKA-SEMBABULE'!N13)</f>
        <v>0</v>
      </c>
      <c r="O13" s="15">
        <f t="shared" si="0"/>
        <v>4.5714285714285712</v>
      </c>
      <c r="P13" s="15">
        <f t="shared" si="1"/>
        <v>9.8571428571428577</v>
      </c>
      <c r="R13" s="1" t="s">
        <v>9</v>
      </c>
      <c r="S13" s="17">
        <f t="shared" ref="S13:AF13" si="5">SUM(C22:C25)</f>
        <v>7.5714285714285712</v>
      </c>
      <c r="T13" s="17">
        <f t="shared" si="5"/>
        <v>0.85714285714285698</v>
      </c>
      <c r="U13" s="17">
        <f t="shared" si="5"/>
        <v>1.5714285714285714</v>
      </c>
      <c r="V13" s="17">
        <f t="shared" si="5"/>
        <v>1.2857142857142856</v>
      </c>
      <c r="W13" s="17">
        <f t="shared" si="5"/>
        <v>0</v>
      </c>
      <c r="X13" s="17">
        <f t="shared" si="5"/>
        <v>0</v>
      </c>
      <c r="Y13" s="17">
        <f t="shared" si="5"/>
        <v>3.7142857142857144</v>
      </c>
      <c r="Z13" s="17">
        <f t="shared" si="5"/>
        <v>2.2857142857142856</v>
      </c>
      <c r="AA13" s="17">
        <f t="shared" si="5"/>
        <v>1</v>
      </c>
      <c r="AB13" s="17">
        <f t="shared" si="5"/>
        <v>0.42857142857142855</v>
      </c>
      <c r="AC13" s="17">
        <f t="shared" si="5"/>
        <v>21.285714285714285</v>
      </c>
      <c r="AD13" s="17">
        <f t="shared" si="5"/>
        <v>0.14285714285714285</v>
      </c>
      <c r="AE13" s="31">
        <f t="shared" si="5"/>
        <v>18.857142857142858</v>
      </c>
      <c r="AF13" s="31">
        <f t="shared" si="5"/>
        <v>40.142857142857139</v>
      </c>
    </row>
    <row r="14" spans="2:32" ht="23.1" customHeight="1" x14ac:dyDescent="0.25">
      <c r="B14" s="23" t="s">
        <v>41</v>
      </c>
      <c r="C14" s="49">
        <f>AVERAGE('17.10 MASAKA SEMBABULE'!C14,'18.10 MASAKA-SEMBABULA-24HRS'!C14,'19.10 MASAKA-SEMBABULE-24HRS'!C14,'20.10 MASAKA-SEMBABULE'!C14,'21.10 MASAKA SEMBABULE'!C14,'22.10 MASAKA-SEMBABULE'!C14,'23.10 MASAKA-SEMBABULE'!C14)</f>
        <v>2.7142857142857144</v>
      </c>
      <c r="D14" s="49">
        <f>AVERAGE('17.10 MASAKA SEMBABULE'!D14,'18.10 MASAKA-SEMBABULA-24HRS'!D14,'19.10 MASAKA-SEMBABULE-24HRS'!D14,'20.10 MASAKA-SEMBABULE'!D14,'21.10 MASAKA SEMBABULE'!D14,'22.10 MASAKA-SEMBABULE'!D14,'23.10 MASAKA-SEMBABULE'!D14)</f>
        <v>0</v>
      </c>
      <c r="E14" s="49">
        <f>AVERAGE('17.10 MASAKA SEMBABULE'!E14,'18.10 MASAKA-SEMBABULA-24HRS'!E14,'19.10 MASAKA-SEMBABULE-24HRS'!E14,'20.10 MASAKA-SEMBABULE'!E14,'21.10 MASAKA SEMBABULE'!E14,'22.10 MASAKA-SEMBABULE'!E14,'23.10 MASAKA-SEMBABULE'!E14)</f>
        <v>0.7142857142857143</v>
      </c>
      <c r="F14" s="49">
        <f>AVERAGE('17.10 MASAKA SEMBABULE'!F14,'18.10 MASAKA-SEMBABULA-24HRS'!F14,'19.10 MASAKA-SEMBABULE-24HRS'!F14,'20.10 MASAKA-SEMBABULE'!F14,'21.10 MASAKA SEMBABULE'!F14,'22.10 MASAKA-SEMBABULE'!F14,'23.10 MASAKA-SEMBABULE'!F14)</f>
        <v>0.2857142857142857</v>
      </c>
      <c r="G14" s="49">
        <f>AVERAGE('17.10 MASAKA SEMBABULE'!G14,'18.10 MASAKA-SEMBABULA-24HRS'!G14,'19.10 MASAKA-SEMBABULE-24HRS'!G14,'20.10 MASAKA-SEMBABULE'!G14,'21.10 MASAKA SEMBABULE'!G14,'22.10 MASAKA-SEMBABULE'!G14,'23.10 MASAKA-SEMBABULE'!G14)</f>
        <v>0</v>
      </c>
      <c r="H14" s="49">
        <f>AVERAGE('17.10 MASAKA SEMBABULE'!H14,'18.10 MASAKA-SEMBABULA-24HRS'!H14,'19.10 MASAKA-SEMBABULE-24HRS'!H14,'20.10 MASAKA-SEMBABULE'!H14,'21.10 MASAKA SEMBABULE'!H14,'22.10 MASAKA-SEMBABULE'!H14,'23.10 MASAKA-SEMBABULE'!H14)</f>
        <v>0</v>
      </c>
      <c r="I14" s="49">
        <f>AVERAGE('17.10 MASAKA SEMBABULE'!I14,'18.10 MASAKA-SEMBABULA-24HRS'!I14,'19.10 MASAKA-SEMBABULE-24HRS'!I14,'20.10 MASAKA-SEMBABULE'!I14,'21.10 MASAKA SEMBABULE'!I14,'22.10 MASAKA-SEMBABULE'!I14,'23.10 MASAKA-SEMBABULE'!I14)</f>
        <v>0.8571428571428571</v>
      </c>
      <c r="J14" s="49">
        <f>AVERAGE('17.10 MASAKA SEMBABULE'!J14,'18.10 MASAKA-SEMBABULA-24HRS'!J14,'19.10 MASAKA-SEMBABULE-24HRS'!J14,'20.10 MASAKA-SEMBABULE'!J14,'21.10 MASAKA SEMBABULE'!J14,'22.10 MASAKA-SEMBABULE'!J14,'23.10 MASAKA-SEMBABULE'!J14)</f>
        <v>0.14285714285714285</v>
      </c>
      <c r="K14" s="49">
        <f>AVERAGE('17.10 MASAKA SEMBABULE'!K14,'18.10 MASAKA-SEMBABULA-24HRS'!K14,'19.10 MASAKA-SEMBABULE-24HRS'!K14,'20.10 MASAKA-SEMBABULE'!K14,'21.10 MASAKA SEMBABULE'!K14,'22.10 MASAKA-SEMBABULE'!K14,'23.10 MASAKA-SEMBABULE'!K14)</f>
        <v>0</v>
      </c>
      <c r="L14" s="49">
        <f>AVERAGE('17.10 MASAKA SEMBABULE'!L14,'18.10 MASAKA-SEMBABULA-24HRS'!L14,'19.10 MASAKA-SEMBABULE-24HRS'!L14,'20.10 MASAKA-SEMBABULE'!L14,'21.10 MASAKA SEMBABULE'!L14,'22.10 MASAKA-SEMBABULE'!L14,'23.10 MASAKA-SEMBABULE'!L14)</f>
        <v>0</v>
      </c>
      <c r="M14" s="49">
        <f>AVERAGE('17.10 MASAKA SEMBABULE'!M14,'18.10 MASAKA-SEMBABULA-24HRS'!M14,'19.10 MASAKA-SEMBABULE-24HRS'!M14,'20.10 MASAKA-SEMBABULE'!M14,'21.10 MASAKA SEMBABULE'!M14,'22.10 MASAKA-SEMBABULE'!M14,'23.10 MASAKA-SEMBABULE'!M14)</f>
        <v>5.1428571428571432</v>
      </c>
      <c r="N14" s="49">
        <f>AVERAGE('17.10 MASAKA SEMBABULE'!N14,'18.10 MASAKA-SEMBABULA-24HRS'!N14,'19.10 MASAKA-SEMBABULE-24HRS'!N14,'20.10 MASAKA-SEMBABULE'!N14,'21.10 MASAKA SEMBABULE'!N14,'22.10 MASAKA-SEMBABULE'!N14,'23.10 MASAKA-SEMBABULE'!N14)</f>
        <v>0</v>
      </c>
      <c r="O14" s="15">
        <f t="shared" si="0"/>
        <v>4.7142857142857144</v>
      </c>
      <c r="P14" s="15">
        <f t="shared" si="1"/>
        <v>9.8571428571428577</v>
      </c>
      <c r="R14" s="1" t="s">
        <v>10</v>
      </c>
      <c r="S14" s="17">
        <f t="shared" ref="S14:AF14" si="6">SUM(C26:C29)</f>
        <v>8.4285714285714288</v>
      </c>
      <c r="T14" s="17">
        <f t="shared" si="6"/>
        <v>1</v>
      </c>
      <c r="U14" s="17">
        <f t="shared" si="6"/>
        <v>2.5714285714285712</v>
      </c>
      <c r="V14" s="17">
        <f t="shared" si="6"/>
        <v>0.85714285714285698</v>
      </c>
      <c r="W14" s="17">
        <f t="shared" si="6"/>
        <v>0</v>
      </c>
      <c r="X14" s="17">
        <f t="shared" si="6"/>
        <v>0</v>
      </c>
      <c r="Y14" s="17">
        <f t="shared" si="6"/>
        <v>4.8571428571428568</v>
      </c>
      <c r="Z14" s="17">
        <f t="shared" si="6"/>
        <v>1.7142857142857142</v>
      </c>
      <c r="AA14" s="17">
        <f t="shared" si="6"/>
        <v>1.7142857142857142</v>
      </c>
      <c r="AB14" s="17">
        <f t="shared" si="6"/>
        <v>0</v>
      </c>
      <c r="AC14" s="17">
        <f t="shared" si="6"/>
        <v>29.428571428571431</v>
      </c>
      <c r="AD14" s="17">
        <f t="shared" si="6"/>
        <v>0</v>
      </c>
      <c r="AE14" s="31">
        <f t="shared" si="6"/>
        <v>21.142857142857142</v>
      </c>
      <c r="AF14" s="31">
        <f t="shared" si="6"/>
        <v>50.571428571428569</v>
      </c>
    </row>
    <row r="15" spans="2:32" ht="23.1" customHeight="1" x14ac:dyDescent="0.25">
      <c r="B15" s="23" t="s">
        <v>42</v>
      </c>
      <c r="C15" s="49">
        <f>AVERAGE('17.10 MASAKA SEMBABULE'!C15,'18.10 MASAKA-SEMBABULA-24HRS'!C15,'19.10 MASAKA-SEMBABULE-24HRS'!C15,'20.10 MASAKA-SEMBABULE'!C15,'21.10 MASAKA SEMBABULE'!C15,'22.10 MASAKA-SEMBABULE'!C15,'23.10 MASAKA-SEMBABULE'!C15)</f>
        <v>1.5714285714285714</v>
      </c>
      <c r="D15" s="49">
        <f>AVERAGE('17.10 MASAKA SEMBABULE'!D15,'18.10 MASAKA-SEMBABULA-24HRS'!D15,'19.10 MASAKA-SEMBABULE-24HRS'!D15,'20.10 MASAKA-SEMBABULE'!D15,'21.10 MASAKA SEMBABULE'!D15,'22.10 MASAKA-SEMBABULE'!D15,'23.10 MASAKA-SEMBABULE'!D15)</f>
        <v>0.42857142857142855</v>
      </c>
      <c r="E15" s="49">
        <f>AVERAGE('17.10 MASAKA SEMBABULE'!E15,'18.10 MASAKA-SEMBABULA-24HRS'!E15,'19.10 MASAKA-SEMBABULE-24HRS'!E15,'20.10 MASAKA-SEMBABULE'!E15,'21.10 MASAKA SEMBABULE'!E15,'22.10 MASAKA-SEMBABULE'!E15,'23.10 MASAKA-SEMBABULE'!E15)</f>
        <v>0.5714285714285714</v>
      </c>
      <c r="F15" s="49">
        <f>AVERAGE('17.10 MASAKA SEMBABULE'!F15,'18.10 MASAKA-SEMBABULA-24HRS'!F15,'19.10 MASAKA-SEMBABULE-24HRS'!F15,'20.10 MASAKA-SEMBABULE'!F15,'21.10 MASAKA SEMBABULE'!F15,'22.10 MASAKA-SEMBABULE'!F15,'23.10 MASAKA-SEMBABULE'!F15)</f>
        <v>0.14285714285714285</v>
      </c>
      <c r="G15" s="49">
        <f>AVERAGE('17.10 MASAKA SEMBABULE'!G15,'18.10 MASAKA-SEMBABULA-24HRS'!G15,'19.10 MASAKA-SEMBABULE-24HRS'!G15,'20.10 MASAKA-SEMBABULE'!G15,'21.10 MASAKA SEMBABULE'!G15,'22.10 MASAKA-SEMBABULE'!G15,'23.10 MASAKA-SEMBABULE'!G15)</f>
        <v>0</v>
      </c>
      <c r="H15" s="49">
        <f>AVERAGE('17.10 MASAKA SEMBABULE'!H15,'18.10 MASAKA-SEMBABULA-24HRS'!H15,'19.10 MASAKA-SEMBABULE-24HRS'!H15,'20.10 MASAKA-SEMBABULE'!H15,'21.10 MASAKA SEMBABULE'!H15,'22.10 MASAKA-SEMBABULE'!H15,'23.10 MASAKA-SEMBABULE'!H15)</f>
        <v>0</v>
      </c>
      <c r="I15" s="49">
        <f>AVERAGE('17.10 MASAKA SEMBABULE'!I15,'18.10 MASAKA-SEMBABULA-24HRS'!I15,'19.10 MASAKA-SEMBABULE-24HRS'!I15,'20.10 MASAKA-SEMBABULE'!I15,'21.10 MASAKA SEMBABULE'!I15,'22.10 MASAKA-SEMBABULE'!I15,'23.10 MASAKA-SEMBABULE'!I15)</f>
        <v>1.1428571428571428</v>
      </c>
      <c r="J15" s="49">
        <f>AVERAGE('17.10 MASAKA SEMBABULE'!J15,'18.10 MASAKA-SEMBABULA-24HRS'!J15,'19.10 MASAKA-SEMBABULE-24HRS'!J15,'20.10 MASAKA-SEMBABULE'!J15,'21.10 MASAKA SEMBABULE'!J15,'22.10 MASAKA-SEMBABULE'!J15,'23.10 MASAKA-SEMBABULE'!J15)</f>
        <v>0.2857142857142857</v>
      </c>
      <c r="K15" s="49">
        <f>AVERAGE('17.10 MASAKA SEMBABULE'!K15,'18.10 MASAKA-SEMBABULA-24HRS'!K15,'19.10 MASAKA-SEMBABULE-24HRS'!K15,'20.10 MASAKA-SEMBABULE'!K15,'21.10 MASAKA SEMBABULE'!K15,'22.10 MASAKA-SEMBABULE'!K15,'23.10 MASAKA-SEMBABULE'!K15)</f>
        <v>0</v>
      </c>
      <c r="L15" s="49">
        <f>AVERAGE('17.10 MASAKA SEMBABULE'!L15,'18.10 MASAKA-SEMBABULA-24HRS'!L15,'19.10 MASAKA-SEMBABULE-24HRS'!L15,'20.10 MASAKA-SEMBABULE'!L15,'21.10 MASAKA SEMBABULE'!L15,'22.10 MASAKA-SEMBABULE'!L15,'23.10 MASAKA-SEMBABULE'!L15)</f>
        <v>0</v>
      </c>
      <c r="M15" s="49">
        <f>AVERAGE('17.10 MASAKA SEMBABULE'!M15,'18.10 MASAKA-SEMBABULA-24HRS'!M15,'19.10 MASAKA-SEMBABULE-24HRS'!M15,'20.10 MASAKA-SEMBABULE'!M15,'21.10 MASAKA SEMBABULE'!M15,'22.10 MASAKA-SEMBABULE'!M15,'23.10 MASAKA-SEMBABULE'!M15)</f>
        <v>7.1428571428571432</v>
      </c>
      <c r="N15" s="49">
        <f>AVERAGE('17.10 MASAKA SEMBABULE'!N15,'18.10 MASAKA-SEMBABULA-24HRS'!N15,'19.10 MASAKA-SEMBABULE-24HRS'!N15,'20.10 MASAKA-SEMBABULE'!N15,'21.10 MASAKA SEMBABULE'!N15,'22.10 MASAKA-SEMBABULE'!N15,'23.10 MASAKA-SEMBABULE'!N15)</f>
        <v>0</v>
      </c>
      <c r="O15" s="15">
        <f t="shared" si="0"/>
        <v>4.1428571428571423</v>
      </c>
      <c r="P15" s="15">
        <f t="shared" si="1"/>
        <v>11.285714285714285</v>
      </c>
      <c r="R15" s="1" t="s">
        <v>11</v>
      </c>
      <c r="S15" s="17">
        <f t="shared" ref="S15:AF15" si="7">SUM(C30:C33)</f>
        <v>10.571428571428571</v>
      </c>
      <c r="T15" s="17">
        <f t="shared" si="7"/>
        <v>1.1428571428571428</v>
      </c>
      <c r="U15" s="17">
        <f t="shared" si="7"/>
        <v>4.7142857142857135</v>
      </c>
      <c r="V15" s="17">
        <f t="shared" si="7"/>
        <v>0.71428571428571419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2.2857142857142856</v>
      </c>
      <c r="AA15" s="17">
        <f t="shared" si="7"/>
        <v>2.5714285714285712</v>
      </c>
      <c r="AB15" s="17">
        <f t="shared" si="7"/>
        <v>0</v>
      </c>
      <c r="AC15" s="17">
        <f t="shared" si="7"/>
        <v>25.857142857142858</v>
      </c>
      <c r="AD15" s="17">
        <f t="shared" si="7"/>
        <v>0</v>
      </c>
      <c r="AE15" s="31">
        <f t="shared" si="7"/>
        <v>26</v>
      </c>
      <c r="AF15" s="31">
        <f t="shared" si="7"/>
        <v>51.857142857142854</v>
      </c>
    </row>
    <row r="16" spans="2:32" ht="23.1" customHeight="1" x14ac:dyDescent="0.25">
      <c r="B16" s="23" t="s">
        <v>43</v>
      </c>
      <c r="C16" s="49">
        <f>AVERAGE('17.10 MASAKA SEMBABULE'!C16,'18.10 MASAKA-SEMBABULA-24HRS'!C16,'19.10 MASAKA-SEMBABULE-24HRS'!C16,'20.10 MASAKA-SEMBABULE'!C16,'21.10 MASAKA SEMBABULE'!C16,'22.10 MASAKA-SEMBABULE'!C16,'23.10 MASAKA-SEMBABULE'!C16)</f>
        <v>0.42857142857142855</v>
      </c>
      <c r="D16" s="49">
        <f>AVERAGE('17.10 MASAKA SEMBABULE'!D16,'18.10 MASAKA-SEMBABULA-24HRS'!D16,'19.10 MASAKA-SEMBABULE-24HRS'!D16,'20.10 MASAKA-SEMBABULE'!D16,'21.10 MASAKA SEMBABULE'!D16,'22.10 MASAKA-SEMBABULE'!D16,'23.10 MASAKA-SEMBABULE'!D16)</f>
        <v>0.42857142857142855</v>
      </c>
      <c r="E16" s="49">
        <f>AVERAGE('17.10 MASAKA SEMBABULE'!E16,'18.10 MASAKA-SEMBABULA-24HRS'!E16,'19.10 MASAKA-SEMBABULE-24HRS'!E16,'20.10 MASAKA-SEMBABULE'!E16,'21.10 MASAKA SEMBABULE'!E16,'22.10 MASAKA-SEMBABULE'!E16,'23.10 MASAKA-SEMBABULE'!E16)</f>
        <v>0.5714285714285714</v>
      </c>
      <c r="F16" s="49">
        <f>AVERAGE('17.10 MASAKA SEMBABULE'!F16,'18.10 MASAKA-SEMBABULA-24HRS'!F16,'19.10 MASAKA-SEMBABULE-24HRS'!F16,'20.10 MASAKA-SEMBABULE'!F16,'21.10 MASAKA SEMBABULE'!F16,'22.10 MASAKA-SEMBABULE'!F16,'23.10 MASAKA-SEMBABULE'!F16)</f>
        <v>0.14285714285714285</v>
      </c>
      <c r="G16" s="49">
        <f>AVERAGE('17.10 MASAKA SEMBABULE'!G16,'18.10 MASAKA-SEMBABULA-24HRS'!G16,'19.10 MASAKA-SEMBABULE-24HRS'!G16,'20.10 MASAKA-SEMBABULE'!G16,'21.10 MASAKA SEMBABULE'!G16,'22.10 MASAKA-SEMBABULE'!G16,'23.10 MASAKA-SEMBABULE'!G16)</f>
        <v>0</v>
      </c>
      <c r="H16" s="49">
        <f>AVERAGE('17.10 MASAKA SEMBABULE'!H16,'18.10 MASAKA-SEMBABULA-24HRS'!H16,'19.10 MASAKA-SEMBABULE-24HRS'!H16,'20.10 MASAKA-SEMBABULE'!H16,'21.10 MASAKA SEMBABULE'!H16,'22.10 MASAKA-SEMBABULE'!H16,'23.10 MASAKA-SEMBABULE'!H16)</f>
        <v>0</v>
      </c>
      <c r="I16" s="49">
        <f>AVERAGE('17.10 MASAKA SEMBABULE'!I16,'18.10 MASAKA-SEMBABULA-24HRS'!I16,'19.10 MASAKA-SEMBABULE-24HRS'!I16,'20.10 MASAKA-SEMBABULE'!I16,'21.10 MASAKA SEMBABULE'!I16,'22.10 MASAKA-SEMBABULE'!I16,'23.10 MASAKA-SEMBABULE'!I16)</f>
        <v>1</v>
      </c>
      <c r="J16" s="49">
        <f>AVERAGE('17.10 MASAKA SEMBABULE'!J16,'18.10 MASAKA-SEMBABULA-24HRS'!J16,'19.10 MASAKA-SEMBABULE-24HRS'!J16,'20.10 MASAKA-SEMBABULE'!J16,'21.10 MASAKA SEMBABULE'!J16,'22.10 MASAKA-SEMBABULE'!J16,'23.10 MASAKA-SEMBABULE'!J16)</f>
        <v>0.42857142857142855</v>
      </c>
      <c r="K16" s="49">
        <f>AVERAGE('17.10 MASAKA SEMBABULE'!K16,'18.10 MASAKA-SEMBABULA-24HRS'!K16,'19.10 MASAKA-SEMBABULE-24HRS'!K16,'20.10 MASAKA-SEMBABULE'!K16,'21.10 MASAKA SEMBABULE'!K16,'22.10 MASAKA-SEMBABULE'!K16,'23.10 MASAKA-SEMBABULE'!K16)</f>
        <v>0.14285714285714285</v>
      </c>
      <c r="L16" s="49">
        <f>AVERAGE('17.10 MASAKA SEMBABULE'!L16,'18.10 MASAKA-SEMBABULA-24HRS'!L16,'19.10 MASAKA-SEMBABULE-24HRS'!L16,'20.10 MASAKA-SEMBABULE'!L16,'21.10 MASAKA SEMBABULE'!L16,'22.10 MASAKA-SEMBABULE'!L16,'23.10 MASAKA-SEMBABULE'!L16)</f>
        <v>0</v>
      </c>
      <c r="M16" s="49">
        <f>AVERAGE('17.10 MASAKA SEMBABULE'!M16,'18.10 MASAKA-SEMBABULA-24HRS'!M16,'19.10 MASAKA-SEMBABULE-24HRS'!M16,'20.10 MASAKA-SEMBABULE'!M16,'21.10 MASAKA SEMBABULE'!M16,'22.10 MASAKA-SEMBABULE'!M16,'23.10 MASAKA-SEMBABULE'!M16)</f>
        <v>7</v>
      </c>
      <c r="N16" s="49">
        <f>AVERAGE('17.10 MASAKA SEMBABULE'!N16,'18.10 MASAKA-SEMBABULA-24HRS'!N16,'19.10 MASAKA-SEMBABULE-24HRS'!N16,'20.10 MASAKA-SEMBABULE'!N16,'21.10 MASAKA SEMBABULE'!N16,'22.10 MASAKA-SEMBABULE'!N16,'23.10 MASAKA-SEMBABULE'!N16)</f>
        <v>0</v>
      </c>
      <c r="O16" s="15">
        <f t="shared" si="0"/>
        <v>3.1428571428571423</v>
      </c>
      <c r="P16" s="15">
        <f t="shared" si="1"/>
        <v>10.142857142857142</v>
      </c>
      <c r="R16" s="1" t="s">
        <v>12</v>
      </c>
      <c r="S16" s="17">
        <f t="shared" ref="S16:AF16" si="8">SUM(C34:C37)</f>
        <v>8.1428571428571423</v>
      </c>
      <c r="T16" s="17">
        <f t="shared" si="8"/>
        <v>0.71428571428571419</v>
      </c>
      <c r="U16" s="17">
        <f t="shared" si="8"/>
        <v>3.7142857142857144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4.8571428571428568</v>
      </c>
      <c r="Z16" s="17">
        <f t="shared" si="8"/>
        <v>1.5714285714285714</v>
      </c>
      <c r="AA16" s="17">
        <f t="shared" si="8"/>
        <v>0.71428571428571419</v>
      </c>
      <c r="AB16" s="17">
        <f t="shared" si="8"/>
        <v>0</v>
      </c>
      <c r="AC16" s="17">
        <f t="shared" si="8"/>
        <v>27.285714285714285</v>
      </c>
      <c r="AD16" s="17">
        <f t="shared" si="8"/>
        <v>0</v>
      </c>
      <c r="AE16" s="31">
        <f t="shared" si="8"/>
        <v>21.714285714285715</v>
      </c>
      <c r="AF16" s="31">
        <f t="shared" si="8"/>
        <v>49</v>
      </c>
    </row>
    <row r="17" spans="2:32" ht="23.1" customHeight="1" x14ac:dyDescent="0.25">
      <c r="B17" s="23" t="s">
        <v>44</v>
      </c>
      <c r="C17" s="49">
        <f>AVERAGE('17.10 MASAKA SEMBABULE'!C17,'18.10 MASAKA-SEMBABULA-24HRS'!C17,'19.10 MASAKA-SEMBABULE-24HRS'!C17,'20.10 MASAKA-SEMBABULE'!C17,'21.10 MASAKA SEMBABULE'!C17,'22.10 MASAKA-SEMBABULE'!C17,'23.10 MASAKA-SEMBABULE'!C17)</f>
        <v>1.5714285714285714</v>
      </c>
      <c r="D17" s="49">
        <f>AVERAGE('17.10 MASAKA SEMBABULE'!D17,'18.10 MASAKA-SEMBABULA-24HRS'!D17,'19.10 MASAKA-SEMBABULE-24HRS'!D17,'20.10 MASAKA-SEMBABULE'!D17,'21.10 MASAKA SEMBABULE'!D17,'22.10 MASAKA-SEMBABULE'!D17,'23.10 MASAKA-SEMBABULE'!D17)</f>
        <v>0.14285714285714285</v>
      </c>
      <c r="E17" s="49">
        <f>AVERAGE('17.10 MASAKA SEMBABULE'!E17,'18.10 MASAKA-SEMBABULA-24HRS'!E17,'19.10 MASAKA-SEMBABULE-24HRS'!E17,'20.10 MASAKA-SEMBABULE'!E17,'21.10 MASAKA SEMBABULE'!E17,'22.10 MASAKA-SEMBABULE'!E17,'23.10 MASAKA-SEMBABULE'!E17)</f>
        <v>0.42857142857142855</v>
      </c>
      <c r="F17" s="49">
        <f>AVERAGE('17.10 MASAKA SEMBABULE'!F17,'18.10 MASAKA-SEMBABULA-24HRS'!F17,'19.10 MASAKA-SEMBABULE-24HRS'!F17,'20.10 MASAKA-SEMBABULE'!F17,'21.10 MASAKA SEMBABULE'!F17,'22.10 MASAKA-SEMBABULE'!F17,'23.10 MASAKA-SEMBABULE'!F17)</f>
        <v>0.2857142857142857</v>
      </c>
      <c r="G17" s="49">
        <f>AVERAGE('17.10 MASAKA SEMBABULE'!G17,'18.10 MASAKA-SEMBABULA-24HRS'!G17,'19.10 MASAKA-SEMBABULE-24HRS'!G17,'20.10 MASAKA-SEMBABULE'!G17,'21.10 MASAKA SEMBABULE'!G17,'22.10 MASAKA-SEMBABULE'!G17,'23.10 MASAKA-SEMBABULE'!G17)</f>
        <v>0</v>
      </c>
      <c r="H17" s="49">
        <f>AVERAGE('17.10 MASAKA SEMBABULE'!H17,'18.10 MASAKA-SEMBABULA-24HRS'!H17,'19.10 MASAKA-SEMBABULE-24HRS'!H17,'20.10 MASAKA-SEMBABULE'!H17,'21.10 MASAKA SEMBABULE'!H17,'22.10 MASAKA-SEMBABULE'!H17,'23.10 MASAKA-SEMBABULE'!H17)</f>
        <v>0</v>
      </c>
      <c r="I17" s="49">
        <f>AVERAGE('17.10 MASAKA SEMBABULE'!I17,'18.10 MASAKA-SEMBABULA-24HRS'!I17,'19.10 MASAKA-SEMBABULE-24HRS'!I17,'20.10 MASAKA-SEMBABULE'!I17,'21.10 MASAKA SEMBABULE'!I17,'22.10 MASAKA-SEMBABULE'!I17,'23.10 MASAKA-SEMBABULE'!I17)</f>
        <v>1</v>
      </c>
      <c r="J17" s="49">
        <f>AVERAGE('17.10 MASAKA SEMBABULE'!J17,'18.10 MASAKA-SEMBABULA-24HRS'!J17,'19.10 MASAKA-SEMBABULE-24HRS'!J17,'20.10 MASAKA-SEMBABULE'!J17,'21.10 MASAKA SEMBABULE'!J17,'22.10 MASAKA-SEMBABULE'!J17,'23.10 MASAKA-SEMBABULE'!J17)</f>
        <v>0.2857142857142857</v>
      </c>
      <c r="K17" s="49">
        <f>AVERAGE('17.10 MASAKA SEMBABULE'!K17,'18.10 MASAKA-SEMBABULA-24HRS'!K17,'19.10 MASAKA-SEMBABULE-24HRS'!K17,'20.10 MASAKA-SEMBABULE'!K17,'21.10 MASAKA SEMBABULE'!K17,'22.10 MASAKA-SEMBABULE'!K17,'23.10 MASAKA-SEMBABULE'!K17)</f>
        <v>0.14285714285714285</v>
      </c>
      <c r="L17" s="49">
        <f>AVERAGE('17.10 MASAKA SEMBABULE'!L17,'18.10 MASAKA-SEMBABULA-24HRS'!L17,'19.10 MASAKA-SEMBABULE-24HRS'!L17,'20.10 MASAKA-SEMBABULE'!L17,'21.10 MASAKA SEMBABULE'!L17,'22.10 MASAKA-SEMBABULE'!L17,'23.10 MASAKA-SEMBABULE'!L17)</f>
        <v>0</v>
      </c>
      <c r="M17" s="49">
        <f>AVERAGE('17.10 MASAKA SEMBABULE'!M17,'18.10 MASAKA-SEMBABULA-24HRS'!M17,'19.10 MASAKA-SEMBABULE-24HRS'!M17,'20.10 MASAKA-SEMBABULE'!M17,'21.10 MASAKA SEMBABULE'!M17,'22.10 MASAKA-SEMBABULE'!M17,'23.10 MASAKA-SEMBABULE'!M17)</f>
        <v>6.1428571428571432</v>
      </c>
      <c r="N17" s="49">
        <f>AVERAGE('17.10 MASAKA SEMBABULE'!N17,'18.10 MASAKA-SEMBABULA-24HRS'!N17,'19.10 MASAKA-SEMBABULE-24HRS'!N17,'20.10 MASAKA-SEMBABULE'!N17,'21.10 MASAKA SEMBABULE'!N17,'22.10 MASAKA-SEMBABULE'!N17,'23.10 MASAKA-SEMBABULE'!N17)</f>
        <v>0</v>
      </c>
      <c r="O17" s="15">
        <f t="shared" si="0"/>
        <v>3.8571428571428568</v>
      </c>
      <c r="P17" s="15">
        <f t="shared" si="1"/>
        <v>10</v>
      </c>
      <c r="R17" s="1" t="s">
        <v>13</v>
      </c>
      <c r="S17" s="17">
        <f t="shared" ref="S17:AF17" si="9">SUM(C38:C41)</f>
        <v>7.8571428571428559</v>
      </c>
      <c r="T17" s="17">
        <f t="shared" si="9"/>
        <v>0.8571428571428571</v>
      </c>
      <c r="U17" s="17">
        <f t="shared" si="9"/>
        <v>1.714285714285714</v>
      </c>
      <c r="V17" s="17">
        <f t="shared" si="9"/>
        <v>3.4285714285714284</v>
      </c>
      <c r="W17" s="17">
        <f t="shared" si="9"/>
        <v>0</v>
      </c>
      <c r="X17" s="17">
        <f t="shared" si="9"/>
        <v>0</v>
      </c>
      <c r="Y17" s="17">
        <f t="shared" si="9"/>
        <v>3.4285714285714284</v>
      </c>
      <c r="Z17" s="17">
        <f t="shared" si="9"/>
        <v>1.8571428571428568</v>
      </c>
      <c r="AA17" s="17">
        <f t="shared" si="9"/>
        <v>0.71428571428571419</v>
      </c>
      <c r="AB17" s="17">
        <f t="shared" si="9"/>
        <v>0.14285714285714285</v>
      </c>
      <c r="AC17" s="17">
        <f t="shared" si="9"/>
        <v>27</v>
      </c>
      <c r="AD17" s="17">
        <f t="shared" si="9"/>
        <v>0</v>
      </c>
      <c r="AE17" s="31">
        <f t="shared" si="9"/>
        <v>20</v>
      </c>
      <c r="AF17" s="31">
        <f t="shared" si="9"/>
        <v>47</v>
      </c>
    </row>
    <row r="18" spans="2:32" ht="23.1" customHeight="1" x14ac:dyDescent="0.25">
      <c r="B18" s="23" t="s">
        <v>45</v>
      </c>
      <c r="C18" s="49">
        <f>AVERAGE('17.10 MASAKA SEMBABULE'!C18,'18.10 MASAKA-SEMBABULA-24HRS'!C18,'19.10 MASAKA-SEMBABULE-24HRS'!C18,'20.10 MASAKA-SEMBABULE'!C18,'21.10 MASAKA SEMBABULE'!C18,'22.10 MASAKA-SEMBABULE'!C18,'23.10 MASAKA-SEMBABULE'!C18)</f>
        <v>1.1428571428571428</v>
      </c>
      <c r="D18" s="49">
        <f>AVERAGE('17.10 MASAKA SEMBABULE'!D18,'18.10 MASAKA-SEMBABULA-24HRS'!D18,'19.10 MASAKA-SEMBABULE-24HRS'!D18,'20.10 MASAKA-SEMBABULE'!D18,'21.10 MASAKA SEMBABULE'!D18,'22.10 MASAKA-SEMBABULE'!D18,'23.10 MASAKA-SEMBABULE'!D18)</f>
        <v>0.14285714285714285</v>
      </c>
      <c r="E18" s="49">
        <f>AVERAGE('17.10 MASAKA SEMBABULE'!E18,'18.10 MASAKA-SEMBABULA-24HRS'!E18,'19.10 MASAKA-SEMBABULE-24HRS'!E18,'20.10 MASAKA-SEMBABULE'!E18,'21.10 MASAKA SEMBABULE'!E18,'22.10 MASAKA-SEMBABULE'!E18,'23.10 MASAKA-SEMBABULE'!E18)</f>
        <v>0.5714285714285714</v>
      </c>
      <c r="F18" s="49">
        <f>AVERAGE('17.10 MASAKA SEMBABULE'!F18,'18.10 MASAKA-SEMBABULA-24HRS'!F18,'19.10 MASAKA-SEMBABULE-24HRS'!F18,'20.10 MASAKA-SEMBABULE'!F18,'21.10 MASAKA SEMBABULE'!F18,'22.10 MASAKA-SEMBABULE'!F18,'23.10 MASAKA-SEMBABULE'!F18)</f>
        <v>0.2857142857142857</v>
      </c>
      <c r="G18" s="49">
        <f>AVERAGE('17.10 MASAKA SEMBABULE'!G18,'18.10 MASAKA-SEMBABULA-24HRS'!G18,'19.10 MASAKA-SEMBABULE-24HRS'!G18,'20.10 MASAKA-SEMBABULE'!G18,'21.10 MASAKA SEMBABULE'!G18,'22.10 MASAKA-SEMBABULE'!G18,'23.10 MASAKA-SEMBABULE'!G18)</f>
        <v>0</v>
      </c>
      <c r="H18" s="49">
        <f>AVERAGE('17.10 MASAKA SEMBABULE'!H18,'18.10 MASAKA-SEMBABULA-24HRS'!H18,'19.10 MASAKA-SEMBABULE-24HRS'!H18,'20.10 MASAKA-SEMBABULE'!H18,'21.10 MASAKA SEMBABULE'!H18,'22.10 MASAKA-SEMBABULE'!H18,'23.10 MASAKA-SEMBABULE'!H18)</f>
        <v>0</v>
      </c>
      <c r="I18" s="49">
        <f>AVERAGE('17.10 MASAKA SEMBABULE'!I18,'18.10 MASAKA-SEMBABULA-24HRS'!I18,'19.10 MASAKA-SEMBABULE-24HRS'!I18,'20.10 MASAKA-SEMBABULE'!I18,'21.10 MASAKA SEMBABULE'!I18,'22.10 MASAKA-SEMBABULE'!I18,'23.10 MASAKA-SEMBABULE'!I18)</f>
        <v>0.5714285714285714</v>
      </c>
      <c r="J18" s="49">
        <f>AVERAGE('17.10 MASAKA SEMBABULE'!J18,'18.10 MASAKA-SEMBABULA-24HRS'!J18,'19.10 MASAKA-SEMBABULE-24HRS'!J18,'20.10 MASAKA-SEMBABULE'!J18,'21.10 MASAKA SEMBABULE'!J18,'22.10 MASAKA-SEMBABULE'!J18,'23.10 MASAKA-SEMBABULE'!J18)</f>
        <v>0</v>
      </c>
      <c r="K18" s="49">
        <f>AVERAGE('17.10 MASAKA SEMBABULE'!K18,'18.10 MASAKA-SEMBABULA-24HRS'!K18,'19.10 MASAKA-SEMBABULE-24HRS'!K18,'20.10 MASAKA-SEMBABULE'!K18,'21.10 MASAKA SEMBABULE'!K18,'22.10 MASAKA-SEMBABULE'!K18,'23.10 MASAKA-SEMBABULE'!K18)</f>
        <v>0.2857142857142857</v>
      </c>
      <c r="L18" s="49">
        <f>AVERAGE('17.10 MASAKA SEMBABULE'!L18,'18.10 MASAKA-SEMBABULA-24HRS'!L18,'19.10 MASAKA-SEMBABULE-24HRS'!L18,'20.10 MASAKA-SEMBABULE'!L18,'21.10 MASAKA SEMBABULE'!L18,'22.10 MASAKA-SEMBABULE'!L18,'23.10 MASAKA-SEMBABULE'!L18)</f>
        <v>0</v>
      </c>
      <c r="M18" s="49">
        <f>AVERAGE('17.10 MASAKA SEMBABULE'!M18,'18.10 MASAKA-SEMBABULA-24HRS'!M18,'19.10 MASAKA-SEMBABULE-24HRS'!M18,'20.10 MASAKA-SEMBABULE'!M18,'21.10 MASAKA SEMBABULE'!M18,'22.10 MASAKA-SEMBABULE'!M18,'23.10 MASAKA-SEMBABULE'!M18)</f>
        <v>4.2857142857142856</v>
      </c>
      <c r="N18" s="49">
        <f>AVERAGE('17.10 MASAKA SEMBABULE'!N18,'18.10 MASAKA-SEMBABULA-24HRS'!N18,'19.10 MASAKA-SEMBABULE-24HRS'!N18,'20.10 MASAKA-SEMBABULE'!N18,'21.10 MASAKA SEMBABULE'!N18,'22.10 MASAKA-SEMBABULE'!N18,'23.10 MASAKA-SEMBABULE'!N18)</f>
        <v>0</v>
      </c>
      <c r="O18" s="15">
        <f t="shared" si="0"/>
        <v>3</v>
      </c>
      <c r="P18" s="15">
        <f t="shared" si="1"/>
        <v>7.2857142857142856</v>
      </c>
      <c r="R18" s="1" t="s">
        <v>14</v>
      </c>
      <c r="S18" s="17">
        <f t="shared" ref="S18:AF18" si="10">SUM(C42:C45)</f>
        <v>9</v>
      </c>
      <c r="T18" s="17">
        <f t="shared" si="10"/>
        <v>0.5714285714285714</v>
      </c>
      <c r="U18" s="17">
        <f t="shared" si="10"/>
        <v>0.8571428571428571</v>
      </c>
      <c r="V18" s="17">
        <f t="shared" si="10"/>
        <v>4.4285714285714288</v>
      </c>
      <c r="W18" s="17">
        <f t="shared" si="10"/>
        <v>0.14285714285714285</v>
      </c>
      <c r="X18" s="17">
        <f t="shared" si="10"/>
        <v>0</v>
      </c>
      <c r="Y18" s="17">
        <f t="shared" si="10"/>
        <v>4.7142857142857144</v>
      </c>
      <c r="Z18" s="17">
        <f t="shared" si="10"/>
        <v>2.1428571428571428</v>
      </c>
      <c r="AA18" s="17">
        <f t="shared" si="10"/>
        <v>0.5714285714285714</v>
      </c>
      <c r="AB18" s="17">
        <f t="shared" si="10"/>
        <v>0</v>
      </c>
      <c r="AC18" s="17">
        <f t="shared" si="10"/>
        <v>29.285714285714285</v>
      </c>
      <c r="AD18" s="17">
        <f t="shared" si="10"/>
        <v>0.14285714285714285</v>
      </c>
      <c r="AE18" s="31">
        <f t="shared" si="10"/>
        <v>22.571428571428569</v>
      </c>
      <c r="AF18" s="31">
        <f t="shared" si="10"/>
        <v>51.857142857142861</v>
      </c>
    </row>
    <row r="19" spans="2:32" ht="23.1" customHeight="1" x14ac:dyDescent="0.25">
      <c r="B19" s="23" t="s">
        <v>46</v>
      </c>
      <c r="C19" s="49">
        <f>AVERAGE('17.10 MASAKA SEMBABULE'!C19,'18.10 MASAKA-SEMBABULA-24HRS'!C19,'19.10 MASAKA-SEMBABULE-24HRS'!C19,'20.10 MASAKA-SEMBABULE'!C19,'21.10 MASAKA SEMBABULE'!C19,'22.10 MASAKA-SEMBABULE'!C19,'23.10 MASAKA-SEMBABULE'!C19)</f>
        <v>1.1428571428571428</v>
      </c>
      <c r="D19" s="49">
        <f>AVERAGE('17.10 MASAKA SEMBABULE'!D19,'18.10 MASAKA-SEMBABULA-24HRS'!D19,'19.10 MASAKA-SEMBABULE-24HRS'!D19,'20.10 MASAKA-SEMBABULE'!D19,'21.10 MASAKA SEMBABULE'!D19,'22.10 MASAKA-SEMBABULE'!D19,'23.10 MASAKA-SEMBABULE'!D19)</f>
        <v>0.2857142857142857</v>
      </c>
      <c r="E19" s="49">
        <f>AVERAGE('17.10 MASAKA SEMBABULE'!E19,'18.10 MASAKA-SEMBABULA-24HRS'!E19,'19.10 MASAKA-SEMBABULE-24HRS'!E19,'20.10 MASAKA-SEMBABULE'!E19,'21.10 MASAKA SEMBABULE'!E19,'22.10 MASAKA-SEMBABULE'!E19,'23.10 MASAKA-SEMBABULE'!E19)</f>
        <v>0.7142857142857143</v>
      </c>
      <c r="F19" s="49">
        <f>AVERAGE('17.10 MASAKA SEMBABULE'!F19,'18.10 MASAKA-SEMBABULA-24HRS'!F19,'19.10 MASAKA-SEMBABULE-24HRS'!F19,'20.10 MASAKA-SEMBABULE'!F19,'21.10 MASAKA SEMBABULE'!F19,'22.10 MASAKA-SEMBABULE'!F19,'23.10 MASAKA-SEMBABULE'!F19)</f>
        <v>0.2857142857142857</v>
      </c>
      <c r="G19" s="49">
        <f>AVERAGE('17.10 MASAKA SEMBABULE'!G19,'18.10 MASAKA-SEMBABULA-24HRS'!G19,'19.10 MASAKA-SEMBABULE-24HRS'!G19,'20.10 MASAKA-SEMBABULE'!G19,'21.10 MASAKA SEMBABULE'!G19,'22.10 MASAKA-SEMBABULE'!G19,'23.10 MASAKA-SEMBABULE'!G19)</f>
        <v>0</v>
      </c>
      <c r="H19" s="49">
        <f>AVERAGE('17.10 MASAKA SEMBABULE'!H19,'18.10 MASAKA-SEMBABULA-24HRS'!H19,'19.10 MASAKA-SEMBABULE-24HRS'!H19,'20.10 MASAKA-SEMBABULE'!H19,'21.10 MASAKA SEMBABULE'!H19,'22.10 MASAKA-SEMBABULE'!H19,'23.10 MASAKA-SEMBABULE'!H19)</f>
        <v>0</v>
      </c>
      <c r="I19" s="49">
        <f>AVERAGE('17.10 MASAKA SEMBABULE'!I19,'18.10 MASAKA-SEMBABULA-24HRS'!I19,'19.10 MASAKA-SEMBABULE-24HRS'!I19,'20.10 MASAKA-SEMBABULE'!I19,'21.10 MASAKA SEMBABULE'!I19,'22.10 MASAKA-SEMBABULE'!I19,'23.10 MASAKA-SEMBABULE'!I19)</f>
        <v>1.7142857142857142</v>
      </c>
      <c r="J19" s="49">
        <f>AVERAGE('17.10 MASAKA SEMBABULE'!J19,'18.10 MASAKA-SEMBABULA-24HRS'!J19,'19.10 MASAKA-SEMBABULE-24HRS'!J19,'20.10 MASAKA-SEMBABULE'!J19,'21.10 MASAKA SEMBABULE'!J19,'22.10 MASAKA-SEMBABULE'!J19,'23.10 MASAKA-SEMBABULE'!J19)</f>
        <v>0.5714285714285714</v>
      </c>
      <c r="K19" s="49">
        <f>AVERAGE('17.10 MASAKA SEMBABULE'!K19,'18.10 MASAKA-SEMBABULA-24HRS'!K19,'19.10 MASAKA-SEMBABULE-24HRS'!K19,'20.10 MASAKA-SEMBABULE'!K19,'21.10 MASAKA SEMBABULE'!K19,'22.10 MASAKA-SEMBABULE'!K19,'23.10 MASAKA-SEMBABULE'!K19)</f>
        <v>0.2857142857142857</v>
      </c>
      <c r="L19" s="49">
        <f>AVERAGE('17.10 MASAKA SEMBABULE'!L19,'18.10 MASAKA-SEMBABULA-24HRS'!L19,'19.10 MASAKA-SEMBABULE-24HRS'!L19,'20.10 MASAKA-SEMBABULE'!L19,'21.10 MASAKA SEMBABULE'!L19,'22.10 MASAKA-SEMBABULE'!L19,'23.10 MASAKA-SEMBABULE'!L19)</f>
        <v>0</v>
      </c>
      <c r="M19" s="49">
        <f>AVERAGE('17.10 MASAKA SEMBABULE'!M19,'18.10 MASAKA-SEMBABULA-24HRS'!M19,'19.10 MASAKA-SEMBABULE-24HRS'!M19,'20.10 MASAKA-SEMBABULE'!M19,'21.10 MASAKA SEMBABULE'!M19,'22.10 MASAKA-SEMBABULE'!M19,'23.10 MASAKA-SEMBABULE'!M19)</f>
        <v>6.4285714285714288</v>
      </c>
      <c r="N19" s="49">
        <f>AVERAGE('17.10 MASAKA SEMBABULE'!N19,'18.10 MASAKA-SEMBABULA-24HRS'!N19,'19.10 MASAKA-SEMBABULE-24HRS'!N19,'20.10 MASAKA-SEMBABULE'!N19,'21.10 MASAKA SEMBABULE'!N19,'22.10 MASAKA-SEMBABULE'!N19,'23.10 MASAKA-SEMBABULE'!N19)</f>
        <v>0</v>
      </c>
      <c r="O19" s="15">
        <f t="shared" si="0"/>
        <v>4.9999999999999991</v>
      </c>
      <c r="P19" s="15">
        <f t="shared" si="1"/>
        <v>11.428571428571427</v>
      </c>
      <c r="R19" s="1" t="s">
        <v>15</v>
      </c>
      <c r="S19" s="17">
        <f t="shared" ref="S19:AF19" si="11">SUM(C46:C49)</f>
        <v>8.1428571428571423</v>
      </c>
      <c r="T19" s="17">
        <f t="shared" si="11"/>
        <v>1.5714285714285714</v>
      </c>
      <c r="U19" s="17">
        <f t="shared" si="11"/>
        <v>2.714285714285714</v>
      </c>
      <c r="V19" s="17">
        <f t="shared" si="11"/>
        <v>5.2857142857142856</v>
      </c>
      <c r="W19" s="17">
        <f t="shared" si="11"/>
        <v>0</v>
      </c>
      <c r="X19" s="17">
        <f t="shared" si="11"/>
        <v>0</v>
      </c>
      <c r="Y19" s="17">
        <f t="shared" si="11"/>
        <v>5.5714285714285712</v>
      </c>
      <c r="Z19" s="17">
        <f t="shared" si="11"/>
        <v>2.2857142857142856</v>
      </c>
      <c r="AA19" s="17">
        <f t="shared" si="11"/>
        <v>1.7142857142857144</v>
      </c>
      <c r="AB19" s="17">
        <f t="shared" si="11"/>
        <v>0</v>
      </c>
      <c r="AC19" s="17">
        <f t="shared" si="11"/>
        <v>31</v>
      </c>
      <c r="AD19" s="17">
        <f t="shared" si="11"/>
        <v>0.14285714285714285</v>
      </c>
      <c r="AE19" s="31">
        <f t="shared" si="11"/>
        <v>27.428571428571427</v>
      </c>
      <c r="AF19" s="31">
        <f t="shared" si="11"/>
        <v>58.428571428571423</v>
      </c>
    </row>
    <row r="20" spans="2:32" ht="23.1" customHeight="1" x14ac:dyDescent="0.25">
      <c r="B20" s="23" t="s">
        <v>47</v>
      </c>
      <c r="C20" s="49">
        <f>AVERAGE('17.10 MASAKA SEMBABULE'!C20,'18.10 MASAKA-SEMBABULA-24HRS'!C20,'19.10 MASAKA-SEMBABULE-24HRS'!C20,'20.10 MASAKA-SEMBABULE'!C20,'21.10 MASAKA SEMBABULE'!C20,'22.10 MASAKA-SEMBABULE'!C20,'23.10 MASAKA-SEMBABULE'!C20)</f>
        <v>1.8571428571428572</v>
      </c>
      <c r="D20" s="49">
        <f>AVERAGE('17.10 MASAKA SEMBABULE'!D20,'18.10 MASAKA-SEMBABULA-24HRS'!D20,'19.10 MASAKA-SEMBABULE-24HRS'!D20,'20.10 MASAKA-SEMBABULE'!D20,'21.10 MASAKA SEMBABULE'!D20,'22.10 MASAKA-SEMBABULE'!D20,'23.10 MASAKA-SEMBABULE'!D20)</f>
        <v>0.14285714285714285</v>
      </c>
      <c r="E20" s="49">
        <f>AVERAGE('17.10 MASAKA SEMBABULE'!E20,'18.10 MASAKA-SEMBABULA-24HRS'!E20,'19.10 MASAKA-SEMBABULE-24HRS'!E20,'20.10 MASAKA-SEMBABULE'!E20,'21.10 MASAKA SEMBABULE'!E20,'22.10 MASAKA-SEMBABULE'!E20,'23.10 MASAKA-SEMBABULE'!E20)</f>
        <v>0.14285714285714285</v>
      </c>
      <c r="F20" s="49">
        <f>AVERAGE('17.10 MASAKA SEMBABULE'!F20,'18.10 MASAKA-SEMBABULA-24HRS'!F20,'19.10 MASAKA-SEMBABULE-24HRS'!F20,'20.10 MASAKA-SEMBABULE'!F20,'21.10 MASAKA SEMBABULE'!F20,'22.10 MASAKA-SEMBABULE'!F20,'23.10 MASAKA-SEMBABULE'!F20)</f>
        <v>0.8571428571428571</v>
      </c>
      <c r="G20" s="49">
        <f>AVERAGE('17.10 MASAKA SEMBABULE'!G20,'18.10 MASAKA-SEMBABULA-24HRS'!G20,'19.10 MASAKA-SEMBABULE-24HRS'!G20,'20.10 MASAKA-SEMBABULE'!G20,'21.10 MASAKA SEMBABULE'!G20,'22.10 MASAKA-SEMBABULE'!G20,'23.10 MASAKA-SEMBABULE'!G20)</f>
        <v>0</v>
      </c>
      <c r="H20" s="49">
        <f>AVERAGE('17.10 MASAKA SEMBABULE'!H20,'18.10 MASAKA-SEMBABULA-24HRS'!H20,'19.10 MASAKA-SEMBABULE-24HRS'!H20,'20.10 MASAKA-SEMBABULE'!H20,'21.10 MASAKA SEMBABULE'!H20,'22.10 MASAKA-SEMBABULE'!H20,'23.10 MASAKA-SEMBABULE'!H20)</f>
        <v>0</v>
      </c>
      <c r="I20" s="49">
        <f>AVERAGE('17.10 MASAKA SEMBABULE'!I20,'18.10 MASAKA-SEMBABULA-24HRS'!I20,'19.10 MASAKA-SEMBABULE-24HRS'!I20,'20.10 MASAKA-SEMBABULE'!I20,'21.10 MASAKA SEMBABULE'!I20,'22.10 MASAKA-SEMBABULE'!I20,'23.10 MASAKA-SEMBABULE'!I20)</f>
        <v>0.42857142857142855</v>
      </c>
      <c r="J20" s="49">
        <f>AVERAGE('17.10 MASAKA SEMBABULE'!J20,'18.10 MASAKA-SEMBABULA-24HRS'!J20,'19.10 MASAKA-SEMBABULE-24HRS'!J20,'20.10 MASAKA-SEMBABULE'!J20,'21.10 MASAKA SEMBABULE'!J20,'22.10 MASAKA-SEMBABULE'!J20,'23.10 MASAKA-SEMBABULE'!J20)</f>
        <v>0.2857142857142857</v>
      </c>
      <c r="K20" s="49">
        <f>AVERAGE('17.10 MASAKA SEMBABULE'!K20,'18.10 MASAKA-SEMBABULA-24HRS'!K20,'19.10 MASAKA-SEMBABULE-24HRS'!K20,'20.10 MASAKA-SEMBABULE'!K20,'21.10 MASAKA SEMBABULE'!K20,'22.10 MASAKA-SEMBABULE'!K20,'23.10 MASAKA-SEMBABULE'!K20)</f>
        <v>0</v>
      </c>
      <c r="L20" s="49">
        <f>AVERAGE('17.10 MASAKA SEMBABULE'!L20,'18.10 MASAKA-SEMBABULA-24HRS'!L20,'19.10 MASAKA-SEMBABULE-24HRS'!L20,'20.10 MASAKA-SEMBABULE'!L20,'21.10 MASAKA SEMBABULE'!L20,'22.10 MASAKA-SEMBABULE'!L20,'23.10 MASAKA-SEMBABULE'!L20)</f>
        <v>0</v>
      </c>
      <c r="M20" s="49">
        <f>AVERAGE('17.10 MASAKA SEMBABULE'!M20,'18.10 MASAKA-SEMBABULA-24HRS'!M20,'19.10 MASAKA-SEMBABULE-24HRS'!M20,'20.10 MASAKA-SEMBABULE'!M20,'21.10 MASAKA SEMBABULE'!M20,'22.10 MASAKA-SEMBABULE'!M20,'23.10 MASAKA-SEMBABULE'!M20)</f>
        <v>6.4285714285714288</v>
      </c>
      <c r="N20" s="49">
        <f>AVERAGE('17.10 MASAKA SEMBABULE'!N20,'18.10 MASAKA-SEMBABULA-24HRS'!N20,'19.10 MASAKA-SEMBABULE-24HRS'!N20,'20.10 MASAKA-SEMBABULE'!N20,'21.10 MASAKA SEMBABULE'!N20,'22.10 MASAKA-SEMBABULE'!N20,'23.10 MASAKA-SEMBABULE'!N20)</f>
        <v>0</v>
      </c>
      <c r="O20" s="15">
        <f t="shared" si="0"/>
        <v>3.714285714285714</v>
      </c>
      <c r="P20" s="15">
        <f t="shared" si="1"/>
        <v>10.142857142857142</v>
      </c>
      <c r="R20" s="1" t="s">
        <v>16</v>
      </c>
      <c r="S20" s="17">
        <f t="shared" ref="S20:AF20" si="12">SUM(C50:C53)</f>
        <v>10.285714285714286</v>
      </c>
      <c r="T20" s="17">
        <f t="shared" si="12"/>
        <v>1.7142857142857144</v>
      </c>
      <c r="U20" s="17">
        <f t="shared" si="12"/>
        <v>4.1428571428571432</v>
      </c>
      <c r="V20" s="17">
        <f t="shared" si="12"/>
        <v>6.8571428571428577</v>
      </c>
      <c r="W20" s="17">
        <f t="shared" si="12"/>
        <v>0.71428571428571419</v>
      </c>
      <c r="X20" s="17">
        <f t="shared" si="12"/>
        <v>0.14285714285714285</v>
      </c>
      <c r="Y20" s="17">
        <f t="shared" si="12"/>
        <v>4.8571428571428577</v>
      </c>
      <c r="Z20" s="17">
        <f t="shared" si="12"/>
        <v>1.8571428571428572</v>
      </c>
      <c r="AA20" s="17">
        <f t="shared" si="12"/>
        <v>2.2857142857142856</v>
      </c>
      <c r="AB20" s="17">
        <f t="shared" si="12"/>
        <v>0</v>
      </c>
      <c r="AC20" s="17">
        <f t="shared" si="12"/>
        <v>31</v>
      </c>
      <c r="AD20" s="17">
        <f t="shared" si="12"/>
        <v>0</v>
      </c>
      <c r="AE20" s="31">
        <f t="shared" si="12"/>
        <v>32.857142857142854</v>
      </c>
      <c r="AF20" s="31">
        <f t="shared" si="12"/>
        <v>63.857142857142861</v>
      </c>
    </row>
    <row r="21" spans="2:32" ht="23.1" customHeight="1" x14ac:dyDescent="0.25">
      <c r="B21" s="23" t="s">
        <v>48</v>
      </c>
      <c r="C21" s="49">
        <f>AVERAGE('17.10 MASAKA SEMBABULE'!C21,'18.10 MASAKA-SEMBABULA-24HRS'!C21,'19.10 MASAKA-SEMBABULE-24HRS'!C21,'20.10 MASAKA-SEMBABULE'!C21,'21.10 MASAKA SEMBABULE'!C21,'22.10 MASAKA-SEMBABULE'!C21,'23.10 MASAKA-SEMBABULE'!C21)</f>
        <v>1.5714285714285714</v>
      </c>
      <c r="D21" s="49">
        <f>AVERAGE('17.10 MASAKA SEMBABULE'!D21,'18.10 MASAKA-SEMBABULA-24HRS'!D21,'19.10 MASAKA-SEMBABULE-24HRS'!D21,'20.10 MASAKA-SEMBABULE'!D21,'21.10 MASAKA SEMBABULE'!D21,'22.10 MASAKA-SEMBABULE'!D21,'23.10 MASAKA-SEMBABULE'!D21)</f>
        <v>0.42857142857142855</v>
      </c>
      <c r="E21" s="49">
        <f>AVERAGE('17.10 MASAKA SEMBABULE'!E21,'18.10 MASAKA-SEMBABULA-24HRS'!E21,'19.10 MASAKA-SEMBABULE-24HRS'!E21,'20.10 MASAKA-SEMBABULE'!E21,'21.10 MASAKA SEMBABULE'!E21,'22.10 MASAKA-SEMBABULE'!E21,'23.10 MASAKA-SEMBABULE'!E21)</f>
        <v>0.42857142857142855</v>
      </c>
      <c r="F21" s="49">
        <f>AVERAGE('17.10 MASAKA SEMBABULE'!F21,'18.10 MASAKA-SEMBABULA-24HRS'!F21,'19.10 MASAKA-SEMBABULE-24HRS'!F21,'20.10 MASAKA-SEMBABULE'!F21,'21.10 MASAKA SEMBABULE'!F21,'22.10 MASAKA-SEMBABULE'!F21,'23.10 MASAKA-SEMBABULE'!F21)</f>
        <v>0.14285714285714285</v>
      </c>
      <c r="G21" s="49">
        <f>AVERAGE('17.10 MASAKA SEMBABULE'!G21,'18.10 MASAKA-SEMBABULA-24HRS'!G21,'19.10 MASAKA-SEMBABULE-24HRS'!G21,'20.10 MASAKA-SEMBABULE'!G21,'21.10 MASAKA SEMBABULE'!G21,'22.10 MASAKA-SEMBABULE'!G21,'23.10 MASAKA-SEMBABULE'!G21)</f>
        <v>0</v>
      </c>
      <c r="H21" s="49">
        <f>AVERAGE('17.10 MASAKA SEMBABULE'!H21,'18.10 MASAKA-SEMBABULA-24HRS'!H21,'19.10 MASAKA-SEMBABULE-24HRS'!H21,'20.10 MASAKA-SEMBABULE'!H21,'21.10 MASAKA SEMBABULE'!H21,'22.10 MASAKA-SEMBABULE'!H21,'23.10 MASAKA-SEMBABULE'!H21)</f>
        <v>0</v>
      </c>
      <c r="I21" s="49">
        <f>AVERAGE('17.10 MASAKA SEMBABULE'!I21,'18.10 MASAKA-SEMBABULA-24HRS'!I21,'19.10 MASAKA-SEMBABULE-24HRS'!I21,'20.10 MASAKA-SEMBABULE'!I21,'21.10 MASAKA SEMBABULE'!I21,'22.10 MASAKA-SEMBABULE'!I21,'23.10 MASAKA-SEMBABULE'!I21)</f>
        <v>1.1428571428571428</v>
      </c>
      <c r="J21" s="49">
        <f>AVERAGE('17.10 MASAKA SEMBABULE'!J21,'18.10 MASAKA-SEMBABULA-24HRS'!J21,'19.10 MASAKA-SEMBABULE-24HRS'!J21,'20.10 MASAKA-SEMBABULE'!J21,'21.10 MASAKA SEMBABULE'!J21,'22.10 MASAKA-SEMBABULE'!J21,'23.10 MASAKA-SEMBABULE'!J21)</f>
        <v>0.7142857142857143</v>
      </c>
      <c r="K21" s="49">
        <f>AVERAGE('17.10 MASAKA SEMBABULE'!K21,'18.10 MASAKA-SEMBABULA-24HRS'!K21,'19.10 MASAKA-SEMBABULE-24HRS'!K21,'20.10 MASAKA-SEMBABULE'!K21,'21.10 MASAKA SEMBABULE'!K21,'22.10 MASAKA-SEMBABULE'!K21,'23.10 MASAKA-SEMBABULE'!K21)</f>
        <v>0.42857142857142855</v>
      </c>
      <c r="L21" s="49">
        <f>AVERAGE('17.10 MASAKA SEMBABULE'!L21,'18.10 MASAKA-SEMBABULA-24HRS'!L21,'19.10 MASAKA-SEMBABULE-24HRS'!L21,'20.10 MASAKA-SEMBABULE'!L21,'21.10 MASAKA SEMBABULE'!L21,'22.10 MASAKA-SEMBABULE'!L21,'23.10 MASAKA-SEMBABULE'!L21)</f>
        <v>0</v>
      </c>
      <c r="M21" s="49">
        <f>AVERAGE('17.10 MASAKA SEMBABULE'!M21,'18.10 MASAKA-SEMBABULA-24HRS'!M21,'19.10 MASAKA-SEMBABULE-24HRS'!M21,'20.10 MASAKA-SEMBABULE'!M21,'21.10 MASAKA SEMBABULE'!M21,'22.10 MASAKA-SEMBABULE'!M21,'23.10 MASAKA-SEMBABULE'!M21)</f>
        <v>5.1428571428571432</v>
      </c>
      <c r="N21" s="49">
        <f>AVERAGE('17.10 MASAKA SEMBABULE'!N21,'18.10 MASAKA-SEMBABULA-24HRS'!N21,'19.10 MASAKA-SEMBABULE-24HRS'!N21,'20.10 MASAKA-SEMBABULE'!N21,'21.10 MASAKA SEMBABULE'!N21,'22.10 MASAKA-SEMBABULE'!N21,'23.10 MASAKA-SEMBABULE'!N21)</f>
        <v>0</v>
      </c>
      <c r="O21" s="15">
        <f t="shared" si="0"/>
        <v>4.8571428571428568</v>
      </c>
      <c r="P21" s="15">
        <f t="shared" si="1"/>
        <v>10</v>
      </c>
      <c r="R21" s="36" t="s">
        <v>20</v>
      </c>
      <c r="S21" s="34">
        <f t="shared" ref="S21:AF21" si="13">SUM(C54:C57)</f>
        <v>8.428571428571427</v>
      </c>
      <c r="T21" s="17">
        <f t="shared" si="13"/>
        <v>1.2857142857142856</v>
      </c>
      <c r="U21" s="17">
        <f t="shared" si="13"/>
        <v>1.9999999999999998</v>
      </c>
      <c r="V21" s="17">
        <f t="shared" si="13"/>
        <v>2.8571428571428577</v>
      </c>
      <c r="W21" s="17">
        <f t="shared" si="13"/>
        <v>0.14285714285714285</v>
      </c>
      <c r="X21" s="17">
        <f t="shared" si="13"/>
        <v>0.2857142857142857</v>
      </c>
      <c r="Y21" s="17">
        <f t="shared" si="13"/>
        <v>5.7142857142857144</v>
      </c>
      <c r="Z21" s="17">
        <f t="shared" si="13"/>
        <v>3.8571428571428572</v>
      </c>
      <c r="AA21" s="17">
        <f t="shared" si="13"/>
        <v>1.1428571428571428</v>
      </c>
      <c r="AB21" s="17">
        <f t="shared" si="13"/>
        <v>0</v>
      </c>
      <c r="AC21" s="17">
        <f t="shared" si="13"/>
        <v>31.428571428571427</v>
      </c>
      <c r="AD21" s="17">
        <f t="shared" si="13"/>
        <v>0</v>
      </c>
      <c r="AE21" s="31">
        <f t="shared" si="13"/>
        <v>25.714285714285712</v>
      </c>
      <c r="AF21" s="31">
        <f t="shared" si="13"/>
        <v>57.142857142857146</v>
      </c>
    </row>
    <row r="22" spans="2:32" ht="23.1" customHeight="1" x14ac:dyDescent="0.25">
      <c r="B22" s="23" t="s">
        <v>49</v>
      </c>
      <c r="C22" s="49">
        <f>AVERAGE('17.10 MASAKA SEMBABULE'!C22,'18.10 MASAKA-SEMBABULA-24HRS'!C22,'19.10 MASAKA-SEMBABULE-24HRS'!C22,'20.10 MASAKA-SEMBABULE'!C22,'21.10 MASAKA SEMBABULE'!C22,'22.10 MASAKA-SEMBABULE'!C22,'23.10 MASAKA-SEMBABULE'!C22)</f>
        <v>2.4285714285714284</v>
      </c>
      <c r="D22" s="49">
        <f>AVERAGE('17.10 MASAKA SEMBABULE'!D22,'18.10 MASAKA-SEMBABULA-24HRS'!D22,'19.10 MASAKA-SEMBABULE-24HRS'!D22,'20.10 MASAKA-SEMBABULE'!D22,'21.10 MASAKA SEMBABULE'!D22,'22.10 MASAKA-SEMBABULE'!D22,'23.10 MASAKA-SEMBABULE'!D22)</f>
        <v>0.14285714285714285</v>
      </c>
      <c r="E22" s="49">
        <f>AVERAGE('17.10 MASAKA SEMBABULE'!E22,'18.10 MASAKA-SEMBABULA-24HRS'!E22,'19.10 MASAKA-SEMBABULE-24HRS'!E22,'20.10 MASAKA-SEMBABULE'!E22,'21.10 MASAKA SEMBABULE'!E22,'22.10 MASAKA-SEMBABULE'!E22,'23.10 MASAKA-SEMBABULE'!E22)</f>
        <v>0.42857142857142855</v>
      </c>
      <c r="F22" s="49">
        <f>AVERAGE('17.10 MASAKA SEMBABULE'!F22,'18.10 MASAKA-SEMBABULA-24HRS'!F22,'19.10 MASAKA-SEMBABULE-24HRS'!F22,'20.10 MASAKA-SEMBABULE'!F22,'21.10 MASAKA SEMBABULE'!F22,'22.10 MASAKA-SEMBABULE'!F22,'23.10 MASAKA-SEMBABULE'!F22)</f>
        <v>0.42857142857142855</v>
      </c>
      <c r="G22" s="49">
        <f>AVERAGE('17.10 MASAKA SEMBABULE'!G22,'18.10 MASAKA-SEMBABULA-24HRS'!G22,'19.10 MASAKA-SEMBABULE-24HRS'!G22,'20.10 MASAKA-SEMBABULE'!G22,'21.10 MASAKA SEMBABULE'!G22,'22.10 MASAKA-SEMBABULE'!G22,'23.10 MASAKA-SEMBABULE'!G22)</f>
        <v>0</v>
      </c>
      <c r="H22" s="49">
        <f>AVERAGE('17.10 MASAKA SEMBABULE'!H22,'18.10 MASAKA-SEMBABULA-24HRS'!H22,'19.10 MASAKA-SEMBABULE-24HRS'!H22,'20.10 MASAKA-SEMBABULE'!H22,'21.10 MASAKA SEMBABULE'!H22,'22.10 MASAKA-SEMBABULE'!H22,'23.10 MASAKA-SEMBABULE'!H22)</f>
        <v>0</v>
      </c>
      <c r="I22" s="49">
        <f>AVERAGE('17.10 MASAKA SEMBABULE'!I22,'18.10 MASAKA-SEMBABULA-24HRS'!I22,'19.10 MASAKA-SEMBABULE-24HRS'!I22,'20.10 MASAKA-SEMBABULE'!I22,'21.10 MASAKA SEMBABULE'!I22,'22.10 MASAKA-SEMBABULE'!I22,'23.10 MASAKA-SEMBABULE'!I22)</f>
        <v>1</v>
      </c>
      <c r="J22" s="49">
        <f>AVERAGE('17.10 MASAKA SEMBABULE'!J22,'18.10 MASAKA-SEMBABULA-24HRS'!J22,'19.10 MASAKA-SEMBABULE-24HRS'!J22,'20.10 MASAKA-SEMBABULE'!J22,'21.10 MASAKA SEMBABULE'!J22,'22.10 MASAKA-SEMBABULE'!J22,'23.10 MASAKA-SEMBABULE'!J22)</f>
        <v>0.5714285714285714</v>
      </c>
      <c r="K22" s="49">
        <f>AVERAGE('17.10 MASAKA SEMBABULE'!K22,'18.10 MASAKA-SEMBABULA-24HRS'!K22,'19.10 MASAKA-SEMBABULE-24HRS'!K22,'20.10 MASAKA-SEMBABULE'!K22,'21.10 MASAKA SEMBABULE'!K22,'22.10 MASAKA-SEMBABULE'!K22,'23.10 MASAKA-SEMBABULE'!K22)</f>
        <v>0.42857142857142855</v>
      </c>
      <c r="L22" s="49">
        <f>AVERAGE('17.10 MASAKA SEMBABULE'!L22,'18.10 MASAKA-SEMBABULA-24HRS'!L22,'19.10 MASAKA-SEMBABULE-24HRS'!L22,'20.10 MASAKA-SEMBABULE'!L22,'21.10 MASAKA SEMBABULE'!L22,'22.10 MASAKA-SEMBABULE'!L22,'23.10 MASAKA-SEMBABULE'!L22)</f>
        <v>0</v>
      </c>
      <c r="M22" s="49">
        <f>AVERAGE('17.10 MASAKA SEMBABULE'!M22,'18.10 MASAKA-SEMBABULA-24HRS'!M22,'19.10 MASAKA-SEMBABULE-24HRS'!M22,'20.10 MASAKA-SEMBABULE'!M22,'21.10 MASAKA SEMBABULE'!M22,'22.10 MASAKA-SEMBABULE'!M22,'23.10 MASAKA-SEMBABULE'!M22)</f>
        <v>5.7142857142857144</v>
      </c>
      <c r="N22" s="49">
        <f>AVERAGE('17.10 MASAKA SEMBABULE'!N22,'18.10 MASAKA-SEMBABULA-24HRS'!N22,'19.10 MASAKA-SEMBABULE-24HRS'!N22,'20.10 MASAKA-SEMBABULE'!N22,'21.10 MASAKA SEMBABULE'!N22,'22.10 MASAKA-SEMBABULE'!N22,'23.10 MASAKA-SEMBABULE'!N22)</f>
        <v>0</v>
      </c>
      <c r="O22" s="15">
        <f t="shared" si="0"/>
        <v>5.4285714285714279</v>
      </c>
      <c r="P22" s="15">
        <f t="shared" si="1"/>
        <v>11.142857142857142</v>
      </c>
      <c r="R22" s="1" t="s">
        <v>146</v>
      </c>
      <c r="S22" s="34">
        <f>SUM(C58:C61)</f>
        <v>9</v>
      </c>
      <c r="T22" s="34">
        <f t="shared" ref="T22:AF22" si="14">SUM(D58:D61)</f>
        <v>1.5</v>
      </c>
      <c r="U22" s="34">
        <f t="shared" si="14"/>
        <v>1.5</v>
      </c>
      <c r="V22" s="34">
        <f t="shared" si="14"/>
        <v>2</v>
      </c>
      <c r="W22" s="34">
        <f t="shared" si="14"/>
        <v>0</v>
      </c>
      <c r="X22" s="34">
        <f t="shared" si="14"/>
        <v>0.5</v>
      </c>
      <c r="Y22" s="34">
        <f t="shared" si="14"/>
        <v>3</v>
      </c>
      <c r="Z22" s="34">
        <f t="shared" si="14"/>
        <v>2.5</v>
      </c>
      <c r="AA22" s="34">
        <f t="shared" si="14"/>
        <v>0.5</v>
      </c>
      <c r="AB22" s="34">
        <f t="shared" si="14"/>
        <v>0.5</v>
      </c>
      <c r="AC22" s="34">
        <f t="shared" si="14"/>
        <v>28.5</v>
      </c>
      <c r="AD22" s="34">
        <f t="shared" si="14"/>
        <v>0</v>
      </c>
      <c r="AE22" s="31">
        <f t="shared" si="14"/>
        <v>21</v>
      </c>
      <c r="AF22" s="31">
        <f t="shared" si="14"/>
        <v>49.5</v>
      </c>
    </row>
    <row r="23" spans="2:32" ht="23.1" customHeight="1" x14ac:dyDescent="0.25">
      <c r="B23" s="23" t="s">
        <v>50</v>
      </c>
      <c r="C23" s="49">
        <f>AVERAGE('17.10 MASAKA SEMBABULE'!C23,'18.10 MASAKA-SEMBABULA-24HRS'!C23,'19.10 MASAKA-SEMBABULE-24HRS'!C23,'20.10 MASAKA-SEMBABULE'!C23,'21.10 MASAKA SEMBABULE'!C23,'22.10 MASAKA-SEMBABULE'!C23,'23.10 MASAKA-SEMBABULE'!C23)</f>
        <v>1.7142857142857142</v>
      </c>
      <c r="D23" s="49">
        <f>AVERAGE('17.10 MASAKA SEMBABULE'!D23,'18.10 MASAKA-SEMBABULA-24HRS'!D23,'19.10 MASAKA-SEMBABULE-24HRS'!D23,'20.10 MASAKA-SEMBABULE'!D23,'21.10 MASAKA SEMBABULE'!D23,'22.10 MASAKA-SEMBABULE'!D23,'23.10 MASAKA-SEMBABULE'!D23)</f>
        <v>0.5714285714285714</v>
      </c>
      <c r="E23" s="49">
        <f>AVERAGE('17.10 MASAKA SEMBABULE'!E23,'18.10 MASAKA-SEMBABULA-24HRS'!E23,'19.10 MASAKA-SEMBABULE-24HRS'!E23,'20.10 MASAKA-SEMBABULE'!E23,'21.10 MASAKA SEMBABULE'!E23,'22.10 MASAKA-SEMBABULE'!E23,'23.10 MASAKA-SEMBABULE'!E23)</f>
        <v>0.5714285714285714</v>
      </c>
      <c r="F23" s="49">
        <f>AVERAGE('17.10 MASAKA SEMBABULE'!F23,'18.10 MASAKA-SEMBABULA-24HRS'!F23,'19.10 MASAKA-SEMBABULE-24HRS'!F23,'20.10 MASAKA-SEMBABULE'!F23,'21.10 MASAKA SEMBABULE'!F23,'22.10 MASAKA-SEMBABULE'!F23,'23.10 MASAKA-SEMBABULE'!F23)</f>
        <v>0.2857142857142857</v>
      </c>
      <c r="G23" s="49">
        <f>AVERAGE('17.10 MASAKA SEMBABULE'!G23,'18.10 MASAKA-SEMBABULA-24HRS'!G23,'19.10 MASAKA-SEMBABULE-24HRS'!G23,'20.10 MASAKA-SEMBABULE'!G23,'21.10 MASAKA SEMBABULE'!G23,'22.10 MASAKA-SEMBABULE'!G23,'23.10 MASAKA-SEMBABULE'!G23)</f>
        <v>0</v>
      </c>
      <c r="H23" s="49">
        <f>AVERAGE('17.10 MASAKA SEMBABULE'!H23,'18.10 MASAKA-SEMBABULA-24HRS'!H23,'19.10 MASAKA-SEMBABULE-24HRS'!H23,'20.10 MASAKA-SEMBABULE'!H23,'21.10 MASAKA SEMBABULE'!H23,'22.10 MASAKA-SEMBABULE'!H23,'23.10 MASAKA-SEMBABULE'!H23)</f>
        <v>0</v>
      </c>
      <c r="I23" s="49">
        <f>AVERAGE('17.10 MASAKA SEMBABULE'!I23,'18.10 MASAKA-SEMBABULA-24HRS'!I23,'19.10 MASAKA-SEMBABULE-24HRS'!I23,'20.10 MASAKA-SEMBABULE'!I23,'21.10 MASAKA SEMBABULE'!I23,'22.10 MASAKA-SEMBABULE'!I23,'23.10 MASAKA-SEMBABULE'!I23)</f>
        <v>0.7142857142857143</v>
      </c>
      <c r="J23" s="49">
        <f>AVERAGE('17.10 MASAKA SEMBABULE'!J23,'18.10 MASAKA-SEMBABULA-24HRS'!J23,'19.10 MASAKA-SEMBABULE-24HRS'!J23,'20.10 MASAKA-SEMBABULE'!J23,'21.10 MASAKA SEMBABULE'!J23,'22.10 MASAKA-SEMBABULE'!J23,'23.10 MASAKA-SEMBABULE'!J23)</f>
        <v>0.7142857142857143</v>
      </c>
      <c r="K23" s="49">
        <f>AVERAGE('17.10 MASAKA SEMBABULE'!K23,'18.10 MASAKA-SEMBABULA-24HRS'!K23,'19.10 MASAKA-SEMBABULE-24HRS'!K23,'20.10 MASAKA-SEMBABULE'!K23,'21.10 MASAKA SEMBABULE'!K23,'22.10 MASAKA-SEMBABULE'!K23,'23.10 MASAKA-SEMBABULE'!K23)</f>
        <v>0.5714285714285714</v>
      </c>
      <c r="L23" s="49">
        <f>AVERAGE('17.10 MASAKA SEMBABULE'!L23,'18.10 MASAKA-SEMBABULA-24HRS'!L23,'19.10 MASAKA-SEMBABULE-24HRS'!L23,'20.10 MASAKA-SEMBABULE'!L23,'21.10 MASAKA SEMBABULE'!L23,'22.10 MASAKA-SEMBABULE'!L23,'23.10 MASAKA-SEMBABULE'!L23)</f>
        <v>0.14285714285714285</v>
      </c>
      <c r="M23" s="49">
        <f>AVERAGE('17.10 MASAKA SEMBABULE'!M23,'18.10 MASAKA-SEMBABULA-24HRS'!M23,'19.10 MASAKA-SEMBABULE-24HRS'!M23,'20.10 MASAKA-SEMBABULE'!M23,'21.10 MASAKA SEMBABULE'!M23,'22.10 MASAKA-SEMBABULE'!M23,'23.10 MASAKA-SEMBABULE'!M23)</f>
        <v>5.4285714285714288</v>
      </c>
      <c r="N23" s="49">
        <f>AVERAGE('17.10 MASAKA SEMBABULE'!N23,'18.10 MASAKA-SEMBABULA-24HRS'!N23,'19.10 MASAKA-SEMBABULE-24HRS'!N23,'20.10 MASAKA-SEMBABULE'!N23,'21.10 MASAKA SEMBABULE'!N23,'22.10 MASAKA-SEMBABULE'!N23,'23.10 MASAKA-SEMBABULE'!N23)</f>
        <v>0</v>
      </c>
      <c r="O23" s="15">
        <f t="shared" si="0"/>
        <v>5.2857142857142856</v>
      </c>
      <c r="P23" s="15">
        <f t="shared" si="1"/>
        <v>10.714285714285715</v>
      </c>
      <c r="R23" s="1" t="s">
        <v>147</v>
      </c>
      <c r="S23" s="34">
        <f>SUM(C62:C65)</f>
        <v>10.5</v>
      </c>
      <c r="T23" s="34">
        <f t="shared" ref="T23:AF23" si="15">SUM(D62:D65)</f>
        <v>1</v>
      </c>
      <c r="U23" s="34">
        <f t="shared" si="15"/>
        <v>2</v>
      </c>
      <c r="V23" s="34">
        <f t="shared" si="15"/>
        <v>1.5</v>
      </c>
      <c r="W23" s="34">
        <f t="shared" si="15"/>
        <v>0.5</v>
      </c>
      <c r="X23" s="34">
        <f t="shared" si="15"/>
        <v>0.5</v>
      </c>
      <c r="Y23" s="34">
        <f t="shared" si="15"/>
        <v>4</v>
      </c>
      <c r="Z23" s="34">
        <f t="shared" si="15"/>
        <v>1.5</v>
      </c>
      <c r="AA23" s="34">
        <f t="shared" si="15"/>
        <v>0</v>
      </c>
      <c r="AB23" s="34">
        <f t="shared" si="15"/>
        <v>0</v>
      </c>
      <c r="AC23" s="34">
        <f t="shared" si="15"/>
        <v>26</v>
      </c>
      <c r="AD23" s="34">
        <f t="shared" si="15"/>
        <v>0</v>
      </c>
      <c r="AE23" s="31">
        <f t="shared" si="15"/>
        <v>21.5</v>
      </c>
      <c r="AF23" s="31">
        <f t="shared" si="15"/>
        <v>47.5</v>
      </c>
    </row>
    <row r="24" spans="2:32" ht="23.1" customHeight="1" x14ac:dyDescent="0.25">
      <c r="B24" s="23" t="s">
        <v>51</v>
      </c>
      <c r="C24" s="49">
        <f>AVERAGE('17.10 MASAKA SEMBABULE'!C24,'18.10 MASAKA-SEMBABULA-24HRS'!C24,'19.10 MASAKA-SEMBABULE-24HRS'!C24,'20.10 MASAKA-SEMBABULE'!C24,'21.10 MASAKA SEMBABULE'!C24,'22.10 MASAKA-SEMBABULE'!C24,'23.10 MASAKA-SEMBABULE'!C24)</f>
        <v>1.7142857142857142</v>
      </c>
      <c r="D24" s="49">
        <f>AVERAGE('17.10 MASAKA SEMBABULE'!D24,'18.10 MASAKA-SEMBABULA-24HRS'!D24,'19.10 MASAKA-SEMBABULE-24HRS'!D24,'20.10 MASAKA-SEMBABULE'!D24,'21.10 MASAKA SEMBABULE'!D24,'22.10 MASAKA-SEMBABULE'!D24,'23.10 MASAKA-SEMBABULE'!D24)</f>
        <v>0.14285714285714285</v>
      </c>
      <c r="E24" s="49">
        <f>AVERAGE('17.10 MASAKA SEMBABULE'!E24,'18.10 MASAKA-SEMBABULA-24HRS'!E24,'19.10 MASAKA-SEMBABULE-24HRS'!E24,'20.10 MASAKA-SEMBABULE'!E24,'21.10 MASAKA SEMBABULE'!E24,'22.10 MASAKA-SEMBABULE'!E24,'23.10 MASAKA-SEMBABULE'!E24)</f>
        <v>0.14285714285714285</v>
      </c>
      <c r="F24" s="49">
        <f>AVERAGE('17.10 MASAKA SEMBABULE'!F24,'18.10 MASAKA-SEMBABULA-24HRS'!F24,'19.10 MASAKA-SEMBABULE-24HRS'!F24,'20.10 MASAKA-SEMBABULE'!F24,'21.10 MASAKA SEMBABULE'!F24,'22.10 MASAKA-SEMBABULE'!F24,'23.10 MASAKA-SEMBABULE'!F24)</f>
        <v>0.2857142857142857</v>
      </c>
      <c r="G24" s="49">
        <f>AVERAGE('17.10 MASAKA SEMBABULE'!G24,'18.10 MASAKA-SEMBABULA-24HRS'!G24,'19.10 MASAKA-SEMBABULE-24HRS'!G24,'20.10 MASAKA-SEMBABULE'!G24,'21.10 MASAKA SEMBABULE'!G24,'22.10 MASAKA-SEMBABULE'!G24,'23.10 MASAKA-SEMBABULE'!G24)</f>
        <v>0</v>
      </c>
      <c r="H24" s="49">
        <f>AVERAGE('17.10 MASAKA SEMBABULE'!H24,'18.10 MASAKA-SEMBABULA-24HRS'!H24,'19.10 MASAKA-SEMBABULE-24HRS'!H24,'20.10 MASAKA-SEMBABULE'!H24,'21.10 MASAKA SEMBABULE'!H24,'22.10 MASAKA-SEMBABULE'!H24,'23.10 MASAKA-SEMBABULE'!H24)</f>
        <v>0</v>
      </c>
      <c r="I24" s="49">
        <f>AVERAGE('17.10 MASAKA SEMBABULE'!I24,'18.10 MASAKA-SEMBABULA-24HRS'!I24,'19.10 MASAKA-SEMBABULE-24HRS'!I24,'20.10 MASAKA-SEMBABULE'!I24,'21.10 MASAKA SEMBABULE'!I24,'22.10 MASAKA-SEMBABULE'!I24,'23.10 MASAKA-SEMBABULE'!I24)</f>
        <v>1.1428571428571428</v>
      </c>
      <c r="J24" s="49">
        <f>AVERAGE('17.10 MASAKA SEMBABULE'!J24,'18.10 MASAKA-SEMBABULA-24HRS'!J24,'19.10 MASAKA-SEMBABULE-24HRS'!J24,'20.10 MASAKA-SEMBABULE'!J24,'21.10 MASAKA SEMBABULE'!J24,'22.10 MASAKA-SEMBABULE'!J24,'23.10 MASAKA-SEMBABULE'!J24)</f>
        <v>0.5714285714285714</v>
      </c>
      <c r="K24" s="49">
        <f>AVERAGE('17.10 MASAKA SEMBABULE'!K24,'18.10 MASAKA-SEMBABULA-24HRS'!K24,'19.10 MASAKA-SEMBABULE-24HRS'!K24,'20.10 MASAKA-SEMBABULE'!K24,'21.10 MASAKA SEMBABULE'!K24,'22.10 MASAKA-SEMBABULE'!K24,'23.10 MASAKA-SEMBABULE'!K24)</f>
        <v>0</v>
      </c>
      <c r="L24" s="49">
        <f>AVERAGE('17.10 MASAKA SEMBABULE'!L24,'18.10 MASAKA-SEMBABULA-24HRS'!L24,'19.10 MASAKA-SEMBABULE-24HRS'!L24,'20.10 MASAKA-SEMBABULE'!L24,'21.10 MASAKA SEMBABULE'!L24,'22.10 MASAKA-SEMBABULE'!L24,'23.10 MASAKA-SEMBABULE'!L24)</f>
        <v>0.14285714285714285</v>
      </c>
      <c r="M24" s="49">
        <f>AVERAGE('17.10 MASAKA SEMBABULE'!M24,'18.10 MASAKA-SEMBABULA-24HRS'!M24,'19.10 MASAKA-SEMBABULE-24HRS'!M24,'20.10 MASAKA-SEMBABULE'!M24,'21.10 MASAKA SEMBABULE'!M24,'22.10 MASAKA-SEMBABULE'!M24,'23.10 MASAKA-SEMBABULE'!M24)</f>
        <v>4.5714285714285712</v>
      </c>
      <c r="N24" s="49">
        <f>AVERAGE('17.10 MASAKA SEMBABULE'!N24,'18.10 MASAKA-SEMBABULA-24HRS'!N24,'19.10 MASAKA-SEMBABULE-24HRS'!N24,'20.10 MASAKA-SEMBABULE'!N24,'21.10 MASAKA SEMBABULE'!N24,'22.10 MASAKA-SEMBABULE'!N24,'23.10 MASAKA-SEMBABULE'!N24)</f>
        <v>0.14285714285714285</v>
      </c>
      <c r="O24" s="15">
        <f t="shared" si="0"/>
        <v>4.2857142857142865</v>
      </c>
      <c r="P24" s="15">
        <f t="shared" si="1"/>
        <v>8.8571428571428577</v>
      </c>
      <c r="R24" s="1" t="s">
        <v>148</v>
      </c>
      <c r="S24" s="34">
        <f>SUM(C66:C69)</f>
        <v>4</v>
      </c>
      <c r="T24" s="34">
        <f t="shared" ref="T24:AF24" si="16">SUM(D66:D69)</f>
        <v>0.5</v>
      </c>
      <c r="U24" s="34">
        <f t="shared" si="16"/>
        <v>0.5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0.5</v>
      </c>
      <c r="Z24" s="34">
        <f t="shared" si="16"/>
        <v>5.5</v>
      </c>
      <c r="AA24" s="34">
        <f t="shared" si="16"/>
        <v>0</v>
      </c>
      <c r="AB24" s="34">
        <f t="shared" si="16"/>
        <v>0</v>
      </c>
      <c r="AC24" s="34">
        <f t="shared" si="16"/>
        <v>11.5</v>
      </c>
      <c r="AD24" s="34">
        <f t="shared" si="16"/>
        <v>0</v>
      </c>
      <c r="AE24" s="31">
        <f t="shared" si="16"/>
        <v>12</v>
      </c>
      <c r="AF24" s="31">
        <f t="shared" si="16"/>
        <v>23.5</v>
      </c>
    </row>
    <row r="25" spans="2:32" ht="23.1" customHeight="1" x14ac:dyDescent="0.25">
      <c r="B25" s="23" t="s">
        <v>52</v>
      </c>
      <c r="C25" s="49">
        <f>AVERAGE('17.10 MASAKA SEMBABULE'!C25,'18.10 MASAKA-SEMBABULA-24HRS'!C25,'19.10 MASAKA-SEMBABULE-24HRS'!C25,'20.10 MASAKA-SEMBABULE'!C25,'21.10 MASAKA SEMBABULE'!C25,'22.10 MASAKA-SEMBABULE'!C25,'23.10 MASAKA-SEMBABULE'!C25)</f>
        <v>1.7142857142857142</v>
      </c>
      <c r="D25" s="49">
        <f>AVERAGE('17.10 MASAKA SEMBABULE'!D25,'18.10 MASAKA-SEMBABULA-24HRS'!D25,'19.10 MASAKA-SEMBABULE-24HRS'!D25,'20.10 MASAKA-SEMBABULE'!D25,'21.10 MASAKA SEMBABULE'!D25,'22.10 MASAKA-SEMBABULE'!D25,'23.10 MASAKA-SEMBABULE'!D25)</f>
        <v>0</v>
      </c>
      <c r="E25" s="49">
        <f>AVERAGE('17.10 MASAKA SEMBABULE'!E25,'18.10 MASAKA-SEMBABULA-24HRS'!E25,'19.10 MASAKA-SEMBABULE-24HRS'!E25,'20.10 MASAKA-SEMBABULE'!E25,'21.10 MASAKA SEMBABULE'!E25,'22.10 MASAKA-SEMBABULE'!E25,'23.10 MASAKA-SEMBABULE'!E25)</f>
        <v>0.42857142857142855</v>
      </c>
      <c r="F25" s="49">
        <f>AVERAGE('17.10 MASAKA SEMBABULE'!F25,'18.10 MASAKA-SEMBABULA-24HRS'!F25,'19.10 MASAKA-SEMBABULE-24HRS'!F25,'20.10 MASAKA-SEMBABULE'!F25,'21.10 MASAKA SEMBABULE'!F25,'22.10 MASAKA-SEMBABULE'!F25,'23.10 MASAKA-SEMBABULE'!F25)</f>
        <v>0.2857142857142857</v>
      </c>
      <c r="G25" s="49">
        <f>AVERAGE('17.10 MASAKA SEMBABULE'!G25,'18.10 MASAKA-SEMBABULA-24HRS'!G25,'19.10 MASAKA-SEMBABULE-24HRS'!G25,'20.10 MASAKA-SEMBABULE'!G25,'21.10 MASAKA SEMBABULE'!G25,'22.10 MASAKA-SEMBABULE'!G25,'23.10 MASAKA-SEMBABULE'!G25)</f>
        <v>0</v>
      </c>
      <c r="H25" s="49">
        <f>AVERAGE('17.10 MASAKA SEMBABULE'!H25,'18.10 MASAKA-SEMBABULA-24HRS'!H25,'19.10 MASAKA-SEMBABULE-24HRS'!H25,'20.10 MASAKA-SEMBABULE'!H25,'21.10 MASAKA SEMBABULE'!H25,'22.10 MASAKA-SEMBABULE'!H25,'23.10 MASAKA-SEMBABULE'!H25)</f>
        <v>0</v>
      </c>
      <c r="I25" s="49">
        <f>AVERAGE('17.10 MASAKA SEMBABULE'!I25,'18.10 MASAKA-SEMBABULA-24HRS'!I25,'19.10 MASAKA-SEMBABULE-24HRS'!I25,'20.10 MASAKA-SEMBABULE'!I25,'21.10 MASAKA SEMBABULE'!I25,'22.10 MASAKA-SEMBABULE'!I25,'23.10 MASAKA-SEMBABULE'!I25)</f>
        <v>0.8571428571428571</v>
      </c>
      <c r="J25" s="49">
        <f>AVERAGE('17.10 MASAKA SEMBABULE'!J25,'18.10 MASAKA-SEMBABULA-24HRS'!J25,'19.10 MASAKA-SEMBABULE-24HRS'!J25,'20.10 MASAKA-SEMBABULE'!J25,'21.10 MASAKA SEMBABULE'!J25,'22.10 MASAKA-SEMBABULE'!J25,'23.10 MASAKA-SEMBABULE'!J25)</f>
        <v>0.42857142857142855</v>
      </c>
      <c r="K25" s="49">
        <f>AVERAGE('17.10 MASAKA SEMBABULE'!K25,'18.10 MASAKA-SEMBABULA-24HRS'!K25,'19.10 MASAKA-SEMBABULE-24HRS'!K25,'20.10 MASAKA-SEMBABULE'!K25,'21.10 MASAKA SEMBABULE'!K25,'22.10 MASAKA-SEMBABULE'!K25,'23.10 MASAKA-SEMBABULE'!K25)</f>
        <v>0</v>
      </c>
      <c r="L25" s="49">
        <f>AVERAGE('17.10 MASAKA SEMBABULE'!L25,'18.10 MASAKA-SEMBABULA-24HRS'!L25,'19.10 MASAKA-SEMBABULE-24HRS'!L25,'20.10 MASAKA-SEMBABULE'!L25,'21.10 MASAKA SEMBABULE'!L25,'22.10 MASAKA-SEMBABULE'!L25,'23.10 MASAKA-SEMBABULE'!L25)</f>
        <v>0.14285714285714285</v>
      </c>
      <c r="M25" s="49">
        <f>AVERAGE('17.10 MASAKA SEMBABULE'!M25,'18.10 MASAKA-SEMBABULA-24HRS'!M25,'19.10 MASAKA-SEMBABULE-24HRS'!M25,'20.10 MASAKA-SEMBABULE'!M25,'21.10 MASAKA SEMBABULE'!M25,'22.10 MASAKA-SEMBABULE'!M25,'23.10 MASAKA-SEMBABULE'!M25)</f>
        <v>5.5714285714285712</v>
      </c>
      <c r="N25" s="49">
        <f>AVERAGE('17.10 MASAKA SEMBABULE'!N25,'18.10 MASAKA-SEMBABULA-24HRS'!N25,'19.10 MASAKA-SEMBABULE-24HRS'!N25,'20.10 MASAKA-SEMBABULE'!N25,'21.10 MASAKA SEMBABULE'!N25,'22.10 MASAKA-SEMBABULE'!N25,'23.10 MASAKA-SEMBABULE'!N25)</f>
        <v>0</v>
      </c>
      <c r="O25" s="15">
        <f t="shared" si="0"/>
        <v>3.8571428571428568</v>
      </c>
      <c r="P25" s="15">
        <f t="shared" si="1"/>
        <v>9.428571428571427</v>
      </c>
      <c r="R25" s="1" t="s">
        <v>149</v>
      </c>
      <c r="S25" s="34">
        <f>SUM(C70:C73)</f>
        <v>2.5</v>
      </c>
      <c r="T25" s="34">
        <f t="shared" ref="T25:AF25" si="17">SUM(D70:D73)</f>
        <v>1</v>
      </c>
      <c r="U25" s="34">
        <f t="shared" si="17"/>
        <v>1.5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1.5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8</v>
      </c>
      <c r="AD25" s="34">
        <f t="shared" si="17"/>
        <v>0</v>
      </c>
      <c r="AE25" s="31">
        <f t="shared" si="17"/>
        <v>9.5</v>
      </c>
      <c r="AF25" s="31">
        <f t="shared" si="17"/>
        <v>17.5</v>
      </c>
    </row>
    <row r="26" spans="2:32" ht="23.1" customHeight="1" x14ac:dyDescent="0.25">
      <c r="B26" s="23" t="s">
        <v>53</v>
      </c>
      <c r="C26" s="49">
        <f>AVERAGE('17.10 MASAKA SEMBABULE'!C26,'18.10 MASAKA-SEMBABULA-24HRS'!C26,'19.10 MASAKA-SEMBABULE-24HRS'!C26,'20.10 MASAKA-SEMBABULE'!C26,'21.10 MASAKA SEMBABULE'!C26,'22.10 MASAKA-SEMBABULE'!C26,'23.10 MASAKA-SEMBABULE'!C26)</f>
        <v>2.4285714285714284</v>
      </c>
      <c r="D26" s="49">
        <f>AVERAGE('17.10 MASAKA SEMBABULE'!D26,'18.10 MASAKA-SEMBABULA-24HRS'!D26,'19.10 MASAKA-SEMBABULE-24HRS'!D26,'20.10 MASAKA-SEMBABULE'!D26,'21.10 MASAKA SEMBABULE'!D26,'22.10 MASAKA-SEMBABULE'!D26,'23.10 MASAKA-SEMBABULE'!D26)</f>
        <v>0</v>
      </c>
      <c r="E26" s="49">
        <f>AVERAGE('17.10 MASAKA SEMBABULE'!E26,'18.10 MASAKA-SEMBABULA-24HRS'!E26,'19.10 MASAKA-SEMBABULE-24HRS'!E26,'20.10 MASAKA-SEMBABULE'!E26,'21.10 MASAKA SEMBABULE'!E26,'22.10 MASAKA-SEMBABULE'!E26,'23.10 MASAKA-SEMBABULE'!E26)</f>
        <v>0.8571428571428571</v>
      </c>
      <c r="F26" s="49">
        <f>AVERAGE('17.10 MASAKA SEMBABULE'!F26,'18.10 MASAKA-SEMBABULA-24HRS'!F26,'19.10 MASAKA-SEMBABULE-24HRS'!F26,'20.10 MASAKA-SEMBABULE'!F26,'21.10 MASAKA SEMBABULE'!F26,'22.10 MASAKA-SEMBABULE'!F26,'23.10 MASAKA-SEMBABULE'!F26)</f>
        <v>0.42857142857142855</v>
      </c>
      <c r="G26" s="49">
        <f>AVERAGE('17.10 MASAKA SEMBABULE'!G26,'18.10 MASAKA-SEMBABULA-24HRS'!G26,'19.10 MASAKA-SEMBABULE-24HRS'!G26,'20.10 MASAKA-SEMBABULE'!G26,'21.10 MASAKA SEMBABULE'!G26,'22.10 MASAKA-SEMBABULE'!G26,'23.10 MASAKA-SEMBABULE'!G26)</f>
        <v>0</v>
      </c>
      <c r="H26" s="49">
        <f>AVERAGE('17.10 MASAKA SEMBABULE'!H26,'18.10 MASAKA-SEMBABULA-24HRS'!H26,'19.10 MASAKA-SEMBABULE-24HRS'!H26,'20.10 MASAKA-SEMBABULE'!H26,'21.10 MASAKA SEMBABULE'!H26,'22.10 MASAKA-SEMBABULE'!H26,'23.10 MASAKA-SEMBABULE'!H26)</f>
        <v>0</v>
      </c>
      <c r="I26" s="49">
        <f>AVERAGE('17.10 MASAKA SEMBABULE'!I26,'18.10 MASAKA-SEMBABULA-24HRS'!I26,'19.10 MASAKA-SEMBABULE-24HRS'!I26,'20.10 MASAKA-SEMBABULE'!I26,'21.10 MASAKA SEMBABULE'!I26,'22.10 MASAKA-SEMBABULE'!I26,'23.10 MASAKA-SEMBABULE'!I26)</f>
        <v>1.2857142857142858</v>
      </c>
      <c r="J26" s="49">
        <f>AVERAGE('17.10 MASAKA SEMBABULE'!J26,'18.10 MASAKA-SEMBABULA-24HRS'!J26,'19.10 MASAKA-SEMBABULE-24HRS'!J26,'20.10 MASAKA-SEMBABULE'!J26,'21.10 MASAKA SEMBABULE'!J26,'22.10 MASAKA-SEMBABULE'!J26,'23.10 MASAKA-SEMBABULE'!J26)</f>
        <v>0.42857142857142855</v>
      </c>
      <c r="K26" s="49">
        <f>AVERAGE('17.10 MASAKA SEMBABULE'!K26,'18.10 MASAKA-SEMBABULA-24HRS'!K26,'19.10 MASAKA-SEMBABULE-24HRS'!K26,'20.10 MASAKA-SEMBABULE'!K26,'21.10 MASAKA SEMBABULE'!K26,'22.10 MASAKA-SEMBABULE'!K26,'23.10 MASAKA-SEMBABULE'!K26)</f>
        <v>0.42857142857142855</v>
      </c>
      <c r="L26" s="49">
        <f>AVERAGE('17.10 MASAKA SEMBABULE'!L26,'18.10 MASAKA-SEMBABULA-24HRS'!L26,'19.10 MASAKA-SEMBABULE-24HRS'!L26,'20.10 MASAKA-SEMBABULE'!L26,'21.10 MASAKA SEMBABULE'!L26,'22.10 MASAKA-SEMBABULE'!L26,'23.10 MASAKA-SEMBABULE'!L26)</f>
        <v>0</v>
      </c>
      <c r="M26" s="49">
        <f>AVERAGE('17.10 MASAKA SEMBABULE'!M26,'18.10 MASAKA-SEMBABULA-24HRS'!M26,'19.10 MASAKA-SEMBABULE-24HRS'!M26,'20.10 MASAKA-SEMBABULE'!M26,'21.10 MASAKA SEMBABULE'!M26,'22.10 MASAKA-SEMBABULE'!M26,'23.10 MASAKA-SEMBABULE'!M26)</f>
        <v>7.4285714285714288</v>
      </c>
      <c r="N26" s="49">
        <f>AVERAGE('17.10 MASAKA SEMBABULE'!N26,'18.10 MASAKA-SEMBABULA-24HRS'!N26,'19.10 MASAKA-SEMBABULE-24HRS'!N26,'20.10 MASAKA-SEMBABULE'!N26,'21.10 MASAKA SEMBABULE'!N26,'22.10 MASAKA-SEMBABULE'!N26,'23.10 MASAKA-SEMBABULE'!N26)</f>
        <v>0</v>
      </c>
      <c r="O26" s="15">
        <f t="shared" si="0"/>
        <v>5.8571428571428577</v>
      </c>
      <c r="P26" s="15">
        <f t="shared" si="1"/>
        <v>13.285714285714286</v>
      </c>
      <c r="R26" s="1" t="s">
        <v>150</v>
      </c>
      <c r="S26" s="34">
        <f>SUM(C74:C77)</f>
        <v>6.5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0.5</v>
      </c>
      <c r="AA26" s="34">
        <f t="shared" si="18"/>
        <v>0.5</v>
      </c>
      <c r="AB26" s="34">
        <f t="shared" si="18"/>
        <v>0</v>
      </c>
      <c r="AC26" s="34">
        <f t="shared" si="18"/>
        <v>3.5</v>
      </c>
      <c r="AD26" s="34">
        <f t="shared" si="18"/>
        <v>0</v>
      </c>
      <c r="AE26" s="31">
        <f t="shared" si="18"/>
        <v>10</v>
      </c>
      <c r="AF26" s="31">
        <f t="shared" si="18"/>
        <v>13.5</v>
      </c>
    </row>
    <row r="27" spans="2:32" ht="23.1" customHeight="1" x14ac:dyDescent="0.25">
      <c r="B27" s="23" t="s">
        <v>54</v>
      </c>
      <c r="C27" s="49">
        <f>AVERAGE('17.10 MASAKA SEMBABULE'!C27,'18.10 MASAKA-SEMBABULA-24HRS'!C27,'19.10 MASAKA-SEMBABULE-24HRS'!C27,'20.10 MASAKA-SEMBABULE'!C27,'21.10 MASAKA SEMBABULE'!C27,'22.10 MASAKA-SEMBABULE'!C27,'23.10 MASAKA-SEMBABULE'!C27)</f>
        <v>1.5714285714285714</v>
      </c>
      <c r="D27" s="49">
        <f>AVERAGE('17.10 MASAKA SEMBABULE'!D27,'18.10 MASAKA-SEMBABULA-24HRS'!D27,'19.10 MASAKA-SEMBABULE-24HRS'!D27,'20.10 MASAKA-SEMBABULE'!D27,'21.10 MASAKA SEMBABULE'!D27,'22.10 MASAKA-SEMBABULE'!D27,'23.10 MASAKA-SEMBABULE'!D27)</f>
        <v>0.2857142857142857</v>
      </c>
      <c r="E27" s="49">
        <f>AVERAGE('17.10 MASAKA SEMBABULE'!E27,'18.10 MASAKA-SEMBABULA-24HRS'!E27,'19.10 MASAKA-SEMBABULE-24HRS'!E27,'20.10 MASAKA-SEMBABULE'!E27,'21.10 MASAKA SEMBABULE'!E27,'22.10 MASAKA-SEMBABULE'!E27,'23.10 MASAKA-SEMBABULE'!E27)</f>
        <v>0.14285714285714285</v>
      </c>
      <c r="F27" s="49">
        <f>AVERAGE('17.10 MASAKA SEMBABULE'!F27,'18.10 MASAKA-SEMBABULA-24HRS'!F27,'19.10 MASAKA-SEMBABULE-24HRS'!F27,'20.10 MASAKA-SEMBABULE'!F27,'21.10 MASAKA SEMBABULE'!F27,'22.10 MASAKA-SEMBABULE'!F27,'23.10 MASAKA-SEMBABULE'!F27)</f>
        <v>0.14285714285714285</v>
      </c>
      <c r="G27" s="49">
        <f>AVERAGE('17.10 MASAKA SEMBABULE'!G27,'18.10 MASAKA-SEMBABULA-24HRS'!G27,'19.10 MASAKA-SEMBABULE-24HRS'!G27,'20.10 MASAKA-SEMBABULE'!G27,'21.10 MASAKA SEMBABULE'!G27,'22.10 MASAKA-SEMBABULE'!G27,'23.10 MASAKA-SEMBABULE'!G27)</f>
        <v>0</v>
      </c>
      <c r="H27" s="49">
        <f>AVERAGE('17.10 MASAKA SEMBABULE'!H27,'18.10 MASAKA-SEMBABULA-24HRS'!H27,'19.10 MASAKA-SEMBABULE-24HRS'!H27,'20.10 MASAKA-SEMBABULE'!H27,'21.10 MASAKA SEMBABULE'!H27,'22.10 MASAKA-SEMBABULE'!H27,'23.10 MASAKA-SEMBABULE'!H27)</f>
        <v>0</v>
      </c>
      <c r="I27" s="49">
        <f>AVERAGE('17.10 MASAKA SEMBABULE'!I27,'18.10 MASAKA-SEMBABULA-24HRS'!I27,'19.10 MASAKA-SEMBABULE-24HRS'!I27,'20.10 MASAKA-SEMBABULE'!I27,'21.10 MASAKA SEMBABULE'!I27,'22.10 MASAKA-SEMBABULE'!I27,'23.10 MASAKA-SEMBABULE'!I27)</f>
        <v>0.5714285714285714</v>
      </c>
      <c r="J27" s="49">
        <f>AVERAGE('17.10 MASAKA SEMBABULE'!J27,'18.10 MASAKA-SEMBABULA-24HRS'!J27,'19.10 MASAKA-SEMBABULE-24HRS'!J27,'20.10 MASAKA-SEMBABULE'!J27,'21.10 MASAKA SEMBABULE'!J27,'22.10 MASAKA-SEMBABULE'!J27,'23.10 MASAKA-SEMBABULE'!J27)</f>
        <v>0.5714285714285714</v>
      </c>
      <c r="K27" s="49">
        <f>AVERAGE('17.10 MASAKA SEMBABULE'!K27,'18.10 MASAKA-SEMBABULA-24HRS'!K27,'19.10 MASAKA-SEMBABULE-24HRS'!K27,'20.10 MASAKA-SEMBABULE'!K27,'21.10 MASAKA SEMBABULE'!K27,'22.10 MASAKA-SEMBABULE'!K27,'23.10 MASAKA-SEMBABULE'!K27)</f>
        <v>1</v>
      </c>
      <c r="L27" s="49">
        <f>AVERAGE('17.10 MASAKA SEMBABULE'!L27,'18.10 MASAKA-SEMBABULA-24HRS'!L27,'19.10 MASAKA-SEMBABULE-24HRS'!L27,'20.10 MASAKA-SEMBABULE'!L27,'21.10 MASAKA SEMBABULE'!L27,'22.10 MASAKA-SEMBABULE'!L27,'23.10 MASAKA-SEMBABULE'!L27)</f>
        <v>0</v>
      </c>
      <c r="M27" s="49">
        <f>AVERAGE('17.10 MASAKA SEMBABULE'!M27,'18.10 MASAKA-SEMBABULA-24HRS'!M27,'19.10 MASAKA-SEMBABULE-24HRS'!M27,'20.10 MASAKA-SEMBABULE'!M27,'21.10 MASAKA SEMBABULE'!M27,'22.10 MASAKA-SEMBABULE'!M27,'23.10 MASAKA-SEMBABULE'!M27)</f>
        <v>7</v>
      </c>
      <c r="N27" s="49">
        <f>AVERAGE('17.10 MASAKA SEMBABULE'!N27,'18.10 MASAKA-SEMBABULA-24HRS'!N27,'19.10 MASAKA-SEMBABULE-24HRS'!N27,'20.10 MASAKA-SEMBABULE'!N27,'21.10 MASAKA SEMBABULE'!N27,'22.10 MASAKA-SEMBABULE'!N27,'23.10 MASAKA-SEMBABULE'!N27)</f>
        <v>0</v>
      </c>
      <c r="O27" s="15">
        <f t="shared" si="0"/>
        <v>4.2857142857142856</v>
      </c>
      <c r="P27" s="15">
        <f t="shared" si="1"/>
        <v>11.285714285714285</v>
      </c>
      <c r="R27" s="1" t="s">
        <v>151</v>
      </c>
      <c r="S27" s="34">
        <f>SUM(C78:C81)</f>
        <v>3.5</v>
      </c>
      <c r="T27" s="34">
        <f t="shared" ref="T27:AF27" si="19">SUM(D78:D81)</f>
        <v>1</v>
      </c>
      <c r="U27" s="34">
        <f t="shared" si="19"/>
        <v>0.5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3.5</v>
      </c>
      <c r="AA27" s="34">
        <f t="shared" si="19"/>
        <v>0</v>
      </c>
      <c r="AB27" s="34">
        <f t="shared" si="19"/>
        <v>0</v>
      </c>
      <c r="AC27" s="34">
        <f t="shared" si="19"/>
        <v>3.5</v>
      </c>
      <c r="AD27" s="34">
        <f t="shared" si="19"/>
        <v>0</v>
      </c>
      <c r="AE27" s="31">
        <f t="shared" si="19"/>
        <v>10.5</v>
      </c>
      <c r="AF27" s="31">
        <f t="shared" si="19"/>
        <v>14</v>
      </c>
    </row>
    <row r="28" spans="2:32" ht="23.1" customHeight="1" x14ac:dyDescent="0.25">
      <c r="B28" s="23" t="s">
        <v>55</v>
      </c>
      <c r="C28" s="49">
        <f>AVERAGE('17.10 MASAKA SEMBABULE'!C28,'18.10 MASAKA-SEMBABULA-24HRS'!C28,'19.10 MASAKA-SEMBABULE-24HRS'!C28,'20.10 MASAKA-SEMBABULE'!C28,'21.10 MASAKA SEMBABULE'!C28,'22.10 MASAKA-SEMBABULE'!C28,'23.10 MASAKA-SEMBABULE'!C28)</f>
        <v>2.8571428571428572</v>
      </c>
      <c r="D28" s="49">
        <f>AVERAGE('17.10 MASAKA SEMBABULE'!D28,'18.10 MASAKA-SEMBABULA-24HRS'!D28,'19.10 MASAKA-SEMBABULE-24HRS'!D28,'20.10 MASAKA-SEMBABULE'!D28,'21.10 MASAKA SEMBABULE'!D28,'22.10 MASAKA-SEMBABULE'!D28,'23.10 MASAKA-SEMBABULE'!D28)</f>
        <v>0.2857142857142857</v>
      </c>
      <c r="E28" s="49">
        <f>AVERAGE('17.10 MASAKA SEMBABULE'!E28,'18.10 MASAKA-SEMBABULA-24HRS'!E28,'19.10 MASAKA-SEMBABULE-24HRS'!E28,'20.10 MASAKA-SEMBABULE'!E28,'21.10 MASAKA SEMBABULE'!E28,'22.10 MASAKA-SEMBABULE'!E28,'23.10 MASAKA-SEMBABULE'!E28)</f>
        <v>1.1428571428571428</v>
      </c>
      <c r="F28" s="49">
        <f>AVERAGE('17.10 MASAKA SEMBABULE'!F28,'18.10 MASAKA-SEMBABULA-24HRS'!F28,'19.10 MASAKA-SEMBABULE-24HRS'!F28,'20.10 MASAKA-SEMBABULE'!F28,'21.10 MASAKA SEMBABULE'!F28,'22.10 MASAKA-SEMBABULE'!F28,'23.10 MASAKA-SEMBABULE'!F28)</f>
        <v>0.14285714285714285</v>
      </c>
      <c r="G28" s="49">
        <f>AVERAGE('17.10 MASAKA SEMBABULE'!G28,'18.10 MASAKA-SEMBABULA-24HRS'!G28,'19.10 MASAKA-SEMBABULE-24HRS'!G28,'20.10 MASAKA-SEMBABULE'!G28,'21.10 MASAKA SEMBABULE'!G28,'22.10 MASAKA-SEMBABULE'!G28,'23.10 MASAKA-SEMBABULE'!G28)</f>
        <v>0</v>
      </c>
      <c r="H28" s="49">
        <f>AVERAGE('17.10 MASAKA SEMBABULE'!H28,'18.10 MASAKA-SEMBABULA-24HRS'!H28,'19.10 MASAKA-SEMBABULE-24HRS'!H28,'20.10 MASAKA-SEMBABULE'!H28,'21.10 MASAKA SEMBABULE'!H28,'22.10 MASAKA-SEMBABULE'!H28,'23.10 MASAKA-SEMBABULE'!H28)</f>
        <v>0</v>
      </c>
      <c r="I28" s="49">
        <f>AVERAGE('17.10 MASAKA SEMBABULE'!I28,'18.10 MASAKA-SEMBABULA-24HRS'!I28,'19.10 MASAKA-SEMBABULE-24HRS'!I28,'20.10 MASAKA-SEMBABULE'!I28,'21.10 MASAKA SEMBABULE'!I28,'22.10 MASAKA-SEMBABULE'!I28,'23.10 MASAKA-SEMBABULE'!I28)</f>
        <v>2.2857142857142856</v>
      </c>
      <c r="J28" s="49">
        <f>AVERAGE('17.10 MASAKA SEMBABULE'!J28,'18.10 MASAKA-SEMBABULA-24HRS'!J28,'19.10 MASAKA-SEMBABULE-24HRS'!J28,'20.10 MASAKA-SEMBABULE'!J28,'21.10 MASAKA SEMBABULE'!J28,'22.10 MASAKA-SEMBABULE'!J28,'23.10 MASAKA-SEMBABULE'!J28)</f>
        <v>0.14285714285714285</v>
      </c>
      <c r="K28" s="49">
        <f>AVERAGE('17.10 MASAKA SEMBABULE'!K28,'18.10 MASAKA-SEMBABULA-24HRS'!K28,'19.10 MASAKA-SEMBABULE-24HRS'!K28,'20.10 MASAKA-SEMBABULE'!K28,'21.10 MASAKA SEMBABULE'!K28,'22.10 MASAKA-SEMBABULE'!K28,'23.10 MASAKA-SEMBABULE'!K28)</f>
        <v>0.14285714285714285</v>
      </c>
      <c r="L28" s="49">
        <f>AVERAGE('17.10 MASAKA SEMBABULE'!L28,'18.10 MASAKA-SEMBABULA-24HRS'!L28,'19.10 MASAKA-SEMBABULE-24HRS'!L28,'20.10 MASAKA-SEMBABULE'!L28,'21.10 MASAKA SEMBABULE'!L28,'22.10 MASAKA-SEMBABULE'!L28,'23.10 MASAKA-SEMBABULE'!L28)</f>
        <v>0</v>
      </c>
      <c r="M28" s="49">
        <f>AVERAGE('17.10 MASAKA SEMBABULE'!M28,'18.10 MASAKA-SEMBABULA-24HRS'!M28,'19.10 MASAKA-SEMBABULE-24HRS'!M28,'20.10 MASAKA-SEMBABULE'!M28,'21.10 MASAKA SEMBABULE'!M28,'22.10 MASAKA-SEMBABULE'!M28,'23.10 MASAKA-SEMBABULE'!M28)</f>
        <v>7.5714285714285712</v>
      </c>
      <c r="N28" s="49">
        <f>AVERAGE('17.10 MASAKA SEMBABULE'!N28,'18.10 MASAKA-SEMBABULA-24HRS'!N28,'19.10 MASAKA-SEMBABULE-24HRS'!N28,'20.10 MASAKA-SEMBABULE'!N28,'21.10 MASAKA SEMBABULE'!N28,'22.10 MASAKA-SEMBABULE'!N28,'23.10 MASAKA-SEMBABULE'!N28)</f>
        <v>0</v>
      </c>
      <c r="O28" s="15">
        <f t="shared" si="0"/>
        <v>7.0000000000000009</v>
      </c>
      <c r="P28" s="15">
        <f t="shared" si="1"/>
        <v>14.571428571428573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0.5</v>
      </c>
      <c r="X28" s="34">
        <f t="shared" si="20"/>
        <v>0</v>
      </c>
      <c r="Y28" s="34">
        <f t="shared" si="20"/>
        <v>1.5</v>
      </c>
      <c r="Z28" s="34">
        <f t="shared" si="20"/>
        <v>2.5</v>
      </c>
      <c r="AA28" s="34">
        <f t="shared" si="20"/>
        <v>0.5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5.5</v>
      </c>
      <c r="AF28" s="31">
        <f t="shared" si="20"/>
        <v>7.5</v>
      </c>
    </row>
    <row r="29" spans="2:32" ht="23.1" customHeight="1" x14ac:dyDescent="0.25">
      <c r="B29" s="23" t="s">
        <v>56</v>
      </c>
      <c r="C29" s="49">
        <f>AVERAGE('17.10 MASAKA SEMBABULE'!C29,'18.10 MASAKA-SEMBABULA-24HRS'!C29,'19.10 MASAKA-SEMBABULE-24HRS'!C29,'20.10 MASAKA-SEMBABULE'!C29,'21.10 MASAKA SEMBABULE'!C29,'22.10 MASAKA-SEMBABULE'!C29,'23.10 MASAKA-SEMBABULE'!C29)</f>
        <v>1.5714285714285714</v>
      </c>
      <c r="D29" s="49">
        <f>AVERAGE('17.10 MASAKA SEMBABULE'!D29,'18.10 MASAKA-SEMBABULA-24HRS'!D29,'19.10 MASAKA-SEMBABULE-24HRS'!D29,'20.10 MASAKA-SEMBABULE'!D29,'21.10 MASAKA SEMBABULE'!D29,'22.10 MASAKA-SEMBABULE'!D29,'23.10 MASAKA-SEMBABULE'!D29)</f>
        <v>0.42857142857142855</v>
      </c>
      <c r="E29" s="49">
        <f>AVERAGE('17.10 MASAKA SEMBABULE'!E29,'18.10 MASAKA-SEMBABULA-24HRS'!E29,'19.10 MASAKA-SEMBABULE-24HRS'!E29,'20.10 MASAKA-SEMBABULE'!E29,'21.10 MASAKA SEMBABULE'!E29,'22.10 MASAKA-SEMBABULE'!E29,'23.10 MASAKA-SEMBABULE'!E29)</f>
        <v>0.42857142857142855</v>
      </c>
      <c r="F29" s="49">
        <f>AVERAGE('17.10 MASAKA SEMBABULE'!F29,'18.10 MASAKA-SEMBABULA-24HRS'!F29,'19.10 MASAKA-SEMBABULE-24HRS'!F29,'20.10 MASAKA-SEMBABULE'!F29,'21.10 MASAKA SEMBABULE'!F29,'22.10 MASAKA-SEMBABULE'!F29,'23.10 MASAKA-SEMBABULE'!F29)</f>
        <v>0.14285714285714285</v>
      </c>
      <c r="G29" s="49">
        <f>AVERAGE('17.10 MASAKA SEMBABULE'!G29,'18.10 MASAKA-SEMBABULA-24HRS'!G29,'19.10 MASAKA-SEMBABULE-24HRS'!G29,'20.10 MASAKA-SEMBABULE'!G29,'21.10 MASAKA SEMBABULE'!G29,'22.10 MASAKA-SEMBABULE'!G29,'23.10 MASAKA-SEMBABULE'!G29)</f>
        <v>0</v>
      </c>
      <c r="H29" s="49">
        <f>AVERAGE('17.10 MASAKA SEMBABULE'!H29,'18.10 MASAKA-SEMBABULA-24HRS'!H29,'19.10 MASAKA-SEMBABULE-24HRS'!H29,'20.10 MASAKA-SEMBABULE'!H29,'21.10 MASAKA SEMBABULE'!H29,'22.10 MASAKA-SEMBABULE'!H29,'23.10 MASAKA-SEMBABULE'!H29)</f>
        <v>0</v>
      </c>
      <c r="I29" s="49">
        <f>AVERAGE('17.10 MASAKA SEMBABULE'!I29,'18.10 MASAKA-SEMBABULA-24HRS'!I29,'19.10 MASAKA-SEMBABULE-24HRS'!I29,'20.10 MASAKA-SEMBABULE'!I29,'21.10 MASAKA SEMBABULE'!I29,'22.10 MASAKA-SEMBABULE'!I29,'23.10 MASAKA-SEMBABULE'!I29)</f>
        <v>0.7142857142857143</v>
      </c>
      <c r="J29" s="49">
        <f>AVERAGE('17.10 MASAKA SEMBABULE'!J29,'18.10 MASAKA-SEMBABULA-24HRS'!J29,'19.10 MASAKA-SEMBABULE-24HRS'!J29,'20.10 MASAKA-SEMBABULE'!J29,'21.10 MASAKA SEMBABULE'!J29,'22.10 MASAKA-SEMBABULE'!J29,'23.10 MASAKA-SEMBABULE'!J29)</f>
        <v>0.5714285714285714</v>
      </c>
      <c r="K29" s="49">
        <f>AVERAGE('17.10 MASAKA SEMBABULE'!K29,'18.10 MASAKA-SEMBABULA-24HRS'!K29,'19.10 MASAKA-SEMBABULE-24HRS'!K29,'20.10 MASAKA-SEMBABULE'!K29,'21.10 MASAKA SEMBABULE'!K29,'22.10 MASAKA-SEMBABULE'!K29,'23.10 MASAKA-SEMBABULE'!K29)</f>
        <v>0.14285714285714285</v>
      </c>
      <c r="L29" s="49">
        <f>AVERAGE('17.10 MASAKA SEMBABULE'!L29,'18.10 MASAKA-SEMBABULA-24HRS'!L29,'19.10 MASAKA-SEMBABULE-24HRS'!L29,'20.10 MASAKA-SEMBABULE'!L29,'21.10 MASAKA SEMBABULE'!L29,'22.10 MASAKA-SEMBABULE'!L29,'23.10 MASAKA-SEMBABULE'!L29)</f>
        <v>0</v>
      </c>
      <c r="M29" s="49">
        <f>AVERAGE('17.10 MASAKA SEMBABULE'!M29,'18.10 MASAKA-SEMBABULA-24HRS'!M29,'19.10 MASAKA-SEMBABULE-24HRS'!M29,'20.10 MASAKA-SEMBABULE'!M29,'21.10 MASAKA SEMBABULE'!M29,'22.10 MASAKA-SEMBABULE'!M29,'23.10 MASAKA-SEMBABULE'!M29)</f>
        <v>7.4285714285714288</v>
      </c>
      <c r="N29" s="49">
        <f>AVERAGE('17.10 MASAKA SEMBABULE'!N29,'18.10 MASAKA-SEMBABULA-24HRS'!N29,'19.10 MASAKA-SEMBABULE-24HRS'!N29,'20.10 MASAKA-SEMBABULE'!N29,'21.10 MASAKA SEMBABULE'!N29,'22.10 MASAKA-SEMBABULE'!N29,'23.10 MASAKA-SEMBABULE'!N29)</f>
        <v>0</v>
      </c>
      <c r="O29" s="15">
        <f t="shared" si="0"/>
        <v>3.9999999999999996</v>
      </c>
      <c r="P29" s="15">
        <f t="shared" si="1"/>
        <v>11.428571428571429</v>
      </c>
      <c r="R29" s="1" t="s">
        <v>153</v>
      </c>
      <c r="S29" s="34">
        <f>SUM(C86:C89)</f>
        <v>1.5</v>
      </c>
      <c r="T29" s="34">
        <f t="shared" ref="T29:AF29" si="21">SUM(D86:D89)</f>
        <v>0.5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1.5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6</v>
      </c>
      <c r="AF29" s="31">
        <f t="shared" si="21"/>
        <v>6</v>
      </c>
    </row>
    <row r="30" spans="2:32" ht="23.1" customHeight="1" x14ac:dyDescent="0.25">
      <c r="B30" s="23" t="s">
        <v>57</v>
      </c>
      <c r="C30" s="49">
        <f>AVERAGE('17.10 MASAKA SEMBABULE'!C30,'18.10 MASAKA-SEMBABULA-24HRS'!C30,'19.10 MASAKA-SEMBABULE-24HRS'!C30,'20.10 MASAKA-SEMBABULE'!C30,'21.10 MASAKA SEMBABULE'!C30,'22.10 MASAKA-SEMBABULE'!C30,'23.10 MASAKA-SEMBABULE'!C30)</f>
        <v>2.2857142857142856</v>
      </c>
      <c r="D30" s="49">
        <f>AVERAGE('17.10 MASAKA SEMBABULE'!D30,'18.10 MASAKA-SEMBABULA-24HRS'!D30,'19.10 MASAKA-SEMBABULE-24HRS'!D30,'20.10 MASAKA-SEMBABULE'!D30,'21.10 MASAKA SEMBABULE'!D30,'22.10 MASAKA-SEMBABULE'!D30,'23.10 MASAKA-SEMBABULE'!D30)</f>
        <v>0.14285714285714285</v>
      </c>
      <c r="E30" s="49">
        <f>AVERAGE('17.10 MASAKA SEMBABULE'!E30,'18.10 MASAKA-SEMBABULA-24HRS'!E30,'19.10 MASAKA-SEMBABULE-24HRS'!E30,'20.10 MASAKA-SEMBABULE'!E30,'21.10 MASAKA SEMBABULE'!E30,'22.10 MASAKA-SEMBABULE'!E30,'23.10 MASAKA-SEMBABULE'!E30)</f>
        <v>0.8571428571428571</v>
      </c>
      <c r="F30" s="49">
        <f>AVERAGE('17.10 MASAKA SEMBABULE'!F30,'18.10 MASAKA-SEMBABULA-24HRS'!F30,'19.10 MASAKA-SEMBABULE-24HRS'!F30,'20.10 MASAKA-SEMBABULE'!F30,'21.10 MASAKA SEMBABULE'!F30,'22.10 MASAKA-SEMBABULE'!F30,'23.10 MASAKA-SEMBABULE'!F30)</f>
        <v>0</v>
      </c>
      <c r="G30" s="49">
        <f>AVERAGE('17.10 MASAKA SEMBABULE'!G30,'18.10 MASAKA-SEMBABULA-24HRS'!G30,'19.10 MASAKA-SEMBABULE-24HRS'!G30,'20.10 MASAKA-SEMBABULE'!G30,'21.10 MASAKA SEMBABULE'!G30,'22.10 MASAKA-SEMBABULE'!G30,'23.10 MASAKA-SEMBABULE'!G30)</f>
        <v>0</v>
      </c>
      <c r="H30" s="49">
        <f>AVERAGE('17.10 MASAKA SEMBABULE'!H30,'18.10 MASAKA-SEMBABULA-24HRS'!H30,'19.10 MASAKA-SEMBABULE-24HRS'!H30,'20.10 MASAKA-SEMBABULE'!H30,'21.10 MASAKA SEMBABULE'!H30,'22.10 MASAKA-SEMBABULE'!H30,'23.10 MASAKA-SEMBABULE'!H30)</f>
        <v>0</v>
      </c>
      <c r="I30" s="49">
        <f>AVERAGE('17.10 MASAKA SEMBABULE'!I30,'18.10 MASAKA-SEMBABULA-24HRS'!I30,'19.10 MASAKA-SEMBABULE-24HRS'!I30,'20.10 MASAKA-SEMBABULE'!I30,'21.10 MASAKA SEMBABULE'!I30,'22.10 MASAKA-SEMBABULE'!I30,'23.10 MASAKA-SEMBABULE'!I30)</f>
        <v>1.4285714285714286</v>
      </c>
      <c r="J30" s="49">
        <f>AVERAGE('17.10 MASAKA SEMBABULE'!J30,'18.10 MASAKA-SEMBABULA-24HRS'!J30,'19.10 MASAKA-SEMBABULE-24HRS'!J30,'20.10 MASAKA-SEMBABULE'!J30,'21.10 MASAKA SEMBABULE'!J30,'22.10 MASAKA-SEMBABULE'!J30,'23.10 MASAKA-SEMBABULE'!J30)</f>
        <v>0.5714285714285714</v>
      </c>
      <c r="K30" s="49">
        <f>AVERAGE('17.10 MASAKA SEMBABULE'!K30,'18.10 MASAKA-SEMBABULA-24HRS'!K30,'19.10 MASAKA-SEMBABULE-24HRS'!K30,'20.10 MASAKA-SEMBABULE'!K30,'21.10 MASAKA SEMBABULE'!K30,'22.10 MASAKA-SEMBABULE'!K30,'23.10 MASAKA-SEMBABULE'!K30)</f>
        <v>0.5714285714285714</v>
      </c>
      <c r="L30" s="49">
        <f>AVERAGE('17.10 MASAKA SEMBABULE'!L30,'18.10 MASAKA-SEMBABULA-24HRS'!L30,'19.10 MASAKA-SEMBABULE-24HRS'!L30,'20.10 MASAKA-SEMBABULE'!L30,'21.10 MASAKA SEMBABULE'!L30,'22.10 MASAKA-SEMBABULE'!L30,'23.10 MASAKA-SEMBABULE'!L30)</f>
        <v>0</v>
      </c>
      <c r="M30" s="49">
        <f>AVERAGE('17.10 MASAKA SEMBABULE'!M30,'18.10 MASAKA-SEMBABULA-24HRS'!M30,'19.10 MASAKA-SEMBABULE-24HRS'!M30,'20.10 MASAKA-SEMBABULE'!M30,'21.10 MASAKA SEMBABULE'!M30,'22.10 MASAKA-SEMBABULE'!M30,'23.10 MASAKA-SEMBABULE'!M30)</f>
        <v>7.4285714285714288</v>
      </c>
      <c r="N30" s="49">
        <f>AVERAGE('17.10 MASAKA SEMBABULE'!N30,'18.10 MASAKA-SEMBABULA-24HRS'!N30,'19.10 MASAKA-SEMBABULE-24HRS'!N30,'20.10 MASAKA-SEMBABULE'!N30,'21.10 MASAKA SEMBABULE'!N30,'22.10 MASAKA-SEMBABULE'!N30,'23.10 MASAKA-SEMBABULE'!N30)</f>
        <v>0</v>
      </c>
      <c r="O30" s="15">
        <f t="shared" si="0"/>
        <v>5.8571428571428568</v>
      </c>
      <c r="P30" s="15">
        <f t="shared" si="1"/>
        <v>13.285714285714285</v>
      </c>
      <c r="R30" s="1" t="s">
        <v>154</v>
      </c>
      <c r="S30" s="34">
        <f>SUM(C90:C93)</f>
        <v>1.5</v>
      </c>
      <c r="T30" s="34">
        <f t="shared" ref="T30:AF30" si="22">SUM(D90:D93)</f>
        <v>0.5</v>
      </c>
      <c r="U30" s="34">
        <f t="shared" si="22"/>
        <v>0.5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3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5.5</v>
      </c>
      <c r="AF30" s="31">
        <f t="shared" si="22"/>
        <v>6.5</v>
      </c>
    </row>
    <row r="31" spans="2:32" ht="23.1" customHeight="1" x14ac:dyDescent="0.25">
      <c r="B31" s="24" t="s">
        <v>58</v>
      </c>
      <c r="C31" s="49">
        <f>AVERAGE('17.10 MASAKA SEMBABULE'!C31,'18.10 MASAKA-SEMBABULA-24HRS'!C31,'19.10 MASAKA-SEMBABULE-24HRS'!C31,'20.10 MASAKA-SEMBABULE'!C31,'21.10 MASAKA SEMBABULE'!C31,'22.10 MASAKA-SEMBABULE'!C31,'23.10 MASAKA-SEMBABULE'!C31)</f>
        <v>3.4285714285714284</v>
      </c>
      <c r="D31" s="49">
        <f>AVERAGE('17.10 MASAKA SEMBABULE'!D31,'18.10 MASAKA-SEMBABULA-24HRS'!D31,'19.10 MASAKA-SEMBABULE-24HRS'!D31,'20.10 MASAKA-SEMBABULE'!D31,'21.10 MASAKA SEMBABULE'!D31,'22.10 MASAKA-SEMBABULE'!D31,'23.10 MASAKA-SEMBABULE'!D31)</f>
        <v>0.2857142857142857</v>
      </c>
      <c r="E31" s="49">
        <f>AVERAGE('17.10 MASAKA SEMBABULE'!E31,'18.10 MASAKA-SEMBABULA-24HRS'!E31,'19.10 MASAKA-SEMBABULE-24HRS'!E31,'20.10 MASAKA-SEMBABULE'!E31,'21.10 MASAKA SEMBABULE'!E31,'22.10 MASAKA-SEMBABULE'!E31,'23.10 MASAKA-SEMBABULE'!E31)</f>
        <v>1.7142857142857142</v>
      </c>
      <c r="F31" s="49">
        <f>AVERAGE('17.10 MASAKA SEMBABULE'!F31,'18.10 MASAKA-SEMBABULA-24HRS'!F31,'19.10 MASAKA-SEMBABULE-24HRS'!F31,'20.10 MASAKA-SEMBABULE'!F31,'21.10 MASAKA SEMBABULE'!F31,'22.10 MASAKA-SEMBABULE'!F31,'23.10 MASAKA-SEMBABULE'!F31)</f>
        <v>0.2857142857142857</v>
      </c>
      <c r="G31" s="49">
        <f>AVERAGE('17.10 MASAKA SEMBABULE'!G31,'18.10 MASAKA-SEMBABULA-24HRS'!G31,'19.10 MASAKA-SEMBABULE-24HRS'!G31,'20.10 MASAKA-SEMBABULE'!G31,'21.10 MASAKA SEMBABULE'!G31,'22.10 MASAKA-SEMBABULE'!G31,'23.10 MASAKA-SEMBABULE'!G31)</f>
        <v>0</v>
      </c>
      <c r="H31" s="49">
        <f>AVERAGE('17.10 MASAKA SEMBABULE'!H31,'18.10 MASAKA-SEMBABULA-24HRS'!H31,'19.10 MASAKA-SEMBABULE-24HRS'!H31,'20.10 MASAKA-SEMBABULE'!H31,'21.10 MASAKA SEMBABULE'!H31,'22.10 MASAKA-SEMBABULE'!H31,'23.10 MASAKA-SEMBABULE'!H31)</f>
        <v>0</v>
      </c>
      <c r="I31" s="49">
        <f>AVERAGE('17.10 MASAKA SEMBABULE'!I31,'18.10 MASAKA-SEMBABULA-24HRS'!I31,'19.10 MASAKA-SEMBABULE-24HRS'!I31,'20.10 MASAKA-SEMBABULE'!I31,'21.10 MASAKA SEMBABULE'!I31,'22.10 MASAKA-SEMBABULE'!I31,'23.10 MASAKA-SEMBABULE'!I31)</f>
        <v>1.4285714285714286</v>
      </c>
      <c r="J31" s="49">
        <f>AVERAGE('17.10 MASAKA SEMBABULE'!J31,'18.10 MASAKA-SEMBABULA-24HRS'!J31,'19.10 MASAKA-SEMBABULE-24HRS'!J31,'20.10 MASAKA-SEMBABULE'!J31,'21.10 MASAKA SEMBABULE'!J31,'22.10 MASAKA-SEMBABULE'!J31,'23.10 MASAKA-SEMBABULE'!J31)</f>
        <v>0.2857142857142857</v>
      </c>
      <c r="K31" s="49">
        <f>AVERAGE('17.10 MASAKA SEMBABULE'!K31,'18.10 MASAKA-SEMBABULA-24HRS'!K31,'19.10 MASAKA-SEMBABULE-24HRS'!K31,'20.10 MASAKA-SEMBABULE'!K31,'21.10 MASAKA SEMBABULE'!K31,'22.10 MASAKA-SEMBABULE'!K31,'23.10 MASAKA-SEMBABULE'!K31)</f>
        <v>0.7142857142857143</v>
      </c>
      <c r="L31" s="49">
        <f>AVERAGE('17.10 MASAKA SEMBABULE'!L31,'18.10 MASAKA-SEMBABULA-24HRS'!L31,'19.10 MASAKA-SEMBABULE-24HRS'!L31,'20.10 MASAKA-SEMBABULE'!L31,'21.10 MASAKA SEMBABULE'!L31,'22.10 MASAKA-SEMBABULE'!L31,'23.10 MASAKA-SEMBABULE'!L31)</f>
        <v>0</v>
      </c>
      <c r="M31" s="49">
        <f>AVERAGE('17.10 MASAKA SEMBABULE'!M31,'18.10 MASAKA-SEMBABULA-24HRS'!M31,'19.10 MASAKA-SEMBABULE-24HRS'!M31,'20.10 MASAKA-SEMBABULE'!M31,'21.10 MASAKA SEMBABULE'!M31,'22.10 MASAKA-SEMBABULE'!M31,'23.10 MASAKA-SEMBABULE'!M31)</f>
        <v>6.5714285714285712</v>
      </c>
      <c r="N31" s="49">
        <f>AVERAGE('17.10 MASAKA SEMBABULE'!N31,'18.10 MASAKA-SEMBABULA-24HRS'!N31,'19.10 MASAKA-SEMBABULE-24HRS'!N31,'20.10 MASAKA-SEMBABULE'!N31,'21.10 MASAKA SEMBABULE'!N31,'22.10 MASAKA-SEMBABULE'!N31,'23.10 MASAKA-SEMBABULE'!N31)</f>
        <v>0</v>
      </c>
      <c r="O31" s="15">
        <f t="shared" si="0"/>
        <v>8.1428571428571423</v>
      </c>
      <c r="P31" s="15">
        <f t="shared" si="1"/>
        <v>14.714285714285714</v>
      </c>
      <c r="R31" s="1" t="s">
        <v>155</v>
      </c>
      <c r="S31" s="34">
        <f>SUM(C94:C97)</f>
        <v>5.5</v>
      </c>
      <c r="T31" s="34">
        <f t="shared" ref="T31:AF31" si="23">SUM(D94:D97)</f>
        <v>1.5</v>
      </c>
      <c r="U31" s="34">
        <f t="shared" si="23"/>
        <v>0.5</v>
      </c>
      <c r="V31" s="34">
        <f t="shared" si="23"/>
        <v>2.5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2</v>
      </c>
      <c r="AA31" s="34">
        <f t="shared" si="23"/>
        <v>0.5</v>
      </c>
      <c r="AB31" s="34">
        <f t="shared" si="23"/>
        <v>0</v>
      </c>
      <c r="AC31" s="34">
        <f t="shared" si="23"/>
        <v>8.5</v>
      </c>
      <c r="AD31" s="34">
        <f t="shared" si="23"/>
        <v>0</v>
      </c>
      <c r="AE31" s="31">
        <f t="shared" si="23"/>
        <v>14.5</v>
      </c>
      <c r="AF31" s="31">
        <f t="shared" si="23"/>
        <v>23</v>
      </c>
    </row>
    <row r="32" spans="2:32" ht="23.1" customHeight="1" x14ac:dyDescent="0.25">
      <c r="B32" s="24" t="s">
        <v>59</v>
      </c>
      <c r="C32" s="49">
        <f>AVERAGE('17.10 MASAKA SEMBABULE'!C32,'18.10 MASAKA-SEMBABULA-24HRS'!C32,'19.10 MASAKA-SEMBABULE-24HRS'!C32,'20.10 MASAKA-SEMBABULE'!C32,'21.10 MASAKA SEMBABULE'!C32,'22.10 MASAKA-SEMBABULE'!C32,'23.10 MASAKA-SEMBABULE'!C32)</f>
        <v>3</v>
      </c>
      <c r="D32" s="49">
        <f>AVERAGE('17.10 MASAKA SEMBABULE'!D32,'18.10 MASAKA-SEMBABULA-24HRS'!D32,'19.10 MASAKA-SEMBABULE-24HRS'!D32,'20.10 MASAKA-SEMBABULE'!D32,'21.10 MASAKA SEMBABULE'!D32,'22.10 MASAKA-SEMBABULE'!D32,'23.10 MASAKA-SEMBABULE'!D32)</f>
        <v>0.2857142857142857</v>
      </c>
      <c r="E32" s="49">
        <f>AVERAGE('17.10 MASAKA SEMBABULE'!E32,'18.10 MASAKA-SEMBABULA-24HRS'!E32,'19.10 MASAKA-SEMBABULE-24HRS'!E32,'20.10 MASAKA-SEMBABULE'!E32,'21.10 MASAKA SEMBABULE'!E32,'22.10 MASAKA-SEMBABULE'!E32,'23.10 MASAKA-SEMBABULE'!E32)</f>
        <v>1.2857142857142858</v>
      </c>
      <c r="F32" s="49">
        <f>AVERAGE('17.10 MASAKA SEMBABULE'!F32,'18.10 MASAKA-SEMBABULA-24HRS'!F32,'19.10 MASAKA-SEMBABULE-24HRS'!F32,'20.10 MASAKA-SEMBABULE'!F32,'21.10 MASAKA SEMBABULE'!F32,'22.10 MASAKA-SEMBABULE'!F32,'23.10 MASAKA-SEMBABULE'!F32)</f>
        <v>0.14285714285714285</v>
      </c>
      <c r="G32" s="49">
        <f>AVERAGE('17.10 MASAKA SEMBABULE'!G32,'18.10 MASAKA-SEMBABULA-24HRS'!G32,'19.10 MASAKA-SEMBABULE-24HRS'!G32,'20.10 MASAKA-SEMBABULE'!G32,'21.10 MASAKA SEMBABULE'!G32,'22.10 MASAKA-SEMBABULE'!G32,'23.10 MASAKA-SEMBABULE'!G32)</f>
        <v>0</v>
      </c>
      <c r="H32" s="49">
        <f>AVERAGE('17.10 MASAKA SEMBABULE'!H32,'18.10 MASAKA-SEMBABULA-24HRS'!H32,'19.10 MASAKA-SEMBABULE-24HRS'!H32,'20.10 MASAKA-SEMBABULE'!H32,'21.10 MASAKA SEMBABULE'!H32,'22.10 MASAKA-SEMBABULE'!H32,'23.10 MASAKA-SEMBABULE'!H32)</f>
        <v>0</v>
      </c>
      <c r="I32" s="49">
        <f>AVERAGE('17.10 MASAKA SEMBABULE'!I32,'18.10 MASAKA-SEMBABULA-24HRS'!I32,'19.10 MASAKA-SEMBABULE-24HRS'!I32,'20.10 MASAKA-SEMBABULE'!I32,'21.10 MASAKA SEMBABULE'!I32,'22.10 MASAKA-SEMBABULE'!I32,'23.10 MASAKA-SEMBABULE'!I32)</f>
        <v>0.7142857142857143</v>
      </c>
      <c r="J32" s="49">
        <f>AVERAGE('17.10 MASAKA SEMBABULE'!J32,'18.10 MASAKA-SEMBABULA-24HRS'!J32,'19.10 MASAKA-SEMBABULE-24HRS'!J32,'20.10 MASAKA-SEMBABULE'!J32,'21.10 MASAKA SEMBABULE'!J32,'22.10 MASAKA-SEMBABULE'!J32,'23.10 MASAKA-SEMBABULE'!J32)</f>
        <v>0.8571428571428571</v>
      </c>
      <c r="K32" s="49">
        <f>AVERAGE('17.10 MASAKA SEMBABULE'!K32,'18.10 MASAKA-SEMBABULA-24HRS'!K32,'19.10 MASAKA-SEMBABULE-24HRS'!K32,'20.10 MASAKA-SEMBABULE'!K32,'21.10 MASAKA SEMBABULE'!K32,'22.10 MASAKA-SEMBABULE'!K32,'23.10 MASAKA-SEMBABULE'!K32)</f>
        <v>0.7142857142857143</v>
      </c>
      <c r="L32" s="49">
        <f>AVERAGE('17.10 MASAKA SEMBABULE'!L32,'18.10 MASAKA-SEMBABULA-24HRS'!L32,'19.10 MASAKA-SEMBABULE-24HRS'!L32,'20.10 MASAKA-SEMBABULE'!L32,'21.10 MASAKA SEMBABULE'!L32,'22.10 MASAKA-SEMBABULE'!L32,'23.10 MASAKA-SEMBABULE'!L32)</f>
        <v>0</v>
      </c>
      <c r="M32" s="49">
        <f>AVERAGE('17.10 MASAKA SEMBABULE'!M32,'18.10 MASAKA-SEMBABULA-24HRS'!M32,'19.10 MASAKA-SEMBABULE-24HRS'!M32,'20.10 MASAKA-SEMBABULE'!M32,'21.10 MASAKA SEMBABULE'!M32,'22.10 MASAKA-SEMBABULE'!M32,'23.10 MASAKA-SEMBABULE'!M32)</f>
        <v>6.1428571428571432</v>
      </c>
      <c r="N32" s="49">
        <f>AVERAGE('17.10 MASAKA SEMBABULE'!N32,'18.10 MASAKA-SEMBABULA-24HRS'!N32,'19.10 MASAKA-SEMBABULE-24HRS'!N32,'20.10 MASAKA-SEMBABULE'!N32,'21.10 MASAKA SEMBABULE'!N32,'22.10 MASAKA-SEMBABULE'!N32,'23.10 MASAKA-SEMBABULE'!N32)</f>
        <v>0</v>
      </c>
      <c r="O32" s="15">
        <f t="shared" si="0"/>
        <v>7</v>
      </c>
      <c r="P32" s="15">
        <f t="shared" si="1"/>
        <v>13.142857142857142</v>
      </c>
      <c r="R32" s="1" t="s">
        <v>156</v>
      </c>
      <c r="S32" s="34">
        <f>SUM(C98:C101)</f>
        <v>2.5</v>
      </c>
      <c r="T32" s="34">
        <f t="shared" ref="T32:AF32" si="24">SUM(D98:D101)</f>
        <v>1</v>
      </c>
      <c r="U32" s="34">
        <f t="shared" si="24"/>
        <v>0.5</v>
      </c>
      <c r="V32" s="34">
        <f t="shared" si="24"/>
        <v>3.5</v>
      </c>
      <c r="W32" s="34">
        <f t="shared" si="24"/>
        <v>0</v>
      </c>
      <c r="X32" s="34">
        <f t="shared" si="24"/>
        <v>0</v>
      </c>
      <c r="Y32" s="34">
        <f t="shared" si="24"/>
        <v>2.5</v>
      </c>
      <c r="Z32" s="34">
        <f t="shared" si="24"/>
        <v>1</v>
      </c>
      <c r="AA32" s="34">
        <f t="shared" si="24"/>
        <v>0.5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11.5</v>
      </c>
      <c r="AF32" s="31">
        <f t="shared" si="24"/>
        <v>18.5</v>
      </c>
    </row>
    <row r="33" spans="2:32" ht="23.1" customHeight="1" x14ac:dyDescent="0.25">
      <c r="B33" s="23" t="s">
        <v>60</v>
      </c>
      <c r="C33" s="49">
        <f>AVERAGE('17.10 MASAKA SEMBABULE'!C33,'18.10 MASAKA-SEMBABULA-24HRS'!C33,'19.10 MASAKA-SEMBABULE-24HRS'!C33,'20.10 MASAKA-SEMBABULE'!C33,'21.10 MASAKA SEMBABULE'!C33,'22.10 MASAKA-SEMBABULE'!C33,'23.10 MASAKA-SEMBABULE'!C33)</f>
        <v>1.8571428571428572</v>
      </c>
      <c r="D33" s="49">
        <f>AVERAGE('17.10 MASAKA SEMBABULE'!D33,'18.10 MASAKA-SEMBABULA-24HRS'!D33,'19.10 MASAKA-SEMBABULE-24HRS'!D33,'20.10 MASAKA-SEMBABULE'!D33,'21.10 MASAKA SEMBABULE'!D33,'22.10 MASAKA-SEMBABULE'!D33,'23.10 MASAKA-SEMBABULE'!D33)</f>
        <v>0.42857142857142855</v>
      </c>
      <c r="E33" s="49">
        <f>AVERAGE('17.10 MASAKA SEMBABULE'!E33,'18.10 MASAKA-SEMBABULA-24HRS'!E33,'19.10 MASAKA-SEMBABULE-24HRS'!E33,'20.10 MASAKA-SEMBABULE'!E33,'21.10 MASAKA SEMBABULE'!E33,'22.10 MASAKA-SEMBABULE'!E33,'23.10 MASAKA-SEMBABULE'!E33)</f>
        <v>0.8571428571428571</v>
      </c>
      <c r="F33" s="49">
        <f>AVERAGE('17.10 MASAKA SEMBABULE'!F33,'18.10 MASAKA-SEMBABULA-24HRS'!F33,'19.10 MASAKA-SEMBABULE-24HRS'!F33,'20.10 MASAKA-SEMBABULE'!F33,'21.10 MASAKA SEMBABULE'!F33,'22.10 MASAKA-SEMBABULE'!F33,'23.10 MASAKA-SEMBABULE'!F33)</f>
        <v>0.2857142857142857</v>
      </c>
      <c r="G33" s="49">
        <f>AVERAGE('17.10 MASAKA SEMBABULE'!G33,'18.10 MASAKA-SEMBABULA-24HRS'!G33,'19.10 MASAKA-SEMBABULE-24HRS'!G33,'20.10 MASAKA-SEMBABULE'!G33,'21.10 MASAKA SEMBABULE'!G33,'22.10 MASAKA-SEMBABULE'!G33,'23.10 MASAKA-SEMBABULE'!G33)</f>
        <v>0</v>
      </c>
      <c r="H33" s="49">
        <f>AVERAGE('17.10 MASAKA SEMBABULE'!H33,'18.10 MASAKA-SEMBABULA-24HRS'!H33,'19.10 MASAKA-SEMBABULE-24HRS'!H33,'20.10 MASAKA-SEMBABULE'!H33,'21.10 MASAKA SEMBABULE'!H33,'22.10 MASAKA-SEMBABULE'!H33,'23.10 MASAKA-SEMBABULE'!H33)</f>
        <v>0</v>
      </c>
      <c r="I33" s="49">
        <f>AVERAGE('17.10 MASAKA SEMBABULE'!I33,'18.10 MASAKA-SEMBABULA-24HRS'!I33,'19.10 MASAKA-SEMBABULE-24HRS'!I33,'20.10 MASAKA-SEMBABULE'!I33,'21.10 MASAKA SEMBABULE'!I33,'22.10 MASAKA-SEMBABULE'!I33,'23.10 MASAKA-SEMBABULE'!I33)</f>
        <v>0.42857142857142855</v>
      </c>
      <c r="J33" s="49">
        <f>AVERAGE('17.10 MASAKA SEMBABULE'!J33,'18.10 MASAKA-SEMBABULA-24HRS'!J33,'19.10 MASAKA-SEMBABULE-24HRS'!J33,'20.10 MASAKA-SEMBABULE'!J33,'21.10 MASAKA SEMBABULE'!J33,'22.10 MASAKA-SEMBABULE'!J33,'23.10 MASAKA-SEMBABULE'!J33)</f>
        <v>0.5714285714285714</v>
      </c>
      <c r="K33" s="49">
        <f>AVERAGE('17.10 MASAKA SEMBABULE'!K33,'18.10 MASAKA-SEMBABULA-24HRS'!K33,'19.10 MASAKA-SEMBABULE-24HRS'!K33,'20.10 MASAKA-SEMBABULE'!K33,'21.10 MASAKA SEMBABULE'!K33,'22.10 MASAKA-SEMBABULE'!K33,'23.10 MASAKA-SEMBABULE'!K33)</f>
        <v>0.5714285714285714</v>
      </c>
      <c r="L33" s="49">
        <f>AVERAGE('17.10 MASAKA SEMBABULE'!L33,'18.10 MASAKA-SEMBABULA-24HRS'!L33,'19.10 MASAKA-SEMBABULE-24HRS'!L33,'20.10 MASAKA-SEMBABULE'!L33,'21.10 MASAKA SEMBABULE'!L33,'22.10 MASAKA-SEMBABULE'!L33,'23.10 MASAKA-SEMBABULE'!L33)</f>
        <v>0</v>
      </c>
      <c r="M33" s="49">
        <f>AVERAGE('17.10 MASAKA SEMBABULE'!M33,'18.10 MASAKA-SEMBABULA-24HRS'!M33,'19.10 MASAKA-SEMBABULE-24HRS'!M33,'20.10 MASAKA-SEMBABULE'!M33,'21.10 MASAKA SEMBABULE'!M33,'22.10 MASAKA-SEMBABULE'!M33,'23.10 MASAKA-SEMBABULE'!M33)</f>
        <v>5.7142857142857144</v>
      </c>
      <c r="N33" s="49">
        <f>AVERAGE('17.10 MASAKA SEMBABULE'!N33,'18.10 MASAKA-SEMBABULA-24HRS'!N33,'19.10 MASAKA-SEMBABULE-24HRS'!N33,'20.10 MASAKA-SEMBABULE'!N33,'21.10 MASAKA SEMBABULE'!N33,'22.10 MASAKA-SEMBABULE'!N33,'23.10 MASAKA-SEMBABULE'!N33)</f>
        <v>0</v>
      </c>
      <c r="O33" s="15">
        <f t="shared" si="0"/>
        <v>4.9999999999999991</v>
      </c>
      <c r="P33" s="15">
        <f t="shared" si="1"/>
        <v>10.714285714285714</v>
      </c>
      <c r="R33" s="1" t="s">
        <v>157</v>
      </c>
      <c r="S33" s="34">
        <f>SUM(C102:C105)</f>
        <v>4.5</v>
      </c>
      <c r="T33" s="34">
        <f t="shared" ref="T33:AF33" si="25">SUM(D102:D105)</f>
        <v>1.5</v>
      </c>
      <c r="U33" s="34">
        <f t="shared" si="25"/>
        <v>1.5</v>
      </c>
      <c r="V33" s="34">
        <f t="shared" si="25"/>
        <v>0.5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1.5</v>
      </c>
      <c r="AA33" s="34">
        <f t="shared" si="25"/>
        <v>0</v>
      </c>
      <c r="AB33" s="34">
        <f t="shared" si="25"/>
        <v>0</v>
      </c>
      <c r="AC33" s="34">
        <f t="shared" si="25"/>
        <v>15</v>
      </c>
      <c r="AD33" s="34">
        <f t="shared" si="25"/>
        <v>0</v>
      </c>
      <c r="AE33" s="31">
        <f t="shared" si="25"/>
        <v>10</v>
      </c>
      <c r="AF33" s="31">
        <f t="shared" si="25"/>
        <v>25</v>
      </c>
    </row>
    <row r="34" spans="2:32" ht="23.1" customHeight="1" x14ac:dyDescent="0.25">
      <c r="B34" s="24" t="s">
        <v>61</v>
      </c>
      <c r="C34" s="49">
        <f>AVERAGE('17.10 MASAKA SEMBABULE'!C34,'18.10 MASAKA-SEMBABULA-24HRS'!C34,'19.10 MASAKA-SEMBABULE-24HRS'!C34,'20.10 MASAKA-SEMBABULE'!C34,'21.10 MASAKA SEMBABULE'!C34,'22.10 MASAKA-SEMBABULE'!C34,'23.10 MASAKA-SEMBABULE'!C34)</f>
        <v>1.7142857142857142</v>
      </c>
      <c r="D34" s="49">
        <f>AVERAGE('17.10 MASAKA SEMBABULE'!D34,'18.10 MASAKA-SEMBABULA-24HRS'!D34,'19.10 MASAKA-SEMBABULE-24HRS'!D34,'20.10 MASAKA-SEMBABULE'!D34,'21.10 MASAKA SEMBABULE'!D34,'22.10 MASAKA-SEMBABULE'!D34,'23.10 MASAKA-SEMBABULE'!D34)</f>
        <v>0.14285714285714285</v>
      </c>
      <c r="E34" s="49">
        <f>AVERAGE('17.10 MASAKA SEMBABULE'!E34,'18.10 MASAKA-SEMBABULA-24HRS'!E34,'19.10 MASAKA-SEMBABULE-24HRS'!E34,'20.10 MASAKA-SEMBABULE'!E34,'21.10 MASAKA SEMBABULE'!E34,'22.10 MASAKA-SEMBABULE'!E34,'23.10 MASAKA-SEMBABULE'!E34)</f>
        <v>1.2857142857142858</v>
      </c>
      <c r="F34" s="49">
        <f>AVERAGE('17.10 MASAKA SEMBABULE'!F34,'18.10 MASAKA-SEMBABULA-24HRS'!F34,'19.10 MASAKA-SEMBABULE-24HRS'!F34,'20.10 MASAKA-SEMBABULE'!F34,'21.10 MASAKA SEMBABULE'!F34,'22.10 MASAKA-SEMBABULE'!F34,'23.10 MASAKA-SEMBABULE'!F34)</f>
        <v>0.7142857142857143</v>
      </c>
      <c r="G34" s="49">
        <f>AVERAGE('17.10 MASAKA SEMBABULE'!G34,'18.10 MASAKA-SEMBABULA-24HRS'!G34,'19.10 MASAKA-SEMBABULE-24HRS'!G34,'20.10 MASAKA-SEMBABULE'!G34,'21.10 MASAKA SEMBABULE'!G34,'22.10 MASAKA-SEMBABULE'!G34,'23.10 MASAKA-SEMBABULE'!G34)</f>
        <v>0</v>
      </c>
      <c r="H34" s="49">
        <f>AVERAGE('17.10 MASAKA SEMBABULE'!H34,'18.10 MASAKA-SEMBABULA-24HRS'!H34,'19.10 MASAKA-SEMBABULE-24HRS'!H34,'20.10 MASAKA-SEMBABULE'!H34,'21.10 MASAKA SEMBABULE'!H34,'22.10 MASAKA-SEMBABULE'!H34,'23.10 MASAKA-SEMBABULE'!H34)</f>
        <v>0</v>
      </c>
      <c r="I34" s="49">
        <f>AVERAGE('17.10 MASAKA SEMBABULE'!I34,'18.10 MASAKA-SEMBABULA-24HRS'!I34,'19.10 MASAKA-SEMBABULE-24HRS'!I34,'20.10 MASAKA-SEMBABULE'!I34,'21.10 MASAKA SEMBABULE'!I34,'22.10 MASAKA-SEMBABULE'!I34,'23.10 MASAKA-SEMBABULE'!I34)</f>
        <v>0.8571428571428571</v>
      </c>
      <c r="J34" s="49">
        <f>AVERAGE('17.10 MASAKA SEMBABULE'!J34,'18.10 MASAKA-SEMBABULA-24HRS'!J34,'19.10 MASAKA-SEMBABULE-24HRS'!J34,'20.10 MASAKA-SEMBABULE'!J34,'21.10 MASAKA SEMBABULE'!J34,'22.10 MASAKA-SEMBABULE'!J34,'23.10 MASAKA-SEMBABULE'!J34)</f>
        <v>0</v>
      </c>
      <c r="K34" s="49">
        <f>AVERAGE('17.10 MASAKA SEMBABULE'!K34,'18.10 MASAKA-SEMBABULA-24HRS'!K34,'19.10 MASAKA-SEMBABULE-24HRS'!K34,'20.10 MASAKA-SEMBABULE'!K34,'21.10 MASAKA SEMBABULE'!K34,'22.10 MASAKA-SEMBABULE'!K34,'23.10 MASAKA-SEMBABULE'!K34)</f>
        <v>0.2857142857142857</v>
      </c>
      <c r="L34" s="49">
        <f>AVERAGE('17.10 MASAKA SEMBABULE'!L34,'18.10 MASAKA-SEMBABULA-24HRS'!L34,'19.10 MASAKA-SEMBABULE-24HRS'!L34,'20.10 MASAKA-SEMBABULE'!L34,'21.10 MASAKA SEMBABULE'!L34,'22.10 MASAKA-SEMBABULE'!L34,'23.10 MASAKA-SEMBABULE'!L34)</f>
        <v>0</v>
      </c>
      <c r="M34" s="49">
        <f>AVERAGE('17.10 MASAKA SEMBABULE'!M34,'18.10 MASAKA-SEMBABULA-24HRS'!M34,'19.10 MASAKA-SEMBABULE-24HRS'!M34,'20.10 MASAKA-SEMBABULE'!M34,'21.10 MASAKA SEMBABULE'!M34,'22.10 MASAKA-SEMBABULE'!M34,'23.10 MASAKA-SEMBABULE'!M34)</f>
        <v>8.4285714285714288</v>
      </c>
      <c r="N34" s="49">
        <f>AVERAGE('17.10 MASAKA SEMBABULE'!N34,'18.10 MASAKA-SEMBABULA-24HRS'!N34,'19.10 MASAKA-SEMBABULE-24HRS'!N34,'20.10 MASAKA-SEMBABULE'!N34,'21.10 MASAKA SEMBABULE'!N34,'22.10 MASAKA-SEMBABULE'!N34,'23.10 MASAKA-SEMBABULE'!N34)</f>
        <v>0</v>
      </c>
      <c r="O34" s="15">
        <f t="shared" si="0"/>
        <v>5</v>
      </c>
      <c r="P34" s="15">
        <f t="shared" si="1"/>
        <v>13.428571428571429</v>
      </c>
      <c r="R34" s="54" t="s">
        <v>90</v>
      </c>
      <c r="S34" s="55">
        <f t="shared" ref="S34:AF34" si="26">MAX(S10:S12)</f>
        <v>6.2857142857142856</v>
      </c>
      <c r="T34" s="55">
        <f t="shared" si="26"/>
        <v>1</v>
      </c>
      <c r="U34" s="55">
        <f t="shared" si="26"/>
        <v>2.2857142857142856</v>
      </c>
      <c r="V34" s="55">
        <f t="shared" si="26"/>
        <v>1.5714285714285712</v>
      </c>
      <c r="W34" s="55">
        <f t="shared" si="26"/>
        <v>0.85714285714285698</v>
      </c>
      <c r="X34" s="55">
        <f t="shared" si="26"/>
        <v>0</v>
      </c>
      <c r="Y34" s="55">
        <f t="shared" si="26"/>
        <v>4</v>
      </c>
      <c r="Z34" s="55">
        <f t="shared" si="26"/>
        <v>1.5714285714285714</v>
      </c>
      <c r="AA34" s="55">
        <f t="shared" si="26"/>
        <v>1</v>
      </c>
      <c r="AB34" s="55">
        <f t="shared" si="26"/>
        <v>0</v>
      </c>
      <c r="AC34" s="55">
        <f t="shared" si="26"/>
        <v>25.428571428571427</v>
      </c>
      <c r="AD34" s="55">
        <f t="shared" si="26"/>
        <v>0</v>
      </c>
      <c r="AE34" s="40">
        <f t="shared" si="26"/>
        <v>16.571428571428569</v>
      </c>
      <c r="AF34" s="40">
        <f t="shared" si="26"/>
        <v>41.285714285714285</v>
      </c>
    </row>
    <row r="35" spans="2:32" ht="23.1" customHeight="1" x14ac:dyDescent="0.25">
      <c r="B35" s="24" t="s">
        <v>62</v>
      </c>
      <c r="C35" s="49">
        <f>AVERAGE('17.10 MASAKA SEMBABULE'!C35,'18.10 MASAKA-SEMBABULA-24HRS'!C35,'19.10 MASAKA-SEMBABULE-24HRS'!C35,'20.10 MASAKA-SEMBABULE'!C35,'21.10 MASAKA SEMBABULE'!C35,'22.10 MASAKA-SEMBABULE'!C35,'23.10 MASAKA-SEMBABULE'!C35)</f>
        <v>1.8571428571428572</v>
      </c>
      <c r="D35" s="49">
        <f>AVERAGE('17.10 MASAKA SEMBABULE'!D35,'18.10 MASAKA-SEMBABULA-24HRS'!D35,'19.10 MASAKA-SEMBABULE-24HRS'!D35,'20.10 MASAKA-SEMBABULE'!D35,'21.10 MASAKA SEMBABULE'!D35,'22.10 MASAKA-SEMBABULE'!D35,'23.10 MASAKA-SEMBABULE'!D35)</f>
        <v>0</v>
      </c>
      <c r="E35" s="49">
        <f>AVERAGE('17.10 MASAKA SEMBABULE'!E35,'18.10 MASAKA-SEMBABULA-24HRS'!E35,'19.10 MASAKA-SEMBABULE-24HRS'!E35,'20.10 MASAKA-SEMBABULE'!E35,'21.10 MASAKA SEMBABULE'!E35,'22.10 MASAKA-SEMBABULE'!E35,'23.10 MASAKA-SEMBABULE'!E35)</f>
        <v>1.2857142857142858</v>
      </c>
      <c r="F35" s="49">
        <f>AVERAGE('17.10 MASAKA SEMBABULE'!F35,'18.10 MASAKA-SEMBABULA-24HRS'!F35,'19.10 MASAKA-SEMBABULE-24HRS'!F35,'20.10 MASAKA-SEMBABULE'!F35,'21.10 MASAKA SEMBABULE'!F35,'22.10 MASAKA-SEMBABULE'!F35,'23.10 MASAKA-SEMBABULE'!F35)</f>
        <v>0.42857142857142855</v>
      </c>
      <c r="G35" s="49">
        <f>AVERAGE('17.10 MASAKA SEMBABULE'!G35,'18.10 MASAKA-SEMBABULA-24HRS'!G35,'19.10 MASAKA-SEMBABULE-24HRS'!G35,'20.10 MASAKA-SEMBABULE'!G35,'21.10 MASAKA SEMBABULE'!G35,'22.10 MASAKA-SEMBABULE'!G35,'23.10 MASAKA-SEMBABULE'!G35)</f>
        <v>0</v>
      </c>
      <c r="H35" s="49">
        <f>AVERAGE('17.10 MASAKA SEMBABULE'!H35,'18.10 MASAKA-SEMBABULA-24HRS'!H35,'19.10 MASAKA-SEMBABULE-24HRS'!H35,'20.10 MASAKA-SEMBABULE'!H35,'21.10 MASAKA SEMBABULE'!H35,'22.10 MASAKA-SEMBABULE'!H35,'23.10 MASAKA-SEMBABULE'!H35)</f>
        <v>0</v>
      </c>
      <c r="I35" s="49">
        <f>AVERAGE('17.10 MASAKA SEMBABULE'!I35,'18.10 MASAKA-SEMBABULA-24HRS'!I35,'19.10 MASAKA-SEMBABULE-24HRS'!I35,'20.10 MASAKA-SEMBABULE'!I35,'21.10 MASAKA SEMBABULE'!I35,'22.10 MASAKA-SEMBABULE'!I35,'23.10 MASAKA-SEMBABULE'!I35)</f>
        <v>1</v>
      </c>
      <c r="J35" s="49">
        <f>AVERAGE('17.10 MASAKA SEMBABULE'!J35,'18.10 MASAKA-SEMBABULA-24HRS'!J35,'19.10 MASAKA-SEMBABULE-24HRS'!J35,'20.10 MASAKA-SEMBABULE'!J35,'21.10 MASAKA SEMBABULE'!J35,'22.10 MASAKA-SEMBABULE'!J35,'23.10 MASAKA-SEMBABULE'!J35)</f>
        <v>0.5714285714285714</v>
      </c>
      <c r="K35" s="49">
        <f>AVERAGE('17.10 MASAKA SEMBABULE'!K35,'18.10 MASAKA-SEMBABULA-24HRS'!K35,'19.10 MASAKA-SEMBABULE-24HRS'!K35,'20.10 MASAKA-SEMBABULE'!K35,'21.10 MASAKA SEMBABULE'!K35,'22.10 MASAKA-SEMBABULE'!K35,'23.10 MASAKA-SEMBABULE'!K35)</f>
        <v>0.14285714285714285</v>
      </c>
      <c r="L35" s="49">
        <f>AVERAGE('17.10 MASAKA SEMBABULE'!L35,'18.10 MASAKA-SEMBABULA-24HRS'!L35,'19.10 MASAKA-SEMBABULE-24HRS'!L35,'20.10 MASAKA-SEMBABULE'!L35,'21.10 MASAKA SEMBABULE'!L35,'22.10 MASAKA-SEMBABULE'!L35,'23.10 MASAKA-SEMBABULE'!L35)</f>
        <v>0</v>
      </c>
      <c r="M35" s="49">
        <f>AVERAGE('17.10 MASAKA SEMBABULE'!M35,'18.10 MASAKA-SEMBABULA-24HRS'!M35,'19.10 MASAKA-SEMBABULE-24HRS'!M35,'20.10 MASAKA-SEMBABULE'!M35,'21.10 MASAKA SEMBABULE'!M35,'22.10 MASAKA-SEMBABULE'!M35,'23.10 MASAKA-SEMBABULE'!M35)</f>
        <v>5.4285714285714288</v>
      </c>
      <c r="N35" s="49">
        <f>AVERAGE('17.10 MASAKA SEMBABULE'!N35,'18.10 MASAKA-SEMBABULA-24HRS'!N35,'19.10 MASAKA-SEMBABULE-24HRS'!N35,'20.10 MASAKA-SEMBABULE'!N35,'21.10 MASAKA SEMBABULE'!N35,'22.10 MASAKA-SEMBABULE'!N35,'23.10 MASAKA-SEMBABULE'!N35)</f>
        <v>0</v>
      </c>
      <c r="O35" s="15">
        <f t="shared" si="0"/>
        <v>5.2857142857142856</v>
      </c>
      <c r="P35" s="15">
        <f t="shared" si="1"/>
        <v>10.714285714285715</v>
      </c>
      <c r="R35" s="54" t="s">
        <v>91</v>
      </c>
      <c r="S35" s="55">
        <f t="shared" ref="S35:AF35" si="27">MAX(S13:S18)</f>
        <v>10.571428571428571</v>
      </c>
      <c r="T35" s="55">
        <f t="shared" si="27"/>
        <v>1.1428571428571428</v>
      </c>
      <c r="U35" s="55">
        <f t="shared" si="27"/>
        <v>4.7142857142857135</v>
      </c>
      <c r="V35" s="55">
        <f t="shared" si="27"/>
        <v>4.4285714285714288</v>
      </c>
      <c r="W35" s="55">
        <f t="shared" si="27"/>
        <v>0.14285714285714285</v>
      </c>
      <c r="X35" s="55">
        <f t="shared" si="27"/>
        <v>0</v>
      </c>
      <c r="Y35" s="55">
        <f t="shared" si="27"/>
        <v>4.8571428571428568</v>
      </c>
      <c r="Z35" s="55">
        <f t="shared" si="27"/>
        <v>2.2857142857142856</v>
      </c>
      <c r="AA35" s="55">
        <f t="shared" si="27"/>
        <v>2.5714285714285712</v>
      </c>
      <c r="AB35" s="55">
        <f t="shared" si="27"/>
        <v>0.42857142857142855</v>
      </c>
      <c r="AC35" s="55">
        <f t="shared" si="27"/>
        <v>29.428571428571431</v>
      </c>
      <c r="AD35" s="55">
        <f t="shared" si="27"/>
        <v>0.14285714285714285</v>
      </c>
      <c r="AE35" s="40">
        <f t="shared" si="27"/>
        <v>26</v>
      </c>
      <c r="AF35" s="40">
        <f t="shared" si="27"/>
        <v>51.857142857142861</v>
      </c>
    </row>
    <row r="36" spans="2:32" ht="23.1" customHeight="1" x14ac:dyDescent="0.25">
      <c r="B36" s="24" t="s">
        <v>63</v>
      </c>
      <c r="C36" s="49">
        <f>AVERAGE('17.10 MASAKA SEMBABULE'!C36,'18.10 MASAKA-SEMBABULA-24HRS'!C36,'19.10 MASAKA-SEMBABULE-24HRS'!C36,'20.10 MASAKA-SEMBABULE'!C36,'21.10 MASAKA SEMBABULE'!C36,'22.10 MASAKA-SEMBABULE'!C36,'23.10 MASAKA-SEMBABULE'!C36)</f>
        <v>1.8571428571428572</v>
      </c>
      <c r="D36" s="49">
        <f>AVERAGE('17.10 MASAKA SEMBABULE'!D36,'18.10 MASAKA-SEMBABULA-24HRS'!D36,'19.10 MASAKA-SEMBABULE-24HRS'!D36,'20.10 MASAKA-SEMBABULE'!D36,'21.10 MASAKA SEMBABULE'!D36,'22.10 MASAKA-SEMBABULE'!D36,'23.10 MASAKA-SEMBABULE'!D36)</f>
        <v>0.2857142857142857</v>
      </c>
      <c r="E36" s="49">
        <f>AVERAGE('17.10 MASAKA SEMBABULE'!E36,'18.10 MASAKA-SEMBABULA-24HRS'!E36,'19.10 MASAKA-SEMBABULE-24HRS'!E36,'20.10 MASAKA-SEMBABULE'!E36,'21.10 MASAKA SEMBABULE'!E36,'22.10 MASAKA-SEMBABULE'!E36,'23.10 MASAKA-SEMBABULE'!E36)</f>
        <v>0.5714285714285714</v>
      </c>
      <c r="F36" s="49">
        <f>AVERAGE('17.10 MASAKA SEMBABULE'!F36,'18.10 MASAKA-SEMBABULA-24HRS'!F36,'19.10 MASAKA-SEMBABULE-24HRS'!F36,'20.10 MASAKA-SEMBABULE'!F36,'21.10 MASAKA SEMBABULE'!F36,'22.10 MASAKA-SEMBABULE'!F36,'23.10 MASAKA-SEMBABULE'!F36)</f>
        <v>0.5714285714285714</v>
      </c>
      <c r="G36" s="49">
        <f>AVERAGE('17.10 MASAKA SEMBABULE'!G36,'18.10 MASAKA-SEMBABULA-24HRS'!G36,'19.10 MASAKA-SEMBABULE-24HRS'!G36,'20.10 MASAKA-SEMBABULE'!G36,'21.10 MASAKA SEMBABULE'!G36,'22.10 MASAKA-SEMBABULE'!G36,'23.10 MASAKA-SEMBABULE'!G36)</f>
        <v>0</v>
      </c>
      <c r="H36" s="49">
        <f>AVERAGE('17.10 MASAKA SEMBABULE'!H36,'18.10 MASAKA-SEMBABULA-24HRS'!H36,'19.10 MASAKA-SEMBABULE-24HRS'!H36,'20.10 MASAKA-SEMBABULE'!H36,'21.10 MASAKA SEMBABULE'!H36,'22.10 MASAKA-SEMBABULE'!H36,'23.10 MASAKA-SEMBABULE'!H36)</f>
        <v>0</v>
      </c>
      <c r="I36" s="49">
        <f>AVERAGE('17.10 MASAKA SEMBABULE'!I36,'18.10 MASAKA-SEMBABULA-24HRS'!I36,'19.10 MASAKA-SEMBABULE-24HRS'!I36,'20.10 MASAKA-SEMBABULE'!I36,'21.10 MASAKA SEMBABULE'!I36,'22.10 MASAKA-SEMBABULE'!I36,'23.10 MASAKA-SEMBABULE'!I36)</f>
        <v>1.4285714285714286</v>
      </c>
      <c r="J36" s="49">
        <f>AVERAGE('17.10 MASAKA SEMBABULE'!J36,'18.10 MASAKA-SEMBABULA-24HRS'!J36,'19.10 MASAKA-SEMBABULE-24HRS'!J36,'20.10 MASAKA-SEMBABULE'!J36,'21.10 MASAKA SEMBABULE'!J36,'22.10 MASAKA-SEMBABULE'!J36,'23.10 MASAKA-SEMBABULE'!J36)</f>
        <v>0.42857142857142855</v>
      </c>
      <c r="K36" s="49">
        <f>AVERAGE('17.10 MASAKA SEMBABULE'!K36,'18.10 MASAKA-SEMBABULA-24HRS'!K36,'19.10 MASAKA-SEMBABULE-24HRS'!K36,'20.10 MASAKA-SEMBABULE'!K36,'21.10 MASAKA SEMBABULE'!K36,'22.10 MASAKA-SEMBABULE'!K36,'23.10 MASAKA-SEMBABULE'!K36)</f>
        <v>0.14285714285714285</v>
      </c>
      <c r="L36" s="49">
        <f>AVERAGE('17.10 MASAKA SEMBABULE'!L36,'18.10 MASAKA-SEMBABULA-24HRS'!L36,'19.10 MASAKA-SEMBABULE-24HRS'!L36,'20.10 MASAKA-SEMBABULE'!L36,'21.10 MASAKA SEMBABULE'!L36,'22.10 MASAKA-SEMBABULE'!L36,'23.10 MASAKA-SEMBABULE'!L36)</f>
        <v>0</v>
      </c>
      <c r="M36" s="49">
        <f>AVERAGE('17.10 MASAKA SEMBABULE'!M36,'18.10 MASAKA-SEMBABULA-24HRS'!M36,'19.10 MASAKA-SEMBABULE-24HRS'!M36,'20.10 MASAKA-SEMBABULE'!M36,'21.10 MASAKA SEMBABULE'!M36,'22.10 MASAKA-SEMBABULE'!M36,'23.10 MASAKA-SEMBABULE'!M36)</f>
        <v>6</v>
      </c>
      <c r="N36" s="49">
        <f>AVERAGE('17.10 MASAKA SEMBABULE'!N36,'18.10 MASAKA-SEMBABULA-24HRS'!N36,'19.10 MASAKA-SEMBABULE-24HRS'!N36,'20.10 MASAKA-SEMBABULE'!N36,'21.10 MASAKA SEMBABULE'!N36,'22.10 MASAKA-SEMBABULE'!N36,'23.10 MASAKA-SEMBABULE'!N36)</f>
        <v>0</v>
      </c>
      <c r="O36" s="15">
        <f t="shared" si="0"/>
        <v>5.2857142857142865</v>
      </c>
      <c r="P36" s="15">
        <f t="shared" si="1"/>
        <v>11.285714285714286</v>
      </c>
      <c r="R36" s="54" t="s">
        <v>92</v>
      </c>
      <c r="S36" s="55">
        <f t="shared" ref="S36:AF36" si="28">MAX(S19:S21)</f>
        <v>10.285714285714286</v>
      </c>
      <c r="T36" s="55">
        <f t="shared" si="28"/>
        <v>1.7142857142857144</v>
      </c>
      <c r="U36" s="55">
        <f t="shared" si="28"/>
        <v>4.1428571428571432</v>
      </c>
      <c r="V36" s="55">
        <f t="shared" si="28"/>
        <v>6.8571428571428577</v>
      </c>
      <c r="W36" s="55">
        <f t="shared" si="28"/>
        <v>0.71428571428571419</v>
      </c>
      <c r="X36" s="55">
        <f t="shared" si="28"/>
        <v>0.2857142857142857</v>
      </c>
      <c r="Y36" s="55">
        <f t="shared" si="28"/>
        <v>5.7142857142857144</v>
      </c>
      <c r="Z36" s="55">
        <f t="shared" si="28"/>
        <v>3.8571428571428572</v>
      </c>
      <c r="AA36" s="55">
        <f t="shared" si="28"/>
        <v>2.2857142857142856</v>
      </c>
      <c r="AB36" s="55">
        <f t="shared" si="28"/>
        <v>0</v>
      </c>
      <c r="AC36" s="55">
        <f t="shared" si="28"/>
        <v>31.428571428571427</v>
      </c>
      <c r="AD36" s="55">
        <f t="shared" si="28"/>
        <v>0.14285714285714285</v>
      </c>
      <c r="AE36" s="40">
        <f t="shared" si="28"/>
        <v>32.857142857142854</v>
      </c>
      <c r="AF36" s="40">
        <f t="shared" si="28"/>
        <v>63.857142857142861</v>
      </c>
    </row>
    <row r="37" spans="2:32" ht="23.1" customHeight="1" x14ac:dyDescent="0.25">
      <c r="B37" s="23" t="s">
        <v>64</v>
      </c>
      <c r="C37" s="49">
        <f>AVERAGE('17.10 MASAKA SEMBABULE'!C37,'18.10 MASAKA-SEMBABULA-24HRS'!C37,'19.10 MASAKA-SEMBABULE-24HRS'!C37,'20.10 MASAKA-SEMBABULE'!C37,'21.10 MASAKA SEMBABULE'!C37,'22.10 MASAKA-SEMBABULE'!C37,'23.10 MASAKA-SEMBABULE'!C37)</f>
        <v>2.7142857142857144</v>
      </c>
      <c r="D37" s="49">
        <f>AVERAGE('17.10 MASAKA SEMBABULE'!D37,'18.10 MASAKA-SEMBABULA-24HRS'!D37,'19.10 MASAKA-SEMBABULE-24HRS'!D37,'20.10 MASAKA-SEMBABULE'!D37,'21.10 MASAKA SEMBABULE'!D37,'22.10 MASAKA-SEMBABULE'!D37,'23.10 MASAKA-SEMBABULE'!D37)</f>
        <v>0.2857142857142857</v>
      </c>
      <c r="E37" s="49">
        <f>AVERAGE('17.10 MASAKA SEMBABULE'!E37,'18.10 MASAKA-SEMBABULA-24HRS'!E37,'19.10 MASAKA-SEMBABULE-24HRS'!E37,'20.10 MASAKA-SEMBABULE'!E37,'21.10 MASAKA SEMBABULE'!E37,'22.10 MASAKA-SEMBABULE'!E37,'23.10 MASAKA-SEMBABULE'!E37)</f>
        <v>0.5714285714285714</v>
      </c>
      <c r="F37" s="49">
        <f>AVERAGE('17.10 MASAKA SEMBABULE'!F37,'18.10 MASAKA-SEMBABULA-24HRS'!F37,'19.10 MASAKA-SEMBABULE-24HRS'!F37,'20.10 MASAKA-SEMBABULE'!F37,'21.10 MASAKA SEMBABULE'!F37,'22.10 MASAKA-SEMBABULE'!F37,'23.10 MASAKA-SEMBABULE'!F37)</f>
        <v>0.2857142857142857</v>
      </c>
      <c r="G37" s="49">
        <f>AVERAGE('17.10 MASAKA SEMBABULE'!G37,'18.10 MASAKA-SEMBABULA-24HRS'!G37,'19.10 MASAKA-SEMBABULE-24HRS'!G37,'20.10 MASAKA-SEMBABULE'!G37,'21.10 MASAKA SEMBABULE'!G37,'22.10 MASAKA-SEMBABULE'!G37,'23.10 MASAKA-SEMBABULE'!G37)</f>
        <v>0</v>
      </c>
      <c r="H37" s="49">
        <f>AVERAGE('17.10 MASAKA SEMBABULE'!H37,'18.10 MASAKA-SEMBABULA-24HRS'!H37,'19.10 MASAKA-SEMBABULE-24HRS'!H37,'20.10 MASAKA-SEMBABULE'!H37,'21.10 MASAKA SEMBABULE'!H37,'22.10 MASAKA-SEMBABULE'!H37,'23.10 MASAKA-SEMBABULE'!H37)</f>
        <v>0</v>
      </c>
      <c r="I37" s="49">
        <f>AVERAGE('17.10 MASAKA SEMBABULE'!I37,'18.10 MASAKA-SEMBABULA-24HRS'!I37,'19.10 MASAKA-SEMBABULE-24HRS'!I37,'20.10 MASAKA-SEMBABULE'!I37,'21.10 MASAKA SEMBABULE'!I37,'22.10 MASAKA-SEMBABULE'!I37,'23.10 MASAKA-SEMBABULE'!I37)</f>
        <v>1.5714285714285714</v>
      </c>
      <c r="J37" s="49">
        <f>AVERAGE('17.10 MASAKA SEMBABULE'!J37,'18.10 MASAKA-SEMBABULA-24HRS'!J37,'19.10 MASAKA-SEMBABULE-24HRS'!J37,'20.10 MASAKA-SEMBABULE'!J37,'21.10 MASAKA SEMBABULE'!J37,'22.10 MASAKA-SEMBABULE'!J37,'23.10 MASAKA-SEMBABULE'!J37)</f>
        <v>0.5714285714285714</v>
      </c>
      <c r="K37" s="49">
        <f>AVERAGE('17.10 MASAKA SEMBABULE'!K37,'18.10 MASAKA-SEMBABULA-24HRS'!K37,'19.10 MASAKA-SEMBABULE-24HRS'!K37,'20.10 MASAKA-SEMBABULE'!K37,'21.10 MASAKA SEMBABULE'!K37,'22.10 MASAKA-SEMBABULE'!K37,'23.10 MASAKA-SEMBABULE'!K37)</f>
        <v>0.14285714285714285</v>
      </c>
      <c r="L37" s="49">
        <f>AVERAGE('17.10 MASAKA SEMBABULE'!L37,'18.10 MASAKA-SEMBABULA-24HRS'!L37,'19.10 MASAKA-SEMBABULE-24HRS'!L37,'20.10 MASAKA-SEMBABULE'!L37,'21.10 MASAKA SEMBABULE'!L37,'22.10 MASAKA-SEMBABULE'!L37,'23.10 MASAKA-SEMBABULE'!L37)</f>
        <v>0</v>
      </c>
      <c r="M37" s="49">
        <f>AVERAGE('17.10 MASAKA SEMBABULE'!M37,'18.10 MASAKA-SEMBABULA-24HRS'!M37,'19.10 MASAKA-SEMBABULE-24HRS'!M37,'20.10 MASAKA-SEMBABULE'!M37,'21.10 MASAKA SEMBABULE'!M37,'22.10 MASAKA-SEMBABULE'!M37,'23.10 MASAKA-SEMBABULE'!M37)</f>
        <v>7.4285714285714288</v>
      </c>
      <c r="N37" s="49">
        <f>AVERAGE('17.10 MASAKA SEMBABULE'!N37,'18.10 MASAKA-SEMBABULA-24HRS'!N37,'19.10 MASAKA-SEMBABULE-24HRS'!N37,'20.10 MASAKA-SEMBABULE'!N37,'21.10 MASAKA SEMBABULE'!N37,'22.10 MASAKA-SEMBABULE'!N37,'23.10 MASAKA-SEMBABULE'!N37)</f>
        <v>0</v>
      </c>
      <c r="O37" s="15">
        <f t="shared" si="0"/>
        <v>6.1428571428571423</v>
      </c>
      <c r="P37" s="15">
        <f t="shared" si="1"/>
        <v>13.571428571428571</v>
      </c>
      <c r="R37" s="37" t="s">
        <v>85</v>
      </c>
      <c r="S37" s="56">
        <f t="shared" ref="S37:AF37" si="29">SUM(S10:S12)</f>
        <v>16.714285714285715</v>
      </c>
      <c r="T37" s="57">
        <f t="shared" si="29"/>
        <v>2.7142857142857144</v>
      </c>
      <c r="U37" s="57">
        <f t="shared" si="29"/>
        <v>5.4285714285714279</v>
      </c>
      <c r="V37" s="57">
        <f t="shared" si="29"/>
        <v>2.5714285714285712</v>
      </c>
      <c r="W37" s="57">
        <f t="shared" si="29"/>
        <v>0.85714285714285698</v>
      </c>
      <c r="X37" s="57">
        <f t="shared" si="29"/>
        <v>0</v>
      </c>
      <c r="Y37" s="57">
        <f t="shared" si="29"/>
        <v>10.142857142857142</v>
      </c>
      <c r="Z37" s="57">
        <f t="shared" si="29"/>
        <v>4.1428571428571423</v>
      </c>
      <c r="AA37" s="57">
        <f t="shared" si="29"/>
        <v>1.8571428571428572</v>
      </c>
      <c r="AB37" s="57">
        <f t="shared" si="29"/>
        <v>0</v>
      </c>
      <c r="AC37" s="57">
        <f t="shared" si="29"/>
        <v>68.714285714285722</v>
      </c>
      <c r="AD37" s="57">
        <f t="shared" si="29"/>
        <v>0</v>
      </c>
      <c r="AE37" s="58">
        <f t="shared" si="29"/>
        <v>44.428571428571423</v>
      </c>
      <c r="AF37" s="58">
        <f t="shared" si="29"/>
        <v>113.14285714285714</v>
      </c>
    </row>
    <row r="38" spans="2:32" ht="23.1" customHeight="1" x14ac:dyDescent="0.25">
      <c r="B38" s="24" t="s">
        <v>65</v>
      </c>
      <c r="C38" s="49">
        <f>AVERAGE('17.10 MASAKA SEMBABULE'!C38,'18.10 MASAKA-SEMBABULA-24HRS'!C38,'19.10 MASAKA-SEMBABULE-24HRS'!C38,'20.10 MASAKA-SEMBABULE'!C38,'21.10 MASAKA SEMBABULE'!C38,'22.10 MASAKA-SEMBABULE'!C38,'23.10 MASAKA-SEMBABULE'!C38)</f>
        <v>1.5714285714285714</v>
      </c>
      <c r="D38" s="49">
        <f>AVERAGE('17.10 MASAKA SEMBABULE'!D38,'18.10 MASAKA-SEMBABULA-24HRS'!D38,'19.10 MASAKA-SEMBABULE-24HRS'!D38,'20.10 MASAKA-SEMBABULE'!D38,'21.10 MASAKA SEMBABULE'!D38,'22.10 MASAKA-SEMBABULE'!D38,'23.10 MASAKA-SEMBABULE'!D38)</f>
        <v>0</v>
      </c>
      <c r="E38" s="49">
        <f>AVERAGE('17.10 MASAKA SEMBABULE'!E38,'18.10 MASAKA-SEMBABULA-24HRS'!E38,'19.10 MASAKA-SEMBABULE-24HRS'!E38,'20.10 MASAKA-SEMBABULE'!E38,'21.10 MASAKA SEMBABULE'!E38,'22.10 MASAKA-SEMBABULE'!E38,'23.10 MASAKA-SEMBABULE'!E38)</f>
        <v>0.8571428571428571</v>
      </c>
      <c r="F38" s="49">
        <f>AVERAGE('17.10 MASAKA SEMBABULE'!F38,'18.10 MASAKA-SEMBABULA-24HRS'!F38,'19.10 MASAKA-SEMBABULE-24HRS'!F38,'20.10 MASAKA-SEMBABULE'!F38,'21.10 MASAKA SEMBABULE'!F38,'22.10 MASAKA-SEMBABULE'!F38,'23.10 MASAKA-SEMBABULE'!F38)</f>
        <v>0.8571428571428571</v>
      </c>
      <c r="G38" s="49">
        <f>AVERAGE('17.10 MASAKA SEMBABULE'!G38,'18.10 MASAKA-SEMBABULA-24HRS'!G38,'19.10 MASAKA-SEMBABULE-24HRS'!G38,'20.10 MASAKA-SEMBABULE'!G38,'21.10 MASAKA SEMBABULE'!G38,'22.10 MASAKA-SEMBABULE'!G38,'23.10 MASAKA-SEMBABULE'!G38)</f>
        <v>0</v>
      </c>
      <c r="H38" s="49">
        <f>AVERAGE('17.10 MASAKA SEMBABULE'!H38,'18.10 MASAKA-SEMBABULA-24HRS'!H38,'19.10 MASAKA-SEMBABULE-24HRS'!H38,'20.10 MASAKA-SEMBABULE'!H38,'21.10 MASAKA SEMBABULE'!H38,'22.10 MASAKA-SEMBABULE'!H38,'23.10 MASAKA-SEMBABULE'!H38)</f>
        <v>0</v>
      </c>
      <c r="I38" s="49">
        <f>AVERAGE('17.10 MASAKA SEMBABULE'!I38,'18.10 MASAKA-SEMBABULA-24HRS'!I38,'19.10 MASAKA-SEMBABULE-24HRS'!I38,'20.10 MASAKA-SEMBABULE'!I38,'21.10 MASAKA SEMBABULE'!I38,'22.10 MASAKA-SEMBABULE'!I38,'23.10 MASAKA-SEMBABULE'!I38)</f>
        <v>1.4285714285714286</v>
      </c>
      <c r="J38" s="49">
        <f>AVERAGE('17.10 MASAKA SEMBABULE'!J38,'18.10 MASAKA-SEMBABULA-24HRS'!J38,'19.10 MASAKA-SEMBABULE-24HRS'!J38,'20.10 MASAKA-SEMBABULE'!J38,'21.10 MASAKA SEMBABULE'!J38,'22.10 MASAKA-SEMBABULE'!J38,'23.10 MASAKA-SEMBABULE'!J38)</f>
        <v>0.42857142857142855</v>
      </c>
      <c r="K38" s="49">
        <f>AVERAGE('17.10 MASAKA SEMBABULE'!K38,'18.10 MASAKA-SEMBABULA-24HRS'!K38,'19.10 MASAKA-SEMBABULE-24HRS'!K38,'20.10 MASAKA-SEMBABULE'!K38,'21.10 MASAKA SEMBABULE'!K38,'22.10 MASAKA-SEMBABULE'!K38,'23.10 MASAKA-SEMBABULE'!K38)</f>
        <v>0.14285714285714285</v>
      </c>
      <c r="L38" s="49">
        <f>AVERAGE('17.10 MASAKA SEMBABULE'!L38,'18.10 MASAKA-SEMBABULA-24HRS'!L38,'19.10 MASAKA-SEMBABULE-24HRS'!L38,'20.10 MASAKA-SEMBABULE'!L38,'21.10 MASAKA SEMBABULE'!L38,'22.10 MASAKA-SEMBABULE'!L38,'23.10 MASAKA-SEMBABULE'!L38)</f>
        <v>0</v>
      </c>
      <c r="M38" s="49">
        <f>AVERAGE('17.10 MASAKA SEMBABULE'!M38,'18.10 MASAKA-SEMBABULA-24HRS'!M38,'19.10 MASAKA-SEMBABULE-24HRS'!M38,'20.10 MASAKA-SEMBABULE'!M38,'21.10 MASAKA SEMBABULE'!M38,'22.10 MASAKA-SEMBABULE'!M38,'23.10 MASAKA-SEMBABULE'!M38)</f>
        <v>7.1428571428571432</v>
      </c>
      <c r="N38" s="49">
        <f>AVERAGE('17.10 MASAKA SEMBABULE'!N38,'18.10 MASAKA-SEMBABULA-24HRS'!N38,'19.10 MASAKA-SEMBABULE-24HRS'!N38,'20.10 MASAKA-SEMBABULE'!N38,'21.10 MASAKA SEMBABULE'!N38,'22.10 MASAKA-SEMBABULE'!N38,'23.10 MASAKA-SEMBABULE'!N38)</f>
        <v>0</v>
      </c>
      <c r="O38" s="15">
        <f t="shared" si="0"/>
        <v>5.2857142857142865</v>
      </c>
      <c r="P38" s="15">
        <f t="shared" si="1"/>
        <v>12.428571428571431</v>
      </c>
      <c r="R38" s="28" t="s">
        <v>86</v>
      </c>
      <c r="S38" s="57">
        <f t="shared" ref="S38:AF38" si="30">SUM(S13:S18)</f>
        <v>51.571428571428562</v>
      </c>
      <c r="T38" s="57">
        <f t="shared" si="30"/>
        <v>5.1428571428571423</v>
      </c>
      <c r="U38" s="57">
        <f t="shared" si="30"/>
        <v>15.142857142857141</v>
      </c>
      <c r="V38" s="57">
        <f t="shared" si="30"/>
        <v>12.714285714285714</v>
      </c>
      <c r="W38" s="57">
        <f t="shared" si="30"/>
        <v>0.14285714285714285</v>
      </c>
      <c r="X38" s="57">
        <f t="shared" si="30"/>
        <v>0</v>
      </c>
      <c r="Y38" s="57">
        <f t="shared" si="30"/>
        <v>25.571428571428569</v>
      </c>
      <c r="Z38" s="57">
        <f t="shared" si="30"/>
        <v>11.857142857142856</v>
      </c>
      <c r="AA38" s="57">
        <f t="shared" si="30"/>
        <v>7.2857142857142856</v>
      </c>
      <c r="AB38" s="57">
        <f t="shared" si="30"/>
        <v>0.5714285714285714</v>
      </c>
      <c r="AC38" s="57">
        <f t="shared" si="30"/>
        <v>160.14285714285714</v>
      </c>
      <c r="AD38" s="57">
        <f t="shared" si="30"/>
        <v>0.2857142857142857</v>
      </c>
      <c r="AE38" s="58">
        <f t="shared" si="30"/>
        <v>130.28571428571428</v>
      </c>
      <c r="AF38" s="58">
        <f t="shared" si="30"/>
        <v>290.42857142857144</v>
      </c>
    </row>
    <row r="39" spans="2:32" ht="23.1" customHeight="1" x14ac:dyDescent="0.25">
      <c r="B39" s="24" t="s">
        <v>66</v>
      </c>
      <c r="C39" s="49">
        <f>AVERAGE('17.10 MASAKA SEMBABULE'!C39,'18.10 MASAKA-SEMBABULA-24HRS'!C39,'19.10 MASAKA-SEMBABULE-24HRS'!C39,'20.10 MASAKA-SEMBABULE'!C39,'21.10 MASAKA SEMBABULE'!C39,'22.10 MASAKA-SEMBABULE'!C39,'23.10 MASAKA-SEMBABULE'!C39)</f>
        <v>2.2857142857142856</v>
      </c>
      <c r="D39" s="49">
        <f>AVERAGE('17.10 MASAKA SEMBABULE'!D39,'18.10 MASAKA-SEMBABULA-24HRS'!D39,'19.10 MASAKA-SEMBABULE-24HRS'!D39,'20.10 MASAKA-SEMBABULE'!D39,'21.10 MASAKA SEMBABULE'!D39,'22.10 MASAKA-SEMBABULE'!D39,'23.10 MASAKA-SEMBABULE'!D39)</f>
        <v>0.14285714285714285</v>
      </c>
      <c r="E39" s="49">
        <f>AVERAGE('17.10 MASAKA SEMBABULE'!E39,'18.10 MASAKA-SEMBABULA-24HRS'!E39,'19.10 MASAKA-SEMBABULE-24HRS'!E39,'20.10 MASAKA-SEMBABULE'!E39,'21.10 MASAKA SEMBABULE'!E39,'22.10 MASAKA-SEMBABULE'!E39,'23.10 MASAKA-SEMBABULE'!E39)</f>
        <v>0.5714285714285714</v>
      </c>
      <c r="F39" s="49">
        <f>AVERAGE('17.10 MASAKA SEMBABULE'!F39,'18.10 MASAKA-SEMBABULA-24HRS'!F39,'19.10 MASAKA-SEMBABULE-24HRS'!F39,'20.10 MASAKA-SEMBABULE'!F39,'21.10 MASAKA SEMBABULE'!F39,'22.10 MASAKA-SEMBABULE'!F39,'23.10 MASAKA-SEMBABULE'!F39)</f>
        <v>0.42857142857142855</v>
      </c>
      <c r="G39" s="49">
        <f>AVERAGE('17.10 MASAKA SEMBABULE'!G39,'18.10 MASAKA-SEMBABULA-24HRS'!G39,'19.10 MASAKA-SEMBABULE-24HRS'!G39,'20.10 MASAKA-SEMBABULE'!G39,'21.10 MASAKA SEMBABULE'!G39,'22.10 MASAKA-SEMBABULE'!G39,'23.10 MASAKA-SEMBABULE'!G39)</f>
        <v>0</v>
      </c>
      <c r="H39" s="49">
        <f>AVERAGE('17.10 MASAKA SEMBABULE'!H39,'18.10 MASAKA-SEMBABULA-24HRS'!H39,'19.10 MASAKA-SEMBABULE-24HRS'!H39,'20.10 MASAKA-SEMBABULE'!H39,'21.10 MASAKA SEMBABULE'!H39,'22.10 MASAKA-SEMBABULE'!H39,'23.10 MASAKA-SEMBABULE'!H39)</f>
        <v>0</v>
      </c>
      <c r="I39" s="49">
        <f>AVERAGE('17.10 MASAKA SEMBABULE'!I39,'18.10 MASAKA-SEMBABULA-24HRS'!I39,'19.10 MASAKA-SEMBABULE-24HRS'!I39,'20.10 MASAKA-SEMBABULE'!I39,'21.10 MASAKA SEMBABULE'!I39,'22.10 MASAKA-SEMBABULE'!I39,'23.10 MASAKA-SEMBABULE'!I39)</f>
        <v>0.42857142857142855</v>
      </c>
      <c r="J39" s="49">
        <f>AVERAGE('17.10 MASAKA SEMBABULE'!J39,'18.10 MASAKA-SEMBABULA-24HRS'!J39,'19.10 MASAKA-SEMBABULE-24HRS'!J39,'20.10 MASAKA-SEMBABULE'!J39,'21.10 MASAKA SEMBABULE'!J39,'22.10 MASAKA-SEMBABULE'!J39,'23.10 MASAKA-SEMBABULE'!J39)</f>
        <v>0.8571428571428571</v>
      </c>
      <c r="K39" s="49">
        <f>AVERAGE('17.10 MASAKA SEMBABULE'!K39,'18.10 MASAKA-SEMBABULA-24HRS'!K39,'19.10 MASAKA-SEMBABULE-24HRS'!K39,'20.10 MASAKA-SEMBABULE'!K39,'21.10 MASAKA SEMBABULE'!K39,'22.10 MASAKA-SEMBABULE'!K39,'23.10 MASAKA-SEMBABULE'!K39)</f>
        <v>0.14285714285714285</v>
      </c>
      <c r="L39" s="49">
        <f>AVERAGE('17.10 MASAKA SEMBABULE'!L39,'18.10 MASAKA-SEMBABULA-24HRS'!L39,'19.10 MASAKA-SEMBABULE-24HRS'!L39,'20.10 MASAKA-SEMBABULE'!L39,'21.10 MASAKA SEMBABULE'!L39,'22.10 MASAKA-SEMBABULE'!L39,'23.10 MASAKA-SEMBABULE'!L39)</f>
        <v>0</v>
      </c>
      <c r="M39" s="49">
        <f>AVERAGE('17.10 MASAKA SEMBABULE'!M39,'18.10 MASAKA-SEMBABULA-24HRS'!M39,'19.10 MASAKA-SEMBABULE-24HRS'!M39,'20.10 MASAKA-SEMBABULE'!M39,'21.10 MASAKA SEMBABULE'!M39,'22.10 MASAKA-SEMBABULE'!M39,'23.10 MASAKA-SEMBABULE'!M39)</f>
        <v>5.4285714285714288</v>
      </c>
      <c r="N39" s="49">
        <f>AVERAGE('17.10 MASAKA SEMBABULE'!N39,'18.10 MASAKA-SEMBABULA-24HRS'!N39,'19.10 MASAKA-SEMBABULE-24HRS'!N39,'20.10 MASAKA-SEMBABULE'!N39,'21.10 MASAKA SEMBABULE'!N39,'22.10 MASAKA-SEMBABULE'!N39,'23.10 MASAKA-SEMBABULE'!N39)</f>
        <v>0</v>
      </c>
      <c r="O39" s="15">
        <f t="shared" si="0"/>
        <v>4.8571428571428568</v>
      </c>
      <c r="P39" s="15">
        <f t="shared" si="1"/>
        <v>10.285714285714285</v>
      </c>
      <c r="R39" s="29" t="s">
        <v>87</v>
      </c>
      <c r="S39" s="57">
        <f t="shared" ref="S39:AF39" si="31">SUM(S19:S21)</f>
        <v>26.857142857142858</v>
      </c>
      <c r="T39" s="57">
        <f t="shared" si="31"/>
        <v>4.5714285714285712</v>
      </c>
      <c r="U39" s="57">
        <f t="shared" si="31"/>
        <v>8.8571428571428577</v>
      </c>
      <c r="V39" s="57">
        <f t="shared" si="31"/>
        <v>15</v>
      </c>
      <c r="W39" s="57">
        <f t="shared" si="31"/>
        <v>0.85714285714285698</v>
      </c>
      <c r="X39" s="57">
        <f t="shared" si="31"/>
        <v>0.42857142857142855</v>
      </c>
      <c r="Y39" s="57">
        <f t="shared" si="31"/>
        <v>16.142857142857142</v>
      </c>
      <c r="Z39" s="57">
        <f t="shared" si="31"/>
        <v>8</v>
      </c>
      <c r="AA39" s="57">
        <f t="shared" si="31"/>
        <v>5.1428571428571423</v>
      </c>
      <c r="AB39" s="57">
        <f t="shared" si="31"/>
        <v>0</v>
      </c>
      <c r="AC39" s="57">
        <f t="shared" si="31"/>
        <v>93.428571428571431</v>
      </c>
      <c r="AD39" s="57">
        <f t="shared" si="31"/>
        <v>0.14285714285714285</v>
      </c>
      <c r="AE39" s="58">
        <f t="shared" si="31"/>
        <v>85.999999999999986</v>
      </c>
      <c r="AF39" s="58">
        <f t="shared" si="31"/>
        <v>179.42857142857142</v>
      </c>
    </row>
    <row r="40" spans="2:32" ht="23.1" customHeight="1" x14ac:dyDescent="0.25">
      <c r="B40" s="24" t="s">
        <v>67</v>
      </c>
      <c r="C40" s="49">
        <f>AVERAGE('17.10 MASAKA SEMBABULE'!C40,'18.10 MASAKA-SEMBABULA-24HRS'!C40,'19.10 MASAKA-SEMBABULE-24HRS'!C40,'20.10 MASAKA-SEMBABULE'!C40,'21.10 MASAKA SEMBABULE'!C40,'22.10 MASAKA-SEMBABULE'!C40,'23.10 MASAKA-SEMBABULE'!C40)</f>
        <v>2.8571428571428572</v>
      </c>
      <c r="D40" s="49">
        <f>AVERAGE('17.10 MASAKA SEMBABULE'!D40,'18.10 MASAKA-SEMBABULA-24HRS'!D40,'19.10 MASAKA-SEMBABULE-24HRS'!D40,'20.10 MASAKA-SEMBABULE'!D40,'21.10 MASAKA SEMBABULE'!D40,'22.10 MASAKA-SEMBABULE'!D40,'23.10 MASAKA-SEMBABULE'!D40)</f>
        <v>0.14285714285714285</v>
      </c>
      <c r="E40" s="49">
        <f>AVERAGE('17.10 MASAKA SEMBABULE'!E40,'18.10 MASAKA-SEMBABULA-24HRS'!E40,'19.10 MASAKA-SEMBABULE-24HRS'!E40,'20.10 MASAKA-SEMBABULE'!E40,'21.10 MASAKA SEMBABULE'!E40,'22.10 MASAKA-SEMBABULE'!E40,'23.10 MASAKA-SEMBABULE'!E40)</f>
        <v>0.14285714285714285</v>
      </c>
      <c r="F40" s="49">
        <f>AVERAGE('17.10 MASAKA SEMBABULE'!F40,'18.10 MASAKA-SEMBABULA-24HRS'!F40,'19.10 MASAKA-SEMBABULE-24HRS'!F40,'20.10 MASAKA-SEMBABULE'!F40,'21.10 MASAKA SEMBABULE'!F40,'22.10 MASAKA-SEMBABULE'!F40,'23.10 MASAKA-SEMBABULE'!F40)</f>
        <v>1.1428571428571428</v>
      </c>
      <c r="G40" s="49">
        <f>AVERAGE('17.10 MASAKA SEMBABULE'!G40,'18.10 MASAKA-SEMBABULA-24HRS'!G40,'19.10 MASAKA-SEMBABULE-24HRS'!G40,'20.10 MASAKA-SEMBABULE'!G40,'21.10 MASAKA SEMBABULE'!G40,'22.10 MASAKA-SEMBABULE'!G40,'23.10 MASAKA-SEMBABULE'!G40)</f>
        <v>0</v>
      </c>
      <c r="H40" s="49">
        <f>AVERAGE('17.10 MASAKA SEMBABULE'!H40,'18.10 MASAKA-SEMBABULA-24HRS'!H40,'19.10 MASAKA-SEMBABULE-24HRS'!H40,'20.10 MASAKA-SEMBABULE'!H40,'21.10 MASAKA SEMBABULE'!H40,'22.10 MASAKA-SEMBABULE'!H40,'23.10 MASAKA-SEMBABULE'!H40)</f>
        <v>0</v>
      </c>
      <c r="I40" s="49">
        <f>AVERAGE('17.10 MASAKA SEMBABULE'!I40,'18.10 MASAKA-SEMBABULA-24HRS'!I40,'19.10 MASAKA-SEMBABULE-24HRS'!I40,'20.10 MASAKA-SEMBABULE'!I40,'21.10 MASAKA SEMBABULE'!I40,'22.10 MASAKA-SEMBABULE'!I40,'23.10 MASAKA-SEMBABULE'!I40)</f>
        <v>1.1428571428571428</v>
      </c>
      <c r="J40" s="49">
        <f>AVERAGE('17.10 MASAKA SEMBABULE'!J40,'18.10 MASAKA-SEMBABULA-24HRS'!J40,'19.10 MASAKA-SEMBABULE-24HRS'!J40,'20.10 MASAKA-SEMBABULE'!J40,'21.10 MASAKA SEMBABULE'!J40,'22.10 MASAKA-SEMBABULE'!J40,'23.10 MASAKA-SEMBABULE'!J40)</f>
        <v>0.2857142857142857</v>
      </c>
      <c r="K40" s="49">
        <f>AVERAGE('17.10 MASAKA SEMBABULE'!K40,'18.10 MASAKA-SEMBABULA-24HRS'!K40,'19.10 MASAKA-SEMBABULE-24HRS'!K40,'20.10 MASAKA-SEMBABULE'!K40,'21.10 MASAKA SEMBABULE'!K40,'22.10 MASAKA-SEMBABULE'!K40,'23.10 MASAKA-SEMBABULE'!K40)</f>
        <v>0.2857142857142857</v>
      </c>
      <c r="L40" s="49">
        <f>AVERAGE('17.10 MASAKA SEMBABULE'!L40,'18.10 MASAKA-SEMBABULA-24HRS'!L40,'19.10 MASAKA-SEMBABULE-24HRS'!L40,'20.10 MASAKA-SEMBABULE'!L40,'21.10 MASAKA SEMBABULE'!L40,'22.10 MASAKA-SEMBABULE'!L40,'23.10 MASAKA-SEMBABULE'!L40)</f>
        <v>0</v>
      </c>
      <c r="M40" s="49">
        <f>AVERAGE('17.10 MASAKA SEMBABULE'!M40,'18.10 MASAKA-SEMBABULA-24HRS'!M40,'19.10 MASAKA-SEMBABULE-24HRS'!M40,'20.10 MASAKA-SEMBABULE'!M40,'21.10 MASAKA SEMBABULE'!M40,'22.10 MASAKA-SEMBABULE'!M40,'23.10 MASAKA-SEMBABULE'!M40)</f>
        <v>7.2857142857142856</v>
      </c>
      <c r="N40" s="49">
        <f>AVERAGE('17.10 MASAKA SEMBABULE'!N40,'18.10 MASAKA-SEMBABULA-24HRS'!N40,'19.10 MASAKA-SEMBABULE-24HRS'!N40,'20.10 MASAKA-SEMBABULE'!N40,'21.10 MASAKA SEMBABULE'!N40,'22.10 MASAKA-SEMBABULE'!N40,'23.10 MASAKA-SEMBABULE'!N40)</f>
        <v>0</v>
      </c>
      <c r="O40" s="15">
        <f t="shared" si="0"/>
        <v>6</v>
      </c>
      <c r="P40" s="15">
        <f t="shared" si="1"/>
        <v>13.285714285714285</v>
      </c>
      <c r="R40" s="5" t="s">
        <v>17</v>
      </c>
      <c r="S40" s="57">
        <f t="shared" ref="S40:AF40" si="32">SUM(S10:S21)</f>
        <v>95.142857142857139</v>
      </c>
      <c r="T40" s="57">
        <f t="shared" si="32"/>
        <v>12.428571428571427</v>
      </c>
      <c r="U40" s="57">
        <f t="shared" si="32"/>
        <v>29.428571428571427</v>
      </c>
      <c r="V40" s="57">
        <f t="shared" si="32"/>
        <v>30.285714285714285</v>
      </c>
      <c r="W40" s="57">
        <f t="shared" si="32"/>
        <v>1.8571428571428568</v>
      </c>
      <c r="X40" s="57">
        <f t="shared" si="32"/>
        <v>0.42857142857142855</v>
      </c>
      <c r="Y40" s="57">
        <f t="shared" si="32"/>
        <v>51.857142857142854</v>
      </c>
      <c r="Z40" s="57">
        <f t="shared" si="32"/>
        <v>23.999999999999996</v>
      </c>
      <c r="AA40" s="57">
        <f t="shared" si="32"/>
        <v>14.285714285714285</v>
      </c>
      <c r="AB40" s="57">
        <f t="shared" si="32"/>
        <v>0.5714285714285714</v>
      </c>
      <c r="AC40" s="57">
        <f t="shared" si="32"/>
        <v>322.28571428571428</v>
      </c>
      <c r="AD40" s="57">
        <f t="shared" si="32"/>
        <v>0.42857142857142855</v>
      </c>
      <c r="AE40" s="58">
        <f t="shared" si="32"/>
        <v>260.71428571428572</v>
      </c>
      <c r="AF40" s="58">
        <f t="shared" si="32"/>
        <v>583</v>
      </c>
    </row>
    <row r="41" spans="2:32" ht="23.1" customHeight="1" x14ac:dyDescent="0.25">
      <c r="B41" s="23" t="s">
        <v>68</v>
      </c>
      <c r="C41" s="49">
        <f>AVERAGE('17.10 MASAKA SEMBABULE'!C41,'18.10 MASAKA-SEMBABULA-24HRS'!C41,'19.10 MASAKA-SEMBABULE-24HRS'!C41,'20.10 MASAKA-SEMBABULE'!C41,'21.10 MASAKA SEMBABULE'!C41,'22.10 MASAKA-SEMBABULE'!C41,'23.10 MASAKA-SEMBABULE'!C41)</f>
        <v>1.1428571428571428</v>
      </c>
      <c r="D41" s="49">
        <f>AVERAGE('17.10 MASAKA SEMBABULE'!D41,'18.10 MASAKA-SEMBABULA-24HRS'!D41,'19.10 MASAKA-SEMBABULE-24HRS'!D41,'20.10 MASAKA-SEMBABULE'!D41,'21.10 MASAKA SEMBABULE'!D41,'22.10 MASAKA-SEMBABULE'!D41,'23.10 MASAKA-SEMBABULE'!D41)</f>
        <v>0.5714285714285714</v>
      </c>
      <c r="E41" s="49">
        <f>AVERAGE('17.10 MASAKA SEMBABULE'!E41,'18.10 MASAKA-SEMBABULA-24HRS'!E41,'19.10 MASAKA-SEMBABULE-24HRS'!E41,'20.10 MASAKA-SEMBABULE'!E41,'21.10 MASAKA SEMBABULE'!E41,'22.10 MASAKA-SEMBABULE'!E41,'23.10 MASAKA-SEMBABULE'!E41)</f>
        <v>0.14285714285714285</v>
      </c>
      <c r="F41" s="49">
        <f>AVERAGE('17.10 MASAKA SEMBABULE'!F41,'18.10 MASAKA-SEMBABULA-24HRS'!F41,'19.10 MASAKA-SEMBABULE-24HRS'!F41,'20.10 MASAKA-SEMBABULE'!F41,'21.10 MASAKA SEMBABULE'!F41,'22.10 MASAKA-SEMBABULE'!F41,'23.10 MASAKA-SEMBABULE'!F41)</f>
        <v>1</v>
      </c>
      <c r="G41" s="49">
        <f>AVERAGE('17.10 MASAKA SEMBABULE'!G41,'18.10 MASAKA-SEMBABULA-24HRS'!G41,'19.10 MASAKA-SEMBABULE-24HRS'!G41,'20.10 MASAKA-SEMBABULE'!G41,'21.10 MASAKA SEMBABULE'!G41,'22.10 MASAKA-SEMBABULE'!G41,'23.10 MASAKA-SEMBABULE'!G41)</f>
        <v>0</v>
      </c>
      <c r="H41" s="49">
        <f>AVERAGE('17.10 MASAKA SEMBABULE'!H41,'18.10 MASAKA-SEMBABULA-24HRS'!H41,'19.10 MASAKA-SEMBABULE-24HRS'!H41,'20.10 MASAKA-SEMBABULE'!H41,'21.10 MASAKA SEMBABULE'!H41,'22.10 MASAKA-SEMBABULE'!H41,'23.10 MASAKA-SEMBABULE'!H41)</f>
        <v>0</v>
      </c>
      <c r="I41" s="49">
        <f>AVERAGE('17.10 MASAKA SEMBABULE'!I41,'18.10 MASAKA-SEMBABULA-24HRS'!I41,'19.10 MASAKA-SEMBABULE-24HRS'!I41,'20.10 MASAKA-SEMBABULE'!I41,'21.10 MASAKA SEMBABULE'!I41,'22.10 MASAKA-SEMBABULE'!I41,'23.10 MASAKA-SEMBABULE'!I41)</f>
        <v>0.42857142857142855</v>
      </c>
      <c r="J41" s="49">
        <f>AVERAGE('17.10 MASAKA SEMBABULE'!J41,'18.10 MASAKA-SEMBABULA-24HRS'!J41,'19.10 MASAKA-SEMBABULE-24HRS'!J41,'20.10 MASAKA-SEMBABULE'!J41,'21.10 MASAKA SEMBABULE'!J41,'22.10 MASAKA-SEMBABULE'!J41,'23.10 MASAKA-SEMBABULE'!J41)</f>
        <v>0.2857142857142857</v>
      </c>
      <c r="K41" s="49">
        <f>AVERAGE('17.10 MASAKA SEMBABULE'!K41,'18.10 MASAKA-SEMBABULA-24HRS'!K41,'19.10 MASAKA-SEMBABULE-24HRS'!K41,'20.10 MASAKA-SEMBABULE'!K41,'21.10 MASAKA SEMBABULE'!K41,'22.10 MASAKA-SEMBABULE'!K41,'23.10 MASAKA-SEMBABULE'!K41)</f>
        <v>0.14285714285714285</v>
      </c>
      <c r="L41" s="49">
        <f>AVERAGE('17.10 MASAKA SEMBABULE'!L41,'18.10 MASAKA-SEMBABULA-24HRS'!L41,'19.10 MASAKA-SEMBABULE-24HRS'!L41,'20.10 MASAKA-SEMBABULE'!L41,'21.10 MASAKA SEMBABULE'!L41,'22.10 MASAKA-SEMBABULE'!L41,'23.10 MASAKA-SEMBABULE'!L41)</f>
        <v>0.14285714285714285</v>
      </c>
      <c r="M41" s="49">
        <f>AVERAGE('17.10 MASAKA SEMBABULE'!M41,'18.10 MASAKA-SEMBABULA-24HRS'!M41,'19.10 MASAKA-SEMBABULE-24HRS'!M41,'20.10 MASAKA-SEMBABULE'!M41,'21.10 MASAKA SEMBABULE'!M41,'22.10 MASAKA-SEMBABULE'!M41,'23.10 MASAKA-SEMBABULE'!M41)</f>
        <v>7.1428571428571432</v>
      </c>
      <c r="N41" s="49">
        <f>AVERAGE('17.10 MASAKA SEMBABULE'!N41,'18.10 MASAKA-SEMBABULA-24HRS'!N41,'19.10 MASAKA-SEMBABULE-24HRS'!N41,'20.10 MASAKA-SEMBABULE'!N41,'21.10 MASAKA SEMBABULE'!N41,'22.10 MASAKA-SEMBABULE'!N41,'23.10 MASAKA-SEMBABULE'!N41)</f>
        <v>0</v>
      </c>
      <c r="O41" s="15">
        <f t="shared" si="0"/>
        <v>3.8571428571428563</v>
      </c>
      <c r="P41" s="15">
        <f t="shared" si="1"/>
        <v>11</v>
      </c>
      <c r="R41" s="5" t="s">
        <v>185</v>
      </c>
      <c r="S41" s="57">
        <f>SUM(S10:S33)</f>
        <v>147.14285714285714</v>
      </c>
      <c r="T41" s="57">
        <f t="shared" ref="T41:AD41" si="33">SUM(T10:T33)</f>
        <v>22.928571428571427</v>
      </c>
      <c r="U41" s="57">
        <f t="shared" si="33"/>
        <v>39.428571428571431</v>
      </c>
      <c r="V41" s="57">
        <f t="shared" si="33"/>
        <v>44.785714285714285</v>
      </c>
      <c r="W41" s="57">
        <f t="shared" si="33"/>
        <v>2.8571428571428568</v>
      </c>
      <c r="X41" s="57">
        <f t="shared" si="33"/>
        <v>1.4285714285714286</v>
      </c>
      <c r="Y41" s="57">
        <f t="shared" si="33"/>
        <v>70.357142857142861</v>
      </c>
      <c r="Z41" s="57">
        <f t="shared" si="33"/>
        <v>51</v>
      </c>
      <c r="AA41" s="57">
        <f t="shared" si="33"/>
        <v>16.785714285714285</v>
      </c>
      <c r="AB41" s="57">
        <f t="shared" si="33"/>
        <v>1.0714285714285714</v>
      </c>
      <c r="AC41" s="57">
        <f t="shared" si="33"/>
        <v>436.78571428571428</v>
      </c>
      <c r="AD41" s="57">
        <f t="shared" si="33"/>
        <v>0.42857142857142855</v>
      </c>
      <c r="AE41" s="58">
        <f>SUM(AE10:AE33)</f>
        <v>398.21428571428572</v>
      </c>
      <c r="AF41" s="58">
        <f>SUM(AF10:AF33)</f>
        <v>835</v>
      </c>
    </row>
    <row r="42" spans="2:32" ht="23.1" customHeight="1" x14ac:dyDescent="0.25">
      <c r="B42" s="24" t="s">
        <v>69</v>
      </c>
      <c r="C42" s="49">
        <f>AVERAGE('17.10 MASAKA SEMBABULE'!C42,'18.10 MASAKA-SEMBABULA-24HRS'!C42,'19.10 MASAKA-SEMBABULE-24HRS'!C42,'20.10 MASAKA-SEMBABULE'!C42,'21.10 MASAKA SEMBABULE'!C42,'22.10 MASAKA-SEMBABULE'!C42,'23.10 MASAKA-SEMBABULE'!C42)</f>
        <v>3</v>
      </c>
      <c r="D42" s="49">
        <f>AVERAGE('17.10 MASAKA SEMBABULE'!D42,'18.10 MASAKA-SEMBABULA-24HRS'!D42,'19.10 MASAKA-SEMBABULE-24HRS'!D42,'20.10 MASAKA-SEMBABULE'!D42,'21.10 MASAKA SEMBABULE'!D42,'22.10 MASAKA-SEMBABULE'!D42,'23.10 MASAKA-SEMBABULE'!D42)</f>
        <v>0.2857142857142857</v>
      </c>
      <c r="E42" s="49">
        <f>AVERAGE('17.10 MASAKA SEMBABULE'!E42,'18.10 MASAKA-SEMBABULA-24HRS'!E42,'19.10 MASAKA-SEMBABULE-24HRS'!E42,'20.10 MASAKA-SEMBABULE'!E42,'21.10 MASAKA SEMBABULE'!E42,'22.10 MASAKA-SEMBABULE'!E42,'23.10 MASAKA-SEMBABULE'!E42)</f>
        <v>0.14285714285714285</v>
      </c>
      <c r="F42" s="49">
        <f>AVERAGE('17.10 MASAKA SEMBABULE'!F42,'18.10 MASAKA-SEMBABULA-24HRS'!F42,'19.10 MASAKA-SEMBABULE-24HRS'!F42,'20.10 MASAKA-SEMBABULE'!F42,'21.10 MASAKA SEMBABULE'!F42,'22.10 MASAKA-SEMBABULE'!F42,'23.10 MASAKA-SEMBABULE'!F42)</f>
        <v>1.5714285714285714</v>
      </c>
      <c r="G42" s="49">
        <f>AVERAGE('17.10 MASAKA SEMBABULE'!G42,'18.10 MASAKA-SEMBABULA-24HRS'!G42,'19.10 MASAKA-SEMBABULE-24HRS'!G42,'20.10 MASAKA-SEMBABULE'!G42,'21.10 MASAKA SEMBABULE'!G42,'22.10 MASAKA-SEMBABULE'!G42,'23.10 MASAKA-SEMBABULE'!G42)</f>
        <v>0</v>
      </c>
      <c r="H42" s="49">
        <f>AVERAGE('17.10 MASAKA SEMBABULE'!H42,'18.10 MASAKA-SEMBABULA-24HRS'!H42,'19.10 MASAKA-SEMBABULE-24HRS'!H42,'20.10 MASAKA-SEMBABULE'!H42,'21.10 MASAKA SEMBABULE'!H42,'22.10 MASAKA-SEMBABULE'!H42,'23.10 MASAKA-SEMBABULE'!H42)</f>
        <v>0</v>
      </c>
      <c r="I42" s="49">
        <f>AVERAGE('17.10 MASAKA SEMBABULE'!I42,'18.10 MASAKA-SEMBABULA-24HRS'!I42,'19.10 MASAKA-SEMBABULE-24HRS'!I42,'20.10 MASAKA-SEMBABULE'!I42,'21.10 MASAKA SEMBABULE'!I42,'22.10 MASAKA-SEMBABULE'!I42,'23.10 MASAKA-SEMBABULE'!I42)</f>
        <v>1.7142857142857142</v>
      </c>
      <c r="J42" s="49">
        <f>AVERAGE('17.10 MASAKA SEMBABULE'!J42,'18.10 MASAKA-SEMBABULA-24HRS'!J42,'19.10 MASAKA-SEMBABULE-24HRS'!J42,'20.10 MASAKA-SEMBABULE'!J42,'21.10 MASAKA SEMBABULE'!J42,'22.10 MASAKA-SEMBABULE'!J42,'23.10 MASAKA-SEMBABULE'!J42)</f>
        <v>0.8571428571428571</v>
      </c>
      <c r="K42" s="49">
        <f>AVERAGE('17.10 MASAKA SEMBABULE'!K42,'18.10 MASAKA-SEMBABULA-24HRS'!K42,'19.10 MASAKA-SEMBABULE-24HRS'!K42,'20.10 MASAKA-SEMBABULE'!K42,'21.10 MASAKA SEMBABULE'!K42,'22.10 MASAKA-SEMBABULE'!K42,'23.10 MASAKA-SEMBABULE'!K42)</f>
        <v>0.2857142857142857</v>
      </c>
      <c r="L42" s="49">
        <f>AVERAGE('17.10 MASAKA SEMBABULE'!L42,'18.10 MASAKA-SEMBABULA-24HRS'!L42,'19.10 MASAKA-SEMBABULE-24HRS'!L42,'20.10 MASAKA-SEMBABULE'!L42,'21.10 MASAKA SEMBABULE'!L42,'22.10 MASAKA-SEMBABULE'!L42,'23.10 MASAKA-SEMBABULE'!L42)</f>
        <v>0</v>
      </c>
      <c r="M42" s="49">
        <f>AVERAGE('17.10 MASAKA SEMBABULE'!M42,'18.10 MASAKA-SEMBABULA-24HRS'!M42,'19.10 MASAKA-SEMBABULE-24HRS'!M42,'20.10 MASAKA-SEMBABULE'!M42,'21.10 MASAKA SEMBABULE'!M42,'22.10 MASAKA-SEMBABULE'!M42,'23.10 MASAKA-SEMBABULE'!M42)</f>
        <v>7.2857142857142856</v>
      </c>
      <c r="N42" s="49">
        <f>AVERAGE('17.10 MASAKA SEMBABULE'!N42,'18.10 MASAKA-SEMBABULA-24HRS'!N42,'19.10 MASAKA-SEMBABULE-24HRS'!N42,'20.10 MASAKA-SEMBABULE'!N42,'21.10 MASAKA SEMBABULE'!N42,'22.10 MASAKA-SEMBABULE'!N42,'23.10 MASAKA-SEMBABULE'!N42)</f>
        <v>0</v>
      </c>
      <c r="O42" s="15">
        <f t="shared" si="0"/>
        <v>7.8571428571428568</v>
      </c>
      <c r="P42" s="15">
        <f t="shared" si="1"/>
        <v>15.142857142857142</v>
      </c>
      <c r="R42" s="5" t="s">
        <v>160</v>
      </c>
      <c r="S42" s="48">
        <f>S41/S40</f>
        <v>1.5465465465465467</v>
      </c>
      <c r="T42" s="48">
        <f t="shared" ref="T42:AF42" si="34">T41/T40</f>
        <v>1.8448275862068966</v>
      </c>
      <c r="U42" s="48">
        <f t="shared" si="34"/>
        <v>1.3398058252427185</v>
      </c>
      <c r="V42" s="48">
        <f t="shared" si="34"/>
        <v>1.4787735849056605</v>
      </c>
      <c r="W42" s="48">
        <f t="shared" si="34"/>
        <v>1.5384615384615385</v>
      </c>
      <c r="X42" s="48">
        <f t="shared" si="34"/>
        <v>3.3333333333333335</v>
      </c>
      <c r="Y42" s="48">
        <f t="shared" si="34"/>
        <v>1.3567493112947659</v>
      </c>
      <c r="Z42" s="48">
        <f t="shared" si="34"/>
        <v>2.1250000000000004</v>
      </c>
      <c r="AA42" s="48">
        <f t="shared" si="34"/>
        <v>1.175</v>
      </c>
      <c r="AB42" s="48">
        <f t="shared" si="34"/>
        <v>1.875</v>
      </c>
      <c r="AC42" s="48">
        <f t="shared" si="34"/>
        <v>1.3552748226950355</v>
      </c>
      <c r="AD42" s="48">
        <f t="shared" si="34"/>
        <v>1</v>
      </c>
      <c r="AE42" s="59">
        <f t="shared" si="34"/>
        <v>1.5273972602739725</v>
      </c>
      <c r="AF42" s="59">
        <f t="shared" si="34"/>
        <v>1.4322469982847341</v>
      </c>
    </row>
    <row r="43" spans="2:32" ht="23.1" customHeight="1" x14ac:dyDescent="0.25">
      <c r="B43" s="23" t="s">
        <v>70</v>
      </c>
      <c r="C43" s="49">
        <f>AVERAGE('17.10 MASAKA SEMBABULE'!C43,'18.10 MASAKA-SEMBABULA-24HRS'!C43,'19.10 MASAKA-SEMBABULE-24HRS'!C43,'20.10 MASAKA-SEMBABULE'!C43,'21.10 MASAKA SEMBABULE'!C43,'22.10 MASAKA-SEMBABULE'!C43,'23.10 MASAKA-SEMBABULE'!C43)</f>
        <v>2</v>
      </c>
      <c r="D43" s="49">
        <f>AVERAGE('17.10 MASAKA SEMBABULE'!D43,'18.10 MASAKA-SEMBABULA-24HRS'!D43,'19.10 MASAKA-SEMBABULE-24HRS'!D43,'20.10 MASAKA-SEMBABULE'!D43,'21.10 MASAKA SEMBABULE'!D43,'22.10 MASAKA-SEMBABULE'!D43,'23.10 MASAKA-SEMBABULE'!D43)</f>
        <v>0.14285714285714285</v>
      </c>
      <c r="E43" s="49">
        <f>AVERAGE('17.10 MASAKA SEMBABULE'!E43,'18.10 MASAKA-SEMBABULA-24HRS'!E43,'19.10 MASAKA-SEMBABULE-24HRS'!E43,'20.10 MASAKA-SEMBABULE'!E43,'21.10 MASAKA SEMBABULE'!E43,'22.10 MASAKA-SEMBABULE'!E43,'23.10 MASAKA-SEMBABULE'!E43)</f>
        <v>0.42857142857142855</v>
      </c>
      <c r="F43" s="49">
        <f>AVERAGE('17.10 MASAKA SEMBABULE'!F43,'18.10 MASAKA-SEMBABULA-24HRS'!F43,'19.10 MASAKA-SEMBABULE-24HRS'!F43,'20.10 MASAKA-SEMBABULE'!F43,'21.10 MASAKA SEMBABULE'!F43,'22.10 MASAKA-SEMBABULE'!F43,'23.10 MASAKA-SEMBABULE'!F43)</f>
        <v>0.5714285714285714</v>
      </c>
      <c r="G43" s="49">
        <f>AVERAGE('17.10 MASAKA SEMBABULE'!G43,'18.10 MASAKA-SEMBABULA-24HRS'!G43,'19.10 MASAKA-SEMBABULE-24HRS'!G43,'20.10 MASAKA-SEMBABULE'!G43,'21.10 MASAKA SEMBABULE'!G43,'22.10 MASAKA-SEMBABULE'!G43,'23.10 MASAKA-SEMBABULE'!G43)</f>
        <v>0</v>
      </c>
      <c r="H43" s="49">
        <f>AVERAGE('17.10 MASAKA SEMBABULE'!H43,'18.10 MASAKA-SEMBABULA-24HRS'!H43,'19.10 MASAKA-SEMBABULE-24HRS'!H43,'20.10 MASAKA-SEMBABULE'!H43,'21.10 MASAKA SEMBABULE'!H43,'22.10 MASAKA-SEMBABULE'!H43,'23.10 MASAKA-SEMBABULE'!H43)</f>
        <v>0</v>
      </c>
      <c r="I43" s="49">
        <f>AVERAGE('17.10 MASAKA SEMBABULE'!I43,'18.10 MASAKA-SEMBABULA-24HRS'!I43,'19.10 MASAKA-SEMBABULE-24HRS'!I43,'20.10 MASAKA-SEMBABULE'!I43,'21.10 MASAKA SEMBABULE'!I43,'22.10 MASAKA-SEMBABULE'!I43,'23.10 MASAKA-SEMBABULE'!I43)</f>
        <v>0.7142857142857143</v>
      </c>
      <c r="J43" s="49">
        <f>AVERAGE('17.10 MASAKA SEMBABULE'!J43,'18.10 MASAKA-SEMBABULA-24HRS'!J43,'19.10 MASAKA-SEMBABULE-24HRS'!J43,'20.10 MASAKA-SEMBABULE'!J43,'21.10 MASAKA SEMBABULE'!J43,'22.10 MASAKA-SEMBABULE'!J43,'23.10 MASAKA-SEMBABULE'!J43)</f>
        <v>0</v>
      </c>
      <c r="K43" s="49">
        <f>AVERAGE('17.10 MASAKA SEMBABULE'!K43,'18.10 MASAKA-SEMBABULA-24HRS'!K43,'19.10 MASAKA-SEMBABULE-24HRS'!K43,'20.10 MASAKA-SEMBABULE'!K43,'21.10 MASAKA SEMBABULE'!K43,'22.10 MASAKA-SEMBABULE'!K43,'23.10 MASAKA-SEMBABULE'!K43)</f>
        <v>0</v>
      </c>
      <c r="L43" s="49">
        <f>AVERAGE('17.10 MASAKA SEMBABULE'!L43,'18.10 MASAKA-SEMBABULA-24HRS'!L43,'19.10 MASAKA-SEMBABULE-24HRS'!L43,'20.10 MASAKA-SEMBABULE'!L43,'21.10 MASAKA SEMBABULE'!L43,'22.10 MASAKA-SEMBABULE'!L43,'23.10 MASAKA-SEMBABULE'!L43)</f>
        <v>0</v>
      </c>
      <c r="M43" s="49">
        <f>AVERAGE('17.10 MASAKA SEMBABULE'!M43,'18.10 MASAKA-SEMBABULA-24HRS'!M43,'19.10 MASAKA-SEMBABULE-24HRS'!M43,'20.10 MASAKA-SEMBABULE'!M43,'21.10 MASAKA SEMBABULE'!M43,'22.10 MASAKA-SEMBABULE'!M43,'23.10 MASAKA-SEMBABULE'!M43)</f>
        <v>7.7142857142857144</v>
      </c>
      <c r="N43" s="49">
        <f>AVERAGE('17.10 MASAKA SEMBABULE'!N43,'18.10 MASAKA-SEMBABULA-24HRS'!N43,'19.10 MASAKA-SEMBABULE-24HRS'!N43,'20.10 MASAKA-SEMBABULE'!N43,'21.10 MASAKA SEMBABULE'!N43,'22.10 MASAKA-SEMBABULE'!N43,'23.10 MASAKA-SEMBABULE'!N43)</f>
        <v>0</v>
      </c>
      <c r="O43" s="15">
        <f t="shared" si="0"/>
        <v>3.8571428571428568</v>
      </c>
      <c r="P43" s="15">
        <f t="shared" si="1"/>
        <v>11.571428571428571</v>
      </c>
    </row>
    <row r="44" spans="2:32" ht="23.1" customHeight="1" x14ac:dyDescent="0.25">
      <c r="B44" s="25" t="s">
        <v>71</v>
      </c>
      <c r="C44" s="49">
        <f>AVERAGE('17.10 MASAKA SEMBABULE'!C44,'18.10 MASAKA-SEMBABULA-24HRS'!C44,'19.10 MASAKA-SEMBABULE-24HRS'!C44,'20.10 MASAKA-SEMBABULE'!C44,'21.10 MASAKA SEMBABULE'!C44,'22.10 MASAKA-SEMBABULE'!C44,'23.10 MASAKA-SEMBABULE'!C44)</f>
        <v>2.5714285714285716</v>
      </c>
      <c r="D44" s="49">
        <f>AVERAGE('17.10 MASAKA SEMBABULE'!D44,'18.10 MASAKA-SEMBABULA-24HRS'!D44,'19.10 MASAKA-SEMBABULE-24HRS'!D44,'20.10 MASAKA-SEMBABULE'!D44,'21.10 MASAKA SEMBABULE'!D44,'22.10 MASAKA-SEMBABULE'!D44,'23.10 MASAKA-SEMBABULE'!D44)</f>
        <v>0</v>
      </c>
      <c r="E44" s="49">
        <f>AVERAGE('17.10 MASAKA SEMBABULE'!E44,'18.10 MASAKA-SEMBABULA-24HRS'!E44,'19.10 MASAKA-SEMBABULE-24HRS'!E44,'20.10 MASAKA-SEMBABULE'!E44,'21.10 MASAKA SEMBABULE'!E44,'22.10 MASAKA-SEMBABULE'!E44,'23.10 MASAKA-SEMBABULE'!E44)</f>
        <v>0.2857142857142857</v>
      </c>
      <c r="F44" s="49">
        <f>AVERAGE('17.10 MASAKA SEMBABULE'!F44,'18.10 MASAKA-SEMBABULA-24HRS'!F44,'19.10 MASAKA-SEMBABULE-24HRS'!F44,'20.10 MASAKA-SEMBABULE'!F44,'21.10 MASAKA SEMBABULE'!F44,'22.10 MASAKA-SEMBABULE'!F44,'23.10 MASAKA-SEMBABULE'!F44)</f>
        <v>1.8571428571428572</v>
      </c>
      <c r="G44" s="49">
        <f>AVERAGE('17.10 MASAKA SEMBABULE'!G44,'18.10 MASAKA-SEMBABULA-24HRS'!G44,'19.10 MASAKA-SEMBABULE-24HRS'!G44,'20.10 MASAKA-SEMBABULE'!G44,'21.10 MASAKA SEMBABULE'!G44,'22.10 MASAKA-SEMBABULE'!G44,'23.10 MASAKA-SEMBABULE'!G44)</f>
        <v>0</v>
      </c>
      <c r="H44" s="49">
        <f>AVERAGE('17.10 MASAKA SEMBABULE'!H44,'18.10 MASAKA-SEMBABULA-24HRS'!H44,'19.10 MASAKA-SEMBABULE-24HRS'!H44,'20.10 MASAKA-SEMBABULE'!H44,'21.10 MASAKA SEMBABULE'!H44,'22.10 MASAKA-SEMBABULE'!H44,'23.10 MASAKA-SEMBABULE'!H44)</f>
        <v>0</v>
      </c>
      <c r="I44" s="49">
        <f>AVERAGE('17.10 MASAKA SEMBABULE'!I44,'18.10 MASAKA-SEMBABULA-24HRS'!I44,'19.10 MASAKA-SEMBABULE-24HRS'!I44,'20.10 MASAKA-SEMBABULE'!I44,'21.10 MASAKA SEMBABULE'!I44,'22.10 MASAKA-SEMBABULE'!I44,'23.10 MASAKA-SEMBABULE'!I44)</f>
        <v>1</v>
      </c>
      <c r="J44" s="49">
        <f>AVERAGE('17.10 MASAKA SEMBABULE'!J44,'18.10 MASAKA-SEMBABULA-24HRS'!J44,'19.10 MASAKA-SEMBABULE-24HRS'!J44,'20.10 MASAKA-SEMBABULE'!J44,'21.10 MASAKA SEMBABULE'!J44,'22.10 MASAKA-SEMBABULE'!J44,'23.10 MASAKA-SEMBABULE'!J44)</f>
        <v>0.8571428571428571</v>
      </c>
      <c r="K44" s="49">
        <f>AVERAGE('17.10 MASAKA SEMBABULE'!K44,'18.10 MASAKA-SEMBABULA-24HRS'!K44,'19.10 MASAKA-SEMBABULE-24HRS'!K44,'20.10 MASAKA-SEMBABULE'!K44,'21.10 MASAKA SEMBABULE'!K44,'22.10 MASAKA-SEMBABULE'!K44,'23.10 MASAKA-SEMBABULE'!K44)</f>
        <v>0.14285714285714285</v>
      </c>
      <c r="L44" s="49">
        <f>AVERAGE('17.10 MASAKA SEMBABULE'!L44,'18.10 MASAKA-SEMBABULA-24HRS'!L44,'19.10 MASAKA-SEMBABULE-24HRS'!L44,'20.10 MASAKA-SEMBABULE'!L44,'21.10 MASAKA SEMBABULE'!L44,'22.10 MASAKA-SEMBABULE'!L44,'23.10 MASAKA-SEMBABULE'!L44)</f>
        <v>0</v>
      </c>
      <c r="M44" s="49">
        <f>AVERAGE('17.10 MASAKA SEMBABULE'!M44,'18.10 MASAKA-SEMBABULA-24HRS'!M44,'19.10 MASAKA-SEMBABULE-24HRS'!M44,'20.10 MASAKA-SEMBABULE'!M44,'21.10 MASAKA SEMBABULE'!M44,'22.10 MASAKA-SEMBABULE'!M44,'23.10 MASAKA-SEMBABULE'!M44)</f>
        <v>8.1428571428571423</v>
      </c>
      <c r="N44" s="49">
        <f>AVERAGE('17.10 MASAKA SEMBABULE'!N44,'18.10 MASAKA-SEMBABULA-24HRS'!N44,'19.10 MASAKA-SEMBABULE-24HRS'!N44,'20.10 MASAKA-SEMBABULE'!N44,'21.10 MASAKA SEMBABULE'!N44,'22.10 MASAKA-SEMBABULE'!N44,'23.10 MASAKA-SEMBABULE'!N44)</f>
        <v>0.14285714285714285</v>
      </c>
      <c r="O44" s="15">
        <f t="shared" si="0"/>
        <v>6.8571428571428577</v>
      </c>
      <c r="P44" s="15">
        <f t="shared" si="1"/>
        <v>15</v>
      </c>
    </row>
    <row r="45" spans="2:32" ht="23.1" customHeight="1" x14ac:dyDescent="0.25">
      <c r="B45" s="23" t="s">
        <v>72</v>
      </c>
      <c r="C45" s="49">
        <f>AVERAGE('17.10 MASAKA SEMBABULE'!C45,'18.10 MASAKA-SEMBABULA-24HRS'!C45,'19.10 MASAKA-SEMBABULE-24HRS'!C45,'20.10 MASAKA-SEMBABULE'!C45,'21.10 MASAKA SEMBABULE'!C45,'22.10 MASAKA-SEMBABULE'!C45,'23.10 MASAKA-SEMBABULE'!C45)</f>
        <v>1.4285714285714286</v>
      </c>
      <c r="D45" s="49">
        <f>AVERAGE('17.10 MASAKA SEMBABULE'!D45,'18.10 MASAKA-SEMBABULA-24HRS'!D45,'19.10 MASAKA-SEMBABULE-24HRS'!D45,'20.10 MASAKA-SEMBABULE'!D45,'21.10 MASAKA SEMBABULE'!D45,'22.10 MASAKA-SEMBABULE'!D45,'23.10 MASAKA-SEMBABULE'!D45)</f>
        <v>0.14285714285714285</v>
      </c>
      <c r="E45" s="49">
        <f>AVERAGE('17.10 MASAKA SEMBABULE'!E45,'18.10 MASAKA-SEMBABULA-24HRS'!E45,'19.10 MASAKA-SEMBABULE-24HRS'!E45,'20.10 MASAKA-SEMBABULE'!E45,'21.10 MASAKA SEMBABULE'!E45,'22.10 MASAKA-SEMBABULE'!E45,'23.10 MASAKA-SEMBABULE'!E45)</f>
        <v>0</v>
      </c>
      <c r="F45" s="49">
        <f>AVERAGE('17.10 MASAKA SEMBABULE'!F45,'18.10 MASAKA-SEMBABULA-24HRS'!F45,'19.10 MASAKA-SEMBABULE-24HRS'!F45,'20.10 MASAKA-SEMBABULE'!F45,'21.10 MASAKA SEMBABULE'!F45,'22.10 MASAKA-SEMBABULE'!F45,'23.10 MASAKA-SEMBABULE'!F45)</f>
        <v>0.42857142857142855</v>
      </c>
      <c r="G45" s="49">
        <f>AVERAGE('17.10 MASAKA SEMBABULE'!G45,'18.10 MASAKA-SEMBABULA-24HRS'!G45,'19.10 MASAKA-SEMBABULE-24HRS'!G45,'20.10 MASAKA-SEMBABULE'!G45,'21.10 MASAKA SEMBABULE'!G45,'22.10 MASAKA-SEMBABULE'!G45,'23.10 MASAKA-SEMBABULE'!G45)</f>
        <v>0.14285714285714285</v>
      </c>
      <c r="H45" s="49">
        <f>AVERAGE('17.10 MASAKA SEMBABULE'!H45,'18.10 MASAKA-SEMBABULA-24HRS'!H45,'19.10 MASAKA-SEMBABULE-24HRS'!H45,'20.10 MASAKA-SEMBABULE'!H45,'21.10 MASAKA SEMBABULE'!H45,'22.10 MASAKA-SEMBABULE'!H45,'23.10 MASAKA-SEMBABULE'!H45)</f>
        <v>0</v>
      </c>
      <c r="I45" s="49">
        <f>AVERAGE('17.10 MASAKA SEMBABULE'!I45,'18.10 MASAKA-SEMBABULA-24HRS'!I45,'19.10 MASAKA-SEMBABULE-24HRS'!I45,'20.10 MASAKA-SEMBABULE'!I45,'21.10 MASAKA SEMBABULE'!I45,'22.10 MASAKA-SEMBABULE'!I45,'23.10 MASAKA-SEMBABULE'!I45)</f>
        <v>1.2857142857142858</v>
      </c>
      <c r="J45" s="49">
        <f>AVERAGE('17.10 MASAKA SEMBABULE'!J45,'18.10 MASAKA-SEMBABULA-24HRS'!J45,'19.10 MASAKA-SEMBABULE-24HRS'!J45,'20.10 MASAKA-SEMBABULE'!J45,'21.10 MASAKA SEMBABULE'!J45,'22.10 MASAKA-SEMBABULE'!J45,'23.10 MASAKA-SEMBABULE'!J45)</f>
        <v>0.42857142857142855</v>
      </c>
      <c r="K45" s="49">
        <f>AVERAGE('17.10 MASAKA SEMBABULE'!K45,'18.10 MASAKA-SEMBABULA-24HRS'!K45,'19.10 MASAKA-SEMBABULE-24HRS'!K45,'20.10 MASAKA-SEMBABULE'!K45,'21.10 MASAKA SEMBABULE'!K45,'22.10 MASAKA-SEMBABULE'!K45,'23.10 MASAKA-SEMBABULE'!K45)</f>
        <v>0.14285714285714285</v>
      </c>
      <c r="L45" s="49">
        <f>AVERAGE('17.10 MASAKA SEMBABULE'!L45,'18.10 MASAKA-SEMBABULA-24HRS'!L45,'19.10 MASAKA-SEMBABULE-24HRS'!L45,'20.10 MASAKA-SEMBABULE'!L45,'21.10 MASAKA SEMBABULE'!L45,'22.10 MASAKA-SEMBABULE'!L45,'23.10 MASAKA-SEMBABULE'!L45)</f>
        <v>0</v>
      </c>
      <c r="M45" s="49">
        <f>AVERAGE('17.10 MASAKA SEMBABULE'!M45,'18.10 MASAKA-SEMBABULA-24HRS'!M45,'19.10 MASAKA-SEMBABULE-24HRS'!M45,'20.10 MASAKA-SEMBABULE'!M45,'21.10 MASAKA SEMBABULE'!M45,'22.10 MASAKA-SEMBABULE'!M45,'23.10 MASAKA-SEMBABULE'!M45)</f>
        <v>6.1428571428571432</v>
      </c>
      <c r="N45" s="49">
        <f>AVERAGE('17.10 MASAKA SEMBABULE'!N45,'18.10 MASAKA-SEMBABULA-24HRS'!N45,'19.10 MASAKA-SEMBABULE-24HRS'!N45,'20.10 MASAKA-SEMBABULE'!N45,'21.10 MASAKA SEMBABULE'!N45,'22.10 MASAKA-SEMBABULE'!N45,'23.10 MASAKA-SEMBABULE'!N45)</f>
        <v>0</v>
      </c>
      <c r="O45" s="15">
        <f t="shared" si="0"/>
        <v>4</v>
      </c>
      <c r="P45" s="15">
        <f t="shared" si="1"/>
        <v>10.142857142857142</v>
      </c>
    </row>
    <row r="46" spans="2:32" ht="23.1" customHeight="1" x14ac:dyDescent="0.25">
      <c r="B46" s="24" t="s">
        <v>73</v>
      </c>
      <c r="C46" s="49">
        <f>AVERAGE('17.10 MASAKA SEMBABULE'!C46,'18.10 MASAKA-SEMBABULA-24HRS'!C46,'19.10 MASAKA-SEMBABULE-24HRS'!C46,'20.10 MASAKA-SEMBABULE'!C46,'21.10 MASAKA SEMBABULE'!C46,'22.10 MASAKA-SEMBABULE'!C46,'23.10 MASAKA-SEMBABULE'!C46)</f>
        <v>1.7142857142857142</v>
      </c>
      <c r="D46" s="49">
        <f>AVERAGE('17.10 MASAKA SEMBABULE'!D46,'18.10 MASAKA-SEMBABULA-24HRS'!D46,'19.10 MASAKA-SEMBABULE-24HRS'!D46,'20.10 MASAKA-SEMBABULE'!D46,'21.10 MASAKA SEMBABULE'!D46,'22.10 MASAKA-SEMBABULE'!D46,'23.10 MASAKA-SEMBABULE'!D46)</f>
        <v>0.2857142857142857</v>
      </c>
      <c r="E46" s="49">
        <f>AVERAGE('17.10 MASAKA SEMBABULE'!E46,'18.10 MASAKA-SEMBABULA-24HRS'!E46,'19.10 MASAKA-SEMBABULE-24HRS'!E46,'20.10 MASAKA-SEMBABULE'!E46,'21.10 MASAKA SEMBABULE'!E46,'22.10 MASAKA-SEMBABULE'!E46,'23.10 MASAKA-SEMBABULE'!E46)</f>
        <v>0.2857142857142857</v>
      </c>
      <c r="F46" s="49">
        <f>AVERAGE('17.10 MASAKA SEMBABULE'!F46,'18.10 MASAKA-SEMBABULA-24HRS'!F46,'19.10 MASAKA-SEMBABULE-24HRS'!F46,'20.10 MASAKA-SEMBABULE'!F46,'21.10 MASAKA SEMBABULE'!F46,'22.10 MASAKA-SEMBABULE'!F46,'23.10 MASAKA-SEMBABULE'!F46)</f>
        <v>1.1428571428571428</v>
      </c>
      <c r="G46" s="49">
        <f>AVERAGE('17.10 MASAKA SEMBABULE'!G46,'18.10 MASAKA-SEMBABULA-24HRS'!G46,'19.10 MASAKA-SEMBABULE-24HRS'!G46,'20.10 MASAKA-SEMBABULE'!G46,'21.10 MASAKA SEMBABULE'!G46,'22.10 MASAKA-SEMBABULE'!G46,'23.10 MASAKA-SEMBABULE'!G46)</f>
        <v>0</v>
      </c>
      <c r="H46" s="49">
        <f>AVERAGE('17.10 MASAKA SEMBABULE'!H46,'18.10 MASAKA-SEMBABULA-24HRS'!H46,'19.10 MASAKA-SEMBABULE-24HRS'!H46,'20.10 MASAKA-SEMBABULE'!H46,'21.10 MASAKA SEMBABULE'!H46,'22.10 MASAKA-SEMBABULE'!H46,'23.10 MASAKA-SEMBABULE'!H46)</f>
        <v>0</v>
      </c>
      <c r="I46" s="49">
        <f>AVERAGE('17.10 MASAKA SEMBABULE'!I46,'18.10 MASAKA-SEMBABULA-24HRS'!I46,'19.10 MASAKA-SEMBABULE-24HRS'!I46,'20.10 MASAKA-SEMBABULE'!I46,'21.10 MASAKA SEMBABULE'!I46,'22.10 MASAKA-SEMBABULE'!I46,'23.10 MASAKA-SEMBABULE'!I46)</f>
        <v>1.2857142857142858</v>
      </c>
      <c r="J46" s="49">
        <f>AVERAGE('17.10 MASAKA SEMBABULE'!J46,'18.10 MASAKA-SEMBABULA-24HRS'!J46,'19.10 MASAKA-SEMBABULE-24HRS'!J46,'20.10 MASAKA-SEMBABULE'!J46,'21.10 MASAKA SEMBABULE'!J46,'22.10 MASAKA-SEMBABULE'!J46,'23.10 MASAKA-SEMBABULE'!J46)</f>
        <v>0.14285714285714285</v>
      </c>
      <c r="K46" s="49">
        <f>AVERAGE('17.10 MASAKA SEMBABULE'!K46,'18.10 MASAKA-SEMBABULA-24HRS'!K46,'19.10 MASAKA-SEMBABULE-24HRS'!K46,'20.10 MASAKA-SEMBABULE'!K46,'21.10 MASAKA SEMBABULE'!K46,'22.10 MASAKA-SEMBABULE'!K46,'23.10 MASAKA-SEMBABULE'!K46)</f>
        <v>0</v>
      </c>
      <c r="L46" s="49">
        <f>AVERAGE('17.10 MASAKA SEMBABULE'!L46,'18.10 MASAKA-SEMBABULA-24HRS'!L46,'19.10 MASAKA-SEMBABULE-24HRS'!L46,'20.10 MASAKA-SEMBABULE'!L46,'21.10 MASAKA SEMBABULE'!L46,'22.10 MASAKA-SEMBABULE'!L46,'23.10 MASAKA-SEMBABULE'!L46)</f>
        <v>0</v>
      </c>
      <c r="M46" s="49">
        <f>AVERAGE('17.10 MASAKA SEMBABULE'!M46,'18.10 MASAKA-SEMBABULA-24HRS'!M46,'19.10 MASAKA-SEMBABULE-24HRS'!M46,'20.10 MASAKA-SEMBABULE'!M46,'21.10 MASAKA SEMBABULE'!M46,'22.10 MASAKA-SEMBABULE'!M46,'23.10 MASAKA-SEMBABULE'!M46)</f>
        <v>6.1428571428571432</v>
      </c>
      <c r="N46" s="49">
        <f>AVERAGE('17.10 MASAKA SEMBABULE'!N46,'18.10 MASAKA-SEMBABULA-24HRS'!N46,'19.10 MASAKA-SEMBABULE-24HRS'!N46,'20.10 MASAKA-SEMBABULE'!N46,'21.10 MASAKA SEMBABULE'!N46,'22.10 MASAKA-SEMBABULE'!N46,'23.10 MASAKA-SEMBABULE'!N46)</f>
        <v>0</v>
      </c>
      <c r="O46" s="15">
        <f t="shared" si="0"/>
        <v>4.8571428571428577</v>
      </c>
      <c r="P46" s="15">
        <f t="shared" si="1"/>
        <v>11</v>
      </c>
      <c r="R46" s="8"/>
      <c r="T46"/>
    </row>
    <row r="47" spans="2:32" ht="23.1" customHeight="1" x14ac:dyDescent="0.25">
      <c r="B47" s="24" t="s">
        <v>74</v>
      </c>
      <c r="C47" s="49">
        <f>AVERAGE('17.10 MASAKA SEMBABULE'!C47,'18.10 MASAKA-SEMBABULA-24HRS'!C47,'19.10 MASAKA-SEMBABULE-24HRS'!C47,'20.10 MASAKA-SEMBABULE'!C47,'21.10 MASAKA SEMBABULE'!C47,'22.10 MASAKA-SEMBABULE'!C47,'23.10 MASAKA-SEMBABULE'!C47)</f>
        <v>2</v>
      </c>
      <c r="D47" s="49">
        <f>AVERAGE('17.10 MASAKA SEMBABULE'!D47,'18.10 MASAKA-SEMBABULA-24HRS'!D47,'19.10 MASAKA-SEMBABULE-24HRS'!D47,'20.10 MASAKA-SEMBABULE'!D47,'21.10 MASAKA SEMBABULE'!D47,'22.10 MASAKA-SEMBABULE'!D47,'23.10 MASAKA-SEMBABULE'!D47)</f>
        <v>0.2857142857142857</v>
      </c>
      <c r="E47" s="49">
        <f>AVERAGE('17.10 MASAKA SEMBABULE'!E47,'18.10 MASAKA-SEMBABULA-24HRS'!E47,'19.10 MASAKA-SEMBABULE-24HRS'!E47,'20.10 MASAKA-SEMBABULE'!E47,'21.10 MASAKA SEMBABULE'!E47,'22.10 MASAKA-SEMBABULE'!E47,'23.10 MASAKA-SEMBABULE'!E47)</f>
        <v>0.42857142857142855</v>
      </c>
      <c r="F47" s="49">
        <f>AVERAGE('17.10 MASAKA SEMBABULE'!F47,'18.10 MASAKA-SEMBABULA-24HRS'!F47,'19.10 MASAKA-SEMBABULE-24HRS'!F47,'20.10 MASAKA-SEMBABULE'!F47,'21.10 MASAKA SEMBABULE'!F47,'22.10 MASAKA-SEMBABULE'!F47,'23.10 MASAKA-SEMBABULE'!F47)</f>
        <v>1.2857142857142858</v>
      </c>
      <c r="G47" s="49">
        <f>AVERAGE('17.10 MASAKA SEMBABULE'!G47,'18.10 MASAKA-SEMBABULA-24HRS'!G47,'19.10 MASAKA-SEMBABULE-24HRS'!G47,'20.10 MASAKA-SEMBABULE'!G47,'21.10 MASAKA SEMBABULE'!G47,'22.10 MASAKA-SEMBABULE'!G47,'23.10 MASAKA-SEMBABULE'!G47)</f>
        <v>0</v>
      </c>
      <c r="H47" s="49">
        <f>AVERAGE('17.10 MASAKA SEMBABULE'!H47,'18.10 MASAKA-SEMBABULA-24HRS'!H47,'19.10 MASAKA-SEMBABULE-24HRS'!H47,'20.10 MASAKA-SEMBABULE'!H47,'21.10 MASAKA SEMBABULE'!H47,'22.10 MASAKA-SEMBABULE'!H47,'23.10 MASAKA-SEMBABULE'!H47)</f>
        <v>0</v>
      </c>
      <c r="I47" s="49">
        <f>AVERAGE('17.10 MASAKA SEMBABULE'!I47,'18.10 MASAKA-SEMBABULA-24HRS'!I47,'19.10 MASAKA-SEMBABULE-24HRS'!I47,'20.10 MASAKA-SEMBABULE'!I47,'21.10 MASAKA SEMBABULE'!I47,'22.10 MASAKA-SEMBABULE'!I47,'23.10 MASAKA-SEMBABULE'!I47)</f>
        <v>1.2857142857142858</v>
      </c>
      <c r="J47" s="49">
        <f>AVERAGE('17.10 MASAKA SEMBABULE'!J47,'18.10 MASAKA-SEMBABULA-24HRS'!J47,'19.10 MASAKA-SEMBABULE-24HRS'!J47,'20.10 MASAKA-SEMBABULE'!J47,'21.10 MASAKA SEMBABULE'!J47,'22.10 MASAKA-SEMBABULE'!J47,'23.10 MASAKA-SEMBABULE'!J47)</f>
        <v>0.7142857142857143</v>
      </c>
      <c r="K47" s="49">
        <f>AVERAGE('17.10 MASAKA SEMBABULE'!K47,'18.10 MASAKA-SEMBABULA-24HRS'!K47,'19.10 MASAKA-SEMBABULE-24HRS'!K47,'20.10 MASAKA-SEMBABULE'!K47,'21.10 MASAKA SEMBABULE'!K47,'22.10 MASAKA-SEMBABULE'!K47,'23.10 MASAKA-SEMBABULE'!K47)</f>
        <v>0.2857142857142857</v>
      </c>
      <c r="L47" s="49">
        <f>AVERAGE('17.10 MASAKA SEMBABULE'!L47,'18.10 MASAKA-SEMBABULA-24HRS'!L47,'19.10 MASAKA-SEMBABULE-24HRS'!L47,'20.10 MASAKA-SEMBABULE'!L47,'21.10 MASAKA SEMBABULE'!L47,'22.10 MASAKA-SEMBABULE'!L47,'23.10 MASAKA-SEMBABULE'!L47)</f>
        <v>0</v>
      </c>
      <c r="M47" s="49">
        <f>AVERAGE('17.10 MASAKA SEMBABULE'!M47,'18.10 MASAKA-SEMBABULA-24HRS'!M47,'19.10 MASAKA-SEMBABULE-24HRS'!M47,'20.10 MASAKA-SEMBABULE'!M47,'21.10 MASAKA SEMBABULE'!M47,'22.10 MASAKA-SEMBABULE'!M47,'23.10 MASAKA-SEMBABULE'!M47)</f>
        <v>9</v>
      </c>
      <c r="N47" s="49">
        <f>AVERAGE('17.10 MASAKA SEMBABULE'!N47,'18.10 MASAKA-SEMBABULA-24HRS'!N47,'19.10 MASAKA-SEMBABULE-24HRS'!N47,'20.10 MASAKA-SEMBABULE'!N47,'21.10 MASAKA SEMBABULE'!N47,'22.10 MASAKA-SEMBABULE'!N47,'23.10 MASAKA-SEMBABULE'!N47)</f>
        <v>0.14285714285714285</v>
      </c>
      <c r="O47" s="15">
        <f t="shared" si="0"/>
        <v>6.4285714285714288</v>
      </c>
      <c r="P47" s="15">
        <f t="shared" si="1"/>
        <v>15.428571428571427</v>
      </c>
      <c r="R47" s="8"/>
      <c r="T47"/>
    </row>
    <row r="48" spans="2:32" ht="23.1" customHeight="1" x14ac:dyDescent="0.25">
      <c r="B48" s="24" t="s">
        <v>75</v>
      </c>
      <c r="C48" s="49">
        <f>AVERAGE('17.10 MASAKA SEMBABULE'!C48,'18.10 MASAKA-SEMBABULA-24HRS'!C48,'19.10 MASAKA-SEMBABULE-24HRS'!C48,'20.10 MASAKA-SEMBABULE'!C48,'21.10 MASAKA SEMBABULE'!C48,'22.10 MASAKA-SEMBABULE'!C48,'23.10 MASAKA-SEMBABULE'!C48)</f>
        <v>1.8571428571428572</v>
      </c>
      <c r="D48" s="49">
        <f>AVERAGE('17.10 MASAKA SEMBABULE'!D48,'18.10 MASAKA-SEMBABULA-24HRS'!D48,'19.10 MASAKA-SEMBABULE-24HRS'!D48,'20.10 MASAKA-SEMBABULE'!D48,'21.10 MASAKA SEMBABULE'!D48,'22.10 MASAKA-SEMBABULE'!D48,'23.10 MASAKA-SEMBABULE'!D48)</f>
        <v>0.42857142857142855</v>
      </c>
      <c r="E48" s="49">
        <f>AVERAGE('17.10 MASAKA SEMBABULE'!E48,'18.10 MASAKA-SEMBABULA-24HRS'!E48,'19.10 MASAKA-SEMBABULE-24HRS'!E48,'20.10 MASAKA-SEMBABULE'!E48,'21.10 MASAKA SEMBABULE'!E48,'22.10 MASAKA-SEMBABULE'!E48,'23.10 MASAKA-SEMBABULE'!E48)</f>
        <v>1.1428571428571428</v>
      </c>
      <c r="F48" s="49">
        <f>AVERAGE('17.10 MASAKA SEMBABULE'!F48,'18.10 MASAKA-SEMBABULA-24HRS'!F48,'19.10 MASAKA-SEMBABULE-24HRS'!F48,'20.10 MASAKA-SEMBABULE'!F48,'21.10 MASAKA SEMBABULE'!F48,'22.10 MASAKA-SEMBABULE'!F48,'23.10 MASAKA-SEMBABULE'!F48)</f>
        <v>1.2857142857142858</v>
      </c>
      <c r="G48" s="49">
        <f>AVERAGE('17.10 MASAKA SEMBABULE'!G48,'18.10 MASAKA-SEMBABULA-24HRS'!G48,'19.10 MASAKA-SEMBABULE-24HRS'!G48,'20.10 MASAKA-SEMBABULE'!G48,'21.10 MASAKA SEMBABULE'!G48,'22.10 MASAKA-SEMBABULE'!G48,'23.10 MASAKA-SEMBABULE'!G48)</f>
        <v>0</v>
      </c>
      <c r="H48" s="49">
        <f>AVERAGE('17.10 MASAKA SEMBABULE'!H48,'18.10 MASAKA-SEMBABULA-24HRS'!H48,'19.10 MASAKA-SEMBABULE-24HRS'!H48,'20.10 MASAKA-SEMBABULE'!H48,'21.10 MASAKA SEMBABULE'!H48,'22.10 MASAKA-SEMBABULE'!H48,'23.10 MASAKA-SEMBABULE'!H48)</f>
        <v>0</v>
      </c>
      <c r="I48" s="49">
        <f>AVERAGE('17.10 MASAKA SEMBABULE'!I48,'18.10 MASAKA-SEMBABULA-24HRS'!I48,'19.10 MASAKA-SEMBABULE-24HRS'!I48,'20.10 MASAKA-SEMBABULE'!I48,'21.10 MASAKA SEMBABULE'!I48,'22.10 MASAKA-SEMBABULE'!I48,'23.10 MASAKA-SEMBABULE'!I48)</f>
        <v>2.4285714285714284</v>
      </c>
      <c r="J48" s="49">
        <f>AVERAGE('17.10 MASAKA SEMBABULE'!J48,'18.10 MASAKA-SEMBABULA-24HRS'!J48,'19.10 MASAKA-SEMBABULE-24HRS'!J48,'20.10 MASAKA-SEMBABULE'!J48,'21.10 MASAKA SEMBABULE'!J48,'22.10 MASAKA-SEMBABULE'!J48,'23.10 MASAKA-SEMBABULE'!J48)</f>
        <v>1.1428571428571428</v>
      </c>
      <c r="K48" s="49">
        <f>AVERAGE('17.10 MASAKA SEMBABULE'!K48,'18.10 MASAKA-SEMBABULA-24HRS'!K48,'19.10 MASAKA-SEMBABULE-24HRS'!K48,'20.10 MASAKA-SEMBABULE'!K48,'21.10 MASAKA SEMBABULE'!K48,'22.10 MASAKA-SEMBABULE'!K48,'23.10 MASAKA-SEMBABULE'!K48)</f>
        <v>0.7142857142857143</v>
      </c>
      <c r="L48" s="49">
        <f>AVERAGE('17.10 MASAKA SEMBABULE'!L48,'18.10 MASAKA-SEMBABULA-24HRS'!L48,'19.10 MASAKA-SEMBABULE-24HRS'!L48,'20.10 MASAKA-SEMBABULE'!L48,'21.10 MASAKA SEMBABULE'!L48,'22.10 MASAKA-SEMBABULE'!L48,'23.10 MASAKA-SEMBABULE'!L48)</f>
        <v>0</v>
      </c>
      <c r="M48" s="49">
        <f>AVERAGE('17.10 MASAKA SEMBABULE'!M48,'18.10 MASAKA-SEMBABULA-24HRS'!M48,'19.10 MASAKA-SEMBABULE-24HRS'!M48,'20.10 MASAKA-SEMBABULE'!M48,'21.10 MASAKA SEMBABULE'!M48,'22.10 MASAKA-SEMBABULE'!M48,'23.10 MASAKA-SEMBABULE'!M48)</f>
        <v>7.7142857142857144</v>
      </c>
      <c r="N48" s="49">
        <f>AVERAGE('17.10 MASAKA SEMBABULE'!N48,'18.10 MASAKA-SEMBABULA-24HRS'!N48,'19.10 MASAKA-SEMBABULE-24HRS'!N48,'20.10 MASAKA-SEMBABULE'!N48,'21.10 MASAKA SEMBABULE'!N48,'22.10 MASAKA-SEMBABULE'!N48,'23.10 MASAKA-SEMBABULE'!N48)</f>
        <v>0</v>
      </c>
      <c r="O48" s="15">
        <f t="shared" si="0"/>
        <v>8.9999999999999982</v>
      </c>
      <c r="P48" s="15">
        <f t="shared" si="1"/>
        <v>16.714285714285712</v>
      </c>
      <c r="R48" s="8"/>
      <c r="T48"/>
    </row>
    <row r="49" spans="2:20" ht="23.1" customHeight="1" x14ac:dyDescent="0.25">
      <c r="B49" s="23" t="s">
        <v>76</v>
      </c>
      <c r="C49" s="49">
        <f>AVERAGE('17.10 MASAKA SEMBABULE'!C49,'18.10 MASAKA-SEMBABULA-24HRS'!C49,'19.10 MASAKA-SEMBABULE-24HRS'!C49,'20.10 MASAKA-SEMBABULE'!C49,'21.10 MASAKA SEMBABULE'!C49,'22.10 MASAKA-SEMBABULE'!C49,'23.10 MASAKA-SEMBABULE'!C49)</f>
        <v>2.5714285714285716</v>
      </c>
      <c r="D49" s="49">
        <f>AVERAGE('17.10 MASAKA SEMBABULE'!D49,'18.10 MASAKA-SEMBABULA-24HRS'!D49,'19.10 MASAKA-SEMBABULE-24HRS'!D49,'20.10 MASAKA-SEMBABULE'!D49,'21.10 MASAKA SEMBABULE'!D49,'22.10 MASAKA-SEMBABULE'!D49,'23.10 MASAKA-SEMBABULE'!D49)</f>
        <v>0.5714285714285714</v>
      </c>
      <c r="E49" s="49">
        <f>AVERAGE('17.10 MASAKA SEMBABULE'!E49,'18.10 MASAKA-SEMBABULA-24HRS'!E49,'19.10 MASAKA-SEMBABULE-24HRS'!E49,'20.10 MASAKA-SEMBABULE'!E49,'21.10 MASAKA SEMBABULE'!E49,'22.10 MASAKA-SEMBABULE'!E49,'23.10 MASAKA-SEMBABULE'!E49)</f>
        <v>0.8571428571428571</v>
      </c>
      <c r="F49" s="49">
        <f>AVERAGE('17.10 MASAKA SEMBABULE'!F49,'18.10 MASAKA-SEMBABULA-24HRS'!F49,'19.10 MASAKA-SEMBABULE-24HRS'!F49,'20.10 MASAKA-SEMBABULE'!F49,'21.10 MASAKA SEMBABULE'!F49,'22.10 MASAKA-SEMBABULE'!F49,'23.10 MASAKA-SEMBABULE'!F49)</f>
        <v>1.5714285714285714</v>
      </c>
      <c r="G49" s="49">
        <f>AVERAGE('17.10 MASAKA SEMBABULE'!G49,'18.10 MASAKA-SEMBABULA-24HRS'!G49,'19.10 MASAKA-SEMBABULE-24HRS'!G49,'20.10 MASAKA-SEMBABULE'!G49,'21.10 MASAKA SEMBABULE'!G49,'22.10 MASAKA-SEMBABULE'!G49,'23.10 MASAKA-SEMBABULE'!G49)</f>
        <v>0</v>
      </c>
      <c r="H49" s="49">
        <f>AVERAGE('17.10 MASAKA SEMBABULE'!H49,'18.10 MASAKA-SEMBABULA-24HRS'!H49,'19.10 MASAKA-SEMBABULE-24HRS'!H49,'20.10 MASAKA-SEMBABULE'!H49,'21.10 MASAKA SEMBABULE'!H49,'22.10 MASAKA-SEMBABULE'!H49,'23.10 MASAKA-SEMBABULE'!H49)</f>
        <v>0</v>
      </c>
      <c r="I49" s="49">
        <f>AVERAGE('17.10 MASAKA SEMBABULE'!I49,'18.10 MASAKA-SEMBABULA-24HRS'!I49,'19.10 MASAKA-SEMBABULE-24HRS'!I49,'20.10 MASAKA-SEMBABULE'!I49,'21.10 MASAKA SEMBABULE'!I49,'22.10 MASAKA-SEMBABULE'!I49,'23.10 MASAKA-SEMBABULE'!I49)</f>
        <v>0.5714285714285714</v>
      </c>
      <c r="J49" s="49">
        <f>AVERAGE('17.10 MASAKA SEMBABULE'!J49,'18.10 MASAKA-SEMBABULA-24HRS'!J49,'19.10 MASAKA-SEMBABULE-24HRS'!J49,'20.10 MASAKA-SEMBABULE'!J49,'21.10 MASAKA SEMBABULE'!J49,'22.10 MASAKA-SEMBABULE'!J49,'23.10 MASAKA-SEMBABULE'!J49)</f>
        <v>0.2857142857142857</v>
      </c>
      <c r="K49" s="49">
        <f>AVERAGE('17.10 MASAKA SEMBABULE'!K49,'18.10 MASAKA-SEMBABULA-24HRS'!K49,'19.10 MASAKA-SEMBABULE-24HRS'!K49,'20.10 MASAKA-SEMBABULE'!K49,'21.10 MASAKA SEMBABULE'!K49,'22.10 MASAKA-SEMBABULE'!K49,'23.10 MASAKA-SEMBABULE'!K49)</f>
        <v>0.7142857142857143</v>
      </c>
      <c r="L49" s="49">
        <f>AVERAGE('17.10 MASAKA SEMBABULE'!L49,'18.10 MASAKA-SEMBABULA-24HRS'!L49,'19.10 MASAKA-SEMBABULE-24HRS'!L49,'20.10 MASAKA-SEMBABULE'!L49,'21.10 MASAKA SEMBABULE'!L49,'22.10 MASAKA-SEMBABULE'!L49,'23.10 MASAKA-SEMBABULE'!L49)</f>
        <v>0</v>
      </c>
      <c r="M49" s="49">
        <f>AVERAGE('17.10 MASAKA SEMBABULE'!M49,'18.10 MASAKA-SEMBABULA-24HRS'!M49,'19.10 MASAKA-SEMBABULE-24HRS'!M49,'20.10 MASAKA-SEMBABULE'!M49,'21.10 MASAKA SEMBABULE'!M49,'22.10 MASAKA-SEMBABULE'!M49,'23.10 MASAKA-SEMBABULE'!M49)</f>
        <v>8.1428571428571423</v>
      </c>
      <c r="N49" s="49">
        <f>AVERAGE('17.10 MASAKA SEMBABULE'!N49,'18.10 MASAKA-SEMBABULA-24HRS'!N49,'19.10 MASAKA-SEMBABULE-24HRS'!N49,'20.10 MASAKA-SEMBABULE'!N49,'21.10 MASAKA SEMBABULE'!N49,'22.10 MASAKA-SEMBABULE'!N49,'23.10 MASAKA-SEMBABULE'!N49)</f>
        <v>0</v>
      </c>
      <c r="O49" s="15">
        <f t="shared" si="0"/>
        <v>7.1428571428571423</v>
      </c>
      <c r="P49" s="15">
        <f t="shared" si="1"/>
        <v>15.285714285714285</v>
      </c>
      <c r="R49" s="8"/>
      <c r="T49"/>
    </row>
    <row r="50" spans="2:20" ht="23.1" customHeight="1" x14ac:dyDescent="0.25">
      <c r="B50" s="24" t="s">
        <v>77</v>
      </c>
      <c r="C50" s="49">
        <f>AVERAGE('17.10 MASAKA SEMBABULE'!C50,'18.10 MASAKA-SEMBABULA-24HRS'!C50,'19.10 MASAKA-SEMBABULE-24HRS'!C50,'20.10 MASAKA-SEMBABULE'!C50,'21.10 MASAKA SEMBABULE'!C50,'22.10 MASAKA-SEMBABULE'!C50,'23.10 MASAKA-SEMBABULE'!C50)</f>
        <v>2.2857142857142856</v>
      </c>
      <c r="D50" s="49">
        <f>AVERAGE('17.10 MASAKA SEMBABULE'!D50,'18.10 MASAKA-SEMBABULA-24HRS'!D50,'19.10 MASAKA-SEMBABULE-24HRS'!D50,'20.10 MASAKA-SEMBABULE'!D50,'21.10 MASAKA SEMBABULE'!D50,'22.10 MASAKA-SEMBABULE'!D50,'23.10 MASAKA-SEMBABULE'!D50)</f>
        <v>0.2857142857142857</v>
      </c>
      <c r="E50" s="49">
        <f>AVERAGE('17.10 MASAKA SEMBABULE'!E50,'18.10 MASAKA-SEMBABULA-24HRS'!E50,'19.10 MASAKA-SEMBABULE-24HRS'!E50,'20.10 MASAKA-SEMBABULE'!E50,'21.10 MASAKA SEMBABULE'!E50,'22.10 MASAKA-SEMBABULE'!E50,'23.10 MASAKA-SEMBABULE'!E50)</f>
        <v>0.5714285714285714</v>
      </c>
      <c r="F50" s="49">
        <f>AVERAGE('17.10 MASAKA SEMBABULE'!F50,'18.10 MASAKA-SEMBABULA-24HRS'!F50,'19.10 MASAKA-SEMBABULE-24HRS'!F50,'20.10 MASAKA-SEMBABULE'!F50,'21.10 MASAKA SEMBABULE'!F50,'22.10 MASAKA-SEMBABULE'!F50,'23.10 MASAKA-SEMBABULE'!F50)</f>
        <v>1.2857142857142858</v>
      </c>
      <c r="G50" s="49">
        <f>AVERAGE('17.10 MASAKA SEMBABULE'!G50,'18.10 MASAKA-SEMBABULA-24HRS'!G50,'19.10 MASAKA-SEMBABULE-24HRS'!G50,'20.10 MASAKA-SEMBABULE'!G50,'21.10 MASAKA SEMBABULE'!G50,'22.10 MASAKA-SEMBABULE'!G50,'23.10 MASAKA-SEMBABULE'!G50)</f>
        <v>0.14285714285714285</v>
      </c>
      <c r="H50" s="49">
        <f>AVERAGE('17.10 MASAKA SEMBABULE'!H50,'18.10 MASAKA-SEMBABULA-24HRS'!H50,'19.10 MASAKA-SEMBABULE-24HRS'!H50,'20.10 MASAKA-SEMBABULE'!H50,'21.10 MASAKA SEMBABULE'!H50,'22.10 MASAKA-SEMBABULE'!H50,'23.10 MASAKA-SEMBABULE'!H50)</f>
        <v>0.14285714285714285</v>
      </c>
      <c r="I50" s="49">
        <f>AVERAGE('17.10 MASAKA SEMBABULE'!I50,'18.10 MASAKA-SEMBABULA-24HRS'!I50,'19.10 MASAKA-SEMBABULE-24HRS'!I50,'20.10 MASAKA-SEMBABULE'!I50,'21.10 MASAKA SEMBABULE'!I50,'22.10 MASAKA-SEMBABULE'!I50,'23.10 MASAKA-SEMBABULE'!I50)</f>
        <v>0.7142857142857143</v>
      </c>
      <c r="J50" s="49">
        <f>AVERAGE('17.10 MASAKA SEMBABULE'!J50,'18.10 MASAKA-SEMBABULA-24HRS'!J50,'19.10 MASAKA-SEMBABULE-24HRS'!J50,'20.10 MASAKA-SEMBABULE'!J50,'21.10 MASAKA SEMBABULE'!J50,'22.10 MASAKA-SEMBABULE'!J50,'23.10 MASAKA-SEMBABULE'!J50)</f>
        <v>0.2857142857142857</v>
      </c>
      <c r="K50" s="49">
        <f>AVERAGE('17.10 MASAKA SEMBABULE'!K50,'18.10 MASAKA-SEMBABULA-24HRS'!K50,'19.10 MASAKA-SEMBABULE-24HRS'!K50,'20.10 MASAKA-SEMBABULE'!K50,'21.10 MASAKA SEMBABULE'!K50,'22.10 MASAKA-SEMBABULE'!K50,'23.10 MASAKA-SEMBABULE'!K50)</f>
        <v>0.5714285714285714</v>
      </c>
      <c r="L50" s="49">
        <f>AVERAGE('17.10 MASAKA SEMBABULE'!L50,'18.10 MASAKA-SEMBABULA-24HRS'!L50,'19.10 MASAKA-SEMBABULE-24HRS'!L50,'20.10 MASAKA-SEMBABULE'!L50,'21.10 MASAKA SEMBABULE'!L50,'22.10 MASAKA-SEMBABULE'!L50,'23.10 MASAKA-SEMBABULE'!L50)</f>
        <v>0</v>
      </c>
      <c r="M50" s="49">
        <f>AVERAGE('17.10 MASAKA SEMBABULE'!M50,'18.10 MASAKA-SEMBABULA-24HRS'!M50,'19.10 MASAKA-SEMBABULE-24HRS'!M50,'20.10 MASAKA-SEMBABULE'!M50,'21.10 MASAKA SEMBABULE'!M50,'22.10 MASAKA-SEMBABULE'!M50,'23.10 MASAKA-SEMBABULE'!M50)</f>
        <v>6.5714285714285712</v>
      </c>
      <c r="N50" s="49">
        <f>AVERAGE('17.10 MASAKA SEMBABULE'!N50,'18.10 MASAKA-SEMBABULA-24HRS'!N50,'19.10 MASAKA-SEMBABULE-24HRS'!N50,'20.10 MASAKA-SEMBABULE'!N50,'21.10 MASAKA SEMBABULE'!N50,'22.10 MASAKA-SEMBABULE'!N50,'23.10 MASAKA-SEMBABULE'!N50)</f>
        <v>0</v>
      </c>
      <c r="O50" s="15">
        <f t="shared" si="0"/>
        <v>6.2857142857142856</v>
      </c>
      <c r="P50" s="15">
        <f t="shared" si="1"/>
        <v>12.857142857142858</v>
      </c>
      <c r="R50" s="8"/>
      <c r="T50"/>
    </row>
    <row r="51" spans="2:20" ht="23.1" customHeight="1" x14ac:dyDescent="0.25">
      <c r="B51" s="24" t="s">
        <v>78</v>
      </c>
      <c r="C51" s="49">
        <f>AVERAGE('17.10 MASAKA SEMBABULE'!C51,'18.10 MASAKA-SEMBABULA-24HRS'!C51,'19.10 MASAKA-SEMBABULE-24HRS'!C51,'20.10 MASAKA-SEMBABULE'!C51,'21.10 MASAKA SEMBABULE'!C51,'22.10 MASAKA-SEMBABULE'!C51,'23.10 MASAKA-SEMBABULE'!C51)</f>
        <v>3.1428571428571428</v>
      </c>
      <c r="D51" s="49">
        <f>AVERAGE('17.10 MASAKA SEMBABULE'!D51,'18.10 MASAKA-SEMBABULA-24HRS'!D51,'19.10 MASAKA-SEMBABULE-24HRS'!D51,'20.10 MASAKA-SEMBABULE'!D51,'21.10 MASAKA SEMBABULE'!D51,'22.10 MASAKA-SEMBABULE'!D51,'23.10 MASAKA-SEMBABULE'!D51)</f>
        <v>0.7142857142857143</v>
      </c>
      <c r="E51" s="49">
        <f>AVERAGE('17.10 MASAKA SEMBABULE'!E51,'18.10 MASAKA-SEMBABULA-24HRS'!E51,'19.10 MASAKA-SEMBABULE-24HRS'!E51,'20.10 MASAKA-SEMBABULE'!E51,'21.10 MASAKA SEMBABULE'!E51,'22.10 MASAKA-SEMBABULE'!E51,'23.10 MASAKA-SEMBABULE'!E51)</f>
        <v>0.2857142857142857</v>
      </c>
      <c r="F51" s="49">
        <f>AVERAGE('17.10 MASAKA SEMBABULE'!F51,'18.10 MASAKA-SEMBABULA-24HRS'!F51,'19.10 MASAKA-SEMBABULE-24HRS'!F51,'20.10 MASAKA-SEMBABULE'!F51,'21.10 MASAKA SEMBABULE'!F51,'22.10 MASAKA-SEMBABULE'!F51,'23.10 MASAKA-SEMBABULE'!F51)</f>
        <v>1.2857142857142858</v>
      </c>
      <c r="G51" s="49">
        <f>AVERAGE('17.10 MASAKA SEMBABULE'!G51,'18.10 MASAKA-SEMBABULA-24HRS'!G51,'19.10 MASAKA-SEMBABULE-24HRS'!G51,'20.10 MASAKA-SEMBABULE'!G51,'21.10 MASAKA SEMBABULE'!G51,'22.10 MASAKA-SEMBABULE'!G51,'23.10 MASAKA-SEMBABULE'!G51)</f>
        <v>0</v>
      </c>
      <c r="H51" s="49">
        <f>AVERAGE('17.10 MASAKA SEMBABULE'!H51,'18.10 MASAKA-SEMBABULA-24HRS'!H51,'19.10 MASAKA-SEMBABULE-24HRS'!H51,'20.10 MASAKA-SEMBABULE'!H51,'21.10 MASAKA SEMBABULE'!H51,'22.10 MASAKA-SEMBABULE'!H51,'23.10 MASAKA-SEMBABULE'!H51)</f>
        <v>0</v>
      </c>
      <c r="I51" s="49">
        <f>AVERAGE('17.10 MASAKA SEMBABULE'!I51,'18.10 MASAKA-SEMBABULA-24HRS'!I51,'19.10 MASAKA-SEMBABULE-24HRS'!I51,'20.10 MASAKA-SEMBABULE'!I51,'21.10 MASAKA SEMBABULE'!I51,'22.10 MASAKA-SEMBABULE'!I51,'23.10 MASAKA-SEMBABULE'!I51)</f>
        <v>1.1428571428571428</v>
      </c>
      <c r="J51" s="49">
        <f>AVERAGE('17.10 MASAKA SEMBABULE'!J51,'18.10 MASAKA-SEMBABULA-24HRS'!J51,'19.10 MASAKA-SEMBABULE-24HRS'!J51,'20.10 MASAKA-SEMBABULE'!J51,'21.10 MASAKA SEMBABULE'!J51,'22.10 MASAKA-SEMBABULE'!J51,'23.10 MASAKA-SEMBABULE'!J51)</f>
        <v>0.2857142857142857</v>
      </c>
      <c r="K51" s="49">
        <f>AVERAGE('17.10 MASAKA SEMBABULE'!K51,'18.10 MASAKA-SEMBABULA-24HRS'!K51,'19.10 MASAKA-SEMBABULE-24HRS'!K51,'20.10 MASAKA-SEMBABULE'!K51,'21.10 MASAKA SEMBABULE'!K51,'22.10 MASAKA-SEMBABULE'!K51,'23.10 MASAKA-SEMBABULE'!K51)</f>
        <v>0.5714285714285714</v>
      </c>
      <c r="L51" s="49">
        <f>AVERAGE('17.10 MASAKA SEMBABULE'!L51,'18.10 MASAKA-SEMBABULA-24HRS'!L51,'19.10 MASAKA-SEMBABULE-24HRS'!L51,'20.10 MASAKA-SEMBABULE'!L51,'21.10 MASAKA SEMBABULE'!L51,'22.10 MASAKA-SEMBABULE'!L51,'23.10 MASAKA-SEMBABULE'!L51)</f>
        <v>0</v>
      </c>
      <c r="M51" s="49">
        <f>AVERAGE('17.10 MASAKA SEMBABULE'!M51,'18.10 MASAKA-SEMBABULA-24HRS'!M51,'19.10 MASAKA-SEMBABULE-24HRS'!M51,'20.10 MASAKA-SEMBABULE'!M51,'21.10 MASAKA SEMBABULE'!M51,'22.10 MASAKA-SEMBABULE'!M51,'23.10 MASAKA-SEMBABULE'!M51)</f>
        <v>8.2857142857142865</v>
      </c>
      <c r="N51" s="49">
        <f>AVERAGE('17.10 MASAKA SEMBABULE'!N51,'18.10 MASAKA-SEMBABULA-24HRS'!N51,'19.10 MASAKA-SEMBABULE-24HRS'!N51,'20.10 MASAKA-SEMBABULE'!N51,'21.10 MASAKA SEMBABULE'!N51,'22.10 MASAKA-SEMBABULE'!N51,'23.10 MASAKA-SEMBABULE'!N51)</f>
        <v>0</v>
      </c>
      <c r="O51" s="15">
        <f t="shared" si="0"/>
        <v>7.4285714285714279</v>
      </c>
      <c r="P51" s="15">
        <f t="shared" si="1"/>
        <v>15.714285714285715</v>
      </c>
      <c r="R51" s="8"/>
      <c r="T51"/>
    </row>
    <row r="52" spans="2:20" ht="23.1" customHeight="1" x14ac:dyDescent="0.25">
      <c r="B52" s="24" t="s">
        <v>79</v>
      </c>
      <c r="C52" s="49">
        <f>AVERAGE('17.10 MASAKA SEMBABULE'!C52,'18.10 MASAKA-SEMBABULA-24HRS'!C52,'19.10 MASAKA-SEMBABULE-24HRS'!C52,'20.10 MASAKA-SEMBABULE'!C52,'21.10 MASAKA SEMBABULE'!C52,'22.10 MASAKA-SEMBABULE'!C52,'23.10 MASAKA-SEMBABULE'!C52)</f>
        <v>2.2857142857142856</v>
      </c>
      <c r="D52" s="49">
        <f>AVERAGE('17.10 MASAKA SEMBABULE'!D52,'18.10 MASAKA-SEMBABULA-24HRS'!D52,'19.10 MASAKA-SEMBABULE-24HRS'!D52,'20.10 MASAKA-SEMBABULE'!D52,'21.10 MASAKA SEMBABULE'!D52,'22.10 MASAKA-SEMBABULE'!D52,'23.10 MASAKA-SEMBABULE'!D52)</f>
        <v>0.42857142857142855</v>
      </c>
      <c r="E52" s="49">
        <f>AVERAGE('17.10 MASAKA SEMBABULE'!E52,'18.10 MASAKA-SEMBABULA-24HRS'!E52,'19.10 MASAKA-SEMBABULE-24HRS'!E52,'20.10 MASAKA-SEMBABULE'!E52,'21.10 MASAKA SEMBABULE'!E52,'22.10 MASAKA-SEMBABULE'!E52,'23.10 MASAKA-SEMBABULE'!E52)</f>
        <v>2</v>
      </c>
      <c r="F52" s="49">
        <f>AVERAGE('17.10 MASAKA SEMBABULE'!F52,'18.10 MASAKA-SEMBABULA-24HRS'!F52,'19.10 MASAKA-SEMBABULE-24HRS'!F52,'20.10 MASAKA-SEMBABULE'!F52,'21.10 MASAKA SEMBABULE'!F52,'22.10 MASAKA-SEMBABULE'!F52,'23.10 MASAKA-SEMBABULE'!F52)</f>
        <v>1.5714285714285714</v>
      </c>
      <c r="G52" s="49">
        <f>AVERAGE('17.10 MASAKA SEMBABULE'!G52,'18.10 MASAKA-SEMBABULA-24HRS'!G52,'19.10 MASAKA-SEMBABULE-24HRS'!G52,'20.10 MASAKA-SEMBABULE'!G52,'21.10 MASAKA SEMBABULE'!G52,'22.10 MASAKA-SEMBABULE'!G52,'23.10 MASAKA-SEMBABULE'!G52)</f>
        <v>0.42857142857142855</v>
      </c>
      <c r="H52" s="49">
        <f>AVERAGE('17.10 MASAKA SEMBABULE'!H52,'18.10 MASAKA-SEMBABULA-24HRS'!H52,'19.10 MASAKA-SEMBABULE-24HRS'!H52,'20.10 MASAKA-SEMBABULE'!H52,'21.10 MASAKA SEMBABULE'!H52,'22.10 MASAKA-SEMBABULE'!H52,'23.10 MASAKA-SEMBABULE'!H52)</f>
        <v>0</v>
      </c>
      <c r="I52" s="49">
        <f>AVERAGE('17.10 MASAKA SEMBABULE'!I52,'18.10 MASAKA-SEMBABULA-24HRS'!I52,'19.10 MASAKA-SEMBABULE-24HRS'!I52,'20.10 MASAKA-SEMBABULE'!I52,'21.10 MASAKA SEMBABULE'!I52,'22.10 MASAKA-SEMBABULE'!I52,'23.10 MASAKA-SEMBABULE'!I52)</f>
        <v>1</v>
      </c>
      <c r="J52" s="49">
        <f>AVERAGE('17.10 MASAKA SEMBABULE'!J52,'18.10 MASAKA-SEMBABULA-24HRS'!J52,'19.10 MASAKA-SEMBABULE-24HRS'!J52,'20.10 MASAKA-SEMBABULE'!J52,'21.10 MASAKA SEMBABULE'!J52,'22.10 MASAKA-SEMBABULE'!J52,'23.10 MASAKA-SEMBABULE'!J52)</f>
        <v>0.2857142857142857</v>
      </c>
      <c r="K52" s="49">
        <f>AVERAGE('17.10 MASAKA SEMBABULE'!K52,'18.10 MASAKA-SEMBABULA-24HRS'!K52,'19.10 MASAKA-SEMBABULE-24HRS'!K52,'20.10 MASAKA-SEMBABULE'!K52,'21.10 MASAKA SEMBABULE'!K52,'22.10 MASAKA-SEMBABULE'!K52,'23.10 MASAKA-SEMBABULE'!K52)</f>
        <v>0.5714285714285714</v>
      </c>
      <c r="L52" s="49">
        <f>AVERAGE('17.10 MASAKA SEMBABULE'!L52,'18.10 MASAKA-SEMBABULA-24HRS'!L52,'19.10 MASAKA-SEMBABULE-24HRS'!L52,'20.10 MASAKA-SEMBABULE'!L52,'21.10 MASAKA SEMBABULE'!L52,'22.10 MASAKA-SEMBABULE'!L52,'23.10 MASAKA-SEMBABULE'!L52)</f>
        <v>0</v>
      </c>
      <c r="M52" s="49">
        <f>AVERAGE('17.10 MASAKA SEMBABULE'!M52,'18.10 MASAKA-SEMBABULA-24HRS'!M52,'19.10 MASAKA-SEMBABULE-24HRS'!M52,'20.10 MASAKA-SEMBABULE'!M52,'21.10 MASAKA SEMBABULE'!M52,'22.10 MASAKA-SEMBABULE'!M52,'23.10 MASAKA-SEMBABULE'!M52)</f>
        <v>7.8571428571428568</v>
      </c>
      <c r="N52" s="49">
        <f>AVERAGE('17.10 MASAKA SEMBABULE'!N52,'18.10 MASAKA-SEMBABULA-24HRS'!N52,'19.10 MASAKA-SEMBABULE-24HRS'!N52,'20.10 MASAKA-SEMBABULE'!N52,'21.10 MASAKA SEMBABULE'!N52,'22.10 MASAKA-SEMBABULE'!N52,'23.10 MASAKA-SEMBABULE'!N52)</f>
        <v>0</v>
      </c>
      <c r="O52" s="15">
        <f t="shared" si="0"/>
        <v>8.5714285714285712</v>
      </c>
      <c r="P52" s="15">
        <f t="shared" si="1"/>
        <v>16.428571428571427</v>
      </c>
      <c r="R52" s="8"/>
      <c r="T52"/>
    </row>
    <row r="53" spans="2:20" ht="23.1" customHeight="1" x14ac:dyDescent="0.25">
      <c r="B53" s="23" t="s">
        <v>80</v>
      </c>
      <c r="C53" s="49">
        <f>AVERAGE('17.10 MASAKA SEMBABULE'!C53,'18.10 MASAKA-SEMBABULA-24HRS'!C53,'19.10 MASAKA-SEMBABULE-24HRS'!C53,'20.10 MASAKA-SEMBABULE'!C53,'21.10 MASAKA SEMBABULE'!C53,'22.10 MASAKA-SEMBABULE'!C53,'23.10 MASAKA-SEMBABULE'!C53)</f>
        <v>2.5714285714285716</v>
      </c>
      <c r="D53" s="49">
        <f>AVERAGE('17.10 MASAKA SEMBABULE'!D53,'18.10 MASAKA-SEMBABULA-24HRS'!D53,'19.10 MASAKA-SEMBABULE-24HRS'!D53,'20.10 MASAKA-SEMBABULE'!D53,'21.10 MASAKA SEMBABULE'!D53,'22.10 MASAKA-SEMBABULE'!D53,'23.10 MASAKA-SEMBABULE'!D53)</f>
        <v>0.2857142857142857</v>
      </c>
      <c r="E53" s="49">
        <f>AVERAGE('17.10 MASAKA SEMBABULE'!E53,'18.10 MASAKA-SEMBABULA-24HRS'!E53,'19.10 MASAKA-SEMBABULE-24HRS'!E53,'20.10 MASAKA-SEMBABULE'!E53,'21.10 MASAKA SEMBABULE'!E53,'22.10 MASAKA-SEMBABULE'!E53,'23.10 MASAKA-SEMBABULE'!E53)</f>
        <v>1.2857142857142858</v>
      </c>
      <c r="F53" s="49">
        <f>AVERAGE('17.10 MASAKA SEMBABULE'!F53,'18.10 MASAKA-SEMBABULA-24HRS'!F53,'19.10 MASAKA-SEMBABULE-24HRS'!F53,'20.10 MASAKA-SEMBABULE'!F53,'21.10 MASAKA SEMBABULE'!F53,'22.10 MASAKA-SEMBABULE'!F53,'23.10 MASAKA-SEMBABULE'!F53)</f>
        <v>2.7142857142857144</v>
      </c>
      <c r="G53" s="49">
        <f>AVERAGE('17.10 MASAKA SEMBABULE'!G53,'18.10 MASAKA-SEMBABULA-24HRS'!G53,'19.10 MASAKA-SEMBABULE-24HRS'!G53,'20.10 MASAKA-SEMBABULE'!G53,'21.10 MASAKA SEMBABULE'!G53,'22.10 MASAKA-SEMBABULE'!G53,'23.10 MASAKA-SEMBABULE'!G53)</f>
        <v>0.14285714285714285</v>
      </c>
      <c r="H53" s="49">
        <f>AVERAGE('17.10 MASAKA SEMBABULE'!H53,'18.10 MASAKA-SEMBABULA-24HRS'!H53,'19.10 MASAKA-SEMBABULE-24HRS'!H53,'20.10 MASAKA-SEMBABULE'!H53,'21.10 MASAKA SEMBABULE'!H53,'22.10 MASAKA-SEMBABULE'!H53,'23.10 MASAKA-SEMBABULE'!H53)</f>
        <v>0</v>
      </c>
      <c r="I53" s="49">
        <f>AVERAGE('17.10 MASAKA SEMBABULE'!I53,'18.10 MASAKA-SEMBABULA-24HRS'!I53,'19.10 MASAKA-SEMBABULE-24HRS'!I53,'20.10 MASAKA-SEMBABULE'!I53,'21.10 MASAKA SEMBABULE'!I53,'22.10 MASAKA-SEMBABULE'!I53,'23.10 MASAKA-SEMBABULE'!I53)</f>
        <v>2</v>
      </c>
      <c r="J53" s="49">
        <f>AVERAGE('17.10 MASAKA SEMBABULE'!J53,'18.10 MASAKA-SEMBABULA-24HRS'!J53,'19.10 MASAKA-SEMBABULE-24HRS'!J53,'20.10 MASAKA-SEMBABULE'!J53,'21.10 MASAKA SEMBABULE'!J53,'22.10 MASAKA-SEMBABULE'!J53,'23.10 MASAKA-SEMBABULE'!J53)</f>
        <v>1</v>
      </c>
      <c r="K53" s="49">
        <f>AVERAGE('17.10 MASAKA SEMBABULE'!K53,'18.10 MASAKA-SEMBABULA-24HRS'!K53,'19.10 MASAKA-SEMBABULE-24HRS'!K53,'20.10 MASAKA-SEMBABULE'!K53,'21.10 MASAKA SEMBABULE'!K53,'22.10 MASAKA-SEMBABULE'!K53,'23.10 MASAKA-SEMBABULE'!K53)</f>
        <v>0.5714285714285714</v>
      </c>
      <c r="L53" s="49">
        <f>AVERAGE('17.10 MASAKA SEMBABULE'!L53,'18.10 MASAKA-SEMBABULA-24HRS'!L53,'19.10 MASAKA-SEMBABULE-24HRS'!L53,'20.10 MASAKA-SEMBABULE'!L53,'21.10 MASAKA SEMBABULE'!L53,'22.10 MASAKA-SEMBABULE'!L53,'23.10 MASAKA-SEMBABULE'!L53)</f>
        <v>0</v>
      </c>
      <c r="M53" s="49">
        <f>AVERAGE('17.10 MASAKA SEMBABULE'!M53,'18.10 MASAKA-SEMBABULA-24HRS'!M53,'19.10 MASAKA-SEMBABULE-24HRS'!M53,'20.10 MASAKA-SEMBABULE'!M53,'21.10 MASAKA SEMBABULE'!M53,'22.10 MASAKA-SEMBABULE'!M53,'23.10 MASAKA-SEMBABULE'!M53)</f>
        <v>8.2857142857142865</v>
      </c>
      <c r="N53" s="49">
        <f>AVERAGE('17.10 MASAKA SEMBABULE'!N53,'18.10 MASAKA-SEMBABULA-24HRS'!N53,'19.10 MASAKA-SEMBABULE-24HRS'!N53,'20.10 MASAKA-SEMBABULE'!N53,'21.10 MASAKA SEMBABULE'!N53,'22.10 MASAKA-SEMBABULE'!N53,'23.10 MASAKA-SEMBABULE'!N53)</f>
        <v>0</v>
      </c>
      <c r="O53" s="15">
        <f t="shared" si="0"/>
        <v>10.571428571428571</v>
      </c>
      <c r="P53" s="15">
        <f t="shared" si="1"/>
        <v>18.857142857142858</v>
      </c>
      <c r="R53" s="8"/>
      <c r="T53"/>
    </row>
    <row r="54" spans="2:20" ht="23.1" customHeight="1" x14ac:dyDescent="0.25">
      <c r="B54" s="23" t="s">
        <v>81</v>
      </c>
      <c r="C54" s="49">
        <f>AVERAGE('17.10 MASAKA SEMBABULE'!C54,'18.10 MASAKA-SEMBABULA-24HRS'!C54,'19.10 MASAKA-SEMBABULE-24HRS'!C54,'20.10 MASAKA-SEMBABULE'!C54,'21.10 MASAKA SEMBABULE'!C54,'22.10 MASAKA-SEMBABULE'!C54,'23.10 MASAKA-SEMBABULE'!C54)</f>
        <v>1.2857142857142858</v>
      </c>
      <c r="D54" s="49">
        <f>AVERAGE('17.10 MASAKA SEMBABULE'!D54,'18.10 MASAKA-SEMBABULA-24HRS'!D54,'19.10 MASAKA-SEMBABULE-24HRS'!D54,'20.10 MASAKA-SEMBABULE'!D54,'21.10 MASAKA SEMBABULE'!D54,'22.10 MASAKA-SEMBABULE'!D54,'23.10 MASAKA-SEMBABULE'!D54)</f>
        <v>0.42857142857142855</v>
      </c>
      <c r="E54" s="49">
        <f>AVERAGE('17.10 MASAKA SEMBABULE'!E54,'18.10 MASAKA-SEMBABULA-24HRS'!E54,'19.10 MASAKA-SEMBABULE-24HRS'!E54,'20.10 MASAKA-SEMBABULE'!E54,'21.10 MASAKA SEMBABULE'!E54,'22.10 MASAKA-SEMBABULE'!E54,'23.10 MASAKA-SEMBABULE'!E54)</f>
        <v>0.14285714285714285</v>
      </c>
      <c r="F54" s="49">
        <f>AVERAGE('17.10 MASAKA SEMBABULE'!F54,'18.10 MASAKA-SEMBABULA-24HRS'!F54,'19.10 MASAKA-SEMBABULE-24HRS'!F54,'20.10 MASAKA-SEMBABULE'!F54,'21.10 MASAKA SEMBABULE'!F54,'22.10 MASAKA-SEMBABULE'!F54,'23.10 MASAKA-SEMBABULE'!F54)</f>
        <v>0.2857142857142857</v>
      </c>
      <c r="G54" s="49">
        <f>AVERAGE('17.10 MASAKA SEMBABULE'!G54,'18.10 MASAKA-SEMBABULA-24HRS'!G54,'19.10 MASAKA-SEMBABULE-24HRS'!G54,'20.10 MASAKA-SEMBABULE'!G54,'21.10 MASAKA SEMBABULE'!G54,'22.10 MASAKA-SEMBABULE'!G54,'23.10 MASAKA-SEMBABULE'!G54)</f>
        <v>0</v>
      </c>
      <c r="H54" s="49">
        <f>AVERAGE('17.10 MASAKA SEMBABULE'!H54,'18.10 MASAKA-SEMBABULA-24HRS'!H54,'19.10 MASAKA-SEMBABULE-24HRS'!H54,'20.10 MASAKA-SEMBABULE'!H54,'21.10 MASAKA SEMBABULE'!H54,'22.10 MASAKA-SEMBABULE'!H54,'23.10 MASAKA-SEMBABULE'!H54)</f>
        <v>0.14285714285714285</v>
      </c>
      <c r="I54" s="49">
        <f>AVERAGE('17.10 MASAKA SEMBABULE'!I54,'18.10 MASAKA-SEMBABULA-24HRS'!I54,'19.10 MASAKA-SEMBABULE-24HRS'!I54,'20.10 MASAKA-SEMBABULE'!I54,'21.10 MASAKA SEMBABULE'!I54,'22.10 MASAKA-SEMBABULE'!I54,'23.10 MASAKA-SEMBABULE'!I54)</f>
        <v>2.7142857142857144</v>
      </c>
      <c r="J54" s="49">
        <f>AVERAGE('17.10 MASAKA SEMBABULE'!J54,'18.10 MASAKA-SEMBABULA-24HRS'!J54,'19.10 MASAKA-SEMBABULE-24HRS'!J54,'20.10 MASAKA-SEMBABULE'!J54,'21.10 MASAKA SEMBABULE'!J54,'22.10 MASAKA-SEMBABULE'!J54,'23.10 MASAKA-SEMBABULE'!J54)</f>
        <v>1</v>
      </c>
      <c r="K54" s="49">
        <f>AVERAGE('17.10 MASAKA SEMBABULE'!K54,'18.10 MASAKA-SEMBABULA-24HRS'!K54,'19.10 MASAKA-SEMBABULE-24HRS'!K54,'20.10 MASAKA-SEMBABULE'!K54,'21.10 MASAKA SEMBABULE'!K54,'22.10 MASAKA-SEMBABULE'!K54,'23.10 MASAKA-SEMBABULE'!K54)</f>
        <v>0.2857142857142857</v>
      </c>
      <c r="L54" s="49">
        <f>AVERAGE('17.10 MASAKA SEMBABULE'!L54,'18.10 MASAKA-SEMBABULA-24HRS'!L54,'19.10 MASAKA-SEMBABULE-24HRS'!L54,'20.10 MASAKA-SEMBABULE'!L54,'21.10 MASAKA SEMBABULE'!L54,'22.10 MASAKA-SEMBABULE'!L54,'23.10 MASAKA-SEMBABULE'!L54)</f>
        <v>0</v>
      </c>
      <c r="M54" s="49">
        <f>AVERAGE('17.10 MASAKA SEMBABULE'!M54,'18.10 MASAKA-SEMBABULA-24HRS'!M54,'19.10 MASAKA-SEMBABULE-24HRS'!M54,'20.10 MASAKA-SEMBABULE'!M54,'21.10 MASAKA SEMBABULE'!M54,'22.10 MASAKA-SEMBABULE'!M54,'23.10 MASAKA-SEMBABULE'!M54)</f>
        <v>7.5714285714285712</v>
      </c>
      <c r="N54" s="49">
        <f>AVERAGE('17.10 MASAKA SEMBABULE'!N54,'18.10 MASAKA-SEMBABULA-24HRS'!N54,'19.10 MASAKA-SEMBABULE-24HRS'!N54,'20.10 MASAKA-SEMBABULE'!N54,'21.10 MASAKA SEMBABULE'!N54,'22.10 MASAKA-SEMBABULE'!N54,'23.10 MASAKA-SEMBABULE'!N54)</f>
        <v>0</v>
      </c>
      <c r="O54" s="15">
        <f t="shared" si="0"/>
        <v>6.2857142857142856</v>
      </c>
      <c r="P54" s="15">
        <f t="shared" si="1"/>
        <v>13.857142857142858</v>
      </c>
      <c r="R54" s="8"/>
      <c r="T54"/>
    </row>
    <row r="55" spans="2:20" ht="23.1" customHeight="1" x14ac:dyDescent="0.25">
      <c r="B55" s="23" t="s">
        <v>82</v>
      </c>
      <c r="C55" s="49">
        <f>AVERAGE('17.10 MASAKA SEMBABULE'!C55,'18.10 MASAKA-SEMBABULA-24HRS'!C55,'19.10 MASAKA-SEMBABULE-24HRS'!C55,'20.10 MASAKA-SEMBABULE'!C55,'21.10 MASAKA SEMBABULE'!C55,'22.10 MASAKA-SEMBABULE'!C55,'23.10 MASAKA-SEMBABULE'!C55)</f>
        <v>2.4285714285714284</v>
      </c>
      <c r="D55" s="49">
        <f>AVERAGE('17.10 MASAKA SEMBABULE'!D55,'18.10 MASAKA-SEMBABULA-24HRS'!D55,'19.10 MASAKA-SEMBABULE-24HRS'!D55,'20.10 MASAKA-SEMBABULE'!D55,'21.10 MASAKA SEMBABULE'!D55,'22.10 MASAKA-SEMBABULE'!D55,'23.10 MASAKA-SEMBABULE'!D55)</f>
        <v>0.14285714285714285</v>
      </c>
      <c r="E55" s="49">
        <f>AVERAGE('17.10 MASAKA SEMBABULE'!E55,'18.10 MASAKA-SEMBABULA-24HRS'!E55,'19.10 MASAKA-SEMBABULE-24HRS'!E55,'20.10 MASAKA-SEMBABULE'!E55,'21.10 MASAKA SEMBABULE'!E55,'22.10 MASAKA-SEMBABULE'!E55,'23.10 MASAKA-SEMBABULE'!E55)</f>
        <v>1</v>
      </c>
      <c r="F55" s="49">
        <f>AVERAGE('17.10 MASAKA SEMBABULE'!F55,'18.10 MASAKA-SEMBABULA-24HRS'!F55,'19.10 MASAKA-SEMBABULE-24HRS'!F55,'20.10 MASAKA-SEMBABULE'!F55,'21.10 MASAKA SEMBABULE'!F55,'22.10 MASAKA-SEMBABULE'!F55,'23.10 MASAKA-SEMBABULE'!F55)</f>
        <v>1.2857142857142858</v>
      </c>
      <c r="G55" s="49">
        <f>AVERAGE('17.10 MASAKA SEMBABULE'!G55,'18.10 MASAKA-SEMBABULA-24HRS'!G55,'19.10 MASAKA-SEMBABULE-24HRS'!G55,'20.10 MASAKA-SEMBABULE'!G55,'21.10 MASAKA SEMBABULE'!G55,'22.10 MASAKA-SEMBABULE'!G55,'23.10 MASAKA-SEMBABULE'!G55)</f>
        <v>0</v>
      </c>
      <c r="H55" s="49">
        <f>AVERAGE('17.10 MASAKA SEMBABULE'!H55,'18.10 MASAKA-SEMBABULA-24HRS'!H55,'19.10 MASAKA-SEMBABULE-24HRS'!H55,'20.10 MASAKA-SEMBABULE'!H55,'21.10 MASAKA SEMBABULE'!H55,'22.10 MASAKA-SEMBABULE'!H55,'23.10 MASAKA-SEMBABULE'!H55)</f>
        <v>0</v>
      </c>
      <c r="I55" s="49">
        <f>AVERAGE('17.10 MASAKA SEMBABULE'!I55,'18.10 MASAKA-SEMBABULA-24HRS'!I55,'19.10 MASAKA-SEMBABULE-24HRS'!I55,'20.10 MASAKA-SEMBABULE'!I55,'21.10 MASAKA SEMBABULE'!I55,'22.10 MASAKA-SEMBABULE'!I55,'23.10 MASAKA-SEMBABULE'!I55)</f>
        <v>1.2857142857142858</v>
      </c>
      <c r="J55" s="49">
        <f>AVERAGE('17.10 MASAKA SEMBABULE'!J55,'18.10 MASAKA-SEMBABULA-24HRS'!J55,'19.10 MASAKA-SEMBABULE-24HRS'!J55,'20.10 MASAKA-SEMBABULE'!J55,'21.10 MASAKA SEMBABULE'!J55,'22.10 MASAKA-SEMBABULE'!J55,'23.10 MASAKA-SEMBABULE'!J55)</f>
        <v>0.8571428571428571</v>
      </c>
      <c r="K55" s="49">
        <f>AVERAGE('17.10 MASAKA SEMBABULE'!K55,'18.10 MASAKA-SEMBABULA-24HRS'!K55,'19.10 MASAKA-SEMBABULE-24HRS'!K55,'20.10 MASAKA-SEMBABULE'!K55,'21.10 MASAKA SEMBABULE'!K55,'22.10 MASAKA-SEMBABULE'!K55,'23.10 MASAKA-SEMBABULE'!K55)</f>
        <v>0.2857142857142857</v>
      </c>
      <c r="L55" s="49">
        <f>AVERAGE('17.10 MASAKA SEMBABULE'!L55,'18.10 MASAKA-SEMBABULA-24HRS'!L55,'19.10 MASAKA-SEMBABULE-24HRS'!L55,'20.10 MASAKA-SEMBABULE'!L55,'21.10 MASAKA SEMBABULE'!L55,'22.10 MASAKA-SEMBABULE'!L55,'23.10 MASAKA-SEMBABULE'!L55)</f>
        <v>0</v>
      </c>
      <c r="M55" s="49">
        <f>AVERAGE('17.10 MASAKA SEMBABULE'!M55,'18.10 MASAKA-SEMBABULA-24HRS'!M55,'19.10 MASAKA-SEMBABULE-24HRS'!M55,'20.10 MASAKA-SEMBABULE'!M55,'21.10 MASAKA SEMBABULE'!M55,'22.10 MASAKA-SEMBABULE'!M55,'23.10 MASAKA-SEMBABULE'!M55)</f>
        <v>6.7142857142857144</v>
      </c>
      <c r="N55" s="49">
        <f>AVERAGE('17.10 MASAKA SEMBABULE'!N55,'18.10 MASAKA-SEMBABULA-24HRS'!N55,'19.10 MASAKA-SEMBABULE-24HRS'!N55,'20.10 MASAKA-SEMBABULE'!N55,'21.10 MASAKA SEMBABULE'!N55,'22.10 MASAKA-SEMBABULE'!N55,'23.10 MASAKA-SEMBABULE'!N55)</f>
        <v>0</v>
      </c>
      <c r="O55" s="15">
        <f t="shared" si="0"/>
        <v>7.2857142857142847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49">
        <f>AVERAGE('17.10 MASAKA SEMBABULE'!C56,'18.10 MASAKA-SEMBABULA-24HRS'!C56,'19.10 MASAKA-SEMBABULE-24HRS'!C56,'20.10 MASAKA-SEMBABULE'!C56,'21.10 MASAKA SEMBABULE'!C56,'22.10 MASAKA-SEMBABULE'!C56,'23.10 MASAKA-SEMBABULE'!C56)</f>
        <v>2.4285714285714284</v>
      </c>
      <c r="D56" s="49">
        <f>AVERAGE('17.10 MASAKA SEMBABULE'!D56,'18.10 MASAKA-SEMBABULA-24HRS'!D56,'19.10 MASAKA-SEMBABULE-24HRS'!D56,'20.10 MASAKA-SEMBABULE'!D56,'21.10 MASAKA SEMBABULE'!D56,'22.10 MASAKA-SEMBABULE'!D56,'23.10 MASAKA-SEMBABULE'!D56)</f>
        <v>0.42857142857142855</v>
      </c>
      <c r="E56" s="49">
        <f>AVERAGE('17.10 MASAKA SEMBABULE'!E56,'18.10 MASAKA-SEMBABULA-24HRS'!E56,'19.10 MASAKA-SEMBABULE-24HRS'!E56,'20.10 MASAKA-SEMBABULE'!E56,'21.10 MASAKA SEMBABULE'!E56,'22.10 MASAKA-SEMBABULE'!E56,'23.10 MASAKA-SEMBABULE'!E56)</f>
        <v>0.2857142857142857</v>
      </c>
      <c r="F56" s="49">
        <f>AVERAGE('17.10 MASAKA SEMBABULE'!F56,'18.10 MASAKA-SEMBABULA-24HRS'!F56,'19.10 MASAKA-SEMBABULE-24HRS'!F56,'20.10 MASAKA-SEMBABULE'!F56,'21.10 MASAKA SEMBABULE'!F56,'22.10 MASAKA-SEMBABULE'!F56,'23.10 MASAKA-SEMBABULE'!F56)</f>
        <v>0.7142857142857143</v>
      </c>
      <c r="G56" s="49">
        <f>AVERAGE('17.10 MASAKA SEMBABULE'!G56,'18.10 MASAKA-SEMBABULA-24HRS'!G56,'19.10 MASAKA-SEMBABULE-24HRS'!G56,'20.10 MASAKA-SEMBABULE'!G56,'21.10 MASAKA SEMBABULE'!G56,'22.10 MASAKA-SEMBABULE'!G56,'23.10 MASAKA-SEMBABULE'!G56)</f>
        <v>0.14285714285714285</v>
      </c>
      <c r="H56" s="49">
        <f>AVERAGE('17.10 MASAKA SEMBABULE'!H56,'18.10 MASAKA-SEMBABULA-24HRS'!H56,'19.10 MASAKA-SEMBABULE-24HRS'!H56,'20.10 MASAKA-SEMBABULE'!H56,'21.10 MASAKA SEMBABULE'!H56,'22.10 MASAKA-SEMBABULE'!H56,'23.10 MASAKA-SEMBABULE'!H56)</f>
        <v>0</v>
      </c>
      <c r="I56" s="49">
        <f>AVERAGE('17.10 MASAKA SEMBABULE'!I56,'18.10 MASAKA-SEMBABULA-24HRS'!I56,'19.10 MASAKA-SEMBABULE-24HRS'!I56,'20.10 MASAKA-SEMBABULE'!I56,'21.10 MASAKA SEMBABULE'!I56,'22.10 MASAKA-SEMBABULE'!I56,'23.10 MASAKA-SEMBABULE'!I56)</f>
        <v>1</v>
      </c>
      <c r="J56" s="49">
        <f>AVERAGE('17.10 MASAKA SEMBABULE'!J56,'18.10 MASAKA-SEMBABULA-24HRS'!J56,'19.10 MASAKA-SEMBABULE-24HRS'!J56,'20.10 MASAKA-SEMBABULE'!J56,'21.10 MASAKA SEMBABULE'!J56,'22.10 MASAKA-SEMBABULE'!J56,'23.10 MASAKA-SEMBABULE'!J56)</f>
        <v>0.8571428571428571</v>
      </c>
      <c r="K56" s="49">
        <f>AVERAGE('17.10 MASAKA SEMBABULE'!K56,'18.10 MASAKA-SEMBABULA-24HRS'!K56,'19.10 MASAKA-SEMBABULE-24HRS'!K56,'20.10 MASAKA-SEMBABULE'!K56,'21.10 MASAKA SEMBABULE'!K56,'22.10 MASAKA-SEMBABULE'!K56,'23.10 MASAKA-SEMBABULE'!K56)</f>
        <v>0.14285714285714285</v>
      </c>
      <c r="L56" s="49">
        <f>AVERAGE('17.10 MASAKA SEMBABULE'!L56,'18.10 MASAKA-SEMBABULA-24HRS'!L56,'19.10 MASAKA-SEMBABULE-24HRS'!L56,'20.10 MASAKA-SEMBABULE'!L56,'21.10 MASAKA SEMBABULE'!L56,'22.10 MASAKA-SEMBABULE'!L56,'23.10 MASAKA-SEMBABULE'!L56)</f>
        <v>0</v>
      </c>
      <c r="M56" s="49">
        <f>AVERAGE('17.10 MASAKA SEMBABULE'!M56,'18.10 MASAKA-SEMBABULA-24HRS'!M56,'19.10 MASAKA-SEMBABULE-24HRS'!M56,'20.10 MASAKA-SEMBABULE'!M56,'21.10 MASAKA SEMBABULE'!M56,'22.10 MASAKA-SEMBABULE'!M56,'23.10 MASAKA-SEMBABULE'!M56)</f>
        <v>9</v>
      </c>
      <c r="N56" s="49">
        <f>AVERAGE('17.10 MASAKA SEMBABULE'!N56,'18.10 MASAKA-SEMBABULA-24HRS'!N56,'19.10 MASAKA-SEMBABULE-24HRS'!N56,'20.10 MASAKA-SEMBABULE'!N56,'21.10 MASAKA SEMBABULE'!N56,'22.10 MASAKA-SEMBABULE'!N56,'23.10 MASAKA-SEMBABULE'!N56)</f>
        <v>0</v>
      </c>
      <c r="O56" s="15">
        <f t="shared" si="0"/>
        <v>6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49">
        <f>AVERAGE('17.10 MASAKA SEMBABULE'!C57,'18.10 MASAKA-SEMBABULA-24HRS'!C57,'19.10 MASAKA-SEMBABULE-24HRS'!C57,'20.10 MASAKA-SEMBABULE'!C57,'21.10 MASAKA SEMBABULE'!C57,'22.10 MASAKA-SEMBABULE'!C57,'23.10 MASAKA-SEMBABULE'!C57)</f>
        <v>2.2857142857142856</v>
      </c>
      <c r="D57" s="49">
        <f>AVERAGE('17.10 MASAKA SEMBABULE'!D57,'18.10 MASAKA-SEMBABULA-24HRS'!D57,'19.10 MASAKA-SEMBABULE-24HRS'!D57,'20.10 MASAKA-SEMBABULE'!D57,'21.10 MASAKA SEMBABULE'!D57,'22.10 MASAKA-SEMBABULE'!D57,'23.10 MASAKA-SEMBABULE'!D57)</f>
        <v>0.2857142857142857</v>
      </c>
      <c r="E57" s="49">
        <f>AVERAGE('17.10 MASAKA SEMBABULE'!E57,'18.10 MASAKA-SEMBABULA-24HRS'!E57,'19.10 MASAKA-SEMBABULE-24HRS'!E57,'20.10 MASAKA-SEMBABULE'!E57,'21.10 MASAKA SEMBABULE'!E57,'22.10 MASAKA-SEMBABULE'!E57,'23.10 MASAKA-SEMBABULE'!E57)</f>
        <v>0.5714285714285714</v>
      </c>
      <c r="F57" s="49">
        <f>AVERAGE('17.10 MASAKA SEMBABULE'!F57,'18.10 MASAKA-SEMBABULA-24HRS'!F57,'19.10 MASAKA-SEMBABULE-24HRS'!F57,'20.10 MASAKA-SEMBABULE'!F57,'21.10 MASAKA SEMBABULE'!F57,'22.10 MASAKA-SEMBABULE'!F57,'23.10 MASAKA-SEMBABULE'!F57)</f>
        <v>0.5714285714285714</v>
      </c>
      <c r="G57" s="49">
        <f>AVERAGE('17.10 MASAKA SEMBABULE'!G57,'18.10 MASAKA-SEMBABULA-24HRS'!G57,'19.10 MASAKA-SEMBABULE-24HRS'!G57,'20.10 MASAKA-SEMBABULE'!G57,'21.10 MASAKA SEMBABULE'!G57,'22.10 MASAKA-SEMBABULE'!G57,'23.10 MASAKA-SEMBABULE'!G57)</f>
        <v>0</v>
      </c>
      <c r="H57" s="49">
        <f>AVERAGE('17.10 MASAKA SEMBABULE'!H57,'18.10 MASAKA-SEMBABULA-24HRS'!H57,'19.10 MASAKA-SEMBABULE-24HRS'!H57,'20.10 MASAKA-SEMBABULE'!H57,'21.10 MASAKA SEMBABULE'!H57,'22.10 MASAKA-SEMBABULE'!H57,'23.10 MASAKA-SEMBABULE'!H57)</f>
        <v>0.14285714285714285</v>
      </c>
      <c r="I57" s="49">
        <f>AVERAGE('17.10 MASAKA SEMBABULE'!I57,'18.10 MASAKA-SEMBABULA-24HRS'!I57,'19.10 MASAKA-SEMBABULE-24HRS'!I57,'20.10 MASAKA-SEMBABULE'!I57,'21.10 MASAKA SEMBABULE'!I57,'22.10 MASAKA-SEMBABULE'!I57,'23.10 MASAKA-SEMBABULE'!I57)</f>
        <v>0.7142857142857143</v>
      </c>
      <c r="J57" s="49">
        <f>AVERAGE('17.10 MASAKA SEMBABULE'!J57,'18.10 MASAKA-SEMBABULA-24HRS'!J57,'19.10 MASAKA-SEMBABULE-24HRS'!J57,'20.10 MASAKA-SEMBABULE'!J57,'21.10 MASAKA SEMBABULE'!J57,'22.10 MASAKA-SEMBABULE'!J57,'23.10 MASAKA-SEMBABULE'!J57)</f>
        <v>1.1428571428571428</v>
      </c>
      <c r="K57" s="49">
        <f>AVERAGE('17.10 MASAKA SEMBABULE'!K57,'18.10 MASAKA-SEMBABULA-24HRS'!K57,'19.10 MASAKA-SEMBABULE-24HRS'!K57,'20.10 MASAKA-SEMBABULE'!K57,'21.10 MASAKA SEMBABULE'!K57,'22.10 MASAKA-SEMBABULE'!K57,'23.10 MASAKA-SEMBABULE'!K57)</f>
        <v>0.42857142857142855</v>
      </c>
      <c r="L57" s="49">
        <f>AVERAGE('17.10 MASAKA SEMBABULE'!L57,'18.10 MASAKA-SEMBABULA-24HRS'!L57,'19.10 MASAKA-SEMBABULE-24HRS'!L57,'20.10 MASAKA-SEMBABULE'!L57,'21.10 MASAKA SEMBABULE'!L57,'22.10 MASAKA-SEMBABULE'!L57,'23.10 MASAKA-SEMBABULE'!L57)</f>
        <v>0</v>
      </c>
      <c r="M57" s="49">
        <f>AVERAGE('17.10 MASAKA SEMBABULE'!M57,'18.10 MASAKA-SEMBABULA-24HRS'!M57,'19.10 MASAKA-SEMBABULE-24HRS'!M57,'20.10 MASAKA-SEMBABULE'!M57,'21.10 MASAKA SEMBABULE'!M57,'22.10 MASAKA-SEMBABULE'!M57,'23.10 MASAKA-SEMBABULE'!M57)</f>
        <v>8.1428571428571423</v>
      </c>
      <c r="N57" s="49">
        <f>AVERAGE('17.10 MASAKA SEMBABULE'!N57,'18.10 MASAKA-SEMBABULA-24HRS'!N57,'19.10 MASAKA-SEMBABULE-24HRS'!N57,'20.10 MASAKA-SEMBABULE'!N57,'21.10 MASAKA SEMBABULE'!N57,'22.10 MASAKA-SEMBABULE'!N57,'23.10 MASAKA-SEMBABULE'!N57)</f>
        <v>0</v>
      </c>
      <c r="O57" s="15">
        <f t="shared" si="0"/>
        <v>6.1428571428571423</v>
      </c>
      <c r="P57" s="15">
        <f t="shared" si="1"/>
        <v>14.285714285714285</v>
      </c>
      <c r="R57" s="8"/>
      <c r="T57"/>
    </row>
    <row r="58" spans="2:20" ht="23.1" customHeight="1" x14ac:dyDescent="0.25">
      <c r="B58" s="23" t="s">
        <v>99</v>
      </c>
      <c r="C58" s="49">
        <f>AVERAGE('18.10 MASAKA-SEMBABULA-24HRS'!C58,'19.10 MASAKA-SEMBABULE-24HRS'!C58)</f>
        <v>2</v>
      </c>
      <c r="D58" s="49">
        <f>AVERAGE('18.10 MASAKA-SEMBABULA-24HRS'!D58,'19.10 MASAKA-SEMBABULE-24HRS'!D58)</f>
        <v>0</v>
      </c>
      <c r="E58" s="49">
        <f>AVERAGE('18.10 MASAKA-SEMBABULA-24HRS'!E58,'19.10 MASAKA-SEMBABULE-24HRS'!E58)</f>
        <v>0.5</v>
      </c>
      <c r="F58" s="49">
        <f>AVERAGE('18.10 MASAKA-SEMBABULA-24HRS'!F58,'19.10 MASAKA-SEMBABULE-24HRS'!F58)</f>
        <v>1.5</v>
      </c>
      <c r="G58" s="49">
        <f>AVERAGE('18.10 MASAKA-SEMBABULA-24HRS'!G58,'19.10 MASAKA-SEMBABULE-24HRS'!G58)</f>
        <v>0</v>
      </c>
      <c r="H58" s="49">
        <f>AVERAGE('18.10 MASAKA-SEMBABULA-24HRS'!H58,'19.10 MASAKA-SEMBABULE-24HRS'!H58)</f>
        <v>0</v>
      </c>
      <c r="I58" s="49">
        <f>AVERAGE('18.10 MASAKA-SEMBABULA-24HRS'!I58,'19.10 MASAKA-SEMBABULE-24HRS'!I58)</f>
        <v>1</v>
      </c>
      <c r="J58" s="49">
        <f>AVERAGE('18.10 MASAKA-SEMBABULA-24HRS'!J58,'19.10 MASAKA-SEMBABULE-24HRS'!J58)</f>
        <v>1.5</v>
      </c>
      <c r="K58" s="49">
        <f>AVERAGE('18.10 MASAKA-SEMBABULA-24HRS'!K58,'19.10 MASAKA-SEMBABULE-24HRS'!K58)</f>
        <v>0.5</v>
      </c>
      <c r="L58" s="49">
        <f>AVERAGE('18.10 MASAKA-SEMBABULA-24HRS'!L58,'19.10 MASAKA-SEMBABULE-24HRS'!L58)</f>
        <v>0</v>
      </c>
      <c r="M58" s="49">
        <f>AVERAGE('18.10 MASAKA-SEMBABULA-24HRS'!M58,'19.10 MASAKA-SEMBABULE-24HRS'!M58)</f>
        <v>2</v>
      </c>
      <c r="N58" s="49">
        <f>AVERAGE('18.10 MASAKA-SEMBABULA-24HRS'!N58,'19.10 MASAKA-SEMBABULE-24HRS'!N58)</f>
        <v>0</v>
      </c>
      <c r="O58" s="15">
        <f t="shared" si="0"/>
        <v>7</v>
      </c>
      <c r="P58" s="15">
        <f t="shared" si="1"/>
        <v>9</v>
      </c>
      <c r="R58" s="8"/>
      <c r="T58"/>
    </row>
    <row r="59" spans="2:20" ht="23.1" customHeight="1" x14ac:dyDescent="0.25">
      <c r="B59" s="23" t="s">
        <v>100</v>
      </c>
      <c r="C59" s="49">
        <f>AVERAGE('18.10 MASAKA-SEMBABULA-24HRS'!C59,'19.10 MASAKA-SEMBABULE-24HRS'!C59)</f>
        <v>1.5</v>
      </c>
      <c r="D59" s="49">
        <f>AVERAGE('18.10 MASAKA-SEMBABULA-24HRS'!D59,'19.10 MASAKA-SEMBABULE-24HRS'!D59)</f>
        <v>0</v>
      </c>
      <c r="E59" s="49">
        <f>AVERAGE('18.10 MASAKA-SEMBABULA-24HRS'!E59,'19.10 MASAKA-SEMBABULE-24HRS'!E59)</f>
        <v>0</v>
      </c>
      <c r="F59" s="49">
        <f>AVERAGE('18.10 MASAKA-SEMBABULA-24HRS'!F59,'19.10 MASAKA-SEMBABULE-24HRS'!F59)</f>
        <v>0</v>
      </c>
      <c r="G59" s="49">
        <f>AVERAGE('18.10 MASAKA-SEMBABULA-24HRS'!G59,'19.10 MASAKA-SEMBABULE-24HRS'!G59)</f>
        <v>0</v>
      </c>
      <c r="H59" s="49">
        <f>AVERAGE('18.10 MASAKA-SEMBABULA-24HRS'!H59,'19.10 MASAKA-SEMBABULE-24HRS'!H59)</f>
        <v>0.5</v>
      </c>
      <c r="I59" s="49">
        <f>AVERAGE('18.10 MASAKA-SEMBABULA-24HRS'!I59,'19.10 MASAKA-SEMBABULE-24HRS'!I59)</f>
        <v>0.5</v>
      </c>
      <c r="J59" s="49">
        <f>AVERAGE('18.10 MASAKA-SEMBABULA-24HRS'!J59,'19.10 MASAKA-SEMBABULE-24HRS'!J59)</f>
        <v>1</v>
      </c>
      <c r="K59" s="49">
        <f>AVERAGE('18.10 MASAKA-SEMBABULA-24HRS'!K59,'19.10 MASAKA-SEMBABULE-24HRS'!K59)</f>
        <v>0</v>
      </c>
      <c r="L59" s="49">
        <f>AVERAGE('18.10 MASAKA-SEMBABULA-24HRS'!L59,'19.10 MASAKA-SEMBABULE-24HRS'!L59)</f>
        <v>0</v>
      </c>
      <c r="M59" s="49">
        <f>AVERAGE('18.10 MASAKA-SEMBABULA-24HRS'!M59,'19.10 MASAKA-SEMBABULE-24HRS'!M59)</f>
        <v>8</v>
      </c>
      <c r="N59" s="49">
        <f>AVERAGE('18.10 MASAKA-SEMBABULA-24HRS'!N59,'19.10 MASAKA-SEMBABULE-24HRS'!N59)</f>
        <v>0</v>
      </c>
      <c r="O59" s="15">
        <f t="shared" si="0"/>
        <v>3.5</v>
      </c>
      <c r="P59" s="15">
        <f t="shared" si="1"/>
        <v>11.5</v>
      </c>
      <c r="R59" s="8"/>
      <c r="T59"/>
    </row>
    <row r="60" spans="2:20" ht="23.1" customHeight="1" x14ac:dyDescent="0.25">
      <c r="B60" s="23" t="s">
        <v>101</v>
      </c>
      <c r="C60" s="49">
        <f>AVERAGE('18.10 MASAKA-SEMBABULA-24HRS'!C60,'19.10 MASAKA-SEMBABULE-24HRS'!C60)</f>
        <v>2.5</v>
      </c>
      <c r="D60" s="49">
        <f>AVERAGE('18.10 MASAKA-SEMBABULA-24HRS'!D60,'19.10 MASAKA-SEMBABULE-24HRS'!D60)</f>
        <v>1</v>
      </c>
      <c r="E60" s="49">
        <f>AVERAGE('18.10 MASAKA-SEMBABULA-24HRS'!E60,'19.10 MASAKA-SEMBABULE-24HRS'!E60)</f>
        <v>1</v>
      </c>
      <c r="F60" s="49">
        <f>AVERAGE('18.10 MASAKA-SEMBABULA-24HRS'!F60,'19.10 MASAKA-SEMBABULE-24HRS'!F60)</f>
        <v>0.5</v>
      </c>
      <c r="G60" s="49">
        <f>AVERAGE('18.10 MASAKA-SEMBABULA-24HRS'!G60,'19.10 MASAKA-SEMBABULE-24HRS'!G60)</f>
        <v>0</v>
      </c>
      <c r="H60" s="49">
        <f>AVERAGE('18.10 MASAKA-SEMBABULA-24HRS'!H60,'19.10 MASAKA-SEMBABULE-24HRS'!H60)</f>
        <v>0</v>
      </c>
      <c r="I60" s="49">
        <f>AVERAGE('18.10 MASAKA-SEMBABULA-24HRS'!I60,'19.10 MASAKA-SEMBABULE-24HRS'!I60)</f>
        <v>1</v>
      </c>
      <c r="J60" s="49">
        <f>AVERAGE('18.10 MASAKA-SEMBABULA-24HRS'!J60,'19.10 MASAKA-SEMBABULE-24HRS'!J60)</f>
        <v>0</v>
      </c>
      <c r="K60" s="49">
        <f>AVERAGE('18.10 MASAKA-SEMBABULA-24HRS'!K60,'19.10 MASAKA-SEMBABULE-24HRS'!K60)</f>
        <v>0</v>
      </c>
      <c r="L60" s="49">
        <f>AVERAGE('18.10 MASAKA-SEMBABULA-24HRS'!L60,'19.10 MASAKA-SEMBABULE-24HRS'!L60)</f>
        <v>0</v>
      </c>
      <c r="M60" s="49">
        <f>AVERAGE('18.10 MASAKA-SEMBABULA-24HRS'!M60,'19.10 MASAKA-SEMBABULE-24HRS'!M60)</f>
        <v>10</v>
      </c>
      <c r="N60" s="49">
        <f>AVERAGE('18.10 MASAKA-SEMBABULA-24HRS'!N60,'19.10 MASAKA-SEMBABULE-24HRS'!N60)</f>
        <v>0</v>
      </c>
      <c r="O60" s="15">
        <f t="shared" si="0"/>
        <v>6</v>
      </c>
      <c r="P60" s="15">
        <f t="shared" si="1"/>
        <v>16</v>
      </c>
      <c r="R60" s="8"/>
      <c r="T60"/>
    </row>
    <row r="61" spans="2:20" ht="23.1" customHeight="1" x14ac:dyDescent="0.25">
      <c r="B61" s="23" t="s">
        <v>102</v>
      </c>
      <c r="C61" s="49">
        <f>AVERAGE('18.10 MASAKA-SEMBABULA-24HRS'!C61,'19.10 MASAKA-SEMBABULE-24HRS'!C61)</f>
        <v>3</v>
      </c>
      <c r="D61" s="49">
        <f>AVERAGE('18.10 MASAKA-SEMBABULA-24HRS'!D61,'19.10 MASAKA-SEMBABULE-24HRS'!D61)</f>
        <v>0.5</v>
      </c>
      <c r="E61" s="49">
        <f>AVERAGE('18.10 MASAKA-SEMBABULA-24HRS'!E61,'19.10 MASAKA-SEMBABULE-24HRS'!E61)</f>
        <v>0</v>
      </c>
      <c r="F61" s="49">
        <f>AVERAGE('18.10 MASAKA-SEMBABULA-24HRS'!F61,'19.10 MASAKA-SEMBABULE-24HRS'!F61)</f>
        <v>0</v>
      </c>
      <c r="G61" s="49">
        <f>AVERAGE('18.10 MASAKA-SEMBABULA-24HRS'!G61,'19.10 MASAKA-SEMBABULE-24HRS'!G61)</f>
        <v>0</v>
      </c>
      <c r="H61" s="49">
        <f>AVERAGE('18.10 MASAKA-SEMBABULA-24HRS'!H61,'19.10 MASAKA-SEMBABULE-24HRS'!H61)</f>
        <v>0</v>
      </c>
      <c r="I61" s="49">
        <f>AVERAGE('18.10 MASAKA-SEMBABULA-24HRS'!I61,'19.10 MASAKA-SEMBABULE-24HRS'!I61)</f>
        <v>0.5</v>
      </c>
      <c r="J61" s="49">
        <f>AVERAGE('18.10 MASAKA-SEMBABULA-24HRS'!J61,'19.10 MASAKA-SEMBABULE-24HRS'!J61)</f>
        <v>0</v>
      </c>
      <c r="K61" s="49">
        <f>AVERAGE('18.10 MASAKA-SEMBABULA-24HRS'!K61,'19.10 MASAKA-SEMBABULE-24HRS'!K61)</f>
        <v>0</v>
      </c>
      <c r="L61" s="49">
        <f>AVERAGE('18.10 MASAKA-SEMBABULA-24HRS'!L61,'19.10 MASAKA-SEMBABULE-24HRS'!L61)</f>
        <v>0.5</v>
      </c>
      <c r="M61" s="49">
        <f>AVERAGE('18.10 MASAKA-SEMBABULA-24HRS'!M61,'19.10 MASAKA-SEMBABULE-24HRS'!M61)</f>
        <v>8.5</v>
      </c>
      <c r="N61" s="49">
        <f>AVERAGE('18.10 MASAKA-SEMBABULA-24HRS'!N61,'19.10 MASAKA-SEMBABULE-24HRS'!N61)</f>
        <v>0</v>
      </c>
      <c r="O61" s="15">
        <f t="shared" si="0"/>
        <v>4.5</v>
      </c>
      <c r="P61" s="15">
        <f t="shared" si="1"/>
        <v>13</v>
      </c>
      <c r="R61" s="8"/>
      <c r="T61"/>
    </row>
    <row r="62" spans="2:20" ht="23.1" customHeight="1" x14ac:dyDescent="0.25">
      <c r="B62" s="23" t="s">
        <v>107</v>
      </c>
      <c r="C62" s="49">
        <f>AVERAGE('18.10 MASAKA-SEMBABULA-24HRS'!C62,'19.10 MASAKA-SEMBABULE-24HRS'!C62)</f>
        <v>3</v>
      </c>
      <c r="D62" s="49">
        <f>AVERAGE('18.10 MASAKA-SEMBABULA-24HRS'!D62,'19.10 MASAKA-SEMBABULE-24HRS'!D62)</f>
        <v>0.5</v>
      </c>
      <c r="E62" s="49">
        <f>AVERAGE('18.10 MASAKA-SEMBABULA-24HRS'!E62,'19.10 MASAKA-SEMBABULE-24HRS'!E62)</f>
        <v>0</v>
      </c>
      <c r="F62" s="49">
        <f>AVERAGE('18.10 MASAKA-SEMBABULA-24HRS'!F62,'19.10 MASAKA-SEMBABULE-24HRS'!F62)</f>
        <v>0.5</v>
      </c>
      <c r="G62" s="49">
        <f>AVERAGE('18.10 MASAKA-SEMBABULA-24HRS'!G62,'19.10 MASAKA-SEMBABULE-24HRS'!G62)</f>
        <v>0</v>
      </c>
      <c r="H62" s="49">
        <f>AVERAGE('18.10 MASAKA-SEMBABULA-24HRS'!H62,'19.10 MASAKA-SEMBABULE-24HRS'!H62)</f>
        <v>0</v>
      </c>
      <c r="I62" s="49">
        <f>AVERAGE('18.10 MASAKA-SEMBABULA-24HRS'!I62,'19.10 MASAKA-SEMBABULE-24HRS'!I62)</f>
        <v>1.5</v>
      </c>
      <c r="J62" s="49">
        <f>AVERAGE('18.10 MASAKA-SEMBABULA-24HRS'!J62,'19.10 MASAKA-SEMBABULE-24HRS'!J62)</f>
        <v>1</v>
      </c>
      <c r="K62" s="49">
        <f>AVERAGE('18.10 MASAKA-SEMBABULA-24HRS'!K62,'19.10 MASAKA-SEMBABULE-24HRS'!K62)</f>
        <v>0</v>
      </c>
      <c r="L62" s="49">
        <f>AVERAGE('18.10 MASAKA-SEMBABULA-24HRS'!L62,'19.10 MASAKA-SEMBABULE-24HRS'!L62)</f>
        <v>0</v>
      </c>
      <c r="M62" s="49">
        <f>AVERAGE('18.10 MASAKA-SEMBABULA-24HRS'!M62,'19.10 MASAKA-SEMBABULE-24HRS'!M62)</f>
        <v>4.5</v>
      </c>
      <c r="N62" s="49">
        <f>AVERAGE('18.10 MASAKA-SEMBABULA-24HRS'!N62,'19.10 MASAKA-SEMBABULE-24HRS'!N62)</f>
        <v>0</v>
      </c>
      <c r="O62" s="15">
        <f t="shared" si="0"/>
        <v>6.5</v>
      </c>
      <c r="P62" s="15">
        <f t="shared" si="1"/>
        <v>11</v>
      </c>
      <c r="R62" s="8"/>
      <c r="T62"/>
    </row>
    <row r="63" spans="2:20" ht="23.1" customHeight="1" x14ac:dyDescent="0.25">
      <c r="B63" s="23" t="s">
        <v>108</v>
      </c>
      <c r="C63" s="49">
        <f>AVERAGE('18.10 MASAKA-SEMBABULA-24HRS'!C63,'19.10 MASAKA-SEMBABULE-24HRS'!C63)</f>
        <v>3.5</v>
      </c>
      <c r="D63" s="49">
        <f>AVERAGE('18.10 MASAKA-SEMBABULA-24HRS'!D63,'19.10 MASAKA-SEMBABULE-24HRS'!D63)</f>
        <v>0.5</v>
      </c>
      <c r="E63" s="49">
        <f>AVERAGE('18.10 MASAKA-SEMBABULA-24HRS'!E63,'19.10 MASAKA-SEMBABULE-24HRS'!E63)</f>
        <v>0.5</v>
      </c>
      <c r="F63" s="49">
        <f>AVERAGE('18.10 MASAKA-SEMBABULA-24HRS'!F63,'19.10 MASAKA-SEMBABULE-24HRS'!F63)</f>
        <v>0</v>
      </c>
      <c r="G63" s="49">
        <f>AVERAGE('18.10 MASAKA-SEMBABULA-24HRS'!G63,'19.10 MASAKA-SEMBABULE-24HRS'!G63)</f>
        <v>0</v>
      </c>
      <c r="H63" s="49">
        <f>AVERAGE('18.10 MASAKA-SEMBABULA-24HRS'!H63,'19.10 MASAKA-SEMBABULE-24HRS'!H63)</f>
        <v>0</v>
      </c>
      <c r="I63" s="49">
        <f>AVERAGE('18.10 MASAKA-SEMBABULA-24HRS'!I63,'19.10 MASAKA-SEMBABULE-24HRS'!I63)</f>
        <v>0</v>
      </c>
      <c r="J63" s="49">
        <f>AVERAGE('18.10 MASAKA-SEMBABULA-24HRS'!J63,'19.10 MASAKA-SEMBABULE-24HRS'!J63)</f>
        <v>0</v>
      </c>
      <c r="K63" s="49">
        <f>AVERAGE('18.10 MASAKA-SEMBABULA-24HRS'!K63,'19.10 MASAKA-SEMBABULE-24HRS'!K63)</f>
        <v>0</v>
      </c>
      <c r="L63" s="49">
        <f>AVERAGE('18.10 MASAKA-SEMBABULA-24HRS'!L63,'19.10 MASAKA-SEMBABULE-24HRS'!L63)</f>
        <v>0</v>
      </c>
      <c r="M63" s="49">
        <f>AVERAGE('18.10 MASAKA-SEMBABULA-24HRS'!M63,'19.10 MASAKA-SEMBABULE-24HRS'!M63)</f>
        <v>6.5</v>
      </c>
      <c r="N63" s="49">
        <f>AVERAGE('18.10 MASAKA-SEMBABULA-24HRS'!N63,'19.10 MASAKA-SEMBABULE-24HRS'!N63)</f>
        <v>0</v>
      </c>
      <c r="O63" s="15">
        <f t="shared" si="0"/>
        <v>4.5</v>
      </c>
      <c r="P63" s="15">
        <f t="shared" si="1"/>
        <v>11</v>
      </c>
      <c r="R63" s="8"/>
      <c r="T63"/>
    </row>
    <row r="64" spans="2:20" ht="23.1" customHeight="1" x14ac:dyDescent="0.25">
      <c r="B64" s="23" t="s">
        <v>109</v>
      </c>
      <c r="C64" s="49">
        <f>AVERAGE('18.10 MASAKA-SEMBABULA-24HRS'!C64,'19.10 MASAKA-SEMBABULE-24HRS'!C64)</f>
        <v>2.5</v>
      </c>
      <c r="D64" s="49">
        <f>AVERAGE('18.10 MASAKA-SEMBABULA-24HRS'!D64,'19.10 MASAKA-SEMBABULE-24HRS'!D64)</f>
        <v>0</v>
      </c>
      <c r="E64" s="49">
        <f>AVERAGE('18.10 MASAKA-SEMBABULA-24HRS'!E64,'19.10 MASAKA-SEMBABULE-24HRS'!E64)</f>
        <v>1.5</v>
      </c>
      <c r="F64" s="49">
        <f>AVERAGE('18.10 MASAKA-SEMBABULA-24HRS'!F64,'19.10 MASAKA-SEMBABULE-24HRS'!F64)</f>
        <v>0.5</v>
      </c>
      <c r="G64" s="49">
        <f>AVERAGE('18.10 MASAKA-SEMBABULA-24HRS'!G64,'19.10 MASAKA-SEMBABULE-24HRS'!G64)</f>
        <v>0</v>
      </c>
      <c r="H64" s="49">
        <f>AVERAGE('18.10 MASAKA-SEMBABULA-24HRS'!H64,'19.10 MASAKA-SEMBABULE-24HRS'!H64)</f>
        <v>0.5</v>
      </c>
      <c r="I64" s="49">
        <f>AVERAGE('18.10 MASAKA-SEMBABULA-24HRS'!I64,'19.10 MASAKA-SEMBABULE-24HRS'!I64)</f>
        <v>0.5</v>
      </c>
      <c r="J64" s="49">
        <f>AVERAGE('18.10 MASAKA-SEMBABULA-24HRS'!J64,'19.10 MASAKA-SEMBABULE-24HRS'!J64)</f>
        <v>0</v>
      </c>
      <c r="K64" s="49">
        <f>AVERAGE('18.10 MASAKA-SEMBABULA-24HRS'!K64,'19.10 MASAKA-SEMBABULE-24HRS'!K64)</f>
        <v>0</v>
      </c>
      <c r="L64" s="49">
        <f>AVERAGE('18.10 MASAKA-SEMBABULA-24HRS'!L64,'19.10 MASAKA-SEMBABULE-24HRS'!L64)</f>
        <v>0</v>
      </c>
      <c r="M64" s="49">
        <f>AVERAGE('18.10 MASAKA-SEMBABULA-24HRS'!M64,'19.10 MASAKA-SEMBABULE-24HRS'!M64)</f>
        <v>9.5</v>
      </c>
      <c r="N64" s="49">
        <f>AVERAGE('18.10 MASAKA-SEMBABULA-24HRS'!N64,'19.10 MASAKA-SEMBABULE-24HRS'!N64)</f>
        <v>0</v>
      </c>
      <c r="O64" s="15">
        <f t="shared" si="0"/>
        <v>5.5</v>
      </c>
      <c r="P64" s="15">
        <f t="shared" si="1"/>
        <v>15</v>
      </c>
      <c r="R64" s="8"/>
      <c r="T64"/>
    </row>
    <row r="65" spans="2:20" ht="23.1" customHeight="1" x14ac:dyDescent="0.25">
      <c r="B65" s="23" t="s">
        <v>158</v>
      </c>
      <c r="C65" s="49">
        <f>AVERAGE('18.10 MASAKA-SEMBABULA-24HRS'!C65,'19.10 MASAKA-SEMBABULE-24HRS'!C65)</f>
        <v>1.5</v>
      </c>
      <c r="D65" s="49">
        <f>AVERAGE('18.10 MASAKA-SEMBABULA-24HRS'!D65,'19.10 MASAKA-SEMBABULE-24HRS'!D65)</f>
        <v>0</v>
      </c>
      <c r="E65" s="49">
        <f>AVERAGE('18.10 MASAKA-SEMBABULA-24HRS'!E65,'19.10 MASAKA-SEMBABULE-24HRS'!E65)</f>
        <v>0</v>
      </c>
      <c r="F65" s="49">
        <f>AVERAGE('18.10 MASAKA-SEMBABULA-24HRS'!F65,'19.10 MASAKA-SEMBABULE-24HRS'!F65)</f>
        <v>0.5</v>
      </c>
      <c r="G65" s="49">
        <f>AVERAGE('18.10 MASAKA-SEMBABULA-24HRS'!G65,'19.10 MASAKA-SEMBABULE-24HRS'!G65)</f>
        <v>0.5</v>
      </c>
      <c r="H65" s="49">
        <f>AVERAGE('18.10 MASAKA-SEMBABULA-24HRS'!H65,'19.10 MASAKA-SEMBABULE-24HRS'!H65)</f>
        <v>0</v>
      </c>
      <c r="I65" s="49">
        <f>AVERAGE('18.10 MASAKA-SEMBABULA-24HRS'!I65,'19.10 MASAKA-SEMBABULE-24HRS'!I65)</f>
        <v>2</v>
      </c>
      <c r="J65" s="49">
        <f>AVERAGE('18.10 MASAKA-SEMBABULA-24HRS'!J65,'19.10 MASAKA-SEMBABULE-24HRS'!J65)</f>
        <v>0.5</v>
      </c>
      <c r="K65" s="49">
        <f>AVERAGE('18.10 MASAKA-SEMBABULA-24HRS'!K65,'19.10 MASAKA-SEMBABULE-24HRS'!K65)</f>
        <v>0</v>
      </c>
      <c r="L65" s="49">
        <f>AVERAGE('18.10 MASAKA-SEMBABULA-24HRS'!L65,'19.10 MASAKA-SEMBABULE-24HRS'!L65)</f>
        <v>0</v>
      </c>
      <c r="M65" s="49">
        <f>AVERAGE('18.10 MASAKA-SEMBABULA-24HRS'!M65,'19.10 MASAKA-SEMBABULE-24HRS'!M65)</f>
        <v>5.5</v>
      </c>
      <c r="N65" s="49">
        <f>AVERAGE('18.10 MASAKA-SEMBABULA-24HRS'!N65,'19.10 MASAKA-SEMBABULE-24HRS'!N65)</f>
        <v>0</v>
      </c>
      <c r="O65" s="15">
        <f t="shared" si="0"/>
        <v>5</v>
      </c>
      <c r="P65" s="15">
        <f t="shared" si="1"/>
        <v>10.5</v>
      </c>
      <c r="R65" s="8"/>
      <c r="T65"/>
    </row>
    <row r="66" spans="2:20" ht="23.1" customHeight="1" x14ac:dyDescent="0.25">
      <c r="B66" s="23" t="s">
        <v>103</v>
      </c>
      <c r="C66" s="49">
        <f>AVERAGE('18.10 MASAKA-SEMBABULA-24HRS'!C66,'19.10 MASAKA-SEMBABULE-24HRS'!C66)</f>
        <v>0.5</v>
      </c>
      <c r="D66" s="49">
        <f>AVERAGE('18.10 MASAKA-SEMBABULA-24HRS'!D66,'19.10 MASAKA-SEMBABULE-24HRS'!D66)</f>
        <v>0</v>
      </c>
      <c r="E66" s="49">
        <f>AVERAGE('18.10 MASAKA-SEMBABULA-24HRS'!E66,'19.10 MASAKA-SEMBABULE-24HRS'!E66)</f>
        <v>0.5</v>
      </c>
      <c r="F66" s="49">
        <f>AVERAGE('18.10 MASAKA-SEMBABULA-24HRS'!F66,'19.10 MASAKA-SEMBABULE-24HRS'!F66)</f>
        <v>0</v>
      </c>
      <c r="G66" s="49">
        <f>AVERAGE('18.10 MASAKA-SEMBABULA-24HRS'!G66,'19.10 MASAKA-SEMBABULE-24HRS'!G66)</f>
        <v>0</v>
      </c>
      <c r="H66" s="49">
        <f>AVERAGE('18.10 MASAKA-SEMBABULA-24HRS'!H66,'19.10 MASAKA-SEMBABULE-24HRS'!H66)</f>
        <v>0</v>
      </c>
      <c r="I66" s="49">
        <f>AVERAGE('18.10 MASAKA-SEMBABULA-24HRS'!I66,'19.10 MASAKA-SEMBABULE-24HRS'!I66)</f>
        <v>0</v>
      </c>
      <c r="J66" s="49">
        <f>AVERAGE('18.10 MASAKA-SEMBABULA-24HRS'!J66,'19.10 MASAKA-SEMBABULE-24HRS'!J66)</f>
        <v>1</v>
      </c>
      <c r="K66" s="49">
        <f>AVERAGE('18.10 MASAKA-SEMBABULA-24HRS'!K66,'19.10 MASAKA-SEMBABULE-24HRS'!K66)</f>
        <v>0</v>
      </c>
      <c r="L66" s="49">
        <f>AVERAGE('18.10 MASAKA-SEMBABULA-24HRS'!L66,'19.10 MASAKA-SEMBABULE-24HRS'!L66)</f>
        <v>0</v>
      </c>
      <c r="M66" s="49">
        <f>AVERAGE('18.10 MASAKA-SEMBABULA-24HRS'!M66,'19.10 MASAKA-SEMBABULE-24HRS'!M66)</f>
        <v>5.5</v>
      </c>
      <c r="N66" s="49">
        <f>AVERAGE('18.10 MASAKA-SEMBABULA-24HRS'!N66,'19.10 MASAKA-SEMBABULE-24HRS'!N66)</f>
        <v>0</v>
      </c>
      <c r="O66" s="15">
        <f t="shared" si="0"/>
        <v>2</v>
      </c>
      <c r="P66" s="15">
        <f t="shared" si="1"/>
        <v>7.5</v>
      </c>
      <c r="R66" s="8"/>
      <c r="T66"/>
    </row>
    <row r="67" spans="2:20" ht="23.1" customHeight="1" x14ac:dyDescent="0.25">
      <c r="B67" s="23" t="s">
        <v>104</v>
      </c>
      <c r="C67" s="49">
        <f>AVERAGE('18.10 MASAKA-SEMBABULA-24HRS'!C67,'19.10 MASAKA-SEMBABULE-24HRS'!C67)</f>
        <v>0.5</v>
      </c>
      <c r="D67" s="49">
        <f>AVERAGE('18.10 MASAKA-SEMBABULA-24HRS'!D67,'19.10 MASAKA-SEMBABULE-24HRS'!D67)</f>
        <v>0.5</v>
      </c>
      <c r="E67" s="49">
        <f>AVERAGE('18.10 MASAKA-SEMBABULA-24HRS'!E67,'19.10 MASAKA-SEMBABULE-24HRS'!E67)</f>
        <v>0</v>
      </c>
      <c r="F67" s="49">
        <f>AVERAGE('18.10 MASAKA-SEMBABULA-24HRS'!F67,'19.10 MASAKA-SEMBABULE-24HRS'!F67)</f>
        <v>1</v>
      </c>
      <c r="G67" s="49">
        <f>AVERAGE('18.10 MASAKA-SEMBABULA-24HRS'!G67,'19.10 MASAKA-SEMBABULE-24HRS'!G67)</f>
        <v>0</v>
      </c>
      <c r="H67" s="49">
        <f>AVERAGE('18.10 MASAKA-SEMBABULA-24HRS'!H67,'19.10 MASAKA-SEMBABULE-24HRS'!H67)</f>
        <v>0</v>
      </c>
      <c r="I67" s="49">
        <f>AVERAGE('18.10 MASAKA-SEMBABULA-24HRS'!I67,'19.10 MASAKA-SEMBABULE-24HRS'!I67)</f>
        <v>0</v>
      </c>
      <c r="J67" s="49">
        <f>AVERAGE('18.10 MASAKA-SEMBABULA-24HRS'!J67,'19.10 MASAKA-SEMBABULE-24HRS'!J67)</f>
        <v>0.5</v>
      </c>
      <c r="K67" s="49">
        <f>AVERAGE('18.10 MASAKA-SEMBABULA-24HRS'!K67,'19.10 MASAKA-SEMBABULE-24HRS'!K67)</f>
        <v>0</v>
      </c>
      <c r="L67" s="49">
        <f>AVERAGE('18.10 MASAKA-SEMBABULA-24HRS'!L67,'19.10 MASAKA-SEMBABULE-24HRS'!L67)</f>
        <v>0</v>
      </c>
      <c r="M67" s="49">
        <f>AVERAGE('18.10 MASAKA-SEMBABULA-24HRS'!M67,'19.10 MASAKA-SEMBABULE-24HRS'!M67)</f>
        <v>1.5</v>
      </c>
      <c r="N67" s="49">
        <f>AVERAGE('18.10 MASAKA-SEMBABULA-24HRS'!N67,'19.10 MASAKA-SEMBABULE-24HRS'!N67)</f>
        <v>0</v>
      </c>
      <c r="O67" s="15">
        <f t="shared" si="0"/>
        <v>2.5</v>
      </c>
      <c r="P67" s="15">
        <f t="shared" si="1"/>
        <v>4</v>
      </c>
      <c r="R67" s="8"/>
      <c r="T67"/>
    </row>
    <row r="68" spans="2:20" ht="23.1" customHeight="1" x14ac:dyDescent="0.25">
      <c r="B68" s="23" t="s">
        <v>105</v>
      </c>
      <c r="C68" s="49">
        <f>AVERAGE('18.10 MASAKA-SEMBABULA-24HRS'!C68,'19.10 MASAKA-SEMBABULE-24HRS'!C68)</f>
        <v>2.5</v>
      </c>
      <c r="D68" s="49">
        <f>AVERAGE('18.10 MASAKA-SEMBABULA-24HRS'!D68,'19.10 MASAKA-SEMBABULE-24HRS'!D68)</f>
        <v>0</v>
      </c>
      <c r="E68" s="49">
        <f>AVERAGE('18.10 MASAKA-SEMBABULA-24HRS'!E68,'19.10 MASAKA-SEMBABULE-24HRS'!E68)</f>
        <v>0</v>
      </c>
      <c r="F68" s="49">
        <f>AVERAGE('18.10 MASAKA-SEMBABULA-24HRS'!F68,'19.10 MASAKA-SEMBABULE-24HRS'!F68)</f>
        <v>0</v>
      </c>
      <c r="G68" s="49">
        <f>AVERAGE('18.10 MASAKA-SEMBABULA-24HRS'!G68,'19.10 MASAKA-SEMBABULE-24HRS'!G68)</f>
        <v>0</v>
      </c>
      <c r="H68" s="49">
        <f>AVERAGE('18.10 MASAKA-SEMBABULA-24HRS'!H68,'19.10 MASAKA-SEMBABULE-24HRS'!H68)</f>
        <v>0</v>
      </c>
      <c r="I68" s="49">
        <f>AVERAGE('18.10 MASAKA-SEMBABULA-24HRS'!I68,'19.10 MASAKA-SEMBABULE-24HRS'!I68)</f>
        <v>0.5</v>
      </c>
      <c r="J68" s="49">
        <f>AVERAGE('18.10 MASAKA-SEMBABULA-24HRS'!J68,'19.10 MASAKA-SEMBABULE-24HRS'!J68)</f>
        <v>2.5</v>
      </c>
      <c r="K68" s="49">
        <f>AVERAGE('18.10 MASAKA-SEMBABULA-24HRS'!K68,'19.10 MASAKA-SEMBABULE-24HRS'!K68)</f>
        <v>0</v>
      </c>
      <c r="L68" s="49">
        <f>AVERAGE('18.10 MASAKA-SEMBABULA-24HRS'!L68,'19.10 MASAKA-SEMBABULE-24HRS'!L68)</f>
        <v>0</v>
      </c>
      <c r="M68" s="49">
        <f>AVERAGE('18.10 MASAKA-SEMBABULA-24HRS'!M68,'19.10 MASAKA-SEMBABULE-24HRS'!M68)</f>
        <v>1.5</v>
      </c>
      <c r="N68" s="49">
        <f>AVERAGE('18.10 MASAKA-SEMBABULA-24HRS'!N68,'19.10 MASAKA-SEMBABULE-24HRS'!N68)</f>
        <v>0</v>
      </c>
      <c r="O68" s="15">
        <f t="shared" si="0"/>
        <v>5.5</v>
      </c>
      <c r="P68" s="15">
        <f t="shared" si="1"/>
        <v>7</v>
      </c>
      <c r="R68" s="8"/>
      <c r="T68"/>
    </row>
    <row r="69" spans="2:20" ht="23.1" customHeight="1" x14ac:dyDescent="0.25">
      <c r="B69" s="23" t="s">
        <v>106</v>
      </c>
      <c r="C69" s="49">
        <f>AVERAGE('18.10 MASAKA-SEMBABULA-24HRS'!C69,'19.10 MASAKA-SEMBABULE-24HRS'!C69)</f>
        <v>0.5</v>
      </c>
      <c r="D69" s="49">
        <f>AVERAGE('18.10 MASAKA-SEMBABULA-24HRS'!D69,'19.10 MASAKA-SEMBABULE-24HRS'!D69)</f>
        <v>0</v>
      </c>
      <c r="E69" s="49">
        <f>AVERAGE('18.10 MASAKA-SEMBABULA-24HRS'!E69,'19.10 MASAKA-SEMBABULE-24HRS'!E69)</f>
        <v>0</v>
      </c>
      <c r="F69" s="49">
        <f>AVERAGE('18.10 MASAKA-SEMBABULA-24HRS'!F69,'19.10 MASAKA-SEMBABULE-24HRS'!F69)</f>
        <v>0</v>
      </c>
      <c r="G69" s="49">
        <f>AVERAGE('18.10 MASAKA-SEMBABULA-24HRS'!G69,'19.10 MASAKA-SEMBABULE-24HRS'!G69)</f>
        <v>0</v>
      </c>
      <c r="H69" s="49">
        <f>AVERAGE('18.10 MASAKA-SEMBABULA-24HRS'!H69,'19.10 MASAKA-SEMBABULE-24HRS'!H69)</f>
        <v>0</v>
      </c>
      <c r="I69" s="49">
        <f>AVERAGE('18.10 MASAKA-SEMBABULA-24HRS'!I69,'19.10 MASAKA-SEMBABULE-24HRS'!I69)</f>
        <v>0</v>
      </c>
      <c r="J69" s="49">
        <f>AVERAGE('18.10 MASAKA-SEMBABULA-24HRS'!J69,'19.10 MASAKA-SEMBABULE-24HRS'!J69)</f>
        <v>1.5</v>
      </c>
      <c r="K69" s="49">
        <f>AVERAGE('18.10 MASAKA-SEMBABULA-24HRS'!K69,'19.10 MASAKA-SEMBABULE-24HRS'!K69)</f>
        <v>0</v>
      </c>
      <c r="L69" s="49">
        <f>AVERAGE('18.10 MASAKA-SEMBABULA-24HRS'!L69,'19.10 MASAKA-SEMBABULE-24HRS'!L69)</f>
        <v>0</v>
      </c>
      <c r="M69" s="49">
        <f>AVERAGE('18.10 MASAKA-SEMBABULA-24HRS'!M69,'19.10 MASAKA-SEMBABULE-24HRS'!M69)</f>
        <v>3</v>
      </c>
      <c r="N69" s="49">
        <f>AVERAGE('18.10 MASAKA-SEMBABULA-24HRS'!N69,'19.10 MASAKA-SEMBABULE-24HRS'!N69)</f>
        <v>0</v>
      </c>
      <c r="O69" s="15">
        <f t="shared" si="0"/>
        <v>2</v>
      </c>
      <c r="P69" s="15">
        <f t="shared" si="1"/>
        <v>5</v>
      </c>
      <c r="R69" s="8"/>
      <c r="T69"/>
    </row>
    <row r="70" spans="2:20" ht="23.1" customHeight="1" x14ac:dyDescent="0.25">
      <c r="B70" s="23" t="s">
        <v>110</v>
      </c>
      <c r="C70" s="49">
        <f>AVERAGE('18.10 MASAKA-SEMBABULA-24HRS'!C70,'19.10 MASAKA-SEMBABULE-24HRS'!C70)</f>
        <v>1.5</v>
      </c>
      <c r="D70" s="49">
        <f>AVERAGE('18.10 MASAKA-SEMBABULA-24HRS'!D70,'19.10 MASAKA-SEMBABULE-24HRS'!D70)</f>
        <v>1</v>
      </c>
      <c r="E70" s="49">
        <f>AVERAGE('18.10 MASAKA-SEMBABULA-24HRS'!E70,'19.10 MASAKA-SEMBABULE-24HRS'!E70)</f>
        <v>1.5</v>
      </c>
      <c r="F70" s="49">
        <f>AVERAGE('18.10 MASAKA-SEMBABULA-24HRS'!F70,'19.10 MASAKA-SEMBABULE-24HRS'!F70)</f>
        <v>0</v>
      </c>
      <c r="G70" s="49">
        <f>AVERAGE('18.10 MASAKA-SEMBABULA-24HRS'!G70,'19.10 MASAKA-SEMBABULE-24HRS'!G70)</f>
        <v>0</v>
      </c>
      <c r="H70" s="49">
        <f>AVERAGE('18.10 MASAKA-SEMBABULA-24HRS'!H70,'19.10 MASAKA-SEMBABULE-24HRS'!H70)</f>
        <v>0</v>
      </c>
      <c r="I70" s="49">
        <f>AVERAGE('18.10 MASAKA-SEMBABULA-24HRS'!I70,'19.10 MASAKA-SEMBABULE-24HRS'!I70)</f>
        <v>0.5</v>
      </c>
      <c r="J70" s="49">
        <f>AVERAGE('18.10 MASAKA-SEMBABULA-24HRS'!J70,'19.10 MASAKA-SEMBABULE-24HRS'!J70)</f>
        <v>0</v>
      </c>
      <c r="K70" s="49">
        <f>AVERAGE('18.10 MASAKA-SEMBABULA-24HRS'!K70,'19.10 MASAKA-SEMBABULE-24HRS'!K70)</f>
        <v>0</v>
      </c>
      <c r="L70" s="49">
        <f>AVERAGE('18.10 MASAKA-SEMBABULA-24HRS'!L70,'19.10 MASAKA-SEMBABULE-24HRS'!L70)</f>
        <v>0</v>
      </c>
      <c r="M70" s="49">
        <f>AVERAGE('18.10 MASAKA-SEMBABULA-24HRS'!M70,'19.10 MASAKA-SEMBABULE-24HRS'!M70)</f>
        <v>2</v>
      </c>
      <c r="N70" s="49">
        <f>AVERAGE('18.10 MASAKA-SEMBABULA-24HRS'!N70,'19.10 MASAKA-SEMBABULE-24HRS'!N70)</f>
        <v>0</v>
      </c>
      <c r="O70" s="15">
        <f t="shared" si="0"/>
        <v>4.5</v>
      </c>
      <c r="P70" s="15">
        <f t="shared" si="1"/>
        <v>6.5</v>
      </c>
      <c r="R70" s="8"/>
      <c r="T70"/>
    </row>
    <row r="71" spans="2:20" ht="23.1" customHeight="1" x14ac:dyDescent="0.25">
      <c r="B71" s="23" t="s">
        <v>111</v>
      </c>
      <c r="C71" s="49">
        <f>AVERAGE('18.10 MASAKA-SEMBABULA-24HRS'!C71,'19.10 MASAKA-SEMBABULE-24HRS'!C71)</f>
        <v>0.5</v>
      </c>
      <c r="D71" s="49">
        <f>AVERAGE('18.10 MASAKA-SEMBABULA-24HRS'!D71,'19.10 MASAKA-SEMBABULE-24HRS'!D71)</f>
        <v>0</v>
      </c>
      <c r="E71" s="49">
        <f>AVERAGE('18.10 MASAKA-SEMBABULA-24HRS'!E71,'19.10 MASAKA-SEMBABULE-24HRS'!E71)</f>
        <v>0</v>
      </c>
      <c r="F71" s="49">
        <f>AVERAGE('18.10 MASAKA-SEMBABULA-24HRS'!F71,'19.10 MASAKA-SEMBABULE-24HRS'!F71)</f>
        <v>0</v>
      </c>
      <c r="G71" s="49">
        <f>AVERAGE('18.10 MASAKA-SEMBABULA-24HRS'!G71,'19.10 MASAKA-SEMBABULE-24HRS'!G71)</f>
        <v>0</v>
      </c>
      <c r="H71" s="49">
        <f>AVERAGE('18.10 MASAKA-SEMBABULA-24HRS'!H71,'19.10 MASAKA-SEMBABULE-24HRS'!H71)</f>
        <v>0</v>
      </c>
      <c r="I71" s="49">
        <f>AVERAGE('18.10 MASAKA-SEMBABULA-24HRS'!I71,'19.10 MASAKA-SEMBABULE-24HRS'!I71)</f>
        <v>1</v>
      </c>
      <c r="J71" s="49">
        <f>AVERAGE('18.10 MASAKA-SEMBABULA-24HRS'!J71,'19.10 MASAKA-SEMBABULE-24HRS'!J71)</f>
        <v>0.5</v>
      </c>
      <c r="K71" s="49">
        <f>AVERAGE('18.10 MASAKA-SEMBABULA-24HRS'!K71,'19.10 MASAKA-SEMBABULE-24HRS'!K71)</f>
        <v>0</v>
      </c>
      <c r="L71" s="49">
        <f>AVERAGE('18.10 MASAKA-SEMBABULA-24HRS'!L71,'19.10 MASAKA-SEMBABULE-24HRS'!L71)</f>
        <v>0</v>
      </c>
      <c r="M71" s="49">
        <f>AVERAGE('18.10 MASAKA-SEMBABULA-24HRS'!M71,'19.10 MASAKA-SEMBABULE-24HRS'!M71)</f>
        <v>1.5</v>
      </c>
      <c r="N71" s="49">
        <f>AVERAGE('18.10 MASAKA-SEMBABULA-24HRS'!N71,'19.10 MASAKA-SEMBABULE-24HRS'!N71)</f>
        <v>0</v>
      </c>
      <c r="O71" s="15">
        <f t="shared" si="0"/>
        <v>2</v>
      </c>
      <c r="P71" s="15">
        <f t="shared" si="1"/>
        <v>3.5</v>
      </c>
      <c r="R71" s="8"/>
      <c r="T71"/>
    </row>
    <row r="72" spans="2:20" ht="23.1" customHeight="1" x14ac:dyDescent="0.25">
      <c r="B72" s="23" t="s">
        <v>112</v>
      </c>
      <c r="C72" s="49">
        <f>AVERAGE('18.10 MASAKA-SEMBABULA-24HRS'!C72,'19.10 MASAKA-SEMBABULE-24HRS'!C72)</f>
        <v>0</v>
      </c>
      <c r="D72" s="49">
        <f>AVERAGE('18.10 MASAKA-SEMBABULA-24HRS'!D72,'19.10 MASAKA-SEMBABULE-24HRS'!D72)</f>
        <v>0</v>
      </c>
      <c r="E72" s="49">
        <f>AVERAGE('18.10 MASAKA-SEMBABULA-24HRS'!E72,'19.10 MASAKA-SEMBABULE-24HRS'!E72)</f>
        <v>0</v>
      </c>
      <c r="F72" s="49">
        <f>AVERAGE('18.10 MASAKA-SEMBABULA-24HRS'!F72,'19.10 MASAKA-SEMBABULE-24HRS'!F72)</f>
        <v>0.5</v>
      </c>
      <c r="G72" s="49">
        <f>AVERAGE('18.10 MASAKA-SEMBABULA-24HRS'!G72,'19.10 MASAKA-SEMBABULE-24HRS'!G72)</f>
        <v>0</v>
      </c>
      <c r="H72" s="49">
        <f>AVERAGE('18.10 MASAKA-SEMBABULA-24HRS'!H72,'19.10 MASAKA-SEMBABULE-24HRS'!H72)</f>
        <v>0</v>
      </c>
      <c r="I72" s="49">
        <f>AVERAGE('18.10 MASAKA-SEMBABULA-24HRS'!I72,'19.10 MASAKA-SEMBABULE-24HRS'!I72)</f>
        <v>0</v>
      </c>
      <c r="J72" s="49">
        <f>AVERAGE('18.10 MASAKA-SEMBABULA-24HRS'!J72,'19.10 MASAKA-SEMBABULE-24HRS'!J72)</f>
        <v>1</v>
      </c>
      <c r="K72" s="49">
        <f>AVERAGE('18.10 MASAKA-SEMBABULA-24HRS'!K72,'19.10 MASAKA-SEMBABULE-24HRS'!K72)</f>
        <v>0</v>
      </c>
      <c r="L72" s="49">
        <f>AVERAGE('18.10 MASAKA-SEMBABULA-24HRS'!L72,'19.10 MASAKA-SEMBABULE-24HRS'!L72)</f>
        <v>0</v>
      </c>
      <c r="M72" s="49">
        <f>AVERAGE('18.10 MASAKA-SEMBABULA-24HRS'!M72,'19.10 MASAKA-SEMBABULE-24HRS'!M72)</f>
        <v>2.5</v>
      </c>
      <c r="N72" s="49">
        <f>AVERAGE('18.10 MASAKA-SEMBABULA-24HRS'!N72,'19.10 MASAKA-SEMBABULE-24HRS'!N72)</f>
        <v>0</v>
      </c>
      <c r="O72" s="15">
        <f t="shared" si="0"/>
        <v>1.5</v>
      </c>
      <c r="P72" s="15">
        <f t="shared" si="1"/>
        <v>4</v>
      </c>
      <c r="R72" s="8"/>
      <c r="T72"/>
    </row>
    <row r="73" spans="2:20" ht="23.1" customHeight="1" x14ac:dyDescent="0.25">
      <c r="B73" s="23" t="s">
        <v>113</v>
      </c>
      <c r="C73" s="49">
        <f>AVERAGE('18.10 MASAKA-SEMBABULA-24HRS'!C73,'19.10 MASAKA-SEMBABULE-24HRS'!C73)</f>
        <v>0.5</v>
      </c>
      <c r="D73" s="49">
        <f>AVERAGE('18.10 MASAKA-SEMBABULA-24HRS'!D73,'19.10 MASAKA-SEMBABULE-24HRS'!D73)</f>
        <v>0</v>
      </c>
      <c r="E73" s="49">
        <f>AVERAGE('18.10 MASAKA-SEMBABULA-24HRS'!E73,'19.10 MASAKA-SEMBABULE-24HRS'!E73)</f>
        <v>0</v>
      </c>
      <c r="F73" s="49">
        <f>AVERAGE('18.10 MASAKA-SEMBABULA-24HRS'!F73,'19.10 MASAKA-SEMBABULE-24HRS'!F73)</f>
        <v>0.5</v>
      </c>
      <c r="G73" s="49">
        <f>AVERAGE('18.10 MASAKA-SEMBABULA-24HRS'!G73,'19.10 MASAKA-SEMBABULE-24HRS'!G73)</f>
        <v>0</v>
      </c>
      <c r="H73" s="49">
        <f>AVERAGE('18.10 MASAKA-SEMBABULA-24HRS'!H73,'19.10 MASAKA-SEMBABULE-24HRS'!H73)</f>
        <v>0</v>
      </c>
      <c r="I73" s="49">
        <f>AVERAGE('18.10 MASAKA-SEMBABULA-24HRS'!I73,'19.10 MASAKA-SEMBABULE-24HRS'!I73)</f>
        <v>0</v>
      </c>
      <c r="J73" s="49">
        <f>AVERAGE('18.10 MASAKA-SEMBABULA-24HRS'!J73,'19.10 MASAKA-SEMBABULE-24HRS'!J73)</f>
        <v>0.5</v>
      </c>
      <c r="K73" s="49">
        <f>AVERAGE('18.10 MASAKA-SEMBABULA-24HRS'!K73,'19.10 MASAKA-SEMBABULE-24HRS'!K73)</f>
        <v>0</v>
      </c>
      <c r="L73" s="49">
        <f>AVERAGE('18.10 MASAKA-SEMBABULA-24HRS'!L73,'19.10 MASAKA-SEMBABULE-24HRS'!L73)</f>
        <v>0</v>
      </c>
      <c r="M73" s="49">
        <f>AVERAGE('18.10 MASAKA-SEMBABULA-24HRS'!M73,'19.10 MASAKA-SEMBABULE-24HRS'!M73)</f>
        <v>2</v>
      </c>
      <c r="N73" s="49">
        <f>AVERAGE('18.10 MASAKA-SEMBABULA-24HRS'!N73,'19.10 MASAKA-SEMBABULE-24HRS'!N73)</f>
        <v>0</v>
      </c>
      <c r="O73" s="15">
        <f t="shared" si="0"/>
        <v>1.5</v>
      </c>
      <c r="P73" s="15">
        <f t="shared" si="1"/>
        <v>3.5</v>
      </c>
      <c r="R73" s="8"/>
      <c r="T73"/>
    </row>
    <row r="74" spans="2:20" ht="23.1" customHeight="1" x14ac:dyDescent="0.25">
      <c r="B74" s="23" t="s">
        <v>114</v>
      </c>
      <c r="C74" s="49">
        <f>AVERAGE('18.10 MASAKA-SEMBABULA-24HRS'!C74,'19.10 MASAKA-SEMBABULE-24HRS'!C74)</f>
        <v>3</v>
      </c>
      <c r="D74" s="49">
        <f>AVERAGE('18.10 MASAKA-SEMBABULA-24HRS'!D74,'19.10 MASAKA-SEMBABULE-24HRS'!D74)</f>
        <v>0</v>
      </c>
      <c r="E74" s="49">
        <f>AVERAGE('18.10 MASAKA-SEMBABULA-24HRS'!E74,'19.10 MASAKA-SEMBABULE-24HRS'!E74)</f>
        <v>0</v>
      </c>
      <c r="F74" s="49">
        <f>AVERAGE('18.10 MASAKA-SEMBABULA-24HRS'!F74,'19.10 MASAKA-SEMBABULE-24HRS'!F74)</f>
        <v>0</v>
      </c>
      <c r="G74" s="49">
        <f>AVERAGE('18.10 MASAKA-SEMBABULA-24HRS'!G74,'19.10 MASAKA-SEMBABULE-24HRS'!G74)</f>
        <v>0</v>
      </c>
      <c r="H74" s="49">
        <f>AVERAGE('18.10 MASAKA-SEMBABULA-24HRS'!H74,'19.10 MASAKA-SEMBABULE-24HRS'!H74)</f>
        <v>0</v>
      </c>
      <c r="I74" s="49">
        <f>AVERAGE('18.10 MASAKA-SEMBABULA-24HRS'!I74,'19.10 MASAKA-SEMBABULE-24HRS'!I74)</f>
        <v>0</v>
      </c>
      <c r="J74" s="49">
        <f>AVERAGE('18.10 MASAKA-SEMBABULA-24HRS'!J74,'19.10 MASAKA-SEMBABULE-24HRS'!J74)</f>
        <v>0</v>
      </c>
      <c r="K74" s="49">
        <f>AVERAGE('18.10 MASAKA-SEMBABULA-24HRS'!K74,'19.10 MASAKA-SEMBABULE-24HRS'!K74)</f>
        <v>0</v>
      </c>
      <c r="L74" s="49">
        <f>AVERAGE('18.10 MASAKA-SEMBABULA-24HRS'!L74,'19.10 MASAKA-SEMBABULE-24HRS'!L74)</f>
        <v>0</v>
      </c>
      <c r="M74" s="49">
        <f>AVERAGE('18.10 MASAKA-SEMBABULA-24HRS'!M74,'19.10 MASAKA-SEMBABULE-24HRS'!M74)</f>
        <v>1.5</v>
      </c>
      <c r="N74" s="49">
        <f>AVERAGE('18.10 MASAKA-SEMBABULA-24HRS'!N74,'19.10 MASAKA-SEMBABULE-24HRS'!N74)</f>
        <v>0</v>
      </c>
      <c r="O74" s="15">
        <f t="shared" ref="O74:O105" si="35">SUM(C74:L74,N74)</f>
        <v>3</v>
      </c>
      <c r="P74" s="15">
        <f t="shared" ref="P74:P105" si="36">SUM(C74:N74)</f>
        <v>4.5</v>
      </c>
      <c r="R74" s="8"/>
      <c r="T74"/>
    </row>
    <row r="75" spans="2:20" ht="23.1" customHeight="1" x14ac:dyDescent="0.25">
      <c r="B75" s="23" t="s">
        <v>115</v>
      </c>
      <c r="C75" s="49">
        <f>AVERAGE('18.10 MASAKA-SEMBABULA-24HRS'!C75,'19.10 MASAKA-SEMBABULE-24HRS'!C75)</f>
        <v>1</v>
      </c>
      <c r="D75" s="49">
        <f>AVERAGE('18.10 MASAKA-SEMBABULA-24HRS'!D75,'19.10 MASAKA-SEMBABULE-24HRS'!D75)</f>
        <v>0</v>
      </c>
      <c r="E75" s="49">
        <f>AVERAGE('18.10 MASAKA-SEMBABULA-24HRS'!E75,'19.10 MASAKA-SEMBABULE-24HRS'!E75)</f>
        <v>0</v>
      </c>
      <c r="F75" s="49">
        <f>AVERAGE('18.10 MASAKA-SEMBABULA-24HRS'!F75,'19.10 MASAKA-SEMBABULE-24HRS'!F75)</f>
        <v>0</v>
      </c>
      <c r="G75" s="49">
        <f>AVERAGE('18.10 MASAKA-SEMBABULA-24HRS'!G75,'19.10 MASAKA-SEMBABULE-24HRS'!G75)</f>
        <v>0</v>
      </c>
      <c r="H75" s="49">
        <f>AVERAGE('18.10 MASAKA-SEMBABULA-24HRS'!H75,'19.10 MASAKA-SEMBABULE-24HRS'!H75)</f>
        <v>0</v>
      </c>
      <c r="I75" s="49">
        <f>AVERAGE('18.10 MASAKA-SEMBABULA-24HRS'!I75,'19.10 MASAKA-SEMBABULE-24HRS'!I75)</f>
        <v>0</v>
      </c>
      <c r="J75" s="49">
        <f>AVERAGE('18.10 MASAKA-SEMBABULA-24HRS'!J75,'19.10 MASAKA-SEMBABULE-24HRS'!J75)</f>
        <v>0.5</v>
      </c>
      <c r="K75" s="49">
        <f>AVERAGE('18.10 MASAKA-SEMBABULA-24HRS'!K75,'19.10 MASAKA-SEMBABULE-24HRS'!K75)</f>
        <v>0.5</v>
      </c>
      <c r="L75" s="49">
        <f>AVERAGE('18.10 MASAKA-SEMBABULA-24HRS'!L75,'19.10 MASAKA-SEMBABULE-24HRS'!L75)</f>
        <v>0</v>
      </c>
      <c r="M75" s="49">
        <f>AVERAGE('18.10 MASAKA-SEMBABULA-24HRS'!M75,'19.10 MASAKA-SEMBABULE-24HRS'!M75)</f>
        <v>0.5</v>
      </c>
      <c r="N75" s="49">
        <f>AVERAGE('18.10 MASAKA-SEMBABULA-24HRS'!N75,'19.10 MASAKA-SEMBABULE-24HRS'!N75)</f>
        <v>0</v>
      </c>
      <c r="O75" s="15">
        <f t="shared" si="35"/>
        <v>2</v>
      </c>
      <c r="P75" s="15">
        <f t="shared" si="36"/>
        <v>2.5</v>
      </c>
      <c r="R75" s="8"/>
      <c r="T75"/>
    </row>
    <row r="76" spans="2:20" ht="23.1" customHeight="1" x14ac:dyDescent="0.25">
      <c r="B76" s="23" t="s">
        <v>116</v>
      </c>
      <c r="C76" s="49">
        <f>AVERAGE('18.10 MASAKA-SEMBABULA-24HRS'!C76,'19.10 MASAKA-SEMBABULE-24HRS'!C76)</f>
        <v>0.5</v>
      </c>
      <c r="D76" s="49">
        <f>AVERAGE('18.10 MASAKA-SEMBABULA-24HRS'!D76,'19.10 MASAKA-SEMBABULE-24HRS'!D76)</f>
        <v>0</v>
      </c>
      <c r="E76" s="49">
        <f>AVERAGE('18.10 MASAKA-SEMBABULA-24HRS'!E76,'19.10 MASAKA-SEMBABULE-24HRS'!E76)</f>
        <v>0</v>
      </c>
      <c r="F76" s="49">
        <f>AVERAGE('18.10 MASAKA-SEMBABULA-24HRS'!F76,'19.10 MASAKA-SEMBABULE-24HRS'!F76)</f>
        <v>1</v>
      </c>
      <c r="G76" s="49">
        <f>AVERAGE('18.10 MASAKA-SEMBABULA-24HRS'!G76,'19.10 MASAKA-SEMBABULE-24HRS'!G76)</f>
        <v>0</v>
      </c>
      <c r="H76" s="49">
        <f>AVERAGE('18.10 MASAKA-SEMBABULA-24HRS'!H76,'19.10 MASAKA-SEMBABULE-24HRS'!H76)</f>
        <v>0</v>
      </c>
      <c r="I76" s="49">
        <f>AVERAGE('18.10 MASAKA-SEMBABULA-24HRS'!I76,'19.10 MASAKA-SEMBABULE-24HRS'!I76)</f>
        <v>0</v>
      </c>
      <c r="J76" s="49">
        <f>AVERAGE('18.10 MASAKA-SEMBABULA-24HRS'!J76,'19.10 MASAKA-SEMBABULE-24HRS'!J76)</f>
        <v>0</v>
      </c>
      <c r="K76" s="49">
        <f>AVERAGE('18.10 MASAKA-SEMBABULA-24HRS'!K76,'19.10 MASAKA-SEMBABULE-24HRS'!K76)</f>
        <v>0</v>
      </c>
      <c r="L76" s="49">
        <f>AVERAGE('18.10 MASAKA-SEMBABULA-24HRS'!L76,'19.10 MASAKA-SEMBABULE-24HRS'!L76)</f>
        <v>0</v>
      </c>
      <c r="M76" s="49">
        <f>AVERAGE('18.10 MASAKA-SEMBABULA-24HRS'!M76,'19.10 MASAKA-SEMBABULE-24HRS'!M76)</f>
        <v>1</v>
      </c>
      <c r="N76" s="49">
        <f>AVERAGE('18.10 MASAKA-SEMBABULA-24HRS'!N76,'19.10 MASAKA-SEMBABULE-24HRS'!N76)</f>
        <v>0</v>
      </c>
      <c r="O76" s="15">
        <f t="shared" si="35"/>
        <v>1.5</v>
      </c>
      <c r="P76" s="15">
        <f t="shared" si="36"/>
        <v>2.5</v>
      </c>
      <c r="R76" s="8"/>
      <c r="T76"/>
    </row>
    <row r="77" spans="2:20" ht="23.1" customHeight="1" x14ac:dyDescent="0.25">
      <c r="B77" s="23" t="s">
        <v>117</v>
      </c>
      <c r="C77" s="49">
        <f>AVERAGE('18.10 MASAKA-SEMBABULA-24HRS'!C77,'19.10 MASAKA-SEMBABULE-24HRS'!C77)</f>
        <v>2</v>
      </c>
      <c r="D77" s="49">
        <f>AVERAGE('18.10 MASAKA-SEMBABULA-24HRS'!D77,'19.10 MASAKA-SEMBABULE-24HRS'!D77)</f>
        <v>0.5</v>
      </c>
      <c r="E77" s="49">
        <f>AVERAGE('18.10 MASAKA-SEMBABULA-24HRS'!E77,'19.10 MASAKA-SEMBABULE-24HRS'!E77)</f>
        <v>0</v>
      </c>
      <c r="F77" s="49">
        <f>AVERAGE('18.10 MASAKA-SEMBABULA-24HRS'!F77,'19.10 MASAKA-SEMBABULE-24HRS'!F77)</f>
        <v>1</v>
      </c>
      <c r="G77" s="49">
        <f>AVERAGE('18.10 MASAKA-SEMBABULA-24HRS'!G77,'19.10 MASAKA-SEMBABULE-24HRS'!G77)</f>
        <v>0</v>
      </c>
      <c r="H77" s="49">
        <f>AVERAGE('18.10 MASAKA-SEMBABULA-24HRS'!H77,'19.10 MASAKA-SEMBABULE-24HRS'!H77)</f>
        <v>0</v>
      </c>
      <c r="I77" s="49">
        <f>AVERAGE('18.10 MASAKA-SEMBABULA-24HRS'!I77,'19.10 MASAKA-SEMBABULE-24HRS'!I77)</f>
        <v>0</v>
      </c>
      <c r="J77" s="49">
        <f>AVERAGE('18.10 MASAKA-SEMBABULA-24HRS'!J77,'19.10 MASAKA-SEMBABULE-24HRS'!J77)</f>
        <v>0</v>
      </c>
      <c r="K77" s="49">
        <f>AVERAGE('18.10 MASAKA-SEMBABULA-24HRS'!K77,'19.10 MASAKA-SEMBABULE-24HRS'!K77)</f>
        <v>0</v>
      </c>
      <c r="L77" s="49">
        <f>AVERAGE('18.10 MASAKA-SEMBABULA-24HRS'!L77,'19.10 MASAKA-SEMBABULE-24HRS'!L77)</f>
        <v>0</v>
      </c>
      <c r="M77" s="49">
        <f>AVERAGE('18.10 MASAKA-SEMBABULA-24HRS'!M77,'19.10 MASAKA-SEMBABULE-24HRS'!M77)</f>
        <v>0.5</v>
      </c>
      <c r="N77" s="49">
        <f>AVERAGE('18.10 MASAKA-SEMBABULA-24HRS'!N77,'19.10 MASAKA-SEMBABULE-24HRS'!N77)</f>
        <v>0</v>
      </c>
      <c r="O77" s="15">
        <f t="shared" si="35"/>
        <v>3.5</v>
      </c>
      <c r="P77" s="15">
        <f t="shared" si="36"/>
        <v>4</v>
      </c>
      <c r="R77" s="8"/>
      <c r="T77"/>
    </row>
    <row r="78" spans="2:20" ht="23.1" customHeight="1" x14ac:dyDescent="0.25">
      <c r="B78" s="24" t="s">
        <v>118</v>
      </c>
      <c r="C78" s="49">
        <f>AVERAGE('18.10 MASAKA-SEMBABULA-24HRS'!C78,'19.10 MASAKA-SEMBABULE-24HRS'!C78)</f>
        <v>1</v>
      </c>
      <c r="D78" s="49">
        <f>AVERAGE('18.10 MASAKA-SEMBABULA-24HRS'!D78,'19.10 MASAKA-SEMBABULE-24HRS'!D78)</f>
        <v>0.5</v>
      </c>
      <c r="E78" s="49">
        <f>AVERAGE('18.10 MASAKA-SEMBABULA-24HRS'!E78,'19.10 MASAKA-SEMBABULE-24HRS'!E78)</f>
        <v>0</v>
      </c>
      <c r="F78" s="49">
        <f>AVERAGE('18.10 MASAKA-SEMBABULA-24HRS'!F78,'19.10 MASAKA-SEMBABULE-24HRS'!F78)</f>
        <v>0</v>
      </c>
      <c r="G78" s="49">
        <f>AVERAGE('18.10 MASAKA-SEMBABULA-24HRS'!G78,'19.10 MASAKA-SEMBABULE-24HRS'!G78)</f>
        <v>0</v>
      </c>
      <c r="H78" s="49">
        <f>AVERAGE('18.10 MASAKA-SEMBABULA-24HRS'!H78,'19.10 MASAKA-SEMBABULE-24HRS'!H78)</f>
        <v>0</v>
      </c>
      <c r="I78" s="49">
        <f>AVERAGE('18.10 MASAKA-SEMBABULA-24HRS'!I78,'19.10 MASAKA-SEMBABULE-24HRS'!I78)</f>
        <v>0</v>
      </c>
      <c r="J78" s="49">
        <f>AVERAGE('18.10 MASAKA-SEMBABULA-24HRS'!J78,'19.10 MASAKA-SEMBABULE-24HRS'!J78)</f>
        <v>1.5</v>
      </c>
      <c r="K78" s="49">
        <f>AVERAGE('18.10 MASAKA-SEMBABULA-24HRS'!K78,'19.10 MASAKA-SEMBABULE-24HRS'!K78)</f>
        <v>0</v>
      </c>
      <c r="L78" s="49">
        <f>AVERAGE('18.10 MASAKA-SEMBABULA-24HRS'!L78,'19.10 MASAKA-SEMBABULE-24HRS'!L78)</f>
        <v>0</v>
      </c>
      <c r="M78" s="49">
        <f>AVERAGE('18.10 MASAKA-SEMBABULA-24HRS'!M78,'19.10 MASAKA-SEMBABULE-24HRS'!M78)</f>
        <v>1.5</v>
      </c>
      <c r="N78" s="49">
        <f>AVERAGE('18.10 MASAKA-SEMBABULA-24HRS'!N78,'19.10 MASAKA-SEMBABULE-24HRS'!N78)</f>
        <v>0</v>
      </c>
      <c r="O78" s="15">
        <f t="shared" si="35"/>
        <v>3</v>
      </c>
      <c r="P78" s="15">
        <f t="shared" si="36"/>
        <v>4.5</v>
      </c>
      <c r="R78" s="8"/>
      <c r="T78"/>
    </row>
    <row r="79" spans="2:20" ht="23.1" customHeight="1" x14ac:dyDescent="0.25">
      <c r="B79" s="23" t="s">
        <v>119</v>
      </c>
      <c r="C79" s="49">
        <f>AVERAGE('18.10 MASAKA-SEMBABULA-24HRS'!C79,'19.10 MASAKA-SEMBABULE-24HRS'!C79)</f>
        <v>1.5</v>
      </c>
      <c r="D79" s="49">
        <f>AVERAGE('18.10 MASAKA-SEMBABULA-24HRS'!D79,'19.10 MASAKA-SEMBABULE-24HRS'!D79)</f>
        <v>0</v>
      </c>
      <c r="E79" s="49">
        <f>AVERAGE('18.10 MASAKA-SEMBABULA-24HRS'!E79,'19.10 MASAKA-SEMBABULE-24HRS'!E79)</f>
        <v>0.5</v>
      </c>
      <c r="F79" s="49">
        <f>AVERAGE('18.10 MASAKA-SEMBABULA-24HRS'!F79,'19.10 MASAKA-SEMBABULE-24HRS'!F79)</f>
        <v>0.5</v>
      </c>
      <c r="G79" s="49">
        <f>AVERAGE('18.10 MASAKA-SEMBABULA-24HRS'!G79,'19.10 MASAKA-SEMBABULE-24HRS'!G79)</f>
        <v>0</v>
      </c>
      <c r="H79" s="49">
        <f>AVERAGE('18.10 MASAKA-SEMBABULA-24HRS'!H79,'19.10 MASAKA-SEMBABULE-24HRS'!H79)</f>
        <v>0</v>
      </c>
      <c r="I79" s="49">
        <f>AVERAGE('18.10 MASAKA-SEMBABULA-24HRS'!I79,'19.10 MASAKA-SEMBABULE-24HRS'!I79)</f>
        <v>1</v>
      </c>
      <c r="J79" s="49">
        <f>AVERAGE('18.10 MASAKA-SEMBABULA-24HRS'!J79,'19.10 MASAKA-SEMBABULE-24HRS'!J79)</f>
        <v>0</v>
      </c>
      <c r="K79" s="49">
        <f>AVERAGE('18.10 MASAKA-SEMBABULA-24HRS'!K79,'19.10 MASAKA-SEMBABULE-24HRS'!K79)</f>
        <v>0</v>
      </c>
      <c r="L79" s="49">
        <f>AVERAGE('18.10 MASAKA-SEMBABULA-24HRS'!L79,'19.10 MASAKA-SEMBABULE-24HRS'!L79)</f>
        <v>0</v>
      </c>
      <c r="M79" s="49">
        <f>AVERAGE('18.10 MASAKA-SEMBABULA-24HRS'!M79,'19.10 MASAKA-SEMBABULE-24HRS'!M79)</f>
        <v>1.5</v>
      </c>
      <c r="N79" s="49">
        <f>AVERAGE('18.10 MASAKA-SEMBABULA-24HRS'!N79,'19.10 MASAKA-SEMBABULE-24HRS'!N79)</f>
        <v>0</v>
      </c>
      <c r="O79" s="15">
        <f t="shared" si="35"/>
        <v>3.5</v>
      </c>
      <c r="P79" s="15">
        <f t="shared" si="36"/>
        <v>5</v>
      </c>
      <c r="R79" s="8"/>
      <c r="T79"/>
    </row>
    <row r="80" spans="2:20" ht="23.1" customHeight="1" x14ac:dyDescent="0.25">
      <c r="B80" s="25" t="s">
        <v>120</v>
      </c>
      <c r="C80" s="49">
        <f>AVERAGE('18.10 MASAKA-SEMBABULA-24HRS'!C80,'19.10 MASAKA-SEMBABULE-24HRS'!C80)</f>
        <v>0</v>
      </c>
      <c r="D80" s="49">
        <f>AVERAGE('18.10 MASAKA-SEMBABULA-24HRS'!D80,'19.10 MASAKA-SEMBABULE-24HRS'!D80)</f>
        <v>0.5</v>
      </c>
      <c r="E80" s="49">
        <f>AVERAGE('18.10 MASAKA-SEMBABULA-24HRS'!E80,'19.10 MASAKA-SEMBABULE-24HRS'!E80)</f>
        <v>0</v>
      </c>
      <c r="F80" s="49">
        <f>AVERAGE('18.10 MASAKA-SEMBABULA-24HRS'!F80,'19.10 MASAKA-SEMBABULE-24HRS'!F80)</f>
        <v>0</v>
      </c>
      <c r="G80" s="49">
        <f>AVERAGE('18.10 MASAKA-SEMBABULA-24HRS'!G80,'19.10 MASAKA-SEMBABULE-24HRS'!G80)</f>
        <v>0</v>
      </c>
      <c r="H80" s="49">
        <f>AVERAGE('18.10 MASAKA-SEMBABULA-24HRS'!H80,'19.10 MASAKA-SEMBABULE-24HRS'!H80)</f>
        <v>0</v>
      </c>
      <c r="I80" s="49">
        <f>AVERAGE('18.10 MASAKA-SEMBABULA-24HRS'!I80,'19.10 MASAKA-SEMBABULE-24HRS'!I80)</f>
        <v>0.5</v>
      </c>
      <c r="J80" s="49">
        <f>AVERAGE('18.10 MASAKA-SEMBABULA-24HRS'!J80,'19.10 MASAKA-SEMBABULE-24HRS'!J80)</f>
        <v>1.5</v>
      </c>
      <c r="K80" s="49">
        <f>AVERAGE('18.10 MASAKA-SEMBABULA-24HRS'!K80,'19.10 MASAKA-SEMBABULE-24HRS'!K80)</f>
        <v>0</v>
      </c>
      <c r="L80" s="49">
        <f>AVERAGE('18.10 MASAKA-SEMBABULA-24HRS'!L80,'19.10 MASAKA-SEMBABULE-24HRS'!L80)</f>
        <v>0</v>
      </c>
      <c r="M80" s="49">
        <f>AVERAGE('18.10 MASAKA-SEMBABULA-24HRS'!M80,'19.10 MASAKA-SEMBABULE-24HRS'!M80)</f>
        <v>0</v>
      </c>
      <c r="N80" s="49">
        <f>AVERAGE('18.10 MASAKA-SEMBABULA-24HRS'!N80,'19.10 MASAKA-SEMBABULE-24HRS'!N80)</f>
        <v>0</v>
      </c>
      <c r="O80" s="15">
        <f t="shared" si="35"/>
        <v>2.5</v>
      </c>
      <c r="P80" s="15">
        <f t="shared" si="36"/>
        <v>2.5</v>
      </c>
      <c r="R80" s="8"/>
      <c r="T80"/>
    </row>
    <row r="81" spans="2:20" ht="23.1" customHeight="1" x14ac:dyDescent="0.25">
      <c r="B81" s="23" t="s">
        <v>121</v>
      </c>
      <c r="C81" s="49">
        <f>AVERAGE('18.10 MASAKA-SEMBABULA-24HRS'!C81,'19.10 MASAKA-SEMBABULE-24HRS'!C81)</f>
        <v>1</v>
      </c>
      <c r="D81" s="49">
        <f>AVERAGE('18.10 MASAKA-SEMBABULA-24HRS'!D81,'19.10 MASAKA-SEMBABULE-24HRS'!D81)</f>
        <v>0</v>
      </c>
      <c r="E81" s="49">
        <f>AVERAGE('18.10 MASAKA-SEMBABULA-24HRS'!E81,'19.10 MASAKA-SEMBABULE-24HRS'!E81)</f>
        <v>0</v>
      </c>
      <c r="F81" s="49">
        <f>AVERAGE('18.10 MASAKA-SEMBABULA-24HRS'!F81,'19.10 MASAKA-SEMBABULE-24HRS'!F81)</f>
        <v>0</v>
      </c>
      <c r="G81" s="49">
        <f>AVERAGE('18.10 MASAKA-SEMBABULA-24HRS'!G81,'19.10 MASAKA-SEMBABULE-24HRS'!G81)</f>
        <v>0</v>
      </c>
      <c r="H81" s="49">
        <f>AVERAGE('18.10 MASAKA-SEMBABULA-24HRS'!H81,'19.10 MASAKA-SEMBABULE-24HRS'!H81)</f>
        <v>0</v>
      </c>
      <c r="I81" s="49">
        <f>AVERAGE('18.10 MASAKA-SEMBABULA-24HRS'!I81,'19.10 MASAKA-SEMBABULE-24HRS'!I81)</f>
        <v>0</v>
      </c>
      <c r="J81" s="49">
        <f>AVERAGE('18.10 MASAKA-SEMBABULA-24HRS'!J81,'19.10 MASAKA-SEMBABULE-24HRS'!J81)</f>
        <v>0.5</v>
      </c>
      <c r="K81" s="49">
        <f>AVERAGE('18.10 MASAKA-SEMBABULA-24HRS'!K81,'19.10 MASAKA-SEMBABULE-24HRS'!K81)</f>
        <v>0</v>
      </c>
      <c r="L81" s="49">
        <f>AVERAGE('18.10 MASAKA-SEMBABULA-24HRS'!L81,'19.10 MASAKA-SEMBABULE-24HRS'!L81)</f>
        <v>0</v>
      </c>
      <c r="M81" s="49">
        <f>AVERAGE('18.10 MASAKA-SEMBABULA-24HRS'!M81,'19.10 MASAKA-SEMBABULE-24HRS'!M81)</f>
        <v>0.5</v>
      </c>
      <c r="N81" s="49">
        <f>AVERAGE('18.10 MASAKA-SEMBABULA-24HRS'!N81,'19.10 MASAKA-SEMBABULE-24HRS'!N81)</f>
        <v>0</v>
      </c>
      <c r="O81" s="15">
        <f t="shared" si="35"/>
        <v>1.5</v>
      </c>
      <c r="P81" s="15">
        <f t="shared" si="36"/>
        <v>2</v>
      </c>
      <c r="R81" s="8"/>
      <c r="T81"/>
    </row>
    <row r="82" spans="2:20" ht="23.1" customHeight="1" x14ac:dyDescent="0.25">
      <c r="B82" s="24" t="s">
        <v>122</v>
      </c>
      <c r="C82" s="49">
        <f>AVERAGE('18.10 MASAKA-SEMBABULA-24HRS'!C82,'19.10 MASAKA-SEMBABULE-24HRS'!C82)</f>
        <v>0</v>
      </c>
      <c r="D82" s="49">
        <f>AVERAGE('18.10 MASAKA-SEMBABULA-24HRS'!D82,'19.10 MASAKA-SEMBABULE-24HRS'!D82)</f>
        <v>0</v>
      </c>
      <c r="E82" s="49">
        <f>AVERAGE('18.10 MASAKA-SEMBABULA-24HRS'!E82,'19.10 MASAKA-SEMBABULE-24HRS'!E82)</f>
        <v>0</v>
      </c>
      <c r="F82" s="49">
        <f>AVERAGE('18.10 MASAKA-SEMBABULA-24HRS'!F82,'19.10 MASAKA-SEMBABULE-24HRS'!F82)</f>
        <v>0</v>
      </c>
      <c r="G82" s="49">
        <f>AVERAGE('18.10 MASAKA-SEMBABULA-24HRS'!G82,'19.10 MASAKA-SEMBABULE-24HRS'!G82)</f>
        <v>0.5</v>
      </c>
      <c r="H82" s="49">
        <f>AVERAGE('18.10 MASAKA-SEMBABULA-24HRS'!H82,'19.10 MASAKA-SEMBABULE-24HRS'!H82)</f>
        <v>0</v>
      </c>
      <c r="I82" s="49">
        <f>AVERAGE('18.10 MASAKA-SEMBABULA-24HRS'!I82,'19.10 MASAKA-SEMBABULE-24HRS'!I82)</f>
        <v>0</v>
      </c>
      <c r="J82" s="49">
        <f>AVERAGE('18.10 MASAKA-SEMBABULA-24HRS'!J82,'19.10 MASAKA-SEMBABULE-24HRS'!J82)</f>
        <v>0.5</v>
      </c>
      <c r="K82" s="49">
        <f>AVERAGE('18.10 MASAKA-SEMBABULA-24HRS'!K82,'19.10 MASAKA-SEMBABULE-24HRS'!K82)</f>
        <v>0</v>
      </c>
      <c r="L82" s="49">
        <f>AVERAGE('18.10 MASAKA-SEMBABULA-24HRS'!L82,'19.10 MASAKA-SEMBABULE-24HRS'!L82)</f>
        <v>0</v>
      </c>
      <c r="M82" s="49">
        <f>AVERAGE('18.10 MASAKA-SEMBABULA-24HRS'!M82,'19.10 MASAKA-SEMBABULE-24HRS'!M82)</f>
        <v>1</v>
      </c>
      <c r="N82" s="49">
        <f>AVERAGE('18.10 MASAKA-SEMBABULA-24HRS'!N82,'19.10 MASAKA-SEMBABULE-24HRS'!N82)</f>
        <v>0</v>
      </c>
      <c r="O82" s="15">
        <f t="shared" si="35"/>
        <v>1</v>
      </c>
      <c r="P82" s="15">
        <f t="shared" si="36"/>
        <v>2</v>
      </c>
      <c r="R82" s="8"/>
      <c r="T82"/>
    </row>
    <row r="83" spans="2:20" ht="23.1" customHeight="1" x14ac:dyDescent="0.25">
      <c r="B83" s="23" t="s">
        <v>123</v>
      </c>
      <c r="C83" s="49">
        <f>AVERAGE('18.10 MASAKA-SEMBABULA-24HRS'!C83,'19.10 MASAKA-SEMBABULE-24HRS'!C83)</f>
        <v>0.5</v>
      </c>
      <c r="D83" s="49">
        <f>AVERAGE('18.10 MASAKA-SEMBABULA-24HRS'!D83,'19.10 MASAKA-SEMBABULE-24HRS'!D83)</f>
        <v>0</v>
      </c>
      <c r="E83" s="49">
        <f>AVERAGE('18.10 MASAKA-SEMBABULA-24HRS'!E83,'19.10 MASAKA-SEMBABULE-24HRS'!E83)</f>
        <v>0</v>
      </c>
      <c r="F83" s="49">
        <f>AVERAGE('18.10 MASAKA-SEMBABULA-24HRS'!F83,'19.10 MASAKA-SEMBABULE-24HRS'!F83)</f>
        <v>0</v>
      </c>
      <c r="G83" s="49">
        <f>AVERAGE('18.10 MASAKA-SEMBABULA-24HRS'!G83,'19.10 MASAKA-SEMBABULE-24HRS'!G83)</f>
        <v>0</v>
      </c>
      <c r="H83" s="49">
        <f>AVERAGE('18.10 MASAKA-SEMBABULA-24HRS'!H83,'19.10 MASAKA-SEMBABULE-24HRS'!H83)</f>
        <v>0</v>
      </c>
      <c r="I83" s="49">
        <f>AVERAGE('18.10 MASAKA-SEMBABULA-24HRS'!I83,'19.10 MASAKA-SEMBABULE-24HRS'!I83)</f>
        <v>0.5</v>
      </c>
      <c r="J83" s="49">
        <f>AVERAGE('18.10 MASAKA-SEMBABULA-24HRS'!J83,'19.10 MASAKA-SEMBABULE-24HRS'!J83)</f>
        <v>1</v>
      </c>
      <c r="K83" s="49">
        <f>AVERAGE('18.10 MASAKA-SEMBABULA-24HRS'!K83,'19.10 MASAKA-SEMBABULE-24HRS'!K83)</f>
        <v>0</v>
      </c>
      <c r="L83" s="49">
        <f>AVERAGE('18.10 MASAKA-SEMBABULA-24HRS'!L83,'19.10 MASAKA-SEMBABULE-24HRS'!L83)</f>
        <v>0</v>
      </c>
      <c r="M83" s="49">
        <f>AVERAGE('18.10 MASAKA-SEMBABULA-24HRS'!M83,'19.10 MASAKA-SEMBABULE-24HRS'!M83)</f>
        <v>1</v>
      </c>
      <c r="N83" s="49">
        <f>AVERAGE('18.10 MASAKA-SEMBABULA-24HRS'!N83,'19.10 MASAKA-SEMBABULE-24HRS'!N83)</f>
        <v>0</v>
      </c>
      <c r="O83" s="15">
        <f t="shared" si="35"/>
        <v>2</v>
      </c>
      <c r="P83" s="15">
        <f t="shared" si="36"/>
        <v>3</v>
      </c>
      <c r="R83" s="8"/>
      <c r="T83"/>
    </row>
    <row r="84" spans="2:20" ht="23.1" customHeight="1" x14ac:dyDescent="0.25">
      <c r="B84" s="25" t="s">
        <v>124</v>
      </c>
      <c r="C84" s="49">
        <f>AVERAGE('18.10 MASAKA-SEMBABULA-24HRS'!C84,'19.10 MASAKA-SEMBABULE-24HRS'!C84)</f>
        <v>0</v>
      </c>
      <c r="D84" s="49">
        <f>AVERAGE('18.10 MASAKA-SEMBABULA-24HRS'!D84,'19.10 MASAKA-SEMBABULE-24HRS'!D84)</f>
        <v>0</v>
      </c>
      <c r="E84" s="49">
        <f>AVERAGE('18.10 MASAKA-SEMBABULA-24HRS'!E84,'19.10 MASAKA-SEMBABULE-24HRS'!E84)</f>
        <v>0</v>
      </c>
      <c r="F84" s="49">
        <f>AVERAGE('18.10 MASAKA-SEMBABULA-24HRS'!F84,'19.10 MASAKA-SEMBABULE-24HRS'!F84)</f>
        <v>0</v>
      </c>
      <c r="G84" s="49">
        <f>AVERAGE('18.10 MASAKA-SEMBABULA-24HRS'!G84,'19.10 MASAKA-SEMBABULE-24HRS'!G84)</f>
        <v>0</v>
      </c>
      <c r="H84" s="49">
        <f>AVERAGE('18.10 MASAKA-SEMBABULA-24HRS'!H84,'19.10 MASAKA-SEMBABULE-24HRS'!H84)</f>
        <v>0</v>
      </c>
      <c r="I84" s="49">
        <f>AVERAGE('18.10 MASAKA-SEMBABULA-24HRS'!I84,'19.10 MASAKA-SEMBABULE-24HRS'!I84)</f>
        <v>0.5</v>
      </c>
      <c r="J84" s="49">
        <f>AVERAGE('18.10 MASAKA-SEMBABULA-24HRS'!J84,'19.10 MASAKA-SEMBABULE-24HRS'!J84)</f>
        <v>0</v>
      </c>
      <c r="K84" s="49">
        <f>AVERAGE('18.10 MASAKA-SEMBABULA-24HRS'!K84,'19.10 MASAKA-SEMBABULE-24HRS'!K84)</f>
        <v>0</v>
      </c>
      <c r="L84" s="49">
        <f>AVERAGE('18.10 MASAKA-SEMBABULA-24HRS'!L84,'19.10 MASAKA-SEMBABULE-24HRS'!L84)</f>
        <v>0</v>
      </c>
      <c r="M84" s="49">
        <f>AVERAGE('18.10 MASAKA-SEMBABULA-24HRS'!M84,'19.10 MASAKA-SEMBABULE-24HRS'!M84)</f>
        <v>0</v>
      </c>
      <c r="N84" s="49">
        <f>AVERAGE('18.10 MASAKA-SEMBABULA-24HRS'!N84,'19.10 MASAKA-SEMBABULE-24HRS'!N84)</f>
        <v>0</v>
      </c>
      <c r="O84" s="15">
        <f t="shared" si="35"/>
        <v>0.5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AVERAGE('18.10 MASAKA-SEMBABULA-24HRS'!C85,'19.10 MASAKA-SEMBABULE-24HRS'!C85)</f>
        <v>0</v>
      </c>
      <c r="D85" s="49">
        <f>AVERAGE('18.10 MASAKA-SEMBABULA-24HRS'!D85,'19.10 MASAKA-SEMBABULE-24HRS'!D85)</f>
        <v>0</v>
      </c>
      <c r="E85" s="49">
        <f>AVERAGE('18.10 MASAKA-SEMBABULA-24HRS'!E85,'19.10 MASAKA-SEMBABULE-24HRS'!E85)</f>
        <v>0</v>
      </c>
      <c r="F85" s="49">
        <f>AVERAGE('18.10 MASAKA-SEMBABULA-24HRS'!F85,'19.10 MASAKA-SEMBABULE-24HRS'!F85)</f>
        <v>0</v>
      </c>
      <c r="G85" s="49">
        <f>AVERAGE('18.10 MASAKA-SEMBABULA-24HRS'!G85,'19.10 MASAKA-SEMBABULE-24HRS'!G85)</f>
        <v>0</v>
      </c>
      <c r="H85" s="49">
        <f>AVERAGE('18.10 MASAKA-SEMBABULA-24HRS'!H85,'19.10 MASAKA-SEMBABULE-24HRS'!H85)</f>
        <v>0</v>
      </c>
      <c r="I85" s="49">
        <f>AVERAGE('18.10 MASAKA-SEMBABULA-24HRS'!I85,'19.10 MASAKA-SEMBABULE-24HRS'!I85)</f>
        <v>0.5</v>
      </c>
      <c r="J85" s="49">
        <f>AVERAGE('18.10 MASAKA-SEMBABULA-24HRS'!J85,'19.10 MASAKA-SEMBABULE-24HRS'!J85)</f>
        <v>1</v>
      </c>
      <c r="K85" s="49">
        <f>AVERAGE('18.10 MASAKA-SEMBABULA-24HRS'!K85,'19.10 MASAKA-SEMBABULE-24HRS'!K85)</f>
        <v>0.5</v>
      </c>
      <c r="L85" s="49">
        <f>AVERAGE('18.10 MASAKA-SEMBABULA-24HRS'!L85,'19.10 MASAKA-SEMBABULE-24HRS'!L85)</f>
        <v>0</v>
      </c>
      <c r="M85" s="49">
        <f>AVERAGE('18.10 MASAKA-SEMBABULA-24HRS'!M85,'19.10 MASAKA-SEMBABULE-24HRS'!M85)</f>
        <v>0</v>
      </c>
      <c r="N85" s="49">
        <f>AVERAGE('18.10 MASAKA-SEMBABULA-24HRS'!N85,'19.10 MASAKA-SEMBABULE-24HRS'!N85)</f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AVERAGE('18.10 MASAKA-SEMBABULA-24HRS'!C86,'19.10 MASAKA-SEMBABULE-24HRS'!C86)</f>
        <v>0</v>
      </c>
      <c r="D86" s="49">
        <f>AVERAGE('18.10 MASAKA-SEMBABULA-24HRS'!D86,'19.10 MASAKA-SEMBABULE-24HRS'!D86)</f>
        <v>0</v>
      </c>
      <c r="E86" s="49">
        <f>AVERAGE('18.10 MASAKA-SEMBABULA-24HRS'!E86,'19.10 MASAKA-SEMBABULE-24HRS'!E86)</f>
        <v>0</v>
      </c>
      <c r="F86" s="49">
        <f>AVERAGE('18.10 MASAKA-SEMBABULA-24HRS'!F86,'19.10 MASAKA-SEMBABULE-24HRS'!F86)</f>
        <v>0</v>
      </c>
      <c r="G86" s="49">
        <f>AVERAGE('18.10 MASAKA-SEMBABULA-24HRS'!G86,'19.10 MASAKA-SEMBABULE-24HRS'!G86)</f>
        <v>0</v>
      </c>
      <c r="H86" s="49">
        <f>AVERAGE('18.10 MASAKA-SEMBABULA-24HRS'!H86,'19.10 MASAKA-SEMBABULE-24HRS'!H86)</f>
        <v>0</v>
      </c>
      <c r="I86" s="49">
        <f>AVERAGE('18.10 MASAKA-SEMBABULA-24HRS'!I86,'19.10 MASAKA-SEMBABULE-24HRS'!I86)</f>
        <v>0.5</v>
      </c>
      <c r="J86" s="49">
        <f>AVERAGE('18.10 MASAKA-SEMBABULA-24HRS'!J86,'19.10 MASAKA-SEMBABULE-24HRS'!J86)</f>
        <v>0</v>
      </c>
      <c r="K86" s="49">
        <f>AVERAGE('18.10 MASAKA-SEMBABULA-24HRS'!K86,'19.10 MASAKA-SEMBABULE-24HRS'!K86)</f>
        <v>0</v>
      </c>
      <c r="L86" s="49">
        <f>AVERAGE('18.10 MASAKA-SEMBABULA-24HRS'!L86,'19.10 MASAKA-SEMBABULE-24HRS'!L86)</f>
        <v>0</v>
      </c>
      <c r="M86" s="49">
        <f>AVERAGE('18.10 MASAKA-SEMBABULA-24HRS'!M86,'19.10 MASAKA-SEMBABULE-24HRS'!M86)</f>
        <v>0</v>
      </c>
      <c r="N86" s="49">
        <f>AVERAGE('18.10 MASAKA-SEMBABULA-24HRS'!N86,'19.10 MASAKA-SEMBABULE-24HRS'!N86)</f>
        <v>0</v>
      </c>
      <c r="O86" s="15">
        <f t="shared" si="35"/>
        <v>0.5</v>
      </c>
      <c r="P86" s="15">
        <f t="shared" si="36"/>
        <v>0.5</v>
      </c>
      <c r="R86" s="8"/>
      <c r="T86"/>
    </row>
    <row r="87" spans="2:20" ht="23.1" customHeight="1" x14ac:dyDescent="0.25">
      <c r="B87" s="23" t="s">
        <v>127</v>
      </c>
      <c r="C87" s="49">
        <f>AVERAGE('18.10 MASAKA-SEMBABULA-24HRS'!C87,'19.10 MASAKA-SEMBABULE-24HRS'!C87)</f>
        <v>1</v>
      </c>
      <c r="D87" s="49">
        <f>AVERAGE('18.10 MASAKA-SEMBABULA-24HRS'!D87,'19.10 MASAKA-SEMBABULE-24HRS'!D87)</f>
        <v>0</v>
      </c>
      <c r="E87" s="49">
        <f>AVERAGE('18.10 MASAKA-SEMBABULA-24HRS'!E87,'19.10 MASAKA-SEMBABULE-24HRS'!E87)</f>
        <v>0</v>
      </c>
      <c r="F87" s="49">
        <f>AVERAGE('18.10 MASAKA-SEMBABULA-24HRS'!F87,'19.10 MASAKA-SEMBABULE-24HRS'!F87)</f>
        <v>0</v>
      </c>
      <c r="G87" s="49">
        <f>AVERAGE('18.10 MASAKA-SEMBABULA-24HRS'!G87,'19.10 MASAKA-SEMBABULE-24HRS'!G87)</f>
        <v>0</v>
      </c>
      <c r="H87" s="49">
        <f>AVERAGE('18.10 MASAKA-SEMBABULA-24HRS'!H87,'19.10 MASAKA-SEMBABULE-24HRS'!H87)</f>
        <v>0</v>
      </c>
      <c r="I87" s="49">
        <f>AVERAGE('18.10 MASAKA-SEMBABULA-24HRS'!I87,'19.10 MASAKA-SEMBABULE-24HRS'!I87)</f>
        <v>0</v>
      </c>
      <c r="J87" s="49">
        <f>AVERAGE('18.10 MASAKA-SEMBABULA-24HRS'!J87,'19.10 MASAKA-SEMBABULE-24HRS'!J87)</f>
        <v>1</v>
      </c>
      <c r="K87" s="49">
        <f>AVERAGE('18.10 MASAKA-SEMBABULA-24HRS'!K87,'19.10 MASAKA-SEMBABULE-24HRS'!K87)</f>
        <v>0</v>
      </c>
      <c r="L87" s="49">
        <f>AVERAGE('18.10 MASAKA-SEMBABULA-24HRS'!L87,'19.10 MASAKA-SEMBABULE-24HRS'!L87)</f>
        <v>0</v>
      </c>
      <c r="M87" s="49">
        <f>AVERAGE('18.10 MASAKA-SEMBABULA-24HRS'!M87,'19.10 MASAKA-SEMBABULE-24HRS'!M87)</f>
        <v>0</v>
      </c>
      <c r="N87" s="49">
        <f>AVERAGE('18.10 MASAKA-SEMBABULA-24HRS'!N87,'19.10 MASAKA-SEMBABULE-24HRS'!N87)</f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AVERAGE('18.10 MASAKA-SEMBABULA-24HRS'!C88,'19.10 MASAKA-SEMBABULE-24HRS'!C88)</f>
        <v>0</v>
      </c>
      <c r="D88" s="49">
        <f>AVERAGE('18.10 MASAKA-SEMBABULA-24HRS'!D88,'19.10 MASAKA-SEMBABULE-24HRS'!D88)</f>
        <v>0.5</v>
      </c>
      <c r="E88" s="49">
        <f>AVERAGE('18.10 MASAKA-SEMBABULA-24HRS'!E88,'19.10 MASAKA-SEMBABULE-24HRS'!E88)</f>
        <v>0</v>
      </c>
      <c r="F88" s="49">
        <f>AVERAGE('18.10 MASAKA-SEMBABULA-24HRS'!F88,'19.10 MASAKA-SEMBABULE-24HRS'!F88)</f>
        <v>0</v>
      </c>
      <c r="G88" s="49">
        <f>AVERAGE('18.10 MASAKA-SEMBABULA-24HRS'!G88,'19.10 MASAKA-SEMBABULE-24HRS'!G88)</f>
        <v>0</v>
      </c>
      <c r="H88" s="49">
        <f>AVERAGE('18.10 MASAKA-SEMBABULA-24HRS'!H88,'19.10 MASAKA-SEMBABULE-24HRS'!H88)</f>
        <v>0</v>
      </c>
      <c r="I88" s="49">
        <f>AVERAGE('18.10 MASAKA-SEMBABULA-24HRS'!I88,'19.10 MASAKA-SEMBABULE-24HRS'!I88)</f>
        <v>0</v>
      </c>
      <c r="J88" s="49">
        <f>AVERAGE('18.10 MASAKA-SEMBABULA-24HRS'!J88,'19.10 MASAKA-SEMBABULE-24HRS'!J88)</f>
        <v>0</v>
      </c>
      <c r="K88" s="49">
        <f>AVERAGE('18.10 MASAKA-SEMBABULA-24HRS'!K88,'19.10 MASAKA-SEMBABULE-24HRS'!K88)</f>
        <v>0</v>
      </c>
      <c r="L88" s="49">
        <f>AVERAGE('18.10 MASAKA-SEMBABULA-24HRS'!L88,'19.10 MASAKA-SEMBABULE-24HRS'!L88)</f>
        <v>0</v>
      </c>
      <c r="M88" s="49">
        <f>AVERAGE('18.10 MASAKA-SEMBABULA-24HRS'!M88,'19.10 MASAKA-SEMBABULE-24HRS'!M88)</f>
        <v>0</v>
      </c>
      <c r="N88" s="49">
        <f>AVERAGE('18.10 MASAKA-SEMBABULA-24HRS'!N88,'19.10 MASAKA-SEMBABULE-24HRS'!N88)</f>
        <v>0</v>
      </c>
      <c r="O88" s="15">
        <f t="shared" si="35"/>
        <v>0.5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AVERAGE('18.10 MASAKA-SEMBABULA-24HRS'!C89,'19.10 MASAKA-SEMBABULE-24HRS'!C89)</f>
        <v>0.5</v>
      </c>
      <c r="D89" s="49">
        <f>AVERAGE('18.10 MASAKA-SEMBABULA-24HRS'!D89,'19.10 MASAKA-SEMBABULE-24HRS'!D89)</f>
        <v>0</v>
      </c>
      <c r="E89" s="49">
        <f>AVERAGE('18.10 MASAKA-SEMBABULA-24HRS'!E89,'19.10 MASAKA-SEMBABULE-24HRS'!E89)</f>
        <v>1</v>
      </c>
      <c r="F89" s="49">
        <f>AVERAGE('18.10 MASAKA-SEMBABULA-24HRS'!F89,'19.10 MASAKA-SEMBABULE-24HRS'!F89)</f>
        <v>0</v>
      </c>
      <c r="G89" s="49">
        <f>AVERAGE('18.10 MASAKA-SEMBABULA-24HRS'!G89,'19.10 MASAKA-SEMBABULE-24HRS'!G89)</f>
        <v>0</v>
      </c>
      <c r="H89" s="49">
        <f>AVERAGE('18.10 MASAKA-SEMBABULA-24HRS'!H89,'19.10 MASAKA-SEMBABULE-24HRS'!H89)</f>
        <v>0</v>
      </c>
      <c r="I89" s="49">
        <f>AVERAGE('18.10 MASAKA-SEMBABULA-24HRS'!I89,'19.10 MASAKA-SEMBABULE-24HRS'!I89)</f>
        <v>1</v>
      </c>
      <c r="J89" s="49">
        <f>AVERAGE('18.10 MASAKA-SEMBABULA-24HRS'!J89,'19.10 MASAKA-SEMBABULE-24HRS'!J89)</f>
        <v>0.5</v>
      </c>
      <c r="K89" s="49">
        <f>AVERAGE('18.10 MASAKA-SEMBABULA-24HRS'!K89,'19.10 MASAKA-SEMBABULE-24HRS'!K89)</f>
        <v>0</v>
      </c>
      <c r="L89" s="49">
        <f>AVERAGE('18.10 MASAKA-SEMBABULA-24HRS'!L89,'19.10 MASAKA-SEMBABULE-24HRS'!L89)</f>
        <v>0</v>
      </c>
      <c r="M89" s="49">
        <f>AVERAGE('18.10 MASAKA-SEMBABULA-24HRS'!M89,'19.10 MASAKA-SEMBABULE-24HRS'!M89)</f>
        <v>0</v>
      </c>
      <c r="N89" s="49">
        <f>AVERAGE('18.10 MASAKA-SEMBABULA-24HRS'!N89,'19.10 MASAKA-SEMBABULE-24HRS'!N89)</f>
        <v>0</v>
      </c>
      <c r="O89" s="15">
        <f t="shared" si="35"/>
        <v>3</v>
      </c>
      <c r="P89" s="15">
        <f t="shared" si="36"/>
        <v>3</v>
      </c>
      <c r="R89" s="8"/>
      <c r="T89"/>
    </row>
    <row r="90" spans="2:20" ht="23.1" customHeight="1" x14ac:dyDescent="0.25">
      <c r="B90" s="24" t="s">
        <v>130</v>
      </c>
      <c r="C90" s="49">
        <f>AVERAGE('18.10 MASAKA-SEMBABULA-24HRS'!C90,'19.10 MASAKA-SEMBABULE-24HRS'!C90)</f>
        <v>0.5</v>
      </c>
      <c r="D90" s="49">
        <f>AVERAGE('18.10 MASAKA-SEMBABULA-24HRS'!D90,'19.10 MASAKA-SEMBABULE-24HRS'!D90)</f>
        <v>0</v>
      </c>
      <c r="E90" s="49">
        <f>AVERAGE('18.10 MASAKA-SEMBABULA-24HRS'!E90,'19.10 MASAKA-SEMBABULE-24HRS'!E90)</f>
        <v>0</v>
      </c>
      <c r="F90" s="49">
        <f>AVERAGE('18.10 MASAKA-SEMBABULA-24HRS'!F90,'19.10 MASAKA-SEMBABULE-24HRS'!F90)</f>
        <v>0</v>
      </c>
      <c r="G90" s="49">
        <f>AVERAGE('18.10 MASAKA-SEMBABULA-24HRS'!G90,'19.10 MASAKA-SEMBABULE-24HRS'!G90)</f>
        <v>0</v>
      </c>
      <c r="H90" s="49">
        <f>AVERAGE('18.10 MASAKA-SEMBABULA-24HRS'!H90,'19.10 MASAKA-SEMBABULE-24HRS'!H90)</f>
        <v>0</v>
      </c>
      <c r="I90" s="49">
        <f>AVERAGE('18.10 MASAKA-SEMBABULA-24HRS'!I90,'19.10 MASAKA-SEMBABULE-24HRS'!I90)</f>
        <v>0</v>
      </c>
      <c r="J90" s="49">
        <f>AVERAGE('18.10 MASAKA-SEMBABULA-24HRS'!J90,'19.10 MASAKA-SEMBABULE-24HRS'!J90)</f>
        <v>0.5</v>
      </c>
      <c r="K90" s="49">
        <f>AVERAGE('18.10 MASAKA-SEMBABULA-24HRS'!K90,'19.10 MASAKA-SEMBABULE-24HRS'!K90)</f>
        <v>0</v>
      </c>
      <c r="L90" s="49">
        <f>AVERAGE('18.10 MASAKA-SEMBABULA-24HRS'!L90,'19.10 MASAKA-SEMBABULE-24HRS'!L90)</f>
        <v>0</v>
      </c>
      <c r="M90" s="49">
        <f>AVERAGE('18.10 MASAKA-SEMBABULA-24HRS'!M90,'19.10 MASAKA-SEMBABULE-24HRS'!M90)</f>
        <v>0</v>
      </c>
      <c r="N90" s="49">
        <f>AVERAGE('18.10 MASAKA-SEMBABULA-24HRS'!N90,'19.10 MASAKA-SEMBABULE-24HRS'!N90)</f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23" t="s">
        <v>131</v>
      </c>
      <c r="C91" s="49">
        <f>AVERAGE('18.10 MASAKA-SEMBABULA-24HRS'!C91,'19.10 MASAKA-SEMBABULE-24HRS'!C91)</f>
        <v>0.5</v>
      </c>
      <c r="D91" s="49">
        <f>AVERAGE('18.10 MASAKA-SEMBABULA-24HRS'!D91,'19.10 MASAKA-SEMBABULE-24HRS'!D91)</f>
        <v>0</v>
      </c>
      <c r="E91" s="49">
        <f>AVERAGE('18.10 MASAKA-SEMBABULA-24HRS'!E91,'19.10 MASAKA-SEMBABULE-24HRS'!E91)</f>
        <v>0.5</v>
      </c>
      <c r="F91" s="49">
        <f>AVERAGE('18.10 MASAKA-SEMBABULA-24HRS'!F91,'19.10 MASAKA-SEMBABULE-24HRS'!F91)</f>
        <v>0</v>
      </c>
      <c r="G91" s="49">
        <f>AVERAGE('18.10 MASAKA-SEMBABULA-24HRS'!G91,'19.10 MASAKA-SEMBABULE-24HRS'!G91)</f>
        <v>0</v>
      </c>
      <c r="H91" s="49">
        <f>AVERAGE('18.10 MASAKA-SEMBABULA-24HRS'!H91,'19.10 MASAKA-SEMBABULE-24HRS'!H91)</f>
        <v>0</v>
      </c>
      <c r="I91" s="49">
        <f>AVERAGE('18.10 MASAKA-SEMBABULA-24HRS'!I91,'19.10 MASAKA-SEMBABULE-24HRS'!I91)</f>
        <v>0</v>
      </c>
      <c r="J91" s="49">
        <f>AVERAGE('18.10 MASAKA-SEMBABULA-24HRS'!J91,'19.10 MASAKA-SEMBABULE-24HRS'!J91)</f>
        <v>0</v>
      </c>
      <c r="K91" s="49">
        <f>AVERAGE('18.10 MASAKA-SEMBABULA-24HRS'!K91,'19.10 MASAKA-SEMBABULE-24HRS'!K91)</f>
        <v>0</v>
      </c>
      <c r="L91" s="49">
        <f>AVERAGE('18.10 MASAKA-SEMBABULA-24HRS'!L91,'19.10 MASAKA-SEMBABULE-24HRS'!L91)</f>
        <v>0</v>
      </c>
      <c r="M91" s="49">
        <f>AVERAGE('18.10 MASAKA-SEMBABULA-24HRS'!M91,'19.10 MASAKA-SEMBABULE-24HRS'!M91)</f>
        <v>1</v>
      </c>
      <c r="N91" s="49">
        <f>AVERAGE('18.10 MASAKA-SEMBABULA-24HRS'!N91,'19.10 MASAKA-SEMBABULE-24HRS'!N91)</f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AVERAGE('18.10 MASAKA-SEMBABULA-24HRS'!C92,'19.10 MASAKA-SEMBABULE-24HRS'!C92)</f>
        <v>0</v>
      </c>
      <c r="D92" s="49">
        <f>AVERAGE('18.10 MASAKA-SEMBABULA-24HRS'!D92,'19.10 MASAKA-SEMBABULE-24HRS'!D92)</f>
        <v>0.5</v>
      </c>
      <c r="E92" s="49">
        <f>AVERAGE('18.10 MASAKA-SEMBABULA-24HRS'!E92,'19.10 MASAKA-SEMBABULE-24HRS'!E92)</f>
        <v>0</v>
      </c>
      <c r="F92" s="49">
        <f>AVERAGE('18.10 MASAKA-SEMBABULA-24HRS'!F92,'19.10 MASAKA-SEMBABULE-24HRS'!F92)</f>
        <v>0</v>
      </c>
      <c r="G92" s="49">
        <f>AVERAGE('18.10 MASAKA-SEMBABULA-24HRS'!G92,'19.10 MASAKA-SEMBABULE-24HRS'!G92)</f>
        <v>0</v>
      </c>
      <c r="H92" s="49">
        <f>AVERAGE('18.10 MASAKA-SEMBABULA-24HRS'!H92,'19.10 MASAKA-SEMBABULE-24HRS'!H92)</f>
        <v>0</v>
      </c>
      <c r="I92" s="49">
        <f>AVERAGE('18.10 MASAKA-SEMBABULA-24HRS'!I92,'19.10 MASAKA-SEMBABULE-24HRS'!I92)</f>
        <v>0</v>
      </c>
      <c r="J92" s="49">
        <f>AVERAGE('18.10 MASAKA-SEMBABULA-24HRS'!J92,'19.10 MASAKA-SEMBABULE-24HRS'!J92)</f>
        <v>1.5</v>
      </c>
      <c r="K92" s="49">
        <f>AVERAGE('18.10 MASAKA-SEMBABULA-24HRS'!K92,'19.10 MASAKA-SEMBABULE-24HRS'!K92)</f>
        <v>0</v>
      </c>
      <c r="L92" s="49">
        <f>AVERAGE('18.10 MASAKA-SEMBABULA-24HRS'!L92,'19.10 MASAKA-SEMBABULE-24HRS'!L92)</f>
        <v>0</v>
      </c>
      <c r="M92" s="49">
        <f>AVERAGE('18.10 MASAKA-SEMBABULA-24HRS'!M92,'19.10 MASAKA-SEMBABULE-24HRS'!M92)</f>
        <v>0</v>
      </c>
      <c r="N92" s="49">
        <f>AVERAGE('18.10 MASAKA-SEMBABULA-24HRS'!N92,'19.10 MASAKA-SEMBABULE-24HRS'!N92)</f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23" t="s">
        <v>133</v>
      </c>
      <c r="C93" s="49">
        <f>AVERAGE('18.10 MASAKA-SEMBABULA-24HRS'!C93,'19.10 MASAKA-SEMBABULE-24HRS'!C93)</f>
        <v>0.5</v>
      </c>
      <c r="D93" s="49">
        <f>AVERAGE('18.10 MASAKA-SEMBABULA-24HRS'!D93,'19.10 MASAKA-SEMBABULE-24HRS'!D93)</f>
        <v>0</v>
      </c>
      <c r="E93" s="49">
        <f>AVERAGE('18.10 MASAKA-SEMBABULA-24HRS'!E93,'19.10 MASAKA-SEMBABULE-24HRS'!E93)</f>
        <v>0</v>
      </c>
      <c r="F93" s="49">
        <f>AVERAGE('18.10 MASAKA-SEMBABULA-24HRS'!F93,'19.10 MASAKA-SEMBABULE-24HRS'!F93)</f>
        <v>0</v>
      </c>
      <c r="G93" s="49">
        <f>AVERAGE('18.10 MASAKA-SEMBABULA-24HRS'!G93,'19.10 MASAKA-SEMBABULE-24HRS'!G93)</f>
        <v>0</v>
      </c>
      <c r="H93" s="49">
        <f>AVERAGE('18.10 MASAKA-SEMBABULA-24HRS'!H93,'19.10 MASAKA-SEMBABULE-24HRS'!H93)</f>
        <v>0</v>
      </c>
      <c r="I93" s="49">
        <f>AVERAGE('18.10 MASAKA-SEMBABULA-24HRS'!I93,'19.10 MASAKA-SEMBABULE-24HRS'!I93)</f>
        <v>0</v>
      </c>
      <c r="J93" s="49">
        <f>AVERAGE('18.10 MASAKA-SEMBABULA-24HRS'!J93,'19.10 MASAKA-SEMBABULE-24HRS'!J93)</f>
        <v>1</v>
      </c>
      <c r="K93" s="49">
        <f>AVERAGE('18.10 MASAKA-SEMBABULA-24HRS'!K93,'19.10 MASAKA-SEMBABULE-24HRS'!K93)</f>
        <v>0</v>
      </c>
      <c r="L93" s="49">
        <f>AVERAGE('18.10 MASAKA-SEMBABULA-24HRS'!L93,'19.10 MASAKA-SEMBABULE-24HRS'!L93)</f>
        <v>0</v>
      </c>
      <c r="M93" s="49">
        <f>AVERAGE('18.10 MASAKA-SEMBABULA-24HRS'!M93,'19.10 MASAKA-SEMBABULE-24HRS'!M93)</f>
        <v>0</v>
      </c>
      <c r="N93" s="49">
        <f>AVERAGE('18.10 MASAKA-SEMBABULA-24HRS'!N93,'19.10 MASAKA-SEMBABULE-24HRS'!N93)</f>
        <v>0</v>
      </c>
      <c r="O93" s="15">
        <f t="shared" si="35"/>
        <v>1.5</v>
      </c>
      <c r="P93" s="15">
        <f t="shared" si="36"/>
        <v>1.5</v>
      </c>
      <c r="R93" s="8"/>
      <c r="T93"/>
    </row>
    <row r="94" spans="2:20" ht="23.1" customHeight="1" x14ac:dyDescent="0.25">
      <c r="B94" s="24" t="s">
        <v>134</v>
      </c>
      <c r="C94" s="49">
        <f>AVERAGE('18.10 MASAKA-SEMBABULA-24HRS'!C94,'19.10 MASAKA-SEMBABULE-24HRS'!C94)</f>
        <v>2</v>
      </c>
      <c r="D94" s="49">
        <f>AVERAGE('18.10 MASAKA-SEMBABULA-24HRS'!D94,'19.10 MASAKA-SEMBABULE-24HRS'!D94)</f>
        <v>0.5</v>
      </c>
      <c r="E94" s="49">
        <f>AVERAGE('18.10 MASAKA-SEMBABULA-24HRS'!E94,'19.10 MASAKA-SEMBABULE-24HRS'!E94)</f>
        <v>0</v>
      </c>
      <c r="F94" s="49">
        <f>AVERAGE('18.10 MASAKA-SEMBABULA-24HRS'!F94,'19.10 MASAKA-SEMBABULE-24HRS'!F94)</f>
        <v>1</v>
      </c>
      <c r="G94" s="49">
        <f>AVERAGE('18.10 MASAKA-SEMBABULA-24HRS'!G94,'19.10 MASAKA-SEMBABULE-24HRS'!G94)</f>
        <v>0</v>
      </c>
      <c r="H94" s="49">
        <f>AVERAGE('18.10 MASAKA-SEMBABULA-24HRS'!H94,'19.10 MASAKA-SEMBABULE-24HRS'!H94)</f>
        <v>0</v>
      </c>
      <c r="I94" s="49">
        <f>AVERAGE('18.10 MASAKA-SEMBABULA-24HRS'!I94,'19.10 MASAKA-SEMBABULE-24HRS'!I94)</f>
        <v>0.5</v>
      </c>
      <c r="J94" s="49">
        <f>AVERAGE('18.10 MASAKA-SEMBABULA-24HRS'!J94,'19.10 MASAKA-SEMBABULE-24HRS'!J94)</f>
        <v>0.5</v>
      </c>
      <c r="K94" s="49">
        <f>AVERAGE('18.10 MASAKA-SEMBABULA-24HRS'!K94,'19.10 MASAKA-SEMBABULE-24HRS'!K94)</f>
        <v>0</v>
      </c>
      <c r="L94" s="49">
        <f>AVERAGE('18.10 MASAKA-SEMBABULA-24HRS'!L94,'19.10 MASAKA-SEMBABULE-24HRS'!L94)</f>
        <v>0</v>
      </c>
      <c r="M94" s="49">
        <f>AVERAGE('18.10 MASAKA-SEMBABULA-24HRS'!M94,'19.10 MASAKA-SEMBABULE-24HRS'!M94)</f>
        <v>2</v>
      </c>
      <c r="N94" s="49">
        <f>AVERAGE('18.10 MASAKA-SEMBABULA-24HRS'!N94,'19.10 MASAKA-SEMBABULE-24HRS'!N94)</f>
        <v>0</v>
      </c>
      <c r="O94" s="15">
        <f t="shared" si="35"/>
        <v>4.5</v>
      </c>
      <c r="P94" s="15">
        <f t="shared" si="36"/>
        <v>6.5</v>
      </c>
      <c r="R94" s="8"/>
      <c r="T94"/>
    </row>
    <row r="95" spans="2:20" ht="23.1" customHeight="1" x14ac:dyDescent="0.25">
      <c r="B95" s="23" t="s">
        <v>135</v>
      </c>
      <c r="C95" s="49">
        <f>AVERAGE('18.10 MASAKA-SEMBABULA-24HRS'!C95,'19.10 MASAKA-SEMBABULE-24HRS'!C95)</f>
        <v>1</v>
      </c>
      <c r="D95" s="49">
        <f>AVERAGE('18.10 MASAKA-SEMBABULA-24HRS'!D95,'19.10 MASAKA-SEMBABULE-24HRS'!D95)</f>
        <v>0</v>
      </c>
      <c r="E95" s="49">
        <f>AVERAGE('18.10 MASAKA-SEMBABULA-24HRS'!E95,'19.10 MASAKA-SEMBABULE-24HRS'!E95)</f>
        <v>0</v>
      </c>
      <c r="F95" s="49">
        <f>AVERAGE('18.10 MASAKA-SEMBABULA-24HRS'!F95,'19.10 MASAKA-SEMBABULE-24HRS'!F95)</f>
        <v>0.5</v>
      </c>
      <c r="G95" s="49">
        <f>AVERAGE('18.10 MASAKA-SEMBABULA-24HRS'!G95,'19.10 MASAKA-SEMBABULE-24HRS'!G95)</f>
        <v>0</v>
      </c>
      <c r="H95" s="49">
        <f>AVERAGE('18.10 MASAKA-SEMBABULA-24HRS'!H95,'19.10 MASAKA-SEMBABULE-24HRS'!H95)</f>
        <v>0</v>
      </c>
      <c r="I95" s="49">
        <f>AVERAGE('18.10 MASAKA-SEMBABULA-24HRS'!I95,'19.10 MASAKA-SEMBABULE-24HRS'!I95)</f>
        <v>0</v>
      </c>
      <c r="J95" s="49">
        <f>AVERAGE('18.10 MASAKA-SEMBABULA-24HRS'!J95,'19.10 MASAKA-SEMBABULE-24HRS'!J95)</f>
        <v>1</v>
      </c>
      <c r="K95" s="49">
        <f>AVERAGE('18.10 MASAKA-SEMBABULA-24HRS'!K95,'19.10 MASAKA-SEMBABULE-24HRS'!K95)</f>
        <v>0</v>
      </c>
      <c r="L95" s="49">
        <f>AVERAGE('18.10 MASAKA-SEMBABULA-24HRS'!L95,'19.10 MASAKA-SEMBABULE-24HRS'!L95)</f>
        <v>0</v>
      </c>
      <c r="M95" s="49">
        <f>AVERAGE('18.10 MASAKA-SEMBABULA-24HRS'!M95,'19.10 MASAKA-SEMBABULE-24HRS'!M95)</f>
        <v>4</v>
      </c>
      <c r="N95" s="49">
        <f>AVERAGE('18.10 MASAKA-SEMBABULA-24HRS'!N95,'19.10 MASAKA-SEMBABULE-24HRS'!N95)</f>
        <v>0</v>
      </c>
      <c r="O95" s="15">
        <f t="shared" si="35"/>
        <v>2.5</v>
      </c>
      <c r="P95" s="15">
        <f t="shared" si="36"/>
        <v>6.5</v>
      </c>
      <c r="R95" s="8"/>
      <c r="T95"/>
    </row>
    <row r="96" spans="2:20" ht="23.1" customHeight="1" x14ac:dyDescent="0.25">
      <c r="B96" s="25" t="s">
        <v>136</v>
      </c>
      <c r="C96" s="49">
        <f>AVERAGE('18.10 MASAKA-SEMBABULA-24HRS'!C96,'19.10 MASAKA-SEMBABULE-24HRS'!C96)</f>
        <v>0.5</v>
      </c>
      <c r="D96" s="49">
        <f>AVERAGE('18.10 MASAKA-SEMBABULA-24HRS'!D96,'19.10 MASAKA-SEMBABULE-24HRS'!D96)</f>
        <v>1</v>
      </c>
      <c r="E96" s="49">
        <f>AVERAGE('18.10 MASAKA-SEMBABULA-24HRS'!E96,'19.10 MASAKA-SEMBABULE-24HRS'!E96)</f>
        <v>0</v>
      </c>
      <c r="F96" s="49">
        <f>AVERAGE('18.10 MASAKA-SEMBABULA-24HRS'!F96,'19.10 MASAKA-SEMBABULE-24HRS'!F96)</f>
        <v>0</v>
      </c>
      <c r="G96" s="49">
        <f>AVERAGE('18.10 MASAKA-SEMBABULA-24HRS'!G96,'19.10 MASAKA-SEMBABULE-24HRS'!G96)</f>
        <v>0</v>
      </c>
      <c r="H96" s="49">
        <f>AVERAGE('18.10 MASAKA-SEMBABULA-24HRS'!H96,'19.10 MASAKA-SEMBABULE-24HRS'!H96)</f>
        <v>0</v>
      </c>
      <c r="I96" s="49">
        <f>AVERAGE('18.10 MASAKA-SEMBABULA-24HRS'!I96,'19.10 MASAKA-SEMBABULE-24HRS'!I96)</f>
        <v>0.5</v>
      </c>
      <c r="J96" s="49">
        <f>AVERAGE('18.10 MASAKA-SEMBABULA-24HRS'!J96,'19.10 MASAKA-SEMBABULE-24HRS'!J96)</f>
        <v>0</v>
      </c>
      <c r="K96" s="49">
        <f>AVERAGE('18.10 MASAKA-SEMBABULA-24HRS'!K96,'19.10 MASAKA-SEMBABULE-24HRS'!K96)</f>
        <v>0</v>
      </c>
      <c r="L96" s="49">
        <f>AVERAGE('18.10 MASAKA-SEMBABULA-24HRS'!L96,'19.10 MASAKA-SEMBABULE-24HRS'!L96)</f>
        <v>0</v>
      </c>
      <c r="M96" s="49">
        <f>AVERAGE('18.10 MASAKA-SEMBABULA-24HRS'!M96,'19.10 MASAKA-SEMBABULE-24HRS'!M96)</f>
        <v>2.5</v>
      </c>
      <c r="N96" s="49">
        <f>AVERAGE('18.10 MASAKA-SEMBABULA-24HRS'!N96,'19.10 MASAKA-SEMBABULE-24HRS'!N96)</f>
        <v>0</v>
      </c>
      <c r="O96" s="15">
        <f t="shared" si="35"/>
        <v>2</v>
      </c>
      <c r="P96" s="15">
        <f t="shared" si="36"/>
        <v>4.5</v>
      </c>
      <c r="R96" s="8"/>
      <c r="T96"/>
    </row>
    <row r="97" spans="2:20" ht="23.1" customHeight="1" x14ac:dyDescent="0.25">
      <c r="B97" s="23" t="s">
        <v>137</v>
      </c>
      <c r="C97" s="49">
        <f>AVERAGE('18.10 MASAKA-SEMBABULA-24HRS'!C97,'19.10 MASAKA-SEMBABULE-24HRS'!C97)</f>
        <v>2</v>
      </c>
      <c r="D97" s="49">
        <f>AVERAGE('18.10 MASAKA-SEMBABULA-24HRS'!D97,'19.10 MASAKA-SEMBABULE-24HRS'!D97)</f>
        <v>0</v>
      </c>
      <c r="E97" s="49">
        <f>AVERAGE('18.10 MASAKA-SEMBABULA-24HRS'!E97,'19.10 MASAKA-SEMBABULE-24HRS'!E97)</f>
        <v>0.5</v>
      </c>
      <c r="F97" s="49">
        <f>AVERAGE('18.10 MASAKA-SEMBABULA-24HRS'!F97,'19.10 MASAKA-SEMBABULE-24HRS'!F97)</f>
        <v>1</v>
      </c>
      <c r="G97" s="49">
        <f>AVERAGE('18.10 MASAKA-SEMBABULA-24HRS'!G97,'19.10 MASAKA-SEMBABULE-24HRS'!G97)</f>
        <v>0</v>
      </c>
      <c r="H97" s="49">
        <f>AVERAGE('18.10 MASAKA-SEMBABULA-24HRS'!H97,'19.10 MASAKA-SEMBABULE-24HRS'!H97)</f>
        <v>0</v>
      </c>
      <c r="I97" s="49">
        <f>AVERAGE('18.10 MASAKA-SEMBABULA-24HRS'!I97,'19.10 MASAKA-SEMBABULE-24HRS'!I97)</f>
        <v>1</v>
      </c>
      <c r="J97" s="49">
        <f>AVERAGE('18.10 MASAKA-SEMBABULA-24HRS'!J97,'19.10 MASAKA-SEMBABULE-24HRS'!J97)</f>
        <v>0.5</v>
      </c>
      <c r="K97" s="49">
        <f>AVERAGE('18.10 MASAKA-SEMBABULA-24HRS'!K97,'19.10 MASAKA-SEMBABULE-24HRS'!K97)</f>
        <v>0.5</v>
      </c>
      <c r="L97" s="49">
        <f>AVERAGE('18.10 MASAKA-SEMBABULA-24HRS'!L97,'19.10 MASAKA-SEMBABULE-24HRS'!L97)</f>
        <v>0</v>
      </c>
      <c r="M97" s="49">
        <f>AVERAGE('18.10 MASAKA-SEMBABULA-24HRS'!M97,'19.10 MASAKA-SEMBABULE-24HRS'!M97)</f>
        <v>0</v>
      </c>
      <c r="N97" s="49">
        <f>AVERAGE('18.10 MASAKA-SEMBABULA-24HRS'!N97,'19.10 MASAKA-SEMBABULE-24HRS'!N97)</f>
        <v>0</v>
      </c>
      <c r="O97" s="15">
        <f t="shared" si="35"/>
        <v>5.5</v>
      </c>
      <c r="P97" s="15">
        <f t="shared" si="36"/>
        <v>5.5</v>
      </c>
      <c r="R97" s="8"/>
      <c r="T97"/>
    </row>
    <row r="98" spans="2:20" ht="23.1" customHeight="1" x14ac:dyDescent="0.25">
      <c r="B98" s="24" t="s">
        <v>138</v>
      </c>
      <c r="C98" s="49">
        <f>AVERAGE('18.10 MASAKA-SEMBABULA-24HRS'!C98,'19.10 MASAKA-SEMBABULE-24HRS'!C98)</f>
        <v>2</v>
      </c>
      <c r="D98" s="49">
        <f>AVERAGE('18.10 MASAKA-SEMBABULA-24HRS'!D98,'19.10 MASAKA-SEMBABULE-24HRS'!D98)</f>
        <v>1</v>
      </c>
      <c r="E98" s="49">
        <f>AVERAGE('18.10 MASAKA-SEMBABULA-24HRS'!E98,'19.10 MASAKA-SEMBABULE-24HRS'!E98)</f>
        <v>0.5</v>
      </c>
      <c r="F98" s="49">
        <f>AVERAGE('18.10 MASAKA-SEMBABULA-24HRS'!F98,'19.10 MASAKA-SEMBABULE-24HRS'!F98)</f>
        <v>1</v>
      </c>
      <c r="G98" s="49">
        <f>AVERAGE('18.10 MASAKA-SEMBABULA-24HRS'!G98,'19.10 MASAKA-SEMBABULE-24HRS'!G98)</f>
        <v>0</v>
      </c>
      <c r="H98" s="49">
        <f>AVERAGE('18.10 MASAKA-SEMBABULA-24HRS'!H98,'19.10 MASAKA-SEMBABULE-24HRS'!H98)</f>
        <v>0</v>
      </c>
      <c r="I98" s="49">
        <f>AVERAGE('18.10 MASAKA-SEMBABULA-24HRS'!I98,'19.10 MASAKA-SEMBABULE-24HRS'!I98)</f>
        <v>1</v>
      </c>
      <c r="J98" s="49">
        <f>AVERAGE('18.10 MASAKA-SEMBABULA-24HRS'!J98,'19.10 MASAKA-SEMBABULE-24HRS'!J98)</f>
        <v>0</v>
      </c>
      <c r="K98" s="49">
        <f>AVERAGE('18.10 MASAKA-SEMBABULA-24HRS'!K98,'19.10 MASAKA-SEMBABULE-24HRS'!K98)</f>
        <v>0</v>
      </c>
      <c r="L98" s="49">
        <f>AVERAGE('18.10 MASAKA-SEMBABULA-24HRS'!L98,'19.10 MASAKA-SEMBABULE-24HRS'!L98)</f>
        <v>0</v>
      </c>
      <c r="M98" s="49">
        <f>AVERAGE('18.10 MASAKA-SEMBABULA-24HRS'!M98,'19.10 MASAKA-SEMBABULE-24HRS'!M98)</f>
        <v>3.5</v>
      </c>
      <c r="N98" s="49">
        <f>AVERAGE('18.10 MASAKA-SEMBABULA-24HRS'!N98,'19.10 MASAKA-SEMBABULE-24HRS'!N98)</f>
        <v>0</v>
      </c>
      <c r="O98" s="15">
        <f t="shared" si="35"/>
        <v>5.5</v>
      </c>
      <c r="P98" s="15">
        <f t="shared" si="36"/>
        <v>9</v>
      </c>
      <c r="R98" s="8"/>
      <c r="T98"/>
    </row>
    <row r="99" spans="2:20" ht="23.1" customHeight="1" x14ac:dyDescent="0.25">
      <c r="B99" s="23" t="s">
        <v>139</v>
      </c>
      <c r="C99" s="49">
        <f>AVERAGE('18.10 MASAKA-SEMBABULA-24HRS'!C99,'19.10 MASAKA-SEMBABULE-24HRS'!C99)</f>
        <v>0</v>
      </c>
      <c r="D99" s="49">
        <f>AVERAGE('18.10 MASAKA-SEMBABULA-24HRS'!D99,'19.10 MASAKA-SEMBABULE-24HRS'!D99)</f>
        <v>0</v>
      </c>
      <c r="E99" s="49">
        <f>AVERAGE('18.10 MASAKA-SEMBABULA-24HRS'!E99,'19.10 MASAKA-SEMBABULE-24HRS'!E99)</f>
        <v>0</v>
      </c>
      <c r="F99" s="49">
        <f>AVERAGE('18.10 MASAKA-SEMBABULA-24HRS'!F99,'19.10 MASAKA-SEMBABULE-24HRS'!F99)</f>
        <v>0.5</v>
      </c>
      <c r="G99" s="49">
        <f>AVERAGE('18.10 MASAKA-SEMBABULA-24HRS'!G99,'19.10 MASAKA-SEMBABULE-24HRS'!G99)</f>
        <v>0</v>
      </c>
      <c r="H99" s="49">
        <f>AVERAGE('18.10 MASAKA-SEMBABULA-24HRS'!H99,'19.10 MASAKA-SEMBABULE-24HRS'!H99)</f>
        <v>0</v>
      </c>
      <c r="I99" s="49">
        <f>AVERAGE('18.10 MASAKA-SEMBABULA-24HRS'!I99,'19.10 MASAKA-SEMBABULE-24HRS'!I99)</f>
        <v>1</v>
      </c>
      <c r="J99" s="49">
        <f>AVERAGE('18.10 MASAKA-SEMBABULA-24HRS'!J99,'19.10 MASAKA-SEMBABULE-24HRS'!J99)</f>
        <v>0</v>
      </c>
      <c r="K99" s="49">
        <f>AVERAGE('18.10 MASAKA-SEMBABULA-24HRS'!K99,'19.10 MASAKA-SEMBABULE-24HRS'!K99)</f>
        <v>0.5</v>
      </c>
      <c r="L99" s="49">
        <f>AVERAGE('18.10 MASAKA-SEMBABULA-24HRS'!L99,'19.10 MASAKA-SEMBABULE-24HRS'!L99)</f>
        <v>0</v>
      </c>
      <c r="M99" s="49">
        <f>AVERAGE('18.10 MASAKA-SEMBABULA-24HRS'!M99,'19.10 MASAKA-SEMBABULE-24HRS'!M99)</f>
        <v>2</v>
      </c>
      <c r="N99" s="49">
        <f>AVERAGE('18.10 MASAKA-SEMBABULA-24HRS'!N99,'19.10 MASAKA-SEMBABULE-24HRS'!N99)</f>
        <v>0</v>
      </c>
      <c r="O99" s="15">
        <f t="shared" si="35"/>
        <v>2</v>
      </c>
      <c r="P99" s="15">
        <f t="shared" si="36"/>
        <v>4</v>
      </c>
      <c r="R99" s="8"/>
      <c r="T99"/>
    </row>
    <row r="100" spans="2:20" ht="23.1" customHeight="1" x14ac:dyDescent="0.25">
      <c r="B100" s="25" t="s">
        <v>140</v>
      </c>
      <c r="C100" s="49">
        <f>AVERAGE('18.10 MASAKA-SEMBABULA-24HRS'!C100,'19.10 MASAKA-SEMBABULE-24HRS'!C100)</f>
        <v>0.5</v>
      </c>
      <c r="D100" s="49">
        <f>AVERAGE('18.10 MASAKA-SEMBABULA-24HRS'!D100,'19.10 MASAKA-SEMBABULE-24HRS'!D100)</f>
        <v>0</v>
      </c>
      <c r="E100" s="49">
        <f>AVERAGE('18.10 MASAKA-SEMBABULA-24HRS'!E100,'19.10 MASAKA-SEMBABULE-24HRS'!E100)</f>
        <v>0</v>
      </c>
      <c r="F100" s="49">
        <f>AVERAGE('18.10 MASAKA-SEMBABULA-24HRS'!F100,'19.10 MASAKA-SEMBABULE-24HRS'!F100)</f>
        <v>0.5</v>
      </c>
      <c r="G100" s="49">
        <f>AVERAGE('18.10 MASAKA-SEMBABULA-24HRS'!G100,'19.10 MASAKA-SEMBABULE-24HRS'!G100)</f>
        <v>0</v>
      </c>
      <c r="H100" s="49">
        <f>AVERAGE('18.10 MASAKA-SEMBABULA-24HRS'!H100,'19.10 MASAKA-SEMBABULE-24HRS'!H100)</f>
        <v>0</v>
      </c>
      <c r="I100" s="49">
        <f>AVERAGE('18.10 MASAKA-SEMBABULA-24HRS'!I100,'19.10 MASAKA-SEMBABULE-24HRS'!I100)</f>
        <v>0.5</v>
      </c>
      <c r="J100" s="49">
        <f>AVERAGE('18.10 MASAKA-SEMBABULA-24HRS'!J100,'19.10 MASAKA-SEMBABULE-24HRS'!J100)</f>
        <v>1</v>
      </c>
      <c r="K100" s="49">
        <f>AVERAGE('18.10 MASAKA-SEMBABULA-24HRS'!K100,'19.10 MASAKA-SEMBABULE-24HRS'!K100)</f>
        <v>0</v>
      </c>
      <c r="L100" s="49">
        <f>AVERAGE('18.10 MASAKA-SEMBABULA-24HRS'!L100,'19.10 MASAKA-SEMBABULE-24HRS'!L100)</f>
        <v>0</v>
      </c>
      <c r="M100" s="49">
        <f>AVERAGE('18.10 MASAKA-SEMBABULA-24HRS'!M100,'19.10 MASAKA-SEMBABULE-24HRS'!M100)</f>
        <v>0</v>
      </c>
      <c r="N100" s="49">
        <f>AVERAGE('18.10 MASAKA-SEMBABULA-24HRS'!N100,'19.10 MASAKA-SEMBABULE-24HRS'!N100)</f>
        <v>0</v>
      </c>
      <c r="O100" s="15">
        <f t="shared" si="35"/>
        <v>2.5</v>
      </c>
      <c r="P100" s="15">
        <f t="shared" si="36"/>
        <v>2.5</v>
      </c>
      <c r="R100" s="8"/>
      <c r="T100"/>
    </row>
    <row r="101" spans="2:20" ht="23.1" customHeight="1" x14ac:dyDescent="0.25">
      <c r="B101" s="23" t="s">
        <v>141</v>
      </c>
      <c r="C101" s="49">
        <f>AVERAGE('18.10 MASAKA-SEMBABULA-24HRS'!C101,'19.10 MASAKA-SEMBABULE-24HRS'!C101)</f>
        <v>0</v>
      </c>
      <c r="D101" s="49">
        <f>AVERAGE('18.10 MASAKA-SEMBABULA-24HRS'!D101,'19.10 MASAKA-SEMBABULE-24HRS'!D101)</f>
        <v>0</v>
      </c>
      <c r="E101" s="49">
        <f>AVERAGE('18.10 MASAKA-SEMBABULA-24HRS'!E101,'19.10 MASAKA-SEMBABULE-24HRS'!E101)</f>
        <v>0</v>
      </c>
      <c r="F101" s="49">
        <f>AVERAGE('18.10 MASAKA-SEMBABULA-24HRS'!F101,'19.10 MASAKA-SEMBABULE-24HRS'!F101)</f>
        <v>1.5</v>
      </c>
      <c r="G101" s="49">
        <f>AVERAGE('18.10 MASAKA-SEMBABULA-24HRS'!G101,'19.10 MASAKA-SEMBABULE-24HRS'!G101)</f>
        <v>0</v>
      </c>
      <c r="H101" s="49">
        <f>AVERAGE('18.10 MASAKA-SEMBABULA-24HRS'!H101,'19.10 MASAKA-SEMBABULE-24HRS'!H101)</f>
        <v>0</v>
      </c>
      <c r="I101" s="49">
        <f>AVERAGE('18.10 MASAKA-SEMBABULA-24HRS'!I101,'19.10 MASAKA-SEMBABULE-24HRS'!I101)</f>
        <v>0</v>
      </c>
      <c r="J101" s="49">
        <f>AVERAGE('18.10 MASAKA-SEMBABULA-24HRS'!J101,'19.10 MASAKA-SEMBABULE-24HRS'!J101)</f>
        <v>0</v>
      </c>
      <c r="K101" s="49">
        <f>AVERAGE('18.10 MASAKA-SEMBABULA-24HRS'!K101,'19.10 MASAKA-SEMBABULE-24HRS'!K101)</f>
        <v>0</v>
      </c>
      <c r="L101" s="49">
        <f>AVERAGE('18.10 MASAKA-SEMBABULA-24HRS'!L101,'19.10 MASAKA-SEMBABULE-24HRS'!L101)</f>
        <v>0</v>
      </c>
      <c r="M101" s="49">
        <f>AVERAGE('18.10 MASAKA-SEMBABULA-24HRS'!M101,'19.10 MASAKA-SEMBABULE-24HRS'!M101)</f>
        <v>1.5</v>
      </c>
      <c r="N101" s="49">
        <f>AVERAGE('18.10 MASAKA-SEMBABULA-24HRS'!N101,'19.10 MASAKA-SEMBABULE-24HRS'!N101)</f>
        <v>0</v>
      </c>
      <c r="O101" s="15">
        <f t="shared" si="35"/>
        <v>1.5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AVERAGE('18.10 MASAKA-SEMBABULA-24HRS'!C102,'19.10 MASAKA-SEMBABULE-24HRS'!C102)</f>
        <v>0.5</v>
      </c>
      <c r="D102" s="49">
        <f>AVERAGE('18.10 MASAKA-SEMBABULA-24HRS'!D102,'19.10 MASAKA-SEMBABULE-24HRS'!D102)</f>
        <v>0</v>
      </c>
      <c r="E102" s="49">
        <f>AVERAGE('18.10 MASAKA-SEMBABULA-24HRS'!E102,'19.10 MASAKA-SEMBABULE-24HRS'!E102)</f>
        <v>0.5</v>
      </c>
      <c r="F102" s="49">
        <f>AVERAGE('18.10 MASAKA-SEMBABULA-24HRS'!F102,'19.10 MASAKA-SEMBABULE-24HRS'!F102)</f>
        <v>0</v>
      </c>
      <c r="G102" s="49">
        <f>AVERAGE('18.10 MASAKA-SEMBABULA-24HRS'!G102,'19.10 MASAKA-SEMBABULE-24HRS'!G102)</f>
        <v>0</v>
      </c>
      <c r="H102" s="49">
        <f>AVERAGE('18.10 MASAKA-SEMBABULA-24HRS'!H102,'19.10 MASAKA-SEMBABULE-24HRS'!H102)</f>
        <v>0</v>
      </c>
      <c r="I102" s="49">
        <f>AVERAGE('18.10 MASAKA-SEMBABULA-24HRS'!I102,'19.10 MASAKA-SEMBABULE-24HRS'!I102)</f>
        <v>0</v>
      </c>
      <c r="J102" s="49">
        <f>AVERAGE('18.10 MASAKA-SEMBABULA-24HRS'!J102,'19.10 MASAKA-SEMBABULE-24HRS'!J102)</f>
        <v>0</v>
      </c>
      <c r="K102" s="49">
        <f>AVERAGE('18.10 MASAKA-SEMBABULA-24HRS'!K102,'19.10 MASAKA-SEMBABULE-24HRS'!K102)</f>
        <v>0</v>
      </c>
      <c r="L102" s="49">
        <f>AVERAGE('18.10 MASAKA-SEMBABULA-24HRS'!L102,'19.10 MASAKA-SEMBABULE-24HRS'!L102)</f>
        <v>0</v>
      </c>
      <c r="M102" s="49">
        <f>AVERAGE('18.10 MASAKA-SEMBABULA-24HRS'!M102,'19.10 MASAKA-SEMBABULE-24HRS'!M102)</f>
        <v>2</v>
      </c>
      <c r="N102" s="49">
        <f>AVERAGE('18.10 MASAKA-SEMBABULA-24HRS'!N102,'19.10 MASAKA-SEMBABULE-24HRS'!N102)</f>
        <v>0</v>
      </c>
      <c r="O102" s="15">
        <f t="shared" si="35"/>
        <v>1</v>
      </c>
      <c r="P102" s="15">
        <f t="shared" si="36"/>
        <v>3</v>
      </c>
      <c r="R102" s="8"/>
      <c r="T102"/>
    </row>
    <row r="103" spans="2:20" ht="23.1" customHeight="1" x14ac:dyDescent="0.25">
      <c r="B103" s="23" t="s">
        <v>143</v>
      </c>
      <c r="C103" s="49">
        <f>AVERAGE('18.10 MASAKA-SEMBABULA-24HRS'!C103,'19.10 MASAKA-SEMBABULE-24HRS'!C103)</f>
        <v>1.5</v>
      </c>
      <c r="D103" s="49">
        <f>AVERAGE('18.10 MASAKA-SEMBABULA-24HRS'!D103,'19.10 MASAKA-SEMBABULE-24HRS'!D103)</f>
        <v>0.5</v>
      </c>
      <c r="E103" s="49">
        <f>AVERAGE('18.10 MASAKA-SEMBABULA-24HRS'!E103,'19.10 MASAKA-SEMBABULE-24HRS'!E103)</f>
        <v>0.5</v>
      </c>
      <c r="F103" s="49">
        <f>AVERAGE('18.10 MASAKA-SEMBABULA-24HRS'!F103,'19.10 MASAKA-SEMBABULE-24HRS'!F103)</f>
        <v>0</v>
      </c>
      <c r="G103" s="49">
        <f>AVERAGE('18.10 MASAKA-SEMBABULA-24HRS'!G103,'19.10 MASAKA-SEMBABULE-24HRS'!G103)</f>
        <v>0</v>
      </c>
      <c r="H103" s="49">
        <f>AVERAGE('18.10 MASAKA-SEMBABULA-24HRS'!H103,'19.10 MASAKA-SEMBABULE-24HRS'!H103)</f>
        <v>0</v>
      </c>
      <c r="I103" s="49">
        <f>AVERAGE('18.10 MASAKA-SEMBABULA-24HRS'!I103,'19.10 MASAKA-SEMBABULE-24HRS'!I103)</f>
        <v>0.5</v>
      </c>
      <c r="J103" s="49">
        <f>AVERAGE('18.10 MASAKA-SEMBABULA-24HRS'!J103,'19.10 MASAKA-SEMBABULE-24HRS'!J103)</f>
        <v>1.5</v>
      </c>
      <c r="K103" s="49">
        <f>AVERAGE('18.10 MASAKA-SEMBABULA-24HRS'!K103,'19.10 MASAKA-SEMBABULE-24HRS'!K103)</f>
        <v>0</v>
      </c>
      <c r="L103" s="49">
        <f>AVERAGE('18.10 MASAKA-SEMBABULA-24HRS'!L103,'19.10 MASAKA-SEMBABULE-24HRS'!L103)</f>
        <v>0</v>
      </c>
      <c r="M103" s="49">
        <f>AVERAGE('18.10 MASAKA-SEMBABULA-24HRS'!M103,'19.10 MASAKA-SEMBABULE-24HRS'!M103)</f>
        <v>2.5</v>
      </c>
      <c r="N103" s="49">
        <f>AVERAGE('18.10 MASAKA-SEMBABULA-24HRS'!N103,'19.10 MASAKA-SEMBABULE-24HRS'!N103)</f>
        <v>0</v>
      </c>
      <c r="O103" s="15">
        <f t="shared" si="35"/>
        <v>4.5</v>
      </c>
      <c r="P103" s="15">
        <f t="shared" si="36"/>
        <v>7</v>
      </c>
      <c r="R103" s="8"/>
      <c r="T103"/>
    </row>
    <row r="104" spans="2:20" ht="23.1" customHeight="1" x14ac:dyDescent="0.25">
      <c r="B104" s="25" t="s">
        <v>144</v>
      </c>
      <c r="C104" s="49">
        <f>AVERAGE('18.10 MASAKA-SEMBABULA-24HRS'!C104,'19.10 MASAKA-SEMBABULE-24HRS'!C104)</f>
        <v>0</v>
      </c>
      <c r="D104" s="49">
        <f>AVERAGE('18.10 MASAKA-SEMBABULA-24HRS'!D104,'19.10 MASAKA-SEMBABULE-24HRS'!D104)</f>
        <v>1</v>
      </c>
      <c r="E104" s="49">
        <f>AVERAGE('18.10 MASAKA-SEMBABULA-24HRS'!E104,'19.10 MASAKA-SEMBABULE-24HRS'!E104)</f>
        <v>0.5</v>
      </c>
      <c r="F104" s="49">
        <f>AVERAGE('18.10 MASAKA-SEMBABULA-24HRS'!F104,'19.10 MASAKA-SEMBABULE-24HRS'!F104)</f>
        <v>0.5</v>
      </c>
      <c r="G104" s="49">
        <f>AVERAGE('18.10 MASAKA-SEMBABULA-24HRS'!G104,'19.10 MASAKA-SEMBABULE-24HRS'!G104)</f>
        <v>0</v>
      </c>
      <c r="H104" s="49">
        <f>AVERAGE('18.10 MASAKA-SEMBABULA-24HRS'!H104,'19.10 MASAKA-SEMBABULE-24HRS'!H104)</f>
        <v>0</v>
      </c>
      <c r="I104" s="49">
        <f>AVERAGE('18.10 MASAKA-SEMBABULA-24HRS'!I104,'19.10 MASAKA-SEMBABULE-24HRS'!I104)</f>
        <v>0</v>
      </c>
      <c r="J104" s="49">
        <f>AVERAGE('18.10 MASAKA-SEMBABULA-24HRS'!J104,'19.10 MASAKA-SEMBABULE-24HRS'!J104)</f>
        <v>0</v>
      </c>
      <c r="K104" s="49">
        <f>AVERAGE('18.10 MASAKA-SEMBABULA-24HRS'!K104,'19.10 MASAKA-SEMBABULE-24HRS'!K104)</f>
        <v>0</v>
      </c>
      <c r="L104" s="49">
        <f>AVERAGE('18.10 MASAKA-SEMBABULA-24HRS'!L104,'19.10 MASAKA-SEMBABULE-24HRS'!L104)</f>
        <v>0</v>
      </c>
      <c r="M104" s="49">
        <f>AVERAGE('18.10 MASAKA-SEMBABULA-24HRS'!M104,'19.10 MASAKA-SEMBABULE-24HRS'!M104)</f>
        <v>5.5</v>
      </c>
      <c r="N104" s="49">
        <f>AVERAGE('18.10 MASAKA-SEMBABULA-24HRS'!N104,'19.10 MASAKA-SEMBABULE-24HRS'!N104)</f>
        <v>0</v>
      </c>
      <c r="O104" s="15">
        <f t="shared" si="35"/>
        <v>2</v>
      </c>
      <c r="P104" s="15">
        <f t="shared" si="36"/>
        <v>7.5</v>
      </c>
      <c r="R104" s="8"/>
      <c r="T104"/>
    </row>
    <row r="105" spans="2:20" ht="23.1" customHeight="1" x14ac:dyDescent="0.25">
      <c r="B105" s="23" t="s">
        <v>145</v>
      </c>
      <c r="C105" s="49">
        <f>AVERAGE('18.10 MASAKA-SEMBABULA-24HRS'!C105,'19.10 MASAKA-SEMBABULE-24HRS'!C105)</f>
        <v>2.5</v>
      </c>
      <c r="D105" s="49">
        <f>AVERAGE('18.10 MASAKA-SEMBABULA-24HRS'!D105,'19.10 MASAKA-SEMBABULE-24HRS'!D105)</f>
        <v>0</v>
      </c>
      <c r="E105" s="49">
        <f>AVERAGE('18.10 MASAKA-SEMBABULA-24HRS'!E105,'19.10 MASAKA-SEMBABULE-24HRS'!E105)</f>
        <v>0</v>
      </c>
      <c r="F105" s="49">
        <f>AVERAGE('18.10 MASAKA-SEMBABULA-24HRS'!F105,'19.10 MASAKA-SEMBABULE-24HRS'!F105)</f>
        <v>0</v>
      </c>
      <c r="G105" s="49">
        <f>AVERAGE('18.10 MASAKA-SEMBABULA-24HRS'!G105,'19.10 MASAKA-SEMBABULE-24HRS'!G105)</f>
        <v>0</v>
      </c>
      <c r="H105" s="49">
        <f>AVERAGE('18.10 MASAKA-SEMBABULA-24HRS'!H105,'19.10 MASAKA-SEMBABULE-24HRS'!H105)</f>
        <v>0</v>
      </c>
      <c r="I105" s="49">
        <f>AVERAGE('18.10 MASAKA-SEMBABULA-24HRS'!I105,'19.10 MASAKA-SEMBABULE-24HRS'!I105)</f>
        <v>0</v>
      </c>
      <c r="J105" s="49">
        <f>AVERAGE('18.10 MASAKA-SEMBABULA-24HRS'!J105,'19.10 MASAKA-SEMBABULE-24HRS'!J105)</f>
        <v>0</v>
      </c>
      <c r="K105" s="49">
        <f>AVERAGE('18.10 MASAKA-SEMBABULA-24HRS'!K105,'19.10 MASAKA-SEMBABULE-24HRS'!K105)</f>
        <v>0</v>
      </c>
      <c r="L105" s="49">
        <f>AVERAGE('18.10 MASAKA-SEMBABULA-24HRS'!L105,'19.10 MASAKA-SEMBABULE-24HRS'!L105)</f>
        <v>0</v>
      </c>
      <c r="M105" s="49">
        <f>AVERAGE('18.10 MASAKA-SEMBABULA-24HRS'!M105,'19.10 MASAKA-SEMBABULE-24HRS'!M105)</f>
        <v>5</v>
      </c>
      <c r="N105" s="49">
        <f>AVERAGE('18.10 MASAKA-SEMBABULA-24HRS'!N105,'19.10 MASAKA-SEMBABULE-24HRS'!N105)</f>
        <v>0</v>
      </c>
      <c r="O105" s="15">
        <f t="shared" si="35"/>
        <v>2.5</v>
      </c>
      <c r="P105" s="15">
        <f t="shared" si="36"/>
        <v>7.5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147.14285714285717</v>
      </c>
      <c r="D106" s="16">
        <f t="shared" ref="D106:P106" si="37">SUM(D10:D105)</f>
        <v>22.928571428571431</v>
      </c>
      <c r="E106" s="16">
        <f t="shared" si="37"/>
        <v>39.428571428571431</v>
      </c>
      <c r="F106" s="16">
        <f t="shared" si="37"/>
        <v>44.785714285714292</v>
      </c>
      <c r="G106" s="16">
        <f t="shared" si="37"/>
        <v>2.8571428571428568</v>
      </c>
      <c r="H106" s="16">
        <f t="shared" si="37"/>
        <v>1.4285714285714286</v>
      </c>
      <c r="I106" s="16">
        <f t="shared" si="37"/>
        <v>70.357142857142861</v>
      </c>
      <c r="J106" s="16">
        <f t="shared" si="37"/>
        <v>51</v>
      </c>
      <c r="K106" s="16">
        <f t="shared" si="37"/>
        <v>16.785714285714285</v>
      </c>
      <c r="L106" s="16">
        <f t="shared" si="37"/>
        <v>1.0714285714285714</v>
      </c>
      <c r="M106" s="16">
        <f t="shared" si="37"/>
        <v>436.78571428571422</v>
      </c>
      <c r="N106" s="16">
        <f t="shared" si="37"/>
        <v>0.42857142857142855</v>
      </c>
      <c r="O106" s="16">
        <f t="shared" si="37"/>
        <v>398.21428571428572</v>
      </c>
      <c r="P106" s="16">
        <f t="shared" si="37"/>
        <v>835.00000000000011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0.17621899059024809</v>
      </c>
      <c r="D107" s="43">
        <f t="shared" si="38"/>
        <v>2.7459366980325063E-2</v>
      </c>
      <c r="E107" s="43">
        <f t="shared" si="38"/>
        <v>4.7219846022241226E-2</v>
      </c>
      <c r="F107" s="43">
        <f t="shared" si="38"/>
        <v>5.3635585970915313E-2</v>
      </c>
      <c r="G107" s="43">
        <f t="shared" si="38"/>
        <v>3.4217279726261752E-3</v>
      </c>
      <c r="H107" s="43">
        <f t="shared" si="38"/>
        <v>1.7108639863130878E-3</v>
      </c>
      <c r="I107" s="43">
        <f t="shared" si="38"/>
        <v>8.4260051325919585E-2</v>
      </c>
      <c r="J107" s="43">
        <f t="shared" si="38"/>
        <v>6.1077844311377236E-2</v>
      </c>
      <c r="K107" s="43">
        <f t="shared" si="38"/>
        <v>2.0102651839178781E-2</v>
      </c>
      <c r="L107" s="43">
        <f t="shared" si="38"/>
        <v>1.2831479897348159E-3</v>
      </c>
      <c r="M107" s="43">
        <f t="shared" si="38"/>
        <v>0.52309666381522657</v>
      </c>
      <c r="N107" s="43">
        <f t="shared" si="38"/>
        <v>5.1325919589392636E-4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0.36950672645739918</v>
      </c>
      <c r="D108" s="44">
        <f t="shared" ref="D108:N108" si="39">D106/$O$106</f>
        <v>5.7578475336322876E-2</v>
      </c>
      <c r="E108" s="44">
        <f t="shared" si="39"/>
        <v>9.9013452914798211E-2</v>
      </c>
      <c r="F108" s="44">
        <f t="shared" si="39"/>
        <v>0.1124663677130045</v>
      </c>
      <c r="G108" s="44">
        <f t="shared" si="39"/>
        <v>7.1748878923766808E-3</v>
      </c>
      <c r="H108" s="44">
        <f t="shared" si="39"/>
        <v>3.5874439461883408E-3</v>
      </c>
      <c r="I108" s="44">
        <f t="shared" si="39"/>
        <v>0.17668161434977578</v>
      </c>
      <c r="J108" s="44">
        <f t="shared" si="39"/>
        <v>0.12807174887892375</v>
      </c>
      <c r="K108" s="44">
        <f t="shared" si="39"/>
        <v>4.2152466367712998E-2</v>
      </c>
      <c r="L108" s="44">
        <f t="shared" si="39"/>
        <v>2.6905829596412553E-3</v>
      </c>
      <c r="M108" s="44"/>
      <c r="N108" s="44">
        <f t="shared" si="39"/>
        <v>1.0762331838565021E-3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O88" zoomScale="60" workbookViewId="0">
      <selection activeCell="AD53" sqref="AD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3" t="str">
        <f>'23.10 SEMBABULE-MASAKA'!C3:G3</f>
        <v>VIRA MARIA ROAD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1" t="s">
        <v>163</v>
      </c>
      <c r="E5" s="72"/>
      <c r="F5" s="41" t="s">
        <v>1</v>
      </c>
      <c r="G5" s="69" t="str">
        <f>'23.10 SEMBABULE-MASAKA'!G5:H5</f>
        <v>KIWUULA TC</v>
      </c>
      <c r="H5" s="70"/>
      <c r="I5" s="14"/>
      <c r="J5" s="2" t="s">
        <v>5</v>
      </c>
      <c r="K5" s="69" t="s">
        <v>184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'23.10 SEMBABULE-MASAKA'!D6:E6</f>
        <v>SEMBABULE</v>
      </c>
      <c r="E6" s="70"/>
      <c r="F6" s="2" t="s">
        <v>2</v>
      </c>
      <c r="G6" s="69" t="str">
        <f>'23.10 SEMBABULE-MASAKA'!G6:H6</f>
        <v>MASAKA</v>
      </c>
      <c r="H6" s="70"/>
      <c r="J6" s="2" t="s">
        <v>21</v>
      </c>
      <c r="K6" s="69" t="str">
        <f>'23.10 SEMBABULE-MASAKA'!K6:L6</f>
        <v>GEORGE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SEMBABULE-MASAKA'!C10,'18.10 SEMBABULE-MASAKA-24 HRS'!C10,'19.10 SEMBABULE MASAKA-24HRS'!C10,'20.10 SEMBABULE-MASAKA'!C10,'21.10 SEMBABULE-MASAKA'!C10,'22.10 SEMBABULE-MASAKA'!C10,'23.10 SEMBABULE-MASAKA'!C10)</f>
        <v>1.8571428571428572</v>
      </c>
      <c r="D10" s="49">
        <f>AVERAGE('17.10 SEMBABULE-MASAKA'!D10,'18.10 SEMBABULE-MASAKA-24 HRS'!D10,'19.10 SEMBABULE MASAKA-24HRS'!D10,'20.10 SEMBABULE-MASAKA'!D10,'21.10 SEMBABULE-MASAKA'!D10,'22.10 SEMBABULE-MASAKA'!D10,'23.10 SEMBABULE-MASAKA'!D10)</f>
        <v>0</v>
      </c>
      <c r="E10" s="49">
        <f>AVERAGE('17.10 SEMBABULE-MASAKA'!E10,'18.10 SEMBABULE-MASAKA-24 HRS'!E10,'19.10 SEMBABULE MASAKA-24HRS'!E10,'20.10 SEMBABULE-MASAKA'!E10,'21.10 SEMBABULE-MASAKA'!E10,'22.10 SEMBABULE-MASAKA'!E10,'23.10 SEMBABULE-MASAKA'!E10)</f>
        <v>0</v>
      </c>
      <c r="F10" s="49">
        <f>AVERAGE('17.10 SEMBABULE-MASAKA'!F10,'18.10 SEMBABULE-MASAKA-24 HRS'!F10,'19.10 SEMBABULE MASAKA-24HRS'!F10,'20.10 SEMBABULE-MASAKA'!F10,'21.10 SEMBABULE-MASAKA'!F10,'22.10 SEMBABULE-MASAKA'!F10,'23.10 SEMBABULE-MASAKA'!F10)</f>
        <v>1.1428571428571428</v>
      </c>
      <c r="G10" s="49">
        <f>AVERAGE('17.10 SEMBABULE-MASAKA'!G10,'18.10 SEMBABULE-MASAKA-24 HRS'!G10,'19.10 SEMBABULE MASAKA-24HRS'!G10,'20.10 SEMBABULE-MASAKA'!G10,'21.10 SEMBABULE-MASAKA'!G10,'22.10 SEMBABULE-MASAKA'!G10,'23.10 SEMBABULE-MASAKA'!G10)</f>
        <v>0.14285714285714285</v>
      </c>
      <c r="H10" s="49">
        <f>AVERAGE('17.10 SEMBABULE-MASAKA'!H10,'18.10 SEMBABULE-MASAKA-24 HRS'!H10,'19.10 SEMBABULE MASAKA-24HRS'!H10,'20.10 SEMBABULE-MASAKA'!H10,'21.10 SEMBABULE-MASAKA'!H10,'22.10 SEMBABULE-MASAKA'!H10,'23.10 SEMBABULE-MASAKA'!H10)</f>
        <v>0.14285714285714285</v>
      </c>
      <c r="I10" s="49">
        <f>AVERAGE('17.10 SEMBABULE-MASAKA'!I10,'18.10 SEMBABULE-MASAKA-24 HRS'!I10,'19.10 SEMBABULE MASAKA-24HRS'!I10,'20.10 SEMBABULE-MASAKA'!I10,'21.10 SEMBABULE-MASAKA'!I10,'22.10 SEMBABULE-MASAKA'!I10,'23.10 SEMBABULE-MASAKA'!I10)</f>
        <v>0.14285714285714285</v>
      </c>
      <c r="J10" s="49">
        <f>AVERAGE('17.10 SEMBABULE-MASAKA'!J10,'18.10 SEMBABULE-MASAKA-24 HRS'!J10,'19.10 SEMBABULE MASAKA-24HRS'!J10,'20.10 SEMBABULE-MASAKA'!J10,'21.10 SEMBABULE-MASAKA'!J10,'22.10 SEMBABULE-MASAKA'!J10,'23.10 SEMBABULE-MASAKA'!J10)</f>
        <v>0.2857142857142857</v>
      </c>
      <c r="K10" s="49">
        <f>AVERAGE('17.10 SEMBABULE-MASAKA'!K10,'18.10 SEMBABULE-MASAKA-24 HRS'!K10,'19.10 SEMBABULE MASAKA-24HRS'!K10,'20.10 SEMBABULE-MASAKA'!K10,'21.10 SEMBABULE-MASAKA'!K10,'22.10 SEMBABULE-MASAKA'!K10,'23.10 SEMBABULE-MASAKA'!K10)</f>
        <v>0</v>
      </c>
      <c r="L10" s="49">
        <f>AVERAGE('17.10 SEMBABULE-MASAKA'!L10,'18.10 SEMBABULE-MASAKA-24 HRS'!L10,'19.10 SEMBABULE MASAKA-24HRS'!L10,'20.10 SEMBABULE-MASAKA'!L10,'21.10 SEMBABULE-MASAKA'!L10,'22.10 SEMBABULE-MASAKA'!L10,'23.10 SEMBABULE-MASAKA'!L10)</f>
        <v>0</v>
      </c>
      <c r="M10" s="49">
        <f>AVERAGE('17.10 SEMBABULE-MASAKA'!M10,'18.10 SEMBABULE-MASAKA-24 HRS'!M10,'19.10 SEMBABULE MASAKA-24HRS'!M10,'20.10 SEMBABULE-MASAKA'!M10,'21.10 SEMBABULE-MASAKA'!M10,'22.10 SEMBABULE-MASAKA'!M10,'23.10 SEMBABULE-MASAKA'!M10)</f>
        <v>4.5714285714285712</v>
      </c>
      <c r="N10" s="49">
        <f>AVERAGE('17.10 SEMBABULE-MASAKA'!N10,'18.10 SEMBABULE-MASAKA-24 HRS'!N10,'19.10 SEMBABULE MASAKA-24HRS'!N10,'20.10 SEMBABULE-MASAKA'!N10,'21.10 SEMBABULE-MASAKA'!N10,'22.10 SEMBABULE-MASAKA'!N10,'23.10 SEMBABULE-MASAKA'!N10)</f>
        <v>0</v>
      </c>
      <c r="O10" s="15">
        <f t="shared" ref="O10:O73" si="0">SUM(C10:L10,N10)</f>
        <v>3.714285714285714</v>
      </c>
      <c r="P10" s="15">
        <f t="shared" ref="P10:P73" si="1">SUM(C10:N10)</f>
        <v>8.2857142857142847</v>
      </c>
      <c r="R10" s="1" t="s">
        <v>6</v>
      </c>
      <c r="S10" s="17">
        <f t="shared" ref="S10:AF10" si="2">SUM(C10:C13)</f>
        <v>7.8571428571428568</v>
      </c>
      <c r="T10" s="17">
        <f t="shared" si="2"/>
        <v>0.2857142857142857</v>
      </c>
      <c r="U10" s="17">
        <f t="shared" si="2"/>
        <v>1.1428571428571428</v>
      </c>
      <c r="V10" s="17">
        <f t="shared" si="2"/>
        <v>1.8571428571428568</v>
      </c>
      <c r="W10" s="17">
        <f t="shared" si="2"/>
        <v>0.2857142857142857</v>
      </c>
      <c r="X10" s="17">
        <f t="shared" si="2"/>
        <v>0.42857142857142855</v>
      </c>
      <c r="Y10" s="17">
        <f t="shared" si="2"/>
        <v>4.2857142857142856</v>
      </c>
      <c r="Z10" s="17">
        <f t="shared" si="2"/>
        <v>0.85714285714285698</v>
      </c>
      <c r="AA10" s="17">
        <f t="shared" si="2"/>
        <v>0.71428571428571419</v>
      </c>
      <c r="AB10" s="17">
        <f t="shared" si="2"/>
        <v>0</v>
      </c>
      <c r="AC10" s="17">
        <f t="shared" si="2"/>
        <v>16.428571428571427</v>
      </c>
      <c r="AD10" s="17">
        <f t="shared" si="2"/>
        <v>0.14285714285714285</v>
      </c>
      <c r="AE10" s="31">
        <f t="shared" si="2"/>
        <v>17.857142857142858</v>
      </c>
      <c r="AF10" s="31">
        <f t="shared" si="2"/>
        <v>34.285714285714285</v>
      </c>
    </row>
    <row r="11" spans="2:32" s="6" customFormat="1" ht="23.1" customHeight="1" x14ac:dyDescent="0.25">
      <c r="B11" s="23" t="s">
        <v>38</v>
      </c>
      <c r="C11" s="49">
        <f>AVERAGE('17.10 SEMBABULE-MASAKA'!C11,'18.10 SEMBABULE-MASAKA-24 HRS'!C11,'19.10 SEMBABULE MASAKA-24HRS'!C11,'20.10 SEMBABULE-MASAKA'!C11,'21.10 SEMBABULE-MASAKA'!C11,'22.10 SEMBABULE-MASAKA'!C11,'23.10 SEMBABULE-MASAKA'!C11)</f>
        <v>1</v>
      </c>
      <c r="D11" s="49">
        <f>AVERAGE('17.10 SEMBABULE-MASAKA'!D11,'18.10 SEMBABULE-MASAKA-24 HRS'!D11,'19.10 SEMBABULE MASAKA-24HRS'!D11,'20.10 SEMBABULE-MASAKA'!D11,'21.10 SEMBABULE-MASAKA'!D11,'22.10 SEMBABULE-MASAKA'!D11,'23.10 SEMBABULE-MASAKA'!D11)</f>
        <v>0.14285714285714285</v>
      </c>
      <c r="E11" s="49">
        <f>AVERAGE('17.10 SEMBABULE-MASAKA'!E11,'18.10 SEMBABULE-MASAKA-24 HRS'!E11,'19.10 SEMBABULE MASAKA-24HRS'!E11,'20.10 SEMBABULE-MASAKA'!E11,'21.10 SEMBABULE-MASAKA'!E11,'22.10 SEMBABULE-MASAKA'!E11,'23.10 SEMBABULE-MASAKA'!E11)</f>
        <v>0</v>
      </c>
      <c r="F11" s="49">
        <f>AVERAGE('17.10 SEMBABULE-MASAKA'!F11,'18.10 SEMBABULE-MASAKA-24 HRS'!F11,'19.10 SEMBABULE MASAKA-24HRS'!F11,'20.10 SEMBABULE-MASAKA'!F11,'21.10 SEMBABULE-MASAKA'!F11,'22.10 SEMBABULE-MASAKA'!F11,'23.10 SEMBABULE-MASAKA'!F11)</f>
        <v>0.2857142857142857</v>
      </c>
      <c r="G11" s="49">
        <f>AVERAGE('17.10 SEMBABULE-MASAKA'!G11,'18.10 SEMBABULE-MASAKA-24 HRS'!G11,'19.10 SEMBABULE MASAKA-24HRS'!G11,'20.10 SEMBABULE-MASAKA'!G11,'21.10 SEMBABULE-MASAKA'!G11,'22.10 SEMBABULE-MASAKA'!G11,'23.10 SEMBABULE-MASAKA'!G11)</f>
        <v>0</v>
      </c>
      <c r="H11" s="49">
        <f>AVERAGE('17.10 SEMBABULE-MASAKA'!H11,'18.10 SEMBABULE-MASAKA-24 HRS'!H11,'19.10 SEMBABULE MASAKA-24HRS'!H11,'20.10 SEMBABULE-MASAKA'!H11,'21.10 SEMBABULE-MASAKA'!H11,'22.10 SEMBABULE-MASAKA'!H11,'23.10 SEMBABULE-MASAKA'!H11)</f>
        <v>0.2857142857142857</v>
      </c>
      <c r="I11" s="49">
        <f>AVERAGE('17.10 SEMBABULE-MASAKA'!I11,'18.10 SEMBABULE-MASAKA-24 HRS'!I11,'19.10 SEMBABULE MASAKA-24HRS'!I11,'20.10 SEMBABULE-MASAKA'!I11,'21.10 SEMBABULE-MASAKA'!I11,'22.10 SEMBABULE-MASAKA'!I11,'23.10 SEMBABULE-MASAKA'!I11)</f>
        <v>1</v>
      </c>
      <c r="J11" s="49">
        <f>AVERAGE('17.10 SEMBABULE-MASAKA'!J11,'18.10 SEMBABULE-MASAKA-24 HRS'!J11,'19.10 SEMBABULE MASAKA-24HRS'!J11,'20.10 SEMBABULE-MASAKA'!J11,'21.10 SEMBABULE-MASAKA'!J11,'22.10 SEMBABULE-MASAKA'!J11,'23.10 SEMBABULE-MASAKA'!J11)</f>
        <v>0.14285714285714285</v>
      </c>
      <c r="K11" s="49">
        <f>AVERAGE('17.10 SEMBABULE-MASAKA'!K11,'18.10 SEMBABULE-MASAKA-24 HRS'!K11,'19.10 SEMBABULE MASAKA-24HRS'!K11,'20.10 SEMBABULE-MASAKA'!K11,'21.10 SEMBABULE-MASAKA'!K11,'22.10 SEMBABULE-MASAKA'!K11,'23.10 SEMBABULE-MASAKA'!K11)</f>
        <v>0</v>
      </c>
      <c r="L11" s="49">
        <f>AVERAGE('17.10 SEMBABULE-MASAKA'!L11,'18.10 SEMBABULE-MASAKA-24 HRS'!L11,'19.10 SEMBABULE MASAKA-24HRS'!L11,'20.10 SEMBABULE-MASAKA'!L11,'21.10 SEMBABULE-MASAKA'!L11,'22.10 SEMBABULE-MASAKA'!L11,'23.10 SEMBABULE-MASAKA'!L11)</f>
        <v>0</v>
      </c>
      <c r="M11" s="49">
        <f>AVERAGE('17.10 SEMBABULE-MASAKA'!M11,'18.10 SEMBABULE-MASAKA-24 HRS'!M11,'19.10 SEMBABULE MASAKA-24HRS'!M11,'20.10 SEMBABULE-MASAKA'!M11,'21.10 SEMBABULE-MASAKA'!M11,'22.10 SEMBABULE-MASAKA'!M11,'23.10 SEMBABULE-MASAKA'!M11)</f>
        <v>4.4285714285714288</v>
      </c>
      <c r="N11" s="49">
        <f>AVERAGE('17.10 SEMBABULE-MASAKA'!N11,'18.10 SEMBABULE-MASAKA-24 HRS'!N11,'19.10 SEMBABULE MASAKA-24HRS'!N11,'20.10 SEMBABULE-MASAKA'!N11,'21.10 SEMBABULE-MASAKA'!N11,'22.10 SEMBABULE-MASAKA'!N11,'23.10 SEMBABULE-MASAKA'!N11)</f>
        <v>0</v>
      </c>
      <c r="O11" s="15">
        <f t="shared" si="0"/>
        <v>2.8571428571428568</v>
      </c>
      <c r="P11" s="15">
        <f t="shared" si="1"/>
        <v>7.2857142857142856</v>
      </c>
      <c r="R11" s="1" t="s">
        <v>7</v>
      </c>
      <c r="S11" s="17">
        <f t="shared" ref="S11:AF11" si="3">SUM(C14:C17)</f>
        <v>9.2857142857142847</v>
      </c>
      <c r="T11" s="17">
        <f t="shared" si="3"/>
        <v>0.42857142857142855</v>
      </c>
      <c r="U11" s="17">
        <f t="shared" si="3"/>
        <v>3.4285714285714284</v>
      </c>
      <c r="V11" s="17">
        <f t="shared" si="3"/>
        <v>5.7142857142857135</v>
      </c>
      <c r="W11" s="17">
        <f t="shared" si="3"/>
        <v>0</v>
      </c>
      <c r="X11" s="17">
        <f t="shared" si="3"/>
        <v>0</v>
      </c>
      <c r="Y11" s="17">
        <f t="shared" si="3"/>
        <v>5.8571428571428568</v>
      </c>
      <c r="Z11" s="17">
        <f t="shared" si="3"/>
        <v>1.4285714285714284</v>
      </c>
      <c r="AA11" s="17">
        <f t="shared" si="3"/>
        <v>2</v>
      </c>
      <c r="AB11" s="17">
        <f t="shared" si="3"/>
        <v>0</v>
      </c>
      <c r="AC11" s="17">
        <f t="shared" si="3"/>
        <v>19.571428571428573</v>
      </c>
      <c r="AD11" s="17">
        <f t="shared" si="3"/>
        <v>0.14285714285714285</v>
      </c>
      <c r="AE11" s="31">
        <f t="shared" si="3"/>
        <v>28.285714285714285</v>
      </c>
      <c r="AF11" s="31">
        <f t="shared" si="3"/>
        <v>47.857142857142854</v>
      </c>
    </row>
    <row r="12" spans="2:32" ht="23.1" customHeight="1" x14ac:dyDescent="0.25">
      <c r="B12" s="23" t="s">
        <v>39</v>
      </c>
      <c r="C12" s="49">
        <f>AVERAGE('17.10 SEMBABULE-MASAKA'!C12,'18.10 SEMBABULE-MASAKA-24 HRS'!C12,'19.10 SEMBABULE MASAKA-24HRS'!C12,'20.10 SEMBABULE-MASAKA'!C12,'21.10 SEMBABULE-MASAKA'!C12,'22.10 SEMBABULE-MASAKA'!C12,'23.10 SEMBABULE-MASAKA'!C12)</f>
        <v>1.7142857142857142</v>
      </c>
      <c r="D12" s="49">
        <f>AVERAGE('17.10 SEMBABULE-MASAKA'!D12,'18.10 SEMBABULE-MASAKA-24 HRS'!D12,'19.10 SEMBABULE MASAKA-24HRS'!D12,'20.10 SEMBABULE-MASAKA'!D12,'21.10 SEMBABULE-MASAKA'!D12,'22.10 SEMBABULE-MASAKA'!D12,'23.10 SEMBABULE-MASAKA'!D12)</f>
        <v>0</v>
      </c>
      <c r="E12" s="49">
        <f>AVERAGE('17.10 SEMBABULE-MASAKA'!E12,'18.10 SEMBABULE-MASAKA-24 HRS'!E12,'19.10 SEMBABULE MASAKA-24HRS'!E12,'20.10 SEMBABULE-MASAKA'!E12,'21.10 SEMBABULE-MASAKA'!E12,'22.10 SEMBABULE-MASAKA'!E12,'23.10 SEMBABULE-MASAKA'!E12)</f>
        <v>0.2857142857142857</v>
      </c>
      <c r="F12" s="49">
        <f>AVERAGE('17.10 SEMBABULE-MASAKA'!F12,'18.10 SEMBABULE-MASAKA-24 HRS'!F12,'19.10 SEMBABULE MASAKA-24HRS'!F12,'20.10 SEMBABULE-MASAKA'!F12,'21.10 SEMBABULE-MASAKA'!F12,'22.10 SEMBABULE-MASAKA'!F12,'23.10 SEMBABULE-MASAKA'!F12)</f>
        <v>0.2857142857142857</v>
      </c>
      <c r="G12" s="49">
        <f>AVERAGE('17.10 SEMBABULE-MASAKA'!G12,'18.10 SEMBABULE-MASAKA-24 HRS'!G12,'19.10 SEMBABULE MASAKA-24HRS'!G12,'20.10 SEMBABULE-MASAKA'!G12,'21.10 SEMBABULE-MASAKA'!G12,'22.10 SEMBABULE-MASAKA'!G12,'23.10 SEMBABULE-MASAKA'!G12)</f>
        <v>0.14285714285714285</v>
      </c>
      <c r="H12" s="49">
        <f>AVERAGE('17.10 SEMBABULE-MASAKA'!H12,'18.10 SEMBABULE-MASAKA-24 HRS'!H12,'19.10 SEMBABULE MASAKA-24HRS'!H12,'20.10 SEMBABULE-MASAKA'!H12,'21.10 SEMBABULE-MASAKA'!H12,'22.10 SEMBABULE-MASAKA'!H12,'23.10 SEMBABULE-MASAKA'!H12)</f>
        <v>0</v>
      </c>
      <c r="I12" s="49">
        <f>AVERAGE('17.10 SEMBABULE-MASAKA'!I12,'18.10 SEMBABULE-MASAKA-24 HRS'!I12,'19.10 SEMBABULE MASAKA-24HRS'!I12,'20.10 SEMBABULE-MASAKA'!I12,'21.10 SEMBABULE-MASAKA'!I12,'22.10 SEMBABULE-MASAKA'!I12,'23.10 SEMBABULE-MASAKA'!I12)</f>
        <v>1.4285714285714286</v>
      </c>
      <c r="J12" s="49">
        <f>AVERAGE('17.10 SEMBABULE-MASAKA'!J12,'18.10 SEMBABULE-MASAKA-24 HRS'!J12,'19.10 SEMBABULE MASAKA-24HRS'!J12,'20.10 SEMBABULE-MASAKA'!J12,'21.10 SEMBABULE-MASAKA'!J12,'22.10 SEMBABULE-MASAKA'!J12,'23.10 SEMBABULE-MASAKA'!J12)</f>
        <v>0.2857142857142857</v>
      </c>
      <c r="K12" s="49">
        <f>AVERAGE('17.10 SEMBABULE-MASAKA'!K12,'18.10 SEMBABULE-MASAKA-24 HRS'!K12,'19.10 SEMBABULE MASAKA-24HRS'!K12,'20.10 SEMBABULE-MASAKA'!K12,'21.10 SEMBABULE-MASAKA'!K12,'22.10 SEMBABULE-MASAKA'!K12,'23.10 SEMBABULE-MASAKA'!K12)</f>
        <v>0.5714285714285714</v>
      </c>
      <c r="L12" s="49">
        <f>AVERAGE('17.10 SEMBABULE-MASAKA'!L12,'18.10 SEMBABULE-MASAKA-24 HRS'!L12,'19.10 SEMBABULE MASAKA-24HRS'!L12,'20.10 SEMBABULE-MASAKA'!L12,'21.10 SEMBABULE-MASAKA'!L12,'22.10 SEMBABULE-MASAKA'!L12,'23.10 SEMBABULE-MASAKA'!L12)</f>
        <v>0</v>
      </c>
      <c r="M12" s="49">
        <f>AVERAGE('17.10 SEMBABULE-MASAKA'!M12,'18.10 SEMBABULE-MASAKA-24 HRS'!M12,'19.10 SEMBABULE MASAKA-24HRS'!M12,'20.10 SEMBABULE-MASAKA'!M12,'21.10 SEMBABULE-MASAKA'!M12,'22.10 SEMBABULE-MASAKA'!M12,'23.10 SEMBABULE-MASAKA'!M12)</f>
        <v>3.2857142857142856</v>
      </c>
      <c r="N12" s="49">
        <f>AVERAGE('17.10 SEMBABULE-MASAKA'!N12,'18.10 SEMBABULE-MASAKA-24 HRS'!N12,'19.10 SEMBABULE MASAKA-24HRS'!N12,'20.10 SEMBABULE-MASAKA'!N12,'21.10 SEMBABULE-MASAKA'!N12,'22.10 SEMBABULE-MASAKA'!N12,'23.10 SEMBABULE-MASAKA'!N12)</f>
        <v>0</v>
      </c>
      <c r="O12" s="15">
        <f t="shared" si="0"/>
        <v>4.7142857142857135</v>
      </c>
      <c r="P12" s="15">
        <f t="shared" si="1"/>
        <v>7.9999999999999991</v>
      </c>
      <c r="R12" s="1" t="s">
        <v>8</v>
      </c>
      <c r="S12" s="17">
        <f t="shared" ref="S12:AF12" si="4">SUM(C18:C21)</f>
        <v>12</v>
      </c>
      <c r="T12" s="17">
        <f t="shared" si="4"/>
        <v>1.1428571428571428</v>
      </c>
      <c r="U12" s="17">
        <f t="shared" si="4"/>
        <v>1.2857142857142856</v>
      </c>
      <c r="V12" s="17">
        <f t="shared" si="4"/>
        <v>4.1428571428571432</v>
      </c>
      <c r="W12" s="17">
        <f t="shared" si="4"/>
        <v>0</v>
      </c>
      <c r="X12" s="17">
        <f t="shared" si="4"/>
        <v>0</v>
      </c>
      <c r="Y12" s="17">
        <f t="shared" si="4"/>
        <v>3.8571428571428572</v>
      </c>
      <c r="Z12" s="17">
        <f t="shared" si="4"/>
        <v>1.2857142857142856</v>
      </c>
      <c r="AA12" s="17">
        <f t="shared" si="4"/>
        <v>1.2857142857142856</v>
      </c>
      <c r="AB12" s="17">
        <f t="shared" si="4"/>
        <v>0.14285714285714285</v>
      </c>
      <c r="AC12" s="17">
        <f t="shared" si="4"/>
        <v>18.857142857142858</v>
      </c>
      <c r="AD12" s="17">
        <f t="shared" si="4"/>
        <v>0</v>
      </c>
      <c r="AE12" s="31">
        <f t="shared" si="4"/>
        <v>25.142857142857139</v>
      </c>
      <c r="AF12" s="31">
        <f t="shared" si="4"/>
        <v>44</v>
      </c>
    </row>
    <row r="13" spans="2:32" ht="23.1" customHeight="1" x14ac:dyDescent="0.25">
      <c r="B13" s="23" t="s">
        <v>40</v>
      </c>
      <c r="C13" s="49">
        <f>AVERAGE('17.10 SEMBABULE-MASAKA'!C13,'18.10 SEMBABULE-MASAKA-24 HRS'!C13,'19.10 SEMBABULE MASAKA-24HRS'!C13,'20.10 SEMBABULE-MASAKA'!C13,'21.10 SEMBABULE-MASAKA'!C13,'22.10 SEMBABULE-MASAKA'!C13,'23.10 SEMBABULE-MASAKA'!C13)</f>
        <v>3.2857142857142856</v>
      </c>
      <c r="D13" s="49">
        <f>AVERAGE('17.10 SEMBABULE-MASAKA'!D13,'18.10 SEMBABULE-MASAKA-24 HRS'!D13,'19.10 SEMBABULE MASAKA-24HRS'!D13,'20.10 SEMBABULE-MASAKA'!D13,'21.10 SEMBABULE-MASAKA'!D13,'22.10 SEMBABULE-MASAKA'!D13,'23.10 SEMBABULE-MASAKA'!D13)</f>
        <v>0.14285714285714285</v>
      </c>
      <c r="E13" s="49">
        <f>AVERAGE('17.10 SEMBABULE-MASAKA'!E13,'18.10 SEMBABULE-MASAKA-24 HRS'!E13,'19.10 SEMBABULE MASAKA-24HRS'!E13,'20.10 SEMBABULE-MASAKA'!E13,'21.10 SEMBABULE-MASAKA'!E13,'22.10 SEMBABULE-MASAKA'!E13,'23.10 SEMBABULE-MASAKA'!E13)</f>
        <v>0.8571428571428571</v>
      </c>
      <c r="F13" s="49">
        <f>AVERAGE('17.10 SEMBABULE-MASAKA'!F13,'18.10 SEMBABULE-MASAKA-24 HRS'!F13,'19.10 SEMBABULE MASAKA-24HRS'!F13,'20.10 SEMBABULE-MASAKA'!F13,'21.10 SEMBABULE-MASAKA'!F13,'22.10 SEMBABULE-MASAKA'!F13,'23.10 SEMBABULE-MASAKA'!F13)</f>
        <v>0.14285714285714285</v>
      </c>
      <c r="G13" s="49">
        <f>AVERAGE('17.10 SEMBABULE-MASAKA'!G13,'18.10 SEMBABULE-MASAKA-24 HRS'!G13,'19.10 SEMBABULE MASAKA-24HRS'!G13,'20.10 SEMBABULE-MASAKA'!G13,'21.10 SEMBABULE-MASAKA'!G13,'22.10 SEMBABULE-MASAKA'!G13,'23.10 SEMBABULE-MASAKA'!G13)</f>
        <v>0</v>
      </c>
      <c r="H13" s="49">
        <f>AVERAGE('17.10 SEMBABULE-MASAKA'!H13,'18.10 SEMBABULE-MASAKA-24 HRS'!H13,'19.10 SEMBABULE MASAKA-24HRS'!H13,'20.10 SEMBABULE-MASAKA'!H13,'21.10 SEMBABULE-MASAKA'!H13,'22.10 SEMBABULE-MASAKA'!H13,'23.10 SEMBABULE-MASAKA'!H13)</f>
        <v>0</v>
      </c>
      <c r="I13" s="49">
        <f>AVERAGE('17.10 SEMBABULE-MASAKA'!I13,'18.10 SEMBABULE-MASAKA-24 HRS'!I13,'19.10 SEMBABULE MASAKA-24HRS'!I13,'20.10 SEMBABULE-MASAKA'!I13,'21.10 SEMBABULE-MASAKA'!I13,'22.10 SEMBABULE-MASAKA'!I13,'23.10 SEMBABULE-MASAKA'!I13)</f>
        <v>1.7142857142857142</v>
      </c>
      <c r="J13" s="49">
        <f>AVERAGE('17.10 SEMBABULE-MASAKA'!J13,'18.10 SEMBABULE-MASAKA-24 HRS'!J13,'19.10 SEMBABULE MASAKA-24HRS'!J13,'20.10 SEMBABULE-MASAKA'!J13,'21.10 SEMBABULE-MASAKA'!J13,'22.10 SEMBABULE-MASAKA'!J13,'23.10 SEMBABULE-MASAKA'!J13)</f>
        <v>0.14285714285714285</v>
      </c>
      <c r="K13" s="49">
        <f>AVERAGE('17.10 SEMBABULE-MASAKA'!K13,'18.10 SEMBABULE-MASAKA-24 HRS'!K13,'19.10 SEMBABULE MASAKA-24HRS'!K13,'20.10 SEMBABULE-MASAKA'!K13,'21.10 SEMBABULE-MASAKA'!K13,'22.10 SEMBABULE-MASAKA'!K13,'23.10 SEMBABULE-MASAKA'!K13)</f>
        <v>0.14285714285714285</v>
      </c>
      <c r="L13" s="49">
        <f>AVERAGE('17.10 SEMBABULE-MASAKA'!L13,'18.10 SEMBABULE-MASAKA-24 HRS'!L13,'19.10 SEMBABULE MASAKA-24HRS'!L13,'20.10 SEMBABULE-MASAKA'!L13,'21.10 SEMBABULE-MASAKA'!L13,'22.10 SEMBABULE-MASAKA'!L13,'23.10 SEMBABULE-MASAKA'!L13)</f>
        <v>0</v>
      </c>
      <c r="M13" s="49">
        <f>AVERAGE('17.10 SEMBABULE-MASAKA'!M13,'18.10 SEMBABULE-MASAKA-24 HRS'!M13,'19.10 SEMBABULE MASAKA-24HRS'!M13,'20.10 SEMBABULE-MASAKA'!M13,'21.10 SEMBABULE-MASAKA'!M13,'22.10 SEMBABULE-MASAKA'!M13,'23.10 SEMBABULE-MASAKA'!M13)</f>
        <v>4.1428571428571432</v>
      </c>
      <c r="N13" s="49">
        <f>AVERAGE('17.10 SEMBABULE-MASAKA'!N13,'18.10 SEMBABULE-MASAKA-24 HRS'!N13,'19.10 SEMBABULE MASAKA-24HRS'!N13,'20.10 SEMBABULE-MASAKA'!N13,'21.10 SEMBABULE-MASAKA'!N13,'22.10 SEMBABULE-MASAKA'!N13,'23.10 SEMBABULE-MASAKA'!N13)</f>
        <v>0.14285714285714285</v>
      </c>
      <c r="O13" s="15">
        <f t="shared" si="0"/>
        <v>6.571428571428573</v>
      </c>
      <c r="P13" s="15">
        <f t="shared" si="1"/>
        <v>10.714285714285715</v>
      </c>
      <c r="R13" s="1" t="s">
        <v>9</v>
      </c>
      <c r="S13" s="17">
        <f t="shared" ref="S13:AF13" si="5">SUM(C22:C25)</f>
        <v>9.7142857142857135</v>
      </c>
      <c r="T13" s="17">
        <f t="shared" si="5"/>
        <v>1.5714285714285712</v>
      </c>
      <c r="U13" s="17">
        <f t="shared" si="5"/>
        <v>2</v>
      </c>
      <c r="V13" s="17">
        <f t="shared" si="5"/>
        <v>3.5714285714285716</v>
      </c>
      <c r="W13" s="17">
        <f t="shared" si="5"/>
        <v>0</v>
      </c>
      <c r="X13" s="17">
        <f t="shared" si="5"/>
        <v>0</v>
      </c>
      <c r="Y13" s="17">
        <f t="shared" si="5"/>
        <v>4.8571428571428577</v>
      </c>
      <c r="Z13" s="17">
        <f t="shared" si="5"/>
        <v>2.1428571428571428</v>
      </c>
      <c r="AA13" s="17">
        <f t="shared" si="5"/>
        <v>3</v>
      </c>
      <c r="AB13" s="17">
        <f t="shared" si="5"/>
        <v>0</v>
      </c>
      <c r="AC13" s="17">
        <f t="shared" si="5"/>
        <v>24</v>
      </c>
      <c r="AD13" s="17">
        <f t="shared" si="5"/>
        <v>0</v>
      </c>
      <c r="AE13" s="31">
        <f t="shared" si="5"/>
        <v>26.857142857142858</v>
      </c>
      <c r="AF13" s="31">
        <f t="shared" si="5"/>
        <v>50.857142857142854</v>
      </c>
    </row>
    <row r="14" spans="2:32" ht="23.1" customHeight="1" x14ac:dyDescent="0.25">
      <c r="B14" s="23" t="s">
        <v>41</v>
      </c>
      <c r="C14" s="49">
        <f>AVERAGE('17.10 SEMBABULE-MASAKA'!C14,'18.10 SEMBABULE-MASAKA-24 HRS'!C14,'19.10 SEMBABULE MASAKA-24HRS'!C14,'20.10 SEMBABULE-MASAKA'!C14,'21.10 SEMBABULE-MASAKA'!C14,'22.10 SEMBABULE-MASAKA'!C14,'23.10 SEMBABULE-MASAKA'!C14)</f>
        <v>2.1428571428571428</v>
      </c>
      <c r="D14" s="49">
        <f>AVERAGE('17.10 SEMBABULE-MASAKA'!D14,'18.10 SEMBABULE-MASAKA-24 HRS'!D14,'19.10 SEMBABULE MASAKA-24HRS'!D14,'20.10 SEMBABULE-MASAKA'!D14,'21.10 SEMBABULE-MASAKA'!D14,'22.10 SEMBABULE-MASAKA'!D14,'23.10 SEMBABULE-MASAKA'!D14)</f>
        <v>0.14285714285714285</v>
      </c>
      <c r="E14" s="49">
        <f>AVERAGE('17.10 SEMBABULE-MASAKA'!E14,'18.10 SEMBABULE-MASAKA-24 HRS'!E14,'19.10 SEMBABULE MASAKA-24HRS'!E14,'20.10 SEMBABULE-MASAKA'!E14,'21.10 SEMBABULE-MASAKA'!E14,'22.10 SEMBABULE-MASAKA'!E14,'23.10 SEMBABULE-MASAKA'!E14)</f>
        <v>0.42857142857142855</v>
      </c>
      <c r="F14" s="49">
        <f>AVERAGE('17.10 SEMBABULE-MASAKA'!F14,'18.10 SEMBABULE-MASAKA-24 HRS'!F14,'19.10 SEMBABULE MASAKA-24HRS'!F14,'20.10 SEMBABULE-MASAKA'!F14,'21.10 SEMBABULE-MASAKA'!F14,'22.10 SEMBABULE-MASAKA'!F14,'23.10 SEMBABULE-MASAKA'!F14)</f>
        <v>0.7142857142857143</v>
      </c>
      <c r="G14" s="49">
        <f>AVERAGE('17.10 SEMBABULE-MASAKA'!G14,'18.10 SEMBABULE-MASAKA-24 HRS'!G14,'19.10 SEMBABULE MASAKA-24HRS'!G14,'20.10 SEMBABULE-MASAKA'!G14,'21.10 SEMBABULE-MASAKA'!G14,'22.10 SEMBABULE-MASAKA'!G14,'23.10 SEMBABULE-MASAKA'!G14)</f>
        <v>0</v>
      </c>
      <c r="H14" s="49">
        <f>AVERAGE('17.10 SEMBABULE-MASAKA'!H14,'18.10 SEMBABULE-MASAKA-24 HRS'!H14,'19.10 SEMBABULE MASAKA-24HRS'!H14,'20.10 SEMBABULE-MASAKA'!H14,'21.10 SEMBABULE-MASAKA'!H14,'22.10 SEMBABULE-MASAKA'!H14,'23.10 SEMBABULE-MASAKA'!H14)</f>
        <v>0</v>
      </c>
      <c r="I14" s="49">
        <f>AVERAGE('17.10 SEMBABULE-MASAKA'!I14,'18.10 SEMBABULE-MASAKA-24 HRS'!I14,'19.10 SEMBABULE MASAKA-24HRS'!I14,'20.10 SEMBABULE-MASAKA'!I14,'21.10 SEMBABULE-MASAKA'!I14,'22.10 SEMBABULE-MASAKA'!I14,'23.10 SEMBABULE-MASAKA'!I14)</f>
        <v>2.2857142857142856</v>
      </c>
      <c r="J14" s="49">
        <f>AVERAGE('17.10 SEMBABULE-MASAKA'!J14,'18.10 SEMBABULE-MASAKA-24 HRS'!J14,'19.10 SEMBABULE MASAKA-24HRS'!J14,'20.10 SEMBABULE-MASAKA'!J14,'21.10 SEMBABULE-MASAKA'!J14,'22.10 SEMBABULE-MASAKA'!J14,'23.10 SEMBABULE-MASAKA'!J14)</f>
        <v>0.14285714285714285</v>
      </c>
      <c r="K14" s="49">
        <f>AVERAGE('17.10 SEMBABULE-MASAKA'!K14,'18.10 SEMBABULE-MASAKA-24 HRS'!K14,'19.10 SEMBABULE MASAKA-24HRS'!K14,'20.10 SEMBABULE-MASAKA'!K14,'21.10 SEMBABULE-MASAKA'!K14,'22.10 SEMBABULE-MASAKA'!K14,'23.10 SEMBABULE-MASAKA'!K14)</f>
        <v>0.7142857142857143</v>
      </c>
      <c r="L14" s="49">
        <f>AVERAGE('17.10 SEMBABULE-MASAKA'!L14,'18.10 SEMBABULE-MASAKA-24 HRS'!L14,'19.10 SEMBABULE MASAKA-24HRS'!L14,'20.10 SEMBABULE-MASAKA'!L14,'21.10 SEMBABULE-MASAKA'!L14,'22.10 SEMBABULE-MASAKA'!L14,'23.10 SEMBABULE-MASAKA'!L14)</f>
        <v>0</v>
      </c>
      <c r="M14" s="49">
        <f>AVERAGE('17.10 SEMBABULE-MASAKA'!M14,'18.10 SEMBABULE-MASAKA-24 HRS'!M14,'19.10 SEMBABULE MASAKA-24HRS'!M14,'20.10 SEMBABULE-MASAKA'!M14,'21.10 SEMBABULE-MASAKA'!M14,'22.10 SEMBABULE-MASAKA'!M14,'23.10 SEMBABULE-MASAKA'!M14)</f>
        <v>4.4285714285714288</v>
      </c>
      <c r="N14" s="49">
        <f>AVERAGE('17.10 SEMBABULE-MASAKA'!N14,'18.10 SEMBABULE-MASAKA-24 HRS'!N14,'19.10 SEMBABULE MASAKA-24HRS'!N14,'20.10 SEMBABULE-MASAKA'!N14,'21.10 SEMBABULE-MASAKA'!N14,'22.10 SEMBABULE-MASAKA'!N14,'23.10 SEMBABULE-MASAKA'!N14)</f>
        <v>0</v>
      </c>
      <c r="O14" s="15">
        <f t="shared" si="0"/>
        <v>6.5714285714285712</v>
      </c>
      <c r="P14" s="15">
        <f t="shared" si="1"/>
        <v>11</v>
      </c>
      <c r="R14" s="1" t="s">
        <v>10</v>
      </c>
      <c r="S14" s="17">
        <f t="shared" ref="S14:AF14" si="6">SUM(C26:C29)</f>
        <v>11.714285714285715</v>
      </c>
      <c r="T14" s="17">
        <f t="shared" si="6"/>
        <v>1</v>
      </c>
      <c r="U14" s="17">
        <f t="shared" si="6"/>
        <v>2.4285714285714284</v>
      </c>
      <c r="V14" s="17">
        <f t="shared" si="6"/>
        <v>1.1428571428571428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1.7142857142857142</v>
      </c>
      <c r="AA14" s="17">
        <f t="shared" si="6"/>
        <v>0.8571428571428571</v>
      </c>
      <c r="AB14" s="17">
        <f t="shared" si="6"/>
        <v>0.14285714285714285</v>
      </c>
      <c r="AC14" s="17">
        <f t="shared" si="6"/>
        <v>24.142857142857142</v>
      </c>
      <c r="AD14" s="17">
        <f t="shared" si="6"/>
        <v>0</v>
      </c>
      <c r="AE14" s="31">
        <f t="shared" si="6"/>
        <v>22</v>
      </c>
      <c r="AF14" s="31">
        <f t="shared" si="6"/>
        <v>46.142857142857139</v>
      </c>
    </row>
    <row r="15" spans="2:32" ht="23.1" customHeight="1" x14ac:dyDescent="0.25">
      <c r="B15" s="23" t="s">
        <v>42</v>
      </c>
      <c r="C15" s="49">
        <f>AVERAGE('17.10 SEMBABULE-MASAKA'!C15,'18.10 SEMBABULE-MASAKA-24 HRS'!C15,'19.10 SEMBABULE MASAKA-24HRS'!C15,'20.10 SEMBABULE-MASAKA'!C15,'21.10 SEMBABULE-MASAKA'!C15,'22.10 SEMBABULE-MASAKA'!C15,'23.10 SEMBABULE-MASAKA'!C15)</f>
        <v>2.4285714285714284</v>
      </c>
      <c r="D15" s="49">
        <f>AVERAGE('17.10 SEMBABULE-MASAKA'!D15,'18.10 SEMBABULE-MASAKA-24 HRS'!D15,'19.10 SEMBABULE MASAKA-24HRS'!D15,'20.10 SEMBABULE-MASAKA'!D15,'21.10 SEMBABULE-MASAKA'!D15,'22.10 SEMBABULE-MASAKA'!D15,'23.10 SEMBABULE-MASAKA'!D15)</f>
        <v>0.14285714285714285</v>
      </c>
      <c r="E15" s="49">
        <f>AVERAGE('17.10 SEMBABULE-MASAKA'!E15,'18.10 SEMBABULE-MASAKA-24 HRS'!E15,'19.10 SEMBABULE MASAKA-24HRS'!E15,'20.10 SEMBABULE-MASAKA'!E15,'21.10 SEMBABULE-MASAKA'!E15,'22.10 SEMBABULE-MASAKA'!E15,'23.10 SEMBABULE-MASAKA'!E15)</f>
        <v>1.5714285714285714</v>
      </c>
      <c r="F15" s="49">
        <f>AVERAGE('17.10 SEMBABULE-MASAKA'!F15,'18.10 SEMBABULE-MASAKA-24 HRS'!F15,'19.10 SEMBABULE MASAKA-24HRS'!F15,'20.10 SEMBABULE-MASAKA'!F15,'21.10 SEMBABULE-MASAKA'!F15,'22.10 SEMBABULE-MASAKA'!F15,'23.10 SEMBABULE-MASAKA'!F15)</f>
        <v>1.2857142857142858</v>
      </c>
      <c r="G15" s="49">
        <f>AVERAGE('17.10 SEMBABULE-MASAKA'!G15,'18.10 SEMBABULE-MASAKA-24 HRS'!G15,'19.10 SEMBABULE MASAKA-24HRS'!G15,'20.10 SEMBABULE-MASAKA'!G15,'21.10 SEMBABULE-MASAKA'!G15,'22.10 SEMBABULE-MASAKA'!G15,'23.10 SEMBABULE-MASAKA'!G15)</f>
        <v>0</v>
      </c>
      <c r="H15" s="49">
        <f>AVERAGE('17.10 SEMBABULE-MASAKA'!H15,'18.10 SEMBABULE-MASAKA-24 HRS'!H15,'19.10 SEMBABULE MASAKA-24HRS'!H15,'20.10 SEMBABULE-MASAKA'!H15,'21.10 SEMBABULE-MASAKA'!H15,'22.10 SEMBABULE-MASAKA'!H15,'23.10 SEMBABULE-MASAKA'!H15)</f>
        <v>0</v>
      </c>
      <c r="I15" s="49">
        <f>AVERAGE('17.10 SEMBABULE-MASAKA'!I15,'18.10 SEMBABULE-MASAKA-24 HRS'!I15,'19.10 SEMBABULE MASAKA-24HRS'!I15,'20.10 SEMBABULE-MASAKA'!I15,'21.10 SEMBABULE-MASAKA'!I15,'22.10 SEMBABULE-MASAKA'!I15,'23.10 SEMBABULE-MASAKA'!I15)</f>
        <v>1.7142857142857142</v>
      </c>
      <c r="J15" s="49">
        <f>AVERAGE('17.10 SEMBABULE-MASAKA'!J15,'18.10 SEMBABULE-MASAKA-24 HRS'!J15,'19.10 SEMBABULE MASAKA-24HRS'!J15,'20.10 SEMBABULE-MASAKA'!J15,'21.10 SEMBABULE-MASAKA'!J15,'22.10 SEMBABULE-MASAKA'!J15,'23.10 SEMBABULE-MASAKA'!J15)</f>
        <v>0.42857142857142855</v>
      </c>
      <c r="K15" s="49">
        <f>AVERAGE('17.10 SEMBABULE-MASAKA'!K15,'18.10 SEMBABULE-MASAKA-24 HRS'!K15,'19.10 SEMBABULE MASAKA-24HRS'!K15,'20.10 SEMBABULE-MASAKA'!K15,'21.10 SEMBABULE-MASAKA'!K15,'22.10 SEMBABULE-MASAKA'!K15,'23.10 SEMBABULE-MASAKA'!K15)</f>
        <v>0.7142857142857143</v>
      </c>
      <c r="L15" s="49">
        <f>AVERAGE('17.10 SEMBABULE-MASAKA'!L15,'18.10 SEMBABULE-MASAKA-24 HRS'!L15,'19.10 SEMBABULE MASAKA-24HRS'!L15,'20.10 SEMBABULE-MASAKA'!L15,'21.10 SEMBABULE-MASAKA'!L15,'22.10 SEMBABULE-MASAKA'!L15,'23.10 SEMBABULE-MASAKA'!L15)</f>
        <v>0</v>
      </c>
      <c r="M15" s="49">
        <f>AVERAGE('17.10 SEMBABULE-MASAKA'!M15,'18.10 SEMBABULE-MASAKA-24 HRS'!M15,'19.10 SEMBABULE MASAKA-24HRS'!M15,'20.10 SEMBABULE-MASAKA'!M15,'21.10 SEMBABULE-MASAKA'!M15,'22.10 SEMBABULE-MASAKA'!M15,'23.10 SEMBABULE-MASAKA'!M15)</f>
        <v>4.2857142857142856</v>
      </c>
      <c r="N15" s="49">
        <f>AVERAGE('17.10 SEMBABULE-MASAKA'!N15,'18.10 SEMBABULE-MASAKA-24 HRS'!N15,'19.10 SEMBABULE MASAKA-24HRS'!N15,'20.10 SEMBABULE-MASAKA'!N15,'21.10 SEMBABULE-MASAKA'!N15,'22.10 SEMBABULE-MASAKA'!N15,'23.10 SEMBABULE-MASAKA'!N15)</f>
        <v>0.14285714285714285</v>
      </c>
      <c r="O15" s="15">
        <f t="shared" si="0"/>
        <v>8.428571428571427</v>
      </c>
      <c r="P15" s="15">
        <f t="shared" si="1"/>
        <v>12.714285714285712</v>
      </c>
      <c r="R15" s="1" t="s">
        <v>11</v>
      </c>
      <c r="S15" s="17">
        <f t="shared" ref="S15:AF15" si="7">SUM(C30:C33)</f>
        <v>10.285714285714286</v>
      </c>
      <c r="T15" s="17">
        <f t="shared" si="7"/>
        <v>1</v>
      </c>
      <c r="U15" s="17">
        <f t="shared" si="7"/>
        <v>2.8571428571428572</v>
      </c>
      <c r="V15" s="17">
        <f t="shared" si="7"/>
        <v>1.4285714285714284</v>
      </c>
      <c r="W15" s="17">
        <f t="shared" si="7"/>
        <v>0.14285714285714285</v>
      </c>
      <c r="X15" s="17">
        <f t="shared" si="7"/>
        <v>0</v>
      </c>
      <c r="Y15" s="17">
        <f t="shared" si="7"/>
        <v>3</v>
      </c>
      <c r="Z15" s="17">
        <f t="shared" si="7"/>
        <v>1.8571428571428572</v>
      </c>
      <c r="AA15" s="17">
        <f t="shared" si="7"/>
        <v>1.7142857142857142</v>
      </c>
      <c r="AB15" s="17">
        <f t="shared" si="7"/>
        <v>0</v>
      </c>
      <c r="AC15" s="17">
        <f t="shared" si="7"/>
        <v>24</v>
      </c>
      <c r="AD15" s="17">
        <f t="shared" si="7"/>
        <v>0</v>
      </c>
      <c r="AE15" s="31">
        <f t="shared" si="7"/>
        <v>22.285714285714285</v>
      </c>
      <c r="AF15" s="31">
        <f t="shared" si="7"/>
        <v>46.285714285714278</v>
      </c>
    </row>
    <row r="16" spans="2:32" ht="23.1" customHeight="1" x14ac:dyDescent="0.25">
      <c r="B16" s="23" t="s">
        <v>43</v>
      </c>
      <c r="C16" s="49">
        <f>AVERAGE('17.10 SEMBABULE-MASAKA'!C16,'18.10 SEMBABULE-MASAKA-24 HRS'!C16,'19.10 SEMBABULE MASAKA-24HRS'!C16,'20.10 SEMBABULE-MASAKA'!C16,'21.10 SEMBABULE-MASAKA'!C16,'22.10 SEMBABULE-MASAKA'!C16,'23.10 SEMBABULE-MASAKA'!C16)</f>
        <v>1.4285714285714286</v>
      </c>
      <c r="D16" s="49">
        <f>AVERAGE('17.10 SEMBABULE-MASAKA'!D16,'18.10 SEMBABULE-MASAKA-24 HRS'!D16,'19.10 SEMBABULE MASAKA-24HRS'!D16,'20.10 SEMBABULE-MASAKA'!D16,'21.10 SEMBABULE-MASAKA'!D16,'22.10 SEMBABULE-MASAKA'!D16,'23.10 SEMBABULE-MASAKA'!D16)</f>
        <v>0</v>
      </c>
      <c r="E16" s="49">
        <f>AVERAGE('17.10 SEMBABULE-MASAKA'!E16,'18.10 SEMBABULE-MASAKA-24 HRS'!E16,'19.10 SEMBABULE MASAKA-24HRS'!E16,'20.10 SEMBABULE-MASAKA'!E16,'21.10 SEMBABULE-MASAKA'!E16,'22.10 SEMBABULE-MASAKA'!E16,'23.10 SEMBABULE-MASAKA'!E16)</f>
        <v>1.2857142857142858</v>
      </c>
      <c r="F16" s="49">
        <f>AVERAGE('17.10 SEMBABULE-MASAKA'!F16,'18.10 SEMBABULE-MASAKA-24 HRS'!F16,'19.10 SEMBABULE MASAKA-24HRS'!F16,'20.10 SEMBABULE-MASAKA'!F16,'21.10 SEMBABULE-MASAKA'!F16,'22.10 SEMBABULE-MASAKA'!F16,'23.10 SEMBABULE-MASAKA'!F16)</f>
        <v>2.1428571428571428</v>
      </c>
      <c r="G16" s="49">
        <f>AVERAGE('17.10 SEMBABULE-MASAKA'!G16,'18.10 SEMBABULE-MASAKA-24 HRS'!G16,'19.10 SEMBABULE MASAKA-24HRS'!G16,'20.10 SEMBABULE-MASAKA'!G16,'21.10 SEMBABULE-MASAKA'!G16,'22.10 SEMBABULE-MASAKA'!G16,'23.10 SEMBABULE-MASAKA'!G16)</f>
        <v>0</v>
      </c>
      <c r="H16" s="49">
        <f>AVERAGE('17.10 SEMBABULE-MASAKA'!H16,'18.10 SEMBABULE-MASAKA-24 HRS'!H16,'19.10 SEMBABULE MASAKA-24HRS'!H16,'20.10 SEMBABULE-MASAKA'!H16,'21.10 SEMBABULE-MASAKA'!H16,'22.10 SEMBABULE-MASAKA'!H16,'23.10 SEMBABULE-MASAKA'!H16)</f>
        <v>0</v>
      </c>
      <c r="I16" s="49">
        <f>AVERAGE('17.10 SEMBABULE-MASAKA'!I16,'18.10 SEMBABULE-MASAKA-24 HRS'!I16,'19.10 SEMBABULE MASAKA-24HRS'!I16,'20.10 SEMBABULE-MASAKA'!I16,'21.10 SEMBABULE-MASAKA'!I16,'22.10 SEMBABULE-MASAKA'!I16,'23.10 SEMBABULE-MASAKA'!I16)</f>
        <v>0.8571428571428571</v>
      </c>
      <c r="J16" s="49">
        <f>AVERAGE('17.10 SEMBABULE-MASAKA'!J16,'18.10 SEMBABULE-MASAKA-24 HRS'!J16,'19.10 SEMBABULE MASAKA-24HRS'!J16,'20.10 SEMBABULE-MASAKA'!J16,'21.10 SEMBABULE-MASAKA'!J16,'22.10 SEMBABULE-MASAKA'!J16,'23.10 SEMBABULE-MASAKA'!J16)</f>
        <v>0.7142857142857143</v>
      </c>
      <c r="K16" s="49">
        <f>AVERAGE('17.10 SEMBABULE-MASAKA'!K16,'18.10 SEMBABULE-MASAKA-24 HRS'!K16,'19.10 SEMBABULE MASAKA-24HRS'!K16,'20.10 SEMBABULE-MASAKA'!K16,'21.10 SEMBABULE-MASAKA'!K16,'22.10 SEMBABULE-MASAKA'!K16,'23.10 SEMBABULE-MASAKA'!K16)</f>
        <v>0</v>
      </c>
      <c r="L16" s="49">
        <f>AVERAGE('17.10 SEMBABULE-MASAKA'!L16,'18.10 SEMBABULE-MASAKA-24 HRS'!L16,'19.10 SEMBABULE MASAKA-24HRS'!L16,'20.10 SEMBABULE-MASAKA'!L16,'21.10 SEMBABULE-MASAKA'!L16,'22.10 SEMBABULE-MASAKA'!L16,'23.10 SEMBABULE-MASAKA'!L16)</f>
        <v>0</v>
      </c>
      <c r="M16" s="49">
        <f>AVERAGE('17.10 SEMBABULE-MASAKA'!M16,'18.10 SEMBABULE-MASAKA-24 HRS'!M16,'19.10 SEMBABULE MASAKA-24HRS'!M16,'20.10 SEMBABULE-MASAKA'!M16,'21.10 SEMBABULE-MASAKA'!M16,'22.10 SEMBABULE-MASAKA'!M16,'23.10 SEMBABULE-MASAKA'!M16)</f>
        <v>5</v>
      </c>
      <c r="N16" s="49">
        <f>AVERAGE('17.10 SEMBABULE-MASAKA'!N16,'18.10 SEMBABULE-MASAKA-24 HRS'!N16,'19.10 SEMBABULE MASAKA-24HRS'!N16,'20.10 SEMBABULE-MASAKA'!N16,'21.10 SEMBABULE-MASAKA'!N16,'22.10 SEMBABULE-MASAKA'!N16,'23.10 SEMBABULE-MASAKA'!N16)</f>
        <v>0</v>
      </c>
      <c r="O16" s="15">
        <f t="shared" si="0"/>
        <v>6.4285714285714288</v>
      </c>
      <c r="P16" s="15">
        <f t="shared" si="1"/>
        <v>11.428571428571429</v>
      </c>
      <c r="R16" s="1" t="s">
        <v>12</v>
      </c>
      <c r="S16" s="17">
        <f t="shared" ref="S16:AF16" si="8">SUM(C34:C37)</f>
        <v>8.1428571428571423</v>
      </c>
      <c r="T16" s="17">
        <f t="shared" si="8"/>
        <v>1</v>
      </c>
      <c r="U16" s="17">
        <f t="shared" si="8"/>
        <v>2.5714285714285712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4.1428571428571432</v>
      </c>
      <c r="Z16" s="17">
        <f t="shared" si="8"/>
        <v>1.2857142857142858</v>
      </c>
      <c r="AA16" s="17">
        <f t="shared" si="8"/>
        <v>1.2857142857142856</v>
      </c>
      <c r="AB16" s="17">
        <f t="shared" si="8"/>
        <v>0</v>
      </c>
      <c r="AC16" s="17">
        <f t="shared" si="8"/>
        <v>33</v>
      </c>
      <c r="AD16" s="17">
        <f t="shared" si="8"/>
        <v>1.4285714285714286</v>
      </c>
      <c r="AE16" s="31">
        <f t="shared" si="8"/>
        <v>20.857142857142858</v>
      </c>
      <c r="AF16" s="31">
        <f t="shared" si="8"/>
        <v>53.857142857142854</v>
      </c>
    </row>
    <row r="17" spans="2:32" ht="23.1" customHeight="1" x14ac:dyDescent="0.25">
      <c r="B17" s="23" t="s">
        <v>44</v>
      </c>
      <c r="C17" s="49">
        <f>AVERAGE('17.10 SEMBABULE-MASAKA'!C17,'18.10 SEMBABULE-MASAKA-24 HRS'!C17,'19.10 SEMBABULE MASAKA-24HRS'!C17,'20.10 SEMBABULE-MASAKA'!C17,'21.10 SEMBABULE-MASAKA'!C17,'22.10 SEMBABULE-MASAKA'!C17,'23.10 SEMBABULE-MASAKA'!C17)</f>
        <v>3.2857142857142856</v>
      </c>
      <c r="D17" s="49">
        <f>AVERAGE('17.10 SEMBABULE-MASAKA'!D17,'18.10 SEMBABULE-MASAKA-24 HRS'!D17,'19.10 SEMBABULE MASAKA-24HRS'!D17,'20.10 SEMBABULE-MASAKA'!D17,'21.10 SEMBABULE-MASAKA'!D17,'22.10 SEMBABULE-MASAKA'!D17,'23.10 SEMBABULE-MASAKA'!D17)</f>
        <v>0.14285714285714285</v>
      </c>
      <c r="E17" s="49">
        <f>AVERAGE('17.10 SEMBABULE-MASAKA'!E17,'18.10 SEMBABULE-MASAKA-24 HRS'!E17,'19.10 SEMBABULE MASAKA-24HRS'!E17,'20.10 SEMBABULE-MASAKA'!E17,'21.10 SEMBABULE-MASAKA'!E17,'22.10 SEMBABULE-MASAKA'!E17,'23.10 SEMBABULE-MASAKA'!E17)</f>
        <v>0.14285714285714285</v>
      </c>
      <c r="F17" s="49">
        <f>AVERAGE('17.10 SEMBABULE-MASAKA'!F17,'18.10 SEMBABULE-MASAKA-24 HRS'!F17,'19.10 SEMBABULE MASAKA-24HRS'!F17,'20.10 SEMBABULE-MASAKA'!F17,'21.10 SEMBABULE-MASAKA'!F17,'22.10 SEMBABULE-MASAKA'!F17,'23.10 SEMBABULE-MASAKA'!F17)</f>
        <v>1.5714285714285714</v>
      </c>
      <c r="G17" s="49">
        <f>AVERAGE('17.10 SEMBABULE-MASAKA'!G17,'18.10 SEMBABULE-MASAKA-24 HRS'!G17,'19.10 SEMBABULE MASAKA-24HRS'!G17,'20.10 SEMBABULE-MASAKA'!G17,'21.10 SEMBABULE-MASAKA'!G17,'22.10 SEMBABULE-MASAKA'!G17,'23.10 SEMBABULE-MASAKA'!G17)</f>
        <v>0</v>
      </c>
      <c r="H17" s="49">
        <f>AVERAGE('17.10 SEMBABULE-MASAKA'!H17,'18.10 SEMBABULE-MASAKA-24 HRS'!H17,'19.10 SEMBABULE MASAKA-24HRS'!H17,'20.10 SEMBABULE-MASAKA'!H17,'21.10 SEMBABULE-MASAKA'!H17,'22.10 SEMBABULE-MASAKA'!H17,'23.10 SEMBABULE-MASAKA'!H17)</f>
        <v>0</v>
      </c>
      <c r="I17" s="49">
        <f>AVERAGE('17.10 SEMBABULE-MASAKA'!I17,'18.10 SEMBABULE-MASAKA-24 HRS'!I17,'19.10 SEMBABULE MASAKA-24HRS'!I17,'20.10 SEMBABULE-MASAKA'!I17,'21.10 SEMBABULE-MASAKA'!I17,'22.10 SEMBABULE-MASAKA'!I17,'23.10 SEMBABULE-MASAKA'!I17)</f>
        <v>1</v>
      </c>
      <c r="J17" s="49">
        <f>AVERAGE('17.10 SEMBABULE-MASAKA'!J17,'18.10 SEMBABULE-MASAKA-24 HRS'!J17,'19.10 SEMBABULE MASAKA-24HRS'!J17,'20.10 SEMBABULE-MASAKA'!J17,'21.10 SEMBABULE-MASAKA'!J17,'22.10 SEMBABULE-MASAKA'!J17,'23.10 SEMBABULE-MASAKA'!J17)</f>
        <v>0.14285714285714285</v>
      </c>
      <c r="K17" s="49">
        <f>AVERAGE('17.10 SEMBABULE-MASAKA'!K17,'18.10 SEMBABULE-MASAKA-24 HRS'!K17,'19.10 SEMBABULE MASAKA-24HRS'!K17,'20.10 SEMBABULE-MASAKA'!K17,'21.10 SEMBABULE-MASAKA'!K17,'22.10 SEMBABULE-MASAKA'!K17,'23.10 SEMBABULE-MASAKA'!K17)</f>
        <v>0.5714285714285714</v>
      </c>
      <c r="L17" s="49">
        <f>AVERAGE('17.10 SEMBABULE-MASAKA'!L17,'18.10 SEMBABULE-MASAKA-24 HRS'!L17,'19.10 SEMBABULE MASAKA-24HRS'!L17,'20.10 SEMBABULE-MASAKA'!L17,'21.10 SEMBABULE-MASAKA'!L17,'22.10 SEMBABULE-MASAKA'!L17,'23.10 SEMBABULE-MASAKA'!L17)</f>
        <v>0</v>
      </c>
      <c r="M17" s="49">
        <f>AVERAGE('17.10 SEMBABULE-MASAKA'!M17,'18.10 SEMBABULE-MASAKA-24 HRS'!M17,'19.10 SEMBABULE MASAKA-24HRS'!M17,'20.10 SEMBABULE-MASAKA'!M17,'21.10 SEMBABULE-MASAKA'!M17,'22.10 SEMBABULE-MASAKA'!M17,'23.10 SEMBABULE-MASAKA'!M17)</f>
        <v>5.8571428571428568</v>
      </c>
      <c r="N17" s="49">
        <f>AVERAGE('17.10 SEMBABULE-MASAKA'!N17,'18.10 SEMBABULE-MASAKA-24 HRS'!N17,'19.10 SEMBABULE MASAKA-24HRS'!N17,'20.10 SEMBABULE-MASAKA'!N17,'21.10 SEMBABULE-MASAKA'!N17,'22.10 SEMBABULE-MASAKA'!N17,'23.10 SEMBABULE-MASAKA'!N17)</f>
        <v>0</v>
      </c>
      <c r="O17" s="15">
        <f t="shared" si="0"/>
        <v>6.8571428571428568</v>
      </c>
      <c r="P17" s="15">
        <f t="shared" si="1"/>
        <v>12.714285714285714</v>
      </c>
      <c r="R17" s="1" t="s">
        <v>13</v>
      </c>
      <c r="S17" s="17">
        <f t="shared" ref="S17:AF17" si="9">SUM(C38:C41)</f>
        <v>7.7142857142857135</v>
      </c>
      <c r="T17" s="17">
        <f t="shared" si="9"/>
        <v>1.8571428571428572</v>
      </c>
      <c r="U17" s="17">
        <f t="shared" si="9"/>
        <v>3</v>
      </c>
      <c r="V17" s="17">
        <f t="shared" si="9"/>
        <v>2.2857142857142856</v>
      </c>
      <c r="W17" s="17">
        <f t="shared" si="9"/>
        <v>0.14285714285714285</v>
      </c>
      <c r="X17" s="17">
        <f t="shared" si="9"/>
        <v>0</v>
      </c>
      <c r="Y17" s="17">
        <f t="shared" si="9"/>
        <v>4.4285714285714288</v>
      </c>
      <c r="Z17" s="17">
        <f t="shared" si="9"/>
        <v>2.5714285714285712</v>
      </c>
      <c r="AA17" s="17">
        <f t="shared" si="9"/>
        <v>2.4285714285714284</v>
      </c>
      <c r="AB17" s="17">
        <f t="shared" si="9"/>
        <v>0</v>
      </c>
      <c r="AC17" s="17">
        <f t="shared" si="9"/>
        <v>27.142857142857146</v>
      </c>
      <c r="AD17" s="17">
        <f t="shared" si="9"/>
        <v>0</v>
      </c>
      <c r="AE17" s="31">
        <f t="shared" si="9"/>
        <v>24.428571428571427</v>
      </c>
      <c r="AF17" s="31">
        <f t="shared" si="9"/>
        <v>51.571428571428569</v>
      </c>
    </row>
    <row r="18" spans="2:32" ht="23.1" customHeight="1" x14ac:dyDescent="0.25">
      <c r="B18" s="23" t="s">
        <v>45</v>
      </c>
      <c r="C18" s="49">
        <f>AVERAGE('17.10 SEMBABULE-MASAKA'!C18,'18.10 SEMBABULE-MASAKA-24 HRS'!C18,'19.10 SEMBABULE MASAKA-24HRS'!C18,'20.10 SEMBABULE-MASAKA'!C18,'21.10 SEMBABULE-MASAKA'!C18,'22.10 SEMBABULE-MASAKA'!C18,'23.10 SEMBABULE-MASAKA'!C18)</f>
        <v>2.7142857142857144</v>
      </c>
      <c r="D18" s="49">
        <f>AVERAGE('17.10 SEMBABULE-MASAKA'!D18,'18.10 SEMBABULE-MASAKA-24 HRS'!D18,'19.10 SEMBABULE MASAKA-24HRS'!D18,'20.10 SEMBABULE-MASAKA'!D18,'21.10 SEMBABULE-MASAKA'!D18,'22.10 SEMBABULE-MASAKA'!D18,'23.10 SEMBABULE-MASAKA'!D18)</f>
        <v>0.14285714285714285</v>
      </c>
      <c r="E18" s="49">
        <f>AVERAGE('17.10 SEMBABULE-MASAKA'!E18,'18.10 SEMBABULE-MASAKA-24 HRS'!E18,'19.10 SEMBABULE MASAKA-24HRS'!E18,'20.10 SEMBABULE-MASAKA'!E18,'21.10 SEMBABULE-MASAKA'!E18,'22.10 SEMBABULE-MASAKA'!E18,'23.10 SEMBABULE-MASAKA'!E18)</f>
        <v>0</v>
      </c>
      <c r="F18" s="49">
        <f>AVERAGE('17.10 SEMBABULE-MASAKA'!F18,'18.10 SEMBABULE-MASAKA-24 HRS'!F18,'19.10 SEMBABULE MASAKA-24HRS'!F18,'20.10 SEMBABULE-MASAKA'!F18,'21.10 SEMBABULE-MASAKA'!F18,'22.10 SEMBABULE-MASAKA'!F18,'23.10 SEMBABULE-MASAKA'!F18)</f>
        <v>1.1428571428571428</v>
      </c>
      <c r="G18" s="49">
        <f>AVERAGE('17.10 SEMBABULE-MASAKA'!G18,'18.10 SEMBABULE-MASAKA-24 HRS'!G18,'19.10 SEMBABULE MASAKA-24HRS'!G18,'20.10 SEMBABULE-MASAKA'!G18,'21.10 SEMBABULE-MASAKA'!G18,'22.10 SEMBABULE-MASAKA'!G18,'23.10 SEMBABULE-MASAKA'!G18)</f>
        <v>0</v>
      </c>
      <c r="H18" s="49">
        <f>AVERAGE('17.10 SEMBABULE-MASAKA'!H18,'18.10 SEMBABULE-MASAKA-24 HRS'!H18,'19.10 SEMBABULE MASAKA-24HRS'!H18,'20.10 SEMBABULE-MASAKA'!H18,'21.10 SEMBABULE-MASAKA'!H18,'22.10 SEMBABULE-MASAKA'!H18,'23.10 SEMBABULE-MASAKA'!H18)</f>
        <v>0</v>
      </c>
      <c r="I18" s="49">
        <f>AVERAGE('17.10 SEMBABULE-MASAKA'!I18,'18.10 SEMBABULE-MASAKA-24 HRS'!I18,'19.10 SEMBABULE MASAKA-24HRS'!I18,'20.10 SEMBABULE-MASAKA'!I18,'21.10 SEMBABULE-MASAKA'!I18,'22.10 SEMBABULE-MASAKA'!I18,'23.10 SEMBABULE-MASAKA'!I18)</f>
        <v>0.8571428571428571</v>
      </c>
      <c r="J18" s="49">
        <f>AVERAGE('17.10 SEMBABULE-MASAKA'!J18,'18.10 SEMBABULE-MASAKA-24 HRS'!J18,'19.10 SEMBABULE MASAKA-24HRS'!J18,'20.10 SEMBABULE-MASAKA'!J18,'21.10 SEMBABULE-MASAKA'!J18,'22.10 SEMBABULE-MASAKA'!J18,'23.10 SEMBABULE-MASAKA'!J18)</f>
        <v>0.2857142857142857</v>
      </c>
      <c r="K18" s="49">
        <f>AVERAGE('17.10 SEMBABULE-MASAKA'!K18,'18.10 SEMBABULE-MASAKA-24 HRS'!K18,'19.10 SEMBABULE MASAKA-24HRS'!K18,'20.10 SEMBABULE-MASAKA'!K18,'21.10 SEMBABULE-MASAKA'!K18,'22.10 SEMBABULE-MASAKA'!K18,'23.10 SEMBABULE-MASAKA'!K18)</f>
        <v>0</v>
      </c>
      <c r="L18" s="49">
        <f>AVERAGE('17.10 SEMBABULE-MASAKA'!L18,'18.10 SEMBABULE-MASAKA-24 HRS'!L18,'19.10 SEMBABULE MASAKA-24HRS'!L18,'20.10 SEMBABULE-MASAKA'!L18,'21.10 SEMBABULE-MASAKA'!L18,'22.10 SEMBABULE-MASAKA'!L18,'23.10 SEMBABULE-MASAKA'!L18)</f>
        <v>0.14285714285714285</v>
      </c>
      <c r="M18" s="49">
        <f>AVERAGE('17.10 SEMBABULE-MASAKA'!M18,'18.10 SEMBABULE-MASAKA-24 HRS'!M18,'19.10 SEMBABULE MASAKA-24HRS'!M18,'20.10 SEMBABULE-MASAKA'!M18,'21.10 SEMBABULE-MASAKA'!M18,'22.10 SEMBABULE-MASAKA'!M18,'23.10 SEMBABULE-MASAKA'!M18)</f>
        <v>5</v>
      </c>
      <c r="N18" s="49">
        <f>AVERAGE('17.10 SEMBABULE-MASAKA'!N18,'18.10 SEMBABULE-MASAKA-24 HRS'!N18,'19.10 SEMBABULE MASAKA-24HRS'!N18,'20.10 SEMBABULE-MASAKA'!N18,'21.10 SEMBABULE-MASAKA'!N18,'22.10 SEMBABULE-MASAKA'!N18,'23.10 SEMBABULE-MASAKA'!N18)</f>
        <v>0</v>
      </c>
      <c r="O18" s="15">
        <f t="shared" si="0"/>
        <v>5.2857142857142856</v>
      </c>
      <c r="P18" s="15">
        <f t="shared" si="1"/>
        <v>10.285714285714285</v>
      </c>
      <c r="R18" s="1" t="s">
        <v>14</v>
      </c>
      <c r="S18" s="17">
        <f t="shared" ref="S18:AF18" si="10">SUM(C42:C45)</f>
        <v>9.428571428571427</v>
      </c>
      <c r="T18" s="17">
        <f t="shared" si="10"/>
        <v>1.1428571428571428</v>
      </c>
      <c r="U18" s="17">
        <f t="shared" si="10"/>
        <v>3.1428571428571432</v>
      </c>
      <c r="V18" s="17">
        <f t="shared" si="10"/>
        <v>1.5714285714285714</v>
      </c>
      <c r="W18" s="17">
        <f t="shared" si="10"/>
        <v>0</v>
      </c>
      <c r="X18" s="17">
        <f t="shared" si="10"/>
        <v>0</v>
      </c>
      <c r="Y18" s="17">
        <f t="shared" si="10"/>
        <v>4.4285714285714288</v>
      </c>
      <c r="Z18" s="17">
        <f t="shared" si="10"/>
        <v>2.1428571428571428</v>
      </c>
      <c r="AA18" s="17">
        <f t="shared" si="10"/>
        <v>2.4285714285714288</v>
      </c>
      <c r="AB18" s="17">
        <f t="shared" si="10"/>
        <v>0.5714285714285714</v>
      </c>
      <c r="AC18" s="17">
        <f t="shared" si="10"/>
        <v>25.285714285714285</v>
      </c>
      <c r="AD18" s="17">
        <f t="shared" si="10"/>
        <v>0</v>
      </c>
      <c r="AE18" s="31">
        <f t="shared" si="10"/>
        <v>24.857142857142858</v>
      </c>
      <c r="AF18" s="31">
        <f t="shared" si="10"/>
        <v>50.142857142857139</v>
      </c>
    </row>
    <row r="19" spans="2:32" ht="23.1" customHeight="1" x14ac:dyDescent="0.25">
      <c r="B19" s="23" t="s">
        <v>46</v>
      </c>
      <c r="C19" s="49">
        <f>AVERAGE('17.10 SEMBABULE-MASAKA'!C19,'18.10 SEMBABULE-MASAKA-24 HRS'!C19,'19.10 SEMBABULE MASAKA-24HRS'!C19,'20.10 SEMBABULE-MASAKA'!C19,'21.10 SEMBABULE-MASAKA'!C19,'22.10 SEMBABULE-MASAKA'!C19,'23.10 SEMBABULE-MASAKA'!C19)</f>
        <v>2.2857142857142856</v>
      </c>
      <c r="D19" s="49">
        <f>AVERAGE('17.10 SEMBABULE-MASAKA'!D19,'18.10 SEMBABULE-MASAKA-24 HRS'!D19,'19.10 SEMBABULE MASAKA-24HRS'!D19,'20.10 SEMBABULE-MASAKA'!D19,'21.10 SEMBABULE-MASAKA'!D19,'22.10 SEMBABULE-MASAKA'!D19,'23.10 SEMBABULE-MASAKA'!D19)</f>
        <v>0.5714285714285714</v>
      </c>
      <c r="E19" s="49">
        <f>AVERAGE('17.10 SEMBABULE-MASAKA'!E19,'18.10 SEMBABULE-MASAKA-24 HRS'!E19,'19.10 SEMBABULE MASAKA-24HRS'!E19,'20.10 SEMBABULE-MASAKA'!E19,'21.10 SEMBABULE-MASAKA'!E19,'22.10 SEMBABULE-MASAKA'!E19,'23.10 SEMBABULE-MASAKA'!E19)</f>
        <v>0.5714285714285714</v>
      </c>
      <c r="F19" s="49">
        <f>AVERAGE('17.10 SEMBABULE-MASAKA'!F19,'18.10 SEMBABULE-MASAKA-24 HRS'!F19,'19.10 SEMBABULE MASAKA-24HRS'!F19,'20.10 SEMBABULE-MASAKA'!F19,'21.10 SEMBABULE-MASAKA'!F19,'22.10 SEMBABULE-MASAKA'!F19,'23.10 SEMBABULE-MASAKA'!F19)</f>
        <v>1.2857142857142858</v>
      </c>
      <c r="G19" s="49">
        <f>AVERAGE('17.10 SEMBABULE-MASAKA'!G19,'18.10 SEMBABULE-MASAKA-24 HRS'!G19,'19.10 SEMBABULE MASAKA-24HRS'!G19,'20.10 SEMBABULE-MASAKA'!G19,'21.10 SEMBABULE-MASAKA'!G19,'22.10 SEMBABULE-MASAKA'!G19,'23.10 SEMBABULE-MASAKA'!G19)</f>
        <v>0</v>
      </c>
      <c r="H19" s="49">
        <f>AVERAGE('17.10 SEMBABULE-MASAKA'!H19,'18.10 SEMBABULE-MASAKA-24 HRS'!H19,'19.10 SEMBABULE MASAKA-24HRS'!H19,'20.10 SEMBABULE-MASAKA'!H19,'21.10 SEMBABULE-MASAKA'!H19,'22.10 SEMBABULE-MASAKA'!H19,'23.10 SEMBABULE-MASAKA'!H19)</f>
        <v>0</v>
      </c>
      <c r="I19" s="49">
        <f>AVERAGE('17.10 SEMBABULE-MASAKA'!I19,'18.10 SEMBABULE-MASAKA-24 HRS'!I19,'19.10 SEMBABULE MASAKA-24HRS'!I19,'20.10 SEMBABULE-MASAKA'!I19,'21.10 SEMBABULE-MASAKA'!I19,'22.10 SEMBABULE-MASAKA'!I19,'23.10 SEMBABULE-MASAKA'!I19)</f>
        <v>1.2857142857142858</v>
      </c>
      <c r="J19" s="49">
        <f>AVERAGE('17.10 SEMBABULE-MASAKA'!J19,'18.10 SEMBABULE-MASAKA-24 HRS'!J19,'19.10 SEMBABULE MASAKA-24HRS'!J19,'20.10 SEMBABULE-MASAKA'!J19,'21.10 SEMBABULE-MASAKA'!J19,'22.10 SEMBABULE-MASAKA'!J19,'23.10 SEMBABULE-MASAKA'!J19)</f>
        <v>0.42857142857142855</v>
      </c>
      <c r="K19" s="49">
        <f>AVERAGE('17.10 SEMBABULE-MASAKA'!K19,'18.10 SEMBABULE-MASAKA-24 HRS'!K19,'19.10 SEMBABULE MASAKA-24HRS'!K19,'20.10 SEMBABULE-MASAKA'!K19,'21.10 SEMBABULE-MASAKA'!K19,'22.10 SEMBABULE-MASAKA'!K19,'23.10 SEMBABULE-MASAKA'!K19)</f>
        <v>0.2857142857142857</v>
      </c>
      <c r="L19" s="49">
        <f>AVERAGE('17.10 SEMBABULE-MASAKA'!L19,'18.10 SEMBABULE-MASAKA-24 HRS'!L19,'19.10 SEMBABULE MASAKA-24HRS'!L19,'20.10 SEMBABULE-MASAKA'!L19,'21.10 SEMBABULE-MASAKA'!L19,'22.10 SEMBABULE-MASAKA'!L19,'23.10 SEMBABULE-MASAKA'!L19)</f>
        <v>0</v>
      </c>
      <c r="M19" s="49">
        <f>AVERAGE('17.10 SEMBABULE-MASAKA'!M19,'18.10 SEMBABULE-MASAKA-24 HRS'!M19,'19.10 SEMBABULE MASAKA-24HRS'!M19,'20.10 SEMBABULE-MASAKA'!M19,'21.10 SEMBABULE-MASAKA'!M19,'22.10 SEMBABULE-MASAKA'!M19,'23.10 SEMBABULE-MASAKA'!M19)</f>
        <v>4.1428571428571432</v>
      </c>
      <c r="N19" s="49">
        <f>AVERAGE('17.10 SEMBABULE-MASAKA'!N19,'18.10 SEMBABULE-MASAKA-24 HRS'!N19,'19.10 SEMBABULE MASAKA-24HRS'!N19,'20.10 SEMBABULE-MASAKA'!N19,'21.10 SEMBABULE-MASAKA'!N19,'22.10 SEMBABULE-MASAKA'!N19,'23.10 SEMBABULE-MASAKA'!N19)</f>
        <v>0</v>
      </c>
      <c r="O19" s="15">
        <f t="shared" si="0"/>
        <v>6.7142857142857135</v>
      </c>
      <c r="P19" s="15">
        <f t="shared" si="1"/>
        <v>10.857142857142858</v>
      </c>
      <c r="R19" s="1" t="s">
        <v>15</v>
      </c>
      <c r="S19" s="17">
        <f t="shared" ref="S19:AF19" si="11">SUM(C46:C49)</f>
        <v>6.1428571428571432</v>
      </c>
      <c r="T19" s="17">
        <f t="shared" si="11"/>
        <v>2</v>
      </c>
      <c r="U19" s="17">
        <f t="shared" si="11"/>
        <v>1.9999999999999998</v>
      </c>
      <c r="V19" s="17">
        <f t="shared" si="11"/>
        <v>2</v>
      </c>
      <c r="W19" s="17">
        <f t="shared" si="11"/>
        <v>0.42857142857142855</v>
      </c>
      <c r="X19" s="17">
        <f t="shared" si="11"/>
        <v>0</v>
      </c>
      <c r="Y19" s="17">
        <f t="shared" si="11"/>
        <v>4.2857142857142856</v>
      </c>
      <c r="Z19" s="17">
        <f t="shared" si="11"/>
        <v>4.1428571428571423</v>
      </c>
      <c r="AA19" s="17">
        <f t="shared" si="11"/>
        <v>0.2857142857142857</v>
      </c>
      <c r="AB19" s="17">
        <f t="shared" si="11"/>
        <v>0</v>
      </c>
      <c r="AC19" s="17">
        <f t="shared" si="11"/>
        <v>26.571428571428573</v>
      </c>
      <c r="AD19" s="17">
        <f t="shared" si="11"/>
        <v>0</v>
      </c>
      <c r="AE19" s="31">
        <f t="shared" si="11"/>
        <v>21.285714285714285</v>
      </c>
      <c r="AF19" s="31">
        <f t="shared" si="11"/>
        <v>47.857142857142861</v>
      </c>
    </row>
    <row r="20" spans="2:32" ht="23.1" customHeight="1" x14ac:dyDescent="0.25">
      <c r="B20" s="23" t="s">
        <v>47</v>
      </c>
      <c r="C20" s="49">
        <f>AVERAGE('17.10 SEMBABULE-MASAKA'!C20,'18.10 SEMBABULE-MASAKA-24 HRS'!C20,'19.10 SEMBABULE MASAKA-24HRS'!C20,'20.10 SEMBABULE-MASAKA'!C20,'21.10 SEMBABULE-MASAKA'!C20,'22.10 SEMBABULE-MASAKA'!C20,'23.10 SEMBABULE-MASAKA'!C20)</f>
        <v>3.1428571428571428</v>
      </c>
      <c r="D20" s="49">
        <f>AVERAGE('17.10 SEMBABULE-MASAKA'!D20,'18.10 SEMBABULE-MASAKA-24 HRS'!D20,'19.10 SEMBABULE MASAKA-24HRS'!D20,'20.10 SEMBABULE-MASAKA'!D20,'21.10 SEMBABULE-MASAKA'!D20,'22.10 SEMBABULE-MASAKA'!D20,'23.10 SEMBABULE-MASAKA'!D20)</f>
        <v>0.2857142857142857</v>
      </c>
      <c r="E20" s="49">
        <f>AVERAGE('17.10 SEMBABULE-MASAKA'!E20,'18.10 SEMBABULE-MASAKA-24 HRS'!E20,'19.10 SEMBABULE MASAKA-24HRS'!E20,'20.10 SEMBABULE-MASAKA'!E20,'21.10 SEMBABULE-MASAKA'!E20,'22.10 SEMBABULE-MASAKA'!E20,'23.10 SEMBABULE-MASAKA'!E20)</f>
        <v>0.2857142857142857</v>
      </c>
      <c r="F20" s="49">
        <f>AVERAGE('17.10 SEMBABULE-MASAKA'!F20,'18.10 SEMBABULE-MASAKA-24 HRS'!F20,'19.10 SEMBABULE MASAKA-24HRS'!F20,'20.10 SEMBABULE-MASAKA'!F20,'21.10 SEMBABULE-MASAKA'!F20,'22.10 SEMBABULE-MASAKA'!F20,'23.10 SEMBABULE-MASAKA'!F20)</f>
        <v>1</v>
      </c>
      <c r="G20" s="49">
        <f>AVERAGE('17.10 SEMBABULE-MASAKA'!G20,'18.10 SEMBABULE-MASAKA-24 HRS'!G20,'19.10 SEMBABULE MASAKA-24HRS'!G20,'20.10 SEMBABULE-MASAKA'!G20,'21.10 SEMBABULE-MASAKA'!G20,'22.10 SEMBABULE-MASAKA'!G20,'23.10 SEMBABULE-MASAKA'!G20)</f>
        <v>0</v>
      </c>
      <c r="H20" s="49">
        <f>AVERAGE('17.10 SEMBABULE-MASAKA'!H20,'18.10 SEMBABULE-MASAKA-24 HRS'!H20,'19.10 SEMBABULE MASAKA-24HRS'!H20,'20.10 SEMBABULE-MASAKA'!H20,'21.10 SEMBABULE-MASAKA'!H20,'22.10 SEMBABULE-MASAKA'!H20,'23.10 SEMBABULE-MASAKA'!H20)</f>
        <v>0</v>
      </c>
      <c r="I20" s="49">
        <f>AVERAGE('17.10 SEMBABULE-MASAKA'!I20,'18.10 SEMBABULE-MASAKA-24 HRS'!I20,'19.10 SEMBABULE MASAKA-24HRS'!I20,'20.10 SEMBABULE-MASAKA'!I20,'21.10 SEMBABULE-MASAKA'!I20,'22.10 SEMBABULE-MASAKA'!I20,'23.10 SEMBABULE-MASAKA'!I20)</f>
        <v>1</v>
      </c>
      <c r="J20" s="49">
        <f>AVERAGE('17.10 SEMBABULE-MASAKA'!J20,'18.10 SEMBABULE-MASAKA-24 HRS'!J20,'19.10 SEMBABULE MASAKA-24HRS'!J20,'20.10 SEMBABULE-MASAKA'!J20,'21.10 SEMBABULE-MASAKA'!J20,'22.10 SEMBABULE-MASAKA'!J20,'23.10 SEMBABULE-MASAKA'!J20)</f>
        <v>0.5714285714285714</v>
      </c>
      <c r="K20" s="49">
        <f>AVERAGE('17.10 SEMBABULE-MASAKA'!K20,'18.10 SEMBABULE-MASAKA-24 HRS'!K20,'19.10 SEMBABULE MASAKA-24HRS'!K20,'20.10 SEMBABULE-MASAKA'!K20,'21.10 SEMBABULE-MASAKA'!K20,'22.10 SEMBABULE-MASAKA'!K20,'23.10 SEMBABULE-MASAKA'!K20)</f>
        <v>0.5714285714285714</v>
      </c>
      <c r="L20" s="49">
        <f>AVERAGE('17.10 SEMBABULE-MASAKA'!L20,'18.10 SEMBABULE-MASAKA-24 HRS'!L20,'19.10 SEMBABULE MASAKA-24HRS'!L20,'20.10 SEMBABULE-MASAKA'!L20,'21.10 SEMBABULE-MASAKA'!L20,'22.10 SEMBABULE-MASAKA'!L20,'23.10 SEMBABULE-MASAKA'!L20)</f>
        <v>0</v>
      </c>
      <c r="M20" s="49">
        <f>AVERAGE('17.10 SEMBABULE-MASAKA'!M20,'18.10 SEMBABULE-MASAKA-24 HRS'!M20,'19.10 SEMBABULE MASAKA-24HRS'!M20,'20.10 SEMBABULE-MASAKA'!M20,'21.10 SEMBABULE-MASAKA'!M20,'22.10 SEMBABULE-MASAKA'!M20,'23.10 SEMBABULE-MASAKA'!M20)</f>
        <v>4.5714285714285712</v>
      </c>
      <c r="N20" s="49">
        <f>AVERAGE('17.10 SEMBABULE-MASAKA'!N20,'18.10 SEMBABULE-MASAKA-24 HRS'!N20,'19.10 SEMBABULE MASAKA-24HRS'!N20,'20.10 SEMBABULE-MASAKA'!N20,'21.10 SEMBABULE-MASAKA'!N20,'22.10 SEMBABULE-MASAKA'!N20,'23.10 SEMBABULE-MASAKA'!N20)</f>
        <v>0</v>
      </c>
      <c r="O20" s="15">
        <f t="shared" si="0"/>
        <v>6.8571428571428559</v>
      </c>
      <c r="P20" s="15">
        <f t="shared" si="1"/>
        <v>11.428571428571427</v>
      </c>
      <c r="R20" s="1" t="s">
        <v>16</v>
      </c>
      <c r="S20" s="17">
        <f t="shared" ref="S20:AF20" si="12">SUM(C50:C53)</f>
        <v>11.428571428571427</v>
      </c>
      <c r="T20" s="17">
        <f t="shared" si="12"/>
        <v>1.1428571428571428</v>
      </c>
      <c r="U20" s="17">
        <f t="shared" si="12"/>
        <v>3.5714285714285712</v>
      </c>
      <c r="V20" s="17">
        <f t="shared" si="12"/>
        <v>1.2857142857142856</v>
      </c>
      <c r="W20" s="17">
        <f t="shared" si="12"/>
        <v>0.5714285714285714</v>
      </c>
      <c r="X20" s="17">
        <f t="shared" si="12"/>
        <v>0</v>
      </c>
      <c r="Y20" s="17">
        <f t="shared" si="12"/>
        <v>4.7142857142857144</v>
      </c>
      <c r="Z20" s="17">
        <f t="shared" si="12"/>
        <v>2.4285714285714284</v>
      </c>
      <c r="AA20" s="17">
        <f t="shared" si="12"/>
        <v>0.71428571428571419</v>
      </c>
      <c r="AB20" s="17">
        <f t="shared" si="12"/>
        <v>0</v>
      </c>
      <c r="AC20" s="17">
        <f t="shared" si="12"/>
        <v>28.571428571428569</v>
      </c>
      <c r="AD20" s="17">
        <f t="shared" si="12"/>
        <v>0</v>
      </c>
      <c r="AE20" s="31">
        <f t="shared" si="12"/>
        <v>25.857142857142858</v>
      </c>
      <c r="AF20" s="31">
        <f t="shared" si="12"/>
        <v>54.428571428571431</v>
      </c>
    </row>
    <row r="21" spans="2:32" ht="23.1" customHeight="1" x14ac:dyDescent="0.25">
      <c r="B21" s="23" t="s">
        <v>48</v>
      </c>
      <c r="C21" s="49">
        <f>AVERAGE('17.10 SEMBABULE-MASAKA'!C21,'18.10 SEMBABULE-MASAKA-24 HRS'!C21,'19.10 SEMBABULE MASAKA-24HRS'!C21,'20.10 SEMBABULE-MASAKA'!C21,'21.10 SEMBABULE-MASAKA'!C21,'22.10 SEMBABULE-MASAKA'!C21,'23.10 SEMBABULE-MASAKA'!C21)</f>
        <v>3.8571428571428572</v>
      </c>
      <c r="D21" s="49">
        <f>AVERAGE('17.10 SEMBABULE-MASAKA'!D21,'18.10 SEMBABULE-MASAKA-24 HRS'!D21,'19.10 SEMBABULE MASAKA-24HRS'!D21,'20.10 SEMBABULE-MASAKA'!D21,'21.10 SEMBABULE-MASAKA'!D21,'22.10 SEMBABULE-MASAKA'!D21,'23.10 SEMBABULE-MASAKA'!D21)</f>
        <v>0.14285714285714285</v>
      </c>
      <c r="E21" s="49">
        <f>AVERAGE('17.10 SEMBABULE-MASAKA'!E21,'18.10 SEMBABULE-MASAKA-24 HRS'!E21,'19.10 SEMBABULE MASAKA-24HRS'!E21,'20.10 SEMBABULE-MASAKA'!E21,'21.10 SEMBABULE-MASAKA'!E21,'22.10 SEMBABULE-MASAKA'!E21,'23.10 SEMBABULE-MASAKA'!E21)</f>
        <v>0.42857142857142855</v>
      </c>
      <c r="F21" s="49">
        <f>AVERAGE('17.10 SEMBABULE-MASAKA'!F21,'18.10 SEMBABULE-MASAKA-24 HRS'!F21,'19.10 SEMBABULE MASAKA-24HRS'!F21,'20.10 SEMBABULE-MASAKA'!F21,'21.10 SEMBABULE-MASAKA'!F21,'22.10 SEMBABULE-MASAKA'!F21,'23.10 SEMBABULE-MASAKA'!F21)</f>
        <v>0.7142857142857143</v>
      </c>
      <c r="G21" s="49">
        <f>AVERAGE('17.10 SEMBABULE-MASAKA'!G21,'18.10 SEMBABULE-MASAKA-24 HRS'!G21,'19.10 SEMBABULE MASAKA-24HRS'!G21,'20.10 SEMBABULE-MASAKA'!G21,'21.10 SEMBABULE-MASAKA'!G21,'22.10 SEMBABULE-MASAKA'!G21,'23.10 SEMBABULE-MASAKA'!G21)</f>
        <v>0</v>
      </c>
      <c r="H21" s="49">
        <f>AVERAGE('17.10 SEMBABULE-MASAKA'!H21,'18.10 SEMBABULE-MASAKA-24 HRS'!H21,'19.10 SEMBABULE MASAKA-24HRS'!H21,'20.10 SEMBABULE-MASAKA'!H21,'21.10 SEMBABULE-MASAKA'!H21,'22.10 SEMBABULE-MASAKA'!H21,'23.10 SEMBABULE-MASAKA'!H21)</f>
        <v>0</v>
      </c>
      <c r="I21" s="49">
        <f>AVERAGE('17.10 SEMBABULE-MASAKA'!I21,'18.10 SEMBABULE-MASAKA-24 HRS'!I21,'19.10 SEMBABULE MASAKA-24HRS'!I21,'20.10 SEMBABULE-MASAKA'!I21,'21.10 SEMBABULE-MASAKA'!I21,'22.10 SEMBABULE-MASAKA'!I21,'23.10 SEMBABULE-MASAKA'!I21)</f>
        <v>0.7142857142857143</v>
      </c>
      <c r="J21" s="49">
        <f>AVERAGE('17.10 SEMBABULE-MASAKA'!J21,'18.10 SEMBABULE-MASAKA-24 HRS'!J21,'19.10 SEMBABULE MASAKA-24HRS'!J21,'20.10 SEMBABULE-MASAKA'!J21,'21.10 SEMBABULE-MASAKA'!J21,'22.10 SEMBABULE-MASAKA'!J21,'23.10 SEMBABULE-MASAKA'!J21)</f>
        <v>0</v>
      </c>
      <c r="K21" s="49">
        <f>AVERAGE('17.10 SEMBABULE-MASAKA'!K21,'18.10 SEMBABULE-MASAKA-24 HRS'!K21,'19.10 SEMBABULE MASAKA-24HRS'!K21,'20.10 SEMBABULE-MASAKA'!K21,'21.10 SEMBABULE-MASAKA'!K21,'22.10 SEMBABULE-MASAKA'!K21,'23.10 SEMBABULE-MASAKA'!K21)</f>
        <v>0.42857142857142855</v>
      </c>
      <c r="L21" s="49">
        <f>AVERAGE('17.10 SEMBABULE-MASAKA'!L21,'18.10 SEMBABULE-MASAKA-24 HRS'!L21,'19.10 SEMBABULE MASAKA-24HRS'!L21,'20.10 SEMBABULE-MASAKA'!L21,'21.10 SEMBABULE-MASAKA'!L21,'22.10 SEMBABULE-MASAKA'!L21,'23.10 SEMBABULE-MASAKA'!L21)</f>
        <v>0</v>
      </c>
      <c r="M21" s="49">
        <f>AVERAGE('17.10 SEMBABULE-MASAKA'!M21,'18.10 SEMBABULE-MASAKA-24 HRS'!M21,'19.10 SEMBABULE MASAKA-24HRS'!M21,'20.10 SEMBABULE-MASAKA'!M21,'21.10 SEMBABULE-MASAKA'!M21,'22.10 SEMBABULE-MASAKA'!M21,'23.10 SEMBABULE-MASAKA'!M21)</f>
        <v>5.1428571428571432</v>
      </c>
      <c r="N21" s="49">
        <f>AVERAGE('17.10 SEMBABULE-MASAKA'!N21,'18.10 SEMBABULE-MASAKA-24 HRS'!N21,'19.10 SEMBABULE MASAKA-24HRS'!N21,'20.10 SEMBABULE-MASAKA'!N21,'21.10 SEMBABULE-MASAKA'!N21,'22.10 SEMBABULE-MASAKA'!N21,'23.10 SEMBABULE-MASAKA'!N21)</f>
        <v>0</v>
      </c>
      <c r="O21" s="15">
        <f t="shared" si="0"/>
        <v>6.2857142857142865</v>
      </c>
      <c r="P21" s="15">
        <f t="shared" si="1"/>
        <v>11.428571428571431</v>
      </c>
      <c r="R21" s="36" t="s">
        <v>20</v>
      </c>
      <c r="S21" s="34">
        <f t="shared" ref="S21:AF21" si="13">SUM(C54:C57)</f>
        <v>8.5714285714285712</v>
      </c>
      <c r="T21" s="17">
        <f t="shared" si="13"/>
        <v>1.5714285714285714</v>
      </c>
      <c r="U21" s="17">
        <f t="shared" si="13"/>
        <v>3.8571428571428568</v>
      </c>
      <c r="V21" s="17">
        <f t="shared" si="13"/>
        <v>0.8571428571428571</v>
      </c>
      <c r="W21" s="17">
        <f t="shared" si="13"/>
        <v>0</v>
      </c>
      <c r="X21" s="17">
        <f t="shared" si="13"/>
        <v>0</v>
      </c>
      <c r="Y21" s="17">
        <f t="shared" si="13"/>
        <v>3.1428571428571428</v>
      </c>
      <c r="Z21" s="17">
        <f t="shared" si="13"/>
        <v>2.8571428571428572</v>
      </c>
      <c r="AA21" s="17">
        <f t="shared" si="13"/>
        <v>0.71428571428571419</v>
      </c>
      <c r="AB21" s="17">
        <f t="shared" si="13"/>
        <v>0</v>
      </c>
      <c r="AC21" s="17">
        <f t="shared" si="13"/>
        <v>33.428571428571431</v>
      </c>
      <c r="AD21" s="17">
        <f t="shared" si="13"/>
        <v>0</v>
      </c>
      <c r="AE21" s="31">
        <f t="shared" si="13"/>
        <v>21.571428571428569</v>
      </c>
      <c r="AF21" s="31">
        <f t="shared" si="13"/>
        <v>55</v>
      </c>
    </row>
    <row r="22" spans="2:32" ht="23.1" customHeight="1" x14ac:dyDescent="0.25">
      <c r="B22" s="23" t="s">
        <v>49</v>
      </c>
      <c r="C22" s="49">
        <f>AVERAGE('17.10 SEMBABULE-MASAKA'!C22,'18.10 SEMBABULE-MASAKA-24 HRS'!C22,'19.10 SEMBABULE MASAKA-24HRS'!C22,'20.10 SEMBABULE-MASAKA'!C22,'21.10 SEMBABULE-MASAKA'!C22,'22.10 SEMBABULE-MASAKA'!C22,'23.10 SEMBABULE-MASAKA'!C22)</f>
        <v>2.2857142857142856</v>
      </c>
      <c r="D22" s="49">
        <f>AVERAGE('17.10 SEMBABULE-MASAKA'!D22,'18.10 SEMBABULE-MASAKA-24 HRS'!D22,'19.10 SEMBABULE MASAKA-24HRS'!D22,'20.10 SEMBABULE-MASAKA'!D22,'21.10 SEMBABULE-MASAKA'!D22,'22.10 SEMBABULE-MASAKA'!D22,'23.10 SEMBABULE-MASAKA'!D22)</f>
        <v>0.5714285714285714</v>
      </c>
      <c r="E22" s="49">
        <f>AVERAGE('17.10 SEMBABULE-MASAKA'!E22,'18.10 SEMBABULE-MASAKA-24 HRS'!E22,'19.10 SEMBABULE MASAKA-24HRS'!E22,'20.10 SEMBABULE-MASAKA'!E22,'21.10 SEMBABULE-MASAKA'!E22,'22.10 SEMBABULE-MASAKA'!E22,'23.10 SEMBABULE-MASAKA'!E22)</f>
        <v>0.7142857142857143</v>
      </c>
      <c r="F22" s="49">
        <f>AVERAGE('17.10 SEMBABULE-MASAKA'!F22,'18.10 SEMBABULE-MASAKA-24 HRS'!F22,'19.10 SEMBABULE MASAKA-24HRS'!F22,'20.10 SEMBABULE-MASAKA'!F22,'21.10 SEMBABULE-MASAKA'!F22,'22.10 SEMBABULE-MASAKA'!F22,'23.10 SEMBABULE-MASAKA'!F22)</f>
        <v>1</v>
      </c>
      <c r="G22" s="49">
        <f>AVERAGE('17.10 SEMBABULE-MASAKA'!G22,'18.10 SEMBABULE-MASAKA-24 HRS'!G22,'19.10 SEMBABULE MASAKA-24HRS'!G22,'20.10 SEMBABULE-MASAKA'!G22,'21.10 SEMBABULE-MASAKA'!G22,'22.10 SEMBABULE-MASAKA'!G22,'23.10 SEMBABULE-MASAKA'!G22)</f>
        <v>0</v>
      </c>
      <c r="H22" s="49">
        <f>AVERAGE('17.10 SEMBABULE-MASAKA'!H22,'18.10 SEMBABULE-MASAKA-24 HRS'!H22,'19.10 SEMBABULE MASAKA-24HRS'!H22,'20.10 SEMBABULE-MASAKA'!H22,'21.10 SEMBABULE-MASAKA'!H22,'22.10 SEMBABULE-MASAKA'!H22,'23.10 SEMBABULE-MASAKA'!H22)</f>
        <v>0</v>
      </c>
      <c r="I22" s="49">
        <f>AVERAGE('17.10 SEMBABULE-MASAKA'!I22,'18.10 SEMBABULE-MASAKA-24 HRS'!I22,'19.10 SEMBABULE MASAKA-24HRS'!I22,'20.10 SEMBABULE-MASAKA'!I22,'21.10 SEMBABULE-MASAKA'!I22,'22.10 SEMBABULE-MASAKA'!I22,'23.10 SEMBABULE-MASAKA'!I22)</f>
        <v>0.7142857142857143</v>
      </c>
      <c r="J22" s="49">
        <f>AVERAGE('17.10 SEMBABULE-MASAKA'!J22,'18.10 SEMBABULE-MASAKA-24 HRS'!J22,'19.10 SEMBABULE MASAKA-24HRS'!J22,'20.10 SEMBABULE-MASAKA'!J22,'21.10 SEMBABULE-MASAKA'!J22,'22.10 SEMBABULE-MASAKA'!J22,'23.10 SEMBABULE-MASAKA'!J22)</f>
        <v>0.42857142857142855</v>
      </c>
      <c r="K22" s="49">
        <f>AVERAGE('17.10 SEMBABULE-MASAKA'!K22,'18.10 SEMBABULE-MASAKA-24 HRS'!K22,'19.10 SEMBABULE MASAKA-24HRS'!K22,'20.10 SEMBABULE-MASAKA'!K22,'21.10 SEMBABULE-MASAKA'!K22,'22.10 SEMBABULE-MASAKA'!K22,'23.10 SEMBABULE-MASAKA'!K22)</f>
        <v>0.42857142857142855</v>
      </c>
      <c r="L22" s="49">
        <f>AVERAGE('17.10 SEMBABULE-MASAKA'!L22,'18.10 SEMBABULE-MASAKA-24 HRS'!L22,'19.10 SEMBABULE MASAKA-24HRS'!L22,'20.10 SEMBABULE-MASAKA'!L22,'21.10 SEMBABULE-MASAKA'!L22,'22.10 SEMBABULE-MASAKA'!L22,'23.10 SEMBABULE-MASAKA'!L22)</f>
        <v>0</v>
      </c>
      <c r="M22" s="49">
        <f>AVERAGE('17.10 SEMBABULE-MASAKA'!M22,'18.10 SEMBABULE-MASAKA-24 HRS'!M22,'19.10 SEMBABULE MASAKA-24HRS'!M22,'20.10 SEMBABULE-MASAKA'!M22,'21.10 SEMBABULE-MASAKA'!M22,'22.10 SEMBABULE-MASAKA'!M22,'23.10 SEMBABULE-MASAKA'!M22)</f>
        <v>4.4285714285714288</v>
      </c>
      <c r="N22" s="49">
        <f>AVERAGE('17.10 SEMBABULE-MASAKA'!N22,'18.10 SEMBABULE-MASAKA-24 HRS'!N22,'19.10 SEMBABULE MASAKA-24HRS'!N22,'20.10 SEMBABULE-MASAKA'!N22,'21.10 SEMBABULE-MASAKA'!N22,'22.10 SEMBABULE-MASAKA'!N22,'23.10 SEMBABULE-MASAKA'!N22)</f>
        <v>0</v>
      </c>
      <c r="O22" s="15">
        <f t="shared" si="0"/>
        <v>6.1428571428571432</v>
      </c>
      <c r="P22" s="15">
        <f t="shared" si="1"/>
        <v>10.571428571428573</v>
      </c>
      <c r="R22" s="1" t="s">
        <v>146</v>
      </c>
      <c r="S22" s="34">
        <f>SUM(C58:C61)</f>
        <v>8.5</v>
      </c>
      <c r="T22" s="34">
        <f t="shared" ref="T22:AF22" si="14">SUM(D58:D61)</f>
        <v>1.5</v>
      </c>
      <c r="U22" s="34">
        <f t="shared" si="14"/>
        <v>1</v>
      </c>
      <c r="V22" s="34">
        <f t="shared" si="14"/>
        <v>2</v>
      </c>
      <c r="W22" s="34">
        <f t="shared" si="14"/>
        <v>0.5</v>
      </c>
      <c r="X22" s="34">
        <f t="shared" si="14"/>
        <v>0</v>
      </c>
      <c r="Y22" s="34">
        <f t="shared" si="14"/>
        <v>4.5</v>
      </c>
      <c r="Z22" s="34">
        <f t="shared" si="14"/>
        <v>1.5</v>
      </c>
      <c r="AA22" s="34">
        <f t="shared" si="14"/>
        <v>0</v>
      </c>
      <c r="AB22" s="34">
        <f t="shared" si="14"/>
        <v>0</v>
      </c>
      <c r="AC22" s="34">
        <f t="shared" si="14"/>
        <v>30.5</v>
      </c>
      <c r="AD22" s="34">
        <f t="shared" si="14"/>
        <v>0</v>
      </c>
      <c r="AE22" s="31">
        <f t="shared" si="14"/>
        <v>19.5</v>
      </c>
      <c r="AF22" s="31">
        <f t="shared" si="14"/>
        <v>50</v>
      </c>
    </row>
    <row r="23" spans="2:32" ht="23.1" customHeight="1" x14ac:dyDescent="0.25">
      <c r="B23" s="23" t="s">
        <v>50</v>
      </c>
      <c r="C23" s="49">
        <f>AVERAGE('17.10 SEMBABULE-MASAKA'!C23,'18.10 SEMBABULE-MASAKA-24 HRS'!C23,'19.10 SEMBABULE MASAKA-24HRS'!C23,'20.10 SEMBABULE-MASAKA'!C23,'21.10 SEMBABULE-MASAKA'!C23,'22.10 SEMBABULE-MASAKA'!C23,'23.10 SEMBABULE-MASAKA'!C23)</f>
        <v>2</v>
      </c>
      <c r="D23" s="49">
        <f>AVERAGE('17.10 SEMBABULE-MASAKA'!D23,'18.10 SEMBABULE-MASAKA-24 HRS'!D23,'19.10 SEMBABULE MASAKA-24HRS'!D23,'20.10 SEMBABULE-MASAKA'!D23,'21.10 SEMBABULE-MASAKA'!D23,'22.10 SEMBABULE-MASAKA'!D23,'23.10 SEMBABULE-MASAKA'!D23)</f>
        <v>0.5714285714285714</v>
      </c>
      <c r="E23" s="49">
        <f>AVERAGE('17.10 SEMBABULE-MASAKA'!E23,'18.10 SEMBABULE-MASAKA-24 HRS'!E23,'19.10 SEMBABULE MASAKA-24HRS'!E23,'20.10 SEMBABULE-MASAKA'!E23,'21.10 SEMBABULE-MASAKA'!E23,'22.10 SEMBABULE-MASAKA'!E23,'23.10 SEMBABULE-MASAKA'!E23)</f>
        <v>0.2857142857142857</v>
      </c>
      <c r="F23" s="49">
        <f>AVERAGE('17.10 SEMBABULE-MASAKA'!F23,'18.10 SEMBABULE-MASAKA-24 HRS'!F23,'19.10 SEMBABULE MASAKA-24HRS'!F23,'20.10 SEMBABULE-MASAKA'!F23,'21.10 SEMBABULE-MASAKA'!F23,'22.10 SEMBABULE-MASAKA'!F23,'23.10 SEMBABULE-MASAKA'!F23)</f>
        <v>0.7142857142857143</v>
      </c>
      <c r="G23" s="49">
        <f>AVERAGE('17.10 SEMBABULE-MASAKA'!G23,'18.10 SEMBABULE-MASAKA-24 HRS'!G23,'19.10 SEMBABULE MASAKA-24HRS'!G23,'20.10 SEMBABULE-MASAKA'!G23,'21.10 SEMBABULE-MASAKA'!G23,'22.10 SEMBABULE-MASAKA'!G23,'23.10 SEMBABULE-MASAKA'!G23)</f>
        <v>0</v>
      </c>
      <c r="H23" s="49">
        <f>AVERAGE('17.10 SEMBABULE-MASAKA'!H23,'18.10 SEMBABULE-MASAKA-24 HRS'!H23,'19.10 SEMBABULE MASAKA-24HRS'!H23,'20.10 SEMBABULE-MASAKA'!H23,'21.10 SEMBABULE-MASAKA'!H23,'22.10 SEMBABULE-MASAKA'!H23,'23.10 SEMBABULE-MASAKA'!H23)</f>
        <v>0</v>
      </c>
      <c r="I23" s="49">
        <f>AVERAGE('17.10 SEMBABULE-MASAKA'!I23,'18.10 SEMBABULE-MASAKA-24 HRS'!I23,'19.10 SEMBABULE MASAKA-24HRS'!I23,'20.10 SEMBABULE-MASAKA'!I23,'21.10 SEMBABULE-MASAKA'!I23,'22.10 SEMBABULE-MASAKA'!I23,'23.10 SEMBABULE-MASAKA'!I23)</f>
        <v>2</v>
      </c>
      <c r="J23" s="49">
        <f>AVERAGE('17.10 SEMBABULE-MASAKA'!J23,'18.10 SEMBABULE-MASAKA-24 HRS'!J23,'19.10 SEMBABULE MASAKA-24HRS'!J23,'20.10 SEMBABULE-MASAKA'!J23,'21.10 SEMBABULE-MASAKA'!J23,'22.10 SEMBABULE-MASAKA'!J23,'23.10 SEMBABULE-MASAKA'!J23)</f>
        <v>0.7142857142857143</v>
      </c>
      <c r="K23" s="49">
        <f>AVERAGE('17.10 SEMBABULE-MASAKA'!K23,'18.10 SEMBABULE-MASAKA-24 HRS'!K23,'19.10 SEMBABULE MASAKA-24HRS'!K23,'20.10 SEMBABULE-MASAKA'!K23,'21.10 SEMBABULE-MASAKA'!K23,'22.10 SEMBABULE-MASAKA'!K23,'23.10 SEMBABULE-MASAKA'!K23)</f>
        <v>0.7142857142857143</v>
      </c>
      <c r="L23" s="49">
        <f>AVERAGE('17.10 SEMBABULE-MASAKA'!L23,'18.10 SEMBABULE-MASAKA-24 HRS'!L23,'19.10 SEMBABULE MASAKA-24HRS'!L23,'20.10 SEMBABULE-MASAKA'!L23,'21.10 SEMBABULE-MASAKA'!L23,'22.10 SEMBABULE-MASAKA'!L23,'23.10 SEMBABULE-MASAKA'!L23)</f>
        <v>0</v>
      </c>
      <c r="M23" s="49">
        <f>AVERAGE('17.10 SEMBABULE-MASAKA'!M23,'18.10 SEMBABULE-MASAKA-24 HRS'!M23,'19.10 SEMBABULE MASAKA-24HRS'!M23,'20.10 SEMBABULE-MASAKA'!M23,'21.10 SEMBABULE-MASAKA'!M23,'22.10 SEMBABULE-MASAKA'!M23,'23.10 SEMBABULE-MASAKA'!M23)</f>
        <v>5.1428571428571432</v>
      </c>
      <c r="N23" s="49">
        <f>AVERAGE('17.10 SEMBABULE-MASAKA'!N23,'18.10 SEMBABULE-MASAKA-24 HRS'!N23,'19.10 SEMBABULE MASAKA-24HRS'!N23,'20.10 SEMBABULE-MASAKA'!N23,'21.10 SEMBABULE-MASAKA'!N23,'22.10 SEMBABULE-MASAKA'!N23,'23.10 SEMBABULE-MASAKA'!N23)</f>
        <v>0</v>
      </c>
      <c r="O23" s="15">
        <f t="shared" si="0"/>
        <v>7</v>
      </c>
      <c r="P23" s="15">
        <f t="shared" si="1"/>
        <v>12.142857142857142</v>
      </c>
      <c r="R23" s="1" t="s">
        <v>147</v>
      </c>
      <c r="S23" s="34">
        <f>SUM(C62:C65)</f>
        <v>2.5</v>
      </c>
      <c r="T23" s="34">
        <f t="shared" ref="T23:AF23" si="15">SUM(D62:D65)</f>
        <v>0.5</v>
      </c>
      <c r="U23" s="34">
        <f t="shared" si="15"/>
        <v>0.5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3.5</v>
      </c>
      <c r="Z23" s="34">
        <f t="shared" si="15"/>
        <v>2</v>
      </c>
      <c r="AA23" s="34">
        <f t="shared" si="15"/>
        <v>0.5</v>
      </c>
      <c r="AB23" s="34">
        <f t="shared" si="15"/>
        <v>0</v>
      </c>
      <c r="AC23" s="34">
        <f t="shared" si="15"/>
        <v>26.5</v>
      </c>
      <c r="AD23" s="34">
        <f t="shared" si="15"/>
        <v>0</v>
      </c>
      <c r="AE23" s="31">
        <f t="shared" si="15"/>
        <v>10.5</v>
      </c>
      <c r="AF23" s="31">
        <f t="shared" si="15"/>
        <v>37</v>
      </c>
    </row>
    <row r="24" spans="2:32" ht="23.1" customHeight="1" x14ac:dyDescent="0.25">
      <c r="B24" s="23" t="s">
        <v>51</v>
      </c>
      <c r="C24" s="49">
        <f>AVERAGE('17.10 SEMBABULE-MASAKA'!C24,'18.10 SEMBABULE-MASAKA-24 HRS'!C24,'19.10 SEMBABULE MASAKA-24HRS'!C24,'20.10 SEMBABULE-MASAKA'!C24,'21.10 SEMBABULE-MASAKA'!C24,'22.10 SEMBABULE-MASAKA'!C24,'23.10 SEMBABULE-MASAKA'!C24)</f>
        <v>2.2857142857142856</v>
      </c>
      <c r="D24" s="49">
        <f>AVERAGE('17.10 SEMBABULE-MASAKA'!D24,'18.10 SEMBABULE-MASAKA-24 HRS'!D24,'19.10 SEMBABULE MASAKA-24HRS'!D24,'20.10 SEMBABULE-MASAKA'!D24,'21.10 SEMBABULE-MASAKA'!D24,'22.10 SEMBABULE-MASAKA'!D24,'23.10 SEMBABULE-MASAKA'!D24)</f>
        <v>0.2857142857142857</v>
      </c>
      <c r="E24" s="49">
        <f>AVERAGE('17.10 SEMBABULE-MASAKA'!E24,'18.10 SEMBABULE-MASAKA-24 HRS'!E24,'19.10 SEMBABULE MASAKA-24HRS'!E24,'20.10 SEMBABULE-MASAKA'!E24,'21.10 SEMBABULE-MASAKA'!E24,'22.10 SEMBABULE-MASAKA'!E24,'23.10 SEMBABULE-MASAKA'!E24)</f>
        <v>0.2857142857142857</v>
      </c>
      <c r="F24" s="49">
        <f>AVERAGE('17.10 SEMBABULE-MASAKA'!F24,'18.10 SEMBABULE-MASAKA-24 HRS'!F24,'19.10 SEMBABULE MASAKA-24HRS'!F24,'20.10 SEMBABULE-MASAKA'!F24,'21.10 SEMBABULE-MASAKA'!F24,'22.10 SEMBABULE-MASAKA'!F24,'23.10 SEMBABULE-MASAKA'!F24)</f>
        <v>1.4285714285714286</v>
      </c>
      <c r="G24" s="49">
        <f>AVERAGE('17.10 SEMBABULE-MASAKA'!G24,'18.10 SEMBABULE-MASAKA-24 HRS'!G24,'19.10 SEMBABULE MASAKA-24HRS'!G24,'20.10 SEMBABULE-MASAKA'!G24,'21.10 SEMBABULE-MASAKA'!G24,'22.10 SEMBABULE-MASAKA'!G24,'23.10 SEMBABULE-MASAKA'!G24)</f>
        <v>0</v>
      </c>
      <c r="H24" s="49">
        <f>AVERAGE('17.10 SEMBABULE-MASAKA'!H24,'18.10 SEMBABULE-MASAKA-24 HRS'!H24,'19.10 SEMBABULE MASAKA-24HRS'!H24,'20.10 SEMBABULE-MASAKA'!H24,'21.10 SEMBABULE-MASAKA'!H24,'22.10 SEMBABULE-MASAKA'!H24,'23.10 SEMBABULE-MASAKA'!H24)</f>
        <v>0</v>
      </c>
      <c r="I24" s="49">
        <f>AVERAGE('17.10 SEMBABULE-MASAKA'!I24,'18.10 SEMBABULE-MASAKA-24 HRS'!I24,'19.10 SEMBABULE MASAKA-24HRS'!I24,'20.10 SEMBABULE-MASAKA'!I24,'21.10 SEMBABULE-MASAKA'!I24,'22.10 SEMBABULE-MASAKA'!I24,'23.10 SEMBABULE-MASAKA'!I24)</f>
        <v>1.1428571428571428</v>
      </c>
      <c r="J24" s="49">
        <f>AVERAGE('17.10 SEMBABULE-MASAKA'!J24,'18.10 SEMBABULE-MASAKA-24 HRS'!J24,'19.10 SEMBABULE MASAKA-24HRS'!J24,'20.10 SEMBABULE-MASAKA'!J24,'21.10 SEMBABULE-MASAKA'!J24,'22.10 SEMBABULE-MASAKA'!J24,'23.10 SEMBABULE-MASAKA'!J24)</f>
        <v>0.42857142857142855</v>
      </c>
      <c r="K24" s="49">
        <f>AVERAGE('17.10 SEMBABULE-MASAKA'!K24,'18.10 SEMBABULE-MASAKA-24 HRS'!K24,'19.10 SEMBABULE MASAKA-24HRS'!K24,'20.10 SEMBABULE-MASAKA'!K24,'21.10 SEMBABULE-MASAKA'!K24,'22.10 SEMBABULE-MASAKA'!K24,'23.10 SEMBABULE-MASAKA'!K24)</f>
        <v>0.8571428571428571</v>
      </c>
      <c r="L24" s="49">
        <f>AVERAGE('17.10 SEMBABULE-MASAKA'!L24,'18.10 SEMBABULE-MASAKA-24 HRS'!L24,'19.10 SEMBABULE MASAKA-24HRS'!L24,'20.10 SEMBABULE-MASAKA'!L24,'21.10 SEMBABULE-MASAKA'!L24,'22.10 SEMBABULE-MASAKA'!L24,'23.10 SEMBABULE-MASAKA'!L24)</f>
        <v>0</v>
      </c>
      <c r="M24" s="49">
        <f>AVERAGE('17.10 SEMBABULE-MASAKA'!M24,'18.10 SEMBABULE-MASAKA-24 HRS'!M24,'19.10 SEMBABULE MASAKA-24HRS'!M24,'20.10 SEMBABULE-MASAKA'!M24,'21.10 SEMBABULE-MASAKA'!M24,'22.10 SEMBABULE-MASAKA'!M24,'23.10 SEMBABULE-MASAKA'!M24)</f>
        <v>6.1428571428571432</v>
      </c>
      <c r="N24" s="49">
        <f>AVERAGE('17.10 SEMBABULE-MASAKA'!N24,'18.10 SEMBABULE-MASAKA-24 HRS'!N24,'19.10 SEMBABULE MASAKA-24HRS'!N24,'20.10 SEMBABULE-MASAKA'!N24,'21.10 SEMBABULE-MASAKA'!N24,'22.10 SEMBABULE-MASAKA'!N24,'23.10 SEMBABULE-MASAKA'!N24)</f>
        <v>0</v>
      </c>
      <c r="O24" s="15">
        <f t="shared" si="0"/>
        <v>6.7142857142857144</v>
      </c>
      <c r="P24" s="15">
        <f t="shared" si="1"/>
        <v>12.857142857142858</v>
      </c>
      <c r="R24" s="1" t="s">
        <v>148</v>
      </c>
      <c r="S24" s="34">
        <f>SUM(C66:C69)</f>
        <v>8</v>
      </c>
      <c r="T24" s="34">
        <f t="shared" ref="T24:AF24" si="16">SUM(D66:D69)</f>
        <v>0.5</v>
      </c>
      <c r="U24" s="34">
        <f t="shared" si="16"/>
        <v>0.5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2.5</v>
      </c>
      <c r="Z24" s="34">
        <f t="shared" si="16"/>
        <v>4</v>
      </c>
      <c r="AA24" s="34">
        <f t="shared" si="16"/>
        <v>0</v>
      </c>
      <c r="AB24" s="34">
        <f t="shared" si="16"/>
        <v>0</v>
      </c>
      <c r="AC24" s="34">
        <f t="shared" si="16"/>
        <v>14.5</v>
      </c>
      <c r="AD24" s="34">
        <f t="shared" si="16"/>
        <v>0</v>
      </c>
      <c r="AE24" s="31">
        <f t="shared" si="16"/>
        <v>16.5</v>
      </c>
      <c r="AF24" s="31">
        <f t="shared" si="16"/>
        <v>31</v>
      </c>
    </row>
    <row r="25" spans="2:32" ht="23.1" customHeight="1" x14ac:dyDescent="0.25">
      <c r="B25" s="23" t="s">
        <v>52</v>
      </c>
      <c r="C25" s="49">
        <f>AVERAGE('17.10 SEMBABULE-MASAKA'!C25,'18.10 SEMBABULE-MASAKA-24 HRS'!C25,'19.10 SEMBABULE MASAKA-24HRS'!C25,'20.10 SEMBABULE-MASAKA'!C25,'21.10 SEMBABULE-MASAKA'!C25,'22.10 SEMBABULE-MASAKA'!C25,'23.10 SEMBABULE-MASAKA'!C25)</f>
        <v>3.1428571428571428</v>
      </c>
      <c r="D25" s="49">
        <f>AVERAGE('17.10 SEMBABULE-MASAKA'!D25,'18.10 SEMBABULE-MASAKA-24 HRS'!D25,'19.10 SEMBABULE MASAKA-24HRS'!D25,'20.10 SEMBABULE-MASAKA'!D25,'21.10 SEMBABULE-MASAKA'!D25,'22.10 SEMBABULE-MASAKA'!D25,'23.10 SEMBABULE-MASAKA'!D25)</f>
        <v>0.14285714285714285</v>
      </c>
      <c r="E25" s="49">
        <f>AVERAGE('17.10 SEMBABULE-MASAKA'!E25,'18.10 SEMBABULE-MASAKA-24 HRS'!E25,'19.10 SEMBABULE MASAKA-24HRS'!E25,'20.10 SEMBABULE-MASAKA'!E25,'21.10 SEMBABULE-MASAKA'!E25,'22.10 SEMBABULE-MASAKA'!E25,'23.10 SEMBABULE-MASAKA'!E25)</f>
        <v>0.7142857142857143</v>
      </c>
      <c r="F25" s="49">
        <f>AVERAGE('17.10 SEMBABULE-MASAKA'!F25,'18.10 SEMBABULE-MASAKA-24 HRS'!F25,'19.10 SEMBABULE MASAKA-24HRS'!F25,'20.10 SEMBABULE-MASAKA'!F25,'21.10 SEMBABULE-MASAKA'!F25,'22.10 SEMBABULE-MASAKA'!F25,'23.10 SEMBABULE-MASAKA'!F25)</f>
        <v>0.42857142857142855</v>
      </c>
      <c r="G25" s="49">
        <f>AVERAGE('17.10 SEMBABULE-MASAKA'!G25,'18.10 SEMBABULE-MASAKA-24 HRS'!G25,'19.10 SEMBABULE MASAKA-24HRS'!G25,'20.10 SEMBABULE-MASAKA'!G25,'21.10 SEMBABULE-MASAKA'!G25,'22.10 SEMBABULE-MASAKA'!G25,'23.10 SEMBABULE-MASAKA'!G25)</f>
        <v>0</v>
      </c>
      <c r="H25" s="49">
        <f>AVERAGE('17.10 SEMBABULE-MASAKA'!H25,'18.10 SEMBABULE-MASAKA-24 HRS'!H25,'19.10 SEMBABULE MASAKA-24HRS'!H25,'20.10 SEMBABULE-MASAKA'!H25,'21.10 SEMBABULE-MASAKA'!H25,'22.10 SEMBABULE-MASAKA'!H25,'23.10 SEMBABULE-MASAKA'!H25)</f>
        <v>0</v>
      </c>
      <c r="I25" s="49">
        <f>AVERAGE('17.10 SEMBABULE-MASAKA'!I25,'18.10 SEMBABULE-MASAKA-24 HRS'!I25,'19.10 SEMBABULE MASAKA-24HRS'!I25,'20.10 SEMBABULE-MASAKA'!I25,'21.10 SEMBABULE-MASAKA'!I25,'22.10 SEMBABULE-MASAKA'!I25,'23.10 SEMBABULE-MASAKA'!I25)</f>
        <v>1</v>
      </c>
      <c r="J25" s="49">
        <f>AVERAGE('17.10 SEMBABULE-MASAKA'!J25,'18.10 SEMBABULE-MASAKA-24 HRS'!J25,'19.10 SEMBABULE MASAKA-24HRS'!J25,'20.10 SEMBABULE-MASAKA'!J25,'21.10 SEMBABULE-MASAKA'!J25,'22.10 SEMBABULE-MASAKA'!J25,'23.10 SEMBABULE-MASAKA'!J25)</f>
        <v>0.5714285714285714</v>
      </c>
      <c r="K25" s="49">
        <f>AVERAGE('17.10 SEMBABULE-MASAKA'!K25,'18.10 SEMBABULE-MASAKA-24 HRS'!K25,'19.10 SEMBABULE MASAKA-24HRS'!K25,'20.10 SEMBABULE-MASAKA'!K25,'21.10 SEMBABULE-MASAKA'!K25,'22.10 SEMBABULE-MASAKA'!K25,'23.10 SEMBABULE-MASAKA'!K25)</f>
        <v>1</v>
      </c>
      <c r="L25" s="49">
        <f>AVERAGE('17.10 SEMBABULE-MASAKA'!L25,'18.10 SEMBABULE-MASAKA-24 HRS'!L25,'19.10 SEMBABULE MASAKA-24HRS'!L25,'20.10 SEMBABULE-MASAKA'!L25,'21.10 SEMBABULE-MASAKA'!L25,'22.10 SEMBABULE-MASAKA'!L25,'23.10 SEMBABULE-MASAKA'!L25)</f>
        <v>0</v>
      </c>
      <c r="M25" s="49">
        <f>AVERAGE('17.10 SEMBABULE-MASAKA'!M25,'18.10 SEMBABULE-MASAKA-24 HRS'!M25,'19.10 SEMBABULE MASAKA-24HRS'!M25,'20.10 SEMBABULE-MASAKA'!M25,'21.10 SEMBABULE-MASAKA'!M25,'22.10 SEMBABULE-MASAKA'!M25,'23.10 SEMBABULE-MASAKA'!M25)</f>
        <v>8.2857142857142865</v>
      </c>
      <c r="N25" s="49">
        <f>AVERAGE('17.10 SEMBABULE-MASAKA'!N25,'18.10 SEMBABULE-MASAKA-24 HRS'!N25,'19.10 SEMBABULE MASAKA-24HRS'!N25,'20.10 SEMBABULE-MASAKA'!N25,'21.10 SEMBABULE-MASAKA'!N25,'22.10 SEMBABULE-MASAKA'!N25,'23.10 SEMBABULE-MASAKA'!N25)</f>
        <v>0</v>
      </c>
      <c r="O25" s="15">
        <f t="shared" si="0"/>
        <v>7</v>
      </c>
      <c r="P25" s="15">
        <f t="shared" si="1"/>
        <v>15.285714285714286</v>
      </c>
      <c r="R25" s="1" t="s">
        <v>149</v>
      </c>
      <c r="S25" s="34">
        <f>SUM(C70:C73)</f>
        <v>6.5</v>
      </c>
      <c r="T25" s="34">
        <f t="shared" ref="T25:AF25" si="17">SUM(D70:D73)</f>
        <v>0.5</v>
      </c>
      <c r="U25" s="34">
        <f t="shared" si="17"/>
        <v>0.5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1.5</v>
      </c>
      <c r="AA25" s="34">
        <f t="shared" si="17"/>
        <v>0.5</v>
      </c>
      <c r="AB25" s="34">
        <f t="shared" si="17"/>
        <v>0</v>
      </c>
      <c r="AC25" s="34">
        <f t="shared" si="17"/>
        <v>11</v>
      </c>
      <c r="AD25" s="34">
        <f t="shared" si="17"/>
        <v>0</v>
      </c>
      <c r="AE25" s="31">
        <f t="shared" si="17"/>
        <v>9.5</v>
      </c>
      <c r="AF25" s="31">
        <f t="shared" si="17"/>
        <v>20.5</v>
      </c>
    </row>
    <row r="26" spans="2:32" ht="23.1" customHeight="1" x14ac:dyDescent="0.25">
      <c r="B26" s="23" t="s">
        <v>53</v>
      </c>
      <c r="C26" s="49">
        <f>AVERAGE('17.10 SEMBABULE-MASAKA'!C26,'18.10 SEMBABULE-MASAKA-24 HRS'!C26,'19.10 SEMBABULE MASAKA-24HRS'!C26,'20.10 SEMBABULE-MASAKA'!C26,'21.10 SEMBABULE-MASAKA'!C26,'22.10 SEMBABULE-MASAKA'!C26,'23.10 SEMBABULE-MASAKA'!C26)</f>
        <v>2.2857142857142856</v>
      </c>
      <c r="D26" s="49">
        <f>AVERAGE('17.10 SEMBABULE-MASAKA'!D26,'18.10 SEMBABULE-MASAKA-24 HRS'!D26,'19.10 SEMBABULE MASAKA-24HRS'!D26,'20.10 SEMBABULE-MASAKA'!D26,'21.10 SEMBABULE-MASAKA'!D26,'22.10 SEMBABULE-MASAKA'!D26,'23.10 SEMBABULE-MASAKA'!D26)</f>
        <v>0.42857142857142855</v>
      </c>
      <c r="E26" s="49">
        <f>AVERAGE('17.10 SEMBABULE-MASAKA'!E26,'18.10 SEMBABULE-MASAKA-24 HRS'!E26,'19.10 SEMBABULE MASAKA-24HRS'!E26,'20.10 SEMBABULE-MASAKA'!E26,'21.10 SEMBABULE-MASAKA'!E26,'22.10 SEMBABULE-MASAKA'!E26,'23.10 SEMBABULE-MASAKA'!E26)</f>
        <v>0.42857142857142855</v>
      </c>
      <c r="F26" s="49">
        <f>AVERAGE('17.10 SEMBABULE-MASAKA'!F26,'18.10 SEMBABULE-MASAKA-24 HRS'!F26,'19.10 SEMBABULE MASAKA-24HRS'!F26,'20.10 SEMBABULE-MASAKA'!F26,'21.10 SEMBABULE-MASAKA'!F26,'22.10 SEMBABULE-MASAKA'!F26,'23.10 SEMBABULE-MASAKA'!F26)</f>
        <v>0.42857142857142855</v>
      </c>
      <c r="G26" s="49">
        <f>AVERAGE('17.10 SEMBABULE-MASAKA'!G26,'18.10 SEMBABULE-MASAKA-24 HRS'!G26,'19.10 SEMBABULE MASAKA-24HRS'!G26,'20.10 SEMBABULE-MASAKA'!G26,'21.10 SEMBABULE-MASAKA'!G26,'22.10 SEMBABULE-MASAKA'!G26,'23.10 SEMBABULE-MASAKA'!G26)</f>
        <v>0</v>
      </c>
      <c r="H26" s="49">
        <f>AVERAGE('17.10 SEMBABULE-MASAKA'!H26,'18.10 SEMBABULE-MASAKA-24 HRS'!H26,'19.10 SEMBABULE MASAKA-24HRS'!H26,'20.10 SEMBABULE-MASAKA'!H26,'21.10 SEMBABULE-MASAKA'!H26,'22.10 SEMBABULE-MASAKA'!H26,'23.10 SEMBABULE-MASAKA'!H26)</f>
        <v>0</v>
      </c>
      <c r="I26" s="49">
        <f>AVERAGE('17.10 SEMBABULE-MASAKA'!I26,'18.10 SEMBABULE-MASAKA-24 HRS'!I26,'19.10 SEMBABULE MASAKA-24HRS'!I26,'20.10 SEMBABULE-MASAKA'!I26,'21.10 SEMBABULE-MASAKA'!I26,'22.10 SEMBABULE-MASAKA'!I26,'23.10 SEMBABULE-MASAKA'!I26)</f>
        <v>0.2857142857142857</v>
      </c>
      <c r="J26" s="49">
        <f>AVERAGE('17.10 SEMBABULE-MASAKA'!J26,'18.10 SEMBABULE-MASAKA-24 HRS'!J26,'19.10 SEMBABULE MASAKA-24HRS'!J26,'20.10 SEMBABULE-MASAKA'!J26,'21.10 SEMBABULE-MASAKA'!J26,'22.10 SEMBABULE-MASAKA'!J26,'23.10 SEMBABULE-MASAKA'!J26)</f>
        <v>0.42857142857142855</v>
      </c>
      <c r="K26" s="49">
        <f>AVERAGE('17.10 SEMBABULE-MASAKA'!K26,'18.10 SEMBABULE-MASAKA-24 HRS'!K26,'19.10 SEMBABULE MASAKA-24HRS'!K26,'20.10 SEMBABULE-MASAKA'!K26,'21.10 SEMBABULE-MASAKA'!K26,'22.10 SEMBABULE-MASAKA'!K26,'23.10 SEMBABULE-MASAKA'!K26)</f>
        <v>0.2857142857142857</v>
      </c>
      <c r="L26" s="49">
        <f>AVERAGE('17.10 SEMBABULE-MASAKA'!L26,'18.10 SEMBABULE-MASAKA-24 HRS'!L26,'19.10 SEMBABULE MASAKA-24HRS'!L26,'20.10 SEMBABULE-MASAKA'!L26,'21.10 SEMBABULE-MASAKA'!L26,'22.10 SEMBABULE-MASAKA'!L26,'23.10 SEMBABULE-MASAKA'!L26)</f>
        <v>0</v>
      </c>
      <c r="M26" s="49">
        <f>AVERAGE('17.10 SEMBABULE-MASAKA'!M26,'18.10 SEMBABULE-MASAKA-24 HRS'!M26,'19.10 SEMBABULE MASAKA-24HRS'!M26,'20.10 SEMBABULE-MASAKA'!M26,'21.10 SEMBABULE-MASAKA'!M26,'22.10 SEMBABULE-MASAKA'!M26,'23.10 SEMBABULE-MASAKA'!M26)</f>
        <v>7.2857142857142856</v>
      </c>
      <c r="N26" s="49">
        <f>AVERAGE('17.10 SEMBABULE-MASAKA'!N26,'18.10 SEMBABULE-MASAKA-24 HRS'!N26,'19.10 SEMBABULE MASAKA-24HRS'!N26,'20.10 SEMBABULE-MASAKA'!N26,'21.10 SEMBABULE-MASAKA'!N26,'22.10 SEMBABULE-MASAKA'!N26,'23.10 SEMBABULE-MASAKA'!N26)</f>
        <v>0</v>
      </c>
      <c r="O26" s="15">
        <f t="shared" si="0"/>
        <v>4.5714285714285703</v>
      </c>
      <c r="P26" s="15">
        <f t="shared" si="1"/>
        <v>11.857142857142856</v>
      </c>
      <c r="R26" s="1" t="s">
        <v>150</v>
      </c>
      <c r="S26" s="34">
        <f>SUM(C74:C77)</f>
        <v>1.5</v>
      </c>
      <c r="T26" s="34">
        <f t="shared" ref="T26:AF26" si="18">SUM(D74:D77)</f>
        <v>1.5</v>
      </c>
      <c r="U26" s="34">
        <f t="shared" si="18"/>
        <v>1</v>
      </c>
      <c r="V26" s="34">
        <f t="shared" si="18"/>
        <v>0.5</v>
      </c>
      <c r="W26" s="34">
        <f t="shared" si="18"/>
        <v>0</v>
      </c>
      <c r="X26" s="34">
        <f t="shared" si="18"/>
        <v>0</v>
      </c>
      <c r="Y26" s="34">
        <f t="shared" si="18"/>
        <v>2.5</v>
      </c>
      <c r="Z26" s="34">
        <f t="shared" si="18"/>
        <v>2.5</v>
      </c>
      <c r="AA26" s="34">
        <f t="shared" si="18"/>
        <v>0.5</v>
      </c>
      <c r="AB26" s="34">
        <f t="shared" si="18"/>
        <v>0</v>
      </c>
      <c r="AC26" s="34">
        <f t="shared" si="18"/>
        <v>4</v>
      </c>
      <c r="AD26" s="34">
        <f t="shared" si="18"/>
        <v>0</v>
      </c>
      <c r="AE26" s="31">
        <f t="shared" si="18"/>
        <v>10</v>
      </c>
      <c r="AF26" s="31">
        <f t="shared" si="18"/>
        <v>14</v>
      </c>
    </row>
    <row r="27" spans="2:32" ht="23.1" customHeight="1" x14ac:dyDescent="0.25">
      <c r="B27" s="23" t="s">
        <v>54</v>
      </c>
      <c r="C27" s="49">
        <f>AVERAGE('17.10 SEMBABULE-MASAKA'!C27,'18.10 SEMBABULE-MASAKA-24 HRS'!C27,'19.10 SEMBABULE MASAKA-24HRS'!C27,'20.10 SEMBABULE-MASAKA'!C27,'21.10 SEMBABULE-MASAKA'!C27,'22.10 SEMBABULE-MASAKA'!C27,'23.10 SEMBABULE-MASAKA'!C27)</f>
        <v>3.1428571428571428</v>
      </c>
      <c r="D27" s="49">
        <f>AVERAGE('17.10 SEMBABULE-MASAKA'!D27,'18.10 SEMBABULE-MASAKA-24 HRS'!D27,'19.10 SEMBABULE MASAKA-24HRS'!D27,'20.10 SEMBABULE-MASAKA'!D27,'21.10 SEMBABULE-MASAKA'!D27,'22.10 SEMBABULE-MASAKA'!D27,'23.10 SEMBABULE-MASAKA'!D27)</f>
        <v>0</v>
      </c>
      <c r="E27" s="49">
        <f>AVERAGE('17.10 SEMBABULE-MASAKA'!E27,'18.10 SEMBABULE-MASAKA-24 HRS'!E27,'19.10 SEMBABULE MASAKA-24HRS'!E27,'20.10 SEMBABULE-MASAKA'!E27,'21.10 SEMBABULE-MASAKA'!E27,'22.10 SEMBABULE-MASAKA'!E27,'23.10 SEMBABULE-MASAKA'!E27)</f>
        <v>0.5714285714285714</v>
      </c>
      <c r="F27" s="49">
        <f>AVERAGE('17.10 SEMBABULE-MASAKA'!F27,'18.10 SEMBABULE-MASAKA-24 HRS'!F27,'19.10 SEMBABULE MASAKA-24HRS'!F27,'20.10 SEMBABULE-MASAKA'!F27,'21.10 SEMBABULE-MASAKA'!F27,'22.10 SEMBABULE-MASAKA'!F27,'23.10 SEMBABULE-MASAKA'!F27)</f>
        <v>0.42857142857142855</v>
      </c>
      <c r="G27" s="49">
        <f>AVERAGE('17.10 SEMBABULE-MASAKA'!G27,'18.10 SEMBABULE-MASAKA-24 HRS'!G27,'19.10 SEMBABULE MASAKA-24HRS'!G27,'20.10 SEMBABULE-MASAKA'!G27,'21.10 SEMBABULE-MASAKA'!G27,'22.10 SEMBABULE-MASAKA'!G27,'23.10 SEMBABULE-MASAKA'!G27)</f>
        <v>0</v>
      </c>
      <c r="H27" s="49">
        <f>AVERAGE('17.10 SEMBABULE-MASAKA'!H27,'18.10 SEMBABULE-MASAKA-24 HRS'!H27,'19.10 SEMBABULE MASAKA-24HRS'!H27,'20.10 SEMBABULE-MASAKA'!H27,'21.10 SEMBABULE-MASAKA'!H27,'22.10 SEMBABULE-MASAKA'!H27,'23.10 SEMBABULE-MASAKA'!H27)</f>
        <v>0</v>
      </c>
      <c r="I27" s="49">
        <f>AVERAGE('17.10 SEMBABULE-MASAKA'!I27,'18.10 SEMBABULE-MASAKA-24 HRS'!I27,'19.10 SEMBABULE MASAKA-24HRS'!I27,'20.10 SEMBABULE-MASAKA'!I27,'21.10 SEMBABULE-MASAKA'!I27,'22.10 SEMBABULE-MASAKA'!I27,'23.10 SEMBABULE-MASAKA'!I27)</f>
        <v>0.8571428571428571</v>
      </c>
      <c r="J27" s="49">
        <f>AVERAGE('17.10 SEMBABULE-MASAKA'!J27,'18.10 SEMBABULE-MASAKA-24 HRS'!J27,'19.10 SEMBABULE MASAKA-24HRS'!J27,'20.10 SEMBABULE-MASAKA'!J27,'21.10 SEMBABULE-MASAKA'!J27,'22.10 SEMBABULE-MASAKA'!J27,'23.10 SEMBABULE-MASAKA'!J27)</f>
        <v>0.42857142857142855</v>
      </c>
      <c r="K27" s="49">
        <f>AVERAGE('17.10 SEMBABULE-MASAKA'!K27,'18.10 SEMBABULE-MASAKA-24 HRS'!K27,'19.10 SEMBABULE MASAKA-24HRS'!K27,'20.10 SEMBABULE-MASAKA'!K27,'21.10 SEMBABULE-MASAKA'!K27,'22.10 SEMBABULE-MASAKA'!K27,'23.10 SEMBABULE-MASAKA'!K27)</f>
        <v>0.14285714285714285</v>
      </c>
      <c r="L27" s="49">
        <f>AVERAGE('17.10 SEMBABULE-MASAKA'!L27,'18.10 SEMBABULE-MASAKA-24 HRS'!L27,'19.10 SEMBABULE MASAKA-24HRS'!L27,'20.10 SEMBABULE-MASAKA'!L27,'21.10 SEMBABULE-MASAKA'!L27,'22.10 SEMBABULE-MASAKA'!L27,'23.10 SEMBABULE-MASAKA'!L27)</f>
        <v>0.14285714285714285</v>
      </c>
      <c r="M27" s="49">
        <f>AVERAGE('17.10 SEMBABULE-MASAKA'!M27,'18.10 SEMBABULE-MASAKA-24 HRS'!M27,'19.10 SEMBABULE MASAKA-24HRS'!M27,'20.10 SEMBABULE-MASAKA'!M27,'21.10 SEMBABULE-MASAKA'!M27,'22.10 SEMBABULE-MASAKA'!M27,'23.10 SEMBABULE-MASAKA'!M27)</f>
        <v>7.5714285714285712</v>
      </c>
      <c r="N27" s="49">
        <f>AVERAGE('17.10 SEMBABULE-MASAKA'!N27,'18.10 SEMBABULE-MASAKA-24 HRS'!N27,'19.10 SEMBABULE MASAKA-24HRS'!N27,'20.10 SEMBABULE-MASAKA'!N27,'21.10 SEMBABULE-MASAKA'!N27,'22.10 SEMBABULE-MASAKA'!N27,'23.10 SEMBABULE-MASAKA'!N27)</f>
        <v>0</v>
      </c>
      <c r="O27" s="15">
        <f t="shared" si="0"/>
        <v>5.7142857142857153</v>
      </c>
      <c r="P27" s="15">
        <f t="shared" si="1"/>
        <v>13.285714285714286</v>
      </c>
      <c r="R27" s="1" t="s">
        <v>151</v>
      </c>
      <c r="S27" s="34">
        <f>SUM(C78:C81)</f>
        <v>2.5</v>
      </c>
      <c r="T27" s="34">
        <f t="shared" ref="T27:AF27" si="19">SUM(D78:D81)</f>
        <v>1.5</v>
      </c>
      <c r="U27" s="34">
        <f t="shared" si="19"/>
        <v>2.5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2.5</v>
      </c>
      <c r="AA27" s="34">
        <f t="shared" si="19"/>
        <v>0.5</v>
      </c>
      <c r="AB27" s="34">
        <f t="shared" si="19"/>
        <v>0</v>
      </c>
      <c r="AC27" s="34">
        <f t="shared" si="19"/>
        <v>4</v>
      </c>
      <c r="AD27" s="34">
        <f t="shared" si="19"/>
        <v>0</v>
      </c>
      <c r="AE27" s="31">
        <f t="shared" si="19"/>
        <v>11.5</v>
      </c>
      <c r="AF27" s="31">
        <f t="shared" si="19"/>
        <v>15.5</v>
      </c>
    </row>
    <row r="28" spans="2:32" ht="23.1" customHeight="1" x14ac:dyDescent="0.25">
      <c r="B28" s="23" t="s">
        <v>55</v>
      </c>
      <c r="C28" s="49">
        <f>AVERAGE('17.10 SEMBABULE-MASAKA'!C28,'18.10 SEMBABULE-MASAKA-24 HRS'!C28,'19.10 SEMBABULE MASAKA-24HRS'!C28,'20.10 SEMBABULE-MASAKA'!C28,'21.10 SEMBABULE-MASAKA'!C28,'22.10 SEMBABULE-MASAKA'!C28,'23.10 SEMBABULE-MASAKA'!C28)</f>
        <v>3</v>
      </c>
      <c r="D28" s="49">
        <f>AVERAGE('17.10 SEMBABULE-MASAKA'!D28,'18.10 SEMBABULE-MASAKA-24 HRS'!D28,'19.10 SEMBABULE MASAKA-24HRS'!D28,'20.10 SEMBABULE-MASAKA'!D28,'21.10 SEMBABULE-MASAKA'!D28,'22.10 SEMBABULE-MASAKA'!D28,'23.10 SEMBABULE-MASAKA'!D28)</f>
        <v>0.14285714285714285</v>
      </c>
      <c r="E28" s="49">
        <f>AVERAGE('17.10 SEMBABULE-MASAKA'!E28,'18.10 SEMBABULE-MASAKA-24 HRS'!E28,'19.10 SEMBABULE MASAKA-24HRS'!E28,'20.10 SEMBABULE-MASAKA'!E28,'21.10 SEMBABULE-MASAKA'!E28,'22.10 SEMBABULE-MASAKA'!E28,'23.10 SEMBABULE-MASAKA'!E28)</f>
        <v>0.5714285714285714</v>
      </c>
      <c r="F28" s="49">
        <f>AVERAGE('17.10 SEMBABULE-MASAKA'!F28,'18.10 SEMBABULE-MASAKA-24 HRS'!F28,'19.10 SEMBABULE MASAKA-24HRS'!F28,'20.10 SEMBABULE-MASAKA'!F28,'21.10 SEMBABULE-MASAKA'!F28,'22.10 SEMBABULE-MASAKA'!F28,'23.10 SEMBABULE-MASAKA'!F28)</f>
        <v>0</v>
      </c>
      <c r="G28" s="49">
        <f>AVERAGE('17.10 SEMBABULE-MASAKA'!G28,'18.10 SEMBABULE-MASAKA-24 HRS'!G28,'19.10 SEMBABULE MASAKA-24HRS'!G28,'20.10 SEMBABULE-MASAKA'!G28,'21.10 SEMBABULE-MASAKA'!G28,'22.10 SEMBABULE-MASAKA'!G28,'23.10 SEMBABULE-MASAKA'!G28)</f>
        <v>0</v>
      </c>
      <c r="H28" s="49">
        <f>AVERAGE('17.10 SEMBABULE-MASAKA'!H28,'18.10 SEMBABULE-MASAKA-24 HRS'!H28,'19.10 SEMBABULE MASAKA-24HRS'!H28,'20.10 SEMBABULE-MASAKA'!H28,'21.10 SEMBABULE-MASAKA'!H28,'22.10 SEMBABULE-MASAKA'!H28,'23.10 SEMBABULE-MASAKA'!H28)</f>
        <v>0</v>
      </c>
      <c r="I28" s="49">
        <f>AVERAGE('17.10 SEMBABULE-MASAKA'!I28,'18.10 SEMBABULE-MASAKA-24 HRS'!I28,'19.10 SEMBABULE MASAKA-24HRS'!I28,'20.10 SEMBABULE-MASAKA'!I28,'21.10 SEMBABULE-MASAKA'!I28,'22.10 SEMBABULE-MASAKA'!I28,'23.10 SEMBABULE-MASAKA'!I28)</f>
        <v>1.2857142857142858</v>
      </c>
      <c r="J28" s="49">
        <f>AVERAGE('17.10 SEMBABULE-MASAKA'!J28,'18.10 SEMBABULE-MASAKA-24 HRS'!J28,'19.10 SEMBABULE MASAKA-24HRS'!J28,'20.10 SEMBABULE-MASAKA'!J28,'21.10 SEMBABULE-MASAKA'!J28,'22.10 SEMBABULE-MASAKA'!J28,'23.10 SEMBABULE-MASAKA'!J28)</f>
        <v>0.2857142857142857</v>
      </c>
      <c r="K28" s="49">
        <f>AVERAGE('17.10 SEMBABULE-MASAKA'!K28,'18.10 SEMBABULE-MASAKA-24 HRS'!K28,'19.10 SEMBABULE MASAKA-24HRS'!K28,'20.10 SEMBABULE-MASAKA'!K28,'21.10 SEMBABULE-MASAKA'!K28,'22.10 SEMBABULE-MASAKA'!K28,'23.10 SEMBABULE-MASAKA'!K28)</f>
        <v>0.14285714285714285</v>
      </c>
      <c r="L28" s="49">
        <f>AVERAGE('17.10 SEMBABULE-MASAKA'!L28,'18.10 SEMBABULE-MASAKA-24 HRS'!L28,'19.10 SEMBABULE MASAKA-24HRS'!L28,'20.10 SEMBABULE-MASAKA'!L28,'21.10 SEMBABULE-MASAKA'!L28,'22.10 SEMBABULE-MASAKA'!L28,'23.10 SEMBABULE-MASAKA'!L28)</f>
        <v>0</v>
      </c>
      <c r="M28" s="49">
        <f>AVERAGE('17.10 SEMBABULE-MASAKA'!M28,'18.10 SEMBABULE-MASAKA-24 HRS'!M28,'19.10 SEMBABULE MASAKA-24HRS'!M28,'20.10 SEMBABULE-MASAKA'!M28,'21.10 SEMBABULE-MASAKA'!M28,'22.10 SEMBABULE-MASAKA'!M28,'23.10 SEMBABULE-MASAKA'!M28)</f>
        <v>5</v>
      </c>
      <c r="N28" s="49">
        <f>AVERAGE('17.10 SEMBABULE-MASAKA'!N28,'18.10 SEMBABULE-MASAKA-24 HRS'!N28,'19.10 SEMBABULE MASAKA-24HRS'!N28,'20.10 SEMBABULE-MASAKA'!N28,'21.10 SEMBABULE-MASAKA'!N28,'22.10 SEMBABULE-MASAKA'!N28,'23.10 SEMBABULE-MASAKA'!N28)</f>
        <v>0</v>
      </c>
      <c r="O28" s="15">
        <f t="shared" si="0"/>
        <v>5.4285714285714288</v>
      </c>
      <c r="P28" s="15">
        <f t="shared" si="1"/>
        <v>10.428571428571429</v>
      </c>
      <c r="R28" s="1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2</v>
      </c>
      <c r="AA28" s="34">
        <f t="shared" si="20"/>
        <v>0.5</v>
      </c>
      <c r="AB28" s="34">
        <f t="shared" si="20"/>
        <v>0.5</v>
      </c>
      <c r="AC28" s="34">
        <f t="shared" si="20"/>
        <v>0.5</v>
      </c>
      <c r="AD28" s="34">
        <f t="shared" si="20"/>
        <v>0</v>
      </c>
      <c r="AE28" s="31">
        <f t="shared" si="20"/>
        <v>6</v>
      </c>
      <c r="AF28" s="31">
        <f t="shared" si="20"/>
        <v>6.5</v>
      </c>
    </row>
    <row r="29" spans="2:32" ht="23.1" customHeight="1" x14ac:dyDescent="0.25">
      <c r="B29" s="23" t="s">
        <v>56</v>
      </c>
      <c r="C29" s="49">
        <f>AVERAGE('17.10 SEMBABULE-MASAKA'!C29,'18.10 SEMBABULE-MASAKA-24 HRS'!C29,'19.10 SEMBABULE MASAKA-24HRS'!C29,'20.10 SEMBABULE-MASAKA'!C29,'21.10 SEMBABULE-MASAKA'!C29,'22.10 SEMBABULE-MASAKA'!C29,'23.10 SEMBABULE-MASAKA'!C29)</f>
        <v>3.2857142857142856</v>
      </c>
      <c r="D29" s="49">
        <f>AVERAGE('17.10 SEMBABULE-MASAKA'!D29,'18.10 SEMBABULE-MASAKA-24 HRS'!D29,'19.10 SEMBABULE MASAKA-24HRS'!D29,'20.10 SEMBABULE-MASAKA'!D29,'21.10 SEMBABULE-MASAKA'!D29,'22.10 SEMBABULE-MASAKA'!D29,'23.10 SEMBABULE-MASAKA'!D29)</f>
        <v>0.42857142857142855</v>
      </c>
      <c r="E29" s="49">
        <f>AVERAGE('17.10 SEMBABULE-MASAKA'!E29,'18.10 SEMBABULE-MASAKA-24 HRS'!E29,'19.10 SEMBABULE MASAKA-24HRS'!E29,'20.10 SEMBABULE-MASAKA'!E29,'21.10 SEMBABULE-MASAKA'!E29,'22.10 SEMBABULE-MASAKA'!E29,'23.10 SEMBABULE-MASAKA'!E29)</f>
        <v>0.8571428571428571</v>
      </c>
      <c r="F29" s="49">
        <f>AVERAGE('17.10 SEMBABULE-MASAKA'!F29,'18.10 SEMBABULE-MASAKA-24 HRS'!F29,'19.10 SEMBABULE MASAKA-24HRS'!F29,'20.10 SEMBABULE-MASAKA'!F29,'21.10 SEMBABULE-MASAKA'!F29,'22.10 SEMBABULE-MASAKA'!F29,'23.10 SEMBABULE-MASAKA'!F29)</f>
        <v>0.2857142857142857</v>
      </c>
      <c r="G29" s="49">
        <f>AVERAGE('17.10 SEMBABULE-MASAKA'!G29,'18.10 SEMBABULE-MASAKA-24 HRS'!G29,'19.10 SEMBABULE MASAKA-24HRS'!G29,'20.10 SEMBABULE-MASAKA'!G29,'21.10 SEMBABULE-MASAKA'!G29,'22.10 SEMBABULE-MASAKA'!G29,'23.10 SEMBABULE-MASAKA'!G29)</f>
        <v>0</v>
      </c>
      <c r="H29" s="49">
        <f>AVERAGE('17.10 SEMBABULE-MASAKA'!H29,'18.10 SEMBABULE-MASAKA-24 HRS'!H29,'19.10 SEMBABULE MASAKA-24HRS'!H29,'20.10 SEMBABULE-MASAKA'!H29,'21.10 SEMBABULE-MASAKA'!H29,'22.10 SEMBABULE-MASAKA'!H29,'23.10 SEMBABULE-MASAKA'!H29)</f>
        <v>0</v>
      </c>
      <c r="I29" s="49">
        <f>AVERAGE('17.10 SEMBABULE-MASAKA'!I29,'18.10 SEMBABULE-MASAKA-24 HRS'!I29,'19.10 SEMBABULE MASAKA-24HRS'!I29,'20.10 SEMBABULE-MASAKA'!I29,'21.10 SEMBABULE-MASAKA'!I29,'22.10 SEMBABULE-MASAKA'!I29,'23.10 SEMBABULE-MASAKA'!I29)</f>
        <v>0.5714285714285714</v>
      </c>
      <c r="J29" s="49">
        <f>AVERAGE('17.10 SEMBABULE-MASAKA'!J29,'18.10 SEMBABULE-MASAKA-24 HRS'!J29,'19.10 SEMBABULE MASAKA-24HRS'!J29,'20.10 SEMBABULE-MASAKA'!J29,'21.10 SEMBABULE-MASAKA'!J29,'22.10 SEMBABULE-MASAKA'!J29,'23.10 SEMBABULE-MASAKA'!J29)</f>
        <v>0.5714285714285714</v>
      </c>
      <c r="K29" s="49">
        <f>AVERAGE('17.10 SEMBABULE-MASAKA'!K29,'18.10 SEMBABULE-MASAKA-24 HRS'!K29,'19.10 SEMBABULE MASAKA-24HRS'!K29,'20.10 SEMBABULE-MASAKA'!K29,'21.10 SEMBABULE-MASAKA'!K29,'22.10 SEMBABULE-MASAKA'!K29,'23.10 SEMBABULE-MASAKA'!K29)</f>
        <v>0.2857142857142857</v>
      </c>
      <c r="L29" s="49">
        <f>AVERAGE('17.10 SEMBABULE-MASAKA'!L29,'18.10 SEMBABULE-MASAKA-24 HRS'!L29,'19.10 SEMBABULE MASAKA-24HRS'!L29,'20.10 SEMBABULE-MASAKA'!L29,'21.10 SEMBABULE-MASAKA'!L29,'22.10 SEMBABULE-MASAKA'!L29,'23.10 SEMBABULE-MASAKA'!L29)</f>
        <v>0</v>
      </c>
      <c r="M29" s="49">
        <f>AVERAGE('17.10 SEMBABULE-MASAKA'!M29,'18.10 SEMBABULE-MASAKA-24 HRS'!M29,'19.10 SEMBABULE MASAKA-24HRS'!M29,'20.10 SEMBABULE-MASAKA'!M29,'21.10 SEMBABULE-MASAKA'!M29,'22.10 SEMBABULE-MASAKA'!M29,'23.10 SEMBABULE-MASAKA'!M29)</f>
        <v>4.2857142857142856</v>
      </c>
      <c r="N29" s="49">
        <f>AVERAGE('17.10 SEMBABULE-MASAKA'!N29,'18.10 SEMBABULE-MASAKA-24 HRS'!N29,'19.10 SEMBABULE MASAKA-24HRS'!N29,'20.10 SEMBABULE-MASAKA'!N29,'21.10 SEMBABULE-MASAKA'!N29,'22.10 SEMBABULE-MASAKA'!N29,'23.10 SEMBABULE-MASAKA'!N29)</f>
        <v>0</v>
      </c>
      <c r="O29" s="15">
        <f t="shared" si="0"/>
        <v>6.2857142857142847</v>
      </c>
      <c r="P29" s="15">
        <f t="shared" si="1"/>
        <v>10.571428571428569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0.5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2</v>
      </c>
      <c r="AA29" s="34">
        <f t="shared" si="21"/>
        <v>0.5</v>
      </c>
      <c r="AB29" s="34">
        <f t="shared" si="21"/>
        <v>0.5</v>
      </c>
      <c r="AC29" s="34">
        <f t="shared" si="21"/>
        <v>0</v>
      </c>
      <c r="AD29" s="34">
        <f t="shared" si="21"/>
        <v>0</v>
      </c>
      <c r="AE29" s="31">
        <f t="shared" si="21"/>
        <v>7.5</v>
      </c>
      <c r="AF29" s="31">
        <f t="shared" si="21"/>
        <v>7.5</v>
      </c>
    </row>
    <row r="30" spans="2:32" ht="23.1" customHeight="1" x14ac:dyDescent="0.25">
      <c r="B30" s="23" t="s">
        <v>57</v>
      </c>
      <c r="C30" s="49">
        <f>AVERAGE('17.10 SEMBABULE-MASAKA'!C30,'18.10 SEMBABULE-MASAKA-24 HRS'!C30,'19.10 SEMBABULE MASAKA-24HRS'!C30,'20.10 SEMBABULE-MASAKA'!C30,'21.10 SEMBABULE-MASAKA'!C30,'22.10 SEMBABULE-MASAKA'!C30,'23.10 SEMBABULE-MASAKA'!C30)</f>
        <v>3.5714285714285716</v>
      </c>
      <c r="D30" s="49">
        <f>AVERAGE('17.10 SEMBABULE-MASAKA'!D30,'18.10 SEMBABULE-MASAKA-24 HRS'!D30,'19.10 SEMBABULE MASAKA-24HRS'!D30,'20.10 SEMBABULE-MASAKA'!D30,'21.10 SEMBABULE-MASAKA'!D30,'22.10 SEMBABULE-MASAKA'!D30,'23.10 SEMBABULE-MASAKA'!D30)</f>
        <v>0.14285714285714285</v>
      </c>
      <c r="E30" s="49">
        <f>AVERAGE('17.10 SEMBABULE-MASAKA'!E30,'18.10 SEMBABULE-MASAKA-24 HRS'!E30,'19.10 SEMBABULE MASAKA-24HRS'!E30,'20.10 SEMBABULE-MASAKA'!E30,'21.10 SEMBABULE-MASAKA'!E30,'22.10 SEMBABULE-MASAKA'!E30,'23.10 SEMBABULE-MASAKA'!E30)</f>
        <v>0.5714285714285714</v>
      </c>
      <c r="F30" s="49">
        <f>AVERAGE('17.10 SEMBABULE-MASAKA'!F30,'18.10 SEMBABULE-MASAKA-24 HRS'!F30,'19.10 SEMBABULE MASAKA-24HRS'!F30,'20.10 SEMBABULE-MASAKA'!F30,'21.10 SEMBABULE-MASAKA'!F30,'22.10 SEMBABULE-MASAKA'!F30,'23.10 SEMBABULE-MASAKA'!F30)</f>
        <v>0.42857142857142855</v>
      </c>
      <c r="G30" s="49">
        <f>AVERAGE('17.10 SEMBABULE-MASAKA'!G30,'18.10 SEMBABULE-MASAKA-24 HRS'!G30,'19.10 SEMBABULE MASAKA-24HRS'!G30,'20.10 SEMBABULE-MASAKA'!G30,'21.10 SEMBABULE-MASAKA'!G30,'22.10 SEMBABULE-MASAKA'!G30,'23.10 SEMBABULE-MASAKA'!G30)</f>
        <v>0</v>
      </c>
      <c r="H30" s="49">
        <f>AVERAGE('17.10 SEMBABULE-MASAKA'!H30,'18.10 SEMBABULE-MASAKA-24 HRS'!H30,'19.10 SEMBABULE MASAKA-24HRS'!H30,'20.10 SEMBABULE-MASAKA'!H30,'21.10 SEMBABULE-MASAKA'!H30,'22.10 SEMBABULE-MASAKA'!H30,'23.10 SEMBABULE-MASAKA'!H30)</f>
        <v>0</v>
      </c>
      <c r="I30" s="49">
        <f>AVERAGE('17.10 SEMBABULE-MASAKA'!I30,'18.10 SEMBABULE-MASAKA-24 HRS'!I30,'19.10 SEMBABULE MASAKA-24HRS'!I30,'20.10 SEMBABULE-MASAKA'!I30,'21.10 SEMBABULE-MASAKA'!I30,'22.10 SEMBABULE-MASAKA'!I30,'23.10 SEMBABULE-MASAKA'!I30)</f>
        <v>0.7142857142857143</v>
      </c>
      <c r="J30" s="49">
        <f>AVERAGE('17.10 SEMBABULE-MASAKA'!J30,'18.10 SEMBABULE-MASAKA-24 HRS'!J30,'19.10 SEMBABULE MASAKA-24HRS'!J30,'20.10 SEMBABULE-MASAKA'!J30,'21.10 SEMBABULE-MASAKA'!J30,'22.10 SEMBABULE-MASAKA'!J30,'23.10 SEMBABULE-MASAKA'!J30)</f>
        <v>0.7142857142857143</v>
      </c>
      <c r="K30" s="49">
        <f>AVERAGE('17.10 SEMBABULE-MASAKA'!K30,'18.10 SEMBABULE-MASAKA-24 HRS'!K30,'19.10 SEMBABULE MASAKA-24HRS'!K30,'20.10 SEMBABULE-MASAKA'!K30,'21.10 SEMBABULE-MASAKA'!K30,'22.10 SEMBABULE-MASAKA'!K30,'23.10 SEMBABULE-MASAKA'!K30)</f>
        <v>0.14285714285714285</v>
      </c>
      <c r="L30" s="49">
        <f>AVERAGE('17.10 SEMBABULE-MASAKA'!L30,'18.10 SEMBABULE-MASAKA-24 HRS'!L30,'19.10 SEMBABULE MASAKA-24HRS'!L30,'20.10 SEMBABULE-MASAKA'!L30,'21.10 SEMBABULE-MASAKA'!L30,'22.10 SEMBABULE-MASAKA'!L30,'23.10 SEMBABULE-MASAKA'!L30)</f>
        <v>0</v>
      </c>
      <c r="M30" s="49">
        <f>AVERAGE('17.10 SEMBABULE-MASAKA'!M30,'18.10 SEMBABULE-MASAKA-24 HRS'!M30,'19.10 SEMBABULE MASAKA-24HRS'!M30,'20.10 SEMBABULE-MASAKA'!M30,'21.10 SEMBABULE-MASAKA'!M30,'22.10 SEMBABULE-MASAKA'!M30,'23.10 SEMBABULE-MASAKA'!M30)</f>
        <v>6.8571428571428568</v>
      </c>
      <c r="N30" s="49">
        <f>AVERAGE('17.10 SEMBABULE-MASAKA'!N30,'18.10 SEMBABULE-MASAKA-24 HRS'!N30,'19.10 SEMBABULE MASAKA-24HRS'!N30,'20.10 SEMBABULE-MASAKA'!N30,'21.10 SEMBABULE-MASAKA'!N30,'22.10 SEMBABULE-MASAKA'!N30,'23.10 SEMBABULE-MASAKA'!N30)</f>
        <v>0</v>
      </c>
      <c r="O30" s="15">
        <f t="shared" si="0"/>
        <v>6.2857142857142865</v>
      </c>
      <c r="P30" s="15">
        <f t="shared" si="1"/>
        <v>13.142857142857142</v>
      </c>
      <c r="R30" s="1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0.5</v>
      </c>
      <c r="AA30" s="34">
        <f t="shared" si="22"/>
        <v>1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5</v>
      </c>
      <c r="AF30" s="31">
        <f t="shared" si="22"/>
        <v>5</v>
      </c>
    </row>
    <row r="31" spans="2:32" ht="23.1" customHeight="1" x14ac:dyDescent="0.25">
      <c r="B31" s="24" t="s">
        <v>58</v>
      </c>
      <c r="C31" s="49">
        <f>AVERAGE('17.10 SEMBABULE-MASAKA'!C31,'18.10 SEMBABULE-MASAKA-24 HRS'!C31,'19.10 SEMBABULE MASAKA-24HRS'!C31,'20.10 SEMBABULE-MASAKA'!C31,'21.10 SEMBABULE-MASAKA'!C31,'22.10 SEMBABULE-MASAKA'!C31,'23.10 SEMBABULE-MASAKA'!C31)</f>
        <v>2.4285714285714284</v>
      </c>
      <c r="D31" s="49">
        <f>AVERAGE('17.10 SEMBABULE-MASAKA'!D31,'18.10 SEMBABULE-MASAKA-24 HRS'!D31,'19.10 SEMBABULE MASAKA-24HRS'!D31,'20.10 SEMBABULE-MASAKA'!D31,'21.10 SEMBABULE-MASAKA'!D31,'22.10 SEMBABULE-MASAKA'!D31,'23.10 SEMBABULE-MASAKA'!D31)</f>
        <v>0.14285714285714285</v>
      </c>
      <c r="E31" s="49">
        <f>AVERAGE('17.10 SEMBABULE-MASAKA'!E31,'18.10 SEMBABULE-MASAKA-24 HRS'!E31,'19.10 SEMBABULE MASAKA-24HRS'!E31,'20.10 SEMBABULE-MASAKA'!E31,'21.10 SEMBABULE-MASAKA'!E31,'22.10 SEMBABULE-MASAKA'!E31,'23.10 SEMBABULE-MASAKA'!E31)</f>
        <v>0.5714285714285714</v>
      </c>
      <c r="F31" s="49">
        <f>AVERAGE('17.10 SEMBABULE-MASAKA'!F31,'18.10 SEMBABULE-MASAKA-24 HRS'!F31,'19.10 SEMBABULE MASAKA-24HRS'!F31,'20.10 SEMBABULE-MASAKA'!F31,'21.10 SEMBABULE-MASAKA'!F31,'22.10 SEMBABULE-MASAKA'!F31,'23.10 SEMBABULE-MASAKA'!F31)</f>
        <v>0.42857142857142855</v>
      </c>
      <c r="G31" s="49">
        <f>AVERAGE('17.10 SEMBABULE-MASAKA'!G31,'18.10 SEMBABULE-MASAKA-24 HRS'!G31,'19.10 SEMBABULE MASAKA-24HRS'!G31,'20.10 SEMBABULE-MASAKA'!G31,'21.10 SEMBABULE-MASAKA'!G31,'22.10 SEMBABULE-MASAKA'!G31,'23.10 SEMBABULE-MASAKA'!G31)</f>
        <v>0</v>
      </c>
      <c r="H31" s="49">
        <f>AVERAGE('17.10 SEMBABULE-MASAKA'!H31,'18.10 SEMBABULE-MASAKA-24 HRS'!H31,'19.10 SEMBABULE MASAKA-24HRS'!H31,'20.10 SEMBABULE-MASAKA'!H31,'21.10 SEMBABULE-MASAKA'!H31,'22.10 SEMBABULE-MASAKA'!H31,'23.10 SEMBABULE-MASAKA'!H31)</f>
        <v>0</v>
      </c>
      <c r="I31" s="49">
        <f>AVERAGE('17.10 SEMBABULE-MASAKA'!I31,'18.10 SEMBABULE-MASAKA-24 HRS'!I31,'19.10 SEMBABULE MASAKA-24HRS'!I31,'20.10 SEMBABULE-MASAKA'!I31,'21.10 SEMBABULE-MASAKA'!I31,'22.10 SEMBABULE-MASAKA'!I31,'23.10 SEMBABULE-MASAKA'!I31)</f>
        <v>0.7142857142857143</v>
      </c>
      <c r="J31" s="49">
        <f>AVERAGE('17.10 SEMBABULE-MASAKA'!J31,'18.10 SEMBABULE-MASAKA-24 HRS'!J31,'19.10 SEMBABULE MASAKA-24HRS'!J31,'20.10 SEMBABULE-MASAKA'!J31,'21.10 SEMBABULE-MASAKA'!J31,'22.10 SEMBABULE-MASAKA'!J31,'23.10 SEMBABULE-MASAKA'!J31)</f>
        <v>0</v>
      </c>
      <c r="K31" s="49">
        <f>AVERAGE('17.10 SEMBABULE-MASAKA'!K31,'18.10 SEMBABULE-MASAKA-24 HRS'!K31,'19.10 SEMBABULE MASAKA-24HRS'!K31,'20.10 SEMBABULE-MASAKA'!K31,'21.10 SEMBABULE-MASAKA'!K31,'22.10 SEMBABULE-MASAKA'!K31,'23.10 SEMBABULE-MASAKA'!K31)</f>
        <v>0.5714285714285714</v>
      </c>
      <c r="L31" s="49">
        <f>AVERAGE('17.10 SEMBABULE-MASAKA'!L31,'18.10 SEMBABULE-MASAKA-24 HRS'!L31,'19.10 SEMBABULE MASAKA-24HRS'!L31,'20.10 SEMBABULE-MASAKA'!L31,'21.10 SEMBABULE-MASAKA'!L31,'22.10 SEMBABULE-MASAKA'!L31,'23.10 SEMBABULE-MASAKA'!L31)</f>
        <v>0</v>
      </c>
      <c r="M31" s="49">
        <f>AVERAGE('17.10 SEMBABULE-MASAKA'!M31,'18.10 SEMBABULE-MASAKA-24 HRS'!M31,'19.10 SEMBABULE MASAKA-24HRS'!M31,'20.10 SEMBABULE-MASAKA'!M31,'21.10 SEMBABULE-MASAKA'!M31,'22.10 SEMBABULE-MASAKA'!M31,'23.10 SEMBABULE-MASAKA'!M31)</f>
        <v>6</v>
      </c>
      <c r="N31" s="49">
        <f>AVERAGE('17.10 SEMBABULE-MASAKA'!N31,'18.10 SEMBABULE-MASAKA-24 HRS'!N31,'19.10 SEMBABULE MASAKA-24HRS'!N31,'20.10 SEMBABULE-MASAKA'!N31,'21.10 SEMBABULE-MASAKA'!N31,'22.10 SEMBABULE-MASAKA'!N31,'23.10 SEMBABULE-MASAKA'!N31)</f>
        <v>0</v>
      </c>
      <c r="O31" s="15">
        <f t="shared" si="0"/>
        <v>4.8571428571428559</v>
      </c>
      <c r="P31" s="15">
        <f t="shared" si="1"/>
        <v>10.857142857142856</v>
      </c>
      <c r="R31" s="1" t="s">
        <v>155</v>
      </c>
      <c r="S31" s="34">
        <f>SUM(C94:C97)</f>
        <v>3.5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0</v>
      </c>
      <c r="AB31" s="34">
        <f t="shared" si="23"/>
        <v>1</v>
      </c>
      <c r="AC31" s="34">
        <f t="shared" si="23"/>
        <v>1.5</v>
      </c>
      <c r="AD31" s="34">
        <f t="shared" si="23"/>
        <v>0</v>
      </c>
      <c r="AE31" s="31">
        <f t="shared" si="23"/>
        <v>10.5</v>
      </c>
      <c r="AF31" s="31">
        <f t="shared" si="23"/>
        <v>12</v>
      </c>
    </row>
    <row r="32" spans="2:32" ht="23.1" customHeight="1" x14ac:dyDescent="0.25">
      <c r="B32" s="24" t="s">
        <v>59</v>
      </c>
      <c r="C32" s="49">
        <f>AVERAGE('17.10 SEMBABULE-MASAKA'!C32,'18.10 SEMBABULE-MASAKA-24 HRS'!C32,'19.10 SEMBABULE MASAKA-24HRS'!C32,'20.10 SEMBABULE-MASAKA'!C32,'21.10 SEMBABULE-MASAKA'!C32,'22.10 SEMBABULE-MASAKA'!C32,'23.10 SEMBABULE-MASAKA'!C32)</f>
        <v>1.7142857142857142</v>
      </c>
      <c r="D32" s="49">
        <f>AVERAGE('17.10 SEMBABULE-MASAKA'!D32,'18.10 SEMBABULE-MASAKA-24 HRS'!D32,'19.10 SEMBABULE MASAKA-24HRS'!D32,'20.10 SEMBABULE-MASAKA'!D32,'21.10 SEMBABULE-MASAKA'!D32,'22.10 SEMBABULE-MASAKA'!D32,'23.10 SEMBABULE-MASAKA'!D32)</f>
        <v>0.14285714285714285</v>
      </c>
      <c r="E32" s="49">
        <f>AVERAGE('17.10 SEMBABULE-MASAKA'!E32,'18.10 SEMBABULE-MASAKA-24 HRS'!E32,'19.10 SEMBABULE MASAKA-24HRS'!E32,'20.10 SEMBABULE-MASAKA'!E32,'21.10 SEMBABULE-MASAKA'!E32,'22.10 SEMBABULE-MASAKA'!E32,'23.10 SEMBABULE-MASAKA'!E32)</f>
        <v>1</v>
      </c>
      <c r="F32" s="49">
        <f>AVERAGE('17.10 SEMBABULE-MASAKA'!F32,'18.10 SEMBABULE-MASAKA-24 HRS'!F32,'19.10 SEMBABULE MASAKA-24HRS'!F32,'20.10 SEMBABULE-MASAKA'!F32,'21.10 SEMBABULE-MASAKA'!F32,'22.10 SEMBABULE-MASAKA'!F32,'23.10 SEMBABULE-MASAKA'!F32)</f>
        <v>0.2857142857142857</v>
      </c>
      <c r="G32" s="49">
        <f>AVERAGE('17.10 SEMBABULE-MASAKA'!G32,'18.10 SEMBABULE-MASAKA-24 HRS'!G32,'19.10 SEMBABULE MASAKA-24HRS'!G32,'20.10 SEMBABULE-MASAKA'!G32,'21.10 SEMBABULE-MASAKA'!G32,'22.10 SEMBABULE-MASAKA'!G32,'23.10 SEMBABULE-MASAKA'!G32)</f>
        <v>0.14285714285714285</v>
      </c>
      <c r="H32" s="49">
        <f>AVERAGE('17.10 SEMBABULE-MASAKA'!H32,'18.10 SEMBABULE-MASAKA-24 HRS'!H32,'19.10 SEMBABULE MASAKA-24HRS'!H32,'20.10 SEMBABULE-MASAKA'!H32,'21.10 SEMBABULE-MASAKA'!H32,'22.10 SEMBABULE-MASAKA'!H32,'23.10 SEMBABULE-MASAKA'!H32)</f>
        <v>0</v>
      </c>
      <c r="I32" s="49">
        <f>AVERAGE('17.10 SEMBABULE-MASAKA'!I32,'18.10 SEMBABULE-MASAKA-24 HRS'!I32,'19.10 SEMBABULE MASAKA-24HRS'!I32,'20.10 SEMBABULE-MASAKA'!I32,'21.10 SEMBABULE-MASAKA'!I32,'22.10 SEMBABULE-MASAKA'!I32,'23.10 SEMBABULE-MASAKA'!I32)</f>
        <v>0.7142857142857143</v>
      </c>
      <c r="J32" s="49">
        <f>AVERAGE('17.10 SEMBABULE-MASAKA'!J32,'18.10 SEMBABULE-MASAKA-24 HRS'!J32,'19.10 SEMBABULE MASAKA-24HRS'!J32,'20.10 SEMBABULE-MASAKA'!J32,'21.10 SEMBABULE-MASAKA'!J32,'22.10 SEMBABULE-MASAKA'!J32,'23.10 SEMBABULE-MASAKA'!J32)</f>
        <v>0.42857142857142855</v>
      </c>
      <c r="K32" s="49">
        <f>AVERAGE('17.10 SEMBABULE-MASAKA'!K32,'18.10 SEMBABULE-MASAKA-24 HRS'!K32,'19.10 SEMBABULE MASAKA-24HRS'!K32,'20.10 SEMBABULE-MASAKA'!K32,'21.10 SEMBABULE-MASAKA'!K32,'22.10 SEMBABULE-MASAKA'!K32,'23.10 SEMBABULE-MASAKA'!K32)</f>
        <v>0.5714285714285714</v>
      </c>
      <c r="L32" s="49">
        <f>AVERAGE('17.10 SEMBABULE-MASAKA'!L32,'18.10 SEMBABULE-MASAKA-24 HRS'!L32,'19.10 SEMBABULE MASAKA-24HRS'!L32,'20.10 SEMBABULE-MASAKA'!L32,'21.10 SEMBABULE-MASAKA'!L32,'22.10 SEMBABULE-MASAKA'!L32,'23.10 SEMBABULE-MASAKA'!L32)</f>
        <v>0</v>
      </c>
      <c r="M32" s="49">
        <f>AVERAGE('17.10 SEMBABULE-MASAKA'!M32,'18.10 SEMBABULE-MASAKA-24 HRS'!M32,'19.10 SEMBABULE MASAKA-24HRS'!M32,'20.10 SEMBABULE-MASAKA'!M32,'21.10 SEMBABULE-MASAKA'!M32,'22.10 SEMBABULE-MASAKA'!M32,'23.10 SEMBABULE-MASAKA'!M32)</f>
        <v>5.1428571428571432</v>
      </c>
      <c r="N32" s="49">
        <f>AVERAGE('17.10 SEMBABULE-MASAKA'!N32,'18.10 SEMBABULE-MASAKA-24 HRS'!N32,'19.10 SEMBABULE MASAKA-24HRS'!N32,'20.10 SEMBABULE-MASAKA'!N32,'21.10 SEMBABULE-MASAKA'!N32,'22.10 SEMBABULE-MASAKA'!N32,'23.10 SEMBABULE-MASAKA'!N32)</f>
        <v>0</v>
      </c>
      <c r="O32" s="15">
        <f t="shared" si="0"/>
        <v>4.9999999999999991</v>
      </c>
      <c r="P32" s="15">
        <f t="shared" si="1"/>
        <v>10.142857142857142</v>
      </c>
      <c r="R32" s="1" t="s">
        <v>156</v>
      </c>
      <c r="S32" s="34">
        <f>SUM(C98:C101)</f>
        <v>2.5</v>
      </c>
      <c r="T32" s="34">
        <f t="shared" ref="T32:AF32" si="24">SUM(D98:D101)</f>
        <v>2</v>
      </c>
      <c r="U32" s="34">
        <f t="shared" si="24"/>
        <v>1.5</v>
      </c>
      <c r="V32" s="34">
        <f t="shared" si="24"/>
        <v>3.5</v>
      </c>
      <c r="W32" s="34">
        <f t="shared" si="24"/>
        <v>0</v>
      </c>
      <c r="X32" s="34">
        <f t="shared" si="24"/>
        <v>0</v>
      </c>
      <c r="Y32" s="34">
        <f t="shared" si="24"/>
        <v>2.5</v>
      </c>
      <c r="Z32" s="34">
        <f t="shared" si="24"/>
        <v>2.5</v>
      </c>
      <c r="AA32" s="34">
        <f t="shared" si="24"/>
        <v>1.5</v>
      </c>
      <c r="AB32" s="34">
        <f t="shared" si="24"/>
        <v>0.5</v>
      </c>
      <c r="AC32" s="34">
        <f t="shared" si="24"/>
        <v>17.5</v>
      </c>
      <c r="AD32" s="34">
        <f t="shared" si="24"/>
        <v>0</v>
      </c>
      <c r="AE32" s="31">
        <f t="shared" si="24"/>
        <v>16.5</v>
      </c>
      <c r="AF32" s="31">
        <f t="shared" si="24"/>
        <v>34</v>
      </c>
    </row>
    <row r="33" spans="2:32" ht="23.1" customHeight="1" x14ac:dyDescent="0.25">
      <c r="B33" s="23" t="s">
        <v>60</v>
      </c>
      <c r="C33" s="49">
        <f>AVERAGE('17.10 SEMBABULE-MASAKA'!C33,'18.10 SEMBABULE-MASAKA-24 HRS'!C33,'19.10 SEMBABULE MASAKA-24HRS'!C33,'20.10 SEMBABULE-MASAKA'!C33,'21.10 SEMBABULE-MASAKA'!C33,'22.10 SEMBABULE-MASAKA'!C33,'23.10 SEMBABULE-MASAKA'!C33)</f>
        <v>2.5714285714285716</v>
      </c>
      <c r="D33" s="49">
        <f>AVERAGE('17.10 SEMBABULE-MASAKA'!D33,'18.10 SEMBABULE-MASAKA-24 HRS'!D33,'19.10 SEMBABULE MASAKA-24HRS'!D33,'20.10 SEMBABULE-MASAKA'!D33,'21.10 SEMBABULE-MASAKA'!D33,'22.10 SEMBABULE-MASAKA'!D33,'23.10 SEMBABULE-MASAKA'!D33)</f>
        <v>0.5714285714285714</v>
      </c>
      <c r="E33" s="49">
        <f>AVERAGE('17.10 SEMBABULE-MASAKA'!E33,'18.10 SEMBABULE-MASAKA-24 HRS'!E33,'19.10 SEMBABULE MASAKA-24HRS'!E33,'20.10 SEMBABULE-MASAKA'!E33,'21.10 SEMBABULE-MASAKA'!E33,'22.10 SEMBABULE-MASAKA'!E33,'23.10 SEMBABULE-MASAKA'!E33)</f>
        <v>0.7142857142857143</v>
      </c>
      <c r="F33" s="49">
        <f>AVERAGE('17.10 SEMBABULE-MASAKA'!F33,'18.10 SEMBABULE-MASAKA-24 HRS'!F33,'19.10 SEMBABULE MASAKA-24HRS'!F33,'20.10 SEMBABULE-MASAKA'!F33,'21.10 SEMBABULE-MASAKA'!F33,'22.10 SEMBABULE-MASAKA'!F33,'23.10 SEMBABULE-MASAKA'!F33)</f>
        <v>0.2857142857142857</v>
      </c>
      <c r="G33" s="49">
        <f>AVERAGE('17.10 SEMBABULE-MASAKA'!G33,'18.10 SEMBABULE-MASAKA-24 HRS'!G33,'19.10 SEMBABULE MASAKA-24HRS'!G33,'20.10 SEMBABULE-MASAKA'!G33,'21.10 SEMBABULE-MASAKA'!G33,'22.10 SEMBABULE-MASAKA'!G33,'23.10 SEMBABULE-MASAKA'!G33)</f>
        <v>0</v>
      </c>
      <c r="H33" s="49">
        <f>AVERAGE('17.10 SEMBABULE-MASAKA'!H33,'18.10 SEMBABULE-MASAKA-24 HRS'!H33,'19.10 SEMBABULE MASAKA-24HRS'!H33,'20.10 SEMBABULE-MASAKA'!H33,'21.10 SEMBABULE-MASAKA'!H33,'22.10 SEMBABULE-MASAKA'!H33,'23.10 SEMBABULE-MASAKA'!H33)</f>
        <v>0</v>
      </c>
      <c r="I33" s="49">
        <f>AVERAGE('17.10 SEMBABULE-MASAKA'!I33,'18.10 SEMBABULE-MASAKA-24 HRS'!I33,'19.10 SEMBABULE MASAKA-24HRS'!I33,'20.10 SEMBABULE-MASAKA'!I33,'21.10 SEMBABULE-MASAKA'!I33,'22.10 SEMBABULE-MASAKA'!I33,'23.10 SEMBABULE-MASAKA'!I33)</f>
        <v>0.8571428571428571</v>
      </c>
      <c r="J33" s="49">
        <f>AVERAGE('17.10 SEMBABULE-MASAKA'!J33,'18.10 SEMBABULE-MASAKA-24 HRS'!J33,'19.10 SEMBABULE MASAKA-24HRS'!J33,'20.10 SEMBABULE-MASAKA'!J33,'21.10 SEMBABULE-MASAKA'!J33,'22.10 SEMBABULE-MASAKA'!J33,'23.10 SEMBABULE-MASAKA'!J33)</f>
        <v>0.7142857142857143</v>
      </c>
      <c r="K33" s="49">
        <f>AVERAGE('17.10 SEMBABULE-MASAKA'!K33,'18.10 SEMBABULE-MASAKA-24 HRS'!K33,'19.10 SEMBABULE MASAKA-24HRS'!K33,'20.10 SEMBABULE-MASAKA'!K33,'21.10 SEMBABULE-MASAKA'!K33,'22.10 SEMBABULE-MASAKA'!K33,'23.10 SEMBABULE-MASAKA'!K33)</f>
        <v>0.42857142857142855</v>
      </c>
      <c r="L33" s="49">
        <f>AVERAGE('17.10 SEMBABULE-MASAKA'!L33,'18.10 SEMBABULE-MASAKA-24 HRS'!L33,'19.10 SEMBABULE MASAKA-24HRS'!L33,'20.10 SEMBABULE-MASAKA'!L33,'21.10 SEMBABULE-MASAKA'!L33,'22.10 SEMBABULE-MASAKA'!L33,'23.10 SEMBABULE-MASAKA'!L33)</f>
        <v>0</v>
      </c>
      <c r="M33" s="49">
        <f>AVERAGE('17.10 SEMBABULE-MASAKA'!M33,'18.10 SEMBABULE-MASAKA-24 HRS'!M33,'19.10 SEMBABULE MASAKA-24HRS'!M33,'20.10 SEMBABULE-MASAKA'!M33,'21.10 SEMBABULE-MASAKA'!M33,'22.10 SEMBABULE-MASAKA'!M33,'23.10 SEMBABULE-MASAKA'!M33)</f>
        <v>6</v>
      </c>
      <c r="N33" s="49">
        <f>AVERAGE('17.10 SEMBABULE-MASAKA'!N33,'18.10 SEMBABULE-MASAKA-24 HRS'!N33,'19.10 SEMBABULE MASAKA-24HRS'!N33,'20.10 SEMBABULE-MASAKA'!N33,'21.10 SEMBABULE-MASAKA'!N33,'22.10 SEMBABULE-MASAKA'!N33,'23.10 SEMBABULE-MASAKA'!N33)</f>
        <v>0</v>
      </c>
      <c r="O33" s="15">
        <f t="shared" si="0"/>
        <v>6.1428571428571432</v>
      </c>
      <c r="P33" s="15">
        <f t="shared" si="1"/>
        <v>12.142857142857142</v>
      </c>
      <c r="R33" s="1" t="s">
        <v>157</v>
      </c>
      <c r="S33" s="34">
        <f>SUM(C102:C105)</f>
        <v>3</v>
      </c>
      <c r="T33" s="34">
        <f t="shared" ref="T33:AF33" si="25">SUM(D102:D105)</f>
        <v>3.5</v>
      </c>
      <c r="U33" s="34">
        <f t="shared" si="25"/>
        <v>2.5</v>
      </c>
      <c r="V33" s="34">
        <f t="shared" si="25"/>
        <v>5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2</v>
      </c>
      <c r="AA33" s="34">
        <f t="shared" si="25"/>
        <v>0.5</v>
      </c>
      <c r="AB33" s="34">
        <f t="shared" si="25"/>
        <v>0</v>
      </c>
      <c r="AC33" s="34">
        <f t="shared" si="25"/>
        <v>8.5</v>
      </c>
      <c r="AD33" s="34">
        <f t="shared" si="25"/>
        <v>0</v>
      </c>
      <c r="AE33" s="31">
        <f t="shared" si="25"/>
        <v>19.5</v>
      </c>
      <c r="AF33" s="31">
        <f t="shared" si="25"/>
        <v>28</v>
      </c>
    </row>
    <row r="34" spans="2:32" ht="23.1" customHeight="1" x14ac:dyDescent="0.25">
      <c r="B34" s="24" t="s">
        <v>61</v>
      </c>
      <c r="C34" s="49">
        <f>AVERAGE('17.10 SEMBABULE-MASAKA'!C34,'18.10 SEMBABULE-MASAKA-24 HRS'!C34,'19.10 SEMBABULE MASAKA-24HRS'!C34,'20.10 SEMBABULE-MASAKA'!C34,'21.10 SEMBABULE-MASAKA'!C34,'22.10 SEMBABULE-MASAKA'!C34,'23.10 SEMBABULE-MASAKA'!C34)</f>
        <v>2.7142857142857144</v>
      </c>
      <c r="D34" s="49">
        <f>AVERAGE('17.10 SEMBABULE-MASAKA'!D34,'18.10 SEMBABULE-MASAKA-24 HRS'!D34,'19.10 SEMBABULE MASAKA-24HRS'!D34,'20.10 SEMBABULE-MASAKA'!D34,'21.10 SEMBABULE-MASAKA'!D34,'22.10 SEMBABULE-MASAKA'!D34,'23.10 SEMBABULE-MASAKA'!D34)</f>
        <v>0.2857142857142857</v>
      </c>
      <c r="E34" s="49">
        <f>AVERAGE('17.10 SEMBABULE-MASAKA'!E34,'18.10 SEMBABULE-MASAKA-24 HRS'!E34,'19.10 SEMBABULE MASAKA-24HRS'!E34,'20.10 SEMBABULE-MASAKA'!E34,'21.10 SEMBABULE-MASAKA'!E34,'22.10 SEMBABULE-MASAKA'!E34,'23.10 SEMBABULE-MASAKA'!E34)</f>
        <v>0.7142857142857143</v>
      </c>
      <c r="F34" s="49">
        <f>AVERAGE('17.10 SEMBABULE-MASAKA'!F34,'18.10 SEMBABULE-MASAKA-24 HRS'!F34,'19.10 SEMBABULE MASAKA-24HRS'!F34,'20.10 SEMBABULE-MASAKA'!F34,'21.10 SEMBABULE-MASAKA'!F34,'22.10 SEMBABULE-MASAKA'!F34,'23.10 SEMBABULE-MASAKA'!F34)</f>
        <v>0.42857142857142855</v>
      </c>
      <c r="G34" s="49">
        <f>AVERAGE('17.10 SEMBABULE-MASAKA'!G34,'18.10 SEMBABULE-MASAKA-24 HRS'!G34,'19.10 SEMBABULE MASAKA-24HRS'!G34,'20.10 SEMBABULE-MASAKA'!G34,'21.10 SEMBABULE-MASAKA'!G34,'22.10 SEMBABULE-MASAKA'!G34,'23.10 SEMBABULE-MASAKA'!G34)</f>
        <v>0</v>
      </c>
      <c r="H34" s="49">
        <f>AVERAGE('17.10 SEMBABULE-MASAKA'!H34,'18.10 SEMBABULE-MASAKA-24 HRS'!H34,'19.10 SEMBABULE MASAKA-24HRS'!H34,'20.10 SEMBABULE-MASAKA'!H34,'21.10 SEMBABULE-MASAKA'!H34,'22.10 SEMBABULE-MASAKA'!H34,'23.10 SEMBABULE-MASAKA'!H34)</f>
        <v>0</v>
      </c>
      <c r="I34" s="49">
        <f>AVERAGE('17.10 SEMBABULE-MASAKA'!I34,'18.10 SEMBABULE-MASAKA-24 HRS'!I34,'19.10 SEMBABULE MASAKA-24HRS'!I34,'20.10 SEMBABULE-MASAKA'!I34,'21.10 SEMBABULE-MASAKA'!I34,'22.10 SEMBABULE-MASAKA'!I34,'23.10 SEMBABULE-MASAKA'!I34)</f>
        <v>1.2857142857142858</v>
      </c>
      <c r="J34" s="49">
        <f>AVERAGE('17.10 SEMBABULE-MASAKA'!J34,'18.10 SEMBABULE-MASAKA-24 HRS'!J34,'19.10 SEMBABULE MASAKA-24HRS'!J34,'20.10 SEMBABULE-MASAKA'!J34,'21.10 SEMBABULE-MASAKA'!J34,'22.10 SEMBABULE-MASAKA'!J34,'23.10 SEMBABULE-MASAKA'!J34)</f>
        <v>0</v>
      </c>
      <c r="K34" s="49">
        <f>AVERAGE('17.10 SEMBABULE-MASAKA'!K34,'18.10 SEMBABULE-MASAKA-24 HRS'!K34,'19.10 SEMBABULE MASAKA-24HRS'!K34,'20.10 SEMBABULE-MASAKA'!K34,'21.10 SEMBABULE-MASAKA'!K34,'22.10 SEMBABULE-MASAKA'!K34,'23.10 SEMBABULE-MASAKA'!K34)</f>
        <v>0.14285714285714285</v>
      </c>
      <c r="L34" s="49">
        <f>AVERAGE('17.10 SEMBABULE-MASAKA'!L34,'18.10 SEMBABULE-MASAKA-24 HRS'!L34,'19.10 SEMBABULE MASAKA-24HRS'!L34,'20.10 SEMBABULE-MASAKA'!L34,'21.10 SEMBABULE-MASAKA'!L34,'22.10 SEMBABULE-MASAKA'!L34,'23.10 SEMBABULE-MASAKA'!L34)</f>
        <v>0</v>
      </c>
      <c r="M34" s="49">
        <f>AVERAGE('17.10 SEMBABULE-MASAKA'!M34,'18.10 SEMBABULE-MASAKA-24 HRS'!M34,'19.10 SEMBABULE MASAKA-24HRS'!M34,'20.10 SEMBABULE-MASAKA'!M34,'21.10 SEMBABULE-MASAKA'!M34,'22.10 SEMBABULE-MASAKA'!M34,'23.10 SEMBABULE-MASAKA'!M34)</f>
        <v>6.7142857142857144</v>
      </c>
      <c r="N34" s="49">
        <f>AVERAGE('17.10 SEMBABULE-MASAKA'!N34,'18.10 SEMBABULE-MASAKA-24 HRS'!N34,'19.10 SEMBABULE MASAKA-24HRS'!N34,'20.10 SEMBABULE-MASAKA'!N34,'21.10 SEMBABULE-MASAKA'!N34,'22.10 SEMBABULE-MASAKA'!N34,'23.10 SEMBABULE-MASAKA'!N34)</f>
        <v>0.7142857142857143</v>
      </c>
      <c r="O34" s="15">
        <f t="shared" si="0"/>
        <v>6.2857142857142865</v>
      </c>
      <c r="P34" s="15">
        <f t="shared" si="1"/>
        <v>13</v>
      </c>
      <c r="R34" s="54" t="s">
        <v>90</v>
      </c>
      <c r="S34" s="55">
        <f t="shared" ref="S34:AF34" si="26">MAX(S10:S12)</f>
        <v>12</v>
      </c>
      <c r="T34" s="55">
        <f t="shared" si="26"/>
        <v>1.1428571428571428</v>
      </c>
      <c r="U34" s="55">
        <f t="shared" si="26"/>
        <v>3.4285714285714284</v>
      </c>
      <c r="V34" s="55">
        <f t="shared" si="26"/>
        <v>5.7142857142857135</v>
      </c>
      <c r="W34" s="55">
        <f t="shared" si="26"/>
        <v>0.2857142857142857</v>
      </c>
      <c r="X34" s="55">
        <f t="shared" si="26"/>
        <v>0.42857142857142855</v>
      </c>
      <c r="Y34" s="55">
        <f t="shared" si="26"/>
        <v>5.8571428571428568</v>
      </c>
      <c r="Z34" s="55">
        <f t="shared" si="26"/>
        <v>1.4285714285714284</v>
      </c>
      <c r="AA34" s="55">
        <f t="shared" si="26"/>
        <v>2</v>
      </c>
      <c r="AB34" s="55">
        <f t="shared" si="26"/>
        <v>0.14285714285714285</v>
      </c>
      <c r="AC34" s="55">
        <f t="shared" si="26"/>
        <v>19.571428571428573</v>
      </c>
      <c r="AD34" s="55">
        <f t="shared" si="26"/>
        <v>0.14285714285714285</v>
      </c>
      <c r="AE34" s="40">
        <f t="shared" si="26"/>
        <v>28.285714285714285</v>
      </c>
      <c r="AF34" s="40">
        <f t="shared" si="26"/>
        <v>47.857142857142854</v>
      </c>
    </row>
    <row r="35" spans="2:32" ht="23.1" customHeight="1" x14ac:dyDescent="0.25">
      <c r="B35" s="24" t="s">
        <v>62</v>
      </c>
      <c r="C35" s="49">
        <f>AVERAGE('17.10 SEMBABULE-MASAKA'!C35,'18.10 SEMBABULE-MASAKA-24 HRS'!C35,'19.10 SEMBABULE MASAKA-24HRS'!C35,'20.10 SEMBABULE-MASAKA'!C35,'21.10 SEMBABULE-MASAKA'!C35,'22.10 SEMBABULE-MASAKA'!C35,'23.10 SEMBABULE-MASAKA'!C35)</f>
        <v>1.1428571428571428</v>
      </c>
      <c r="D35" s="49">
        <f>AVERAGE('17.10 SEMBABULE-MASAKA'!D35,'18.10 SEMBABULE-MASAKA-24 HRS'!D35,'19.10 SEMBABULE MASAKA-24HRS'!D35,'20.10 SEMBABULE-MASAKA'!D35,'21.10 SEMBABULE-MASAKA'!D35,'22.10 SEMBABULE-MASAKA'!D35,'23.10 SEMBABULE-MASAKA'!D35)</f>
        <v>0.14285714285714285</v>
      </c>
      <c r="E35" s="49">
        <f>AVERAGE('17.10 SEMBABULE-MASAKA'!E35,'18.10 SEMBABULE-MASAKA-24 HRS'!E35,'19.10 SEMBABULE MASAKA-24HRS'!E35,'20.10 SEMBABULE-MASAKA'!E35,'21.10 SEMBABULE-MASAKA'!E35,'22.10 SEMBABULE-MASAKA'!E35,'23.10 SEMBABULE-MASAKA'!E35)</f>
        <v>0.5714285714285714</v>
      </c>
      <c r="F35" s="49">
        <f>AVERAGE('17.10 SEMBABULE-MASAKA'!F35,'18.10 SEMBABULE-MASAKA-24 HRS'!F35,'19.10 SEMBABULE MASAKA-24HRS'!F35,'20.10 SEMBABULE-MASAKA'!F35,'21.10 SEMBABULE-MASAKA'!F35,'22.10 SEMBABULE-MASAKA'!F35,'23.10 SEMBABULE-MASAKA'!F35)</f>
        <v>0.14285714285714285</v>
      </c>
      <c r="G35" s="49">
        <f>AVERAGE('17.10 SEMBABULE-MASAKA'!G35,'18.10 SEMBABULE-MASAKA-24 HRS'!G35,'19.10 SEMBABULE MASAKA-24HRS'!G35,'20.10 SEMBABULE-MASAKA'!G35,'21.10 SEMBABULE-MASAKA'!G35,'22.10 SEMBABULE-MASAKA'!G35,'23.10 SEMBABULE-MASAKA'!G35)</f>
        <v>0</v>
      </c>
      <c r="H35" s="49">
        <f>AVERAGE('17.10 SEMBABULE-MASAKA'!H35,'18.10 SEMBABULE-MASAKA-24 HRS'!H35,'19.10 SEMBABULE MASAKA-24HRS'!H35,'20.10 SEMBABULE-MASAKA'!H35,'21.10 SEMBABULE-MASAKA'!H35,'22.10 SEMBABULE-MASAKA'!H35,'23.10 SEMBABULE-MASAKA'!H35)</f>
        <v>0</v>
      </c>
      <c r="I35" s="49">
        <f>AVERAGE('17.10 SEMBABULE-MASAKA'!I35,'18.10 SEMBABULE-MASAKA-24 HRS'!I35,'19.10 SEMBABULE MASAKA-24HRS'!I35,'20.10 SEMBABULE-MASAKA'!I35,'21.10 SEMBABULE-MASAKA'!I35,'22.10 SEMBABULE-MASAKA'!I35,'23.10 SEMBABULE-MASAKA'!I35)</f>
        <v>0.7142857142857143</v>
      </c>
      <c r="J35" s="49">
        <f>AVERAGE('17.10 SEMBABULE-MASAKA'!J35,'18.10 SEMBABULE-MASAKA-24 HRS'!J35,'19.10 SEMBABULE MASAKA-24HRS'!J35,'20.10 SEMBABULE-MASAKA'!J35,'21.10 SEMBABULE-MASAKA'!J35,'22.10 SEMBABULE-MASAKA'!J35,'23.10 SEMBABULE-MASAKA'!J35)</f>
        <v>0.14285714285714285</v>
      </c>
      <c r="K35" s="49">
        <f>AVERAGE('17.10 SEMBABULE-MASAKA'!K35,'18.10 SEMBABULE-MASAKA-24 HRS'!K35,'19.10 SEMBABULE MASAKA-24HRS'!K35,'20.10 SEMBABULE-MASAKA'!K35,'21.10 SEMBABULE-MASAKA'!K35,'22.10 SEMBABULE-MASAKA'!K35,'23.10 SEMBABULE-MASAKA'!K35)</f>
        <v>0.14285714285714285</v>
      </c>
      <c r="L35" s="49">
        <f>AVERAGE('17.10 SEMBABULE-MASAKA'!L35,'18.10 SEMBABULE-MASAKA-24 HRS'!L35,'19.10 SEMBABULE MASAKA-24HRS'!L35,'20.10 SEMBABULE-MASAKA'!L35,'21.10 SEMBABULE-MASAKA'!L35,'22.10 SEMBABULE-MASAKA'!L35,'23.10 SEMBABULE-MASAKA'!L35)</f>
        <v>0</v>
      </c>
      <c r="M35" s="49">
        <f>AVERAGE('17.10 SEMBABULE-MASAKA'!M35,'18.10 SEMBABULE-MASAKA-24 HRS'!M35,'19.10 SEMBABULE MASAKA-24HRS'!M35,'20.10 SEMBABULE-MASAKA'!M35,'21.10 SEMBABULE-MASAKA'!M35,'22.10 SEMBABULE-MASAKA'!M35,'23.10 SEMBABULE-MASAKA'!M35)</f>
        <v>8.7142857142857135</v>
      </c>
      <c r="N35" s="49">
        <f>AVERAGE('17.10 SEMBABULE-MASAKA'!N35,'18.10 SEMBABULE-MASAKA-24 HRS'!N35,'19.10 SEMBABULE MASAKA-24HRS'!N35,'20.10 SEMBABULE-MASAKA'!N35,'21.10 SEMBABULE-MASAKA'!N35,'22.10 SEMBABULE-MASAKA'!N35,'23.10 SEMBABULE-MASAKA'!N35)</f>
        <v>0.7142857142857143</v>
      </c>
      <c r="O35" s="15">
        <f t="shared" si="0"/>
        <v>3.714285714285714</v>
      </c>
      <c r="P35" s="15">
        <f t="shared" si="1"/>
        <v>12.428571428571427</v>
      </c>
      <c r="R35" s="54" t="s">
        <v>91</v>
      </c>
      <c r="S35" s="55">
        <f t="shared" ref="S35:AF35" si="27">MAX(S13:S18)</f>
        <v>11.714285714285715</v>
      </c>
      <c r="T35" s="55">
        <f t="shared" si="27"/>
        <v>1.8571428571428572</v>
      </c>
      <c r="U35" s="55">
        <f t="shared" si="27"/>
        <v>3.1428571428571432</v>
      </c>
      <c r="V35" s="55">
        <f t="shared" si="27"/>
        <v>3.5714285714285716</v>
      </c>
      <c r="W35" s="55">
        <f t="shared" si="27"/>
        <v>0.14285714285714285</v>
      </c>
      <c r="X35" s="55">
        <f t="shared" si="27"/>
        <v>0</v>
      </c>
      <c r="Y35" s="55">
        <f t="shared" si="27"/>
        <v>4.8571428571428577</v>
      </c>
      <c r="Z35" s="55">
        <f t="shared" si="27"/>
        <v>2.5714285714285712</v>
      </c>
      <c r="AA35" s="55">
        <f t="shared" si="27"/>
        <v>3</v>
      </c>
      <c r="AB35" s="55">
        <f t="shared" si="27"/>
        <v>0.5714285714285714</v>
      </c>
      <c r="AC35" s="55">
        <f t="shared" si="27"/>
        <v>33</v>
      </c>
      <c r="AD35" s="55">
        <f t="shared" si="27"/>
        <v>1.4285714285714286</v>
      </c>
      <c r="AE35" s="40">
        <f t="shared" si="27"/>
        <v>26.857142857142858</v>
      </c>
      <c r="AF35" s="40">
        <f t="shared" si="27"/>
        <v>53.857142857142854</v>
      </c>
    </row>
    <row r="36" spans="2:32" ht="23.1" customHeight="1" x14ac:dyDescent="0.25">
      <c r="B36" s="24" t="s">
        <v>63</v>
      </c>
      <c r="C36" s="49">
        <f>AVERAGE('17.10 SEMBABULE-MASAKA'!C36,'18.10 SEMBABULE-MASAKA-24 HRS'!C36,'19.10 SEMBABULE MASAKA-24HRS'!C36,'20.10 SEMBABULE-MASAKA'!C36,'21.10 SEMBABULE-MASAKA'!C36,'22.10 SEMBABULE-MASAKA'!C36,'23.10 SEMBABULE-MASAKA'!C36)</f>
        <v>2.7142857142857144</v>
      </c>
      <c r="D36" s="49">
        <f>AVERAGE('17.10 SEMBABULE-MASAKA'!D36,'18.10 SEMBABULE-MASAKA-24 HRS'!D36,'19.10 SEMBABULE MASAKA-24HRS'!D36,'20.10 SEMBABULE-MASAKA'!D36,'21.10 SEMBABULE-MASAKA'!D36,'22.10 SEMBABULE-MASAKA'!D36,'23.10 SEMBABULE-MASAKA'!D36)</f>
        <v>0.42857142857142855</v>
      </c>
      <c r="E36" s="49">
        <f>AVERAGE('17.10 SEMBABULE-MASAKA'!E36,'18.10 SEMBABULE-MASAKA-24 HRS'!E36,'19.10 SEMBABULE MASAKA-24HRS'!E36,'20.10 SEMBABULE-MASAKA'!E36,'21.10 SEMBABULE-MASAKA'!E36,'22.10 SEMBABULE-MASAKA'!E36,'23.10 SEMBABULE-MASAKA'!E36)</f>
        <v>0.5714285714285714</v>
      </c>
      <c r="F36" s="49">
        <f>AVERAGE('17.10 SEMBABULE-MASAKA'!F36,'18.10 SEMBABULE-MASAKA-24 HRS'!F36,'19.10 SEMBABULE MASAKA-24HRS'!F36,'20.10 SEMBABULE-MASAKA'!F36,'21.10 SEMBABULE-MASAKA'!F36,'22.10 SEMBABULE-MASAKA'!F36,'23.10 SEMBABULE-MASAKA'!F36)</f>
        <v>0.2857142857142857</v>
      </c>
      <c r="G36" s="49">
        <f>AVERAGE('17.10 SEMBABULE-MASAKA'!G36,'18.10 SEMBABULE-MASAKA-24 HRS'!G36,'19.10 SEMBABULE MASAKA-24HRS'!G36,'20.10 SEMBABULE-MASAKA'!G36,'21.10 SEMBABULE-MASAKA'!G36,'22.10 SEMBABULE-MASAKA'!G36,'23.10 SEMBABULE-MASAKA'!G36)</f>
        <v>0</v>
      </c>
      <c r="H36" s="49">
        <f>AVERAGE('17.10 SEMBABULE-MASAKA'!H36,'18.10 SEMBABULE-MASAKA-24 HRS'!H36,'19.10 SEMBABULE MASAKA-24HRS'!H36,'20.10 SEMBABULE-MASAKA'!H36,'21.10 SEMBABULE-MASAKA'!H36,'22.10 SEMBABULE-MASAKA'!H36,'23.10 SEMBABULE-MASAKA'!H36)</f>
        <v>0</v>
      </c>
      <c r="I36" s="49">
        <f>AVERAGE('17.10 SEMBABULE-MASAKA'!I36,'18.10 SEMBABULE-MASAKA-24 HRS'!I36,'19.10 SEMBABULE MASAKA-24HRS'!I36,'20.10 SEMBABULE-MASAKA'!I36,'21.10 SEMBABULE-MASAKA'!I36,'22.10 SEMBABULE-MASAKA'!I36,'23.10 SEMBABULE-MASAKA'!I36)</f>
        <v>0.8571428571428571</v>
      </c>
      <c r="J36" s="49">
        <f>AVERAGE('17.10 SEMBABULE-MASAKA'!J36,'18.10 SEMBABULE-MASAKA-24 HRS'!J36,'19.10 SEMBABULE MASAKA-24HRS'!J36,'20.10 SEMBABULE-MASAKA'!J36,'21.10 SEMBABULE-MASAKA'!J36,'22.10 SEMBABULE-MASAKA'!J36,'23.10 SEMBABULE-MASAKA'!J36)</f>
        <v>0.7142857142857143</v>
      </c>
      <c r="K36" s="49">
        <f>AVERAGE('17.10 SEMBABULE-MASAKA'!K36,'18.10 SEMBABULE-MASAKA-24 HRS'!K36,'19.10 SEMBABULE MASAKA-24HRS'!K36,'20.10 SEMBABULE-MASAKA'!K36,'21.10 SEMBABULE-MASAKA'!K36,'22.10 SEMBABULE-MASAKA'!K36,'23.10 SEMBABULE-MASAKA'!K36)</f>
        <v>0.14285714285714285</v>
      </c>
      <c r="L36" s="49">
        <f>AVERAGE('17.10 SEMBABULE-MASAKA'!L36,'18.10 SEMBABULE-MASAKA-24 HRS'!L36,'19.10 SEMBABULE MASAKA-24HRS'!L36,'20.10 SEMBABULE-MASAKA'!L36,'21.10 SEMBABULE-MASAKA'!L36,'22.10 SEMBABULE-MASAKA'!L36,'23.10 SEMBABULE-MASAKA'!L36)</f>
        <v>0</v>
      </c>
      <c r="M36" s="49">
        <f>AVERAGE('17.10 SEMBABULE-MASAKA'!M36,'18.10 SEMBABULE-MASAKA-24 HRS'!M36,'19.10 SEMBABULE MASAKA-24HRS'!M36,'20.10 SEMBABULE-MASAKA'!M36,'21.10 SEMBABULE-MASAKA'!M36,'22.10 SEMBABULE-MASAKA'!M36,'23.10 SEMBABULE-MASAKA'!M36)</f>
        <v>8</v>
      </c>
      <c r="N36" s="49">
        <f>AVERAGE('17.10 SEMBABULE-MASAKA'!N36,'18.10 SEMBABULE-MASAKA-24 HRS'!N36,'19.10 SEMBABULE MASAKA-24HRS'!N36,'20.10 SEMBABULE-MASAKA'!N36,'21.10 SEMBABULE-MASAKA'!N36,'22.10 SEMBABULE-MASAKA'!N36,'23.10 SEMBABULE-MASAKA'!N36)</f>
        <v>0</v>
      </c>
      <c r="O36" s="15">
        <f t="shared" si="0"/>
        <v>5.7142857142857144</v>
      </c>
      <c r="P36" s="15">
        <f t="shared" si="1"/>
        <v>13.714285714285715</v>
      </c>
      <c r="R36" s="54" t="s">
        <v>92</v>
      </c>
      <c r="S36" s="55">
        <f t="shared" ref="S36:AF36" si="28">MAX(S19:S21)</f>
        <v>11.428571428571427</v>
      </c>
      <c r="T36" s="55">
        <f t="shared" si="28"/>
        <v>2</v>
      </c>
      <c r="U36" s="55">
        <f t="shared" si="28"/>
        <v>3.8571428571428568</v>
      </c>
      <c r="V36" s="55">
        <f t="shared" si="28"/>
        <v>2</v>
      </c>
      <c r="W36" s="55">
        <f t="shared" si="28"/>
        <v>0.5714285714285714</v>
      </c>
      <c r="X36" s="55">
        <f t="shared" si="28"/>
        <v>0</v>
      </c>
      <c r="Y36" s="55">
        <f t="shared" si="28"/>
        <v>4.7142857142857144</v>
      </c>
      <c r="Z36" s="55">
        <f t="shared" si="28"/>
        <v>4.1428571428571423</v>
      </c>
      <c r="AA36" s="55">
        <f t="shared" si="28"/>
        <v>0.71428571428571419</v>
      </c>
      <c r="AB36" s="55">
        <f t="shared" si="28"/>
        <v>0</v>
      </c>
      <c r="AC36" s="55">
        <f t="shared" si="28"/>
        <v>33.428571428571431</v>
      </c>
      <c r="AD36" s="55">
        <f t="shared" si="28"/>
        <v>0</v>
      </c>
      <c r="AE36" s="40">
        <f t="shared" si="28"/>
        <v>25.857142857142858</v>
      </c>
      <c r="AF36" s="40">
        <f t="shared" si="28"/>
        <v>55</v>
      </c>
    </row>
    <row r="37" spans="2:32" ht="23.1" customHeight="1" x14ac:dyDescent="0.25">
      <c r="B37" s="23" t="s">
        <v>64</v>
      </c>
      <c r="C37" s="49">
        <f>AVERAGE('17.10 SEMBABULE-MASAKA'!C37,'18.10 SEMBABULE-MASAKA-24 HRS'!C37,'19.10 SEMBABULE MASAKA-24HRS'!C37,'20.10 SEMBABULE-MASAKA'!C37,'21.10 SEMBABULE-MASAKA'!C37,'22.10 SEMBABULE-MASAKA'!C37,'23.10 SEMBABULE-MASAKA'!C37)</f>
        <v>1.5714285714285714</v>
      </c>
      <c r="D37" s="49">
        <f>AVERAGE('17.10 SEMBABULE-MASAKA'!D37,'18.10 SEMBABULE-MASAKA-24 HRS'!D37,'19.10 SEMBABULE MASAKA-24HRS'!D37,'20.10 SEMBABULE-MASAKA'!D37,'21.10 SEMBABULE-MASAKA'!D37,'22.10 SEMBABULE-MASAKA'!D37,'23.10 SEMBABULE-MASAKA'!D37)</f>
        <v>0.14285714285714285</v>
      </c>
      <c r="E37" s="49">
        <f>AVERAGE('17.10 SEMBABULE-MASAKA'!E37,'18.10 SEMBABULE-MASAKA-24 HRS'!E37,'19.10 SEMBABULE MASAKA-24HRS'!E37,'20.10 SEMBABULE-MASAKA'!E37,'21.10 SEMBABULE-MASAKA'!E37,'22.10 SEMBABULE-MASAKA'!E37,'23.10 SEMBABULE-MASAKA'!E37)</f>
        <v>0.7142857142857143</v>
      </c>
      <c r="F37" s="49">
        <f>AVERAGE('17.10 SEMBABULE-MASAKA'!F37,'18.10 SEMBABULE-MASAKA-24 HRS'!F37,'19.10 SEMBABULE MASAKA-24HRS'!F37,'20.10 SEMBABULE-MASAKA'!F37,'21.10 SEMBABULE-MASAKA'!F37,'22.10 SEMBABULE-MASAKA'!F37,'23.10 SEMBABULE-MASAKA'!F37)</f>
        <v>0.14285714285714285</v>
      </c>
      <c r="G37" s="49">
        <f>AVERAGE('17.10 SEMBABULE-MASAKA'!G37,'18.10 SEMBABULE-MASAKA-24 HRS'!G37,'19.10 SEMBABULE MASAKA-24HRS'!G37,'20.10 SEMBABULE-MASAKA'!G37,'21.10 SEMBABULE-MASAKA'!G37,'22.10 SEMBABULE-MASAKA'!G37,'23.10 SEMBABULE-MASAKA'!G37)</f>
        <v>0</v>
      </c>
      <c r="H37" s="49">
        <f>AVERAGE('17.10 SEMBABULE-MASAKA'!H37,'18.10 SEMBABULE-MASAKA-24 HRS'!H37,'19.10 SEMBABULE MASAKA-24HRS'!H37,'20.10 SEMBABULE-MASAKA'!H37,'21.10 SEMBABULE-MASAKA'!H37,'22.10 SEMBABULE-MASAKA'!H37,'23.10 SEMBABULE-MASAKA'!H37)</f>
        <v>0</v>
      </c>
      <c r="I37" s="49">
        <f>AVERAGE('17.10 SEMBABULE-MASAKA'!I37,'18.10 SEMBABULE-MASAKA-24 HRS'!I37,'19.10 SEMBABULE MASAKA-24HRS'!I37,'20.10 SEMBABULE-MASAKA'!I37,'21.10 SEMBABULE-MASAKA'!I37,'22.10 SEMBABULE-MASAKA'!I37,'23.10 SEMBABULE-MASAKA'!I37)</f>
        <v>1.2857142857142858</v>
      </c>
      <c r="J37" s="49">
        <f>AVERAGE('17.10 SEMBABULE-MASAKA'!J37,'18.10 SEMBABULE-MASAKA-24 HRS'!J37,'19.10 SEMBABULE MASAKA-24HRS'!J37,'20.10 SEMBABULE-MASAKA'!J37,'21.10 SEMBABULE-MASAKA'!J37,'22.10 SEMBABULE-MASAKA'!J37,'23.10 SEMBABULE-MASAKA'!J37)</f>
        <v>0.42857142857142855</v>
      </c>
      <c r="K37" s="49">
        <f>AVERAGE('17.10 SEMBABULE-MASAKA'!K37,'18.10 SEMBABULE-MASAKA-24 HRS'!K37,'19.10 SEMBABULE MASAKA-24HRS'!K37,'20.10 SEMBABULE-MASAKA'!K37,'21.10 SEMBABULE-MASAKA'!K37,'22.10 SEMBABULE-MASAKA'!K37,'23.10 SEMBABULE-MASAKA'!K37)</f>
        <v>0.8571428571428571</v>
      </c>
      <c r="L37" s="49">
        <f>AVERAGE('17.10 SEMBABULE-MASAKA'!L37,'18.10 SEMBABULE-MASAKA-24 HRS'!L37,'19.10 SEMBABULE MASAKA-24HRS'!L37,'20.10 SEMBABULE-MASAKA'!L37,'21.10 SEMBABULE-MASAKA'!L37,'22.10 SEMBABULE-MASAKA'!L37,'23.10 SEMBABULE-MASAKA'!L37)</f>
        <v>0</v>
      </c>
      <c r="M37" s="49">
        <f>AVERAGE('17.10 SEMBABULE-MASAKA'!M37,'18.10 SEMBABULE-MASAKA-24 HRS'!M37,'19.10 SEMBABULE MASAKA-24HRS'!M37,'20.10 SEMBABULE-MASAKA'!M37,'21.10 SEMBABULE-MASAKA'!M37,'22.10 SEMBABULE-MASAKA'!M37,'23.10 SEMBABULE-MASAKA'!M37)</f>
        <v>9.5714285714285712</v>
      </c>
      <c r="N37" s="49">
        <f>AVERAGE('17.10 SEMBABULE-MASAKA'!N37,'18.10 SEMBABULE-MASAKA-24 HRS'!N37,'19.10 SEMBABULE MASAKA-24HRS'!N37,'20.10 SEMBABULE-MASAKA'!N37,'21.10 SEMBABULE-MASAKA'!N37,'22.10 SEMBABULE-MASAKA'!N37,'23.10 SEMBABULE-MASAKA'!N37)</f>
        <v>0</v>
      </c>
      <c r="O37" s="15">
        <f t="shared" si="0"/>
        <v>5.1428571428571423</v>
      </c>
      <c r="P37" s="15">
        <f t="shared" si="1"/>
        <v>14.714285714285714</v>
      </c>
      <c r="R37" s="37" t="s">
        <v>85</v>
      </c>
      <c r="S37" s="56">
        <f t="shared" ref="S37:AF37" si="29">SUM(S10:S12)</f>
        <v>29.142857142857142</v>
      </c>
      <c r="T37" s="57">
        <f t="shared" si="29"/>
        <v>1.857142857142857</v>
      </c>
      <c r="U37" s="57">
        <f t="shared" si="29"/>
        <v>5.8571428571428568</v>
      </c>
      <c r="V37" s="57">
        <f t="shared" si="29"/>
        <v>11.714285714285714</v>
      </c>
      <c r="W37" s="57">
        <f t="shared" si="29"/>
        <v>0.2857142857142857</v>
      </c>
      <c r="X37" s="57">
        <f t="shared" si="29"/>
        <v>0.42857142857142855</v>
      </c>
      <c r="Y37" s="57">
        <f t="shared" si="29"/>
        <v>14</v>
      </c>
      <c r="Z37" s="57">
        <f t="shared" si="29"/>
        <v>3.5714285714285712</v>
      </c>
      <c r="AA37" s="57">
        <f t="shared" si="29"/>
        <v>4</v>
      </c>
      <c r="AB37" s="57">
        <f t="shared" si="29"/>
        <v>0.14285714285714285</v>
      </c>
      <c r="AC37" s="57">
        <f t="shared" si="29"/>
        <v>54.857142857142861</v>
      </c>
      <c r="AD37" s="57">
        <f t="shared" si="29"/>
        <v>0.2857142857142857</v>
      </c>
      <c r="AE37" s="58">
        <f t="shared" si="29"/>
        <v>71.285714285714278</v>
      </c>
      <c r="AF37" s="58">
        <f t="shared" si="29"/>
        <v>126.14285714285714</v>
      </c>
    </row>
    <row r="38" spans="2:32" ht="23.1" customHeight="1" x14ac:dyDescent="0.25">
      <c r="B38" s="24" t="s">
        <v>65</v>
      </c>
      <c r="C38" s="49">
        <f>AVERAGE('17.10 SEMBABULE-MASAKA'!C38,'18.10 SEMBABULE-MASAKA-24 HRS'!C38,'19.10 SEMBABULE MASAKA-24HRS'!C38,'20.10 SEMBABULE-MASAKA'!C38,'21.10 SEMBABULE-MASAKA'!C38,'22.10 SEMBABULE-MASAKA'!C38,'23.10 SEMBABULE-MASAKA'!C38)</f>
        <v>2.8571428571428572</v>
      </c>
      <c r="D38" s="49">
        <f>AVERAGE('17.10 SEMBABULE-MASAKA'!D38,'18.10 SEMBABULE-MASAKA-24 HRS'!D38,'19.10 SEMBABULE MASAKA-24HRS'!D38,'20.10 SEMBABULE-MASAKA'!D38,'21.10 SEMBABULE-MASAKA'!D38,'22.10 SEMBABULE-MASAKA'!D38,'23.10 SEMBABULE-MASAKA'!D38)</f>
        <v>0.2857142857142857</v>
      </c>
      <c r="E38" s="49">
        <f>AVERAGE('17.10 SEMBABULE-MASAKA'!E38,'18.10 SEMBABULE-MASAKA-24 HRS'!E38,'19.10 SEMBABULE MASAKA-24HRS'!E38,'20.10 SEMBABULE-MASAKA'!E38,'21.10 SEMBABULE-MASAKA'!E38,'22.10 SEMBABULE-MASAKA'!E38,'23.10 SEMBABULE-MASAKA'!E38)</f>
        <v>0.7142857142857143</v>
      </c>
      <c r="F38" s="49">
        <f>AVERAGE('17.10 SEMBABULE-MASAKA'!F38,'18.10 SEMBABULE-MASAKA-24 HRS'!F38,'19.10 SEMBABULE MASAKA-24HRS'!F38,'20.10 SEMBABULE-MASAKA'!F38,'21.10 SEMBABULE-MASAKA'!F38,'22.10 SEMBABULE-MASAKA'!F38,'23.10 SEMBABULE-MASAKA'!F38)</f>
        <v>0.5714285714285714</v>
      </c>
      <c r="G38" s="49">
        <f>AVERAGE('17.10 SEMBABULE-MASAKA'!G38,'18.10 SEMBABULE-MASAKA-24 HRS'!G38,'19.10 SEMBABULE MASAKA-24HRS'!G38,'20.10 SEMBABULE-MASAKA'!G38,'21.10 SEMBABULE-MASAKA'!G38,'22.10 SEMBABULE-MASAKA'!G38,'23.10 SEMBABULE-MASAKA'!G38)</f>
        <v>0</v>
      </c>
      <c r="H38" s="49">
        <f>AVERAGE('17.10 SEMBABULE-MASAKA'!H38,'18.10 SEMBABULE-MASAKA-24 HRS'!H38,'19.10 SEMBABULE MASAKA-24HRS'!H38,'20.10 SEMBABULE-MASAKA'!H38,'21.10 SEMBABULE-MASAKA'!H38,'22.10 SEMBABULE-MASAKA'!H38,'23.10 SEMBABULE-MASAKA'!H38)</f>
        <v>0</v>
      </c>
      <c r="I38" s="49">
        <f>AVERAGE('17.10 SEMBABULE-MASAKA'!I38,'18.10 SEMBABULE-MASAKA-24 HRS'!I38,'19.10 SEMBABULE MASAKA-24HRS'!I38,'20.10 SEMBABULE-MASAKA'!I38,'21.10 SEMBABULE-MASAKA'!I38,'22.10 SEMBABULE-MASAKA'!I38,'23.10 SEMBABULE-MASAKA'!I38)</f>
        <v>1.2857142857142858</v>
      </c>
      <c r="J38" s="49">
        <f>AVERAGE('17.10 SEMBABULE-MASAKA'!J38,'18.10 SEMBABULE-MASAKA-24 HRS'!J38,'19.10 SEMBABULE MASAKA-24HRS'!J38,'20.10 SEMBABULE-MASAKA'!J38,'21.10 SEMBABULE-MASAKA'!J38,'22.10 SEMBABULE-MASAKA'!J38,'23.10 SEMBABULE-MASAKA'!J38)</f>
        <v>0.5714285714285714</v>
      </c>
      <c r="K38" s="49">
        <f>AVERAGE('17.10 SEMBABULE-MASAKA'!K38,'18.10 SEMBABULE-MASAKA-24 HRS'!K38,'19.10 SEMBABULE MASAKA-24HRS'!K38,'20.10 SEMBABULE-MASAKA'!K38,'21.10 SEMBABULE-MASAKA'!K38,'22.10 SEMBABULE-MASAKA'!K38,'23.10 SEMBABULE-MASAKA'!K38)</f>
        <v>0.14285714285714285</v>
      </c>
      <c r="L38" s="49">
        <f>AVERAGE('17.10 SEMBABULE-MASAKA'!L38,'18.10 SEMBABULE-MASAKA-24 HRS'!L38,'19.10 SEMBABULE MASAKA-24HRS'!L38,'20.10 SEMBABULE-MASAKA'!L38,'21.10 SEMBABULE-MASAKA'!L38,'22.10 SEMBABULE-MASAKA'!L38,'23.10 SEMBABULE-MASAKA'!L38)</f>
        <v>0</v>
      </c>
      <c r="M38" s="49">
        <f>AVERAGE('17.10 SEMBABULE-MASAKA'!M38,'18.10 SEMBABULE-MASAKA-24 HRS'!M38,'19.10 SEMBABULE MASAKA-24HRS'!M38,'20.10 SEMBABULE-MASAKA'!M38,'21.10 SEMBABULE-MASAKA'!M38,'22.10 SEMBABULE-MASAKA'!M38,'23.10 SEMBABULE-MASAKA'!M38)</f>
        <v>7.5714285714285712</v>
      </c>
      <c r="N38" s="49">
        <f>AVERAGE('17.10 SEMBABULE-MASAKA'!N38,'18.10 SEMBABULE-MASAKA-24 HRS'!N38,'19.10 SEMBABULE MASAKA-24HRS'!N38,'20.10 SEMBABULE-MASAKA'!N38,'21.10 SEMBABULE-MASAKA'!N38,'22.10 SEMBABULE-MASAKA'!N38,'23.10 SEMBABULE-MASAKA'!N38)</f>
        <v>0</v>
      </c>
      <c r="O38" s="15">
        <f t="shared" si="0"/>
        <v>6.4285714285714288</v>
      </c>
      <c r="P38" s="15">
        <f t="shared" si="1"/>
        <v>14</v>
      </c>
      <c r="R38" s="28" t="s">
        <v>86</v>
      </c>
      <c r="S38" s="57">
        <f t="shared" ref="S38:AF38" si="30">SUM(S13:S18)</f>
        <v>57</v>
      </c>
      <c r="T38" s="57">
        <f t="shared" si="30"/>
        <v>7.5714285714285712</v>
      </c>
      <c r="U38" s="57">
        <f t="shared" si="30"/>
        <v>16</v>
      </c>
      <c r="V38" s="57">
        <f t="shared" si="30"/>
        <v>10.999999999999998</v>
      </c>
      <c r="W38" s="57">
        <f t="shared" si="30"/>
        <v>0.2857142857142857</v>
      </c>
      <c r="X38" s="57">
        <f t="shared" si="30"/>
        <v>0</v>
      </c>
      <c r="Y38" s="57">
        <f t="shared" si="30"/>
        <v>23.857142857142861</v>
      </c>
      <c r="Z38" s="57">
        <f t="shared" si="30"/>
        <v>11.714285714285712</v>
      </c>
      <c r="AA38" s="57">
        <f t="shared" si="30"/>
        <v>11.714285714285714</v>
      </c>
      <c r="AB38" s="57">
        <f t="shared" si="30"/>
        <v>0.71428571428571419</v>
      </c>
      <c r="AC38" s="57">
        <f t="shared" si="30"/>
        <v>157.57142857142856</v>
      </c>
      <c r="AD38" s="57">
        <f t="shared" si="30"/>
        <v>1.4285714285714286</v>
      </c>
      <c r="AE38" s="58">
        <f t="shared" si="30"/>
        <v>141.28571428571428</v>
      </c>
      <c r="AF38" s="58">
        <f t="shared" si="30"/>
        <v>298.85714285714289</v>
      </c>
    </row>
    <row r="39" spans="2:32" ht="23.1" customHeight="1" x14ac:dyDescent="0.25">
      <c r="B39" s="24" t="s">
        <v>66</v>
      </c>
      <c r="C39" s="49">
        <f>AVERAGE('17.10 SEMBABULE-MASAKA'!C39,'18.10 SEMBABULE-MASAKA-24 HRS'!C39,'19.10 SEMBABULE MASAKA-24HRS'!C39,'20.10 SEMBABULE-MASAKA'!C39,'21.10 SEMBABULE-MASAKA'!C39,'22.10 SEMBABULE-MASAKA'!C39,'23.10 SEMBABULE-MASAKA'!C39)</f>
        <v>1</v>
      </c>
      <c r="D39" s="49">
        <f>AVERAGE('17.10 SEMBABULE-MASAKA'!D39,'18.10 SEMBABULE-MASAKA-24 HRS'!D39,'19.10 SEMBABULE MASAKA-24HRS'!D39,'20.10 SEMBABULE-MASAKA'!D39,'21.10 SEMBABULE-MASAKA'!D39,'22.10 SEMBABULE-MASAKA'!D39,'23.10 SEMBABULE-MASAKA'!D39)</f>
        <v>0.7142857142857143</v>
      </c>
      <c r="E39" s="49">
        <f>AVERAGE('17.10 SEMBABULE-MASAKA'!E39,'18.10 SEMBABULE-MASAKA-24 HRS'!E39,'19.10 SEMBABULE MASAKA-24HRS'!E39,'20.10 SEMBABULE-MASAKA'!E39,'21.10 SEMBABULE-MASAKA'!E39,'22.10 SEMBABULE-MASAKA'!E39,'23.10 SEMBABULE-MASAKA'!E39)</f>
        <v>0.5714285714285714</v>
      </c>
      <c r="F39" s="49">
        <f>AVERAGE('17.10 SEMBABULE-MASAKA'!F39,'18.10 SEMBABULE-MASAKA-24 HRS'!F39,'19.10 SEMBABULE MASAKA-24HRS'!F39,'20.10 SEMBABULE-MASAKA'!F39,'21.10 SEMBABULE-MASAKA'!F39,'22.10 SEMBABULE-MASAKA'!F39,'23.10 SEMBABULE-MASAKA'!F39)</f>
        <v>0.42857142857142855</v>
      </c>
      <c r="G39" s="49">
        <f>AVERAGE('17.10 SEMBABULE-MASAKA'!G39,'18.10 SEMBABULE-MASAKA-24 HRS'!G39,'19.10 SEMBABULE MASAKA-24HRS'!G39,'20.10 SEMBABULE-MASAKA'!G39,'21.10 SEMBABULE-MASAKA'!G39,'22.10 SEMBABULE-MASAKA'!G39,'23.10 SEMBABULE-MASAKA'!G39)</f>
        <v>0</v>
      </c>
      <c r="H39" s="49">
        <f>AVERAGE('17.10 SEMBABULE-MASAKA'!H39,'18.10 SEMBABULE-MASAKA-24 HRS'!H39,'19.10 SEMBABULE MASAKA-24HRS'!H39,'20.10 SEMBABULE-MASAKA'!H39,'21.10 SEMBABULE-MASAKA'!H39,'22.10 SEMBABULE-MASAKA'!H39,'23.10 SEMBABULE-MASAKA'!H39)</f>
        <v>0</v>
      </c>
      <c r="I39" s="49">
        <f>AVERAGE('17.10 SEMBABULE-MASAKA'!I39,'18.10 SEMBABULE-MASAKA-24 HRS'!I39,'19.10 SEMBABULE MASAKA-24HRS'!I39,'20.10 SEMBABULE-MASAKA'!I39,'21.10 SEMBABULE-MASAKA'!I39,'22.10 SEMBABULE-MASAKA'!I39,'23.10 SEMBABULE-MASAKA'!I39)</f>
        <v>0.5714285714285714</v>
      </c>
      <c r="J39" s="49">
        <f>AVERAGE('17.10 SEMBABULE-MASAKA'!J39,'18.10 SEMBABULE-MASAKA-24 HRS'!J39,'19.10 SEMBABULE MASAKA-24HRS'!J39,'20.10 SEMBABULE-MASAKA'!J39,'21.10 SEMBABULE-MASAKA'!J39,'22.10 SEMBABULE-MASAKA'!J39,'23.10 SEMBABULE-MASAKA'!J39)</f>
        <v>0.42857142857142855</v>
      </c>
      <c r="K39" s="49">
        <f>AVERAGE('17.10 SEMBABULE-MASAKA'!K39,'18.10 SEMBABULE-MASAKA-24 HRS'!K39,'19.10 SEMBABULE MASAKA-24HRS'!K39,'20.10 SEMBABULE-MASAKA'!K39,'21.10 SEMBABULE-MASAKA'!K39,'22.10 SEMBABULE-MASAKA'!K39,'23.10 SEMBABULE-MASAKA'!K39)</f>
        <v>1.1428571428571428</v>
      </c>
      <c r="L39" s="49">
        <f>AVERAGE('17.10 SEMBABULE-MASAKA'!L39,'18.10 SEMBABULE-MASAKA-24 HRS'!L39,'19.10 SEMBABULE MASAKA-24HRS'!L39,'20.10 SEMBABULE-MASAKA'!L39,'21.10 SEMBABULE-MASAKA'!L39,'22.10 SEMBABULE-MASAKA'!L39,'23.10 SEMBABULE-MASAKA'!L39)</f>
        <v>0</v>
      </c>
      <c r="M39" s="49">
        <f>AVERAGE('17.10 SEMBABULE-MASAKA'!M39,'18.10 SEMBABULE-MASAKA-24 HRS'!M39,'19.10 SEMBABULE MASAKA-24HRS'!M39,'20.10 SEMBABULE-MASAKA'!M39,'21.10 SEMBABULE-MASAKA'!M39,'22.10 SEMBABULE-MASAKA'!M39,'23.10 SEMBABULE-MASAKA'!M39)</f>
        <v>6.7142857142857144</v>
      </c>
      <c r="N39" s="49">
        <f>AVERAGE('17.10 SEMBABULE-MASAKA'!N39,'18.10 SEMBABULE-MASAKA-24 HRS'!N39,'19.10 SEMBABULE MASAKA-24HRS'!N39,'20.10 SEMBABULE-MASAKA'!N39,'21.10 SEMBABULE-MASAKA'!N39,'22.10 SEMBABULE-MASAKA'!N39,'23.10 SEMBABULE-MASAKA'!N39)</f>
        <v>0</v>
      </c>
      <c r="O39" s="15">
        <f t="shared" si="0"/>
        <v>4.8571428571428568</v>
      </c>
      <c r="P39" s="15">
        <f t="shared" si="1"/>
        <v>11.571428571428571</v>
      </c>
      <c r="R39" s="29" t="s">
        <v>87</v>
      </c>
      <c r="S39" s="57">
        <f t="shared" ref="S39:AF39" si="31">SUM(S19:S21)</f>
        <v>26.142857142857139</v>
      </c>
      <c r="T39" s="57">
        <f t="shared" si="31"/>
        <v>4.7142857142857144</v>
      </c>
      <c r="U39" s="57">
        <f t="shared" si="31"/>
        <v>9.428571428571427</v>
      </c>
      <c r="V39" s="57">
        <f t="shared" si="31"/>
        <v>4.1428571428571423</v>
      </c>
      <c r="W39" s="57">
        <f t="shared" si="31"/>
        <v>1</v>
      </c>
      <c r="X39" s="57">
        <f t="shared" si="31"/>
        <v>0</v>
      </c>
      <c r="Y39" s="57">
        <f t="shared" si="31"/>
        <v>12.142857142857142</v>
      </c>
      <c r="Z39" s="57">
        <f t="shared" si="31"/>
        <v>9.4285714285714288</v>
      </c>
      <c r="AA39" s="57">
        <f t="shared" si="31"/>
        <v>1.714285714285714</v>
      </c>
      <c r="AB39" s="57">
        <f t="shared" si="31"/>
        <v>0</v>
      </c>
      <c r="AC39" s="57">
        <f t="shared" si="31"/>
        <v>88.571428571428569</v>
      </c>
      <c r="AD39" s="57">
        <f t="shared" si="31"/>
        <v>0</v>
      </c>
      <c r="AE39" s="58">
        <f t="shared" si="31"/>
        <v>68.714285714285708</v>
      </c>
      <c r="AF39" s="58">
        <f t="shared" si="31"/>
        <v>157.28571428571428</v>
      </c>
    </row>
    <row r="40" spans="2:32" ht="23.1" customHeight="1" x14ac:dyDescent="0.25">
      <c r="B40" s="24" t="s">
        <v>67</v>
      </c>
      <c r="C40" s="49">
        <f>AVERAGE('17.10 SEMBABULE-MASAKA'!C40,'18.10 SEMBABULE-MASAKA-24 HRS'!C40,'19.10 SEMBABULE MASAKA-24HRS'!C40,'20.10 SEMBABULE-MASAKA'!C40,'21.10 SEMBABULE-MASAKA'!C40,'22.10 SEMBABULE-MASAKA'!C40,'23.10 SEMBABULE-MASAKA'!C40)</f>
        <v>2.2857142857142856</v>
      </c>
      <c r="D40" s="49">
        <f>AVERAGE('17.10 SEMBABULE-MASAKA'!D40,'18.10 SEMBABULE-MASAKA-24 HRS'!D40,'19.10 SEMBABULE MASAKA-24HRS'!D40,'20.10 SEMBABULE-MASAKA'!D40,'21.10 SEMBABULE-MASAKA'!D40,'22.10 SEMBABULE-MASAKA'!D40,'23.10 SEMBABULE-MASAKA'!D40)</f>
        <v>0.42857142857142855</v>
      </c>
      <c r="E40" s="49">
        <f>AVERAGE('17.10 SEMBABULE-MASAKA'!E40,'18.10 SEMBABULE-MASAKA-24 HRS'!E40,'19.10 SEMBABULE MASAKA-24HRS'!E40,'20.10 SEMBABULE-MASAKA'!E40,'21.10 SEMBABULE-MASAKA'!E40,'22.10 SEMBABULE-MASAKA'!E40,'23.10 SEMBABULE-MASAKA'!E40)</f>
        <v>0.8571428571428571</v>
      </c>
      <c r="F40" s="49">
        <f>AVERAGE('17.10 SEMBABULE-MASAKA'!F40,'18.10 SEMBABULE-MASAKA-24 HRS'!F40,'19.10 SEMBABULE MASAKA-24HRS'!F40,'20.10 SEMBABULE-MASAKA'!F40,'21.10 SEMBABULE-MASAKA'!F40,'22.10 SEMBABULE-MASAKA'!F40,'23.10 SEMBABULE-MASAKA'!F40)</f>
        <v>0.42857142857142855</v>
      </c>
      <c r="G40" s="49">
        <f>AVERAGE('17.10 SEMBABULE-MASAKA'!G40,'18.10 SEMBABULE-MASAKA-24 HRS'!G40,'19.10 SEMBABULE MASAKA-24HRS'!G40,'20.10 SEMBABULE-MASAKA'!G40,'21.10 SEMBABULE-MASAKA'!G40,'22.10 SEMBABULE-MASAKA'!G40,'23.10 SEMBABULE-MASAKA'!G40)</f>
        <v>0.14285714285714285</v>
      </c>
      <c r="H40" s="49">
        <f>AVERAGE('17.10 SEMBABULE-MASAKA'!H40,'18.10 SEMBABULE-MASAKA-24 HRS'!H40,'19.10 SEMBABULE MASAKA-24HRS'!H40,'20.10 SEMBABULE-MASAKA'!H40,'21.10 SEMBABULE-MASAKA'!H40,'22.10 SEMBABULE-MASAKA'!H40,'23.10 SEMBABULE-MASAKA'!H40)</f>
        <v>0</v>
      </c>
      <c r="I40" s="49">
        <f>AVERAGE('17.10 SEMBABULE-MASAKA'!I40,'18.10 SEMBABULE-MASAKA-24 HRS'!I40,'19.10 SEMBABULE MASAKA-24HRS'!I40,'20.10 SEMBABULE-MASAKA'!I40,'21.10 SEMBABULE-MASAKA'!I40,'22.10 SEMBABULE-MASAKA'!I40,'23.10 SEMBABULE-MASAKA'!I40)</f>
        <v>1.2857142857142858</v>
      </c>
      <c r="J40" s="49">
        <f>AVERAGE('17.10 SEMBABULE-MASAKA'!J40,'18.10 SEMBABULE-MASAKA-24 HRS'!J40,'19.10 SEMBABULE MASAKA-24HRS'!J40,'20.10 SEMBABULE-MASAKA'!J40,'21.10 SEMBABULE-MASAKA'!J40,'22.10 SEMBABULE-MASAKA'!J40,'23.10 SEMBABULE-MASAKA'!J40)</f>
        <v>0.2857142857142857</v>
      </c>
      <c r="K40" s="49">
        <f>AVERAGE('17.10 SEMBABULE-MASAKA'!K40,'18.10 SEMBABULE-MASAKA-24 HRS'!K40,'19.10 SEMBABULE MASAKA-24HRS'!K40,'20.10 SEMBABULE-MASAKA'!K40,'21.10 SEMBABULE-MASAKA'!K40,'22.10 SEMBABULE-MASAKA'!K40,'23.10 SEMBABULE-MASAKA'!K40)</f>
        <v>0.42857142857142855</v>
      </c>
      <c r="L40" s="49">
        <f>AVERAGE('17.10 SEMBABULE-MASAKA'!L40,'18.10 SEMBABULE-MASAKA-24 HRS'!L40,'19.10 SEMBABULE MASAKA-24HRS'!L40,'20.10 SEMBABULE-MASAKA'!L40,'21.10 SEMBABULE-MASAKA'!L40,'22.10 SEMBABULE-MASAKA'!L40,'23.10 SEMBABULE-MASAKA'!L40)</f>
        <v>0</v>
      </c>
      <c r="M40" s="49">
        <f>AVERAGE('17.10 SEMBABULE-MASAKA'!M40,'18.10 SEMBABULE-MASAKA-24 HRS'!M40,'19.10 SEMBABULE MASAKA-24HRS'!M40,'20.10 SEMBABULE-MASAKA'!M40,'21.10 SEMBABULE-MASAKA'!M40,'22.10 SEMBABULE-MASAKA'!M40,'23.10 SEMBABULE-MASAKA'!M40)</f>
        <v>6.4285714285714288</v>
      </c>
      <c r="N40" s="49">
        <f>AVERAGE('17.10 SEMBABULE-MASAKA'!N40,'18.10 SEMBABULE-MASAKA-24 HRS'!N40,'19.10 SEMBABULE MASAKA-24HRS'!N40,'20.10 SEMBABULE-MASAKA'!N40,'21.10 SEMBABULE-MASAKA'!N40,'22.10 SEMBABULE-MASAKA'!N40,'23.10 SEMBABULE-MASAKA'!N40)</f>
        <v>0</v>
      </c>
      <c r="O40" s="15">
        <f t="shared" si="0"/>
        <v>6.1428571428571423</v>
      </c>
      <c r="P40" s="15">
        <f t="shared" si="1"/>
        <v>12.571428571428571</v>
      </c>
      <c r="R40" s="5" t="s">
        <v>17</v>
      </c>
      <c r="S40" s="57">
        <f t="shared" ref="S40:AF40" si="32">SUM(S10:S21)</f>
        <v>112.28571428571428</v>
      </c>
      <c r="T40" s="57">
        <f t="shared" si="32"/>
        <v>14.142857142857141</v>
      </c>
      <c r="U40" s="57">
        <f t="shared" si="32"/>
        <v>31.285714285714288</v>
      </c>
      <c r="V40" s="57">
        <f t="shared" si="32"/>
        <v>26.857142857142854</v>
      </c>
      <c r="W40" s="57">
        <f t="shared" si="32"/>
        <v>1.5714285714285714</v>
      </c>
      <c r="X40" s="57">
        <f t="shared" si="32"/>
        <v>0.42857142857142855</v>
      </c>
      <c r="Y40" s="57">
        <f t="shared" si="32"/>
        <v>50.000000000000007</v>
      </c>
      <c r="Z40" s="57">
        <f t="shared" si="32"/>
        <v>24.714285714285712</v>
      </c>
      <c r="AA40" s="57">
        <f t="shared" si="32"/>
        <v>17.428571428571431</v>
      </c>
      <c r="AB40" s="57">
        <f t="shared" si="32"/>
        <v>0.8571428571428571</v>
      </c>
      <c r="AC40" s="57">
        <f t="shared" si="32"/>
        <v>301</v>
      </c>
      <c r="AD40" s="57">
        <f t="shared" si="32"/>
        <v>1.7142857142857144</v>
      </c>
      <c r="AE40" s="58">
        <f t="shared" si="32"/>
        <v>281.28571428571422</v>
      </c>
      <c r="AF40" s="58">
        <f t="shared" si="32"/>
        <v>582.28571428571433</v>
      </c>
    </row>
    <row r="41" spans="2:32" ht="23.1" customHeight="1" x14ac:dyDescent="0.25">
      <c r="B41" s="23" t="s">
        <v>68</v>
      </c>
      <c r="C41" s="49">
        <f>AVERAGE('17.10 SEMBABULE-MASAKA'!C41,'18.10 SEMBABULE-MASAKA-24 HRS'!C41,'19.10 SEMBABULE MASAKA-24HRS'!C41,'20.10 SEMBABULE-MASAKA'!C41,'21.10 SEMBABULE-MASAKA'!C41,'22.10 SEMBABULE-MASAKA'!C41,'23.10 SEMBABULE-MASAKA'!C41)</f>
        <v>1.5714285714285714</v>
      </c>
      <c r="D41" s="49">
        <f>AVERAGE('17.10 SEMBABULE-MASAKA'!D41,'18.10 SEMBABULE-MASAKA-24 HRS'!D41,'19.10 SEMBABULE MASAKA-24HRS'!D41,'20.10 SEMBABULE-MASAKA'!D41,'21.10 SEMBABULE-MASAKA'!D41,'22.10 SEMBABULE-MASAKA'!D41,'23.10 SEMBABULE-MASAKA'!D41)</f>
        <v>0.42857142857142855</v>
      </c>
      <c r="E41" s="49">
        <f>AVERAGE('17.10 SEMBABULE-MASAKA'!E41,'18.10 SEMBABULE-MASAKA-24 HRS'!E41,'19.10 SEMBABULE MASAKA-24HRS'!E41,'20.10 SEMBABULE-MASAKA'!E41,'21.10 SEMBABULE-MASAKA'!E41,'22.10 SEMBABULE-MASAKA'!E41,'23.10 SEMBABULE-MASAKA'!E41)</f>
        <v>0.8571428571428571</v>
      </c>
      <c r="F41" s="49">
        <f>AVERAGE('17.10 SEMBABULE-MASAKA'!F41,'18.10 SEMBABULE-MASAKA-24 HRS'!F41,'19.10 SEMBABULE MASAKA-24HRS'!F41,'20.10 SEMBABULE-MASAKA'!F41,'21.10 SEMBABULE-MASAKA'!F41,'22.10 SEMBABULE-MASAKA'!F41,'23.10 SEMBABULE-MASAKA'!F41)</f>
        <v>0.8571428571428571</v>
      </c>
      <c r="G41" s="49">
        <f>AVERAGE('17.10 SEMBABULE-MASAKA'!G41,'18.10 SEMBABULE-MASAKA-24 HRS'!G41,'19.10 SEMBABULE MASAKA-24HRS'!G41,'20.10 SEMBABULE-MASAKA'!G41,'21.10 SEMBABULE-MASAKA'!G41,'22.10 SEMBABULE-MASAKA'!G41,'23.10 SEMBABULE-MASAKA'!G41)</f>
        <v>0</v>
      </c>
      <c r="H41" s="49">
        <f>AVERAGE('17.10 SEMBABULE-MASAKA'!H41,'18.10 SEMBABULE-MASAKA-24 HRS'!H41,'19.10 SEMBABULE MASAKA-24HRS'!H41,'20.10 SEMBABULE-MASAKA'!H41,'21.10 SEMBABULE-MASAKA'!H41,'22.10 SEMBABULE-MASAKA'!H41,'23.10 SEMBABULE-MASAKA'!H41)</f>
        <v>0</v>
      </c>
      <c r="I41" s="49">
        <f>AVERAGE('17.10 SEMBABULE-MASAKA'!I41,'18.10 SEMBABULE-MASAKA-24 HRS'!I41,'19.10 SEMBABULE MASAKA-24HRS'!I41,'20.10 SEMBABULE-MASAKA'!I41,'21.10 SEMBABULE-MASAKA'!I41,'22.10 SEMBABULE-MASAKA'!I41,'23.10 SEMBABULE-MASAKA'!I41)</f>
        <v>1.2857142857142858</v>
      </c>
      <c r="J41" s="49">
        <f>AVERAGE('17.10 SEMBABULE-MASAKA'!J41,'18.10 SEMBABULE-MASAKA-24 HRS'!J41,'19.10 SEMBABULE MASAKA-24HRS'!J41,'20.10 SEMBABULE-MASAKA'!J41,'21.10 SEMBABULE-MASAKA'!J41,'22.10 SEMBABULE-MASAKA'!J41,'23.10 SEMBABULE-MASAKA'!J41)</f>
        <v>1.2857142857142858</v>
      </c>
      <c r="K41" s="49">
        <f>AVERAGE('17.10 SEMBABULE-MASAKA'!K41,'18.10 SEMBABULE-MASAKA-24 HRS'!K41,'19.10 SEMBABULE MASAKA-24HRS'!K41,'20.10 SEMBABULE-MASAKA'!K41,'21.10 SEMBABULE-MASAKA'!K41,'22.10 SEMBABULE-MASAKA'!K41,'23.10 SEMBABULE-MASAKA'!K41)</f>
        <v>0.7142857142857143</v>
      </c>
      <c r="L41" s="49">
        <f>AVERAGE('17.10 SEMBABULE-MASAKA'!L41,'18.10 SEMBABULE-MASAKA-24 HRS'!L41,'19.10 SEMBABULE MASAKA-24HRS'!L41,'20.10 SEMBABULE-MASAKA'!L41,'21.10 SEMBABULE-MASAKA'!L41,'22.10 SEMBABULE-MASAKA'!L41,'23.10 SEMBABULE-MASAKA'!L41)</f>
        <v>0</v>
      </c>
      <c r="M41" s="49">
        <f>AVERAGE('17.10 SEMBABULE-MASAKA'!M41,'18.10 SEMBABULE-MASAKA-24 HRS'!M41,'19.10 SEMBABULE MASAKA-24HRS'!M41,'20.10 SEMBABULE-MASAKA'!M41,'21.10 SEMBABULE-MASAKA'!M41,'22.10 SEMBABULE-MASAKA'!M41,'23.10 SEMBABULE-MASAKA'!M41)</f>
        <v>6.4285714285714288</v>
      </c>
      <c r="N41" s="49">
        <f>AVERAGE('17.10 SEMBABULE-MASAKA'!N41,'18.10 SEMBABULE-MASAKA-24 HRS'!N41,'19.10 SEMBABULE MASAKA-24HRS'!N41,'20.10 SEMBABULE-MASAKA'!N41,'21.10 SEMBABULE-MASAKA'!N41,'22.10 SEMBABULE-MASAKA'!N41,'23.10 SEMBABULE-MASAKA'!N41)</f>
        <v>0</v>
      </c>
      <c r="O41" s="15">
        <f t="shared" si="0"/>
        <v>7</v>
      </c>
      <c r="P41" s="15">
        <f t="shared" si="1"/>
        <v>13.428571428571429</v>
      </c>
      <c r="R41" s="5" t="s">
        <v>185</v>
      </c>
      <c r="S41" s="57">
        <f>SUM(S10:S33)</f>
        <v>154.28571428571428</v>
      </c>
      <c r="T41" s="57">
        <f t="shared" ref="T41:AD41" si="33">SUM(T10:T33)</f>
        <v>26.642857142857139</v>
      </c>
      <c r="U41" s="57">
        <f t="shared" si="33"/>
        <v>44.285714285714292</v>
      </c>
      <c r="V41" s="57">
        <f t="shared" si="33"/>
        <v>42.357142857142854</v>
      </c>
      <c r="W41" s="57">
        <f t="shared" si="33"/>
        <v>2.0714285714285712</v>
      </c>
      <c r="X41" s="57">
        <f t="shared" si="33"/>
        <v>0.42857142857142855</v>
      </c>
      <c r="Y41" s="57">
        <f t="shared" si="33"/>
        <v>76.5</v>
      </c>
      <c r="Z41" s="57">
        <f t="shared" si="33"/>
        <v>48.714285714285708</v>
      </c>
      <c r="AA41" s="57">
        <f t="shared" si="33"/>
        <v>23.428571428571431</v>
      </c>
      <c r="AB41" s="57">
        <f t="shared" si="33"/>
        <v>3.3571428571428572</v>
      </c>
      <c r="AC41" s="57">
        <f t="shared" si="33"/>
        <v>419.5</v>
      </c>
      <c r="AD41" s="57">
        <f t="shared" si="33"/>
        <v>1.7142857142857144</v>
      </c>
      <c r="AE41" s="58">
        <f>SUM(AE10:AE33)</f>
        <v>423.78571428571422</v>
      </c>
      <c r="AF41" s="58">
        <f>SUM(AF10:AF33)</f>
        <v>843.28571428571433</v>
      </c>
    </row>
    <row r="42" spans="2:32" ht="23.1" customHeight="1" x14ac:dyDescent="0.25">
      <c r="B42" s="24" t="s">
        <v>69</v>
      </c>
      <c r="C42" s="49">
        <f>AVERAGE('17.10 SEMBABULE-MASAKA'!C42,'18.10 SEMBABULE-MASAKA-24 HRS'!C42,'19.10 SEMBABULE MASAKA-24HRS'!C42,'20.10 SEMBABULE-MASAKA'!C42,'21.10 SEMBABULE-MASAKA'!C42,'22.10 SEMBABULE-MASAKA'!C42,'23.10 SEMBABULE-MASAKA'!C42)</f>
        <v>2.4285714285714284</v>
      </c>
      <c r="D42" s="49">
        <f>AVERAGE('17.10 SEMBABULE-MASAKA'!D42,'18.10 SEMBABULE-MASAKA-24 HRS'!D42,'19.10 SEMBABULE MASAKA-24HRS'!D42,'20.10 SEMBABULE-MASAKA'!D42,'21.10 SEMBABULE-MASAKA'!D42,'22.10 SEMBABULE-MASAKA'!D42,'23.10 SEMBABULE-MASAKA'!D42)</f>
        <v>0.2857142857142857</v>
      </c>
      <c r="E42" s="49">
        <f>AVERAGE('17.10 SEMBABULE-MASAKA'!E42,'18.10 SEMBABULE-MASAKA-24 HRS'!E42,'19.10 SEMBABULE MASAKA-24HRS'!E42,'20.10 SEMBABULE-MASAKA'!E42,'21.10 SEMBABULE-MASAKA'!E42,'22.10 SEMBABULE-MASAKA'!E42,'23.10 SEMBABULE-MASAKA'!E42)</f>
        <v>1</v>
      </c>
      <c r="F42" s="49">
        <f>AVERAGE('17.10 SEMBABULE-MASAKA'!F42,'18.10 SEMBABULE-MASAKA-24 HRS'!F42,'19.10 SEMBABULE MASAKA-24HRS'!F42,'20.10 SEMBABULE-MASAKA'!F42,'21.10 SEMBABULE-MASAKA'!F42,'22.10 SEMBABULE-MASAKA'!F42,'23.10 SEMBABULE-MASAKA'!F42)</f>
        <v>0.42857142857142855</v>
      </c>
      <c r="G42" s="49">
        <f>AVERAGE('17.10 SEMBABULE-MASAKA'!G42,'18.10 SEMBABULE-MASAKA-24 HRS'!G42,'19.10 SEMBABULE MASAKA-24HRS'!G42,'20.10 SEMBABULE-MASAKA'!G42,'21.10 SEMBABULE-MASAKA'!G42,'22.10 SEMBABULE-MASAKA'!G42,'23.10 SEMBABULE-MASAKA'!G42)</f>
        <v>0</v>
      </c>
      <c r="H42" s="49">
        <f>AVERAGE('17.10 SEMBABULE-MASAKA'!H42,'18.10 SEMBABULE-MASAKA-24 HRS'!H42,'19.10 SEMBABULE MASAKA-24HRS'!H42,'20.10 SEMBABULE-MASAKA'!H42,'21.10 SEMBABULE-MASAKA'!H42,'22.10 SEMBABULE-MASAKA'!H42,'23.10 SEMBABULE-MASAKA'!H42)</f>
        <v>0</v>
      </c>
      <c r="I42" s="49">
        <f>AVERAGE('17.10 SEMBABULE-MASAKA'!I42,'18.10 SEMBABULE-MASAKA-24 HRS'!I42,'19.10 SEMBABULE MASAKA-24HRS'!I42,'20.10 SEMBABULE-MASAKA'!I42,'21.10 SEMBABULE-MASAKA'!I42,'22.10 SEMBABULE-MASAKA'!I42,'23.10 SEMBABULE-MASAKA'!I42)</f>
        <v>0.5714285714285714</v>
      </c>
      <c r="J42" s="49">
        <f>AVERAGE('17.10 SEMBABULE-MASAKA'!J42,'18.10 SEMBABULE-MASAKA-24 HRS'!J42,'19.10 SEMBABULE MASAKA-24HRS'!J42,'20.10 SEMBABULE-MASAKA'!J42,'21.10 SEMBABULE-MASAKA'!J42,'22.10 SEMBABULE-MASAKA'!J42,'23.10 SEMBABULE-MASAKA'!J42)</f>
        <v>0.14285714285714285</v>
      </c>
      <c r="K42" s="49">
        <f>AVERAGE('17.10 SEMBABULE-MASAKA'!K42,'18.10 SEMBABULE-MASAKA-24 HRS'!K42,'19.10 SEMBABULE MASAKA-24HRS'!K42,'20.10 SEMBABULE-MASAKA'!K42,'21.10 SEMBABULE-MASAKA'!K42,'22.10 SEMBABULE-MASAKA'!K42,'23.10 SEMBABULE-MASAKA'!K42)</f>
        <v>0.7142857142857143</v>
      </c>
      <c r="L42" s="49">
        <f>AVERAGE('17.10 SEMBABULE-MASAKA'!L42,'18.10 SEMBABULE-MASAKA-24 HRS'!L42,'19.10 SEMBABULE MASAKA-24HRS'!L42,'20.10 SEMBABULE-MASAKA'!L42,'21.10 SEMBABULE-MASAKA'!L42,'22.10 SEMBABULE-MASAKA'!L42,'23.10 SEMBABULE-MASAKA'!L42)</f>
        <v>0.14285714285714285</v>
      </c>
      <c r="M42" s="49">
        <f>AVERAGE('17.10 SEMBABULE-MASAKA'!M42,'18.10 SEMBABULE-MASAKA-24 HRS'!M42,'19.10 SEMBABULE MASAKA-24HRS'!M42,'20.10 SEMBABULE-MASAKA'!M42,'21.10 SEMBABULE-MASAKA'!M42,'22.10 SEMBABULE-MASAKA'!M42,'23.10 SEMBABULE-MASAKA'!M42)</f>
        <v>5.8571428571428568</v>
      </c>
      <c r="N42" s="49">
        <f>AVERAGE('17.10 SEMBABULE-MASAKA'!N42,'18.10 SEMBABULE-MASAKA-24 HRS'!N42,'19.10 SEMBABULE MASAKA-24HRS'!N42,'20.10 SEMBABULE-MASAKA'!N42,'21.10 SEMBABULE-MASAKA'!N42,'22.10 SEMBABULE-MASAKA'!N42,'23.10 SEMBABULE-MASAKA'!N42)</f>
        <v>0</v>
      </c>
      <c r="O42" s="15">
        <f t="shared" si="0"/>
        <v>5.7142857142857144</v>
      </c>
      <c r="P42" s="15">
        <f t="shared" si="1"/>
        <v>11.571428571428571</v>
      </c>
      <c r="R42" s="5" t="s">
        <v>160</v>
      </c>
      <c r="S42" s="48">
        <f>S41/S40</f>
        <v>1.3740458015267176</v>
      </c>
      <c r="T42" s="48">
        <f t="shared" ref="T42:AF42" si="34">T41/T40</f>
        <v>1.8838383838383839</v>
      </c>
      <c r="U42" s="48">
        <f t="shared" si="34"/>
        <v>1.4155251141552512</v>
      </c>
      <c r="V42" s="48">
        <f t="shared" si="34"/>
        <v>1.5771276595744681</v>
      </c>
      <c r="W42" s="48">
        <f t="shared" si="34"/>
        <v>1.3181818181818181</v>
      </c>
      <c r="X42" s="48">
        <f t="shared" si="34"/>
        <v>1</v>
      </c>
      <c r="Y42" s="48">
        <f t="shared" si="34"/>
        <v>1.5299999999999998</v>
      </c>
      <c r="Z42" s="48">
        <f t="shared" si="34"/>
        <v>1.9710982658959537</v>
      </c>
      <c r="AA42" s="48">
        <f t="shared" si="34"/>
        <v>1.3442622950819672</v>
      </c>
      <c r="AB42" s="48">
        <f t="shared" si="34"/>
        <v>3.916666666666667</v>
      </c>
      <c r="AC42" s="48">
        <f t="shared" si="34"/>
        <v>1.393687707641196</v>
      </c>
      <c r="AD42" s="48">
        <f t="shared" si="34"/>
        <v>1</v>
      </c>
      <c r="AE42" s="59">
        <f t="shared" si="34"/>
        <v>1.5066023362112748</v>
      </c>
      <c r="AF42" s="59">
        <f t="shared" si="34"/>
        <v>1.4482335623159961</v>
      </c>
    </row>
    <row r="43" spans="2:32" ht="23.1" customHeight="1" x14ac:dyDescent="0.25">
      <c r="B43" s="23" t="s">
        <v>70</v>
      </c>
      <c r="C43" s="49">
        <f>AVERAGE('17.10 SEMBABULE-MASAKA'!C43,'18.10 SEMBABULE-MASAKA-24 HRS'!C43,'19.10 SEMBABULE MASAKA-24HRS'!C43,'20.10 SEMBABULE-MASAKA'!C43,'21.10 SEMBABULE-MASAKA'!C43,'22.10 SEMBABULE-MASAKA'!C43,'23.10 SEMBABULE-MASAKA'!C43)</f>
        <v>2.1428571428571428</v>
      </c>
      <c r="D43" s="49">
        <f>AVERAGE('17.10 SEMBABULE-MASAKA'!D43,'18.10 SEMBABULE-MASAKA-24 HRS'!D43,'19.10 SEMBABULE MASAKA-24HRS'!D43,'20.10 SEMBABULE-MASAKA'!D43,'21.10 SEMBABULE-MASAKA'!D43,'22.10 SEMBABULE-MASAKA'!D43,'23.10 SEMBABULE-MASAKA'!D43)</f>
        <v>0.14285714285714285</v>
      </c>
      <c r="E43" s="49">
        <f>AVERAGE('17.10 SEMBABULE-MASAKA'!E43,'18.10 SEMBABULE-MASAKA-24 HRS'!E43,'19.10 SEMBABULE MASAKA-24HRS'!E43,'20.10 SEMBABULE-MASAKA'!E43,'21.10 SEMBABULE-MASAKA'!E43,'22.10 SEMBABULE-MASAKA'!E43,'23.10 SEMBABULE-MASAKA'!E43)</f>
        <v>0.7142857142857143</v>
      </c>
      <c r="F43" s="49">
        <f>AVERAGE('17.10 SEMBABULE-MASAKA'!F43,'18.10 SEMBABULE-MASAKA-24 HRS'!F43,'19.10 SEMBABULE MASAKA-24HRS'!F43,'20.10 SEMBABULE-MASAKA'!F43,'21.10 SEMBABULE-MASAKA'!F43,'22.10 SEMBABULE-MASAKA'!F43,'23.10 SEMBABULE-MASAKA'!F43)</f>
        <v>0.42857142857142855</v>
      </c>
      <c r="G43" s="49">
        <f>AVERAGE('17.10 SEMBABULE-MASAKA'!G43,'18.10 SEMBABULE-MASAKA-24 HRS'!G43,'19.10 SEMBABULE MASAKA-24HRS'!G43,'20.10 SEMBABULE-MASAKA'!G43,'21.10 SEMBABULE-MASAKA'!G43,'22.10 SEMBABULE-MASAKA'!G43,'23.10 SEMBABULE-MASAKA'!G43)</f>
        <v>0</v>
      </c>
      <c r="H43" s="49">
        <f>AVERAGE('17.10 SEMBABULE-MASAKA'!H43,'18.10 SEMBABULE-MASAKA-24 HRS'!H43,'19.10 SEMBABULE MASAKA-24HRS'!H43,'20.10 SEMBABULE-MASAKA'!H43,'21.10 SEMBABULE-MASAKA'!H43,'22.10 SEMBABULE-MASAKA'!H43,'23.10 SEMBABULE-MASAKA'!H43)</f>
        <v>0</v>
      </c>
      <c r="I43" s="49">
        <f>AVERAGE('17.10 SEMBABULE-MASAKA'!I43,'18.10 SEMBABULE-MASAKA-24 HRS'!I43,'19.10 SEMBABULE MASAKA-24HRS'!I43,'20.10 SEMBABULE-MASAKA'!I43,'21.10 SEMBABULE-MASAKA'!I43,'22.10 SEMBABULE-MASAKA'!I43,'23.10 SEMBABULE-MASAKA'!I43)</f>
        <v>1.2857142857142858</v>
      </c>
      <c r="J43" s="49">
        <f>AVERAGE('17.10 SEMBABULE-MASAKA'!J43,'18.10 SEMBABULE-MASAKA-24 HRS'!J43,'19.10 SEMBABULE MASAKA-24HRS'!J43,'20.10 SEMBABULE-MASAKA'!J43,'21.10 SEMBABULE-MASAKA'!J43,'22.10 SEMBABULE-MASAKA'!J43,'23.10 SEMBABULE-MASAKA'!J43)</f>
        <v>0.2857142857142857</v>
      </c>
      <c r="K43" s="49">
        <f>AVERAGE('17.10 SEMBABULE-MASAKA'!K43,'18.10 SEMBABULE-MASAKA-24 HRS'!K43,'19.10 SEMBABULE MASAKA-24HRS'!K43,'20.10 SEMBABULE-MASAKA'!K43,'21.10 SEMBABULE-MASAKA'!K43,'22.10 SEMBABULE-MASAKA'!K43,'23.10 SEMBABULE-MASAKA'!K43)</f>
        <v>0.42857142857142855</v>
      </c>
      <c r="L43" s="49">
        <f>AVERAGE('17.10 SEMBABULE-MASAKA'!L43,'18.10 SEMBABULE-MASAKA-24 HRS'!L43,'19.10 SEMBABULE MASAKA-24HRS'!L43,'20.10 SEMBABULE-MASAKA'!L43,'21.10 SEMBABULE-MASAKA'!L43,'22.10 SEMBABULE-MASAKA'!L43,'23.10 SEMBABULE-MASAKA'!L43)</f>
        <v>0.42857142857142855</v>
      </c>
      <c r="M43" s="49">
        <f>AVERAGE('17.10 SEMBABULE-MASAKA'!M43,'18.10 SEMBABULE-MASAKA-24 HRS'!M43,'19.10 SEMBABULE MASAKA-24HRS'!M43,'20.10 SEMBABULE-MASAKA'!M43,'21.10 SEMBABULE-MASAKA'!M43,'22.10 SEMBABULE-MASAKA'!M43,'23.10 SEMBABULE-MASAKA'!M43)</f>
        <v>7.1428571428571432</v>
      </c>
      <c r="N43" s="49">
        <f>AVERAGE('17.10 SEMBABULE-MASAKA'!N43,'18.10 SEMBABULE-MASAKA-24 HRS'!N43,'19.10 SEMBABULE MASAKA-24HRS'!N43,'20.10 SEMBABULE-MASAKA'!N43,'21.10 SEMBABULE-MASAKA'!N43,'22.10 SEMBABULE-MASAKA'!N43,'23.10 SEMBABULE-MASAKA'!N43)</f>
        <v>0</v>
      </c>
      <c r="O43" s="15">
        <f t="shared" si="0"/>
        <v>5.8571428571428577</v>
      </c>
      <c r="P43" s="15">
        <f t="shared" si="1"/>
        <v>13</v>
      </c>
    </row>
    <row r="44" spans="2:32" ht="23.1" customHeight="1" x14ac:dyDescent="0.25">
      <c r="B44" s="25" t="s">
        <v>71</v>
      </c>
      <c r="C44" s="49">
        <f>AVERAGE('17.10 SEMBABULE-MASAKA'!C44,'18.10 SEMBABULE-MASAKA-24 HRS'!C44,'19.10 SEMBABULE MASAKA-24HRS'!C44,'20.10 SEMBABULE-MASAKA'!C44,'21.10 SEMBABULE-MASAKA'!C44,'22.10 SEMBABULE-MASAKA'!C44,'23.10 SEMBABULE-MASAKA'!C44)</f>
        <v>2.5714285714285716</v>
      </c>
      <c r="D44" s="49">
        <f>AVERAGE('17.10 SEMBABULE-MASAKA'!D44,'18.10 SEMBABULE-MASAKA-24 HRS'!D44,'19.10 SEMBABULE MASAKA-24HRS'!D44,'20.10 SEMBABULE-MASAKA'!D44,'21.10 SEMBABULE-MASAKA'!D44,'22.10 SEMBABULE-MASAKA'!D44,'23.10 SEMBABULE-MASAKA'!D44)</f>
        <v>0.5714285714285714</v>
      </c>
      <c r="E44" s="49">
        <f>AVERAGE('17.10 SEMBABULE-MASAKA'!E44,'18.10 SEMBABULE-MASAKA-24 HRS'!E44,'19.10 SEMBABULE MASAKA-24HRS'!E44,'20.10 SEMBABULE-MASAKA'!E44,'21.10 SEMBABULE-MASAKA'!E44,'22.10 SEMBABULE-MASAKA'!E44,'23.10 SEMBABULE-MASAKA'!E44)</f>
        <v>0.7142857142857143</v>
      </c>
      <c r="F44" s="49">
        <f>AVERAGE('17.10 SEMBABULE-MASAKA'!F44,'18.10 SEMBABULE-MASAKA-24 HRS'!F44,'19.10 SEMBABULE MASAKA-24HRS'!F44,'20.10 SEMBABULE-MASAKA'!F44,'21.10 SEMBABULE-MASAKA'!F44,'22.10 SEMBABULE-MASAKA'!F44,'23.10 SEMBABULE-MASAKA'!F44)</f>
        <v>0.2857142857142857</v>
      </c>
      <c r="G44" s="49">
        <f>AVERAGE('17.10 SEMBABULE-MASAKA'!G44,'18.10 SEMBABULE-MASAKA-24 HRS'!G44,'19.10 SEMBABULE MASAKA-24HRS'!G44,'20.10 SEMBABULE-MASAKA'!G44,'21.10 SEMBABULE-MASAKA'!G44,'22.10 SEMBABULE-MASAKA'!G44,'23.10 SEMBABULE-MASAKA'!G44)</f>
        <v>0</v>
      </c>
      <c r="H44" s="49">
        <f>AVERAGE('17.10 SEMBABULE-MASAKA'!H44,'18.10 SEMBABULE-MASAKA-24 HRS'!H44,'19.10 SEMBABULE MASAKA-24HRS'!H44,'20.10 SEMBABULE-MASAKA'!H44,'21.10 SEMBABULE-MASAKA'!H44,'22.10 SEMBABULE-MASAKA'!H44,'23.10 SEMBABULE-MASAKA'!H44)</f>
        <v>0</v>
      </c>
      <c r="I44" s="49">
        <f>AVERAGE('17.10 SEMBABULE-MASAKA'!I44,'18.10 SEMBABULE-MASAKA-24 HRS'!I44,'19.10 SEMBABULE MASAKA-24HRS'!I44,'20.10 SEMBABULE-MASAKA'!I44,'21.10 SEMBABULE-MASAKA'!I44,'22.10 SEMBABULE-MASAKA'!I44,'23.10 SEMBABULE-MASAKA'!I44)</f>
        <v>1</v>
      </c>
      <c r="J44" s="49">
        <f>AVERAGE('17.10 SEMBABULE-MASAKA'!J44,'18.10 SEMBABULE-MASAKA-24 HRS'!J44,'19.10 SEMBABULE MASAKA-24HRS'!J44,'20.10 SEMBABULE-MASAKA'!J44,'21.10 SEMBABULE-MASAKA'!J44,'22.10 SEMBABULE-MASAKA'!J44,'23.10 SEMBABULE-MASAKA'!J44)</f>
        <v>0.8571428571428571</v>
      </c>
      <c r="K44" s="49">
        <f>AVERAGE('17.10 SEMBABULE-MASAKA'!K44,'18.10 SEMBABULE-MASAKA-24 HRS'!K44,'19.10 SEMBABULE MASAKA-24HRS'!K44,'20.10 SEMBABULE-MASAKA'!K44,'21.10 SEMBABULE-MASAKA'!K44,'22.10 SEMBABULE-MASAKA'!K44,'23.10 SEMBABULE-MASAKA'!K44)</f>
        <v>0.7142857142857143</v>
      </c>
      <c r="L44" s="49">
        <f>AVERAGE('17.10 SEMBABULE-MASAKA'!L44,'18.10 SEMBABULE-MASAKA-24 HRS'!L44,'19.10 SEMBABULE MASAKA-24HRS'!L44,'20.10 SEMBABULE-MASAKA'!L44,'21.10 SEMBABULE-MASAKA'!L44,'22.10 SEMBABULE-MASAKA'!L44,'23.10 SEMBABULE-MASAKA'!L44)</f>
        <v>0</v>
      </c>
      <c r="M44" s="49">
        <f>AVERAGE('17.10 SEMBABULE-MASAKA'!M44,'18.10 SEMBABULE-MASAKA-24 HRS'!M44,'19.10 SEMBABULE MASAKA-24HRS'!M44,'20.10 SEMBABULE-MASAKA'!M44,'21.10 SEMBABULE-MASAKA'!M44,'22.10 SEMBABULE-MASAKA'!M44,'23.10 SEMBABULE-MASAKA'!M44)</f>
        <v>6.8571428571428568</v>
      </c>
      <c r="N44" s="49">
        <f>AVERAGE('17.10 SEMBABULE-MASAKA'!N44,'18.10 SEMBABULE-MASAKA-24 HRS'!N44,'19.10 SEMBABULE MASAKA-24HRS'!N44,'20.10 SEMBABULE-MASAKA'!N44,'21.10 SEMBABULE-MASAKA'!N44,'22.10 SEMBABULE-MASAKA'!N44,'23.10 SEMBABULE-MASAKA'!N44)</f>
        <v>0</v>
      </c>
      <c r="O44" s="15">
        <f t="shared" si="0"/>
        <v>6.7142857142857144</v>
      </c>
      <c r="P44" s="15">
        <f t="shared" si="1"/>
        <v>13.571428571428571</v>
      </c>
    </row>
    <row r="45" spans="2:32" ht="23.1" customHeight="1" x14ac:dyDescent="0.25">
      <c r="B45" s="23" t="s">
        <v>72</v>
      </c>
      <c r="C45" s="49">
        <f>AVERAGE('17.10 SEMBABULE-MASAKA'!C45,'18.10 SEMBABULE-MASAKA-24 HRS'!C45,'19.10 SEMBABULE MASAKA-24HRS'!C45,'20.10 SEMBABULE-MASAKA'!C45,'21.10 SEMBABULE-MASAKA'!C45,'22.10 SEMBABULE-MASAKA'!C45,'23.10 SEMBABULE-MASAKA'!C45)</f>
        <v>2.2857142857142856</v>
      </c>
      <c r="D45" s="49">
        <f>AVERAGE('17.10 SEMBABULE-MASAKA'!D45,'18.10 SEMBABULE-MASAKA-24 HRS'!D45,'19.10 SEMBABULE MASAKA-24HRS'!D45,'20.10 SEMBABULE-MASAKA'!D45,'21.10 SEMBABULE-MASAKA'!D45,'22.10 SEMBABULE-MASAKA'!D45,'23.10 SEMBABULE-MASAKA'!D45)</f>
        <v>0.14285714285714285</v>
      </c>
      <c r="E45" s="49">
        <f>AVERAGE('17.10 SEMBABULE-MASAKA'!E45,'18.10 SEMBABULE-MASAKA-24 HRS'!E45,'19.10 SEMBABULE MASAKA-24HRS'!E45,'20.10 SEMBABULE-MASAKA'!E45,'21.10 SEMBABULE-MASAKA'!E45,'22.10 SEMBABULE-MASAKA'!E45,'23.10 SEMBABULE-MASAKA'!E45)</f>
        <v>0.7142857142857143</v>
      </c>
      <c r="F45" s="49">
        <f>AVERAGE('17.10 SEMBABULE-MASAKA'!F45,'18.10 SEMBABULE-MASAKA-24 HRS'!F45,'19.10 SEMBABULE MASAKA-24HRS'!F45,'20.10 SEMBABULE-MASAKA'!F45,'21.10 SEMBABULE-MASAKA'!F45,'22.10 SEMBABULE-MASAKA'!F45,'23.10 SEMBABULE-MASAKA'!F45)</f>
        <v>0.42857142857142855</v>
      </c>
      <c r="G45" s="49">
        <f>AVERAGE('17.10 SEMBABULE-MASAKA'!G45,'18.10 SEMBABULE-MASAKA-24 HRS'!G45,'19.10 SEMBABULE MASAKA-24HRS'!G45,'20.10 SEMBABULE-MASAKA'!G45,'21.10 SEMBABULE-MASAKA'!G45,'22.10 SEMBABULE-MASAKA'!G45,'23.10 SEMBABULE-MASAKA'!G45)</f>
        <v>0</v>
      </c>
      <c r="H45" s="49">
        <f>AVERAGE('17.10 SEMBABULE-MASAKA'!H45,'18.10 SEMBABULE-MASAKA-24 HRS'!H45,'19.10 SEMBABULE MASAKA-24HRS'!H45,'20.10 SEMBABULE-MASAKA'!H45,'21.10 SEMBABULE-MASAKA'!H45,'22.10 SEMBABULE-MASAKA'!H45,'23.10 SEMBABULE-MASAKA'!H45)</f>
        <v>0</v>
      </c>
      <c r="I45" s="49">
        <f>AVERAGE('17.10 SEMBABULE-MASAKA'!I45,'18.10 SEMBABULE-MASAKA-24 HRS'!I45,'19.10 SEMBABULE MASAKA-24HRS'!I45,'20.10 SEMBABULE-MASAKA'!I45,'21.10 SEMBABULE-MASAKA'!I45,'22.10 SEMBABULE-MASAKA'!I45,'23.10 SEMBABULE-MASAKA'!I45)</f>
        <v>1.5714285714285714</v>
      </c>
      <c r="J45" s="49">
        <f>AVERAGE('17.10 SEMBABULE-MASAKA'!J45,'18.10 SEMBABULE-MASAKA-24 HRS'!J45,'19.10 SEMBABULE MASAKA-24HRS'!J45,'20.10 SEMBABULE-MASAKA'!J45,'21.10 SEMBABULE-MASAKA'!J45,'22.10 SEMBABULE-MASAKA'!J45,'23.10 SEMBABULE-MASAKA'!J45)</f>
        <v>0.8571428571428571</v>
      </c>
      <c r="K45" s="49">
        <f>AVERAGE('17.10 SEMBABULE-MASAKA'!K45,'18.10 SEMBABULE-MASAKA-24 HRS'!K45,'19.10 SEMBABULE MASAKA-24HRS'!K45,'20.10 SEMBABULE-MASAKA'!K45,'21.10 SEMBABULE-MASAKA'!K45,'22.10 SEMBABULE-MASAKA'!K45,'23.10 SEMBABULE-MASAKA'!K45)</f>
        <v>0.5714285714285714</v>
      </c>
      <c r="L45" s="49">
        <f>AVERAGE('17.10 SEMBABULE-MASAKA'!L45,'18.10 SEMBABULE-MASAKA-24 HRS'!L45,'19.10 SEMBABULE MASAKA-24HRS'!L45,'20.10 SEMBABULE-MASAKA'!L45,'21.10 SEMBABULE-MASAKA'!L45,'22.10 SEMBABULE-MASAKA'!L45,'23.10 SEMBABULE-MASAKA'!L45)</f>
        <v>0</v>
      </c>
      <c r="M45" s="49">
        <f>AVERAGE('17.10 SEMBABULE-MASAKA'!M45,'18.10 SEMBABULE-MASAKA-24 HRS'!M45,'19.10 SEMBABULE MASAKA-24HRS'!M45,'20.10 SEMBABULE-MASAKA'!M45,'21.10 SEMBABULE-MASAKA'!M45,'22.10 SEMBABULE-MASAKA'!M45,'23.10 SEMBABULE-MASAKA'!M45)</f>
        <v>5.4285714285714288</v>
      </c>
      <c r="N45" s="49">
        <f>AVERAGE('17.10 SEMBABULE-MASAKA'!N45,'18.10 SEMBABULE-MASAKA-24 HRS'!N45,'19.10 SEMBABULE MASAKA-24HRS'!N45,'20.10 SEMBABULE-MASAKA'!N45,'21.10 SEMBABULE-MASAKA'!N45,'22.10 SEMBABULE-MASAKA'!N45,'23.10 SEMBABULE-MASAKA'!N45)</f>
        <v>0</v>
      </c>
      <c r="O45" s="15">
        <f t="shared" si="0"/>
        <v>6.5714285714285703</v>
      </c>
      <c r="P45" s="15">
        <f t="shared" si="1"/>
        <v>12</v>
      </c>
    </row>
    <row r="46" spans="2:32" ht="23.1" customHeight="1" x14ac:dyDescent="0.25">
      <c r="B46" s="24" t="s">
        <v>73</v>
      </c>
      <c r="C46" s="49">
        <f>AVERAGE('17.10 SEMBABULE-MASAKA'!C46,'18.10 SEMBABULE-MASAKA-24 HRS'!C46,'19.10 SEMBABULE MASAKA-24HRS'!C46,'20.10 SEMBABULE-MASAKA'!C46,'21.10 SEMBABULE-MASAKA'!C46,'22.10 SEMBABULE-MASAKA'!C46,'23.10 SEMBABULE-MASAKA'!C46)</f>
        <v>2.5714285714285716</v>
      </c>
      <c r="D46" s="49">
        <f>AVERAGE('17.10 SEMBABULE-MASAKA'!D46,'18.10 SEMBABULE-MASAKA-24 HRS'!D46,'19.10 SEMBABULE MASAKA-24HRS'!D46,'20.10 SEMBABULE-MASAKA'!D46,'21.10 SEMBABULE-MASAKA'!D46,'22.10 SEMBABULE-MASAKA'!D46,'23.10 SEMBABULE-MASAKA'!D46)</f>
        <v>0.5714285714285714</v>
      </c>
      <c r="E46" s="49">
        <f>AVERAGE('17.10 SEMBABULE-MASAKA'!E46,'18.10 SEMBABULE-MASAKA-24 HRS'!E46,'19.10 SEMBABULE MASAKA-24HRS'!E46,'20.10 SEMBABULE-MASAKA'!E46,'21.10 SEMBABULE-MASAKA'!E46,'22.10 SEMBABULE-MASAKA'!E46,'23.10 SEMBABULE-MASAKA'!E46)</f>
        <v>0.42857142857142855</v>
      </c>
      <c r="F46" s="49">
        <f>AVERAGE('17.10 SEMBABULE-MASAKA'!F46,'18.10 SEMBABULE-MASAKA-24 HRS'!F46,'19.10 SEMBABULE MASAKA-24HRS'!F46,'20.10 SEMBABULE-MASAKA'!F46,'21.10 SEMBABULE-MASAKA'!F46,'22.10 SEMBABULE-MASAKA'!F46,'23.10 SEMBABULE-MASAKA'!F46)</f>
        <v>0.7142857142857143</v>
      </c>
      <c r="G46" s="49">
        <f>AVERAGE('17.10 SEMBABULE-MASAKA'!G46,'18.10 SEMBABULE-MASAKA-24 HRS'!G46,'19.10 SEMBABULE MASAKA-24HRS'!G46,'20.10 SEMBABULE-MASAKA'!G46,'21.10 SEMBABULE-MASAKA'!G46,'22.10 SEMBABULE-MASAKA'!G46,'23.10 SEMBABULE-MASAKA'!G46)</f>
        <v>0</v>
      </c>
      <c r="H46" s="49">
        <f>AVERAGE('17.10 SEMBABULE-MASAKA'!H46,'18.10 SEMBABULE-MASAKA-24 HRS'!H46,'19.10 SEMBABULE MASAKA-24HRS'!H46,'20.10 SEMBABULE-MASAKA'!H46,'21.10 SEMBABULE-MASAKA'!H46,'22.10 SEMBABULE-MASAKA'!H46,'23.10 SEMBABULE-MASAKA'!H46)</f>
        <v>0</v>
      </c>
      <c r="I46" s="49">
        <f>AVERAGE('17.10 SEMBABULE-MASAKA'!I46,'18.10 SEMBABULE-MASAKA-24 HRS'!I46,'19.10 SEMBABULE MASAKA-24HRS'!I46,'20.10 SEMBABULE-MASAKA'!I46,'21.10 SEMBABULE-MASAKA'!I46,'22.10 SEMBABULE-MASAKA'!I46,'23.10 SEMBABULE-MASAKA'!I46)</f>
        <v>0.5714285714285714</v>
      </c>
      <c r="J46" s="49">
        <f>AVERAGE('17.10 SEMBABULE-MASAKA'!J46,'18.10 SEMBABULE-MASAKA-24 HRS'!J46,'19.10 SEMBABULE MASAKA-24HRS'!J46,'20.10 SEMBABULE-MASAKA'!J46,'21.10 SEMBABULE-MASAKA'!J46,'22.10 SEMBABULE-MASAKA'!J46,'23.10 SEMBABULE-MASAKA'!J46)</f>
        <v>0.8571428571428571</v>
      </c>
      <c r="K46" s="49">
        <f>AVERAGE('17.10 SEMBABULE-MASAKA'!K46,'18.10 SEMBABULE-MASAKA-24 HRS'!K46,'19.10 SEMBABULE MASAKA-24HRS'!K46,'20.10 SEMBABULE-MASAKA'!K46,'21.10 SEMBABULE-MASAKA'!K46,'22.10 SEMBABULE-MASAKA'!K46,'23.10 SEMBABULE-MASAKA'!K46)</f>
        <v>0.14285714285714285</v>
      </c>
      <c r="L46" s="49">
        <f>AVERAGE('17.10 SEMBABULE-MASAKA'!L46,'18.10 SEMBABULE-MASAKA-24 HRS'!L46,'19.10 SEMBABULE MASAKA-24HRS'!L46,'20.10 SEMBABULE-MASAKA'!L46,'21.10 SEMBABULE-MASAKA'!L46,'22.10 SEMBABULE-MASAKA'!L46,'23.10 SEMBABULE-MASAKA'!L46)</f>
        <v>0</v>
      </c>
      <c r="M46" s="49">
        <f>AVERAGE('17.10 SEMBABULE-MASAKA'!M46,'18.10 SEMBABULE-MASAKA-24 HRS'!M46,'19.10 SEMBABULE MASAKA-24HRS'!M46,'20.10 SEMBABULE-MASAKA'!M46,'21.10 SEMBABULE-MASAKA'!M46,'22.10 SEMBABULE-MASAKA'!M46,'23.10 SEMBABULE-MASAKA'!M46)</f>
        <v>7.1428571428571432</v>
      </c>
      <c r="N46" s="49">
        <f>AVERAGE('17.10 SEMBABULE-MASAKA'!N46,'18.10 SEMBABULE-MASAKA-24 HRS'!N46,'19.10 SEMBABULE MASAKA-24HRS'!N46,'20.10 SEMBABULE-MASAKA'!N46,'21.10 SEMBABULE-MASAKA'!N46,'22.10 SEMBABULE-MASAKA'!N46,'23.10 SEMBABULE-MASAKA'!N46)</f>
        <v>0</v>
      </c>
      <c r="O46" s="15">
        <f t="shared" si="0"/>
        <v>5.8571428571428568</v>
      </c>
      <c r="P46" s="15">
        <f t="shared" si="1"/>
        <v>13</v>
      </c>
      <c r="R46" s="8"/>
      <c r="T46"/>
    </row>
    <row r="47" spans="2:32" ht="23.1" customHeight="1" x14ac:dyDescent="0.25">
      <c r="B47" s="24" t="s">
        <v>74</v>
      </c>
      <c r="C47" s="49">
        <f>AVERAGE('17.10 SEMBABULE-MASAKA'!C47,'18.10 SEMBABULE-MASAKA-24 HRS'!C47,'19.10 SEMBABULE MASAKA-24HRS'!C47,'20.10 SEMBABULE-MASAKA'!C47,'21.10 SEMBABULE-MASAKA'!C47,'22.10 SEMBABULE-MASAKA'!C47,'23.10 SEMBABULE-MASAKA'!C47)</f>
        <v>1.2857142857142858</v>
      </c>
      <c r="D47" s="49">
        <f>AVERAGE('17.10 SEMBABULE-MASAKA'!D47,'18.10 SEMBABULE-MASAKA-24 HRS'!D47,'19.10 SEMBABULE MASAKA-24HRS'!D47,'20.10 SEMBABULE-MASAKA'!D47,'21.10 SEMBABULE-MASAKA'!D47,'22.10 SEMBABULE-MASAKA'!D47,'23.10 SEMBABULE-MASAKA'!D47)</f>
        <v>0.5714285714285714</v>
      </c>
      <c r="E47" s="49">
        <f>AVERAGE('17.10 SEMBABULE-MASAKA'!E47,'18.10 SEMBABULE-MASAKA-24 HRS'!E47,'19.10 SEMBABULE MASAKA-24HRS'!E47,'20.10 SEMBABULE-MASAKA'!E47,'21.10 SEMBABULE-MASAKA'!E47,'22.10 SEMBABULE-MASAKA'!E47,'23.10 SEMBABULE-MASAKA'!E47)</f>
        <v>0.8571428571428571</v>
      </c>
      <c r="F47" s="49">
        <f>AVERAGE('17.10 SEMBABULE-MASAKA'!F47,'18.10 SEMBABULE-MASAKA-24 HRS'!F47,'19.10 SEMBABULE MASAKA-24HRS'!F47,'20.10 SEMBABULE-MASAKA'!F47,'21.10 SEMBABULE-MASAKA'!F47,'22.10 SEMBABULE-MASAKA'!F47,'23.10 SEMBABULE-MASAKA'!F47)</f>
        <v>0.7142857142857143</v>
      </c>
      <c r="G47" s="49">
        <f>AVERAGE('17.10 SEMBABULE-MASAKA'!G47,'18.10 SEMBABULE-MASAKA-24 HRS'!G47,'19.10 SEMBABULE MASAKA-24HRS'!G47,'20.10 SEMBABULE-MASAKA'!G47,'21.10 SEMBABULE-MASAKA'!G47,'22.10 SEMBABULE-MASAKA'!G47,'23.10 SEMBABULE-MASAKA'!G47)</f>
        <v>0</v>
      </c>
      <c r="H47" s="49">
        <f>AVERAGE('17.10 SEMBABULE-MASAKA'!H47,'18.10 SEMBABULE-MASAKA-24 HRS'!H47,'19.10 SEMBABULE MASAKA-24HRS'!H47,'20.10 SEMBABULE-MASAKA'!H47,'21.10 SEMBABULE-MASAKA'!H47,'22.10 SEMBABULE-MASAKA'!H47,'23.10 SEMBABULE-MASAKA'!H47)</f>
        <v>0</v>
      </c>
      <c r="I47" s="49">
        <f>AVERAGE('17.10 SEMBABULE-MASAKA'!I47,'18.10 SEMBABULE-MASAKA-24 HRS'!I47,'19.10 SEMBABULE MASAKA-24HRS'!I47,'20.10 SEMBABULE-MASAKA'!I47,'21.10 SEMBABULE-MASAKA'!I47,'22.10 SEMBABULE-MASAKA'!I47,'23.10 SEMBABULE-MASAKA'!I47)</f>
        <v>1.2857142857142858</v>
      </c>
      <c r="J47" s="49">
        <f>AVERAGE('17.10 SEMBABULE-MASAKA'!J47,'18.10 SEMBABULE-MASAKA-24 HRS'!J47,'19.10 SEMBABULE MASAKA-24HRS'!J47,'20.10 SEMBABULE-MASAKA'!J47,'21.10 SEMBABULE-MASAKA'!J47,'22.10 SEMBABULE-MASAKA'!J47,'23.10 SEMBABULE-MASAKA'!J47)</f>
        <v>1.5714285714285714</v>
      </c>
      <c r="K47" s="49">
        <f>AVERAGE('17.10 SEMBABULE-MASAKA'!K47,'18.10 SEMBABULE-MASAKA-24 HRS'!K47,'19.10 SEMBABULE MASAKA-24HRS'!K47,'20.10 SEMBABULE-MASAKA'!K47,'21.10 SEMBABULE-MASAKA'!K47,'22.10 SEMBABULE-MASAKA'!K47,'23.10 SEMBABULE-MASAKA'!K47)</f>
        <v>0</v>
      </c>
      <c r="L47" s="49">
        <f>AVERAGE('17.10 SEMBABULE-MASAKA'!L47,'18.10 SEMBABULE-MASAKA-24 HRS'!L47,'19.10 SEMBABULE MASAKA-24HRS'!L47,'20.10 SEMBABULE-MASAKA'!L47,'21.10 SEMBABULE-MASAKA'!L47,'22.10 SEMBABULE-MASAKA'!L47,'23.10 SEMBABULE-MASAKA'!L47)</f>
        <v>0</v>
      </c>
      <c r="M47" s="49">
        <f>AVERAGE('17.10 SEMBABULE-MASAKA'!M47,'18.10 SEMBABULE-MASAKA-24 HRS'!M47,'19.10 SEMBABULE MASAKA-24HRS'!M47,'20.10 SEMBABULE-MASAKA'!M47,'21.10 SEMBABULE-MASAKA'!M47,'22.10 SEMBABULE-MASAKA'!M47,'23.10 SEMBABULE-MASAKA'!M47)</f>
        <v>6.1428571428571432</v>
      </c>
      <c r="N47" s="49">
        <f>AVERAGE('17.10 SEMBABULE-MASAKA'!N47,'18.10 SEMBABULE-MASAKA-24 HRS'!N47,'19.10 SEMBABULE MASAKA-24HRS'!N47,'20.10 SEMBABULE-MASAKA'!N47,'21.10 SEMBABULE-MASAKA'!N47,'22.10 SEMBABULE-MASAKA'!N47,'23.10 SEMBABULE-MASAKA'!N47)</f>
        <v>0</v>
      </c>
      <c r="O47" s="15">
        <f t="shared" si="0"/>
        <v>6.2857142857142856</v>
      </c>
      <c r="P47" s="15">
        <f t="shared" si="1"/>
        <v>12.428571428571429</v>
      </c>
      <c r="R47" s="8"/>
      <c r="T47"/>
    </row>
    <row r="48" spans="2:32" ht="23.1" customHeight="1" x14ac:dyDescent="0.25">
      <c r="B48" s="24" t="s">
        <v>75</v>
      </c>
      <c r="C48" s="49">
        <f>AVERAGE('17.10 SEMBABULE-MASAKA'!C48,'18.10 SEMBABULE-MASAKA-24 HRS'!C48,'19.10 SEMBABULE MASAKA-24HRS'!C48,'20.10 SEMBABULE-MASAKA'!C48,'21.10 SEMBABULE-MASAKA'!C48,'22.10 SEMBABULE-MASAKA'!C48,'23.10 SEMBABULE-MASAKA'!C48)</f>
        <v>0.8571428571428571</v>
      </c>
      <c r="D48" s="49">
        <f>AVERAGE('17.10 SEMBABULE-MASAKA'!D48,'18.10 SEMBABULE-MASAKA-24 HRS'!D48,'19.10 SEMBABULE MASAKA-24HRS'!D48,'20.10 SEMBABULE-MASAKA'!D48,'21.10 SEMBABULE-MASAKA'!D48,'22.10 SEMBABULE-MASAKA'!D48,'23.10 SEMBABULE-MASAKA'!D48)</f>
        <v>0.42857142857142855</v>
      </c>
      <c r="E48" s="49">
        <f>AVERAGE('17.10 SEMBABULE-MASAKA'!E48,'18.10 SEMBABULE-MASAKA-24 HRS'!E48,'19.10 SEMBABULE MASAKA-24HRS'!E48,'20.10 SEMBABULE-MASAKA'!E48,'21.10 SEMBABULE-MASAKA'!E48,'22.10 SEMBABULE-MASAKA'!E48,'23.10 SEMBABULE-MASAKA'!E48)</f>
        <v>0.2857142857142857</v>
      </c>
      <c r="F48" s="49">
        <f>AVERAGE('17.10 SEMBABULE-MASAKA'!F48,'18.10 SEMBABULE-MASAKA-24 HRS'!F48,'19.10 SEMBABULE MASAKA-24HRS'!F48,'20.10 SEMBABULE-MASAKA'!F48,'21.10 SEMBABULE-MASAKA'!F48,'22.10 SEMBABULE-MASAKA'!F48,'23.10 SEMBABULE-MASAKA'!F48)</f>
        <v>0</v>
      </c>
      <c r="G48" s="49">
        <f>AVERAGE('17.10 SEMBABULE-MASAKA'!G48,'18.10 SEMBABULE-MASAKA-24 HRS'!G48,'19.10 SEMBABULE MASAKA-24HRS'!G48,'20.10 SEMBABULE-MASAKA'!G48,'21.10 SEMBABULE-MASAKA'!G48,'22.10 SEMBABULE-MASAKA'!G48,'23.10 SEMBABULE-MASAKA'!G48)</f>
        <v>0.14285714285714285</v>
      </c>
      <c r="H48" s="49">
        <f>AVERAGE('17.10 SEMBABULE-MASAKA'!H48,'18.10 SEMBABULE-MASAKA-24 HRS'!H48,'19.10 SEMBABULE MASAKA-24HRS'!H48,'20.10 SEMBABULE-MASAKA'!H48,'21.10 SEMBABULE-MASAKA'!H48,'22.10 SEMBABULE-MASAKA'!H48,'23.10 SEMBABULE-MASAKA'!H48)</f>
        <v>0</v>
      </c>
      <c r="I48" s="49">
        <f>AVERAGE('17.10 SEMBABULE-MASAKA'!I48,'18.10 SEMBABULE-MASAKA-24 HRS'!I48,'19.10 SEMBABULE MASAKA-24HRS'!I48,'20.10 SEMBABULE-MASAKA'!I48,'21.10 SEMBABULE-MASAKA'!I48,'22.10 SEMBABULE-MASAKA'!I48,'23.10 SEMBABULE-MASAKA'!I48)</f>
        <v>1.1428571428571428</v>
      </c>
      <c r="J48" s="49">
        <f>AVERAGE('17.10 SEMBABULE-MASAKA'!J48,'18.10 SEMBABULE-MASAKA-24 HRS'!J48,'19.10 SEMBABULE MASAKA-24HRS'!J48,'20.10 SEMBABULE-MASAKA'!J48,'21.10 SEMBABULE-MASAKA'!J48,'22.10 SEMBABULE-MASAKA'!J48,'23.10 SEMBABULE-MASAKA'!J48)</f>
        <v>1</v>
      </c>
      <c r="K48" s="49">
        <f>AVERAGE('17.10 SEMBABULE-MASAKA'!K48,'18.10 SEMBABULE-MASAKA-24 HRS'!K48,'19.10 SEMBABULE MASAKA-24HRS'!K48,'20.10 SEMBABULE-MASAKA'!K48,'21.10 SEMBABULE-MASAKA'!K48,'22.10 SEMBABULE-MASAKA'!K48,'23.10 SEMBABULE-MASAKA'!K48)</f>
        <v>0</v>
      </c>
      <c r="L48" s="49">
        <f>AVERAGE('17.10 SEMBABULE-MASAKA'!L48,'18.10 SEMBABULE-MASAKA-24 HRS'!L48,'19.10 SEMBABULE MASAKA-24HRS'!L48,'20.10 SEMBABULE-MASAKA'!L48,'21.10 SEMBABULE-MASAKA'!L48,'22.10 SEMBABULE-MASAKA'!L48,'23.10 SEMBABULE-MASAKA'!L48)</f>
        <v>0</v>
      </c>
      <c r="M48" s="49">
        <f>AVERAGE('17.10 SEMBABULE-MASAKA'!M48,'18.10 SEMBABULE-MASAKA-24 HRS'!M48,'19.10 SEMBABULE MASAKA-24HRS'!M48,'20.10 SEMBABULE-MASAKA'!M48,'21.10 SEMBABULE-MASAKA'!M48,'22.10 SEMBABULE-MASAKA'!M48,'23.10 SEMBABULE-MASAKA'!M48)</f>
        <v>6.5714285714285712</v>
      </c>
      <c r="N48" s="49">
        <f>AVERAGE('17.10 SEMBABULE-MASAKA'!N48,'18.10 SEMBABULE-MASAKA-24 HRS'!N48,'19.10 SEMBABULE MASAKA-24HRS'!N48,'20.10 SEMBABULE-MASAKA'!N48,'21.10 SEMBABULE-MASAKA'!N48,'22.10 SEMBABULE-MASAKA'!N48,'23.10 SEMBABULE-MASAKA'!N48)</f>
        <v>0</v>
      </c>
      <c r="O48" s="15">
        <f t="shared" si="0"/>
        <v>3.8571428571428568</v>
      </c>
      <c r="P48" s="15">
        <f t="shared" si="1"/>
        <v>10.428571428571427</v>
      </c>
      <c r="R48" s="8"/>
      <c r="T48"/>
    </row>
    <row r="49" spans="2:20" ht="23.1" customHeight="1" x14ac:dyDescent="0.25">
      <c r="B49" s="23" t="s">
        <v>76</v>
      </c>
      <c r="C49" s="49">
        <f>AVERAGE('17.10 SEMBABULE-MASAKA'!C49,'18.10 SEMBABULE-MASAKA-24 HRS'!C49,'19.10 SEMBABULE MASAKA-24HRS'!C49,'20.10 SEMBABULE-MASAKA'!C49,'21.10 SEMBABULE-MASAKA'!C49,'22.10 SEMBABULE-MASAKA'!C49,'23.10 SEMBABULE-MASAKA'!C49)</f>
        <v>1.4285714285714286</v>
      </c>
      <c r="D49" s="49">
        <f>AVERAGE('17.10 SEMBABULE-MASAKA'!D49,'18.10 SEMBABULE-MASAKA-24 HRS'!D49,'19.10 SEMBABULE MASAKA-24HRS'!D49,'20.10 SEMBABULE-MASAKA'!D49,'21.10 SEMBABULE-MASAKA'!D49,'22.10 SEMBABULE-MASAKA'!D49,'23.10 SEMBABULE-MASAKA'!D49)</f>
        <v>0.42857142857142855</v>
      </c>
      <c r="E49" s="49">
        <f>AVERAGE('17.10 SEMBABULE-MASAKA'!E49,'18.10 SEMBABULE-MASAKA-24 HRS'!E49,'19.10 SEMBABULE MASAKA-24HRS'!E49,'20.10 SEMBABULE-MASAKA'!E49,'21.10 SEMBABULE-MASAKA'!E49,'22.10 SEMBABULE-MASAKA'!E49,'23.10 SEMBABULE-MASAKA'!E49)</f>
        <v>0.42857142857142855</v>
      </c>
      <c r="F49" s="49">
        <f>AVERAGE('17.10 SEMBABULE-MASAKA'!F49,'18.10 SEMBABULE-MASAKA-24 HRS'!F49,'19.10 SEMBABULE MASAKA-24HRS'!F49,'20.10 SEMBABULE-MASAKA'!F49,'21.10 SEMBABULE-MASAKA'!F49,'22.10 SEMBABULE-MASAKA'!F49,'23.10 SEMBABULE-MASAKA'!F49)</f>
        <v>0.5714285714285714</v>
      </c>
      <c r="G49" s="49">
        <f>AVERAGE('17.10 SEMBABULE-MASAKA'!G49,'18.10 SEMBABULE-MASAKA-24 HRS'!G49,'19.10 SEMBABULE MASAKA-24HRS'!G49,'20.10 SEMBABULE-MASAKA'!G49,'21.10 SEMBABULE-MASAKA'!G49,'22.10 SEMBABULE-MASAKA'!G49,'23.10 SEMBABULE-MASAKA'!G49)</f>
        <v>0.2857142857142857</v>
      </c>
      <c r="H49" s="49">
        <f>AVERAGE('17.10 SEMBABULE-MASAKA'!H49,'18.10 SEMBABULE-MASAKA-24 HRS'!H49,'19.10 SEMBABULE MASAKA-24HRS'!H49,'20.10 SEMBABULE-MASAKA'!H49,'21.10 SEMBABULE-MASAKA'!H49,'22.10 SEMBABULE-MASAKA'!H49,'23.10 SEMBABULE-MASAKA'!H49)</f>
        <v>0</v>
      </c>
      <c r="I49" s="49">
        <f>AVERAGE('17.10 SEMBABULE-MASAKA'!I49,'18.10 SEMBABULE-MASAKA-24 HRS'!I49,'19.10 SEMBABULE MASAKA-24HRS'!I49,'20.10 SEMBABULE-MASAKA'!I49,'21.10 SEMBABULE-MASAKA'!I49,'22.10 SEMBABULE-MASAKA'!I49,'23.10 SEMBABULE-MASAKA'!I49)</f>
        <v>1.2857142857142858</v>
      </c>
      <c r="J49" s="49">
        <f>AVERAGE('17.10 SEMBABULE-MASAKA'!J49,'18.10 SEMBABULE-MASAKA-24 HRS'!J49,'19.10 SEMBABULE MASAKA-24HRS'!J49,'20.10 SEMBABULE-MASAKA'!J49,'21.10 SEMBABULE-MASAKA'!J49,'22.10 SEMBABULE-MASAKA'!J49,'23.10 SEMBABULE-MASAKA'!J49)</f>
        <v>0.7142857142857143</v>
      </c>
      <c r="K49" s="49">
        <f>AVERAGE('17.10 SEMBABULE-MASAKA'!K49,'18.10 SEMBABULE-MASAKA-24 HRS'!K49,'19.10 SEMBABULE MASAKA-24HRS'!K49,'20.10 SEMBABULE-MASAKA'!K49,'21.10 SEMBABULE-MASAKA'!K49,'22.10 SEMBABULE-MASAKA'!K49,'23.10 SEMBABULE-MASAKA'!K49)</f>
        <v>0.14285714285714285</v>
      </c>
      <c r="L49" s="49">
        <f>AVERAGE('17.10 SEMBABULE-MASAKA'!L49,'18.10 SEMBABULE-MASAKA-24 HRS'!L49,'19.10 SEMBABULE MASAKA-24HRS'!L49,'20.10 SEMBABULE-MASAKA'!L49,'21.10 SEMBABULE-MASAKA'!L49,'22.10 SEMBABULE-MASAKA'!L49,'23.10 SEMBABULE-MASAKA'!L49)</f>
        <v>0</v>
      </c>
      <c r="M49" s="49">
        <f>AVERAGE('17.10 SEMBABULE-MASAKA'!M49,'18.10 SEMBABULE-MASAKA-24 HRS'!M49,'19.10 SEMBABULE MASAKA-24HRS'!M49,'20.10 SEMBABULE-MASAKA'!M49,'21.10 SEMBABULE-MASAKA'!M49,'22.10 SEMBABULE-MASAKA'!M49,'23.10 SEMBABULE-MASAKA'!M49)</f>
        <v>6.7142857142857144</v>
      </c>
      <c r="N49" s="49">
        <f>AVERAGE('17.10 SEMBABULE-MASAKA'!N49,'18.10 SEMBABULE-MASAKA-24 HRS'!N49,'19.10 SEMBABULE MASAKA-24HRS'!N49,'20.10 SEMBABULE-MASAKA'!N49,'21.10 SEMBABULE-MASAKA'!N49,'22.10 SEMBABULE-MASAKA'!N49,'23.10 SEMBABULE-MASAKA'!N49)</f>
        <v>0</v>
      </c>
      <c r="O49" s="15">
        <f t="shared" si="0"/>
        <v>5.2857142857142856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49">
        <f>AVERAGE('17.10 SEMBABULE-MASAKA'!C50,'18.10 SEMBABULE-MASAKA-24 HRS'!C50,'19.10 SEMBABULE MASAKA-24HRS'!C50,'20.10 SEMBABULE-MASAKA'!C50,'21.10 SEMBABULE-MASAKA'!C50,'22.10 SEMBABULE-MASAKA'!C50,'23.10 SEMBABULE-MASAKA'!C50)</f>
        <v>2.5714285714285716</v>
      </c>
      <c r="D50" s="49">
        <f>AVERAGE('17.10 SEMBABULE-MASAKA'!D50,'18.10 SEMBABULE-MASAKA-24 HRS'!D50,'19.10 SEMBABULE MASAKA-24HRS'!D50,'20.10 SEMBABULE-MASAKA'!D50,'21.10 SEMBABULE-MASAKA'!D50,'22.10 SEMBABULE-MASAKA'!D50,'23.10 SEMBABULE-MASAKA'!D50)</f>
        <v>0.14285714285714285</v>
      </c>
      <c r="E50" s="49">
        <f>AVERAGE('17.10 SEMBABULE-MASAKA'!E50,'18.10 SEMBABULE-MASAKA-24 HRS'!E50,'19.10 SEMBABULE MASAKA-24HRS'!E50,'20.10 SEMBABULE-MASAKA'!E50,'21.10 SEMBABULE-MASAKA'!E50,'22.10 SEMBABULE-MASAKA'!E50,'23.10 SEMBABULE-MASAKA'!E50)</f>
        <v>0.42857142857142855</v>
      </c>
      <c r="F50" s="49">
        <f>AVERAGE('17.10 SEMBABULE-MASAKA'!F50,'18.10 SEMBABULE-MASAKA-24 HRS'!F50,'19.10 SEMBABULE MASAKA-24HRS'!F50,'20.10 SEMBABULE-MASAKA'!F50,'21.10 SEMBABULE-MASAKA'!F50,'22.10 SEMBABULE-MASAKA'!F50,'23.10 SEMBABULE-MASAKA'!F50)</f>
        <v>0.14285714285714285</v>
      </c>
      <c r="G50" s="49">
        <f>AVERAGE('17.10 SEMBABULE-MASAKA'!G50,'18.10 SEMBABULE-MASAKA-24 HRS'!G50,'19.10 SEMBABULE MASAKA-24HRS'!G50,'20.10 SEMBABULE-MASAKA'!G50,'21.10 SEMBABULE-MASAKA'!G50,'22.10 SEMBABULE-MASAKA'!G50,'23.10 SEMBABULE-MASAKA'!G50)</f>
        <v>0.2857142857142857</v>
      </c>
      <c r="H50" s="49">
        <f>AVERAGE('17.10 SEMBABULE-MASAKA'!H50,'18.10 SEMBABULE-MASAKA-24 HRS'!H50,'19.10 SEMBABULE MASAKA-24HRS'!H50,'20.10 SEMBABULE-MASAKA'!H50,'21.10 SEMBABULE-MASAKA'!H50,'22.10 SEMBABULE-MASAKA'!H50,'23.10 SEMBABULE-MASAKA'!H50)</f>
        <v>0</v>
      </c>
      <c r="I50" s="49">
        <f>AVERAGE('17.10 SEMBABULE-MASAKA'!I50,'18.10 SEMBABULE-MASAKA-24 HRS'!I50,'19.10 SEMBABULE MASAKA-24HRS'!I50,'20.10 SEMBABULE-MASAKA'!I50,'21.10 SEMBABULE-MASAKA'!I50,'22.10 SEMBABULE-MASAKA'!I50,'23.10 SEMBABULE-MASAKA'!I50)</f>
        <v>1</v>
      </c>
      <c r="J50" s="49">
        <f>AVERAGE('17.10 SEMBABULE-MASAKA'!J50,'18.10 SEMBABULE-MASAKA-24 HRS'!J50,'19.10 SEMBABULE MASAKA-24HRS'!J50,'20.10 SEMBABULE-MASAKA'!J50,'21.10 SEMBABULE-MASAKA'!J50,'22.10 SEMBABULE-MASAKA'!J50,'23.10 SEMBABULE-MASAKA'!J50)</f>
        <v>0.5714285714285714</v>
      </c>
      <c r="K50" s="49">
        <f>AVERAGE('17.10 SEMBABULE-MASAKA'!K50,'18.10 SEMBABULE-MASAKA-24 HRS'!K50,'19.10 SEMBABULE MASAKA-24HRS'!K50,'20.10 SEMBABULE-MASAKA'!K50,'21.10 SEMBABULE-MASAKA'!K50,'22.10 SEMBABULE-MASAKA'!K50,'23.10 SEMBABULE-MASAKA'!K50)</f>
        <v>0.2857142857142857</v>
      </c>
      <c r="L50" s="49">
        <f>AVERAGE('17.10 SEMBABULE-MASAKA'!L50,'18.10 SEMBABULE-MASAKA-24 HRS'!L50,'19.10 SEMBABULE MASAKA-24HRS'!L50,'20.10 SEMBABULE-MASAKA'!L50,'21.10 SEMBABULE-MASAKA'!L50,'22.10 SEMBABULE-MASAKA'!L50,'23.10 SEMBABULE-MASAKA'!L50)</f>
        <v>0</v>
      </c>
      <c r="M50" s="49">
        <f>AVERAGE('17.10 SEMBABULE-MASAKA'!M50,'18.10 SEMBABULE-MASAKA-24 HRS'!M50,'19.10 SEMBABULE MASAKA-24HRS'!M50,'20.10 SEMBABULE-MASAKA'!M50,'21.10 SEMBABULE-MASAKA'!M50,'22.10 SEMBABULE-MASAKA'!M50,'23.10 SEMBABULE-MASAKA'!M50)</f>
        <v>7.1428571428571432</v>
      </c>
      <c r="N50" s="49">
        <f>AVERAGE('17.10 SEMBABULE-MASAKA'!N50,'18.10 SEMBABULE-MASAKA-24 HRS'!N50,'19.10 SEMBABULE MASAKA-24HRS'!N50,'20.10 SEMBABULE-MASAKA'!N50,'21.10 SEMBABULE-MASAKA'!N50,'22.10 SEMBABULE-MASAKA'!N50,'23.10 SEMBABULE-MASAKA'!N50)</f>
        <v>0</v>
      </c>
      <c r="O50" s="15">
        <f t="shared" si="0"/>
        <v>5.4285714285714279</v>
      </c>
      <c r="P50" s="15">
        <f t="shared" si="1"/>
        <v>12.571428571428571</v>
      </c>
      <c r="R50" s="8"/>
      <c r="T50"/>
    </row>
    <row r="51" spans="2:20" ht="23.1" customHeight="1" x14ac:dyDescent="0.25">
      <c r="B51" s="24" t="s">
        <v>78</v>
      </c>
      <c r="C51" s="49">
        <f>AVERAGE('17.10 SEMBABULE-MASAKA'!C51,'18.10 SEMBABULE-MASAKA-24 HRS'!C51,'19.10 SEMBABULE MASAKA-24HRS'!C51,'20.10 SEMBABULE-MASAKA'!C51,'21.10 SEMBABULE-MASAKA'!C51,'22.10 SEMBABULE-MASAKA'!C51,'23.10 SEMBABULE-MASAKA'!C51)</f>
        <v>3.4285714285714284</v>
      </c>
      <c r="D51" s="49">
        <f>AVERAGE('17.10 SEMBABULE-MASAKA'!D51,'18.10 SEMBABULE-MASAKA-24 HRS'!D51,'19.10 SEMBABULE MASAKA-24HRS'!D51,'20.10 SEMBABULE-MASAKA'!D51,'21.10 SEMBABULE-MASAKA'!D51,'22.10 SEMBABULE-MASAKA'!D51,'23.10 SEMBABULE-MASAKA'!D51)</f>
        <v>0.2857142857142857</v>
      </c>
      <c r="E51" s="49">
        <f>AVERAGE('17.10 SEMBABULE-MASAKA'!E51,'18.10 SEMBABULE-MASAKA-24 HRS'!E51,'19.10 SEMBABULE MASAKA-24HRS'!E51,'20.10 SEMBABULE-MASAKA'!E51,'21.10 SEMBABULE-MASAKA'!E51,'22.10 SEMBABULE-MASAKA'!E51,'23.10 SEMBABULE-MASAKA'!E51)</f>
        <v>0.42857142857142855</v>
      </c>
      <c r="F51" s="49">
        <f>AVERAGE('17.10 SEMBABULE-MASAKA'!F51,'18.10 SEMBABULE-MASAKA-24 HRS'!F51,'19.10 SEMBABULE MASAKA-24HRS'!F51,'20.10 SEMBABULE-MASAKA'!F51,'21.10 SEMBABULE-MASAKA'!F51,'22.10 SEMBABULE-MASAKA'!F51,'23.10 SEMBABULE-MASAKA'!F51)</f>
        <v>0.2857142857142857</v>
      </c>
      <c r="G51" s="49">
        <f>AVERAGE('17.10 SEMBABULE-MASAKA'!G51,'18.10 SEMBABULE-MASAKA-24 HRS'!G51,'19.10 SEMBABULE MASAKA-24HRS'!G51,'20.10 SEMBABULE-MASAKA'!G51,'21.10 SEMBABULE-MASAKA'!G51,'22.10 SEMBABULE-MASAKA'!G51,'23.10 SEMBABULE-MASAKA'!G51)</f>
        <v>0.14285714285714285</v>
      </c>
      <c r="H51" s="49">
        <f>AVERAGE('17.10 SEMBABULE-MASAKA'!H51,'18.10 SEMBABULE-MASAKA-24 HRS'!H51,'19.10 SEMBABULE MASAKA-24HRS'!H51,'20.10 SEMBABULE-MASAKA'!H51,'21.10 SEMBABULE-MASAKA'!H51,'22.10 SEMBABULE-MASAKA'!H51,'23.10 SEMBABULE-MASAKA'!H51)</f>
        <v>0</v>
      </c>
      <c r="I51" s="49">
        <f>AVERAGE('17.10 SEMBABULE-MASAKA'!I51,'18.10 SEMBABULE-MASAKA-24 HRS'!I51,'19.10 SEMBABULE MASAKA-24HRS'!I51,'20.10 SEMBABULE-MASAKA'!I51,'21.10 SEMBABULE-MASAKA'!I51,'22.10 SEMBABULE-MASAKA'!I51,'23.10 SEMBABULE-MASAKA'!I51)</f>
        <v>1.2857142857142858</v>
      </c>
      <c r="J51" s="49">
        <f>AVERAGE('17.10 SEMBABULE-MASAKA'!J51,'18.10 SEMBABULE-MASAKA-24 HRS'!J51,'19.10 SEMBABULE MASAKA-24HRS'!J51,'20.10 SEMBABULE-MASAKA'!J51,'21.10 SEMBABULE-MASAKA'!J51,'22.10 SEMBABULE-MASAKA'!J51,'23.10 SEMBABULE-MASAKA'!J51)</f>
        <v>0.5714285714285714</v>
      </c>
      <c r="K51" s="49">
        <f>AVERAGE('17.10 SEMBABULE-MASAKA'!K51,'18.10 SEMBABULE-MASAKA-24 HRS'!K51,'19.10 SEMBABULE MASAKA-24HRS'!K51,'20.10 SEMBABULE-MASAKA'!K51,'21.10 SEMBABULE-MASAKA'!K51,'22.10 SEMBABULE-MASAKA'!K51,'23.10 SEMBABULE-MASAKA'!K51)</f>
        <v>0.2857142857142857</v>
      </c>
      <c r="L51" s="49">
        <f>AVERAGE('17.10 SEMBABULE-MASAKA'!L51,'18.10 SEMBABULE-MASAKA-24 HRS'!L51,'19.10 SEMBABULE MASAKA-24HRS'!L51,'20.10 SEMBABULE-MASAKA'!L51,'21.10 SEMBABULE-MASAKA'!L51,'22.10 SEMBABULE-MASAKA'!L51,'23.10 SEMBABULE-MASAKA'!L51)</f>
        <v>0</v>
      </c>
      <c r="M51" s="49">
        <f>AVERAGE('17.10 SEMBABULE-MASAKA'!M51,'18.10 SEMBABULE-MASAKA-24 HRS'!M51,'19.10 SEMBABULE MASAKA-24HRS'!M51,'20.10 SEMBABULE-MASAKA'!M51,'21.10 SEMBABULE-MASAKA'!M51,'22.10 SEMBABULE-MASAKA'!M51,'23.10 SEMBABULE-MASAKA'!M51)</f>
        <v>6</v>
      </c>
      <c r="N51" s="49">
        <f>AVERAGE('17.10 SEMBABULE-MASAKA'!N51,'18.10 SEMBABULE-MASAKA-24 HRS'!N51,'19.10 SEMBABULE MASAKA-24HRS'!N51,'20.10 SEMBABULE-MASAKA'!N51,'21.10 SEMBABULE-MASAKA'!N51,'22.10 SEMBABULE-MASAKA'!N51,'23.10 SEMBABULE-MASAKA'!N51)</f>
        <v>0</v>
      </c>
      <c r="O51" s="15">
        <f t="shared" si="0"/>
        <v>6.7142857142857135</v>
      </c>
      <c r="P51" s="15">
        <f t="shared" si="1"/>
        <v>12.714285714285714</v>
      </c>
      <c r="R51" s="8"/>
      <c r="T51"/>
    </row>
    <row r="52" spans="2:20" ht="23.1" customHeight="1" x14ac:dyDescent="0.25">
      <c r="B52" s="24" t="s">
        <v>79</v>
      </c>
      <c r="C52" s="49">
        <f>AVERAGE('17.10 SEMBABULE-MASAKA'!C52,'18.10 SEMBABULE-MASAKA-24 HRS'!C52,'19.10 SEMBABULE MASAKA-24HRS'!C52,'20.10 SEMBABULE-MASAKA'!C52,'21.10 SEMBABULE-MASAKA'!C52,'22.10 SEMBABULE-MASAKA'!C52,'23.10 SEMBABULE-MASAKA'!C52)</f>
        <v>2.2857142857142856</v>
      </c>
      <c r="D52" s="49">
        <f>AVERAGE('17.10 SEMBABULE-MASAKA'!D52,'18.10 SEMBABULE-MASAKA-24 HRS'!D52,'19.10 SEMBABULE MASAKA-24HRS'!D52,'20.10 SEMBABULE-MASAKA'!D52,'21.10 SEMBABULE-MASAKA'!D52,'22.10 SEMBABULE-MASAKA'!D52,'23.10 SEMBABULE-MASAKA'!D52)</f>
        <v>0.42857142857142855</v>
      </c>
      <c r="E52" s="49">
        <f>AVERAGE('17.10 SEMBABULE-MASAKA'!E52,'18.10 SEMBABULE-MASAKA-24 HRS'!E52,'19.10 SEMBABULE MASAKA-24HRS'!E52,'20.10 SEMBABULE-MASAKA'!E52,'21.10 SEMBABULE-MASAKA'!E52,'22.10 SEMBABULE-MASAKA'!E52,'23.10 SEMBABULE-MASAKA'!E52)</f>
        <v>1.2857142857142858</v>
      </c>
      <c r="F52" s="49">
        <f>AVERAGE('17.10 SEMBABULE-MASAKA'!F52,'18.10 SEMBABULE-MASAKA-24 HRS'!F52,'19.10 SEMBABULE MASAKA-24HRS'!F52,'20.10 SEMBABULE-MASAKA'!F52,'21.10 SEMBABULE-MASAKA'!F52,'22.10 SEMBABULE-MASAKA'!F52,'23.10 SEMBABULE-MASAKA'!F52)</f>
        <v>0.5714285714285714</v>
      </c>
      <c r="G52" s="49">
        <f>AVERAGE('17.10 SEMBABULE-MASAKA'!G52,'18.10 SEMBABULE-MASAKA-24 HRS'!G52,'19.10 SEMBABULE MASAKA-24HRS'!G52,'20.10 SEMBABULE-MASAKA'!G52,'21.10 SEMBABULE-MASAKA'!G52,'22.10 SEMBABULE-MASAKA'!G52,'23.10 SEMBABULE-MASAKA'!G52)</f>
        <v>0</v>
      </c>
      <c r="H52" s="49">
        <f>AVERAGE('17.10 SEMBABULE-MASAKA'!H52,'18.10 SEMBABULE-MASAKA-24 HRS'!H52,'19.10 SEMBABULE MASAKA-24HRS'!H52,'20.10 SEMBABULE-MASAKA'!H52,'21.10 SEMBABULE-MASAKA'!H52,'22.10 SEMBABULE-MASAKA'!H52,'23.10 SEMBABULE-MASAKA'!H52)</f>
        <v>0</v>
      </c>
      <c r="I52" s="49">
        <f>AVERAGE('17.10 SEMBABULE-MASAKA'!I52,'18.10 SEMBABULE-MASAKA-24 HRS'!I52,'19.10 SEMBABULE MASAKA-24HRS'!I52,'20.10 SEMBABULE-MASAKA'!I52,'21.10 SEMBABULE-MASAKA'!I52,'22.10 SEMBABULE-MASAKA'!I52,'23.10 SEMBABULE-MASAKA'!I52)</f>
        <v>1.4285714285714286</v>
      </c>
      <c r="J52" s="49">
        <f>AVERAGE('17.10 SEMBABULE-MASAKA'!J52,'18.10 SEMBABULE-MASAKA-24 HRS'!J52,'19.10 SEMBABULE MASAKA-24HRS'!J52,'20.10 SEMBABULE-MASAKA'!J52,'21.10 SEMBABULE-MASAKA'!J52,'22.10 SEMBABULE-MASAKA'!J52,'23.10 SEMBABULE-MASAKA'!J52)</f>
        <v>0.8571428571428571</v>
      </c>
      <c r="K52" s="49">
        <f>AVERAGE('17.10 SEMBABULE-MASAKA'!K52,'18.10 SEMBABULE-MASAKA-24 HRS'!K52,'19.10 SEMBABULE MASAKA-24HRS'!K52,'20.10 SEMBABULE-MASAKA'!K52,'21.10 SEMBABULE-MASAKA'!K52,'22.10 SEMBABULE-MASAKA'!K52,'23.10 SEMBABULE-MASAKA'!K52)</f>
        <v>0.14285714285714285</v>
      </c>
      <c r="L52" s="49">
        <f>AVERAGE('17.10 SEMBABULE-MASAKA'!L52,'18.10 SEMBABULE-MASAKA-24 HRS'!L52,'19.10 SEMBABULE MASAKA-24HRS'!L52,'20.10 SEMBABULE-MASAKA'!L52,'21.10 SEMBABULE-MASAKA'!L52,'22.10 SEMBABULE-MASAKA'!L52,'23.10 SEMBABULE-MASAKA'!L52)</f>
        <v>0</v>
      </c>
      <c r="M52" s="49">
        <f>AVERAGE('17.10 SEMBABULE-MASAKA'!M52,'18.10 SEMBABULE-MASAKA-24 HRS'!M52,'19.10 SEMBABULE MASAKA-24HRS'!M52,'20.10 SEMBABULE-MASAKA'!M52,'21.10 SEMBABULE-MASAKA'!M52,'22.10 SEMBABULE-MASAKA'!M52,'23.10 SEMBABULE-MASAKA'!M52)</f>
        <v>7.1428571428571432</v>
      </c>
      <c r="N52" s="49">
        <f>AVERAGE('17.10 SEMBABULE-MASAKA'!N52,'18.10 SEMBABULE-MASAKA-24 HRS'!N52,'19.10 SEMBABULE MASAKA-24HRS'!N52,'20.10 SEMBABULE-MASAKA'!N52,'21.10 SEMBABULE-MASAKA'!N52,'22.10 SEMBABULE-MASAKA'!N52,'23.10 SEMBABULE-MASAKA'!N52)</f>
        <v>0</v>
      </c>
      <c r="O52" s="15">
        <f t="shared" si="0"/>
        <v>7</v>
      </c>
      <c r="P52" s="15">
        <f t="shared" si="1"/>
        <v>14.142857142857142</v>
      </c>
      <c r="R52" s="8"/>
      <c r="T52"/>
    </row>
    <row r="53" spans="2:20" ht="23.1" customHeight="1" x14ac:dyDescent="0.25">
      <c r="B53" s="23" t="s">
        <v>80</v>
      </c>
      <c r="C53" s="49">
        <f>AVERAGE('17.10 SEMBABULE-MASAKA'!C53,'18.10 SEMBABULE-MASAKA-24 HRS'!C53,'19.10 SEMBABULE MASAKA-24HRS'!C53,'20.10 SEMBABULE-MASAKA'!C53,'21.10 SEMBABULE-MASAKA'!C53,'22.10 SEMBABULE-MASAKA'!C53,'23.10 SEMBABULE-MASAKA'!C53)</f>
        <v>3.1428571428571428</v>
      </c>
      <c r="D53" s="49">
        <f>AVERAGE('17.10 SEMBABULE-MASAKA'!D53,'18.10 SEMBABULE-MASAKA-24 HRS'!D53,'19.10 SEMBABULE MASAKA-24HRS'!D53,'20.10 SEMBABULE-MASAKA'!D53,'21.10 SEMBABULE-MASAKA'!D53,'22.10 SEMBABULE-MASAKA'!D53,'23.10 SEMBABULE-MASAKA'!D53)</f>
        <v>0.2857142857142857</v>
      </c>
      <c r="E53" s="49">
        <f>AVERAGE('17.10 SEMBABULE-MASAKA'!E53,'18.10 SEMBABULE-MASAKA-24 HRS'!E53,'19.10 SEMBABULE MASAKA-24HRS'!E53,'20.10 SEMBABULE-MASAKA'!E53,'21.10 SEMBABULE-MASAKA'!E53,'22.10 SEMBABULE-MASAKA'!E53,'23.10 SEMBABULE-MASAKA'!E53)</f>
        <v>1.4285714285714286</v>
      </c>
      <c r="F53" s="49">
        <f>AVERAGE('17.10 SEMBABULE-MASAKA'!F53,'18.10 SEMBABULE-MASAKA-24 HRS'!F53,'19.10 SEMBABULE MASAKA-24HRS'!F53,'20.10 SEMBABULE-MASAKA'!F53,'21.10 SEMBABULE-MASAKA'!F53,'22.10 SEMBABULE-MASAKA'!F53,'23.10 SEMBABULE-MASAKA'!F53)</f>
        <v>0.2857142857142857</v>
      </c>
      <c r="G53" s="49">
        <f>AVERAGE('17.10 SEMBABULE-MASAKA'!G53,'18.10 SEMBABULE-MASAKA-24 HRS'!G53,'19.10 SEMBABULE MASAKA-24HRS'!G53,'20.10 SEMBABULE-MASAKA'!G53,'21.10 SEMBABULE-MASAKA'!G53,'22.10 SEMBABULE-MASAKA'!G53,'23.10 SEMBABULE-MASAKA'!G53)</f>
        <v>0.14285714285714285</v>
      </c>
      <c r="H53" s="49">
        <f>AVERAGE('17.10 SEMBABULE-MASAKA'!H53,'18.10 SEMBABULE-MASAKA-24 HRS'!H53,'19.10 SEMBABULE MASAKA-24HRS'!H53,'20.10 SEMBABULE-MASAKA'!H53,'21.10 SEMBABULE-MASAKA'!H53,'22.10 SEMBABULE-MASAKA'!H53,'23.10 SEMBABULE-MASAKA'!H53)</f>
        <v>0</v>
      </c>
      <c r="I53" s="49">
        <f>AVERAGE('17.10 SEMBABULE-MASAKA'!I53,'18.10 SEMBABULE-MASAKA-24 HRS'!I53,'19.10 SEMBABULE MASAKA-24HRS'!I53,'20.10 SEMBABULE-MASAKA'!I53,'21.10 SEMBABULE-MASAKA'!I53,'22.10 SEMBABULE-MASAKA'!I53,'23.10 SEMBABULE-MASAKA'!I53)</f>
        <v>1</v>
      </c>
      <c r="J53" s="49">
        <f>AVERAGE('17.10 SEMBABULE-MASAKA'!J53,'18.10 SEMBABULE-MASAKA-24 HRS'!J53,'19.10 SEMBABULE MASAKA-24HRS'!J53,'20.10 SEMBABULE-MASAKA'!J53,'21.10 SEMBABULE-MASAKA'!J53,'22.10 SEMBABULE-MASAKA'!J53,'23.10 SEMBABULE-MASAKA'!J53)</f>
        <v>0.42857142857142855</v>
      </c>
      <c r="K53" s="49">
        <f>AVERAGE('17.10 SEMBABULE-MASAKA'!K53,'18.10 SEMBABULE-MASAKA-24 HRS'!K53,'19.10 SEMBABULE MASAKA-24HRS'!K53,'20.10 SEMBABULE-MASAKA'!K53,'21.10 SEMBABULE-MASAKA'!K53,'22.10 SEMBABULE-MASAKA'!K53,'23.10 SEMBABULE-MASAKA'!K53)</f>
        <v>0</v>
      </c>
      <c r="L53" s="49">
        <f>AVERAGE('17.10 SEMBABULE-MASAKA'!L53,'18.10 SEMBABULE-MASAKA-24 HRS'!L53,'19.10 SEMBABULE MASAKA-24HRS'!L53,'20.10 SEMBABULE-MASAKA'!L53,'21.10 SEMBABULE-MASAKA'!L53,'22.10 SEMBABULE-MASAKA'!L53,'23.10 SEMBABULE-MASAKA'!L53)</f>
        <v>0</v>
      </c>
      <c r="M53" s="49">
        <f>AVERAGE('17.10 SEMBABULE-MASAKA'!M53,'18.10 SEMBABULE-MASAKA-24 HRS'!M53,'19.10 SEMBABULE MASAKA-24HRS'!M53,'20.10 SEMBABULE-MASAKA'!M53,'21.10 SEMBABULE-MASAKA'!M53,'22.10 SEMBABULE-MASAKA'!M53,'23.10 SEMBABULE-MASAKA'!M53)</f>
        <v>8.2857142857142865</v>
      </c>
      <c r="N53" s="49">
        <f>AVERAGE('17.10 SEMBABULE-MASAKA'!N53,'18.10 SEMBABULE-MASAKA-24 HRS'!N53,'19.10 SEMBABULE MASAKA-24HRS'!N53,'20.10 SEMBABULE-MASAKA'!N53,'21.10 SEMBABULE-MASAKA'!N53,'22.10 SEMBABULE-MASAKA'!N53,'23.10 SEMBABULE-MASAKA'!N53)</f>
        <v>0</v>
      </c>
      <c r="O53" s="15">
        <f t="shared" si="0"/>
        <v>6.7142857142857144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49">
        <f>AVERAGE('17.10 SEMBABULE-MASAKA'!C54,'18.10 SEMBABULE-MASAKA-24 HRS'!C54,'19.10 SEMBABULE MASAKA-24HRS'!C54,'20.10 SEMBABULE-MASAKA'!C54,'21.10 SEMBABULE-MASAKA'!C54,'22.10 SEMBABULE-MASAKA'!C54,'23.10 SEMBABULE-MASAKA'!C54)</f>
        <v>2.7142857142857144</v>
      </c>
      <c r="D54" s="49">
        <f>AVERAGE('17.10 SEMBABULE-MASAKA'!D54,'18.10 SEMBABULE-MASAKA-24 HRS'!D54,'19.10 SEMBABULE MASAKA-24HRS'!D54,'20.10 SEMBABULE-MASAKA'!D54,'21.10 SEMBABULE-MASAKA'!D54,'22.10 SEMBABULE-MASAKA'!D54,'23.10 SEMBABULE-MASAKA'!D54)</f>
        <v>0.7142857142857143</v>
      </c>
      <c r="E54" s="49">
        <f>AVERAGE('17.10 SEMBABULE-MASAKA'!E54,'18.10 SEMBABULE-MASAKA-24 HRS'!E54,'19.10 SEMBABULE MASAKA-24HRS'!E54,'20.10 SEMBABULE-MASAKA'!E54,'21.10 SEMBABULE-MASAKA'!E54,'22.10 SEMBABULE-MASAKA'!E54,'23.10 SEMBABULE-MASAKA'!E54)</f>
        <v>1.7142857142857142</v>
      </c>
      <c r="F54" s="49">
        <f>AVERAGE('17.10 SEMBABULE-MASAKA'!F54,'18.10 SEMBABULE-MASAKA-24 HRS'!F54,'19.10 SEMBABULE MASAKA-24HRS'!F54,'20.10 SEMBABULE-MASAKA'!F54,'21.10 SEMBABULE-MASAKA'!F54,'22.10 SEMBABULE-MASAKA'!F54,'23.10 SEMBABULE-MASAKA'!F54)</f>
        <v>0.14285714285714285</v>
      </c>
      <c r="G54" s="49">
        <f>AVERAGE('17.10 SEMBABULE-MASAKA'!G54,'18.10 SEMBABULE-MASAKA-24 HRS'!G54,'19.10 SEMBABULE MASAKA-24HRS'!G54,'20.10 SEMBABULE-MASAKA'!G54,'21.10 SEMBABULE-MASAKA'!G54,'22.10 SEMBABULE-MASAKA'!G54,'23.10 SEMBABULE-MASAKA'!G54)</f>
        <v>0</v>
      </c>
      <c r="H54" s="49">
        <f>AVERAGE('17.10 SEMBABULE-MASAKA'!H54,'18.10 SEMBABULE-MASAKA-24 HRS'!H54,'19.10 SEMBABULE MASAKA-24HRS'!H54,'20.10 SEMBABULE-MASAKA'!H54,'21.10 SEMBABULE-MASAKA'!H54,'22.10 SEMBABULE-MASAKA'!H54,'23.10 SEMBABULE-MASAKA'!H54)</f>
        <v>0</v>
      </c>
      <c r="I54" s="49">
        <f>AVERAGE('17.10 SEMBABULE-MASAKA'!I54,'18.10 SEMBABULE-MASAKA-24 HRS'!I54,'19.10 SEMBABULE MASAKA-24HRS'!I54,'20.10 SEMBABULE-MASAKA'!I54,'21.10 SEMBABULE-MASAKA'!I54,'22.10 SEMBABULE-MASAKA'!I54,'23.10 SEMBABULE-MASAKA'!I54)</f>
        <v>1.1428571428571428</v>
      </c>
      <c r="J54" s="49">
        <f>AVERAGE('17.10 SEMBABULE-MASAKA'!J54,'18.10 SEMBABULE-MASAKA-24 HRS'!J54,'19.10 SEMBABULE MASAKA-24HRS'!J54,'20.10 SEMBABULE-MASAKA'!J54,'21.10 SEMBABULE-MASAKA'!J54,'22.10 SEMBABULE-MASAKA'!J54,'23.10 SEMBABULE-MASAKA'!J54)</f>
        <v>0.7142857142857143</v>
      </c>
      <c r="K54" s="49">
        <f>AVERAGE('17.10 SEMBABULE-MASAKA'!K54,'18.10 SEMBABULE-MASAKA-24 HRS'!K54,'19.10 SEMBABULE MASAKA-24HRS'!K54,'20.10 SEMBABULE-MASAKA'!K54,'21.10 SEMBABULE-MASAKA'!K54,'22.10 SEMBABULE-MASAKA'!K54,'23.10 SEMBABULE-MASAKA'!K54)</f>
        <v>0.14285714285714285</v>
      </c>
      <c r="L54" s="49">
        <f>AVERAGE('17.10 SEMBABULE-MASAKA'!L54,'18.10 SEMBABULE-MASAKA-24 HRS'!L54,'19.10 SEMBABULE MASAKA-24HRS'!L54,'20.10 SEMBABULE-MASAKA'!L54,'21.10 SEMBABULE-MASAKA'!L54,'22.10 SEMBABULE-MASAKA'!L54,'23.10 SEMBABULE-MASAKA'!L54)</f>
        <v>0</v>
      </c>
      <c r="M54" s="49">
        <f>AVERAGE('17.10 SEMBABULE-MASAKA'!M54,'18.10 SEMBABULE-MASAKA-24 HRS'!M54,'19.10 SEMBABULE MASAKA-24HRS'!M54,'20.10 SEMBABULE-MASAKA'!M54,'21.10 SEMBABULE-MASAKA'!M54,'22.10 SEMBABULE-MASAKA'!M54,'23.10 SEMBABULE-MASAKA'!M54)</f>
        <v>7.7142857142857144</v>
      </c>
      <c r="N54" s="49">
        <f>AVERAGE('17.10 SEMBABULE-MASAKA'!N54,'18.10 SEMBABULE-MASAKA-24 HRS'!N54,'19.10 SEMBABULE MASAKA-24HRS'!N54,'20.10 SEMBABULE-MASAKA'!N54,'21.10 SEMBABULE-MASAKA'!N54,'22.10 SEMBABULE-MASAKA'!N54,'23.10 SEMBABULE-MASAKA'!N54)</f>
        <v>0</v>
      </c>
      <c r="O54" s="15">
        <f t="shared" si="0"/>
        <v>7.2857142857142865</v>
      </c>
      <c r="P54" s="15">
        <f t="shared" si="1"/>
        <v>15</v>
      </c>
      <c r="R54" s="8"/>
      <c r="T54"/>
    </row>
    <row r="55" spans="2:20" ht="23.1" customHeight="1" x14ac:dyDescent="0.25">
      <c r="B55" s="23" t="s">
        <v>82</v>
      </c>
      <c r="C55" s="49">
        <f>AVERAGE('17.10 SEMBABULE-MASAKA'!C55,'18.10 SEMBABULE-MASAKA-24 HRS'!C55,'19.10 SEMBABULE MASAKA-24HRS'!C55,'20.10 SEMBABULE-MASAKA'!C55,'21.10 SEMBABULE-MASAKA'!C55,'22.10 SEMBABULE-MASAKA'!C55,'23.10 SEMBABULE-MASAKA'!C55)</f>
        <v>2</v>
      </c>
      <c r="D55" s="49">
        <f>AVERAGE('17.10 SEMBABULE-MASAKA'!D55,'18.10 SEMBABULE-MASAKA-24 HRS'!D55,'19.10 SEMBABULE MASAKA-24HRS'!D55,'20.10 SEMBABULE-MASAKA'!D55,'21.10 SEMBABULE-MASAKA'!D55,'22.10 SEMBABULE-MASAKA'!D55,'23.10 SEMBABULE-MASAKA'!D55)</f>
        <v>0.14285714285714285</v>
      </c>
      <c r="E55" s="49">
        <f>AVERAGE('17.10 SEMBABULE-MASAKA'!E55,'18.10 SEMBABULE-MASAKA-24 HRS'!E55,'19.10 SEMBABULE MASAKA-24HRS'!E55,'20.10 SEMBABULE-MASAKA'!E55,'21.10 SEMBABULE-MASAKA'!E55,'22.10 SEMBABULE-MASAKA'!E55,'23.10 SEMBABULE-MASAKA'!E55)</f>
        <v>0.8571428571428571</v>
      </c>
      <c r="F55" s="49">
        <f>AVERAGE('17.10 SEMBABULE-MASAKA'!F55,'18.10 SEMBABULE-MASAKA-24 HRS'!F55,'19.10 SEMBABULE MASAKA-24HRS'!F55,'20.10 SEMBABULE-MASAKA'!F55,'21.10 SEMBABULE-MASAKA'!F55,'22.10 SEMBABULE-MASAKA'!F55,'23.10 SEMBABULE-MASAKA'!F55)</f>
        <v>0.14285714285714285</v>
      </c>
      <c r="G55" s="49">
        <f>AVERAGE('17.10 SEMBABULE-MASAKA'!G55,'18.10 SEMBABULE-MASAKA-24 HRS'!G55,'19.10 SEMBABULE MASAKA-24HRS'!G55,'20.10 SEMBABULE-MASAKA'!G55,'21.10 SEMBABULE-MASAKA'!G55,'22.10 SEMBABULE-MASAKA'!G55,'23.10 SEMBABULE-MASAKA'!G55)</f>
        <v>0</v>
      </c>
      <c r="H55" s="49">
        <f>AVERAGE('17.10 SEMBABULE-MASAKA'!H55,'18.10 SEMBABULE-MASAKA-24 HRS'!H55,'19.10 SEMBABULE MASAKA-24HRS'!H55,'20.10 SEMBABULE-MASAKA'!H55,'21.10 SEMBABULE-MASAKA'!H55,'22.10 SEMBABULE-MASAKA'!H55,'23.10 SEMBABULE-MASAKA'!H55)</f>
        <v>0</v>
      </c>
      <c r="I55" s="49">
        <f>AVERAGE('17.10 SEMBABULE-MASAKA'!I55,'18.10 SEMBABULE-MASAKA-24 HRS'!I55,'19.10 SEMBABULE MASAKA-24HRS'!I55,'20.10 SEMBABULE-MASAKA'!I55,'21.10 SEMBABULE-MASAKA'!I55,'22.10 SEMBABULE-MASAKA'!I55,'23.10 SEMBABULE-MASAKA'!I55)</f>
        <v>1</v>
      </c>
      <c r="J55" s="49">
        <f>AVERAGE('17.10 SEMBABULE-MASAKA'!J55,'18.10 SEMBABULE-MASAKA-24 HRS'!J55,'19.10 SEMBABULE MASAKA-24HRS'!J55,'20.10 SEMBABULE-MASAKA'!J55,'21.10 SEMBABULE-MASAKA'!J55,'22.10 SEMBABULE-MASAKA'!J55,'23.10 SEMBABULE-MASAKA'!J55)</f>
        <v>1</v>
      </c>
      <c r="K55" s="49">
        <f>AVERAGE('17.10 SEMBABULE-MASAKA'!K55,'18.10 SEMBABULE-MASAKA-24 HRS'!K55,'19.10 SEMBABULE MASAKA-24HRS'!K55,'20.10 SEMBABULE-MASAKA'!K55,'21.10 SEMBABULE-MASAKA'!K55,'22.10 SEMBABULE-MASAKA'!K55,'23.10 SEMBABULE-MASAKA'!K55)</f>
        <v>0.2857142857142857</v>
      </c>
      <c r="L55" s="49">
        <f>AVERAGE('17.10 SEMBABULE-MASAKA'!L55,'18.10 SEMBABULE-MASAKA-24 HRS'!L55,'19.10 SEMBABULE MASAKA-24HRS'!L55,'20.10 SEMBABULE-MASAKA'!L55,'21.10 SEMBABULE-MASAKA'!L55,'22.10 SEMBABULE-MASAKA'!L55,'23.10 SEMBABULE-MASAKA'!L55)</f>
        <v>0</v>
      </c>
      <c r="M55" s="49">
        <f>AVERAGE('17.10 SEMBABULE-MASAKA'!M55,'18.10 SEMBABULE-MASAKA-24 HRS'!M55,'19.10 SEMBABULE MASAKA-24HRS'!M55,'20.10 SEMBABULE-MASAKA'!M55,'21.10 SEMBABULE-MASAKA'!M55,'22.10 SEMBABULE-MASAKA'!M55,'23.10 SEMBABULE-MASAKA'!M55)</f>
        <v>8.8571428571428577</v>
      </c>
      <c r="N55" s="49">
        <f>AVERAGE('17.10 SEMBABULE-MASAKA'!N55,'18.10 SEMBABULE-MASAKA-24 HRS'!N55,'19.10 SEMBABULE MASAKA-24HRS'!N55,'20.10 SEMBABULE-MASAKA'!N55,'21.10 SEMBABULE-MASAKA'!N55,'22.10 SEMBABULE-MASAKA'!N55,'23.10 SEMBABULE-MASAKA'!N55)</f>
        <v>0</v>
      </c>
      <c r="O55" s="15">
        <f t="shared" si="0"/>
        <v>5.4285714285714279</v>
      </c>
      <c r="P55" s="15">
        <f t="shared" si="1"/>
        <v>14.285714285714285</v>
      </c>
      <c r="R55" s="8"/>
      <c r="T55"/>
    </row>
    <row r="56" spans="2:20" ht="23.1" customHeight="1" x14ac:dyDescent="0.25">
      <c r="B56" s="23" t="s">
        <v>83</v>
      </c>
      <c r="C56" s="49">
        <f>AVERAGE('17.10 SEMBABULE-MASAKA'!C56,'18.10 SEMBABULE-MASAKA-24 HRS'!C56,'19.10 SEMBABULE MASAKA-24HRS'!C56,'20.10 SEMBABULE-MASAKA'!C56,'21.10 SEMBABULE-MASAKA'!C56,'22.10 SEMBABULE-MASAKA'!C56,'23.10 SEMBABULE-MASAKA'!C56)</f>
        <v>1.8571428571428572</v>
      </c>
      <c r="D56" s="49">
        <f>AVERAGE('17.10 SEMBABULE-MASAKA'!D56,'18.10 SEMBABULE-MASAKA-24 HRS'!D56,'19.10 SEMBABULE MASAKA-24HRS'!D56,'20.10 SEMBABULE-MASAKA'!D56,'21.10 SEMBABULE-MASAKA'!D56,'22.10 SEMBABULE-MASAKA'!D56,'23.10 SEMBABULE-MASAKA'!D56)</f>
        <v>0.5714285714285714</v>
      </c>
      <c r="E56" s="49">
        <f>AVERAGE('17.10 SEMBABULE-MASAKA'!E56,'18.10 SEMBABULE-MASAKA-24 HRS'!E56,'19.10 SEMBABULE MASAKA-24HRS'!E56,'20.10 SEMBABULE-MASAKA'!E56,'21.10 SEMBABULE-MASAKA'!E56,'22.10 SEMBABULE-MASAKA'!E56,'23.10 SEMBABULE-MASAKA'!E56)</f>
        <v>0.42857142857142855</v>
      </c>
      <c r="F56" s="49">
        <f>AVERAGE('17.10 SEMBABULE-MASAKA'!F56,'18.10 SEMBABULE-MASAKA-24 HRS'!F56,'19.10 SEMBABULE MASAKA-24HRS'!F56,'20.10 SEMBABULE-MASAKA'!F56,'21.10 SEMBABULE-MASAKA'!F56,'22.10 SEMBABULE-MASAKA'!F56,'23.10 SEMBABULE-MASAKA'!F56)</f>
        <v>0.14285714285714285</v>
      </c>
      <c r="G56" s="49">
        <f>AVERAGE('17.10 SEMBABULE-MASAKA'!G56,'18.10 SEMBABULE-MASAKA-24 HRS'!G56,'19.10 SEMBABULE MASAKA-24HRS'!G56,'20.10 SEMBABULE-MASAKA'!G56,'21.10 SEMBABULE-MASAKA'!G56,'22.10 SEMBABULE-MASAKA'!G56,'23.10 SEMBABULE-MASAKA'!G56)</f>
        <v>0</v>
      </c>
      <c r="H56" s="49">
        <f>AVERAGE('17.10 SEMBABULE-MASAKA'!H56,'18.10 SEMBABULE-MASAKA-24 HRS'!H56,'19.10 SEMBABULE MASAKA-24HRS'!H56,'20.10 SEMBABULE-MASAKA'!H56,'21.10 SEMBABULE-MASAKA'!H56,'22.10 SEMBABULE-MASAKA'!H56,'23.10 SEMBABULE-MASAKA'!H56)</f>
        <v>0</v>
      </c>
      <c r="I56" s="49">
        <f>AVERAGE('17.10 SEMBABULE-MASAKA'!I56,'18.10 SEMBABULE-MASAKA-24 HRS'!I56,'19.10 SEMBABULE MASAKA-24HRS'!I56,'20.10 SEMBABULE-MASAKA'!I56,'21.10 SEMBABULE-MASAKA'!I56,'22.10 SEMBABULE-MASAKA'!I56,'23.10 SEMBABULE-MASAKA'!I56)</f>
        <v>0.5714285714285714</v>
      </c>
      <c r="J56" s="49">
        <f>AVERAGE('17.10 SEMBABULE-MASAKA'!J56,'18.10 SEMBABULE-MASAKA-24 HRS'!J56,'19.10 SEMBABULE MASAKA-24HRS'!J56,'20.10 SEMBABULE-MASAKA'!J56,'21.10 SEMBABULE-MASAKA'!J56,'22.10 SEMBABULE-MASAKA'!J56,'23.10 SEMBABULE-MASAKA'!J56)</f>
        <v>0.2857142857142857</v>
      </c>
      <c r="K56" s="49">
        <f>AVERAGE('17.10 SEMBABULE-MASAKA'!K56,'18.10 SEMBABULE-MASAKA-24 HRS'!K56,'19.10 SEMBABULE MASAKA-24HRS'!K56,'20.10 SEMBABULE-MASAKA'!K56,'21.10 SEMBABULE-MASAKA'!K56,'22.10 SEMBABULE-MASAKA'!K56,'23.10 SEMBABULE-MASAKA'!K56)</f>
        <v>0.2857142857142857</v>
      </c>
      <c r="L56" s="49">
        <f>AVERAGE('17.10 SEMBABULE-MASAKA'!L56,'18.10 SEMBABULE-MASAKA-24 HRS'!L56,'19.10 SEMBABULE MASAKA-24HRS'!L56,'20.10 SEMBABULE-MASAKA'!L56,'21.10 SEMBABULE-MASAKA'!L56,'22.10 SEMBABULE-MASAKA'!L56,'23.10 SEMBABULE-MASAKA'!L56)</f>
        <v>0</v>
      </c>
      <c r="M56" s="49">
        <f>AVERAGE('17.10 SEMBABULE-MASAKA'!M56,'18.10 SEMBABULE-MASAKA-24 HRS'!M56,'19.10 SEMBABULE MASAKA-24HRS'!M56,'20.10 SEMBABULE-MASAKA'!M56,'21.10 SEMBABULE-MASAKA'!M56,'22.10 SEMBABULE-MASAKA'!M56,'23.10 SEMBABULE-MASAKA'!M56)</f>
        <v>9.5714285714285712</v>
      </c>
      <c r="N56" s="49">
        <f>AVERAGE('17.10 SEMBABULE-MASAKA'!N56,'18.10 SEMBABULE-MASAKA-24 HRS'!N56,'19.10 SEMBABULE MASAKA-24HRS'!N56,'20.10 SEMBABULE-MASAKA'!N56,'21.10 SEMBABULE-MASAKA'!N56,'22.10 SEMBABULE-MASAKA'!N56,'23.10 SEMBABULE-MASAKA'!N56)</f>
        <v>0</v>
      </c>
      <c r="O56" s="15">
        <f t="shared" si="0"/>
        <v>4.1428571428571423</v>
      </c>
      <c r="P56" s="15">
        <f t="shared" si="1"/>
        <v>13.714285714285714</v>
      </c>
      <c r="R56" s="8"/>
      <c r="T56"/>
    </row>
    <row r="57" spans="2:20" ht="23.1" customHeight="1" x14ac:dyDescent="0.25">
      <c r="B57" s="23" t="s">
        <v>84</v>
      </c>
      <c r="C57" s="49">
        <f>AVERAGE('17.10 SEMBABULE-MASAKA'!C57,'18.10 SEMBABULE-MASAKA-24 HRS'!C57,'19.10 SEMBABULE MASAKA-24HRS'!C57,'20.10 SEMBABULE-MASAKA'!C57,'21.10 SEMBABULE-MASAKA'!C57,'22.10 SEMBABULE-MASAKA'!C57,'23.10 SEMBABULE-MASAKA'!C57)</f>
        <v>2</v>
      </c>
      <c r="D57" s="49">
        <f>AVERAGE('17.10 SEMBABULE-MASAKA'!D57,'18.10 SEMBABULE-MASAKA-24 HRS'!D57,'19.10 SEMBABULE MASAKA-24HRS'!D57,'20.10 SEMBABULE-MASAKA'!D57,'21.10 SEMBABULE-MASAKA'!D57,'22.10 SEMBABULE-MASAKA'!D57,'23.10 SEMBABULE-MASAKA'!D57)</f>
        <v>0.14285714285714285</v>
      </c>
      <c r="E57" s="49">
        <f>AVERAGE('17.10 SEMBABULE-MASAKA'!E57,'18.10 SEMBABULE-MASAKA-24 HRS'!E57,'19.10 SEMBABULE MASAKA-24HRS'!E57,'20.10 SEMBABULE-MASAKA'!E57,'21.10 SEMBABULE-MASAKA'!E57,'22.10 SEMBABULE-MASAKA'!E57,'23.10 SEMBABULE-MASAKA'!E57)</f>
        <v>0.8571428571428571</v>
      </c>
      <c r="F57" s="49">
        <f>AVERAGE('17.10 SEMBABULE-MASAKA'!F57,'18.10 SEMBABULE-MASAKA-24 HRS'!F57,'19.10 SEMBABULE MASAKA-24HRS'!F57,'20.10 SEMBABULE-MASAKA'!F57,'21.10 SEMBABULE-MASAKA'!F57,'22.10 SEMBABULE-MASAKA'!F57,'23.10 SEMBABULE-MASAKA'!F57)</f>
        <v>0.42857142857142855</v>
      </c>
      <c r="G57" s="49">
        <f>AVERAGE('17.10 SEMBABULE-MASAKA'!G57,'18.10 SEMBABULE-MASAKA-24 HRS'!G57,'19.10 SEMBABULE MASAKA-24HRS'!G57,'20.10 SEMBABULE-MASAKA'!G57,'21.10 SEMBABULE-MASAKA'!G57,'22.10 SEMBABULE-MASAKA'!G57,'23.10 SEMBABULE-MASAKA'!G57)</f>
        <v>0</v>
      </c>
      <c r="H57" s="49">
        <f>AVERAGE('17.10 SEMBABULE-MASAKA'!H57,'18.10 SEMBABULE-MASAKA-24 HRS'!H57,'19.10 SEMBABULE MASAKA-24HRS'!H57,'20.10 SEMBABULE-MASAKA'!H57,'21.10 SEMBABULE-MASAKA'!H57,'22.10 SEMBABULE-MASAKA'!H57,'23.10 SEMBABULE-MASAKA'!H57)</f>
        <v>0</v>
      </c>
      <c r="I57" s="49">
        <f>AVERAGE('17.10 SEMBABULE-MASAKA'!I57,'18.10 SEMBABULE-MASAKA-24 HRS'!I57,'19.10 SEMBABULE MASAKA-24HRS'!I57,'20.10 SEMBABULE-MASAKA'!I57,'21.10 SEMBABULE-MASAKA'!I57,'22.10 SEMBABULE-MASAKA'!I57,'23.10 SEMBABULE-MASAKA'!I57)</f>
        <v>0.42857142857142855</v>
      </c>
      <c r="J57" s="49">
        <f>AVERAGE('17.10 SEMBABULE-MASAKA'!J57,'18.10 SEMBABULE-MASAKA-24 HRS'!J57,'19.10 SEMBABULE MASAKA-24HRS'!J57,'20.10 SEMBABULE-MASAKA'!J57,'21.10 SEMBABULE-MASAKA'!J57,'22.10 SEMBABULE-MASAKA'!J57,'23.10 SEMBABULE-MASAKA'!J57)</f>
        <v>0.8571428571428571</v>
      </c>
      <c r="K57" s="49">
        <f>AVERAGE('17.10 SEMBABULE-MASAKA'!K57,'18.10 SEMBABULE-MASAKA-24 HRS'!K57,'19.10 SEMBABULE MASAKA-24HRS'!K57,'20.10 SEMBABULE-MASAKA'!K57,'21.10 SEMBABULE-MASAKA'!K57,'22.10 SEMBABULE-MASAKA'!K57,'23.10 SEMBABULE-MASAKA'!K57)</f>
        <v>0</v>
      </c>
      <c r="L57" s="49">
        <f>AVERAGE('17.10 SEMBABULE-MASAKA'!L57,'18.10 SEMBABULE-MASAKA-24 HRS'!L57,'19.10 SEMBABULE MASAKA-24HRS'!L57,'20.10 SEMBABULE-MASAKA'!L57,'21.10 SEMBABULE-MASAKA'!L57,'22.10 SEMBABULE-MASAKA'!L57,'23.10 SEMBABULE-MASAKA'!L57)</f>
        <v>0</v>
      </c>
      <c r="M57" s="49">
        <f>AVERAGE('17.10 SEMBABULE-MASAKA'!M57,'18.10 SEMBABULE-MASAKA-24 HRS'!M57,'19.10 SEMBABULE MASAKA-24HRS'!M57,'20.10 SEMBABULE-MASAKA'!M57,'21.10 SEMBABULE-MASAKA'!M57,'22.10 SEMBABULE-MASAKA'!M57,'23.10 SEMBABULE-MASAKA'!M57)</f>
        <v>7.2857142857142856</v>
      </c>
      <c r="N57" s="49">
        <f>AVERAGE('17.10 SEMBABULE-MASAKA'!N57,'18.10 SEMBABULE-MASAKA-24 HRS'!N57,'19.10 SEMBABULE MASAKA-24HRS'!N57,'20.10 SEMBABULE-MASAKA'!N57,'21.10 SEMBABULE-MASAKA'!N57,'22.10 SEMBABULE-MASAKA'!N57,'23.10 SEMBABULE-MASAKA'!N57)</f>
        <v>0</v>
      </c>
      <c r="O57" s="15">
        <f t="shared" si="0"/>
        <v>4.7142857142857135</v>
      </c>
      <c r="P57" s="15">
        <f t="shared" si="1"/>
        <v>12</v>
      </c>
      <c r="R57" s="8"/>
      <c r="T57"/>
    </row>
    <row r="58" spans="2:20" ht="23.1" customHeight="1" x14ac:dyDescent="0.25">
      <c r="B58" s="23" t="s">
        <v>99</v>
      </c>
      <c r="C58" s="49">
        <f>AVERAGE('18.10 SEMBABULE-MASAKA-24 HRS'!C58,'19.10 SEMBABULE MASAKA-24HRS'!C58)</f>
        <v>3.5</v>
      </c>
      <c r="D58" s="49">
        <f>AVERAGE('18.10 SEMBABULE-MASAKA-24 HRS'!D58,'19.10 SEMBABULE MASAKA-24HRS'!D58)</f>
        <v>0</v>
      </c>
      <c r="E58" s="49">
        <f>AVERAGE('18.10 SEMBABULE-MASAKA-24 HRS'!E58,'19.10 SEMBABULE MASAKA-24HRS'!E58)</f>
        <v>0.5</v>
      </c>
      <c r="F58" s="49">
        <f>AVERAGE('18.10 SEMBABULE-MASAKA-24 HRS'!F58,'19.10 SEMBABULE MASAKA-24HRS'!F58)</f>
        <v>0.5</v>
      </c>
      <c r="G58" s="49">
        <f>AVERAGE('18.10 SEMBABULE-MASAKA-24 HRS'!G58,'19.10 SEMBABULE MASAKA-24HRS'!G58)</f>
        <v>0.5</v>
      </c>
      <c r="H58" s="49">
        <f>AVERAGE('18.10 SEMBABULE-MASAKA-24 HRS'!H58,'19.10 SEMBABULE MASAKA-24HRS'!H58)</f>
        <v>0</v>
      </c>
      <c r="I58" s="49">
        <f>AVERAGE('18.10 SEMBABULE-MASAKA-24 HRS'!I58,'19.10 SEMBABULE MASAKA-24HRS'!I58)</f>
        <v>1.5</v>
      </c>
      <c r="J58" s="49">
        <f>AVERAGE('18.10 SEMBABULE-MASAKA-24 HRS'!J58,'19.10 SEMBABULE MASAKA-24HRS'!J58)</f>
        <v>0</v>
      </c>
      <c r="K58" s="49">
        <f>AVERAGE('18.10 SEMBABULE-MASAKA-24 HRS'!K58,'19.10 SEMBABULE MASAKA-24HRS'!K58)</f>
        <v>0</v>
      </c>
      <c r="L58" s="49">
        <f>AVERAGE('18.10 SEMBABULE-MASAKA-24 HRS'!L58,'19.10 SEMBABULE MASAKA-24HRS'!L58)</f>
        <v>0</v>
      </c>
      <c r="M58" s="49">
        <f>AVERAGE('18.10 SEMBABULE-MASAKA-24 HRS'!M58,'19.10 SEMBABULE MASAKA-24HRS'!M58)</f>
        <v>11</v>
      </c>
      <c r="N58" s="49">
        <f>AVERAGE('18.10 SEMBABULE-MASAKA-24 HRS'!N58,'19.10 SEMBABULE MASAKA-24HRS'!N58)</f>
        <v>0</v>
      </c>
      <c r="O58" s="15">
        <f t="shared" si="0"/>
        <v>6.5</v>
      </c>
      <c r="P58" s="15">
        <f t="shared" si="1"/>
        <v>17.5</v>
      </c>
      <c r="R58" s="8"/>
      <c r="T58"/>
    </row>
    <row r="59" spans="2:20" ht="23.1" customHeight="1" x14ac:dyDescent="0.25">
      <c r="B59" s="23" t="s">
        <v>100</v>
      </c>
      <c r="C59" s="49">
        <f>AVERAGE('18.10 SEMBABULE-MASAKA-24 HRS'!C59,'19.10 SEMBABULE MASAKA-24HRS'!C59)</f>
        <v>2</v>
      </c>
      <c r="D59" s="49">
        <f>AVERAGE('18.10 SEMBABULE-MASAKA-24 HRS'!D59,'19.10 SEMBABULE MASAKA-24HRS'!D59)</f>
        <v>0</v>
      </c>
      <c r="E59" s="49">
        <f>AVERAGE('18.10 SEMBABULE-MASAKA-24 HRS'!E59,'19.10 SEMBABULE MASAKA-24HRS'!E59)</f>
        <v>0</v>
      </c>
      <c r="F59" s="49">
        <f>AVERAGE('18.10 SEMBABULE-MASAKA-24 HRS'!F59,'19.10 SEMBABULE MASAKA-24HRS'!F59)</f>
        <v>1</v>
      </c>
      <c r="G59" s="49">
        <f>AVERAGE('18.10 SEMBABULE-MASAKA-24 HRS'!G59,'19.10 SEMBABULE MASAKA-24HRS'!G59)</f>
        <v>0</v>
      </c>
      <c r="H59" s="49">
        <f>AVERAGE('18.10 SEMBABULE-MASAKA-24 HRS'!H59,'19.10 SEMBABULE MASAKA-24HRS'!H59)</f>
        <v>0</v>
      </c>
      <c r="I59" s="49">
        <f>AVERAGE('18.10 SEMBABULE-MASAKA-24 HRS'!I59,'19.10 SEMBABULE MASAKA-24HRS'!I59)</f>
        <v>1</v>
      </c>
      <c r="J59" s="49">
        <f>AVERAGE('18.10 SEMBABULE-MASAKA-24 HRS'!J59,'19.10 SEMBABULE MASAKA-24HRS'!J59)</f>
        <v>1</v>
      </c>
      <c r="K59" s="49">
        <f>AVERAGE('18.10 SEMBABULE-MASAKA-24 HRS'!K59,'19.10 SEMBABULE MASAKA-24HRS'!K59)</f>
        <v>0</v>
      </c>
      <c r="L59" s="49">
        <f>AVERAGE('18.10 SEMBABULE-MASAKA-24 HRS'!L59,'19.10 SEMBABULE MASAKA-24HRS'!L59)</f>
        <v>0</v>
      </c>
      <c r="M59" s="49">
        <f>AVERAGE('18.10 SEMBABULE-MASAKA-24 HRS'!M59,'19.10 SEMBABULE MASAKA-24HRS'!M59)</f>
        <v>4</v>
      </c>
      <c r="N59" s="49">
        <f>AVERAGE('18.10 SEMBABULE-MASAKA-24 HRS'!N59,'19.10 SEMBABULE MASAKA-24HRS'!N59)</f>
        <v>0</v>
      </c>
      <c r="O59" s="15">
        <f t="shared" si="0"/>
        <v>5</v>
      </c>
      <c r="P59" s="15">
        <f t="shared" si="1"/>
        <v>9</v>
      </c>
      <c r="R59" s="8"/>
      <c r="T59"/>
    </row>
    <row r="60" spans="2:20" ht="23.1" customHeight="1" x14ac:dyDescent="0.25">
      <c r="B60" s="23" t="s">
        <v>101</v>
      </c>
      <c r="C60" s="49">
        <f>AVERAGE('18.10 SEMBABULE-MASAKA-24 HRS'!C60,'19.10 SEMBABULE MASAKA-24HRS'!C60)</f>
        <v>2.5</v>
      </c>
      <c r="D60" s="49">
        <f>AVERAGE('18.10 SEMBABULE-MASAKA-24 HRS'!D60,'19.10 SEMBABULE MASAKA-24HRS'!D60)</f>
        <v>0.5</v>
      </c>
      <c r="E60" s="49">
        <f>AVERAGE('18.10 SEMBABULE-MASAKA-24 HRS'!E60,'19.10 SEMBABULE MASAKA-24HRS'!E60)</f>
        <v>0</v>
      </c>
      <c r="F60" s="49">
        <f>AVERAGE('18.10 SEMBABULE-MASAKA-24 HRS'!F60,'19.10 SEMBABULE MASAKA-24HRS'!F60)</f>
        <v>0.5</v>
      </c>
      <c r="G60" s="49">
        <f>AVERAGE('18.10 SEMBABULE-MASAKA-24 HRS'!G60,'19.10 SEMBABULE MASAKA-24HRS'!G60)</f>
        <v>0</v>
      </c>
      <c r="H60" s="49">
        <f>AVERAGE('18.10 SEMBABULE-MASAKA-24 HRS'!H60,'19.10 SEMBABULE MASAKA-24HRS'!H60)</f>
        <v>0</v>
      </c>
      <c r="I60" s="49">
        <f>AVERAGE('18.10 SEMBABULE-MASAKA-24 HRS'!I60,'19.10 SEMBABULE MASAKA-24HRS'!I60)</f>
        <v>2</v>
      </c>
      <c r="J60" s="49">
        <f>AVERAGE('18.10 SEMBABULE-MASAKA-24 HRS'!J60,'19.10 SEMBABULE MASAKA-24HRS'!J60)</f>
        <v>0.5</v>
      </c>
      <c r="K60" s="49">
        <f>AVERAGE('18.10 SEMBABULE-MASAKA-24 HRS'!K60,'19.10 SEMBABULE MASAKA-24HRS'!K60)</f>
        <v>0</v>
      </c>
      <c r="L60" s="49">
        <f>AVERAGE('18.10 SEMBABULE-MASAKA-24 HRS'!L60,'19.10 SEMBABULE MASAKA-24HRS'!L60)</f>
        <v>0</v>
      </c>
      <c r="M60" s="49">
        <f>AVERAGE('18.10 SEMBABULE-MASAKA-24 HRS'!M60,'19.10 SEMBABULE MASAKA-24HRS'!M60)</f>
        <v>8</v>
      </c>
      <c r="N60" s="49">
        <f>AVERAGE('18.10 SEMBABULE-MASAKA-24 HRS'!N60,'19.10 SEMBABULE MASAKA-24HRS'!N60)</f>
        <v>0</v>
      </c>
      <c r="O60" s="15">
        <f t="shared" si="0"/>
        <v>6</v>
      </c>
      <c r="P60" s="15">
        <f t="shared" si="1"/>
        <v>14</v>
      </c>
      <c r="R60" s="8"/>
      <c r="T60"/>
    </row>
    <row r="61" spans="2:20" ht="23.1" customHeight="1" x14ac:dyDescent="0.25">
      <c r="B61" s="23" t="s">
        <v>102</v>
      </c>
      <c r="C61" s="49">
        <f>AVERAGE('18.10 SEMBABULE-MASAKA-24 HRS'!C61,'19.10 SEMBABULE MASAKA-24HRS'!C61)</f>
        <v>0.5</v>
      </c>
      <c r="D61" s="49">
        <f>AVERAGE('18.10 SEMBABULE-MASAKA-24 HRS'!D61,'19.10 SEMBABULE MASAKA-24HRS'!D61)</f>
        <v>1</v>
      </c>
      <c r="E61" s="49">
        <f>AVERAGE('18.10 SEMBABULE-MASAKA-24 HRS'!E61,'19.10 SEMBABULE MASAKA-24HRS'!E61)</f>
        <v>0.5</v>
      </c>
      <c r="F61" s="49">
        <f>AVERAGE('18.10 SEMBABULE-MASAKA-24 HRS'!F61,'19.10 SEMBABULE MASAKA-24HRS'!F61)</f>
        <v>0</v>
      </c>
      <c r="G61" s="49">
        <f>AVERAGE('18.10 SEMBABULE-MASAKA-24 HRS'!G61,'19.10 SEMBABULE MASAKA-24HRS'!G61)</f>
        <v>0</v>
      </c>
      <c r="H61" s="49">
        <f>AVERAGE('18.10 SEMBABULE-MASAKA-24 HRS'!H61,'19.10 SEMBABULE MASAKA-24HRS'!H61)</f>
        <v>0</v>
      </c>
      <c r="I61" s="49">
        <f>AVERAGE('18.10 SEMBABULE-MASAKA-24 HRS'!I61,'19.10 SEMBABULE MASAKA-24HRS'!I61)</f>
        <v>0</v>
      </c>
      <c r="J61" s="49">
        <f>AVERAGE('18.10 SEMBABULE-MASAKA-24 HRS'!J61,'19.10 SEMBABULE MASAKA-24HRS'!J61)</f>
        <v>0</v>
      </c>
      <c r="K61" s="49">
        <f>AVERAGE('18.10 SEMBABULE-MASAKA-24 HRS'!K61,'19.10 SEMBABULE MASAKA-24HRS'!K61)</f>
        <v>0</v>
      </c>
      <c r="L61" s="49">
        <f>AVERAGE('18.10 SEMBABULE-MASAKA-24 HRS'!L61,'19.10 SEMBABULE MASAKA-24HRS'!L61)</f>
        <v>0</v>
      </c>
      <c r="M61" s="49">
        <f>AVERAGE('18.10 SEMBABULE-MASAKA-24 HRS'!M61,'19.10 SEMBABULE MASAKA-24HRS'!M61)</f>
        <v>7.5</v>
      </c>
      <c r="N61" s="49">
        <f>AVERAGE('18.10 SEMBABULE-MASAKA-24 HRS'!N61,'19.10 SEMBABULE MASAKA-24HRS'!N61)</f>
        <v>0</v>
      </c>
      <c r="O61" s="15">
        <f t="shared" si="0"/>
        <v>2</v>
      </c>
      <c r="P61" s="15">
        <f t="shared" si="1"/>
        <v>9.5</v>
      </c>
      <c r="R61" s="8"/>
      <c r="T61"/>
    </row>
    <row r="62" spans="2:20" ht="23.1" customHeight="1" x14ac:dyDescent="0.25">
      <c r="B62" s="23" t="s">
        <v>107</v>
      </c>
      <c r="C62" s="49">
        <f>AVERAGE('18.10 SEMBABULE-MASAKA-24 HRS'!C62,'19.10 SEMBABULE MASAKA-24HRS'!C62)</f>
        <v>1.5</v>
      </c>
      <c r="D62" s="49">
        <f>AVERAGE('18.10 SEMBABULE-MASAKA-24 HRS'!D62,'19.10 SEMBABULE MASAKA-24HRS'!D62)</f>
        <v>0</v>
      </c>
      <c r="E62" s="49">
        <f>AVERAGE('18.10 SEMBABULE-MASAKA-24 HRS'!E62,'19.10 SEMBABULE MASAKA-24HRS'!E62)</f>
        <v>0</v>
      </c>
      <c r="F62" s="49">
        <f>AVERAGE('18.10 SEMBABULE-MASAKA-24 HRS'!F62,'19.10 SEMBABULE MASAKA-24HRS'!F62)</f>
        <v>0.5</v>
      </c>
      <c r="G62" s="49">
        <f>AVERAGE('18.10 SEMBABULE-MASAKA-24 HRS'!G62,'19.10 SEMBABULE MASAKA-24HRS'!G62)</f>
        <v>0</v>
      </c>
      <c r="H62" s="49">
        <f>AVERAGE('18.10 SEMBABULE-MASAKA-24 HRS'!H62,'19.10 SEMBABULE MASAKA-24HRS'!H62)</f>
        <v>0</v>
      </c>
      <c r="I62" s="49">
        <f>AVERAGE('18.10 SEMBABULE-MASAKA-24 HRS'!I62,'19.10 SEMBABULE MASAKA-24HRS'!I62)</f>
        <v>0.5</v>
      </c>
      <c r="J62" s="49">
        <f>AVERAGE('18.10 SEMBABULE-MASAKA-24 HRS'!J62,'19.10 SEMBABULE MASAKA-24HRS'!J62)</f>
        <v>1</v>
      </c>
      <c r="K62" s="49">
        <f>AVERAGE('18.10 SEMBABULE-MASAKA-24 HRS'!K62,'19.10 SEMBABULE MASAKA-24HRS'!K62)</f>
        <v>0.5</v>
      </c>
      <c r="L62" s="49">
        <f>AVERAGE('18.10 SEMBABULE-MASAKA-24 HRS'!L62,'19.10 SEMBABULE MASAKA-24HRS'!L62)</f>
        <v>0</v>
      </c>
      <c r="M62" s="49">
        <f>AVERAGE('18.10 SEMBABULE-MASAKA-24 HRS'!M62,'19.10 SEMBABULE MASAKA-24HRS'!M62)</f>
        <v>5.5</v>
      </c>
      <c r="N62" s="49">
        <f>AVERAGE('18.10 SEMBABULE-MASAKA-24 HRS'!N62,'19.10 SEMBABULE MASAKA-24HRS'!N62)</f>
        <v>0</v>
      </c>
      <c r="O62" s="15">
        <f t="shared" si="0"/>
        <v>4</v>
      </c>
      <c r="P62" s="15">
        <f t="shared" si="1"/>
        <v>9.5</v>
      </c>
      <c r="R62" s="8"/>
      <c r="T62"/>
    </row>
    <row r="63" spans="2:20" ht="23.1" customHeight="1" x14ac:dyDescent="0.25">
      <c r="B63" s="23" t="s">
        <v>108</v>
      </c>
      <c r="C63" s="49">
        <f>AVERAGE('18.10 SEMBABULE-MASAKA-24 HRS'!C63,'19.10 SEMBABULE MASAKA-24HRS'!C63)</f>
        <v>0</v>
      </c>
      <c r="D63" s="49">
        <f>AVERAGE('18.10 SEMBABULE-MASAKA-24 HRS'!D63,'19.10 SEMBABULE MASAKA-24HRS'!D63)</f>
        <v>0</v>
      </c>
      <c r="E63" s="49">
        <f>AVERAGE('18.10 SEMBABULE-MASAKA-24 HRS'!E63,'19.10 SEMBABULE MASAKA-24HRS'!E63)</f>
        <v>0.5</v>
      </c>
      <c r="F63" s="49">
        <f>AVERAGE('18.10 SEMBABULE-MASAKA-24 HRS'!F63,'19.10 SEMBABULE MASAKA-24HRS'!F63)</f>
        <v>0</v>
      </c>
      <c r="G63" s="49">
        <f>AVERAGE('18.10 SEMBABULE-MASAKA-24 HRS'!G63,'19.10 SEMBABULE MASAKA-24HRS'!G63)</f>
        <v>0</v>
      </c>
      <c r="H63" s="49">
        <f>AVERAGE('18.10 SEMBABULE-MASAKA-24 HRS'!H63,'19.10 SEMBABULE MASAKA-24HRS'!H63)</f>
        <v>0</v>
      </c>
      <c r="I63" s="49">
        <f>AVERAGE('18.10 SEMBABULE-MASAKA-24 HRS'!I63,'19.10 SEMBABULE MASAKA-24HRS'!I63)</f>
        <v>1.5</v>
      </c>
      <c r="J63" s="49">
        <f>AVERAGE('18.10 SEMBABULE-MASAKA-24 HRS'!J63,'19.10 SEMBABULE MASAKA-24HRS'!J63)</f>
        <v>0.5</v>
      </c>
      <c r="K63" s="49">
        <f>AVERAGE('18.10 SEMBABULE-MASAKA-24 HRS'!K63,'19.10 SEMBABULE MASAKA-24HRS'!K63)</f>
        <v>0</v>
      </c>
      <c r="L63" s="49">
        <f>AVERAGE('18.10 SEMBABULE-MASAKA-24 HRS'!L63,'19.10 SEMBABULE MASAKA-24HRS'!L63)</f>
        <v>0</v>
      </c>
      <c r="M63" s="49">
        <f>AVERAGE('18.10 SEMBABULE-MASAKA-24 HRS'!M63,'19.10 SEMBABULE MASAKA-24HRS'!M63)</f>
        <v>10.5</v>
      </c>
      <c r="N63" s="49">
        <f>AVERAGE('18.10 SEMBABULE-MASAKA-24 HRS'!N63,'19.10 SEMBABULE MASAKA-24HRS'!N63)</f>
        <v>0</v>
      </c>
      <c r="O63" s="15">
        <f t="shared" si="0"/>
        <v>2.5</v>
      </c>
      <c r="P63" s="15">
        <f t="shared" si="1"/>
        <v>13</v>
      </c>
      <c r="R63" s="8"/>
      <c r="T63"/>
    </row>
    <row r="64" spans="2:20" ht="23.1" customHeight="1" x14ac:dyDescent="0.25">
      <c r="B64" s="23" t="s">
        <v>109</v>
      </c>
      <c r="C64" s="49">
        <f>AVERAGE('18.10 SEMBABULE-MASAKA-24 HRS'!C64,'19.10 SEMBABULE MASAKA-24HRS'!C64)</f>
        <v>0.5</v>
      </c>
      <c r="D64" s="49">
        <f>AVERAGE('18.10 SEMBABULE-MASAKA-24 HRS'!D64,'19.10 SEMBABULE MASAKA-24HRS'!D64)</f>
        <v>0</v>
      </c>
      <c r="E64" s="49">
        <f>AVERAGE('18.10 SEMBABULE-MASAKA-24 HRS'!E64,'19.10 SEMBABULE MASAKA-24HRS'!E64)</f>
        <v>0</v>
      </c>
      <c r="F64" s="49">
        <f>AVERAGE('18.10 SEMBABULE-MASAKA-24 HRS'!F64,'19.10 SEMBABULE MASAKA-24HRS'!F64)</f>
        <v>0</v>
      </c>
      <c r="G64" s="49">
        <f>AVERAGE('18.10 SEMBABULE-MASAKA-24 HRS'!G64,'19.10 SEMBABULE MASAKA-24HRS'!G64)</f>
        <v>0</v>
      </c>
      <c r="H64" s="49">
        <f>AVERAGE('18.10 SEMBABULE-MASAKA-24 HRS'!H64,'19.10 SEMBABULE MASAKA-24HRS'!H64)</f>
        <v>0</v>
      </c>
      <c r="I64" s="49">
        <f>AVERAGE('18.10 SEMBABULE-MASAKA-24 HRS'!I64,'19.10 SEMBABULE MASAKA-24HRS'!I64)</f>
        <v>1</v>
      </c>
      <c r="J64" s="49">
        <f>AVERAGE('18.10 SEMBABULE-MASAKA-24 HRS'!J64,'19.10 SEMBABULE MASAKA-24HRS'!J64)</f>
        <v>0.5</v>
      </c>
      <c r="K64" s="49">
        <f>AVERAGE('18.10 SEMBABULE-MASAKA-24 HRS'!K64,'19.10 SEMBABULE MASAKA-24HRS'!K64)</f>
        <v>0</v>
      </c>
      <c r="L64" s="49">
        <f>AVERAGE('18.10 SEMBABULE-MASAKA-24 HRS'!L64,'19.10 SEMBABULE MASAKA-24HRS'!L64)</f>
        <v>0</v>
      </c>
      <c r="M64" s="49">
        <f>AVERAGE('18.10 SEMBABULE-MASAKA-24 HRS'!M64,'19.10 SEMBABULE MASAKA-24HRS'!M64)</f>
        <v>6</v>
      </c>
      <c r="N64" s="49">
        <f>AVERAGE('18.10 SEMBABULE-MASAKA-24 HRS'!N64,'19.10 SEMBABULE MASAKA-24HRS'!N64)</f>
        <v>0</v>
      </c>
      <c r="O64" s="15">
        <f t="shared" si="0"/>
        <v>2</v>
      </c>
      <c r="P64" s="15">
        <f t="shared" si="1"/>
        <v>8</v>
      </c>
      <c r="R64" s="8"/>
      <c r="T64"/>
    </row>
    <row r="65" spans="2:20" ht="23.1" customHeight="1" x14ac:dyDescent="0.25">
      <c r="B65" s="23" t="s">
        <v>158</v>
      </c>
      <c r="C65" s="49">
        <f>AVERAGE('18.10 SEMBABULE-MASAKA-24 HRS'!C65,'19.10 SEMBABULE MASAKA-24HRS'!C65)</f>
        <v>0.5</v>
      </c>
      <c r="D65" s="49">
        <f>AVERAGE('18.10 SEMBABULE-MASAKA-24 HRS'!D65,'19.10 SEMBABULE MASAKA-24HRS'!D65)</f>
        <v>0.5</v>
      </c>
      <c r="E65" s="49">
        <f>AVERAGE('18.10 SEMBABULE-MASAKA-24 HRS'!E65,'19.10 SEMBABULE MASAKA-24HRS'!E65)</f>
        <v>0</v>
      </c>
      <c r="F65" s="49">
        <f>AVERAGE('18.10 SEMBABULE-MASAKA-24 HRS'!F65,'19.10 SEMBABULE MASAKA-24HRS'!F65)</f>
        <v>0.5</v>
      </c>
      <c r="G65" s="49">
        <f>AVERAGE('18.10 SEMBABULE-MASAKA-24 HRS'!G65,'19.10 SEMBABULE MASAKA-24HRS'!G65)</f>
        <v>0</v>
      </c>
      <c r="H65" s="49">
        <f>AVERAGE('18.10 SEMBABULE-MASAKA-24 HRS'!H65,'19.10 SEMBABULE MASAKA-24HRS'!H65)</f>
        <v>0</v>
      </c>
      <c r="I65" s="49">
        <f>AVERAGE('18.10 SEMBABULE-MASAKA-24 HRS'!I65,'19.10 SEMBABULE MASAKA-24HRS'!I65)</f>
        <v>0.5</v>
      </c>
      <c r="J65" s="49">
        <f>AVERAGE('18.10 SEMBABULE-MASAKA-24 HRS'!J65,'19.10 SEMBABULE MASAKA-24HRS'!J65)</f>
        <v>0</v>
      </c>
      <c r="K65" s="49">
        <f>AVERAGE('18.10 SEMBABULE-MASAKA-24 HRS'!K65,'19.10 SEMBABULE MASAKA-24HRS'!K65)</f>
        <v>0</v>
      </c>
      <c r="L65" s="49">
        <f>AVERAGE('18.10 SEMBABULE-MASAKA-24 HRS'!L65,'19.10 SEMBABULE MASAKA-24HRS'!L65)</f>
        <v>0</v>
      </c>
      <c r="M65" s="49">
        <f>AVERAGE('18.10 SEMBABULE-MASAKA-24 HRS'!M65,'19.10 SEMBABULE MASAKA-24HRS'!M65)</f>
        <v>4.5</v>
      </c>
      <c r="N65" s="49">
        <f>AVERAGE('18.10 SEMBABULE-MASAKA-24 HRS'!N65,'19.10 SEMBABULE MASAKA-24HRS'!N65)</f>
        <v>0</v>
      </c>
      <c r="O65" s="15">
        <f t="shared" si="0"/>
        <v>2</v>
      </c>
      <c r="P65" s="15">
        <f t="shared" si="1"/>
        <v>6.5</v>
      </c>
      <c r="R65" s="8"/>
      <c r="T65"/>
    </row>
    <row r="66" spans="2:20" ht="23.1" customHeight="1" x14ac:dyDescent="0.25">
      <c r="B66" s="23" t="s">
        <v>103</v>
      </c>
      <c r="C66" s="49">
        <f>AVERAGE('18.10 SEMBABULE-MASAKA-24 HRS'!C66,'19.10 SEMBABULE MASAKA-24HRS'!C66)</f>
        <v>1.5</v>
      </c>
      <c r="D66" s="49">
        <f>AVERAGE('18.10 SEMBABULE-MASAKA-24 HRS'!D66,'19.10 SEMBABULE MASAKA-24HRS'!D66)</f>
        <v>0</v>
      </c>
      <c r="E66" s="49">
        <f>AVERAGE('18.10 SEMBABULE-MASAKA-24 HRS'!E66,'19.10 SEMBABULE MASAKA-24HRS'!E66)</f>
        <v>0</v>
      </c>
      <c r="F66" s="49">
        <f>AVERAGE('18.10 SEMBABULE-MASAKA-24 HRS'!F66,'19.10 SEMBABULE MASAKA-24HRS'!F66)</f>
        <v>0.5</v>
      </c>
      <c r="G66" s="49">
        <f>AVERAGE('18.10 SEMBABULE-MASAKA-24 HRS'!G66,'19.10 SEMBABULE MASAKA-24HRS'!G66)</f>
        <v>0</v>
      </c>
      <c r="H66" s="49">
        <f>AVERAGE('18.10 SEMBABULE-MASAKA-24 HRS'!H66,'19.10 SEMBABULE MASAKA-24HRS'!H66)</f>
        <v>0</v>
      </c>
      <c r="I66" s="49">
        <f>AVERAGE('18.10 SEMBABULE-MASAKA-24 HRS'!I66,'19.10 SEMBABULE MASAKA-24HRS'!I66)</f>
        <v>1.5</v>
      </c>
      <c r="J66" s="49">
        <f>AVERAGE('18.10 SEMBABULE-MASAKA-24 HRS'!J66,'19.10 SEMBABULE MASAKA-24HRS'!J66)</f>
        <v>1</v>
      </c>
      <c r="K66" s="49">
        <f>AVERAGE('18.10 SEMBABULE-MASAKA-24 HRS'!K66,'19.10 SEMBABULE MASAKA-24HRS'!K66)</f>
        <v>0</v>
      </c>
      <c r="L66" s="49">
        <f>AVERAGE('18.10 SEMBABULE-MASAKA-24 HRS'!L66,'19.10 SEMBABULE MASAKA-24HRS'!L66)</f>
        <v>0</v>
      </c>
      <c r="M66" s="49">
        <f>AVERAGE('18.10 SEMBABULE-MASAKA-24 HRS'!M66,'19.10 SEMBABULE MASAKA-24HRS'!M66)</f>
        <v>6.5</v>
      </c>
      <c r="N66" s="49">
        <f>AVERAGE('18.10 SEMBABULE-MASAKA-24 HRS'!N66,'19.10 SEMBABULE MASAKA-24HRS'!N66)</f>
        <v>0</v>
      </c>
      <c r="O66" s="15">
        <f t="shared" si="0"/>
        <v>4.5</v>
      </c>
      <c r="P66" s="15">
        <f t="shared" si="1"/>
        <v>11</v>
      </c>
      <c r="R66" s="8"/>
      <c r="T66"/>
    </row>
    <row r="67" spans="2:20" ht="23.1" customHeight="1" x14ac:dyDescent="0.25">
      <c r="B67" s="23" t="s">
        <v>104</v>
      </c>
      <c r="C67" s="49">
        <f>AVERAGE('18.10 SEMBABULE-MASAKA-24 HRS'!C67,'19.10 SEMBABULE MASAKA-24HRS'!C67)</f>
        <v>4</v>
      </c>
      <c r="D67" s="49">
        <f>AVERAGE('18.10 SEMBABULE-MASAKA-24 HRS'!D67,'19.10 SEMBABULE MASAKA-24HRS'!D67)</f>
        <v>0.5</v>
      </c>
      <c r="E67" s="49">
        <f>AVERAGE('18.10 SEMBABULE-MASAKA-24 HRS'!E67,'19.10 SEMBABULE MASAKA-24HRS'!E67)</f>
        <v>0.5</v>
      </c>
      <c r="F67" s="49">
        <f>AVERAGE('18.10 SEMBABULE-MASAKA-24 HRS'!F67,'19.10 SEMBABULE MASAKA-24HRS'!F67)</f>
        <v>0.5</v>
      </c>
      <c r="G67" s="49">
        <f>AVERAGE('18.10 SEMBABULE-MASAKA-24 HRS'!G67,'19.10 SEMBABULE MASAKA-24HRS'!G67)</f>
        <v>0</v>
      </c>
      <c r="H67" s="49">
        <f>AVERAGE('18.10 SEMBABULE-MASAKA-24 HRS'!H67,'19.10 SEMBABULE MASAKA-24HRS'!H67)</f>
        <v>0</v>
      </c>
      <c r="I67" s="49">
        <f>AVERAGE('18.10 SEMBABULE-MASAKA-24 HRS'!I67,'19.10 SEMBABULE MASAKA-24HRS'!I67)</f>
        <v>0.5</v>
      </c>
      <c r="J67" s="49">
        <f>AVERAGE('18.10 SEMBABULE-MASAKA-24 HRS'!J67,'19.10 SEMBABULE MASAKA-24HRS'!J67)</f>
        <v>1.5</v>
      </c>
      <c r="K67" s="49">
        <f>AVERAGE('18.10 SEMBABULE-MASAKA-24 HRS'!K67,'19.10 SEMBABULE MASAKA-24HRS'!K67)</f>
        <v>0</v>
      </c>
      <c r="L67" s="49">
        <f>AVERAGE('18.10 SEMBABULE-MASAKA-24 HRS'!L67,'19.10 SEMBABULE MASAKA-24HRS'!L67)</f>
        <v>0</v>
      </c>
      <c r="M67" s="49">
        <f>AVERAGE('18.10 SEMBABULE-MASAKA-24 HRS'!M67,'19.10 SEMBABULE MASAKA-24HRS'!M67)</f>
        <v>2.5</v>
      </c>
      <c r="N67" s="49">
        <f>AVERAGE('18.10 SEMBABULE-MASAKA-24 HRS'!N67,'19.10 SEMBABULE MASAKA-24HRS'!N67)</f>
        <v>0</v>
      </c>
      <c r="O67" s="15">
        <f t="shared" si="0"/>
        <v>7.5</v>
      </c>
      <c r="P67" s="15">
        <f t="shared" si="1"/>
        <v>10</v>
      </c>
      <c r="R67" s="8"/>
      <c r="T67"/>
    </row>
    <row r="68" spans="2:20" ht="23.1" customHeight="1" x14ac:dyDescent="0.25">
      <c r="B68" s="23" t="s">
        <v>105</v>
      </c>
      <c r="C68" s="49">
        <f>AVERAGE('18.10 SEMBABULE-MASAKA-24 HRS'!C68,'19.10 SEMBABULE MASAKA-24HRS'!C68)</f>
        <v>2</v>
      </c>
      <c r="D68" s="49">
        <f>AVERAGE('18.10 SEMBABULE-MASAKA-24 HRS'!D68,'19.10 SEMBABULE MASAKA-24HRS'!D68)</f>
        <v>0</v>
      </c>
      <c r="E68" s="49">
        <f>AVERAGE('18.10 SEMBABULE-MASAKA-24 HRS'!E68,'19.10 SEMBABULE MASAKA-24HRS'!E68)</f>
        <v>0</v>
      </c>
      <c r="F68" s="49">
        <f>AVERAGE('18.10 SEMBABULE-MASAKA-24 HRS'!F68,'19.10 SEMBABULE MASAKA-24HRS'!F68)</f>
        <v>0</v>
      </c>
      <c r="G68" s="49">
        <f>AVERAGE('18.10 SEMBABULE-MASAKA-24 HRS'!G68,'19.10 SEMBABULE MASAKA-24HRS'!G68)</f>
        <v>0</v>
      </c>
      <c r="H68" s="49">
        <f>AVERAGE('18.10 SEMBABULE-MASAKA-24 HRS'!H68,'19.10 SEMBABULE MASAKA-24HRS'!H68)</f>
        <v>0</v>
      </c>
      <c r="I68" s="49">
        <f>AVERAGE('18.10 SEMBABULE-MASAKA-24 HRS'!I68,'19.10 SEMBABULE MASAKA-24HRS'!I68)</f>
        <v>0.5</v>
      </c>
      <c r="J68" s="49">
        <f>AVERAGE('18.10 SEMBABULE-MASAKA-24 HRS'!J68,'19.10 SEMBABULE MASAKA-24HRS'!J68)</f>
        <v>0</v>
      </c>
      <c r="K68" s="49">
        <f>AVERAGE('18.10 SEMBABULE-MASAKA-24 HRS'!K68,'19.10 SEMBABULE MASAKA-24HRS'!K68)</f>
        <v>0</v>
      </c>
      <c r="L68" s="49">
        <f>AVERAGE('18.10 SEMBABULE-MASAKA-24 HRS'!L68,'19.10 SEMBABULE MASAKA-24HRS'!L68)</f>
        <v>0</v>
      </c>
      <c r="M68" s="49">
        <f>AVERAGE('18.10 SEMBABULE-MASAKA-24 HRS'!M68,'19.10 SEMBABULE MASAKA-24HRS'!M68)</f>
        <v>3</v>
      </c>
      <c r="N68" s="49">
        <f>AVERAGE('18.10 SEMBABULE-MASAKA-24 HRS'!N68,'19.10 SEMBABULE MASAKA-24HRS'!N68)</f>
        <v>0</v>
      </c>
      <c r="O68" s="15">
        <f t="shared" si="0"/>
        <v>2.5</v>
      </c>
      <c r="P68" s="15">
        <f t="shared" si="1"/>
        <v>5.5</v>
      </c>
      <c r="R68" s="8"/>
      <c r="T68"/>
    </row>
    <row r="69" spans="2:20" ht="23.1" customHeight="1" x14ac:dyDescent="0.25">
      <c r="B69" s="23" t="s">
        <v>106</v>
      </c>
      <c r="C69" s="49">
        <f>AVERAGE('18.10 SEMBABULE-MASAKA-24 HRS'!C69,'19.10 SEMBABULE MASAKA-24HRS'!C69)</f>
        <v>0.5</v>
      </c>
      <c r="D69" s="49">
        <f>AVERAGE('18.10 SEMBABULE-MASAKA-24 HRS'!D69,'19.10 SEMBABULE MASAKA-24HRS'!D69)</f>
        <v>0</v>
      </c>
      <c r="E69" s="49">
        <f>AVERAGE('18.10 SEMBABULE-MASAKA-24 HRS'!E69,'19.10 SEMBABULE MASAKA-24HRS'!E69)</f>
        <v>0</v>
      </c>
      <c r="F69" s="49">
        <f>AVERAGE('18.10 SEMBABULE-MASAKA-24 HRS'!F69,'19.10 SEMBABULE MASAKA-24HRS'!F69)</f>
        <v>0</v>
      </c>
      <c r="G69" s="49">
        <f>AVERAGE('18.10 SEMBABULE-MASAKA-24 HRS'!G69,'19.10 SEMBABULE MASAKA-24HRS'!G69)</f>
        <v>0</v>
      </c>
      <c r="H69" s="49">
        <f>AVERAGE('18.10 SEMBABULE-MASAKA-24 HRS'!H69,'19.10 SEMBABULE MASAKA-24HRS'!H69)</f>
        <v>0</v>
      </c>
      <c r="I69" s="49">
        <f>AVERAGE('18.10 SEMBABULE-MASAKA-24 HRS'!I69,'19.10 SEMBABULE MASAKA-24HRS'!I69)</f>
        <v>0</v>
      </c>
      <c r="J69" s="49">
        <f>AVERAGE('18.10 SEMBABULE-MASAKA-24 HRS'!J69,'19.10 SEMBABULE MASAKA-24HRS'!J69)</f>
        <v>1.5</v>
      </c>
      <c r="K69" s="49">
        <f>AVERAGE('18.10 SEMBABULE-MASAKA-24 HRS'!K69,'19.10 SEMBABULE MASAKA-24HRS'!K69)</f>
        <v>0</v>
      </c>
      <c r="L69" s="49">
        <f>AVERAGE('18.10 SEMBABULE-MASAKA-24 HRS'!L69,'19.10 SEMBABULE MASAKA-24HRS'!L69)</f>
        <v>0</v>
      </c>
      <c r="M69" s="49">
        <f>AVERAGE('18.10 SEMBABULE-MASAKA-24 HRS'!M69,'19.10 SEMBABULE MASAKA-24HRS'!M69)</f>
        <v>2.5</v>
      </c>
      <c r="N69" s="49">
        <f>AVERAGE('18.10 SEMBABULE-MASAKA-24 HRS'!N69,'19.10 SEMBABULE MASAKA-24HRS'!N69)</f>
        <v>0</v>
      </c>
      <c r="O69" s="15">
        <f t="shared" si="0"/>
        <v>2</v>
      </c>
      <c r="P69" s="15">
        <f t="shared" si="1"/>
        <v>4.5</v>
      </c>
      <c r="R69" s="8"/>
      <c r="T69"/>
    </row>
    <row r="70" spans="2:20" ht="23.1" customHeight="1" x14ac:dyDescent="0.25">
      <c r="B70" s="23" t="s">
        <v>110</v>
      </c>
      <c r="C70" s="49">
        <f>AVERAGE('18.10 SEMBABULE-MASAKA-24 HRS'!C70,'19.10 SEMBABULE MASAKA-24HRS'!C70)</f>
        <v>2</v>
      </c>
      <c r="D70" s="49">
        <f>AVERAGE('18.10 SEMBABULE-MASAKA-24 HRS'!D70,'19.10 SEMBABULE MASAKA-24HRS'!D70)</f>
        <v>0</v>
      </c>
      <c r="E70" s="49">
        <f>AVERAGE('18.10 SEMBABULE-MASAKA-24 HRS'!E70,'19.10 SEMBABULE MASAKA-24HRS'!E70)</f>
        <v>0</v>
      </c>
      <c r="F70" s="49">
        <f>AVERAGE('18.10 SEMBABULE-MASAKA-24 HRS'!F70,'19.10 SEMBABULE MASAKA-24HRS'!F70)</f>
        <v>0</v>
      </c>
      <c r="G70" s="49">
        <f>AVERAGE('18.10 SEMBABULE-MASAKA-24 HRS'!G70,'19.10 SEMBABULE MASAKA-24HRS'!G70)</f>
        <v>0</v>
      </c>
      <c r="H70" s="49">
        <f>AVERAGE('18.10 SEMBABULE-MASAKA-24 HRS'!H70,'19.10 SEMBABULE MASAKA-24HRS'!H70)</f>
        <v>0</v>
      </c>
      <c r="I70" s="49">
        <f>AVERAGE('18.10 SEMBABULE-MASAKA-24 HRS'!I70,'19.10 SEMBABULE MASAKA-24HRS'!I70)</f>
        <v>0</v>
      </c>
      <c r="J70" s="49">
        <f>AVERAGE('18.10 SEMBABULE-MASAKA-24 HRS'!J70,'19.10 SEMBABULE MASAKA-24HRS'!J70)</f>
        <v>0.5</v>
      </c>
      <c r="K70" s="49">
        <f>AVERAGE('18.10 SEMBABULE-MASAKA-24 HRS'!K70,'19.10 SEMBABULE MASAKA-24HRS'!K70)</f>
        <v>0</v>
      </c>
      <c r="L70" s="49">
        <f>AVERAGE('18.10 SEMBABULE-MASAKA-24 HRS'!L70,'19.10 SEMBABULE MASAKA-24HRS'!L70)</f>
        <v>0</v>
      </c>
      <c r="M70" s="49">
        <f>AVERAGE('18.10 SEMBABULE-MASAKA-24 HRS'!M70,'19.10 SEMBABULE MASAKA-24HRS'!M70)</f>
        <v>3.5</v>
      </c>
      <c r="N70" s="49">
        <f>AVERAGE('18.10 SEMBABULE-MASAKA-24 HRS'!N70,'19.10 SEMBABULE MASAKA-24HRS'!N70)</f>
        <v>0</v>
      </c>
      <c r="O70" s="15">
        <f t="shared" si="0"/>
        <v>2.5</v>
      </c>
      <c r="P70" s="15">
        <f t="shared" si="1"/>
        <v>6</v>
      </c>
      <c r="R70" s="8"/>
      <c r="T70"/>
    </row>
    <row r="71" spans="2:20" ht="23.1" customHeight="1" x14ac:dyDescent="0.25">
      <c r="B71" s="23" t="s">
        <v>111</v>
      </c>
      <c r="C71" s="49">
        <f>AVERAGE('18.10 SEMBABULE-MASAKA-24 HRS'!C71,'19.10 SEMBABULE MASAKA-24HRS'!C71)</f>
        <v>1.5</v>
      </c>
      <c r="D71" s="49">
        <f>AVERAGE('18.10 SEMBABULE-MASAKA-24 HRS'!D71,'19.10 SEMBABULE MASAKA-24HRS'!D71)</f>
        <v>0</v>
      </c>
      <c r="E71" s="49">
        <f>AVERAGE('18.10 SEMBABULE-MASAKA-24 HRS'!E71,'19.10 SEMBABULE MASAKA-24HRS'!E71)</f>
        <v>0</v>
      </c>
      <c r="F71" s="49">
        <f>AVERAGE('18.10 SEMBABULE-MASAKA-24 HRS'!F71,'19.10 SEMBABULE MASAKA-24HRS'!F71)</f>
        <v>0</v>
      </c>
      <c r="G71" s="49">
        <f>AVERAGE('18.10 SEMBABULE-MASAKA-24 HRS'!G71,'19.10 SEMBABULE MASAKA-24HRS'!G71)</f>
        <v>0</v>
      </c>
      <c r="H71" s="49">
        <f>AVERAGE('18.10 SEMBABULE-MASAKA-24 HRS'!H71,'19.10 SEMBABULE MASAKA-24HRS'!H71)</f>
        <v>0</v>
      </c>
      <c r="I71" s="49">
        <f>AVERAGE('18.10 SEMBABULE-MASAKA-24 HRS'!I71,'19.10 SEMBABULE MASAKA-24HRS'!I71)</f>
        <v>0</v>
      </c>
      <c r="J71" s="49">
        <f>AVERAGE('18.10 SEMBABULE-MASAKA-24 HRS'!J71,'19.10 SEMBABULE MASAKA-24HRS'!J71)</f>
        <v>0.5</v>
      </c>
      <c r="K71" s="49">
        <f>AVERAGE('18.10 SEMBABULE-MASAKA-24 HRS'!K71,'19.10 SEMBABULE MASAKA-24HRS'!K71)</f>
        <v>0</v>
      </c>
      <c r="L71" s="49">
        <f>AVERAGE('18.10 SEMBABULE-MASAKA-24 HRS'!L71,'19.10 SEMBABULE MASAKA-24HRS'!L71)</f>
        <v>0</v>
      </c>
      <c r="M71" s="49">
        <f>AVERAGE('18.10 SEMBABULE-MASAKA-24 HRS'!M71,'19.10 SEMBABULE MASAKA-24HRS'!M71)</f>
        <v>2</v>
      </c>
      <c r="N71" s="49">
        <f>AVERAGE('18.10 SEMBABULE-MASAKA-24 HRS'!N71,'19.10 SEMBABULE MASAKA-24HRS'!N71)</f>
        <v>0</v>
      </c>
      <c r="O71" s="15">
        <f t="shared" si="0"/>
        <v>2</v>
      </c>
      <c r="P71" s="15">
        <f t="shared" si="1"/>
        <v>4</v>
      </c>
      <c r="R71" s="8"/>
      <c r="T71"/>
    </row>
    <row r="72" spans="2:20" ht="23.1" customHeight="1" x14ac:dyDescent="0.25">
      <c r="B72" s="23" t="s">
        <v>112</v>
      </c>
      <c r="C72" s="49">
        <f>AVERAGE('18.10 SEMBABULE-MASAKA-24 HRS'!C72,'19.10 SEMBABULE MASAKA-24HRS'!C72)</f>
        <v>2</v>
      </c>
      <c r="D72" s="49">
        <f>AVERAGE('18.10 SEMBABULE-MASAKA-24 HRS'!D72,'19.10 SEMBABULE MASAKA-24HRS'!D72)</f>
        <v>0.5</v>
      </c>
      <c r="E72" s="49">
        <f>AVERAGE('18.10 SEMBABULE-MASAKA-24 HRS'!E72,'19.10 SEMBABULE MASAKA-24HRS'!E72)</f>
        <v>0.5</v>
      </c>
      <c r="F72" s="49">
        <f>AVERAGE('18.10 SEMBABULE-MASAKA-24 HRS'!F72,'19.10 SEMBABULE MASAKA-24HRS'!F72)</f>
        <v>0</v>
      </c>
      <c r="G72" s="49">
        <f>AVERAGE('18.10 SEMBABULE-MASAKA-24 HRS'!G72,'19.10 SEMBABULE MASAKA-24HRS'!G72)</f>
        <v>0</v>
      </c>
      <c r="H72" s="49">
        <f>AVERAGE('18.10 SEMBABULE-MASAKA-24 HRS'!H72,'19.10 SEMBABULE MASAKA-24HRS'!H72)</f>
        <v>0</v>
      </c>
      <c r="I72" s="49">
        <f>AVERAGE('18.10 SEMBABULE-MASAKA-24 HRS'!I72,'19.10 SEMBABULE MASAKA-24HRS'!I72)</f>
        <v>0</v>
      </c>
      <c r="J72" s="49">
        <f>AVERAGE('18.10 SEMBABULE-MASAKA-24 HRS'!J72,'19.10 SEMBABULE MASAKA-24HRS'!J72)</f>
        <v>0.5</v>
      </c>
      <c r="K72" s="49">
        <f>AVERAGE('18.10 SEMBABULE-MASAKA-24 HRS'!K72,'19.10 SEMBABULE MASAKA-24HRS'!K72)</f>
        <v>0.5</v>
      </c>
      <c r="L72" s="49">
        <f>AVERAGE('18.10 SEMBABULE-MASAKA-24 HRS'!L72,'19.10 SEMBABULE MASAKA-24HRS'!L72)</f>
        <v>0</v>
      </c>
      <c r="M72" s="49">
        <f>AVERAGE('18.10 SEMBABULE-MASAKA-24 HRS'!M72,'19.10 SEMBABULE MASAKA-24HRS'!M72)</f>
        <v>3</v>
      </c>
      <c r="N72" s="49">
        <f>AVERAGE('18.10 SEMBABULE-MASAKA-24 HRS'!N72,'19.10 SEMBABULE MASAKA-24HRS'!N72)</f>
        <v>0</v>
      </c>
      <c r="O72" s="15">
        <f t="shared" si="0"/>
        <v>4</v>
      </c>
      <c r="P72" s="15">
        <f t="shared" si="1"/>
        <v>7</v>
      </c>
      <c r="R72" s="8"/>
      <c r="T72"/>
    </row>
    <row r="73" spans="2:20" ht="23.1" customHeight="1" x14ac:dyDescent="0.25">
      <c r="B73" s="23" t="s">
        <v>113</v>
      </c>
      <c r="C73" s="49">
        <f>AVERAGE('18.10 SEMBABULE-MASAKA-24 HRS'!C73,'19.10 SEMBABULE MASAKA-24HRS'!C73)</f>
        <v>1</v>
      </c>
      <c r="D73" s="49">
        <f>AVERAGE('18.10 SEMBABULE-MASAKA-24 HRS'!D73,'19.10 SEMBABULE MASAKA-24HRS'!D73)</f>
        <v>0</v>
      </c>
      <c r="E73" s="49">
        <f>AVERAGE('18.10 SEMBABULE-MASAKA-24 HRS'!E73,'19.10 SEMBABULE MASAKA-24HRS'!E73)</f>
        <v>0</v>
      </c>
      <c r="F73" s="49">
        <f>AVERAGE('18.10 SEMBABULE-MASAKA-24 HRS'!F73,'19.10 SEMBABULE MASAKA-24HRS'!F73)</f>
        <v>0</v>
      </c>
      <c r="G73" s="49">
        <f>AVERAGE('18.10 SEMBABULE-MASAKA-24 HRS'!G73,'19.10 SEMBABULE MASAKA-24HRS'!G73)</f>
        <v>0</v>
      </c>
      <c r="H73" s="49">
        <f>AVERAGE('18.10 SEMBABULE-MASAKA-24 HRS'!H73,'19.10 SEMBABULE MASAKA-24HRS'!H73)</f>
        <v>0</v>
      </c>
      <c r="I73" s="49">
        <f>AVERAGE('18.10 SEMBABULE-MASAKA-24 HRS'!I73,'19.10 SEMBABULE MASAKA-24HRS'!I73)</f>
        <v>0</v>
      </c>
      <c r="J73" s="49">
        <f>AVERAGE('18.10 SEMBABULE-MASAKA-24 HRS'!J73,'19.10 SEMBABULE MASAKA-24HRS'!J73)</f>
        <v>0</v>
      </c>
      <c r="K73" s="49">
        <f>AVERAGE('18.10 SEMBABULE-MASAKA-24 HRS'!K73,'19.10 SEMBABULE MASAKA-24HRS'!K73)</f>
        <v>0</v>
      </c>
      <c r="L73" s="49">
        <f>AVERAGE('18.10 SEMBABULE-MASAKA-24 HRS'!L73,'19.10 SEMBABULE MASAKA-24HRS'!L73)</f>
        <v>0</v>
      </c>
      <c r="M73" s="49">
        <f>AVERAGE('18.10 SEMBABULE-MASAKA-24 HRS'!M73,'19.10 SEMBABULE MASAKA-24HRS'!M73)</f>
        <v>2.5</v>
      </c>
      <c r="N73" s="49">
        <f>AVERAGE('18.10 SEMBABULE-MASAKA-24 HRS'!N73,'19.10 SEMBABULE MASAKA-24HRS'!N73)</f>
        <v>0</v>
      </c>
      <c r="O73" s="15">
        <f t="shared" si="0"/>
        <v>1</v>
      </c>
      <c r="P73" s="15">
        <f t="shared" si="1"/>
        <v>3.5</v>
      </c>
      <c r="R73" s="8"/>
      <c r="T73"/>
    </row>
    <row r="74" spans="2:20" ht="23.1" customHeight="1" x14ac:dyDescent="0.25">
      <c r="B74" s="23" t="s">
        <v>114</v>
      </c>
      <c r="C74" s="49">
        <f>AVERAGE('18.10 SEMBABULE-MASAKA-24 HRS'!C74,'19.10 SEMBABULE MASAKA-24HRS'!C74)</f>
        <v>1</v>
      </c>
      <c r="D74" s="49">
        <f>AVERAGE('18.10 SEMBABULE-MASAKA-24 HRS'!D74,'19.10 SEMBABULE MASAKA-24HRS'!D74)</f>
        <v>0.5</v>
      </c>
      <c r="E74" s="49">
        <f>AVERAGE('18.10 SEMBABULE-MASAKA-24 HRS'!E74,'19.10 SEMBABULE MASAKA-24HRS'!E74)</f>
        <v>0</v>
      </c>
      <c r="F74" s="49">
        <f>AVERAGE('18.10 SEMBABULE-MASAKA-24 HRS'!F74,'19.10 SEMBABULE MASAKA-24HRS'!F74)</f>
        <v>0</v>
      </c>
      <c r="G74" s="49">
        <f>AVERAGE('18.10 SEMBABULE-MASAKA-24 HRS'!G74,'19.10 SEMBABULE MASAKA-24HRS'!G74)</f>
        <v>0</v>
      </c>
      <c r="H74" s="49">
        <f>AVERAGE('18.10 SEMBABULE-MASAKA-24 HRS'!H74,'19.10 SEMBABULE MASAKA-24HRS'!H74)</f>
        <v>0</v>
      </c>
      <c r="I74" s="49">
        <f>AVERAGE('18.10 SEMBABULE-MASAKA-24 HRS'!I74,'19.10 SEMBABULE MASAKA-24HRS'!I74)</f>
        <v>1</v>
      </c>
      <c r="J74" s="49">
        <f>AVERAGE('18.10 SEMBABULE-MASAKA-24 HRS'!J74,'19.10 SEMBABULE MASAKA-24HRS'!J74)</f>
        <v>1</v>
      </c>
      <c r="K74" s="49">
        <f>AVERAGE('18.10 SEMBABULE-MASAKA-24 HRS'!K74,'19.10 SEMBABULE MASAKA-24HRS'!K74)</f>
        <v>0</v>
      </c>
      <c r="L74" s="49">
        <f>AVERAGE('18.10 SEMBABULE-MASAKA-24 HRS'!L74,'19.10 SEMBABULE MASAKA-24HRS'!L74)</f>
        <v>0</v>
      </c>
      <c r="M74" s="49">
        <f>AVERAGE('18.10 SEMBABULE-MASAKA-24 HRS'!M74,'19.10 SEMBABULE MASAKA-24HRS'!M74)</f>
        <v>1.5</v>
      </c>
      <c r="N74" s="49">
        <f>AVERAGE('18.10 SEMBABULE-MASAKA-24 HRS'!N74,'19.10 SEMBABULE MASAKA-24HRS'!N74)</f>
        <v>0</v>
      </c>
      <c r="O74" s="15">
        <f t="shared" ref="O74:O105" si="35">SUM(C74:L74,N74)</f>
        <v>3.5</v>
      </c>
      <c r="P74" s="15">
        <f t="shared" ref="P74:P105" si="36">SUM(C74:N74)</f>
        <v>5</v>
      </c>
      <c r="R74" s="8"/>
      <c r="T74"/>
    </row>
    <row r="75" spans="2:20" ht="23.1" customHeight="1" x14ac:dyDescent="0.25">
      <c r="B75" s="23" t="s">
        <v>115</v>
      </c>
      <c r="C75" s="49">
        <f>AVERAGE('18.10 SEMBABULE-MASAKA-24 HRS'!C75,'19.10 SEMBABULE MASAKA-24HRS'!C75)</f>
        <v>0</v>
      </c>
      <c r="D75" s="49">
        <f>AVERAGE('18.10 SEMBABULE-MASAKA-24 HRS'!D75,'19.10 SEMBABULE MASAKA-24HRS'!D75)</f>
        <v>0</v>
      </c>
      <c r="E75" s="49">
        <f>AVERAGE('18.10 SEMBABULE-MASAKA-24 HRS'!E75,'19.10 SEMBABULE MASAKA-24HRS'!E75)</f>
        <v>1</v>
      </c>
      <c r="F75" s="49">
        <f>AVERAGE('18.10 SEMBABULE-MASAKA-24 HRS'!F75,'19.10 SEMBABULE MASAKA-24HRS'!F75)</f>
        <v>0</v>
      </c>
      <c r="G75" s="49">
        <f>AVERAGE('18.10 SEMBABULE-MASAKA-24 HRS'!G75,'19.10 SEMBABULE MASAKA-24HRS'!G75)</f>
        <v>0</v>
      </c>
      <c r="H75" s="49">
        <f>AVERAGE('18.10 SEMBABULE-MASAKA-24 HRS'!H75,'19.10 SEMBABULE MASAKA-24HRS'!H75)</f>
        <v>0</v>
      </c>
      <c r="I75" s="49">
        <f>AVERAGE('18.10 SEMBABULE-MASAKA-24 HRS'!I75,'19.10 SEMBABULE MASAKA-24HRS'!I75)</f>
        <v>0.5</v>
      </c>
      <c r="J75" s="49">
        <f>AVERAGE('18.10 SEMBABULE-MASAKA-24 HRS'!J75,'19.10 SEMBABULE MASAKA-24HRS'!J75)</f>
        <v>0</v>
      </c>
      <c r="K75" s="49">
        <f>AVERAGE('18.10 SEMBABULE-MASAKA-24 HRS'!K75,'19.10 SEMBABULE MASAKA-24HRS'!K75)</f>
        <v>0.5</v>
      </c>
      <c r="L75" s="49">
        <f>AVERAGE('18.10 SEMBABULE-MASAKA-24 HRS'!L75,'19.10 SEMBABULE MASAKA-24HRS'!L75)</f>
        <v>0</v>
      </c>
      <c r="M75" s="49">
        <f>AVERAGE('18.10 SEMBABULE-MASAKA-24 HRS'!M75,'19.10 SEMBABULE MASAKA-24HRS'!M75)</f>
        <v>1</v>
      </c>
      <c r="N75" s="49">
        <f>AVERAGE('18.10 SEMBABULE-MASAKA-24 HRS'!N75,'19.10 SEMBABULE MASAKA-24HRS'!N75)</f>
        <v>0</v>
      </c>
      <c r="O75" s="15">
        <f t="shared" si="35"/>
        <v>2</v>
      </c>
      <c r="P75" s="15">
        <f t="shared" si="36"/>
        <v>3</v>
      </c>
      <c r="R75" s="8"/>
      <c r="T75"/>
    </row>
    <row r="76" spans="2:20" ht="23.1" customHeight="1" x14ac:dyDescent="0.25">
      <c r="B76" s="23" t="s">
        <v>116</v>
      </c>
      <c r="C76" s="49">
        <f>AVERAGE('18.10 SEMBABULE-MASAKA-24 HRS'!C76,'19.10 SEMBABULE MASAKA-24HRS'!C76)</f>
        <v>0.5</v>
      </c>
      <c r="D76" s="49">
        <f>AVERAGE('18.10 SEMBABULE-MASAKA-24 HRS'!D76,'19.10 SEMBABULE MASAKA-24HRS'!D76)</f>
        <v>0.5</v>
      </c>
      <c r="E76" s="49">
        <f>AVERAGE('18.10 SEMBABULE-MASAKA-24 HRS'!E76,'19.10 SEMBABULE MASAKA-24HRS'!E76)</f>
        <v>0</v>
      </c>
      <c r="F76" s="49">
        <f>AVERAGE('18.10 SEMBABULE-MASAKA-24 HRS'!F76,'19.10 SEMBABULE MASAKA-24HRS'!F76)</f>
        <v>0</v>
      </c>
      <c r="G76" s="49">
        <f>AVERAGE('18.10 SEMBABULE-MASAKA-24 HRS'!G76,'19.10 SEMBABULE MASAKA-24HRS'!G76)</f>
        <v>0</v>
      </c>
      <c r="H76" s="49">
        <f>AVERAGE('18.10 SEMBABULE-MASAKA-24 HRS'!H76,'19.10 SEMBABULE MASAKA-24HRS'!H76)</f>
        <v>0</v>
      </c>
      <c r="I76" s="49">
        <f>AVERAGE('18.10 SEMBABULE-MASAKA-24 HRS'!I76,'19.10 SEMBABULE MASAKA-24HRS'!I76)</f>
        <v>0</v>
      </c>
      <c r="J76" s="49">
        <f>AVERAGE('18.10 SEMBABULE-MASAKA-24 HRS'!J76,'19.10 SEMBABULE MASAKA-24HRS'!J76)</f>
        <v>0.5</v>
      </c>
      <c r="K76" s="49">
        <f>AVERAGE('18.10 SEMBABULE-MASAKA-24 HRS'!K76,'19.10 SEMBABULE MASAKA-24HRS'!K76)</f>
        <v>0</v>
      </c>
      <c r="L76" s="49">
        <f>AVERAGE('18.10 SEMBABULE-MASAKA-24 HRS'!L76,'19.10 SEMBABULE MASAKA-24HRS'!L76)</f>
        <v>0</v>
      </c>
      <c r="M76" s="49">
        <f>AVERAGE('18.10 SEMBABULE-MASAKA-24 HRS'!M76,'19.10 SEMBABULE MASAKA-24HRS'!M76)</f>
        <v>1</v>
      </c>
      <c r="N76" s="49">
        <f>AVERAGE('18.10 SEMBABULE-MASAKA-24 HRS'!N76,'19.10 SEMBABULE MASAKA-24HRS'!N76)</f>
        <v>0</v>
      </c>
      <c r="O76" s="15">
        <f t="shared" si="35"/>
        <v>1.5</v>
      </c>
      <c r="P76" s="15">
        <f t="shared" si="36"/>
        <v>2.5</v>
      </c>
      <c r="R76" s="8"/>
      <c r="T76"/>
    </row>
    <row r="77" spans="2:20" ht="23.1" customHeight="1" x14ac:dyDescent="0.25">
      <c r="B77" s="23" t="s">
        <v>117</v>
      </c>
      <c r="C77" s="49">
        <f>AVERAGE('18.10 SEMBABULE-MASAKA-24 HRS'!C77,'19.10 SEMBABULE MASAKA-24HRS'!C77)</f>
        <v>0</v>
      </c>
      <c r="D77" s="49">
        <f>AVERAGE('18.10 SEMBABULE-MASAKA-24 HRS'!D77,'19.10 SEMBABULE MASAKA-24HRS'!D77)</f>
        <v>0.5</v>
      </c>
      <c r="E77" s="49">
        <f>AVERAGE('18.10 SEMBABULE-MASAKA-24 HRS'!E77,'19.10 SEMBABULE MASAKA-24HRS'!E77)</f>
        <v>0</v>
      </c>
      <c r="F77" s="49">
        <f>AVERAGE('18.10 SEMBABULE-MASAKA-24 HRS'!F77,'19.10 SEMBABULE MASAKA-24HRS'!F77)</f>
        <v>0.5</v>
      </c>
      <c r="G77" s="49">
        <f>AVERAGE('18.10 SEMBABULE-MASAKA-24 HRS'!G77,'19.10 SEMBABULE MASAKA-24HRS'!G77)</f>
        <v>0</v>
      </c>
      <c r="H77" s="49">
        <f>AVERAGE('18.10 SEMBABULE-MASAKA-24 HRS'!H77,'19.10 SEMBABULE MASAKA-24HRS'!H77)</f>
        <v>0</v>
      </c>
      <c r="I77" s="49">
        <f>AVERAGE('18.10 SEMBABULE-MASAKA-24 HRS'!I77,'19.10 SEMBABULE MASAKA-24HRS'!I77)</f>
        <v>1</v>
      </c>
      <c r="J77" s="49">
        <f>AVERAGE('18.10 SEMBABULE-MASAKA-24 HRS'!J77,'19.10 SEMBABULE MASAKA-24HRS'!J77)</f>
        <v>1</v>
      </c>
      <c r="K77" s="49">
        <f>AVERAGE('18.10 SEMBABULE-MASAKA-24 HRS'!K77,'19.10 SEMBABULE MASAKA-24HRS'!K77)</f>
        <v>0</v>
      </c>
      <c r="L77" s="49">
        <f>AVERAGE('18.10 SEMBABULE-MASAKA-24 HRS'!L77,'19.10 SEMBABULE MASAKA-24HRS'!L77)</f>
        <v>0</v>
      </c>
      <c r="M77" s="49">
        <f>AVERAGE('18.10 SEMBABULE-MASAKA-24 HRS'!M77,'19.10 SEMBABULE MASAKA-24HRS'!M77)</f>
        <v>0.5</v>
      </c>
      <c r="N77" s="49">
        <f>AVERAGE('18.10 SEMBABULE-MASAKA-24 HRS'!N77,'19.10 SEMBABULE MASAKA-24HRS'!N77)</f>
        <v>0</v>
      </c>
      <c r="O77" s="15">
        <f t="shared" si="35"/>
        <v>3</v>
      </c>
      <c r="P77" s="15">
        <f t="shared" si="36"/>
        <v>3.5</v>
      </c>
      <c r="R77" s="8"/>
      <c r="T77"/>
    </row>
    <row r="78" spans="2:20" ht="23.1" customHeight="1" x14ac:dyDescent="0.25">
      <c r="B78" s="24" t="s">
        <v>118</v>
      </c>
      <c r="C78" s="49">
        <f>AVERAGE('18.10 SEMBABULE-MASAKA-24 HRS'!C78,'19.10 SEMBABULE MASAKA-24HRS'!C78)</f>
        <v>1</v>
      </c>
      <c r="D78" s="49">
        <f>AVERAGE('18.10 SEMBABULE-MASAKA-24 HRS'!D78,'19.10 SEMBABULE MASAKA-24HRS'!D78)</f>
        <v>0</v>
      </c>
      <c r="E78" s="49">
        <f>AVERAGE('18.10 SEMBABULE-MASAKA-24 HRS'!E78,'19.10 SEMBABULE MASAKA-24HRS'!E78)</f>
        <v>0.5</v>
      </c>
      <c r="F78" s="49">
        <f>AVERAGE('18.10 SEMBABULE-MASAKA-24 HRS'!F78,'19.10 SEMBABULE MASAKA-24HRS'!F78)</f>
        <v>0</v>
      </c>
      <c r="G78" s="49">
        <f>AVERAGE('18.10 SEMBABULE-MASAKA-24 HRS'!G78,'19.10 SEMBABULE MASAKA-24HRS'!G78)</f>
        <v>0</v>
      </c>
      <c r="H78" s="49">
        <f>AVERAGE('18.10 SEMBABULE-MASAKA-24 HRS'!H78,'19.10 SEMBABULE MASAKA-24HRS'!H78)</f>
        <v>0</v>
      </c>
      <c r="I78" s="49">
        <f>AVERAGE('18.10 SEMBABULE-MASAKA-24 HRS'!I78,'19.10 SEMBABULE MASAKA-24HRS'!I78)</f>
        <v>0</v>
      </c>
      <c r="J78" s="49">
        <f>AVERAGE('18.10 SEMBABULE-MASAKA-24 HRS'!J78,'19.10 SEMBABULE MASAKA-24HRS'!J78)</f>
        <v>0.5</v>
      </c>
      <c r="K78" s="49">
        <f>AVERAGE('18.10 SEMBABULE-MASAKA-24 HRS'!K78,'19.10 SEMBABULE MASAKA-24HRS'!K78)</f>
        <v>0</v>
      </c>
      <c r="L78" s="49">
        <f>AVERAGE('18.10 SEMBABULE-MASAKA-24 HRS'!L78,'19.10 SEMBABULE MASAKA-24HRS'!L78)</f>
        <v>0</v>
      </c>
      <c r="M78" s="49">
        <f>AVERAGE('18.10 SEMBABULE-MASAKA-24 HRS'!M78,'19.10 SEMBABULE MASAKA-24HRS'!M78)</f>
        <v>1.5</v>
      </c>
      <c r="N78" s="49">
        <f>AVERAGE('18.10 SEMBABULE-MASAKA-24 HRS'!N78,'19.10 SEMBABULE MASAKA-24HRS'!N78)</f>
        <v>0</v>
      </c>
      <c r="O78" s="15">
        <f t="shared" si="35"/>
        <v>2</v>
      </c>
      <c r="P78" s="15">
        <f t="shared" si="36"/>
        <v>3.5</v>
      </c>
      <c r="R78" s="8"/>
      <c r="T78"/>
    </row>
    <row r="79" spans="2:20" ht="23.1" customHeight="1" x14ac:dyDescent="0.25">
      <c r="B79" s="23" t="s">
        <v>119</v>
      </c>
      <c r="C79" s="49">
        <f>AVERAGE('18.10 SEMBABULE-MASAKA-24 HRS'!C79,'19.10 SEMBABULE MASAKA-24HRS'!C79)</f>
        <v>0</v>
      </c>
      <c r="D79" s="49">
        <f>AVERAGE('18.10 SEMBABULE-MASAKA-24 HRS'!D79,'19.10 SEMBABULE MASAKA-24HRS'!D79)</f>
        <v>1.5</v>
      </c>
      <c r="E79" s="49">
        <f>AVERAGE('18.10 SEMBABULE-MASAKA-24 HRS'!E79,'19.10 SEMBABULE MASAKA-24HRS'!E79)</f>
        <v>0.5</v>
      </c>
      <c r="F79" s="49">
        <f>AVERAGE('18.10 SEMBABULE-MASAKA-24 HRS'!F79,'19.10 SEMBABULE MASAKA-24HRS'!F79)</f>
        <v>0.5</v>
      </c>
      <c r="G79" s="49">
        <f>AVERAGE('18.10 SEMBABULE-MASAKA-24 HRS'!G79,'19.10 SEMBABULE MASAKA-24HRS'!G79)</f>
        <v>0</v>
      </c>
      <c r="H79" s="49">
        <f>AVERAGE('18.10 SEMBABULE-MASAKA-24 HRS'!H79,'19.10 SEMBABULE MASAKA-24HRS'!H79)</f>
        <v>0</v>
      </c>
      <c r="I79" s="49">
        <f>AVERAGE('18.10 SEMBABULE-MASAKA-24 HRS'!I79,'19.10 SEMBABULE MASAKA-24HRS'!I79)</f>
        <v>1.5</v>
      </c>
      <c r="J79" s="49">
        <f>AVERAGE('18.10 SEMBABULE-MASAKA-24 HRS'!J79,'19.10 SEMBABULE MASAKA-24HRS'!J79)</f>
        <v>1</v>
      </c>
      <c r="K79" s="49">
        <f>AVERAGE('18.10 SEMBABULE-MASAKA-24 HRS'!K79,'19.10 SEMBABULE MASAKA-24HRS'!K79)</f>
        <v>0</v>
      </c>
      <c r="L79" s="49">
        <f>AVERAGE('18.10 SEMBABULE-MASAKA-24 HRS'!L79,'19.10 SEMBABULE MASAKA-24HRS'!L79)</f>
        <v>0</v>
      </c>
      <c r="M79" s="49">
        <f>AVERAGE('18.10 SEMBABULE-MASAKA-24 HRS'!M79,'19.10 SEMBABULE MASAKA-24HRS'!M79)</f>
        <v>1</v>
      </c>
      <c r="N79" s="49">
        <f>AVERAGE('18.10 SEMBABULE-MASAKA-24 HRS'!N79,'19.10 SEMBABULE MASAKA-24HRS'!N79)</f>
        <v>0</v>
      </c>
      <c r="O79" s="15">
        <f t="shared" si="35"/>
        <v>5</v>
      </c>
      <c r="P79" s="15">
        <f t="shared" si="36"/>
        <v>6</v>
      </c>
      <c r="R79" s="8"/>
      <c r="T79"/>
    </row>
    <row r="80" spans="2:20" ht="23.1" customHeight="1" x14ac:dyDescent="0.25">
      <c r="B80" s="25" t="s">
        <v>120</v>
      </c>
      <c r="C80" s="49">
        <f>AVERAGE('18.10 SEMBABULE-MASAKA-24 HRS'!C80,'19.10 SEMBABULE MASAKA-24HRS'!C80)</f>
        <v>1.5</v>
      </c>
      <c r="D80" s="49">
        <f>AVERAGE('18.10 SEMBABULE-MASAKA-24 HRS'!D80,'19.10 SEMBABULE MASAKA-24HRS'!D80)</f>
        <v>0</v>
      </c>
      <c r="E80" s="49">
        <f>AVERAGE('18.10 SEMBABULE-MASAKA-24 HRS'!E80,'19.10 SEMBABULE MASAKA-24HRS'!E80)</f>
        <v>1.5</v>
      </c>
      <c r="F80" s="49">
        <f>AVERAGE('18.10 SEMBABULE-MASAKA-24 HRS'!F80,'19.10 SEMBABULE MASAKA-24HRS'!F80)</f>
        <v>0</v>
      </c>
      <c r="G80" s="49">
        <f>AVERAGE('18.10 SEMBABULE-MASAKA-24 HRS'!G80,'19.10 SEMBABULE MASAKA-24HRS'!G80)</f>
        <v>0</v>
      </c>
      <c r="H80" s="49">
        <f>AVERAGE('18.10 SEMBABULE-MASAKA-24 HRS'!H80,'19.10 SEMBABULE MASAKA-24HRS'!H80)</f>
        <v>0</v>
      </c>
      <c r="I80" s="49">
        <f>AVERAGE('18.10 SEMBABULE-MASAKA-24 HRS'!I80,'19.10 SEMBABULE MASAKA-24HRS'!I80)</f>
        <v>0</v>
      </c>
      <c r="J80" s="49">
        <f>AVERAGE('18.10 SEMBABULE-MASAKA-24 HRS'!J80,'19.10 SEMBABULE MASAKA-24HRS'!J80)</f>
        <v>1</v>
      </c>
      <c r="K80" s="49">
        <f>AVERAGE('18.10 SEMBABULE-MASAKA-24 HRS'!K80,'19.10 SEMBABULE MASAKA-24HRS'!K80)</f>
        <v>0</v>
      </c>
      <c r="L80" s="49">
        <f>AVERAGE('18.10 SEMBABULE-MASAKA-24 HRS'!L80,'19.10 SEMBABULE MASAKA-24HRS'!L80)</f>
        <v>0</v>
      </c>
      <c r="M80" s="49">
        <f>AVERAGE('18.10 SEMBABULE-MASAKA-24 HRS'!M80,'19.10 SEMBABULE MASAKA-24HRS'!M80)</f>
        <v>1</v>
      </c>
      <c r="N80" s="49">
        <f>AVERAGE('18.10 SEMBABULE-MASAKA-24 HRS'!N80,'19.10 SEMBABULE MASAKA-24HRS'!N80)</f>
        <v>0</v>
      </c>
      <c r="O80" s="15">
        <f t="shared" si="35"/>
        <v>4</v>
      </c>
      <c r="P80" s="15">
        <f t="shared" si="36"/>
        <v>5</v>
      </c>
      <c r="R80" s="8"/>
      <c r="T80"/>
    </row>
    <row r="81" spans="2:20" ht="23.1" customHeight="1" x14ac:dyDescent="0.25">
      <c r="B81" s="23" t="s">
        <v>121</v>
      </c>
      <c r="C81" s="49">
        <f>AVERAGE('18.10 SEMBABULE-MASAKA-24 HRS'!C81,'19.10 SEMBABULE MASAKA-24HRS'!C81)</f>
        <v>0</v>
      </c>
      <c r="D81" s="49">
        <f>AVERAGE('18.10 SEMBABULE-MASAKA-24 HRS'!D81,'19.10 SEMBABULE MASAKA-24HRS'!D81)</f>
        <v>0</v>
      </c>
      <c r="E81" s="49">
        <f>AVERAGE('18.10 SEMBABULE-MASAKA-24 HRS'!E81,'19.10 SEMBABULE MASAKA-24HRS'!E81)</f>
        <v>0</v>
      </c>
      <c r="F81" s="49">
        <f>AVERAGE('18.10 SEMBABULE-MASAKA-24 HRS'!F81,'19.10 SEMBABULE MASAKA-24HRS'!F81)</f>
        <v>0</v>
      </c>
      <c r="G81" s="49">
        <f>AVERAGE('18.10 SEMBABULE-MASAKA-24 HRS'!G81,'19.10 SEMBABULE MASAKA-24HRS'!G81)</f>
        <v>0</v>
      </c>
      <c r="H81" s="49">
        <f>AVERAGE('18.10 SEMBABULE-MASAKA-24 HRS'!H81,'19.10 SEMBABULE MASAKA-24HRS'!H81)</f>
        <v>0</v>
      </c>
      <c r="I81" s="49">
        <f>AVERAGE('18.10 SEMBABULE-MASAKA-24 HRS'!I81,'19.10 SEMBABULE MASAKA-24HRS'!I81)</f>
        <v>0</v>
      </c>
      <c r="J81" s="49">
        <f>AVERAGE('18.10 SEMBABULE-MASAKA-24 HRS'!J81,'19.10 SEMBABULE MASAKA-24HRS'!J81)</f>
        <v>0</v>
      </c>
      <c r="K81" s="49">
        <f>AVERAGE('18.10 SEMBABULE-MASAKA-24 HRS'!K81,'19.10 SEMBABULE MASAKA-24HRS'!K81)</f>
        <v>0.5</v>
      </c>
      <c r="L81" s="49">
        <f>AVERAGE('18.10 SEMBABULE-MASAKA-24 HRS'!L81,'19.10 SEMBABULE MASAKA-24HRS'!L81)</f>
        <v>0</v>
      </c>
      <c r="M81" s="49">
        <f>AVERAGE('18.10 SEMBABULE-MASAKA-24 HRS'!M81,'19.10 SEMBABULE MASAKA-24HRS'!M81)</f>
        <v>0.5</v>
      </c>
      <c r="N81" s="49">
        <f>AVERAGE('18.10 SEMBABULE-MASAKA-24 HRS'!N81,'19.10 SEMBABULE MASAKA-24HRS'!N81)</f>
        <v>0</v>
      </c>
      <c r="O81" s="15">
        <f t="shared" si="35"/>
        <v>0.5</v>
      </c>
      <c r="P81" s="15">
        <f t="shared" si="36"/>
        <v>1</v>
      </c>
      <c r="R81" s="8"/>
      <c r="T81"/>
    </row>
    <row r="82" spans="2:20" ht="23.1" customHeight="1" x14ac:dyDescent="0.25">
      <c r="B82" s="24" t="s">
        <v>122</v>
      </c>
      <c r="C82" s="49">
        <f>AVERAGE('18.10 SEMBABULE-MASAKA-24 HRS'!C82,'19.10 SEMBABULE MASAKA-24HRS'!C82)</f>
        <v>0</v>
      </c>
      <c r="D82" s="49">
        <f>AVERAGE('18.10 SEMBABULE-MASAKA-24 HRS'!D82,'19.10 SEMBABULE MASAKA-24HRS'!D82)</f>
        <v>0</v>
      </c>
      <c r="E82" s="49">
        <f>AVERAGE('18.10 SEMBABULE-MASAKA-24 HRS'!E82,'19.10 SEMBABULE MASAKA-24HRS'!E82)</f>
        <v>1</v>
      </c>
      <c r="F82" s="49">
        <f>AVERAGE('18.10 SEMBABULE-MASAKA-24 HRS'!F82,'19.10 SEMBABULE MASAKA-24HRS'!F82)</f>
        <v>0</v>
      </c>
      <c r="G82" s="49">
        <f>AVERAGE('18.10 SEMBABULE-MASAKA-24 HRS'!G82,'19.10 SEMBABULE MASAKA-24HRS'!G82)</f>
        <v>0</v>
      </c>
      <c r="H82" s="49">
        <f>AVERAGE('18.10 SEMBABULE-MASAKA-24 HRS'!H82,'19.10 SEMBABULE MASAKA-24HRS'!H82)</f>
        <v>0</v>
      </c>
      <c r="I82" s="49">
        <f>AVERAGE('18.10 SEMBABULE-MASAKA-24 HRS'!I82,'19.10 SEMBABULE MASAKA-24HRS'!I82)</f>
        <v>0</v>
      </c>
      <c r="J82" s="49">
        <f>AVERAGE('18.10 SEMBABULE-MASAKA-24 HRS'!J82,'19.10 SEMBABULE MASAKA-24HRS'!J82)</f>
        <v>0.5</v>
      </c>
      <c r="K82" s="49">
        <f>AVERAGE('18.10 SEMBABULE-MASAKA-24 HRS'!K82,'19.10 SEMBABULE MASAKA-24HRS'!K82)</f>
        <v>0.5</v>
      </c>
      <c r="L82" s="49">
        <f>AVERAGE('18.10 SEMBABULE-MASAKA-24 HRS'!L82,'19.10 SEMBABULE MASAKA-24HRS'!L82)</f>
        <v>0</v>
      </c>
      <c r="M82" s="49">
        <f>AVERAGE('18.10 SEMBABULE-MASAKA-24 HRS'!M82,'19.10 SEMBABULE MASAKA-24HRS'!M82)</f>
        <v>0</v>
      </c>
      <c r="N82" s="49">
        <f>AVERAGE('18.10 SEMBABULE-MASAKA-24 HRS'!N82,'19.10 SEMBABULE MASAKA-24HRS'!N82)</f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23" t="s">
        <v>123</v>
      </c>
      <c r="C83" s="49">
        <f>AVERAGE('18.10 SEMBABULE-MASAKA-24 HRS'!C83,'19.10 SEMBABULE MASAKA-24HRS'!C83)</f>
        <v>0</v>
      </c>
      <c r="D83" s="49">
        <f>AVERAGE('18.10 SEMBABULE-MASAKA-24 HRS'!D83,'19.10 SEMBABULE MASAKA-24HRS'!D83)</f>
        <v>0</v>
      </c>
      <c r="E83" s="49">
        <f>AVERAGE('18.10 SEMBABULE-MASAKA-24 HRS'!E83,'19.10 SEMBABULE MASAKA-24HRS'!E83)</f>
        <v>0</v>
      </c>
      <c r="F83" s="49">
        <f>AVERAGE('18.10 SEMBABULE-MASAKA-24 HRS'!F83,'19.10 SEMBABULE MASAKA-24HRS'!F83)</f>
        <v>0</v>
      </c>
      <c r="G83" s="49">
        <f>AVERAGE('18.10 SEMBABULE-MASAKA-24 HRS'!G83,'19.10 SEMBABULE MASAKA-24HRS'!G83)</f>
        <v>0</v>
      </c>
      <c r="H83" s="49">
        <f>AVERAGE('18.10 SEMBABULE-MASAKA-24 HRS'!H83,'19.10 SEMBABULE MASAKA-24HRS'!H83)</f>
        <v>0</v>
      </c>
      <c r="I83" s="49">
        <f>AVERAGE('18.10 SEMBABULE-MASAKA-24 HRS'!I83,'19.10 SEMBABULE MASAKA-24HRS'!I83)</f>
        <v>0</v>
      </c>
      <c r="J83" s="49">
        <f>AVERAGE('18.10 SEMBABULE-MASAKA-24 HRS'!J83,'19.10 SEMBABULE MASAKA-24HRS'!J83)</f>
        <v>0</v>
      </c>
      <c r="K83" s="49">
        <f>AVERAGE('18.10 SEMBABULE-MASAKA-24 HRS'!K83,'19.10 SEMBABULE MASAKA-24HRS'!K83)</f>
        <v>0</v>
      </c>
      <c r="L83" s="49">
        <f>AVERAGE('18.10 SEMBABULE-MASAKA-24 HRS'!L83,'19.10 SEMBABULE MASAKA-24HRS'!L83)</f>
        <v>0</v>
      </c>
      <c r="M83" s="49">
        <f>AVERAGE('18.10 SEMBABULE-MASAKA-24 HRS'!M83,'19.10 SEMBABULE MASAKA-24HRS'!M83)</f>
        <v>0</v>
      </c>
      <c r="N83" s="49">
        <f>AVERAGE('18.10 SEMBABULE-MASAKA-24 HRS'!N83,'19.10 SEMBABULE MASAKA-24HRS'!N83)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AVERAGE('18.10 SEMBABULE-MASAKA-24 HRS'!C84,'19.10 SEMBABULE MASAKA-24HRS'!C84)</f>
        <v>0</v>
      </c>
      <c r="D84" s="49">
        <f>AVERAGE('18.10 SEMBABULE-MASAKA-24 HRS'!D84,'19.10 SEMBABULE MASAKA-24HRS'!D84)</f>
        <v>0</v>
      </c>
      <c r="E84" s="49">
        <f>AVERAGE('18.10 SEMBABULE-MASAKA-24 HRS'!E84,'19.10 SEMBABULE MASAKA-24HRS'!E84)</f>
        <v>0</v>
      </c>
      <c r="F84" s="49">
        <f>AVERAGE('18.10 SEMBABULE-MASAKA-24 HRS'!F84,'19.10 SEMBABULE MASAKA-24HRS'!F84)</f>
        <v>0</v>
      </c>
      <c r="G84" s="49">
        <f>AVERAGE('18.10 SEMBABULE-MASAKA-24 HRS'!G84,'19.10 SEMBABULE MASAKA-24HRS'!G84)</f>
        <v>0</v>
      </c>
      <c r="H84" s="49">
        <f>AVERAGE('18.10 SEMBABULE-MASAKA-24 HRS'!H84,'19.10 SEMBABULE MASAKA-24HRS'!H84)</f>
        <v>0</v>
      </c>
      <c r="I84" s="49">
        <f>AVERAGE('18.10 SEMBABULE-MASAKA-24 HRS'!I84,'19.10 SEMBABULE MASAKA-24HRS'!I84)</f>
        <v>0</v>
      </c>
      <c r="J84" s="49">
        <f>AVERAGE('18.10 SEMBABULE-MASAKA-24 HRS'!J84,'19.10 SEMBABULE MASAKA-24HRS'!J84)</f>
        <v>1</v>
      </c>
      <c r="K84" s="49">
        <f>AVERAGE('18.10 SEMBABULE-MASAKA-24 HRS'!K84,'19.10 SEMBABULE MASAKA-24HRS'!K84)</f>
        <v>0</v>
      </c>
      <c r="L84" s="49">
        <f>AVERAGE('18.10 SEMBABULE-MASAKA-24 HRS'!L84,'19.10 SEMBABULE MASAKA-24HRS'!L84)</f>
        <v>0</v>
      </c>
      <c r="M84" s="49">
        <f>AVERAGE('18.10 SEMBABULE-MASAKA-24 HRS'!M84,'19.10 SEMBABULE MASAKA-24HRS'!M84)</f>
        <v>0.5</v>
      </c>
      <c r="N84" s="49">
        <f>AVERAGE('18.10 SEMBABULE-MASAKA-24 HRS'!N84,'19.10 SEMBABULE MASAKA-24HRS'!N84)</f>
        <v>0</v>
      </c>
      <c r="O84" s="15">
        <f t="shared" si="35"/>
        <v>1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AVERAGE('18.10 SEMBABULE-MASAKA-24 HRS'!C85,'19.10 SEMBABULE MASAKA-24HRS'!C85)</f>
        <v>1</v>
      </c>
      <c r="D85" s="49">
        <f>AVERAGE('18.10 SEMBABULE-MASAKA-24 HRS'!D85,'19.10 SEMBABULE MASAKA-24HRS'!D85)</f>
        <v>0</v>
      </c>
      <c r="E85" s="49">
        <f>AVERAGE('18.10 SEMBABULE-MASAKA-24 HRS'!E85,'19.10 SEMBABULE MASAKA-24HRS'!E85)</f>
        <v>0</v>
      </c>
      <c r="F85" s="49">
        <f>AVERAGE('18.10 SEMBABULE-MASAKA-24 HRS'!F85,'19.10 SEMBABULE MASAKA-24HRS'!F85)</f>
        <v>0</v>
      </c>
      <c r="G85" s="49">
        <f>AVERAGE('18.10 SEMBABULE-MASAKA-24 HRS'!G85,'19.10 SEMBABULE MASAKA-24HRS'!G85)</f>
        <v>0</v>
      </c>
      <c r="H85" s="49">
        <f>AVERAGE('18.10 SEMBABULE-MASAKA-24 HRS'!H85,'19.10 SEMBABULE MASAKA-24HRS'!H85)</f>
        <v>0</v>
      </c>
      <c r="I85" s="49">
        <f>AVERAGE('18.10 SEMBABULE-MASAKA-24 HRS'!I85,'19.10 SEMBABULE MASAKA-24HRS'!I85)</f>
        <v>1</v>
      </c>
      <c r="J85" s="49">
        <f>AVERAGE('18.10 SEMBABULE-MASAKA-24 HRS'!J85,'19.10 SEMBABULE MASAKA-24HRS'!J85)</f>
        <v>0.5</v>
      </c>
      <c r="K85" s="49">
        <f>AVERAGE('18.10 SEMBABULE-MASAKA-24 HRS'!K85,'19.10 SEMBABULE MASAKA-24HRS'!K85)</f>
        <v>0</v>
      </c>
      <c r="L85" s="49">
        <f>AVERAGE('18.10 SEMBABULE-MASAKA-24 HRS'!L85,'19.10 SEMBABULE MASAKA-24HRS'!L85)</f>
        <v>0.5</v>
      </c>
      <c r="M85" s="49">
        <f>AVERAGE('18.10 SEMBABULE-MASAKA-24 HRS'!M85,'19.10 SEMBABULE MASAKA-24HRS'!M85)</f>
        <v>0</v>
      </c>
      <c r="N85" s="49">
        <f>AVERAGE('18.10 SEMBABULE-MASAKA-24 HRS'!N85,'19.10 SEMBABULE MASAKA-24HRS'!N85)</f>
        <v>0</v>
      </c>
      <c r="O85" s="15">
        <f t="shared" si="35"/>
        <v>3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AVERAGE('18.10 SEMBABULE-MASAKA-24 HRS'!C86,'19.10 SEMBABULE MASAKA-24HRS'!C86)</f>
        <v>0</v>
      </c>
      <c r="D86" s="49">
        <f>AVERAGE('18.10 SEMBABULE-MASAKA-24 HRS'!D86,'19.10 SEMBABULE MASAKA-24HRS'!D86)</f>
        <v>0</v>
      </c>
      <c r="E86" s="49">
        <f>AVERAGE('18.10 SEMBABULE-MASAKA-24 HRS'!E86,'19.10 SEMBABULE MASAKA-24HRS'!E86)</f>
        <v>0</v>
      </c>
      <c r="F86" s="49">
        <f>AVERAGE('18.10 SEMBABULE-MASAKA-24 HRS'!F86,'19.10 SEMBABULE MASAKA-24HRS'!F86)</f>
        <v>0</v>
      </c>
      <c r="G86" s="49">
        <f>AVERAGE('18.10 SEMBABULE-MASAKA-24 HRS'!G86,'19.10 SEMBABULE MASAKA-24HRS'!G86)</f>
        <v>0</v>
      </c>
      <c r="H86" s="49">
        <f>AVERAGE('18.10 SEMBABULE-MASAKA-24 HRS'!H86,'19.10 SEMBABULE MASAKA-24HRS'!H86)</f>
        <v>0</v>
      </c>
      <c r="I86" s="49">
        <f>AVERAGE('18.10 SEMBABULE-MASAKA-24 HRS'!I86,'19.10 SEMBABULE MASAKA-24HRS'!I86)</f>
        <v>0</v>
      </c>
      <c r="J86" s="49">
        <f>AVERAGE('18.10 SEMBABULE-MASAKA-24 HRS'!J86,'19.10 SEMBABULE MASAKA-24HRS'!J86)</f>
        <v>0</v>
      </c>
      <c r="K86" s="49">
        <f>AVERAGE('18.10 SEMBABULE-MASAKA-24 HRS'!K86,'19.10 SEMBABULE MASAKA-24HRS'!K86)</f>
        <v>0</v>
      </c>
      <c r="L86" s="49">
        <f>AVERAGE('18.10 SEMBABULE-MASAKA-24 HRS'!L86,'19.10 SEMBABULE MASAKA-24HRS'!L86)</f>
        <v>0.5</v>
      </c>
      <c r="M86" s="49">
        <f>AVERAGE('18.10 SEMBABULE-MASAKA-24 HRS'!M86,'19.10 SEMBABULE MASAKA-24HRS'!M86)</f>
        <v>0</v>
      </c>
      <c r="N86" s="49">
        <f>AVERAGE('18.10 SEMBABULE-MASAKA-24 HRS'!N86,'19.10 SEMBABULE MASAKA-24HRS'!N86)</f>
        <v>0</v>
      </c>
      <c r="O86" s="15">
        <f t="shared" si="35"/>
        <v>0.5</v>
      </c>
      <c r="P86" s="15">
        <f t="shared" si="36"/>
        <v>0.5</v>
      </c>
      <c r="R86" s="8"/>
      <c r="T86"/>
    </row>
    <row r="87" spans="2:20" ht="23.1" customHeight="1" x14ac:dyDescent="0.25">
      <c r="B87" s="23" t="s">
        <v>127</v>
      </c>
      <c r="C87" s="49">
        <f>AVERAGE('18.10 SEMBABULE-MASAKA-24 HRS'!C87,'19.10 SEMBABULE MASAKA-24HRS'!C87)</f>
        <v>0</v>
      </c>
      <c r="D87" s="49">
        <f>AVERAGE('18.10 SEMBABULE-MASAKA-24 HRS'!D87,'19.10 SEMBABULE MASAKA-24HRS'!D87)</f>
        <v>0</v>
      </c>
      <c r="E87" s="49">
        <f>AVERAGE('18.10 SEMBABULE-MASAKA-24 HRS'!E87,'19.10 SEMBABULE MASAKA-24HRS'!E87)</f>
        <v>0.5</v>
      </c>
      <c r="F87" s="49">
        <f>AVERAGE('18.10 SEMBABULE-MASAKA-24 HRS'!F87,'19.10 SEMBABULE MASAKA-24HRS'!F87)</f>
        <v>0</v>
      </c>
      <c r="G87" s="49">
        <f>AVERAGE('18.10 SEMBABULE-MASAKA-24 HRS'!G87,'19.10 SEMBABULE MASAKA-24HRS'!G87)</f>
        <v>0</v>
      </c>
      <c r="H87" s="49">
        <f>AVERAGE('18.10 SEMBABULE-MASAKA-24 HRS'!H87,'19.10 SEMBABULE MASAKA-24HRS'!H87)</f>
        <v>0</v>
      </c>
      <c r="I87" s="49">
        <f>AVERAGE('18.10 SEMBABULE-MASAKA-24 HRS'!I87,'19.10 SEMBABULE MASAKA-24HRS'!I87)</f>
        <v>0.5</v>
      </c>
      <c r="J87" s="49">
        <f>AVERAGE('18.10 SEMBABULE-MASAKA-24 HRS'!J87,'19.10 SEMBABULE MASAKA-24HRS'!J87)</f>
        <v>0</v>
      </c>
      <c r="K87" s="49">
        <f>AVERAGE('18.10 SEMBABULE-MASAKA-24 HRS'!K87,'19.10 SEMBABULE MASAKA-24HRS'!K87)</f>
        <v>0</v>
      </c>
      <c r="L87" s="49">
        <f>AVERAGE('18.10 SEMBABULE-MASAKA-24 HRS'!L87,'19.10 SEMBABULE MASAKA-24HRS'!L87)</f>
        <v>0</v>
      </c>
      <c r="M87" s="49">
        <f>AVERAGE('18.10 SEMBABULE-MASAKA-24 HRS'!M87,'19.10 SEMBABULE MASAKA-24HRS'!M87)</f>
        <v>0</v>
      </c>
      <c r="N87" s="49">
        <f>AVERAGE('18.10 SEMBABULE-MASAKA-24 HRS'!N87,'19.10 SEMBABULE MASAKA-24HRS'!N87)</f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AVERAGE('18.10 SEMBABULE-MASAKA-24 HRS'!C88,'19.10 SEMBABULE MASAKA-24HRS'!C88)</f>
        <v>0</v>
      </c>
      <c r="D88" s="49">
        <f>AVERAGE('18.10 SEMBABULE-MASAKA-24 HRS'!D88,'19.10 SEMBABULE MASAKA-24HRS'!D88)</f>
        <v>0</v>
      </c>
      <c r="E88" s="49">
        <f>AVERAGE('18.10 SEMBABULE-MASAKA-24 HRS'!E88,'19.10 SEMBABULE MASAKA-24HRS'!E88)</f>
        <v>0</v>
      </c>
      <c r="F88" s="49">
        <f>AVERAGE('18.10 SEMBABULE-MASAKA-24 HRS'!F88,'19.10 SEMBABULE MASAKA-24HRS'!F88)</f>
        <v>0</v>
      </c>
      <c r="G88" s="49">
        <f>AVERAGE('18.10 SEMBABULE-MASAKA-24 HRS'!G88,'19.10 SEMBABULE MASAKA-24HRS'!G88)</f>
        <v>0</v>
      </c>
      <c r="H88" s="49">
        <f>AVERAGE('18.10 SEMBABULE-MASAKA-24 HRS'!H88,'19.10 SEMBABULE MASAKA-24HRS'!H88)</f>
        <v>0</v>
      </c>
      <c r="I88" s="49">
        <f>AVERAGE('18.10 SEMBABULE-MASAKA-24 HRS'!I88,'19.10 SEMBABULE MASAKA-24HRS'!I88)</f>
        <v>2</v>
      </c>
      <c r="J88" s="49">
        <f>AVERAGE('18.10 SEMBABULE-MASAKA-24 HRS'!J88,'19.10 SEMBABULE MASAKA-24HRS'!J88)</f>
        <v>2</v>
      </c>
      <c r="K88" s="49">
        <f>AVERAGE('18.10 SEMBABULE-MASAKA-24 HRS'!K88,'19.10 SEMBABULE MASAKA-24HRS'!K88)</f>
        <v>0.5</v>
      </c>
      <c r="L88" s="49">
        <f>AVERAGE('18.10 SEMBABULE-MASAKA-24 HRS'!L88,'19.10 SEMBABULE MASAKA-24HRS'!L88)</f>
        <v>0</v>
      </c>
      <c r="M88" s="49">
        <f>AVERAGE('18.10 SEMBABULE-MASAKA-24 HRS'!M88,'19.10 SEMBABULE MASAKA-24HRS'!M88)</f>
        <v>0</v>
      </c>
      <c r="N88" s="49">
        <f>AVERAGE('18.10 SEMBABULE-MASAKA-24 HRS'!N88,'19.10 SEMBABULE MASAKA-24HRS'!N88)</f>
        <v>0</v>
      </c>
      <c r="O88" s="15">
        <f t="shared" si="35"/>
        <v>4.5</v>
      </c>
      <c r="P88" s="15">
        <f t="shared" si="36"/>
        <v>4.5</v>
      </c>
      <c r="R88" s="8"/>
      <c r="T88"/>
    </row>
    <row r="89" spans="2:20" ht="23.1" customHeight="1" x14ac:dyDescent="0.25">
      <c r="B89" s="23" t="s">
        <v>129</v>
      </c>
      <c r="C89" s="49">
        <f>AVERAGE('18.10 SEMBABULE-MASAKA-24 HRS'!C89,'19.10 SEMBABULE MASAKA-24HRS'!C89)</f>
        <v>0.5</v>
      </c>
      <c r="D89" s="49">
        <f>AVERAGE('18.10 SEMBABULE-MASAKA-24 HRS'!D89,'19.10 SEMBABULE MASAKA-24HRS'!D89)</f>
        <v>0</v>
      </c>
      <c r="E89" s="49">
        <f>AVERAGE('18.10 SEMBABULE-MASAKA-24 HRS'!E89,'19.10 SEMBABULE MASAKA-24HRS'!E89)</f>
        <v>0</v>
      </c>
      <c r="F89" s="49">
        <f>AVERAGE('18.10 SEMBABULE-MASAKA-24 HRS'!F89,'19.10 SEMBABULE MASAKA-24HRS'!F89)</f>
        <v>1</v>
      </c>
      <c r="G89" s="49">
        <f>AVERAGE('18.10 SEMBABULE-MASAKA-24 HRS'!G89,'19.10 SEMBABULE MASAKA-24HRS'!G89)</f>
        <v>0</v>
      </c>
      <c r="H89" s="49">
        <f>AVERAGE('18.10 SEMBABULE-MASAKA-24 HRS'!H89,'19.10 SEMBABULE MASAKA-24HRS'!H89)</f>
        <v>0</v>
      </c>
      <c r="I89" s="49">
        <f>AVERAGE('18.10 SEMBABULE-MASAKA-24 HRS'!I89,'19.10 SEMBABULE MASAKA-24HRS'!I89)</f>
        <v>0</v>
      </c>
      <c r="J89" s="49">
        <f>AVERAGE('18.10 SEMBABULE-MASAKA-24 HRS'!J89,'19.10 SEMBABULE MASAKA-24HRS'!J89)</f>
        <v>0</v>
      </c>
      <c r="K89" s="49">
        <f>AVERAGE('18.10 SEMBABULE-MASAKA-24 HRS'!K89,'19.10 SEMBABULE MASAKA-24HRS'!K89)</f>
        <v>0</v>
      </c>
      <c r="L89" s="49">
        <f>AVERAGE('18.10 SEMBABULE-MASAKA-24 HRS'!L89,'19.10 SEMBABULE MASAKA-24HRS'!L89)</f>
        <v>0</v>
      </c>
      <c r="M89" s="49">
        <f>AVERAGE('18.10 SEMBABULE-MASAKA-24 HRS'!M89,'19.10 SEMBABULE MASAKA-24HRS'!M89)</f>
        <v>0</v>
      </c>
      <c r="N89" s="49">
        <f>AVERAGE('18.10 SEMBABULE-MASAKA-24 HRS'!N89,'19.10 SEMBABULE MASAKA-24HRS'!N89)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AVERAGE('18.10 SEMBABULE-MASAKA-24 HRS'!C90,'19.10 SEMBABULE MASAKA-24HRS'!C90)</f>
        <v>0</v>
      </c>
      <c r="D90" s="49">
        <f>AVERAGE('18.10 SEMBABULE-MASAKA-24 HRS'!D90,'19.10 SEMBABULE MASAKA-24HRS'!D90)</f>
        <v>0</v>
      </c>
      <c r="E90" s="49">
        <f>AVERAGE('18.10 SEMBABULE-MASAKA-24 HRS'!E90,'19.10 SEMBABULE MASAKA-24HRS'!E90)</f>
        <v>0.5</v>
      </c>
      <c r="F90" s="49">
        <f>AVERAGE('18.10 SEMBABULE-MASAKA-24 HRS'!F90,'19.10 SEMBABULE MASAKA-24HRS'!F90)</f>
        <v>0</v>
      </c>
      <c r="G90" s="49">
        <f>AVERAGE('18.10 SEMBABULE-MASAKA-24 HRS'!G90,'19.10 SEMBABULE MASAKA-24HRS'!G90)</f>
        <v>0</v>
      </c>
      <c r="H90" s="49">
        <f>AVERAGE('18.10 SEMBABULE-MASAKA-24 HRS'!H90,'19.10 SEMBABULE MASAKA-24HRS'!H90)</f>
        <v>0</v>
      </c>
      <c r="I90" s="49">
        <f>AVERAGE('18.10 SEMBABULE-MASAKA-24 HRS'!I90,'19.10 SEMBABULE MASAKA-24HRS'!I90)</f>
        <v>1</v>
      </c>
      <c r="J90" s="49">
        <f>AVERAGE('18.10 SEMBABULE-MASAKA-24 HRS'!J90,'19.10 SEMBABULE MASAKA-24HRS'!J90)</f>
        <v>0</v>
      </c>
      <c r="K90" s="49">
        <f>AVERAGE('18.10 SEMBABULE-MASAKA-24 HRS'!K90,'19.10 SEMBABULE MASAKA-24HRS'!K90)</f>
        <v>0</v>
      </c>
      <c r="L90" s="49">
        <f>AVERAGE('18.10 SEMBABULE-MASAKA-24 HRS'!L90,'19.10 SEMBABULE MASAKA-24HRS'!L90)</f>
        <v>0</v>
      </c>
      <c r="M90" s="49">
        <f>AVERAGE('18.10 SEMBABULE-MASAKA-24 HRS'!M90,'19.10 SEMBABULE MASAKA-24HRS'!M90)</f>
        <v>0</v>
      </c>
      <c r="N90" s="49">
        <f>AVERAGE('18.10 SEMBABULE-MASAKA-24 HRS'!N90,'19.10 SEMBABULE MASAKA-24HRS'!N90)</f>
        <v>0</v>
      </c>
      <c r="O90" s="15">
        <f t="shared" si="35"/>
        <v>1.5</v>
      </c>
      <c r="P90" s="15">
        <f t="shared" si="36"/>
        <v>1.5</v>
      </c>
      <c r="R90" s="8"/>
      <c r="T90"/>
    </row>
    <row r="91" spans="2:20" ht="23.1" customHeight="1" x14ac:dyDescent="0.25">
      <c r="B91" s="23" t="s">
        <v>131</v>
      </c>
      <c r="C91" s="49">
        <f>AVERAGE('18.10 SEMBABULE-MASAKA-24 HRS'!C91,'19.10 SEMBABULE MASAKA-24HRS'!C91)</f>
        <v>1</v>
      </c>
      <c r="D91" s="49">
        <f>AVERAGE('18.10 SEMBABULE-MASAKA-24 HRS'!D91,'19.10 SEMBABULE MASAKA-24HRS'!D91)</f>
        <v>0</v>
      </c>
      <c r="E91" s="49">
        <f>AVERAGE('18.10 SEMBABULE-MASAKA-24 HRS'!E91,'19.10 SEMBABULE MASAKA-24HRS'!E91)</f>
        <v>0</v>
      </c>
      <c r="F91" s="49">
        <f>AVERAGE('18.10 SEMBABULE-MASAKA-24 HRS'!F91,'19.10 SEMBABULE MASAKA-24HRS'!F91)</f>
        <v>0</v>
      </c>
      <c r="G91" s="49">
        <f>AVERAGE('18.10 SEMBABULE-MASAKA-24 HRS'!G91,'19.10 SEMBABULE MASAKA-24HRS'!G91)</f>
        <v>0</v>
      </c>
      <c r="H91" s="49">
        <f>AVERAGE('18.10 SEMBABULE-MASAKA-24 HRS'!H91,'19.10 SEMBABULE MASAKA-24HRS'!H91)</f>
        <v>0</v>
      </c>
      <c r="I91" s="49">
        <f>AVERAGE('18.10 SEMBABULE-MASAKA-24 HRS'!I91,'19.10 SEMBABULE MASAKA-24HRS'!I91)</f>
        <v>0</v>
      </c>
      <c r="J91" s="49">
        <f>AVERAGE('18.10 SEMBABULE-MASAKA-24 HRS'!J91,'19.10 SEMBABULE MASAKA-24HRS'!J91)</f>
        <v>0</v>
      </c>
      <c r="K91" s="49">
        <f>AVERAGE('18.10 SEMBABULE-MASAKA-24 HRS'!K91,'19.10 SEMBABULE MASAKA-24HRS'!K91)</f>
        <v>0</v>
      </c>
      <c r="L91" s="49">
        <f>AVERAGE('18.10 SEMBABULE-MASAKA-24 HRS'!L91,'19.10 SEMBABULE MASAKA-24HRS'!L91)</f>
        <v>0</v>
      </c>
      <c r="M91" s="49">
        <f>AVERAGE('18.10 SEMBABULE-MASAKA-24 HRS'!M91,'19.10 SEMBABULE MASAKA-24HRS'!M91)</f>
        <v>0</v>
      </c>
      <c r="N91" s="49">
        <f>AVERAGE('18.10 SEMBABULE-MASAKA-24 HRS'!N91,'19.10 SEMBABULE MASAKA-24HRS'!N91)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AVERAGE('18.10 SEMBABULE-MASAKA-24 HRS'!C92,'19.10 SEMBABULE MASAKA-24HRS'!C92)</f>
        <v>1</v>
      </c>
      <c r="D92" s="49">
        <f>AVERAGE('18.10 SEMBABULE-MASAKA-24 HRS'!D92,'19.10 SEMBABULE MASAKA-24HRS'!D92)</f>
        <v>0</v>
      </c>
      <c r="E92" s="49">
        <f>AVERAGE('18.10 SEMBABULE-MASAKA-24 HRS'!E92,'19.10 SEMBABULE MASAKA-24HRS'!E92)</f>
        <v>0</v>
      </c>
      <c r="F92" s="49">
        <f>AVERAGE('18.10 SEMBABULE-MASAKA-24 HRS'!F92,'19.10 SEMBABULE MASAKA-24HRS'!F92)</f>
        <v>0</v>
      </c>
      <c r="G92" s="49">
        <f>AVERAGE('18.10 SEMBABULE-MASAKA-24 HRS'!G92,'19.10 SEMBABULE MASAKA-24HRS'!G92)</f>
        <v>0</v>
      </c>
      <c r="H92" s="49">
        <f>AVERAGE('18.10 SEMBABULE-MASAKA-24 HRS'!H92,'19.10 SEMBABULE MASAKA-24HRS'!H92)</f>
        <v>0</v>
      </c>
      <c r="I92" s="49">
        <f>AVERAGE('18.10 SEMBABULE-MASAKA-24 HRS'!I92,'19.10 SEMBABULE MASAKA-24HRS'!I92)</f>
        <v>0</v>
      </c>
      <c r="J92" s="49">
        <f>AVERAGE('18.10 SEMBABULE-MASAKA-24 HRS'!J92,'19.10 SEMBABULE MASAKA-24HRS'!J92)</f>
        <v>0.5</v>
      </c>
      <c r="K92" s="49">
        <f>AVERAGE('18.10 SEMBABULE-MASAKA-24 HRS'!K92,'19.10 SEMBABULE MASAKA-24HRS'!K92)</f>
        <v>0</v>
      </c>
      <c r="L92" s="49">
        <f>AVERAGE('18.10 SEMBABULE-MASAKA-24 HRS'!L92,'19.10 SEMBABULE MASAKA-24HRS'!L92)</f>
        <v>0</v>
      </c>
      <c r="M92" s="49">
        <f>AVERAGE('18.10 SEMBABULE-MASAKA-24 HRS'!M92,'19.10 SEMBABULE MASAKA-24HRS'!M92)</f>
        <v>0</v>
      </c>
      <c r="N92" s="49">
        <f>AVERAGE('18.10 SEMBABULE-MASAKA-24 HRS'!N92,'19.10 SEMBABULE MASAKA-24HRS'!N92)</f>
        <v>0</v>
      </c>
      <c r="O92" s="15">
        <f t="shared" si="35"/>
        <v>1.5</v>
      </c>
      <c r="P92" s="15">
        <f t="shared" si="36"/>
        <v>1.5</v>
      </c>
      <c r="R92" s="8"/>
      <c r="T92"/>
    </row>
    <row r="93" spans="2:20" ht="23.1" customHeight="1" x14ac:dyDescent="0.25">
      <c r="B93" s="23" t="s">
        <v>133</v>
      </c>
      <c r="C93" s="49">
        <f>AVERAGE('18.10 SEMBABULE-MASAKA-24 HRS'!C93,'19.10 SEMBABULE MASAKA-24HRS'!C93)</f>
        <v>0</v>
      </c>
      <c r="D93" s="49">
        <f>AVERAGE('18.10 SEMBABULE-MASAKA-24 HRS'!D93,'19.10 SEMBABULE MASAKA-24HRS'!D93)</f>
        <v>0</v>
      </c>
      <c r="E93" s="49">
        <f>AVERAGE('18.10 SEMBABULE-MASAKA-24 HRS'!E93,'19.10 SEMBABULE MASAKA-24HRS'!E93)</f>
        <v>0</v>
      </c>
      <c r="F93" s="49">
        <f>AVERAGE('18.10 SEMBABULE-MASAKA-24 HRS'!F93,'19.10 SEMBABULE MASAKA-24HRS'!F93)</f>
        <v>0</v>
      </c>
      <c r="G93" s="49">
        <f>AVERAGE('18.10 SEMBABULE-MASAKA-24 HRS'!G93,'19.10 SEMBABULE MASAKA-24HRS'!G93)</f>
        <v>0</v>
      </c>
      <c r="H93" s="49">
        <f>AVERAGE('18.10 SEMBABULE-MASAKA-24 HRS'!H93,'19.10 SEMBABULE MASAKA-24HRS'!H93)</f>
        <v>0</v>
      </c>
      <c r="I93" s="49">
        <f>AVERAGE('18.10 SEMBABULE-MASAKA-24 HRS'!I93,'19.10 SEMBABULE MASAKA-24HRS'!I93)</f>
        <v>0</v>
      </c>
      <c r="J93" s="49">
        <f>AVERAGE('18.10 SEMBABULE-MASAKA-24 HRS'!J93,'19.10 SEMBABULE MASAKA-24HRS'!J93)</f>
        <v>0</v>
      </c>
      <c r="K93" s="49">
        <f>AVERAGE('18.10 SEMBABULE-MASAKA-24 HRS'!K93,'19.10 SEMBABULE MASAKA-24HRS'!K93)</f>
        <v>1</v>
      </c>
      <c r="L93" s="49">
        <f>AVERAGE('18.10 SEMBABULE-MASAKA-24 HRS'!L93,'19.10 SEMBABULE MASAKA-24HRS'!L93)</f>
        <v>0</v>
      </c>
      <c r="M93" s="49">
        <f>AVERAGE('18.10 SEMBABULE-MASAKA-24 HRS'!M93,'19.10 SEMBABULE MASAKA-24HRS'!M93)</f>
        <v>0</v>
      </c>
      <c r="N93" s="49">
        <f>AVERAGE('18.10 SEMBABULE-MASAKA-24 HRS'!N93,'19.10 SEMBABULE MASAKA-24HRS'!N93)</f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AVERAGE('18.10 SEMBABULE-MASAKA-24 HRS'!C94,'19.10 SEMBABULE MASAKA-24HRS'!C94)</f>
        <v>0</v>
      </c>
      <c r="D94" s="49">
        <f>AVERAGE('18.10 SEMBABULE-MASAKA-24 HRS'!D94,'19.10 SEMBABULE MASAKA-24HRS'!D94)</f>
        <v>0.5</v>
      </c>
      <c r="E94" s="49">
        <f>AVERAGE('18.10 SEMBABULE-MASAKA-24 HRS'!E94,'19.10 SEMBABULE MASAKA-24HRS'!E94)</f>
        <v>0</v>
      </c>
      <c r="F94" s="49">
        <f>AVERAGE('18.10 SEMBABULE-MASAKA-24 HRS'!F94,'19.10 SEMBABULE MASAKA-24HRS'!F94)</f>
        <v>0</v>
      </c>
      <c r="G94" s="49">
        <f>AVERAGE('18.10 SEMBABULE-MASAKA-24 HRS'!G94,'19.10 SEMBABULE MASAKA-24HRS'!G94)</f>
        <v>0</v>
      </c>
      <c r="H94" s="49">
        <f>AVERAGE('18.10 SEMBABULE-MASAKA-24 HRS'!H94,'19.10 SEMBABULE MASAKA-24HRS'!H94)</f>
        <v>0</v>
      </c>
      <c r="I94" s="49">
        <f>AVERAGE('18.10 SEMBABULE-MASAKA-24 HRS'!I94,'19.10 SEMBABULE MASAKA-24HRS'!I94)</f>
        <v>0</v>
      </c>
      <c r="J94" s="49">
        <f>AVERAGE('18.10 SEMBABULE-MASAKA-24 HRS'!J94,'19.10 SEMBABULE MASAKA-24HRS'!J94)</f>
        <v>0</v>
      </c>
      <c r="K94" s="49">
        <f>AVERAGE('18.10 SEMBABULE-MASAKA-24 HRS'!K94,'19.10 SEMBABULE MASAKA-24HRS'!K94)</f>
        <v>0</v>
      </c>
      <c r="L94" s="49">
        <f>AVERAGE('18.10 SEMBABULE-MASAKA-24 HRS'!L94,'19.10 SEMBABULE MASAKA-24HRS'!L94)</f>
        <v>0</v>
      </c>
      <c r="M94" s="49">
        <f>AVERAGE('18.10 SEMBABULE-MASAKA-24 HRS'!M94,'19.10 SEMBABULE MASAKA-24HRS'!M94)</f>
        <v>0</v>
      </c>
      <c r="N94" s="49">
        <f>AVERAGE('18.10 SEMBABULE-MASAKA-24 HRS'!N94,'19.10 SEMBABULE MASAKA-24HRS'!N94)</f>
        <v>0</v>
      </c>
      <c r="O94" s="15">
        <f t="shared" si="35"/>
        <v>0.5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AVERAGE('18.10 SEMBABULE-MASAKA-24 HRS'!C95,'19.10 SEMBABULE MASAKA-24HRS'!C95)</f>
        <v>1</v>
      </c>
      <c r="D95" s="49">
        <f>AVERAGE('18.10 SEMBABULE-MASAKA-24 HRS'!D95,'19.10 SEMBABULE MASAKA-24HRS'!D95)</f>
        <v>0.5</v>
      </c>
      <c r="E95" s="49">
        <f>AVERAGE('18.10 SEMBABULE-MASAKA-24 HRS'!E95,'19.10 SEMBABULE MASAKA-24HRS'!E95)</f>
        <v>0</v>
      </c>
      <c r="F95" s="49">
        <f>AVERAGE('18.10 SEMBABULE-MASAKA-24 HRS'!F95,'19.10 SEMBABULE MASAKA-24HRS'!F95)</f>
        <v>0</v>
      </c>
      <c r="G95" s="49">
        <f>AVERAGE('18.10 SEMBABULE-MASAKA-24 HRS'!G95,'19.10 SEMBABULE MASAKA-24HRS'!G95)</f>
        <v>0</v>
      </c>
      <c r="H95" s="49">
        <f>AVERAGE('18.10 SEMBABULE-MASAKA-24 HRS'!H95,'19.10 SEMBABULE MASAKA-24HRS'!H95)</f>
        <v>0</v>
      </c>
      <c r="I95" s="49">
        <f>AVERAGE('18.10 SEMBABULE-MASAKA-24 HRS'!I95,'19.10 SEMBABULE MASAKA-24HRS'!I95)</f>
        <v>1</v>
      </c>
      <c r="J95" s="49">
        <f>AVERAGE('18.10 SEMBABULE-MASAKA-24 HRS'!J95,'19.10 SEMBABULE MASAKA-24HRS'!J95)</f>
        <v>0.5</v>
      </c>
      <c r="K95" s="49">
        <f>AVERAGE('18.10 SEMBABULE-MASAKA-24 HRS'!K95,'19.10 SEMBABULE MASAKA-24HRS'!K95)</f>
        <v>0</v>
      </c>
      <c r="L95" s="49">
        <f>AVERAGE('18.10 SEMBABULE-MASAKA-24 HRS'!L95,'19.10 SEMBABULE MASAKA-24HRS'!L95)</f>
        <v>0</v>
      </c>
      <c r="M95" s="49">
        <f>AVERAGE('18.10 SEMBABULE-MASAKA-24 HRS'!M95,'19.10 SEMBABULE MASAKA-24HRS'!M95)</f>
        <v>0.5</v>
      </c>
      <c r="N95" s="49">
        <f>AVERAGE('18.10 SEMBABULE-MASAKA-24 HRS'!N95,'19.10 SEMBABULE MASAKA-24HRS'!N95)</f>
        <v>0</v>
      </c>
      <c r="O95" s="15">
        <f t="shared" si="35"/>
        <v>3</v>
      </c>
      <c r="P95" s="15">
        <f t="shared" si="36"/>
        <v>3.5</v>
      </c>
      <c r="R95" s="8"/>
      <c r="T95"/>
    </row>
    <row r="96" spans="2:20" ht="23.1" customHeight="1" x14ac:dyDescent="0.25">
      <c r="B96" s="25" t="s">
        <v>136</v>
      </c>
      <c r="C96" s="49">
        <f>AVERAGE('18.10 SEMBABULE-MASAKA-24 HRS'!C96,'19.10 SEMBABULE MASAKA-24HRS'!C96)</f>
        <v>0.5</v>
      </c>
      <c r="D96" s="49">
        <f>AVERAGE('18.10 SEMBABULE-MASAKA-24 HRS'!D96,'19.10 SEMBABULE MASAKA-24HRS'!D96)</f>
        <v>0</v>
      </c>
      <c r="E96" s="49">
        <f>AVERAGE('18.10 SEMBABULE-MASAKA-24 HRS'!E96,'19.10 SEMBABULE MASAKA-24HRS'!E96)</f>
        <v>1</v>
      </c>
      <c r="F96" s="49">
        <f>AVERAGE('18.10 SEMBABULE-MASAKA-24 HRS'!F96,'19.10 SEMBABULE MASAKA-24HRS'!F96)</f>
        <v>1</v>
      </c>
      <c r="G96" s="49">
        <f>AVERAGE('18.10 SEMBABULE-MASAKA-24 HRS'!G96,'19.10 SEMBABULE MASAKA-24HRS'!G96)</f>
        <v>0</v>
      </c>
      <c r="H96" s="49">
        <f>AVERAGE('18.10 SEMBABULE-MASAKA-24 HRS'!H96,'19.10 SEMBABULE MASAKA-24HRS'!H96)</f>
        <v>0</v>
      </c>
      <c r="I96" s="49">
        <f>AVERAGE('18.10 SEMBABULE-MASAKA-24 HRS'!I96,'19.10 SEMBABULE MASAKA-24HRS'!I96)</f>
        <v>0</v>
      </c>
      <c r="J96" s="49">
        <f>AVERAGE('18.10 SEMBABULE-MASAKA-24 HRS'!J96,'19.10 SEMBABULE MASAKA-24HRS'!J96)</f>
        <v>0.5</v>
      </c>
      <c r="K96" s="49">
        <f>AVERAGE('18.10 SEMBABULE-MASAKA-24 HRS'!K96,'19.10 SEMBABULE MASAKA-24HRS'!K96)</f>
        <v>0</v>
      </c>
      <c r="L96" s="49">
        <f>AVERAGE('18.10 SEMBABULE-MASAKA-24 HRS'!L96,'19.10 SEMBABULE MASAKA-24HRS'!L96)</f>
        <v>0</v>
      </c>
      <c r="M96" s="49">
        <f>AVERAGE('18.10 SEMBABULE-MASAKA-24 HRS'!M96,'19.10 SEMBABULE MASAKA-24HRS'!M96)</f>
        <v>0</v>
      </c>
      <c r="N96" s="49">
        <f>AVERAGE('18.10 SEMBABULE-MASAKA-24 HRS'!N96,'19.10 SEMBABULE MASAKA-24HRS'!N96)</f>
        <v>0</v>
      </c>
      <c r="O96" s="15">
        <f t="shared" si="35"/>
        <v>3</v>
      </c>
      <c r="P96" s="15">
        <f t="shared" si="36"/>
        <v>3</v>
      </c>
      <c r="R96" s="8"/>
      <c r="T96"/>
    </row>
    <row r="97" spans="2:20" ht="23.1" customHeight="1" x14ac:dyDescent="0.25">
      <c r="B97" s="23" t="s">
        <v>137</v>
      </c>
      <c r="C97" s="49">
        <f>AVERAGE('18.10 SEMBABULE-MASAKA-24 HRS'!C97,'19.10 SEMBABULE MASAKA-24HRS'!C97)</f>
        <v>2</v>
      </c>
      <c r="D97" s="49">
        <f>AVERAGE('18.10 SEMBABULE-MASAKA-24 HRS'!D97,'19.10 SEMBABULE MASAKA-24HRS'!D97)</f>
        <v>0</v>
      </c>
      <c r="E97" s="49">
        <f>AVERAGE('18.10 SEMBABULE-MASAKA-24 HRS'!E97,'19.10 SEMBABULE MASAKA-24HRS'!E97)</f>
        <v>0</v>
      </c>
      <c r="F97" s="49">
        <f>AVERAGE('18.10 SEMBABULE-MASAKA-24 HRS'!F97,'19.10 SEMBABULE MASAKA-24HRS'!F97)</f>
        <v>0</v>
      </c>
      <c r="G97" s="49">
        <f>AVERAGE('18.10 SEMBABULE-MASAKA-24 HRS'!G97,'19.10 SEMBABULE MASAKA-24HRS'!G97)</f>
        <v>0</v>
      </c>
      <c r="H97" s="49">
        <f>AVERAGE('18.10 SEMBABULE-MASAKA-24 HRS'!H97,'19.10 SEMBABULE MASAKA-24HRS'!H97)</f>
        <v>0</v>
      </c>
      <c r="I97" s="49">
        <f>AVERAGE('18.10 SEMBABULE-MASAKA-24 HRS'!I97,'19.10 SEMBABULE MASAKA-24HRS'!I97)</f>
        <v>1</v>
      </c>
      <c r="J97" s="49">
        <f>AVERAGE('18.10 SEMBABULE-MASAKA-24 HRS'!J97,'19.10 SEMBABULE MASAKA-24HRS'!J97)</f>
        <v>0</v>
      </c>
      <c r="K97" s="49">
        <f>AVERAGE('18.10 SEMBABULE-MASAKA-24 HRS'!K97,'19.10 SEMBABULE MASAKA-24HRS'!K97)</f>
        <v>0</v>
      </c>
      <c r="L97" s="49">
        <f>AVERAGE('18.10 SEMBABULE-MASAKA-24 HRS'!L97,'19.10 SEMBABULE MASAKA-24HRS'!L97)</f>
        <v>1</v>
      </c>
      <c r="M97" s="49">
        <f>AVERAGE('18.10 SEMBABULE-MASAKA-24 HRS'!M97,'19.10 SEMBABULE MASAKA-24HRS'!M97)</f>
        <v>1</v>
      </c>
      <c r="N97" s="49">
        <f>AVERAGE('18.10 SEMBABULE-MASAKA-24 HRS'!N97,'19.10 SEMBABULE MASAKA-24HRS'!N97)</f>
        <v>0</v>
      </c>
      <c r="O97" s="15">
        <f t="shared" si="35"/>
        <v>4</v>
      </c>
      <c r="P97" s="15">
        <f t="shared" si="36"/>
        <v>5</v>
      </c>
      <c r="R97" s="8"/>
      <c r="T97"/>
    </row>
    <row r="98" spans="2:20" ht="23.1" customHeight="1" x14ac:dyDescent="0.25">
      <c r="B98" s="24" t="s">
        <v>138</v>
      </c>
      <c r="C98" s="49">
        <f>AVERAGE('18.10 SEMBABULE-MASAKA-24 HRS'!C98,'19.10 SEMBABULE MASAKA-24HRS'!C98)</f>
        <v>0.5</v>
      </c>
      <c r="D98" s="49">
        <f>AVERAGE('18.10 SEMBABULE-MASAKA-24 HRS'!D98,'19.10 SEMBABULE MASAKA-24HRS'!D98)</f>
        <v>0.5</v>
      </c>
      <c r="E98" s="49">
        <f>AVERAGE('18.10 SEMBABULE-MASAKA-24 HRS'!E98,'19.10 SEMBABULE MASAKA-24HRS'!E98)</f>
        <v>0</v>
      </c>
      <c r="F98" s="49">
        <f>AVERAGE('18.10 SEMBABULE-MASAKA-24 HRS'!F98,'19.10 SEMBABULE MASAKA-24HRS'!F98)</f>
        <v>1.5</v>
      </c>
      <c r="G98" s="49">
        <f>AVERAGE('18.10 SEMBABULE-MASAKA-24 HRS'!G98,'19.10 SEMBABULE MASAKA-24HRS'!G98)</f>
        <v>0</v>
      </c>
      <c r="H98" s="49">
        <f>AVERAGE('18.10 SEMBABULE-MASAKA-24 HRS'!H98,'19.10 SEMBABULE MASAKA-24HRS'!H98)</f>
        <v>0</v>
      </c>
      <c r="I98" s="49">
        <f>AVERAGE('18.10 SEMBABULE-MASAKA-24 HRS'!I98,'19.10 SEMBABULE MASAKA-24HRS'!I98)</f>
        <v>0.5</v>
      </c>
      <c r="J98" s="49">
        <f>AVERAGE('18.10 SEMBABULE-MASAKA-24 HRS'!J98,'19.10 SEMBABULE MASAKA-24HRS'!J98)</f>
        <v>0</v>
      </c>
      <c r="K98" s="49">
        <f>AVERAGE('18.10 SEMBABULE-MASAKA-24 HRS'!K98,'19.10 SEMBABULE MASAKA-24HRS'!K98)</f>
        <v>0</v>
      </c>
      <c r="L98" s="49">
        <f>AVERAGE('18.10 SEMBABULE-MASAKA-24 HRS'!L98,'19.10 SEMBABULE MASAKA-24HRS'!L98)</f>
        <v>0</v>
      </c>
      <c r="M98" s="49">
        <f>AVERAGE('18.10 SEMBABULE-MASAKA-24 HRS'!M98,'19.10 SEMBABULE MASAKA-24HRS'!M98)</f>
        <v>3.5</v>
      </c>
      <c r="N98" s="49">
        <f>AVERAGE('18.10 SEMBABULE-MASAKA-24 HRS'!N98,'19.10 SEMBABULE MASAKA-24HRS'!N98)</f>
        <v>0</v>
      </c>
      <c r="O98" s="15">
        <f t="shared" si="35"/>
        <v>3</v>
      </c>
      <c r="P98" s="15">
        <f t="shared" si="36"/>
        <v>6.5</v>
      </c>
      <c r="R98" s="8"/>
      <c r="T98"/>
    </row>
    <row r="99" spans="2:20" ht="23.1" customHeight="1" x14ac:dyDescent="0.25">
      <c r="B99" s="23" t="s">
        <v>139</v>
      </c>
      <c r="C99" s="49">
        <f>AVERAGE('18.10 SEMBABULE-MASAKA-24 HRS'!C99,'19.10 SEMBABULE MASAKA-24HRS'!C99)</f>
        <v>1</v>
      </c>
      <c r="D99" s="49">
        <f>AVERAGE('18.10 SEMBABULE-MASAKA-24 HRS'!D99,'19.10 SEMBABULE MASAKA-24HRS'!D99)</f>
        <v>0</v>
      </c>
      <c r="E99" s="49">
        <f>AVERAGE('18.10 SEMBABULE-MASAKA-24 HRS'!E99,'19.10 SEMBABULE MASAKA-24HRS'!E99)</f>
        <v>0.5</v>
      </c>
      <c r="F99" s="49">
        <f>AVERAGE('18.10 SEMBABULE-MASAKA-24 HRS'!F99,'19.10 SEMBABULE MASAKA-24HRS'!F99)</f>
        <v>0.5</v>
      </c>
      <c r="G99" s="49">
        <f>AVERAGE('18.10 SEMBABULE-MASAKA-24 HRS'!G99,'19.10 SEMBABULE MASAKA-24HRS'!G99)</f>
        <v>0</v>
      </c>
      <c r="H99" s="49">
        <f>AVERAGE('18.10 SEMBABULE-MASAKA-24 HRS'!H99,'19.10 SEMBABULE MASAKA-24HRS'!H99)</f>
        <v>0</v>
      </c>
      <c r="I99" s="49">
        <f>AVERAGE('18.10 SEMBABULE-MASAKA-24 HRS'!I99,'19.10 SEMBABULE MASAKA-24HRS'!I99)</f>
        <v>1</v>
      </c>
      <c r="J99" s="49">
        <f>AVERAGE('18.10 SEMBABULE-MASAKA-24 HRS'!J99,'19.10 SEMBABULE MASAKA-24HRS'!J99)</f>
        <v>1</v>
      </c>
      <c r="K99" s="49">
        <f>AVERAGE('18.10 SEMBABULE-MASAKA-24 HRS'!K99,'19.10 SEMBABULE MASAKA-24HRS'!K99)</f>
        <v>0.5</v>
      </c>
      <c r="L99" s="49">
        <f>AVERAGE('18.10 SEMBABULE-MASAKA-24 HRS'!L99,'19.10 SEMBABULE MASAKA-24HRS'!L99)</f>
        <v>0</v>
      </c>
      <c r="M99" s="49">
        <f>AVERAGE('18.10 SEMBABULE-MASAKA-24 HRS'!M99,'19.10 SEMBABULE MASAKA-24HRS'!M99)</f>
        <v>1</v>
      </c>
      <c r="N99" s="49">
        <f>AVERAGE('18.10 SEMBABULE-MASAKA-24 HRS'!N99,'19.10 SEMBABULE MASAKA-24HRS'!N99)</f>
        <v>0</v>
      </c>
      <c r="O99" s="15">
        <f t="shared" si="35"/>
        <v>4.5</v>
      </c>
      <c r="P99" s="15">
        <f t="shared" si="36"/>
        <v>5.5</v>
      </c>
      <c r="R99" s="8"/>
      <c r="T99"/>
    </row>
    <row r="100" spans="2:20" ht="23.1" customHeight="1" x14ac:dyDescent="0.25">
      <c r="B100" s="25" t="s">
        <v>140</v>
      </c>
      <c r="C100" s="49">
        <f>AVERAGE('18.10 SEMBABULE-MASAKA-24 HRS'!C100,'19.10 SEMBABULE MASAKA-24HRS'!C100)</f>
        <v>0</v>
      </c>
      <c r="D100" s="49">
        <f>AVERAGE('18.10 SEMBABULE-MASAKA-24 HRS'!D100,'19.10 SEMBABULE MASAKA-24HRS'!D100)</f>
        <v>1</v>
      </c>
      <c r="E100" s="49">
        <f>AVERAGE('18.10 SEMBABULE-MASAKA-24 HRS'!E100,'19.10 SEMBABULE MASAKA-24HRS'!E100)</f>
        <v>1</v>
      </c>
      <c r="F100" s="49">
        <f>AVERAGE('18.10 SEMBABULE-MASAKA-24 HRS'!F100,'19.10 SEMBABULE MASAKA-24HRS'!F100)</f>
        <v>1</v>
      </c>
      <c r="G100" s="49">
        <f>AVERAGE('18.10 SEMBABULE-MASAKA-24 HRS'!G100,'19.10 SEMBABULE MASAKA-24HRS'!G100)</f>
        <v>0</v>
      </c>
      <c r="H100" s="49">
        <f>AVERAGE('18.10 SEMBABULE-MASAKA-24 HRS'!H100,'19.10 SEMBABULE MASAKA-24HRS'!H100)</f>
        <v>0</v>
      </c>
      <c r="I100" s="49">
        <f>AVERAGE('18.10 SEMBABULE-MASAKA-24 HRS'!I100,'19.10 SEMBABULE MASAKA-24HRS'!I100)</f>
        <v>1</v>
      </c>
      <c r="J100" s="49">
        <f>AVERAGE('18.10 SEMBABULE-MASAKA-24 HRS'!J100,'19.10 SEMBABULE MASAKA-24HRS'!J100)</f>
        <v>0</v>
      </c>
      <c r="K100" s="49">
        <f>AVERAGE('18.10 SEMBABULE-MASAKA-24 HRS'!K100,'19.10 SEMBABULE MASAKA-24HRS'!K100)</f>
        <v>0</v>
      </c>
      <c r="L100" s="49">
        <f>AVERAGE('18.10 SEMBABULE-MASAKA-24 HRS'!L100,'19.10 SEMBABULE MASAKA-24HRS'!L100)</f>
        <v>0</v>
      </c>
      <c r="M100" s="49">
        <f>AVERAGE('18.10 SEMBABULE-MASAKA-24 HRS'!M100,'19.10 SEMBABULE MASAKA-24HRS'!M100)</f>
        <v>6</v>
      </c>
      <c r="N100" s="49">
        <f>AVERAGE('18.10 SEMBABULE-MASAKA-24 HRS'!N100,'19.10 SEMBABULE MASAKA-24HRS'!N100)</f>
        <v>0</v>
      </c>
      <c r="O100" s="15">
        <f t="shared" si="35"/>
        <v>4</v>
      </c>
      <c r="P100" s="15">
        <f t="shared" si="36"/>
        <v>10</v>
      </c>
      <c r="R100" s="8"/>
      <c r="T100"/>
    </row>
    <row r="101" spans="2:20" ht="23.1" customHeight="1" x14ac:dyDescent="0.25">
      <c r="B101" s="23" t="s">
        <v>141</v>
      </c>
      <c r="C101" s="49">
        <f>AVERAGE('18.10 SEMBABULE-MASAKA-24 HRS'!C101,'19.10 SEMBABULE MASAKA-24HRS'!C101)</f>
        <v>1</v>
      </c>
      <c r="D101" s="49">
        <f>AVERAGE('18.10 SEMBABULE-MASAKA-24 HRS'!D101,'19.10 SEMBABULE MASAKA-24HRS'!D101)</f>
        <v>0.5</v>
      </c>
      <c r="E101" s="49">
        <f>AVERAGE('18.10 SEMBABULE-MASAKA-24 HRS'!E101,'19.10 SEMBABULE MASAKA-24HRS'!E101)</f>
        <v>0</v>
      </c>
      <c r="F101" s="49">
        <f>AVERAGE('18.10 SEMBABULE-MASAKA-24 HRS'!F101,'19.10 SEMBABULE MASAKA-24HRS'!F101)</f>
        <v>0.5</v>
      </c>
      <c r="G101" s="49">
        <f>AVERAGE('18.10 SEMBABULE-MASAKA-24 HRS'!G101,'19.10 SEMBABULE MASAKA-24HRS'!G101)</f>
        <v>0</v>
      </c>
      <c r="H101" s="49">
        <f>AVERAGE('18.10 SEMBABULE-MASAKA-24 HRS'!H101,'19.10 SEMBABULE MASAKA-24HRS'!H101)</f>
        <v>0</v>
      </c>
      <c r="I101" s="49">
        <f>AVERAGE('18.10 SEMBABULE-MASAKA-24 HRS'!I101,'19.10 SEMBABULE MASAKA-24HRS'!I101)</f>
        <v>0</v>
      </c>
      <c r="J101" s="49">
        <f>AVERAGE('18.10 SEMBABULE-MASAKA-24 HRS'!J101,'19.10 SEMBABULE MASAKA-24HRS'!J101)</f>
        <v>1.5</v>
      </c>
      <c r="K101" s="49">
        <f>AVERAGE('18.10 SEMBABULE-MASAKA-24 HRS'!K101,'19.10 SEMBABULE MASAKA-24HRS'!K101)</f>
        <v>1</v>
      </c>
      <c r="L101" s="49">
        <f>AVERAGE('18.10 SEMBABULE-MASAKA-24 HRS'!L101,'19.10 SEMBABULE MASAKA-24HRS'!L101)</f>
        <v>0.5</v>
      </c>
      <c r="M101" s="49">
        <f>AVERAGE('18.10 SEMBABULE-MASAKA-24 HRS'!M101,'19.10 SEMBABULE MASAKA-24HRS'!M101)</f>
        <v>7</v>
      </c>
      <c r="N101" s="49">
        <f>AVERAGE('18.10 SEMBABULE-MASAKA-24 HRS'!N101,'19.10 SEMBABULE MASAKA-24HRS'!N101)</f>
        <v>0</v>
      </c>
      <c r="O101" s="15">
        <f t="shared" si="35"/>
        <v>5</v>
      </c>
      <c r="P101" s="15">
        <f t="shared" si="36"/>
        <v>12</v>
      </c>
      <c r="R101" s="8"/>
      <c r="T101"/>
    </row>
    <row r="102" spans="2:20" ht="23.1" customHeight="1" x14ac:dyDescent="0.25">
      <c r="B102" s="24" t="s">
        <v>142</v>
      </c>
      <c r="C102" s="49">
        <f>AVERAGE('18.10 SEMBABULE-MASAKA-24 HRS'!C102,'19.10 SEMBABULE MASAKA-24HRS'!C102)</f>
        <v>0.5</v>
      </c>
      <c r="D102" s="49">
        <f>AVERAGE('18.10 SEMBABULE-MASAKA-24 HRS'!D102,'19.10 SEMBABULE MASAKA-24HRS'!D102)</f>
        <v>1</v>
      </c>
      <c r="E102" s="49">
        <f>AVERAGE('18.10 SEMBABULE-MASAKA-24 HRS'!E102,'19.10 SEMBABULE MASAKA-24HRS'!E102)</f>
        <v>0</v>
      </c>
      <c r="F102" s="49">
        <f>AVERAGE('18.10 SEMBABULE-MASAKA-24 HRS'!F102,'19.10 SEMBABULE MASAKA-24HRS'!F102)</f>
        <v>2</v>
      </c>
      <c r="G102" s="49">
        <f>AVERAGE('18.10 SEMBABULE-MASAKA-24 HRS'!G102,'19.10 SEMBABULE MASAKA-24HRS'!G102)</f>
        <v>0</v>
      </c>
      <c r="H102" s="49">
        <f>AVERAGE('18.10 SEMBABULE-MASAKA-24 HRS'!H102,'19.10 SEMBABULE MASAKA-24HRS'!H102)</f>
        <v>0</v>
      </c>
      <c r="I102" s="49">
        <f>AVERAGE('18.10 SEMBABULE-MASAKA-24 HRS'!I102,'19.10 SEMBABULE MASAKA-24HRS'!I102)</f>
        <v>0</v>
      </c>
      <c r="J102" s="49">
        <f>AVERAGE('18.10 SEMBABULE-MASAKA-24 HRS'!J102,'19.10 SEMBABULE MASAKA-24HRS'!J102)</f>
        <v>0.5</v>
      </c>
      <c r="K102" s="49">
        <f>AVERAGE('18.10 SEMBABULE-MASAKA-24 HRS'!K102,'19.10 SEMBABULE MASAKA-24HRS'!K102)</f>
        <v>0</v>
      </c>
      <c r="L102" s="49">
        <f>AVERAGE('18.10 SEMBABULE-MASAKA-24 HRS'!L102,'19.10 SEMBABULE MASAKA-24HRS'!L102)</f>
        <v>0</v>
      </c>
      <c r="M102" s="49">
        <f>AVERAGE('18.10 SEMBABULE-MASAKA-24 HRS'!M102,'19.10 SEMBABULE MASAKA-24HRS'!M102)</f>
        <v>1.5</v>
      </c>
      <c r="N102" s="49">
        <f>AVERAGE('18.10 SEMBABULE-MASAKA-24 HRS'!N102,'19.10 SEMBABULE MASAKA-24HRS'!N102)</f>
        <v>0</v>
      </c>
      <c r="O102" s="15">
        <f t="shared" si="35"/>
        <v>4</v>
      </c>
      <c r="P102" s="15">
        <f t="shared" si="36"/>
        <v>5.5</v>
      </c>
      <c r="R102" s="8"/>
      <c r="T102"/>
    </row>
    <row r="103" spans="2:20" ht="23.1" customHeight="1" x14ac:dyDescent="0.25">
      <c r="B103" s="23" t="s">
        <v>143</v>
      </c>
      <c r="C103" s="49">
        <f>AVERAGE('18.10 SEMBABULE-MASAKA-24 HRS'!C103,'19.10 SEMBABULE MASAKA-24HRS'!C103)</f>
        <v>0.5</v>
      </c>
      <c r="D103" s="49">
        <f>AVERAGE('18.10 SEMBABULE-MASAKA-24 HRS'!D103,'19.10 SEMBABULE MASAKA-24HRS'!D103)</f>
        <v>0.5</v>
      </c>
      <c r="E103" s="49">
        <f>AVERAGE('18.10 SEMBABULE-MASAKA-24 HRS'!E103,'19.10 SEMBABULE MASAKA-24HRS'!E103)</f>
        <v>1</v>
      </c>
      <c r="F103" s="49">
        <f>AVERAGE('18.10 SEMBABULE-MASAKA-24 HRS'!F103,'19.10 SEMBABULE MASAKA-24HRS'!F103)</f>
        <v>1</v>
      </c>
      <c r="G103" s="49">
        <f>AVERAGE('18.10 SEMBABULE-MASAKA-24 HRS'!G103,'19.10 SEMBABULE MASAKA-24HRS'!G103)</f>
        <v>0</v>
      </c>
      <c r="H103" s="49">
        <f>AVERAGE('18.10 SEMBABULE-MASAKA-24 HRS'!H103,'19.10 SEMBABULE MASAKA-24HRS'!H103)</f>
        <v>0</v>
      </c>
      <c r="I103" s="49">
        <f>AVERAGE('18.10 SEMBABULE-MASAKA-24 HRS'!I103,'19.10 SEMBABULE MASAKA-24HRS'!I103)</f>
        <v>0.5</v>
      </c>
      <c r="J103" s="49">
        <f>AVERAGE('18.10 SEMBABULE-MASAKA-24 HRS'!J103,'19.10 SEMBABULE MASAKA-24HRS'!J103)</f>
        <v>0</v>
      </c>
      <c r="K103" s="49">
        <f>AVERAGE('18.10 SEMBABULE-MASAKA-24 HRS'!K103,'19.10 SEMBABULE MASAKA-24HRS'!K103)</f>
        <v>0</v>
      </c>
      <c r="L103" s="49">
        <f>AVERAGE('18.10 SEMBABULE-MASAKA-24 HRS'!L103,'19.10 SEMBABULE MASAKA-24HRS'!L103)</f>
        <v>0</v>
      </c>
      <c r="M103" s="49">
        <f>AVERAGE('18.10 SEMBABULE-MASAKA-24 HRS'!M103,'19.10 SEMBABULE MASAKA-24HRS'!M103)</f>
        <v>3.5</v>
      </c>
      <c r="N103" s="49">
        <f>AVERAGE('18.10 SEMBABULE-MASAKA-24 HRS'!N103,'19.10 SEMBABULE MASAKA-24HRS'!N103)</f>
        <v>0</v>
      </c>
      <c r="O103" s="15">
        <f t="shared" si="35"/>
        <v>3.5</v>
      </c>
      <c r="P103" s="15">
        <f t="shared" si="36"/>
        <v>7</v>
      </c>
      <c r="R103" s="8"/>
      <c r="T103"/>
    </row>
    <row r="104" spans="2:20" ht="23.1" customHeight="1" x14ac:dyDescent="0.25">
      <c r="B104" s="25" t="s">
        <v>144</v>
      </c>
      <c r="C104" s="49">
        <f>AVERAGE('18.10 SEMBABULE-MASAKA-24 HRS'!C104,'19.10 SEMBABULE MASAKA-24HRS'!C104)</f>
        <v>1.5</v>
      </c>
      <c r="D104" s="49">
        <f>AVERAGE('18.10 SEMBABULE-MASAKA-24 HRS'!D104,'19.10 SEMBABULE MASAKA-24HRS'!D104)</f>
        <v>2</v>
      </c>
      <c r="E104" s="49">
        <f>AVERAGE('18.10 SEMBABULE-MASAKA-24 HRS'!E104,'19.10 SEMBABULE MASAKA-24HRS'!E104)</f>
        <v>0.5</v>
      </c>
      <c r="F104" s="49">
        <f>AVERAGE('18.10 SEMBABULE-MASAKA-24 HRS'!F104,'19.10 SEMBABULE MASAKA-24HRS'!F104)</f>
        <v>1.5</v>
      </c>
      <c r="G104" s="49">
        <f>AVERAGE('18.10 SEMBABULE-MASAKA-24 HRS'!G104,'19.10 SEMBABULE MASAKA-24HRS'!G104)</f>
        <v>0</v>
      </c>
      <c r="H104" s="49">
        <f>AVERAGE('18.10 SEMBABULE-MASAKA-24 HRS'!H104,'19.10 SEMBABULE MASAKA-24HRS'!H104)</f>
        <v>0</v>
      </c>
      <c r="I104" s="49">
        <f>AVERAGE('18.10 SEMBABULE-MASAKA-24 HRS'!I104,'19.10 SEMBABULE MASAKA-24HRS'!I104)</f>
        <v>1</v>
      </c>
      <c r="J104" s="49">
        <f>AVERAGE('18.10 SEMBABULE-MASAKA-24 HRS'!J104,'19.10 SEMBABULE MASAKA-24HRS'!J104)</f>
        <v>0.5</v>
      </c>
      <c r="K104" s="49">
        <f>AVERAGE('18.10 SEMBABULE-MASAKA-24 HRS'!K104,'19.10 SEMBABULE MASAKA-24HRS'!K104)</f>
        <v>0</v>
      </c>
      <c r="L104" s="49">
        <f>AVERAGE('18.10 SEMBABULE-MASAKA-24 HRS'!L104,'19.10 SEMBABULE MASAKA-24HRS'!L104)</f>
        <v>0</v>
      </c>
      <c r="M104" s="49">
        <f>AVERAGE('18.10 SEMBABULE-MASAKA-24 HRS'!M104,'19.10 SEMBABULE MASAKA-24HRS'!M104)</f>
        <v>2</v>
      </c>
      <c r="N104" s="49">
        <f>AVERAGE('18.10 SEMBABULE-MASAKA-24 HRS'!N104,'19.10 SEMBABULE MASAKA-24HRS'!N104)</f>
        <v>0</v>
      </c>
      <c r="O104" s="15">
        <f t="shared" si="35"/>
        <v>7</v>
      </c>
      <c r="P104" s="15">
        <f t="shared" si="36"/>
        <v>9</v>
      </c>
      <c r="R104" s="8"/>
      <c r="T104"/>
    </row>
    <row r="105" spans="2:20" ht="23.1" customHeight="1" x14ac:dyDescent="0.25">
      <c r="B105" s="23" t="s">
        <v>145</v>
      </c>
      <c r="C105" s="49">
        <f>AVERAGE('18.10 SEMBABULE-MASAKA-24 HRS'!C105,'19.10 SEMBABULE MASAKA-24HRS'!C105)</f>
        <v>0.5</v>
      </c>
      <c r="D105" s="49">
        <f>AVERAGE('18.10 SEMBABULE-MASAKA-24 HRS'!D105,'19.10 SEMBABULE MASAKA-24HRS'!D105)</f>
        <v>0</v>
      </c>
      <c r="E105" s="49">
        <f>AVERAGE('18.10 SEMBABULE-MASAKA-24 HRS'!E105,'19.10 SEMBABULE MASAKA-24HRS'!E105)</f>
        <v>1</v>
      </c>
      <c r="F105" s="49">
        <f>AVERAGE('18.10 SEMBABULE-MASAKA-24 HRS'!F105,'19.10 SEMBABULE MASAKA-24HRS'!F105)</f>
        <v>0.5</v>
      </c>
      <c r="G105" s="49">
        <f>AVERAGE('18.10 SEMBABULE-MASAKA-24 HRS'!G105,'19.10 SEMBABULE MASAKA-24HRS'!G105)</f>
        <v>0</v>
      </c>
      <c r="H105" s="49">
        <f>AVERAGE('18.10 SEMBABULE-MASAKA-24 HRS'!H105,'19.10 SEMBABULE MASAKA-24HRS'!H105)</f>
        <v>0</v>
      </c>
      <c r="I105" s="49">
        <f>AVERAGE('18.10 SEMBABULE-MASAKA-24 HRS'!I105,'19.10 SEMBABULE MASAKA-24HRS'!I105)</f>
        <v>1.5</v>
      </c>
      <c r="J105" s="49">
        <f>AVERAGE('18.10 SEMBABULE-MASAKA-24 HRS'!J105,'19.10 SEMBABULE MASAKA-24HRS'!J105)</f>
        <v>1</v>
      </c>
      <c r="K105" s="49">
        <f>AVERAGE('18.10 SEMBABULE-MASAKA-24 HRS'!K105,'19.10 SEMBABULE MASAKA-24HRS'!K105)</f>
        <v>0.5</v>
      </c>
      <c r="L105" s="49">
        <f>AVERAGE('18.10 SEMBABULE-MASAKA-24 HRS'!L105,'19.10 SEMBABULE MASAKA-24HRS'!L105)</f>
        <v>0</v>
      </c>
      <c r="M105" s="49">
        <f>AVERAGE('18.10 SEMBABULE-MASAKA-24 HRS'!M105,'19.10 SEMBABULE MASAKA-24HRS'!M105)</f>
        <v>1.5</v>
      </c>
      <c r="N105" s="49">
        <f>AVERAGE('18.10 SEMBABULE-MASAKA-24 HRS'!N105,'19.10 SEMBABULE MASAKA-24HRS'!N105)</f>
        <v>0</v>
      </c>
      <c r="O105" s="15">
        <f t="shared" si="35"/>
        <v>5</v>
      </c>
      <c r="P105" s="15">
        <f t="shared" si="36"/>
        <v>6.5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154.28571428571431</v>
      </c>
      <c r="D106" s="16">
        <f t="shared" ref="D106:P106" si="37">SUM(D10:D105)</f>
        <v>26.642857142857142</v>
      </c>
      <c r="E106" s="16">
        <f t="shared" si="37"/>
        <v>44.285714285714278</v>
      </c>
      <c r="F106" s="16">
        <f t="shared" si="37"/>
        <v>42.35714285714284</v>
      </c>
      <c r="G106" s="16">
        <f t="shared" si="37"/>
        <v>2.0714285714285712</v>
      </c>
      <c r="H106" s="16">
        <f t="shared" si="37"/>
        <v>0.42857142857142855</v>
      </c>
      <c r="I106" s="16">
        <f t="shared" si="37"/>
        <v>76.5</v>
      </c>
      <c r="J106" s="16">
        <f t="shared" si="37"/>
        <v>48.714285714285722</v>
      </c>
      <c r="K106" s="16">
        <f t="shared" si="37"/>
        <v>23.42857142857142</v>
      </c>
      <c r="L106" s="16">
        <f t="shared" si="37"/>
        <v>3.3571428571428572</v>
      </c>
      <c r="M106" s="16">
        <f t="shared" si="37"/>
        <v>419.5</v>
      </c>
      <c r="N106" s="16">
        <f t="shared" si="37"/>
        <v>1.7142857142857144</v>
      </c>
      <c r="O106" s="16">
        <f t="shared" si="37"/>
        <v>423.78571428571433</v>
      </c>
      <c r="P106" s="16">
        <f t="shared" si="37"/>
        <v>843.28571428571433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0.18295781805861427</v>
      </c>
      <c r="D107" s="43">
        <f t="shared" si="38"/>
        <v>3.1594104692529219E-2</v>
      </c>
      <c r="E107" s="43">
        <f t="shared" si="38"/>
        <v>5.2515669998305932E-2</v>
      </c>
      <c r="F107" s="43">
        <f t="shared" si="38"/>
        <v>5.0228697272573244E-2</v>
      </c>
      <c r="G107" s="43">
        <f t="shared" si="38"/>
        <v>2.4563781128239875E-3</v>
      </c>
      <c r="H107" s="43">
        <f t="shared" si="38"/>
        <v>5.0821616127392848E-4</v>
      </c>
      <c r="I107" s="43">
        <f t="shared" si="38"/>
        <v>9.0716584787396234E-2</v>
      </c>
      <c r="J107" s="43">
        <f t="shared" si="38"/>
        <v>5.7767236998136545E-2</v>
      </c>
      <c r="K107" s="43">
        <f t="shared" si="38"/>
        <v>2.7782483482974747E-2</v>
      </c>
      <c r="L107" s="43">
        <f t="shared" si="38"/>
        <v>3.9810265966457731E-3</v>
      </c>
      <c r="M107" s="43">
        <f t="shared" si="38"/>
        <v>0.49745891919363033</v>
      </c>
      <c r="N107" s="43">
        <f t="shared" si="38"/>
        <v>2.0328646450957139E-3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0.36406539693241197</v>
      </c>
      <c r="D108" s="44">
        <f t="shared" ref="D108:N108" si="39">D106/$O$106</f>
        <v>6.2868700488791493E-2</v>
      </c>
      <c r="E108" s="44">
        <f t="shared" si="39"/>
        <v>0.10450025282319228</v>
      </c>
      <c r="F108" s="44">
        <f t="shared" si="39"/>
        <v>9.9949435361537109E-2</v>
      </c>
      <c r="G108" s="44">
        <f t="shared" si="39"/>
        <v>4.8879150514073814E-3</v>
      </c>
      <c r="H108" s="44">
        <f t="shared" si="39"/>
        <v>1.0112927692566996E-3</v>
      </c>
      <c r="I108" s="44">
        <f t="shared" si="39"/>
        <v>0.18051575931232089</v>
      </c>
      <c r="J108" s="44">
        <f t="shared" si="39"/>
        <v>0.11495027810551155</v>
      </c>
      <c r="K108" s="44">
        <f t="shared" si="39"/>
        <v>5.5284004719366231E-2</v>
      </c>
      <c r="L108" s="44">
        <f t="shared" si="39"/>
        <v>7.9217933591774811E-3</v>
      </c>
      <c r="M108" s="44"/>
      <c r="N108" s="44">
        <f t="shared" si="39"/>
        <v>4.0451710770267992E-3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P43" zoomScale="60" workbookViewId="0">
      <selection activeCell="AD51" sqref="AD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3" t="str">
        <f>'23.10 SEMBABULE-MASAKA'!C3:G3</f>
        <v>VIRA MARIA ROAD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1" t="s">
        <v>163</v>
      </c>
      <c r="E5" s="72"/>
      <c r="F5" s="41" t="s">
        <v>1</v>
      </c>
      <c r="G5" s="69" t="str">
        <f>'Avg Week Ssembabule-Masaka'!G5:H5</f>
        <v>KIWUULA TC</v>
      </c>
      <c r="H5" s="70"/>
      <c r="I5" s="14"/>
      <c r="J5" s="2" t="s">
        <v>5</v>
      </c>
      <c r="K5" s="69" t="str">
        <f>'Avg Week Ssembabule-Masaka'!K5:L5</f>
        <v>XXXX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74" t="s">
        <v>161</v>
      </c>
      <c r="E6" s="75"/>
      <c r="F6" s="2" t="s">
        <v>2</v>
      </c>
      <c r="G6" s="74" t="s">
        <v>161</v>
      </c>
      <c r="H6" s="75"/>
      <c r="J6" s="2" t="s">
        <v>21</v>
      </c>
      <c r="K6" s="69" t="str">
        <f>'Avg Week Ssembabule-Masaka'!K6:L6</f>
        <v>GEORGE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Masaka-Ssembabule'!C10+'Avg Week Ssembabule-Masaka'!C10</f>
        <v>3.1428571428571432</v>
      </c>
      <c r="D10" s="49">
        <f>'Avg Week Masaka-Ssembabule'!D10+'Avg Week Ssembabule-Masaka'!D10</f>
        <v>0.14285714285714285</v>
      </c>
      <c r="E10" s="49">
        <f>'Avg Week Masaka-Ssembabule'!E10+'Avg Week Ssembabule-Masaka'!E10</f>
        <v>0</v>
      </c>
      <c r="F10" s="49">
        <f>'Avg Week Masaka-Ssembabule'!F10+'Avg Week Ssembabule-Masaka'!F10</f>
        <v>1.1428571428571428</v>
      </c>
      <c r="G10" s="49">
        <f>'Avg Week Masaka-Ssembabule'!G10+'Avg Week Ssembabule-Masaka'!G10</f>
        <v>0.71428571428571419</v>
      </c>
      <c r="H10" s="49">
        <f>'Avg Week Masaka-Ssembabule'!H10+'Avg Week Ssembabule-Masaka'!H10</f>
        <v>0.14285714285714285</v>
      </c>
      <c r="I10" s="49">
        <f>'Avg Week Masaka-Ssembabule'!I10+'Avg Week Ssembabule-Masaka'!I10</f>
        <v>0.42857142857142855</v>
      </c>
      <c r="J10" s="49">
        <f>'Avg Week Masaka-Ssembabule'!J10+'Avg Week Ssembabule-Masaka'!J10</f>
        <v>0.42857142857142855</v>
      </c>
      <c r="K10" s="49">
        <f>'Avg Week Masaka-Ssembabule'!K10+'Avg Week Ssembabule-Masaka'!K10</f>
        <v>0</v>
      </c>
      <c r="L10" s="49">
        <f>'Avg Week Masaka-Ssembabule'!L10+'Avg Week Ssembabule-Masaka'!L10</f>
        <v>0</v>
      </c>
      <c r="M10" s="49">
        <f>'Avg Week Masaka-Ssembabule'!M10+'Avg Week Ssembabule-Masaka'!M10</f>
        <v>9.5714285714285712</v>
      </c>
      <c r="N10" s="49">
        <f>'Avg Week Masaka-Ssembabule'!N10+'Avg Week Ssembabule-Masaka'!N10</f>
        <v>0</v>
      </c>
      <c r="O10" s="15">
        <f t="shared" ref="O10:O73" si="0">SUM(C10:L10,N10)</f>
        <v>6.1428571428571441</v>
      </c>
      <c r="P10" s="15">
        <f t="shared" ref="P10:P73" si="1">SUM(C10:N10)</f>
        <v>15.714285714285715</v>
      </c>
      <c r="R10" s="1" t="s">
        <v>6</v>
      </c>
      <c r="S10" s="17">
        <f t="shared" ref="S10:AF10" si="2">SUM(C10:C13)</f>
        <v>12.571428571428571</v>
      </c>
      <c r="T10" s="17">
        <f t="shared" si="2"/>
        <v>1</v>
      </c>
      <c r="U10" s="17">
        <f t="shared" si="2"/>
        <v>2.4285714285714284</v>
      </c>
      <c r="V10" s="17">
        <f t="shared" si="2"/>
        <v>1.9999999999999996</v>
      </c>
      <c r="W10" s="17">
        <f t="shared" si="2"/>
        <v>1.1428571428571428</v>
      </c>
      <c r="X10" s="17">
        <f t="shared" si="2"/>
        <v>0.42857142857142855</v>
      </c>
      <c r="Y10" s="17">
        <f t="shared" si="2"/>
        <v>6.5714285714285712</v>
      </c>
      <c r="Z10" s="17">
        <f t="shared" si="2"/>
        <v>2.2857142857142856</v>
      </c>
      <c r="AA10" s="17">
        <f t="shared" si="2"/>
        <v>1.2857142857142856</v>
      </c>
      <c r="AB10" s="17">
        <f t="shared" si="2"/>
        <v>0</v>
      </c>
      <c r="AC10" s="17">
        <f t="shared" si="2"/>
        <v>37.428571428571431</v>
      </c>
      <c r="AD10" s="17">
        <f t="shared" si="2"/>
        <v>0.14285714285714285</v>
      </c>
      <c r="AE10" s="31">
        <f t="shared" si="2"/>
        <v>29.857142857142858</v>
      </c>
      <c r="AF10" s="31">
        <f t="shared" si="2"/>
        <v>67.285714285714292</v>
      </c>
    </row>
    <row r="11" spans="2:32" s="6" customFormat="1" ht="23.1" customHeight="1" x14ac:dyDescent="0.25">
      <c r="B11" s="23" t="s">
        <v>38</v>
      </c>
      <c r="C11" s="49">
        <f>'Avg Week Masaka-Ssembabule'!C11+'Avg Week Ssembabule-Masaka'!C11</f>
        <v>2</v>
      </c>
      <c r="D11" s="49">
        <f>'Avg Week Masaka-Ssembabule'!D11+'Avg Week Ssembabule-Masaka'!D11</f>
        <v>0.2857142857142857</v>
      </c>
      <c r="E11" s="49">
        <f>'Avg Week Masaka-Ssembabule'!E11+'Avg Week Ssembabule-Masaka'!E11</f>
        <v>0.2857142857142857</v>
      </c>
      <c r="F11" s="49">
        <f>'Avg Week Masaka-Ssembabule'!F11+'Avg Week Ssembabule-Masaka'!F11</f>
        <v>0.2857142857142857</v>
      </c>
      <c r="G11" s="49">
        <f>'Avg Week Masaka-Ssembabule'!G11+'Avg Week Ssembabule-Masaka'!G11</f>
        <v>0</v>
      </c>
      <c r="H11" s="49">
        <f>'Avg Week Masaka-Ssembabule'!H11+'Avg Week Ssembabule-Masaka'!H11</f>
        <v>0.2857142857142857</v>
      </c>
      <c r="I11" s="49">
        <f>'Avg Week Masaka-Ssembabule'!I11+'Avg Week Ssembabule-Masaka'!I11</f>
        <v>1</v>
      </c>
      <c r="J11" s="49">
        <f>'Avg Week Masaka-Ssembabule'!J11+'Avg Week Ssembabule-Masaka'!J11</f>
        <v>0.85714285714285721</v>
      </c>
      <c r="K11" s="49">
        <f>'Avg Week Masaka-Ssembabule'!K11+'Avg Week Ssembabule-Masaka'!K11</f>
        <v>0.14285714285714285</v>
      </c>
      <c r="L11" s="49">
        <f>'Avg Week Masaka-Ssembabule'!L11+'Avg Week Ssembabule-Masaka'!L11</f>
        <v>0</v>
      </c>
      <c r="M11" s="49">
        <f>'Avg Week Masaka-Ssembabule'!M11+'Avg Week Ssembabule-Masaka'!M11</f>
        <v>9.4285714285714288</v>
      </c>
      <c r="N11" s="49">
        <f>'Avg Week Masaka-Ssembabule'!N11+'Avg Week Ssembabule-Masaka'!N11</f>
        <v>0</v>
      </c>
      <c r="O11" s="15">
        <f t="shared" si="0"/>
        <v>5.1428571428571432</v>
      </c>
      <c r="P11" s="15">
        <f t="shared" si="1"/>
        <v>14.571428571428573</v>
      </c>
      <c r="R11" s="1" t="s">
        <v>7</v>
      </c>
      <c r="S11" s="17">
        <f t="shared" ref="S11:AF11" si="3">SUM(C14:C17)</f>
        <v>15.571428571428573</v>
      </c>
      <c r="T11" s="17">
        <f t="shared" si="3"/>
        <v>1.4285714285714284</v>
      </c>
      <c r="U11" s="17">
        <f t="shared" si="3"/>
        <v>5.7142857142857135</v>
      </c>
      <c r="V11" s="17">
        <f t="shared" si="3"/>
        <v>6.5714285714285712</v>
      </c>
      <c r="W11" s="17">
        <f t="shared" si="3"/>
        <v>0</v>
      </c>
      <c r="X11" s="17">
        <f t="shared" si="3"/>
        <v>0</v>
      </c>
      <c r="Y11" s="17">
        <f t="shared" si="3"/>
        <v>9.8571428571428577</v>
      </c>
      <c r="Z11" s="17">
        <f t="shared" si="3"/>
        <v>2.5714285714285712</v>
      </c>
      <c r="AA11" s="17">
        <f t="shared" si="3"/>
        <v>2.2857142857142856</v>
      </c>
      <c r="AB11" s="17">
        <f t="shared" si="3"/>
        <v>0</v>
      </c>
      <c r="AC11" s="17">
        <f t="shared" si="3"/>
        <v>45</v>
      </c>
      <c r="AD11" s="17">
        <f t="shared" si="3"/>
        <v>0.14285714285714285</v>
      </c>
      <c r="AE11" s="31">
        <f t="shared" si="3"/>
        <v>44.142857142857139</v>
      </c>
      <c r="AF11" s="31">
        <f t="shared" si="3"/>
        <v>89.142857142857139</v>
      </c>
    </row>
    <row r="12" spans="2:32" ht="23.1" customHeight="1" x14ac:dyDescent="0.25">
      <c r="B12" s="23" t="s">
        <v>39</v>
      </c>
      <c r="C12" s="49">
        <f>'Avg Week Masaka-Ssembabule'!C12+'Avg Week Ssembabule-Masaka'!C12</f>
        <v>2.4285714285714284</v>
      </c>
      <c r="D12" s="49">
        <f>'Avg Week Masaka-Ssembabule'!D12+'Avg Week Ssembabule-Masaka'!D12</f>
        <v>0.14285714285714285</v>
      </c>
      <c r="E12" s="49">
        <f>'Avg Week Masaka-Ssembabule'!E12+'Avg Week Ssembabule-Masaka'!E12</f>
        <v>0.8571428571428571</v>
      </c>
      <c r="F12" s="49">
        <f>'Avg Week Masaka-Ssembabule'!F12+'Avg Week Ssembabule-Masaka'!F12</f>
        <v>0.2857142857142857</v>
      </c>
      <c r="G12" s="49">
        <f>'Avg Week Masaka-Ssembabule'!G12+'Avg Week Ssembabule-Masaka'!G12</f>
        <v>0.2857142857142857</v>
      </c>
      <c r="H12" s="49">
        <f>'Avg Week Masaka-Ssembabule'!H12+'Avg Week Ssembabule-Masaka'!H12</f>
        <v>0</v>
      </c>
      <c r="I12" s="49">
        <f>'Avg Week Masaka-Ssembabule'!I12+'Avg Week Ssembabule-Masaka'!I12</f>
        <v>2.1428571428571428</v>
      </c>
      <c r="J12" s="49">
        <f>'Avg Week Masaka-Ssembabule'!J12+'Avg Week Ssembabule-Masaka'!J12</f>
        <v>0.5714285714285714</v>
      </c>
      <c r="K12" s="49">
        <f>'Avg Week Masaka-Ssembabule'!K12+'Avg Week Ssembabule-Masaka'!K12</f>
        <v>0.71428571428571419</v>
      </c>
      <c r="L12" s="49">
        <f>'Avg Week Masaka-Ssembabule'!L12+'Avg Week Ssembabule-Masaka'!L12</f>
        <v>0</v>
      </c>
      <c r="M12" s="49">
        <f>'Avg Week Masaka-Ssembabule'!M12+'Avg Week Ssembabule-Masaka'!M12</f>
        <v>9</v>
      </c>
      <c r="N12" s="49">
        <f>'Avg Week Masaka-Ssembabule'!N12+'Avg Week Ssembabule-Masaka'!N12</f>
        <v>0</v>
      </c>
      <c r="O12" s="15">
        <f t="shared" si="0"/>
        <v>7.4285714285714279</v>
      </c>
      <c r="P12" s="15">
        <f t="shared" si="1"/>
        <v>16.428571428571427</v>
      </c>
      <c r="R12" s="1" t="s">
        <v>8</v>
      </c>
      <c r="S12" s="17">
        <f t="shared" ref="S12:AF12" si="4">SUM(C18:C21)</f>
        <v>17.714285714285715</v>
      </c>
      <c r="T12" s="17">
        <f t="shared" si="4"/>
        <v>2.1428571428571428</v>
      </c>
      <c r="U12" s="17">
        <f t="shared" si="4"/>
        <v>3.1428571428571428</v>
      </c>
      <c r="V12" s="17">
        <f t="shared" si="4"/>
        <v>5.7142857142857153</v>
      </c>
      <c r="W12" s="17">
        <f t="shared" si="4"/>
        <v>0</v>
      </c>
      <c r="X12" s="17">
        <f t="shared" si="4"/>
        <v>0</v>
      </c>
      <c r="Y12" s="17">
        <f t="shared" si="4"/>
        <v>7.7142857142857153</v>
      </c>
      <c r="Z12" s="17">
        <f t="shared" si="4"/>
        <v>2.8571428571428572</v>
      </c>
      <c r="AA12" s="17">
        <f t="shared" si="4"/>
        <v>2.2857142857142856</v>
      </c>
      <c r="AB12" s="17">
        <f t="shared" si="4"/>
        <v>0.14285714285714285</v>
      </c>
      <c r="AC12" s="17">
        <f t="shared" si="4"/>
        <v>41.142857142857146</v>
      </c>
      <c r="AD12" s="17">
        <f t="shared" si="4"/>
        <v>0</v>
      </c>
      <c r="AE12" s="31">
        <f t="shared" si="4"/>
        <v>41.714285714285715</v>
      </c>
      <c r="AF12" s="31">
        <f t="shared" si="4"/>
        <v>82.857142857142861</v>
      </c>
    </row>
    <row r="13" spans="2:32" ht="23.1" customHeight="1" x14ac:dyDescent="0.25">
      <c r="B13" s="23" t="s">
        <v>40</v>
      </c>
      <c r="C13" s="49">
        <f>'Avg Week Masaka-Ssembabule'!C13+'Avg Week Ssembabule-Masaka'!C13</f>
        <v>5</v>
      </c>
      <c r="D13" s="49">
        <f>'Avg Week Masaka-Ssembabule'!D13+'Avg Week Ssembabule-Masaka'!D13</f>
        <v>0.42857142857142855</v>
      </c>
      <c r="E13" s="49">
        <f>'Avg Week Masaka-Ssembabule'!E13+'Avg Week Ssembabule-Masaka'!E13</f>
        <v>1.2857142857142856</v>
      </c>
      <c r="F13" s="49">
        <f>'Avg Week Masaka-Ssembabule'!F13+'Avg Week Ssembabule-Masaka'!F13</f>
        <v>0.2857142857142857</v>
      </c>
      <c r="G13" s="49">
        <f>'Avg Week Masaka-Ssembabule'!G13+'Avg Week Ssembabule-Masaka'!G13</f>
        <v>0.14285714285714285</v>
      </c>
      <c r="H13" s="49">
        <f>'Avg Week Masaka-Ssembabule'!H13+'Avg Week Ssembabule-Masaka'!H13</f>
        <v>0</v>
      </c>
      <c r="I13" s="49">
        <f>'Avg Week Masaka-Ssembabule'!I13+'Avg Week Ssembabule-Masaka'!I13</f>
        <v>3</v>
      </c>
      <c r="J13" s="49">
        <f>'Avg Week Masaka-Ssembabule'!J13+'Avg Week Ssembabule-Masaka'!J13</f>
        <v>0.42857142857142855</v>
      </c>
      <c r="K13" s="49">
        <f>'Avg Week Masaka-Ssembabule'!K13+'Avg Week Ssembabule-Masaka'!K13</f>
        <v>0.42857142857142855</v>
      </c>
      <c r="L13" s="49">
        <f>'Avg Week Masaka-Ssembabule'!L13+'Avg Week Ssembabule-Masaka'!L13</f>
        <v>0</v>
      </c>
      <c r="M13" s="49">
        <f>'Avg Week Masaka-Ssembabule'!M13+'Avg Week Ssembabule-Masaka'!M13</f>
        <v>9.4285714285714288</v>
      </c>
      <c r="N13" s="49">
        <f>'Avg Week Masaka-Ssembabule'!N13+'Avg Week Ssembabule-Masaka'!N13</f>
        <v>0.14285714285714285</v>
      </c>
      <c r="O13" s="15">
        <f t="shared" si="0"/>
        <v>11.142857142857142</v>
      </c>
      <c r="P13" s="15">
        <f t="shared" si="1"/>
        <v>20.571428571428573</v>
      </c>
      <c r="R13" s="1" t="s">
        <v>9</v>
      </c>
      <c r="S13" s="17">
        <f t="shared" ref="S13:AF13" si="5">SUM(C22:C25)</f>
        <v>17.285714285714285</v>
      </c>
      <c r="T13" s="17">
        <f t="shared" si="5"/>
        <v>2.4285714285714284</v>
      </c>
      <c r="U13" s="17">
        <f t="shared" si="5"/>
        <v>3.5714285714285712</v>
      </c>
      <c r="V13" s="17">
        <f t="shared" si="5"/>
        <v>4.8571428571428577</v>
      </c>
      <c r="W13" s="17">
        <f t="shared" si="5"/>
        <v>0</v>
      </c>
      <c r="X13" s="17">
        <f t="shared" si="5"/>
        <v>0</v>
      </c>
      <c r="Y13" s="17">
        <f t="shared" si="5"/>
        <v>8.5714285714285712</v>
      </c>
      <c r="Z13" s="17">
        <f t="shared" si="5"/>
        <v>4.4285714285714288</v>
      </c>
      <c r="AA13" s="17">
        <f t="shared" si="5"/>
        <v>4</v>
      </c>
      <c r="AB13" s="17">
        <f t="shared" si="5"/>
        <v>0.42857142857142855</v>
      </c>
      <c r="AC13" s="17">
        <f t="shared" si="5"/>
        <v>45.285714285714292</v>
      </c>
      <c r="AD13" s="17">
        <f t="shared" si="5"/>
        <v>0.14285714285714285</v>
      </c>
      <c r="AE13" s="31">
        <f t="shared" si="5"/>
        <v>45.714285714285715</v>
      </c>
      <c r="AF13" s="31">
        <f t="shared" si="5"/>
        <v>91</v>
      </c>
    </row>
    <row r="14" spans="2:32" ht="23.1" customHeight="1" x14ac:dyDescent="0.25">
      <c r="B14" s="23" t="s">
        <v>41</v>
      </c>
      <c r="C14" s="49">
        <f>'Avg Week Masaka-Ssembabule'!C14+'Avg Week Ssembabule-Masaka'!C14</f>
        <v>4.8571428571428577</v>
      </c>
      <c r="D14" s="49">
        <f>'Avg Week Masaka-Ssembabule'!D14+'Avg Week Ssembabule-Masaka'!D14</f>
        <v>0.14285714285714285</v>
      </c>
      <c r="E14" s="49">
        <f>'Avg Week Masaka-Ssembabule'!E14+'Avg Week Ssembabule-Masaka'!E14</f>
        <v>1.1428571428571428</v>
      </c>
      <c r="F14" s="49">
        <f>'Avg Week Masaka-Ssembabule'!F14+'Avg Week Ssembabule-Masaka'!F14</f>
        <v>1</v>
      </c>
      <c r="G14" s="49">
        <f>'Avg Week Masaka-Ssembabule'!G14+'Avg Week Ssembabule-Masaka'!G14</f>
        <v>0</v>
      </c>
      <c r="H14" s="49">
        <f>'Avg Week Masaka-Ssembabule'!H14+'Avg Week Ssembabule-Masaka'!H14</f>
        <v>0</v>
      </c>
      <c r="I14" s="49">
        <f>'Avg Week Masaka-Ssembabule'!I14+'Avg Week Ssembabule-Masaka'!I14</f>
        <v>3.1428571428571428</v>
      </c>
      <c r="J14" s="49">
        <f>'Avg Week Masaka-Ssembabule'!J14+'Avg Week Ssembabule-Masaka'!J14</f>
        <v>0.2857142857142857</v>
      </c>
      <c r="K14" s="49">
        <f>'Avg Week Masaka-Ssembabule'!K14+'Avg Week Ssembabule-Masaka'!K14</f>
        <v>0.7142857142857143</v>
      </c>
      <c r="L14" s="49">
        <f>'Avg Week Masaka-Ssembabule'!L14+'Avg Week Ssembabule-Masaka'!L14</f>
        <v>0</v>
      </c>
      <c r="M14" s="49">
        <f>'Avg Week Masaka-Ssembabule'!M14+'Avg Week Ssembabule-Masaka'!M14</f>
        <v>9.571428571428573</v>
      </c>
      <c r="N14" s="49">
        <f>'Avg Week Masaka-Ssembabule'!N14+'Avg Week Ssembabule-Masaka'!N14</f>
        <v>0</v>
      </c>
      <c r="O14" s="15">
        <f t="shared" si="0"/>
        <v>11.285714285714286</v>
      </c>
      <c r="P14" s="15">
        <f t="shared" si="1"/>
        <v>20.857142857142861</v>
      </c>
      <c r="R14" s="1" t="s">
        <v>10</v>
      </c>
      <c r="S14" s="17">
        <f t="shared" ref="S14:AF14" si="6">SUM(C26:C29)</f>
        <v>20.142857142857142</v>
      </c>
      <c r="T14" s="17">
        <f t="shared" si="6"/>
        <v>2</v>
      </c>
      <c r="U14" s="17">
        <f t="shared" si="6"/>
        <v>5</v>
      </c>
      <c r="V14" s="17">
        <f t="shared" si="6"/>
        <v>1.9999999999999998</v>
      </c>
      <c r="W14" s="17">
        <f t="shared" si="6"/>
        <v>0</v>
      </c>
      <c r="X14" s="17">
        <f t="shared" si="6"/>
        <v>0</v>
      </c>
      <c r="Y14" s="17">
        <f t="shared" si="6"/>
        <v>7.8571428571428568</v>
      </c>
      <c r="Z14" s="17">
        <f t="shared" si="6"/>
        <v>3.4285714285714284</v>
      </c>
      <c r="AA14" s="17">
        <f t="shared" si="6"/>
        <v>2.5714285714285712</v>
      </c>
      <c r="AB14" s="17">
        <f t="shared" si="6"/>
        <v>0.14285714285714285</v>
      </c>
      <c r="AC14" s="17">
        <f t="shared" si="6"/>
        <v>53.571428571428569</v>
      </c>
      <c r="AD14" s="17">
        <f t="shared" si="6"/>
        <v>0</v>
      </c>
      <c r="AE14" s="31">
        <f t="shared" si="6"/>
        <v>43.142857142857139</v>
      </c>
      <c r="AF14" s="31">
        <f t="shared" si="6"/>
        <v>96.714285714285708</v>
      </c>
    </row>
    <row r="15" spans="2:32" ht="23.1" customHeight="1" x14ac:dyDescent="0.25">
      <c r="B15" s="23" t="s">
        <v>42</v>
      </c>
      <c r="C15" s="49">
        <f>'Avg Week Masaka-Ssembabule'!C15+'Avg Week Ssembabule-Masaka'!C15</f>
        <v>4</v>
      </c>
      <c r="D15" s="49">
        <f>'Avg Week Masaka-Ssembabule'!D15+'Avg Week Ssembabule-Masaka'!D15</f>
        <v>0.5714285714285714</v>
      </c>
      <c r="E15" s="49">
        <f>'Avg Week Masaka-Ssembabule'!E15+'Avg Week Ssembabule-Masaka'!E15</f>
        <v>2.1428571428571428</v>
      </c>
      <c r="F15" s="49">
        <f>'Avg Week Masaka-Ssembabule'!F15+'Avg Week Ssembabule-Masaka'!F15</f>
        <v>1.4285714285714286</v>
      </c>
      <c r="G15" s="49">
        <f>'Avg Week Masaka-Ssembabule'!G15+'Avg Week Ssembabule-Masaka'!G15</f>
        <v>0</v>
      </c>
      <c r="H15" s="49">
        <f>'Avg Week Masaka-Ssembabule'!H15+'Avg Week Ssembabule-Masaka'!H15</f>
        <v>0</v>
      </c>
      <c r="I15" s="49">
        <f>'Avg Week Masaka-Ssembabule'!I15+'Avg Week Ssembabule-Masaka'!I15</f>
        <v>2.8571428571428568</v>
      </c>
      <c r="J15" s="49">
        <f>'Avg Week Masaka-Ssembabule'!J15+'Avg Week Ssembabule-Masaka'!J15</f>
        <v>0.71428571428571419</v>
      </c>
      <c r="K15" s="49">
        <f>'Avg Week Masaka-Ssembabule'!K15+'Avg Week Ssembabule-Masaka'!K15</f>
        <v>0.7142857142857143</v>
      </c>
      <c r="L15" s="49">
        <f>'Avg Week Masaka-Ssembabule'!L15+'Avg Week Ssembabule-Masaka'!L15</f>
        <v>0</v>
      </c>
      <c r="M15" s="49">
        <f>'Avg Week Masaka-Ssembabule'!M15+'Avg Week Ssembabule-Masaka'!M15</f>
        <v>11.428571428571429</v>
      </c>
      <c r="N15" s="49">
        <f>'Avg Week Masaka-Ssembabule'!N15+'Avg Week Ssembabule-Masaka'!N15</f>
        <v>0.14285714285714285</v>
      </c>
      <c r="O15" s="15">
        <f t="shared" si="0"/>
        <v>12.571428571428569</v>
      </c>
      <c r="P15" s="15">
        <f t="shared" si="1"/>
        <v>23.999999999999996</v>
      </c>
      <c r="R15" s="1" t="s">
        <v>11</v>
      </c>
      <c r="S15" s="17">
        <f t="shared" ref="S15:AF15" si="7">SUM(C30:C33)</f>
        <v>20.857142857142861</v>
      </c>
      <c r="T15" s="17">
        <f t="shared" si="7"/>
        <v>2.1428571428571428</v>
      </c>
      <c r="U15" s="17">
        <f t="shared" si="7"/>
        <v>7.5714285714285712</v>
      </c>
      <c r="V15" s="17">
        <f t="shared" si="7"/>
        <v>2.1428571428571428</v>
      </c>
      <c r="W15" s="17">
        <f t="shared" si="7"/>
        <v>0.14285714285714285</v>
      </c>
      <c r="X15" s="17">
        <f t="shared" si="7"/>
        <v>0</v>
      </c>
      <c r="Y15" s="17">
        <f t="shared" si="7"/>
        <v>7</v>
      </c>
      <c r="Z15" s="17">
        <f t="shared" si="7"/>
        <v>4.1428571428571423</v>
      </c>
      <c r="AA15" s="17">
        <f t="shared" si="7"/>
        <v>4.2857142857142856</v>
      </c>
      <c r="AB15" s="17">
        <f t="shared" si="7"/>
        <v>0</v>
      </c>
      <c r="AC15" s="17">
        <f t="shared" si="7"/>
        <v>49.857142857142854</v>
      </c>
      <c r="AD15" s="17">
        <f t="shared" si="7"/>
        <v>0</v>
      </c>
      <c r="AE15" s="31">
        <f t="shared" si="7"/>
        <v>48.285714285714278</v>
      </c>
      <c r="AF15" s="31">
        <f t="shared" si="7"/>
        <v>98.142857142857139</v>
      </c>
    </row>
    <row r="16" spans="2:32" ht="23.1" customHeight="1" x14ac:dyDescent="0.25">
      <c r="B16" s="23" t="s">
        <v>43</v>
      </c>
      <c r="C16" s="49">
        <f>'Avg Week Masaka-Ssembabule'!C16+'Avg Week Ssembabule-Masaka'!C16</f>
        <v>1.8571428571428572</v>
      </c>
      <c r="D16" s="49">
        <f>'Avg Week Masaka-Ssembabule'!D16+'Avg Week Ssembabule-Masaka'!D16</f>
        <v>0.42857142857142855</v>
      </c>
      <c r="E16" s="49">
        <f>'Avg Week Masaka-Ssembabule'!E16+'Avg Week Ssembabule-Masaka'!E16</f>
        <v>1.8571428571428572</v>
      </c>
      <c r="F16" s="49">
        <f>'Avg Week Masaka-Ssembabule'!F16+'Avg Week Ssembabule-Masaka'!F16</f>
        <v>2.2857142857142856</v>
      </c>
      <c r="G16" s="49">
        <f>'Avg Week Masaka-Ssembabule'!G16+'Avg Week Ssembabule-Masaka'!G16</f>
        <v>0</v>
      </c>
      <c r="H16" s="49">
        <f>'Avg Week Masaka-Ssembabule'!H16+'Avg Week Ssembabule-Masaka'!H16</f>
        <v>0</v>
      </c>
      <c r="I16" s="49">
        <f>'Avg Week Masaka-Ssembabule'!I16+'Avg Week Ssembabule-Masaka'!I16</f>
        <v>1.8571428571428572</v>
      </c>
      <c r="J16" s="49">
        <f>'Avg Week Masaka-Ssembabule'!J16+'Avg Week Ssembabule-Masaka'!J16</f>
        <v>1.1428571428571428</v>
      </c>
      <c r="K16" s="49">
        <f>'Avg Week Masaka-Ssembabule'!K16+'Avg Week Ssembabule-Masaka'!K16</f>
        <v>0.14285714285714285</v>
      </c>
      <c r="L16" s="49">
        <f>'Avg Week Masaka-Ssembabule'!L16+'Avg Week Ssembabule-Masaka'!L16</f>
        <v>0</v>
      </c>
      <c r="M16" s="49">
        <f>'Avg Week Masaka-Ssembabule'!M16+'Avg Week Ssembabule-Masaka'!M16</f>
        <v>12</v>
      </c>
      <c r="N16" s="49">
        <f>'Avg Week Masaka-Ssembabule'!N16+'Avg Week Ssembabule-Masaka'!N16</f>
        <v>0</v>
      </c>
      <c r="O16" s="15">
        <f t="shared" si="0"/>
        <v>9.5714285714285694</v>
      </c>
      <c r="P16" s="15">
        <f t="shared" si="1"/>
        <v>21.571428571428569</v>
      </c>
      <c r="R16" s="1" t="s">
        <v>12</v>
      </c>
      <c r="S16" s="17">
        <f t="shared" ref="S16:AF16" si="8">SUM(C34:C37)</f>
        <v>16.285714285714285</v>
      </c>
      <c r="T16" s="17">
        <f t="shared" si="8"/>
        <v>1.7142857142857142</v>
      </c>
      <c r="U16" s="17">
        <f t="shared" si="8"/>
        <v>6.2857142857142856</v>
      </c>
      <c r="V16" s="17">
        <f t="shared" si="8"/>
        <v>2.9999999999999996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2.8571428571428568</v>
      </c>
      <c r="AA16" s="17">
        <f t="shared" si="8"/>
        <v>2</v>
      </c>
      <c r="AB16" s="17">
        <f t="shared" si="8"/>
        <v>0</v>
      </c>
      <c r="AC16" s="17">
        <f t="shared" si="8"/>
        <v>60.285714285714285</v>
      </c>
      <c r="AD16" s="17">
        <f t="shared" si="8"/>
        <v>1.4285714285714286</v>
      </c>
      <c r="AE16" s="31">
        <f t="shared" si="8"/>
        <v>42.571428571428569</v>
      </c>
      <c r="AF16" s="31">
        <f t="shared" si="8"/>
        <v>102.85714285714286</v>
      </c>
    </row>
    <row r="17" spans="2:32" ht="23.1" customHeight="1" x14ac:dyDescent="0.25">
      <c r="B17" s="23" t="s">
        <v>44</v>
      </c>
      <c r="C17" s="49">
        <f>'Avg Week Masaka-Ssembabule'!C17+'Avg Week Ssembabule-Masaka'!C17</f>
        <v>4.8571428571428568</v>
      </c>
      <c r="D17" s="49">
        <f>'Avg Week Masaka-Ssembabule'!D17+'Avg Week Ssembabule-Masaka'!D17</f>
        <v>0.2857142857142857</v>
      </c>
      <c r="E17" s="49">
        <f>'Avg Week Masaka-Ssembabule'!E17+'Avg Week Ssembabule-Masaka'!E17</f>
        <v>0.5714285714285714</v>
      </c>
      <c r="F17" s="49">
        <f>'Avg Week Masaka-Ssembabule'!F17+'Avg Week Ssembabule-Masaka'!F17</f>
        <v>1.8571428571428572</v>
      </c>
      <c r="G17" s="49">
        <f>'Avg Week Masaka-Ssembabule'!G17+'Avg Week Ssembabule-Masaka'!G17</f>
        <v>0</v>
      </c>
      <c r="H17" s="49">
        <f>'Avg Week Masaka-Ssembabule'!H17+'Avg Week Ssembabule-Masaka'!H17</f>
        <v>0</v>
      </c>
      <c r="I17" s="49">
        <f>'Avg Week Masaka-Ssembabule'!I17+'Avg Week Ssembabule-Masaka'!I17</f>
        <v>2</v>
      </c>
      <c r="J17" s="49">
        <f>'Avg Week Masaka-Ssembabule'!J17+'Avg Week Ssembabule-Masaka'!J17</f>
        <v>0.42857142857142855</v>
      </c>
      <c r="K17" s="49">
        <f>'Avg Week Masaka-Ssembabule'!K17+'Avg Week Ssembabule-Masaka'!K17</f>
        <v>0.71428571428571419</v>
      </c>
      <c r="L17" s="49">
        <f>'Avg Week Masaka-Ssembabule'!L17+'Avg Week Ssembabule-Masaka'!L17</f>
        <v>0</v>
      </c>
      <c r="M17" s="49">
        <f>'Avg Week Masaka-Ssembabule'!M17+'Avg Week Ssembabule-Masaka'!M17</f>
        <v>12</v>
      </c>
      <c r="N17" s="49">
        <f>'Avg Week Masaka-Ssembabule'!N17+'Avg Week Ssembabule-Masaka'!N17</f>
        <v>0</v>
      </c>
      <c r="O17" s="15">
        <f t="shared" si="0"/>
        <v>10.714285714285714</v>
      </c>
      <c r="P17" s="15">
        <f t="shared" si="1"/>
        <v>22.714285714285715</v>
      </c>
      <c r="R17" s="1" t="s">
        <v>13</v>
      </c>
      <c r="S17" s="17">
        <f t="shared" ref="S17:AF17" si="9">SUM(C38:C41)</f>
        <v>15.571428571428573</v>
      </c>
      <c r="T17" s="17">
        <f t="shared" si="9"/>
        <v>2.7142857142857144</v>
      </c>
      <c r="U17" s="17">
        <f t="shared" si="9"/>
        <v>4.7142857142857144</v>
      </c>
      <c r="V17" s="17">
        <f t="shared" si="9"/>
        <v>5.7142857142857135</v>
      </c>
      <c r="W17" s="17">
        <f t="shared" si="9"/>
        <v>0.14285714285714285</v>
      </c>
      <c r="X17" s="17">
        <f t="shared" si="9"/>
        <v>0</v>
      </c>
      <c r="Y17" s="17">
        <f t="shared" si="9"/>
        <v>7.8571428571428577</v>
      </c>
      <c r="Z17" s="17">
        <f t="shared" si="9"/>
        <v>4.4285714285714288</v>
      </c>
      <c r="AA17" s="17">
        <f t="shared" si="9"/>
        <v>3.1428571428571428</v>
      </c>
      <c r="AB17" s="17">
        <f t="shared" si="9"/>
        <v>0.14285714285714285</v>
      </c>
      <c r="AC17" s="17">
        <f t="shared" si="9"/>
        <v>54.142857142857139</v>
      </c>
      <c r="AD17" s="17">
        <f t="shared" si="9"/>
        <v>0</v>
      </c>
      <c r="AE17" s="31">
        <f t="shared" si="9"/>
        <v>44.428571428571416</v>
      </c>
      <c r="AF17" s="31">
        <f t="shared" si="9"/>
        <v>98.571428571428569</v>
      </c>
    </row>
    <row r="18" spans="2:32" ht="23.1" customHeight="1" x14ac:dyDescent="0.25">
      <c r="B18" s="23" t="s">
        <v>45</v>
      </c>
      <c r="C18" s="49">
        <f>'Avg Week Masaka-Ssembabule'!C18+'Avg Week Ssembabule-Masaka'!C18</f>
        <v>3.8571428571428572</v>
      </c>
      <c r="D18" s="49">
        <f>'Avg Week Masaka-Ssembabule'!D18+'Avg Week Ssembabule-Masaka'!D18</f>
        <v>0.2857142857142857</v>
      </c>
      <c r="E18" s="49">
        <f>'Avg Week Masaka-Ssembabule'!E18+'Avg Week Ssembabule-Masaka'!E18</f>
        <v>0.5714285714285714</v>
      </c>
      <c r="F18" s="49">
        <f>'Avg Week Masaka-Ssembabule'!F18+'Avg Week Ssembabule-Masaka'!F18</f>
        <v>1.4285714285714284</v>
      </c>
      <c r="G18" s="49">
        <f>'Avg Week Masaka-Ssembabule'!G18+'Avg Week Ssembabule-Masaka'!G18</f>
        <v>0</v>
      </c>
      <c r="H18" s="49">
        <f>'Avg Week Masaka-Ssembabule'!H18+'Avg Week Ssembabule-Masaka'!H18</f>
        <v>0</v>
      </c>
      <c r="I18" s="49">
        <f>'Avg Week Masaka-Ssembabule'!I18+'Avg Week Ssembabule-Masaka'!I18</f>
        <v>1.4285714285714284</v>
      </c>
      <c r="J18" s="49">
        <f>'Avg Week Masaka-Ssembabule'!J18+'Avg Week Ssembabule-Masaka'!J18</f>
        <v>0.2857142857142857</v>
      </c>
      <c r="K18" s="49">
        <f>'Avg Week Masaka-Ssembabule'!K18+'Avg Week Ssembabule-Masaka'!K18</f>
        <v>0.2857142857142857</v>
      </c>
      <c r="L18" s="49">
        <f>'Avg Week Masaka-Ssembabule'!L18+'Avg Week Ssembabule-Masaka'!L18</f>
        <v>0.14285714285714285</v>
      </c>
      <c r="M18" s="49">
        <f>'Avg Week Masaka-Ssembabule'!M18+'Avg Week Ssembabule-Masaka'!M18</f>
        <v>9.2857142857142847</v>
      </c>
      <c r="N18" s="49">
        <f>'Avg Week Masaka-Ssembabule'!N18+'Avg Week Ssembabule-Masaka'!N18</f>
        <v>0</v>
      </c>
      <c r="O18" s="15">
        <f t="shared" si="0"/>
        <v>8.2857142857142847</v>
      </c>
      <c r="P18" s="15">
        <f t="shared" si="1"/>
        <v>17.571428571428569</v>
      </c>
      <c r="R18" s="1" t="s">
        <v>14</v>
      </c>
      <c r="S18" s="17">
        <f t="shared" ref="S18:AF18" si="10">SUM(C42:C45)</f>
        <v>18.428571428571431</v>
      </c>
      <c r="T18" s="17">
        <f t="shared" si="10"/>
        <v>1.714285714285714</v>
      </c>
      <c r="U18" s="17">
        <f t="shared" si="10"/>
        <v>4</v>
      </c>
      <c r="V18" s="17">
        <f t="shared" si="10"/>
        <v>5.9999999999999991</v>
      </c>
      <c r="W18" s="17">
        <f t="shared" si="10"/>
        <v>0.14285714285714285</v>
      </c>
      <c r="X18" s="17">
        <f t="shared" si="10"/>
        <v>0</v>
      </c>
      <c r="Y18" s="17">
        <f t="shared" si="10"/>
        <v>9.1428571428571423</v>
      </c>
      <c r="Z18" s="17">
        <f t="shared" si="10"/>
        <v>4.2857142857142856</v>
      </c>
      <c r="AA18" s="17">
        <f t="shared" si="10"/>
        <v>3</v>
      </c>
      <c r="AB18" s="17">
        <f t="shared" si="10"/>
        <v>0.5714285714285714</v>
      </c>
      <c r="AC18" s="17">
        <f t="shared" si="10"/>
        <v>54.571428571428569</v>
      </c>
      <c r="AD18" s="17">
        <f t="shared" si="10"/>
        <v>0.14285714285714285</v>
      </c>
      <c r="AE18" s="31">
        <f t="shared" si="10"/>
        <v>47.428571428571423</v>
      </c>
      <c r="AF18" s="31">
        <f t="shared" si="10"/>
        <v>102</v>
      </c>
    </row>
    <row r="19" spans="2:32" ht="23.1" customHeight="1" x14ac:dyDescent="0.25">
      <c r="B19" s="23" t="s">
        <v>46</v>
      </c>
      <c r="C19" s="49">
        <f>'Avg Week Masaka-Ssembabule'!C19+'Avg Week Ssembabule-Masaka'!C19</f>
        <v>3.4285714285714284</v>
      </c>
      <c r="D19" s="49">
        <f>'Avg Week Masaka-Ssembabule'!D19+'Avg Week Ssembabule-Masaka'!D19</f>
        <v>0.8571428571428571</v>
      </c>
      <c r="E19" s="49">
        <f>'Avg Week Masaka-Ssembabule'!E19+'Avg Week Ssembabule-Masaka'!E19</f>
        <v>1.2857142857142856</v>
      </c>
      <c r="F19" s="49">
        <f>'Avg Week Masaka-Ssembabule'!F19+'Avg Week Ssembabule-Masaka'!F19</f>
        <v>1.5714285714285716</v>
      </c>
      <c r="G19" s="49">
        <f>'Avg Week Masaka-Ssembabule'!G19+'Avg Week Ssembabule-Masaka'!G19</f>
        <v>0</v>
      </c>
      <c r="H19" s="49">
        <f>'Avg Week Masaka-Ssembabule'!H19+'Avg Week Ssembabule-Masaka'!H19</f>
        <v>0</v>
      </c>
      <c r="I19" s="49">
        <f>'Avg Week Masaka-Ssembabule'!I19+'Avg Week Ssembabule-Masaka'!I19</f>
        <v>3</v>
      </c>
      <c r="J19" s="49">
        <f>'Avg Week Masaka-Ssembabule'!J19+'Avg Week Ssembabule-Masaka'!J19</f>
        <v>1</v>
      </c>
      <c r="K19" s="49">
        <f>'Avg Week Masaka-Ssembabule'!K19+'Avg Week Ssembabule-Masaka'!K19</f>
        <v>0.5714285714285714</v>
      </c>
      <c r="L19" s="49">
        <f>'Avg Week Masaka-Ssembabule'!L19+'Avg Week Ssembabule-Masaka'!L19</f>
        <v>0</v>
      </c>
      <c r="M19" s="49">
        <f>'Avg Week Masaka-Ssembabule'!M19+'Avg Week Ssembabule-Masaka'!M19</f>
        <v>10.571428571428573</v>
      </c>
      <c r="N19" s="49">
        <f>'Avg Week Masaka-Ssembabule'!N19+'Avg Week Ssembabule-Masaka'!N19</f>
        <v>0</v>
      </c>
      <c r="O19" s="15">
        <f t="shared" si="0"/>
        <v>11.714285714285714</v>
      </c>
      <c r="P19" s="15">
        <f t="shared" si="1"/>
        <v>22.285714285714285</v>
      </c>
      <c r="R19" s="1" t="s">
        <v>15</v>
      </c>
      <c r="S19" s="17">
        <f t="shared" ref="S19:AF19" si="11">SUM(C46:C49)</f>
        <v>14.285714285714285</v>
      </c>
      <c r="T19" s="17">
        <f t="shared" si="11"/>
        <v>3.5714285714285712</v>
      </c>
      <c r="U19" s="17">
        <f t="shared" si="11"/>
        <v>4.7142857142857135</v>
      </c>
      <c r="V19" s="17">
        <f t="shared" si="11"/>
        <v>7.2857142857142865</v>
      </c>
      <c r="W19" s="17">
        <f t="shared" si="11"/>
        <v>0.42857142857142855</v>
      </c>
      <c r="X19" s="17">
        <f t="shared" si="11"/>
        <v>0</v>
      </c>
      <c r="Y19" s="17">
        <f t="shared" si="11"/>
        <v>9.8571428571428577</v>
      </c>
      <c r="Z19" s="17">
        <f t="shared" si="11"/>
        <v>6.4285714285714288</v>
      </c>
      <c r="AA19" s="17">
        <f t="shared" si="11"/>
        <v>2</v>
      </c>
      <c r="AB19" s="17">
        <f t="shared" si="11"/>
        <v>0</v>
      </c>
      <c r="AC19" s="17">
        <f t="shared" si="11"/>
        <v>57.571428571428569</v>
      </c>
      <c r="AD19" s="17">
        <f t="shared" si="11"/>
        <v>0.14285714285714285</v>
      </c>
      <c r="AE19" s="31">
        <f t="shared" si="11"/>
        <v>48.714285714285715</v>
      </c>
      <c r="AF19" s="31">
        <f t="shared" si="11"/>
        <v>106.28571428571429</v>
      </c>
    </row>
    <row r="20" spans="2:32" ht="23.1" customHeight="1" x14ac:dyDescent="0.25">
      <c r="B20" s="23" t="s">
        <v>47</v>
      </c>
      <c r="C20" s="49">
        <f>'Avg Week Masaka-Ssembabule'!C20+'Avg Week Ssembabule-Masaka'!C20</f>
        <v>5</v>
      </c>
      <c r="D20" s="49">
        <f>'Avg Week Masaka-Ssembabule'!D20+'Avg Week Ssembabule-Masaka'!D20</f>
        <v>0.42857142857142855</v>
      </c>
      <c r="E20" s="49">
        <f>'Avg Week Masaka-Ssembabule'!E20+'Avg Week Ssembabule-Masaka'!E20</f>
        <v>0.42857142857142855</v>
      </c>
      <c r="F20" s="49">
        <f>'Avg Week Masaka-Ssembabule'!F20+'Avg Week Ssembabule-Masaka'!F20</f>
        <v>1.8571428571428572</v>
      </c>
      <c r="G20" s="49">
        <f>'Avg Week Masaka-Ssembabule'!G20+'Avg Week Ssembabule-Masaka'!G20</f>
        <v>0</v>
      </c>
      <c r="H20" s="49">
        <f>'Avg Week Masaka-Ssembabule'!H20+'Avg Week Ssembabule-Masaka'!H20</f>
        <v>0</v>
      </c>
      <c r="I20" s="49">
        <f>'Avg Week Masaka-Ssembabule'!I20+'Avg Week Ssembabule-Masaka'!I20</f>
        <v>1.4285714285714286</v>
      </c>
      <c r="J20" s="49">
        <f>'Avg Week Masaka-Ssembabule'!J20+'Avg Week Ssembabule-Masaka'!J20</f>
        <v>0.8571428571428571</v>
      </c>
      <c r="K20" s="49">
        <f>'Avg Week Masaka-Ssembabule'!K20+'Avg Week Ssembabule-Masaka'!K20</f>
        <v>0.5714285714285714</v>
      </c>
      <c r="L20" s="49">
        <f>'Avg Week Masaka-Ssembabule'!L20+'Avg Week Ssembabule-Masaka'!L20</f>
        <v>0</v>
      </c>
      <c r="M20" s="49">
        <f>'Avg Week Masaka-Ssembabule'!M20+'Avg Week Ssembabule-Masaka'!M20</f>
        <v>11</v>
      </c>
      <c r="N20" s="49">
        <f>'Avg Week Masaka-Ssembabule'!N20+'Avg Week Ssembabule-Masaka'!N20</f>
        <v>0</v>
      </c>
      <c r="O20" s="15">
        <f t="shared" si="0"/>
        <v>10.571428571428573</v>
      </c>
      <c r="P20" s="15">
        <f t="shared" si="1"/>
        <v>21.571428571428573</v>
      </c>
      <c r="R20" s="1" t="s">
        <v>16</v>
      </c>
      <c r="S20" s="17">
        <f t="shared" ref="S20:AF20" si="12">SUM(C50:C53)</f>
        <v>21.714285714285715</v>
      </c>
      <c r="T20" s="17">
        <f t="shared" si="12"/>
        <v>2.8571428571428568</v>
      </c>
      <c r="U20" s="17">
        <f t="shared" si="12"/>
        <v>7.7142857142857144</v>
      </c>
      <c r="V20" s="17">
        <f t="shared" si="12"/>
        <v>8.1428571428571423</v>
      </c>
      <c r="W20" s="17">
        <f t="shared" si="12"/>
        <v>1.2857142857142856</v>
      </c>
      <c r="X20" s="17">
        <f t="shared" si="12"/>
        <v>0.14285714285714285</v>
      </c>
      <c r="Y20" s="17">
        <f t="shared" si="12"/>
        <v>9.571428571428573</v>
      </c>
      <c r="Z20" s="17">
        <f t="shared" si="12"/>
        <v>4.2857142857142856</v>
      </c>
      <c r="AA20" s="17">
        <f t="shared" si="12"/>
        <v>3</v>
      </c>
      <c r="AB20" s="17">
        <f t="shared" si="12"/>
        <v>0</v>
      </c>
      <c r="AC20" s="17">
        <f t="shared" si="12"/>
        <v>59.571428571428569</v>
      </c>
      <c r="AD20" s="17">
        <f t="shared" si="12"/>
        <v>0</v>
      </c>
      <c r="AE20" s="31">
        <f t="shared" si="12"/>
        <v>58.714285714285722</v>
      </c>
      <c r="AF20" s="31">
        <f t="shared" si="12"/>
        <v>118.28571428571429</v>
      </c>
    </row>
    <row r="21" spans="2:32" ht="23.1" customHeight="1" x14ac:dyDescent="0.25">
      <c r="B21" s="23" t="s">
        <v>48</v>
      </c>
      <c r="C21" s="49">
        <f>'Avg Week Masaka-Ssembabule'!C21+'Avg Week Ssembabule-Masaka'!C21</f>
        <v>5.4285714285714288</v>
      </c>
      <c r="D21" s="49">
        <f>'Avg Week Masaka-Ssembabule'!D21+'Avg Week Ssembabule-Masaka'!D21</f>
        <v>0.5714285714285714</v>
      </c>
      <c r="E21" s="49">
        <f>'Avg Week Masaka-Ssembabule'!E21+'Avg Week Ssembabule-Masaka'!E21</f>
        <v>0.8571428571428571</v>
      </c>
      <c r="F21" s="49">
        <f>'Avg Week Masaka-Ssembabule'!F21+'Avg Week Ssembabule-Masaka'!F21</f>
        <v>0.85714285714285721</v>
      </c>
      <c r="G21" s="49">
        <f>'Avg Week Masaka-Ssembabule'!G21+'Avg Week Ssembabule-Masaka'!G21</f>
        <v>0</v>
      </c>
      <c r="H21" s="49">
        <f>'Avg Week Masaka-Ssembabule'!H21+'Avg Week Ssembabule-Masaka'!H21</f>
        <v>0</v>
      </c>
      <c r="I21" s="49">
        <f>'Avg Week Masaka-Ssembabule'!I21+'Avg Week Ssembabule-Masaka'!I21</f>
        <v>1.8571428571428572</v>
      </c>
      <c r="J21" s="49">
        <f>'Avg Week Masaka-Ssembabule'!J21+'Avg Week Ssembabule-Masaka'!J21</f>
        <v>0.7142857142857143</v>
      </c>
      <c r="K21" s="49">
        <f>'Avg Week Masaka-Ssembabule'!K21+'Avg Week Ssembabule-Masaka'!K21</f>
        <v>0.8571428571428571</v>
      </c>
      <c r="L21" s="49">
        <f>'Avg Week Masaka-Ssembabule'!L21+'Avg Week Ssembabule-Masaka'!L21</f>
        <v>0</v>
      </c>
      <c r="M21" s="49">
        <f>'Avg Week Masaka-Ssembabule'!M21+'Avg Week Ssembabule-Masaka'!M21</f>
        <v>10.285714285714286</v>
      </c>
      <c r="N21" s="49">
        <f>'Avg Week Masaka-Ssembabule'!N21+'Avg Week Ssembabule-Masaka'!N21</f>
        <v>0</v>
      </c>
      <c r="O21" s="15">
        <f t="shared" si="0"/>
        <v>11.142857142857142</v>
      </c>
      <c r="P21" s="15">
        <f t="shared" si="1"/>
        <v>21.428571428571431</v>
      </c>
      <c r="R21" s="36" t="s">
        <v>20</v>
      </c>
      <c r="S21" s="34">
        <f t="shared" ref="S21:AF21" si="13">SUM(C54:C57)</f>
        <v>17</v>
      </c>
      <c r="T21" s="17">
        <f t="shared" si="13"/>
        <v>2.8571428571428568</v>
      </c>
      <c r="U21" s="17">
        <f t="shared" si="13"/>
        <v>5.8571428571428577</v>
      </c>
      <c r="V21" s="17">
        <f t="shared" si="13"/>
        <v>3.7142857142857144</v>
      </c>
      <c r="W21" s="17">
        <f t="shared" si="13"/>
        <v>0.14285714285714285</v>
      </c>
      <c r="X21" s="17">
        <f t="shared" si="13"/>
        <v>0.2857142857142857</v>
      </c>
      <c r="Y21" s="17">
        <f t="shared" si="13"/>
        <v>8.8571428571428559</v>
      </c>
      <c r="Z21" s="17">
        <f t="shared" si="13"/>
        <v>6.7142857142857144</v>
      </c>
      <c r="AA21" s="17">
        <f t="shared" si="13"/>
        <v>1.8571428571428572</v>
      </c>
      <c r="AB21" s="17">
        <f t="shared" si="13"/>
        <v>0</v>
      </c>
      <c r="AC21" s="17">
        <f t="shared" si="13"/>
        <v>64.857142857142861</v>
      </c>
      <c r="AD21" s="17">
        <f t="shared" si="13"/>
        <v>0</v>
      </c>
      <c r="AE21" s="31">
        <f t="shared" si="13"/>
        <v>47.285714285714292</v>
      </c>
      <c r="AF21" s="31">
        <f t="shared" si="13"/>
        <v>112.14285714285714</v>
      </c>
    </row>
    <row r="22" spans="2:32" ht="23.1" customHeight="1" x14ac:dyDescent="0.25">
      <c r="B22" s="23" t="s">
        <v>49</v>
      </c>
      <c r="C22" s="49">
        <f>'Avg Week Masaka-Ssembabule'!C22+'Avg Week Ssembabule-Masaka'!C22</f>
        <v>4.7142857142857135</v>
      </c>
      <c r="D22" s="49">
        <f>'Avg Week Masaka-Ssembabule'!D22+'Avg Week Ssembabule-Masaka'!D22</f>
        <v>0.71428571428571419</v>
      </c>
      <c r="E22" s="49">
        <f>'Avg Week Masaka-Ssembabule'!E22+'Avg Week Ssembabule-Masaka'!E22</f>
        <v>1.1428571428571428</v>
      </c>
      <c r="F22" s="49">
        <f>'Avg Week Masaka-Ssembabule'!F22+'Avg Week Ssembabule-Masaka'!F22</f>
        <v>1.4285714285714286</v>
      </c>
      <c r="G22" s="49">
        <f>'Avg Week Masaka-Ssembabule'!G22+'Avg Week Ssembabule-Masaka'!G22</f>
        <v>0</v>
      </c>
      <c r="H22" s="49">
        <f>'Avg Week Masaka-Ssembabule'!H22+'Avg Week Ssembabule-Masaka'!H22</f>
        <v>0</v>
      </c>
      <c r="I22" s="49">
        <f>'Avg Week Masaka-Ssembabule'!I22+'Avg Week Ssembabule-Masaka'!I22</f>
        <v>1.7142857142857144</v>
      </c>
      <c r="J22" s="49">
        <f>'Avg Week Masaka-Ssembabule'!J22+'Avg Week Ssembabule-Masaka'!J22</f>
        <v>1</v>
      </c>
      <c r="K22" s="49">
        <f>'Avg Week Masaka-Ssembabule'!K22+'Avg Week Ssembabule-Masaka'!K22</f>
        <v>0.8571428571428571</v>
      </c>
      <c r="L22" s="49">
        <f>'Avg Week Masaka-Ssembabule'!L22+'Avg Week Ssembabule-Masaka'!L22</f>
        <v>0</v>
      </c>
      <c r="M22" s="49">
        <f>'Avg Week Masaka-Ssembabule'!M22+'Avg Week Ssembabule-Masaka'!M22</f>
        <v>10.142857142857142</v>
      </c>
      <c r="N22" s="49">
        <f>'Avg Week Masaka-Ssembabule'!N22+'Avg Week Ssembabule-Masaka'!N22</f>
        <v>0</v>
      </c>
      <c r="O22" s="15">
        <f t="shared" si="0"/>
        <v>11.571428571428573</v>
      </c>
      <c r="P22" s="15">
        <f t="shared" si="1"/>
        <v>21.714285714285715</v>
      </c>
      <c r="R22" s="1" t="s">
        <v>146</v>
      </c>
      <c r="S22" s="34">
        <f>SUM(C58:C61)</f>
        <v>17.5</v>
      </c>
      <c r="T22" s="34">
        <f t="shared" ref="T22:AF22" si="14">SUM(D58:D61)</f>
        <v>3</v>
      </c>
      <c r="U22" s="34">
        <f t="shared" si="14"/>
        <v>2.5</v>
      </c>
      <c r="V22" s="34">
        <f t="shared" si="14"/>
        <v>4</v>
      </c>
      <c r="W22" s="34">
        <f t="shared" si="14"/>
        <v>0.5</v>
      </c>
      <c r="X22" s="34">
        <f t="shared" si="14"/>
        <v>0.5</v>
      </c>
      <c r="Y22" s="34">
        <f t="shared" si="14"/>
        <v>7.5</v>
      </c>
      <c r="Z22" s="34">
        <f t="shared" si="14"/>
        <v>4</v>
      </c>
      <c r="AA22" s="34">
        <f t="shared" si="14"/>
        <v>0.5</v>
      </c>
      <c r="AB22" s="34">
        <f t="shared" si="14"/>
        <v>0.5</v>
      </c>
      <c r="AC22" s="34">
        <f t="shared" si="14"/>
        <v>59</v>
      </c>
      <c r="AD22" s="34">
        <f t="shared" si="14"/>
        <v>0</v>
      </c>
      <c r="AE22" s="31">
        <f t="shared" si="14"/>
        <v>40.5</v>
      </c>
      <c r="AF22" s="31">
        <f t="shared" si="14"/>
        <v>99.5</v>
      </c>
    </row>
    <row r="23" spans="2:32" ht="23.1" customHeight="1" x14ac:dyDescent="0.25">
      <c r="B23" s="23" t="s">
        <v>50</v>
      </c>
      <c r="C23" s="49">
        <f>'Avg Week Masaka-Ssembabule'!C23+'Avg Week Ssembabule-Masaka'!C23</f>
        <v>3.7142857142857144</v>
      </c>
      <c r="D23" s="49">
        <f>'Avg Week Masaka-Ssembabule'!D23+'Avg Week Ssembabule-Masaka'!D23</f>
        <v>1.1428571428571428</v>
      </c>
      <c r="E23" s="49">
        <f>'Avg Week Masaka-Ssembabule'!E23+'Avg Week Ssembabule-Masaka'!E23</f>
        <v>0.8571428571428571</v>
      </c>
      <c r="F23" s="49">
        <f>'Avg Week Masaka-Ssembabule'!F23+'Avg Week Ssembabule-Masaka'!F23</f>
        <v>1</v>
      </c>
      <c r="G23" s="49">
        <f>'Avg Week Masaka-Ssembabule'!G23+'Avg Week Ssembabule-Masaka'!G23</f>
        <v>0</v>
      </c>
      <c r="H23" s="49">
        <f>'Avg Week Masaka-Ssembabule'!H23+'Avg Week Ssembabule-Masaka'!H23</f>
        <v>0</v>
      </c>
      <c r="I23" s="49">
        <f>'Avg Week Masaka-Ssembabule'!I23+'Avg Week Ssembabule-Masaka'!I23</f>
        <v>2.7142857142857144</v>
      </c>
      <c r="J23" s="49">
        <f>'Avg Week Masaka-Ssembabule'!J23+'Avg Week Ssembabule-Masaka'!J23</f>
        <v>1.4285714285714286</v>
      </c>
      <c r="K23" s="49">
        <f>'Avg Week Masaka-Ssembabule'!K23+'Avg Week Ssembabule-Masaka'!K23</f>
        <v>1.2857142857142856</v>
      </c>
      <c r="L23" s="49">
        <f>'Avg Week Masaka-Ssembabule'!L23+'Avg Week Ssembabule-Masaka'!L23</f>
        <v>0.14285714285714285</v>
      </c>
      <c r="M23" s="49">
        <f>'Avg Week Masaka-Ssembabule'!M23+'Avg Week Ssembabule-Masaka'!M23</f>
        <v>10.571428571428573</v>
      </c>
      <c r="N23" s="49">
        <f>'Avg Week Masaka-Ssembabule'!N23+'Avg Week Ssembabule-Masaka'!N23</f>
        <v>0</v>
      </c>
      <c r="O23" s="15">
        <f t="shared" si="0"/>
        <v>12.285714285714285</v>
      </c>
      <c r="P23" s="15">
        <f t="shared" si="1"/>
        <v>22.857142857142858</v>
      </c>
      <c r="R23" s="1" t="s">
        <v>147</v>
      </c>
      <c r="S23" s="34">
        <f>SUM(C62:C65)</f>
        <v>13</v>
      </c>
      <c r="T23" s="34">
        <f t="shared" ref="T23:AF23" si="15">SUM(D62:D65)</f>
        <v>1.5</v>
      </c>
      <c r="U23" s="34">
        <f t="shared" si="15"/>
        <v>2.5</v>
      </c>
      <c r="V23" s="34">
        <f t="shared" si="15"/>
        <v>2.5</v>
      </c>
      <c r="W23" s="34">
        <f t="shared" si="15"/>
        <v>0.5</v>
      </c>
      <c r="X23" s="34">
        <f t="shared" si="15"/>
        <v>0.5</v>
      </c>
      <c r="Y23" s="34">
        <f t="shared" si="15"/>
        <v>7.5</v>
      </c>
      <c r="Z23" s="34">
        <f t="shared" si="15"/>
        <v>3.5</v>
      </c>
      <c r="AA23" s="34">
        <f t="shared" si="15"/>
        <v>0.5</v>
      </c>
      <c r="AB23" s="34">
        <f t="shared" si="15"/>
        <v>0</v>
      </c>
      <c r="AC23" s="34">
        <f t="shared" si="15"/>
        <v>52.5</v>
      </c>
      <c r="AD23" s="34">
        <f t="shared" si="15"/>
        <v>0</v>
      </c>
      <c r="AE23" s="31">
        <f t="shared" si="15"/>
        <v>32</v>
      </c>
      <c r="AF23" s="31">
        <f t="shared" si="15"/>
        <v>84.5</v>
      </c>
    </row>
    <row r="24" spans="2:32" ht="23.1" customHeight="1" x14ac:dyDescent="0.25">
      <c r="B24" s="23" t="s">
        <v>51</v>
      </c>
      <c r="C24" s="49">
        <f>'Avg Week Masaka-Ssembabule'!C24+'Avg Week Ssembabule-Masaka'!C24</f>
        <v>4</v>
      </c>
      <c r="D24" s="49">
        <f>'Avg Week Masaka-Ssembabule'!D24+'Avg Week Ssembabule-Masaka'!D24</f>
        <v>0.42857142857142855</v>
      </c>
      <c r="E24" s="49">
        <f>'Avg Week Masaka-Ssembabule'!E24+'Avg Week Ssembabule-Masaka'!E24</f>
        <v>0.42857142857142855</v>
      </c>
      <c r="F24" s="49">
        <f>'Avg Week Masaka-Ssembabule'!F24+'Avg Week Ssembabule-Masaka'!F24</f>
        <v>1.7142857142857144</v>
      </c>
      <c r="G24" s="49">
        <f>'Avg Week Masaka-Ssembabule'!G24+'Avg Week Ssembabule-Masaka'!G24</f>
        <v>0</v>
      </c>
      <c r="H24" s="49">
        <f>'Avg Week Masaka-Ssembabule'!H24+'Avg Week Ssembabule-Masaka'!H24</f>
        <v>0</v>
      </c>
      <c r="I24" s="49">
        <f>'Avg Week Masaka-Ssembabule'!I24+'Avg Week Ssembabule-Masaka'!I24</f>
        <v>2.2857142857142856</v>
      </c>
      <c r="J24" s="49">
        <f>'Avg Week Masaka-Ssembabule'!J24+'Avg Week Ssembabule-Masaka'!J24</f>
        <v>1</v>
      </c>
      <c r="K24" s="49">
        <f>'Avg Week Masaka-Ssembabule'!K24+'Avg Week Ssembabule-Masaka'!K24</f>
        <v>0.8571428571428571</v>
      </c>
      <c r="L24" s="49">
        <f>'Avg Week Masaka-Ssembabule'!L24+'Avg Week Ssembabule-Masaka'!L24</f>
        <v>0.14285714285714285</v>
      </c>
      <c r="M24" s="49">
        <f>'Avg Week Masaka-Ssembabule'!M24+'Avg Week Ssembabule-Masaka'!M24</f>
        <v>10.714285714285715</v>
      </c>
      <c r="N24" s="49">
        <f>'Avg Week Masaka-Ssembabule'!N24+'Avg Week Ssembabule-Masaka'!N24</f>
        <v>0.14285714285714285</v>
      </c>
      <c r="O24" s="15">
        <f t="shared" si="0"/>
        <v>11</v>
      </c>
      <c r="P24" s="15">
        <f t="shared" si="1"/>
        <v>21.714285714285715</v>
      </c>
      <c r="R24" s="1" t="s">
        <v>148</v>
      </c>
      <c r="S24" s="34">
        <f>SUM(C66:C69)</f>
        <v>12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9.5</v>
      </c>
      <c r="AA24" s="34">
        <f t="shared" si="16"/>
        <v>0</v>
      </c>
      <c r="AB24" s="34">
        <f t="shared" si="16"/>
        <v>0</v>
      </c>
      <c r="AC24" s="34">
        <f t="shared" si="16"/>
        <v>26</v>
      </c>
      <c r="AD24" s="34">
        <f t="shared" si="16"/>
        <v>0</v>
      </c>
      <c r="AE24" s="31">
        <f t="shared" si="16"/>
        <v>28.5</v>
      </c>
      <c r="AF24" s="31">
        <f t="shared" si="16"/>
        <v>54.5</v>
      </c>
    </row>
    <row r="25" spans="2:32" ht="23.1" customHeight="1" x14ac:dyDescent="0.25">
      <c r="B25" s="23" t="s">
        <v>52</v>
      </c>
      <c r="C25" s="49">
        <f>'Avg Week Masaka-Ssembabule'!C25+'Avg Week Ssembabule-Masaka'!C25</f>
        <v>4.8571428571428568</v>
      </c>
      <c r="D25" s="49">
        <f>'Avg Week Masaka-Ssembabule'!D25+'Avg Week Ssembabule-Masaka'!D25</f>
        <v>0.14285714285714285</v>
      </c>
      <c r="E25" s="49">
        <f>'Avg Week Masaka-Ssembabule'!E25+'Avg Week Ssembabule-Masaka'!E25</f>
        <v>1.1428571428571428</v>
      </c>
      <c r="F25" s="49">
        <f>'Avg Week Masaka-Ssembabule'!F25+'Avg Week Ssembabule-Masaka'!F25</f>
        <v>0.71428571428571419</v>
      </c>
      <c r="G25" s="49">
        <f>'Avg Week Masaka-Ssembabule'!G25+'Avg Week Ssembabule-Masaka'!G25</f>
        <v>0</v>
      </c>
      <c r="H25" s="49">
        <f>'Avg Week Masaka-Ssembabule'!H25+'Avg Week Ssembabule-Masaka'!H25</f>
        <v>0</v>
      </c>
      <c r="I25" s="49">
        <f>'Avg Week Masaka-Ssembabule'!I25+'Avg Week Ssembabule-Masaka'!I25</f>
        <v>1.8571428571428572</v>
      </c>
      <c r="J25" s="49">
        <f>'Avg Week Masaka-Ssembabule'!J25+'Avg Week Ssembabule-Masaka'!J25</f>
        <v>1</v>
      </c>
      <c r="K25" s="49">
        <f>'Avg Week Masaka-Ssembabule'!K25+'Avg Week Ssembabule-Masaka'!K25</f>
        <v>1</v>
      </c>
      <c r="L25" s="49">
        <f>'Avg Week Masaka-Ssembabule'!L25+'Avg Week Ssembabule-Masaka'!L25</f>
        <v>0.14285714285714285</v>
      </c>
      <c r="M25" s="49">
        <f>'Avg Week Masaka-Ssembabule'!M25+'Avg Week Ssembabule-Masaka'!M25</f>
        <v>13.857142857142858</v>
      </c>
      <c r="N25" s="49">
        <f>'Avg Week Masaka-Ssembabule'!N25+'Avg Week Ssembabule-Masaka'!N25</f>
        <v>0</v>
      </c>
      <c r="O25" s="15">
        <f t="shared" si="0"/>
        <v>10.857142857142856</v>
      </c>
      <c r="P25" s="15">
        <f t="shared" si="1"/>
        <v>24.714285714285715</v>
      </c>
      <c r="R25" s="1" t="s">
        <v>149</v>
      </c>
      <c r="S25" s="34">
        <f>SUM(C70:C73)</f>
        <v>9</v>
      </c>
      <c r="T25" s="34">
        <f t="shared" ref="T25:AF25" si="17">SUM(D70:D73)</f>
        <v>1.5</v>
      </c>
      <c r="U25" s="34">
        <f t="shared" si="17"/>
        <v>2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1.5</v>
      </c>
      <c r="Z25" s="34">
        <f t="shared" si="17"/>
        <v>3.5</v>
      </c>
      <c r="AA25" s="34">
        <f t="shared" si="17"/>
        <v>0.5</v>
      </c>
      <c r="AB25" s="34">
        <f t="shared" si="17"/>
        <v>0</v>
      </c>
      <c r="AC25" s="34">
        <f t="shared" si="17"/>
        <v>19</v>
      </c>
      <c r="AD25" s="34">
        <f t="shared" si="17"/>
        <v>0</v>
      </c>
      <c r="AE25" s="31">
        <f t="shared" si="17"/>
        <v>19</v>
      </c>
      <c r="AF25" s="31">
        <f t="shared" si="17"/>
        <v>38</v>
      </c>
    </row>
    <row r="26" spans="2:32" ht="23.1" customHeight="1" x14ac:dyDescent="0.25">
      <c r="B26" s="23" t="s">
        <v>53</v>
      </c>
      <c r="C26" s="49">
        <f>'Avg Week Masaka-Ssembabule'!C26+'Avg Week Ssembabule-Masaka'!C26</f>
        <v>4.7142857142857135</v>
      </c>
      <c r="D26" s="49">
        <f>'Avg Week Masaka-Ssembabule'!D26+'Avg Week Ssembabule-Masaka'!D26</f>
        <v>0.42857142857142855</v>
      </c>
      <c r="E26" s="49">
        <f>'Avg Week Masaka-Ssembabule'!E26+'Avg Week Ssembabule-Masaka'!E26</f>
        <v>1.2857142857142856</v>
      </c>
      <c r="F26" s="49">
        <f>'Avg Week Masaka-Ssembabule'!F26+'Avg Week Ssembabule-Masaka'!F26</f>
        <v>0.8571428571428571</v>
      </c>
      <c r="G26" s="49">
        <f>'Avg Week Masaka-Ssembabule'!G26+'Avg Week Ssembabule-Masaka'!G26</f>
        <v>0</v>
      </c>
      <c r="H26" s="49">
        <f>'Avg Week Masaka-Ssembabule'!H26+'Avg Week Ssembabule-Masaka'!H26</f>
        <v>0</v>
      </c>
      <c r="I26" s="49">
        <f>'Avg Week Masaka-Ssembabule'!I26+'Avg Week Ssembabule-Masaka'!I26</f>
        <v>1.5714285714285716</v>
      </c>
      <c r="J26" s="49">
        <f>'Avg Week Masaka-Ssembabule'!J26+'Avg Week Ssembabule-Masaka'!J26</f>
        <v>0.8571428571428571</v>
      </c>
      <c r="K26" s="49">
        <f>'Avg Week Masaka-Ssembabule'!K26+'Avg Week Ssembabule-Masaka'!K26</f>
        <v>0.71428571428571419</v>
      </c>
      <c r="L26" s="49">
        <f>'Avg Week Masaka-Ssembabule'!L26+'Avg Week Ssembabule-Masaka'!L26</f>
        <v>0</v>
      </c>
      <c r="M26" s="49">
        <f>'Avg Week Masaka-Ssembabule'!M26+'Avg Week Ssembabule-Masaka'!M26</f>
        <v>14.714285714285715</v>
      </c>
      <c r="N26" s="49">
        <f>'Avg Week Masaka-Ssembabule'!N26+'Avg Week Ssembabule-Masaka'!N26</f>
        <v>0</v>
      </c>
      <c r="O26" s="15">
        <f t="shared" si="0"/>
        <v>10.428571428571427</v>
      </c>
      <c r="P26" s="15">
        <f t="shared" si="1"/>
        <v>25.142857142857142</v>
      </c>
      <c r="R26" s="1" t="s">
        <v>150</v>
      </c>
      <c r="S26" s="34">
        <f>SUM(C74:C77)</f>
        <v>8</v>
      </c>
      <c r="T26" s="34">
        <f t="shared" ref="T26:AF26" si="18">SUM(D74:D77)</f>
        <v>2</v>
      </c>
      <c r="U26" s="34">
        <f t="shared" si="18"/>
        <v>1</v>
      </c>
      <c r="V26" s="34">
        <f t="shared" si="18"/>
        <v>2.5</v>
      </c>
      <c r="W26" s="34">
        <f t="shared" si="18"/>
        <v>0</v>
      </c>
      <c r="X26" s="34">
        <f t="shared" si="18"/>
        <v>0</v>
      </c>
      <c r="Y26" s="34">
        <f t="shared" si="18"/>
        <v>2.5</v>
      </c>
      <c r="Z26" s="34">
        <f t="shared" si="18"/>
        <v>3</v>
      </c>
      <c r="AA26" s="34">
        <f t="shared" si="18"/>
        <v>1</v>
      </c>
      <c r="AB26" s="34">
        <f t="shared" si="18"/>
        <v>0</v>
      </c>
      <c r="AC26" s="34">
        <f t="shared" si="18"/>
        <v>7.5</v>
      </c>
      <c r="AD26" s="34">
        <f t="shared" si="18"/>
        <v>0</v>
      </c>
      <c r="AE26" s="31">
        <f t="shared" si="18"/>
        <v>20</v>
      </c>
      <c r="AF26" s="31">
        <f t="shared" si="18"/>
        <v>27.5</v>
      </c>
    </row>
    <row r="27" spans="2:32" ht="23.1" customHeight="1" x14ac:dyDescent="0.25">
      <c r="B27" s="23" t="s">
        <v>54</v>
      </c>
      <c r="C27" s="49">
        <f>'Avg Week Masaka-Ssembabule'!C27+'Avg Week Ssembabule-Masaka'!C27</f>
        <v>4.7142857142857144</v>
      </c>
      <c r="D27" s="49">
        <f>'Avg Week Masaka-Ssembabule'!D27+'Avg Week Ssembabule-Masaka'!D27</f>
        <v>0.2857142857142857</v>
      </c>
      <c r="E27" s="49">
        <f>'Avg Week Masaka-Ssembabule'!E27+'Avg Week Ssembabule-Masaka'!E27</f>
        <v>0.71428571428571419</v>
      </c>
      <c r="F27" s="49">
        <f>'Avg Week Masaka-Ssembabule'!F27+'Avg Week Ssembabule-Masaka'!F27</f>
        <v>0.5714285714285714</v>
      </c>
      <c r="G27" s="49">
        <f>'Avg Week Masaka-Ssembabule'!G27+'Avg Week Ssembabule-Masaka'!G27</f>
        <v>0</v>
      </c>
      <c r="H27" s="49">
        <f>'Avg Week Masaka-Ssembabule'!H27+'Avg Week Ssembabule-Masaka'!H27</f>
        <v>0</v>
      </c>
      <c r="I27" s="49">
        <f>'Avg Week Masaka-Ssembabule'!I27+'Avg Week Ssembabule-Masaka'!I27</f>
        <v>1.4285714285714284</v>
      </c>
      <c r="J27" s="49">
        <f>'Avg Week Masaka-Ssembabule'!J27+'Avg Week Ssembabule-Masaka'!J27</f>
        <v>1</v>
      </c>
      <c r="K27" s="49">
        <f>'Avg Week Masaka-Ssembabule'!K27+'Avg Week Ssembabule-Masaka'!K27</f>
        <v>1.1428571428571428</v>
      </c>
      <c r="L27" s="49">
        <f>'Avg Week Masaka-Ssembabule'!L27+'Avg Week Ssembabule-Masaka'!L27</f>
        <v>0.14285714285714285</v>
      </c>
      <c r="M27" s="49">
        <f>'Avg Week Masaka-Ssembabule'!M27+'Avg Week Ssembabule-Masaka'!M27</f>
        <v>14.571428571428571</v>
      </c>
      <c r="N27" s="49">
        <f>'Avg Week Masaka-Ssembabule'!N27+'Avg Week Ssembabule-Masaka'!N27</f>
        <v>0</v>
      </c>
      <c r="O27" s="15">
        <f t="shared" si="0"/>
        <v>9.9999999999999982</v>
      </c>
      <c r="P27" s="15">
        <f t="shared" si="1"/>
        <v>24.571428571428569</v>
      </c>
      <c r="R27" s="1" t="s">
        <v>151</v>
      </c>
      <c r="S27" s="34">
        <f>SUM(C78:C81)</f>
        <v>6</v>
      </c>
      <c r="T27" s="34">
        <f t="shared" ref="T27:AF27" si="19">SUM(D78:D81)</f>
        <v>2.5</v>
      </c>
      <c r="U27" s="34">
        <f t="shared" si="19"/>
        <v>3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6</v>
      </c>
      <c r="AA27" s="34">
        <f t="shared" si="19"/>
        <v>0.5</v>
      </c>
      <c r="AB27" s="34">
        <f t="shared" si="19"/>
        <v>0</v>
      </c>
      <c r="AC27" s="34">
        <f t="shared" si="19"/>
        <v>7.5</v>
      </c>
      <c r="AD27" s="34">
        <f t="shared" si="19"/>
        <v>0</v>
      </c>
      <c r="AE27" s="31">
        <f t="shared" si="19"/>
        <v>22</v>
      </c>
      <c r="AF27" s="31">
        <f t="shared" si="19"/>
        <v>29.5</v>
      </c>
    </row>
    <row r="28" spans="2:32" ht="23.1" customHeight="1" x14ac:dyDescent="0.25">
      <c r="B28" s="23" t="s">
        <v>55</v>
      </c>
      <c r="C28" s="49">
        <f>'Avg Week Masaka-Ssembabule'!C28+'Avg Week Ssembabule-Masaka'!C28</f>
        <v>5.8571428571428577</v>
      </c>
      <c r="D28" s="49">
        <f>'Avg Week Masaka-Ssembabule'!D28+'Avg Week Ssembabule-Masaka'!D28</f>
        <v>0.42857142857142855</v>
      </c>
      <c r="E28" s="49">
        <f>'Avg Week Masaka-Ssembabule'!E28+'Avg Week Ssembabule-Masaka'!E28</f>
        <v>1.7142857142857142</v>
      </c>
      <c r="F28" s="49">
        <f>'Avg Week Masaka-Ssembabule'!F28+'Avg Week Ssembabule-Masaka'!F28</f>
        <v>0.14285714285714285</v>
      </c>
      <c r="G28" s="49">
        <f>'Avg Week Masaka-Ssembabule'!G28+'Avg Week Ssembabule-Masaka'!G28</f>
        <v>0</v>
      </c>
      <c r="H28" s="49">
        <f>'Avg Week Masaka-Ssembabule'!H28+'Avg Week Ssembabule-Masaka'!H28</f>
        <v>0</v>
      </c>
      <c r="I28" s="49">
        <f>'Avg Week Masaka-Ssembabule'!I28+'Avg Week Ssembabule-Masaka'!I28</f>
        <v>3.5714285714285712</v>
      </c>
      <c r="J28" s="49">
        <f>'Avg Week Masaka-Ssembabule'!J28+'Avg Week Ssembabule-Masaka'!J28</f>
        <v>0.42857142857142855</v>
      </c>
      <c r="K28" s="49">
        <f>'Avg Week Masaka-Ssembabule'!K28+'Avg Week Ssembabule-Masaka'!K28</f>
        <v>0.2857142857142857</v>
      </c>
      <c r="L28" s="49">
        <f>'Avg Week Masaka-Ssembabule'!L28+'Avg Week Ssembabule-Masaka'!L28</f>
        <v>0</v>
      </c>
      <c r="M28" s="49">
        <f>'Avg Week Masaka-Ssembabule'!M28+'Avg Week Ssembabule-Masaka'!M28</f>
        <v>12.571428571428571</v>
      </c>
      <c r="N28" s="49">
        <f>'Avg Week Masaka-Ssembabule'!N28+'Avg Week Ssembabule-Masaka'!N28</f>
        <v>0</v>
      </c>
      <c r="O28" s="15">
        <f t="shared" si="0"/>
        <v>12.428571428571429</v>
      </c>
      <c r="P28" s="15">
        <f t="shared" si="1"/>
        <v>25</v>
      </c>
      <c r="R28" s="1" t="s">
        <v>152</v>
      </c>
      <c r="S28" s="34">
        <f>SUM(C82:C85)</f>
        <v>1.5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0.5</v>
      </c>
      <c r="X28" s="34">
        <f t="shared" si="20"/>
        <v>0</v>
      </c>
      <c r="Y28" s="34">
        <f t="shared" si="20"/>
        <v>2.5</v>
      </c>
      <c r="Z28" s="34">
        <f t="shared" si="20"/>
        <v>4.5</v>
      </c>
      <c r="AA28" s="34">
        <f t="shared" si="20"/>
        <v>1</v>
      </c>
      <c r="AB28" s="34">
        <f t="shared" si="20"/>
        <v>0.5</v>
      </c>
      <c r="AC28" s="34">
        <f t="shared" si="20"/>
        <v>2.5</v>
      </c>
      <c r="AD28" s="34">
        <f t="shared" si="20"/>
        <v>0</v>
      </c>
      <c r="AE28" s="31">
        <f t="shared" si="20"/>
        <v>11.5</v>
      </c>
      <c r="AF28" s="31">
        <f t="shared" si="20"/>
        <v>14</v>
      </c>
    </row>
    <row r="29" spans="2:32" ht="23.1" customHeight="1" x14ac:dyDescent="0.25">
      <c r="B29" s="23" t="s">
        <v>56</v>
      </c>
      <c r="C29" s="49">
        <f>'Avg Week Masaka-Ssembabule'!C29+'Avg Week Ssembabule-Masaka'!C29</f>
        <v>4.8571428571428568</v>
      </c>
      <c r="D29" s="49">
        <f>'Avg Week Masaka-Ssembabule'!D29+'Avg Week Ssembabule-Masaka'!D29</f>
        <v>0.8571428571428571</v>
      </c>
      <c r="E29" s="49">
        <f>'Avg Week Masaka-Ssembabule'!E29+'Avg Week Ssembabule-Masaka'!E29</f>
        <v>1.2857142857142856</v>
      </c>
      <c r="F29" s="49">
        <f>'Avg Week Masaka-Ssembabule'!F29+'Avg Week Ssembabule-Masaka'!F29</f>
        <v>0.42857142857142855</v>
      </c>
      <c r="G29" s="49">
        <f>'Avg Week Masaka-Ssembabule'!G29+'Avg Week Ssembabule-Masaka'!G29</f>
        <v>0</v>
      </c>
      <c r="H29" s="49">
        <f>'Avg Week Masaka-Ssembabule'!H29+'Avg Week Ssembabule-Masaka'!H29</f>
        <v>0</v>
      </c>
      <c r="I29" s="49">
        <f>'Avg Week Masaka-Ssembabule'!I29+'Avg Week Ssembabule-Masaka'!I29</f>
        <v>1.2857142857142856</v>
      </c>
      <c r="J29" s="49">
        <f>'Avg Week Masaka-Ssembabule'!J29+'Avg Week Ssembabule-Masaka'!J29</f>
        <v>1.1428571428571428</v>
      </c>
      <c r="K29" s="49">
        <f>'Avg Week Masaka-Ssembabule'!K29+'Avg Week Ssembabule-Masaka'!K29</f>
        <v>0.42857142857142855</v>
      </c>
      <c r="L29" s="49">
        <f>'Avg Week Masaka-Ssembabule'!L29+'Avg Week Ssembabule-Masaka'!L29</f>
        <v>0</v>
      </c>
      <c r="M29" s="49">
        <f>'Avg Week Masaka-Ssembabule'!M29+'Avg Week Ssembabule-Masaka'!M29</f>
        <v>11.714285714285715</v>
      </c>
      <c r="N29" s="49">
        <f>'Avg Week Masaka-Ssembabule'!N29+'Avg Week Ssembabule-Masaka'!N29</f>
        <v>0</v>
      </c>
      <c r="O29" s="15">
        <f t="shared" si="0"/>
        <v>10.285714285714285</v>
      </c>
      <c r="P29" s="15">
        <f t="shared" si="1"/>
        <v>22</v>
      </c>
      <c r="R29" s="1" t="s">
        <v>153</v>
      </c>
      <c r="S29" s="34">
        <f>SUM(C86:C89)</f>
        <v>2</v>
      </c>
      <c r="T29" s="34">
        <f t="shared" ref="T29:AF29" si="21">SUM(D86:D89)</f>
        <v>0.5</v>
      </c>
      <c r="U29" s="34">
        <f t="shared" si="21"/>
        <v>1.5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3.5</v>
      </c>
      <c r="AA29" s="34">
        <f t="shared" si="21"/>
        <v>0.5</v>
      </c>
      <c r="AB29" s="34">
        <f t="shared" si="21"/>
        <v>0.5</v>
      </c>
      <c r="AC29" s="34">
        <f t="shared" si="21"/>
        <v>0</v>
      </c>
      <c r="AD29" s="34">
        <f t="shared" si="21"/>
        <v>0</v>
      </c>
      <c r="AE29" s="31">
        <f t="shared" si="21"/>
        <v>13.5</v>
      </c>
      <c r="AF29" s="31">
        <f t="shared" si="21"/>
        <v>13.5</v>
      </c>
    </row>
    <row r="30" spans="2:32" ht="23.1" customHeight="1" x14ac:dyDescent="0.25">
      <c r="B30" s="23" t="s">
        <v>57</v>
      </c>
      <c r="C30" s="49">
        <f>'Avg Week Masaka-Ssembabule'!C30+'Avg Week Ssembabule-Masaka'!C30</f>
        <v>5.8571428571428577</v>
      </c>
      <c r="D30" s="49">
        <f>'Avg Week Masaka-Ssembabule'!D30+'Avg Week Ssembabule-Masaka'!D30</f>
        <v>0.2857142857142857</v>
      </c>
      <c r="E30" s="49">
        <f>'Avg Week Masaka-Ssembabule'!E30+'Avg Week Ssembabule-Masaka'!E30</f>
        <v>1.4285714285714284</v>
      </c>
      <c r="F30" s="49">
        <f>'Avg Week Masaka-Ssembabule'!F30+'Avg Week Ssembabule-Masaka'!F30</f>
        <v>0.42857142857142855</v>
      </c>
      <c r="G30" s="49">
        <f>'Avg Week Masaka-Ssembabule'!G30+'Avg Week Ssembabule-Masaka'!G30</f>
        <v>0</v>
      </c>
      <c r="H30" s="49">
        <f>'Avg Week Masaka-Ssembabule'!H30+'Avg Week Ssembabule-Masaka'!H30</f>
        <v>0</v>
      </c>
      <c r="I30" s="49">
        <f>'Avg Week Masaka-Ssembabule'!I30+'Avg Week Ssembabule-Masaka'!I30</f>
        <v>2.1428571428571428</v>
      </c>
      <c r="J30" s="49">
        <f>'Avg Week Masaka-Ssembabule'!J30+'Avg Week Ssembabule-Masaka'!J30</f>
        <v>1.2857142857142856</v>
      </c>
      <c r="K30" s="49">
        <f>'Avg Week Masaka-Ssembabule'!K30+'Avg Week Ssembabule-Masaka'!K30</f>
        <v>0.71428571428571419</v>
      </c>
      <c r="L30" s="49">
        <f>'Avg Week Masaka-Ssembabule'!L30+'Avg Week Ssembabule-Masaka'!L30</f>
        <v>0</v>
      </c>
      <c r="M30" s="49">
        <f>'Avg Week Masaka-Ssembabule'!M30+'Avg Week Ssembabule-Masaka'!M30</f>
        <v>14.285714285714285</v>
      </c>
      <c r="N30" s="49">
        <f>'Avg Week Masaka-Ssembabule'!N30+'Avg Week Ssembabule-Masaka'!N30</f>
        <v>0</v>
      </c>
      <c r="O30" s="15">
        <f t="shared" si="0"/>
        <v>12.142857142857141</v>
      </c>
      <c r="P30" s="15">
        <f t="shared" si="1"/>
        <v>26.428571428571423</v>
      </c>
      <c r="R30" s="1" t="s">
        <v>154</v>
      </c>
      <c r="S30" s="34">
        <f>SUM(C90:C93)</f>
        <v>3.5</v>
      </c>
      <c r="T30" s="34">
        <f t="shared" ref="T30:AF30" si="22">SUM(D90:D93)</f>
        <v>0.5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3.5</v>
      </c>
      <c r="AA30" s="34">
        <f t="shared" si="22"/>
        <v>1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10.5</v>
      </c>
      <c r="AF30" s="31">
        <f t="shared" si="22"/>
        <v>11.5</v>
      </c>
    </row>
    <row r="31" spans="2:32" ht="23.1" customHeight="1" x14ac:dyDescent="0.25">
      <c r="B31" s="24" t="s">
        <v>58</v>
      </c>
      <c r="C31" s="49">
        <f>'Avg Week Masaka-Ssembabule'!C31+'Avg Week Ssembabule-Masaka'!C31</f>
        <v>5.8571428571428568</v>
      </c>
      <c r="D31" s="49">
        <f>'Avg Week Masaka-Ssembabule'!D31+'Avg Week Ssembabule-Masaka'!D31</f>
        <v>0.42857142857142855</v>
      </c>
      <c r="E31" s="49">
        <f>'Avg Week Masaka-Ssembabule'!E31+'Avg Week Ssembabule-Masaka'!E31</f>
        <v>2.2857142857142856</v>
      </c>
      <c r="F31" s="49">
        <f>'Avg Week Masaka-Ssembabule'!F31+'Avg Week Ssembabule-Masaka'!F31</f>
        <v>0.71428571428571419</v>
      </c>
      <c r="G31" s="49">
        <f>'Avg Week Masaka-Ssembabule'!G31+'Avg Week Ssembabule-Masaka'!G31</f>
        <v>0</v>
      </c>
      <c r="H31" s="49">
        <f>'Avg Week Masaka-Ssembabule'!H31+'Avg Week Ssembabule-Masaka'!H31</f>
        <v>0</v>
      </c>
      <c r="I31" s="49">
        <f>'Avg Week Masaka-Ssembabule'!I31+'Avg Week Ssembabule-Masaka'!I31</f>
        <v>2.1428571428571428</v>
      </c>
      <c r="J31" s="49">
        <f>'Avg Week Masaka-Ssembabule'!J31+'Avg Week Ssembabule-Masaka'!J31</f>
        <v>0.2857142857142857</v>
      </c>
      <c r="K31" s="49">
        <f>'Avg Week Masaka-Ssembabule'!K31+'Avg Week Ssembabule-Masaka'!K31</f>
        <v>1.2857142857142856</v>
      </c>
      <c r="L31" s="49">
        <f>'Avg Week Masaka-Ssembabule'!L31+'Avg Week Ssembabule-Masaka'!L31</f>
        <v>0</v>
      </c>
      <c r="M31" s="49">
        <f>'Avg Week Masaka-Ssembabule'!M31+'Avg Week Ssembabule-Masaka'!M31</f>
        <v>12.571428571428571</v>
      </c>
      <c r="N31" s="49">
        <f>'Avg Week Masaka-Ssembabule'!N31+'Avg Week Ssembabule-Masaka'!N31</f>
        <v>0</v>
      </c>
      <c r="O31" s="15">
        <f t="shared" si="0"/>
        <v>13</v>
      </c>
      <c r="P31" s="15">
        <f t="shared" si="1"/>
        <v>25.571428571428569</v>
      </c>
      <c r="R31" s="1" t="s">
        <v>155</v>
      </c>
      <c r="S31" s="34">
        <f>SUM(C94:C97)</f>
        <v>9</v>
      </c>
      <c r="T31" s="34">
        <f t="shared" ref="T31:AF31" si="23">SUM(D94:D97)</f>
        <v>2.5</v>
      </c>
      <c r="U31" s="34">
        <f t="shared" si="23"/>
        <v>1.5</v>
      </c>
      <c r="V31" s="34">
        <f t="shared" si="23"/>
        <v>3.5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3</v>
      </c>
      <c r="AA31" s="34">
        <f t="shared" si="23"/>
        <v>0.5</v>
      </c>
      <c r="AB31" s="34">
        <f t="shared" si="23"/>
        <v>1</v>
      </c>
      <c r="AC31" s="34">
        <f t="shared" si="23"/>
        <v>10</v>
      </c>
      <c r="AD31" s="34">
        <f t="shared" si="23"/>
        <v>0</v>
      </c>
      <c r="AE31" s="31">
        <f t="shared" si="23"/>
        <v>25</v>
      </c>
      <c r="AF31" s="31">
        <f t="shared" si="23"/>
        <v>35</v>
      </c>
    </row>
    <row r="32" spans="2:32" ht="23.1" customHeight="1" x14ac:dyDescent="0.25">
      <c r="B32" s="24" t="s">
        <v>59</v>
      </c>
      <c r="C32" s="49">
        <f>'Avg Week Masaka-Ssembabule'!C32+'Avg Week Ssembabule-Masaka'!C32</f>
        <v>4.7142857142857144</v>
      </c>
      <c r="D32" s="49">
        <f>'Avg Week Masaka-Ssembabule'!D32+'Avg Week Ssembabule-Masaka'!D32</f>
        <v>0.42857142857142855</v>
      </c>
      <c r="E32" s="49">
        <f>'Avg Week Masaka-Ssembabule'!E32+'Avg Week Ssembabule-Masaka'!E32</f>
        <v>2.2857142857142856</v>
      </c>
      <c r="F32" s="49">
        <f>'Avg Week Masaka-Ssembabule'!F32+'Avg Week Ssembabule-Masaka'!F32</f>
        <v>0.42857142857142855</v>
      </c>
      <c r="G32" s="49">
        <f>'Avg Week Masaka-Ssembabule'!G32+'Avg Week Ssembabule-Masaka'!G32</f>
        <v>0.14285714285714285</v>
      </c>
      <c r="H32" s="49">
        <f>'Avg Week Masaka-Ssembabule'!H32+'Avg Week Ssembabule-Masaka'!H32</f>
        <v>0</v>
      </c>
      <c r="I32" s="49">
        <f>'Avg Week Masaka-Ssembabule'!I32+'Avg Week Ssembabule-Masaka'!I32</f>
        <v>1.4285714285714286</v>
      </c>
      <c r="J32" s="49">
        <f>'Avg Week Masaka-Ssembabule'!J32+'Avg Week Ssembabule-Masaka'!J32</f>
        <v>1.2857142857142856</v>
      </c>
      <c r="K32" s="49">
        <f>'Avg Week Masaka-Ssembabule'!K32+'Avg Week Ssembabule-Masaka'!K32</f>
        <v>1.2857142857142856</v>
      </c>
      <c r="L32" s="49">
        <f>'Avg Week Masaka-Ssembabule'!L32+'Avg Week Ssembabule-Masaka'!L32</f>
        <v>0</v>
      </c>
      <c r="M32" s="49">
        <f>'Avg Week Masaka-Ssembabule'!M32+'Avg Week Ssembabule-Masaka'!M32</f>
        <v>11.285714285714286</v>
      </c>
      <c r="N32" s="49">
        <f>'Avg Week Masaka-Ssembabule'!N32+'Avg Week Ssembabule-Masaka'!N32</f>
        <v>0</v>
      </c>
      <c r="O32" s="15">
        <f t="shared" si="0"/>
        <v>12</v>
      </c>
      <c r="P32" s="15">
        <f t="shared" si="1"/>
        <v>23.285714285714285</v>
      </c>
      <c r="R32" s="1" t="s">
        <v>156</v>
      </c>
      <c r="S32" s="34">
        <f>SUM(C98:C101)</f>
        <v>5</v>
      </c>
      <c r="T32" s="34">
        <f t="shared" ref="T32:AF32" si="24">SUM(D98:D101)</f>
        <v>3</v>
      </c>
      <c r="U32" s="34">
        <f t="shared" si="24"/>
        <v>2</v>
      </c>
      <c r="V32" s="34">
        <f t="shared" si="24"/>
        <v>7</v>
      </c>
      <c r="W32" s="34">
        <f t="shared" si="24"/>
        <v>0</v>
      </c>
      <c r="X32" s="34">
        <f t="shared" si="24"/>
        <v>0</v>
      </c>
      <c r="Y32" s="34">
        <f t="shared" si="24"/>
        <v>5</v>
      </c>
      <c r="Z32" s="34">
        <f t="shared" si="24"/>
        <v>3.5</v>
      </c>
      <c r="AA32" s="34">
        <f t="shared" si="24"/>
        <v>2</v>
      </c>
      <c r="AB32" s="34">
        <f t="shared" si="24"/>
        <v>0.5</v>
      </c>
      <c r="AC32" s="34">
        <f t="shared" si="24"/>
        <v>24.5</v>
      </c>
      <c r="AD32" s="34">
        <f t="shared" si="24"/>
        <v>0</v>
      </c>
      <c r="AE32" s="31">
        <f t="shared" si="24"/>
        <v>28</v>
      </c>
      <c r="AF32" s="31">
        <f t="shared" si="24"/>
        <v>52.5</v>
      </c>
    </row>
    <row r="33" spans="2:32" ht="23.1" customHeight="1" x14ac:dyDescent="0.25">
      <c r="B33" s="23" t="s">
        <v>60</v>
      </c>
      <c r="C33" s="49">
        <f>'Avg Week Masaka-Ssembabule'!C33+'Avg Week Ssembabule-Masaka'!C33</f>
        <v>4.4285714285714288</v>
      </c>
      <c r="D33" s="49">
        <f>'Avg Week Masaka-Ssembabule'!D33+'Avg Week Ssembabule-Masaka'!D33</f>
        <v>1</v>
      </c>
      <c r="E33" s="49">
        <f>'Avg Week Masaka-Ssembabule'!E33+'Avg Week Ssembabule-Masaka'!E33</f>
        <v>1.5714285714285714</v>
      </c>
      <c r="F33" s="49">
        <f>'Avg Week Masaka-Ssembabule'!F33+'Avg Week Ssembabule-Masaka'!F33</f>
        <v>0.5714285714285714</v>
      </c>
      <c r="G33" s="49">
        <f>'Avg Week Masaka-Ssembabule'!G33+'Avg Week Ssembabule-Masaka'!G33</f>
        <v>0</v>
      </c>
      <c r="H33" s="49">
        <f>'Avg Week Masaka-Ssembabule'!H33+'Avg Week Ssembabule-Masaka'!H33</f>
        <v>0</v>
      </c>
      <c r="I33" s="49">
        <f>'Avg Week Masaka-Ssembabule'!I33+'Avg Week Ssembabule-Masaka'!I33</f>
        <v>1.2857142857142856</v>
      </c>
      <c r="J33" s="49">
        <f>'Avg Week Masaka-Ssembabule'!J33+'Avg Week Ssembabule-Masaka'!J33</f>
        <v>1.2857142857142856</v>
      </c>
      <c r="K33" s="49">
        <f>'Avg Week Masaka-Ssembabule'!K33+'Avg Week Ssembabule-Masaka'!K33</f>
        <v>1</v>
      </c>
      <c r="L33" s="49">
        <f>'Avg Week Masaka-Ssembabule'!L33+'Avg Week Ssembabule-Masaka'!L33</f>
        <v>0</v>
      </c>
      <c r="M33" s="49">
        <f>'Avg Week Masaka-Ssembabule'!M33+'Avg Week Ssembabule-Masaka'!M33</f>
        <v>11.714285714285715</v>
      </c>
      <c r="N33" s="49">
        <f>'Avg Week Masaka-Ssembabule'!N33+'Avg Week Ssembabule-Masaka'!N33</f>
        <v>0</v>
      </c>
      <c r="O33" s="15">
        <f t="shared" si="0"/>
        <v>11.142857142857142</v>
      </c>
      <c r="P33" s="15">
        <f t="shared" si="1"/>
        <v>22.857142857142858</v>
      </c>
      <c r="R33" s="1" t="s">
        <v>157</v>
      </c>
      <c r="S33" s="34">
        <f>SUM(C102:C105)</f>
        <v>7.5</v>
      </c>
      <c r="T33" s="34">
        <f t="shared" ref="T33:AF33" si="25">SUM(D102:D105)</f>
        <v>5</v>
      </c>
      <c r="U33" s="34">
        <f t="shared" si="25"/>
        <v>4</v>
      </c>
      <c r="V33" s="34">
        <f t="shared" si="25"/>
        <v>5.5</v>
      </c>
      <c r="W33" s="34">
        <f t="shared" si="25"/>
        <v>0</v>
      </c>
      <c r="X33" s="34">
        <f t="shared" si="25"/>
        <v>0</v>
      </c>
      <c r="Y33" s="34">
        <f t="shared" si="25"/>
        <v>3.5</v>
      </c>
      <c r="Z33" s="34">
        <f t="shared" si="25"/>
        <v>3.5</v>
      </c>
      <c r="AA33" s="34">
        <f t="shared" si="25"/>
        <v>0.5</v>
      </c>
      <c r="AB33" s="34">
        <f t="shared" si="25"/>
        <v>0</v>
      </c>
      <c r="AC33" s="34">
        <f t="shared" si="25"/>
        <v>23.5</v>
      </c>
      <c r="AD33" s="34">
        <f t="shared" si="25"/>
        <v>0</v>
      </c>
      <c r="AE33" s="31">
        <f t="shared" si="25"/>
        <v>29.5</v>
      </c>
      <c r="AF33" s="31">
        <f t="shared" si="25"/>
        <v>53</v>
      </c>
    </row>
    <row r="34" spans="2:32" ht="23.1" customHeight="1" x14ac:dyDescent="0.25">
      <c r="B34" s="24" t="s">
        <v>61</v>
      </c>
      <c r="C34" s="49">
        <f>'Avg Week Masaka-Ssembabule'!C34+'Avg Week Ssembabule-Masaka'!C34</f>
        <v>4.4285714285714288</v>
      </c>
      <c r="D34" s="49">
        <f>'Avg Week Masaka-Ssembabule'!D34+'Avg Week Ssembabule-Masaka'!D34</f>
        <v>0.42857142857142855</v>
      </c>
      <c r="E34" s="49">
        <f>'Avg Week Masaka-Ssembabule'!E34+'Avg Week Ssembabule-Masaka'!E34</f>
        <v>2</v>
      </c>
      <c r="F34" s="49">
        <f>'Avg Week Masaka-Ssembabule'!F34+'Avg Week Ssembabule-Masaka'!F34</f>
        <v>1.1428571428571428</v>
      </c>
      <c r="G34" s="49">
        <f>'Avg Week Masaka-Ssembabule'!G34+'Avg Week Ssembabule-Masaka'!G34</f>
        <v>0</v>
      </c>
      <c r="H34" s="49">
        <f>'Avg Week Masaka-Ssembabule'!H34+'Avg Week Ssembabule-Masaka'!H34</f>
        <v>0</v>
      </c>
      <c r="I34" s="49">
        <f>'Avg Week Masaka-Ssembabule'!I34+'Avg Week Ssembabule-Masaka'!I34</f>
        <v>2.1428571428571428</v>
      </c>
      <c r="J34" s="49">
        <f>'Avg Week Masaka-Ssembabule'!J34+'Avg Week Ssembabule-Masaka'!J34</f>
        <v>0</v>
      </c>
      <c r="K34" s="49">
        <f>'Avg Week Masaka-Ssembabule'!K34+'Avg Week Ssembabule-Masaka'!K34</f>
        <v>0.42857142857142855</v>
      </c>
      <c r="L34" s="49">
        <f>'Avg Week Masaka-Ssembabule'!L34+'Avg Week Ssembabule-Masaka'!L34</f>
        <v>0</v>
      </c>
      <c r="M34" s="49">
        <f>'Avg Week Masaka-Ssembabule'!M34+'Avg Week Ssembabule-Masaka'!M34</f>
        <v>15.142857142857142</v>
      </c>
      <c r="N34" s="49">
        <f>'Avg Week Masaka-Ssembabule'!N34+'Avg Week Ssembabule-Masaka'!N34</f>
        <v>0.7142857142857143</v>
      </c>
      <c r="O34" s="15">
        <f t="shared" si="0"/>
        <v>11.285714285714285</v>
      </c>
      <c r="P34" s="15">
        <f t="shared" si="1"/>
        <v>26.428571428571431</v>
      </c>
      <c r="R34" s="54" t="s">
        <v>90</v>
      </c>
      <c r="S34" s="55">
        <f t="shared" ref="S34:AF34" si="26">MAX(S10:S12)</f>
        <v>17.714285714285715</v>
      </c>
      <c r="T34" s="55">
        <f t="shared" si="26"/>
        <v>2.1428571428571428</v>
      </c>
      <c r="U34" s="55">
        <f t="shared" si="26"/>
        <v>5.7142857142857135</v>
      </c>
      <c r="V34" s="55">
        <f t="shared" si="26"/>
        <v>6.5714285714285712</v>
      </c>
      <c r="W34" s="55">
        <f t="shared" si="26"/>
        <v>1.1428571428571428</v>
      </c>
      <c r="X34" s="55">
        <f t="shared" si="26"/>
        <v>0.42857142857142855</v>
      </c>
      <c r="Y34" s="55">
        <f t="shared" si="26"/>
        <v>9.8571428571428577</v>
      </c>
      <c r="Z34" s="55">
        <f t="shared" si="26"/>
        <v>2.8571428571428572</v>
      </c>
      <c r="AA34" s="55">
        <f t="shared" si="26"/>
        <v>2.2857142857142856</v>
      </c>
      <c r="AB34" s="55">
        <f t="shared" si="26"/>
        <v>0.14285714285714285</v>
      </c>
      <c r="AC34" s="55">
        <f t="shared" si="26"/>
        <v>45</v>
      </c>
      <c r="AD34" s="55">
        <f t="shared" si="26"/>
        <v>0.14285714285714285</v>
      </c>
      <c r="AE34" s="40">
        <f t="shared" si="26"/>
        <v>44.142857142857139</v>
      </c>
      <c r="AF34" s="40">
        <f t="shared" si="26"/>
        <v>89.142857142857139</v>
      </c>
    </row>
    <row r="35" spans="2:32" ht="23.1" customHeight="1" x14ac:dyDescent="0.25">
      <c r="B35" s="24" t="s">
        <v>62</v>
      </c>
      <c r="C35" s="49">
        <f>'Avg Week Masaka-Ssembabule'!C35+'Avg Week Ssembabule-Masaka'!C35</f>
        <v>3</v>
      </c>
      <c r="D35" s="49">
        <f>'Avg Week Masaka-Ssembabule'!D35+'Avg Week Ssembabule-Masaka'!D35</f>
        <v>0.14285714285714285</v>
      </c>
      <c r="E35" s="49">
        <f>'Avg Week Masaka-Ssembabule'!E35+'Avg Week Ssembabule-Masaka'!E35</f>
        <v>1.8571428571428572</v>
      </c>
      <c r="F35" s="49">
        <f>'Avg Week Masaka-Ssembabule'!F35+'Avg Week Ssembabule-Masaka'!F35</f>
        <v>0.5714285714285714</v>
      </c>
      <c r="G35" s="49">
        <f>'Avg Week Masaka-Ssembabule'!G35+'Avg Week Ssembabule-Masaka'!G35</f>
        <v>0</v>
      </c>
      <c r="H35" s="49">
        <f>'Avg Week Masaka-Ssembabule'!H35+'Avg Week Ssembabule-Masaka'!H35</f>
        <v>0</v>
      </c>
      <c r="I35" s="49">
        <f>'Avg Week Masaka-Ssembabule'!I35+'Avg Week Ssembabule-Masaka'!I35</f>
        <v>1.7142857142857144</v>
      </c>
      <c r="J35" s="49">
        <f>'Avg Week Masaka-Ssembabule'!J35+'Avg Week Ssembabule-Masaka'!J35</f>
        <v>0.71428571428571419</v>
      </c>
      <c r="K35" s="49">
        <f>'Avg Week Masaka-Ssembabule'!K35+'Avg Week Ssembabule-Masaka'!K35</f>
        <v>0.2857142857142857</v>
      </c>
      <c r="L35" s="49">
        <f>'Avg Week Masaka-Ssembabule'!L35+'Avg Week Ssembabule-Masaka'!L35</f>
        <v>0</v>
      </c>
      <c r="M35" s="49">
        <f>'Avg Week Masaka-Ssembabule'!M35+'Avg Week Ssembabule-Masaka'!M35</f>
        <v>14.142857142857142</v>
      </c>
      <c r="N35" s="49">
        <f>'Avg Week Masaka-Ssembabule'!N35+'Avg Week Ssembabule-Masaka'!N35</f>
        <v>0.7142857142857143</v>
      </c>
      <c r="O35" s="15">
        <f t="shared" si="0"/>
        <v>9</v>
      </c>
      <c r="P35" s="15">
        <f t="shared" si="1"/>
        <v>23.142857142857146</v>
      </c>
      <c r="R35" s="54" t="s">
        <v>91</v>
      </c>
      <c r="S35" s="55">
        <f t="shared" ref="S35:AF35" si="27">MAX(S13:S18)</f>
        <v>20.857142857142861</v>
      </c>
      <c r="T35" s="55">
        <f t="shared" si="27"/>
        <v>2.7142857142857144</v>
      </c>
      <c r="U35" s="55">
        <f t="shared" si="27"/>
        <v>7.5714285714285712</v>
      </c>
      <c r="V35" s="55">
        <f t="shared" si="27"/>
        <v>5.9999999999999991</v>
      </c>
      <c r="W35" s="55">
        <f t="shared" si="27"/>
        <v>0.14285714285714285</v>
      </c>
      <c r="X35" s="55">
        <f t="shared" si="27"/>
        <v>0</v>
      </c>
      <c r="Y35" s="55">
        <f t="shared" si="27"/>
        <v>9.1428571428571423</v>
      </c>
      <c r="Z35" s="55">
        <f t="shared" si="27"/>
        <v>4.4285714285714288</v>
      </c>
      <c r="AA35" s="55">
        <f t="shared" si="27"/>
        <v>4.2857142857142856</v>
      </c>
      <c r="AB35" s="55">
        <f t="shared" si="27"/>
        <v>0.5714285714285714</v>
      </c>
      <c r="AC35" s="55">
        <f t="shared" si="27"/>
        <v>60.285714285714285</v>
      </c>
      <c r="AD35" s="55">
        <f t="shared" si="27"/>
        <v>1.4285714285714286</v>
      </c>
      <c r="AE35" s="40">
        <f t="shared" si="27"/>
        <v>48.285714285714278</v>
      </c>
      <c r="AF35" s="40">
        <f t="shared" si="27"/>
        <v>102.85714285714286</v>
      </c>
    </row>
    <row r="36" spans="2:32" ht="23.1" customHeight="1" x14ac:dyDescent="0.25">
      <c r="B36" s="24" t="s">
        <v>63</v>
      </c>
      <c r="C36" s="49">
        <f>'Avg Week Masaka-Ssembabule'!C36+'Avg Week Ssembabule-Masaka'!C36</f>
        <v>4.5714285714285712</v>
      </c>
      <c r="D36" s="49">
        <f>'Avg Week Masaka-Ssembabule'!D36+'Avg Week Ssembabule-Masaka'!D36</f>
        <v>0.71428571428571419</v>
      </c>
      <c r="E36" s="49">
        <f>'Avg Week Masaka-Ssembabule'!E36+'Avg Week Ssembabule-Masaka'!E36</f>
        <v>1.1428571428571428</v>
      </c>
      <c r="F36" s="49">
        <f>'Avg Week Masaka-Ssembabule'!F36+'Avg Week Ssembabule-Masaka'!F36</f>
        <v>0.8571428571428571</v>
      </c>
      <c r="G36" s="49">
        <f>'Avg Week Masaka-Ssembabule'!G36+'Avg Week Ssembabule-Masaka'!G36</f>
        <v>0</v>
      </c>
      <c r="H36" s="49">
        <f>'Avg Week Masaka-Ssembabule'!H36+'Avg Week Ssembabule-Masaka'!H36</f>
        <v>0</v>
      </c>
      <c r="I36" s="49">
        <f>'Avg Week Masaka-Ssembabule'!I36+'Avg Week Ssembabule-Masaka'!I36</f>
        <v>2.2857142857142856</v>
      </c>
      <c r="J36" s="49">
        <f>'Avg Week Masaka-Ssembabule'!J36+'Avg Week Ssembabule-Masaka'!J36</f>
        <v>1.1428571428571428</v>
      </c>
      <c r="K36" s="49">
        <f>'Avg Week Masaka-Ssembabule'!K36+'Avg Week Ssembabule-Masaka'!K36</f>
        <v>0.2857142857142857</v>
      </c>
      <c r="L36" s="49">
        <f>'Avg Week Masaka-Ssembabule'!L36+'Avg Week Ssembabule-Masaka'!L36</f>
        <v>0</v>
      </c>
      <c r="M36" s="49">
        <f>'Avg Week Masaka-Ssembabule'!M36+'Avg Week Ssembabule-Masaka'!M36</f>
        <v>14</v>
      </c>
      <c r="N36" s="49">
        <f>'Avg Week Masaka-Ssembabule'!N36+'Avg Week Ssembabule-Masaka'!N36</f>
        <v>0</v>
      </c>
      <c r="O36" s="15">
        <f t="shared" si="0"/>
        <v>11</v>
      </c>
      <c r="P36" s="15">
        <f t="shared" si="1"/>
        <v>25</v>
      </c>
      <c r="R36" s="54" t="s">
        <v>92</v>
      </c>
      <c r="S36" s="55">
        <f t="shared" ref="S36:AF36" si="28">MAX(S19:S21)</f>
        <v>21.714285714285715</v>
      </c>
      <c r="T36" s="55">
        <f t="shared" si="28"/>
        <v>3.5714285714285712</v>
      </c>
      <c r="U36" s="55">
        <f t="shared" si="28"/>
        <v>7.7142857142857144</v>
      </c>
      <c r="V36" s="55">
        <f t="shared" si="28"/>
        <v>8.1428571428571423</v>
      </c>
      <c r="W36" s="55">
        <f t="shared" si="28"/>
        <v>1.2857142857142856</v>
      </c>
      <c r="X36" s="55">
        <f t="shared" si="28"/>
        <v>0.2857142857142857</v>
      </c>
      <c r="Y36" s="55">
        <f t="shared" si="28"/>
        <v>9.8571428571428577</v>
      </c>
      <c r="Z36" s="55">
        <f t="shared" si="28"/>
        <v>6.7142857142857144</v>
      </c>
      <c r="AA36" s="55">
        <f t="shared" si="28"/>
        <v>3</v>
      </c>
      <c r="AB36" s="55">
        <f t="shared" si="28"/>
        <v>0</v>
      </c>
      <c r="AC36" s="55">
        <f t="shared" si="28"/>
        <v>64.857142857142861</v>
      </c>
      <c r="AD36" s="55">
        <f t="shared" si="28"/>
        <v>0.14285714285714285</v>
      </c>
      <c r="AE36" s="40">
        <f t="shared" si="28"/>
        <v>58.714285714285722</v>
      </c>
      <c r="AF36" s="40">
        <f t="shared" si="28"/>
        <v>118.28571428571429</v>
      </c>
    </row>
    <row r="37" spans="2:32" ht="23.1" customHeight="1" x14ac:dyDescent="0.25">
      <c r="B37" s="23" t="s">
        <v>64</v>
      </c>
      <c r="C37" s="49">
        <f>'Avg Week Masaka-Ssembabule'!C37+'Avg Week Ssembabule-Masaka'!C37</f>
        <v>4.2857142857142856</v>
      </c>
      <c r="D37" s="49">
        <f>'Avg Week Masaka-Ssembabule'!D37+'Avg Week Ssembabule-Masaka'!D37</f>
        <v>0.42857142857142855</v>
      </c>
      <c r="E37" s="49">
        <f>'Avg Week Masaka-Ssembabule'!E37+'Avg Week Ssembabule-Masaka'!E37</f>
        <v>1.2857142857142856</v>
      </c>
      <c r="F37" s="49">
        <f>'Avg Week Masaka-Ssembabule'!F37+'Avg Week Ssembabule-Masaka'!F37</f>
        <v>0.42857142857142855</v>
      </c>
      <c r="G37" s="49">
        <f>'Avg Week Masaka-Ssembabule'!G37+'Avg Week Ssembabule-Masaka'!G37</f>
        <v>0</v>
      </c>
      <c r="H37" s="49">
        <f>'Avg Week Masaka-Ssembabule'!H37+'Avg Week Ssembabule-Masaka'!H37</f>
        <v>0</v>
      </c>
      <c r="I37" s="49">
        <f>'Avg Week Masaka-Ssembabule'!I37+'Avg Week Ssembabule-Masaka'!I37</f>
        <v>2.8571428571428572</v>
      </c>
      <c r="J37" s="49">
        <f>'Avg Week Masaka-Ssembabule'!J37+'Avg Week Ssembabule-Masaka'!J37</f>
        <v>1</v>
      </c>
      <c r="K37" s="49">
        <f>'Avg Week Masaka-Ssembabule'!K37+'Avg Week Ssembabule-Masaka'!K37</f>
        <v>1</v>
      </c>
      <c r="L37" s="49">
        <f>'Avg Week Masaka-Ssembabule'!L37+'Avg Week Ssembabule-Masaka'!L37</f>
        <v>0</v>
      </c>
      <c r="M37" s="49">
        <f>'Avg Week Masaka-Ssembabule'!M37+'Avg Week Ssembabule-Masaka'!M37</f>
        <v>17</v>
      </c>
      <c r="N37" s="49">
        <f>'Avg Week Masaka-Ssembabule'!N37+'Avg Week Ssembabule-Masaka'!N37</f>
        <v>0</v>
      </c>
      <c r="O37" s="15">
        <f t="shared" si="0"/>
        <v>11.285714285714286</v>
      </c>
      <c r="P37" s="15">
        <f t="shared" si="1"/>
        <v>28.285714285714285</v>
      </c>
      <c r="R37" s="37" t="s">
        <v>85</v>
      </c>
      <c r="S37" s="56">
        <f t="shared" ref="S37:AF37" si="29">SUM(S10:S12)</f>
        <v>45.857142857142861</v>
      </c>
      <c r="T37" s="57">
        <f t="shared" si="29"/>
        <v>4.5714285714285712</v>
      </c>
      <c r="U37" s="57">
        <f t="shared" si="29"/>
        <v>11.285714285714285</v>
      </c>
      <c r="V37" s="57">
        <f t="shared" si="29"/>
        <v>14.285714285714286</v>
      </c>
      <c r="W37" s="57">
        <f t="shared" si="29"/>
        <v>1.1428571428571428</v>
      </c>
      <c r="X37" s="57">
        <f t="shared" si="29"/>
        <v>0.42857142857142855</v>
      </c>
      <c r="Y37" s="57">
        <f t="shared" si="29"/>
        <v>24.142857142857146</v>
      </c>
      <c r="Z37" s="57">
        <f t="shared" si="29"/>
        <v>7.7142857142857135</v>
      </c>
      <c r="AA37" s="57">
        <f t="shared" si="29"/>
        <v>5.8571428571428568</v>
      </c>
      <c r="AB37" s="57">
        <f t="shared" si="29"/>
        <v>0.14285714285714285</v>
      </c>
      <c r="AC37" s="57">
        <f t="shared" si="29"/>
        <v>123.57142857142858</v>
      </c>
      <c r="AD37" s="57">
        <f t="shared" si="29"/>
        <v>0.2857142857142857</v>
      </c>
      <c r="AE37" s="58">
        <f t="shared" si="29"/>
        <v>115.71428571428572</v>
      </c>
      <c r="AF37" s="58">
        <f t="shared" si="29"/>
        <v>239.28571428571431</v>
      </c>
    </row>
    <row r="38" spans="2:32" ht="23.1" customHeight="1" x14ac:dyDescent="0.25">
      <c r="B38" s="24" t="s">
        <v>65</v>
      </c>
      <c r="C38" s="49">
        <f>'Avg Week Masaka-Ssembabule'!C38+'Avg Week Ssembabule-Masaka'!C38</f>
        <v>4.4285714285714288</v>
      </c>
      <c r="D38" s="49">
        <f>'Avg Week Masaka-Ssembabule'!D38+'Avg Week Ssembabule-Masaka'!D38</f>
        <v>0.2857142857142857</v>
      </c>
      <c r="E38" s="49">
        <f>'Avg Week Masaka-Ssembabule'!E38+'Avg Week Ssembabule-Masaka'!E38</f>
        <v>1.5714285714285714</v>
      </c>
      <c r="F38" s="49">
        <f>'Avg Week Masaka-Ssembabule'!F38+'Avg Week Ssembabule-Masaka'!F38</f>
        <v>1.4285714285714284</v>
      </c>
      <c r="G38" s="49">
        <f>'Avg Week Masaka-Ssembabule'!G38+'Avg Week Ssembabule-Masaka'!G38</f>
        <v>0</v>
      </c>
      <c r="H38" s="49">
        <f>'Avg Week Masaka-Ssembabule'!H38+'Avg Week Ssembabule-Masaka'!H38</f>
        <v>0</v>
      </c>
      <c r="I38" s="49">
        <f>'Avg Week Masaka-Ssembabule'!I38+'Avg Week Ssembabule-Masaka'!I38</f>
        <v>2.7142857142857144</v>
      </c>
      <c r="J38" s="49">
        <f>'Avg Week Masaka-Ssembabule'!J38+'Avg Week Ssembabule-Masaka'!J38</f>
        <v>1</v>
      </c>
      <c r="K38" s="49">
        <f>'Avg Week Masaka-Ssembabule'!K38+'Avg Week Ssembabule-Masaka'!K38</f>
        <v>0.2857142857142857</v>
      </c>
      <c r="L38" s="49">
        <f>'Avg Week Masaka-Ssembabule'!L38+'Avg Week Ssembabule-Masaka'!L38</f>
        <v>0</v>
      </c>
      <c r="M38" s="49">
        <f>'Avg Week Masaka-Ssembabule'!M38+'Avg Week Ssembabule-Masaka'!M38</f>
        <v>14.714285714285715</v>
      </c>
      <c r="N38" s="49">
        <f>'Avg Week Masaka-Ssembabule'!N38+'Avg Week Ssembabule-Masaka'!N38</f>
        <v>0</v>
      </c>
      <c r="O38" s="15">
        <f t="shared" si="0"/>
        <v>11.714285714285714</v>
      </c>
      <c r="P38" s="15">
        <f t="shared" si="1"/>
        <v>26.428571428571431</v>
      </c>
      <c r="R38" s="28" t="s">
        <v>86</v>
      </c>
      <c r="S38" s="57">
        <f t="shared" ref="S38:AF38" si="30">SUM(S13:S18)</f>
        <v>108.57142857142858</v>
      </c>
      <c r="T38" s="57">
        <f t="shared" si="30"/>
        <v>12.714285714285714</v>
      </c>
      <c r="U38" s="57">
        <f t="shared" si="30"/>
        <v>31.142857142857142</v>
      </c>
      <c r="V38" s="57">
        <f t="shared" si="30"/>
        <v>23.714285714285715</v>
      </c>
      <c r="W38" s="57">
        <f t="shared" si="30"/>
        <v>0.42857142857142855</v>
      </c>
      <c r="X38" s="57">
        <f t="shared" si="30"/>
        <v>0</v>
      </c>
      <c r="Y38" s="57">
        <f t="shared" si="30"/>
        <v>49.428571428571431</v>
      </c>
      <c r="Z38" s="57">
        <f t="shared" si="30"/>
        <v>23.571428571428569</v>
      </c>
      <c r="AA38" s="57">
        <f t="shared" si="30"/>
        <v>19</v>
      </c>
      <c r="AB38" s="57">
        <f t="shared" si="30"/>
        <v>1.2857142857142856</v>
      </c>
      <c r="AC38" s="57">
        <f t="shared" si="30"/>
        <v>317.71428571428567</v>
      </c>
      <c r="AD38" s="57">
        <f t="shared" si="30"/>
        <v>1.7142857142857142</v>
      </c>
      <c r="AE38" s="58">
        <f t="shared" si="30"/>
        <v>271.57142857142856</v>
      </c>
      <c r="AF38" s="58">
        <f t="shared" si="30"/>
        <v>589.28571428571433</v>
      </c>
    </row>
    <row r="39" spans="2:32" ht="23.1" customHeight="1" x14ac:dyDescent="0.25">
      <c r="B39" s="24" t="s">
        <v>66</v>
      </c>
      <c r="C39" s="49">
        <f>'Avg Week Masaka-Ssembabule'!C39+'Avg Week Ssembabule-Masaka'!C39</f>
        <v>3.2857142857142856</v>
      </c>
      <c r="D39" s="49">
        <f>'Avg Week Masaka-Ssembabule'!D39+'Avg Week Ssembabule-Masaka'!D39</f>
        <v>0.85714285714285721</v>
      </c>
      <c r="E39" s="49">
        <f>'Avg Week Masaka-Ssembabule'!E39+'Avg Week Ssembabule-Masaka'!E39</f>
        <v>1.1428571428571428</v>
      </c>
      <c r="F39" s="49">
        <f>'Avg Week Masaka-Ssembabule'!F39+'Avg Week Ssembabule-Masaka'!F39</f>
        <v>0.8571428571428571</v>
      </c>
      <c r="G39" s="49">
        <f>'Avg Week Masaka-Ssembabule'!G39+'Avg Week Ssembabule-Masaka'!G39</f>
        <v>0</v>
      </c>
      <c r="H39" s="49">
        <f>'Avg Week Masaka-Ssembabule'!H39+'Avg Week Ssembabule-Masaka'!H39</f>
        <v>0</v>
      </c>
      <c r="I39" s="49">
        <f>'Avg Week Masaka-Ssembabule'!I39+'Avg Week Ssembabule-Masaka'!I39</f>
        <v>1</v>
      </c>
      <c r="J39" s="49">
        <f>'Avg Week Masaka-Ssembabule'!J39+'Avg Week Ssembabule-Masaka'!J39</f>
        <v>1.2857142857142856</v>
      </c>
      <c r="K39" s="49">
        <f>'Avg Week Masaka-Ssembabule'!K39+'Avg Week Ssembabule-Masaka'!K39</f>
        <v>1.2857142857142856</v>
      </c>
      <c r="L39" s="49">
        <f>'Avg Week Masaka-Ssembabule'!L39+'Avg Week Ssembabule-Masaka'!L39</f>
        <v>0</v>
      </c>
      <c r="M39" s="49">
        <f>'Avg Week Masaka-Ssembabule'!M39+'Avg Week Ssembabule-Masaka'!M39</f>
        <v>12.142857142857142</v>
      </c>
      <c r="N39" s="49">
        <f>'Avg Week Masaka-Ssembabule'!N39+'Avg Week Ssembabule-Masaka'!N39</f>
        <v>0</v>
      </c>
      <c r="O39" s="15">
        <f t="shared" si="0"/>
        <v>9.7142857142857117</v>
      </c>
      <c r="P39" s="15">
        <f t="shared" si="1"/>
        <v>21.857142857142854</v>
      </c>
      <c r="R39" s="29" t="s">
        <v>87</v>
      </c>
      <c r="S39" s="57">
        <f t="shared" ref="S39:AF39" si="31">SUM(S19:S21)</f>
        <v>53</v>
      </c>
      <c r="T39" s="57">
        <f t="shared" si="31"/>
        <v>9.2857142857142847</v>
      </c>
      <c r="U39" s="57">
        <f t="shared" si="31"/>
        <v>18.285714285714285</v>
      </c>
      <c r="V39" s="57">
        <f t="shared" si="31"/>
        <v>19.142857142857142</v>
      </c>
      <c r="W39" s="57">
        <f t="shared" si="31"/>
        <v>1.857142857142857</v>
      </c>
      <c r="X39" s="57">
        <f t="shared" si="31"/>
        <v>0.42857142857142855</v>
      </c>
      <c r="Y39" s="57">
        <f t="shared" si="31"/>
        <v>28.285714285714285</v>
      </c>
      <c r="Z39" s="57">
        <f t="shared" si="31"/>
        <v>17.428571428571431</v>
      </c>
      <c r="AA39" s="57">
        <f t="shared" si="31"/>
        <v>6.8571428571428577</v>
      </c>
      <c r="AB39" s="57">
        <f t="shared" si="31"/>
        <v>0</v>
      </c>
      <c r="AC39" s="57">
        <f t="shared" si="31"/>
        <v>182</v>
      </c>
      <c r="AD39" s="57">
        <f t="shared" si="31"/>
        <v>0.14285714285714285</v>
      </c>
      <c r="AE39" s="58">
        <f t="shared" si="31"/>
        <v>154.71428571428572</v>
      </c>
      <c r="AF39" s="58">
        <f t="shared" si="31"/>
        <v>336.71428571428572</v>
      </c>
    </row>
    <row r="40" spans="2:32" ht="23.1" customHeight="1" x14ac:dyDescent="0.25">
      <c r="B40" s="24" t="s">
        <v>67</v>
      </c>
      <c r="C40" s="49">
        <f>'Avg Week Masaka-Ssembabule'!C40+'Avg Week Ssembabule-Masaka'!C40</f>
        <v>5.1428571428571423</v>
      </c>
      <c r="D40" s="49">
        <f>'Avg Week Masaka-Ssembabule'!D40+'Avg Week Ssembabule-Masaka'!D40</f>
        <v>0.5714285714285714</v>
      </c>
      <c r="E40" s="49">
        <f>'Avg Week Masaka-Ssembabule'!E40+'Avg Week Ssembabule-Masaka'!E40</f>
        <v>1</v>
      </c>
      <c r="F40" s="49">
        <f>'Avg Week Masaka-Ssembabule'!F40+'Avg Week Ssembabule-Masaka'!F40</f>
        <v>1.5714285714285714</v>
      </c>
      <c r="G40" s="49">
        <f>'Avg Week Masaka-Ssembabule'!G40+'Avg Week Ssembabule-Masaka'!G40</f>
        <v>0.14285714285714285</v>
      </c>
      <c r="H40" s="49">
        <f>'Avg Week Masaka-Ssembabule'!H40+'Avg Week Ssembabule-Masaka'!H40</f>
        <v>0</v>
      </c>
      <c r="I40" s="49">
        <f>'Avg Week Masaka-Ssembabule'!I40+'Avg Week Ssembabule-Masaka'!I40</f>
        <v>2.4285714285714288</v>
      </c>
      <c r="J40" s="49">
        <f>'Avg Week Masaka-Ssembabule'!J40+'Avg Week Ssembabule-Masaka'!J40</f>
        <v>0.5714285714285714</v>
      </c>
      <c r="K40" s="49">
        <f>'Avg Week Masaka-Ssembabule'!K40+'Avg Week Ssembabule-Masaka'!K40</f>
        <v>0.71428571428571419</v>
      </c>
      <c r="L40" s="49">
        <f>'Avg Week Masaka-Ssembabule'!L40+'Avg Week Ssembabule-Masaka'!L40</f>
        <v>0</v>
      </c>
      <c r="M40" s="49">
        <f>'Avg Week Masaka-Ssembabule'!M40+'Avg Week Ssembabule-Masaka'!M40</f>
        <v>13.714285714285715</v>
      </c>
      <c r="N40" s="49">
        <f>'Avg Week Masaka-Ssembabule'!N40+'Avg Week Ssembabule-Masaka'!N40</f>
        <v>0</v>
      </c>
      <c r="O40" s="15">
        <f t="shared" si="0"/>
        <v>12.142857142857141</v>
      </c>
      <c r="P40" s="15">
        <f t="shared" si="1"/>
        <v>25.857142857142854</v>
      </c>
      <c r="R40" s="5" t="s">
        <v>17</v>
      </c>
      <c r="S40" s="57">
        <f t="shared" ref="S40:AF40" si="32">SUM(S10:S21)</f>
        <v>207.42857142857144</v>
      </c>
      <c r="T40" s="57">
        <f t="shared" si="32"/>
        <v>26.571428571428569</v>
      </c>
      <c r="U40" s="57">
        <f t="shared" si="32"/>
        <v>60.714285714285708</v>
      </c>
      <c r="V40" s="57">
        <f t="shared" si="32"/>
        <v>57.142857142857146</v>
      </c>
      <c r="W40" s="57">
        <f t="shared" si="32"/>
        <v>3.4285714285714284</v>
      </c>
      <c r="X40" s="57">
        <f t="shared" si="32"/>
        <v>0.8571428571428571</v>
      </c>
      <c r="Y40" s="57">
        <f t="shared" si="32"/>
        <v>101.85714285714286</v>
      </c>
      <c r="Z40" s="57">
        <f t="shared" si="32"/>
        <v>48.714285714285715</v>
      </c>
      <c r="AA40" s="57">
        <f t="shared" si="32"/>
        <v>31.714285714285715</v>
      </c>
      <c r="AB40" s="57">
        <f t="shared" si="32"/>
        <v>1.4285714285714284</v>
      </c>
      <c r="AC40" s="57">
        <f t="shared" si="32"/>
        <v>623.28571428571422</v>
      </c>
      <c r="AD40" s="57">
        <f t="shared" si="32"/>
        <v>2.1428571428571428</v>
      </c>
      <c r="AE40" s="58">
        <f t="shared" si="32"/>
        <v>542.00000000000011</v>
      </c>
      <c r="AF40" s="58">
        <f t="shared" si="32"/>
        <v>1165.2857142857144</v>
      </c>
    </row>
    <row r="41" spans="2:32" ht="23.1" customHeight="1" x14ac:dyDescent="0.25">
      <c r="B41" s="23" t="s">
        <v>68</v>
      </c>
      <c r="C41" s="49">
        <f>'Avg Week Masaka-Ssembabule'!C41+'Avg Week Ssembabule-Masaka'!C41</f>
        <v>2.7142857142857144</v>
      </c>
      <c r="D41" s="49">
        <f>'Avg Week Masaka-Ssembabule'!D41+'Avg Week Ssembabule-Masaka'!D41</f>
        <v>1</v>
      </c>
      <c r="E41" s="49">
        <f>'Avg Week Masaka-Ssembabule'!E41+'Avg Week Ssembabule-Masaka'!E41</f>
        <v>1</v>
      </c>
      <c r="F41" s="49">
        <f>'Avg Week Masaka-Ssembabule'!F41+'Avg Week Ssembabule-Masaka'!F41</f>
        <v>1.8571428571428572</v>
      </c>
      <c r="G41" s="49">
        <f>'Avg Week Masaka-Ssembabule'!G41+'Avg Week Ssembabule-Masaka'!G41</f>
        <v>0</v>
      </c>
      <c r="H41" s="49">
        <f>'Avg Week Masaka-Ssembabule'!H41+'Avg Week Ssembabule-Masaka'!H41</f>
        <v>0</v>
      </c>
      <c r="I41" s="49">
        <f>'Avg Week Masaka-Ssembabule'!I41+'Avg Week Ssembabule-Masaka'!I41</f>
        <v>1.7142857142857144</v>
      </c>
      <c r="J41" s="49">
        <f>'Avg Week Masaka-Ssembabule'!J41+'Avg Week Ssembabule-Masaka'!J41</f>
        <v>1.5714285714285716</v>
      </c>
      <c r="K41" s="49">
        <f>'Avg Week Masaka-Ssembabule'!K41+'Avg Week Ssembabule-Masaka'!K41</f>
        <v>0.85714285714285721</v>
      </c>
      <c r="L41" s="49">
        <f>'Avg Week Masaka-Ssembabule'!L41+'Avg Week Ssembabule-Masaka'!L41</f>
        <v>0.14285714285714285</v>
      </c>
      <c r="M41" s="49">
        <f>'Avg Week Masaka-Ssembabule'!M41+'Avg Week Ssembabule-Masaka'!M41</f>
        <v>13.571428571428573</v>
      </c>
      <c r="N41" s="49">
        <f>'Avg Week Masaka-Ssembabule'!N41+'Avg Week Ssembabule-Masaka'!N41</f>
        <v>0</v>
      </c>
      <c r="O41" s="15">
        <f t="shared" si="0"/>
        <v>10.857142857142856</v>
      </c>
      <c r="P41" s="15">
        <f t="shared" si="1"/>
        <v>24.428571428571431</v>
      </c>
      <c r="R41" s="5" t="s">
        <v>185</v>
      </c>
      <c r="S41" s="57">
        <f>SUM(S10:S33)</f>
        <v>301.42857142857144</v>
      </c>
      <c r="T41" s="57">
        <f t="shared" ref="T41:AD41" si="33">SUM(T10:T33)</f>
        <v>49.571428571428569</v>
      </c>
      <c r="U41" s="57">
        <f t="shared" si="33"/>
        <v>83.714285714285708</v>
      </c>
      <c r="V41" s="57">
        <f t="shared" si="33"/>
        <v>87.142857142857139</v>
      </c>
      <c r="W41" s="57">
        <f t="shared" si="33"/>
        <v>4.9285714285714288</v>
      </c>
      <c r="X41" s="57">
        <f t="shared" si="33"/>
        <v>1.8571428571428572</v>
      </c>
      <c r="Y41" s="57">
        <f t="shared" si="33"/>
        <v>146.85714285714286</v>
      </c>
      <c r="Z41" s="57">
        <f t="shared" si="33"/>
        <v>99.714285714285722</v>
      </c>
      <c r="AA41" s="57">
        <f t="shared" si="33"/>
        <v>40.214285714285715</v>
      </c>
      <c r="AB41" s="57">
        <f t="shared" si="33"/>
        <v>4.4285714285714288</v>
      </c>
      <c r="AC41" s="57">
        <f t="shared" si="33"/>
        <v>856.28571428571422</v>
      </c>
      <c r="AD41" s="57">
        <f t="shared" si="33"/>
        <v>2.1428571428571428</v>
      </c>
      <c r="AE41" s="58">
        <f>SUM(AE10:AE33)</f>
        <v>822.00000000000011</v>
      </c>
      <c r="AF41" s="58">
        <f>SUM(AF10:AF33)</f>
        <v>1678.2857142857144</v>
      </c>
    </row>
    <row r="42" spans="2:32" ht="23.1" customHeight="1" x14ac:dyDescent="0.25">
      <c r="B42" s="24" t="s">
        <v>69</v>
      </c>
      <c r="C42" s="49">
        <f>'Avg Week Masaka-Ssembabule'!C42+'Avg Week Ssembabule-Masaka'!C42</f>
        <v>5.4285714285714288</v>
      </c>
      <c r="D42" s="49">
        <f>'Avg Week Masaka-Ssembabule'!D42+'Avg Week Ssembabule-Masaka'!D42</f>
        <v>0.5714285714285714</v>
      </c>
      <c r="E42" s="49">
        <f>'Avg Week Masaka-Ssembabule'!E42+'Avg Week Ssembabule-Masaka'!E42</f>
        <v>1.1428571428571428</v>
      </c>
      <c r="F42" s="49">
        <f>'Avg Week Masaka-Ssembabule'!F42+'Avg Week Ssembabule-Masaka'!F42</f>
        <v>2</v>
      </c>
      <c r="G42" s="49">
        <f>'Avg Week Masaka-Ssembabule'!G42+'Avg Week Ssembabule-Masaka'!G42</f>
        <v>0</v>
      </c>
      <c r="H42" s="49">
        <f>'Avg Week Masaka-Ssembabule'!H42+'Avg Week Ssembabule-Masaka'!H42</f>
        <v>0</v>
      </c>
      <c r="I42" s="49">
        <f>'Avg Week Masaka-Ssembabule'!I42+'Avg Week Ssembabule-Masaka'!I42</f>
        <v>2.2857142857142856</v>
      </c>
      <c r="J42" s="49">
        <f>'Avg Week Masaka-Ssembabule'!J42+'Avg Week Ssembabule-Masaka'!J42</f>
        <v>1</v>
      </c>
      <c r="K42" s="49">
        <f>'Avg Week Masaka-Ssembabule'!K42+'Avg Week Ssembabule-Masaka'!K42</f>
        <v>1</v>
      </c>
      <c r="L42" s="49">
        <f>'Avg Week Masaka-Ssembabule'!L42+'Avg Week Ssembabule-Masaka'!L42</f>
        <v>0.14285714285714285</v>
      </c>
      <c r="M42" s="49">
        <f>'Avg Week Masaka-Ssembabule'!M42+'Avg Week Ssembabule-Masaka'!M42</f>
        <v>13.142857142857142</v>
      </c>
      <c r="N42" s="49">
        <f>'Avg Week Masaka-Ssembabule'!N42+'Avg Week Ssembabule-Masaka'!N42</f>
        <v>0</v>
      </c>
      <c r="O42" s="15">
        <f t="shared" si="0"/>
        <v>13.571428571428569</v>
      </c>
      <c r="P42" s="15">
        <f t="shared" si="1"/>
        <v>26.714285714285712</v>
      </c>
      <c r="R42" s="5" t="s">
        <v>160</v>
      </c>
      <c r="S42" s="48">
        <f>S41/S40</f>
        <v>1.4531680440771348</v>
      </c>
      <c r="T42" s="48">
        <f t="shared" ref="T42:AF42" si="34">T41/T40</f>
        <v>1.8655913978494625</v>
      </c>
      <c r="U42" s="48">
        <f t="shared" si="34"/>
        <v>1.3788235294117648</v>
      </c>
      <c r="V42" s="48">
        <f t="shared" si="34"/>
        <v>1.5249999999999999</v>
      </c>
      <c r="W42" s="48">
        <f t="shared" si="34"/>
        <v>1.4375000000000002</v>
      </c>
      <c r="X42" s="48">
        <f t="shared" si="34"/>
        <v>2.166666666666667</v>
      </c>
      <c r="Y42" s="48">
        <f t="shared" si="34"/>
        <v>1.4417952314165499</v>
      </c>
      <c r="Z42" s="48">
        <f t="shared" si="34"/>
        <v>2.0469208211143695</v>
      </c>
      <c r="AA42" s="48">
        <f t="shared" si="34"/>
        <v>1.2680180180180181</v>
      </c>
      <c r="AB42" s="48">
        <f t="shared" si="34"/>
        <v>3.1000000000000005</v>
      </c>
      <c r="AC42" s="48">
        <f t="shared" si="34"/>
        <v>1.3738253495301398</v>
      </c>
      <c r="AD42" s="48">
        <f t="shared" si="34"/>
        <v>1</v>
      </c>
      <c r="AE42" s="59">
        <f t="shared" si="34"/>
        <v>1.5166051660516604</v>
      </c>
      <c r="AF42" s="59">
        <f t="shared" si="34"/>
        <v>1.4402353806546524</v>
      </c>
    </row>
    <row r="43" spans="2:32" ht="23.1" customHeight="1" x14ac:dyDescent="0.25">
      <c r="B43" s="23" t="s">
        <v>70</v>
      </c>
      <c r="C43" s="49">
        <f>'Avg Week Masaka-Ssembabule'!C43+'Avg Week Ssembabule-Masaka'!C43</f>
        <v>4.1428571428571423</v>
      </c>
      <c r="D43" s="49">
        <f>'Avg Week Masaka-Ssembabule'!D43+'Avg Week Ssembabule-Masaka'!D43</f>
        <v>0.2857142857142857</v>
      </c>
      <c r="E43" s="49">
        <f>'Avg Week Masaka-Ssembabule'!E43+'Avg Week Ssembabule-Masaka'!E43</f>
        <v>1.1428571428571428</v>
      </c>
      <c r="F43" s="49">
        <f>'Avg Week Masaka-Ssembabule'!F43+'Avg Week Ssembabule-Masaka'!F43</f>
        <v>1</v>
      </c>
      <c r="G43" s="49">
        <f>'Avg Week Masaka-Ssembabule'!G43+'Avg Week Ssembabule-Masaka'!G43</f>
        <v>0</v>
      </c>
      <c r="H43" s="49">
        <f>'Avg Week Masaka-Ssembabule'!H43+'Avg Week Ssembabule-Masaka'!H43</f>
        <v>0</v>
      </c>
      <c r="I43" s="49">
        <f>'Avg Week Masaka-Ssembabule'!I43+'Avg Week Ssembabule-Masaka'!I43</f>
        <v>2</v>
      </c>
      <c r="J43" s="49">
        <f>'Avg Week Masaka-Ssembabule'!J43+'Avg Week Ssembabule-Masaka'!J43</f>
        <v>0.2857142857142857</v>
      </c>
      <c r="K43" s="49">
        <f>'Avg Week Masaka-Ssembabule'!K43+'Avg Week Ssembabule-Masaka'!K43</f>
        <v>0.42857142857142855</v>
      </c>
      <c r="L43" s="49">
        <f>'Avg Week Masaka-Ssembabule'!L43+'Avg Week Ssembabule-Masaka'!L43</f>
        <v>0.42857142857142855</v>
      </c>
      <c r="M43" s="49">
        <f>'Avg Week Masaka-Ssembabule'!M43+'Avg Week Ssembabule-Masaka'!M43</f>
        <v>14.857142857142858</v>
      </c>
      <c r="N43" s="49">
        <f>'Avg Week Masaka-Ssembabule'!N43+'Avg Week Ssembabule-Masaka'!N43</f>
        <v>0</v>
      </c>
      <c r="O43" s="15">
        <f t="shared" si="0"/>
        <v>9.7142857142857153</v>
      </c>
      <c r="P43" s="15">
        <f t="shared" si="1"/>
        <v>24.571428571428573</v>
      </c>
    </row>
    <row r="44" spans="2:32" ht="23.1" customHeight="1" x14ac:dyDescent="0.25">
      <c r="B44" s="25" t="s">
        <v>71</v>
      </c>
      <c r="C44" s="49">
        <f>'Avg Week Masaka-Ssembabule'!C44+'Avg Week Ssembabule-Masaka'!C44</f>
        <v>5.1428571428571432</v>
      </c>
      <c r="D44" s="49">
        <f>'Avg Week Masaka-Ssembabule'!D44+'Avg Week Ssembabule-Masaka'!D44</f>
        <v>0.5714285714285714</v>
      </c>
      <c r="E44" s="49">
        <f>'Avg Week Masaka-Ssembabule'!E44+'Avg Week Ssembabule-Masaka'!E44</f>
        <v>1</v>
      </c>
      <c r="F44" s="49">
        <f>'Avg Week Masaka-Ssembabule'!F44+'Avg Week Ssembabule-Masaka'!F44</f>
        <v>2.1428571428571428</v>
      </c>
      <c r="G44" s="49">
        <f>'Avg Week Masaka-Ssembabule'!G44+'Avg Week Ssembabule-Masaka'!G44</f>
        <v>0</v>
      </c>
      <c r="H44" s="49">
        <f>'Avg Week Masaka-Ssembabule'!H44+'Avg Week Ssembabule-Masaka'!H44</f>
        <v>0</v>
      </c>
      <c r="I44" s="49">
        <f>'Avg Week Masaka-Ssembabule'!I44+'Avg Week Ssembabule-Masaka'!I44</f>
        <v>2</v>
      </c>
      <c r="J44" s="49">
        <f>'Avg Week Masaka-Ssembabule'!J44+'Avg Week Ssembabule-Masaka'!J44</f>
        <v>1.7142857142857142</v>
      </c>
      <c r="K44" s="49">
        <f>'Avg Week Masaka-Ssembabule'!K44+'Avg Week Ssembabule-Masaka'!K44</f>
        <v>0.85714285714285721</v>
      </c>
      <c r="L44" s="49">
        <f>'Avg Week Masaka-Ssembabule'!L44+'Avg Week Ssembabule-Masaka'!L44</f>
        <v>0</v>
      </c>
      <c r="M44" s="49">
        <f>'Avg Week Masaka-Ssembabule'!M44+'Avg Week Ssembabule-Masaka'!M44</f>
        <v>15</v>
      </c>
      <c r="N44" s="49">
        <f>'Avg Week Masaka-Ssembabule'!N44+'Avg Week Ssembabule-Masaka'!N44</f>
        <v>0.14285714285714285</v>
      </c>
      <c r="O44" s="15">
        <f t="shared" si="0"/>
        <v>13.571428571428571</v>
      </c>
      <c r="P44" s="15">
        <f t="shared" si="1"/>
        <v>28.571428571428573</v>
      </c>
    </row>
    <row r="45" spans="2:32" ht="23.1" customHeight="1" x14ac:dyDescent="0.25">
      <c r="B45" s="23" t="s">
        <v>72</v>
      </c>
      <c r="C45" s="49">
        <f>'Avg Week Masaka-Ssembabule'!C45+'Avg Week Ssembabule-Masaka'!C45</f>
        <v>3.7142857142857144</v>
      </c>
      <c r="D45" s="49">
        <f>'Avg Week Masaka-Ssembabule'!D45+'Avg Week Ssembabule-Masaka'!D45</f>
        <v>0.2857142857142857</v>
      </c>
      <c r="E45" s="49">
        <f>'Avg Week Masaka-Ssembabule'!E45+'Avg Week Ssembabule-Masaka'!E45</f>
        <v>0.7142857142857143</v>
      </c>
      <c r="F45" s="49">
        <f>'Avg Week Masaka-Ssembabule'!F45+'Avg Week Ssembabule-Masaka'!F45</f>
        <v>0.8571428571428571</v>
      </c>
      <c r="G45" s="49">
        <f>'Avg Week Masaka-Ssembabule'!G45+'Avg Week Ssembabule-Masaka'!G45</f>
        <v>0.14285714285714285</v>
      </c>
      <c r="H45" s="49">
        <f>'Avg Week Masaka-Ssembabule'!H45+'Avg Week Ssembabule-Masaka'!H45</f>
        <v>0</v>
      </c>
      <c r="I45" s="49">
        <f>'Avg Week Masaka-Ssembabule'!I45+'Avg Week Ssembabule-Masaka'!I45</f>
        <v>2.8571428571428572</v>
      </c>
      <c r="J45" s="49">
        <f>'Avg Week Masaka-Ssembabule'!J45+'Avg Week Ssembabule-Masaka'!J45</f>
        <v>1.2857142857142856</v>
      </c>
      <c r="K45" s="49">
        <f>'Avg Week Masaka-Ssembabule'!K45+'Avg Week Ssembabule-Masaka'!K45</f>
        <v>0.71428571428571419</v>
      </c>
      <c r="L45" s="49">
        <f>'Avg Week Masaka-Ssembabule'!L45+'Avg Week Ssembabule-Masaka'!L45</f>
        <v>0</v>
      </c>
      <c r="M45" s="49">
        <f>'Avg Week Masaka-Ssembabule'!M45+'Avg Week Ssembabule-Masaka'!M45</f>
        <v>11.571428571428573</v>
      </c>
      <c r="N45" s="49">
        <f>'Avg Week Masaka-Ssembabule'!N45+'Avg Week Ssembabule-Masaka'!N45</f>
        <v>0</v>
      </c>
      <c r="O45" s="15">
        <f t="shared" si="0"/>
        <v>10.571428571428571</v>
      </c>
      <c r="P45" s="15">
        <f t="shared" si="1"/>
        <v>22.142857142857146</v>
      </c>
    </row>
    <row r="46" spans="2:32" ht="23.1" customHeight="1" x14ac:dyDescent="0.25">
      <c r="B46" s="24" t="s">
        <v>73</v>
      </c>
      <c r="C46" s="49">
        <f>'Avg Week Masaka-Ssembabule'!C46+'Avg Week Ssembabule-Masaka'!C46</f>
        <v>4.2857142857142856</v>
      </c>
      <c r="D46" s="49">
        <f>'Avg Week Masaka-Ssembabule'!D46+'Avg Week Ssembabule-Masaka'!D46</f>
        <v>0.8571428571428571</v>
      </c>
      <c r="E46" s="49">
        <f>'Avg Week Masaka-Ssembabule'!E46+'Avg Week Ssembabule-Masaka'!E46</f>
        <v>0.71428571428571419</v>
      </c>
      <c r="F46" s="49">
        <f>'Avg Week Masaka-Ssembabule'!F46+'Avg Week Ssembabule-Masaka'!F46</f>
        <v>1.8571428571428572</v>
      </c>
      <c r="G46" s="49">
        <f>'Avg Week Masaka-Ssembabule'!G46+'Avg Week Ssembabule-Masaka'!G46</f>
        <v>0</v>
      </c>
      <c r="H46" s="49">
        <f>'Avg Week Masaka-Ssembabule'!H46+'Avg Week Ssembabule-Masaka'!H46</f>
        <v>0</v>
      </c>
      <c r="I46" s="49">
        <f>'Avg Week Masaka-Ssembabule'!I46+'Avg Week Ssembabule-Masaka'!I46</f>
        <v>1.8571428571428572</v>
      </c>
      <c r="J46" s="49">
        <f>'Avg Week Masaka-Ssembabule'!J46+'Avg Week Ssembabule-Masaka'!J46</f>
        <v>1</v>
      </c>
      <c r="K46" s="49">
        <f>'Avg Week Masaka-Ssembabule'!K46+'Avg Week Ssembabule-Masaka'!K46</f>
        <v>0.14285714285714285</v>
      </c>
      <c r="L46" s="49">
        <f>'Avg Week Masaka-Ssembabule'!L46+'Avg Week Ssembabule-Masaka'!L46</f>
        <v>0</v>
      </c>
      <c r="M46" s="49">
        <f>'Avg Week Masaka-Ssembabule'!M46+'Avg Week Ssembabule-Masaka'!M46</f>
        <v>13.285714285714286</v>
      </c>
      <c r="N46" s="49">
        <f>'Avg Week Masaka-Ssembabule'!N46+'Avg Week Ssembabule-Masaka'!N46</f>
        <v>0</v>
      </c>
      <c r="O46" s="15">
        <f t="shared" si="0"/>
        <v>10.714285714285714</v>
      </c>
      <c r="P46" s="15">
        <f t="shared" si="1"/>
        <v>24</v>
      </c>
      <c r="R46" s="8"/>
      <c r="T46"/>
    </row>
    <row r="47" spans="2:32" ht="23.1" customHeight="1" x14ac:dyDescent="0.25">
      <c r="B47" s="24" t="s">
        <v>74</v>
      </c>
      <c r="C47" s="49">
        <f>'Avg Week Masaka-Ssembabule'!C47+'Avg Week Ssembabule-Masaka'!C47</f>
        <v>3.2857142857142856</v>
      </c>
      <c r="D47" s="49">
        <f>'Avg Week Masaka-Ssembabule'!D47+'Avg Week Ssembabule-Masaka'!D47</f>
        <v>0.8571428571428571</v>
      </c>
      <c r="E47" s="49">
        <f>'Avg Week Masaka-Ssembabule'!E47+'Avg Week Ssembabule-Masaka'!E47</f>
        <v>1.2857142857142856</v>
      </c>
      <c r="F47" s="49">
        <f>'Avg Week Masaka-Ssembabule'!F47+'Avg Week Ssembabule-Masaka'!F47</f>
        <v>2</v>
      </c>
      <c r="G47" s="49">
        <f>'Avg Week Masaka-Ssembabule'!G47+'Avg Week Ssembabule-Masaka'!G47</f>
        <v>0</v>
      </c>
      <c r="H47" s="49">
        <f>'Avg Week Masaka-Ssembabule'!H47+'Avg Week Ssembabule-Masaka'!H47</f>
        <v>0</v>
      </c>
      <c r="I47" s="49">
        <f>'Avg Week Masaka-Ssembabule'!I47+'Avg Week Ssembabule-Masaka'!I47</f>
        <v>2.5714285714285716</v>
      </c>
      <c r="J47" s="49">
        <f>'Avg Week Masaka-Ssembabule'!J47+'Avg Week Ssembabule-Masaka'!J47</f>
        <v>2.2857142857142856</v>
      </c>
      <c r="K47" s="49">
        <f>'Avg Week Masaka-Ssembabule'!K47+'Avg Week Ssembabule-Masaka'!K47</f>
        <v>0.2857142857142857</v>
      </c>
      <c r="L47" s="49">
        <f>'Avg Week Masaka-Ssembabule'!L47+'Avg Week Ssembabule-Masaka'!L47</f>
        <v>0</v>
      </c>
      <c r="M47" s="49">
        <f>'Avg Week Masaka-Ssembabule'!M47+'Avg Week Ssembabule-Masaka'!M47</f>
        <v>15.142857142857142</v>
      </c>
      <c r="N47" s="49">
        <f>'Avg Week Masaka-Ssembabule'!N47+'Avg Week Ssembabule-Masaka'!N47</f>
        <v>0.14285714285714285</v>
      </c>
      <c r="O47" s="15">
        <f t="shared" si="0"/>
        <v>12.714285714285714</v>
      </c>
      <c r="P47" s="15">
        <f t="shared" si="1"/>
        <v>27.857142857142858</v>
      </c>
      <c r="R47" s="8"/>
      <c r="T47"/>
    </row>
    <row r="48" spans="2:32" ht="23.1" customHeight="1" x14ac:dyDescent="0.25">
      <c r="B48" s="24" t="s">
        <v>75</v>
      </c>
      <c r="C48" s="49">
        <f>'Avg Week Masaka-Ssembabule'!C48+'Avg Week Ssembabule-Masaka'!C48</f>
        <v>2.7142857142857144</v>
      </c>
      <c r="D48" s="49">
        <f>'Avg Week Masaka-Ssembabule'!D48+'Avg Week Ssembabule-Masaka'!D48</f>
        <v>0.8571428571428571</v>
      </c>
      <c r="E48" s="49">
        <f>'Avg Week Masaka-Ssembabule'!E48+'Avg Week Ssembabule-Masaka'!E48</f>
        <v>1.4285714285714284</v>
      </c>
      <c r="F48" s="49">
        <f>'Avg Week Masaka-Ssembabule'!F48+'Avg Week Ssembabule-Masaka'!F48</f>
        <v>1.2857142857142858</v>
      </c>
      <c r="G48" s="49">
        <f>'Avg Week Masaka-Ssembabule'!G48+'Avg Week Ssembabule-Masaka'!G48</f>
        <v>0.14285714285714285</v>
      </c>
      <c r="H48" s="49">
        <f>'Avg Week Masaka-Ssembabule'!H48+'Avg Week Ssembabule-Masaka'!H48</f>
        <v>0</v>
      </c>
      <c r="I48" s="49">
        <f>'Avg Week Masaka-Ssembabule'!I48+'Avg Week Ssembabule-Masaka'!I48</f>
        <v>3.5714285714285712</v>
      </c>
      <c r="J48" s="49">
        <f>'Avg Week Masaka-Ssembabule'!J48+'Avg Week Ssembabule-Masaka'!J48</f>
        <v>2.1428571428571428</v>
      </c>
      <c r="K48" s="49">
        <f>'Avg Week Masaka-Ssembabule'!K48+'Avg Week Ssembabule-Masaka'!K48</f>
        <v>0.7142857142857143</v>
      </c>
      <c r="L48" s="49">
        <f>'Avg Week Masaka-Ssembabule'!L48+'Avg Week Ssembabule-Masaka'!L48</f>
        <v>0</v>
      </c>
      <c r="M48" s="49">
        <f>'Avg Week Masaka-Ssembabule'!M48+'Avg Week Ssembabule-Masaka'!M48</f>
        <v>14.285714285714285</v>
      </c>
      <c r="N48" s="49">
        <f>'Avg Week Masaka-Ssembabule'!N48+'Avg Week Ssembabule-Masaka'!N48</f>
        <v>0</v>
      </c>
      <c r="O48" s="15">
        <f t="shared" si="0"/>
        <v>12.857142857142856</v>
      </c>
      <c r="P48" s="15">
        <f t="shared" si="1"/>
        <v>27.142857142857139</v>
      </c>
      <c r="R48" s="8"/>
      <c r="T48"/>
    </row>
    <row r="49" spans="2:20" ht="23.1" customHeight="1" x14ac:dyDescent="0.25">
      <c r="B49" s="23" t="s">
        <v>76</v>
      </c>
      <c r="C49" s="49">
        <f>'Avg Week Masaka-Ssembabule'!C49+'Avg Week Ssembabule-Masaka'!C49</f>
        <v>4</v>
      </c>
      <c r="D49" s="49">
        <f>'Avg Week Masaka-Ssembabule'!D49+'Avg Week Ssembabule-Masaka'!D49</f>
        <v>1</v>
      </c>
      <c r="E49" s="49">
        <f>'Avg Week Masaka-Ssembabule'!E49+'Avg Week Ssembabule-Masaka'!E49</f>
        <v>1.2857142857142856</v>
      </c>
      <c r="F49" s="49">
        <f>'Avg Week Masaka-Ssembabule'!F49+'Avg Week Ssembabule-Masaka'!F49</f>
        <v>2.1428571428571428</v>
      </c>
      <c r="G49" s="49">
        <f>'Avg Week Masaka-Ssembabule'!G49+'Avg Week Ssembabule-Masaka'!G49</f>
        <v>0.2857142857142857</v>
      </c>
      <c r="H49" s="49">
        <f>'Avg Week Masaka-Ssembabule'!H49+'Avg Week Ssembabule-Masaka'!H49</f>
        <v>0</v>
      </c>
      <c r="I49" s="49">
        <f>'Avg Week Masaka-Ssembabule'!I49+'Avg Week Ssembabule-Masaka'!I49</f>
        <v>1.8571428571428572</v>
      </c>
      <c r="J49" s="49">
        <f>'Avg Week Masaka-Ssembabule'!J49+'Avg Week Ssembabule-Masaka'!J49</f>
        <v>1</v>
      </c>
      <c r="K49" s="49">
        <f>'Avg Week Masaka-Ssembabule'!K49+'Avg Week Ssembabule-Masaka'!K49</f>
        <v>0.85714285714285721</v>
      </c>
      <c r="L49" s="49">
        <f>'Avg Week Masaka-Ssembabule'!L49+'Avg Week Ssembabule-Masaka'!L49</f>
        <v>0</v>
      </c>
      <c r="M49" s="49">
        <f>'Avg Week Masaka-Ssembabule'!M49+'Avg Week Ssembabule-Masaka'!M49</f>
        <v>14.857142857142858</v>
      </c>
      <c r="N49" s="49">
        <f>'Avg Week Masaka-Ssembabule'!N49+'Avg Week Ssembabule-Masaka'!N49</f>
        <v>0</v>
      </c>
      <c r="O49" s="15">
        <f t="shared" si="0"/>
        <v>12.428571428571431</v>
      </c>
      <c r="P49" s="15">
        <f t="shared" si="1"/>
        <v>27.285714285714288</v>
      </c>
      <c r="R49" s="8"/>
      <c r="T49"/>
    </row>
    <row r="50" spans="2:20" ht="23.1" customHeight="1" x14ac:dyDescent="0.25">
      <c r="B50" s="24" t="s">
        <v>77</v>
      </c>
      <c r="C50" s="49">
        <f>'Avg Week Masaka-Ssembabule'!C50+'Avg Week Ssembabule-Masaka'!C50</f>
        <v>4.8571428571428577</v>
      </c>
      <c r="D50" s="49">
        <f>'Avg Week Masaka-Ssembabule'!D50+'Avg Week Ssembabule-Masaka'!D50</f>
        <v>0.42857142857142855</v>
      </c>
      <c r="E50" s="49">
        <f>'Avg Week Masaka-Ssembabule'!E50+'Avg Week Ssembabule-Masaka'!E50</f>
        <v>1</v>
      </c>
      <c r="F50" s="49">
        <f>'Avg Week Masaka-Ssembabule'!F50+'Avg Week Ssembabule-Masaka'!F50</f>
        <v>1.4285714285714286</v>
      </c>
      <c r="G50" s="49">
        <f>'Avg Week Masaka-Ssembabule'!G50+'Avg Week Ssembabule-Masaka'!G50</f>
        <v>0.42857142857142855</v>
      </c>
      <c r="H50" s="49">
        <f>'Avg Week Masaka-Ssembabule'!H50+'Avg Week Ssembabule-Masaka'!H50</f>
        <v>0.14285714285714285</v>
      </c>
      <c r="I50" s="49">
        <f>'Avg Week Masaka-Ssembabule'!I50+'Avg Week Ssembabule-Masaka'!I50</f>
        <v>1.7142857142857144</v>
      </c>
      <c r="J50" s="49">
        <f>'Avg Week Masaka-Ssembabule'!J50+'Avg Week Ssembabule-Masaka'!J50</f>
        <v>0.8571428571428571</v>
      </c>
      <c r="K50" s="49">
        <f>'Avg Week Masaka-Ssembabule'!K50+'Avg Week Ssembabule-Masaka'!K50</f>
        <v>0.8571428571428571</v>
      </c>
      <c r="L50" s="49">
        <f>'Avg Week Masaka-Ssembabule'!L50+'Avg Week Ssembabule-Masaka'!L50</f>
        <v>0</v>
      </c>
      <c r="M50" s="49">
        <f>'Avg Week Masaka-Ssembabule'!M50+'Avg Week Ssembabule-Masaka'!M50</f>
        <v>13.714285714285715</v>
      </c>
      <c r="N50" s="49">
        <f>'Avg Week Masaka-Ssembabule'!N50+'Avg Week Ssembabule-Masaka'!N50</f>
        <v>0</v>
      </c>
      <c r="O50" s="15">
        <f t="shared" si="0"/>
        <v>11.714285714285715</v>
      </c>
      <c r="P50" s="15">
        <f t="shared" si="1"/>
        <v>25.428571428571431</v>
      </c>
      <c r="R50" s="8"/>
      <c r="T50"/>
    </row>
    <row r="51" spans="2:20" ht="23.1" customHeight="1" x14ac:dyDescent="0.25">
      <c r="B51" s="24" t="s">
        <v>78</v>
      </c>
      <c r="C51" s="49">
        <f>'Avg Week Masaka-Ssembabule'!C51+'Avg Week Ssembabule-Masaka'!C51</f>
        <v>6.5714285714285712</v>
      </c>
      <c r="D51" s="49">
        <f>'Avg Week Masaka-Ssembabule'!D51+'Avg Week Ssembabule-Masaka'!D51</f>
        <v>1</v>
      </c>
      <c r="E51" s="49">
        <f>'Avg Week Masaka-Ssembabule'!E51+'Avg Week Ssembabule-Masaka'!E51</f>
        <v>0.71428571428571419</v>
      </c>
      <c r="F51" s="49">
        <f>'Avg Week Masaka-Ssembabule'!F51+'Avg Week Ssembabule-Masaka'!F51</f>
        <v>1.5714285714285716</v>
      </c>
      <c r="G51" s="49">
        <f>'Avg Week Masaka-Ssembabule'!G51+'Avg Week Ssembabule-Masaka'!G51</f>
        <v>0.14285714285714285</v>
      </c>
      <c r="H51" s="49">
        <f>'Avg Week Masaka-Ssembabule'!H51+'Avg Week Ssembabule-Masaka'!H51</f>
        <v>0</v>
      </c>
      <c r="I51" s="49">
        <f>'Avg Week Masaka-Ssembabule'!I51+'Avg Week Ssembabule-Masaka'!I51</f>
        <v>2.4285714285714288</v>
      </c>
      <c r="J51" s="49">
        <f>'Avg Week Masaka-Ssembabule'!J51+'Avg Week Ssembabule-Masaka'!J51</f>
        <v>0.8571428571428571</v>
      </c>
      <c r="K51" s="49">
        <f>'Avg Week Masaka-Ssembabule'!K51+'Avg Week Ssembabule-Masaka'!K51</f>
        <v>0.8571428571428571</v>
      </c>
      <c r="L51" s="49">
        <f>'Avg Week Masaka-Ssembabule'!L51+'Avg Week Ssembabule-Masaka'!L51</f>
        <v>0</v>
      </c>
      <c r="M51" s="49">
        <f>'Avg Week Masaka-Ssembabule'!M51+'Avg Week Ssembabule-Masaka'!M51</f>
        <v>14.285714285714286</v>
      </c>
      <c r="N51" s="49">
        <f>'Avg Week Masaka-Ssembabule'!N51+'Avg Week Ssembabule-Masaka'!N51</f>
        <v>0</v>
      </c>
      <c r="O51" s="15">
        <f t="shared" si="0"/>
        <v>14.142857142857142</v>
      </c>
      <c r="P51" s="15">
        <f t="shared" si="1"/>
        <v>28.428571428571431</v>
      </c>
      <c r="R51" s="8"/>
      <c r="T51"/>
    </row>
    <row r="52" spans="2:20" ht="23.1" customHeight="1" x14ac:dyDescent="0.25">
      <c r="B52" s="24" t="s">
        <v>79</v>
      </c>
      <c r="C52" s="49">
        <f>'Avg Week Masaka-Ssembabule'!C52+'Avg Week Ssembabule-Masaka'!C52</f>
        <v>4.5714285714285712</v>
      </c>
      <c r="D52" s="49">
        <f>'Avg Week Masaka-Ssembabule'!D52+'Avg Week Ssembabule-Masaka'!D52</f>
        <v>0.8571428571428571</v>
      </c>
      <c r="E52" s="49">
        <f>'Avg Week Masaka-Ssembabule'!E52+'Avg Week Ssembabule-Masaka'!E52</f>
        <v>3.2857142857142856</v>
      </c>
      <c r="F52" s="49">
        <f>'Avg Week Masaka-Ssembabule'!F52+'Avg Week Ssembabule-Masaka'!F52</f>
        <v>2.1428571428571428</v>
      </c>
      <c r="G52" s="49">
        <f>'Avg Week Masaka-Ssembabule'!G52+'Avg Week Ssembabule-Masaka'!G52</f>
        <v>0.42857142857142855</v>
      </c>
      <c r="H52" s="49">
        <f>'Avg Week Masaka-Ssembabule'!H52+'Avg Week Ssembabule-Masaka'!H52</f>
        <v>0</v>
      </c>
      <c r="I52" s="49">
        <f>'Avg Week Masaka-Ssembabule'!I52+'Avg Week Ssembabule-Masaka'!I52</f>
        <v>2.4285714285714288</v>
      </c>
      <c r="J52" s="49">
        <f>'Avg Week Masaka-Ssembabule'!J52+'Avg Week Ssembabule-Masaka'!J52</f>
        <v>1.1428571428571428</v>
      </c>
      <c r="K52" s="49">
        <f>'Avg Week Masaka-Ssembabule'!K52+'Avg Week Ssembabule-Masaka'!K52</f>
        <v>0.71428571428571419</v>
      </c>
      <c r="L52" s="49">
        <f>'Avg Week Masaka-Ssembabule'!L52+'Avg Week Ssembabule-Masaka'!L52</f>
        <v>0</v>
      </c>
      <c r="M52" s="49">
        <f>'Avg Week Masaka-Ssembabule'!M52+'Avg Week Ssembabule-Masaka'!M52</f>
        <v>15</v>
      </c>
      <c r="N52" s="49">
        <f>'Avg Week Masaka-Ssembabule'!N52+'Avg Week Ssembabule-Masaka'!N52</f>
        <v>0</v>
      </c>
      <c r="O52" s="15">
        <f t="shared" si="0"/>
        <v>15.571428571428569</v>
      </c>
      <c r="P52" s="15">
        <f t="shared" si="1"/>
        <v>30.571428571428569</v>
      </c>
      <c r="R52" s="8"/>
      <c r="T52"/>
    </row>
    <row r="53" spans="2:20" ht="23.1" customHeight="1" x14ac:dyDescent="0.25">
      <c r="B53" s="23" t="s">
        <v>80</v>
      </c>
      <c r="C53" s="49">
        <f>'Avg Week Masaka-Ssembabule'!C53+'Avg Week Ssembabule-Masaka'!C53</f>
        <v>5.7142857142857144</v>
      </c>
      <c r="D53" s="49">
        <f>'Avg Week Masaka-Ssembabule'!D53+'Avg Week Ssembabule-Masaka'!D53</f>
        <v>0.5714285714285714</v>
      </c>
      <c r="E53" s="49">
        <f>'Avg Week Masaka-Ssembabule'!E53+'Avg Week Ssembabule-Masaka'!E53</f>
        <v>2.7142857142857144</v>
      </c>
      <c r="F53" s="49">
        <f>'Avg Week Masaka-Ssembabule'!F53+'Avg Week Ssembabule-Masaka'!F53</f>
        <v>3</v>
      </c>
      <c r="G53" s="49">
        <f>'Avg Week Masaka-Ssembabule'!G53+'Avg Week Ssembabule-Masaka'!G53</f>
        <v>0.2857142857142857</v>
      </c>
      <c r="H53" s="49">
        <f>'Avg Week Masaka-Ssembabule'!H53+'Avg Week Ssembabule-Masaka'!H53</f>
        <v>0</v>
      </c>
      <c r="I53" s="49">
        <f>'Avg Week Masaka-Ssembabule'!I53+'Avg Week Ssembabule-Masaka'!I53</f>
        <v>3</v>
      </c>
      <c r="J53" s="49">
        <f>'Avg Week Masaka-Ssembabule'!J53+'Avg Week Ssembabule-Masaka'!J53</f>
        <v>1.4285714285714286</v>
      </c>
      <c r="K53" s="49">
        <f>'Avg Week Masaka-Ssembabule'!K53+'Avg Week Ssembabule-Masaka'!K53</f>
        <v>0.5714285714285714</v>
      </c>
      <c r="L53" s="49">
        <f>'Avg Week Masaka-Ssembabule'!L53+'Avg Week Ssembabule-Masaka'!L53</f>
        <v>0</v>
      </c>
      <c r="M53" s="49">
        <f>'Avg Week Masaka-Ssembabule'!M53+'Avg Week Ssembabule-Masaka'!M53</f>
        <v>16.571428571428573</v>
      </c>
      <c r="N53" s="49">
        <f>'Avg Week Masaka-Ssembabule'!N53+'Avg Week Ssembabule-Masaka'!N53</f>
        <v>0</v>
      </c>
      <c r="O53" s="15">
        <f t="shared" si="0"/>
        <v>17.285714285714288</v>
      </c>
      <c r="P53" s="15">
        <f t="shared" si="1"/>
        <v>33.857142857142861</v>
      </c>
      <c r="R53" s="8"/>
      <c r="T53"/>
    </row>
    <row r="54" spans="2:20" ht="23.1" customHeight="1" x14ac:dyDescent="0.25">
      <c r="B54" s="23" t="s">
        <v>81</v>
      </c>
      <c r="C54" s="49">
        <f>'Avg Week Masaka-Ssembabule'!C54+'Avg Week Ssembabule-Masaka'!C54</f>
        <v>4</v>
      </c>
      <c r="D54" s="49">
        <f>'Avg Week Masaka-Ssembabule'!D54+'Avg Week Ssembabule-Masaka'!D54</f>
        <v>1.1428571428571428</v>
      </c>
      <c r="E54" s="49">
        <f>'Avg Week Masaka-Ssembabule'!E54+'Avg Week Ssembabule-Masaka'!E54</f>
        <v>1.857142857142857</v>
      </c>
      <c r="F54" s="49">
        <f>'Avg Week Masaka-Ssembabule'!F54+'Avg Week Ssembabule-Masaka'!F54</f>
        <v>0.42857142857142855</v>
      </c>
      <c r="G54" s="49">
        <f>'Avg Week Masaka-Ssembabule'!G54+'Avg Week Ssembabule-Masaka'!G54</f>
        <v>0</v>
      </c>
      <c r="H54" s="49">
        <f>'Avg Week Masaka-Ssembabule'!H54+'Avg Week Ssembabule-Masaka'!H54</f>
        <v>0.14285714285714285</v>
      </c>
      <c r="I54" s="49">
        <f>'Avg Week Masaka-Ssembabule'!I54+'Avg Week Ssembabule-Masaka'!I54</f>
        <v>3.8571428571428572</v>
      </c>
      <c r="J54" s="49">
        <f>'Avg Week Masaka-Ssembabule'!J54+'Avg Week Ssembabule-Masaka'!J54</f>
        <v>1.7142857142857144</v>
      </c>
      <c r="K54" s="49">
        <f>'Avg Week Masaka-Ssembabule'!K54+'Avg Week Ssembabule-Masaka'!K54</f>
        <v>0.42857142857142855</v>
      </c>
      <c r="L54" s="49">
        <f>'Avg Week Masaka-Ssembabule'!L54+'Avg Week Ssembabule-Masaka'!L54</f>
        <v>0</v>
      </c>
      <c r="M54" s="49">
        <f>'Avg Week Masaka-Ssembabule'!M54+'Avg Week Ssembabule-Masaka'!M54</f>
        <v>15.285714285714285</v>
      </c>
      <c r="N54" s="49">
        <f>'Avg Week Masaka-Ssembabule'!N54+'Avg Week Ssembabule-Masaka'!N54</f>
        <v>0</v>
      </c>
      <c r="O54" s="15">
        <f t="shared" si="0"/>
        <v>13.571428571428571</v>
      </c>
      <c r="P54" s="15">
        <f t="shared" si="1"/>
        <v>28.857142857142854</v>
      </c>
      <c r="R54" s="8"/>
      <c r="T54"/>
    </row>
    <row r="55" spans="2:20" ht="23.1" customHeight="1" x14ac:dyDescent="0.25">
      <c r="B55" s="23" t="s">
        <v>82</v>
      </c>
      <c r="C55" s="49">
        <f>'Avg Week Masaka-Ssembabule'!C55+'Avg Week Ssembabule-Masaka'!C55</f>
        <v>4.4285714285714288</v>
      </c>
      <c r="D55" s="49">
        <f>'Avg Week Masaka-Ssembabule'!D55+'Avg Week Ssembabule-Masaka'!D55</f>
        <v>0.2857142857142857</v>
      </c>
      <c r="E55" s="49">
        <f>'Avg Week Masaka-Ssembabule'!E55+'Avg Week Ssembabule-Masaka'!E55</f>
        <v>1.8571428571428572</v>
      </c>
      <c r="F55" s="49">
        <f>'Avg Week Masaka-Ssembabule'!F55+'Avg Week Ssembabule-Masaka'!F55</f>
        <v>1.4285714285714286</v>
      </c>
      <c r="G55" s="49">
        <f>'Avg Week Masaka-Ssembabule'!G55+'Avg Week Ssembabule-Masaka'!G55</f>
        <v>0</v>
      </c>
      <c r="H55" s="49">
        <f>'Avg Week Masaka-Ssembabule'!H55+'Avg Week Ssembabule-Masaka'!H55</f>
        <v>0</v>
      </c>
      <c r="I55" s="49">
        <f>'Avg Week Masaka-Ssembabule'!I55+'Avg Week Ssembabule-Masaka'!I55</f>
        <v>2.2857142857142856</v>
      </c>
      <c r="J55" s="49">
        <f>'Avg Week Masaka-Ssembabule'!J55+'Avg Week Ssembabule-Masaka'!J55</f>
        <v>1.8571428571428572</v>
      </c>
      <c r="K55" s="49">
        <f>'Avg Week Masaka-Ssembabule'!K55+'Avg Week Ssembabule-Masaka'!K55</f>
        <v>0.5714285714285714</v>
      </c>
      <c r="L55" s="49">
        <f>'Avg Week Masaka-Ssembabule'!L55+'Avg Week Ssembabule-Masaka'!L55</f>
        <v>0</v>
      </c>
      <c r="M55" s="49">
        <f>'Avg Week Masaka-Ssembabule'!M55+'Avg Week Ssembabule-Masaka'!M55</f>
        <v>15.571428571428573</v>
      </c>
      <c r="N55" s="49">
        <f>'Avg Week Masaka-Ssembabule'!N55+'Avg Week Ssembabule-Masaka'!N55</f>
        <v>0</v>
      </c>
      <c r="O55" s="15">
        <f t="shared" si="0"/>
        <v>12.714285714285714</v>
      </c>
      <c r="P55" s="15">
        <f t="shared" si="1"/>
        <v>28.285714285714285</v>
      </c>
      <c r="R55" s="8"/>
      <c r="T55"/>
    </row>
    <row r="56" spans="2:20" ht="23.1" customHeight="1" x14ac:dyDescent="0.25">
      <c r="B56" s="23" t="s">
        <v>83</v>
      </c>
      <c r="C56" s="49">
        <f>'Avg Week Masaka-Ssembabule'!C56+'Avg Week Ssembabule-Masaka'!C56</f>
        <v>4.2857142857142856</v>
      </c>
      <c r="D56" s="49">
        <f>'Avg Week Masaka-Ssembabule'!D56+'Avg Week Ssembabule-Masaka'!D56</f>
        <v>1</v>
      </c>
      <c r="E56" s="49">
        <f>'Avg Week Masaka-Ssembabule'!E56+'Avg Week Ssembabule-Masaka'!E56</f>
        <v>0.71428571428571419</v>
      </c>
      <c r="F56" s="49">
        <f>'Avg Week Masaka-Ssembabule'!F56+'Avg Week Ssembabule-Masaka'!F56</f>
        <v>0.85714285714285721</v>
      </c>
      <c r="G56" s="49">
        <f>'Avg Week Masaka-Ssembabule'!G56+'Avg Week Ssembabule-Masaka'!G56</f>
        <v>0.14285714285714285</v>
      </c>
      <c r="H56" s="49">
        <f>'Avg Week Masaka-Ssembabule'!H56+'Avg Week Ssembabule-Masaka'!H56</f>
        <v>0</v>
      </c>
      <c r="I56" s="49">
        <f>'Avg Week Masaka-Ssembabule'!I56+'Avg Week Ssembabule-Masaka'!I56</f>
        <v>1.5714285714285714</v>
      </c>
      <c r="J56" s="49">
        <f>'Avg Week Masaka-Ssembabule'!J56+'Avg Week Ssembabule-Masaka'!J56</f>
        <v>1.1428571428571428</v>
      </c>
      <c r="K56" s="49">
        <f>'Avg Week Masaka-Ssembabule'!K56+'Avg Week Ssembabule-Masaka'!K56</f>
        <v>0.42857142857142855</v>
      </c>
      <c r="L56" s="49">
        <f>'Avg Week Masaka-Ssembabule'!L56+'Avg Week Ssembabule-Masaka'!L56</f>
        <v>0</v>
      </c>
      <c r="M56" s="49">
        <f>'Avg Week Masaka-Ssembabule'!M56+'Avg Week Ssembabule-Masaka'!M56</f>
        <v>18.571428571428569</v>
      </c>
      <c r="N56" s="49">
        <f>'Avg Week Masaka-Ssembabule'!N56+'Avg Week Ssembabule-Masaka'!N56</f>
        <v>0</v>
      </c>
      <c r="O56" s="15">
        <f t="shared" si="0"/>
        <v>10.142857142857144</v>
      </c>
      <c r="P56" s="15">
        <f t="shared" si="1"/>
        <v>28.714285714285715</v>
      </c>
      <c r="R56" s="8"/>
      <c r="T56"/>
    </row>
    <row r="57" spans="2:20" ht="23.1" customHeight="1" x14ac:dyDescent="0.25">
      <c r="B57" s="23" t="s">
        <v>84</v>
      </c>
      <c r="C57" s="49">
        <f>'Avg Week Masaka-Ssembabule'!C57+'Avg Week Ssembabule-Masaka'!C57</f>
        <v>4.2857142857142856</v>
      </c>
      <c r="D57" s="49">
        <f>'Avg Week Masaka-Ssembabule'!D57+'Avg Week Ssembabule-Masaka'!D57</f>
        <v>0.42857142857142855</v>
      </c>
      <c r="E57" s="49">
        <f>'Avg Week Masaka-Ssembabule'!E57+'Avg Week Ssembabule-Masaka'!E57</f>
        <v>1.4285714285714284</v>
      </c>
      <c r="F57" s="49">
        <f>'Avg Week Masaka-Ssembabule'!F57+'Avg Week Ssembabule-Masaka'!F57</f>
        <v>1</v>
      </c>
      <c r="G57" s="49">
        <f>'Avg Week Masaka-Ssembabule'!G57+'Avg Week Ssembabule-Masaka'!G57</f>
        <v>0</v>
      </c>
      <c r="H57" s="49">
        <f>'Avg Week Masaka-Ssembabule'!H57+'Avg Week Ssembabule-Masaka'!H57</f>
        <v>0.14285714285714285</v>
      </c>
      <c r="I57" s="49">
        <f>'Avg Week Masaka-Ssembabule'!I57+'Avg Week Ssembabule-Masaka'!I57</f>
        <v>1.1428571428571428</v>
      </c>
      <c r="J57" s="49">
        <f>'Avg Week Masaka-Ssembabule'!J57+'Avg Week Ssembabule-Masaka'!J57</f>
        <v>2</v>
      </c>
      <c r="K57" s="49">
        <f>'Avg Week Masaka-Ssembabule'!K57+'Avg Week Ssembabule-Masaka'!K57</f>
        <v>0.42857142857142855</v>
      </c>
      <c r="L57" s="49">
        <f>'Avg Week Masaka-Ssembabule'!L57+'Avg Week Ssembabule-Masaka'!L57</f>
        <v>0</v>
      </c>
      <c r="M57" s="49">
        <f>'Avg Week Masaka-Ssembabule'!M57+'Avg Week Ssembabule-Masaka'!M57</f>
        <v>15.428571428571427</v>
      </c>
      <c r="N57" s="49">
        <f>'Avg Week Masaka-Ssembabule'!N57+'Avg Week Ssembabule-Masaka'!N57</f>
        <v>0</v>
      </c>
      <c r="O57" s="15">
        <f t="shared" si="0"/>
        <v>10.857142857142858</v>
      </c>
      <c r="P57" s="15">
        <f t="shared" si="1"/>
        <v>26.285714285714285</v>
      </c>
      <c r="R57" s="8"/>
      <c r="T57"/>
    </row>
    <row r="58" spans="2:20" ht="23.1" customHeight="1" x14ac:dyDescent="0.25">
      <c r="B58" s="23" t="s">
        <v>99</v>
      </c>
      <c r="C58" s="49">
        <f>'Avg Week Masaka-Ssembabule'!C58+'Avg Week Ssembabule-Masaka'!C58</f>
        <v>5.5</v>
      </c>
      <c r="D58" s="49">
        <f>'Avg Week Masaka-Ssembabule'!D58+'Avg Week Ssembabule-Masaka'!D58</f>
        <v>0</v>
      </c>
      <c r="E58" s="49">
        <f>'Avg Week Masaka-Ssembabule'!E58+'Avg Week Ssembabule-Masaka'!E58</f>
        <v>1</v>
      </c>
      <c r="F58" s="49">
        <f>'Avg Week Masaka-Ssembabule'!F58+'Avg Week Ssembabule-Masaka'!F58</f>
        <v>2</v>
      </c>
      <c r="G58" s="49">
        <f>'Avg Week Masaka-Ssembabule'!G58+'Avg Week Ssembabule-Masaka'!G58</f>
        <v>0.5</v>
      </c>
      <c r="H58" s="49">
        <f>'Avg Week Masaka-Ssembabule'!H58+'Avg Week Ssembabule-Masaka'!H58</f>
        <v>0</v>
      </c>
      <c r="I58" s="49">
        <f>'Avg Week Masaka-Ssembabule'!I58+'Avg Week Ssembabule-Masaka'!I58</f>
        <v>2.5</v>
      </c>
      <c r="J58" s="49">
        <f>'Avg Week Masaka-Ssembabule'!J58+'Avg Week Ssembabule-Masaka'!J58</f>
        <v>1.5</v>
      </c>
      <c r="K58" s="49">
        <f>'Avg Week Masaka-Ssembabule'!K58+'Avg Week Ssembabule-Masaka'!K58</f>
        <v>0.5</v>
      </c>
      <c r="L58" s="49">
        <f>'Avg Week Masaka-Ssembabule'!L58+'Avg Week Ssembabule-Masaka'!L58</f>
        <v>0</v>
      </c>
      <c r="M58" s="49">
        <f>'Avg Week Masaka-Ssembabule'!M58+'Avg Week Ssembabule-Masaka'!M58</f>
        <v>13</v>
      </c>
      <c r="N58" s="49">
        <f>'Avg Week Masaka-Ssembabule'!N58+'Avg Week Ssembabule-Masaka'!N58</f>
        <v>0</v>
      </c>
      <c r="O58" s="15">
        <f t="shared" si="0"/>
        <v>13.5</v>
      </c>
      <c r="P58" s="15">
        <f t="shared" si="1"/>
        <v>26.5</v>
      </c>
      <c r="R58" s="8"/>
      <c r="T58"/>
    </row>
    <row r="59" spans="2:20" ht="23.1" customHeight="1" x14ac:dyDescent="0.25">
      <c r="B59" s="23" t="s">
        <v>100</v>
      </c>
      <c r="C59" s="49">
        <f>'Avg Week Masaka-Ssembabule'!C59+'Avg Week Ssembabule-Masaka'!C59</f>
        <v>3.5</v>
      </c>
      <c r="D59" s="49">
        <f>'Avg Week Masaka-Ssembabule'!D59+'Avg Week Ssembabule-Masaka'!D59</f>
        <v>0</v>
      </c>
      <c r="E59" s="49">
        <f>'Avg Week Masaka-Ssembabule'!E59+'Avg Week Ssembabule-Masaka'!E59</f>
        <v>0</v>
      </c>
      <c r="F59" s="49">
        <f>'Avg Week Masaka-Ssembabule'!F59+'Avg Week Ssembabule-Masaka'!F59</f>
        <v>1</v>
      </c>
      <c r="G59" s="49">
        <f>'Avg Week Masaka-Ssembabule'!G59+'Avg Week Ssembabule-Masaka'!G59</f>
        <v>0</v>
      </c>
      <c r="H59" s="49">
        <f>'Avg Week Masaka-Ssembabule'!H59+'Avg Week Ssembabule-Masaka'!H59</f>
        <v>0.5</v>
      </c>
      <c r="I59" s="49">
        <f>'Avg Week Masaka-Ssembabule'!I59+'Avg Week Ssembabule-Masaka'!I59</f>
        <v>1.5</v>
      </c>
      <c r="J59" s="49">
        <f>'Avg Week Masaka-Ssembabule'!J59+'Avg Week Ssembabule-Masaka'!J59</f>
        <v>2</v>
      </c>
      <c r="K59" s="49">
        <f>'Avg Week Masaka-Ssembabule'!K59+'Avg Week Ssembabule-Masaka'!K59</f>
        <v>0</v>
      </c>
      <c r="L59" s="49">
        <f>'Avg Week Masaka-Ssembabule'!L59+'Avg Week Ssembabule-Masaka'!L59</f>
        <v>0</v>
      </c>
      <c r="M59" s="49">
        <f>'Avg Week Masaka-Ssembabule'!M59+'Avg Week Ssembabule-Masaka'!M59</f>
        <v>12</v>
      </c>
      <c r="N59" s="49">
        <f>'Avg Week Masaka-Ssembabule'!N59+'Avg Week Ssembabule-Masaka'!N59</f>
        <v>0</v>
      </c>
      <c r="O59" s="15">
        <f t="shared" si="0"/>
        <v>8.5</v>
      </c>
      <c r="P59" s="15">
        <f t="shared" si="1"/>
        <v>20.5</v>
      </c>
      <c r="R59" s="8"/>
      <c r="T59"/>
    </row>
    <row r="60" spans="2:20" ht="23.1" customHeight="1" x14ac:dyDescent="0.25">
      <c r="B60" s="23" t="s">
        <v>101</v>
      </c>
      <c r="C60" s="49">
        <f>'Avg Week Masaka-Ssembabule'!C60+'Avg Week Ssembabule-Masaka'!C60</f>
        <v>5</v>
      </c>
      <c r="D60" s="49">
        <f>'Avg Week Masaka-Ssembabule'!D60+'Avg Week Ssembabule-Masaka'!D60</f>
        <v>1.5</v>
      </c>
      <c r="E60" s="49">
        <f>'Avg Week Masaka-Ssembabule'!E60+'Avg Week Ssembabule-Masaka'!E60</f>
        <v>1</v>
      </c>
      <c r="F60" s="49">
        <f>'Avg Week Masaka-Ssembabule'!F60+'Avg Week Ssembabule-Masaka'!F60</f>
        <v>1</v>
      </c>
      <c r="G60" s="49">
        <f>'Avg Week Masaka-Ssembabule'!G60+'Avg Week Ssembabule-Masaka'!G60</f>
        <v>0</v>
      </c>
      <c r="H60" s="49">
        <f>'Avg Week Masaka-Ssembabule'!H60+'Avg Week Ssembabule-Masaka'!H60</f>
        <v>0</v>
      </c>
      <c r="I60" s="49">
        <f>'Avg Week Masaka-Ssembabule'!I60+'Avg Week Ssembabule-Masaka'!I60</f>
        <v>3</v>
      </c>
      <c r="J60" s="49">
        <f>'Avg Week Masaka-Ssembabule'!J60+'Avg Week Ssembabule-Masaka'!J60</f>
        <v>0.5</v>
      </c>
      <c r="K60" s="49">
        <f>'Avg Week Masaka-Ssembabule'!K60+'Avg Week Ssembabule-Masaka'!K60</f>
        <v>0</v>
      </c>
      <c r="L60" s="49">
        <f>'Avg Week Masaka-Ssembabule'!L60+'Avg Week Ssembabule-Masaka'!L60</f>
        <v>0</v>
      </c>
      <c r="M60" s="49">
        <f>'Avg Week Masaka-Ssembabule'!M60+'Avg Week Ssembabule-Masaka'!M60</f>
        <v>18</v>
      </c>
      <c r="N60" s="49">
        <f>'Avg Week Masaka-Ssembabule'!N60+'Avg Week Ssembabule-Masaka'!N60</f>
        <v>0</v>
      </c>
      <c r="O60" s="15">
        <f t="shared" si="0"/>
        <v>12</v>
      </c>
      <c r="P60" s="15">
        <f t="shared" si="1"/>
        <v>30</v>
      </c>
      <c r="R60" s="8"/>
      <c r="T60"/>
    </row>
    <row r="61" spans="2:20" ht="23.1" customHeight="1" x14ac:dyDescent="0.25">
      <c r="B61" s="23" t="s">
        <v>102</v>
      </c>
      <c r="C61" s="49">
        <f>'Avg Week Masaka-Ssembabule'!C61+'Avg Week Ssembabule-Masaka'!C61</f>
        <v>3.5</v>
      </c>
      <c r="D61" s="49">
        <f>'Avg Week Masaka-Ssembabule'!D61+'Avg Week Ssembabule-Masaka'!D61</f>
        <v>1.5</v>
      </c>
      <c r="E61" s="49">
        <f>'Avg Week Masaka-Ssembabule'!E61+'Avg Week Ssembabule-Masaka'!E61</f>
        <v>0.5</v>
      </c>
      <c r="F61" s="49">
        <f>'Avg Week Masaka-Ssembabule'!F61+'Avg Week Ssembabule-Masaka'!F61</f>
        <v>0</v>
      </c>
      <c r="G61" s="49">
        <f>'Avg Week Masaka-Ssembabule'!G61+'Avg Week Ssembabule-Masaka'!G61</f>
        <v>0</v>
      </c>
      <c r="H61" s="49">
        <f>'Avg Week Masaka-Ssembabule'!H61+'Avg Week Ssembabule-Masaka'!H61</f>
        <v>0</v>
      </c>
      <c r="I61" s="49">
        <f>'Avg Week Masaka-Ssembabule'!I61+'Avg Week Ssembabule-Masaka'!I61</f>
        <v>0.5</v>
      </c>
      <c r="J61" s="49">
        <f>'Avg Week Masaka-Ssembabule'!J61+'Avg Week Ssembabule-Masaka'!J61</f>
        <v>0</v>
      </c>
      <c r="K61" s="49">
        <f>'Avg Week Masaka-Ssembabule'!K61+'Avg Week Ssembabule-Masaka'!K61</f>
        <v>0</v>
      </c>
      <c r="L61" s="49">
        <f>'Avg Week Masaka-Ssembabule'!L61+'Avg Week Ssembabule-Masaka'!L61</f>
        <v>0.5</v>
      </c>
      <c r="M61" s="49">
        <f>'Avg Week Masaka-Ssembabule'!M61+'Avg Week Ssembabule-Masaka'!M61</f>
        <v>16</v>
      </c>
      <c r="N61" s="49">
        <f>'Avg Week Masaka-Ssembabule'!N61+'Avg Week Ssembabule-Masaka'!N61</f>
        <v>0</v>
      </c>
      <c r="O61" s="15">
        <f t="shared" si="0"/>
        <v>6.5</v>
      </c>
      <c r="P61" s="15">
        <f t="shared" si="1"/>
        <v>22.5</v>
      </c>
      <c r="R61" s="8"/>
      <c r="T61"/>
    </row>
    <row r="62" spans="2:20" ht="23.1" customHeight="1" x14ac:dyDescent="0.25">
      <c r="B62" s="23" t="s">
        <v>107</v>
      </c>
      <c r="C62" s="49">
        <f>'Avg Week Masaka-Ssembabule'!C62+'Avg Week Ssembabule-Masaka'!C62</f>
        <v>4.5</v>
      </c>
      <c r="D62" s="49">
        <f>'Avg Week Masaka-Ssembabule'!D62+'Avg Week Ssembabule-Masaka'!D62</f>
        <v>0.5</v>
      </c>
      <c r="E62" s="49">
        <f>'Avg Week Masaka-Ssembabule'!E62+'Avg Week Ssembabule-Masaka'!E62</f>
        <v>0</v>
      </c>
      <c r="F62" s="49">
        <f>'Avg Week Masaka-Ssembabule'!F62+'Avg Week Ssembabule-Masaka'!F62</f>
        <v>1</v>
      </c>
      <c r="G62" s="49">
        <f>'Avg Week Masaka-Ssembabule'!G62+'Avg Week Ssembabule-Masaka'!G62</f>
        <v>0</v>
      </c>
      <c r="H62" s="49">
        <f>'Avg Week Masaka-Ssembabule'!H62+'Avg Week Ssembabule-Masaka'!H62</f>
        <v>0</v>
      </c>
      <c r="I62" s="49">
        <f>'Avg Week Masaka-Ssembabule'!I62+'Avg Week Ssembabule-Masaka'!I62</f>
        <v>2</v>
      </c>
      <c r="J62" s="49">
        <f>'Avg Week Masaka-Ssembabule'!J62+'Avg Week Ssembabule-Masaka'!J62</f>
        <v>2</v>
      </c>
      <c r="K62" s="49">
        <f>'Avg Week Masaka-Ssembabule'!K62+'Avg Week Ssembabule-Masaka'!K62</f>
        <v>0.5</v>
      </c>
      <c r="L62" s="49">
        <f>'Avg Week Masaka-Ssembabule'!L62+'Avg Week Ssembabule-Masaka'!L62</f>
        <v>0</v>
      </c>
      <c r="M62" s="49">
        <f>'Avg Week Masaka-Ssembabule'!M62+'Avg Week Ssembabule-Masaka'!M62</f>
        <v>10</v>
      </c>
      <c r="N62" s="49">
        <f>'Avg Week Masaka-Ssembabule'!N62+'Avg Week Ssembabule-Masaka'!N62</f>
        <v>0</v>
      </c>
      <c r="O62" s="15">
        <f t="shared" si="0"/>
        <v>10.5</v>
      </c>
      <c r="P62" s="15">
        <f t="shared" si="1"/>
        <v>20.5</v>
      </c>
      <c r="R62" s="8"/>
      <c r="T62"/>
    </row>
    <row r="63" spans="2:20" ht="23.1" customHeight="1" x14ac:dyDescent="0.25">
      <c r="B63" s="23" t="s">
        <v>108</v>
      </c>
      <c r="C63" s="49">
        <f>'Avg Week Masaka-Ssembabule'!C63+'Avg Week Ssembabule-Masaka'!C63</f>
        <v>3.5</v>
      </c>
      <c r="D63" s="49">
        <f>'Avg Week Masaka-Ssembabule'!D63+'Avg Week Ssembabule-Masaka'!D63</f>
        <v>0.5</v>
      </c>
      <c r="E63" s="49">
        <f>'Avg Week Masaka-Ssembabule'!E63+'Avg Week Ssembabule-Masaka'!E63</f>
        <v>1</v>
      </c>
      <c r="F63" s="49">
        <f>'Avg Week Masaka-Ssembabule'!F63+'Avg Week Ssembabule-Masaka'!F63</f>
        <v>0</v>
      </c>
      <c r="G63" s="49">
        <f>'Avg Week Masaka-Ssembabule'!G63+'Avg Week Ssembabule-Masaka'!G63</f>
        <v>0</v>
      </c>
      <c r="H63" s="49">
        <f>'Avg Week Masaka-Ssembabule'!H63+'Avg Week Ssembabule-Masaka'!H63</f>
        <v>0</v>
      </c>
      <c r="I63" s="49">
        <f>'Avg Week Masaka-Ssembabule'!I63+'Avg Week Ssembabule-Masaka'!I63</f>
        <v>1.5</v>
      </c>
      <c r="J63" s="49">
        <f>'Avg Week Masaka-Ssembabule'!J63+'Avg Week Ssembabule-Masaka'!J63</f>
        <v>0.5</v>
      </c>
      <c r="K63" s="49">
        <f>'Avg Week Masaka-Ssembabule'!K63+'Avg Week Ssembabule-Masaka'!K63</f>
        <v>0</v>
      </c>
      <c r="L63" s="49">
        <f>'Avg Week Masaka-Ssembabule'!L63+'Avg Week Ssembabule-Masaka'!L63</f>
        <v>0</v>
      </c>
      <c r="M63" s="49">
        <f>'Avg Week Masaka-Ssembabule'!M63+'Avg Week Ssembabule-Masaka'!M63</f>
        <v>17</v>
      </c>
      <c r="N63" s="49">
        <f>'Avg Week Masaka-Ssembabule'!N63+'Avg Week Ssembabule-Masaka'!N63</f>
        <v>0</v>
      </c>
      <c r="O63" s="15">
        <f t="shared" si="0"/>
        <v>7</v>
      </c>
      <c r="P63" s="15">
        <f t="shared" si="1"/>
        <v>24</v>
      </c>
      <c r="R63" s="8"/>
      <c r="T63"/>
    </row>
    <row r="64" spans="2:20" ht="23.1" customHeight="1" x14ac:dyDescent="0.25">
      <c r="B64" s="23" t="s">
        <v>109</v>
      </c>
      <c r="C64" s="49">
        <f>'Avg Week Masaka-Ssembabule'!C64+'Avg Week Ssembabule-Masaka'!C64</f>
        <v>3</v>
      </c>
      <c r="D64" s="49">
        <f>'Avg Week Masaka-Ssembabule'!D64+'Avg Week Ssembabule-Masaka'!D64</f>
        <v>0</v>
      </c>
      <c r="E64" s="49">
        <f>'Avg Week Masaka-Ssembabule'!E64+'Avg Week Ssembabule-Masaka'!E64</f>
        <v>1.5</v>
      </c>
      <c r="F64" s="49">
        <f>'Avg Week Masaka-Ssembabule'!F64+'Avg Week Ssembabule-Masaka'!F64</f>
        <v>0.5</v>
      </c>
      <c r="G64" s="49">
        <f>'Avg Week Masaka-Ssembabule'!G64+'Avg Week Ssembabule-Masaka'!G64</f>
        <v>0</v>
      </c>
      <c r="H64" s="49">
        <f>'Avg Week Masaka-Ssembabule'!H64+'Avg Week Ssembabule-Masaka'!H64</f>
        <v>0.5</v>
      </c>
      <c r="I64" s="49">
        <f>'Avg Week Masaka-Ssembabule'!I64+'Avg Week Ssembabule-Masaka'!I64</f>
        <v>1.5</v>
      </c>
      <c r="J64" s="49">
        <f>'Avg Week Masaka-Ssembabule'!J64+'Avg Week Ssembabule-Masaka'!J64</f>
        <v>0.5</v>
      </c>
      <c r="K64" s="49">
        <f>'Avg Week Masaka-Ssembabule'!K64+'Avg Week Ssembabule-Masaka'!K64</f>
        <v>0</v>
      </c>
      <c r="L64" s="49">
        <f>'Avg Week Masaka-Ssembabule'!L64+'Avg Week Ssembabule-Masaka'!L64</f>
        <v>0</v>
      </c>
      <c r="M64" s="49">
        <f>'Avg Week Masaka-Ssembabule'!M64+'Avg Week Ssembabule-Masaka'!M64</f>
        <v>15.5</v>
      </c>
      <c r="N64" s="49">
        <f>'Avg Week Masaka-Ssembabule'!N64+'Avg Week Ssembabule-Masaka'!N64</f>
        <v>0</v>
      </c>
      <c r="O64" s="15">
        <f t="shared" si="0"/>
        <v>7.5</v>
      </c>
      <c r="P64" s="15">
        <f t="shared" si="1"/>
        <v>23</v>
      </c>
      <c r="R64" s="8"/>
      <c r="T64"/>
    </row>
    <row r="65" spans="2:20" ht="23.1" customHeight="1" x14ac:dyDescent="0.25">
      <c r="B65" s="23" t="s">
        <v>158</v>
      </c>
      <c r="C65" s="49">
        <f>'Avg Week Masaka-Ssembabule'!C65+'Avg Week Ssembabule-Masaka'!C65</f>
        <v>2</v>
      </c>
      <c r="D65" s="49">
        <f>'Avg Week Masaka-Ssembabule'!D65+'Avg Week Ssembabule-Masaka'!D65</f>
        <v>0.5</v>
      </c>
      <c r="E65" s="49">
        <f>'Avg Week Masaka-Ssembabule'!E65+'Avg Week Ssembabule-Masaka'!E65</f>
        <v>0</v>
      </c>
      <c r="F65" s="49">
        <f>'Avg Week Masaka-Ssembabule'!F65+'Avg Week Ssembabule-Masaka'!F65</f>
        <v>1</v>
      </c>
      <c r="G65" s="49">
        <f>'Avg Week Masaka-Ssembabule'!G65+'Avg Week Ssembabule-Masaka'!G65</f>
        <v>0.5</v>
      </c>
      <c r="H65" s="49">
        <f>'Avg Week Masaka-Ssembabule'!H65+'Avg Week Ssembabule-Masaka'!H65</f>
        <v>0</v>
      </c>
      <c r="I65" s="49">
        <f>'Avg Week Masaka-Ssembabule'!I65+'Avg Week Ssembabule-Masaka'!I65</f>
        <v>2.5</v>
      </c>
      <c r="J65" s="49">
        <f>'Avg Week Masaka-Ssembabule'!J65+'Avg Week Ssembabule-Masaka'!J65</f>
        <v>0.5</v>
      </c>
      <c r="K65" s="49">
        <f>'Avg Week Masaka-Ssembabule'!K65+'Avg Week Ssembabule-Masaka'!K65</f>
        <v>0</v>
      </c>
      <c r="L65" s="49">
        <f>'Avg Week Masaka-Ssembabule'!L65+'Avg Week Ssembabule-Masaka'!L65</f>
        <v>0</v>
      </c>
      <c r="M65" s="49">
        <f>'Avg Week Masaka-Ssembabule'!M65+'Avg Week Ssembabule-Masaka'!M65</f>
        <v>10</v>
      </c>
      <c r="N65" s="49">
        <f>'Avg Week Masaka-Ssembabule'!N65+'Avg Week Ssembabule-Masaka'!N65</f>
        <v>0</v>
      </c>
      <c r="O65" s="15">
        <f t="shared" si="0"/>
        <v>7</v>
      </c>
      <c r="P65" s="15">
        <f t="shared" si="1"/>
        <v>17</v>
      </c>
      <c r="R65" s="8"/>
      <c r="T65"/>
    </row>
    <row r="66" spans="2:20" ht="23.1" customHeight="1" x14ac:dyDescent="0.25">
      <c r="B66" s="23" t="s">
        <v>103</v>
      </c>
      <c r="C66" s="49">
        <f>'Avg Week Masaka-Ssembabule'!C66+'Avg Week Ssembabule-Masaka'!C66</f>
        <v>2</v>
      </c>
      <c r="D66" s="49">
        <f>'Avg Week Masaka-Ssembabule'!D66+'Avg Week Ssembabule-Masaka'!D66</f>
        <v>0</v>
      </c>
      <c r="E66" s="49">
        <f>'Avg Week Masaka-Ssembabule'!E66+'Avg Week Ssembabule-Masaka'!E66</f>
        <v>0.5</v>
      </c>
      <c r="F66" s="49">
        <f>'Avg Week Masaka-Ssembabule'!F66+'Avg Week Ssembabule-Masaka'!F66</f>
        <v>0.5</v>
      </c>
      <c r="G66" s="49">
        <f>'Avg Week Masaka-Ssembabule'!G66+'Avg Week Ssembabule-Masaka'!G66</f>
        <v>0</v>
      </c>
      <c r="H66" s="49">
        <f>'Avg Week Masaka-Ssembabule'!H66+'Avg Week Ssembabule-Masaka'!H66</f>
        <v>0</v>
      </c>
      <c r="I66" s="49">
        <f>'Avg Week Masaka-Ssembabule'!I66+'Avg Week Ssembabule-Masaka'!I66</f>
        <v>1.5</v>
      </c>
      <c r="J66" s="49">
        <f>'Avg Week Masaka-Ssembabule'!J66+'Avg Week Ssembabule-Masaka'!J66</f>
        <v>2</v>
      </c>
      <c r="K66" s="49">
        <f>'Avg Week Masaka-Ssembabule'!K66+'Avg Week Ssembabule-Masaka'!K66</f>
        <v>0</v>
      </c>
      <c r="L66" s="49">
        <f>'Avg Week Masaka-Ssembabule'!L66+'Avg Week Ssembabule-Masaka'!L66</f>
        <v>0</v>
      </c>
      <c r="M66" s="49">
        <f>'Avg Week Masaka-Ssembabule'!M66+'Avg Week Ssembabule-Masaka'!M66</f>
        <v>12</v>
      </c>
      <c r="N66" s="49">
        <f>'Avg Week Masaka-Ssembabule'!N66+'Avg Week Ssembabule-Masaka'!N66</f>
        <v>0</v>
      </c>
      <c r="O66" s="15">
        <f t="shared" si="0"/>
        <v>6.5</v>
      </c>
      <c r="P66" s="15">
        <f t="shared" si="1"/>
        <v>18.5</v>
      </c>
      <c r="R66" s="8"/>
      <c r="T66"/>
    </row>
    <row r="67" spans="2:20" ht="23.1" customHeight="1" x14ac:dyDescent="0.25">
      <c r="B67" s="23" t="s">
        <v>104</v>
      </c>
      <c r="C67" s="49">
        <f>'Avg Week Masaka-Ssembabule'!C67+'Avg Week Ssembabule-Masaka'!C67</f>
        <v>4.5</v>
      </c>
      <c r="D67" s="49">
        <f>'Avg Week Masaka-Ssembabule'!D67+'Avg Week Ssembabule-Masaka'!D67</f>
        <v>1</v>
      </c>
      <c r="E67" s="49">
        <f>'Avg Week Masaka-Ssembabule'!E67+'Avg Week Ssembabule-Masaka'!E67</f>
        <v>0.5</v>
      </c>
      <c r="F67" s="49">
        <f>'Avg Week Masaka-Ssembabule'!F67+'Avg Week Ssembabule-Masaka'!F67</f>
        <v>1.5</v>
      </c>
      <c r="G67" s="49">
        <f>'Avg Week Masaka-Ssembabule'!G67+'Avg Week Ssembabule-Masaka'!G67</f>
        <v>0</v>
      </c>
      <c r="H67" s="49">
        <f>'Avg Week Masaka-Ssembabule'!H67+'Avg Week Ssembabule-Masaka'!H67</f>
        <v>0</v>
      </c>
      <c r="I67" s="49">
        <f>'Avg Week Masaka-Ssembabule'!I67+'Avg Week Ssembabule-Masaka'!I67</f>
        <v>0.5</v>
      </c>
      <c r="J67" s="49">
        <f>'Avg Week Masaka-Ssembabule'!J67+'Avg Week Ssembabule-Masaka'!J67</f>
        <v>2</v>
      </c>
      <c r="K67" s="49">
        <f>'Avg Week Masaka-Ssembabule'!K67+'Avg Week Ssembabule-Masaka'!K67</f>
        <v>0</v>
      </c>
      <c r="L67" s="49">
        <f>'Avg Week Masaka-Ssembabule'!L67+'Avg Week Ssembabule-Masaka'!L67</f>
        <v>0</v>
      </c>
      <c r="M67" s="49">
        <f>'Avg Week Masaka-Ssembabule'!M67+'Avg Week Ssembabule-Masaka'!M67</f>
        <v>4</v>
      </c>
      <c r="N67" s="49">
        <f>'Avg Week Masaka-Ssembabule'!N67+'Avg Week Ssembabule-Masaka'!N67</f>
        <v>0</v>
      </c>
      <c r="O67" s="15">
        <f t="shared" si="0"/>
        <v>10</v>
      </c>
      <c r="P67" s="15">
        <f t="shared" si="1"/>
        <v>14</v>
      </c>
      <c r="R67" s="8"/>
      <c r="T67"/>
    </row>
    <row r="68" spans="2:20" ht="23.1" customHeight="1" x14ac:dyDescent="0.25">
      <c r="B68" s="23" t="s">
        <v>105</v>
      </c>
      <c r="C68" s="49">
        <f>'Avg Week Masaka-Ssembabule'!C68+'Avg Week Ssembabule-Masaka'!C68</f>
        <v>4.5</v>
      </c>
      <c r="D68" s="49">
        <f>'Avg Week Masaka-Ssembabule'!D68+'Avg Week Ssembabule-Masaka'!D68</f>
        <v>0</v>
      </c>
      <c r="E68" s="49">
        <f>'Avg Week Masaka-Ssembabule'!E68+'Avg Week Ssembabule-Masaka'!E68</f>
        <v>0</v>
      </c>
      <c r="F68" s="49">
        <f>'Avg Week Masaka-Ssembabule'!F68+'Avg Week Ssembabule-Masaka'!F68</f>
        <v>0</v>
      </c>
      <c r="G68" s="49">
        <f>'Avg Week Masaka-Ssembabule'!G68+'Avg Week Ssembabule-Masaka'!G68</f>
        <v>0</v>
      </c>
      <c r="H68" s="49">
        <f>'Avg Week Masaka-Ssembabule'!H68+'Avg Week Ssembabule-Masaka'!H68</f>
        <v>0</v>
      </c>
      <c r="I68" s="49">
        <f>'Avg Week Masaka-Ssembabule'!I68+'Avg Week Ssembabule-Masaka'!I68</f>
        <v>1</v>
      </c>
      <c r="J68" s="49">
        <f>'Avg Week Masaka-Ssembabule'!J68+'Avg Week Ssembabule-Masaka'!J68</f>
        <v>2.5</v>
      </c>
      <c r="K68" s="49">
        <f>'Avg Week Masaka-Ssembabule'!K68+'Avg Week Ssembabule-Masaka'!K68</f>
        <v>0</v>
      </c>
      <c r="L68" s="49">
        <f>'Avg Week Masaka-Ssembabule'!L68+'Avg Week Ssembabule-Masaka'!L68</f>
        <v>0</v>
      </c>
      <c r="M68" s="49">
        <f>'Avg Week Masaka-Ssembabule'!M68+'Avg Week Ssembabule-Masaka'!M68</f>
        <v>4.5</v>
      </c>
      <c r="N68" s="49">
        <f>'Avg Week Masaka-Ssembabule'!N68+'Avg Week Ssembabule-Masaka'!N68</f>
        <v>0</v>
      </c>
      <c r="O68" s="15">
        <f t="shared" si="0"/>
        <v>8</v>
      </c>
      <c r="P68" s="15">
        <f t="shared" si="1"/>
        <v>12.5</v>
      </c>
      <c r="R68" s="8"/>
      <c r="T68"/>
    </row>
    <row r="69" spans="2:20" ht="23.1" customHeight="1" x14ac:dyDescent="0.25">
      <c r="B69" s="23" t="s">
        <v>106</v>
      </c>
      <c r="C69" s="49">
        <f>'Avg Week Masaka-Ssembabule'!C69+'Avg Week Ssembabule-Masaka'!C69</f>
        <v>1</v>
      </c>
      <c r="D69" s="49">
        <f>'Avg Week Masaka-Ssembabule'!D69+'Avg Week Ssembabule-Masaka'!D69</f>
        <v>0</v>
      </c>
      <c r="E69" s="49">
        <f>'Avg Week Masaka-Ssembabule'!E69+'Avg Week Ssembabule-Masaka'!E69</f>
        <v>0</v>
      </c>
      <c r="F69" s="49">
        <f>'Avg Week Masaka-Ssembabule'!F69+'Avg Week Ssembabule-Masaka'!F69</f>
        <v>0</v>
      </c>
      <c r="G69" s="49">
        <f>'Avg Week Masaka-Ssembabule'!G69+'Avg Week Ssembabule-Masaka'!G69</f>
        <v>0</v>
      </c>
      <c r="H69" s="49">
        <f>'Avg Week Masaka-Ssembabule'!H69+'Avg Week Ssembabule-Masaka'!H69</f>
        <v>0</v>
      </c>
      <c r="I69" s="49">
        <f>'Avg Week Masaka-Ssembabule'!I69+'Avg Week Ssembabule-Masaka'!I69</f>
        <v>0</v>
      </c>
      <c r="J69" s="49">
        <f>'Avg Week Masaka-Ssembabule'!J69+'Avg Week Ssembabule-Masaka'!J69</f>
        <v>3</v>
      </c>
      <c r="K69" s="49">
        <f>'Avg Week Masaka-Ssembabule'!K69+'Avg Week Ssembabule-Masaka'!K69</f>
        <v>0</v>
      </c>
      <c r="L69" s="49">
        <f>'Avg Week Masaka-Ssembabule'!L69+'Avg Week Ssembabule-Masaka'!L69</f>
        <v>0</v>
      </c>
      <c r="M69" s="49">
        <f>'Avg Week Masaka-Ssembabule'!M69+'Avg Week Ssembabule-Masaka'!M69</f>
        <v>5.5</v>
      </c>
      <c r="N69" s="49">
        <f>'Avg Week Masaka-Ssembabule'!N69+'Avg Week Ssembabule-Masaka'!N69</f>
        <v>0</v>
      </c>
      <c r="O69" s="15">
        <f t="shared" si="0"/>
        <v>4</v>
      </c>
      <c r="P69" s="15">
        <f t="shared" si="1"/>
        <v>9.5</v>
      </c>
      <c r="R69" s="8"/>
      <c r="T69"/>
    </row>
    <row r="70" spans="2:20" ht="23.1" customHeight="1" x14ac:dyDescent="0.25">
      <c r="B70" s="23" t="s">
        <v>110</v>
      </c>
      <c r="C70" s="49">
        <f>'Avg Week Masaka-Ssembabule'!C70+'Avg Week Ssembabule-Masaka'!C70</f>
        <v>3.5</v>
      </c>
      <c r="D70" s="49">
        <f>'Avg Week Masaka-Ssembabule'!D70+'Avg Week Ssembabule-Masaka'!D70</f>
        <v>1</v>
      </c>
      <c r="E70" s="49">
        <f>'Avg Week Masaka-Ssembabule'!E70+'Avg Week Ssembabule-Masaka'!E70</f>
        <v>1.5</v>
      </c>
      <c r="F70" s="49">
        <f>'Avg Week Masaka-Ssembabule'!F70+'Avg Week Ssembabule-Masaka'!F70</f>
        <v>0</v>
      </c>
      <c r="G70" s="49">
        <f>'Avg Week Masaka-Ssembabule'!G70+'Avg Week Ssembabule-Masaka'!G70</f>
        <v>0</v>
      </c>
      <c r="H70" s="49">
        <f>'Avg Week Masaka-Ssembabule'!H70+'Avg Week Ssembabule-Masaka'!H70</f>
        <v>0</v>
      </c>
      <c r="I70" s="49">
        <f>'Avg Week Masaka-Ssembabule'!I70+'Avg Week Ssembabule-Masaka'!I70</f>
        <v>0.5</v>
      </c>
      <c r="J70" s="49">
        <f>'Avg Week Masaka-Ssembabule'!J70+'Avg Week Ssembabule-Masaka'!J70</f>
        <v>0.5</v>
      </c>
      <c r="K70" s="49">
        <f>'Avg Week Masaka-Ssembabule'!K70+'Avg Week Ssembabule-Masaka'!K70</f>
        <v>0</v>
      </c>
      <c r="L70" s="49">
        <f>'Avg Week Masaka-Ssembabule'!L70+'Avg Week Ssembabule-Masaka'!L70</f>
        <v>0</v>
      </c>
      <c r="M70" s="49">
        <f>'Avg Week Masaka-Ssembabule'!M70+'Avg Week Ssembabule-Masaka'!M70</f>
        <v>5.5</v>
      </c>
      <c r="N70" s="49">
        <f>'Avg Week Masaka-Ssembabule'!N70+'Avg Week Ssembabule-Masaka'!N70</f>
        <v>0</v>
      </c>
      <c r="O70" s="15">
        <f t="shared" si="0"/>
        <v>7</v>
      </c>
      <c r="P70" s="15">
        <f t="shared" si="1"/>
        <v>12.5</v>
      </c>
      <c r="R70" s="8"/>
      <c r="T70"/>
    </row>
    <row r="71" spans="2:20" ht="23.1" customHeight="1" x14ac:dyDescent="0.25">
      <c r="B71" s="23" t="s">
        <v>111</v>
      </c>
      <c r="C71" s="49">
        <f>'Avg Week Masaka-Ssembabule'!C71+'Avg Week Ssembabule-Masaka'!C71</f>
        <v>2</v>
      </c>
      <c r="D71" s="49">
        <f>'Avg Week Masaka-Ssembabule'!D71+'Avg Week Ssembabule-Masaka'!D71</f>
        <v>0</v>
      </c>
      <c r="E71" s="49">
        <f>'Avg Week Masaka-Ssembabule'!E71+'Avg Week Ssembabule-Masaka'!E71</f>
        <v>0</v>
      </c>
      <c r="F71" s="49">
        <f>'Avg Week Masaka-Ssembabule'!F71+'Avg Week Ssembabule-Masaka'!F71</f>
        <v>0</v>
      </c>
      <c r="G71" s="49">
        <f>'Avg Week Masaka-Ssembabule'!G71+'Avg Week Ssembabule-Masaka'!G71</f>
        <v>0</v>
      </c>
      <c r="H71" s="49">
        <f>'Avg Week Masaka-Ssembabule'!H71+'Avg Week Ssembabule-Masaka'!H71</f>
        <v>0</v>
      </c>
      <c r="I71" s="49">
        <f>'Avg Week Masaka-Ssembabule'!I71+'Avg Week Ssembabule-Masaka'!I71</f>
        <v>1</v>
      </c>
      <c r="J71" s="49">
        <f>'Avg Week Masaka-Ssembabule'!J71+'Avg Week Ssembabule-Masaka'!J71</f>
        <v>1</v>
      </c>
      <c r="K71" s="49">
        <f>'Avg Week Masaka-Ssembabule'!K71+'Avg Week Ssembabule-Masaka'!K71</f>
        <v>0</v>
      </c>
      <c r="L71" s="49">
        <f>'Avg Week Masaka-Ssembabule'!L71+'Avg Week Ssembabule-Masaka'!L71</f>
        <v>0</v>
      </c>
      <c r="M71" s="49">
        <f>'Avg Week Masaka-Ssembabule'!M71+'Avg Week Ssembabule-Masaka'!M71</f>
        <v>3.5</v>
      </c>
      <c r="N71" s="49">
        <f>'Avg Week Masaka-Ssembabule'!N71+'Avg Week Ssembabule-Masaka'!N71</f>
        <v>0</v>
      </c>
      <c r="O71" s="15">
        <f t="shared" si="0"/>
        <v>4</v>
      </c>
      <c r="P71" s="15">
        <f t="shared" si="1"/>
        <v>7.5</v>
      </c>
      <c r="R71" s="8"/>
      <c r="T71"/>
    </row>
    <row r="72" spans="2:20" ht="23.1" customHeight="1" x14ac:dyDescent="0.25">
      <c r="B72" s="23" t="s">
        <v>112</v>
      </c>
      <c r="C72" s="49">
        <f>'Avg Week Masaka-Ssembabule'!C72+'Avg Week Ssembabule-Masaka'!C72</f>
        <v>2</v>
      </c>
      <c r="D72" s="49">
        <f>'Avg Week Masaka-Ssembabule'!D72+'Avg Week Ssembabule-Masaka'!D72</f>
        <v>0.5</v>
      </c>
      <c r="E72" s="49">
        <f>'Avg Week Masaka-Ssembabule'!E72+'Avg Week Ssembabule-Masaka'!E72</f>
        <v>0.5</v>
      </c>
      <c r="F72" s="49">
        <f>'Avg Week Masaka-Ssembabule'!F72+'Avg Week Ssembabule-Masaka'!F72</f>
        <v>0.5</v>
      </c>
      <c r="G72" s="49">
        <f>'Avg Week Masaka-Ssembabule'!G72+'Avg Week Ssembabule-Masaka'!G72</f>
        <v>0</v>
      </c>
      <c r="H72" s="49">
        <f>'Avg Week Masaka-Ssembabule'!H72+'Avg Week Ssembabule-Masaka'!H72</f>
        <v>0</v>
      </c>
      <c r="I72" s="49">
        <f>'Avg Week Masaka-Ssembabule'!I72+'Avg Week Ssembabule-Masaka'!I72</f>
        <v>0</v>
      </c>
      <c r="J72" s="49">
        <f>'Avg Week Masaka-Ssembabule'!J72+'Avg Week Ssembabule-Masaka'!J72</f>
        <v>1.5</v>
      </c>
      <c r="K72" s="49">
        <f>'Avg Week Masaka-Ssembabule'!K72+'Avg Week Ssembabule-Masaka'!K72</f>
        <v>0.5</v>
      </c>
      <c r="L72" s="49">
        <f>'Avg Week Masaka-Ssembabule'!L72+'Avg Week Ssembabule-Masaka'!L72</f>
        <v>0</v>
      </c>
      <c r="M72" s="49">
        <f>'Avg Week Masaka-Ssembabule'!M72+'Avg Week Ssembabule-Masaka'!M72</f>
        <v>5.5</v>
      </c>
      <c r="N72" s="49">
        <f>'Avg Week Masaka-Ssembabule'!N72+'Avg Week Ssembabule-Masaka'!N72</f>
        <v>0</v>
      </c>
      <c r="O72" s="15">
        <f t="shared" si="0"/>
        <v>5.5</v>
      </c>
      <c r="P72" s="15">
        <f t="shared" si="1"/>
        <v>11</v>
      </c>
      <c r="R72" s="8"/>
      <c r="T72"/>
    </row>
    <row r="73" spans="2:20" ht="23.1" customHeight="1" x14ac:dyDescent="0.25">
      <c r="B73" s="23" t="s">
        <v>113</v>
      </c>
      <c r="C73" s="49">
        <f>'Avg Week Masaka-Ssembabule'!C73+'Avg Week Ssembabule-Masaka'!C73</f>
        <v>1.5</v>
      </c>
      <c r="D73" s="49">
        <f>'Avg Week Masaka-Ssembabule'!D73+'Avg Week Ssembabule-Masaka'!D73</f>
        <v>0</v>
      </c>
      <c r="E73" s="49">
        <f>'Avg Week Masaka-Ssembabule'!E73+'Avg Week Ssembabule-Masaka'!E73</f>
        <v>0</v>
      </c>
      <c r="F73" s="49">
        <f>'Avg Week Masaka-Ssembabule'!F73+'Avg Week Ssembabule-Masaka'!F73</f>
        <v>0.5</v>
      </c>
      <c r="G73" s="49">
        <f>'Avg Week Masaka-Ssembabule'!G73+'Avg Week Ssembabule-Masaka'!G73</f>
        <v>0</v>
      </c>
      <c r="H73" s="49">
        <f>'Avg Week Masaka-Ssembabule'!H73+'Avg Week Ssembabule-Masaka'!H73</f>
        <v>0</v>
      </c>
      <c r="I73" s="49">
        <f>'Avg Week Masaka-Ssembabule'!I73+'Avg Week Ssembabule-Masaka'!I73</f>
        <v>0</v>
      </c>
      <c r="J73" s="49">
        <f>'Avg Week Masaka-Ssembabule'!J73+'Avg Week Ssembabule-Masaka'!J73</f>
        <v>0.5</v>
      </c>
      <c r="K73" s="49">
        <f>'Avg Week Masaka-Ssembabule'!K73+'Avg Week Ssembabule-Masaka'!K73</f>
        <v>0</v>
      </c>
      <c r="L73" s="49">
        <f>'Avg Week Masaka-Ssembabule'!L73+'Avg Week Ssembabule-Masaka'!L73</f>
        <v>0</v>
      </c>
      <c r="M73" s="49">
        <f>'Avg Week Masaka-Ssembabule'!M73+'Avg Week Ssembabule-Masaka'!M73</f>
        <v>4.5</v>
      </c>
      <c r="N73" s="49">
        <f>'Avg Week Masaka-Ssembabule'!N73+'Avg Week Ssembabule-Masaka'!N73</f>
        <v>0</v>
      </c>
      <c r="O73" s="15">
        <f t="shared" si="0"/>
        <v>2.5</v>
      </c>
      <c r="P73" s="15">
        <f t="shared" si="1"/>
        <v>7</v>
      </c>
      <c r="R73" s="8"/>
      <c r="T73"/>
    </row>
    <row r="74" spans="2:20" ht="23.1" customHeight="1" x14ac:dyDescent="0.25">
      <c r="B74" s="23" t="s">
        <v>114</v>
      </c>
      <c r="C74" s="49">
        <f>'Avg Week Masaka-Ssembabule'!C74+'Avg Week Ssembabule-Masaka'!C74</f>
        <v>4</v>
      </c>
      <c r="D74" s="49">
        <f>'Avg Week Masaka-Ssembabule'!D74+'Avg Week Ssembabule-Masaka'!D74</f>
        <v>0.5</v>
      </c>
      <c r="E74" s="49">
        <f>'Avg Week Masaka-Ssembabule'!E74+'Avg Week Ssembabule-Masaka'!E74</f>
        <v>0</v>
      </c>
      <c r="F74" s="49">
        <f>'Avg Week Masaka-Ssembabule'!F74+'Avg Week Ssembabule-Masaka'!F74</f>
        <v>0</v>
      </c>
      <c r="G74" s="49">
        <f>'Avg Week Masaka-Ssembabule'!G74+'Avg Week Ssembabule-Masaka'!G74</f>
        <v>0</v>
      </c>
      <c r="H74" s="49">
        <f>'Avg Week Masaka-Ssembabule'!H74+'Avg Week Ssembabule-Masaka'!H74</f>
        <v>0</v>
      </c>
      <c r="I74" s="49">
        <f>'Avg Week Masaka-Ssembabule'!I74+'Avg Week Ssembabule-Masaka'!I74</f>
        <v>1</v>
      </c>
      <c r="J74" s="49">
        <f>'Avg Week Masaka-Ssembabule'!J74+'Avg Week Ssembabule-Masaka'!J74</f>
        <v>1</v>
      </c>
      <c r="K74" s="49">
        <f>'Avg Week Masaka-Ssembabule'!K74+'Avg Week Ssembabule-Masaka'!K74</f>
        <v>0</v>
      </c>
      <c r="L74" s="49">
        <f>'Avg Week Masaka-Ssembabule'!L74+'Avg Week Ssembabule-Masaka'!L74</f>
        <v>0</v>
      </c>
      <c r="M74" s="49">
        <f>'Avg Week Masaka-Ssembabule'!M74+'Avg Week Ssembabule-Masaka'!M74</f>
        <v>3</v>
      </c>
      <c r="N74" s="49">
        <f>'Avg Week Masaka-Ssembabule'!N74+'Avg Week Ssembabule-Masaka'!N74</f>
        <v>0</v>
      </c>
      <c r="O74" s="15">
        <f t="shared" ref="O74:O105" si="35">SUM(C74:L74,N74)</f>
        <v>6.5</v>
      </c>
      <c r="P74" s="15">
        <f t="shared" ref="P74:P105" si="36">SUM(C74:N74)</f>
        <v>9.5</v>
      </c>
      <c r="R74" s="8"/>
      <c r="T74"/>
    </row>
    <row r="75" spans="2:20" ht="23.1" customHeight="1" x14ac:dyDescent="0.25">
      <c r="B75" s="23" t="s">
        <v>115</v>
      </c>
      <c r="C75" s="49">
        <f>'Avg Week Masaka-Ssembabule'!C75+'Avg Week Ssembabule-Masaka'!C75</f>
        <v>1</v>
      </c>
      <c r="D75" s="49">
        <f>'Avg Week Masaka-Ssembabule'!D75+'Avg Week Ssembabule-Masaka'!D75</f>
        <v>0</v>
      </c>
      <c r="E75" s="49">
        <f>'Avg Week Masaka-Ssembabule'!E75+'Avg Week Ssembabule-Masaka'!E75</f>
        <v>1</v>
      </c>
      <c r="F75" s="49">
        <f>'Avg Week Masaka-Ssembabule'!F75+'Avg Week Ssembabule-Masaka'!F75</f>
        <v>0</v>
      </c>
      <c r="G75" s="49">
        <f>'Avg Week Masaka-Ssembabule'!G75+'Avg Week Ssembabule-Masaka'!G75</f>
        <v>0</v>
      </c>
      <c r="H75" s="49">
        <f>'Avg Week Masaka-Ssembabule'!H75+'Avg Week Ssembabule-Masaka'!H75</f>
        <v>0</v>
      </c>
      <c r="I75" s="49">
        <f>'Avg Week Masaka-Ssembabule'!I75+'Avg Week Ssembabule-Masaka'!I75</f>
        <v>0.5</v>
      </c>
      <c r="J75" s="49">
        <f>'Avg Week Masaka-Ssembabule'!J75+'Avg Week Ssembabule-Masaka'!J75</f>
        <v>0.5</v>
      </c>
      <c r="K75" s="49">
        <f>'Avg Week Masaka-Ssembabule'!K75+'Avg Week Ssembabule-Masaka'!K75</f>
        <v>1</v>
      </c>
      <c r="L75" s="49">
        <f>'Avg Week Masaka-Ssembabule'!L75+'Avg Week Ssembabule-Masaka'!L75</f>
        <v>0</v>
      </c>
      <c r="M75" s="49">
        <f>'Avg Week Masaka-Ssembabule'!M75+'Avg Week Ssembabule-Masaka'!M75</f>
        <v>1.5</v>
      </c>
      <c r="N75" s="49">
        <f>'Avg Week Masaka-Ssembabule'!N75+'Avg Week Ssembabule-Masaka'!N75</f>
        <v>0</v>
      </c>
      <c r="O75" s="15">
        <f t="shared" si="35"/>
        <v>4</v>
      </c>
      <c r="P75" s="15">
        <f t="shared" si="36"/>
        <v>5.5</v>
      </c>
      <c r="R75" s="8"/>
      <c r="T75"/>
    </row>
    <row r="76" spans="2:20" ht="23.1" customHeight="1" x14ac:dyDescent="0.25">
      <c r="B76" s="23" t="s">
        <v>116</v>
      </c>
      <c r="C76" s="49">
        <f>'Avg Week Masaka-Ssembabule'!C76+'Avg Week Ssembabule-Masaka'!C76</f>
        <v>1</v>
      </c>
      <c r="D76" s="49">
        <f>'Avg Week Masaka-Ssembabule'!D76+'Avg Week Ssembabule-Masaka'!D76</f>
        <v>0.5</v>
      </c>
      <c r="E76" s="49">
        <f>'Avg Week Masaka-Ssembabule'!E76+'Avg Week Ssembabule-Masaka'!E76</f>
        <v>0</v>
      </c>
      <c r="F76" s="49">
        <f>'Avg Week Masaka-Ssembabule'!F76+'Avg Week Ssembabule-Masaka'!F76</f>
        <v>1</v>
      </c>
      <c r="G76" s="49">
        <f>'Avg Week Masaka-Ssembabule'!G76+'Avg Week Ssembabule-Masaka'!G76</f>
        <v>0</v>
      </c>
      <c r="H76" s="49">
        <f>'Avg Week Masaka-Ssembabule'!H76+'Avg Week Ssembabule-Masaka'!H76</f>
        <v>0</v>
      </c>
      <c r="I76" s="49">
        <f>'Avg Week Masaka-Ssembabule'!I76+'Avg Week Ssembabule-Masaka'!I76</f>
        <v>0</v>
      </c>
      <c r="J76" s="49">
        <f>'Avg Week Masaka-Ssembabule'!J76+'Avg Week Ssembabule-Masaka'!J76</f>
        <v>0.5</v>
      </c>
      <c r="K76" s="49">
        <f>'Avg Week Masaka-Ssembabule'!K76+'Avg Week Ssembabule-Masaka'!K76</f>
        <v>0</v>
      </c>
      <c r="L76" s="49">
        <f>'Avg Week Masaka-Ssembabule'!L76+'Avg Week Ssembabule-Masaka'!L76</f>
        <v>0</v>
      </c>
      <c r="M76" s="49">
        <f>'Avg Week Masaka-Ssembabule'!M76+'Avg Week Ssembabule-Masaka'!M76</f>
        <v>2</v>
      </c>
      <c r="N76" s="49">
        <f>'Avg Week Masaka-Ssembabule'!N76+'Avg Week Ssembabule-Masaka'!N76</f>
        <v>0</v>
      </c>
      <c r="O76" s="15">
        <f t="shared" si="35"/>
        <v>3</v>
      </c>
      <c r="P76" s="15">
        <f t="shared" si="36"/>
        <v>5</v>
      </c>
      <c r="R76" s="8"/>
      <c r="T76"/>
    </row>
    <row r="77" spans="2:20" ht="23.1" customHeight="1" x14ac:dyDescent="0.25">
      <c r="B77" s="23" t="s">
        <v>117</v>
      </c>
      <c r="C77" s="49">
        <f>'Avg Week Masaka-Ssembabule'!C77+'Avg Week Ssembabule-Masaka'!C77</f>
        <v>2</v>
      </c>
      <c r="D77" s="49">
        <f>'Avg Week Masaka-Ssembabule'!D77+'Avg Week Ssembabule-Masaka'!D77</f>
        <v>1</v>
      </c>
      <c r="E77" s="49">
        <f>'Avg Week Masaka-Ssembabule'!E77+'Avg Week Ssembabule-Masaka'!E77</f>
        <v>0</v>
      </c>
      <c r="F77" s="49">
        <f>'Avg Week Masaka-Ssembabule'!F77+'Avg Week Ssembabule-Masaka'!F77</f>
        <v>1.5</v>
      </c>
      <c r="G77" s="49">
        <f>'Avg Week Masaka-Ssembabule'!G77+'Avg Week Ssembabule-Masaka'!G77</f>
        <v>0</v>
      </c>
      <c r="H77" s="49">
        <f>'Avg Week Masaka-Ssembabule'!H77+'Avg Week Ssembabule-Masaka'!H77</f>
        <v>0</v>
      </c>
      <c r="I77" s="49">
        <f>'Avg Week Masaka-Ssembabule'!I77+'Avg Week Ssembabule-Masaka'!I77</f>
        <v>1</v>
      </c>
      <c r="J77" s="49">
        <f>'Avg Week Masaka-Ssembabule'!J77+'Avg Week Ssembabule-Masaka'!J77</f>
        <v>1</v>
      </c>
      <c r="K77" s="49">
        <f>'Avg Week Masaka-Ssembabule'!K77+'Avg Week Ssembabule-Masaka'!K77</f>
        <v>0</v>
      </c>
      <c r="L77" s="49">
        <f>'Avg Week Masaka-Ssembabule'!L77+'Avg Week Ssembabule-Masaka'!L77</f>
        <v>0</v>
      </c>
      <c r="M77" s="49">
        <f>'Avg Week Masaka-Ssembabule'!M77+'Avg Week Ssembabule-Masaka'!M77</f>
        <v>1</v>
      </c>
      <c r="N77" s="49">
        <f>'Avg Week Masaka-Ssembabule'!N77+'Avg Week Ssembabule-Masaka'!N77</f>
        <v>0</v>
      </c>
      <c r="O77" s="15">
        <f t="shared" si="35"/>
        <v>6.5</v>
      </c>
      <c r="P77" s="15">
        <f t="shared" si="36"/>
        <v>7.5</v>
      </c>
      <c r="R77" s="8"/>
      <c r="T77"/>
    </row>
    <row r="78" spans="2:20" ht="23.1" customHeight="1" x14ac:dyDescent="0.25">
      <c r="B78" s="24" t="s">
        <v>118</v>
      </c>
      <c r="C78" s="49">
        <f>'Avg Week Masaka-Ssembabule'!C78+'Avg Week Ssembabule-Masaka'!C78</f>
        <v>2</v>
      </c>
      <c r="D78" s="49">
        <f>'Avg Week Masaka-Ssembabule'!D78+'Avg Week Ssembabule-Masaka'!D78</f>
        <v>0.5</v>
      </c>
      <c r="E78" s="49">
        <f>'Avg Week Masaka-Ssembabule'!E78+'Avg Week Ssembabule-Masaka'!E78</f>
        <v>0.5</v>
      </c>
      <c r="F78" s="49">
        <f>'Avg Week Masaka-Ssembabule'!F78+'Avg Week Ssembabule-Masaka'!F78</f>
        <v>0</v>
      </c>
      <c r="G78" s="49">
        <f>'Avg Week Masaka-Ssembabule'!G78+'Avg Week Ssembabule-Masaka'!G78</f>
        <v>0</v>
      </c>
      <c r="H78" s="49">
        <f>'Avg Week Masaka-Ssembabule'!H78+'Avg Week Ssembabule-Masaka'!H78</f>
        <v>0</v>
      </c>
      <c r="I78" s="49">
        <f>'Avg Week Masaka-Ssembabule'!I78+'Avg Week Ssembabule-Masaka'!I78</f>
        <v>0</v>
      </c>
      <c r="J78" s="49">
        <f>'Avg Week Masaka-Ssembabule'!J78+'Avg Week Ssembabule-Masaka'!J78</f>
        <v>2</v>
      </c>
      <c r="K78" s="49">
        <f>'Avg Week Masaka-Ssembabule'!K78+'Avg Week Ssembabule-Masaka'!K78</f>
        <v>0</v>
      </c>
      <c r="L78" s="49">
        <f>'Avg Week Masaka-Ssembabule'!L78+'Avg Week Ssembabule-Masaka'!L78</f>
        <v>0</v>
      </c>
      <c r="M78" s="49">
        <f>'Avg Week Masaka-Ssembabule'!M78+'Avg Week Ssembabule-Masaka'!M78</f>
        <v>3</v>
      </c>
      <c r="N78" s="49">
        <f>'Avg Week Masaka-Ssembabule'!N78+'Avg Week Ssembabule-Masaka'!N78</f>
        <v>0</v>
      </c>
      <c r="O78" s="15">
        <f t="shared" si="35"/>
        <v>5</v>
      </c>
      <c r="P78" s="15">
        <f t="shared" si="36"/>
        <v>8</v>
      </c>
      <c r="R78" s="8"/>
      <c r="T78"/>
    </row>
    <row r="79" spans="2:20" ht="23.1" customHeight="1" x14ac:dyDescent="0.25">
      <c r="B79" s="23" t="s">
        <v>119</v>
      </c>
      <c r="C79" s="49">
        <f>'Avg Week Masaka-Ssembabule'!C79+'Avg Week Ssembabule-Masaka'!C79</f>
        <v>1.5</v>
      </c>
      <c r="D79" s="49">
        <f>'Avg Week Masaka-Ssembabule'!D79+'Avg Week Ssembabule-Masaka'!D79</f>
        <v>1.5</v>
      </c>
      <c r="E79" s="49">
        <f>'Avg Week Masaka-Ssembabule'!E79+'Avg Week Ssembabule-Masaka'!E79</f>
        <v>1</v>
      </c>
      <c r="F79" s="49">
        <f>'Avg Week Masaka-Ssembabule'!F79+'Avg Week Ssembabule-Masaka'!F79</f>
        <v>1</v>
      </c>
      <c r="G79" s="49">
        <f>'Avg Week Masaka-Ssembabule'!G79+'Avg Week Ssembabule-Masaka'!G79</f>
        <v>0</v>
      </c>
      <c r="H79" s="49">
        <f>'Avg Week Masaka-Ssembabule'!H79+'Avg Week Ssembabule-Masaka'!H79</f>
        <v>0</v>
      </c>
      <c r="I79" s="49">
        <f>'Avg Week Masaka-Ssembabule'!I79+'Avg Week Ssembabule-Masaka'!I79</f>
        <v>2.5</v>
      </c>
      <c r="J79" s="49">
        <f>'Avg Week Masaka-Ssembabule'!J79+'Avg Week Ssembabule-Masaka'!J79</f>
        <v>1</v>
      </c>
      <c r="K79" s="49">
        <f>'Avg Week Masaka-Ssembabule'!K79+'Avg Week Ssembabule-Masaka'!K79</f>
        <v>0</v>
      </c>
      <c r="L79" s="49">
        <f>'Avg Week Masaka-Ssembabule'!L79+'Avg Week Ssembabule-Masaka'!L79</f>
        <v>0</v>
      </c>
      <c r="M79" s="49">
        <f>'Avg Week Masaka-Ssembabule'!M79+'Avg Week Ssembabule-Masaka'!M79</f>
        <v>2.5</v>
      </c>
      <c r="N79" s="49">
        <f>'Avg Week Masaka-Ssembabule'!N79+'Avg Week Ssembabule-Masaka'!N79</f>
        <v>0</v>
      </c>
      <c r="O79" s="15">
        <f t="shared" si="35"/>
        <v>8.5</v>
      </c>
      <c r="P79" s="15">
        <f t="shared" si="36"/>
        <v>11</v>
      </c>
      <c r="R79" s="8"/>
      <c r="T79"/>
    </row>
    <row r="80" spans="2:20" ht="23.1" customHeight="1" x14ac:dyDescent="0.25">
      <c r="B80" s="25" t="s">
        <v>120</v>
      </c>
      <c r="C80" s="49">
        <f>'Avg Week Masaka-Ssembabule'!C80+'Avg Week Ssembabule-Masaka'!C80</f>
        <v>1.5</v>
      </c>
      <c r="D80" s="49">
        <f>'Avg Week Masaka-Ssembabule'!D80+'Avg Week Ssembabule-Masaka'!D80</f>
        <v>0.5</v>
      </c>
      <c r="E80" s="49">
        <f>'Avg Week Masaka-Ssembabule'!E80+'Avg Week Ssembabule-Masaka'!E80</f>
        <v>1.5</v>
      </c>
      <c r="F80" s="49">
        <f>'Avg Week Masaka-Ssembabule'!F80+'Avg Week Ssembabule-Masaka'!F80</f>
        <v>0</v>
      </c>
      <c r="G80" s="49">
        <f>'Avg Week Masaka-Ssembabule'!G80+'Avg Week Ssembabule-Masaka'!G80</f>
        <v>0</v>
      </c>
      <c r="H80" s="49">
        <f>'Avg Week Masaka-Ssembabule'!H80+'Avg Week Ssembabule-Masaka'!H80</f>
        <v>0</v>
      </c>
      <c r="I80" s="49">
        <f>'Avg Week Masaka-Ssembabule'!I80+'Avg Week Ssembabule-Masaka'!I80</f>
        <v>0.5</v>
      </c>
      <c r="J80" s="49">
        <f>'Avg Week Masaka-Ssembabule'!J80+'Avg Week Ssembabule-Masaka'!J80</f>
        <v>2.5</v>
      </c>
      <c r="K80" s="49">
        <f>'Avg Week Masaka-Ssembabule'!K80+'Avg Week Ssembabule-Masaka'!K80</f>
        <v>0</v>
      </c>
      <c r="L80" s="49">
        <f>'Avg Week Masaka-Ssembabule'!L80+'Avg Week Ssembabule-Masaka'!L80</f>
        <v>0</v>
      </c>
      <c r="M80" s="49">
        <f>'Avg Week Masaka-Ssembabule'!M80+'Avg Week Ssembabule-Masaka'!M80</f>
        <v>1</v>
      </c>
      <c r="N80" s="49">
        <f>'Avg Week Masaka-Ssembabule'!N80+'Avg Week Ssembabule-Masaka'!N80</f>
        <v>0</v>
      </c>
      <c r="O80" s="15">
        <f t="shared" si="35"/>
        <v>6.5</v>
      </c>
      <c r="P80" s="15">
        <f t="shared" si="36"/>
        <v>7.5</v>
      </c>
      <c r="R80" s="8"/>
      <c r="T80"/>
    </row>
    <row r="81" spans="2:20" ht="23.1" customHeight="1" x14ac:dyDescent="0.25">
      <c r="B81" s="23" t="s">
        <v>121</v>
      </c>
      <c r="C81" s="49">
        <f>'Avg Week Masaka-Ssembabule'!C81+'Avg Week Ssembabule-Masaka'!C81</f>
        <v>1</v>
      </c>
      <c r="D81" s="49">
        <f>'Avg Week Masaka-Ssembabule'!D81+'Avg Week Ssembabule-Masaka'!D81</f>
        <v>0</v>
      </c>
      <c r="E81" s="49">
        <f>'Avg Week Masaka-Ssembabule'!E81+'Avg Week Ssembabule-Masaka'!E81</f>
        <v>0</v>
      </c>
      <c r="F81" s="49">
        <f>'Avg Week Masaka-Ssembabule'!F81+'Avg Week Ssembabule-Masaka'!F81</f>
        <v>0</v>
      </c>
      <c r="G81" s="49">
        <f>'Avg Week Masaka-Ssembabule'!G81+'Avg Week Ssembabule-Masaka'!G81</f>
        <v>0</v>
      </c>
      <c r="H81" s="49">
        <f>'Avg Week Masaka-Ssembabule'!H81+'Avg Week Ssembabule-Masaka'!H81</f>
        <v>0</v>
      </c>
      <c r="I81" s="49">
        <f>'Avg Week Masaka-Ssembabule'!I81+'Avg Week Ssembabule-Masaka'!I81</f>
        <v>0</v>
      </c>
      <c r="J81" s="49">
        <f>'Avg Week Masaka-Ssembabule'!J81+'Avg Week Ssembabule-Masaka'!J81</f>
        <v>0.5</v>
      </c>
      <c r="K81" s="49">
        <f>'Avg Week Masaka-Ssembabule'!K81+'Avg Week Ssembabule-Masaka'!K81</f>
        <v>0.5</v>
      </c>
      <c r="L81" s="49">
        <f>'Avg Week Masaka-Ssembabule'!L81+'Avg Week Ssembabule-Masaka'!L81</f>
        <v>0</v>
      </c>
      <c r="M81" s="49">
        <f>'Avg Week Masaka-Ssembabule'!M81+'Avg Week Ssembabule-Masaka'!M81</f>
        <v>1</v>
      </c>
      <c r="N81" s="49">
        <f>'Avg Week Masaka-Ssembabule'!N81+'Avg Week Ssembabule-Masaka'!N81</f>
        <v>0</v>
      </c>
      <c r="O81" s="15">
        <f t="shared" si="35"/>
        <v>2</v>
      </c>
      <c r="P81" s="15">
        <f t="shared" si="36"/>
        <v>3</v>
      </c>
      <c r="R81" s="8"/>
      <c r="T81"/>
    </row>
    <row r="82" spans="2:20" ht="23.1" customHeight="1" x14ac:dyDescent="0.25">
      <c r="B82" s="24" t="s">
        <v>122</v>
      </c>
      <c r="C82" s="49">
        <f>'Avg Week Masaka-Ssembabule'!C82+'Avg Week Ssembabule-Masaka'!C82</f>
        <v>0</v>
      </c>
      <c r="D82" s="49">
        <f>'Avg Week Masaka-Ssembabule'!D82+'Avg Week Ssembabule-Masaka'!D82</f>
        <v>0</v>
      </c>
      <c r="E82" s="49">
        <f>'Avg Week Masaka-Ssembabule'!E82+'Avg Week Ssembabule-Masaka'!E82</f>
        <v>1</v>
      </c>
      <c r="F82" s="49">
        <f>'Avg Week Masaka-Ssembabule'!F82+'Avg Week Ssembabule-Masaka'!F82</f>
        <v>0</v>
      </c>
      <c r="G82" s="49">
        <f>'Avg Week Masaka-Ssembabule'!G82+'Avg Week Ssembabule-Masaka'!G82</f>
        <v>0.5</v>
      </c>
      <c r="H82" s="49">
        <f>'Avg Week Masaka-Ssembabule'!H82+'Avg Week Ssembabule-Masaka'!H82</f>
        <v>0</v>
      </c>
      <c r="I82" s="49">
        <f>'Avg Week Masaka-Ssembabule'!I82+'Avg Week Ssembabule-Masaka'!I82</f>
        <v>0</v>
      </c>
      <c r="J82" s="49">
        <f>'Avg Week Masaka-Ssembabule'!J82+'Avg Week Ssembabule-Masaka'!J82</f>
        <v>1</v>
      </c>
      <c r="K82" s="49">
        <f>'Avg Week Masaka-Ssembabule'!K82+'Avg Week Ssembabule-Masaka'!K82</f>
        <v>0.5</v>
      </c>
      <c r="L82" s="49">
        <f>'Avg Week Masaka-Ssembabule'!L82+'Avg Week Ssembabule-Masaka'!L82</f>
        <v>0</v>
      </c>
      <c r="M82" s="49">
        <f>'Avg Week Masaka-Ssembabule'!M82+'Avg Week Ssembabule-Masaka'!M82</f>
        <v>1</v>
      </c>
      <c r="N82" s="49">
        <f>'Avg Week Masaka-Ssembabule'!N82+'Avg Week Ssembabule-Masaka'!N82</f>
        <v>0</v>
      </c>
      <c r="O82" s="15">
        <f t="shared" si="35"/>
        <v>3</v>
      </c>
      <c r="P82" s="15">
        <f t="shared" si="36"/>
        <v>4</v>
      </c>
      <c r="R82" s="8"/>
      <c r="T82"/>
    </row>
    <row r="83" spans="2:20" ht="23.1" customHeight="1" x14ac:dyDescent="0.25">
      <c r="B83" s="23" t="s">
        <v>123</v>
      </c>
      <c r="C83" s="49">
        <f>'Avg Week Masaka-Ssembabule'!C83+'Avg Week Ssembabule-Masaka'!C83</f>
        <v>0.5</v>
      </c>
      <c r="D83" s="49">
        <f>'Avg Week Masaka-Ssembabule'!D83+'Avg Week Ssembabule-Masaka'!D83</f>
        <v>0</v>
      </c>
      <c r="E83" s="49">
        <f>'Avg Week Masaka-Ssembabule'!E83+'Avg Week Ssembabule-Masaka'!E83</f>
        <v>0</v>
      </c>
      <c r="F83" s="49">
        <f>'Avg Week Masaka-Ssembabule'!F83+'Avg Week Ssembabule-Masaka'!F83</f>
        <v>0</v>
      </c>
      <c r="G83" s="49">
        <f>'Avg Week Masaka-Ssembabule'!G83+'Avg Week Ssembabule-Masaka'!G83</f>
        <v>0</v>
      </c>
      <c r="H83" s="49">
        <f>'Avg Week Masaka-Ssembabule'!H83+'Avg Week Ssembabule-Masaka'!H83</f>
        <v>0</v>
      </c>
      <c r="I83" s="49">
        <f>'Avg Week Masaka-Ssembabule'!I83+'Avg Week Ssembabule-Masaka'!I83</f>
        <v>0.5</v>
      </c>
      <c r="J83" s="49">
        <f>'Avg Week Masaka-Ssembabule'!J83+'Avg Week Ssembabule-Masaka'!J83</f>
        <v>1</v>
      </c>
      <c r="K83" s="49">
        <f>'Avg Week Masaka-Ssembabule'!K83+'Avg Week Ssembabule-Masaka'!K83</f>
        <v>0</v>
      </c>
      <c r="L83" s="49">
        <f>'Avg Week Masaka-Ssembabule'!L83+'Avg Week Ssembabule-Masaka'!L83</f>
        <v>0</v>
      </c>
      <c r="M83" s="49">
        <f>'Avg Week Masaka-Ssembabule'!M83+'Avg Week Ssembabule-Masaka'!M83</f>
        <v>1</v>
      </c>
      <c r="N83" s="49">
        <f>'Avg Week Masaka-Ssembabule'!N83+'Avg Week Ssembabule-Masaka'!N83</f>
        <v>0</v>
      </c>
      <c r="O83" s="15">
        <f t="shared" si="35"/>
        <v>2</v>
      </c>
      <c r="P83" s="15">
        <f t="shared" si="36"/>
        <v>3</v>
      </c>
      <c r="R83" s="8"/>
      <c r="T83"/>
    </row>
    <row r="84" spans="2:20" ht="23.1" customHeight="1" x14ac:dyDescent="0.25">
      <c r="B84" s="25" t="s">
        <v>124</v>
      </c>
      <c r="C84" s="49">
        <f>'Avg Week Masaka-Ssembabule'!C84+'Avg Week Ssembabule-Masaka'!C84</f>
        <v>0</v>
      </c>
      <c r="D84" s="49">
        <f>'Avg Week Masaka-Ssembabule'!D84+'Avg Week Ssembabule-Masaka'!D84</f>
        <v>0</v>
      </c>
      <c r="E84" s="49">
        <f>'Avg Week Masaka-Ssembabule'!E84+'Avg Week Ssembabule-Masaka'!E84</f>
        <v>0</v>
      </c>
      <c r="F84" s="49">
        <f>'Avg Week Masaka-Ssembabule'!F84+'Avg Week Ssembabule-Masaka'!F84</f>
        <v>0</v>
      </c>
      <c r="G84" s="49">
        <f>'Avg Week Masaka-Ssembabule'!G84+'Avg Week Ssembabule-Masaka'!G84</f>
        <v>0</v>
      </c>
      <c r="H84" s="49">
        <f>'Avg Week Masaka-Ssembabule'!H84+'Avg Week Ssembabule-Masaka'!H84</f>
        <v>0</v>
      </c>
      <c r="I84" s="49">
        <f>'Avg Week Masaka-Ssembabule'!I84+'Avg Week Ssembabule-Masaka'!I84</f>
        <v>0.5</v>
      </c>
      <c r="J84" s="49">
        <f>'Avg Week Masaka-Ssembabule'!J84+'Avg Week Ssembabule-Masaka'!J84</f>
        <v>1</v>
      </c>
      <c r="K84" s="49">
        <f>'Avg Week Masaka-Ssembabule'!K84+'Avg Week Ssembabule-Masaka'!K84</f>
        <v>0</v>
      </c>
      <c r="L84" s="49">
        <f>'Avg Week Masaka-Ssembabule'!L84+'Avg Week Ssembabule-Masaka'!L84</f>
        <v>0</v>
      </c>
      <c r="M84" s="49">
        <f>'Avg Week Masaka-Ssembabule'!M84+'Avg Week Ssembabule-Masaka'!M84</f>
        <v>0.5</v>
      </c>
      <c r="N84" s="49">
        <f>'Avg Week Masaka-Ssembabule'!N84+'Avg Week Ssembabule-Masaka'!N84</f>
        <v>0</v>
      </c>
      <c r="O84" s="15">
        <f t="shared" si="35"/>
        <v>1.5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'Avg Week Masaka-Ssembabule'!C85+'Avg Week Ssembabule-Masaka'!C85</f>
        <v>1</v>
      </c>
      <c r="D85" s="49">
        <f>'Avg Week Masaka-Ssembabule'!D85+'Avg Week Ssembabule-Masaka'!D85</f>
        <v>0</v>
      </c>
      <c r="E85" s="49">
        <f>'Avg Week Masaka-Ssembabule'!E85+'Avg Week Ssembabule-Masaka'!E85</f>
        <v>0</v>
      </c>
      <c r="F85" s="49">
        <f>'Avg Week Masaka-Ssembabule'!F85+'Avg Week Ssembabule-Masaka'!F85</f>
        <v>0</v>
      </c>
      <c r="G85" s="49">
        <f>'Avg Week Masaka-Ssembabule'!G85+'Avg Week Ssembabule-Masaka'!G85</f>
        <v>0</v>
      </c>
      <c r="H85" s="49">
        <f>'Avg Week Masaka-Ssembabule'!H85+'Avg Week Ssembabule-Masaka'!H85</f>
        <v>0</v>
      </c>
      <c r="I85" s="49">
        <f>'Avg Week Masaka-Ssembabule'!I85+'Avg Week Ssembabule-Masaka'!I85</f>
        <v>1.5</v>
      </c>
      <c r="J85" s="49">
        <f>'Avg Week Masaka-Ssembabule'!J85+'Avg Week Ssembabule-Masaka'!J85</f>
        <v>1.5</v>
      </c>
      <c r="K85" s="49">
        <f>'Avg Week Masaka-Ssembabule'!K85+'Avg Week Ssembabule-Masaka'!K85</f>
        <v>0.5</v>
      </c>
      <c r="L85" s="49">
        <f>'Avg Week Masaka-Ssembabule'!L85+'Avg Week Ssembabule-Masaka'!L85</f>
        <v>0.5</v>
      </c>
      <c r="M85" s="49">
        <f>'Avg Week Masaka-Ssembabule'!M85+'Avg Week Ssembabule-Masaka'!M85</f>
        <v>0</v>
      </c>
      <c r="N85" s="49">
        <f>'Avg Week Masaka-Ssembabule'!N85+'Avg Week Ssembabule-Masaka'!N85</f>
        <v>0</v>
      </c>
      <c r="O85" s="15">
        <f t="shared" si="35"/>
        <v>5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'Avg Week Masaka-Ssembabule'!C86+'Avg Week Ssembabule-Masaka'!C86</f>
        <v>0</v>
      </c>
      <c r="D86" s="49">
        <f>'Avg Week Masaka-Ssembabule'!D86+'Avg Week Ssembabule-Masaka'!D86</f>
        <v>0</v>
      </c>
      <c r="E86" s="49">
        <f>'Avg Week Masaka-Ssembabule'!E86+'Avg Week Ssembabule-Masaka'!E86</f>
        <v>0</v>
      </c>
      <c r="F86" s="49">
        <f>'Avg Week Masaka-Ssembabule'!F86+'Avg Week Ssembabule-Masaka'!F86</f>
        <v>0</v>
      </c>
      <c r="G86" s="49">
        <f>'Avg Week Masaka-Ssembabule'!G86+'Avg Week Ssembabule-Masaka'!G86</f>
        <v>0</v>
      </c>
      <c r="H86" s="49">
        <f>'Avg Week Masaka-Ssembabule'!H86+'Avg Week Ssembabule-Masaka'!H86</f>
        <v>0</v>
      </c>
      <c r="I86" s="49">
        <f>'Avg Week Masaka-Ssembabule'!I86+'Avg Week Ssembabule-Masaka'!I86</f>
        <v>0.5</v>
      </c>
      <c r="J86" s="49">
        <f>'Avg Week Masaka-Ssembabule'!J86+'Avg Week Ssembabule-Masaka'!J86</f>
        <v>0</v>
      </c>
      <c r="K86" s="49">
        <f>'Avg Week Masaka-Ssembabule'!K86+'Avg Week Ssembabule-Masaka'!K86</f>
        <v>0</v>
      </c>
      <c r="L86" s="49">
        <f>'Avg Week Masaka-Ssembabule'!L86+'Avg Week Ssembabule-Masaka'!L86</f>
        <v>0.5</v>
      </c>
      <c r="M86" s="49">
        <f>'Avg Week Masaka-Ssembabule'!M86+'Avg Week Ssembabule-Masaka'!M86</f>
        <v>0</v>
      </c>
      <c r="N86" s="49">
        <f>'Avg Week Masaka-Ssembabule'!N86+'Avg Week Ssembabule-Masaka'!N86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'Avg Week Masaka-Ssembabule'!C87+'Avg Week Ssembabule-Masaka'!C87</f>
        <v>1</v>
      </c>
      <c r="D87" s="49">
        <f>'Avg Week Masaka-Ssembabule'!D87+'Avg Week Ssembabule-Masaka'!D87</f>
        <v>0</v>
      </c>
      <c r="E87" s="49">
        <f>'Avg Week Masaka-Ssembabule'!E87+'Avg Week Ssembabule-Masaka'!E87</f>
        <v>0.5</v>
      </c>
      <c r="F87" s="49">
        <f>'Avg Week Masaka-Ssembabule'!F87+'Avg Week Ssembabule-Masaka'!F87</f>
        <v>0</v>
      </c>
      <c r="G87" s="49">
        <f>'Avg Week Masaka-Ssembabule'!G87+'Avg Week Ssembabule-Masaka'!G87</f>
        <v>0</v>
      </c>
      <c r="H87" s="49">
        <f>'Avg Week Masaka-Ssembabule'!H87+'Avg Week Ssembabule-Masaka'!H87</f>
        <v>0</v>
      </c>
      <c r="I87" s="49">
        <f>'Avg Week Masaka-Ssembabule'!I87+'Avg Week Ssembabule-Masaka'!I87</f>
        <v>0.5</v>
      </c>
      <c r="J87" s="49">
        <f>'Avg Week Masaka-Ssembabule'!J87+'Avg Week Ssembabule-Masaka'!J87</f>
        <v>1</v>
      </c>
      <c r="K87" s="49">
        <f>'Avg Week Masaka-Ssembabule'!K87+'Avg Week Ssembabule-Masaka'!K87</f>
        <v>0</v>
      </c>
      <c r="L87" s="49">
        <f>'Avg Week Masaka-Ssembabule'!L87+'Avg Week Ssembabule-Masaka'!L87</f>
        <v>0</v>
      </c>
      <c r="M87" s="49">
        <f>'Avg Week Masaka-Ssembabule'!M87+'Avg Week Ssembabule-Masaka'!M87</f>
        <v>0</v>
      </c>
      <c r="N87" s="49">
        <f>'Avg Week Masaka-Ssembabule'!N87+'Avg Week Ssembabule-Masaka'!N87</f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25" t="s">
        <v>128</v>
      </c>
      <c r="C88" s="49">
        <f>'Avg Week Masaka-Ssembabule'!C88+'Avg Week Ssembabule-Masaka'!C88</f>
        <v>0</v>
      </c>
      <c r="D88" s="49">
        <f>'Avg Week Masaka-Ssembabule'!D88+'Avg Week Ssembabule-Masaka'!D88</f>
        <v>0.5</v>
      </c>
      <c r="E88" s="49">
        <f>'Avg Week Masaka-Ssembabule'!E88+'Avg Week Ssembabule-Masaka'!E88</f>
        <v>0</v>
      </c>
      <c r="F88" s="49">
        <f>'Avg Week Masaka-Ssembabule'!F88+'Avg Week Ssembabule-Masaka'!F88</f>
        <v>0</v>
      </c>
      <c r="G88" s="49">
        <f>'Avg Week Masaka-Ssembabule'!G88+'Avg Week Ssembabule-Masaka'!G88</f>
        <v>0</v>
      </c>
      <c r="H88" s="49">
        <f>'Avg Week Masaka-Ssembabule'!H88+'Avg Week Ssembabule-Masaka'!H88</f>
        <v>0</v>
      </c>
      <c r="I88" s="49">
        <f>'Avg Week Masaka-Ssembabule'!I88+'Avg Week Ssembabule-Masaka'!I88</f>
        <v>2</v>
      </c>
      <c r="J88" s="49">
        <f>'Avg Week Masaka-Ssembabule'!J88+'Avg Week Ssembabule-Masaka'!J88</f>
        <v>2</v>
      </c>
      <c r="K88" s="49">
        <f>'Avg Week Masaka-Ssembabule'!K88+'Avg Week Ssembabule-Masaka'!K88</f>
        <v>0.5</v>
      </c>
      <c r="L88" s="49">
        <f>'Avg Week Masaka-Ssembabule'!L88+'Avg Week Ssembabule-Masaka'!L88</f>
        <v>0</v>
      </c>
      <c r="M88" s="49">
        <f>'Avg Week Masaka-Ssembabule'!M88+'Avg Week Ssembabule-Masaka'!M88</f>
        <v>0</v>
      </c>
      <c r="N88" s="49">
        <f>'Avg Week Masaka-Ssembabule'!N88+'Avg Week Ssembabule-Masaka'!N88</f>
        <v>0</v>
      </c>
      <c r="O88" s="15">
        <f t="shared" si="35"/>
        <v>5</v>
      </c>
      <c r="P88" s="15">
        <f t="shared" si="36"/>
        <v>5</v>
      </c>
      <c r="R88" s="8"/>
      <c r="T88"/>
    </row>
    <row r="89" spans="2:20" ht="23.1" customHeight="1" x14ac:dyDescent="0.25">
      <c r="B89" s="23" t="s">
        <v>129</v>
      </c>
      <c r="C89" s="49">
        <f>'Avg Week Masaka-Ssembabule'!C89+'Avg Week Ssembabule-Masaka'!C89</f>
        <v>1</v>
      </c>
      <c r="D89" s="49">
        <f>'Avg Week Masaka-Ssembabule'!D89+'Avg Week Ssembabule-Masaka'!D89</f>
        <v>0</v>
      </c>
      <c r="E89" s="49">
        <f>'Avg Week Masaka-Ssembabule'!E89+'Avg Week Ssembabule-Masaka'!E89</f>
        <v>1</v>
      </c>
      <c r="F89" s="49">
        <f>'Avg Week Masaka-Ssembabule'!F89+'Avg Week Ssembabule-Masaka'!F89</f>
        <v>1</v>
      </c>
      <c r="G89" s="49">
        <f>'Avg Week Masaka-Ssembabule'!G89+'Avg Week Ssembabule-Masaka'!G89</f>
        <v>0</v>
      </c>
      <c r="H89" s="49">
        <f>'Avg Week Masaka-Ssembabule'!H89+'Avg Week Ssembabule-Masaka'!H89</f>
        <v>0</v>
      </c>
      <c r="I89" s="49">
        <f>'Avg Week Masaka-Ssembabule'!I89+'Avg Week Ssembabule-Masaka'!I89</f>
        <v>1</v>
      </c>
      <c r="J89" s="49">
        <f>'Avg Week Masaka-Ssembabule'!J89+'Avg Week Ssembabule-Masaka'!J89</f>
        <v>0.5</v>
      </c>
      <c r="K89" s="49">
        <f>'Avg Week Masaka-Ssembabule'!K89+'Avg Week Ssembabule-Masaka'!K89</f>
        <v>0</v>
      </c>
      <c r="L89" s="49">
        <f>'Avg Week Masaka-Ssembabule'!L89+'Avg Week Ssembabule-Masaka'!L89</f>
        <v>0</v>
      </c>
      <c r="M89" s="49">
        <f>'Avg Week Masaka-Ssembabule'!M89+'Avg Week Ssembabule-Masaka'!M89</f>
        <v>0</v>
      </c>
      <c r="N89" s="49">
        <f>'Avg Week Masaka-Ssembabule'!N89+'Avg Week Ssembabule-Masaka'!N89</f>
        <v>0</v>
      </c>
      <c r="O89" s="15">
        <f t="shared" si="35"/>
        <v>4.5</v>
      </c>
      <c r="P89" s="15">
        <f t="shared" si="36"/>
        <v>4.5</v>
      </c>
      <c r="R89" s="8"/>
      <c r="T89"/>
    </row>
    <row r="90" spans="2:20" ht="23.1" customHeight="1" x14ac:dyDescent="0.25">
      <c r="B90" s="24" t="s">
        <v>130</v>
      </c>
      <c r="C90" s="49">
        <f>'Avg Week Masaka-Ssembabule'!C90+'Avg Week Ssembabule-Masaka'!C90</f>
        <v>0.5</v>
      </c>
      <c r="D90" s="49">
        <f>'Avg Week Masaka-Ssembabule'!D90+'Avg Week Ssembabule-Masaka'!D90</f>
        <v>0</v>
      </c>
      <c r="E90" s="49">
        <f>'Avg Week Masaka-Ssembabule'!E90+'Avg Week Ssembabule-Masaka'!E90</f>
        <v>0.5</v>
      </c>
      <c r="F90" s="49">
        <f>'Avg Week Masaka-Ssembabule'!F90+'Avg Week Ssembabule-Masaka'!F90</f>
        <v>0</v>
      </c>
      <c r="G90" s="49">
        <f>'Avg Week Masaka-Ssembabule'!G90+'Avg Week Ssembabule-Masaka'!G90</f>
        <v>0</v>
      </c>
      <c r="H90" s="49">
        <f>'Avg Week Masaka-Ssembabule'!H90+'Avg Week Ssembabule-Masaka'!H90</f>
        <v>0</v>
      </c>
      <c r="I90" s="49">
        <f>'Avg Week Masaka-Ssembabule'!I90+'Avg Week Ssembabule-Masaka'!I90</f>
        <v>1</v>
      </c>
      <c r="J90" s="49">
        <f>'Avg Week Masaka-Ssembabule'!J90+'Avg Week Ssembabule-Masaka'!J90</f>
        <v>0.5</v>
      </c>
      <c r="K90" s="49">
        <f>'Avg Week Masaka-Ssembabule'!K90+'Avg Week Ssembabule-Masaka'!K90</f>
        <v>0</v>
      </c>
      <c r="L90" s="49">
        <f>'Avg Week Masaka-Ssembabule'!L90+'Avg Week Ssembabule-Masaka'!L90</f>
        <v>0</v>
      </c>
      <c r="M90" s="49">
        <f>'Avg Week Masaka-Ssembabule'!M90+'Avg Week Ssembabule-Masaka'!M90</f>
        <v>0</v>
      </c>
      <c r="N90" s="49">
        <f>'Avg Week Masaka-Ssembabule'!N90+'Avg Week Ssembabule-Masaka'!N90</f>
        <v>0</v>
      </c>
      <c r="O90" s="15">
        <f t="shared" si="35"/>
        <v>2.5</v>
      </c>
      <c r="P90" s="15">
        <f t="shared" si="36"/>
        <v>2.5</v>
      </c>
      <c r="R90" s="8"/>
      <c r="T90"/>
    </row>
    <row r="91" spans="2:20" ht="23.1" customHeight="1" x14ac:dyDescent="0.25">
      <c r="B91" s="23" t="s">
        <v>131</v>
      </c>
      <c r="C91" s="49">
        <f>'Avg Week Masaka-Ssembabule'!C91+'Avg Week Ssembabule-Masaka'!C91</f>
        <v>1.5</v>
      </c>
      <c r="D91" s="49">
        <f>'Avg Week Masaka-Ssembabule'!D91+'Avg Week Ssembabule-Masaka'!D91</f>
        <v>0</v>
      </c>
      <c r="E91" s="49">
        <f>'Avg Week Masaka-Ssembabule'!E91+'Avg Week Ssembabule-Masaka'!E91</f>
        <v>0.5</v>
      </c>
      <c r="F91" s="49">
        <f>'Avg Week Masaka-Ssembabule'!F91+'Avg Week Ssembabule-Masaka'!F91</f>
        <v>0</v>
      </c>
      <c r="G91" s="49">
        <f>'Avg Week Masaka-Ssembabule'!G91+'Avg Week Ssembabule-Masaka'!G91</f>
        <v>0</v>
      </c>
      <c r="H91" s="49">
        <f>'Avg Week Masaka-Ssembabule'!H91+'Avg Week Ssembabule-Masaka'!H91</f>
        <v>0</v>
      </c>
      <c r="I91" s="49">
        <f>'Avg Week Masaka-Ssembabule'!I91+'Avg Week Ssembabule-Masaka'!I91</f>
        <v>0</v>
      </c>
      <c r="J91" s="49">
        <f>'Avg Week Masaka-Ssembabule'!J91+'Avg Week Ssembabule-Masaka'!J91</f>
        <v>0</v>
      </c>
      <c r="K91" s="49">
        <f>'Avg Week Masaka-Ssembabule'!K91+'Avg Week Ssembabule-Masaka'!K91</f>
        <v>0</v>
      </c>
      <c r="L91" s="49">
        <f>'Avg Week Masaka-Ssembabule'!L91+'Avg Week Ssembabule-Masaka'!L91</f>
        <v>0</v>
      </c>
      <c r="M91" s="49">
        <f>'Avg Week Masaka-Ssembabule'!M91+'Avg Week Ssembabule-Masaka'!M91</f>
        <v>1</v>
      </c>
      <c r="N91" s="49">
        <f>'Avg Week Masaka-Ssembabule'!N91+'Avg Week Ssembabule-Masaka'!N91</f>
        <v>0</v>
      </c>
      <c r="O91" s="15">
        <f t="shared" si="35"/>
        <v>2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'Avg Week Masaka-Ssembabule'!C92+'Avg Week Ssembabule-Masaka'!C92</f>
        <v>1</v>
      </c>
      <c r="D92" s="49">
        <f>'Avg Week Masaka-Ssembabule'!D92+'Avg Week Ssembabule-Masaka'!D92</f>
        <v>0.5</v>
      </c>
      <c r="E92" s="49">
        <f>'Avg Week Masaka-Ssembabule'!E92+'Avg Week Ssembabule-Masaka'!E92</f>
        <v>0</v>
      </c>
      <c r="F92" s="49">
        <f>'Avg Week Masaka-Ssembabule'!F92+'Avg Week Ssembabule-Masaka'!F92</f>
        <v>0</v>
      </c>
      <c r="G92" s="49">
        <f>'Avg Week Masaka-Ssembabule'!G92+'Avg Week Ssembabule-Masaka'!G92</f>
        <v>0</v>
      </c>
      <c r="H92" s="49">
        <f>'Avg Week Masaka-Ssembabule'!H92+'Avg Week Ssembabule-Masaka'!H92</f>
        <v>0</v>
      </c>
      <c r="I92" s="49">
        <f>'Avg Week Masaka-Ssembabule'!I92+'Avg Week Ssembabule-Masaka'!I92</f>
        <v>0</v>
      </c>
      <c r="J92" s="49">
        <f>'Avg Week Masaka-Ssembabule'!J92+'Avg Week Ssembabule-Masaka'!J92</f>
        <v>2</v>
      </c>
      <c r="K92" s="49">
        <f>'Avg Week Masaka-Ssembabule'!K92+'Avg Week Ssembabule-Masaka'!K92</f>
        <v>0</v>
      </c>
      <c r="L92" s="49">
        <f>'Avg Week Masaka-Ssembabule'!L92+'Avg Week Ssembabule-Masaka'!L92</f>
        <v>0</v>
      </c>
      <c r="M92" s="49">
        <f>'Avg Week Masaka-Ssembabule'!M92+'Avg Week Ssembabule-Masaka'!M92</f>
        <v>0</v>
      </c>
      <c r="N92" s="49">
        <f>'Avg Week Masaka-Ssembabule'!N92+'Avg Week Ssembabule-Masaka'!N92</f>
        <v>0</v>
      </c>
      <c r="O92" s="15">
        <f t="shared" si="35"/>
        <v>3.5</v>
      </c>
      <c r="P92" s="15">
        <f t="shared" si="36"/>
        <v>3.5</v>
      </c>
      <c r="R92" s="8"/>
      <c r="T92"/>
    </row>
    <row r="93" spans="2:20" ht="23.1" customHeight="1" x14ac:dyDescent="0.25">
      <c r="B93" s="23" t="s">
        <v>133</v>
      </c>
      <c r="C93" s="49">
        <f>'Avg Week Masaka-Ssembabule'!C93+'Avg Week Ssembabule-Masaka'!C93</f>
        <v>0.5</v>
      </c>
      <c r="D93" s="49">
        <f>'Avg Week Masaka-Ssembabule'!D93+'Avg Week Ssembabule-Masaka'!D93</f>
        <v>0</v>
      </c>
      <c r="E93" s="49">
        <f>'Avg Week Masaka-Ssembabule'!E93+'Avg Week Ssembabule-Masaka'!E93</f>
        <v>0</v>
      </c>
      <c r="F93" s="49">
        <f>'Avg Week Masaka-Ssembabule'!F93+'Avg Week Ssembabule-Masaka'!F93</f>
        <v>0</v>
      </c>
      <c r="G93" s="49">
        <f>'Avg Week Masaka-Ssembabule'!G93+'Avg Week Ssembabule-Masaka'!G93</f>
        <v>0</v>
      </c>
      <c r="H93" s="49">
        <f>'Avg Week Masaka-Ssembabule'!H93+'Avg Week Ssembabule-Masaka'!H93</f>
        <v>0</v>
      </c>
      <c r="I93" s="49">
        <f>'Avg Week Masaka-Ssembabule'!I93+'Avg Week Ssembabule-Masaka'!I93</f>
        <v>0</v>
      </c>
      <c r="J93" s="49">
        <f>'Avg Week Masaka-Ssembabule'!J93+'Avg Week Ssembabule-Masaka'!J93</f>
        <v>1</v>
      </c>
      <c r="K93" s="49">
        <f>'Avg Week Masaka-Ssembabule'!K93+'Avg Week Ssembabule-Masaka'!K93</f>
        <v>1</v>
      </c>
      <c r="L93" s="49">
        <f>'Avg Week Masaka-Ssembabule'!L93+'Avg Week Ssembabule-Masaka'!L93</f>
        <v>0</v>
      </c>
      <c r="M93" s="49">
        <f>'Avg Week Masaka-Ssembabule'!M93+'Avg Week Ssembabule-Masaka'!M93</f>
        <v>0</v>
      </c>
      <c r="N93" s="49">
        <f>'Avg Week Masaka-Ssembabule'!N93+'Avg Week Ssembabule-Masaka'!N93</f>
        <v>0</v>
      </c>
      <c r="O93" s="15">
        <f t="shared" si="35"/>
        <v>2.5</v>
      </c>
      <c r="P93" s="15">
        <f t="shared" si="36"/>
        <v>2.5</v>
      </c>
      <c r="R93" s="8"/>
      <c r="T93"/>
    </row>
    <row r="94" spans="2:20" ht="23.1" customHeight="1" x14ac:dyDescent="0.25">
      <c r="B94" s="24" t="s">
        <v>134</v>
      </c>
      <c r="C94" s="49">
        <f>'Avg Week Masaka-Ssembabule'!C94+'Avg Week Ssembabule-Masaka'!C94</f>
        <v>2</v>
      </c>
      <c r="D94" s="49">
        <f>'Avg Week Masaka-Ssembabule'!D94+'Avg Week Ssembabule-Masaka'!D94</f>
        <v>1</v>
      </c>
      <c r="E94" s="49">
        <f>'Avg Week Masaka-Ssembabule'!E94+'Avg Week Ssembabule-Masaka'!E94</f>
        <v>0</v>
      </c>
      <c r="F94" s="49">
        <f>'Avg Week Masaka-Ssembabule'!F94+'Avg Week Ssembabule-Masaka'!F94</f>
        <v>1</v>
      </c>
      <c r="G94" s="49">
        <f>'Avg Week Masaka-Ssembabule'!G94+'Avg Week Ssembabule-Masaka'!G94</f>
        <v>0</v>
      </c>
      <c r="H94" s="49">
        <f>'Avg Week Masaka-Ssembabule'!H94+'Avg Week Ssembabule-Masaka'!H94</f>
        <v>0</v>
      </c>
      <c r="I94" s="49">
        <f>'Avg Week Masaka-Ssembabule'!I94+'Avg Week Ssembabule-Masaka'!I94</f>
        <v>0.5</v>
      </c>
      <c r="J94" s="49">
        <f>'Avg Week Masaka-Ssembabule'!J94+'Avg Week Ssembabule-Masaka'!J94</f>
        <v>0.5</v>
      </c>
      <c r="K94" s="49">
        <f>'Avg Week Masaka-Ssembabule'!K94+'Avg Week Ssembabule-Masaka'!K94</f>
        <v>0</v>
      </c>
      <c r="L94" s="49">
        <f>'Avg Week Masaka-Ssembabule'!L94+'Avg Week Ssembabule-Masaka'!L94</f>
        <v>0</v>
      </c>
      <c r="M94" s="49">
        <f>'Avg Week Masaka-Ssembabule'!M94+'Avg Week Ssembabule-Masaka'!M94</f>
        <v>2</v>
      </c>
      <c r="N94" s="49">
        <f>'Avg Week Masaka-Ssembabule'!N94+'Avg Week Ssembabule-Masaka'!N94</f>
        <v>0</v>
      </c>
      <c r="O94" s="15">
        <f t="shared" si="35"/>
        <v>5</v>
      </c>
      <c r="P94" s="15">
        <f t="shared" si="36"/>
        <v>7</v>
      </c>
      <c r="R94" s="8"/>
      <c r="T94"/>
    </row>
    <row r="95" spans="2:20" ht="23.1" customHeight="1" x14ac:dyDescent="0.25">
      <c r="B95" s="23" t="s">
        <v>135</v>
      </c>
      <c r="C95" s="49">
        <f>'Avg Week Masaka-Ssembabule'!C95+'Avg Week Ssembabule-Masaka'!C95</f>
        <v>2</v>
      </c>
      <c r="D95" s="49">
        <f>'Avg Week Masaka-Ssembabule'!D95+'Avg Week Ssembabule-Masaka'!D95</f>
        <v>0.5</v>
      </c>
      <c r="E95" s="49">
        <f>'Avg Week Masaka-Ssembabule'!E95+'Avg Week Ssembabule-Masaka'!E95</f>
        <v>0</v>
      </c>
      <c r="F95" s="49">
        <f>'Avg Week Masaka-Ssembabule'!F95+'Avg Week Ssembabule-Masaka'!F95</f>
        <v>0.5</v>
      </c>
      <c r="G95" s="49">
        <f>'Avg Week Masaka-Ssembabule'!G95+'Avg Week Ssembabule-Masaka'!G95</f>
        <v>0</v>
      </c>
      <c r="H95" s="49">
        <f>'Avg Week Masaka-Ssembabule'!H95+'Avg Week Ssembabule-Masaka'!H95</f>
        <v>0</v>
      </c>
      <c r="I95" s="49">
        <f>'Avg Week Masaka-Ssembabule'!I95+'Avg Week Ssembabule-Masaka'!I95</f>
        <v>1</v>
      </c>
      <c r="J95" s="49">
        <f>'Avg Week Masaka-Ssembabule'!J95+'Avg Week Ssembabule-Masaka'!J95</f>
        <v>1.5</v>
      </c>
      <c r="K95" s="49">
        <f>'Avg Week Masaka-Ssembabule'!K95+'Avg Week Ssembabule-Masaka'!K95</f>
        <v>0</v>
      </c>
      <c r="L95" s="49">
        <f>'Avg Week Masaka-Ssembabule'!L95+'Avg Week Ssembabule-Masaka'!L95</f>
        <v>0</v>
      </c>
      <c r="M95" s="49">
        <f>'Avg Week Masaka-Ssembabule'!M95+'Avg Week Ssembabule-Masaka'!M95</f>
        <v>4.5</v>
      </c>
      <c r="N95" s="49">
        <f>'Avg Week Masaka-Ssembabule'!N95+'Avg Week Ssembabule-Masaka'!N95</f>
        <v>0</v>
      </c>
      <c r="O95" s="15">
        <f t="shared" si="35"/>
        <v>5.5</v>
      </c>
      <c r="P95" s="15">
        <f t="shared" si="36"/>
        <v>10</v>
      </c>
      <c r="R95" s="8"/>
      <c r="T95"/>
    </row>
    <row r="96" spans="2:20" ht="23.1" customHeight="1" x14ac:dyDescent="0.25">
      <c r="B96" s="25" t="s">
        <v>136</v>
      </c>
      <c r="C96" s="49">
        <f>'Avg Week Masaka-Ssembabule'!C96+'Avg Week Ssembabule-Masaka'!C96</f>
        <v>1</v>
      </c>
      <c r="D96" s="49">
        <f>'Avg Week Masaka-Ssembabule'!D96+'Avg Week Ssembabule-Masaka'!D96</f>
        <v>1</v>
      </c>
      <c r="E96" s="49">
        <f>'Avg Week Masaka-Ssembabule'!E96+'Avg Week Ssembabule-Masaka'!E96</f>
        <v>1</v>
      </c>
      <c r="F96" s="49">
        <f>'Avg Week Masaka-Ssembabule'!F96+'Avg Week Ssembabule-Masaka'!F96</f>
        <v>1</v>
      </c>
      <c r="G96" s="49">
        <f>'Avg Week Masaka-Ssembabule'!G96+'Avg Week Ssembabule-Masaka'!G96</f>
        <v>0</v>
      </c>
      <c r="H96" s="49">
        <f>'Avg Week Masaka-Ssembabule'!H96+'Avg Week Ssembabule-Masaka'!H96</f>
        <v>0</v>
      </c>
      <c r="I96" s="49">
        <f>'Avg Week Masaka-Ssembabule'!I96+'Avg Week Ssembabule-Masaka'!I96</f>
        <v>0.5</v>
      </c>
      <c r="J96" s="49">
        <f>'Avg Week Masaka-Ssembabule'!J96+'Avg Week Ssembabule-Masaka'!J96</f>
        <v>0.5</v>
      </c>
      <c r="K96" s="49">
        <f>'Avg Week Masaka-Ssembabule'!K96+'Avg Week Ssembabule-Masaka'!K96</f>
        <v>0</v>
      </c>
      <c r="L96" s="49">
        <f>'Avg Week Masaka-Ssembabule'!L96+'Avg Week Ssembabule-Masaka'!L96</f>
        <v>0</v>
      </c>
      <c r="M96" s="49">
        <f>'Avg Week Masaka-Ssembabule'!M96+'Avg Week Ssembabule-Masaka'!M96</f>
        <v>2.5</v>
      </c>
      <c r="N96" s="49">
        <f>'Avg Week Masaka-Ssembabule'!N96+'Avg Week Ssembabule-Masaka'!N96</f>
        <v>0</v>
      </c>
      <c r="O96" s="15">
        <f t="shared" si="35"/>
        <v>5</v>
      </c>
      <c r="P96" s="15">
        <f t="shared" si="36"/>
        <v>7.5</v>
      </c>
      <c r="R96" s="8"/>
      <c r="T96"/>
    </row>
    <row r="97" spans="2:20" ht="23.1" customHeight="1" x14ac:dyDescent="0.25">
      <c r="B97" s="23" t="s">
        <v>137</v>
      </c>
      <c r="C97" s="49">
        <f>'Avg Week Masaka-Ssembabule'!C97+'Avg Week Ssembabule-Masaka'!C97</f>
        <v>4</v>
      </c>
      <c r="D97" s="49">
        <f>'Avg Week Masaka-Ssembabule'!D97+'Avg Week Ssembabule-Masaka'!D97</f>
        <v>0</v>
      </c>
      <c r="E97" s="49">
        <f>'Avg Week Masaka-Ssembabule'!E97+'Avg Week Ssembabule-Masaka'!E97</f>
        <v>0.5</v>
      </c>
      <c r="F97" s="49">
        <f>'Avg Week Masaka-Ssembabule'!F97+'Avg Week Ssembabule-Masaka'!F97</f>
        <v>1</v>
      </c>
      <c r="G97" s="49">
        <f>'Avg Week Masaka-Ssembabule'!G97+'Avg Week Ssembabule-Masaka'!G97</f>
        <v>0</v>
      </c>
      <c r="H97" s="49">
        <f>'Avg Week Masaka-Ssembabule'!H97+'Avg Week Ssembabule-Masaka'!H97</f>
        <v>0</v>
      </c>
      <c r="I97" s="49">
        <f>'Avg Week Masaka-Ssembabule'!I97+'Avg Week Ssembabule-Masaka'!I97</f>
        <v>2</v>
      </c>
      <c r="J97" s="49">
        <f>'Avg Week Masaka-Ssembabule'!J97+'Avg Week Ssembabule-Masaka'!J97</f>
        <v>0.5</v>
      </c>
      <c r="K97" s="49">
        <f>'Avg Week Masaka-Ssembabule'!K97+'Avg Week Ssembabule-Masaka'!K97</f>
        <v>0.5</v>
      </c>
      <c r="L97" s="49">
        <f>'Avg Week Masaka-Ssembabule'!L97+'Avg Week Ssembabule-Masaka'!L97</f>
        <v>1</v>
      </c>
      <c r="M97" s="49">
        <f>'Avg Week Masaka-Ssembabule'!M97+'Avg Week Ssembabule-Masaka'!M97</f>
        <v>1</v>
      </c>
      <c r="N97" s="49">
        <f>'Avg Week Masaka-Ssembabule'!N97+'Avg Week Ssembabule-Masaka'!N97</f>
        <v>0</v>
      </c>
      <c r="O97" s="15">
        <f t="shared" si="35"/>
        <v>9.5</v>
      </c>
      <c r="P97" s="15">
        <f t="shared" si="36"/>
        <v>10.5</v>
      </c>
      <c r="R97" s="8"/>
      <c r="T97"/>
    </row>
    <row r="98" spans="2:20" ht="23.1" customHeight="1" x14ac:dyDescent="0.25">
      <c r="B98" s="24" t="s">
        <v>138</v>
      </c>
      <c r="C98" s="49">
        <f>'Avg Week Masaka-Ssembabule'!C98+'Avg Week Ssembabule-Masaka'!C98</f>
        <v>2.5</v>
      </c>
      <c r="D98" s="49">
        <f>'Avg Week Masaka-Ssembabule'!D98+'Avg Week Ssembabule-Masaka'!D98</f>
        <v>1.5</v>
      </c>
      <c r="E98" s="49">
        <f>'Avg Week Masaka-Ssembabule'!E98+'Avg Week Ssembabule-Masaka'!E98</f>
        <v>0.5</v>
      </c>
      <c r="F98" s="49">
        <f>'Avg Week Masaka-Ssembabule'!F98+'Avg Week Ssembabule-Masaka'!F98</f>
        <v>2.5</v>
      </c>
      <c r="G98" s="49">
        <f>'Avg Week Masaka-Ssembabule'!G98+'Avg Week Ssembabule-Masaka'!G98</f>
        <v>0</v>
      </c>
      <c r="H98" s="49">
        <f>'Avg Week Masaka-Ssembabule'!H98+'Avg Week Ssembabule-Masaka'!H98</f>
        <v>0</v>
      </c>
      <c r="I98" s="49">
        <f>'Avg Week Masaka-Ssembabule'!I98+'Avg Week Ssembabule-Masaka'!I98</f>
        <v>1.5</v>
      </c>
      <c r="J98" s="49">
        <f>'Avg Week Masaka-Ssembabule'!J98+'Avg Week Ssembabule-Masaka'!J98</f>
        <v>0</v>
      </c>
      <c r="K98" s="49">
        <f>'Avg Week Masaka-Ssembabule'!K98+'Avg Week Ssembabule-Masaka'!K98</f>
        <v>0</v>
      </c>
      <c r="L98" s="49">
        <f>'Avg Week Masaka-Ssembabule'!L98+'Avg Week Ssembabule-Masaka'!L98</f>
        <v>0</v>
      </c>
      <c r="M98" s="49">
        <f>'Avg Week Masaka-Ssembabule'!M98+'Avg Week Ssembabule-Masaka'!M98</f>
        <v>7</v>
      </c>
      <c r="N98" s="49">
        <f>'Avg Week Masaka-Ssembabule'!N98+'Avg Week Ssembabule-Masaka'!N98</f>
        <v>0</v>
      </c>
      <c r="O98" s="15">
        <f t="shared" si="35"/>
        <v>8.5</v>
      </c>
      <c r="P98" s="15">
        <f t="shared" si="36"/>
        <v>15.5</v>
      </c>
      <c r="R98" s="8"/>
      <c r="T98"/>
    </row>
    <row r="99" spans="2:20" ht="23.1" customHeight="1" x14ac:dyDescent="0.25">
      <c r="B99" s="23" t="s">
        <v>139</v>
      </c>
      <c r="C99" s="49">
        <f>'Avg Week Masaka-Ssembabule'!C99+'Avg Week Ssembabule-Masaka'!C99</f>
        <v>1</v>
      </c>
      <c r="D99" s="49">
        <f>'Avg Week Masaka-Ssembabule'!D99+'Avg Week Ssembabule-Masaka'!D99</f>
        <v>0</v>
      </c>
      <c r="E99" s="49">
        <f>'Avg Week Masaka-Ssembabule'!E99+'Avg Week Ssembabule-Masaka'!E99</f>
        <v>0.5</v>
      </c>
      <c r="F99" s="49">
        <f>'Avg Week Masaka-Ssembabule'!F99+'Avg Week Ssembabule-Masaka'!F99</f>
        <v>1</v>
      </c>
      <c r="G99" s="49">
        <f>'Avg Week Masaka-Ssembabule'!G99+'Avg Week Ssembabule-Masaka'!G99</f>
        <v>0</v>
      </c>
      <c r="H99" s="49">
        <f>'Avg Week Masaka-Ssembabule'!H99+'Avg Week Ssembabule-Masaka'!H99</f>
        <v>0</v>
      </c>
      <c r="I99" s="49">
        <f>'Avg Week Masaka-Ssembabule'!I99+'Avg Week Ssembabule-Masaka'!I99</f>
        <v>2</v>
      </c>
      <c r="J99" s="49">
        <f>'Avg Week Masaka-Ssembabule'!J99+'Avg Week Ssembabule-Masaka'!J99</f>
        <v>1</v>
      </c>
      <c r="K99" s="49">
        <f>'Avg Week Masaka-Ssembabule'!K99+'Avg Week Ssembabule-Masaka'!K99</f>
        <v>1</v>
      </c>
      <c r="L99" s="49">
        <f>'Avg Week Masaka-Ssembabule'!L99+'Avg Week Ssembabule-Masaka'!L99</f>
        <v>0</v>
      </c>
      <c r="M99" s="49">
        <f>'Avg Week Masaka-Ssembabule'!M99+'Avg Week Ssembabule-Masaka'!M99</f>
        <v>3</v>
      </c>
      <c r="N99" s="49">
        <f>'Avg Week Masaka-Ssembabule'!N99+'Avg Week Ssembabule-Masaka'!N99</f>
        <v>0</v>
      </c>
      <c r="O99" s="15">
        <f t="shared" si="35"/>
        <v>6.5</v>
      </c>
      <c r="P99" s="15">
        <f t="shared" si="36"/>
        <v>9.5</v>
      </c>
      <c r="R99" s="8"/>
      <c r="T99"/>
    </row>
    <row r="100" spans="2:20" ht="23.1" customHeight="1" x14ac:dyDescent="0.25">
      <c r="B100" s="25" t="s">
        <v>140</v>
      </c>
      <c r="C100" s="49">
        <f>'Avg Week Masaka-Ssembabule'!C100+'Avg Week Ssembabule-Masaka'!C100</f>
        <v>0.5</v>
      </c>
      <c r="D100" s="49">
        <f>'Avg Week Masaka-Ssembabule'!D100+'Avg Week Ssembabule-Masaka'!D100</f>
        <v>1</v>
      </c>
      <c r="E100" s="49">
        <f>'Avg Week Masaka-Ssembabule'!E100+'Avg Week Ssembabule-Masaka'!E100</f>
        <v>1</v>
      </c>
      <c r="F100" s="49">
        <f>'Avg Week Masaka-Ssembabule'!F100+'Avg Week Ssembabule-Masaka'!F100</f>
        <v>1.5</v>
      </c>
      <c r="G100" s="49">
        <f>'Avg Week Masaka-Ssembabule'!G100+'Avg Week Ssembabule-Masaka'!G100</f>
        <v>0</v>
      </c>
      <c r="H100" s="49">
        <f>'Avg Week Masaka-Ssembabule'!H100+'Avg Week Ssembabule-Masaka'!H100</f>
        <v>0</v>
      </c>
      <c r="I100" s="49">
        <f>'Avg Week Masaka-Ssembabule'!I100+'Avg Week Ssembabule-Masaka'!I100</f>
        <v>1.5</v>
      </c>
      <c r="J100" s="49">
        <f>'Avg Week Masaka-Ssembabule'!J100+'Avg Week Ssembabule-Masaka'!J100</f>
        <v>1</v>
      </c>
      <c r="K100" s="49">
        <f>'Avg Week Masaka-Ssembabule'!K100+'Avg Week Ssembabule-Masaka'!K100</f>
        <v>0</v>
      </c>
      <c r="L100" s="49">
        <f>'Avg Week Masaka-Ssembabule'!L100+'Avg Week Ssembabule-Masaka'!L100</f>
        <v>0</v>
      </c>
      <c r="M100" s="49">
        <f>'Avg Week Masaka-Ssembabule'!M100+'Avg Week Ssembabule-Masaka'!M100</f>
        <v>6</v>
      </c>
      <c r="N100" s="49">
        <f>'Avg Week Masaka-Ssembabule'!N100+'Avg Week Ssembabule-Masaka'!N100</f>
        <v>0</v>
      </c>
      <c r="O100" s="15">
        <f t="shared" si="35"/>
        <v>6.5</v>
      </c>
      <c r="P100" s="15">
        <f t="shared" si="36"/>
        <v>12.5</v>
      </c>
      <c r="R100" s="8"/>
      <c r="T100"/>
    </row>
    <row r="101" spans="2:20" ht="23.1" customHeight="1" x14ac:dyDescent="0.25">
      <c r="B101" s="23" t="s">
        <v>141</v>
      </c>
      <c r="C101" s="49">
        <f>'Avg Week Masaka-Ssembabule'!C101+'Avg Week Ssembabule-Masaka'!C101</f>
        <v>1</v>
      </c>
      <c r="D101" s="49">
        <f>'Avg Week Masaka-Ssembabule'!D101+'Avg Week Ssembabule-Masaka'!D101</f>
        <v>0.5</v>
      </c>
      <c r="E101" s="49">
        <f>'Avg Week Masaka-Ssembabule'!E101+'Avg Week Ssembabule-Masaka'!E101</f>
        <v>0</v>
      </c>
      <c r="F101" s="49">
        <f>'Avg Week Masaka-Ssembabule'!F101+'Avg Week Ssembabule-Masaka'!F101</f>
        <v>2</v>
      </c>
      <c r="G101" s="49">
        <f>'Avg Week Masaka-Ssembabule'!G101+'Avg Week Ssembabule-Masaka'!G101</f>
        <v>0</v>
      </c>
      <c r="H101" s="49">
        <f>'Avg Week Masaka-Ssembabule'!H101+'Avg Week Ssembabule-Masaka'!H101</f>
        <v>0</v>
      </c>
      <c r="I101" s="49">
        <f>'Avg Week Masaka-Ssembabule'!I101+'Avg Week Ssembabule-Masaka'!I101</f>
        <v>0</v>
      </c>
      <c r="J101" s="49">
        <f>'Avg Week Masaka-Ssembabule'!J101+'Avg Week Ssembabule-Masaka'!J101</f>
        <v>1.5</v>
      </c>
      <c r="K101" s="49">
        <f>'Avg Week Masaka-Ssembabule'!K101+'Avg Week Ssembabule-Masaka'!K101</f>
        <v>1</v>
      </c>
      <c r="L101" s="49">
        <f>'Avg Week Masaka-Ssembabule'!L101+'Avg Week Ssembabule-Masaka'!L101</f>
        <v>0.5</v>
      </c>
      <c r="M101" s="49">
        <f>'Avg Week Masaka-Ssembabule'!M101+'Avg Week Ssembabule-Masaka'!M101</f>
        <v>8.5</v>
      </c>
      <c r="N101" s="49">
        <f>'Avg Week Masaka-Ssembabule'!N101+'Avg Week Ssembabule-Masaka'!N101</f>
        <v>0</v>
      </c>
      <c r="O101" s="15">
        <f t="shared" si="35"/>
        <v>6.5</v>
      </c>
      <c r="P101" s="15">
        <f t="shared" si="36"/>
        <v>15</v>
      </c>
      <c r="R101" s="8"/>
      <c r="T101"/>
    </row>
    <row r="102" spans="2:20" ht="23.1" customHeight="1" x14ac:dyDescent="0.25">
      <c r="B102" s="24" t="s">
        <v>142</v>
      </c>
      <c r="C102" s="49">
        <f>'Avg Week Masaka-Ssembabule'!C102+'Avg Week Ssembabule-Masaka'!C102</f>
        <v>1</v>
      </c>
      <c r="D102" s="49">
        <f>'Avg Week Masaka-Ssembabule'!D102+'Avg Week Ssembabule-Masaka'!D102</f>
        <v>1</v>
      </c>
      <c r="E102" s="49">
        <f>'Avg Week Masaka-Ssembabule'!E102+'Avg Week Ssembabule-Masaka'!E102</f>
        <v>0.5</v>
      </c>
      <c r="F102" s="49">
        <f>'Avg Week Masaka-Ssembabule'!F102+'Avg Week Ssembabule-Masaka'!F102</f>
        <v>2</v>
      </c>
      <c r="G102" s="49">
        <f>'Avg Week Masaka-Ssembabule'!G102+'Avg Week Ssembabule-Masaka'!G102</f>
        <v>0</v>
      </c>
      <c r="H102" s="49">
        <f>'Avg Week Masaka-Ssembabule'!H102+'Avg Week Ssembabule-Masaka'!H102</f>
        <v>0</v>
      </c>
      <c r="I102" s="49">
        <f>'Avg Week Masaka-Ssembabule'!I102+'Avg Week Ssembabule-Masaka'!I102</f>
        <v>0</v>
      </c>
      <c r="J102" s="49">
        <f>'Avg Week Masaka-Ssembabule'!J102+'Avg Week Ssembabule-Masaka'!J102</f>
        <v>0.5</v>
      </c>
      <c r="K102" s="49">
        <f>'Avg Week Masaka-Ssembabule'!K102+'Avg Week Ssembabule-Masaka'!K102</f>
        <v>0</v>
      </c>
      <c r="L102" s="49">
        <f>'Avg Week Masaka-Ssembabule'!L102+'Avg Week Ssembabule-Masaka'!L102</f>
        <v>0</v>
      </c>
      <c r="M102" s="49">
        <f>'Avg Week Masaka-Ssembabule'!M102+'Avg Week Ssembabule-Masaka'!M102</f>
        <v>3.5</v>
      </c>
      <c r="N102" s="49">
        <f>'Avg Week Masaka-Ssembabule'!N102+'Avg Week Ssembabule-Masaka'!N102</f>
        <v>0</v>
      </c>
      <c r="O102" s="15">
        <f t="shared" si="35"/>
        <v>5</v>
      </c>
      <c r="P102" s="15">
        <f t="shared" si="36"/>
        <v>8.5</v>
      </c>
      <c r="R102" s="8"/>
      <c r="T102"/>
    </row>
    <row r="103" spans="2:20" ht="23.1" customHeight="1" x14ac:dyDescent="0.25">
      <c r="B103" s="23" t="s">
        <v>143</v>
      </c>
      <c r="C103" s="49">
        <f>'Avg Week Masaka-Ssembabule'!C103+'Avg Week Ssembabule-Masaka'!C103</f>
        <v>2</v>
      </c>
      <c r="D103" s="49">
        <f>'Avg Week Masaka-Ssembabule'!D103+'Avg Week Ssembabule-Masaka'!D103</f>
        <v>1</v>
      </c>
      <c r="E103" s="49">
        <f>'Avg Week Masaka-Ssembabule'!E103+'Avg Week Ssembabule-Masaka'!E103</f>
        <v>1.5</v>
      </c>
      <c r="F103" s="49">
        <f>'Avg Week Masaka-Ssembabule'!F103+'Avg Week Ssembabule-Masaka'!F103</f>
        <v>1</v>
      </c>
      <c r="G103" s="49">
        <f>'Avg Week Masaka-Ssembabule'!G103+'Avg Week Ssembabule-Masaka'!G103</f>
        <v>0</v>
      </c>
      <c r="H103" s="49">
        <f>'Avg Week Masaka-Ssembabule'!H103+'Avg Week Ssembabule-Masaka'!H103</f>
        <v>0</v>
      </c>
      <c r="I103" s="49">
        <f>'Avg Week Masaka-Ssembabule'!I103+'Avg Week Ssembabule-Masaka'!I103</f>
        <v>1</v>
      </c>
      <c r="J103" s="49">
        <f>'Avg Week Masaka-Ssembabule'!J103+'Avg Week Ssembabule-Masaka'!J103</f>
        <v>1.5</v>
      </c>
      <c r="K103" s="49">
        <f>'Avg Week Masaka-Ssembabule'!K103+'Avg Week Ssembabule-Masaka'!K103</f>
        <v>0</v>
      </c>
      <c r="L103" s="49">
        <f>'Avg Week Masaka-Ssembabule'!L103+'Avg Week Ssembabule-Masaka'!L103</f>
        <v>0</v>
      </c>
      <c r="M103" s="49">
        <f>'Avg Week Masaka-Ssembabule'!M103+'Avg Week Ssembabule-Masaka'!M103</f>
        <v>6</v>
      </c>
      <c r="N103" s="49">
        <f>'Avg Week Masaka-Ssembabule'!N103+'Avg Week Ssembabule-Masaka'!N103</f>
        <v>0</v>
      </c>
      <c r="O103" s="15">
        <f t="shared" si="35"/>
        <v>8</v>
      </c>
      <c r="P103" s="15">
        <f t="shared" si="36"/>
        <v>14</v>
      </c>
      <c r="R103" s="8"/>
      <c r="T103"/>
    </row>
    <row r="104" spans="2:20" ht="23.1" customHeight="1" x14ac:dyDescent="0.25">
      <c r="B104" s="25" t="s">
        <v>144</v>
      </c>
      <c r="C104" s="49">
        <f>'Avg Week Masaka-Ssembabule'!C104+'Avg Week Ssembabule-Masaka'!C104</f>
        <v>1.5</v>
      </c>
      <c r="D104" s="49">
        <f>'Avg Week Masaka-Ssembabule'!D104+'Avg Week Ssembabule-Masaka'!D104</f>
        <v>3</v>
      </c>
      <c r="E104" s="49">
        <f>'Avg Week Masaka-Ssembabule'!E104+'Avg Week Ssembabule-Masaka'!E104</f>
        <v>1</v>
      </c>
      <c r="F104" s="49">
        <f>'Avg Week Masaka-Ssembabule'!F104+'Avg Week Ssembabule-Masaka'!F104</f>
        <v>2</v>
      </c>
      <c r="G104" s="49">
        <f>'Avg Week Masaka-Ssembabule'!G104+'Avg Week Ssembabule-Masaka'!G104</f>
        <v>0</v>
      </c>
      <c r="H104" s="49">
        <f>'Avg Week Masaka-Ssembabule'!H104+'Avg Week Ssembabule-Masaka'!H104</f>
        <v>0</v>
      </c>
      <c r="I104" s="49">
        <f>'Avg Week Masaka-Ssembabule'!I104+'Avg Week Ssembabule-Masaka'!I104</f>
        <v>1</v>
      </c>
      <c r="J104" s="49">
        <f>'Avg Week Masaka-Ssembabule'!J104+'Avg Week Ssembabule-Masaka'!J104</f>
        <v>0.5</v>
      </c>
      <c r="K104" s="49">
        <f>'Avg Week Masaka-Ssembabule'!K104+'Avg Week Ssembabule-Masaka'!K104</f>
        <v>0</v>
      </c>
      <c r="L104" s="49">
        <f>'Avg Week Masaka-Ssembabule'!L104+'Avg Week Ssembabule-Masaka'!L104</f>
        <v>0</v>
      </c>
      <c r="M104" s="49">
        <f>'Avg Week Masaka-Ssembabule'!M104+'Avg Week Ssembabule-Masaka'!M104</f>
        <v>7.5</v>
      </c>
      <c r="N104" s="49">
        <f>'Avg Week Masaka-Ssembabule'!N104+'Avg Week Ssembabule-Masaka'!N104</f>
        <v>0</v>
      </c>
      <c r="O104" s="15">
        <f t="shared" si="35"/>
        <v>9</v>
      </c>
      <c r="P104" s="15">
        <f t="shared" si="36"/>
        <v>16.5</v>
      </c>
      <c r="R104" s="8"/>
      <c r="T104"/>
    </row>
    <row r="105" spans="2:20" ht="23.1" customHeight="1" x14ac:dyDescent="0.25">
      <c r="B105" s="23" t="s">
        <v>145</v>
      </c>
      <c r="C105" s="49">
        <f>'Avg Week Masaka-Ssembabule'!C105+'Avg Week Ssembabule-Masaka'!C105</f>
        <v>3</v>
      </c>
      <c r="D105" s="49">
        <f>'Avg Week Masaka-Ssembabule'!D105+'Avg Week Ssembabule-Masaka'!D105</f>
        <v>0</v>
      </c>
      <c r="E105" s="49">
        <f>'Avg Week Masaka-Ssembabule'!E105+'Avg Week Ssembabule-Masaka'!E105</f>
        <v>1</v>
      </c>
      <c r="F105" s="49">
        <f>'Avg Week Masaka-Ssembabule'!F105+'Avg Week Ssembabule-Masaka'!F105</f>
        <v>0.5</v>
      </c>
      <c r="G105" s="49">
        <f>'Avg Week Masaka-Ssembabule'!G105+'Avg Week Ssembabule-Masaka'!G105</f>
        <v>0</v>
      </c>
      <c r="H105" s="49">
        <f>'Avg Week Masaka-Ssembabule'!H105+'Avg Week Ssembabule-Masaka'!H105</f>
        <v>0</v>
      </c>
      <c r="I105" s="49">
        <f>'Avg Week Masaka-Ssembabule'!I105+'Avg Week Ssembabule-Masaka'!I105</f>
        <v>1.5</v>
      </c>
      <c r="J105" s="49">
        <f>'Avg Week Masaka-Ssembabule'!J105+'Avg Week Ssembabule-Masaka'!J105</f>
        <v>1</v>
      </c>
      <c r="K105" s="49">
        <f>'Avg Week Masaka-Ssembabule'!K105+'Avg Week Ssembabule-Masaka'!K105</f>
        <v>0.5</v>
      </c>
      <c r="L105" s="49">
        <f>'Avg Week Masaka-Ssembabule'!L105+'Avg Week Ssembabule-Masaka'!L105</f>
        <v>0</v>
      </c>
      <c r="M105" s="49">
        <f>'Avg Week Masaka-Ssembabule'!M105+'Avg Week Ssembabule-Masaka'!M105</f>
        <v>6.5</v>
      </c>
      <c r="N105" s="49">
        <f>'Avg Week Masaka-Ssembabule'!N105+'Avg Week Ssembabule-Masaka'!N105</f>
        <v>0</v>
      </c>
      <c r="O105" s="15">
        <f t="shared" si="35"/>
        <v>7.5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301.42857142857144</v>
      </c>
      <c r="D106" s="16">
        <f t="shared" ref="D106:P106" si="37">SUM(D10:D105)</f>
        <v>49.571428571428569</v>
      </c>
      <c r="E106" s="16">
        <f t="shared" si="37"/>
        <v>83.714285714285722</v>
      </c>
      <c r="F106" s="16">
        <f t="shared" si="37"/>
        <v>87.142857142857139</v>
      </c>
      <c r="G106" s="16">
        <f t="shared" si="37"/>
        <v>4.928571428571427</v>
      </c>
      <c r="H106" s="16">
        <f t="shared" si="37"/>
        <v>1.857142857142857</v>
      </c>
      <c r="I106" s="16">
        <f t="shared" si="37"/>
        <v>146.85714285714289</v>
      </c>
      <c r="J106" s="16">
        <f t="shared" si="37"/>
        <v>99.714285714285722</v>
      </c>
      <c r="K106" s="16">
        <f t="shared" si="37"/>
        <v>40.214285714285708</v>
      </c>
      <c r="L106" s="16">
        <f t="shared" si="37"/>
        <v>4.4285714285714288</v>
      </c>
      <c r="M106" s="16">
        <f t="shared" si="37"/>
        <v>856.28571428571445</v>
      </c>
      <c r="N106" s="16">
        <f t="shared" si="37"/>
        <v>2.1428571428571428</v>
      </c>
      <c r="O106" s="16">
        <f t="shared" si="37"/>
        <v>821.99999999999989</v>
      </c>
      <c r="P106" s="16">
        <f t="shared" si="37"/>
        <v>1678.2857142857142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0.17960503915560097</v>
      </c>
      <c r="D107" s="43">
        <f t="shared" si="38"/>
        <v>2.9536942458290773E-2</v>
      </c>
      <c r="E107" s="43">
        <f t="shared" si="38"/>
        <v>4.9880830779707189E-2</v>
      </c>
      <c r="F107" s="43">
        <f t="shared" si="38"/>
        <v>5.1923731699012599E-2</v>
      </c>
      <c r="G107" s="43">
        <f t="shared" si="38"/>
        <v>2.9366700715015314E-3</v>
      </c>
      <c r="H107" s="43">
        <f t="shared" si="38"/>
        <v>1.1065713312904324E-3</v>
      </c>
      <c r="I107" s="43">
        <f t="shared" si="38"/>
        <v>8.7504256043581904E-2</v>
      </c>
      <c r="J107" s="43">
        <f t="shared" si="38"/>
        <v>5.9414368403132453E-2</v>
      </c>
      <c r="K107" s="43">
        <f t="shared" si="38"/>
        <v>2.3961525366019747E-2</v>
      </c>
      <c r="L107" s="43">
        <f t="shared" si="38"/>
        <v>2.6387470207694928E-3</v>
      </c>
      <c r="M107" s="43">
        <f t="shared" si="38"/>
        <v>0.51021450459652717</v>
      </c>
      <c r="N107" s="43">
        <f t="shared" si="38"/>
        <v>1.2768130745658835E-3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0.36670142509558573</v>
      </c>
      <c r="D108" s="44">
        <f t="shared" ref="D108:N108" si="39">D106/$O$106</f>
        <v>6.0305874174487316E-2</v>
      </c>
      <c r="E108" s="44">
        <f t="shared" si="39"/>
        <v>0.10184219673270771</v>
      </c>
      <c r="F108" s="44">
        <f t="shared" si="39"/>
        <v>0.10601320820298923</v>
      </c>
      <c r="G108" s="44">
        <f t="shared" si="39"/>
        <v>5.9958289885297172E-3</v>
      </c>
      <c r="H108" s="44">
        <f t="shared" si="39"/>
        <v>2.2592978797358362E-3</v>
      </c>
      <c r="I108" s="44">
        <f t="shared" si="39"/>
        <v>0.17865832464372616</v>
      </c>
      <c r="J108" s="44">
        <f t="shared" si="39"/>
        <v>0.12130691692735492</v>
      </c>
      <c r="K108" s="44">
        <f t="shared" si="39"/>
        <v>4.8922488703510604E-2</v>
      </c>
      <c r="L108" s="44">
        <f t="shared" si="39"/>
        <v>5.3875564824469946E-3</v>
      </c>
      <c r="M108" s="44"/>
      <c r="N108" s="44">
        <f t="shared" si="39"/>
        <v>2.6068821689259648E-3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17.10 MASAKA SEMBABULE</vt:lpstr>
      <vt:lpstr>17.10 SEMBABULE-MASAKA</vt:lpstr>
      <vt:lpstr>18.10 MASAKA-SEMBABULA-24HRS</vt:lpstr>
      <vt:lpstr>18.10 SEMBABULE-MASAKA-24 HRS</vt:lpstr>
      <vt:lpstr>19.10 MASAKA-SEMBABULE-24HRS</vt:lpstr>
      <vt:lpstr>19.10 SEMBABULE MASAKA-24HRS</vt:lpstr>
      <vt:lpstr>20.10 MASAKA-SEMBABULE</vt:lpstr>
      <vt:lpstr>20.10 SEMBABULE-MASAKA</vt:lpstr>
      <vt:lpstr>21.10 MASAKA SEMBABULE</vt:lpstr>
      <vt:lpstr>21.10 SEMBABULE-MASAKA</vt:lpstr>
      <vt:lpstr>22.10 MASAKA-SEMBABULE</vt:lpstr>
      <vt:lpstr>22.10 SEMBABULE-MASAKA</vt:lpstr>
      <vt:lpstr>23.10 MASAKA-SEMBABULE</vt:lpstr>
      <vt:lpstr>23.10 SEMBABULE-MASAKA</vt:lpstr>
      <vt:lpstr>Avg Week Masaka-Ssembabule</vt:lpstr>
      <vt:lpstr>Avg Week Ssembabule-Masaka</vt:lpstr>
      <vt:lpstr>Avg Week Masaka-Ssembabule-2Dir</vt:lpstr>
      <vt:lpstr>'17.10 MASAKA SEMBABULE'!Print_Area</vt:lpstr>
      <vt:lpstr>'17.10 SEMBABULE-MASAKA'!Print_Area</vt:lpstr>
      <vt:lpstr>'18.10 MASAKA-SEMBABULA-24HRS'!Print_Area</vt:lpstr>
      <vt:lpstr>'18.10 SEMBABULE-MASAKA-24 HRS'!Print_Area</vt:lpstr>
      <vt:lpstr>'19.10 MASAKA-SEMBABULE-24HRS'!Print_Area</vt:lpstr>
      <vt:lpstr>'19.10 SEMBABULE MASAKA-24HRS'!Print_Area</vt:lpstr>
      <vt:lpstr>'20.10 MASAKA-SEMBABULE'!Print_Area</vt:lpstr>
      <vt:lpstr>'20.10 SEMBABULE-MASAKA'!Print_Area</vt:lpstr>
      <vt:lpstr>'21.10 MASAKA SEMBABULE'!Print_Area</vt:lpstr>
      <vt:lpstr>'21.10 SEMBABULE-MASAKA'!Print_Area</vt:lpstr>
      <vt:lpstr>'22.10 MASAKA-SEMBABULE'!Print_Area</vt:lpstr>
      <vt:lpstr>'22.10 SEMBABULE-MASAKA'!Print_Area</vt:lpstr>
      <vt:lpstr>'23.10 MASAKA-SEMBABULE'!Print_Area</vt:lpstr>
      <vt:lpstr>'23.10 SEMBABULE-MASAKA'!Print_Area</vt:lpstr>
      <vt:lpstr>'Avg Week Masaka-Ssembabule'!Print_Area</vt:lpstr>
      <vt:lpstr>'Avg Week Masaka-Ssembabule-2Dir'!Print_Area</vt:lpstr>
      <vt:lpstr>'Avg Week Ssembabule-Masaka'!Print_Area</vt:lpstr>
      <vt:lpstr>'17.10 MASAKA SEMBABULE'!Print_Titles</vt:lpstr>
      <vt:lpstr>'17.10 SEMBABULE-MASAKA'!Print_Titles</vt:lpstr>
      <vt:lpstr>'18.10 MASAKA-SEMBABULA-24HRS'!Print_Titles</vt:lpstr>
      <vt:lpstr>'18.10 SEMBABULE-MASAKA-24 HRS'!Print_Titles</vt:lpstr>
      <vt:lpstr>'19.10 MASAKA-SEMBABULE-24HRS'!Print_Titles</vt:lpstr>
      <vt:lpstr>'19.10 SEMBABULE MASAKA-24HRS'!Print_Titles</vt:lpstr>
      <vt:lpstr>'20.10 MASAKA-SEMBABULE'!Print_Titles</vt:lpstr>
      <vt:lpstr>'20.10 SEMBABULE-MASAKA'!Print_Titles</vt:lpstr>
      <vt:lpstr>'21.10 MASAKA SEMBABULE'!Print_Titles</vt:lpstr>
      <vt:lpstr>'21.10 SEMBABULE-MASAKA'!Print_Titles</vt:lpstr>
      <vt:lpstr>'22.10 MASAKA-SEMBABULE'!Print_Titles</vt:lpstr>
      <vt:lpstr>'22.10 SEMBABULE-MASAKA'!Print_Titles</vt:lpstr>
      <vt:lpstr>'23.10 MASAKA-SEMBABULE'!Print_Titles</vt:lpstr>
      <vt:lpstr>'23.10 SEMBABULE-MASAKA'!Print_Titles</vt:lpstr>
      <vt:lpstr>'Avg Week Masaka-Ssembabule'!Print_Titles</vt:lpstr>
      <vt:lpstr>'Avg Week Masaka-Ssembabule-2Dir'!Print_Titles</vt:lpstr>
      <vt:lpstr>'Avg Week Ssembabule-Masaka'!Print_Titles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2019-11-29T06:18:41Z</dcterms:modified>
</cp:coreProperties>
</file>